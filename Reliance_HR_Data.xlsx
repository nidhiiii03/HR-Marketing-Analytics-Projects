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05DF2546879A10/Documents/"/>
    </mc:Choice>
  </mc:AlternateContent>
  <xr:revisionPtr revIDLastSave="46" documentId="8_{214FF871-B334-4AEB-9CB0-18CE249110BC}" xr6:coauthVersionLast="47" xr6:coauthVersionMax="47" xr10:uidLastSave="{063F9F39-B0D3-407F-B66E-4A7F2F4A8D0B}"/>
  <bookViews>
    <workbookView xWindow="-108" yWindow="-108" windowWidth="23256" windowHeight="12456" activeTab="2" xr2:uid="{8609937B-DF2E-460C-A524-80E79808204C}"/>
  </bookViews>
  <sheets>
    <sheet name="Reliance_HR_Data" sheetId="1" r:id="rId1"/>
    <sheet name="Pivot table " sheetId="2" r:id="rId2"/>
    <sheet name="Dashboard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</calcChain>
</file>

<file path=xl/sharedStrings.xml><?xml version="1.0" encoding="utf-8"?>
<sst xmlns="http://schemas.openxmlformats.org/spreadsheetml/2006/main" count="55095" uniqueCount="5098">
  <si>
    <t>Employee_ID</t>
  </si>
  <si>
    <t>Gender</t>
  </si>
  <si>
    <t>Age</t>
  </si>
  <si>
    <t>Education</t>
  </si>
  <si>
    <t>Marital_Status</t>
  </si>
  <si>
    <t>Department</t>
  </si>
  <si>
    <t>Job_Role</t>
  </si>
  <si>
    <t>Store_Type</t>
  </si>
  <si>
    <t>City</t>
  </si>
  <si>
    <t>Region</t>
  </si>
  <si>
    <t>Years_At_Company</t>
  </si>
  <si>
    <t>Monthly_Salary</t>
  </si>
  <si>
    <t>Performance_Rating</t>
  </si>
  <si>
    <t>Job_Satisfaction</t>
  </si>
  <si>
    <t>Work_Life_Balance</t>
  </si>
  <si>
    <t>Training_Hours</t>
  </si>
  <si>
    <t>Promotions_Last_3Years</t>
  </si>
  <si>
    <t>Hire_Date</t>
  </si>
  <si>
    <t>Attrition</t>
  </si>
  <si>
    <t>REL00001</t>
  </si>
  <si>
    <t>Female</t>
  </si>
  <si>
    <t>Graduate</t>
  </si>
  <si>
    <t>Single</t>
  </si>
  <si>
    <t>Human Resources</t>
  </si>
  <si>
    <t>HR Manager</t>
  </si>
  <si>
    <t>Reliance Digital</t>
  </si>
  <si>
    <t>Delhi</t>
  </si>
  <si>
    <t>North</t>
  </si>
  <si>
    <t>Good</t>
  </si>
  <si>
    <t>No</t>
  </si>
  <si>
    <t>REL00002</t>
  </si>
  <si>
    <t>HSC</t>
  </si>
  <si>
    <t>Operations</t>
  </si>
  <si>
    <t>Finance Analyst</t>
  </si>
  <si>
    <t>Smart Bazaar</t>
  </si>
  <si>
    <t>Jaipur</t>
  </si>
  <si>
    <t>Poor</t>
  </si>
  <si>
    <t>Yes</t>
  </si>
  <si>
    <t>REL00003</t>
  </si>
  <si>
    <t>Male</t>
  </si>
  <si>
    <t>Divorced</t>
  </si>
  <si>
    <t>Sales</t>
  </si>
  <si>
    <t>Operations Head</t>
  </si>
  <si>
    <t>Pune</t>
  </si>
  <si>
    <t>West</t>
  </si>
  <si>
    <t>Average</t>
  </si>
  <si>
    <t>REL00004</t>
  </si>
  <si>
    <t>Post Graduate</t>
  </si>
  <si>
    <t>Married</t>
  </si>
  <si>
    <t>Marketing Executive</t>
  </si>
  <si>
    <t>Mumbai</t>
  </si>
  <si>
    <t>Excellent</t>
  </si>
  <si>
    <t>REL00005</t>
  </si>
  <si>
    <t>Marketing</t>
  </si>
  <si>
    <t>Lucknow</t>
  </si>
  <si>
    <t>REL00006</t>
  </si>
  <si>
    <t>REL00007</t>
  </si>
  <si>
    <t>MBA</t>
  </si>
  <si>
    <t>Store Manager</t>
  </si>
  <si>
    <t>Hyderabad</t>
  </si>
  <si>
    <t>South</t>
  </si>
  <si>
    <t>REL00008</t>
  </si>
  <si>
    <t>Finance</t>
  </si>
  <si>
    <t>Logistics Coordinator</t>
  </si>
  <si>
    <t>REL00009</t>
  </si>
  <si>
    <t>IT</t>
  </si>
  <si>
    <t>Customer Service Rep</t>
  </si>
  <si>
    <t>Reliance Fresh</t>
  </si>
  <si>
    <t>Bangalore</t>
  </si>
  <si>
    <t>REL00010</t>
  </si>
  <si>
    <t>REL00011</t>
  </si>
  <si>
    <t>REL00012</t>
  </si>
  <si>
    <t>Kolkata</t>
  </si>
  <si>
    <t>East</t>
  </si>
  <si>
    <t>REL00013</t>
  </si>
  <si>
    <t>Customer Service</t>
  </si>
  <si>
    <t>Reliance Trends</t>
  </si>
  <si>
    <t>REL00014</t>
  </si>
  <si>
    <t>Logistics</t>
  </si>
  <si>
    <t>Sales Executive</t>
  </si>
  <si>
    <t>Chennai</t>
  </si>
  <si>
    <t>REL00015</t>
  </si>
  <si>
    <t>REL00016</t>
  </si>
  <si>
    <t>JioMart</t>
  </si>
  <si>
    <t>REL00017</t>
  </si>
  <si>
    <t>REL00018</t>
  </si>
  <si>
    <t>REL00019</t>
  </si>
  <si>
    <t>REL00020</t>
  </si>
  <si>
    <t>BTech</t>
  </si>
  <si>
    <t>REL00021</t>
  </si>
  <si>
    <t>REL00022</t>
  </si>
  <si>
    <t>REL00023</t>
  </si>
  <si>
    <t>REL00024</t>
  </si>
  <si>
    <t>REL00025</t>
  </si>
  <si>
    <t>REL00026</t>
  </si>
  <si>
    <t>REL00027</t>
  </si>
  <si>
    <t>Ahmedabad</t>
  </si>
  <si>
    <t>REL00028</t>
  </si>
  <si>
    <t>REL00029</t>
  </si>
  <si>
    <t>REL00030</t>
  </si>
  <si>
    <t>REL00031</t>
  </si>
  <si>
    <t>REL00032</t>
  </si>
  <si>
    <t>REL00033</t>
  </si>
  <si>
    <t>REL00034</t>
  </si>
  <si>
    <t>REL00035</t>
  </si>
  <si>
    <t>REL00036</t>
  </si>
  <si>
    <t>REL00037</t>
  </si>
  <si>
    <t>REL00038</t>
  </si>
  <si>
    <t>REL00039</t>
  </si>
  <si>
    <t>REL00040</t>
  </si>
  <si>
    <t>REL00041</t>
  </si>
  <si>
    <t>REL00042</t>
  </si>
  <si>
    <t>REL00043</t>
  </si>
  <si>
    <t>REL00044</t>
  </si>
  <si>
    <t>REL00045</t>
  </si>
  <si>
    <t>REL00046</t>
  </si>
  <si>
    <t>REL00047</t>
  </si>
  <si>
    <t>REL00048</t>
  </si>
  <si>
    <t>REL00049</t>
  </si>
  <si>
    <t>REL00050</t>
  </si>
  <si>
    <t>REL00051</t>
  </si>
  <si>
    <t>REL00052</t>
  </si>
  <si>
    <t>REL00053</t>
  </si>
  <si>
    <t>REL00054</t>
  </si>
  <si>
    <t>REL00055</t>
  </si>
  <si>
    <t>REL00056</t>
  </si>
  <si>
    <t>REL00057</t>
  </si>
  <si>
    <t>REL00058</t>
  </si>
  <si>
    <t>REL00059</t>
  </si>
  <si>
    <t>REL00060</t>
  </si>
  <si>
    <t>REL00061</t>
  </si>
  <si>
    <t>REL00062</t>
  </si>
  <si>
    <t>REL00063</t>
  </si>
  <si>
    <t>REL00064</t>
  </si>
  <si>
    <t>REL00065</t>
  </si>
  <si>
    <t>REL00066</t>
  </si>
  <si>
    <t>REL00067</t>
  </si>
  <si>
    <t>REL00068</t>
  </si>
  <si>
    <t>REL00069</t>
  </si>
  <si>
    <t>REL00070</t>
  </si>
  <si>
    <t>REL00071</t>
  </si>
  <si>
    <t>REL00072</t>
  </si>
  <si>
    <t>REL00073</t>
  </si>
  <si>
    <t>REL00074</t>
  </si>
  <si>
    <t>REL00075</t>
  </si>
  <si>
    <t>REL00076</t>
  </si>
  <si>
    <t>REL00077</t>
  </si>
  <si>
    <t>REL00078</t>
  </si>
  <si>
    <t>REL00079</t>
  </si>
  <si>
    <t>REL00080</t>
  </si>
  <si>
    <t>REL00081</t>
  </si>
  <si>
    <t>REL00082</t>
  </si>
  <si>
    <t>REL00083</t>
  </si>
  <si>
    <t>REL00084</t>
  </si>
  <si>
    <t>REL00085</t>
  </si>
  <si>
    <t>REL00086</t>
  </si>
  <si>
    <t>REL00087</t>
  </si>
  <si>
    <t>REL00088</t>
  </si>
  <si>
    <t>REL00089</t>
  </si>
  <si>
    <t>REL00090</t>
  </si>
  <si>
    <t>REL00091</t>
  </si>
  <si>
    <t>REL00092</t>
  </si>
  <si>
    <t>REL00093</t>
  </si>
  <si>
    <t>REL00094</t>
  </si>
  <si>
    <t>REL00095</t>
  </si>
  <si>
    <t>REL00096</t>
  </si>
  <si>
    <t>REL00097</t>
  </si>
  <si>
    <t>REL00098</t>
  </si>
  <si>
    <t>REL00099</t>
  </si>
  <si>
    <t>REL00100</t>
  </si>
  <si>
    <t>REL00101</t>
  </si>
  <si>
    <t>REL00102</t>
  </si>
  <si>
    <t>REL00103</t>
  </si>
  <si>
    <t>REL00104</t>
  </si>
  <si>
    <t>REL00105</t>
  </si>
  <si>
    <t>REL00106</t>
  </si>
  <si>
    <t>REL00107</t>
  </si>
  <si>
    <t>REL00108</t>
  </si>
  <si>
    <t>REL00109</t>
  </si>
  <si>
    <t>REL00110</t>
  </si>
  <si>
    <t>REL00111</t>
  </si>
  <si>
    <t>REL00112</t>
  </si>
  <si>
    <t>REL00113</t>
  </si>
  <si>
    <t>REL00114</t>
  </si>
  <si>
    <t>REL00115</t>
  </si>
  <si>
    <t>REL00116</t>
  </si>
  <si>
    <t>REL00117</t>
  </si>
  <si>
    <t>REL00118</t>
  </si>
  <si>
    <t>REL00119</t>
  </si>
  <si>
    <t>REL00120</t>
  </si>
  <si>
    <t>REL00121</t>
  </si>
  <si>
    <t>REL00122</t>
  </si>
  <si>
    <t>REL00123</t>
  </si>
  <si>
    <t>REL00124</t>
  </si>
  <si>
    <t>REL00125</t>
  </si>
  <si>
    <t>REL00126</t>
  </si>
  <si>
    <t>REL00127</t>
  </si>
  <si>
    <t>REL00128</t>
  </si>
  <si>
    <t>REL00129</t>
  </si>
  <si>
    <t>REL00130</t>
  </si>
  <si>
    <t>REL00131</t>
  </si>
  <si>
    <t>REL00132</t>
  </si>
  <si>
    <t>REL00133</t>
  </si>
  <si>
    <t>REL00134</t>
  </si>
  <si>
    <t>REL00135</t>
  </si>
  <si>
    <t>REL00136</t>
  </si>
  <si>
    <t>REL00137</t>
  </si>
  <si>
    <t>REL00138</t>
  </si>
  <si>
    <t>REL00139</t>
  </si>
  <si>
    <t>REL00140</t>
  </si>
  <si>
    <t>REL00141</t>
  </si>
  <si>
    <t>REL00142</t>
  </si>
  <si>
    <t>REL00143</t>
  </si>
  <si>
    <t>REL00144</t>
  </si>
  <si>
    <t>REL00145</t>
  </si>
  <si>
    <t>REL00146</t>
  </si>
  <si>
    <t>REL00147</t>
  </si>
  <si>
    <t>REL00148</t>
  </si>
  <si>
    <t>REL00149</t>
  </si>
  <si>
    <t>REL00150</t>
  </si>
  <si>
    <t>REL00151</t>
  </si>
  <si>
    <t>REL00152</t>
  </si>
  <si>
    <t>REL00153</t>
  </si>
  <si>
    <t>REL00154</t>
  </si>
  <si>
    <t>REL00155</t>
  </si>
  <si>
    <t>REL00156</t>
  </si>
  <si>
    <t>REL00157</t>
  </si>
  <si>
    <t>REL00158</t>
  </si>
  <si>
    <t>REL00159</t>
  </si>
  <si>
    <t>REL00160</t>
  </si>
  <si>
    <t>REL00161</t>
  </si>
  <si>
    <t>REL00162</t>
  </si>
  <si>
    <t>REL00163</t>
  </si>
  <si>
    <t>REL00164</t>
  </si>
  <si>
    <t>REL00165</t>
  </si>
  <si>
    <t>REL00166</t>
  </si>
  <si>
    <t>REL00167</t>
  </si>
  <si>
    <t>REL00168</t>
  </si>
  <si>
    <t>REL00169</t>
  </si>
  <si>
    <t>REL00170</t>
  </si>
  <si>
    <t>REL00171</t>
  </si>
  <si>
    <t>REL00172</t>
  </si>
  <si>
    <t>REL00173</t>
  </si>
  <si>
    <t>REL00174</t>
  </si>
  <si>
    <t>REL00175</t>
  </si>
  <si>
    <t>REL00176</t>
  </si>
  <si>
    <t>REL00177</t>
  </si>
  <si>
    <t>REL00178</t>
  </si>
  <si>
    <t>REL00179</t>
  </si>
  <si>
    <t>REL00180</t>
  </si>
  <si>
    <t>REL00181</t>
  </si>
  <si>
    <t>REL00182</t>
  </si>
  <si>
    <t>REL00183</t>
  </si>
  <si>
    <t>REL00184</t>
  </si>
  <si>
    <t>REL00185</t>
  </si>
  <si>
    <t>REL00186</t>
  </si>
  <si>
    <t>REL00187</t>
  </si>
  <si>
    <t>REL00188</t>
  </si>
  <si>
    <t>REL00189</t>
  </si>
  <si>
    <t>REL00190</t>
  </si>
  <si>
    <t>REL00191</t>
  </si>
  <si>
    <t>REL00192</t>
  </si>
  <si>
    <t>REL00193</t>
  </si>
  <si>
    <t>REL00194</t>
  </si>
  <si>
    <t>REL00195</t>
  </si>
  <si>
    <t>REL00196</t>
  </si>
  <si>
    <t>REL00197</t>
  </si>
  <si>
    <t>REL00198</t>
  </si>
  <si>
    <t>REL00199</t>
  </si>
  <si>
    <t>REL00200</t>
  </si>
  <si>
    <t>REL00201</t>
  </si>
  <si>
    <t>REL00202</t>
  </si>
  <si>
    <t>REL00203</t>
  </si>
  <si>
    <t>REL00204</t>
  </si>
  <si>
    <t>REL00205</t>
  </si>
  <si>
    <t>REL00206</t>
  </si>
  <si>
    <t>REL00207</t>
  </si>
  <si>
    <t>REL00208</t>
  </si>
  <si>
    <t>REL00209</t>
  </si>
  <si>
    <t>REL00210</t>
  </si>
  <si>
    <t>REL00211</t>
  </si>
  <si>
    <t>REL00212</t>
  </si>
  <si>
    <t>REL00213</t>
  </si>
  <si>
    <t>REL00214</t>
  </si>
  <si>
    <t>REL00215</t>
  </si>
  <si>
    <t>REL00216</t>
  </si>
  <si>
    <t>REL00217</t>
  </si>
  <si>
    <t>REL00218</t>
  </si>
  <si>
    <t>REL00219</t>
  </si>
  <si>
    <t>REL00220</t>
  </si>
  <si>
    <t>REL00221</t>
  </si>
  <si>
    <t>REL00222</t>
  </si>
  <si>
    <t>REL00223</t>
  </si>
  <si>
    <t>REL00224</t>
  </si>
  <si>
    <t>REL00225</t>
  </si>
  <si>
    <t>REL00226</t>
  </si>
  <si>
    <t>REL00227</t>
  </si>
  <si>
    <t>REL00228</t>
  </si>
  <si>
    <t>REL00229</t>
  </si>
  <si>
    <t>REL00230</t>
  </si>
  <si>
    <t>REL00231</t>
  </si>
  <si>
    <t>REL00232</t>
  </si>
  <si>
    <t>REL00233</t>
  </si>
  <si>
    <t>REL00234</t>
  </si>
  <si>
    <t>REL00235</t>
  </si>
  <si>
    <t>REL00236</t>
  </si>
  <si>
    <t>REL00237</t>
  </si>
  <si>
    <t>REL00238</t>
  </si>
  <si>
    <t>REL00239</t>
  </si>
  <si>
    <t>REL00240</t>
  </si>
  <si>
    <t>REL00241</t>
  </si>
  <si>
    <t>REL00242</t>
  </si>
  <si>
    <t>REL00243</t>
  </si>
  <si>
    <t>REL00244</t>
  </si>
  <si>
    <t>REL00245</t>
  </si>
  <si>
    <t>REL00246</t>
  </si>
  <si>
    <t>REL00247</t>
  </si>
  <si>
    <t>REL00248</t>
  </si>
  <si>
    <t>REL00249</t>
  </si>
  <si>
    <t>REL00250</t>
  </si>
  <si>
    <t>REL00251</t>
  </si>
  <si>
    <t>REL00252</t>
  </si>
  <si>
    <t>REL00253</t>
  </si>
  <si>
    <t>REL00254</t>
  </si>
  <si>
    <t>REL00255</t>
  </si>
  <si>
    <t>REL00256</t>
  </si>
  <si>
    <t>REL00257</t>
  </si>
  <si>
    <t>REL00258</t>
  </si>
  <si>
    <t>REL00259</t>
  </si>
  <si>
    <t>REL00260</t>
  </si>
  <si>
    <t>REL00261</t>
  </si>
  <si>
    <t>REL00262</t>
  </si>
  <si>
    <t>REL00263</t>
  </si>
  <si>
    <t>REL00264</t>
  </si>
  <si>
    <t>REL00265</t>
  </si>
  <si>
    <t>REL00266</t>
  </si>
  <si>
    <t>REL00267</t>
  </si>
  <si>
    <t>REL00268</t>
  </si>
  <si>
    <t>REL00269</t>
  </si>
  <si>
    <t>REL00270</t>
  </si>
  <si>
    <t>REL00271</t>
  </si>
  <si>
    <t>REL00272</t>
  </si>
  <si>
    <t>REL00273</t>
  </si>
  <si>
    <t>REL00274</t>
  </si>
  <si>
    <t>REL00275</t>
  </si>
  <si>
    <t>REL00276</t>
  </si>
  <si>
    <t>REL00277</t>
  </si>
  <si>
    <t>REL00278</t>
  </si>
  <si>
    <t>REL00279</t>
  </si>
  <si>
    <t>REL00280</t>
  </si>
  <si>
    <t>REL00281</t>
  </si>
  <si>
    <t>REL00282</t>
  </si>
  <si>
    <t>REL00283</t>
  </si>
  <si>
    <t>REL00284</t>
  </si>
  <si>
    <t>REL00285</t>
  </si>
  <si>
    <t>REL00286</t>
  </si>
  <si>
    <t>REL00287</t>
  </si>
  <si>
    <t>REL00288</t>
  </si>
  <si>
    <t>REL00289</t>
  </si>
  <si>
    <t>REL00290</t>
  </si>
  <si>
    <t>REL00291</t>
  </si>
  <si>
    <t>REL00292</t>
  </si>
  <si>
    <t>REL00293</t>
  </si>
  <si>
    <t>REL00294</t>
  </si>
  <si>
    <t>REL00295</t>
  </si>
  <si>
    <t>REL00296</t>
  </si>
  <si>
    <t>REL00297</t>
  </si>
  <si>
    <t>REL00298</t>
  </si>
  <si>
    <t>REL00299</t>
  </si>
  <si>
    <t>REL00300</t>
  </si>
  <si>
    <t>REL00301</t>
  </si>
  <si>
    <t>REL00302</t>
  </si>
  <si>
    <t>REL00303</t>
  </si>
  <si>
    <t>REL00304</t>
  </si>
  <si>
    <t>REL00305</t>
  </si>
  <si>
    <t>REL00306</t>
  </si>
  <si>
    <t>REL00307</t>
  </si>
  <si>
    <t>REL00308</t>
  </si>
  <si>
    <t>REL00309</t>
  </si>
  <si>
    <t>REL00310</t>
  </si>
  <si>
    <t>REL00311</t>
  </si>
  <si>
    <t>REL00312</t>
  </si>
  <si>
    <t>REL00313</t>
  </si>
  <si>
    <t>REL00314</t>
  </si>
  <si>
    <t>REL00315</t>
  </si>
  <si>
    <t>REL00316</t>
  </si>
  <si>
    <t>REL00317</t>
  </si>
  <si>
    <t>REL00318</t>
  </si>
  <si>
    <t>REL00319</t>
  </si>
  <si>
    <t>REL00320</t>
  </si>
  <si>
    <t>REL00321</t>
  </si>
  <si>
    <t>REL00322</t>
  </si>
  <si>
    <t>REL00323</t>
  </si>
  <si>
    <t>REL00324</t>
  </si>
  <si>
    <t>REL00325</t>
  </si>
  <si>
    <t>REL00326</t>
  </si>
  <si>
    <t>REL00327</t>
  </si>
  <si>
    <t>REL00328</t>
  </si>
  <si>
    <t>REL00329</t>
  </si>
  <si>
    <t>REL00330</t>
  </si>
  <si>
    <t>REL00331</t>
  </si>
  <si>
    <t>REL00332</t>
  </si>
  <si>
    <t>REL00333</t>
  </si>
  <si>
    <t>REL00334</t>
  </si>
  <si>
    <t>REL00335</t>
  </si>
  <si>
    <t>REL00336</t>
  </si>
  <si>
    <t>REL00337</t>
  </si>
  <si>
    <t>REL00338</t>
  </si>
  <si>
    <t>REL00339</t>
  </si>
  <si>
    <t>REL00340</t>
  </si>
  <si>
    <t>REL00341</t>
  </si>
  <si>
    <t>REL00342</t>
  </si>
  <si>
    <t>REL00343</t>
  </si>
  <si>
    <t>REL00344</t>
  </si>
  <si>
    <t>REL00345</t>
  </si>
  <si>
    <t>REL00346</t>
  </si>
  <si>
    <t>REL00347</t>
  </si>
  <si>
    <t>REL00348</t>
  </si>
  <si>
    <t>REL00349</t>
  </si>
  <si>
    <t>REL00350</t>
  </si>
  <si>
    <t>REL00351</t>
  </si>
  <si>
    <t>REL00352</t>
  </si>
  <si>
    <t>REL00353</t>
  </si>
  <si>
    <t>REL00354</t>
  </si>
  <si>
    <t>REL00355</t>
  </si>
  <si>
    <t>REL00356</t>
  </si>
  <si>
    <t>REL00357</t>
  </si>
  <si>
    <t>REL00358</t>
  </si>
  <si>
    <t>REL00359</t>
  </si>
  <si>
    <t>REL00360</t>
  </si>
  <si>
    <t>REL00361</t>
  </si>
  <si>
    <t>REL00362</t>
  </si>
  <si>
    <t>REL00363</t>
  </si>
  <si>
    <t>REL00364</t>
  </si>
  <si>
    <t>REL00365</t>
  </si>
  <si>
    <t>REL00366</t>
  </si>
  <si>
    <t>REL00367</t>
  </si>
  <si>
    <t>REL00368</t>
  </si>
  <si>
    <t>REL00369</t>
  </si>
  <si>
    <t>REL00370</t>
  </si>
  <si>
    <t>REL00371</t>
  </si>
  <si>
    <t>REL00372</t>
  </si>
  <si>
    <t>REL00373</t>
  </si>
  <si>
    <t>REL00374</t>
  </si>
  <si>
    <t>REL00375</t>
  </si>
  <si>
    <t>REL00376</t>
  </si>
  <si>
    <t>REL00377</t>
  </si>
  <si>
    <t>REL00378</t>
  </si>
  <si>
    <t>REL00379</t>
  </si>
  <si>
    <t>REL00380</t>
  </si>
  <si>
    <t>REL00381</t>
  </si>
  <si>
    <t>REL00382</t>
  </si>
  <si>
    <t>REL00383</t>
  </si>
  <si>
    <t>REL00384</t>
  </si>
  <si>
    <t>REL00385</t>
  </si>
  <si>
    <t>REL00386</t>
  </si>
  <si>
    <t>REL00387</t>
  </si>
  <si>
    <t>REL00388</t>
  </si>
  <si>
    <t>REL00389</t>
  </si>
  <si>
    <t>REL00390</t>
  </si>
  <si>
    <t>REL00391</t>
  </si>
  <si>
    <t>REL00392</t>
  </si>
  <si>
    <t>REL00393</t>
  </si>
  <si>
    <t>REL00394</t>
  </si>
  <si>
    <t>REL00395</t>
  </si>
  <si>
    <t>REL00396</t>
  </si>
  <si>
    <t>REL00397</t>
  </si>
  <si>
    <t>REL00398</t>
  </si>
  <si>
    <t>REL00399</t>
  </si>
  <si>
    <t>REL00400</t>
  </si>
  <si>
    <t>REL00401</t>
  </si>
  <si>
    <t>REL00402</t>
  </si>
  <si>
    <t>REL00403</t>
  </si>
  <si>
    <t>REL00404</t>
  </si>
  <si>
    <t>REL00405</t>
  </si>
  <si>
    <t>REL00406</t>
  </si>
  <si>
    <t>REL00407</t>
  </si>
  <si>
    <t>REL00408</t>
  </si>
  <si>
    <t>REL00409</t>
  </si>
  <si>
    <t>REL00410</t>
  </si>
  <si>
    <t>REL00411</t>
  </si>
  <si>
    <t>REL00412</t>
  </si>
  <si>
    <t>REL00413</t>
  </si>
  <si>
    <t>REL00414</t>
  </si>
  <si>
    <t>REL00415</t>
  </si>
  <si>
    <t>REL00416</t>
  </si>
  <si>
    <t>REL00417</t>
  </si>
  <si>
    <t>REL00418</t>
  </si>
  <si>
    <t>REL00419</t>
  </si>
  <si>
    <t>REL00420</t>
  </si>
  <si>
    <t>REL00421</t>
  </si>
  <si>
    <t>REL00422</t>
  </si>
  <si>
    <t>REL00423</t>
  </si>
  <si>
    <t>REL00424</t>
  </si>
  <si>
    <t>REL00425</t>
  </si>
  <si>
    <t>REL00426</t>
  </si>
  <si>
    <t>REL00427</t>
  </si>
  <si>
    <t>REL00428</t>
  </si>
  <si>
    <t>REL00429</t>
  </si>
  <si>
    <t>REL00430</t>
  </si>
  <si>
    <t>REL00431</t>
  </si>
  <si>
    <t>REL00432</t>
  </si>
  <si>
    <t>REL00433</t>
  </si>
  <si>
    <t>REL00434</t>
  </si>
  <si>
    <t>REL00435</t>
  </si>
  <si>
    <t>REL00436</t>
  </si>
  <si>
    <t>REL00437</t>
  </si>
  <si>
    <t>REL00438</t>
  </si>
  <si>
    <t>REL00439</t>
  </si>
  <si>
    <t>REL00440</t>
  </si>
  <si>
    <t>REL00441</t>
  </si>
  <si>
    <t>REL00442</t>
  </si>
  <si>
    <t>REL00443</t>
  </si>
  <si>
    <t>REL00444</t>
  </si>
  <si>
    <t>REL00445</t>
  </si>
  <si>
    <t>REL00446</t>
  </si>
  <si>
    <t>REL00447</t>
  </si>
  <si>
    <t>REL00448</t>
  </si>
  <si>
    <t>REL00449</t>
  </si>
  <si>
    <t>REL00450</t>
  </si>
  <si>
    <t>REL00451</t>
  </si>
  <si>
    <t>REL00452</t>
  </si>
  <si>
    <t>REL00453</t>
  </si>
  <si>
    <t>REL00454</t>
  </si>
  <si>
    <t>REL00455</t>
  </si>
  <si>
    <t>REL00456</t>
  </si>
  <si>
    <t>REL00457</t>
  </si>
  <si>
    <t>REL00458</t>
  </si>
  <si>
    <t>REL00459</t>
  </si>
  <si>
    <t>REL00460</t>
  </si>
  <si>
    <t>REL00461</t>
  </si>
  <si>
    <t>REL00462</t>
  </si>
  <si>
    <t>REL00463</t>
  </si>
  <si>
    <t>REL00464</t>
  </si>
  <si>
    <t>REL00465</t>
  </si>
  <si>
    <t>REL00466</t>
  </si>
  <si>
    <t>REL00467</t>
  </si>
  <si>
    <t>REL00468</t>
  </si>
  <si>
    <t>REL00469</t>
  </si>
  <si>
    <t>REL00470</t>
  </si>
  <si>
    <t>REL00471</t>
  </si>
  <si>
    <t>REL00472</t>
  </si>
  <si>
    <t>REL00473</t>
  </si>
  <si>
    <t>REL00474</t>
  </si>
  <si>
    <t>REL00475</t>
  </si>
  <si>
    <t>REL00476</t>
  </si>
  <si>
    <t>REL00477</t>
  </si>
  <si>
    <t>REL00478</t>
  </si>
  <si>
    <t>REL00479</t>
  </si>
  <si>
    <t>REL00480</t>
  </si>
  <si>
    <t>REL00481</t>
  </si>
  <si>
    <t>REL00482</t>
  </si>
  <si>
    <t>REL00483</t>
  </si>
  <si>
    <t>REL00484</t>
  </si>
  <si>
    <t>REL00485</t>
  </si>
  <si>
    <t>REL00486</t>
  </si>
  <si>
    <t>REL00487</t>
  </si>
  <si>
    <t>REL00488</t>
  </si>
  <si>
    <t>REL00489</t>
  </si>
  <si>
    <t>REL00490</t>
  </si>
  <si>
    <t>REL00491</t>
  </si>
  <si>
    <t>REL00492</t>
  </si>
  <si>
    <t>REL00493</t>
  </si>
  <si>
    <t>REL00494</t>
  </si>
  <si>
    <t>REL00495</t>
  </si>
  <si>
    <t>REL00496</t>
  </si>
  <si>
    <t>REL00497</t>
  </si>
  <si>
    <t>REL00498</t>
  </si>
  <si>
    <t>REL00499</t>
  </si>
  <si>
    <t>REL00500</t>
  </si>
  <si>
    <t>REL00501</t>
  </si>
  <si>
    <t>REL00502</t>
  </si>
  <si>
    <t>REL00503</t>
  </si>
  <si>
    <t>REL00504</t>
  </si>
  <si>
    <t>REL00505</t>
  </si>
  <si>
    <t>REL00506</t>
  </si>
  <si>
    <t>REL00507</t>
  </si>
  <si>
    <t>REL00508</t>
  </si>
  <si>
    <t>REL00509</t>
  </si>
  <si>
    <t>REL00510</t>
  </si>
  <si>
    <t>REL00511</t>
  </si>
  <si>
    <t>REL00512</t>
  </si>
  <si>
    <t>REL00513</t>
  </si>
  <si>
    <t>REL00514</t>
  </si>
  <si>
    <t>REL00515</t>
  </si>
  <si>
    <t>REL00516</t>
  </si>
  <si>
    <t>REL00517</t>
  </si>
  <si>
    <t>REL00518</t>
  </si>
  <si>
    <t>REL00519</t>
  </si>
  <si>
    <t>REL00520</t>
  </si>
  <si>
    <t>REL00521</t>
  </si>
  <si>
    <t>REL00522</t>
  </si>
  <si>
    <t>REL00523</t>
  </si>
  <si>
    <t>REL00524</t>
  </si>
  <si>
    <t>REL00525</t>
  </si>
  <si>
    <t>REL00526</t>
  </si>
  <si>
    <t>REL00527</t>
  </si>
  <si>
    <t>REL00528</t>
  </si>
  <si>
    <t>REL00529</t>
  </si>
  <si>
    <t>REL00530</t>
  </si>
  <si>
    <t>REL00531</t>
  </si>
  <si>
    <t>REL00532</t>
  </si>
  <si>
    <t>REL00533</t>
  </si>
  <si>
    <t>REL00534</t>
  </si>
  <si>
    <t>REL00535</t>
  </si>
  <si>
    <t>REL00536</t>
  </si>
  <si>
    <t>REL00537</t>
  </si>
  <si>
    <t>REL00538</t>
  </si>
  <si>
    <t>REL00539</t>
  </si>
  <si>
    <t>REL00540</t>
  </si>
  <si>
    <t>REL00541</t>
  </si>
  <si>
    <t>REL00542</t>
  </si>
  <si>
    <t>REL00543</t>
  </si>
  <si>
    <t>REL00544</t>
  </si>
  <si>
    <t>REL00545</t>
  </si>
  <si>
    <t>REL00546</t>
  </si>
  <si>
    <t>REL00547</t>
  </si>
  <si>
    <t>REL00548</t>
  </si>
  <si>
    <t>REL00549</t>
  </si>
  <si>
    <t>REL00550</t>
  </si>
  <si>
    <t>REL00551</t>
  </si>
  <si>
    <t>REL00552</t>
  </si>
  <si>
    <t>REL00553</t>
  </si>
  <si>
    <t>REL00554</t>
  </si>
  <si>
    <t>REL00555</t>
  </si>
  <si>
    <t>REL00556</t>
  </si>
  <si>
    <t>REL00557</t>
  </si>
  <si>
    <t>REL00558</t>
  </si>
  <si>
    <t>REL00559</t>
  </si>
  <si>
    <t>REL00560</t>
  </si>
  <si>
    <t>REL00561</t>
  </si>
  <si>
    <t>REL00562</t>
  </si>
  <si>
    <t>REL00563</t>
  </si>
  <si>
    <t>REL00564</t>
  </si>
  <si>
    <t>REL00565</t>
  </si>
  <si>
    <t>REL00566</t>
  </si>
  <si>
    <t>REL00567</t>
  </si>
  <si>
    <t>REL00568</t>
  </si>
  <si>
    <t>REL00569</t>
  </si>
  <si>
    <t>REL00570</t>
  </si>
  <si>
    <t>REL00571</t>
  </si>
  <si>
    <t>REL00572</t>
  </si>
  <si>
    <t>REL00573</t>
  </si>
  <si>
    <t>REL00574</t>
  </si>
  <si>
    <t>REL00575</t>
  </si>
  <si>
    <t>REL00576</t>
  </si>
  <si>
    <t>REL00577</t>
  </si>
  <si>
    <t>REL00578</t>
  </si>
  <si>
    <t>REL00579</t>
  </si>
  <si>
    <t>REL00580</t>
  </si>
  <si>
    <t>REL00581</t>
  </si>
  <si>
    <t>REL00582</t>
  </si>
  <si>
    <t>REL00583</t>
  </si>
  <si>
    <t>REL00584</t>
  </si>
  <si>
    <t>REL00585</t>
  </si>
  <si>
    <t>REL00586</t>
  </si>
  <si>
    <t>REL00587</t>
  </si>
  <si>
    <t>REL00588</t>
  </si>
  <si>
    <t>REL00589</t>
  </si>
  <si>
    <t>REL00590</t>
  </si>
  <si>
    <t>REL00591</t>
  </si>
  <si>
    <t>REL00592</t>
  </si>
  <si>
    <t>REL00593</t>
  </si>
  <si>
    <t>REL00594</t>
  </si>
  <si>
    <t>REL00595</t>
  </si>
  <si>
    <t>REL00596</t>
  </si>
  <si>
    <t>REL00597</t>
  </si>
  <si>
    <t>REL00598</t>
  </si>
  <si>
    <t>REL00599</t>
  </si>
  <si>
    <t>REL00600</t>
  </si>
  <si>
    <t>REL00601</t>
  </si>
  <si>
    <t>REL00602</t>
  </si>
  <si>
    <t>REL00603</t>
  </si>
  <si>
    <t>REL00604</t>
  </si>
  <si>
    <t>REL00605</t>
  </si>
  <si>
    <t>REL00606</t>
  </si>
  <si>
    <t>REL00607</t>
  </si>
  <si>
    <t>REL00608</t>
  </si>
  <si>
    <t>REL00609</t>
  </si>
  <si>
    <t>REL00610</t>
  </si>
  <si>
    <t>REL00611</t>
  </si>
  <si>
    <t>REL00612</t>
  </si>
  <si>
    <t>REL00613</t>
  </si>
  <si>
    <t>REL00614</t>
  </si>
  <si>
    <t>REL00615</t>
  </si>
  <si>
    <t>REL00616</t>
  </si>
  <si>
    <t>REL00617</t>
  </si>
  <si>
    <t>REL00618</t>
  </si>
  <si>
    <t>REL00619</t>
  </si>
  <si>
    <t>REL00620</t>
  </si>
  <si>
    <t>REL00621</t>
  </si>
  <si>
    <t>REL00622</t>
  </si>
  <si>
    <t>REL00623</t>
  </si>
  <si>
    <t>REL00624</t>
  </si>
  <si>
    <t>REL00625</t>
  </si>
  <si>
    <t>REL00626</t>
  </si>
  <si>
    <t>REL00627</t>
  </si>
  <si>
    <t>REL00628</t>
  </si>
  <si>
    <t>REL00629</t>
  </si>
  <si>
    <t>REL00630</t>
  </si>
  <si>
    <t>REL00631</t>
  </si>
  <si>
    <t>REL00632</t>
  </si>
  <si>
    <t>REL00633</t>
  </si>
  <si>
    <t>REL00634</t>
  </si>
  <si>
    <t>REL00635</t>
  </si>
  <si>
    <t>REL00636</t>
  </si>
  <si>
    <t>REL00637</t>
  </si>
  <si>
    <t>REL00638</t>
  </si>
  <si>
    <t>REL00639</t>
  </si>
  <si>
    <t>REL00640</t>
  </si>
  <si>
    <t>REL00641</t>
  </si>
  <si>
    <t>REL00642</t>
  </si>
  <si>
    <t>REL00643</t>
  </si>
  <si>
    <t>REL00644</t>
  </si>
  <si>
    <t>REL00645</t>
  </si>
  <si>
    <t>REL00646</t>
  </si>
  <si>
    <t>REL00647</t>
  </si>
  <si>
    <t>REL00648</t>
  </si>
  <si>
    <t>REL00649</t>
  </si>
  <si>
    <t>REL00650</t>
  </si>
  <si>
    <t>REL00651</t>
  </si>
  <si>
    <t>REL00652</t>
  </si>
  <si>
    <t>REL00653</t>
  </si>
  <si>
    <t>REL00654</t>
  </si>
  <si>
    <t>REL00655</t>
  </si>
  <si>
    <t>REL00656</t>
  </si>
  <si>
    <t>REL00657</t>
  </si>
  <si>
    <t>REL00658</t>
  </si>
  <si>
    <t>REL00659</t>
  </si>
  <si>
    <t>REL00660</t>
  </si>
  <si>
    <t>REL00661</t>
  </si>
  <si>
    <t>REL00662</t>
  </si>
  <si>
    <t>REL00663</t>
  </si>
  <si>
    <t>REL00664</t>
  </si>
  <si>
    <t>REL00665</t>
  </si>
  <si>
    <t>REL00666</t>
  </si>
  <si>
    <t>REL00667</t>
  </si>
  <si>
    <t>REL00668</t>
  </si>
  <si>
    <t>REL00669</t>
  </si>
  <si>
    <t>REL00670</t>
  </si>
  <si>
    <t>REL00671</t>
  </si>
  <si>
    <t>REL00672</t>
  </si>
  <si>
    <t>REL00673</t>
  </si>
  <si>
    <t>REL00674</t>
  </si>
  <si>
    <t>REL00675</t>
  </si>
  <si>
    <t>REL00676</t>
  </si>
  <si>
    <t>REL00677</t>
  </si>
  <si>
    <t>REL00678</t>
  </si>
  <si>
    <t>REL00679</t>
  </si>
  <si>
    <t>REL00680</t>
  </si>
  <si>
    <t>REL00681</t>
  </si>
  <si>
    <t>REL00682</t>
  </si>
  <si>
    <t>REL00683</t>
  </si>
  <si>
    <t>REL00684</t>
  </si>
  <si>
    <t>REL00685</t>
  </si>
  <si>
    <t>REL00686</t>
  </si>
  <si>
    <t>REL00687</t>
  </si>
  <si>
    <t>REL00688</t>
  </si>
  <si>
    <t>REL00689</t>
  </si>
  <si>
    <t>REL00690</t>
  </si>
  <si>
    <t>REL00691</t>
  </si>
  <si>
    <t>REL00692</t>
  </si>
  <si>
    <t>REL00693</t>
  </si>
  <si>
    <t>REL00694</t>
  </si>
  <si>
    <t>REL00695</t>
  </si>
  <si>
    <t>REL00696</t>
  </si>
  <si>
    <t>REL00697</t>
  </si>
  <si>
    <t>REL00698</t>
  </si>
  <si>
    <t>REL00699</t>
  </si>
  <si>
    <t>REL00700</t>
  </si>
  <si>
    <t>REL00701</t>
  </si>
  <si>
    <t>REL00702</t>
  </si>
  <si>
    <t>REL00703</t>
  </si>
  <si>
    <t>REL00704</t>
  </si>
  <si>
    <t>REL00705</t>
  </si>
  <si>
    <t>REL00706</t>
  </si>
  <si>
    <t>REL00707</t>
  </si>
  <si>
    <t>REL00708</t>
  </si>
  <si>
    <t>REL00709</t>
  </si>
  <si>
    <t>REL00710</t>
  </si>
  <si>
    <t>REL00711</t>
  </si>
  <si>
    <t>REL00712</t>
  </si>
  <si>
    <t>REL00713</t>
  </si>
  <si>
    <t>REL00714</t>
  </si>
  <si>
    <t>REL00715</t>
  </si>
  <si>
    <t>REL00716</t>
  </si>
  <si>
    <t>REL00717</t>
  </si>
  <si>
    <t>REL00718</t>
  </si>
  <si>
    <t>REL00719</t>
  </si>
  <si>
    <t>REL00720</t>
  </si>
  <si>
    <t>REL00721</t>
  </si>
  <si>
    <t>REL00722</t>
  </si>
  <si>
    <t>REL00723</t>
  </si>
  <si>
    <t>REL00724</t>
  </si>
  <si>
    <t>REL00725</t>
  </si>
  <si>
    <t>REL00726</t>
  </si>
  <si>
    <t>REL00727</t>
  </si>
  <si>
    <t>REL00728</t>
  </si>
  <si>
    <t>REL00729</t>
  </si>
  <si>
    <t>REL00730</t>
  </si>
  <si>
    <t>REL00731</t>
  </si>
  <si>
    <t>REL00732</t>
  </si>
  <si>
    <t>REL00733</t>
  </si>
  <si>
    <t>REL00734</t>
  </si>
  <si>
    <t>REL00735</t>
  </si>
  <si>
    <t>REL00736</t>
  </si>
  <si>
    <t>REL00737</t>
  </si>
  <si>
    <t>REL00738</t>
  </si>
  <si>
    <t>REL00739</t>
  </si>
  <si>
    <t>REL00740</t>
  </si>
  <si>
    <t>REL00741</t>
  </si>
  <si>
    <t>REL00742</t>
  </si>
  <si>
    <t>REL00743</t>
  </si>
  <si>
    <t>REL00744</t>
  </si>
  <si>
    <t>REL00745</t>
  </si>
  <si>
    <t>REL00746</t>
  </si>
  <si>
    <t>REL00747</t>
  </si>
  <si>
    <t>REL00748</t>
  </si>
  <si>
    <t>REL00749</t>
  </si>
  <si>
    <t>REL00750</t>
  </si>
  <si>
    <t>REL00751</t>
  </si>
  <si>
    <t>REL00752</t>
  </si>
  <si>
    <t>REL00753</t>
  </si>
  <si>
    <t>REL00754</t>
  </si>
  <si>
    <t>REL00755</t>
  </si>
  <si>
    <t>REL00756</t>
  </si>
  <si>
    <t>REL00757</t>
  </si>
  <si>
    <t>REL00758</t>
  </si>
  <si>
    <t>REL00759</t>
  </si>
  <si>
    <t>REL00760</t>
  </si>
  <si>
    <t>REL00761</t>
  </si>
  <si>
    <t>REL00762</t>
  </si>
  <si>
    <t>REL00763</t>
  </si>
  <si>
    <t>REL00764</t>
  </si>
  <si>
    <t>REL00765</t>
  </si>
  <si>
    <t>REL00766</t>
  </si>
  <si>
    <t>REL00767</t>
  </si>
  <si>
    <t>REL00768</t>
  </si>
  <si>
    <t>REL00769</t>
  </si>
  <si>
    <t>REL00770</t>
  </si>
  <si>
    <t>REL00771</t>
  </si>
  <si>
    <t>REL00772</t>
  </si>
  <si>
    <t>REL00773</t>
  </si>
  <si>
    <t>REL00774</t>
  </si>
  <si>
    <t>REL00775</t>
  </si>
  <si>
    <t>REL00776</t>
  </si>
  <si>
    <t>REL00777</t>
  </si>
  <si>
    <t>REL00778</t>
  </si>
  <si>
    <t>REL00779</t>
  </si>
  <si>
    <t>REL00780</t>
  </si>
  <si>
    <t>REL00781</t>
  </si>
  <si>
    <t>REL00782</t>
  </si>
  <si>
    <t>REL00783</t>
  </si>
  <si>
    <t>REL00784</t>
  </si>
  <si>
    <t>REL00785</t>
  </si>
  <si>
    <t>REL00786</t>
  </si>
  <si>
    <t>REL00787</t>
  </si>
  <si>
    <t>REL00788</t>
  </si>
  <si>
    <t>REL00789</t>
  </si>
  <si>
    <t>REL00790</t>
  </si>
  <si>
    <t>REL00791</t>
  </si>
  <si>
    <t>REL00792</t>
  </si>
  <si>
    <t>REL00793</t>
  </si>
  <si>
    <t>REL00794</t>
  </si>
  <si>
    <t>REL00795</t>
  </si>
  <si>
    <t>REL00796</t>
  </si>
  <si>
    <t>REL00797</t>
  </si>
  <si>
    <t>REL00798</t>
  </si>
  <si>
    <t>REL00799</t>
  </si>
  <si>
    <t>REL00800</t>
  </si>
  <si>
    <t>REL00801</t>
  </si>
  <si>
    <t>REL00802</t>
  </si>
  <si>
    <t>REL00803</t>
  </si>
  <si>
    <t>REL00804</t>
  </si>
  <si>
    <t>REL00805</t>
  </si>
  <si>
    <t>REL00806</t>
  </si>
  <si>
    <t>REL00807</t>
  </si>
  <si>
    <t>REL00808</t>
  </si>
  <si>
    <t>REL00809</t>
  </si>
  <si>
    <t>REL00810</t>
  </si>
  <si>
    <t>REL00811</t>
  </si>
  <si>
    <t>REL00812</t>
  </si>
  <si>
    <t>REL00813</t>
  </si>
  <si>
    <t>REL00814</t>
  </si>
  <si>
    <t>REL00815</t>
  </si>
  <si>
    <t>REL00816</t>
  </si>
  <si>
    <t>REL00817</t>
  </si>
  <si>
    <t>REL00818</t>
  </si>
  <si>
    <t>REL00819</t>
  </si>
  <si>
    <t>REL00820</t>
  </si>
  <si>
    <t>REL00821</t>
  </si>
  <si>
    <t>REL00822</t>
  </si>
  <si>
    <t>REL00823</t>
  </si>
  <si>
    <t>REL00824</t>
  </si>
  <si>
    <t>REL00825</t>
  </si>
  <si>
    <t>REL00826</t>
  </si>
  <si>
    <t>REL00827</t>
  </si>
  <si>
    <t>REL00828</t>
  </si>
  <si>
    <t>REL00829</t>
  </si>
  <si>
    <t>REL00830</t>
  </si>
  <si>
    <t>REL00831</t>
  </si>
  <si>
    <t>REL00832</t>
  </si>
  <si>
    <t>REL00833</t>
  </si>
  <si>
    <t>REL00834</t>
  </si>
  <si>
    <t>REL00835</t>
  </si>
  <si>
    <t>REL00836</t>
  </si>
  <si>
    <t>REL00837</t>
  </si>
  <si>
    <t>REL00838</t>
  </si>
  <si>
    <t>REL00839</t>
  </si>
  <si>
    <t>REL00840</t>
  </si>
  <si>
    <t>REL00841</t>
  </si>
  <si>
    <t>REL00842</t>
  </si>
  <si>
    <t>REL00843</t>
  </si>
  <si>
    <t>REL00844</t>
  </si>
  <si>
    <t>REL00845</t>
  </si>
  <si>
    <t>REL00846</t>
  </si>
  <si>
    <t>REL00847</t>
  </si>
  <si>
    <t>REL00848</t>
  </si>
  <si>
    <t>REL00849</t>
  </si>
  <si>
    <t>REL00850</t>
  </si>
  <si>
    <t>REL00851</t>
  </si>
  <si>
    <t>REL00852</t>
  </si>
  <si>
    <t>REL00853</t>
  </si>
  <si>
    <t>REL00854</t>
  </si>
  <si>
    <t>REL00855</t>
  </si>
  <si>
    <t>REL00856</t>
  </si>
  <si>
    <t>REL00857</t>
  </si>
  <si>
    <t>REL00858</t>
  </si>
  <si>
    <t>REL00859</t>
  </si>
  <si>
    <t>REL00860</t>
  </si>
  <si>
    <t>REL00861</t>
  </si>
  <si>
    <t>REL00862</t>
  </si>
  <si>
    <t>REL00863</t>
  </si>
  <si>
    <t>REL00864</t>
  </si>
  <si>
    <t>REL00865</t>
  </si>
  <si>
    <t>REL00866</t>
  </si>
  <si>
    <t>REL00867</t>
  </si>
  <si>
    <t>REL00868</t>
  </si>
  <si>
    <t>REL00869</t>
  </si>
  <si>
    <t>REL00870</t>
  </si>
  <si>
    <t>REL00871</t>
  </si>
  <si>
    <t>REL00872</t>
  </si>
  <si>
    <t>REL00873</t>
  </si>
  <si>
    <t>REL00874</t>
  </si>
  <si>
    <t>REL00875</t>
  </si>
  <si>
    <t>REL00876</t>
  </si>
  <si>
    <t>REL00877</t>
  </si>
  <si>
    <t>REL00878</t>
  </si>
  <si>
    <t>REL00879</t>
  </si>
  <si>
    <t>REL00880</t>
  </si>
  <si>
    <t>REL00881</t>
  </si>
  <si>
    <t>REL00882</t>
  </si>
  <si>
    <t>REL00883</t>
  </si>
  <si>
    <t>REL00884</t>
  </si>
  <si>
    <t>REL00885</t>
  </si>
  <si>
    <t>REL00886</t>
  </si>
  <si>
    <t>REL00887</t>
  </si>
  <si>
    <t>REL00888</t>
  </si>
  <si>
    <t>REL00889</t>
  </si>
  <si>
    <t>REL00890</t>
  </si>
  <si>
    <t>REL00891</t>
  </si>
  <si>
    <t>REL00892</t>
  </si>
  <si>
    <t>REL00893</t>
  </si>
  <si>
    <t>REL00894</t>
  </si>
  <si>
    <t>REL00895</t>
  </si>
  <si>
    <t>REL00896</t>
  </si>
  <si>
    <t>REL00897</t>
  </si>
  <si>
    <t>REL00898</t>
  </si>
  <si>
    <t>REL00899</t>
  </si>
  <si>
    <t>REL00900</t>
  </si>
  <si>
    <t>REL00901</t>
  </si>
  <si>
    <t>REL00902</t>
  </si>
  <si>
    <t>REL00903</t>
  </si>
  <si>
    <t>REL00904</t>
  </si>
  <si>
    <t>REL00905</t>
  </si>
  <si>
    <t>REL00906</t>
  </si>
  <si>
    <t>REL00907</t>
  </si>
  <si>
    <t>REL00908</t>
  </si>
  <si>
    <t>REL00909</t>
  </si>
  <si>
    <t>REL00910</t>
  </si>
  <si>
    <t>REL00911</t>
  </si>
  <si>
    <t>REL00912</t>
  </si>
  <si>
    <t>REL00913</t>
  </si>
  <si>
    <t>REL00914</t>
  </si>
  <si>
    <t>REL00915</t>
  </si>
  <si>
    <t>REL00916</t>
  </si>
  <si>
    <t>REL00917</t>
  </si>
  <si>
    <t>REL00918</t>
  </si>
  <si>
    <t>REL00919</t>
  </si>
  <si>
    <t>REL00920</t>
  </si>
  <si>
    <t>REL00921</t>
  </si>
  <si>
    <t>REL00922</t>
  </si>
  <si>
    <t>REL00923</t>
  </si>
  <si>
    <t>REL00924</t>
  </si>
  <si>
    <t>REL00925</t>
  </si>
  <si>
    <t>REL00926</t>
  </si>
  <si>
    <t>REL00927</t>
  </si>
  <si>
    <t>REL00928</t>
  </si>
  <si>
    <t>REL00929</t>
  </si>
  <si>
    <t>REL00930</t>
  </si>
  <si>
    <t>REL00931</t>
  </si>
  <si>
    <t>REL00932</t>
  </si>
  <si>
    <t>REL00933</t>
  </si>
  <si>
    <t>REL00934</t>
  </si>
  <si>
    <t>REL00935</t>
  </si>
  <si>
    <t>REL00936</t>
  </si>
  <si>
    <t>REL00937</t>
  </si>
  <si>
    <t>REL00938</t>
  </si>
  <si>
    <t>REL00939</t>
  </si>
  <si>
    <t>REL00940</t>
  </si>
  <si>
    <t>REL00941</t>
  </si>
  <si>
    <t>REL00942</t>
  </si>
  <si>
    <t>REL00943</t>
  </si>
  <si>
    <t>REL00944</t>
  </si>
  <si>
    <t>REL00945</t>
  </si>
  <si>
    <t>REL00946</t>
  </si>
  <si>
    <t>REL00947</t>
  </si>
  <si>
    <t>REL00948</t>
  </si>
  <si>
    <t>REL00949</t>
  </si>
  <si>
    <t>REL00950</t>
  </si>
  <si>
    <t>REL00951</t>
  </si>
  <si>
    <t>REL00952</t>
  </si>
  <si>
    <t>REL00953</t>
  </si>
  <si>
    <t>REL00954</t>
  </si>
  <si>
    <t>REL00955</t>
  </si>
  <si>
    <t>REL00956</t>
  </si>
  <si>
    <t>REL00957</t>
  </si>
  <si>
    <t>REL00958</t>
  </si>
  <si>
    <t>REL00959</t>
  </si>
  <si>
    <t>REL00960</t>
  </si>
  <si>
    <t>REL00961</t>
  </si>
  <si>
    <t>REL00962</t>
  </si>
  <si>
    <t>REL00963</t>
  </si>
  <si>
    <t>REL00964</t>
  </si>
  <si>
    <t>REL00965</t>
  </si>
  <si>
    <t>REL00966</t>
  </si>
  <si>
    <t>REL00967</t>
  </si>
  <si>
    <t>REL00968</t>
  </si>
  <si>
    <t>REL00969</t>
  </si>
  <si>
    <t>REL00970</t>
  </si>
  <si>
    <t>REL00971</t>
  </si>
  <si>
    <t>REL00972</t>
  </si>
  <si>
    <t>REL00973</t>
  </si>
  <si>
    <t>REL00974</t>
  </si>
  <si>
    <t>REL00975</t>
  </si>
  <si>
    <t>REL00976</t>
  </si>
  <si>
    <t>REL00977</t>
  </si>
  <si>
    <t>REL00978</t>
  </si>
  <si>
    <t>REL00979</t>
  </si>
  <si>
    <t>REL00980</t>
  </si>
  <si>
    <t>REL00981</t>
  </si>
  <si>
    <t>REL00982</t>
  </si>
  <si>
    <t>REL00983</t>
  </si>
  <si>
    <t>REL00984</t>
  </si>
  <si>
    <t>REL00985</t>
  </si>
  <si>
    <t>REL00986</t>
  </si>
  <si>
    <t>REL00987</t>
  </si>
  <si>
    <t>REL00988</t>
  </si>
  <si>
    <t>REL00989</t>
  </si>
  <si>
    <t>REL00990</t>
  </si>
  <si>
    <t>REL00991</t>
  </si>
  <si>
    <t>REL00992</t>
  </si>
  <si>
    <t>REL00993</t>
  </si>
  <si>
    <t>REL00994</t>
  </si>
  <si>
    <t>REL00995</t>
  </si>
  <si>
    <t>REL00996</t>
  </si>
  <si>
    <t>REL00997</t>
  </si>
  <si>
    <t>REL00998</t>
  </si>
  <si>
    <t>REL00999</t>
  </si>
  <si>
    <t>REL01000</t>
  </si>
  <si>
    <t>REL01001</t>
  </si>
  <si>
    <t>REL01002</t>
  </si>
  <si>
    <t>REL01003</t>
  </si>
  <si>
    <t>REL01004</t>
  </si>
  <si>
    <t>REL01005</t>
  </si>
  <si>
    <t>REL01006</t>
  </si>
  <si>
    <t>REL01007</t>
  </si>
  <si>
    <t>REL01008</t>
  </si>
  <si>
    <t>REL01009</t>
  </si>
  <si>
    <t>REL01010</t>
  </si>
  <si>
    <t>REL01011</t>
  </si>
  <si>
    <t>REL01012</t>
  </si>
  <si>
    <t>REL01013</t>
  </si>
  <si>
    <t>REL01014</t>
  </si>
  <si>
    <t>REL01015</t>
  </si>
  <si>
    <t>REL01016</t>
  </si>
  <si>
    <t>REL01017</t>
  </si>
  <si>
    <t>REL01018</t>
  </si>
  <si>
    <t>REL01019</t>
  </si>
  <si>
    <t>REL01020</t>
  </si>
  <si>
    <t>REL01021</t>
  </si>
  <si>
    <t>REL01022</t>
  </si>
  <si>
    <t>REL01023</t>
  </si>
  <si>
    <t>REL01024</t>
  </si>
  <si>
    <t>REL01025</t>
  </si>
  <si>
    <t>REL01026</t>
  </si>
  <si>
    <t>REL01027</t>
  </si>
  <si>
    <t>REL01028</t>
  </si>
  <si>
    <t>REL01029</t>
  </si>
  <si>
    <t>REL01030</t>
  </si>
  <si>
    <t>REL01031</t>
  </si>
  <si>
    <t>REL01032</t>
  </si>
  <si>
    <t>REL01033</t>
  </si>
  <si>
    <t>REL01034</t>
  </si>
  <si>
    <t>REL01035</t>
  </si>
  <si>
    <t>REL01036</t>
  </si>
  <si>
    <t>REL01037</t>
  </si>
  <si>
    <t>REL01038</t>
  </si>
  <si>
    <t>REL01039</t>
  </si>
  <si>
    <t>REL01040</t>
  </si>
  <si>
    <t>REL01041</t>
  </si>
  <si>
    <t>REL01042</t>
  </si>
  <si>
    <t>REL01043</t>
  </si>
  <si>
    <t>REL01044</t>
  </si>
  <si>
    <t>REL01045</t>
  </si>
  <si>
    <t>REL01046</t>
  </si>
  <si>
    <t>REL01047</t>
  </si>
  <si>
    <t>REL01048</t>
  </si>
  <si>
    <t>REL01049</t>
  </si>
  <si>
    <t>REL01050</t>
  </si>
  <si>
    <t>REL01051</t>
  </si>
  <si>
    <t>REL01052</t>
  </si>
  <si>
    <t>REL01053</t>
  </si>
  <si>
    <t>REL01054</t>
  </si>
  <si>
    <t>REL01055</t>
  </si>
  <si>
    <t>REL01056</t>
  </si>
  <si>
    <t>REL01057</t>
  </si>
  <si>
    <t>REL01058</t>
  </si>
  <si>
    <t>REL01059</t>
  </si>
  <si>
    <t>REL01060</t>
  </si>
  <si>
    <t>REL01061</t>
  </si>
  <si>
    <t>REL01062</t>
  </si>
  <si>
    <t>REL01063</t>
  </si>
  <si>
    <t>REL01064</t>
  </si>
  <si>
    <t>REL01065</t>
  </si>
  <si>
    <t>REL01066</t>
  </si>
  <si>
    <t>REL01067</t>
  </si>
  <si>
    <t>REL01068</t>
  </si>
  <si>
    <t>REL01069</t>
  </si>
  <si>
    <t>REL01070</t>
  </si>
  <si>
    <t>REL01071</t>
  </si>
  <si>
    <t>REL01072</t>
  </si>
  <si>
    <t>REL01073</t>
  </si>
  <si>
    <t>REL01074</t>
  </si>
  <si>
    <t>REL01075</t>
  </si>
  <si>
    <t>REL01076</t>
  </si>
  <si>
    <t>REL01077</t>
  </si>
  <si>
    <t>REL01078</t>
  </si>
  <si>
    <t>REL01079</t>
  </si>
  <si>
    <t>REL01080</t>
  </si>
  <si>
    <t>REL01081</t>
  </si>
  <si>
    <t>REL01082</t>
  </si>
  <si>
    <t>REL01083</t>
  </si>
  <si>
    <t>REL01084</t>
  </si>
  <si>
    <t>REL01085</t>
  </si>
  <si>
    <t>REL01086</t>
  </si>
  <si>
    <t>REL01087</t>
  </si>
  <si>
    <t>REL01088</t>
  </si>
  <si>
    <t>REL01089</t>
  </si>
  <si>
    <t>REL01090</t>
  </si>
  <si>
    <t>REL01091</t>
  </si>
  <si>
    <t>REL01092</t>
  </si>
  <si>
    <t>REL01093</t>
  </si>
  <si>
    <t>REL01094</t>
  </si>
  <si>
    <t>REL01095</t>
  </si>
  <si>
    <t>REL01096</t>
  </si>
  <si>
    <t>REL01097</t>
  </si>
  <si>
    <t>REL01098</t>
  </si>
  <si>
    <t>REL01099</t>
  </si>
  <si>
    <t>REL01100</t>
  </si>
  <si>
    <t>REL01101</t>
  </si>
  <si>
    <t>REL01102</t>
  </si>
  <si>
    <t>REL01103</t>
  </si>
  <si>
    <t>REL01104</t>
  </si>
  <si>
    <t>REL01105</t>
  </si>
  <si>
    <t>REL01106</t>
  </si>
  <si>
    <t>REL01107</t>
  </si>
  <si>
    <t>REL01108</t>
  </si>
  <si>
    <t>REL01109</t>
  </si>
  <si>
    <t>REL01110</t>
  </si>
  <si>
    <t>REL01111</t>
  </si>
  <si>
    <t>REL01112</t>
  </si>
  <si>
    <t>REL01113</t>
  </si>
  <si>
    <t>REL01114</t>
  </si>
  <si>
    <t>REL01115</t>
  </si>
  <si>
    <t>REL01116</t>
  </si>
  <si>
    <t>REL01117</t>
  </si>
  <si>
    <t>REL01118</t>
  </si>
  <si>
    <t>REL01119</t>
  </si>
  <si>
    <t>REL01120</t>
  </si>
  <si>
    <t>REL01121</t>
  </si>
  <si>
    <t>REL01122</t>
  </si>
  <si>
    <t>REL01123</t>
  </si>
  <si>
    <t>REL01124</t>
  </si>
  <si>
    <t>REL01125</t>
  </si>
  <si>
    <t>REL01126</t>
  </si>
  <si>
    <t>REL01127</t>
  </si>
  <si>
    <t>REL01128</t>
  </si>
  <si>
    <t>REL01129</t>
  </si>
  <si>
    <t>REL01130</t>
  </si>
  <si>
    <t>REL01131</t>
  </si>
  <si>
    <t>REL01132</t>
  </si>
  <si>
    <t>REL01133</t>
  </si>
  <si>
    <t>REL01134</t>
  </si>
  <si>
    <t>REL01135</t>
  </si>
  <si>
    <t>REL01136</t>
  </si>
  <si>
    <t>REL01137</t>
  </si>
  <si>
    <t>REL01138</t>
  </si>
  <si>
    <t>REL01139</t>
  </si>
  <si>
    <t>REL01140</t>
  </si>
  <si>
    <t>REL01141</t>
  </si>
  <si>
    <t>REL01142</t>
  </si>
  <si>
    <t>REL01143</t>
  </si>
  <si>
    <t>REL01144</t>
  </si>
  <si>
    <t>REL01145</t>
  </si>
  <si>
    <t>REL01146</t>
  </si>
  <si>
    <t>REL01147</t>
  </si>
  <si>
    <t>REL01148</t>
  </si>
  <si>
    <t>REL01149</t>
  </si>
  <si>
    <t>REL01150</t>
  </si>
  <si>
    <t>REL01151</t>
  </si>
  <si>
    <t>REL01152</t>
  </si>
  <si>
    <t>REL01153</t>
  </si>
  <si>
    <t>REL01154</t>
  </si>
  <si>
    <t>REL01155</t>
  </si>
  <si>
    <t>REL01156</t>
  </si>
  <si>
    <t>REL01157</t>
  </si>
  <si>
    <t>REL01158</t>
  </si>
  <si>
    <t>REL01159</t>
  </si>
  <si>
    <t>REL01160</t>
  </si>
  <si>
    <t>REL01161</t>
  </si>
  <si>
    <t>REL01162</t>
  </si>
  <si>
    <t>REL01163</t>
  </si>
  <si>
    <t>REL01164</t>
  </si>
  <si>
    <t>REL01165</t>
  </si>
  <si>
    <t>REL01166</t>
  </si>
  <si>
    <t>REL01167</t>
  </si>
  <si>
    <t>REL01168</t>
  </si>
  <si>
    <t>REL01169</t>
  </si>
  <si>
    <t>REL01170</t>
  </si>
  <si>
    <t>REL01171</t>
  </si>
  <si>
    <t>REL01172</t>
  </si>
  <si>
    <t>REL01173</t>
  </si>
  <si>
    <t>REL01174</t>
  </si>
  <si>
    <t>REL01175</t>
  </si>
  <si>
    <t>REL01176</t>
  </si>
  <si>
    <t>REL01177</t>
  </si>
  <si>
    <t>REL01178</t>
  </si>
  <si>
    <t>REL01179</t>
  </si>
  <si>
    <t>REL01180</t>
  </si>
  <si>
    <t>REL01181</t>
  </si>
  <si>
    <t>REL01182</t>
  </si>
  <si>
    <t>REL01183</t>
  </si>
  <si>
    <t>REL01184</t>
  </si>
  <si>
    <t>REL01185</t>
  </si>
  <si>
    <t>REL01186</t>
  </si>
  <si>
    <t>REL01187</t>
  </si>
  <si>
    <t>REL01188</t>
  </si>
  <si>
    <t>REL01189</t>
  </si>
  <si>
    <t>REL01190</t>
  </si>
  <si>
    <t>REL01191</t>
  </si>
  <si>
    <t>REL01192</t>
  </si>
  <si>
    <t>REL01193</t>
  </si>
  <si>
    <t>REL01194</t>
  </si>
  <si>
    <t>REL01195</t>
  </si>
  <si>
    <t>REL01196</t>
  </si>
  <si>
    <t>REL01197</t>
  </si>
  <si>
    <t>REL01198</t>
  </si>
  <si>
    <t>REL01199</t>
  </si>
  <si>
    <t>REL01200</t>
  </si>
  <si>
    <t>REL01201</t>
  </si>
  <si>
    <t>REL01202</t>
  </si>
  <si>
    <t>REL01203</t>
  </si>
  <si>
    <t>REL01204</t>
  </si>
  <si>
    <t>REL01205</t>
  </si>
  <si>
    <t>REL01206</t>
  </si>
  <si>
    <t>REL01207</t>
  </si>
  <si>
    <t>REL01208</t>
  </si>
  <si>
    <t>REL01209</t>
  </si>
  <si>
    <t>REL01210</t>
  </si>
  <si>
    <t>REL01211</t>
  </si>
  <si>
    <t>REL01212</t>
  </si>
  <si>
    <t>REL01213</t>
  </si>
  <si>
    <t>REL01214</t>
  </si>
  <si>
    <t>REL01215</t>
  </si>
  <si>
    <t>REL01216</t>
  </si>
  <si>
    <t>REL01217</t>
  </si>
  <si>
    <t>REL01218</t>
  </si>
  <si>
    <t>REL01219</t>
  </si>
  <si>
    <t>REL01220</t>
  </si>
  <si>
    <t>REL01221</t>
  </si>
  <si>
    <t>REL01222</t>
  </si>
  <si>
    <t>REL01223</t>
  </si>
  <si>
    <t>REL01224</t>
  </si>
  <si>
    <t>REL01225</t>
  </si>
  <si>
    <t>REL01226</t>
  </si>
  <si>
    <t>REL01227</t>
  </si>
  <si>
    <t>REL01228</t>
  </si>
  <si>
    <t>REL01229</t>
  </si>
  <si>
    <t>REL01230</t>
  </si>
  <si>
    <t>REL01231</t>
  </si>
  <si>
    <t>REL01232</t>
  </si>
  <si>
    <t>REL01233</t>
  </si>
  <si>
    <t>REL01234</t>
  </si>
  <si>
    <t>REL01235</t>
  </si>
  <si>
    <t>REL01236</t>
  </si>
  <si>
    <t>REL01237</t>
  </si>
  <si>
    <t>REL01238</t>
  </si>
  <si>
    <t>REL01239</t>
  </si>
  <si>
    <t>REL01240</t>
  </si>
  <si>
    <t>REL01241</t>
  </si>
  <si>
    <t>REL01242</t>
  </si>
  <si>
    <t>REL01243</t>
  </si>
  <si>
    <t>REL01244</t>
  </si>
  <si>
    <t>REL01245</t>
  </si>
  <si>
    <t>REL01246</t>
  </si>
  <si>
    <t>REL01247</t>
  </si>
  <si>
    <t>REL01248</t>
  </si>
  <si>
    <t>REL01249</t>
  </si>
  <si>
    <t>REL01250</t>
  </si>
  <si>
    <t>REL01251</t>
  </si>
  <si>
    <t>REL01252</t>
  </si>
  <si>
    <t>REL01253</t>
  </si>
  <si>
    <t>REL01254</t>
  </si>
  <si>
    <t>REL01255</t>
  </si>
  <si>
    <t>REL01256</t>
  </si>
  <si>
    <t>REL01257</t>
  </si>
  <si>
    <t>REL01258</t>
  </si>
  <si>
    <t>REL01259</t>
  </si>
  <si>
    <t>REL01260</t>
  </si>
  <si>
    <t>REL01261</t>
  </si>
  <si>
    <t>REL01262</t>
  </si>
  <si>
    <t>REL01263</t>
  </si>
  <si>
    <t>REL01264</t>
  </si>
  <si>
    <t>REL01265</t>
  </si>
  <si>
    <t>REL01266</t>
  </si>
  <si>
    <t>REL01267</t>
  </si>
  <si>
    <t>REL01268</t>
  </si>
  <si>
    <t>REL01269</t>
  </si>
  <si>
    <t>REL01270</t>
  </si>
  <si>
    <t>REL01271</t>
  </si>
  <si>
    <t>REL01272</t>
  </si>
  <si>
    <t>REL01273</t>
  </si>
  <si>
    <t>REL01274</t>
  </si>
  <si>
    <t>REL01275</t>
  </si>
  <si>
    <t>REL01276</t>
  </si>
  <si>
    <t>REL01277</t>
  </si>
  <si>
    <t>REL01278</t>
  </si>
  <si>
    <t>REL01279</t>
  </si>
  <si>
    <t>REL01280</t>
  </si>
  <si>
    <t>REL01281</t>
  </si>
  <si>
    <t>REL01282</t>
  </si>
  <si>
    <t>REL01283</t>
  </si>
  <si>
    <t>REL01284</t>
  </si>
  <si>
    <t>REL01285</t>
  </si>
  <si>
    <t>REL01286</t>
  </si>
  <si>
    <t>REL01287</t>
  </si>
  <si>
    <t>REL01288</t>
  </si>
  <si>
    <t>REL01289</t>
  </si>
  <si>
    <t>REL01290</t>
  </si>
  <si>
    <t>REL01291</t>
  </si>
  <si>
    <t>REL01292</t>
  </si>
  <si>
    <t>REL01293</t>
  </si>
  <si>
    <t>REL01294</t>
  </si>
  <si>
    <t>REL01295</t>
  </si>
  <si>
    <t>REL01296</t>
  </si>
  <si>
    <t>REL01297</t>
  </si>
  <si>
    <t>REL01298</t>
  </si>
  <si>
    <t>REL01299</t>
  </si>
  <si>
    <t>REL01300</t>
  </si>
  <si>
    <t>REL01301</t>
  </si>
  <si>
    <t>REL01302</t>
  </si>
  <si>
    <t>REL01303</t>
  </si>
  <si>
    <t>REL01304</t>
  </si>
  <si>
    <t>REL01305</t>
  </si>
  <si>
    <t>REL01306</t>
  </si>
  <si>
    <t>REL01307</t>
  </si>
  <si>
    <t>REL01308</t>
  </si>
  <si>
    <t>REL01309</t>
  </si>
  <si>
    <t>REL01310</t>
  </si>
  <si>
    <t>REL01311</t>
  </si>
  <si>
    <t>REL01312</t>
  </si>
  <si>
    <t>REL01313</t>
  </si>
  <si>
    <t>REL01314</t>
  </si>
  <si>
    <t>REL01315</t>
  </si>
  <si>
    <t>REL01316</t>
  </si>
  <si>
    <t>REL01317</t>
  </si>
  <si>
    <t>REL01318</t>
  </si>
  <si>
    <t>REL01319</t>
  </si>
  <si>
    <t>REL01320</t>
  </si>
  <si>
    <t>REL01321</t>
  </si>
  <si>
    <t>REL01322</t>
  </si>
  <si>
    <t>REL01323</t>
  </si>
  <si>
    <t>REL01324</t>
  </si>
  <si>
    <t>REL01325</t>
  </si>
  <si>
    <t>REL01326</t>
  </si>
  <si>
    <t>REL01327</t>
  </si>
  <si>
    <t>REL01328</t>
  </si>
  <si>
    <t>REL01329</t>
  </si>
  <si>
    <t>REL01330</t>
  </si>
  <si>
    <t>REL01331</t>
  </si>
  <si>
    <t>REL01332</t>
  </si>
  <si>
    <t>REL01333</t>
  </si>
  <si>
    <t>REL01334</t>
  </si>
  <si>
    <t>REL01335</t>
  </si>
  <si>
    <t>REL01336</t>
  </si>
  <si>
    <t>REL01337</t>
  </si>
  <si>
    <t>REL01338</t>
  </si>
  <si>
    <t>REL01339</t>
  </si>
  <si>
    <t>REL01340</t>
  </si>
  <si>
    <t>REL01341</t>
  </si>
  <si>
    <t>REL01342</t>
  </si>
  <si>
    <t>REL01343</t>
  </si>
  <si>
    <t>REL01344</t>
  </si>
  <si>
    <t>REL01345</t>
  </si>
  <si>
    <t>REL01346</t>
  </si>
  <si>
    <t>REL01347</t>
  </si>
  <si>
    <t>REL01348</t>
  </si>
  <si>
    <t>REL01349</t>
  </si>
  <si>
    <t>REL01350</t>
  </si>
  <si>
    <t>REL01351</t>
  </si>
  <si>
    <t>REL01352</t>
  </si>
  <si>
    <t>REL01353</t>
  </si>
  <si>
    <t>REL01354</t>
  </si>
  <si>
    <t>REL01355</t>
  </si>
  <si>
    <t>REL01356</t>
  </si>
  <si>
    <t>REL01357</t>
  </si>
  <si>
    <t>REL01358</t>
  </si>
  <si>
    <t>REL01359</t>
  </si>
  <si>
    <t>REL01360</t>
  </si>
  <si>
    <t>REL01361</t>
  </si>
  <si>
    <t>REL01362</t>
  </si>
  <si>
    <t>REL01363</t>
  </si>
  <si>
    <t>REL01364</t>
  </si>
  <si>
    <t>REL01365</t>
  </si>
  <si>
    <t>REL01366</t>
  </si>
  <si>
    <t>REL01367</t>
  </si>
  <si>
    <t>REL01368</t>
  </si>
  <si>
    <t>REL01369</t>
  </si>
  <si>
    <t>REL01370</t>
  </si>
  <si>
    <t>REL01371</t>
  </si>
  <si>
    <t>REL01372</t>
  </si>
  <si>
    <t>REL01373</t>
  </si>
  <si>
    <t>REL01374</t>
  </si>
  <si>
    <t>REL01375</t>
  </si>
  <si>
    <t>REL01376</t>
  </si>
  <si>
    <t>REL01377</t>
  </si>
  <si>
    <t>REL01378</t>
  </si>
  <si>
    <t>REL01379</t>
  </si>
  <si>
    <t>REL01380</t>
  </si>
  <si>
    <t>REL01381</t>
  </si>
  <si>
    <t>REL01382</t>
  </si>
  <si>
    <t>REL01383</t>
  </si>
  <si>
    <t>REL01384</t>
  </si>
  <si>
    <t>REL01385</t>
  </si>
  <si>
    <t>REL01386</t>
  </si>
  <si>
    <t>REL01387</t>
  </si>
  <si>
    <t>REL01388</t>
  </si>
  <si>
    <t>REL01389</t>
  </si>
  <si>
    <t>REL01390</t>
  </si>
  <si>
    <t>REL01391</t>
  </si>
  <si>
    <t>REL01392</t>
  </si>
  <si>
    <t>REL01393</t>
  </si>
  <si>
    <t>REL01394</t>
  </si>
  <si>
    <t>REL01395</t>
  </si>
  <si>
    <t>REL01396</t>
  </si>
  <si>
    <t>REL01397</t>
  </si>
  <si>
    <t>REL01398</t>
  </si>
  <si>
    <t>REL01399</t>
  </si>
  <si>
    <t>REL01400</t>
  </si>
  <si>
    <t>REL01401</t>
  </si>
  <si>
    <t>REL01402</t>
  </si>
  <si>
    <t>REL01403</t>
  </si>
  <si>
    <t>REL01404</t>
  </si>
  <si>
    <t>REL01405</t>
  </si>
  <si>
    <t>REL01406</t>
  </si>
  <si>
    <t>REL01407</t>
  </si>
  <si>
    <t>REL01408</t>
  </si>
  <si>
    <t>REL01409</t>
  </si>
  <si>
    <t>REL01410</t>
  </si>
  <si>
    <t>REL01411</t>
  </si>
  <si>
    <t>REL01412</t>
  </si>
  <si>
    <t>REL01413</t>
  </si>
  <si>
    <t>REL01414</t>
  </si>
  <si>
    <t>REL01415</t>
  </si>
  <si>
    <t>REL01416</t>
  </si>
  <si>
    <t>REL01417</t>
  </si>
  <si>
    <t>REL01418</t>
  </si>
  <si>
    <t>REL01419</t>
  </si>
  <si>
    <t>REL01420</t>
  </si>
  <si>
    <t>REL01421</t>
  </si>
  <si>
    <t>REL01422</t>
  </si>
  <si>
    <t>REL01423</t>
  </si>
  <si>
    <t>REL01424</t>
  </si>
  <si>
    <t>REL01425</t>
  </si>
  <si>
    <t>REL01426</t>
  </si>
  <si>
    <t>REL01427</t>
  </si>
  <si>
    <t>REL01428</t>
  </si>
  <si>
    <t>REL01429</t>
  </si>
  <si>
    <t>REL01430</t>
  </si>
  <si>
    <t>REL01431</t>
  </si>
  <si>
    <t>REL01432</t>
  </si>
  <si>
    <t>REL01433</t>
  </si>
  <si>
    <t>REL01434</t>
  </si>
  <si>
    <t>REL01435</t>
  </si>
  <si>
    <t>REL01436</t>
  </si>
  <si>
    <t>REL01437</t>
  </si>
  <si>
    <t>REL01438</t>
  </si>
  <si>
    <t>REL01439</t>
  </si>
  <si>
    <t>REL01440</t>
  </si>
  <si>
    <t>REL01441</t>
  </si>
  <si>
    <t>REL01442</t>
  </si>
  <si>
    <t>REL01443</t>
  </si>
  <si>
    <t>REL01444</t>
  </si>
  <si>
    <t>REL01445</t>
  </si>
  <si>
    <t>REL01446</t>
  </si>
  <si>
    <t>REL01447</t>
  </si>
  <si>
    <t>REL01448</t>
  </si>
  <si>
    <t>REL01449</t>
  </si>
  <si>
    <t>REL01450</t>
  </si>
  <si>
    <t>REL01451</t>
  </si>
  <si>
    <t>REL01452</t>
  </si>
  <si>
    <t>REL01453</t>
  </si>
  <si>
    <t>REL01454</t>
  </si>
  <si>
    <t>REL01455</t>
  </si>
  <si>
    <t>REL01456</t>
  </si>
  <si>
    <t>REL01457</t>
  </si>
  <si>
    <t>REL01458</t>
  </si>
  <si>
    <t>REL01459</t>
  </si>
  <si>
    <t>REL01460</t>
  </si>
  <si>
    <t>REL01461</t>
  </si>
  <si>
    <t>REL01462</t>
  </si>
  <si>
    <t>REL01463</t>
  </si>
  <si>
    <t>REL01464</t>
  </si>
  <si>
    <t>REL01465</t>
  </si>
  <si>
    <t>REL01466</t>
  </si>
  <si>
    <t>REL01467</t>
  </si>
  <si>
    <t>REL01468</t>
  </si>
  <si>
    <t>REL01469</t>
  </si>
  <si>
    <t>REL01470</t>
  </si>
  <si>
    <t>REL01471</t>
  </si>
  <si>
    <t>REL01472</t>
  </si>
  <si>
    <t>REL01473</t>
  </si>
  <si>
    <t>REL01474</t>
  </si>
  <si>
    <t>REL01475</t>
  </si>
  <si>
    <t>REL01476</t>
  </si>
  <si>
    <t>REL01477</t>
  </si>
  <si>
    <t>REL01478</t>
  </si>
  <si>
    <t>REL01479</t>
  </si>
  <si>
    <t>REL01480</t>
  </si>
  <si>
    <t>REL01481</t>
  </si>
  <si>
    <t>REL01482</t>
  </si>
  <si>
    <t>REL01483</t>
  </si>
  <si>
    <t>REL01484</t>
  </si>
  <si>
    <t>REL01485</t>
  </si>
  <si>
    <t>REL01486</t>
  </si>
  <si>
    <t>REL01487</t>
  </si>
  <si>
    <t>REL01488</t>
  </si>
  <si>
    <t>REL01489</t>
  </si>
  <si>
    <t>REL01490</t>
  </si>
  <si>
    <t>REL01491</t>
  </si>
  <si>
    <t>REL01492</t>
  </si>
  <si>
    <t>REL01493</t>
  </si>
  <si>
    <t>REL01494</t>
  </si>
  <si>
    <t>REL01495</t>
  </si>
  <si>
    <t>REL01496</t>
  </si>
  <si>
    <t>REL01497</t>
  </si>
  <si>
    <t>REL01498</t>
  </si>
  <si>
    <t>REL01499</t>
  </si>
  <si>
    <t>REL01500</t>
  </si>
  <si>
    <t>REL01501</t>
  </si>
  <si>
    <t>REL01502</t>
  </si>
  <si>
    <t>REL01503</t>
  </si>
  <si>
    <t>REL01504</t>
  </si>
  <si>
    <t>REL01505</t>
  </si>
  <si>
    <t>REL01506</t>
  </si>
  <si>
    <t>REL01507</t>
  </si>
  <si>
    <t>REL01508</t>
  </si>
  <si>
    <t>REL01509</t>
  </si>
  <si>
    <t>REL01510</t>
  </si>
  <si>
    <t>REL01511</t>
  </si>
  <si>
    <t>REL01512</t>
  </si>
  <si>
    <t>REL01513</t>
  </si>
  <si>
    <t>REL01514</t>
  </si>
  <si>
    <t>REL01515</t>
  </si>
  <si>
    <t>REL01516</t>
  </si>
  <si>
    <t>REL01517</t>
  </si>
  <si>
    <t>REL01518</t>
  </si>
  <si>
    <t>REL01519</t>
  </si>
  <si>
    <t>REL01520</t>
  </si>
  <si>
    <t>REL01521</t>
  </si>
  <si>
    <t>REL01522</t>
  </si>
  <si>
    <t>REL01523</t>
  </si>
  <si>
    <t>REL01524</t>
  </si>
  <si>
    <t>REL01525</t>
  </si>
  <si>
    <t>REL01526</t>
  </si>
  <si>
    <t>REL01527</t>
  </si>
  <si>
    <t>REL01528</t>
  </si>
  <si>
    <t>REL01529</t>
  </si>
  <si>
    <t>REL01530</t>
  </si>
  <si>
    <t>REL01531</t>
  </si>
  <si>
    <t>REL01532</t>
  </si>
  <si>
    <t>REL01533</t>
  </si>
  <si>
    <t>REL01534</t>
  </si>
  <si>
    <t>REL01535</t>
  </si>
  <si>
    <t>REL01536</t>
  </si>
  <si>
    <t>REL01537</t>
  </si>
  <si>
    <t>REL01538</t>
  </si>
  <si>
    <t>REL01539</t>
  </si>
  <si>
    <t>REL01540</t>
  </si>
  <si>
    <t>REL01541</t>
  </si>
  <si>
    <t>REL01542</t>
  </si>
  <si>
    <t>REL01543</t>
  </si>
  <si>
    <t>REL01544</t>
  </si>
  <si>
    <t>REL01545</t>
  </si>
  <si>
    <t>REL01546</t>
  </si>
  <si>
    <t>REL01547</t>
  </si>
  <si>
    <t>REL01548</t>
  </si>
  <si>
    <t>REL01549</t>
  </si>
  <si>
    <t>REL01550</t>
  </si>
  <si>
    <t>REL01551</t>
  </si>
  <si>
    <t>REL01552</t>
  </si>
  <si>
    <t>REL01553</t>
  </si>
  <si>
    <t>REL01554</t>
  </si>
  <si>
    <t>REL01555</t>
  </si>
  <si>
    <t>REL01556</t>
  </si>
  <si>
    <t>REL01557</t>
  </si>
  <si>
    <t>REL01558</t>
  </si>
  <si>
    <t>REL01559</t>
  </si>
  <si>
    <t>REL01560</t>
  </si>
  <si>
    <t>REL01561</t>
  </si>
  <si>
    <t>REL01562</t>
  </si>
  <si>
    <t>REL01563</t>
  </si>
  <si>
    <t>REL01564</t>
  </si>
  <si>
    <t>REL01565</t>
  </si>
  <si>
    <t>REL01566</t>
  </si>
  <si>
    <t>REL01567</t>
  </si>
  <si>
    <t>REL01568</t>
  </si>
  <si>
    <t>REL01569</t>
  </si>
  <si>
    <t>REL01570</t>
  </si>
  <si>
    <t>REL01571</t>
  </si>
  <si>
    <t>REL01572</t>
  </si>
  <si>
    <t>REL01573</t>
  </si>
  <si>
    <t>REL01574</t>
  </si>
  <si>
    <t>REL01575</t>
  </si>
  <si>
    <t>REL01576</t>
  </si>
  <si>
    <t>REL01577</t>
  </si>
  <si>
    <t>REL01578</t>
  </si>
  <si>
    <t>REL01579</t>
  </si>
  <si>
    <t>REL01580</t>
  </si>
  <si>
    <t>REL01581</t>
  </si>
  <si>
    <t>REL01582</t>
  </si>
  <si>
    <t>REL01583</t>
  </si>
  <si>
    <t>REL01584</t>
  </si>
  <si>
    <t>REL01585</t>
  </si>
  <si>
    <t>REL01586</t>
  </si>
  <si>
    <t>REL01587</t>
  </si>
  <si>
    <t>REL01588</t>
  </si>
  <si>
    <t>REL01589</t>
  </si>
  <si>
    <t>REL01590</t>
  </si>
  <si>
    <t>REL01591</t>
  </si>
  <si>
    <t>REL01592</t>
  </si>
  <si>
    <t>REL01593</t>
  </si>
  <si>
    <t>REL01594</t>
  </si>
  <si>
    <t>REL01595</t>
  </si>
  <si>
    <t>REL01596</t>
  </si>
  <si>
    <t>REL01597</t>
  </si>
  <si>
    <t>REL01598</t>
  </si>
  <si>
    <t>REL01599</t>
  </si>
  <si>
    <t>REL01600</t>
  </si>
  <si>
    <t>REL01601</t>
  </si>
  <si>
    <t>REL01602</t>
  </si>
  <si>
    <t>REL01603</t>
  </si>
  <si>
    <t>REL01604</t>
  </si>
  <si>
    <t>REL01605</t>
  </si>
  <si>
    <t>REL01606</t>
  </si>
  <si>
    <t>REL01607</t>
  </si>
  <si>
    <t>REL01608</t>
  </si>
  <si>
    <t>REL01609</t>
  </si>
  <si>
    <t>REL01610</t>
  </si>
  <si>
    <t>REL01611</t>
  </si>
  <si>
    <t>REL01612</t>
  </si>
  <si>
    <t>REL01613</t>
  </si>
  <si>
    <t>REL01614</t>
  </si>
  <si>
    <t>REL01615</t>
  </si>
  <si>
    <t>REL01616</t>
  </si>
  <si>
    <t>REL01617</t>
  </si>
  <si>
    <t>REL01618</t>
  </si>
  <si>
    <t>REL01619</t>
  </si>
  <si>
    <t>REL01620</t>
  </si>
  <si>
    <t>REL01621</t>
  </si>
  <si>
    <t>REL01622</t>
  </si>
  <si>
    <t>REL01623</t>
  </si>
  <si>
    <t>REL01624</t>
  </si>
  <si>
    <t>REL01625</t>
  </si>
  <si>
    <t>REL01626</t>
  </si>
  <si>
    <t>REL01627</t>
  </si>
  <si>
    <t>REL01628</t>
  </si>
  <si>
    <t>REL01629</t>
  </si>
  <si>
    <t>REL01630</t>
  </si>
  <si>
    <t>REL01631</t>
  </si>
  <si>
    <t>REL01632</t>
  </si>
  <si>
    <t>REL01633</t>
  </si>
  <si>
    <t>REL01634</t>
  </si>
  <si>
    <t>REL01635</t>
  </si>
  <si>
    <t>REL01636</t>
  </si>
  <si>
    <t>REL01637</t>
  </si>
  <si>
    <t>REL01638</t>
  </si>
  <si>
    <t>REL01639</t>
  </si>
  <si>
    <t>REL01640</t>
  </si>
  <si>
    <t>REL01641</t>
  </si>
  <si>
    <t>REL01642</t>
  </si>
  <si>
    <t>REL01643</t>
  </si>
  <si>
    <t>REL01644</t>
  </si>
  <si>
    <t>REL01645</t>
  </si>
  <si>
    <t>REL01646</t>
  </si>
  <si>
    <t>REL01647</t>
  </si>
  <si>
    <t>REL01648</t>
  </si>
  <si>
    <t>REL01649</t>
  </si>
  <si>
    <t>REL01650</t>
  </si>
  <si>
    <t>REL01651</t>
  </si>
  <si>
    <t>REL01652</t>
  </si>
  <si>
    <t>REL01653</t>
  </si>
  <si>
    <t>REL01654</t>
  </si>
  <si>
    <t>REL01655</t>
  </si>
  <si>
    <t>REL01656</t>
  </si>
  <si>
    <t>REL01657</t>
  </si>
  <si>
    <t>REL01658</t>
  </si>
  <si>
    <t>REL01659</t>
  </si>
  <si>
    <t>REL01660</t>
  </si>
  <si>
    <t>REL01661</t>
  </si>
  <si>
    <t>REL01662</t>
  </si>
  <si>
    <t>REL01663</t>
  </si>
  <si>
    <t>REL01664</t>
  </si>
  <si>
    <t>REL01665</t>
  </si>
  <si>
    <t>REL01666</t>
  </si>
  <si>
    <t>REL01667</t>
  </si>
  <si>
    <t>REL01668</t>
  </si>
  <si>
    <t>REL01669</t>
  </si>
  <si>
    <t>REL01670</t>
  </si>
  <si>
    <t>REL01671</t>
  </si>
  <si>
    <t>REL01672</t>
  </si>
  <si>
    <t>REL01673</t>
  </si>
  <si>
    <t>REL01674</t>
  </si>
  <si>
    <t>REL01675</t>
  </si>
  <si>
    <t>REL01676</t>
  </si>
  <si>
    <t>REL01677</t>
  </si>
  <si>
    <t>REL01678</t>
  </si>
  <si>
    <t>REL01679</t>
  </si>
  <si>
    <t>REL01680</t>
  </si>
  <si>
    <t>REL01681</t>
  </si>
  <si>
    <t>REL01682</t>
  </si>
  <si>
    <t>REL01683</t>
  </si>
  <si>
    <t>REL01684</t>
  </si>
  <si>
    <t>REL01685</t>
  </si>
  <si>
    <t>REL01686</t>
  </si>
  <si>
    <t>REL01687</t>
  </si>
  <si>
    <t>REL01688</t>
  </si>
  <si>
    <t>REL01689</t>
  </si>
  <si>
    <t>REL01690</t>
  </si>
  <si>
    <t>REL01691</t>
  </si>
  <si>
    <t>REL01692</t>
  </si>
  <si>
    <t>REL01693</t>
  </si>
  <si>
    <t>REL01694</t>
  </si>
  <si>
    <t>REL01695</t>
  </si>
  <si>
    <t>REL01696</t>
  </si>
  <si>
    <t>REL01697</t>
  </si>
  <si>
    <t>REL01698</t>
  </si>
  <si>
    <t>REL01699</t>
  </si>
  <si>
    <t>REL01700</t>
  </si>
  <si>
    <t>REL01701</t>
  </si>
  <si>
    <t>REL01702</t>
  </si>
  <si>
    <t>REL01703</t>
  </si>
  <si>
    <t>REL01704</t>
  </si>
  <si>
    <t>REL01705</t>
  </si>
  <si>
    <t>REL01706</t>
  </si>
  <si>
    <t>REL01707</t>
  </si>
  <si>
    <t>REL01708</t>
  </si>
  <si>
    <t>REL01709</t>
  </si>
  <si>
    <t>REL01710</t>
  </si>
  <si>
    <t>REL01711</t>
  </si>
  <si>
    <t>REL01712</t>
  </si>
  <si>
    <t>REL01713</t>
  </si>
  <si>
    <t>REL01714</t>
  </si>
  <si>
    <t>REL01715</t>
  </si>
  <si>
    <t>REL01716</t>
  </si>
  <si>
    <t>REL01717</t>
  </si>
  <si>
    <t>REL01718</t>
  </si>
  <si>
    <t>REL01719</t>
  </si>
  <si>
    <t>REL01720</t>
  </si>
  <si>
    <t>REL01721</t>
  </si>
  <si>
    <t>REL01722</t>
  </si>
  <si>
    <t>REL01723</t>
  </si>
  <si>
    <t>REL01724</t>
  </si>
  <si>
    <t>REL01725</t>
  </si>
  <si>
    <t>REL01726</t>
  </si>
  <si>
    <t>REL01727</t>
  </si>
  <si>
    <t>REL01728</t>
  </si>
  <si>
    <t>REL01729</t>
  </si>
  <si>
    <t>REL01730</t>
  </si>
  <si>
    <t>REL01731</t>
  </si>
  <si>
    <t>REL01732</t>
  </si>
  <si>
    <t>REL01733</t>
  </si>
  <si>
    <t>REL01734</t>
  </si>
  <si>
    <t>REL01735</t>
  </si>
  <si>
    <t>REL01736</t>
  </si>
  <si>
    <t>REL01737</t>
  </si>
  <si>
    <t>REL01738</t>
  </si>
  <si>
    <t>REL01739</t>
  </si>
  <si>
    <t>REL01740</t>
  </si>
  <si>
    <t>REL01741</t>
  </si>
  <si>
    <t>REL01742</t>
  </si>
  <si>
    <t>REL01743</t>
  </si>
  <si>
    <t>REL01744</t>
  </si>
  <si>
    <t>REL01745</t>
  </si>
  <si>
    <t>REL01746</t>
  </si>
  <si>
    <t>REL01747</t>
  </si>
  <si>
    <t>REL01748</t>
  </si>
  <si>
    <t>REL01749</t>
  </si>
  <si>
    <t>REL01750</t>
  </si>
  <si>
    <t>REL01751</t>
  </si>
  <si>
    <t>REL01752</t>
  </si>
  <si>
    <t>REL01753</t>
  </si>
  <si>
    <t>REL01754</t>
  </si>
  <si>
    <t>REL01755</t>
  </si>
  <si>
    <t>REL01756</t>
  </si>
  <si>
    <t>REL01757</t>
  </si>
  <si>
    <t>REL01758</t>
  </si>
  <si>
    <t>REL01759</t>
  </si>
  <si>
    <t>REL01760</t>
  </si>
  <si>
    <t>REL01761</t>
  </si>
  <si>
    <t>REL01762</t>
  </si>
  <si>
    <t>REL01763</t>
  </si>
  <si>
    <t>REL01764</t>
  </si>
  <si>
    <t>REL01765</t>
  </si>
  <si>
    <t>REL01766</t>
  </si>
  <si>
    <t>REL01767</t>
  </si>
  <si>
    <t>REL01768</t>
  </si>
  <si>
    <t>REL01769</t>
  </si>
  <si>
    <t>REL01770</t>
  </si>
  <si>
    <t>REL01771</t>
  </si>
  <si>
    <t>REL01772</t>
  </si>
  <si>
    <t>REL01773</t>
  </si>
  <si>
    <t>REL01774</t>
  </si>
  <si>
    <t>REL01775</t>
  </si>
  <si>
    <t>REL01776</t>
  </si>
  <si>
    <t>REL01777</t>
  </si>
  <si>
    <t>REL01778</t>
  </si>
  <si>
    <t>REL01779</t>
  </si>
  <si>
    <t>REL01780</t>
  </si>
  <si>
    <t>REL01781</t>
  </si>
  <si>
    <t>REL01782</t>
  </si>
  <si>
    <t>REL01783</t>
  </si>
  <si>
    <t>REL01784</t>
  </si>
  <si>
    <t>REL01785</t>
  </si>
  <si>
    <t>REL01786</t>
  </si>
  <si>
    <t>REL01787</t>
  </si>
  <si>
    <t>REL01788</t>
  </si>
  <si>
    <t>REL01789</t>
  </si>
  <si>
    <t>REL01790</t>
  </si>
  <si>
    <t>REL01791</t>
  </si>
  <si>
    <t>REL01792</t>
  </si>
  <si>
    <t>REL01793</t>
  </si>
  <si>
    <t>REL01794</t>
  </si>
  <si>
    <t>REL01795</t>
  </si>
  <si>
    <t>REL01796</t>
  </si>
  <si>
    <t>REL01797</t>
  </si>
  <si>
    <t>REL01798</t>
  </si>
  <si>
    <t>REL01799</t>
  </si>
  <si>
    <t>REL01800</t>
  </si>
  <si>
    <t>REL01801</t>
  </si>
  <si>
    <t>REL01802</t>
  </si>
  <si>
    <t>REL01803</t>
  </si>
  <si>
    <t>REL01804</t>
  </si>
  <si>
    <t>REL01805</t>
  </si>
  <si>
    <t>REL01806</t>
  </si>
  <si>
    <t>REL01807</t>
  </si>
  <si>
    <t>REL01808</t>
  </si>
  <si>
    <t>REL01809</t>
  </si>
  <si>
    <t>REL01810</t>
  </si>
  <si>
    <t>REL01811</t>
  </si>
  <si>
    <t>REL01812</t>
  </si>
  <si>
    <t>REL01813</t>
  </si>
  <si>
    <t>REL01814</t>
  </si>
  <si>
    <t>REL01815</t>
  </si>
  <si>
    <t>REL01816</t>
  </si>
  <si>
    <t>REL01817</t>
  </si>
  <si>
    <t>REL01818</t>
  </si>
  <si>
    <t>REL01819</t>
  </si>
  <si>
    <t>REL01820</t>
  </si>
  <si>
    <t>REL01821</t>
  </si>
  <si>
    <t>REL01822</t>
  </si>
  <si>
    <t>REL01823</t>
  </si>
  <si>
    <t>REL01824</t>
  </si>
  <si>
    <t>REL01825</t>
  </si>
  <si>
    <t>REL01826</t>
  </si>
  <si>
    <t>REL01827</t>
  </si>
  <si>
    <t>REL01828</t>
  </si>
  <si>
    <t>REL01829</t>
  </si>
  <si>
    <t>REL01830</t>
  </si>
  <si>
    <t>REL01831</t>
  </si>
  <si>
    <t>REL01832</t>
  </si>
  <si>
    <t>REL01833</t>
  </si>
  <si>
    <t>REL01834</t>
  </si>
  <si>
    <t>REL01835</t>
  </si>
  <si>
    <t>REL01836</t>
  </si>
  <si>
    <t>REL01837</t>
  </si>
  <si>
    <t>REL01838</t>
  </si>
  <si>
    <t>REL01839</t>
  </si>
  <si>
    <t>REL01840</t>
  </si>
  <si>
    <t>REL01841</t>
  </si>
  <si>
    <t>REL01842</t>
  </si>
  <si>
    <t>REL01843</t>
  </si>
  <si>
    <t>REL01844</t>
  </si>
  <si>
    <t>REL01845</t>
  </si>
  <si>
    <t>REL01846</t>
  </si>
  <si>
    <t>REL01847</t>
  </si>
  <si>
    <t>REL01848</t>
  </si>
  <si>
    <t>REL01849</t>
  </si>
  <si>
    <t>REL01850</t>
  </si>
  <si>
    <t>REL01851</t>
  </si>
  <si>
    <t>REL01852</t>
  </si>
  <si>
    <t>REL01853</t>
  </si>
  <si>
    <t>REL01854</t>
  </si>
  <si>
    <t>REL01855</t>
  </si>
  <si>
    <t>REL01856</t>
  </si>
  <si>
    <t>REL01857</t>
  </si>
  <si>
    <t>REL01858</t>
  </si>
  <si>
    <t>REL01859</t>
  </si>
  <si>
    <t>REL01860</t>
  </si>
  <si>
    <t>REL01861</t>
  </si>
  <si>
    <t>REL01862</t>
  </si>
  <si>
    <t>REL01863</t>
  </si>
  <si>
    <t>REL01864</t>
  </si>
  <si>
    <t>REL01865</t>
  </si>
  <si>
    <t>REL01866</t>
  </si>
  <si>
    <t>REL01867</t>
  </si>
  <si>
    <t>REL01868</t>
  </si>
  <si>
    <t>REL01869</t>
  </si>
  <si>
    <t>REL01870</t>
  </si>
  <si>
    <t>REL01871</t>
  </si>
  <si>
    <t>REL01872</t>
  </si>
  <si>
    <t>REL01873</t>
  </si>
  <si>
    <t>REL01874</t>
  </si>
  <si>
    <t>REL01875</t>
  </si>
  <si>
    <t>REL01876</t>
  </si>
  <si>
    <t>REL01877</t>
  </si>
  <si>
    <t>REL01878</t>
  </si>
  <si>
    <t>REL01879</t>
  </si>
  <si>
    <t>REL01880</t>
  </si>
  <si>
    <t>REL01881</t>
  </si>
  <si>
    <t>REL01882</t>
  </si>
  <si>
    <t>REL01883</t>
  </si>
  <si>
    <t>REL01884</t>
  </si>
  <si>
    <t>REL01885</t>
  </si>
  <si>
    <t>REL01886</t>
  </si>
  <si>
    <t>REL01887</t>
  </si>
  <si>
    <t>REL01888</t>
  </si>
  <si>
    <t>REL01889</t>
  </si>
  <si>
    <t>REL01890</t>
  </si>
  <si>
    <t>REL01891</t>
  </si>
  <si>
    <t>REL01892</t>
  </si>
  <si>
    <t>REL01893</t>
  </si>
  <si>
    <t>REL01894</t>
  </si>
  <si>
    <t>REL01895</t>
  </si>
  <si>
    <t>REL01896</t>
  </si>
  <si>
    <t>REL01897</t>
  </si>
  <si>
    <t>REL01898</t>
  </si>
  <si>
    <t>REL01899</t>
  </si>
  <si>
    <t>REL01900</t>
  </si>
  <si>
    <t>REL01901</t>
  </si>
  <si>
    <t>REL01902</t>
  </si>
  <si>
    <t>REL01903</t>
  </si>
  <si>
    <t>REL01904</t>
  </si>
  <si>
    <t>REL01905</t>
  </si>
  <si>
    <t>REL01906</t>
  </si>
  <si>
    <t>REL01907</t>
  </si>
  <si>
    <t>REL01908</t>
  </si>
  <si>
    <t>REL01909</t>
  </si>
  <si>
    <t>REL01910</t>
  </si>
  <si>
    <t>REL01911</t>
  </si>
  <si>
    <t>REL01912</t>
  </si>
  <si>
    <t>REL01913</t>
  </si>
  <si>
    <t>REL01914</t>
  </si>
  <si>
    <t>REL01915</t>
  </si>
  <si>
    <t>REL01916</t>
  </si>
  <si>
    <t>REL01917</t>
  </si>
  <si>
    <t>REL01918</t>
  </si>
  <si>
    <t>REL01919</t>
  </si>
  <si>
    <t>REL01920</t>
  </si>
  <si>
    <t>REL01921</t>
  </si>
  <si>
    <t>REL01922</t>
  </si>
  <si>
    <t>REL01923</t>
  </si>
  <si>
    <t>REL01924</t>
  </si>
  <si>
    <t>REL01925</t>
  </si>
  <si>
    <t>REL01926</t>
  </si>
  <si>
    <t>REL01927</t>
  </si>
  <si>
    <t>REL01928</t>
  </si>
  <si>
    <t>REL01929</t>
  </si>
  <si>
    <t>REL01930</t>
  </si>
  <si>
    <t>REL01931</t>
  </si>
  <si>
    <t>REL01932</t>
  </si>
  <si>
    <t>REL01933</t>
  </si>
  <si>
    <t>REL01934</t>
  </si>
  <si>
    <t>REL01935</t>
  </si>
  <si>
    <t>REL01936</t>
  </si>
  <si>
    <t>REL01937</t>
  </si>
  <si>
    <t>REL01938</t>
  </si>
  <si>
    <t>REL01939</t>
  </si>
  <si>
    <t>REL01940</t>
  </si>
  <si>
    <t>REL01941</t>
  </si>
  <si>
    <t>REL01942</t>
  </si>
  <si>
    <t>REL01943</t>
  </si>
  <si>
    <t>REL01944</t>
  </si>
  <si>
    <t>REL01945</t>
  </si>
  <si>
    <t>REL01946</t>
  </si>
  <si>
    <t>REL01947</t>
  </si>
  <si>
    <t>REL01948</t>
  </si>
  <si>
    <t>REL01949</t>
  </si>
  <si>
    <t>REL01950</t>
  </si>
  <si>
    <t>REL01951</t>
  </si>
  <si>
    <t>REL01952</t>
  </si>
  <si>
    <t>REL01953</t>
  </si>
  <si>
    <t>REL01954</t>
  </si>
  <si>
    <t>REL01955</t>
  </si>
  <si>
    <t>REL01956</t>
  </si>
  <si>
    <t>REL01957</t>
  </si>
  <si>
    <t>REL01958</t>
  </si>
  <si>
    <t>REL01959</t>
  </si>
  <si>
    <t>REL01960</t>
  </si>
  <si>
    <t>REL01961</t>
  </si>
  <si>
    <t>REL01962</t>
  </si>
  <si>
    <t>REL01963</t>
  </si>
  <si>
    <t>REL01964</t>
  </si>
  <si>
    <t>REL01965</t>
  </si>
  <si>
    <t>REL01966</t>
  </si>
  <si>
    <t>REL01967</t>
  </si>
  <si>
    <t>REL01968</t>
  </si>
  <si>
    <t>REL01969</t>
  </si>
  <si>
    <t>REL01970</t>
  </si>
  <si>
    <t>REL01971</t>
  </si>
  <si>
    <t>REL01972</t>
  </si>
  <si>
    <t>REL01973</t>
  </si>
  <si>
    <t>REL01974</t>
  </si>
  <si>
    <t>REL01975</t>
  </si>
  <si>
    <t>REL01976</t>
  </si>
  <si>
    <t>REL01977</t>
  </si>
  <si>
    <t>REL01978</t>
  </si>
  <si>
    <t>REL01979</t>
  </si>
  <si>
    <t>REL01980</t>
  </si>
  <si>
    <t>REL01981</t>
  </si>
  <si>
    <t>REL01982</t>
  </si>
  <si>
    <t>REL01983</t>
  </si>
  <si>
    <t>REL01984</t>
  </si>
  <si>
    <t>REL01985</t>
  </si>
  <si>
    <t>REL01986</t>
  </si>
  <si>
    <t>REL01987</t>
  </si>
  <si>
    <t>REL01988</t>
  </si>
  <si>
    <t>REL01989</t>
  </si>
  <si>
    <t>REL01990</t>
  </si>
  <si>
    <t>REL01991</t>
  </si>
  <si>
    <t>REL01992</t>
  </si>
  <si>
    <t>REL01993</t>
  </si>
  <si>
    <t>REL01994</t>
  </si>
  <si>
    <t>REL01995</t>
  </si>
  <si>
    <t>REL01996</t>
  </si>
  <si>
    <t>REL01997</t>
  </si>
  <si>
    <t>REL01998</t>
  </si>
  <si>
    <t>REL01999</t>
  </si>
  <si>
    <t>REL02000</t>
  </si>
  <si>
    <t>REL02001</t>
  </si>
  <si>
    <t>REL02002</t>
  </si>
  <si>
    <t>REL02003</t>
  </si>
  <si>
    <t>REL02004</t>
  </si>
  <si>
    <t>REL02005</t>
  </si>
  <si>
    <t>REL02006</t>
  </si>
  <si>
    <t>REL02007</t>
  </si>
  <si>
    <t>REL02008</t>
  </si>
  <si>
    <t>REL02009</t>
  </si>
  <si>
    <t>REL02010</t>
  </si>
  <si>
    <t>REL02011</t>
  </si>
  <si>
    <t>REL02012</t>
  </si>
  <si>
    <t>REL02013</t>
  </si>
  <si>
    <t>REL02014</t>
  </si>
  <si>
    <t>REL02015</t>
  </si>
  <si>
    <t>REL02016</t>
  </si>
  <si>
    <t>REL02017</t>
  </si>
  <si>
    <t>REL02018</t>
  </si>
  <si>
    <t>REL02019</t>
  </si>
  <si>
    <t>REL02020</t>
  </si>
  <si>
    <t>REL02021</t>
  </si>
  <si>
    <t>REL02022</t>
  </si>
  <si>
    <t>REL02023</t>
  </si>
  <si>
    <t>REL02024</t>
  </si>
  <si>
    <t>REL02025</t>
  </si>
  <si>
    <t>REL02026</t>
  </si>
  <si>
    <t>REL02027</t>
  </si>
  <si>
    <t>REL02028</t>
  </si>
  <si>
    <t>REL02029</t>
  </si>
  <si>
    <t>REL02030</t>
  </si>
  <si>
    <t>REL02031</t>
  </si>
  <si>
    <t>REL02032</t>
  </si>
  <si>
    <t>REL02033</t>
  </si>
  <si>
    <t>REL02034</t>
  </si>
  <si>
    <t>REL02035</t>
  </si>
  <si>
    <t>REL02036</t>
  </si>
  <si>
    <t>REL02037</t>
  </si>
  <si>
    <t>REL02038</t>
  </si>
  <si>
    <t>REL02039</t>
  </si>
  <si>
    <t>REL02040</t>
  </si>
  <si>
    <t>REL02041</t>
  </si>
  <si>
    <t>REL02042</t>
  </si>
  <si>
    <t>REL02043</t>
  </si>
  <si>
    <t>REL02044</t>
  </si>
  <si>
    <t>REL02045</t>
  </si>
  <si>
    <t>REL02046</t>
  </si>
  <si>
    <t>REL02047</t>
  </si>
  <si>
    <t>REL02048</t>
  </si>
  <si>
    <t>REL02049</t>
  </si>
  <si>
    <t>REL02050</t>
  </si>
  <si>
    <t>REL02051</t>
  </si>
  <si>
    <t>REL02052</t>
  </si>
  <si>
    <t>REL02053</t>
  </si>
  <si>
    <t>REL02054</t>
  </si>
  <si>
    <t>REL02055</t>
  </si>
  <si>
    <t>REL02056</t>
  </si>
  <si>
    <t>REL02057</t>
  </si>
  <si>
    <t>REL02058</t>
  </si>
  <si>
    <t>REL02059</t>
  </si>
  <si>
    <t>REL02060</t>
  </si>
  <si>
    <t>REL02061</t>
  </si>
  <si>
    <t>REL02062</t>
  </si>
  <si>
    <t>REL02063</t>
  </si>
  <si>
    <t>REL02064</t>
  </si>
  <si>
    <t>REL02065</t>
  </si>
  <si>
    <t>REL02066</t>
  </si>
  <si>
    <t>REL02067</t>
  </si>
  <si>
    <t>REL02068</t>
  </si>
  <si>
    <t>REL02069</t>
  </si>
  <si>
    <t>REL02070</t>
  </si>
  <si>
    <t>REL02071</t>
  </si>
  <si>
    <t>REL02072</t>
  </si>
  <si>
    <t>REL02073</t>
  </si>
  <si>
    <t>REL02074</t>
  </si>
  <si>
    <t>REL02075</t>
  </si>
  <si>
    <t>REL02076</t>
  </si>
  <si>
    <t>REL02077</t>
  </si>
  <si>
    <t>REL02078</t>
  </si>
  <si>
    <t>REL02079</t>
  </si>
  <si>
    <t>REL02080</t>
  </si>
  <si>
    <t>REL02081</t>
  </si>
  <si>
    <t>REL02082</t>
  </si>
  <si>
    <t>REL02083</t>
  </si>
  <si>
    <t>REL02084</t>
  </si>
  <si>
    <t>REL02085</t>
  </si>
  <si>
    <t>REL02086</t>
  </si>
  <si>
    <t>REL02087</t>
  </si>
  <si>
    <t>REL02088</t>
  </si>
  <si>
    <t>REL02089</t>
  </si>
  <si>
    <t>REL02090</t>
  </si>
  <si>
    <t>REL02091</t>
  </si>
  <si>
    <t>REL02092</t>
  </si>
  <si>
    <t>REL02093</t>
  </si>
  <si>
    <t>REL02094</t>
  </si>
  <si>
    <t>REL02095</t>
  </si>
  <si>
    <t>REL02096</t>
  </si>
  <si>
    <t>REL02097</t>
  </si>
  <si>
    <t>REL02098</t>
  </si>
  <si>
    <t>REL02099</t>
  </si>
  <si>
    <t>REL02100</t>
  </si>
  <si>
    <t>REL02101</t>
  </si>
  <si>
    <t>REL02102</t>
  </si>
  <si>
    <t>REL02103</t>
  </si>
  <si>
    <t>REL02104</t>
  </si>
  <si>
    <t>REL02105</t>
  </si>
  <si>
    <t>REL02106</t>
  </si>
  <si>
    <t>REL02107</t>
  </si>
  <si>
    <t>REL02108</t>
  </si>
  <si>
    <t>REL02109</t>
  </si>
  <si>
    <t>REL02110</t>
  </si>
  <si>
    <t>REL02111</t>
  </si>
  <si>
    <t>REL02112</t>
  </si>
  <si>
    <t>REL02113</t>
  </si>
  <si>
    <t>REL02114</t>
  </si>
  <si>
    <t>REL02115</t>
  </si>
  <si>
    <t>REL02116</t>
  </si>
  <si>
    <t>REL02117</t>
  </si>
  <si>
    <t>REL02118</t>
  </si>
  <si>
    <t>REL02119</t>
  </si>
  <si>
    <t>REL02120</t>
  </si>
  <si>
    <t>REL02121</t>
  </si>
  <si>
    <t>REL02122</t>
  </si>
  <si>
    <t>REL02123</t>
  </si>
  <si>
    <t>REL02124</t>
  </si>
  <si>
    <t>REL02125</t>
  </si>
  <si>
    <t>REL02126</t>
  </si>
  <si>
    <t>REL02127</t>
  </si>
  <si>
    <t>REL02128</t>
  </si>
  <si>
    <t>REL02129</t>
  </si>
  <si>
    <t>REL02130</t>
  </si>
  <si>
    <t>REL02131</t>
  </si>
  <si>
    <t>REL02132</t>
  </si>
  <si>
    <t>REL02133</t>
  </si>
  <si>
    <t>REL02134</t>
  </si>
  <si>
    <t>REL02135</t>
  </si>
  <si>
    <t>REL02136</t>
  </si>
  <si>
    <t>REL02137</t>
  </si>
  <si>
    <t>REL02138</t>
  </si>
  <si>
    <t>REL02139</t>
  </si>
  <si>
    <t>REL02140</t>
  </si>
  <si>
    <t>REL02141</t>
  </si>
  <si>
    <t>REL02142</t>
  </si>
  <si>
    <t>REL02143</t>
  </si>
  <si>
    <t>REL02144</t>
  </si>
  <si>
    <t>REL02145</t>
  </si>
  <si>
    <t>REL02146</t>
  </si>
  <si>
    <t>REL02147</t>
  </si>
  <si>
    <t>REL02148</t>
  </si>
  <si>
    <t>REL02149</t>
  </si>
  <si>
    <t>REL02150</t>
  </si>
  <si>
    <t>REL02151</t>
  </si>
  <si>
    <t>REL02152</t>
  </si>
  <si>
    <t>REL02153</t>
  </si>
  <si>
    <t>REL02154</t>
  </si>
  <si>
    <t>REL02155</t>
  </si>
  <si>
    <t>REL02156</t>
  </si>
  <si>
    <t>REL02157</t>
  </si>
  <si>
    <t>REL02158</t>
  </si>
  <si>
    <t>REL02159</t>
  </si>
  <si>
    <t>REL02160</t>
  </si>
  <si>
    <t>REL02161</t>
  </si>
  <si>
    <t>REL02162</t>
  </si>
  <si>
    <t>REL02163</t>
  </si>
  <si>
    <t>REL02164</t>
  </si>
  <si>
    <t>REL02165</t>
  </si>
  <si>
    <t>REL02166</t>
  </si>
  <si>
    <t>REL02167</t>
  </si>
  <si>
    <t>REL02168</t>
  </si>
  <si>
    <t>REL02169</t>
  </si>
  <si>
    <t>REL02170</t>
  </si>
  <si>
    <t>REL02171</t>
  </si>
  <si>
    <t>REL02172</t>
  </si>
  <si>
    <t>REL02173</t>
  </si>
  <si>
    <t>REL02174</t>
  </si>
  <si>
    <t>REL02175</t>
  </si>
  <si>
    <t>REL02176</t>
  </si>
  <si>
    <t>REL02177</t>
  </si>
  <si>
    <t>REL02178</t>
  </si>
  <si>
    <t>REL02179</t>
  </si>
  <si>
    <t>REL02180</t>
  </si>
  <si>
    <t>REL02181</t>
  </si>
  <si>
    <t>REL02182</t>
  </si>
  <si>
    <t>REL02183</t>
  </si>
  <si>
    <t>REL02184</t>
  </si>
  <si>
    <t>REL02185</t>
  </si>
  <si>
    <t>REL02186</t>
  </si>
  <si>
    <t>REL02187</t>
  </si>
  <si>
    <t>REL02188</t>
  </si>
  <si>
    <t>REL02189</t>
  </si>
  <si>
    <t>REL02190</t>
  </si>
  <si>
    <t>REL02191</t>
  </si>
  <si>
    <t>REL02192</t>
  </si>
  <si>
    <t>REL02193</t>
  </si>
  <si>
    <t>REL02194</t>
  </si>
  <si>
    <t>REL02195</t>
  </si>
  <si>
    <t>REL02196</t>
  </si>
  <si>
    <t>REL02197</t>
  </si>
  <si>
    <t>REL02198</t>
  </si>
  <si>
    <t>REL02199</t>
  </si>
  <si>
    <t>REL02200</t>
  </si>
  <si>
    <t>REL02201</t>
  </si>
  <si>
    <t>REL02202</t>
  </si>
  <si>
    <t>REL02203</t>
  </si>
  <si>
    <t>REL02204</t>
  </si>
  <si>
    <t>REL02205</t>
  </si>
  <si>
    <t>REL02206</t>
  </si>
  <si>
    <t>REL02207</t>
  </si>
  <si>
    <t>REL02208</t>
  </si>
  <si>
    <t>REL02209</t>
  </si>
  <si>
    <t>REL02210</t>
  </si>
  <si>
    <t>REL02211</t>
  </si>
  <si>
    <t>REL02212</t>
  </si>
  <si>
    <t>REL02213</t>
  </si>
  <si>
    <t>REL02214</t>
  </si>
  <si>
    <t>REL02215</t>
  </si>
  <si>
    <t>REL02216</t>
  </si>
  <si>
    <t>REL02217</t>
  </si>
  <si>
    <t>REL02218</t>
  </si>
  <si>
    <t>REL02219</t>
  </si>
  <si>
    <t>REL02220</t>
  </si>
  <si>
    <t>REL02221</t>
  </si>
  <si>
    <t>REL02222</t>
  </si>
  <si>
    <t>REL02223</t>
  </si>
  <si>
    <t>REL02224</t>
  </si>
  <si>
    <t>REL02225</t>
  </si>
  <si>
    <t>REL02226</t>
  </si>
  <si>
    <t>REL02227</t>
  </si>
  <si>
    <t>REL02228</t>
  </si>
  <si>
    <t>REL02229</t>
  </si>
  <si>
    <t>REL02230</t>
  </si>
  <si>
    <t>REL02231</t>
  </si>
  <si>
    <t>REL02232</t>
  </si>
  <si>
    <t>REL02233</t>
  </si>
  <si>
    <t>REL02234</t>
  </si>
  <si>
    <t>REL02235</t>
  </si>
  <si>
    <t>REL02236</t>
  </si>
  <si>
    <t>REL02237</t>
  </si>
  <si>
    <t>REL02238</t>
  </si>
  <si>
    <t>REL02239</t>
  </si>
  <si>
    <t>REL02240</t>
  </si>
  <si>
    <t>REL02241</t>
  </si>
  <si>
    <t>REL02242</t>
  </si>
  <si>
    <t>REL02243</t>
  </si>
  <si>
    <t>REL02244</t>
  </si>
  <si>
    <t>REL02245</t>
  </si>
  <si>
    <t>REL02246</t>
  </si>
  <si>
    <t>REL02247</t>
  </si>
  <si>
    <t>REL02248</t>
  </si>
  <si>
    <t>REL02249</t>
  </si>
  <si>
    <t>REL02250</t>
  </si>
  <si>
    <t>REL02251</t>
  </si>
  <si>
    <t>REL02252</t>
  </si>
  <si>
    <t>REL02253</t>
  </si>
  <si>
    <t>REL02254</t>
  </si>
  <si>
    <t>REL02255</t>
  </si>
  <si>
    <t>REL02256</t>
  </si>
  <si>
    <t>REL02257</t>
  </si>
  <si>
    <t>REL02258</t>
  </si>
  <si>
    <t>REL02259</t>
  </si>
  <si>
    <t>REL02260</t>
  </si>
  <si>
    <t>REL02261</t>
  </si>
  <si>
    <t>REL02262</t>
  </si>
  <si>
    <t>REL02263</t>
  </si>
  <si>
    <t>REL02264</t>
  </si>
  <si>
    <t>REL02265</t>
  </si>
  <si>
    <t>REL02266</t>
  </si>
  <si>
    <t>REL02267</t>
  </si>
  <si>
    <t>REL02268</t>
  </si>
  <si>
    <t>REL02269</t>
  </si>
  <si>
    <t>REL02270</t>
  </si>
  <si>
    <t>REL02271</t>
  </si>
  <si>
    <t>REL02272</t>
  </si>
  <si>
    <t>REL02273</t>
  </si>
  <si>
    <t>REL02274</t>
  </si>
  <si>
    <t>REL02275</t>
  </si>
  <si>
    <t>REL02276</t>
  </si>
  <si>
    <t>REL02277</t>
  </si>
  <si>
    <t>REL02278</t>
  </si>
  <si>
    <t>REL02279</t>
  </si>
  <si>
    <t>REL02280</t>
  </si>
  <si>
    <t>REL02281</t>
  </si>
  <si>
    <t>REL02282</t>
  </si>
  <si>
    <t>REL02283</t>
  </si>
  <si>
    <t>REL02284</t>
  </si>
  <si>
    <t>REL02285</t>
  </si>
  <si>
    <t>REL02286</t>
  </si>
  <si>
    <t>REL02287</t>
  </si>
  <si>
    <t>REL02288</t>
  </si>
  <si>
    <t>REL02289</t>
  </si>
  <si>
    <t>REL02290</t>
  </si>
  <si>
    <t>REL02291</t>
  </si>
  <si>
    <t>REL02292</t>
  </si>
  <si>
    <t>REL02293</t>
  </si>
  <si>
    <t>REL02294</t>
  </si>
  <si>
    <t>REL02295</t>
  </si>
  <si>
    <t>REL02296</t>
  </si>
  <si>
    <t>REL02297</t>
  </si>
  <si>
    <t>REL02298</t>
  </si>
  <si>
    <t>REL02299</t>
  </si>
  <si>
    <t>REL02300</t>
  </si>
  <si>
    <t>REL02301</t>
  </si>
  <si>
    <t>REL02302</t>
  </si>
  <si>
    <t>REL02303</t>
  </si>
  <si>
    <t>REL02304</t>
  </si>
  <si>
    <t>REL02305</t>
  </si>
  <si>
    <t>REL02306</t>
  </si>
  <si>
    <t>REL02307</t>
  </si>
  <si>
    <t>REL02308</t>
  </si>
  <si>
    <t>REL02309</t>
  </si>
  <si>
    <t>REL02310</t>
  </si>
  <si>
    <t>REL02311</t>
  </si>
  <si>
    <t>REL02312</t>
  </si>
  <si>
    <t>REL02313</t>
  </si>
  <si>
    <t>REL02314</t>
  </si>
  <si>
    <t>REL02315</t>
  </si>
  <si>
    <t>REL02316</t>
  </si>
  <si>
    <t>REL02317</t>
  </si>
  <si>
    <t>REL02318</t>
  </si>
  <si>
    <t>REL02319</t>
  </si>
  <si>
    <t>REL02320</t>
  </si>
  <si>
    <t>REL02321</t>
  </si>
  <si>
    <t>REL02322</t>
  </si>
  <si>
    <t>REL02323</t>
  </si>
  <si>
    <t>REL02324</t>
  </si>
  <si>
    <t>REL02325</t>
  </si>
  <si>
    <t>REL02326</t>
  </si>
  <si>
    <t>REL02327</t>
  </si>
  <si>
    <t>REL02328</t>
  </si>
  <si>
    <t>REL02329</t>
  </si>
  <si>
    <t>REL02330</t>
  </si>
  <si>
    <t>REL02331</t>
  </si>
  <si>
    <t>REL02332</t>
  </si>
  <si>
    <t>REL02333</t>
  </si>
  <si>
    <t>REL02334</t>
  </si>
  <si>
    <t>REL02335</t>
  </si>
  <si>
    <t>REL02336</t>
  </si>
  <si>
    <t>REL02337</t>
  </si>
  <si>
    <t>REL02338</t>
  </si>
  <si>
    <t>REL02339</t>
  </si>
  <si>
    <t>REL02340</t>
  </si>
  <si>
    <t>REL02341</t>
  </si>
  <si>
    <t>REL02342</t>
  </si>
  <si>
    <t>REL02343</t>
  </si>
  <si>
    <t>REL02344</t>
  </si>
  <si>
    <t>REL02345</t>
  </si>
  <si>
    <t>REL02346</t>
  </si>
  <si>
    <t>REL02347</t>
  </si>
  <si>
    <t>REL02348</t>
  </si>
  <si>
    <t>REL02349</t>
  </si>
  <si>
    <t>REL02350</t>
  </si>
  <si>
    <t>REL02351</t>
  </si>
  <si>
    <t>REL02352</t>
  </si>
  <si>
    <t>REL02353</t>
  </si>
  <si>
    <t>REL02354</t>
  </si>
  <si>
    <t>REL02355</t>
  </si>
  <si>
    <t>REL02356</t>
  </si>
  <si>
    <t>REL02357</t>
  </si>
  <si>
    <t>REL02358</t>
  </si>
  <si>
    <t>REL02359</t>
  </si>
  <si>
    <t>REL02360</t>
  </si>
  <si>
    <t>REL02361</t>
  </si>
  <si>
    <t>REL02362</t>
  </si>
  <si>
    <t>REL02363</t>
  </si>
  <si>
    <t>REL02364</t>
  </si>
  <si>
    <t>REL02365</t>
  </si>
  <si>
    <t>REL02366</t>
  </si>
  <si>
    <t>REL02367</t>
  </si>
  <si>
    <t>REL02368</t>
  </si>
  <si>
    <t>REL02369</t>
  </si>
  <si>
    <t>REL02370</t>
  </si>
  <si>
    <t>REL02371</t>
  </si>
  <si>
    <t>REL02372</t>
  </si>
  <si>
    <t>REL02373</t>
  </si>
  <si>
    <t>REL02374</t>
  </si>
  <si>
    <t>REL02375</t>
  </si>
  <si>
    <t>REL02376</t>
  </si>
  <si>
    <t>REL02377</t>
  </si>
  <si>
    <t>REL02378</t>
  </si>
  <si>
    <t>REL02379</t>
  </si>
  <si>
    <t>REL02380</t>
  </si>
  <si>
    <t>REL02381</t>
  </si>
  <si>
    <t>REL02382</t>
  </si>
  <si>
    <t>REL02383</t>
  </si>
  <si>
    <t>REL02384</t>
  </si>
  <si>
    <t>REL02385</t>
  </si>
  <si>
    <t>REL02386</t>
  </si>
  <si>
    <t>REL02387</t>
  </si>
  <si>
    <t>REL02388</t>
  </si>
  <si>
    <t>REL02389</t>
  </si>
  <si>
    <t>REL02390</t>
  </si>
  <si>
    <t>REL02391</t>
  </si>
  <si>
    <t>REL02392</t>
  </si>
  <si>
    <t>REL02393</t>
  </si>
  <si>
    <t>REL02394</t>
  </si>
  <si>
    <t>REL02395</t>
  </si>
  <si>
    <t>REL02396</t>
  </si>
  <si>
    <t>REL02397</t>
  </si>
  <si>
    <t>REL02398</t>
  </si>
  <si>
    <t>REL02399</t>
  </si>
  <si>
    <t>REL02400</t>
  </si>
  <si>
    <t>REL02401</t>
  </si>
  <si>
    <t>REL02402</t>
  </si>
  <si>
    <t>REL02403</t>
  </si>
  <si>
    <t>REL02404</t>
  </si>
  <si>
    <t>REL02405</t>
  </si>
  <si>
    <t>REL02406</t>
  </si>
  <si>
    <t>REL02407</t>
  </si>
  <si>
    <t>REL02408</t>
  </si>
  <si>
    <t>REL02409</t>
  </si>
  <si>
    <t>REL02410</t>
  </si>
  <si>
    <t>REL02411</t>
  </si>
  <si>
    <t>REL02412</t>
  </si>
  <si>
    <t>REL02413</t>
  </si>
  <si>
    <t>REL02414</t>
  </si>
  <si>
    <t>REL02415</t>
  </si>
  <si>
    <t>REL02416</t>
  </si>
  <si>
    <t>REL02417</t>
  </si>
  <si>
    <t>REL02418</t>
  </si>
  <si>
    <t>REL02419</t>
  </si>
  <si>
    <t>REL02420</t>
  </si>
  <si>
    <t>REL02421</t>
  </si>
  <si>
    <t>REL02422</t>
  </si>
  <si>
    <t>REL02423</t>
  </si>
  <si>
    <t>REL02424</t>
  </si>
  <si>
    <t>REL02425</t>
  </si>
  <si>
    <t>REL02426</t>
  </si>
  <si>
    <t>REL02427</t>
  </si>
  <si>
    <t>REL02428</t>
  </si>
  <si>
    <t>REL02429</t>
  </si>
  <si>
    <t>REL02430</t>
  </si>
  <si>
    <t>REL02431</t>
  </si>
  <si>
    <t>REL02432</t>
  </si>
  <si>
    <t>REL02433</t>
  </si>
  <si>
    <t>REL02434</t>
  </si>
  <si>
    <t>REL02435</t>
  </si>
  <si>
    <t>REL02436</t>
  </si>
  <si>
    <t>REL02437</t>
  </si>
  <si>
    <t>REL02438</t>
  </si>
  <si>
    <t>REL02439</t>
  </si>
  <si>
    <t>REL02440</t>
  </si>
  <si>
    <t>REL02441</t>
  </si>
  <si>
    <t>REL02442</t>
  </si>
  <si>
    <t>REL02443</t>
  </si>
  <si>
    <t>REL02444</t>
  </si>
  <si>
    <t>REL02445</t>
  </si>
  <si>
    <t>REL02446</t>
  </si>
  <si>
    <t>REL02447</t>
  </si>
  <si>
    <t>REL02448</t>
  </si>
  <si>
    <t>REL02449</t>
  </si>
  <si>
    <t>REL02450</t>
  </si>
  <si>
    <t>REL02451</t>
  </si>
  <si>
    <t>REL02452</t>
  </si>
  <si>
    <t>REL02453</t>
  </si>
  <si>
    <t>REL02454</t>
  </si>
  <si>
    <t>REL02455</t>
  </si>
  <si>
    <t>REL02456</t>
  </si>
  <si>
    <t>REL02457</t>
  </si>
  <si>
    <t>REL02458</t>
  </si>
  <si>
    <t>REL02459</t>
  </si>
  <si>
    <t>REL02460</t>
  </si>
  <si>
    <t>REL02461</t>
  </si>
  <si>
    <t>REL02462</t>
  </si>
  <si>
    <t>REL02463</t>
  </si>
  <si>
    <t>REL02464</t>
  </si>
  <si>
    <t>REL02465</t>
  </si>
  <si>
    <t>REL02466</t>
  </si>
  <si>
    <t>REL02467</t>
  </si>
  <si>
    <t>REL02468</t>
  </si>
  <si>
    <t>REL02469</t>
  </si>
  <si>
    <t>REL02470</t>
  </si>
  <si>
    <t>REL02471</t>
  </si>
  <si>
    <t>REL02472</t>
  </si>
  <si>
    <t>REL02473</t>
  </si>
  <si>
    <t>REL02474</t>
  </si>
  <si>
    <t>REL02475</t>
  </si>
  <si>
    <t>REL02476</t>
  </si>
  <si>
    <t>REL02477</t>
  </si>
  <si>
    <t>REL02478</t>
  </si>
  <si>
    <t>REL02479</t>
  </si>
  <si>
    <t>REL02480</t>
  </si>
  <si>
    <t>REL02481</t>
  </si>
  <si>
    <t>REL02482</t>
  </si>
  <si>
    <t>REL02483</t>
  </si>
  <si>
    <t>REL02484</t>
  </si>
  <si>
    <t>REL02485</t>
  </si>
  <si>
    <t>REL02486</t>
  </si>
  <si>
    <t>REL02487</t>
  </si>
  <si>
    <t>REL02488</t>
  </si>
  <si>
    <t>REL02489</t>
  </si>
  <si>
    <t>REL02490</t>
  </si>
  <si>
    <t>REL02491</t>
  </si>
  <si>
    <t>REL02492</t>
  </si>
  <si>
    <t>REL02493</t>
  </si>
  <si>
    <t>REL02494</t>
  </si>
  <si>
    <t>REL02495</t>
  </si>
  <si>
    <t>REL02496</t>
  </si>
  <si>
    <t>REL02497</t>
  </si>
  <si>
    <t>REL02498</t>
  </si>
  <si>
    <t>REL02499</t>
  </si>
  <si>
    <t>REL02500</t>
  </si>
  <si>
    <t>REL02501</t>
  </si>
  <si>
    <t>REL02502</t>
  </si>
  <si>
    <t>REL02503</t>
  </si>
  <si>
    <t>REL02504</t>
  </si>
  <si>
    <t>REL02505</t>
  </si>
  <si>
    <t>REL02506</t>
  </si>
  <si>
    <t>REL02507</t>
  </si>
  <si>
    <t>REL02508</t>
  </si>
  <si>
    <t>REL02509</t>
  </si>
  <si>
    <t>REL02510</t>
  </si>
  <si>
    <t>REL02511</t>
  </si>
  <si>
    <t>REL02512</t>
  </si>
  <si>
    <t>REL02513</t>
  </si>
  <si>
    <t>REL02514</t>
  </si>
  <si>
    <t>REL02515</t>
  </si>
  <si>
    <t>REL02516</t>
  </si>
  <si>
    <t>REL02517</t>
  </si>
  <si>
    <t>REL02518</t>
  </si>
  <si>
    <t>REL02519</t>
  </si>
  <si>
    <t>REL02520</t>
  </si>
  <si>
    <t>REL02521</t>
  </si>
  <si>
    <t>REL02522</t>
  </si>
  <si>
    <t>REL02523</t>
  </si>
  <si>
    <t>REL02524</t>
  </si>
  <si>
    <t>REL02525</t>
  </si>
  <si>
    <t>REL02526</t>
  </si>
  <si>
    <t>REL02527</t>
  </si>
  <si>
    <t>REL02528</t>
  </si>
  <si>
    <t>REL02529</t>
  </si>
  <si>
    <t>REL02530</t>
  </si>
  <si>
    <t>REL02531</t>
  </si>
  <si>
    <t>REL02532</t>
  </si>
  <si>
    <t>REL02533</t>
  </si>
  <si>
    <t>REL02534</t>
  </si>
  <si>
    <t>REL02535</t>
  </si>
  <si>
    <t>REL02536</t>
  </si>
  <si>
    <t>REL02537</t>
  </si>
  <si>
    <t>REL02538</t>
  </si>
  <si>
    <t>REL02539</t>
  </si>
  <si>
    <t>REL02540</t>
  </si>
  <si>
    <t>REL02541</t>
  </si>
  <si>
    <t>REL02542</t>
  </si>
  <si>
    <t>REL02543</t>
  </si>
  <si>
    <t>REL02544</t>
  </si>
  <si>
    <t>REL02545</t>
  </si>
  <si>
    <t>REL02546</t>
  </si>
  <si>
    <t>REL02547</t>
  </si>
  <si>
    <t>REL02548</t>
  </si>
  <si>
    <t>REL02549</t>
  </si>
  <si>
    <t>REL02550</t>
  </si>
  <si>
    <t>REL02551</t>
  </si>
  <si>
    <t>REL02552</t>
  </si>
  <si>
    <t>REL02553</t>
  </si>
  <si>
    <t>REL02554</t>
  </si>
  <si>
    <t>REL02555</t>
  </si>
  <si>
    <t>REL02556</t>
  </si>
  <si>
    <t>REL02557</t>
  </si>
  <si>
    <t>REL02558</t>
  </si>
  <si>
    <t>REL02559</t>
  </si>
  <si>
    <t>REL02560</t>
  </si>
  <si>
    <t>REL02561</t>
  </si>
  <si>
    <t>REL02562</t>
  </si>
  <si>
    <t>REL02563</t>
  </si>
  <si>
    <t>REL02564</t>
  </si>
  <si>
    <t>REL02565</t>
  </si>
  <si>
    <t>REL02566</t>
  </si>
  <si>
    <t>REL02567</t>
  </si>
  <si>
    <t>REL02568</t>
  </si>
  <si>
    <t>REL02569</t>
  </si>
  <si>
    <t>REL02570</t>
  </si>
  <si>
    <t>REL02571</t>
  </si>
  <si>
    <t>REL02572</t>
  </si>
  <si>
    <t>REL02573</t>
  </si>
  <si>
    <t>REL02574</t>
  </si>
  <si>
    <t>REL02575</t>
  </si>
  <si>
    <t>REL02576</t>
  </si>
  <si>
    <t>REL02577</t>
  </si>
  <si>
    <t>REL02578</t>
  </si>
  <si>
    <t>REL02579</t>
  </si>
  <si>
    <t>REL02580</t>
  </si>
  <si>
    <t>REL02581</t>
  </si>
  <si>
    <t>REL02582</t>
  </si>
  <si>
    <t>REL02583</t>
  </si>
  <si>
    <t>REL02584</t>
  </si>
  <si>
    <t>REL02585</t>
  </si>
  <si>
    <t>REL02586</t>
  </si>
  <si>
    <t>REL02587</t>
  </si>
  <si>
    <t>REL02588</t>
  </si>
  <si>
    <t>REL02589</t>
  </si>
  <si>
    <t>REL02590</t>
  </si>
  <si>
    <t>REL02591</t>
  </si>
  <si>
    <t>REL02592</t>
  </si>
  <si>
    <t>REL02593</t>
  </si>
  <si>
    <t>REL02594</t>
  </si>
  <si>
    <t>REL02595</t>
  </si>
  <si>
    <t>REL02596</t>
  </si>
  <si>
    <t>REL02597</t>
  </si>
  <si>
    <t>REL02598</t>
  </si>
  <si>
    <t>REL02599</t>
  </si>
  <si>
    <t>REL02600</t>
  </si>
  <si>
    <t>REL02601</t>
  </si>
  <si>
    <t>REL02602</t>
  </si>
  <si>
    <t>REL02603</t>
  </si>
  <si>
    <t>REL02604</t>
  </si>
  <si>
    <t>REL02605</t>
  </si>
  <si>
    <t>REL02606</t>
  </si>
  <si>
    <t>REL02607</t>
  </si>
  <si>
    <t>REL02608</t>
  </si>
  <si>
    <t>REL02609</t>
  </si>
  <si>
    <t>REL02610</t>
  </si>
  <si>
    <t>REL02611</t>
  </si>
  <si>
    <t>REL02612</t>
  </si>
  <si>
    <t>REL02613</t>
  </si>
  <si>
    <t>REL02614</t>
  </si>
  <si>
    <t>REL02615</t>
  </si>
  <si>
    <t>REL02616</t>
  </si>
  <si>
    <t>REL02617</t>
  </si>
  <si>
    <t>REL02618</t>
  </si>
  <si>
    <t>REL02619</t>
  </si>
  <si>
    <t>REL02620</t>
  </si>
  <si>
    <t>REL02621</t>
  </si>
  <si>
    <t>REL02622</t>
  </si>
  <si>
    <t>REL02623</t>
  </si>
  <si>
    <t>REL02624</t>
  </si>
  <si>
    <t>REL02625</t>
  </si>
  <si>
    <t>REL02626</t>
  </si>
  <si>
    <t>REL02627</t>
  </si>
  <si>
    <t>REL02628</t>
  </si>
  <si>
    <t>REL02629</t>
  </si>
  <si>
    <t>REL02630</t>
  </si>
  <si>
    <t>REL02631</t>
  </si>
  <si>
    <t>REL02632</t>
  </si>
  <si>
    <t>REL02633</t>
  </si>
  <si>
    <t>REL02634</t>
  </si>
  <si>
    <t>REL02635</t>
  </si>
  <si>
    <t>REL02636</t>
  </si>
  <si>
    <t>REL02637</t>
  </si>
  <si>
    <t>REL02638</t>
  </si>
  <si>
    <t>REL02639</t>
  </si>
  <si>
    <t>REL02640</t>
  </si>
  <si>
    <t>REL02641</t>
  </si>
  <si>
    <t>REL02642</t>
  </si>
  <si>
    <t>REL02643</t>
  </si>
  <si>
    <t>REL02644</t>
  </si>
  <si>
    <t>REL02645</t>
  </si>
  <si>
    <t>REL02646</t>
  </si>
  <si>
    <t>REL02647</t>
  </si>
  <si>
    <t>REL02648</t>
  </si>
  <si>
    <t>REL02649</t>
  </si>
  <si>
    <t>REL02650</t>
  </si>
  <si>
    <t>REL02651</t>
  </si>
  <si>
    <t>REL02652</t>
  </si>
  <si>
    <t>REL02653</t>
  </si>
  <si>
    <t>REL02654</t>
  </si>
  <si>
    <t>REL02655</t>
  </si>
  <si>
    <t>REL02656</t>
  </si>
  <si>
    <t>REL02657</t>
  </si>
  <si>
    <t>REL02658</t>
  </si>
  <si>
    <t>REL02659</t>
  </si>
  <si>
    <t>REL02660</t>
  </si>
  <si>
    <t>REL02661</t>
  </si>
  <si>
    <t>REL02662</t>
  </si>
  <si>
    <t>REL02663</t>
  </si>
  <si>
    <t>REL02664</t>
  </si>
  <si>
    <t>REL02665</t>
  </si>
  <si>
    <t>REL02666</t>
  </si>
  <si>
    <t>REL02667</t>
  </si>
  <si>
    <t>REL02668</t>
  </si>
  <si>
    <t>REL02669</t>
  </si>
  <si>
    <t>REL02670</t>
  </si>
  <si>
    <t>REL02671</t>
  </si>
  <si>
    <t>REL02672</t>
  </si>
  <si>
    <t>REL02673</t>
  </si>
  <si>
    <t>REL02674</t>
  </si>
  <si>
    <t>REL02675</t>
  </si>
  <si>
    <t>REL02676</t>
  </si>
  <si>
    <t>REL02677</t>
  </si>
  <si>
    <t>REL02678</t>
  </si>
  <si>
    <t>REL02679</t>
  </si>
  <si>
    <t>REL02680</t>
  </si>
  <si>
    <t>REL02681</t>
  </si>
  <si>
    <t>REL02682</t>
  </si>
  <si>
    <t>REL02683</t>
  </si>
  <si>
    <t>REL02684</t>
  </si>
  <si>
    <t>REL02685</t>
  </si>
  <si>
    <t>REL02686</t>
  </si>
  <si>
    <t>REL02687</t>
  </si>
  <si>
    <t>REL02688</t>
  </si>
  <si>
    <t>REL02689</t>
  </si>
  <si>
    <t>REL02690</t>
  </si>
  <si>
    <t>REL02691</t>
  </si>
  <si>
    <t>REL02692</t>
  </si>
  <si>
    <t>REL02693</t>
  </si>
  <si>
    <t>REL02694</t>
  </si>
  <si>
    <t>REL02695</t>
  </si>
  <si>
    <t>REL02696</t>
  </si>
  <si>
    <t>REL02697</t>
  </si>
  <si>
    <t>REL02698</t>
  </si>
  <si>
    <t>REL02699</t>
  </si>
  <si>
    <t>REL02700</t>
  </si>
  <si>
    <t>REL02701</t>
  </si>
  <si>
    <t>REL02702</t>
  </si>
  <si>
    <t>REL02703</t>
  </si>
  <si>
    <t>REL02704</t>
  </si>
  <si>
    <t>REL02705</t>
  </si>
  <si>
    <t>REL02706</t>
  </si>
  <si>
    <t>REL02707</t>
  </si>
  <si>
    <t>REL02708</t>
  </si>
  <si>
    <t>REL02709</t>
  </si>
  <si>
    <t>REL02710</t>
  </si>
  <si>
    <t>REL02711</t>
  </si>
  <si>
    <t>REL02712</t>
  </si>
  <si>
    <t>REL02713</t>
  </si>
  <si>
    <t>REL02714</t>
  </si>
  <si>
    <t>REL02715</t>
  </si>
  <si>
    <t>REL02716</t>
  </si>
  <si>
    <t>REL02717</t>
  </si>
  <si>
    <t>REL02718</t>
  </si>
  <si>
    <t>REL02719</t>
  </si>
  <si>
    <t>REL02720</t>
  </si>
  <si>
    <t>REL02721</t>
  </si>
  <si>
    <t>REL02722</t>
  </si>
  <si>
    <t>REL02723</t>
  </si>
  <si>
    <t>REL02724</t>
  </si>
  <si>
    <t>REL02725</t>
  </si>
  <si>
    <t>REL02726</t>
  </si>
  <si>
    <t>REL02727</t>
  </si>
  <si>
    <t>REL02728</t>
  </si>
  <si>
    <t>REL02729</t>
  </si>
  <si>
    <t>REL02730</t>
  </si>
  <si>
    <t>REL02731</t>
  </si>
  <si>
    <t>REL02732</t>
  </si>
  <si>
    <t>REL02733</t>
  </si>
  <si>
    <t>REL02734</t>
  </si>
  <si>
    <t>REL02735</t>
  </si>
  <si>
    <t>REL02736</t>
  </si>
  <si>
    <t>REL02737</t>
  </si>
  <si>
    <t>REL02738</t>
  </si>
  <si>
    <t>REL02739</t>
  </si>
  <si>
    <t>REL02740</t>
  </si>
  <si>
    <t>REL02741</t>
  </si>
  <si>
    <t>REL02742</t>
  </si>
  <si>
    <t>REL02743</t>
  </si>
  <si>
    <t>REL02744</t>
  </si>
  <si>
    <t>REL02745</t>
  </si>
  <si>
    <t>REL02746</t>
  </si>
  <si>
    <t>REL02747</t>
  </si>
  <si>
    <t>REL02748</t>
  </si>
  <si>
    <t>REL02749</t>
  </si>
  <si>
    <t>REL02750</t>
  </si>
  <si>
    <t>REL02751</t>
  </si>
  <si>
    <t>REL02752</t>
  </si>
  <si>
    <t>REL02753</t>
  </si>
  <si>
    <t>REL02754</t>
  </si>
  <si>
    <t>REL02755</t>
  </si>
  <si>
    <t>REL02756</t>
  </si>
  <si>
    <t>REL02757</t>
  </si>
  <si>
    <t>REL02758</t>
  </si>
  <si>
    <t>REL02759</t>
  </si>
  <si>
    <t>REL02760</t>
  </si>
  <si>
    <t>REL02761</t>
  </si>
  <si>
    <t>REL02762</t>
  </si>
  <si>
    <t>REL02763</t>
  </si>
  <si>
    <t>REL02764</t>
  </si>
  <si>
    <t>REL02765</t>
  </si>
  <si>
    <t>REL02766</t>
  </si>
  <si>
    <t>REL02767</t>
  </si>
  <si>
    <t>REL02768</t>
  </si>
  <si>
    <t>REL02769</t>
  </si>
  <si>
    <t>REL02770</t>
  </si>
  <si>
    <t>REL02771</t>
  </si>
  <si>
    <t>REL02772</t>
  </si>
  <si>
    <t>REL02773</t>
  </si>
  <si>
    <t>REL02774</t>
  </si>
  <si>
    <t>REL02775</t>
  </si>
  <si>
    <t>REL02776</t>
  </si>
  <si>
    <t>REL02777</t>
  </si>
  <si>
    <t>REL02778</t>
  </si>
  <si>
    <t>REL02779</t>
  </si>
  <si>
    <t>REL02780</t>
  </si>
  <si>
    <t>REL02781</t>
  </si>
  <si>
    <t>REL02782</t>
  </si>
  <si>
    <t>REL02783</t>
  </si>
  <si>
    <t>REL02784</t>
  </si>
  <si>
    <t>REL02785</t>
  </si>
  <si>
    <t>REL02786</t>
  </si>
  <si>
    <t>REL02787</t>
  </si>
  <si>
    <t>REL02788</t>
  </si>
  <si>
    <t>REL02789</t>
  </si>
  <si>
    <t>REL02790</t>
  </si>
  <si>
    <t>REL02791</t>
  </si>
  <si>
    <t>REL02792</t>
  </si>
  <si>
    <t>REL02793</t>
  </si>
  <si>
    <t>REL02794</t>
  </si>
  <si>
    <t>REL02795</t>
  </si>
  <si>
    <t>REL02796</t>
  </si>
  <si>
    <t>REL02797</t>
  </si>
  <si>
    <t>REL02798</t>
  </si>
  <si>
    <t>REL02799</t>
  </si>
  <si>
    <t>REL02800</t>
  </si>
  <si>
    <t>REL02801</t>
  </si>
  <si>
    <t>REL02802</t>
  </si>
  <si>
    <t>REL02803</t>
  </si>
  <si>
    <t>REL02804</t>
  </si>
  <si>
    <t>REL02805</t>
  </si>
  <si>
    <t>REL02806</t>
  </si>
  <si>
    <t>REL02807</t>
  </si>
  <si>
    <t>REL02808</t>
  </si>
  <si>
    <t>REL02809</t>
  </si>
  <si>
    <t>REL02810</t>
  </si>
  <si>
    <t>REL02811</t>
  </si>
  <si>
    <t>REL02812</t>
  </si>
  <si>
    <t>REL02813</t>
  </si>
  <si>
    <t>REL02814</t>
  </si>
  <si>
    <t>REL02815</t>
  </si>
  <si>
    <t>REL02816</t>
  </si>
  <si>
    <t>REL02817</t>
  </si>
  <si>
    <t>REL02818</t>
  </si>
  <si>
    <t>REL02819</t>
  </si>
  <si>
    <t>REL02820</t>
  </si>
  <si>
    <t>REL02821</t>
  </si>
  <si>
    <t>REL02822</t>
  </si>
  <si>
    <t>REL02823</t>
  </si>
  <si>
    <t>REL02824</t>
  </si>
  <si>
    <t>REL02825</t>
  </si>
  <si>
    <t>REL02826</t>
  </si>
  <si>
    <t>REL02827</t>
  </si>
  <si>
    <t>REL02828</t>
  </si>
  <si>
    <t>REL02829</t>
  </si>
  <si>
    <t>REL02830</t>
  </si>
  <si>
    <t>REL02831</t>
  </si>
  <si>
    <t>REL02832</t>
  </si>
  <si>
    <t>REL02833</t>
  </si>
  <si>
    <t>REL02834</t>
  </si>
  <si>
    <t>REL02835</t>
  </si>
  <si>
    <t>REL02836</t>
  </si>
  <si>
    <t>REL02837</t>
  </si>
  <si>
    <t>REL02838</t>
  </si>
  <si>
    <t>REL02839</t>
  </si>
  <si>
    <t>REL02840</t>
  </si>
  <si>
    <t>REL02841</t>
  </si>
  <si>
    <t>REL02842</t>
  </si>
  <si>
    <t>REL02843</t>
  </si>
  <si>
    <t>REL02844</t>
  </si>
  <si>
    <t>REL02845</t>
  </si>
  <si>
    <t>REL02846</t>
  </si>
  <si>
    <t>REL02847</t>
  </si>
  <si>
    <t>REL02848</t>
  </si>
  <si>
    <t>REL02849</t>
  </si>
  <si>
    <t>REL02850</t>
  </si>
  <si>
    <t>REL02851</t>
  </si>
  <si>
    <t>REL02852</t>
  </si>
  <si>
    <t>REL02853</t>
  </si>
  <si>
    <t>REL02854</t>
  </si>
  <si>
    <t>REL02855</t>
  </si>
  <si>
    <t>REL02856</t>
  </si>
  <si>
    <t>REL02857</t>
  </si>
  <si>
    <t>REL02858</t>
  </si>
  <si>
    <t>REL02859</t>
  </si>
  <si>
    <t>REL02860</t>
  </si>
  <si>
    <t>REL02861</t>
  </si>
  <si>
    <t>REL02862</t>
  </si>
  <si>
    <t>REL02863</t>
  </si>
  <si>
    <t>REL02864</t>
  </si>
  <si>
    <t>REL02865</t>
  </si>
  <si>
    <t>REL02866</t>
  </si>
  <si>
    <t>REL02867</t>
  </si>
  <si>
    <t>REL02868</t>
  </si>
  <si>
    <t>REL02869</t>
  </si>
  <si>
    <t>REL02870</t>
  </si>
  <si>
    <t>REL02871</t>
  </si>
  <si>
    <t>REL02872</t>
  </si>
  <si>
    <t>REL02873</t>
  </si>
  <si>
    <t>REL02874</t>
  </si>
  <si>
    <t>REL02875</t>
  </si>
  <si>
    <t>REL02876</t>
  </si>
  <si>
    <t>REL02877</t>
  </si>
  <si>
    <t>REL02878</t>
  </si>
  <si>
    <t>REL02879</t>
  </si>
  <si>
    <t>REL02880</t>
  </si>
  <si>
    <t>REL02881</t>
  </si>
  <si>
    <t>REL02882</t>
  </si>
  <si>
    <t>REL02883</t>
  </si>
  <si>
    <t>REL02884</t>
  </si>
  <si>
    <t>REL02885</t>
  </si>
  <si>
    <t>REL02886</t>
  </si>
  <si>
    <t>REL02887</t>
  </si>
  <si>
    <t>REL02888</t>
  </si>
  <si>
    <t>REL02889</t>
  </si>
  <si>
    <t>REL02890</t>
  </si>
  <si>
    <t>REL02891</t>
  </si>
  <si>
    <t>REL02892</t>
  </si>
  <si>
    <t>REL02893</t>
  </si>
  <si>
    <t>REL02894</t>
  </si>
  <si>
    <t>REL02895</t>
  </si>
  <si>
    <t>REL02896</t>
  </si>
  <si>
    <t>REL02897</t>
  </si>
  <si>
    <t>REL02898</t>
  </si>
  <si>
    <t>REL02899</t>
  </si>
  <si>
    <t>REL02900</t>
  </si>
  <si>
    <t>REL02901</t>
  </si>
  <si>
    <t>REL02902</t>
  </si>
  <si>
    <t>REL02903</t>
  </si>
  <si>
    <t>REL02904</t>
  </si>
  <si>
    <t>REL02905</t>
  </si>
  <si>
    <t>REL02906</t>
  </si>
  <si>
    <t>REL02907</t>
  </si>
  <si>
    <t>REL02908</t>
  </si>
  <si>
    <t>REL02909</t>
  </si>
  <si>
    <t>REL02910</t>
  </si>
  <si>
    <t>REL02911</t>
  </si>
  <si>
    <t>REL02912</t>
  </si>
  <si>
    <t>REL02913</t>
  </si>
  <si>
    <t>REL02914</t>
  </si>
  <si>
    <t>REL02915</t>
  </si>
  <si>
    <t>REL02916</t>
  </si>
  <si>
    <t>REL02917</t>
  </si>
  <si>
    <t>REL02918</t>
  </si>
  <si>
    <t>REL02919</t>
  </si>
  <si>
    <t>REL02920</t>
  </si>
  <si>
    <t>REL02921</t>
  </si>
  <si>
    <t>REL02922</t>
  </si>
  <si>
    <t>REL02923</t>
  </si>
  <si>
    <t>REL02924</t>
  </si>
  <si>
    <t>REL02925</t>
  </si>
  <si>
    <t>REL02926</t>
  </si>
  <si>
    <t>REL02927</t>
  </si>
  <si>
    <t>REL02928</t>
  </si>
  <si>
    <t>REL02929</t>
  </si>
  <si>
    <t>REL02930</t>
  </si>
  <si>
    <t>REL02931</t>
  </si>
  <si>
    <t>REL02932</t>
  </si>
  <si>
    <t>REL02933</t>
  </si>
  <si>
    <t>REL02934</t>
  </si>
  <si>
    <t>REL02935</t>
  </si>
  <si>
    <t>REL02936</t>
  </si>
  <si>
    <t>REL02937</t>
  </si>
  <si>
    <t>REL02938</t>
  </si>
  <si>
    <t>REL02939</t>
  </si>
  <si>
    <t>REL02940</t>
  </si>
  <si>
    <t>REL02941</t>
  </si>
  <si>
    <t>REL02942</t>
  </si>
  <si>
    <t>REL02943</t>
  </si>
  <si>
    <t>REL02944</t>
  </si>
  <si>
    <t>REL02945</t>
  </si>
  <si>
    <t>REL02946</t>
  </si>
  <si>
    <t>REL02947</t>
  </si>
  <si>
    <t>REL02948</t>
  </si>
  <si>
    <t>REL02949</t>
  </si>
  <si>
    <t>REL02950</t>
  </si>
  <si>
    <t>REL02951</t>
  </si>
  <si>
    <t>REL02952</t>
  </si>
  <si>
    <t>REL02953</t>
  </si>
  <si>
    <t>REL02954</t>
  </si>
  <si>
    <t>REL02955</t>
  </si>
  <si>
    <t>REL02956</t>
  </si>
  <si>
    <t>REL02957</t>
  </si>
  <si>
    <t>REL02958</t>
  </si>
  <si>
    <t>REL02959</t>
  </si>
  <si>
    <t>REL02960</t>
  </si>
  <si>
    <t>REL02961</t>
  </si>
  <si>
    <t>REL02962</t>
  </si>
  <si>
    <t>REL02963</t>
  </si>
  <si>
    <t>REL02964</t>
  </si>
  <si>
    <t>REL02965</t>
  </si>
  <si>
    <t>REL02966</t>
  </si>
  <si>
    <t>REL02967</t>
  </si>
  <si>
    <t>REL02968</t>
  </si>
  <si>
    <t>REL02969</t>
  </si>
  <si>
    <t>REL02970</t>
  </si>
  <si>
    <t>REL02971</t>
  </si>
  <si>
    <t>REL02972</t>
  </si>
  <si>
    <t>REL02973</t>
  </si>
  <si>
    <t>REL02974</t>
  </si>
  <si>
    <t>REL02975</t>
  </si>
  <si>
    <t>REL02976</t>
  </si>
  <si>
    <t>REL02977</t>
  </si>
  <si>
    <t>REL02978</t>
  </si>
  <si>
    <t>REL02979</t>
  </si>
  <si>
    <t>REL02980</t>
  </si>
  <si>
    <t>REL02981</t>
  </si>
  <si>
    <t>REL02982</t>
  </si>
  <si>
    <t>REL02983</t>
  </si>
  <si>
    <t>REL02984</t>
  </si>
  <si>
    <t>REL02985</t>
  </si>
  <si>
    <t>REL02986</t>
  </si>
  <si>
    <t>REL02987</t>
  </si>
  <si>
    <t>REL02988</t>
  </si>
  <si>
    <t>REL02989</t>
  </si>
  <si>
    <t>REL02990</t>
  </si>
  <si>
    <t>REL02991</t>
  </si>
  <si>
    <t>REL02992</t>
  </si>
  <si>
    <t>REL02993</t>
  </si>
  <si>
    <t>REL02994</t>
  </si>
  <si>
    <t>REL02995</t>
  </si>
  <si>
    <t>REL02996</t>
  </si>
  <si>
    <t>REL02997</t>
  </si>
  <si>
    <t>REL02998</t>
  </si>
  <si>
    <t>REL02999</t>
  </si>
  <si>
    <t>REL03000</t>
  </si>
  <si>
    <t>REL03001</t>
  </si>
  <si>
    <t>REL03002</t>
  </si>
  <si>
    <t>REL03003</t>
  </si>
  <si>
    <t>REL03004</t>
  </si>
  <si>
    <t>REL03005</t>
  </si>
  <si>
    <t>REL03006</t>
  </si>
  <si>
    <t>REL03007</t>
  </si>
  <si>
    <t>REL03008</t>
  </si>
  <si>
    <t>REL03009</t>
  </si>
  <si>
    <t>REL03010</t>
  </si>
  <si>
    <t>REL03011</t>
  </si>
  <si>
    <t>REL03012</t>
  </si>
  <si>
    <t>REL03013</t>
  </si>
  <si>
    <t>REL03014</t>
  </si>
  <si>
    <t>REL03015</t>
  </si>
  <si>
    <t>REL03016</t>
  </si>
  <si>
    <t>REL03017</t>
  </si>
  <si>
    <t>REL03018</t>
  </si>
  <si>
    <t>REL03019</t>
  </si>
  <si>
    <t>REL03020</t>
  </si>
  <si>
    <t>REL03021</t>
  </si>
  <si>
    <t>REL03022</t>
  </si>
  <si>
    <t>REL03023</t>
  </si>
  <si>
    <t>REL03024</t>
  </si>
  <si>
    <t>REL03025</t>
  </si>
  <si>
    <t>REL03026</t>
  </si>
  <si>
    <t>REL03027</t>
  </si>
  <si>
    <t>REL03028</t>
  </si>
  <si>
    <t>REL03029</t>
  </si>
  <si>
    <t>REL03030</t>
  </si>
  <si>
    <t>REL03031</t>
  </si>
  <si>
    <t>REL03032</t>
  </si>
  <si>
    <t>REL03033</t>
  </si>
  <si>
    <t>REL03034</t>
  </si>
  <si>
    <t>REL03035</t>
  </si>
  <si>
    <t>REL03036</t>
  </si>
  <si>
    <t>REL03037</t>
  </si>
  <si>
    <t>REL03038</t>
  </si>
  <si>
    <t>REL03039</t>
  </si>
  <si>
    <t>REL03040</t>
  </si>
  <si>
    <t>REL03041</t>
  </si>
  <si>
    <t>REL03042</t>
  </si>
  <si>
    <t>REL03043</t>
  </si>
  <si>
    <t>REL03044</t>
  </si>
  <si>
    <t>REL03045</t>
  </si>
  <si>
    <t>REL03046</t>
  </si>
  <si>
    <t>REL03047</t>
  </si>
  <si>
    <t>REL03048</t>
  </si>
  <si>
    <t>REL03049</t>
  </si>
  <si>
    <t>REL03050</t>
  </si>
  <si>
    <t>REL03051</t>
  </si>
  <si>
    <t>REL03052</t>
  </si>
  <si>
    <t>REL03053</t>
  </si>
  <si>
    <t>REL03054</t>
  </si>
  <si>
    <t>REL03055</t>
  </si>
  <si>
    <t>REL03056</t>
  </si>
  <si>
    <t>REL03057</t>
  </si>
  <si>
    <t>REL03058</t>
  </si>
  <si>
    <t>REL03059</t>
  </si>
  <si>
    <t>REL03060</t>
  </si>
  <si>
    <t>REL03061</t>
  </si>
  <si>
    <t>REL03062</t>
  </si>
  <si>
    <t>REL03063</t>
  </si>
  <si>
    <t>REL03064</t>
  </si>
  <si>
    <t>REL03065</t>
  </si>
  <si>
    <t>REL03066</t>
  </si>
  <si>
    <t>REL03067</t>
  </si>
  <si>
    <t>REL03068</t>
  </si>
  <si>
    <t>REL03069</t>
  </si>
  <si>
    <t>REL03070</t>
  </si>
  <si>
    <t>REL03071</t>
  </si>
  <si>
    <t>REL03072</t>
  </si>
  <si>
    <t>REL03073</t>
  </si>
  <si>
    <t>REL03074</t>
  </si>
  <si>
    <t>REL03075</t>
  </si>
  <si>
    <t>REL03076</t>
  </si>
  <si>
    <t>REL03077</t>
  </si>
  <si>
    <t>REL03078</t>
  </si>
  <si>
    <t>REL03079</t>
  </si>
  <si>
    <t>REL03080</t>
  </si>
  <si>
    <t>REL03081</t>
  </si>
  <si>
    <t>REL03082</t>
  </si>
  <si>
    <t>REL03083</t>
  </si>
  <si>
    <t>REL03084</t>
  </si>
  <si>
    <t>REL03085</t>
  </si>
  <si>
    <t>REL03086</t>
  </si>
  <si>
    <t>REL03087</t>
  </si>
  <si>
    <t>REL03088</t>
  </si>
  <si>
    <t>REL03089</t>
  </si>
  <si>
    <t>REL03090</t>
  </si>
  <si>
    <t>REL03091</t>
  </si>
  <si>
    <t>REL03092</t>
  </si>
  <si>
    <t>REL03093</t>
  </si>
  <si>
    <t>REL03094</t>
  </si>
  <si>
    <t>REL03095</t>
  </si>
  <si>
    <t>REL03096</t>
  </si>
  <si>
    <t>REL03097</t>
  </si>
  <si>
    <t>REL03098</t>
  </si>
  <si>
    <t>REL03099</t>
  </si>
  <si>
    <t>REL03100</t>
  </si>
  <si>
    <t>REL03101</t>
  </si>
  <si>
    <t>REL03102</t>
  </si>
  <si>
    <t>REL03103</t>
  </si>
  <si>
    <t>REL03104</t>
  </si>
  <si>
    <t>REL03105</t>
  </si>
  <si>
    <t>REL03106</t>
  </si>
  <si>
    <t>REL03107</t>
  </si>
  <si>
    <t>REL03108</t>
  </si>
  <si>
    <t>REL03109</t>
  </si>
  <si>
    <t>REL03110</t>
  </si>
  <si>
    <t>REL03111</t>
  </si>
  <si>
    <t>REL03112</t>
  </si>
  <si>
    <t>REL03113</t>
  </si>
  <si>
    <t>REL03114</t>
  </si>
  <si>
    <t>REL03115</t>
  </si>
  <si>
    <t>REL03116</t>
  </si>
  <si>
    <t>REL03117</t>
  </si>
  <si>
    <t>REL03118</t>
  </si>
  <si>
    <t>REL03119</t>
  </si>
  <si>
    <t>REL03120</t>
  </si>
  <si>
    <t>REL03121</t>
  </si>
  <si>
    <t>REL03122</t>
  </si>
  <si>
    <t>REL03123</t>
  </si>
  <si>
    <t>REL03124</t>
  </si>
  <si>
    <t>REL03125</t>
  </si>
  <si>
    <t>REL03126</t>
  </si>
  <si>
    <t>REL03127</t>
  </si>
  <si>
    <t>REL03128</t>
  </si>
  <si>
    <t>REL03129</t>
  </si>
  <si>
    <t>REL03130</t>
  </si>
  <si>
    <t>REL03131</t>
  </si>
  <si>
    <t>REL03132</t>
  </si>
  <si>
    <t>REL03133</t>
  </si>
  <si>
    <t>REL03134</t>
  </si>
  <si>
    <t>REL03135</t>
  </si>
  <si>
    <t>REL03136</t>
  </si>
  <si>
    <t>REL03137</t>
  </si>
  <si>
    <t>REL03138</t>
  </si>
  <si>
    <t>REL03139</t>
  </si>
  <si>
    <t>REL03140</t>
  </si>
  <si>
    <t>REL03141</t>
  </si>
  <si>
    <t>REL03142</t>
  </si>
  <si>
    <t>REL03143</t>
  </si>
  <si>
    <t>REL03144</t>
  </si>
  <si>
    <t>REL03145</t>
  </si>
  <si>
    <t>REL03146</t>
  </si>
  <si>
    <t>REL03147</t>
  </si>
  <si>
    <t>REL03148</t>
  </si>
  <si>
    <t>REL03149</t>
  </si>
  <si>
    <t>REL03150</t>
  </si>
  <si>
    <t>REL03151</t>
  </si>
  <si>
    <t>REL03152</t>
  </si>
  <si>
    <t>REL03153</t>
  </si>
  <si>
    <t>REL03154</t>
  </si>
  <si>
    <t>REL03155</t>
  </si>
  <si>
    <t>REL03156</t>
  </si>
  <si>
    <t>REL03157</t>
  </si>
  <si>
    <t>REL03158</t>
  </si>
  <si>
    <t>REL03159</t>
  </si>
  <si>
    <t>REL03160</t>
  </si>
  <si>
    <t>REL03161</t>
  </si>
  <si>
    <t>REL03162</t>
  </si>
  <si>
    <t>REL03163</t>
  </si>
  <si>
    <t>REL03164</t>
  </si>
  <si>
    <t>REL03165</t>
  </si>
  <si>
    <t>REL03166</t>
  </si>
  <si>
    <t>REL03167</t>
  </si>
  <si>
    <t>REL03168</t>
  </si>
  <si>
    <t>REL03169</t>
  </si>
  <si>
    <t>REL03170</t>
  </si>
  <si>
    <t>REL03171</t>
  </si>
  <si>
    <t>REL03172</t>
  </si>
  <si>
    <t>REL03173</t>
  </si>
  <si>
    <t>REL03174</t>
  </si>
  <si>
    <t>REL03175</t>
  </si>
  <si>
    <t>REL03176</t>
  </si>
  <si>
    <t>REL03177</t>
  </si>
  <si>
    <t>REL03178</t>
  </si>
  <si>
    <t>REL03179</t>
  </si>
  <si>
    <t>REL03180</t>
  </si>
  <si>
    <t>REL03181</t>
  </si>
  <si>
    <t>REL03182</t>
  </si>
  <si>
    <t>REL03183</t>
  </si>
  <si>
    <t>REL03184</t>
  </si>
  <si>
    <t>REL03185</t>
  </si>
  <si>
    <t>REL03186</t>
  </si>
  <si>
    <t>REL03187</t>
  </si>
  <si>
    <t>REL03188</t>
  </si>
  <si>
    <t>REL03189</t>
  </si>
  <si>
    <t>REL03190</t>
  </si>
  <si>
    <t>REL03191</t>
  </si>
  <si>
    <t>REL03192</t>
  </si>
  <si>
    <t>REL03193</t>
  </si>
  <si>
    <t>REL03194</t>
  </si>
  <si>
    <t>REL03195</t>
  </si>
  <si>
    <t>REL03196</t>
  </si>
  <si>
    <t>REL03197</t>
  </si>
  <si>
    <t>REL03198</t>
  </si>
  <si>
    <t>REL03199</t>
  </si>
  <si>
    <t>REL03200</t>
  </si>
  <si>
    <t>REL03201</t>
  </si>
  <si>
    <t>REL03202</t>
  </si>
  <si>
    <t>REL03203</t>
  </si>
  <si>
    <t>REL03204</t>
  </si>
  <si>
    <t>REL03205</t>
  </si>
  <si>
    <t>REL03206</t>
  </si>
  <si>
    <t>REL03207</t>
  </si>
  <si>
    <t>REL03208</t>
  </si>
  <si>
    <t>REL03209</t>
  </si>
  <si>
    <t>REL03210</t>
  </si>
  <si>
    <t>REL03211</t>
  </si>
  <si>
    <t>REL03212</t>
  </si>
  <si>
    <t>REL03213</t>
  </si>
  <si>
    <t>REL03214</t>
  </si>
  <si>
    <t>REL03215</t>
  </si>
  <si>
    <t>REL03216</t>
  </si>
  <si>
    <t>REL03217</t>
  </si>
  <si>
    <t>REL03218</t>
  </si>
  <si>
    <t>REL03219</t>
  </si>
  <si>
    <t>REL03220</t>
  </si>
  <si>
    <t>REL03221</t>
  </si>
  <si>
    <t>REL03222</t>
  </si>
  <si>
    <t>REL03223</t>
  </si>
  <si>
    <t>REL03224</t>
  </si>
  <si>
    <t>REL03225</t>
  </si>
  <si>
    <t>REL03226</t>
  </si>
  <si>
    <t>REL03227</t>
  </si>
  <si>
    <t>REL03228</t>
  </si>
  <si>
    <t>REL03229</t>
  </si>
  <si>
    <t>REL03230</t>
  </si>
  <si>
    <t>REL03231</t>
  </si>
  <si>
    <t>REL03232</t>
  </si>
  <si>
    <t>REL03233</t>
  </si>
  <si>
    <t>REL03234</t>
  </si>
  <si>
    <t>REL03235</t>
  </si>
  <si>
    <t>REL03236</t>
  </si>
  <si>
    <t>REL03237</t>
  </si>
  <si>
    <t>REL03238</t>
  </si>
  <si>
    <t>REL03239</t>
  </si>
  <si>
    <t>REL03240</t>
  </si>
  <si>
    <t>REL03241</t>
  </si>
  <si>
    <t>REL03242</t>
  </si>
  <si>
    <t>REL03243</t>
  </si>
  <si>
    <t>REL03244</t>
  </si>
  <si>
    <t>REL03245</t>
  </si>
  <si>
    <t>REL03246</t>
  </si>
  <si>
    <t>REL03247</t>
  </si>
  <si>
    <t>REL03248</t>
  </si>
  <si>
    <t>REL03249</t>
  </si>
  <si>
    <t>REL03250</t>
  </si>
  <si>
    <t>REL03251</t>
  </si>
  <si>
    <t>REL03252</t>
  </si>
  <si>
    <t>REL03253</t>
  </si>
  <si>
    <t>REL03254</t>
  </si>
  <si>
    <t>REL03255</t>
  </si>
  <si>
    <t>REL03256</t>
  </si>
  <si>
    <t>REL03257</t>
  </si>
  <si>
    <t>REL03258</t>
  </si>
  <si>
    <t>REL03259</t>
  </si>
  <si>
    <t>REL03260</t>
  </si>
  <si>
    <t>REL03261</t>
  </si>
  <si>
    <t>REL03262</t>
  </si>
  <si>
    <t>REL03263</t>
  </si>
  <si>
    <t>REL03264</t>
  </si>
  <si>
    <t>REL03265</t>
  </si>
  <si>
    <t>REL03266</t>
  </si>
  <si>
    <t>REL03267</t>
  </si>
  <si>
    <t>REL03268</t>
  </si>
  <si>
    <t>REL03269</t>
  </si>
  <si>
    <t>REL03270</t>
  </si>
  <si>
    <t>REL03271</t>
  </si>
  <si>
    <t>REL03272</t>
  </si>
  <si>
    <t>REL03273</t>
  </si>
  <si>
    <t>REL03274</t>
  </si>
  <si>
    <t>REL03275</t>
  </si>
  <si>
    <t>REL03276</t>
  </si>
  <si>
    <t>REL03277</t>
  </si>
  <si>
    <t>REL03278</t>
  </si>
  <si>
    <t>REL03279</t>
  </si>
  <si>
    <t>REL03280</t>
  </si>
  <si>
    <t>REL03281</t>
  </si>
  <si>
    <t>REL03282</t>
  </si>
  <si>
    <t>REL03283</t>
  </si>
  <si>
    <t>REL03284</t>
  </si>
  <si>
    <t>REL03285</t>
  </si>
  <si>
    <t>REL03286</t>
  </si>
  <si>
    <t>REL03287</t>
  </si>
  <si>
    <t>REL03288</t>
  </si>
  <si>
    <t>REL03289</t>
  </si>
  <si>
    <t>REL03290</t>
  </si>
  <si>
    <t>REL03291</t>
  </si>
  <si>
    <t>REL03292</t>
  </si>
  <si>
    <t>REL03293</t>
  </si>
  <si>
    <t>REL03294</t>
  </si>
  <si>
    <t>REL03295</t>
  </si>
  <si>
    <t>REL03296</t>
  </si>
  <si>
    <t>REL03297</t>
  </si>
  <si>
    <t>REL03298</t>
  </si>
  <si>
    <t>REL03299</t>
  </si>
  <si>
    <t>REL03300</t>
  </si>
  <si>
    <t>REL03301</t>
  </si>
  <si>
    <t>REL03302</t>
  </si>
  <si>
    <t>REL03303</t>
  </si>
  <si>
    <t>REL03304</t>
  </si>
  <si>
    <t>REL03305</t>
  </si>
  <si>
    <t>REL03306</t>
  </si>
  <si>
    <t>REL03307</t>
  </si>
  <si>
    <t>REL03308</t>
  </si>
  <si>
    <t>REL03309</t>
  </si>
  <si>
    <t>REL03310</t>
  </si>
  <si>
    <t>REL03311</t>
  </si>
  <si>
    <t>REL03312</t>
  </si>
  <si>
    <t>REL03313</t>
  </si>
  <si>
    <t>REL03314</t>
  </si>
  <si>
    <t>REL03315</t>
  </si>
  <si>
    <t>REL03316</t>
  </si>
  <si>
    <t>REL03317</t>
  </si>
  <si>
    <t>REL03318</t>
  </si>
  <si>
    <t>REL03319</t>
  </si>
  <si>
    <t>REL03320</t>
  </si>
  <si>
    <t>REL03321</t>
  </si>
  <si>
    <t>REL03322</t>
  </si>
  <si>
    <t>REL03323</t>
  </si>
  <si>
    <t>REL03324</t>
  </si>
  <si>
    <t>REL03325</t>
  </si>
  <si>
    <t>REL03326</t>
  </si>
  <si>
    <t>REL03327</t>
  </si>
  <si>
    <t>REL03328</t>
  </si>
  <si>
    <t>REL03329</t>
  </si>
  <si>
    <t>REL03330</t>
  </si>
  <si>
    <t>REL03331</t>
  </si>
  <si>
    <t>REL03332</t>
  </si>
  <si>
    <t>REL03333</t>
  </si>
  <si>
    <t>REL03334</t>
  </si>
  <si>
    <t>REL03335</t>
  </si>
  <si>
    <t>REL03336</t>
  </si>
  <si>
    <t>REL03337</t>
  </si>
  <si>
    <t>REL03338</t>
  </si>
  <si>
    <t>REL03339</t>
  </si>
  <si>
    <t>REL03340</t>
  </si>
  <si>
    <t>REL03341</t>
  </si>
  <si>
    <t>REL03342</t>
  </si>
  <si>
    <t>REL03343</t>
  </si>
  <si>
    <t>REL03344</t>
  </si>
  <si>
    <t>REL03345</t>
  </si>
  <si>
    <t>REL03346</t>
  </si>
  <si>
    <t>REL03347</t>
  </si>
  <si>
    <t>REL03348</t>
  </si>
  <si>
    <t>REL03349</t>
  </si>
  <si>
    <t>REL03350</t>
  </si>
  <si>
    <t>REL03351</t>
  </si>
  <si>
    <t>REL03352</t>
  </si>
  <si>
    <t>REL03353</t>
  </si>
  <si>
    <t>REL03354</t>
  </si>
  <si>
    <t>REL03355</t>
  </si>
  <si>
    <t>REL03356</t>
  </si>
  <si>
    <t>REL03357</t>
  </si>
  <si>
    <t>REL03358</t>
  </si>
  <si>
    <t>REL03359</t>
  </si>
  <si>
    <t>REL03360</t>
  </si>
  <si>
    <t>REL03361</t>
  </si>
  <si>
    <t>REL03362</t>
  </si>
  <si>
    <t>REL03363</t>
  </si>
  <si>
    <t>REL03364</t>
  </si>
  <si>
    <t>REL03365</t>
  </si>
  <si>
    <t>REL03366</t>
  </si>
  <si>
    <t>REL03367</t>
  </si>
  <si>
    <t>REL03368</t>
  </si>
  <si>
    <t>REL03369</t>
  </si>
  <si>
    <t>REL03370</t>
  </si>
  <si>
    <t>REL03371</t>
  </si>
  <si>
    <t>REL03372</t>
  </si>
  <si>
    <t>REL03373</t>
  </si>
  <si>
    <t>REL03374</t>
  </si>
  <si>
    <t>REL03375</t>
  </si>
  <si>
    <t>REL03376</t>
  </si>
  <si>
    <t>REL03377</t>
  </si>
  <si>
    <t>REL03378</t>
  </si>
  <si>
    <t>REL03379</t>
  </si>
  <si>
    <t>REL03380</t>
  </si>
  <si>
    <t>REL03381</t>
  </si>
  <si>
    <t>REL03382</t>
  </si>
  <si>
    <t>REL03383</t>
  </si>
  <si>
    <t>REL03384</t>
  </si>
  <si>
    <t>REL03385</t>
  </si>
  <si>
    <t>REL03386</t>
  </si>
  <si>
    <t>REL03387</t>
  </si>
  <si>
    <t>REL03388</t>
  </si>
  <si>
    <t>REL03389</t>
  </si>
  <si>
    <t>REL03390</t>
  </si>
  <si>
    <t>REL03391</t>
  </si>
  <si>
    <t>REL03392</t>
  </si>
  <si>
    <t>REL03393</t>
  </si>
  <si>
    <t>REL03394</t>
  </si>
  <si>
    <t>REL03395</t>
  </si>
  <si>
    <t>REL03396</t>
  </si>
  <si>
    <t>REL03397</t>
  </si>
  <si>
    <t>REL03398</t>
  </si>
  <si>
    <t>REL03399</t>
  </si>
  <si>
    <t>REL03400</t>
  </si>
  <si>
    <t>REL03401</t>
  </si>
  <si>
    <t>REL03402</t>
  </si>
  <si>
    <t>REL03403</t>
  </si>
  <si>
    <t>REL03404</t>
  </si>
  <si>
    <t>REL03405</t>
  </si>
  <si>
    <t>REL03406</t>
  </si>
  <si>
    <t>REL03407</t>
  </si>
  <si>
    <t>REL03408</t>
  </si>
  <si>
    <t>REL03409</t>
  </si>
  <si>
    <t>REL03410</t>
  </si>
  <si>
    <t>REL03411</t>
  </si>
  <si>
    <t>REL03412</t>
  </si>
  <si>
    <t>REL03413</t>
  </si>
  <si>
    <t>REL03414</t>
  </si>
  <si>
    <t>REL03415</t>
  </si>
  <si>
    <t>REL03416</t>
  </si>
  <si>
    <t>REL03417</t>
  </si>
  <si>
    <t>REL03418</t>
  </si>
  <si>
    <t>REL03419</t>
  </si>
  <si>
    <t>REL03420</t>
  </si>
  <si>
    <t>REL03421</t>
  </si>
  <si>
    <t>REL03422</t>
  </si>
  <si>
    <t>REL03423</t>
  </si>
  <si>
    <t>REL03424</t>
  </si>
  <si>
    <t>REL03425</t>
  </si>
  <si>
    <t>REL03426</t>
  </si>
  <si>
    <t>REL03427</t>
  </si>
  <si>
    <t>REL03428</t>
  </si>
  <si>
    <t>REL03429</t>
  </si>
  <si>
    <t>REL03430</t>
  </si>
  <si>
    <t>REL03431</t>
  </si>
  <si>
    <t>REL03432</t>
  </si>
  <si>
    <t>REL03433</t>
  </si>
  <si>
    <t>REL03434</t>
  </si>
  <si>
    <t>REL03435</t>
  </si>
  <si>
    <t>REL03436</t>
  </si>
  <si>
    <t>REL03437</t>
  </si>
  <si>
    <t>REL03438</t>
  </si>
  <si>
    <t>REL03439</t>
  </si>
  <si>
    <t>REL03440</t>
  </si>
  <si>
    <t>REL03441</t>
  </si>
  <si>
    <t>REL03442</t>
  </si>
  <si>
    <t>REL03443</t>
  </si>
  <si>
    <t>REL03444</t>
  </si>
  <si>
    <t>REL03445</t>
  </si>
  <si>
    <t>REL03446</t>
  </si>
  <si>
    <t>REL03447</t>
  </si>
  <si>
    <t>REL03448</t>
  </si>
  <si>
    <t>REL03449</t>
  </si>
  <si>
    <t>REL03450</t>
  </si>
  <si>
    <t>REL03451</t>
  </si>
  <si>
    <t>REL03452</t>
  </si>
  <si>
    <t>REL03453</t>
  </si>
  <si>
    <t>REL03454</t>
  </si>
  <si>
    <t>REL03455</t>
  </si>
  <si>
    <t>REL03456</t>
  </si>
  <si>
    <t>REL03457</t>
  </si>
  <si>
    <t>REL03458</t>
  </si>
  <si>
    <t>REL03459</t>
  </si>
  <si>
    <t>REL03460</t>
  </si>
  <si>
    <t>REL03461</t>
  </si>
  <si>
    <t>REL03462</t>
  </si>
  <si>
    <t>REL03463</t>
  </si>
  <si>
    <t>REL03464</t>
  </si>
  <si>
    <t>REL03465</t>
  </si>
  <si>
    <t>REL03466</t>
  </si>
  <si>
    <t>REL03467</t>
  </si>
  <si>
    <t>REL03468</t>
  </si>
  <si>
    <t>REL03469</t>
  </si>
  <si>
    <t>REL03470</t>
  </si>
  <si>
    <t>REL03471</t>
  </si>
  <si>
    <t>REL03472</t>
  </si>
  <si>
    <t>REL03473</t>
  </si>
  <si>
    <t>REL03474</t>
  </si>
  <si>
    <t>REL03475</t>
  </si>
  <si>
    <t>REL03476</t>
  </si>
  <si>
    <t>REL03477</t>
  </si>
  <si>
    <t>REL03478</t>
  </si>
  <si>
    <t>REL03479</t>
  </si>
  <si>
    <t>REL03480</t>
  </si>
  <si>
    <t>REL03481</t>
  </si>
  <si>
    <t>REL03482</t>
  </si>
  <si>
    <t>REL03483</t>
  </si>
  <si>
    <t>REL03484</t>
  </si>
  <si>
    <t>REL03485</t>
  </si>
  <si>
    <t>REL03486</t>
  </si>
  <si>
    <t>REL03487</t>
  </si>
  <si>
    <t>REL03488</t>
  </si>
  <si>
    <t>REL03489</t>
  </si>
  <si>
    <t>REL03490</t>
  </si>
  <si>
    <t>REL03491</t>
  </si>
  <si>
    <t>REL03492</t>
  </si>
  <si>
    <t>REL03493</t>
  </si>
  <si>
    <t>REL03494</t>
  </si>
  <si>
    <t>REL03495</t>
  </si>
  <si>
    <t>REL03496</t>
  </si>
  <si>
    <t>REL03497</t>
  </si>
  <si>
    <t>REL03498</t>
  </si>
  <si>
    <t>REL03499</t>
  </si>
  <si>
    <t>REL03500</t>
  </si>
  <si>
    <t>REL03501</t>
  </si>
  <si>
    <t>REL03502</t>
  </si>
  <si>
    <t>REL03503</t>
  </si>
  <si>
    <t>REL03504</t>
  </si>
  <si>
    <t>REL03505</t>
  </si>
  <si>
    <t>REL03506</t>
  </si>
  <si>
    <t>REL03507</t>
  </si>
  <si>
    <t>REL03508</t>
  </si>
  <si>
    <t>REL03509</t>
  </si>
  <si>
    <t>REL03510</t>
  </si>
  <si>
    <t>REL03511</t>
  </si>
  <si>
    <t>REL03512</t>
  </si>
  <si>
    <t>REL03513</t>
  </si>
  <si>
    <t>REL03514</t>
  </si>
  <si>
    <t>REL03515</t>
  </si>
  <si>
    <t>REL03516</t>
  </si>
  <si>
    <t>REL03517</t>
  </si>
  <si>
    <t>REL03518</t>
  </si>
  <si>
    <t>REL03519</t>
  </si>
  <si>
    <t>REL03520</t>
  </si>
  <si>
    <t>REL03521</t>
  </si>
  <si>
    <t>REL03522</t>
  </si>
  <si>
    <t>REL03523</t>
  </si>
  <si>
    <t>REL03524</t>
  </si>
  <si>
    <t>REL03525</t>
  </si>
  <si>
    <t>REL03526</t>
  </si>
  <si>
    <t>REL03527</t>
  </si>
  <si>
    <t>REL03528</t>
  </si>
  <si>
    <t>REL03529</t>
  </si>
  <si>
    <t>REL03530</t>
  </si>
  <si>
    <t>REL03531</t>
  </si>
  <si>
    <t>REL03532</t>
  </si>
  <si>
    <t>REL03533</t>
  </si>
  <si>
    <t>REL03534</t>
  </si>
  <si>
    <t>REL03535</t>
  </si>
  <si>
    <t>REL03536</t>
  </si>
  <si>
    <t>REL03537</t>
  </si>
  <si>
    <t>REL03538</t>
  </si>
  <si>
    <t>REL03539</t>
  </si>
  <si>
    <t>REL03540</t>
  </si>
  <si>
    <t>REL03541</t>
  </si>
  <si>
    <t>REL03542</t>
  </si>
  <si>
    <t>REL03543</t>
  </si>
  <si>
    <t>REL03544</t>
  </si>
  <si>
    <t>REL03545</t>
  </si>
  <si>
    <t>REL03546</t>
  </si>
  <si>
    <t>REL03547</t>
  </si>
  <si>
    <t>REL03548</t>
  </si>
  <si>
    <t>REL03549</t>
  </si>
  <si>
    <t>REL03550</t>
  </si>
  <si>
    <t>REL03551</t>
  </si>
  <si>
    <t>REL03552</t>
  </si>
  <si>
    <t>REL03553</t>
  </si>
  <si>
    <t>REL03554</t>
  </si>
  <si>
    <t>REL03555</t>
  </si>
  <si>
    <t>REL03556</t>
  </si>
  <si>
    <t>REL03557</t>
  </si>
  <si>
    <t>REL03558</t>
  </si>
  <si>
    <t>REL03559</t>
  </si>
  <si>
    <t>REL03560</t>
  </si>
  <si>
    <t>REL03561</t>
  </si>
  <si>
    <t>REL03562</t>
  </si>
  <si>
    <t>REL03563</t>
  </si>
  <si>
    <t>REL03564</t>
  </si>
  <si>
    <t>REL03565</t>
  </si>
  <si>
    <t>REL03566</t>
  </si>
  <si>
    <t>REL03567</t>
  </si>
  <si>
    <t>REL03568</t>
  </si>
  <si>
    <t>REL03569</t>
  </si>
  <si>
    <t>REL03570</t>
  </si>
  <si>
    <t>REL03571</t>
  </si>
  <si>
    <t>REL03572</t>
  </si>
  <si>
    <t>REL03573</t>
  </si>
  <si>
    <t>REL03574</t>
  </si>
  <si>
    <t>REL03575</t>
  </si>
  <si>
    <t>REL03576</t>
  </si>
  <si>
    <t>REL03577</t>
  </si>
  <si>
    <t>REL03578</t>
  </si>
  <si>
    <t>REL03579</t>
  </si>
  <si>
    <t>REL03580</t>
  </si>
  <si>
    <t>REL03581</t>
  </si>
  <si>
    <t>REL03582</t>
  </si>
  <si>
    <t>REL03583</t>
  </si>
  <si>
    <t>REL03584</t>
  </si>
  <si>
    <t>REL03585</t>
  </si>
  <si>
    <t>REL03586</t>
  </si>
  <si>
    <t>REL03587</t>
  </si>
  <si>
    <t>REL03588</t>
  </si>
  <si>
    <t>REL03589</t>
  </si>
  <si>
    <t>REL03590</t>
  </si>
  <si>
    <t>REL03591</t>
  </si>
  <si>
    <t>REL03592</t>
  </si>
  <si>
    <t>REL03593</t>
  </si>
  <si>
    <t>REL03594</t>
  </si>
  <si>
    <t>REL03595</t>
  </si>
  <si>
    <t>REL03596</t>
  </si>
  <si>
    <t>REL03597</t>
  </si>
  <si>
    <t>REL03598</t>
  </si>
  <si>
    <t>REL03599</t>
  </si>
  <si>
    <t>REL03600</t>
  </si>
  <si>
    <t>REL03601</t>
  </si>
  <si>
    <t>REL03602</t>
  </si>
  <si>
    <t>REL03603</t>
  </si>
  <si>
    <t>REL03604</t>
  </si>
  <si>
    <t>REL03605</t>
  </si>
  <si>
    <t>REL03606</t>
  </si>
  <si>
    <t>REL03607</t>
  </si>
  <si>
    <t>REL03608</t>
  </si>
  <si>
    <t>REL03609</t>
  </si>
  <si>
    <t>REL03610</t>
  </si>
  <si>
    <t>REL03611</t>
  </si>
  <si>
    <t>REL03612</t>
  </si>
  <si>
    <t>REL03613</t>
  </si>
  <si>
    <t>REL03614</t>
  </si>
  <si>
    <t>REL03615</t>
  </si>
  <si>
    <t>REL03616</t>
  </si>
  <si>
    <t>REL03617</t>
  </si>
  <si>
    <t>REL03618</t>
  </si>
  <si>
    <t>REL03619</t>
  </si>
  <si>
    <t>REL03620</t>
  </si>
  <si>
    <t>REL03621</t>
  </si>
  <si>
    <t>REL03622</t>
  </si>
  <si>
    <t>REL03623</t>
  </si>
  <si>
    <t>REL03624</t>
  </si>
  <si>
    <t>REL03625</t>
  </si>
  <si>
    <t>REL03626</t>
  </si>
  <si>
    <t>REL03627</t>
  </si>
  <si>
    <t>REL03628</t>
  </si>
  <si>
    <t>REL03629</t>
  </si>
  <si>
    <t>REL03630</t>
  </si>
  <si>
    <t>REL03631</t>
  </si>
  <si>
    <t>REL03632</t>
  </si>
  <si>
    <t>REL03633</t>
  </si>
  <si>
    <t>REL03634</t>
  </si>
  <si>
    <t>REL03635</t>
  </si>
  <si>
    <t>REL03636</t>
  </si>
  <si>
    <t>REL03637</t>
  </si>
  <si>
    <t>REL03638</t>
  </si>
  <si>
    <t>REL03639</t>
  </si>
  <si>
    <t>REL03640</t>
  </si>
  <si>
    <t>REL03641</t>
  </si>
  <si>
    <t>REL03642</t>
  </si>
  <si>
    <t>REL03643</t>
  </si>
  <si>
    <t>REL03644</t>
  </si>
  <si>
    <t>REL03645</t>
  </si>
  <si>
    <t>REL03646</t>
  </si>
  <si>
    <t>REL03647</t>
  </si>
  <si>
    <t>REL03648</t>
  </si>
  <si>
    <t>REL03649</t>
  </si>
  <si>
    <t>REL03650</t>
  </si>
  <si>
    <t>REL03651</t>
  </si>
  <si>
    <t>REL03652</t>
  </si>
  <si>
    <t>REL03653</t>
  </si>
  <si>
    <t>REL03654</t>
  </si>
  <si>
    <t>REL03655</t>
  </si>
  <si>
    <t>REL03656</t>
  </si>
  <si>
    <t>REL03657</t>
  </si>
  <si>
    <t>REL03658</t>
  </si>
  <si>
    <t>REL03659</t>
  </si>
  <si>
    <t>REL03660</t>
  </si>
  <si>
    <t>REL03661</t>
  </si>
  <si>
    <t>REL03662</t>
  </si>
  <si>
    <t>REL03663</t>
  </si>
  <si>
    <t>REL03664</t>
  </si>
  <si>
    <t>REL03665</t>
  </si>
  <si>
    <t>REL03666</t>
  </si>
  <si>
    <t>REL03667</t>
  </si>
  <si>
    <t>REL03668</t>
  </si>
  <si>
    <t>REL03669</t>
  </si>
  <si>
    <t>REL03670</t>
  </si>
  <si>
    <t>REL03671</t>
  </si>
  <si>
    <t>REL03672</t>
  </si>
  <si>
    <t>REL03673</t>
  </si>
  <si>
    <t>REL03674</t>
  </si>
  <si>
    <t>REL03675</t>
  </si>
  <si>
    <t>REL03676</t>
  </si>
  <si>
    <t>REL03677</t>
  </si>
  <si>
    <t>REL03678</t>
  </si>
  <si>
    <t>REL03679</t>
  </si>
  <si>
    <t>REL03680</t>
  </si>
  <si>
    <t>REL03681</t>
  </si>
  <si>
    <t>REL03682</t>
  </si>
  <si>
    <t>REL03683</t>
  </si>
  <si>
    <t>REL03684</t>
  </si>
  <si>
    <t>REL03685</t>
  </si>
  <si>
    <t>REL03686</t>
  </si>
  <si>
    <t>REL03687</t>
  </si>
  <si>
    <t>REL03688</t>
  </si>
  <si>
    <t>REL03689</t>
  </si>
  <si>
    <t>REL03690</t>
  </si>
  <si>
    <t>REL03691</t>
  </si>
  <si>
    <t>REL03692</t>
  </si>
  <si>
    <t>REL03693</t>
  </si>
  <si>
    <t>REL03694</t>
  </si>
  <si>
    <t>REL03695</t>
  </si>
  <si>
    <t>REL03696</t>
  </si>
  <si>
    <t>REL03697</t>
  </si>
  <si>
    <t>REL03698</t>
  </si>
  <si>
    <t>REL03699</t>
  </si>
  <si>
    <t>REL03700</t>
  </si>
  <si>
    <t>REL03701</t>
  </si>
  <si>
    <t>REL03702</t>
  </si>
  <si>
    <t>REL03703</t>
  </si>
  <si>
    <t>REL03704</t>
  </si>
  <si>
    <t>REL03705</t>
  </si>
  <si>
    <t>REL03706</t>
  </si>
  <si>
    <t>REL03707</t>
  </si>
  <si>
    <t>REL03708</t>
  </si>
  <si>
    <t>REL03709</t>
  </si>
  <si>
    <t>REL03710</t>
  </si>
  <si>
    <t>REL03711</t>
  </si>
  <si>
    <t>REL03712</t>
  </si>
  <si>
    <t>REL03713</t>
  </si>
  <si>
    <t>REL03714</t>
  </si>
  <si>
    <t>REL03715</t>
  </si>
  <si>
    <t>REL03716</t>
  </si>
  <si>
    <t>REL03717</t>
  </si>
  <si>
    <t>REL03718</t>
  </si>
  <si>
    <t>REL03719</t>
  </si>
  <si>
    <t>REL03720</t>
  </si>
  <si>
    <t>REL03721</t>
  </si>
  <si>
    <t>REL03722</t>
  </si>
  <si>
    <t>REL03723</t>
  </si>
  <si>
    <t>REL03724</t>
  </si>
  <si>
    <t>REL03725</t>
  </si>
  <si>
    <t>REL03726</t>
  </si>
  <si>
    <t>REL03727</t>
  </si>
  <si>
    <t>REL03728</t>
  </si>
  <si>
    <t>REL03729</t>
  </si>
  <si>
    <t>REL03730</t>
  </si>
  <si>
    <t>REL03731</t>
  </si>
  <si>
    <t>REL03732</t>
  </si>
  <si>
    <t>REL03733</t>
  </si>
  <si>
    <t>REL03734</t>
  </si>
  <si>
    <t>REL03735</t>
  </si>
  <si>
    <t>REL03736</t>
  </si>
  <si>
    <t>REL03737</t>
  </si>
  <si>
    <t>REL03738</t>
  </si>
  <si>
    <t>REL03739</t>
  </si>
  <si>
    <t>REL03740</t>
  </si>
  <si>
    <t>REL03741</t>
  </si>
  <si>
    <t>REL03742</t>
  </si>
  <si>
    <t>REL03743</t>
  </si>
  <si>
    <t>REL03744</t>
  </si>
  <si>
    <t>REL03745</t>
  </si>
  <si>
    <t>REL03746</t>
  </si>
  <si>
    <t>REL03747</t>
  </si>
  <si>
    <t>REL03748</t>
  </si>
  <si>
    <t>REL03749</t>
  </si>
  <si>
    <t>REL03750</t>
  </si>
  <si>
    <t>REL03751</t>
  </si>
  <si>
    <t>REL03752</t>
  </si>
  <si>
    <t>REL03753</t>
  </si>
  <si>
    <t>REL03754</t>
  </si>
  <si>
    <t>REL03755</t>
  </si>
  <si>
    <t>REL03756</t>
  </si>
  <si>
    <t>REL03757</t>
  </si>
  <si>
    <t>REL03758</t>
  </si>
  <si>
    <t>REL03759</t>
  </si>
  <si>
    <t>REL03760</t>
  </si>
  <si>
    <t>REL03761</t>
  </si>
  <si>
    <t>REL03762</t>
  </si>
  <si>
    <t>REL03763</t>
  </si>
  <si>
    <t>REL03764</t>
  </si>
  <si>
    <t>REL03765</t>
  </si>
  <si>
    <t>REL03766</t>
  </si>
  <si>
    <t>REL03767</t>
  </si>
  <si>
    <t>REL03768</t>
  </si>
  <si>
    <t>REL03769</t>
  </si>
  <si>
    <t>REL03770</t>
  </si>
  <si>
    <t>REL03771</t>
  </si>
  <si>
    <t>REL03772</t>
  </si>
  <si>
    <t>REL03773</t>
  </si>
  <si>
    <t>REL03774</t>
  </si>
  <si>
    <t>REL03775</t>
  </si>
  <si>
    <t>REL03776</t>
  </si>
  <si>
    <t>REL03777</t>
  </si>
  <si>
    <t>REL03778</t>
  </si>
  <si>
    <t>REL03779</t>
  </si>
  <si>
    <t>REL03780</t>
  </si>
  <si>
    <t>REL03781</t>
  </si>
  <si>
    <t>REL03782</t>
  </si>
  <si>
    <t>REL03783</t>
  </si>
  <si>
    <t>REL03784</t>
  </si>
  <si>
    <t>REL03785</t>
  </si>
  <si>
    <t>REL03786</t>
  </si>
  <si>
    <t>REL03787</t>
  </si>
  <si>
    <t>REL03788</t>
  </si>
  <si>
    <t>REL03789</t>
  </si>
  <si>
    <t>REL03790</t>
  </si>
  <si>
    <t>REL03791</t>
  </si>
  <si>
    <t>REL03792</t>
  </si>
  <si>
    <t>REL03793</t>
  </si>
  <si>
    <t>REL03794</t>
  </si>
  <si>
    <t>REL03795</t>
  </si>
  <si>
    <t>REL03796</t>
  </si>
  <si>
    <t>REL03797</t>
  </si>
  <si>
    <t>REL03798</t>
  </si>
  <si>
    <t>REL03799</t>
  </si>
  <si>
    <t>REL03800</t>
  </si>
  <si>
    <t>REL03801</t>
  </si>
  <si>
    <t>REL03802</t>
  </si>
  <si>
    <t>REL03803</t>
  </si>
  <si>
    <t>REL03804</t>
  </si>
  <si>
    <t>REL03805</t>
  </si>
  <si>
    <t>REL03806</t>
  </si>
  <si>
    <t>REL03807</t>
  </si>
  <si>
    <t>REL03808</t>
  </si>
  <si>
    <t>REL03809</t>
  </si>
  <si>
    <t>REL03810</t>
  </si>
  <si>
    <t>REL03811</t>
  </si>
  <si>
    <t>REL03812</t>
  </si>
  <si>
    <t>REL03813</t>
  </si>
  <si>
    <t>REL03814</t>
  </si>
  <si>
    <t>REL03815</t>
  </si>
  <si>
    <t>REL03816</t>
  </si>
  <si>
    <t>REL03817</t>
  </si>
  <si>
    <t>REL03818</t>
  </si>
  <si>
    <t>REL03819</t>
  </si>
  <si>
    <t>REL03820</t>
  </si>
  <si>
    <t>REL03821</t>
  </si>
  <si>
    <t>REL03822</t>
  </si>
  <si>
    <t>REL03823</t>
  </si>
  <si>
    <t>REL03824</t>
  </si>
  <si>
    <t>REL03825</t>
  </si>
  <si>
    <t>REL03826</t>
  </si>
  <si>
    <t>REL03827</t>
  </si>
  <si>
    <t>REL03828</t>
  </si>
  <si>
    <t>REL03829</t>
  </si>
  <si>
    <t>REL03830</t>
  </si>
  <si>
    <t>REL03831</t>
  </si>
  <si>
    <t>REL03832</t>
  </si>
  <si>
    <t>REL03833</t>
  </si>
  <si>
    <t>REL03834</t>
  </si>
  <si>
    <t>REL03835</t>
  </si>
  <si>
    <t>REL03836</t>
  </si>
  <si>
    <t>REL03837</t>
  </si>
  <si>
    <t>REL03838</t>
  </si>
  <si>
    <t>REL03839</t>
  </si>
  <si>
    <t>REL03840</t>
  </si>
  <si>
    <t>REL03841</t>
  </si>
  <si>
    <t>REL03842</t>
  </si>
  <si>
    <t>REL03843</t>
  </si>
  <si>
    <t>REL03844</t>
  </si>
  <si>
    <t>REL03845</t>
  </si>
  <si>
    <t>REL03846</t>
  </si>
  <si>
    <t>REL03847</t>
  </si>
  <si>
    <t>REL03848</t>
  </si>
  <si>
    <t>REL03849</t>
  </si>
  <si>
    <t>REL03850</t>
  </si>
  <si>
    <t>REL03851</t>
  </si>
  <si>
    <t>REL03852</t>
  </si>
  <si>
    <t>REL03853</t>
  </si>
  <si>
    <t>REL03854</t>
  </si>
  <si>
    <t>REL03855</t>
  </si>
  <si>
    <t>REL03856</t>
  </si>
  <si>
    <t>REL03857</t>
  </si>
  <si>
    <t>REL03858</t>
  </si>
  <si>
    <t>REL03859</t>
  </si>
  <si>
    <t>REL03860</t>
  </si>
  <si>
    <t>REL03861</t>
  </si>
  <si>
    <t>REL03862</t>
  </si>
  <si>
    <t>REL03863</t>
  </si>
  <si>
    <t>REL03864</t>
  </si>
  <si>
    <t>REL03865</t>
  </si>
  <si>
    <t>REL03866</t>
  </si>
  <si>
    <t>REL03867</t>
  </si>
  <si>
    <t>REL03868</t>
  </si>
  <si>
    <t>REL03869</t>
  </si>
  <si>
    <t>REL03870</t>
  </si>
  <si>
    <t>REL03871</t>
  </si>
  <si>
    <t>REL03872</t>
  </si>
  <si>
    <t>REL03873</t>
  </si>
  <si>
    <t>REL03874</t>
  </si>
  <si>
    <t>REL03875</t>
  </si>
  <si>
    <t>REL03876</t>
  </si>
  <si>
    <t>REL03877</t>
  </si>
  <si>
    <t>REL03878</t>
  </si>
  <si>
    <t>REL03879</t>
  </si>
  <si>
    <t>REL03880</t>
  </si>
  <si>
    <t>REL03881</t>
  </si>
  <si>
    <t>REL03882</t>
  </si>
  <si>
    <t>REL03883</t>
  </si>
  <si>
    <t>REL03884</t>
  </si>
  <si>
    <t>REL03885</t>
  </si>
  <si>
    <t>REL03886</t>
  </si>
  <si>
    <t>REL03887</t>
  </si>
  <si>
    <t>REL03888</t>
  </si>
  <si>
    <t>REL03889</t>
  </si>
  <si>
    <t>REL03890</t>
  </si>
  <si>
    <t>REL03891</t>
  </si>
  <si>
    <t>REL03892</t>
  </si>
  <si>
    <t>REL03893</t>
  </si>
  <si>
    <t>REL03894</t>
  </si>
  <si>
    <t>REL03895</t>
  </si>
  <si>
    <t>REL03896</t>
  </si>
  <si>
    <t>REL03897</t>
  </si>
  <si>
    <t>REL03898</t>
  </si>
  <si>
    <t>REL03899</t>
  </si>
  <si>
    <t>REL03900</t>
  </si>
  <si>
    <t>REL03901</t>
  </si>
  <si>
    <t>REL03902</t>
  </si>
  <si>
    <t>REL03903</t>
  </si>
  <si>
    <t>REL03904</t>
  </si>
  <si>
    <t>REL03905</t>
  </si>
  <si>
    <t>REL03906</t>
  </si>
  <si>
    <t>REL03907</t>
  </si>
  <si>
    <t>REL03908</t>
  </si>
  <si>
    <t>REL03909</t>
  </si>
  <si>
    <t>REL03910</t>
  </si>
  <si>
    <t>REL03911</t>
  </si>
  <si>
    <t>REL03912</t>
  </si>
  <si>
    <t>REL03913</t>
  </si>
  <si>
    <t>REL03914</t>
  </si>
  <si>
    <t>REL03915</t>
  </si>
  <si>
    <t>REL03916</t>
  </si>
  <si>
    <t>REL03917</t>
  </si>
  <si>
    <t>REL03918</t>
  </si>
  <si>
    <t>REL03919</t>
  </si>
  <si>
    <t>REL03920</t>
  </si>
  <si>
    <t>REL03921</t>
  </si>
  <si>
    <t>REL03922</t>
  </si>
  <si>
    <t>REL03923</t>
  </si>
  <si>
    <t>REL03924</t>
  </si>
  <si>
    <t>REL03925</t>
  </si>
  <si>
    <t>REL03926</t>
  </si>
  <si>
    <t>REL03927</t>
  </si>
  <si>
    <t>REL03928</t>
  </si>
  <si>
    <t>REL03929</t>
  </si>
  <si>
    <t>REL03930</t>
  </si>
  <si>
    <t>REL03931</t>
  </si>
  <si>
    <t>REL03932</t>
  </si>
  <si>
    <t>REL03933</t>
  </si>
  <si>
    <t>REL03934</t>
  </si>
  <si>
    <t>REL03935</t>
  </si>
  <si>
    <t>REL03936</t>
  </si>
  <si>
    <t>REL03937</t>
  </si>
  <si>
    <t>REL03938</t>
  </si>
  <si>
    <t>REL03939</t>
  </si>
  <si>
    <t>REL03940</t>
  </si>
  <si>
    <t>REL03941</t>
  </si>
  <si>
    <t>REL03942</t>
  </si>
  <si>
    <t>REL03943</t>
  </si>
  <si>
    <t>REL03944</t>
  </si>
  <si>
    <t>REL03945</t>
  </si>
  <si>
    <t>REL03946</t>
  </si>
  <si>
    <t>REL03947</t>
  </si>
  <si>
    <t>REL03948</t>
  </si>
  <si>
    <t>REL03949</t>
  </si>
  <si>
    <t>REL03950</t>
  </si>
  <si>
    <t>REL03951</t>
  </si>
  <si>
    <t>REL03952</t>
  </si>
  <si>
    <t>REL03953</t>
  </si>
  <si>
    <t>REL03954</t>
  </si>
  <si>
    <t>REL03955</t>
  </si>
  <si>
    <t>REL03956</t>
  </si>
  <si>
    <t>REL03957</t>
  </si>
  <si>
    <t>REL03958</t>
  </si>
  <si>
    <t>REL03959</t>
  </si>
  <si>
    <t>REL03960</t>
  </si>
  <si>
    <t>REL03961</t>
  </si>
  <si>
    <t>REL03962</t>
  </si>
  <si>
    <t>REL03963</t>
  </si>
  <si>
    <t>REL03964</t>
  </si>
  <si>
    <t>REL03965</t>
  </si>
  <si>
    <t>REL03966</t>
  </si>
  <si>
    <t>REL03967</t>
  </si>
  <si>
    <t>REL03968</t>
  </si>
  <si>
    <t>REL03969</t>
  </si>
  <si>
    <t>REL03970</t>
  </si>
  <si>
    <t>REL03971</t>
  </si>
  <si>
    <t>REL03972</t>
  </si>
  <si>
    <t>REL03973</t>
  </si>
  <si>
    <t>REL03974</t>
  </si>
  <si>
    <t>REL03975</t>
  </si>
  <si>
    <t>REL03976</t>
  </si>
  <si>
    <t>REL03977</t>
  </si>
  <si>
    <t>REL03978</t>
  </si>
  <si>
    <t>REL03979</t>
  </si>
  <si>
    <t>REL03980</t>
  </si>
  <si>
    <t>REL03981</t>
  </si>
  <si>
    <t>REL03982</t>
  </si>
  <si>
    <t>REL03983</t>
  </si>
  <si>
    <t>REL03984</t>
  </si>
  <si>
    <t>REL03985</t>
  </si>
  <si>
    <t>REL03986</t>
  </si>
  <si>
    <t>REL03987</t>
  </si>
  <si>
    <t>REL03988</t>
  </si>
  <si>
    <t>REL03989</t>
  </si>
  <si>
    <t>REL03990</t>
  </si>
  <si>
    <t>REL03991</t>
  </si>
  <si>
    <t>REL03992</t>
  </si>
  <si>
    <t>REL03993</t>
  </si>
  <si>
    <t>REL03994</t>
  </si>
  <si>
    <t>REL03995</t>
  </si>
  <si>
    <t>REL03996</t>
  </si>
  <si>
    <t>REL03997</t>
  </si>
  <si>
    <t>REL03998</t>
  </si>
  <si>
    <t>REL03999</t>
  </si>
  <si>
    <t>REL04000</t>
  </si>
  <si>
    <t>REL04001</t>
  </si>
  <si>
    <t>REL04002</t>
  </si>
  <si>
    <t>REL04003</t>
  </si>
  <si>
    <t>REL04004</t>
  </si>
  <si>
    <t>REL04005</t>
  </si>
  <si>
    <t>REL04006</t>
  </si>
  <si>
    <t>REL04007</t>
  </si>
  <si>
    <t>REL04008</t>
  </si>
  <si>
    <t>REL04009</t>
  </si>
  <si>
    <t>REL04010</t>
  </si>
  <si>
    <t>REL04011</t>
  </si>
  <si>
    <t>REL04012</t>
  </si>
  <si>
    <t>REL04013</t>
  </si>
  <si>
    <t>REL04014</t>
  </si>
  <si>
    <t>REL04015</t>
  </si>
  <si>
    <t>REL04016</t>
  </si>
  <si>
    <t>REL04017</t>
  </si>
  <si>
    <t>REL04018</t>
  </si>
  <si>
    <t>REL04019</t>
  </si>
  <si>
    <t>REL04020</t>
  </si>
  <si>
    <t>REL04021</t>
  </si>
  <si>
    <t>REL04022</t>
  </si>
  <si>
    <t>REL04023</t>
  </si>
  <si>
    <t>REL04024</t>
  </si>
  <si>
    <t>REL04025</t>
  </si>
  <si>
    <t>REL04026</t>
  </si>
  <si>
    <t>REL04027</t>
  </si>
  <si>
    <t>REL04028</t>
  </si>
  <si>
    <t>REL04029</t>
  </si>
  <si>
    <t>REL04030</t>
  </si>
  <si>
    <t>REL04031</t>
  </si>
  <si>
    <t>REL04032</t>
  </si>
  <si>
    <t>REL04033</t>
  </si>
  <si>
    <t>REL04034</t>
  </si>
  <si>
    <t>REL04035</t>
  </si>
  <si>
    <t>REL04036</t>
  </si>
  <si>
    <t>REL04037</t>
  </si>
  <si>
    <t>REL04038</t>
  </si>
  <si>
    <t>REL04039</t>
  </si>
  <si>
    <t>REL04040</t>
  </si>
  <si>
    <t>REL04041</t>
  </si>
  <si>
    <t>REL04042</t>
  </si>
  <si>
    <t>REL04043</t>
  </si>
  <si>
    <t>REL04044</t>
  </si>
  <si>
    <t>REL04045</t>
  </si>
  <si>
    <t>REL04046</t>
  </si>
  <si>
    <t>REL04047</t>
  </si>
  <si>
    <t>REL04048</t>
  </si>
  <si>
    <t>REL04049</t>
  </si>
  <si>
    <t>REL04050</t>
  </si>
  <si>
    <t>REL04051</t>
  </si>
  <si>
    <t>REL04052</t>
  </si>
  <si>
    <t>REL04053</t>
  </si>
  <si>
    <t>REL04054</t>
  </si>
  <si>
    <t>REL04055</t>
  </si>
  <si>
    <t>REL04056</t>
  </si>
  <si>
    <t>REL04057</t>
  </si>
  <si>
    <t>REL04058</t>
  </si>
  <si>
    <t>REL04059</t>
  </si>
  <si>
    <t>REL04060</t>
  </si>
  <si>
    <t>REL04061</t>
  </si>
  <si>
    <t>REL04062</t>
  </si>
  <si>
    <t>REL04063</t>
  </si>
  <si>
    <t>REL04064</t>
  </si>
  <si>
    <t>REL04065</t>
  </si>
  <si>
    <t>REL04066</t>
  </si>
  <si>
    <t>REL04067</t>
  </si>
  <si>
    <t>REL04068</t>
  </si>
  <si>
    <t>REL04069</t>
  </si>
  <si>
    <t>REL04070</t>
  </si>
  <si>
    <t>REL04071</t>
  </si>
  <si>
    <t>REL04072</t>
  </si>
  <si>
    <t>REL04073</t>
  </si>
  <si>
    <t>REL04074</t>
  </si>
  <si>
    <t>REL04075</t>
  </si>
  <si>
    <t>REL04076</t>
  </si>
  <si>
    <t>REL04077</t>
  </si>
  <si>
    <t>REL04078</t>
  </si>
  <si>
    <t>REL04079</t>
  </si>
  <si>
    <t>REL04080</t>
  </si>
  <si>
    <t>REL04081</t>
  </si>
  <si>
    <t>REL04082</t>
  </si>
  <si>
    <t>REL04083</t>
  </si>
  <si>
    <t>REL04084</t>
  </si>
  <si>
    <t>REL04085</t>
  </si>
  <si>
    <t>REL04086</t>
  </si>
  <si>
    <t>REL04087</t>
  </si>
  <si>
    <t>REL04088</t>
  </si>
  <si>
    <t>REL04089</t>
  </si>
  <si>
    <t>REL04090</t>
  </si>
  <si>
    <t>REL04091</t>
  </si>
  <si>
    <t>REL04092</t>
  </si>
  <si>
    <t>REL04093</t>
  </si>
  <si>
    <t>REL04094</t>
  </si>
  <si>
    <t>REL04095</t>
  </si>
  <si>
    <t>REL04096</t>
  </si>
  <si>
    <t>REL04097</t>
  </si>
  <si>
    <t>REL04098</t>
  </si>
  <si>
    <t>REL04099</t>
  </si>
  <si>
    <t>REL04100</t>
  </si>
  <si>
    <t>REL04101</t>
  </si>
  <si>
    <t>REL04102</t>
  </si>
  <si>
    <t>REL04103</t>
  </si>
  <si>
    <t>REL04104</t>
  </si>
  <si>
    <t>REL04105</t>
  </si>
  <si>
    <t>REL04106</t>
  </si>
  <si>
    <t>REL04107</t>
  </si>
  <si>
    <t>REL04108</t>
  </si>
  <si>
    <t>REL04109</t>
  </si>
  <si>
    <t>REL04110</t>
  </si>
  <si>
    <t>REL04111</t>
  </si>
  <si>
    <t>REL04112</t>
  </si>
  <si>
    <t>REL04113</t>
  </si>
  <si>
    <t>REL04114</t>
  </si>
  <si>
    <t>REL04115</t>
  </si>
  <si>
    <t>REL04116</t>
  </si>
  <si>
    <t>REL04117</t>
  </si>
  <si>
    <t>REL04118</t>
  </si>
  <si>
    <t>REL04119</t>
  </si>
  <si>
    <t>REL04120</t>
  </si>
  <si>
    <t>REL04121</t>
  </si>
  <si>
    <t>REL04122</t>
  </si>
  <si>
    <t>REL04123</t>
  </si>
  <si>
    <t>REL04124</t>
  </si>
  <si>
    <t>REL04125</t>
  </si>
  <si>
    <t>REL04126</t>
  </si>
  <si>
    <t>REL04127</t>
  </si>
  <si>
    <t>REL04128</t>
  </si>
  <si>
    <t>REL04129</t>
  </si>
  <si>
    <t>REL04130</t>
  </si>
  <si>
    <t>REL04131</t>
  </si>
  <si>
    <t>REL04132</t>
  </si>
  <si>
    <t>REL04133</t>
  </si>
  <si>
    <t>REL04134</t>
  </si>
  <si>
    <t>REL04135</t>
  </si>
  <si>
    <t>REL04136</t>
  </si>
  <si>
    <t>REL04137</t>
  </si>
  <si>
    <t>REL04138</t>
  </si>
  <si>
    <t>REL04139</t>
  </si>
  <si>
    <t>REL04140</t>
  </si>
  <si>
    <t>REL04141</t>
  </si>
  <si>
    <t>REL04142</t>
  </si>
  <si>
    <t>REL04143</t>
  </si>
  <si>
    <t>REL04144</t>
  </si>
  <si>
    <t>REL04145</t>
  </si>
  <si>
    <t>REL04146</t>
  </si>
  <si>
    <t>REL04147</t>
  </si>
  <si>
    <t>REL04148</t>
  </si>
  <si>
    <t>REL04149</t>
  </si>
  <si>
    <t>REL04150</t>
  </si>
  <si>
    <t>REL04151</t>
  </si>
  <si>
    <t>REL04152</t>
  </si>
  <si>
    <t>REL04153</t>
  </si>
  <si>
    <t>REL04154</t>
  </si>
  <si>
    <t>REL04155</t>
  </si>
  <si>
    <t>REL04156</t>
  </si>
  <si>
    <t>REL04157</t>
  </si>
  <si>
    <t>REL04158</t>
  </si>
  <si>
    <t>REL04159</t>
  </si>
  <si>
    <t>REL04160</t>
  </si>
  <si>
    <t>REL04161</t>
  </si>
  <si>
    <t>REL04162</t>
  </si>
  <si>
    <t>REL04163</t>
  </si>
  <si>
    <t>REL04164</t>
  </si>
  <si>
    <t>REL04165</t>
  </si>
  <si>
    <t>REL04166</t>
  </si>
  <si>
    <t>REL04167</t>
  </si>
  <si>
    <t>REL04168</t>
  </si>
  <si>
    <t>REL04169</t>
  </si>
  <si>
    <t>REL04170</t>
  </si>
  <si>
    <t>REL04171</t>
  </si>
  <si>
    <t>REL04172</t>
  </si>
  <si>
    <t>REL04173</t>
  </si>
  <si>
    <t>REL04174</t>
  </si>
  <si>
    <t>REL04175</t>
  </si>
  <si>
    <t>REL04176</t>
  </si>
  <si>
    <t>REL04177</t>
  </si>
  <si>
    <t>REL04178</t>
  </si>
  <si>
    <t>REL04179</t>
  </si>
  <si>
    <t>REL04180</t>
  </si>
  <si>
    <t>REL04181</t>
  </si>
  <si>
    <t>REL04182</t>
  </si>
  <si>
    <t>REL04183</t>
  </si>
  <si>
    <t>REL04184</t>
  </si>
  <si>
    <t>REL04185</t>
  </si>
  <si>
    <t>REL04186</t>
  </si>
  <si>
    <t>REL04187</t>
  </si>
  <si>
    <t>REL04188</t>
  </si>
  <si>
    <t>REL04189</t>
  </si>
  <si>
    <t>REL04190</t>
  </si>
  <si>
    <t>REL04191</t>
  </si>
  <si>
    <t>REL04192</t>
  </si>
  <si>
    <t>REL04193</t>
  </si>
  <si>
    <t>REL04194</t>
  </si>
  <si>
    <t>REL04195</t>
  </si>
  <si>
    <t>REL04196</t>
  </si>
  <si>
    <t>REL04197</t>
  </si>
  <si>
    <t>REL04198</t>
  </si>
  <si>
    <t>REL04199</t>
  </si>
  <si>
    <t>REL04200</t>
  </si>
  <si>
    <t>REL04201</t>
  </si>
  <si>
    <t>REL04202</t>
  </si>
  <si>
    <t>REL04203</t>
  </si>
  <si>
    <t>REL04204</t>
  </si>
  <si>
    <t>REL04205</t>
  </si>
  <si>
    <t>REL04206</t>
  </si>
  <si>
    <t>REL04207</t>
  </si>
  <si>
    <t>REL04208</t>
  </si>
  <si>
    <t>REL04209</t>
  </si>
  <si>
    <t>REL04210</t>
  </si>
  <si>
    <t>REL04211</t>
  </si>
  <si>
    <t>REL04212</t>
  </si>
  <si>
    <t>REL04213</t>
  </si>
  <si>
    <t>REL04214</t>
  </si>
  <si>
    <t>REL04215</t>
  </si>
  <si>
    <t>REL04216</t>
  </si>
  <si>
    <t>REL04217</t>
  </si>
  <si>
    <t>REL04218</t>
  </si>
  <si>
    <t>REL04219</t>
  </si>
  <si>
    <t>REL04220</t>
  </si>
  <si>
    <t>REL04221</t>
  </si>
  <si>
    <t>REL04222</t>
  </si>
  <si>
    <t>REL04223</t>
  </si>
  <si>
    <t>REL04224</t>
  </si>
  <si>
    <t>REL04225</t>
  </si>
  <si>
    <t>REL04226</t>
  </si>
  <si>
    <t>REL04227</t>
  </si>
  <si>
    <t>REL04228</t>
  </si>
  <si>
    <t>REL04229</t>
  </si>
  <si>
    <t>REL04230</t>
  </si>
  <si>
    <t>REL04231</t>
  </si>
  <si>
    <t>REL04232</t>
  </si>
  <si>
    <t>REL04233</t>
  </si>
  <si>
    <t>REL04234</t>
  </si>
  <si>
    <t>REL04235</t>
  </si>
  <si>
    <t>REL04236</t>
  </si>
  <si>
    <t>REL04237</t>
  </si>
  <si>
    <t>REL04238</t>
  </si>
  <si>
    <t>REL04239</t>
  </si>
  <si>
    <t>REL04240</t>
  </si>
  <si>
    <t>REL04241</t>
  </si>
  <si>
    <t>REL04242</t>
  </si>
  <si>
    <t>REL04243</t>
  </si>
  <si>
    <t>REL04244</t>
  </si>
  <si>
    <t>REL04245</t>
  </si>
  <si>
    <t>REL04246</t>
  </si>
  <si>
    <t>REL04247</t>
  </si>
  <si>
    <t>REL04248</t>
  </si>
  <si>
    <t>REL04249</t>
  </si>
  <si>
    <t>REL04250</t>
  </si>
  <si>
    <t>REL04251</t>
  </si>
  <si>
    <t>REL04252</t>
  </si>
  <si>
    <t>REL04253</t>
  </si>
  <si>
    <t>REL04254</t>
  </si>
  <si>
    <t>REL04255</t>
  </si>
  <si>
    <t>REL04256</t>
  </si>
  <si>
    <t>REL04257</t>
  </si>
  <si>
    <t>REL04258</t>
  </si>
  <si>
    <t>REL04259</t>
  </si>
  <si>
    <t>REL04260</t>
  </si>
  <si>
    <t>REL04261</t>
  </si>
  <si>
    <t>REL04262</t>
  </si>
  <si>
    <t>REL04263</t>
  </si>
  <si>
    <t>REL04264</t>
  </si>
  <si>
    <t>REL04265</t>
  </si>
  <si>
    <t>REL04266</t>
  </si>
  <si>
    <t>REL04267</t>
  </si>
  <si>
    <t>REL04268</t>
  </si>
  <si>
    <t>REL04269</t>
  </si>
  <si>
    <t>REL04270</t>
  </si>
  <si>
    <t>REL04271</t>
  </si>
  <si>
    <t>REL04272</t>
  </si>
  <si>
    <t>REL04273</t>
  </si>
  <si>
    <t>REL04274</t>
  </si>
  <si>
    <t>REL04275</t>
  </si>
  <si>
    <t>REL04276</t>
  </si>
  <si>
    <t>REL04277</t>
  </si>
  <si>
    <t>REL04278</t>
  </si>
  <si>
    <t>REL04279</t>
  </si>
  <si>
    <t>REL04280</t>
  </si>
  <si>
    <t>REL04281</t>
  </si>
  <si>
    <t>REL04282</t>
  </si>
  <si>
    <t>REL04283</t>
  </si>
  <si>
    <t>REL04284</t>
  </si>
  <si>
    <t>REL04285</t>
  </si>
  <si>
    <t>REL04286</t>
  </si>
  <si>
    <t>REL04287</t>
  </si>
  <si>
    <t>REL04288</t>
  </si>
  <si>
    <t>REL04289</t>
  </si>
  <si>
    <t>REL04290</t>
  </si>
  <si>
    <t>REL04291</t>
  </si>
  <si>
    <t>REL04292</t>
  </si>
  <si>
    <t>REL04293</t>
  </si>
  <si>
    <t>REL04294</t>
  </si>
  <si>
    <t>REL04295</t>
  </si>
  <si>
    <t>REL04296</t>
  </si>
  <si>
    <t>REL04297</t>
  </si>
  <si>
    <t>REL04298</t>
  </si>
  <si>
    <t>REL04299</t>
  </si>
  <si>
    <t>REL04300</t>
  </si>
  <si>
    <t>REL04301</t>
  </si>
  <si>
    <t>REL04302</t>
  </si>
  <si>
    <t>REL04303</t>
  </si>
  <si>
    <t>REL04304</t>
  </si>
  <si>
    <t>REL04305</t>
  </si>
  <si>
    <t>REL04306</t>
  </si>
  <si>
    <t>REL04307</t>
  </si>
  <si>
    <t>REL04308</t>
  </si>
  <si>
    <t>REL04309</t>
  </si>
  <si>
    <t>REL04310</t>
  </si>
  <si>
    <t>REL04311</t>
  </si>
  <si>
    <t>REL04312</t>
  </si>
  <si>
    <t>REL04313</t>
  </si>
  <si>
    <t>REL04314</t>
  </si>
  <si>
    <t>REL04315</t>
  </si>
  <si>
    <t>REL04316</t>
  </si>
  <si>
    <t>REL04317</t>
  </si>
  <si>
    <t>REL04318</t>
  </si>
  <si>
    <t>REL04319</t>
  </si>
  <si>
    <t>REL04320</t>
  </si>
  <si>
    <t>REL04321</t>
  </si>
  <si>
    <t>REL04322</t>
  </si>
  <si>
    <t>REL04323</t>
  </si>
  <si>
    <t>REL04324</t>
  </si>
  <si>
    <t>REL04325</t>
  </si>
  <si>
    <t>REL04326</t>
  </si>
  <si>
    <t>REL04327</t>
  </si>
  <si>
    <t>REL04328</t>
  </si>
  <si>
    <t>REL04329</t>
  </si>
  <si>
    <t>REL04330</t>
  </si>
  <si>
    <t>REL04331</t>
  </si>
  <si>
    <t>REL04332</t>
  </si>
  <si>
    <t>REL04333</t>
  </si>
  <si>
    <t>REL04334</t>
  </si>
  <si>
    <t>REL04335</t>
  </si>
  <si>
    <t>REL04336</t>
  </si>
  <si>
    <t>REL04337</t>
  </si>
  <si>
    <t>REL04338</t>
  </si>
  <si>
    <t>REL04339</t>
  </si>
  <si>
    <t>REL04340</t>
  </si>
  <si>
    <t>REL04341</t>
  </si>
  <si>
    <t>REL04342</t>
  </si>
  <si>
    <t>REL04343</t>
  </si>
  <si>
    <t>REL04344</t>
  </si>
  <si>
    <t>REL04345</t>
  </si>
  <si>
    <t>REL04346</t>
  </si>
  <si>
    <t>REL04347</t>
  </si>
  <si>
    <t>REL04348</t>
  </si>
  <si>
    <t>REL04349</t>
  </si>
  <si>
    <t>REL04350</t>
  </si>
  <si>
    <t>REL04351</t>
  </si>
  <si>
    <t>REL04352</t>
  </si>
  <si>
    <t>REL04353</t>
  </si>
  <si>
    <t>REL04354</t>
  </si>
  <si>
    <t>REL04355</t>
  </si>
  <si>
    <t>REL04356</t>
  </si>
  <si>
    <t>REL04357</t>
  </si>
  <si>
    <t>REL04358</t>
  </si>
  <si>
    <t>REL04359</t>
  </si>
  <si>
    <t>REL04360</t>
  </si>
  <si>
    <t>REL04361</t>
  </si>
  <si>
    <t>REL04362</t>
  </si>
  <si>
    <t>REL04363</t>
  </si>
  <si>
    <t>REL04364</t>
  </si>
  <si>
    <t>REL04365</t>
  </si>
  <si>
    <t>REL04366</t>
  </si>
  <si>
    <t>REL04367</t>
  </si>
  <si>
    <t>REL04368</t>
  </si>
  <si>
    <t>REL04369</t>
  </si>
  <si>
    <t>REL04370</t>
  </si>
  <si>
    <t>REL04371</t>
  </si>
  <si>
    <t>REL04372</t>
  </si>
  <si>
    <t>REL04373</t>
  </si>
  <si>
    <t>REL04374</t>
  </si>
  <si>
    <t>REL04375</t>
  </si>
  <si>
    <t>REL04376</t>
  </si>
  <si>
    <t>REL04377</t>
  </si>
  <si>
    <t>REL04378</t>
  </si>
  <si>
    <t>REL04379</t>
  </si>
  <si>
    <t>REL04380</t>
  </si>
  <si>
    <t>REL04381</t>
  </si>
  <si>
    <t>REL04382</t>
  </si>
  <si>
    <t>REL04383</t>
  </si>
  <si>
    <t>REL04384</t>
  </si>
  <si>
    <t>REL04385</t>
  </si>
  <si>
    <t>REL04386</t>
  </si>
  <si>
    <t>REL04387</t>
  </si>
  <si>
    <t>REL04388</t>
  </si>
  <si>
    <t>REL04389</t>
  </si>
  <si>
    <t>REL04390</t>
  </si>
  <si>
    <t>REL04391</t>
  </si>
  <si>
    <t>REL04392</t>
  </si>
  <si>
    <t>REL04393</t>
  </si>
  <si>
    <t>REL04394</t>
  </si>
  <si>
    <t>REL04395</t>
  </si>
  <si>
    <t>REL04396</t>
  </si>
  <si>
    <t>REL04397</t>
  </si>
  <si>
    <t>REL04398</t>
  </si>
  <si>
    <t>REL04399</t>
  </si>
  <si>
    <t>REL04400</t>
  </si>
  <si>
    <t>REL04401</t>
  </si>
  <si>
    <t>REL04402</t>
  </si>
  <si>
    <t>REL04403</t>
  </si>
  <si>
    <t>REL04404</t>
  </si>
  <si>
    <t>REL04405</t>
  </si>
  <si>
    <t>REL04406</t>
  </si>
  <si>
    <t>REL04407</t>
  </si>
  <si>
    <t>REL04408</t>
  </si>
  <si>
    <t>REL04409</t>
  </si>
  <si>
    <t>REL04410</t>
  </si>
  <si>
    <t>REL04411</t>
  </si>
  <si>
    <t>REL04412</t>
  </si>
  <si>
    <t>REL04413</t>
  </si>
  <si>
    <t>REL04414</t>
  </si>
  <si>
    <t>REL04415</t>
  </si>
  <si>
    <t>REL04416</t>
  </si>
  <si>
    <t>REL04417</t>
  </si>
  <si>
    <t>REL04418</t>
  </si>
  <si>
    <t>REL04419</t>
  </si>
  <si>
    <t>REL04420</t>
  </si>
  <si>
    <t>REL04421</t>
  </si>
  <si>
    <t>REL04422</t>
  </si>
  <si>
    <t>REL04423</t>
  </si>
  <si>
    <t>REL04424</t>
  </si>
  <si>
    <t>REL04425</t>
  </si>
  <si>
    <t>REL04426</t>
  </si>
  <si>
    <t>REL04427</t>
  </si>
  <si>
    <t>REL04428</t>
  </si>
  <si>
    <t>REL04429</t>
  </si>
  <si>
    <t>REL04430</t>
  </si>
  <si>
    <t>REL04431</t>
  </si>
  <si>
    <t>REL04432</t>
  </si>
  <si>
    <t>REL04433</t>
  </si>
  <si>
    <t>REL04434</t>
  </si>
  <si>
    <t>REL04435</t>
  </si>
  <si>
    <t>REL04436</t>
  </si>
  <si>
    <t>REL04437</t>
  </si>
  <si>
    <t>REL04438</t>
  </si>
  <si>
    <t>REL04439</t>
  </si>
  <si>
    <t>REL04440</t>
  </si>
  <si>
    <t>REL04441</t>
  </si>
  <si>
    <t>REL04442</t>
  </si>
  <si>
    <t>REL04443</t>
  </si>
  <si>
    <t>REL04444</t>
  </si>
  <si>
    <t>REL04445</t>
  </si>
  <si>
    <t>REL04446</t>
  </si>
  <si>
    <t>REL04447</t>
  </si>
  <si>
    <t>REL04448</t>
  </si>
  <si>
    <t>REL04449</t>
  </si>
  <si>
    <t>REL04450</t>
  </si>
  <si>
    <t>REL04451</t>
  </si>
  <si>
    <t>REL04452</t>
  </si>
  <si>
    <t>REL04453</t>
  </si>
  <si>
    <t>REL04454</t>
  </si>
  <si>
    <t>REL04455</t>
  </si>
  <si>
    <t>REL04456</t>
  </si>
  <si>
    <t>REL04457</t>
  </si>
  <si>
    <t>REL04458</t>
  </si>
  <si>
    <t>REL04459</t>
  </si>
  <si>
    <t>REL04460</t>
  </si>
  <si>
    <t>REL04461</t>
  </si>
  <si>
    <t>REL04462</t>
  </si>
  <si>
    <t>REL04463</t>
  </si>
  <si>
    <t>REL04464</t>
  </si>
  <si>
    <t>REL04465</t>
  </si>
  <si>
    <t>REL04466</t>
  </si>
  <si>
    <t>REL04467</t>
  </si>
  <si>
    <t>REL04468</t>
  </si>
  <si>
    <t>REL04469</t>
  </si>
  <si>
    <t>REL04470</t>
  </si>
  <si>
    <t>REL04471</t>
  </si>
  <si>
    <t>REL04472</t>
  </si>
  <si>
    <t>REL04473</t>
  </si>
  <si>
    <t>REL04474</t>
  </si>
  <si>
    <t>REL04475</t>
  </si>
  <si>
    <t>REL04476</t>
  </si>
  <si>
    <t>REL04477</t>
  </si>
  <si>
    <t>REL04478</t>
  </si>
  <si>
    <t>REL04479</t>
  </si>
  <si>
    <t>REL04480</t>
  </si>
  <si>
    <t>REL04481</t>
  </si>
  <si>
    <t>REL04482</t>
  </si>
  <si>
    <t>REL04483</t>
  </si>
  <si>
    <t>REL04484</t>
  </si>
  <si>
    <t>REL04485</t>
  </si>
  <si>
    <t>REL04486</t>
  </si>
  <si>
    <t>REL04487</t>
  </si>
  <si>
    <t>REL04488</t>
  </si>
  <si>
    <t>REL04489</t>
  </si>
  <si>
    <t>REL04490</t>
  </si>
  <si>
    <t>REL04491</t>
  </si>
  <si>
    <t>REL04492</t>
  </si>
  <si>
    <t>REL04493</t>
  </si>
  <si>
    <t>REL04494</t>
  </si>
  <si>
    <t>REL04495</t>
  </si>
  <si>
    <t>REL04496</t>
  </si>
  <si>
    <t>REL04497</t>
  </si>
  <si>
    <t>REL04498</t>
  </si>
  <si>
    <t>REL04499</t>
  </si>
  <si>
    <t>REL04500</t>
  </si>
  <si>
    <t>REL04501</t>
  </si>
  <si>
    <t>REL04502</t>
  </si>
  <si>
    <t>REL04503</t>
  </si>
  <si>
    <t>REL04504</t>
  </si>
  <si>
    <t>REL04505</t>
  </si>
  <si>
    <t>REL04506</t>
  </si>
  <si>
    <t>REL04507</t>
  </si>
  <si>
    <t>REL04508</t>
  </si>
  <si>
    <t>REL04509</t>
  </si>
  <si>
    <t>REL04510</t>
  </si>
  <si>
    <t>REL04511</t>
  </si>
  <si>
    <t>REL04512</t>
  </si>
  <si>
    <t>REL04513</t>
  </si>
  <si>
    <t>REL04514</t>
  </si>
  <si>
    <t>REL04515</t>
  </si>
  <si>
    <t>REL04516</t>
  </si>
  <si>
    <t>REL04517</t>
  </si>
  <si>
    <t>REL04518</t>
  </si>
  <si>
    <t>REL04519</t>
  </si>
  <si>
    <t>REL04520</t>
  </si>
  <si>
    <t>REL04521</t>
  </si>
  <si>
    <t>REL04522</t>
  </si>
  <si>
    <t>REL04523</t>
  </si>
  <si>
    <t>REL04524</t>
  </si>
  <si>
    <t>REL04525</t>
  </si>
  <si>
    <t>REL04526</t>
  </si>
  <si>
    <t>REL04527</t>
  </si>
  <si>
    <t>REL04528</t>
  </si>
  <si>
    <t>REL04529</t>
  </si>
  <si>
    <t>REL04530</t>
  </si>
  <si>
    <t>REL04531</t>
  </si>
  <si>
    <t>REL04532</t>
  </si>
  <si>
    <t>REL04533</t>
  </si>
  <si>
    <t>REL04534</t>
  </si>
  <si>
    <t>REL04535</t>
  </si>
  <si>
    <t>REL04536</t>
  </si>
  <si>
    <t>REL04537</t>
  </si>
  <si>
    <t>REL04538</t>
  </si>
  <si>
    <t>REL04539</t>
  </si>
  <si>
    <t>REL04540</t>
  </si>
  <si>
    <t>REL04541</t>
  </si>
  <si>
    <t>REL04542</t>
  </si>
  <si>
    <t>REL04543</t>
  </si>
  <si>
    <t>REL04544</t>
  </si>
  <si>
    <t>REL04545</t>
  </si>
  <si>
    <t>REL04546</t>
  </si>
  <si>
    <t>REL04547</t>
  </si>
  <si>
    <t>REL04548</t>
  </si>
  <si>
    <t>REL04549</t>
  </si>
  <si>
    <t>REL04550</t>
  </si>
  <si>
    <t>REL04551</t>
  </si>
  <si>
    <t>REL04552</t>
  </si>
  <si>
    <t>REL04553</t>
  </si>
  <si>
    <t>REL04554</t>
  </si>
  <si>
    <t>REL04555</t>
  </si>
  <si>
    <t>REL04556</t>
  </si>
  <si>
    <t>REL04557</t>
  </si>
  <si>
    <t>REL04558</t>
  </si>
  <si>
    <t>REL04559</t>
  </si>
  <si>
    <t>REL04560</t>
  </si>
  <si>
    <t>REL04561</t>
  </si>
  <si>
    <t>REL04562</t>
  </si>
  <si>
    <t>REL04563</t>
  </si>
  <si>
    <t>REL04564</t>
  </si>
  <si>
    <t>REL04565</t>
  </si>
  <si>
    <t>REL04566</t>
  </si>
  <si>
    <t>REL04567</t>
  </si>
  <si>
    <t>REL04568</t>
  </si>
  <si>
    <t>REL04569</t>
  </si>
  <si>
    <t>REL04570</t>
  </si>
  <si>
    <t>REL04571</t>
  </si>
  <si>
    <t>REL04572</t>
  </si>
  <si>
    <t>REL04573</t>
  </si>
  <si>
    <t>REL04574</t>
  </si>
  <si>
    <t>REL04575</t>
  </si>
  <si>
    <t>REL04576</t>
  </si>
  <si>
    <t>REL04577</t>
  </si>
  <si>
    <t>REL04578</t>
  </si>
  <si>
    <t>REL04579</t>
  </si>
  <si>
    <t>REL04580</t>
  </si>
  <si>
    <t>REL04581</t>
  </si>
  <si>
    <t>REL04582</t>
  </si>
  <si>
    <t>REL04583</t>
  </si>
  <si>
    <t>REL04584</t>
  </si>
  <si>
    <t>REL04585</t>
  </si>
  <si>
    <t>REL04586</t>
  </si>
  <si>
    <t>REL04587</t>
  </si>
  <si>
    <t>REL04588</t>
  </si>
  <si>
    <t>REL04589</t>
  </si>
  <si>
    <t>REL04590</t>
  </si>
  <si>
    <t>REL04591</t>
  </si>
  <si>
    <t>REL04592</t>
  </si>
  <si>
    <t>REL04593</t>
  </si>
  <si>
    <t>REL04594</t>
  </si>
  <si>
    <t>REL04595</t>
  </si>
  <si>
    <t>REL04596</t>
  </si>
  <si>
    <t>REL04597</t>
  </si>
  <si>
    <t>REL04598</t>
  </si>
  <si>
    <t>REL04599</t>
  </si>
  <si>
    <t>REL04600</t>
  </si>
  <si>
    <t>REL04601</t>
  </si>
  <si>
    <t>REL04602</t>
  </si>
  <si>
    <t>REL04603</t>
  </si>
  <si>
    <t>REL04604</t>
  </si>
  <si>
    <t>REL04605</t>
  </si>
  <si>
    <t>REL04606</t>
  </si>
  <si>
    <t>REL04607</t>
  </si>
  <si>
    <t>REL04608</t>
  </si>
  <si>
    <t>REL04609</t>
  </si>
  <si>
    <t>REL04610</t>
  </si>
  <si>
    <t>REL04611</t>
  </si>
  <si>
    <t>REL04612</t>
  </si>
  <si>
    <t>REL04613</t>
  </si>
  <si>
    <t>REL04614</t>
  </si>
  <si>
    <t>REL04615</t>
  </si>
  <si>
    <t>REL04616</t>
  </si>
  <si>
    <t>REL04617</t>
  </si>
  <si>
    <t>REL04618</t>
  </si>
  <si>
    <t>REL04619</t>
  </si>
  <si>
    <t>REL04620</t>
  </si>
  <si>
    <t>REL04621</t>
  </si>
  <si>
    <t>REL04622</t>
  </si>
  <si>
    <t>REL04623</t>
  </si>
  <si>
    <t>REL04624</t>
  </si>
  <si>
    <t>REL04625</t>
  </si>
  <si>
    <t>REL04626</t>
  </si>
  <si>
    <t>REL04627</t>
  </si>
  <si>
    <t>REL04628</t>
  </si>
  <si>
    <t>REL04629</t>
  </si>
  <si>
    <t>REL04630</t>
  </si>
  <si>
    <t>REL04631</t>
  </si>
  <si>
    <t>REL04632</t>
  </si>
  <si>
    <t>REL04633</t>
  </si>
  <si>
    <t>REL04634</t>
  </si>
  <si>
    <t>REL04635</t>
  </si>
  <si>
    <t>REL04636</t>
  </si>
  <si>
    <t>REL04637</t>
  </si>
  <si>
    <t>REL04638</t>
  </si>
  <si>
    <t>REL04639</t>
  </si>
  <si>
    <t>REL04640</t>
  </si>
  <si>
    <t>REL04641</t>
  </si>
  <si>
    <t>REL04642</t>
  </si>
  <si>
    <t>REL04643</t>
  </si>
  <si>
    <t>REL04644</t>
  </si>
  <si>
    <t>REL04645</t>
  </si>
  <si>
    <t>REL04646</t>
  </si>
  <si>
    <t>REL04647</t>
  </si>
  <si>
    <t>REL04648</t>
  </si>
  <si>
    <t>REL04649</t>
  </si>
  <si>
    <t>REL04650</t>
  </si>
  <si>
    <t>REL04651</t>
  </si>
  <si>
    <t>REL04652</t>
  </si>
  <si>
    <t>REL04653</t>
  </si>
  <si>
    <t>REL04654</t>
  </si>
  <si>
    <t>REL04655</t>
  </si>
  <si>
    <t>REL04656</t>
  </si>
  <si>
    <t>REL04657</t>
  </si>
  <si>
    <t>REL04658</t>
  </si>
  <si>
    <t>REL04659</t>
  </si>
  <si>
    <t>REL04660</t>
  </si>
  <si>
    <t>REL04661</t>
  </si>
  <si>
    <t>REL04662</t>
  </si>
  <si>
    <t>REL04663</t>
  </si>
  <si>
    <t>REL04664</t>
  </si>
  <si>
    <t>REL04665</t>
  </si>
  <si>
    <t>REL04666</t>
  </si>
  <si>
    <t>REL04667</t>
  </si>
  <si>
    <t>REL04668</t>
  </si>
  <si>
    <t>REL04669</t>
  </si>
  <si>
    <t>REL04670</t>
  </si>
  <si>
    <t>REL04671</t>
  </si>
  <si>
    <t>REL04672</t>
  </si>
  <si>
    <t>REL04673</t>
  </si>
  <si>
    <t>REL04674</t>
  </si>
  <si>
    <t>REL04675</t>
  </si>
  <si>
    <t>REL04676</t>
  </si>
  <si>
    <t>REL04677</t>
  </si>
  <si>
    <t>REL04678</t>
  </si>
  <si>
    <t>REL04679</t>
  </si>
  <si>
    <t>REL04680</t>
  </si>
  <si>
    <t>REL04681</t>
  </si>
  <si>
    <t>REL04682</t>
  </si>
  <si>
    <t>REL04683</t>
  </si>
  <si>
    <t>REL04684</t>
  </si>
  <si>
    <t>REL04685</t>
  </si>
  <si>
    <t>REL04686</t>
  </si>
  <si>
    <t>REL04687</t>
  </si>
  <si>
    <t>REL04688</t>
  </si>
  <si>
    <t>REL04689</t>
  </si>
  <si>
    <t>REL04690</t>
  </si>
  <si>
    <t>REL04691</t>
  </si>
  <si>
    <t>REL04692</t>
  </si>
  <si>
    <t>REL04693</t>
  </si>
  <si>
    <t>REL04694</t>
  </si>
  <si>
    <t>REL04695</t>
  </si>
  <si>
    <t>REL04696</t>
  </si>
  <si>
    <t>REL04697</t>
  </si>
  <si>
    <t>REL04698</t>
  </si>
  <si>
    <t>REL04699</t>
  </si>
  <si>
    <t>REL04700</t>
  </si>
  <si>
    <t>REL04701</t>
  </si>
  <si>
    <t>REL04702</t>
  </si>
  <si>
    <t>REL04703</t>
  </si>
  <si>
    <t>REL04704</t>
  </si>
  <si>
    <t>REL04705</t>
  </si>
  <si>
    <t>REL04706</t>
  </si>
  <si>
    <t>REL04707</t>
  </si>
  <si>
    <t>REL04708</t>
  </si>
  <si>
    <t>REL04709</t>
  </si>
  <si>
    <t>REL04710</t>
  </si>
  <si>
    <t>REL04711</t>
  </si>
  <si>
    <t>REL04712</t>
  </si>
  <si>
    <t>REL04713</t>
  </si>
  <si>
    <t>REL04714</t>
  </si>
  <si>
    <t>REL04715</t>
  </si>
  <si>
    <t>REL04716</t>
  </si>
  <si>
    <t>REL04717</t>
  </si>
  <si>
    <t>REL04718</t>
  </si>
  <si>
    <t>REL04719</t>
  </si>
  <si>
    <t>REL04720</t>
  </si>
  <si>
    <t>REL04721</t>
  </si>
  <si>
    <t>REL04722</t>
  </si>
  <si>
    <t>REL04723</t>
  </si>
  <si>
    <t>REL04724</t>
  </si>
  <si>
    <t>REL04725</t>
  </si>
  <si>
    <t>REL04726</t>
  </si>
  <si>
    <t>REL04727</t>
  </si>
  <si>
    <t>REL04728</t>
  </si>
  <si>
    <t>REL04729</t>
  </si>
  <si>
    <t>REL04730</t>
  </si>
  <si>
    <t>REL04731</t>
  </si>
  <si>
    <t>REL04732</t>
  </si>
  <si>
    <t>REL04733</t>
  </si>
  <si>
    <t>REL04734</t>
  </si>
  <si>
    <t>REL04735</t>
  </si>
  <si>
    <t>REL04736</t>
  </si>
  <si>
    <t>REL04737</t>
  </si>
  <si>
    <t>REL04738</t>
  </si>
  <si>
    <t>REL04739</t>
  </si>
  <si>
    <t>REL04740</t>
  </si>
  <si>
    <t>REL04741</t>
  </si>
  <si>
    <t>REL04742</t>
  </si>
  <si>
    <t>REL04743</t>
  </si>
  <si>
    <t>REL04744</t>
  </si>
  <si>
    <t>REL04745</t>
  </si>
  <si>
    <t>REL04746</t>
  </si>
  <si>
    <t>REL04747</t>
  </si>
  <si>
    <t>REL04748</t>
  </si>
  <si>
    <t>REL04749</t>
  </si>
  <si>
    <t>REL04750</t>
  </si>
  <si>
    <t>REL04751</t>
  </si>
  <si>
    <t>REL04752</t>
  </si>
  <si>
    <t>REL04753</t>
  </si>
  <si>
    <t>REL04754</t>
  </si>
  <si>
    <t>REL04755</t>
  </si>
  <si>
    <t>REL04756</t>
  </si>
  <si>
    <t>REL04757</t>
  </si>
  <si>
    <t>REL04758</t>
  </si>
  <si>
    <t>REL04759</t>
  </si>
  <si>
    <t>REL04760</t>
  </si>
  <si>
    <t>REL04761</t>
  </si>
  <si>
    <t>REL04762</t>
  </si>
  <si>
    <t>REL04763</t>
  </si>
  <si>
    <t>REL04764</t>
  </si>
  <si>
    <t>REL04765</t>
  </si>
  <si>
    <t>REL04766</t>
  </si>
  <si>
    <t>REL04767</t>
  </si>
  <si>
    <t>REL04768</t>
  </si>
  <si>
    <t>REL04769</t>
  </si>
  <si>
    <t>REL04770</t>
  </si>
  <si>
    <t>REL04771</t>
  </si>
  <si>
    <t>REL04772</t>
  </si>
  <si>
    <t>REL04773</t>
  </si>
  <si>
    <t>REL04774</t>
  </si>
  <si>
    <t>REL04775</t>
  </si>
  <si>
    <t>REL04776</t>
  </si>
  <si>
    <t>REL04777</t>
  </si>
  <si>
    <t>REL04778</t>
  </si>
  <si>
    <t>REL04779</t>
  </si>
  <si>
    <t>REL04780</t>
  </si>
  <si>
    <t>REL04781</t>
  </si>
  <si>
    <t>REL04782</t>
  </si>
  <si>
    <t>REL04783</t>
  </si>
  <si>
    <t>REL04784</t>
  </si>
  <si>
    <t>REL04785</t>
  </si>
  <si>
    <t>REL04786</t>
  </si>
  <si>
    <t>REL04787</t>
  </si>
  <si>
    <t>REL04788</t>
  </si>
  <si>
    <t>REL04789</t>
  </si>
  <si>
    <t>REL04790</t>
  </si>
  <si>
    <t>REL04791</t>
  </si>
  <si>
    <t>REL04792</t>
  </si>
  <si>
    <t>REL04793</t>
  </si>
  <si>
    <t>REL04794</t>
  </si>
  <si>
    <t>REL04795</t>
  </si>
  <si>
    <t>REL04796</t>
  </si>
  <si>
    <t>REL04797</t>
  </si>
  <si>
    <t>REL04798</t>
  </si>
  <si>
    <t>REL04799</t>
  </si>
  <si>
    <t>REL04800</t>
  </si>
  <si>
    <t>REL04801</t>
  </si>
  <si>
    <t>REL04802</t>
  </si>
  <si>
    <t>REL04803</t>
  </si>
  <si>
    <t>REL04804</t>
  </si>
  <si>
    <t>REL04805</t>
  </si>
  <si>
    <t>REL04806</t>
  </si>
  <si>
    <t>REL04807</t>
  </si>
  <si>
    <t>REL04808</t>
  </si>
  <si>
    <t>REL04809</t>
  </si>
  <si>
    <t>REL04810</t>
  </si>
  <si>
    <t>REL04811</t>
  </si>
  <si>
    <t>REL04812</t>
  </si>
  <si>
    <t>REL04813</t>
  </si>
  <si>
    <t>REL04814</t>
  </si>
  <si>
    <t>REL04815</t>
  </si>
  <si>
    <t>REL04816</t>
  </si>
  <si>
    <t>REL04817</t>
  </si>
  <si>
    <t>REL04818</t>
  </si>
  <si>
    <t>REL04819</t>
  </si>
  <si>
    <t>REL04820</t>
  </si>
  <si>
    <t>REL04821</t>
  </si>
  <si>
    <t>REL04822</t>
  </si>
  <si>
    <t>REL04823</t>
  </si>
  <si>
    <t>REL04824</t>
  </si>
  <si>
    <t>REL04825</t>
  </si>
  <si>
    <t>REL04826</t>
  </si>
  <si>
    <t>REL04827</t>
  </si>
  <si>
    <t>REL04828</t>
  </si>
  <si>
    <t>REL04829</t>
  </si>
  <si>
    <t>REL04830</t>
  </si>
  <si>
    <t>REL04831</t>
  </si>
  <si>
    <t>REL04832</t>
  </si>
  <si>
    <t>REL04833</t>
  </si>
  <si>
    <t>REL04834</t>
  </si>
  <si>
    <t>REL04835</t>
  </si>
  <si>
    <t>REL04836</t>
  </si>
  <si>
    <t>REL04837</t>
  </si>
  <si>
    <t>REL04838</t>
  </si>
  <si>
    <t>REL04839</t>
  </si>
  <si>
    <t>REL04840</t>
  </si>
  <si>
    <t>REL04841</t>
  </si>
  <si>
    <t>REL04842</t>
  </si>
  <si>
    <t>REL04843</t>
  </si>
  <si>
    <t>REL04844</t>
  </si>
  <si>
    <t>REL04845</t>
  </si>
  <si>
    <t>REL04846</t>
  </si>
  <si>
    <t>REL04847</t>
  </si>
  <si>
    <t>REL04848</t>
  </si>
  <si>
    <t>REL04849</t>
  </si>
  <si>
    <t>REL04850</t>
  </si>
  <si>
    <t>REL04851</t>
  </si>
  <si>
    <t>REL04852</t>
  </si>
  <si>
    <t>REL04853</t>
  </si>
  <si>
    <t>REL04854</t>
  </si>
  <si>
    <t>REL04855</t>
  </si>
  <si>
    <t>REL04856</t>
  </si>
  <si>
    <t>REL04857</t>
  </si>
  <si>
    <t>REL04858</t>
  </si>
  <si>
    <t>REL04859</t>
  </si>
  <si>
    <t>REL04860</t>
  </si>
  <si>
    <t>REL04861</t>
  </si>
  <si>
    <t>REL04862</t>
  </si>
  <si>
    <t>REL04863</t>
  </si>
  <si>
    <t>REL04864</t>
  </si>
  <si>
    <t>REL04865</t>
  </si>
  <si>
    <t>REL04866</t>
  </si>
  <si>
    <t>REL04867</t>
  </si>
  <si>
    <t>REL04868</t>
  </si>
  <si>
    <t>REL04869</t>
  </si>
  <si>
    <t>REL04870</t>
  </si>
  <si>
    <t>REL04871</t>
  </si>
  <si>
    <t>REL04872</t>
  </si>
  <si>
    <t>REL04873</t>
  </si>
  <si>
    <t>REL04874</t>
  </si>
  <si>
    <t>REL04875</t>
  </si>
  <si>
    <t>REL04876</t>
  </si>
  <si>
    <t>REL04877</t>
  </si>
  <si>
    <t>REL04878</t>
  </si>
  <si>
    <t>REL04879</t>
  </si>
  <si>
    <t>REL04880</t>
  </si>
  <si>
    <t>REL04881</t>
  </si>
  <si>
    <t>REL04882</t>
  </si>
  <si>
    <t>REL04883</t>
  </si>
  <si>
    <t>REL04884</t>
  </si>
  <si>
    <t>REL04885</t>
  </si>
  <si>
    <t>REL04886</t>
  </si>
  <si>
    <t>REL04887</t>
  </si>
  <si>
    <t>REL04888</t>
  </si>
  <si>
    <t>REL04889</t>
  </si>
  <si>
    <t>REL04890</t>
  </si>
  <si>
    <t>REL04891</t>
  </si>
  <si>
    <t>REL04892</t>
  </si>
  <si>
    <t>REL04893</t>
  </si>
  <si>
    <t>REL04894</t>
  </si>
  <si>
    <t>REL04895</t>
  </si>
  <si>
    <t>REL04896</t>
  </si>
  <si>
    <t>REL04897</t>
  </si>
  <si>
    <t>REL04898</t>
  </si>
  <si>
    <t>REL04899</t>
  </si>
  <si>
    <t>REL04900</t>
  </si>
  <si>
    <t>REL04901</t>
  </si>
  <si>
    <t>REL04902</t>
  </si>
  <si>
    <t>REL04903</t>
  </si>
  <si>
    <t>REL04904</t>
  </si>
  <si>
    <t>REL04905</t>
  </si>
  <si>
    <t>REL04906</t>
  </si>
  <si>
    <t>REL04907</t>
  </si>
  <si>
    <t>REL04908</t>
  </si>
  <si>
    <t>REL04909</t>
  </si>
  <si>
    <t>REL04910</t>
  </si>
  <si>
    <t>REL04911</t>
  </si>
  <si>
    <t>REL04912</t>
  </si>
  <si>
    <t>REL04913</t>
  </si>
  <si>
    <t>REL04914</t>
  </si>
  <si>
    <t>REL04915</t>
  </si>
  <si>
    <t>REL04916</t>
  </si>
  <si>
    <t>REL04917</t>
  </si>
  <si>
    <t>REL04918</t>
  </si>
  <si>
    <t>REL04919</t>
  </si>
  <si>
    <t>REL04920</t>
  </si>
  <si>
    <t>REL04921</t>
  </si>
  <si>
    <t>REL04922</t>
  </si>
  <si>
    <t>REL04923</t>
  </si>
  <si>
    <t>REL04924</t>
  </si>
  <si>
    <t>REL04925</t>
  </si>
  <si>
    <t>REL04926</t>
  </si>
  <si>
    <t>REL04927</t>
  </si>
  <si>
    <t>REL04928</t>
  </si>
  <si>
    <t>REL04929</t>
  </si>
  <si>
    <t>REL04930</t>
  </si>
  <si>
    <t>REL04931</t>
  </si>
  <si>
    <t>REL04932</t>
  </si>
  <si>
    <t>REL04933</t>
  </si>
  <si>
    <t>REL04934</t>
  </si>
  <si>
    <t>REL04935</t>
  </si>
  <si>
    <t>REL04936</t>
  </si>
  <si>
    <t>REL04937</t>
  </si>
  <si>
    <t>REL04938</t>
  </si>
  <si>
    <t>REL04939</t>
  </si>
  <si>
    <t>REL04940</t>
  </si>
  <si>
    <t>REL04941</t>
  </si>
  <si>
    <t>REL04942</t>
  </si>
  <si>
    <t>REL04943</t>
  </si>
  <si>
    <t>REL04944</t>
  </si>
  <si>
    <t>REL04945</t>
  </si>
  <si>
    <t>REL04946</t>
  </si>
  <si>
    <t>REL04947</t>
  </si>
  <si>
    <t>REL04948</t>
  </si>
  <si>
    <t>REL04949</t>
  </si>
  <si>
    <t>REL04950</t>
  </si>
  <si>
    <t>REL04951</t>
  </si>
  <si>
    <t>REL04952</t>
  </si>
  <si>
    <t>REL04953</t>
  </si>
  <si>
    <t>REL04954</t>
  </si>
  <si>
    <t>REL04955</t>
  </si>
  <si>
    <t>REL04956</t>
  </si>
  <si>
    <t>REL04957</t>
  </si>
  <si>
    <t>REL04958</t>
  </si>
  <si>
    <t>REL04959</t>
  </si>
  <si>
    <t>REL04960</t>
  </si>
  <si>
    <t>REL04961</t>
  </si>
  <si>
    <t>REL04962</t>
  </si>
  <si>
    <t>REL04963</t>
  </si>
  <si>
    <t>REL04964</t>
  </si>
  <si>
    <t>REL04965</t>
  </si>
  <si>
    <t>REL04966</t>
  </si>
  <si>
    <t>REL04967</t>
  </si>
  <si>
    <t>REL04968</t>
  </si>
  <si>
    <t>REL04969</t>
  </si>
  <si>
    <t>REL04970</t>
  </si>
  <si>
    <t>REL04971</t>
  </si>
  <si>
    <t>REL04972</t>
  </si>
  <si>
    <t>REL04973</t>
  </si>
  <si>
    <t>REL04974</t>
  </si>
  <si>
    <t>REL04975</t>
  </si>
  <si>
    <t>REL04976</t>
  </si>
  <si>
    <t>REL04977</t>
  </si>
  <si>
    <t>REL04978</t>
  </si>
  <si>
    <t>REL04979</t>
  </si>
  <si>
    <t>REL04980</t>
  </si>
  <si>
    <t>REL04981</t>
  </si>
  <si>
    <t>REL04982</t>
  </si>
  <si>
    <t>REL04983</t>
  </si>
  <si>
    <t>REL04984</t>
  </si>
  <si>
    <t>REL04985</t>
  </si>
  <si>
    <t>REL04986</t>
  </si>
  <si>
    <t>REL04987</t>
  </si>
  <si>
    <t>REL04988</t>
  </si>
  <si>
    <t>REL04989</t>
  </si>
  <si>
    <t>REL04990</t>
  </si>
  <si>
    <t>REL04991</t>
  </si>
  <si>
    <t>REL04992</t>
  </si>
  <si>
    <t>REL04993</t>
  </si>
  <si>
    <t>REL04994</t>
  </si>
  <si>
    <t>REL04995</t>
  </si>
  <si>
    <t>REL04996</t>
  </si>
  <si>
    <t>REL04997</t>
  </si>
  <si>
    <t>REL04998</t>
  </si>
  <si>
    <t>REL04999</t>
  </si>
  <si>
    <t>REL05000</t>
  </si>
  <si>
    <t>Salary Grade</t>
  </si>
  <si>
    <t>Performance Score</t>
  </si>
  <si>
    <t>Employee Tenure Category</t>
  </si>
  <si>
    <t>Attrition Risk</t>
  </si>
  <si>
    <t>Salary Competitiveness</t>
  </si>
  <si>
    <t>Row Labels</t>
  </si>
  <si>
    <t>Grand Total</t>
  </si>
  <si>
    <t>Column Labels</t>
  </si>
  <si>
    <t>Grade A</t>
  </si>
  <si>
    <t>Grade B</t>
  </si>
  <si>
    <t>Grade C</t>
  </si>
  <si>
    <t>Grade D</t>
  </si>
  <si>
    <t>Count of Employee_ID</t>
  </si>
  <si>
    <t>Already Left</t>
  </si>
  <si>
    <t>High Risk</t>
  </si>
  <si>
    <t>Low Risk</t>
  </si>
  <si>
    <t>Medium Risk</t>
  </si>
  <si>
    <t>Competitive</t>
  </si>
  <si>
    <t>Fair</t>
  </si>
  <si>
    <t>Overpaid</t>
  </si>
  <si>
    <t>Underpaid</t>
  </si>
  <si>
    <t>Junior</t>
  </si>
  <si>
    <t>Mid Level</t>
  </si>
  <si>
    <t>New Joiner</t>
  </si>
  <si>
    <t>Senior</t>
  </si>
  <si>
    <t>Total Count of Employee_ID</t>
  </si>
  <si>
    <t>Total Average of Monthly_Salary</t>
  </si>
  <si>
    <t>Average of Monthly_Salary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</si>
</sst>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[Reliance_HR_Data.xlsx]Pivot table 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'!$B$3:$B$4</c:f>
              <c:strCache>
                <c:ptCount val="1"/>
                <c:pt idx="0">
                  <c:v>Grade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'!$A$5:$A$13</c:f>
              <c:strCache>
                <c:ptCount val="8"/>
                <c:pt idx="0">
                  <c:v>Customer Service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'Pivot table '!$B$5:$B$13</c:f>
              <c:numCache>
                <c:formatCode>General</c:formatCode>
                <c:ptCount val="8"/>
                <c:pt idx="0">
                  <c:v>234</c:v>
                </c:pt>
                <c:pt idx="1">
                  <c:v>275</c:v>
                </c:pt>
                <c:pt idx="2">
                  <c:v>246</c:v>
                </c:pt>
                <c:pt idx="3">
                  <c:v>258</c:v>
                </c:pt>
                <c:pt idx="4">
                  <c:v>242</c:v>
                </c:pt>
                <c:pt idx="5">
                  <c:v>257</c:v>
                </c:pt>
                <c:pt idx="6">
                  <c:v>259</c:v>
                </c:pt>
                <c:pt idx="7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C-465B-BDBE-EBCA97D61C65}"/>
            </c:ext>
          </c:extLst>
        </c:ser>
        <c:ser>
          <c:idx val="1"/>
          <c:order val="1"/>
          <c:tx>
            <c:strRef>
              <c:f>'Pivot table '!$C$3:$C$4</c:f>
              <c:strCache>
                <c:ptCount val="1"/>
                <c:pt idx="0">
                  <c:v>Grade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'!$A$5:$A$13</c:f>
              <c:strCache>
                <c:ptCount val="8"/>
                <c:pt idx="0">
                  <c:v>Customer Service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'Pivot table '!$C$5:$C$13</c:f>
              <c:numCache>
                <c:formatCode>General</c:formatCode>
                <c:ptCount val="8"/>
                <c:pt idx="0">
                  <c:v>292</c:v>
                </c:pt>
                <c:pt idx="1">
                  <c:v>286</c:v>
                </c:pt>
                <c:pt idx="2">
                  <c:v>315</c:v>
                </c:pt>
                <c:pt idx="3">
                  <c:v>282</c:v>
                </c:pt>
                <c:pt idx="4">
                  <c:v>290</c:v>
                </c:pt>
                <c:pt idx="5">
                  <c:v>296</c:v>
                </c:pt>
                <c:pt idx="6">
                  <c:v>301</c:v>
                </c:pt>
                <c:pt idx="7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C-465B-BDBE-EBCA97D61C65}"/>
            </c:ext>
          </c:extLst>
        </c:ser>
        <c:ser>
          <c:idx val="2"/>
          <c:order val="2"/>
          <c:tx>
            <c:strRef>
              <c:f>'Pivot table '!$D$3:$D$4</c:f>
              <c:strCache>
                <c:ptCount val="1"/>
                <c:pt idx="0">
                  <c:v>Grade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 '!$A$5:$A$13</c:f>
              <c:strCache>
                <c:ptCount val="8"/>
                <c:pt idx="0">
                  <c:v>Customer Service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'Pivot table '!$D$5:$D$13</c:f>
              <c:numCache>
                <c:formatCode>General</c:formatCode>
                <c:ptCount val="8"/>
                <c:pt idx="0">
                  <c:v>76</c:v>
                </c:pt>
                <c:pt idx="1">
                  <c:v>82</c:v>
                </c:pt>
                <c:pt idx="2">
                  <c:v>58</c:v>
                </c:pt>
                <c:pt idx="3">
                  <c:v>74</c:v>
                </c:pt>
                <c:pt idx="4">
                  <c:v>67</c:v>
                </c:pt>
                <c:pt idx="5">
                  <c:v>75</c:v>
                </c:pt>
                <c:pt idx="6">
                  <c:v>71</c:v>
                </c:pt>
                <c:pt idx="7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4C-465B-BDBE-EBCA97D61C65}"/>
            </c:ext>
          </c:extLst>
        </c:ser>
        <c:ser>
          <c:idx val="3"/>
          <c:order val="3"/>
          <c:tx>
            <c:strRef>
              <c:f>'Pivot table '!$E$3:$E$4</c:f>
              <c:strCache>
                <c:ptCount val="1"/>
                <c:pt idx="0">
                  <c:v>Grade 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 '!$A$5:$A$13</c:f>
              <c:strCache>
                <c:ptCount val="8"/>
                <c:pt idx="0">
                  <c:v>Customer Service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Logistics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'Pivot table '!$E$5:$E$13</c:f>
              <c:numCache>
                <c:formatCode>General</c:formatCode>
                <c:ptCount val="8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4C-465B-BDBE-EBCA97D61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443087"/>
        <c:axId val="392443567"/>
      </c:lineChart>
      <c:catAx>
        <c:axId val="39244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443567"/>
        <c:crosses val="autoZero"/>
        <c:auto val="1"/>
        <c:lblAlgn val="ctr"/>
        <c:lblOffset val="100"/>
        <c:noMultiLvlLbl val="0"/>
      </c:catAx>
      <c:valAx>
        <c:axId val="3924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44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[Reliance_HR_Data.xlsx]Pivot table 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'!$I$3:$I$4</c:f>
              <c:strCache>
                <c:ptCount val="1"/>
                <c:pt idx="0">
                  <c:v>Already Left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'!$H$5:$H$10</c:f>
              <c:strCache>
                <c:ptCount val="5"/>
                <c:pt idx="0">
                  <c:v>JioMart</c:v>
                </c:pt>
                <c:pt idx="1">
                  <c:v>Reliance Digital</c:v>
                </c:pt>
                <c:pt idx="2">
                  <c:v>Reliance Fresh</c:v>
                </c:pt>
                <c:pt idx="3">
                  <c:v>Reliance Trends</c:v>
                </c:pt>
                <c:pt idx="4">
                  <c:v>Smart Bazaar</c:v>
                </c:pt>
              </c:strCache>
            </c:strRef>
          </c:cat>
          <c:val>
            <c:numRef>
              <c:f>'Pivot table '!$I$5:$I$10</c:f>
              <c:numCache>
                <c:formatCode>General</c:formatCode>
                <c:ptCount val="5"/>
                <c:pt idx="0">
                  <c:v>366</c:v>
                </c:pt>
                <c:pt idx="1">
                  <c:v>303</c:v>
                </c:pt>
                <c:pt idx="2">
                  <c:v>306</c:v>
                </c:pt>
                <c:pt idx="3">
                  <c:v>299</c:v>
                </c:pt>
                <c:pt idx="4">
                  <c:v>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6-471E-BB64-C91A114DEA5C}"/>
            </c:ext>
          </c:extLst>
        </c:ser>
        <c:ser>
          <c:idx val="1"/>
          <c:order val="1"/>
          <c:tx>
            <c:strRef>
              <c:f>'Pivot table '!$J$3:$J$4</c:f>
              <c:strCache>
                <c:ptCount val="1"/>
                <c:pt idx="0">
                  <c:v>High Risk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'!$H$5:$H$10</c:f>
              <c:strCache>
                <c:ptCount val="5"/>
                <c:pt idx="0">
                  <c:v>JioMart</c:v>
                </c:pt>
                <c:pt idx="1">
                  <c:v>Reliance Digital</c:v>
                </c:pt>
                <c:pt idx="2">
                  <c:v>Reliance Fresh</c:v>
                </c:pt>
                <c:pt idx="3">
                  <c:v>Reliance Trends</c:v>
                </c:pt>
                <c:pt idx="4">
                  <c:v>Smart Bazaar</c:v>
                </c:pt>
              </c:strCache>
            </c:strRef>
          </c:cat>
          <c:val>
            <c:numRef>
              <c:f>'Pivot table '!$J$5:$J$10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6-471E-BB64-C91A114DEA5C}"/>
            </c:ext>
          </c:extLst>
        </c:ser>
        <c:ser>
          <c:idx val="2"/>
          <c:order val="2"/>
          <c:tx>
            <c:strRef>
              <c:f>'Pivot table '!$K$3:$K$4</c:f>
              <c:strCache>
                <c:ptCount val="1"/>
                <c:pt idx="0">
                  <c:v>Low Risk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 '!$H$5:$H$10</c:f>
              <c:strCache>
                <c:ptCount val="5"/>
                <c:pt idx="0">
                  <c:v>JioMart</c:v>
                </c:pt>
                <c:pt idx="1">
                  <c:v>Reliance Digital</c:v>
                </c:pt>
                <c:pt idx="2">
                  <c:v>Reliance Fresh</c:v>
                </c:pt>
                <c:pt idx="3">
                  <c:v>Reliance Trends</c:v>
                </c:pt>
                <c:pt idx="4">
                  <c:v>Smart Bazaar</c:v>
                </c:pt>
              </c:strCache>
            </c:strRef>
          </c:cat>
          <c:val>
            <c:numRef>
              <c:f>'Pivot table '!$K$5:$K$10</c:f>
              <c:numCache>
                <c:formatCode>General</c:formatCode>
                <c:ptCount val="5"/>
                <c:pt idx="0">
                  <c:v>192</c:v>
                </c:pt>
                <c:pt idx="1">
                  <c:v>187</c:v>
                </c:pt>
                <c:pt idx="2">
                  <c:v>200</c:v>
                </c:pt>
                <c:pt idx="3">
                  <c:v>198</c:v>
                </c:pt>
                <c:pt idx="4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F6-471E-BB64-C91A114DEA5C}"/>
            </c:ext>
          </c:extLst>
        </c:ser>
        <c:ser>
          <c:idx val="3"/>
          <c:order val="3"/>
          <c:tx>
            <c:strRef>
              <c:f>'Pivot table '!$L$3:$L$4</c:f>
              <c:strCache>
                <c:ptCount val="1"/>
                <c:pt idx="0">
                  <c:v>Medium Risk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table '!$H$5:$H$10</c:f>
              <c:strCache>
                <c:ptCount val="5"/>
                <c:pt idx="0">
                  <c:v>JioMart</c:v>
                </c:pt>
                <c:pt idx="1">
                  <c:v>Reliance Digital</c:v>
                </c:pt>
                <c:pt idx="2">
                  <c:v>Reliance Fresh</c:v>
                </c:pt>
                <c:pt idx="3">
                  <c:v>Reliance Trends</c:v>
                </c:pt>
                <c:pt idx="4">
                  <c:v>Smart Bazaar</c:v>
                </c:pt>
              </c:strCache>
            </c:strRef>
          </c:cat>
          <c:val>
            <c:numRef>
              <c:f>'Pivot table '!$L$5:$L$10</c:f>
              <c:numCache>
                <c:formatCode>General</c:formatCode>
                <c:ptCount val="5"/>
                <c:pt idx="0">
                  <c:v>519</c:v>
                </c:pt>
                <c:pt idx="1">
                  <c:v>453</c:v>
                </c:pt>
                <c:pt idx="2">
                  <c:v>453</c:v>
                </c:pt>
                <c:pt idx="3">
                  <c:v>471</c:v>
                </c:pt>
                <c:pt idx="4">
                  <c:v>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F6-471E-BB64-C91A114DE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380191"/>
        <c:axId val="653374911"/>
      </c:lineChart>
      <c:catAx>
        <c:axId val="653380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74911"/>
        <c:crosses val="autoZero"/>
        <c:auto val="1"/>
        <c:lblAlgn val="ctr"/>
        <c:lblOffset val="100"/>
        <c:noMultiLvlLbl val="0"/>
      </c:catAx>
      <c:valAx>
        <c:axId val="65337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8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[Reliance_HR_Data.xlsx]Pivot table 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 '!$C$17:$C$18</c:f>
              <c:strCache>
                <c:ptCount val="1"/>
                <c:pt idx="0">
                  <c:v>Competitive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'!$B$19:$B$29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'Pivot table '!$C$19:$C$29</c:f>
              <c:numCache>
                <c:formatCode>General</c:formatCode>
                <c:ptCount val="10"/>
                <c:pt idx="0">
                  <c:v>153</c:v>
                </c:pt>
                <c:pt idx="1">
                  <c:v>173</c:v>
                </c:pt>
                <c:pt idx="2">
                  <c:v>157</c:v>
                </c:pt>
                <c:pt idx="3">
                  <c:v>129</c:v>
                </c:pt>
                <c:pt idx="4">
                  <c:v>154</c:v>
                </c:pt>
                <c:pt idx="5">
                  <c:v>164</c:v>
                </c:pt>
                <c:pt idx="6">
                  <c:v>164</c:v>
                </c:pt>
                <c:pt idx="7">
                  <c:v>153</c:v>
                </c:pt>
                <c:pt idx="8">
                  <c:v>160</c:v>
                </c:pt>
                <c:pt idx="9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9-4074-ABC0-3B0974253956}"/>
            </c:ext>
          </c:extLst>
        </c:ser>
        <c:ser>
          <c:idx val="1"/>
          <c:order val="1"/>
          <c:tx>
            <c:strRef>
              <c:f>'Pivot table '!$D$17:$D$18</c:f>
              <c:strCache>
                <c:ptCount val="1"/>
                <c:pt idx="0">
                  <c:v>Fair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'!$B$19:$B$29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'Pivot table '!$D$19:$D$29</c:f>
              <c:numCache>
                <c:formatCode>General</c:formatCode>
                <c:ptCount val="10"/>
                <c:pt idx="0">
                  <c:v>296</c:v>
                </c:pt>
                <c:pt idx="1">
                  <c:v>289</c:v>
                </c:pt>
                <c:pt idx="2">
                  <c:v>309</c:v>
                </c:pt>
                <c:pt idx="3">
                  <c:v>280</c:v>
                </c:pt>
                <c:pt idx="4">
                  <c:v>296</c:v>
                </c:pt>
                <c:pt idx="5">
                  <c:v>272</c:v>
                </c:pt>
                <c:pt idx="6">
                  <c:v>283</c:v>
                </c:pt>
                <c:pt idx="7">
                  <c:v>281</c:v>
                </c:pt>
                <c:pt idx="8">
                  <c:v>287</c:v>
                </c:pt>
                <c:pt idx="9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9-4074-ABC0-3B0974253956}"/>
            </c:ext>
          </c:extLst>
        </c:ser>
        <c:ser>
          <c:idx val="2"/>
          <c:order val="2"/>
          <c:tx>
            <c:strRef>
              <c:f>'Pivot table '!$E$17:$E$18</c:f>
              <c:strCache>
                <c:ptCount val="1"/>
                <c:pt idx="0">
                  <c:v>Overpaid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 '!$B$19:$B$29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'Pivot table '!$E$19:$E$29</c:f>
              <c:numCache>
                <c:formatCode>General</c:formatCode>
                <c:ptCount val="10"/>
                <c:pt idx="0">
                  <c:v>51</c:v>
                </c:pt>
                <c:pt idx="1">
                  <c:v>58</c:v>
                </c:pt>
                <c:pt idx="2">
                  <c:v>46</c:v>
                </c:pt>
                <c:pt idx="3">
                  <c:v>71</c:v>
                </c:pt>
                <c:pt idx="4">
                  <c:v>48</c:v>
                </c:pt>
                <c:pt idx="5">
                  <c:v>48</c:v>
                </c:pt>
                <c:pt idx="6">
                  <c:v>47</c:v>
                </c:pt>
                <c:pt idx="7">
                  <c:v>55</c:v>
                </c:pt>
                <c:pt idx="8">
                  <c:v>50</c:v>
                </c:pt>
                <c:pt idx="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79-4074-ABC0-3B0974253956}"/>
            </c:ext>
          </c:extLst>
        </c:ser>
        <c:ser>
          <c:idx val="3"/>
          <c:order val="3"/>
          <c:tx>
            <c:strRef>
              <c:f>'Pivot table '!$F$17:$F$18</c:f>
              <c:strCache>
                <c:ptCount val="1"/>
                <c:pt idx="0">
                  <c:v>Underpaid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 '!$B$19:$B$29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'Pivot table '!$F$19:$F$29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79-4074-ABC0-3B0974253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464207"/>
        <c:axId val="392484367"/>
      </c:lineChart>
      <c:catAx>
        <c:axId val="39246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484367"/>
        <c:crosses val="autoZero"/>
        <c:auto val="1"/>
        <c:lblAlgn val="ctr"/>
        <c:lblOffset val="100"/>
        <c:noMultiLvlLbl val="0"/>
      </c:catAx>
      <c:valAx>
        <c:axId val="39248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46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[Reliance_HR_Data.xlsx]Pivot table 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'!$K$17:$K$19</c:f>
              <c:strCache>
                <c:ptCount val="1"/>
                <c:pt idx="0">
                  <c:v>Average - Count of Employee_ID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'!$J$20:$J$24</c:f>
              <c:strCache>
                <c:ptCount val="4"/>
                <c:pt idx="0">
                  <c:v>Junior</c:v>
                </c:pt>
                <c:pt idx="1">
                  <c:v>Mid Level</c:v>
                </c:pt>
                <c:pt idx="2">
                  <c:v>New Joiner</c:v>
                </c:pt>
                <c:pt idx="3">
                  <c:v>Senior</c:v>
                </c:pt>
              </c:strCache>
            </c:strRef>
          </c:cat>
          <c:val>
            <c:numRef>
              <c:f>'Pivot table '!$K$20:$K$24</c:f>
              <c:numCache>
                <c:formatCode>General</c:formatCode>
                <c:ptCount val="4"/>
                <c:pt idx="0">
                  <c:v>259</c:v>
                </c:pt>
                <c:pt idx="1">
                  <c:v>409</c:v>
                </c:pt>
                <c:pt idx="2">
                  <c:v>148</c:v>
                </c:pt>
                <c:pt idx="3">
                  <c:v>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2-486D-B78F-73CCC4D1201E}"/>
            </c:ext>
          </c:extLst>
        </c:ser>
        <c:ser>
          <c:idx val="1"/>
          <c:order val="1"/>
          <c:tx>
            <c:strRef>
              <c:f>'Pivot table '!$L$17:$L$19</c:f>
              <c:strCache>
                <c:ptCount val="1"/>
                <c:pt idx="0">
                  <c:v>Average - Average of Monthly_Salary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'!$J$20:$J$24</c:f>
              <c:strCache>
                <c:ptCount val="4"/>
                <c:pt idx="0">
                  <c:v>Junior</c:v>
                </c:pt>
                <c:pt idx="1">
                  <c:v>Mid Level</c:v>
                </c:pt>
                <c:pt idx="2">
                  <c:v>New Joiner</c:v>
                </c:pt>
                <c:pt idx="3">
                  <c:v>Senior</c:v>
                </c:pt>
              </c:strCache>
            </c:strRef>
          </c:cat>
          <c:val>
            <c:numRef>
              <c:f>'Pivot table '!$L$20:$L$24</c:f>
              <c:numCache>
                <c:formatCode>General</c:formatCode>
                <c:ptCount val="4"/>
                <c:pt idx="0">
                  <c:v>68949.003861003861</c:v>
                </c:pt>
                <c:pt idx="1">
                  <c:v>76578.738386308061</c:v>
                </c:pt>
                <c:pt idx="2">
                  <c:v>62081.25</c:v>
                </c:pt>
                <c:pt idx="3">
                  <c:v>84502.609865470848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42-486D-B78F-73CCC4D1201E}"/>
            </c:ext>
          </c:extLst>
        </c:ser>
        <c:ser>
          <c:idx val="2"/>
          <c:order val="2"/>
          <c:tx>
            <c:strRef>
              <c:f>'Pivot table '!$M$17:$M$19</c:f>
              <c:strCache>
                <c:ptCount val="1"/>
                <c:pt idx="0">
                  <c:v>Excellent - Count of Employee_ID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 '!$J$20:$J$24</c:f>
              <c:strCache>
                <c:ptCount val="4"/>
                <c:pt idx="0">
                  <c:v>Junior</c:v>
                </c:pt>
                <c:pt idx="1">
                  <c:v>Mid Level</c:v>
                </c:pt>
                <c:pt idx="2">
                  <c:v>New Joiner</c:v>
                </c:pt>
                <c:pt idx="3">
                  <c:v>Senior</c:v>
                </c:pt>
              </c:strCache>
            </c:strRef>
          </c:cat>
          <c:val>
            <c:numRef>
              <c:f>'Pivot table '!$M$20:$M$24</c:f>
              <c:numCache>
                <c:formatCode>General</c:formatCode>
                <c:ptCount val="4"/>
                <c:pt idx="0">
                  <c:v>220</c:v>
                </c:pt>
                <c:pt idx="1">
                  <c:v>424</c:v>
                </c:pt>
                <c:pt idx="2">
                  <c:v>157</c:v>
                </c:pt>
                <c:pt idx="3">
                  <c:v>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42-486D-B78F-73CCC4D1201E}"/>
            </c:ext>
          </c:extLst>
        </c:ser>
        <c:ser>
          <c:idx val="3"/>
          <c:order val="3"/>
          <c:tx>
            <c:strRef>
              <c:f>'Pivot table '!$N$17:$N$19</c:f>
              <c:strCache>
                <c:ptCount val="1"/>
                <c:pt idx="0">
                  <c:v>Excellent - Average of Monthly_Salary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 '!$J$20:$J$24</c:f>
              <c:strCache>
                <c:ptCount val="4"/>
                <c:pt idx="0">
                  <c:v>Junior</c:v>
                </c:pt>
                <c:pt idx="1">
                  <c:v>Mid Level</c:v>
                </c:pt>
                <c:pt idx="2">
                  <c:v>New Joiner</c:v>
                </c:pt>
                <c:pt idx="3">
                  <c:v>Senior</c:v>
                </c:pt>
              </c:strCache>
            </c:strRef>
          </c:cat>
          <c:val>
            <c:numRef>
              <c:f>'Pivot table '!$N$20:$N$24</c:f>
              <c:numCache>
                <c:formatCode>General</c:formatCode>
                <c:ptCount val="4"/>
                <c:pt idx="0">
                  <c:v>66139.3</c:v>
                </c:pt>
                <c:pt idx="1">
                  <c:v>75745.533018867922</c:v>
                </c:pt>
                <c:pt idx="2">
                  <c:v>61681.592356687899</c:v>
                </c:pt>
                <c:pt idx="3">
                  <c:v>86791.873056994824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42-486D-B78F-73CCC4D1201E}"/>
            </c:ext>
          </c:extLst>
        </c:ser>
        <c:ser>
          <c:idx val="4"/>
          <c:order val="4"/>
          <c:tx>
            <c:strRef>
              <c:f>'Pivot table '!$O$17:$O$19</c:f>
              <c:strCache>
                <c:ptCount val="1"/>
                <c:pt idx="0">
                  <c:v>Good - Count of Employee_ID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table '!$J$20:$J$24</c:f>
              <c:strCache>
                <c:ptCount val="4"/>
                <c:pt idx="0">
                  <c:v>Junior</c:v>
                </c:pt>
                <c:pt idx="1">
                  <c:v>Mid Level</c:v>
                </c:pt>
                <c:pt idx="2">
                  <c:v>New Joiner</c:v>
                </c:pt>
                <c:pt idx="3">
                  <c:v>Senior</c:v>
                </c:pt>
              </c:strCache>
            </c:strRef>
          </c:cat>
          <c:val>
            <c:numRef>
              <c:f>'Pivot table '!$O$20:$O$24</c:f>
              <c:numCache>
                <c:formatCode>General</c:formatCode>
                <c:ptCount val="4"/>
                <c:pt idx="0">
                  <c:v>272</c:v>
                </c:pt>
                <c:pt idx="1">
                  <c:v>383</c:v>
                </c:pt>
                <c:pt idx="2">
                  <c:v>158</c:v>
                </c:pt>
                <c:pt idx="3">
                  <c:v>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42-486D-B78F-73CCC4D1201E}"/>
            </c:ext>
          </c:extLst>
        </c:ser>
        <c:ser>
          <c:idx val="5"/>
          <c:order val="5"/>
          <c:tx>
            <c:strRef>
              <c:f>'Pivot table '!$P$17:$P$19</c:f>
              <c:strCache>
                <c:ptCount val="1"/>
                <c:pt idx="0">
                  <c:v>Good - Average of Monthly_Salary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'Pivot table '!$J$20:$J$24</c:f>
              <c:strCache>
                <c:ptCount val="4"/>
                <c:pt idx="0">
                  <c:v>Junior</c:v>
                </c:pt>
                <c:pt idx="1">
                  <c:v>Mid Level</c:v>
                </c:pt>
                <c:pt idx="2">
                  <c:v>New Joiner</c:v>
                </c:pt>
                <c:pt idx="3">
                  <c:v>Senior</c:v>
                </c:pt>
              </c:strCache>
            </c:strRef>
          </c:cat>
          <c:val>
            <c:numRef>
              <c:f>'Pivot table '!$P$20:$P$24</c:f>
              <c:numCache>
                <c:formatCode>General</c:formatCode>
                <c:ptCount val="4"/>
                <c:pt idx="0">
                  <c:v>69064.194852941175</c:v>
                </c:pt>
                <c:pt idx="1">
                  <c:v>76380.772845953004</c:v>
                </c:pt>
                <c:pt idx="2">
                  <c:v>63627.670886075946</c:v>
                </c:pt>
                <c:pt idx="3">
                  <c:v>85593.234899328862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42-486D-B78F-73CCC4D1201E}"/>
            </c:ext>
          </c:extLst>
        </c:ser>
        <c:ser>
          <c:idx val="6"/>
          <c:order val="6"/>
          <c:tx>
            <c:strRef>
              <c:f>'Pivot table '!$Q$17:$Q$19</c:f>
              <c:strCache>
                <c:ptCount val="1"/>
                <c:pt idx="0">
                  <c:v>Poor - Count of Employee_ID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'Pivot table '!$J$20:$J$24</c:f>
              <c:strCache>
                <c:ptCount val="4"/>
                <c:pt idx="0">
                  <c:v>Junior</c:v>
                </c:pt>
                <c:pt idx="1">
                  <c:v>Mid Level</c:v>
                </c:pt>
                <c:pt idx="2">
                  <c:v>New Joiner</c:v>
                </c:pt>
                <c:pt idx="3">
                  <c:v>Senior</c:v>
                </c:pt>
              </c:strCache>
            </c:strRef>
          </c:cat>
          <c:val>
            <c:numRef>
              <c:f>'Pivot table '!$Q$20:$Q$24</c:f>
              <c:numCache>
                <c:formatCode>General</c:formatCode>
                <c:ptCount val="4"/>
                <c:pt idx="0">
                  <c:v>260</c:v>
                </c:pt>
                <c:pt idx="1">
                  <c:v>438</c:v>
                </c:pt>
                <c:pt idx="2">
                  <c:v>151</c:v>
                </c:pt>
                <c:pt idx="3">
                  <c:v>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42-486D-B78F-73CCC4D1201E}"/>
            </c:ext>
          </c:extLst>
        </c:ser>
        <c:ser>
          <c:idx val="7"/>
          <c:order val="7"/>
          <c:tx>
            <c:strRef>
              <c:f>'Pivot table '!$R$17:$R$19</c:f>
              <c:strCache>
                <c:ptCount val="1"/>
                <c:pt idx="0">
                  <c:v>Poor - Average of Monthly_Salary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'Pivot table '!$J$20:$J$24</c:f>
              <c:strCache>
                <c:ptCount val="4"/>
                <c:pt idx="0">
                  <c:v>Junior</c:v>
                </c:pt>
                <c:pt idx="1">
                  <c:v>Mid Level</c:v>
                </c:pt>
                <c:pt idx="2">
                  <c:v>New Joiner</c:v>
                </c:pt>
                <c:pt idx="3">
                  <c:v>Senior</c:v>
                </c:pt>
              </c:strCache>
            </c:strRef>
          </c:cat>
          <c:val>
            <c:numRef>
              <c:f>'Pivot table '!$R$20:$R$24</c:f>
              <c:numCache>
                <c:formatCode>General</c:formatCode>
                <c:ptCount val="4"/>
                <c:pt idx="0">
                  <c:v>68336.25</c:v>
                </c:pt>
                <c:pt idx="1">
                  <c:v>76850.805936073055</c:v>
                </c:pt>
                <c:pt idx="2">
                  <c:v>65673.324503311262</c:v>
                </c:pt>
                <c:pt idx="3">
                  <c:v>85996.477375565606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42-486D-B78F-73CCC4D12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080351"/>
        <c:axId val="697080831"/>
      </c:lineChart>
      <c:catAx>
        <c:axId val="69708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0831"/>
        <c:crosses val="autoZero"/>
        <c:auto val="1"/>
        <c:lblAlgn val="ctr"/>
        <c:lblOffset val="100"/>
        <c:noMultiLvlLbl val="0"/>
      </c:catAx>
      <c:valAx>
        <c:axId val="69708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2</xdr:row>
      <xdr:rowOff>0</xdr:rowOff>
    </xdr:from>
    <xdr:to>
      <xdr:col>8</xdr:col>
      <xdr:colOff>30480</xdr:colOff>
      <xdr:row>15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D1958-BC5F-40A5-95DA-880209D43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594360</xdr:colOff>
      <xdr:row>2</xdr:row>
      <xdr:rowOff>15240</xdr:rowOff>
    </xdr:from>
    <xdr:to>
      <xdr:col>15</xdr:col>
      <xdr:colOff>601980</xdr:colOff>
      <xdr:row>15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5A740A-8CFF-472A-BF98-5029A2172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586740</xdr:colOff>
      <xdr:row>16</xdr:row>
      <xdr:rowOff>175260</xdr:rowOff>
    </xdr:from>
    <xdr:to>
      <xdr:col>8</xdr:col>
      <xdr:colOff>7620</xdr:colOff>
      <xdr:row>30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C617C3-CEEA-447A-BFC2-552D5C68A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594360</xdr:colOff>
      <xdr:row>16</xdr:row>
      <xdr:rowOff>167640</xdr:rowOff>
    </xdr:from>
    <xdr:to>
      <xdr:col>16</xdr:col>
      <xdr:colOff>45720</xdr:colOff>
      <xdr:row>30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B0163C-BD4C-411B-BF70-39E398B9B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2.481855787039" createdVersion="8" refreshedVersion="8" minRefreshableVersion="3" recordCount="5000" xr:uid="{7934156F-9869-4363-B567-CDB1804C5630}">
  <cacheSource type="worksheet">
    <worksheetSource name="Table1"/>
  </cacheSource>
  <cacheFields count="24">
    <cacheField name="Employee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2" maxValue="55"/>
    </cacheField>
    <cacheField name="Education" numFmtId="0">
      <sharedItems/>
    </cacheField>
    <cacheField name="Marital_Status" numFmtId="0">
      <sharedItems/>
    </cacheField>
    <cacheField name="Department" numFmtId="0">
      <sharedItems count="8">
        <s v="Human Resources"/>
        <s v="Operations"/>
        <s v="Sales"/>
        <s v="Marketing"/>
        <s v="Finance"/>
        <s v="IT"/>
        <s v="Customer Service"/>
        <s v="Logistics"/>
      </sharedItems>
    </cacheField>
    <cacheField name="Job_Role" numFmtId="0">
      <sharedItems/>
    </cacheField>
    <cacheField name="Store_Type" numFmtId="0">
      <sharedItems count="5">
        <s v="Reliance Digital"/>
        <s v="Smart Bazaar"/>
        <s v="Reliance Fresh"/>
        <s v="Reliance Trends"/>
        <s v="JioMart"/>
      </sharedItems>
    </cacheField>
    <cacheField name="City" numFmtId="0">
      <sharedItems count="10">
        <s v="Delhi"/>
        <s v="Jaipur"/>
        <s v="Pune"/>
        <s v="Mumbai"/>
        <s v="Lucknow"/>
        <s v="Hyderabad"/>
        <s v="Bangalore"/>
        <s v="Kolkata"/>
        <s v="Chennai"/>
        <s v="Ahmedabad"/>
      </sharedItems>
    </cacheField>
    <cacheField name="Region" numFmtId="0">
      <sharedItems/>
    </cacheField>
    <cacheField name="Years_At_Company" numFmtId="0">
      <sharedItems containsSemiMixedTypes="0" containsString="0" containsNumber="1" containsInteger="1" minValue="1" maxValue="15"/>
    </cacheField>
    <cacheField name="Monthly_Salary" numFmtId="0">
      <sharedItems containsSemiMixedTypes="0" containsString="0" containsNumber="1" containsInteger="1" minValue="27422" maxValue="134894"/>
    </cacheField>
    <cacheField name="Performance_Rating" numFmtId="0">
      <sharedItems count="4">
        <s v="Good"/>
        <s v="Poor"/>
        <s v="Average"/>
        <s v="Excellent"/>
      </sharedItems>
    </cacheField>
    <cacheField name="Job_Satisfaction" numFmtId="0">
      <sharedItems containsSemiMixedTypes="0" containsString="0" containsNumber="1" containsInteger="1" minValue="1" maxValue="4"/>
    </cacheField>
    <cacheField name="Work_Life_Balance" numFmtId="0">
      <sharedItems containsSemiMixedTypes="0" containsString="0" containsNumber="1" containsInteger="1" minValue="1" maxValue="4"/>
    </cacheField>
    <cacheField name="Training_Hours" numFmtId="0">
      <sharedItems containsSemiMixedTypes="0" containsString="0" containsNumber="1" containsInteger="1" minValue="10" maxValue="80"/>
    </cacheField>
    <cacheField name="Promotions_Last_3Years" numFmtId="0">
      <sharedItems containsSemiMixedTypes="0" containsString="0" containsNumber="1" containsInteger="1" minValue="0" maxValue="3"/>
    </cacheField>
    <cacheField name="Hire_Date" numFmtId="14">
      <sharedItems containsSemiMixedTypes="0" containsNonDate="0" containsDate="1" containsString="0" minDate="2008-01-11T00:00:00" maxDate="2023-01-02T00:00:00"/>
    </cacheField>
    <cacheField name="Attrition" numFmtId="0">
      <sharedItems/>
    </cacheField>
    <cacheField name="Salary Grade" numFmtId="0">
      <sharedItems count="4">
        <s v="Grade B"/>
        <s v="Grade A"/>
        <s v="Grade C"/>
        <s v="Grade D"/>
      </sharedItems>
    </cacheField>
    <cacheField name="Performance Score" numFmtId="0">
      <sharedItems containsSemiMixedTypes="0" containsString="0" containsNumber="1" containsInteger="1" minValue="1" maxValue="4"/>
    </cacheField>
    <cacheField name="Employee Tenure Category" numFmtId="0">
      <sharedItems count="4">
        <s v="Junior"/>
        <s v="Mid Level"/>
        <s v="Senior"/>
        <s v="New Joiner"/>
      </sharedItems>
    </cacheField>
    <cacheField name="Attrition Risk" numFmtId="0">
      <sharedItems count="4">
        <s v="Medium Risk"/>
        <s v="Already Left"/>
        <s v="Low Risk"/>
        <s v="High Risk"/>
      </sharedItems>
    </cacheField>
    <cacheField name="Salary Competitiveness" numFmtId="0">
      <sharedItems count="4">
        <s v="Competitive"/>
        <s v="Fair"/>
        <s v="Overpaid"/>
        <s v="Under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REL00001"/>
    <s v="Female"/>
    <n v="24"/>
    <s v="Graduate"/>
    <s v="Single"/>
    <x v="0"/>
    <s v="HR Manager"/>
    <x v="0"/>
    <x v="0"/>
    <s v="North"/>
    <n v="4"/>
    <n v="76358"/>
    <x v="0"/>
    <n v="2"/>
    <n v="2"/>
    <n v="74"/>
    <n v="0"/>
    <d v="2019-11-19T00:00:00"/>
    <s v="No"/>
    <x v="0"/>
    <n v="3"/>
    <x v="0"/>
    <x v="0"/>
    <x v="0"/>
  </r>
  <r>
    <s v="REL00002"/>
    <s v="Female"/>
    <n v="43"/>
    <s v="HSC"/>
    <s v="Single"/>
    <x v="1"/>
    <s v="Finance Analyst"/>
    <x v="1"/>
    <x v="1"/>
    <s v="North"/>
    <n v="4"/>
    <n v="77309"/>
    <x v="1"/>
    <n v="2"/>
    <n v="3"/>
    <n v="23"/>
    <n v="0"/>
    <d v="2019-10-13T00:00:00"/>
    <s v="Yes"/>
    <x v="0"/>
    <n v="1"/>
    <x v="0"/>
    <x v="1"/>
    <x v="1"/>
  </r>
  <r>
    <s v="REL00003"/>
    <s v="Male"/>
    <n v="46"/>
    <s v="Graduate"/>
    <s v="Divorced"/>
    <x v="2"/>
    <s v="Operations Head"/>
    <x v="0"/>
    <x v="2"/>
    <s v="West"/>
    <n v="10"/>
    <n v="106423"/>
    <x v="2"/>
    <n v="3"/>
    <n v="3"/>
    <n v="34"/>
    <n v="0"/>
    <d v="2013-04-04T00:00:00"/>
    <s v="No"/>
    <x v="1"/>
    <n v="2"/>
    <x v="1"/>
    <x v="0"/>
    <x v="1"/>
  </r>
  <r>
    <s v="REL00004"/>
    <s v="Female"/>
    <n v="45"/>
    <s v="Post Graduate"/>
    <s v="Married"/>
    <x v="1"/>
    <s v="Marketing Executive"/>
    <x v="0"/>
    <x v="3"/>
    <s v="West"/>
    <n v="14"/>
    <n v="71309"/>
    <x v="3"/>
    <n v="3"/>
    <n v="2"/>
    <n v="44"/>
    <n v="0"/>
    <d v="2009-08-15T00:00:00"/>
    <s v="No"/>
    <x v="0"/>
    <n v="4"/>
    <x v="2"/>
    <x v="2"/>
    <x v="1"/>
  </r>
  <r>
    <s v="REL00005"/>
    <s v="Male"/>
    <n v="42"/>
    <s v="Graduate"/>
    <s v="Single"/>
    <x v="3"/>
    <s v="Finance Analyst"/>
    <x v="1"/>
    <x v="4"/>
    <s v="North"/>
    <n v="3"/>
    <n v="68433"/>
    <x v="0"/>
    <n v="1"/>
    <n v="3"/>
    <n v="61"/>
    <n v="2"/>
    <d v="2020-02-09T00:00:00"/>
    <s v="No"/>
    <x v="0"/>
    <n v="3"/>
    <x v="0"/>
    <x v="0"/>
    <x v="0"/>
  </r>
  <r>
    <s v="REL00006"/>
    <s v="Female"/>
    <n v="30"/>
    <s v="Post Graduate"/>
    <s v="Divorced"/>
    <x v="1"/>
    <s v="Finance Analyst"/>
    <x v="1"/>
    <x v="0"/>
    <s v="North"/>
    <n v="4"/>
    <n v="70964"/>
    <x v="2"/>
    <n v="3"/>
    <n v="4"/>
    <n v="61"/>
    <n v="2"/>
    <d v="2019-10-21T00:00:00"/>
    <s v="No"/>
    <x v="0"/>
    <n v="2"/>
    <x v="0"/>
    <x v="0"/>
    <x v="1"/>
  </r>
  <r>
    <s v="REL00007"/>
    <s v="Female"/>
    <n v="26"/>
    <s v="MBA"/>
    <s v="Married"/>
    <x v="3"/>
    <s v="Store Manager"/>
    <x v="1"/>
    <x v="5"/>
    <s v="South"/>
    <n v="2"/>
    <n v="82592"/>
    <x v="1"/>
    <n v="4"/>
    <n v="3"/>
    <n v="80"/>
    <n v="0"/>
    <d v="2021-10-12T00:00:00"/>
    <s v="No"/>
    <x v="1"/>
    <n v="1"/>
    <x v="3"/>
    <x v="3"/>
    <x v="2"/>
  </r>
  <r>
    <s v="REL00008"/>
    <s v="Female"/>
    <n v="54"/>
    <s v="Post Graduate"/>
    <s v="Divorced"/>
    <x v="4"/>
    <s v="Logistics Coordinator"/>
    <x v="0"/>
    <x v="0"/>
    <s v="North"/>
    <n v="5"/>
    <n v="50182"/>
    <x v="3"/>
    <n v="1"/>
    <n v="3"/>
    <n v="74"/>
    <n v="1"/>
    <d v="2019-01-01T00:00:00"/>
    <s v="No"/>
    <x v="0"/>
    <n v="4"/>
    <x v="0"/>
    <x v="2"/>
    <x v="1"/>
  </r>
  <r>
    <s v="REL00009"/>
    <s v="Female"/>
    <n v="41"/>
    <s v="Post Graduate"/>
    <s v="Single"/>
    <x v="5"/>
    <s v="Customer Service Rep"/>
    <x v="2"/>
    <x v="6"/>
    <s v="South"/>
    <n v="10"/>
    <n v="61010"/>
    <x v="3"/>
    <n v="2"/>
    <n v="1"/>
    <n v="20"/>
    <n v="3"/>
    <d v="2013-11-07T00:00:00"/>
    <s v="Yes"/>
    <x v="0"/>
    <n v="4"/>
    <x v="1"/>
    <x v="1"/>
    <x v="1"/>
  </r>
  <r>
    <s v="REL00010"/>
    <s v="Male"/>
    <n v="34"/>
    <s v="HSC"/>
    <s v="Married"/>
    <x v="3"/>
    <s v="HR Manager"/>
    <x v="2"/>
    <x v="0"/>
    <s v="North"/>
    <n v="9"/>
    <n v="91685"/>
    <x v="1"/>
    <n v="3"/>
    <n v="4"/>
    <n v="76"/>
    <n v="3"/>
    <d v="2014-06-01T00:00:00"/>
    <s v="No"/>
    <x v="1"/>
    <n v="1"/>
    <x v="1"/>
    <x v="0"/>
    <x v="2"/>
  </r>
  <r>
    <s v="REL00011"/>
    <s v="Male"/>
    <n v="22"/>
    <s v="Graduate"/>
    <s v="Divorced"/>
    <x v="1"/>
    <s v="Store Manager"/>
    <x v="2"/>
    <x v="0"/>
    <s v="North"/>
    <n v="6"/>
    <n v="106277"/>
    <x v="3"/>
    <n v="1"/>
    <n v="2"/>
    <n v="18"/>
    <n v="0"/>
    <d v="2017-09-07T00:00:00"/>
    <s v="No"/>
    <x v="1"/>
    <n v="4"/>
    <x v="1"/>
    <x v="2"/>
    <x v="0"/>
  </r>
  <r>
    <s v="REL00012"/>
    <s v="Female"/>
    <n v="37"/>
    <s v="MBA"/>
    <s v="Married"/>
    <x v="2"/>
    <s v="Finance Analyst"/>
    <x v="1"/>
    <x v="7"/>
    <s v="East"/>
    <n v="5"/>
    <n v="67020"/>
    <x v="0"/>
    <n v="2"/>
    <n v="1"/>
    <n v="22"/>
    <n v="3"/>
    <d v="2018-10-27T00:00:00"/>
    <s v="No"/>
    <x v="0"/>
    <n v="3"/>
    <x v="0"/>
    <x v="0"/>
    <x v="0"/>
  </r>
  <r>
    <s v="REL00013"/>
    <s v="Male"/>
    <n v="37"/>
    <s v="Post Graduate"/>
    <s v="Single"/>
    <x v="6"/>
    <s v="Store Manager"/>
    <x v="3"/>
    <x v="7"/>
    <s v="East"/>
    <n v="14"/>
    <n v="106224"/>
    <x v="1"/>
    <n v="4"/>
    <n v="2"/>
    <n v="64"/>
    <n v="1"/>
    <d v="2009-07-15T00:00:00"/>
    <s v="Yes"/>
    <x v="1"/>
    <n v="1"/>
    <x v="2"/>
    <x v="1"/>
    <x v="2"/>
  </r>
  <r>
    <s v="REL00014"/>
    <s v="Male"/>
    <n v="37"/>
    <s v="Post Graduate"/>
    <s v="Married"/>
    <x v="7"/>
    <s v="Sales Executive"/>
    <x v="2"/>
    <x v="8"/>
    <s v="South"/>
    <n v="8"/>
    <n v="47657"/>
    <x v="3"/>
    <n v="4"/>
    <n v="4"/>
    <n v="37"/>
    <n v="3"/>
    <d v="2015-12-27T00:00:00"/>
    <s v="No"/>
    <x v="2"/>
    <n v="4"/>
    <x v="1"/>
    <x v="2"/>
    <x v="1"/>
  </r>
  <r>
    <s v="REL00015"/>
    <s v="Female"/>
    <n v="31"/>
    <s v="Post Graduate"/>
    <s v="Married"/>
    <x v="3"/>
    <s v="Operations Head"/>
    <x v="3"/>
    <x v="3"/>
    <s v="West"/>
    <n v="7"/>
    <n v="113909"/>
    <x v="3"/>
    <n v="2"/>
    <n v="1"/>
    <n v="79"/>
    <n v="0"/>
    <d v="2016-05-31T00:00:00"/>
    <s v="No"/>
    <x v="1"/>
    <n v="4"/>
    <x v="1"/>
    <x v="2"/>
    <x v="0"/>
  </r>
  <r>
    <s v="REL00016"/>
    <s v="Male"/>
    <n v="26"/>
    <s v="Post Graduate"/>
    <s v="Married"/>
    <x v="0"/>
    <s v="HR Manager"/>
    <x v="4"/>
    <x v="7"/>
    <s v="East"/>
    <n v="9"/>
    <n v="84863"/>
    <x v="1"/>
    <n v="1"/>
    <n v="2"/>
    <n v="15"/>
    <n v="0"/>
    <d v="2014-09-30T00:00:00"/>
    <s v="Yes"/>
    <x v="1"/>
    <n v="1"/>
    <x v="1"/>
    <x v="1"/>
    <x v="2"/>
  </r>
  <r>
    <s v="REL00017"/>
    <s v="Male"/>
    <n v="41"/>
    <s v="MBA"/>
    <s v="Married"/>
    <x v="5"/>
    <s v="Customer Service Rep"/>
    <x v="0"/>
    <x v="2"/>
    <s v="West"/>
    <n v="11"/>
    <n v="54821"/>
    <x v="0"/>
    <n v="1"/>
    <n v="1"/>
    <n v="68"/>
    <n v="0"/>
    <d v="2012-06-15T00:00:00"/>
    <s v="No"/>
    <x v="0"/>
    <n v="3"/>
    <x v="2"/>
    <x v="0"/>
    <x v="0"/>
  </r>
  <r>
    <s v="REL00018"/>
    <s v="Female"/>
    <n v="32"/>
    <s v="MBA"/>
    <s v="Divorced"/>
    <x v="1"/>
    <s v="Customer Service Rep"/>
    <x v="1"/>
    <x v="0"/>
    <s v="North"/>
    <n v="3"/>
    <n v="33254"/>
    <x v="2"/>
    <n v="3"/>
    <n v="1"/>
    <n v="80"/>
    <n v="2"/>
    <d v="2020-06-26T00:00:00"/>
    <s v="No"/>
    <x v="3"/>
    <n v="2"/>
    <x v="0"/>
    <x v="0"/>
    <x v="1"/>
  </r>
  <r>
    <s v="REL00019"/>
    <s v="Female"/>
    <n v="35"/>
    <s v="HSC"/>
    <s v="Single"/>
    <x v="3"/>
    <s v="Sales Executive"/>
    <x v="0"/>
    <x v="0"/>
    <s v="North"/>
    <n v="15"/>
    <n v="78128"/>
    <x v="3"/>
    <n v="3"/>
    <n v="4"/>
    <n v="42"/>
    <n v="0"/>
    <d v="2008-08-18T00:00:00"/>
    <s v="No"/>
    <x v="0"/>
    <n v="4"/>
    <x v="2"/>
    <x v="2"/>
    <x v="1"/>
  </r>
  <r>
    <s v="REL00020"/>
    <s v="Female"/>
    <n v="49"/>
    <s v="BTech"/>
    <s v="Single"/>
    <x v="6"/>
    <s v="Customer Service Rep"/>
    <x v="0"/>
    <x v="0"/>
    <s v="North"/>
    <n v="1"/>
    <n v="31286"/>
    <x v="3"/>
    <n v="1"/>
    <n v="1"/>
    <n v="29"/>
    <n v="0"/>
    <d v="2022-10-11T00:00:00"/>
    <s v="No"/>
    <x v="3"/>
    <n v="4"/>
    <x v="3"/>
    <x v="2"/>
    <x v="3"/>
  </r>
  <r>
    <s v="REL00021"/>
    <s v="Male"/>
    <n v="37"/>
    <s v="Graduate"/>
    <s v="Married"/>
    <x v="3"/>
    <s v="Operations Head"/>
    <x v="3"/>
    <x v="7"/>
    <s v="East"/>
    <n v="1"/>
    <n v="98948"/>
    <x v="0"/>
    <n v="4"/>
    <n v="2"/>
    <n v="40"/>
    <n v="1"/>
    <d v="2022-07-02T00:00:00"/>
    <s v="Yes"/>
    <x v="1"/>
    <n v="3"/>
    <x v="3"/>
    <x v="1"/>
    <x v="0"/>
  </r>
  <r>
    <s v="REL00022"/>
    <s v="Male"/>
    <n v="28"/>
    <s v="MBA"/>
    <s v="Single"/>
    <x v="6"/>
    <s v="Customer Service Rep"/>
    <x v="4"/>
    <x v="6"/>
    <s v="South"/>
    <n v="12"/>
    <n v="62491"/>
    <x v="0"/>
    <n v="4"/>
    <n v="2"/>
    <n v="35"/>
    <n v="3"/>
    <d v="2011-08-21T00:00:00"/>
    <s v="No"/>
    <x v="0"/>
    <n v="3"/>
    <x v="2"/>
    <x v="0"/>
    <x v="0"/>
  </r>
  <r>
    <s v="REL00023"/>
    <s v="Male"/>
    <n v="39"/>
    <s v="HSC"/>
    <s v="Divorced"/>
    <x v="4"/>
    <s v="Marketing Executive"/>
    <x v="2"/>
    <x v="7"/>
    <s v="East"/>
    <n v="1"/>
    <n v="55056"/>
    <x v="0"/>
    <n v="4"/>
    <n v="3"/>
    <n v="13"/>
    <n v="0"/>
    <d v="2022-08-12T00:00:00"/>
    <s v="No"/>
    <x v="0"/>
    <n v="3"/>
    <x v="3"/>
    <x v="0"/>
    <x v="0"/>
  </r>
  <r>
    <s v="REL00024"/>
    <s v="Female"/>
    <n v="49"/>
    <s v="BTech"/>
    <s v="Divorced"/>
    <x v="3"/>
    <s v="Sales Executive"/>
    <x v="1"/>
    <x v="8"/>
    <s v="South"/>
    <n v="1"/>
    <n v="51548"/>
    <x v="2"/>
    <n v="1"/>
    <n v="4"/>
    <n v="34"/>
    <n v="2"/>
    <d v="2022-07-09T00:00:00"/>
    <s v="No"/>
    <x v="0"/>
    <n v="2"/>
    <x v="3"/>
    <x v="0"/>
    <x v="1"/>
  </r>
  <r>
    <s v="REL00025"/>
    <s v="Female"/>
    <n v="29"/>
    <s v="HSC"/>
    <s v="Divorced"/>
    <x v="6"/>
    <s v="Logistics Coordinator"/>
    <x v="4"/>
    <x v="3"/>
    <s v="West"/>
    <n v="6"/>
    <n v="49292"/>
    <x v="0"/>
    <n v="3"/>
    <n v="4"/>
    <n v="51"/>
    <n v="3"/>
    <d v="2017-02-17T00:00:00"/>
    <s v="No"/>
    <x v="2"/>
    <n v="3"/>
    <x v="1"/>
    <x v="0"/>
    <x v="1"/>
  </r>
  <r>
    <s v="REL00026"/>
    <s v="Female"/>
    <n v="22"/>
    <s v="HSC"/>
    <s v="Married"/>
    <x v="3"/>
    <s v="Logistics Coordinator"/>
    <x v="2"/>
    <x v="8"/>
    <s v="South"/>
    <n v="11"/>
    <n v="62702"/>
    <x v="1"/>
    <n v="2"/>
    <n v="4"/>
    <n v="51"/>
    <n v="3"/>
    <d v="2012-08-02T00:00:00"/>
    <s v="No"/>
    <x v="0"/>
    <n v="1"/>
    <x v="2"/>
    <x v="0"/>
    <x v="1"/>
  </r>
  <r>
    <s v="REL00027"/>
    <s v="Female"/>
    <n v="27"/>
    <s v="Post Graduate"/>
    <s v="Divorced"/>
    <x v="7"/>
    <s v="HR Manager"/>
    <x v="2"/>
    <x v="9"/>
    <s v="West"/>
    <n v="13"/>
    <n v="93778"/>
    <x v="1"/>
    <n v="3"/>
    <n v="2"/>
    <n v="35"/>
    <n v="1"/>
    <d v="2010-01-30T00:00:00"/>
    <s v="No"/>
    <x v="1"/>
    <n v="1"/>
    <x v="2"/>
    <x v="0"/>
    <x v="2"/>
  </r>
  <r>
    <s v="REL00028"/>
    <s v="Male"/>
    <n v="46"/>
    <s v="MBA"/>
    <s v="Married"/>
    <x v="0"/>
    <s v="Sales Executive"/>
    <x v="2"/>
    <x v="3"/>
    <s v="West"/>
    <n v="10"/>
    <n v="64923"/>
    <x v="1"/>
    <n v="2"/>
    <n v="2"/>
    <n v="10"/>
    <n v="0"/>
    <d v="2013-03-15T00:00:00"/>
    <s v="No"/>
    <x v="0"/>
    <n v="1"/>
    <x v="1"/>
    <x v="0"/>
    <x v="1"/>
  </r>
  <r>
    <s v="REL00029"/>
    <s v="Female"/>
    <n v="50"/>
    <s v="BTech"/>
    <s v="Divorced"/>
    <x v="1"/>
    <s v="Marketing Executive"/>
    <x v="2"/>
    <x v="2"/>
    <s v="West"/>
    <n v="1"/>
    <n v="45976"/>
    <x v="1"/>
    <n v="4"/>
    <n v="4"/>
    <n v="30"/>
    <n v="3"/>
    <d v="2022-05-09T00:00:00"/>
    <s v="Yes"/>
    <x v="2"/>
    <n v="1"/>
    <x v="3"/>
    <x v="1"/>
    <x v="1"/>
  </r>
  <r>
    <s v="REL00030"/>
    <s v="Male"/>
    <n v="40"/>
    <s v="Post Graduate"/>
    <s v="Married"/>
    <x v="4"/>
    <s v="Finance Analyst"/>
    <x v="2"/>
    <x v="9"/>
    <s v="West"/>
    <n v="13"/>
    <n v="83839"/>
    <x v="2"/>
    <n v="3"/>
    <n v="3"/>
    <n v="79"/>
    <n v="0"/>
    <d v="2010-05-24T00:00:00"/>
    <s v="No"/>
    <x v="1"/>
    <n v="2"/>
    <x v="2"/>
    <x v="0"/>
    <x v="1"/>
  </r>
  <r>
    <s v="REL00031"/>
    <s v="Female"/>
    <n v="51"/>
    <s v="MBA"/>
    <s v="Single"/>
    <x v="3"/>
    <s v="HR Manager"/>
    <x v="2"/>
    <x v="6"/>
    <s v="South"/>
    <n v="12"/>
    <n v="96010"/>
    <x v="1"/>
    <n v="2"/>
    <n v="4"/>
    <n v="59"/>
    <n v="0"/>
    <d v="2011-06-10T00:00:00"/>
    <s v="Yes"/>
    <x v="1"/>
    <n v="1"/>
    <x v="2"/>
    <x v="1"/>
    <x v="2"/>
  </r>
  <r>
    <s v="REL00032"/>
    <s v="Male"/>
    <n v="53"/>
    <s v="Post Graduate"/>
    <s v="Married"/>
    <x v="6"/>
    <s v="Operations Head"/>
    <x v="3"/>
    <x v="4"/>
    <s v="North"/>
    <n v="6"/>
    <n v="109779"/>
    <x v="3"/>
    <n v="4"/>
    <n v="4"/>
    <n v="13"/>
    <n v="3"/>
    <d v="2017-04-02T00:00:00"/>
    <s v="No"/>
    <x v="1"/>
    <n v="4"/>
    <x v="1"/>
    <x v="2"/>
    <x v="0"/>
  </r>
  <r>
    <s v="REL00033"/>
    <s v="Male"/>
    <n v="27"/>
    <s v="MBA"/>
    <s v="Single"/>
    <x v="6"/>
    <s v="HR Manager"/>
    <x v="2"/>
    <x v="7"/>
    <s v="East"/>
    <n v="15"/>
    <n v="112502"/>
    <x v="1"/>
    <n v="4"/>
    <n v="2"/>
    <n v="16"/>
    <n v="2"/>
    <d v="2008-03-07T00:00:00"/>
    <s v="Yes"/>
    <x v="1"/>
    <n v="1"/>
    <x v="2"/>
    <x v="1"/>
    <x v="2"/>
  </r>
  <r>
    <s v="REL00034"/>
    <s v="Male"/>
    <n v="52"/>
    <s v="Graduate"/>
    <s v="Divorced"/>
    <x v="5"/>
    <s v="Customer Service Rep"/>
    <x v="2"/>
    <x v="2"/>
    <s v="West"/>
    <n v="6"/>
    <n v="49423"/>
    <x v="1"/>
    <n v="1"/>
    <n v="3"/>
    <n v="38"/>
    <n v="0"/>
    <d v="2017-08-26T00:00:00"/>
    <s v="Yes"/>
    <x v="2"/>
    <n v="1"/>
    <x v="1"/>
    <x v="1"/>
    <x v="1"/>
  </r>
  <r>
    <s v="REL00035"/>
    <s v="Female"/>
    <n v="29"/>
    <s v="BTech"/>
    <s v="Single"/>
    <x v="0"/>
    <s v="Store Manager"/>
    <x v="2"/>
    <x v="3"/>
    <s v="West"/>
    <n v="14"/>
    <n v="107993"/>
    <x v="0"/>
    <n v="4"/>
    <n v="3"/>
    <n v="57"/>
    <n v="1"/>
    <d v="2009-11-01T00:00:00"/>
    <s v="No"/>
    <x v="1"/>
    <n v="3"/>
    <x v="2"/>
    <x v="0"/>
    <x v="0"/>
  </r>
  <r>
    <s v="REL00036"/>
    <s v="Female"/>
    <n v="47"/>
    <s v="Post Graduate"/>
    <s v="Single"/>
    <x v="2"/>
    <s v="Store Manager"/>
    <x v="2"/>
    <x v="4"/>
    <s v="North"/>
    <n v="2"/>
    <n v="89222"/>
    <x v="2"/>
    <n v="2"/>
    <n v="1"/>
    <n v="48"/>
    <n v="0"/>
    <d v="2021-01-20T00:00:00"/>
    <s v="No"/>
    <x v="1"/>
    <n v="2"/>
    <x v="3"/>
    <x v="0"/>
    <x v="1"/>
  </r>
  <r>
    <s v="REL00037"/>
    <s v="Male"/>
    <n v="48"/>
    <s v="MBA"/>
    <s v="Single"/>
    <x v="0"/>
    <s v="Customer Service Rep"/>
    <x v="0"/>
    <x v="4"/>
    <s v="North"/>
    <n v="11"/>
    <n v="49259"/>
    <x v="1"/>
    <n v="4"/>
    <n v="3"/>
    <n v="68"/>
    <n v="1"/>
    <d v="2012-07-13T00:00:00"/>
    <s v="No"/>
    <x v="2"/>
    <n v="1"/>
    <x v="2"/>
    <x v="0"/>
    <x v="1"/>
  </r>
  <r>
    <s v="REL00038"/>
    <s v="Female"/>
    <n v="42"/>
    <s v="Post Graduate"/>
    <s v="Single"/>
    <x v="3"/>
    <s v="Finance Analyst"/>
    <x v="1"/>
    <x v="2"/>
    <s v="West"/>
    <n v="10"/>
    <n v="85232"/>
    <x v="2"/>
    <n v="3"/>
    <n v="4"/>
    <n v="41"/>
    <n v="3"/>
    <d v="2013-03-06T00:00:00"/>
    <s v="No"/>
    <x v="1"/>
    <n v="2"/>
    <x v="1"/>
    <x v="0"/>
    <x v="1"/>
  </r>
  <r>
    <s v="REL00039"/>
    <s v="Female"/>
    <n v="38"/>
    <s v="HSC"/>
    <s v="Married"/>
    <x v="6"/>
    <s v="Customer Service Rep"/>
    <x v="0"/>
    <x v="4"/>
    <s v="North"/>
    <n v="8"/>
    <n v="46958"/>
    <x v="3"/>
    <n v="3"/>
    <n v="1"/>
    <n v="76"/>
    <n v="1"/>
    <d v="2015-09-17T00:00:00"/>
    <s v="No"/>
    <x v="2"/>
    <n v="4"/>
    <x v="1"/>
    <x v="2"/>
    <x v="1"/>
  </r>
  <r>
    <s v="REL00040"/>
    <s v="Male"/>
    <n v="40"/>
    <s v="Post Graduate"/>
    <s v="Married"/>
    <x v="1"/>
    <s v="Marketing Executive"/>
    <x v="3"/>
    <x v="0"/>
    <s v="North"/>
    <n v="9"/>
    <n v="73600"/>
    <x v="1"/>
    <n v="2"/>
    <n v="3"/>
    <n v="57"/>
    <n v="3"/>
    <d v="2014-12-26T00:00:00"/>
    <s v="Yes"/>
    <x v="0"/>
    <n v="1"/>
    <x v="1"/>
    <x v="1"/>
    <x v="1"/>
  </r>
  <r>
    <s v="REL00041"/>
    <s v="Male"/>
    <n v="29"/>
    <s v="Post Graduate"/>
    <s v="Married"/>
    <x v="5"/>
    <s v="Finance Analyst"/>
    <x v="3"/>
    <x v="1"/>
    <s v="North"/>
    <n v="6"/>
    <n v="70877"/>
    <x v="2"/>
    <n v="1"/>
    <n v="2"/>
    <n v="34"/>
    <n v="1"/>
    <d v="2017-08-27T00:00:00"/>
    <s v="No"/>
    <x v="0"/>
    <n v="2"/>
    <x v="1"/>
    <x v="0"/>
    <x v="1"/>
  </r>
  <r>
    <s v="REL00042"/>
    <s v="Male"/>
    <n v="41"/>
    <s v="Graduate"/>
    <s v="Divorced"/>
    <x v="4"/>
    <s v="Marketing Executive"/>
    <x v="1"/>
    <x v="9"/>
    <s v="West"/>
    <n v="2"/>
    <n v="53707"/>
    <x v="2"/>
    <n v="2"/>
    <n v="3"/>
    <n v="15"/>
    <n v="0"/>
    <d v="2021-07-01T00:00:00"/>
    <s v="No"/>
    <x v="0"/>
    <n v="2"/>
    <x v="3"/>
    <x v="0"/>
    <x v="1"/>
  </r>
  <r>
    <s v="REL00043"/>
    <s v="Female"/>
    <n v="43"/>
    <s v="Post Graduate"/>
    <s v="Single"/>
    <x v="4"/>
    <s v="Store Manager"/>
    <x v="2"/>
    <x v="1"/>
    <s v="North"/>
    <n v="2"/>
    <n v="97810"/>
    <x v="1"/>
    <n v="3"/>
    <n v="4"/>
    <n v="24"/>
    <n v="0"/>
    <d v="2021-05-01T00:00:00"/>
    <s v="Yes"/>
    <x v="1"/>
    <n v="1"/>
    <x v="3"/>
    <x v="1"/>
    <x v="2"/>
  </r>
  <r>
    <s v="REL00044"/>
    <s v="Male"/>
    <n v="29"/>
    <s v="BTech"/>
    <s v="Married"/>
    <x v="7"/>
    <s v="HR Manager"/>
    <x v="4"/>
    <x v="2"/>
    <s v="West"/>
    <n v="3"/>
    <n v="89443"/>
    <x v="3"/>
    <n v="2"/>
    <n v="4"/>
    <n v="67"/>
    <n v="3"/>
    <d v="2020-11-19T00:00:00"/>
    <s v="No"/>
    <x v="1"/>
    <n v="4"/>
    <x v="0"/>
    <x v="2"/>
    <x v="0"/>
  </r>
  <r>
    <s v="REL00045"/>
    <s v="Male"/>
    <n v="32"/>
    <s v="Post Graduate"/>
    <s v="Single"/>
    <x v="6"/>
    <s v="Sales Executive"/>
    <x v="0"/>
    <x v="8"/>
    <s v="South"/>
    <n v="10"/>
    <n v="56808"/>
    <x v="3"/>
    <n v="1"/>
    <n v="2"/>
    <n v="10"/>
    <n v="3"/>
    <d v="2013-08-21T00:00:00"/>
    <s v="No"/>
    <x v="0"/>
    <n v="4"/>
    <x v="1"/>
    <x v="2"/>
    <x v="1"/>
  </r>
  <r>
    <s v="REL00046"/>
    <s v="Male"/>
    <n v="38"/>
    <s v="BTech"/>
    <s v="Divorced"/>
    <x v="7"/>
    <s v="Operations Head"/>
    <x v="0"/>
    <x v="9"/>
    <s v="West"/>
    <n v="4"/>
    <n v="102264"/>
    <x v="3"/>
    <n v="2"/>
    <n v="4"/>
    <n v="24"/>
    <n v="1"/>
    <d v="2019-11-27T00:00:00"/>
    <s v="No"/>
    <x v="1"/>
    <n v="4"/>
    <x v="0"/>
    <x v="2"/>
    <x v="0"/>
  </r>
  <r>
    <s v="REL00047"/>
    <s v="Female"/>
    <n v="50"/>
    <s v="Graduate"/>
    <s v="Married"/>
    <x v="4"/>
    <s v="HR Manager"/>
    <x v="2"/>
    <x v="6"/>
    <s v="South"/>
    <n v="1"/>
    <n v="77079"/>
    <x v="3"/>
    <n v="3"/>
    <n v="4"/>
    <n v="44"/>
    <n v="3"/>
    <d v="2022-03-16T00:00:00"/>
    <s v="No"/>
    <x v="0"/>
    <n v="4"/>
    <x v="3"/>
    <x v="2"/>
    <x v="1"/>
  </r>
  <r>
    <s v="REL00048"/>
    <s v="Male"/>
    <n v="27"/>
    <s v="Post Graduate"/>
    <s v="Divorced"/>
    <x v="2"/>
    <s v="Logistics Coordinator"/>
    <x v="1"/>
    <x v="9"/>
    <s v="West"/>
    <n v="15"/>
    <n v="75561"/>
    <x v="3"/>
    <n v="1"/>
    <n v="3"/>
    <n v="15"/>
    <n v="1"/>
    <d v="2008-08-29T00:00:00"/>
    <s v="No"/>
    <x v="0"/>
    <n v="4"/>
    <x v="2"/>
    <x v="2"/>
    <x v="1"/>
  </r>
  <r>
    <s v="REL00049"/>
    <s v="Female"/>
    <n v="48"/>
    <s v="HSC"/>
    <s v="Married"/>
    <x v="7"/>
    <s v="Logistics Coordinator"/>
    <x v="0"/>
    <x v="9"/>
    <s v="West"/>
    <n v="10"/>
    <n v="71112"/>
    <x v="0"/>
    <n v="1"/>
    <n v="2"/>
    <n v="52"/>
    <n v="3"/>
    <d v="2013-05-08T00:00:00"/>
    <s v="Yes"/>
    <x v="0"/>
    <n v="3"/>
    <x v="1"/>
    <x v="1"/>
    <x v="0"/>
  </r>
  <r>
    <s v="REL00050"/>
    <s v="Male"/>
    <n v="47"/>
    <s v="BTech"/>
    <s v="Single"/>
    <x v="4"/>
    <s v="Sales Executive"/>
    <x v="3"/>
    <x v="9"/>
    <s v="West"/>
    <n v="8"/>
    <n v="56306"/>
    <x v="3"/>
    <n v="4"/>
    <n v="4"/>
    <n v="16"/>
    <n v="1"/>
    <d v="2015-07-22T00:00:00"/>
    <s v="No"/>
    <x v="0"/>
    <n v="4"/>
    <x v="1"/>
    <x v="2"/>
    <x v="1"/>
  </r>
  <r>
    <s v="REL00051"/>
    <s v="Male"/>
    <n v="40"/>
    <s v="MBA"/>
    <s v="Divorced"/>
    <x v="5"/>
    <s v="Finance Analyst"/>
    <x v="1"/>
    <x v="1"/>
    <s v="North"/>
    <n v="11"/>
    <n v="73691"/>
    <x v="1"/>
    <n v="4"/>
    <n v="1"/>
    <n v="13"/>
    <n v="1"/>
    <d v="2012-03-28T00:00:00"/>
    <s v="Yes"/>
    <x v="0"/>
    <n v="1"/>
    <x v="2"/>
    <x v="1"/>
    <x v="1"/>
  </r>
  <r>
    <s v="REL00052"/>
    <s v="Female"/>
    <n v="29"/>
    <s v="Post Graduate"/>
    <s v="Married"/>
    <x v="4"/>
    <s v="Logistics Coordinator"/>
    <x v="1"/>
    <x v="6"/>
    <s v="South"/>
    <n v="9"/>
    <n v="56054"/>
    <x v="3"/>
    <n v="3"/>
    <n v="3"/>
    <n v="63"/>
    <n v="3"/>
    <d v="2014-11-06T00:00:00"/>
    <s v="No"/>
    <x v="0"/>
    <n v="4"/>
    <x v="1"/>
    <x v="2"/>
    <x v="1"/>
  </r>
  <r>
    <s v="REL00053"/>
    <s v="Male"/>
    <n v="39"/>
    <s v="MBA"/>
    <s v="Married"/>
    <x v="1"/>
    <s v="Marketing Executive"/>
    <x v="3"/>
    <x v="9"/>
    <s v="West"/>
    <n v="7"/>
    <n v="73640"/>
    <x v="0"/>
    <n v="3"/>
    <n v="1"/>
    <n v="46"/>
    <n v="2"/>
    <d v="2016-10-25T00:00:00"/>
    <s v="No"/>
    <x v="0"/>
    <n v="3"/>
    <x v="1"/>
    <x v="0"/>
    <x v="0"/>
  </r>
  <r>
    <s v="REL00054"/>
    <s v="Female"/>
    <n v="51"/>
    <s v="HSC"/>
    <s v="Single"/>
    <x v="7"/>
    <s v="Finance Analyst"/>
    <x v="2"/>
    <x v="4"/>
    <s v="North"/>
    <n v="9"/>
    <n v="79309"/>
    <x v="1"/>
    <n v="2"/>
    <n v="4"/>
    <n v="39"/>
    <n v="3"/>
    <d v="2014-03-31T00:00:00"/>
    <s v="No"/>
    <x v="0"/>
    <n v="1"/>
    <x v="1"/>
    <x v="0"/>
    <x v="1"/>
  </r>
  <r>
    <s v="REL00055"/>
    <s v="Female"/>
    <n v="28"/>
    <s v="MBA"/>
    <s v="Single"/>
    <x v="5"/>
    <s v="HR Manager"/>
    <x v="3"/>
    <x v="3"/>
    <s v="West"/>
    <n v="7"/>
    <n v="95230"/>
    <x v="1"/>
    <n v="4"/>
    <n v="1"/>
    <n v="28"/>
    <n v="3"/>
    <d v="2016-04-20T00:00:00"/>
    <s v="Yes"/>
    <x v="1"/>
    <n v="1"/>
    <x v="1"/>
    <x v="1"/>
    <x v="2"/>
  </r>
  <r>
    <s v="REL00056"/>
    <s v="Female"/>
    <n v="42"/>
    <s v="MBA"/>
    <s v="Divorced"/>
    <x v="2"/>
    <s v="Logistics Coordinator"/>
    <x v="3"/>
    <x v="6"/>
    <s v="South"/>
    <n v="6"/>
    <n v="49631"/>
    <x v="2"/>
    <n v="1"/>
    <n v="1"/>
    <n v="40"/>
    <n v="2"/>
    <d v="2017-01-22T00:00:00"/>
    <s v="No"/>
    <x v="2"/>
    <n v="2"/>
    <x v="1"/>
    <x v="0"/>
    <x v="1"/>
  </r>
  <r>
    <s v="REL00057"/>
    <s v="Female"/>
    <n v="23"/>
    <s v="Graduate"/>
    <s v="Married"/>
    <x v="2"/>
    <s v="Sales Executive"/>
    <x v="3"/>
    <x v="5"/>
    <s v="South"/>
    <n v="13"/>
    <n v="70538"/>
    <x v="3"/>
    <n v="1"/>
    <n v="3"/>
    <n v="55"/>
    <n v="2"/>
    <d v="2010-01-14T00:00:00"/>
    <s v="No"/>
    <x v="0"/>
    <n v="4"/>
    <x v="2"/>
    <x v="2"/>
    <x v="1"/>
  </r>
  <r>
    <s v="REL00058"/>
    <s v="Female"/>
    <n v="37"/>
    <s v="MBA"/>
    <s v="Divorced"/>
    <x v="3"/>
    <s v="HR Manager"/>
    <x v="2"/>
    <x v="2"/>
    <s v="West"/>
    <n v="10"/>
    <n v="90570"/>
    <x v="1"/>
    <n v="2"/>
    <n v="2"/>
    <n v="69"/>
    <n v="2"/>
    <d v="2013-02-25T00:00:00"/>
    <s v="Yes"/>
    <x v="1"/>
    <n v="1"/>
    <x v="1"/>
    <x v="1"/>
    <x v="2"/>
  </r>
  <r>
    <s v="REL00059"/>
    <s v="Female"/>
    <n v="41"/>
    <s v="MBA"/>
    <s v="Divorced"/>
    <x v="4"/>
    <s v="Operations Head"/>
    <x v="4"/>
    <x v="9"/>
    <s v="West"/>
    <n v="15"/>
    <n v="132910"/>
    <x v="1"/>
    <n v="3"/>
    <n v="4"/>
    <n v="48"/>
    <n v="1"/>
    <d v="2008-05-23T00:00:00"/>
    <s v="Yes"/>
    <x v="1"/>
    <n v="1"/>
    <x v="2"/>
    <x v="1"/>
    <x v="2"/>
  </r>
  <r>
    <s v="REL00060"/>
    <s v="Female"/>
    <n v="23"/>
    <s v="MBA"/>
    <s v="Married"/>
    <x v="7"/>
    <s v="Customer Service Rep"/>
    <x v="4"/>
    <x v="2"/>
    <s v="West"/>
    <n v="7"/>
    <n v="57835"/>
    <x v="0"/>
    <n v="1"/>
    <n v="1"/>
    <n v="73"/>
    <n v="2"/>
    <d v="2016-01-10T00:00:00"/>
    <s v="No"/>
    <x v="0"/>
    <n v="3"/>
    <x v="1"/>
    <x v="0"/>
    <x v="0"/>
  </r>
  <r>
    <s v="REL00061"/>
    <s v="Male"/>
    <n v="41"/>
    <s v="MBA"/>
    <s v="Single"/>
    <x v="5"/>
    <s v="Operations Head"/>
    <x v="2"/>
    <x v="5"/>
    <s v="South"/>
    <n v="10"/>
    <n v="109481"/>
    <x v="0"/>
    <n v="3"/>
    <n v="2"/>
    <n v="21"/>
    <n v="2"/>
    <d v="2013-02-16T00:00:00"/>
    <s v="Yes"/>
    <x v="1"/>
    <n v="3"/>
    <x v="1"/>
    <x v="1"/>
    <x v="0"/>
  </r>
  <r>
    <s v="REL00062"/>
    <s v="Male"/>
    <n v="38"/>
    <s v="MBA"/>
    <s v="Married"/>
    <x v="6"/>
    <s v="Customer Service Rep"/>
    <x v="2"/>
    <x v="7"/>
    <s v="East"/>
    <n v="3"/>
    <n v="48394"/>
    <x v="0"/>
    <n v="3"/>
    <n v="1"/>
    <n v="69"/>
    <n v="0"/>
    <d v="2020-08-15T00:00:00"/>
    <s v="No"/>
    <x v="2"/>
    <n v="3"/>
    <x v="0"/>
    <x v="0"/>
    <x v="1"/>
  </r>
  <r>
    <s v="REL00063"/>
    <s v="Male"/>
    <n v="51"/>
    <s v="HSC"/>
    <s v="Divorced"/>
    <x v="1"/>
    <s v="Logistics Coordinator"/>
    <x v="3"/>
    <x v="6"/>
    <s v="South"/>
    <n v="2"/>
    <n v="39456"/>
    <x v="2"/>
    <n v="3"/>
    <n v="4"/>
    <n v="57"/>
    <n v="0"/>
    <d v="2021-04-02T00:00:00"/>
    <s v="No"/>
    <x v="2"/>
    <n v="2"/>
    <x v="3"/>
    <x v="0"/>
    <x v="1"/>
  </r>
  <r>
    <s v="REL00064"/>
    <s v="Female"/>
    <n v="48"/>
    <s v="Graduate"/>
    <s v="Single"/>
    <x v="7"/>
    <s v="Marketing Executive"/>
    <x v="4"/>
    <x v="5"/>
    <s v="South"/>
    <n v="15"/>
    <n v="72071"/>
    <x v="2"/>
    <n v="1"/>
    <n v="1"/>
    <n v="48"/>
    <n v="3"/>
    <d v="2008-01-12T00:00:00"/>
    <s v="No"/>
    <x v="0"/>
    <n v="2"/>
    <x v="2"/>
    <x v="0"/>
    <x v="1"/>
  </r>
  <r>
    <s v="REL00065"/>
    <s v="Male"/>
    <n v="48"/>
    <s v="Graduate"/>
    <s v="Married"/>
    <x v="2"/>
    <s v="Finance Analyst"/>
    <x v="2"/>
    <x v="0"/>
    <s v="North"/>
    <n v="7"/>
    <n v="76157"/>
    <x v="0"/>
    <n v="4"/>
    <n v="3"/>
    <n v="14"/>
    <n v="2"/>
    <d v="2016-06-02T00:00:00"/>
    <s v="No"/>
    <x v="0"/>
    <n v="3"/>
    <x v="1"/>
    <x v="0"/>
    <x v="0"/>
  </r>
  <r>
    <s v="REL00066"/>
    <s v="Female"/>
    <n v="25"/>
    <s v="MBA"/>
    <s v="Married"/>
    <x v="7"/>
    <s v="Customer Service Rep"/>
    <x v="3"/>
    <x v="5"/>
    <s v="South"/>
    <n v="14"/>
    <n v="56255"/>
    <x v="0"/>
    <n v="2"/>
    <n v="1"/>
    <n v="68"/>
    <n v="0"/>
    <d v="2009-04-01T00:00:00"/>
    <s v="No"/>
    <x v="0"/>
    <n v="3"/>
    <x v="2"/>
    <x v="0"/>
    <x v="0"/>
  </r>
  <r>
    <s v="REL00067"/>
    <s v="Male"/>
    <n v="35"/>
    <s v="Post Graduate"/>
    <s v="Married"/>
    <x v="0"/>
    <s v="HR Manager"/>
    <x v="4"/>
    <x v="5"/>
    <s v="South"/>
    <n v="4"/>
    <n v="91500"/>
    <x v="2"/>
    <n v="2"/>
    <n v="1"/>
    <n v="45"/>
    <n v="1"/>
    <d v="2019-11-28T00:00:00"/>
    <s v="No"/>
    <x v="1"/>
    <n v="2"/>
    <x v="0"/>
    <x v="0"/>
    <x v="1"/>
  </r>
  <r>
    <s v="REL00068"/>
    <s v="Male"/>
    <n v="42"/>
    <s v="Graduate"/>
    <s v="Single"/>
    <x v="4"/>
    <s v="Store Manager"/>
    <x v="2"/>
    <x v="6"/>
    <s v="South"/>
    <n v="11"/>
    <n v="101318"/>
    <x v="3"/>
    <n v="3"/>
    <n v="1"/>
    <n v="26"/>
    <n v="3"/>
    <d v="2012-07-04T00:00:00"/>
    <s v="Yes"/>
    <x v="1"/>
    <n v="4"/>
    <x v="2"/>
    <x v="1"/>
    <x v="0"/>
  </r>
  <r>
    <s v="REL00069"/>
    <s v="Male"/>
    <n v="24"/>
    <s v="BTech"/>
    <s v="Married"/>
    <x v="2"/>
    <s v="Customer Service Rep"/>
    <x v="4"/>
    <x v="1"/>
    <s v="North"/>
    <n v="8"/>
    <n v="57817"/>
    <x v="1"/>
    <n v="4"/>
    <n v="1"/>
    <n v="17"/>
    <n v="3"/>
    <d v="2015-05-17T00:00:00"/>
    <s v="Yes"/>
    <x v="0"/>
    <n v="1"/>
    <x v="1"/>
    <x v="1"/>
    <x v="1"/>
  </r>
  <r>
    <s v="REL00070"/>
    <s v="Male"/>
    <n v="26"/>
    <s v="Post Graduate"/>
    <s v="Married"/>
    <x v="6"/>
    <s v="Finance Analyst"/>
    <x v="4"/>
    <x v="2"/>
    <s v="West"/>
    <n v="12"/>
    <n v="76408"/>
    <x v="1"/>
    <n v="3"/>
    <n v="4"/>
    <n v="77"/>
    <n v="2"/>
    <d v="2011-02-27T00:00:00"/>
    <s v="Yes"/>
    <x v="0"/>
    <n v="1"/>
    <x v="2"/>
    <x v="1"/>
    <x v="1"/>
  </r>
  <r>
    <s v="REL00071"/>
    <s v="Female"/>
    <n v="43"/>
    <s v="MBA"/>
    <s v="Married"/>
    <x v="6"/>
    <s v="Marketing Executive"/>
    <x v="4"/>
    <x v="9"/>
    <s v="West"/>
    <n v="14"/>
    <n v="82092"/>
    <x v="3"/>
    <n v="4"/>
    <n v="1"/>
    <n v="50"/>
    <n v="3"/>
    <d v="2009-09-10T00:00:00"/>
    <s v="No"/>
    <x v="1"/>
    <n v="4"/>
    <x v="2"/>
    <x v="2"/>
    <x v="0"/>
  </r>
  <r>
    <s v="REL00072"/>
    <s v="Male"/>
    <n v="49"/>
    <s v="Graduate"/>
    <s v="Divorced"/>
    <x v="4"/>
    <s v="Finance Analyst"/>
    <x v="0"/>
    <x v="7"/>
    <s v="East"/>
    <n v="11"/>
    <n v="74199"/>
    <x v="0"/>
    <n v="3"/>
    <n v="2"/>
    <n v="17"/>
    <n v="2"/>
    <d v="2012-11-21T00:00:00"/>
    <s v="Yes"/>
    <x v="0"/>
    <n v="3"/>
    <x v="2"/>
    <x v="1"/>
    <x v="0"/>
  </r>
  <r>
    <s v="REL00073"/>
    <s v="Male"/>
    <n v="54"/>
    <s v="Post Graduate"/>
    <s v="Single"/>
    <x v="6"/>
    <s v="Store Manager"/>
    <x v="0"/>
    <x v="0"/>
    <s v="North"/>
    <n v="14"/>
    <n v="112425"/>
    <x v="1"/>
    <n v="4"/>
    <n v="2"/>
    <n v="23"/>
    <n v="2"/>
    <d v="2009-07-08T00:00:00"/>
    <s v="Yes"/>
    <x v="1"/>
    <n v="1"/>
    <x v="2"/>
    <x v="1"/>
    <x v="2"/>
  </r>
  <r>
    <s v="REL00074"/>
    <s v="Male"/>
    <n v="39"/>
    <s v="Graduate"/>
    <s v="Single"/>
    <x v="5"/>
    <s v="Marketing Executive"/>
    <x v="4"/>
    <x v="1"/>
    <s v="North"/>
    <n v="10"/>
    <n v="74061"/>
    <x v="2"/>
    <n v="3"/>
    <n v="3"/>
    <n v="53"/>
    <n v="2"/>
    <d v="2013-02-19T00:00:00"/>
    <s v="No"/>
    <x v="0"/>
    <n v="2"/>
    <x v="1"/>
    <x v="0"/>
    <x v="1"/>
  </r>
  <r>
    <s v="REL00075"/>
    <s v="Male"/>
    <n v="46"/>
    <s v="MBA"/>
    <s v="Married"/>
    <x v="3"/>
    <s v="HR Manager"/>
    <x v="2"/>
    <x v="3"/>
    <s v="West"/>
    <n v="2"/>
    <n v="70004"/>
    <x v="1"/>
    <n v="3"/>
    <n v="2"/>
    <n v="57"/>
    <n v="2"/>
    <d v="2021-04-05T00:00:00"/>
    <s v="No"/>
    <x v="0"/>
    <n v="1"/>
    <x v="3"/>
    <x v="3"/>
    <x v="1"/>
  </r>
  <r>
    <s v="REL00076"/>
    <s v="Female"/>
    <n v="53"/>
    <s v="BTech"/>
    <s v="Married"/>
    <x v="2"/>
    <s v="Store Manager"/>
    <x v="4"/>
    <x v="7"/>
    <s v="East"/>
    <n v="3"/>
    <n v="83673"/>
    <x v="0"/>
    <n v="4"/>
    <n v="3"/>
    <n v="37"/>
    <n v="0"/>
    <d v="2020-05-20T00:00:00"/>
    <s v="No"/>
    <x v="1"/>
    <n v="3"/>
    <x v="0"/>
    <x v="0"/>
    <x v="0"/>
  </r>
  <r>
    <s v="REL00077"/>
    <s v="Male"/>
    <n v="47"/>
    <s v="BTech"/>
    <s v="Single"/>
    <x v="6"/>
    <s v="Finance Analyst"/>
    <x v="4"/>
    <x v="7"/>
    <s v="East"/>
    <n v="11"/>
    <n v="89266"/>
    <x v="2"/>
    <n v="1"/>
    <n v="2"/>
    <n v="48"/>
    <n v="1"/>
    <d v="2012-12-11T00:00:00"/>
    <s v="No"/>
    <x v="1"/>
    <n v="2"/>
    <x v="2"/>
    <x v="0"/>
    <x v="1"/>
  </r>
  <r>
    <s v="REL00078"/>
    <s v="Male"/>
    <n v="46"/>
    <s v="BTech"/>
    <s v="Divorced"/>
    <x v="4"/>
    <s v="Store Manager"/>
    <x v="0"/>
    <x v="6"/>
    <s v="South"/>
    <n v="2"/>
    <n v="95298"/>
    <x v="2"/>
    <n v="2"/>
    <n v="3"/>
    <n v="19"/>
    <n v="3"/>
    <d v="2021-10-04T00:00:00"/>
    <s v="No"/>
    <x v="1"/>
    <n v="2"/>
    <x v="3"/>
    <x v="0"/>
    <x v="1"/>
  </r>
  <r>
    <s v="REL00079"/>
    <s v="Female"/>
    <n v="48"/>
    <s v="HSC"/>
    <s v="Single"/>
    <x v="6"/>
    <s v="Sales Executive"/>
    <x v="4"/>
    <x v="3"/>
    <s v="West"/>
    <n v="15"/>
    <n v="70258"/>
    <x v="1"/>
    <n v="4"/>
    <n v="1"/>
    <n v="51"/>
    <n v="1"/>
    <d v="2008-03-17T00:00:00"/>
    <s v="Yes"/>
    <x v="0"/>
    <n v="1"/>
    <x v="2"/>
    <x v="1"/>
    <x v="1"/>
  </r>
  <r>
    <s v="REL00080"/>
    <s v="Female"/>
    <n v="55"/>
    <s v="Graduate"/>
    <s v="Married"/>
    <x v="7"/>
    <s v="Sales Executive"/>
    <x v="0"/>
    <x v="4"/>
    <s v="North"/>
    <n v="7"/>
    <n v="51972"/>
    <x v="3"/>
    <n v="3"/>
    <n v="3"/>
    <n v="38"/>
    <n v="2"/>
    <d v="2016-03-07T00:00:00"/>
    <s v="No"/>
    <x v="0"/>
    <n v="4"/>
    <x v="1"/>
    <x v="2"/>
    <x v="1"/>
  </r>
  <r>
    <s v="REL00081"/>
    <s v="Male"/>
    <n v="37"/>
    <s v="Graduate"/>
    <s v="Single"/>
    <x v="2"/>
    <s v="Marketing Executive"/>
    <x v="1"/>
    <x v="6"/>
    <s v="South"/>
    <n v="9"/>
    <n v="69448"/>
    <x v="3"/>
    <n v="3"/>
    <n v="2"/>
    <n v="32"/>
    <n v="1"/>
    <d v="2014-02-07T00:00:00"/>
    <s v="No"/>
    <x v="0"/>
    <n v="4"/>
    <x v="1"/>
    <x v="2"/>
    <x v="1"/>
  </r>
  <r>
    <s v="REL00082"/>
    <s v="Female"/>
    <n v="31"/>
    <s v="MBA"/>
    <s v="Single"/>
    <x v="3"/>
    <s v="Finance Analyst"/>
    <x v="3"/>
    <x v="0"/>
    <s v="North"/>
    <n v="13"/>
    <n v="94497"/>
    <x v="1"/>
    <n v="4"/>
    <n v="4"/>
    <n v="48"/>
    <n v="2"/>
    <d v="2010-02-17T00:00:00"/>
    <s v="Yes"/>
    <x v="1"/>
    <n v="1"/>
    <x v="2"/>
    <x v="1"/>
    <x v="2"/>
  </r>
  <r>
    <s v="REL00083"/>
    <s v="Female"/>
    <n v="40"/>
    <s v="Graduate"/>
    <s v="Divorced"/>
    <x v="0"/>
    <s v="Finance Analyst"/>
    <x v="0"/>
    <x v="4"/>
    <s v="North"/>
    <n v="5"/>
    <n v="74808"/>
    <x v="3"/>
    <n v="1"/>
    <n v="4"/>
    <n v="69"/>
    <n v="0"/>
    <d v="2018-12-04T00:00:00"/>
    <s v="Yes"/>
    <x v="0"/>
    <n v="4"/>
    <x v="0"/>
    <x v="1"/>
    <x v="1"/>
  </r>
  <r>
    <s v="REL00084"/>
    <s v="Male"/>
    <n v="54"/>
    <s v="Post Graduate"/>
    <s v="Single"/>
    <x v="1"/>
    <s v="HR Manager"/>
    <x v="0"/>
    <x v="9"/>
    <s v="West"/>
    <n v="9"/>
    <n v="85027"/>
    <x v="1"/>
    <n v="2"/>
    <n v="4"/>
    <n v="66"/>
    <n v="1"/>
    <d v="2014-07-12T00:00:00"/>
    <s v="Yes"/>
    <x v="1"/>
    <n v="1"/>
    <x v="1"/>
    <x v="1"/>
    <x v="2"/>
  </r>
  <r>
    <s v="REL00085"/>
    <s v="Female"/>
    <n v="26"/>
    <s v="HSC"/>
    <s v="Single"/>
    <x v="5"/>
    <s v="Customer Service Rep"/>
    <x v="0"/>
    <x v="7"/>
    <s v="East"/>
    <n v="7"/>
    <n v="58591"/>
    <x v="1"/>
    <n v="4"/>
    <n v="3"/>
    <n v="42"/>
    <n v="1"/>
    <d v="2016-02-06T00:00:00"/>
    <s v="No"/>
    <x v="0"/>
    <n v="1"/>
    <x v="1"/>
    <x v="0"/>
    <x v="1"/>
  </r>
  <r>
    <s v="REL00086"/>
    <s v="Male"/>
    <n v="41"/>
    <s v="BTech"/>
    <s v="Married"/>
    <x v="2"/>
    <s v="Customer Service Rep"/>
    <x v="1"/>
    <x v="7"/>
    <s v="East"/>
    <n v="15"/>
    <n v="65165"/>
    <x v="0"/>
    <n v="3"/>
    <n v="2"/>
    <n v="77"/>
    <n v="0"/>
    <d v="2008-10-30T00:00:00"/>
    <s v="No"/>
    <x v="0"/>
    <n v="3"/>
    <x v="2"/>
    <x v="0"/>
    <x v="0"/>
  </r>
  <r>
    <s v="REL00087"/>
    <s v="Male"/>
    <n v="36"/>
    <s v="Post Graduate"/>
    <s v="Single"/>
    <x v="5"/>
    <s v="HR Manager"/>
    <x v="4"/>
    <x v="2"/>
    <s v="West"/>
    <n v="5"/>
    <n v="82018"/>
    <x v="2"/>
    <n v="1"/>
    <n v="3"/>
    <n v="22"/>
    <n v="0"/>
    <d v="2018-04-29T00:00:00"/>
    <s v="No"/>
    <x v="1"/>
    <n v="2"/>
    <x v="0"/>
    <x v="0"/>
    <x v="1"/>
  </r>
  <r>
    <s v="REL00088"/>
    <s v="Male"/>
    <n v="48"/>
    <s v="HSC"/>
    <s v="Divorced"/>
    <x v="3"/>
    <s v="HR Manager"/>
    <x v="1"/>
    <x v="7"/>
    <s v="East"/>
    <n v="3"/>
    <n v="76925"/>
    <x v="1"/>
    <n v="2"/>
    <n v="4"/>
    <n v="46"/>
    <n v="3"/>
    <d v="2020-05-22T00:00:00"/>
    <s v="Yes"/>
    <x v="0"/>
    <n v="1"/>
    <x v="0"/>
    <x v="1"/>
    <x v="1"/>
  </r>
  <r>
    <s v="REL00089"/>
    <s v="Female"/>
    <n v="46"/>
    <s v="BTech"/>
    <s v="Divorced"/>
    <x v="1"/>
    <s v="Marketing Executive"/>
    <x v="0"/>
    <x v="5"/>
    <s v="South"/>
    <n v="15"/>
    <n v="82053"/>
    <x v="1"/>
    <n v="4"/>
    <n v="2"/>
    <n v="35"/>
    <n v="1"/>
    <d v="2008-05-13T00:00:00"/>
    <s v="Yes"/>
    <x v="1"/>
    <n v="1"/>
    <x v="2"/>
    <x v="1"/>
    <x v="2"/>
  </r>
  <r>
    <s v="REL00090"/>
    <s v="Male"/>
    <n v="32"/>
    <s v="HSC"/>
    <s v="Married"/>
    <x v="0"/>
    <s v="Sales Executive"/>
    <x v="3"/>
    <x v="8"/>
    <s v="South"/>
    <n v="9"/>
    <n v="64905"/>
    <x v="2"/>
    <n v="2"/>
    <n v="4"/>
    <n v="21"/>
    <n v="1"/>
    <d v="2014-08-11T00:00:00"/>
    <s v="Yes"/>
    <x v="0"/>
    <n v="2"/>
    <x v="1"/>
    <x v="1"/>
    <x v="1"/>
  </r>
  <r>
    <s v="REL00091"/>
    <s v="Male"/>
    <n v="45"/>
    <s v="Post Graduate"/>
    <s v="Single"/>
    <x v="5"/>
    <s v="Logistics Coordinator"/>
    <x v="4"/>
    <x v="9"/>
    <s v="West"/>
    <n v="1"/>
    <n v="53449"/>
    <x v="1"/>
    <n v="3"/>
    <n v="1"/>
    <n v="52"/>
    <n v="1"/>
    <d v="2022-06-18T00:00:00"/>
    <s v="Yes"/>
    <x v="0"/>
    <n v="1"/>
    <x v="3"/>
    <x v="1"/>
    <x v="1"/>
  </r>
  <r>
    <s v="REL00092"/>
    <s v="Male"/>
    <n v="23"/>
    <s v="HSC"/>
    <s v="Single"/>
    <x v="0"/>
    <s v="HR Manager"/>
    <x v="0"/>
    <x v="6"/>
    <s v="South"/>
    <n v="12"/>
    <n v="104371"/>
    <x v="1"/>
    <n v="2"/>
    <n v="4"/>
    <n v="24"/>
    <n v="2"/>
    <d v="2012-01-02T00:00:00"/>
    <s v="No"/>
    <x v="1"/>
    <n v="1"/>
    <x v="2"/>
    <x v="0"/>
    <x v="2"/>
  </r>
  <r>
    <s v="REL00093"/>
    <s v="Female"/>
    <n v="23"/>
    <s v="BTech"/>
    <s v="Divorced"/>
    <x v="4"/>
    <s v="Logistics Coordinator"/>
    <x v="4"/>
    <x v="5"/>
    <s v="South"/>
    <n v="4"/>
    <n v="57978"/>
    <x v="3"/>
    <n v="2"/>
    <n v="2"/>
    <n v="47"/>
    <n v="3"/>
    <d v="2019-11-07T00:00:00"/>
    <s v="Yes"/>
    <x v="0"/>
    <n v="4"/>
    <x v="0"/>
    <x v="1"/>
    <x v="1"/>
  </r>
  <r>
    <s v="REL00094"/>
    <s v="Male"/>
    <n v="46"/>
    <s v="MBA"/>
    <s v="Single"/>
    <x v="5"/>
    <s v="Sales Executive"/>
    <x v="2"/>
    <x v="3"/>
    <s v="West"/>
    <n v="3"/>
    <n v="53153"/>
    <x v="1"/>
    <n v="4"/>
    <n v="3"/>
    <n v="42"/>
    <n v="0"/>
    <d v="2020-04-07T00:00:00"/>
    <s v="Yes"/>
    <x v="0"/>
    <n v="1"/>
    <x v="0"/>
    <x v="1"/>
    <x v="1"/>
  </r>
  <r>
    <s v="REL00095"/>
    <s v="Male"/>
    <n v="44"/>
    <s v="BTech"/>
    <s v="Married"/>
    <x v="2"/>
    <s v="Sales Executive"/>
    <x v="0"/>
    <x v="7"/>
    <s v="East"/>
    <n v="12"/>
    <n v="73067"/>
    <x v="0"/>
    <n v="2"/>
    <n v="4"/>
    <n v="71"/>
    <n v="1"/>
    <d v="2011-10-28T00:00:00"/>
    <s v="No"/>
    <x v="0"/>
    <n v="3"/>
    <x v="2"/>
    <x v="0"/>
    <x v="0"/>
  </r>
  <r>
    <s v="REL00096"/>
    <s v="Female"/>
    <n v="41"/>
    <s v="BTech"/>
    <s v="Married"/>
    <x v="2"/>
    <s v="Marketing Executive"/>
    <x v="3"/>
    <x v="6"/>
    <s v="South"/>
    <n v="5"/>
    <n v="51435"/>
    <x v="3"/>
    <n v="4"/>
    <n v="3"/>
    <n v="14"/>
    <n v="1"/>
    <d v="2018-12-12T00:00:00"/>
    <s v="No"/>
    <x v="0"/>
    <n v="4"/>
    <x v="0"/>
    <x v="2"/>
    <x v="1"/>
  </r>
  <r>
    <s v="REL00097"/>
    <s v="Female"/>
    <n v="46"/>
    <s v="HSC"/>
    <s v="Single"/>
    <x v="5"/>
    <s v="Sales Executive"/>
    <x v="4"/>
    <x v="8"/>
    <s v="South"/>
    <n v="5"/>
    <n v="52059"/>
    <x v="2"/>
    <n v="4"/>
    <n v="4"/>
    <n v="57"/>
    <n v="2"/>
    <d v="2018-06-12T00:00:00"/>
    <s v="No"/>
    <x v="0"/>
    <n v="2"/>
    <x v="0"/>
    <x v="0"/>
    <x v="1"/>
  </r>
  <r>
    <s v="REL00098"/>
    <s v="Male"/>
    <n v="42"/>
    <s v="HSC"/>
    <s v="Married"/>
    <x v="6"/>
    <s v="HR Manager"/>
    <x v="4"/>
    <x v="0"/>
    <s v="North"/>
    <n v="10"/>
    <n v="102874"/>
    <x v="1"/>
    <n v="4"/>
    <n v="4"/>
    <n v="31"/>
    <n v="3"/>
    <d v="2013-11-12T00:00:00"/>
    <s v="Yes"/>
    <x v="1"/>
    <n v="1"/>
    <x v="1"/>
    <x v="1"/>
    <x v="2"/>
  </r>
  <r>
    <s v="REL00099"/>
    <s v="Female"/>
    <n v="45"/>
    <s v="BTech"/>
    <s v="Divorced"/>
    <x v="7"/>
    <s v="Logistics Coordinator"/>
    <x v="4"/>
    <x v="7"/>
    <s v="East"/>
    <n v="10"/>
    <n v="63996"/>
    <x v="2"/>
    <n v="2"/>
    <n v="1"/>
    <n v="28"/>
    <n v="3"/>
    <d v="2013-11-26T00:00:00"/>
    <s v="Yes"/>
    <x v="0"/>
    <n v="2"/>
    <x v="1"/>
    <x v="1"/>
    <x v="1"/>
  </r>
  <r>
    <s v="REL00100"/>
    <s v="Male"/>
    <n v="31"/>
    <s v="MBA"/>
    <s v="Married"/>
    <x v="3"/>
    <s v="Customer Service Rep"/>
    <x v="4"/>
    <x v="3"/>
    <s v="West"/>
    <n v="13"/>
    <n v="62866"/>
    <x v="0"/>
    <n v="3"/>
    <n v="4"/>
    <n v="19"/>
    <n v="1"/>
    <d v="2010-03-20T00:00:00"/>
    <s v="No"/>
    <x v="0"/>
    <n v="3"/>
    <x v="2"/>
    <x v="0"/>
    <x v="0"/>
  </r>
  <r>
    <s v="REL00101"/>
    <s v="Male"/>
    <n v="53"/>
    <s v="BTech"/>
    <s v="Married"/>
    <x v="5"/>
    <s v="Operations Head"/>
    <x v="3"/>
    <x v="1"/>
    <s v="North"/>
    <n v="11"/>
    <n v="115179"/>
    <x v="2"/>
    <n v="1"/>
    <n v="3"/>
    <n v="43"/>
    <n v="3"/>
    <d v="2012-12-21T00:00:00"/>
    <s v="Yes"/>
    <x v="1"/>
    <n v="2"/>
    <x v="2"/>
    <x v="1"/>
    <x v="1"/>
  </r>
  <r>
    <s v="REL00102"/>
    <s v="Female"/>
    <n v="27"/>
    <s v="HSC"/>
    <s v="Divorced"/>
    <x v="4"/>
    <s v="HR Manager"/>
    <x v="3"/>
    <x v="5"/>
    <s v="South"/>
    <n v="2"/>
    <n v="71426"/>
    <x v="0"/>
    <n v="3"/>
    <n v="1"/>
    <n v="80"/>
    <n v="2"/>
    <d v="2021-10-05T00:00:00"/>
    <s v="No"/>
    <x v="0"/>
    <n v="3"/>
    <x v="3"/>
    <x v="0"/>
    <x v="0"/>
  </r>
  <r>
    <s v="REL00103"/>
    <s v="Male"/>
    <n v="53"/>
    <s v="Graduate"/>
    <s v="Married"/>
    <x v="3"/>
    <s v="Marketing Executive"/>
    <x v="2"/>
    <x v="8"/>
    <s v="South"/>
    <n v="9"/>
    <n v="61976"/>
    <x v="2"/>
    <n v="3"/>
    <n v="4"/>
    <n v="80"/>
    <n v="1"/>
    <d v="2014-10-24T00:00:00"/>
    <s v="No"/>
    <x v="0"/>
    <n v="2"/>
    <x v="1"/>
    <x v="0"/>
    <x v="1"/>
  </r>
  <r>
    <s v="REL00104"/>
    <s v="Male"/>
    <n v="30"/>
    <s v="HSC"/>
    <s v="Divorced"/>
    <x v="2"/>
    <s v="Finance Analyst"/>
    <x v="4"/>
    <x v="4"/>
    <s v="North"/>
    <n v="7"/>
    <n v="81225"/>
    <x v="2"/>
    <n v="1"/>
    <n v="4"/>
    <n v="69"/>
    <n v="2"/>
    <d v="2016-06-07T00:00:00"/>
    <s v="No"/>
    <x v="1"/>
    <n v="2"/>
    <x v="1"/>
    <x v="0"/>
    <x v="1"/>
  </r>
  <r>
    <s v="REL00105"/>
    <s v="Male"/>
    <n v="32"/>
    <s v="HSC"/>
    <s v="Divorced"/>
    <x v="3"/>
    <s v="Store Manager"/>
    <x v="2"/>
    <x v="6"/>
    <s v="South"/>
    <n v="9"/>
    <n v="97068"/>
    <x v="1"/>
    <n v="2"/>
    <n v="3"/>
    <n v="76"/>
    <n v="2"/>
    <d v="2014-08-01T00:00:00"/>
    <s v="Yes"/>
    <x v="1"/>
    <n v="1"/>
    <x v="1"/>
    <x v="1"/>
    <x v="2"/>
  </r>
  <r>
    <s v="REL00106"/>
    <s v="Male"/>
    <n v="31"/>
    <s v="Post Graduate"/>
    <s v="Divorced"/>
    <x v="4"/>
    <s v="Operations Head"/>
    <x v="2"/>
    <x v="0"/>
    <s v="North"/>
    <n v="3"/>
    <n v="108481"/>
    <x v="2"/>
    <n v="3"/>
    <n v="1"/>
    <n v="13"/>
    <n v="0"/>
    <d v="2020-04-19T00:00:00"/>
    <s v="Yes"/>
    <x v="1"/>
    <n v="2"/>
    <x v="0"/>
    <x v="1"/>
    <x v="1"/>
  </r>
  <r>
    <s v="REL00107"/>
    <s v="Female"/>
    <n v="52"/>
    <s v="Post Graduate"/>
    <s v="Divorced"/>
    <x v="4"/>
    <s v="Store Manager"/>
    <x v="2"/>
    <x v="3"/>
    <s v="West"/>
    <n v="10"/>
    <n v="111319"/>
    <x v="1"/>
    <n v="4"/>
    <n v="3"/>
    <n v="68"/>
    <n v="0"/>
    <d v="2013-02-09T00:00:00"/>
    <s v="Yes"/>
    <x v="1"/>
    <n v="1"/>
    <x v="1"/>
    <x v="1"/>
    <x v="2"/>
  </r>
  <r>
    <s v="REL00108"/>
    <s v="Female"/>
    <n v="42"/>
    <s v="HSC"/>
    <s v="Married"/>
    <x v="3"/>
    <s v="Finance Analyst"/>
    <x v="3"/>
    <x v="3"/>
    <s v="West"/>
    <n v="8"/>
    <n v="72685"/>
    <x v="1"/>
    <n v="2"/>
    <n v="3"/>
    <n v="75"/>
    <n v="0"/>
    <d v="2015-10-22T00:00:00"/>
    <s v="No"/>
    <x v="0"/>
    <n v="1"/>
    <x v="1"/>
    <x v="0"/>
    <x v="1"/>
  </r>
  <r>
    <s v="REL00109"/>
    <s v="Male"/>
    <n v="40"/>
    <s v="MBA"/>
    <s v="Divorced"/>
    <x v="1"/>
    <s v="Finance Analyst"/>
    <x v="3"/>
    <x v="7"/>
    <s v="East"/>
    <n v="5"/>
    <n v="68123"/>
    <x v="3"/>
    <n v="4"/>
    <n v="2"/>
    <n v="30"/>
    <n v="2"/>
    <d v="2018-11-14T00:00:00"/>
    <s v="No"/>
    <x v="0"/>
    <n v="4"/>
    <x v="0"/>
    <x v="2"/>
    <x v="1"/>
  </r>
  <r>
    <s v="REL00110"/>
    <s v="Male"/>
    <n v="27"/>
    <s v="MBA"/>
    <s v="Divorced"/>
    <x v="5"/>
    <s v="Finance Analyst"/>
    <x v="2"/>
    <x v="4"/>
    <s v="North"/>
    <n v="8"/>
    <n v="82343"/>
    <x v="0"/>
    <n v="4"/>
    <n v="2"/>
    <n v="37"/>
    <n v="2"/>
    <d v="2015-04-24T00:00:00"/>
    <s v="No"/>
    <x v="1"/>
    <n v="3"/>
    <x v="1"/>
    <x v="0"/>
    <x v="0"/>
  </r>
  <r>
    <s v="REL00111"/>
    <s v="Female"/>
    <n v="30"/>
    <s v="HSC"/>
    <s v="Divorced"/>
    <x v="0"/>
    <s v="Finance Analyst"/>
    <x v="0"/>
    <x v="3"/>
    <s v="West"/>
    <n v="10"/>
    <n v="79363"/>
    <x v="1"/>
    <n v="3"/>
    <n v="4"/>
    <n v="56"/>
    <n v="0"/>
    <d v="2013-11-09T00:00:00"/>
    <s v="Yes"/>
    <x v="0"/>
    <n v="1"/>
    <x v="1"/>
    <x v="1"/>
    <x v="1"/>
  </r>
  <r>
    <s v="REL00112"/>
    <s v="Female"/>
    <n v="39"/>
    <s v="BTech"/>
    <s v="Divorced"/>
    <x v="0"/>
    <s v="Operations Head"/>
    <x v="1"/>
    <x v="2"/>
    <s v="West"/>
    <n v="6"/>
    <n v="99409"/>
    <x v="0"/>
    <n v="1"/>
    <n v="2"/>
    <n v="22"/>
    <n v="3"/>
    <d v="2017-04-19T00:00:00"/>
    <s v="No"/>
    <x v="1"/>
    <n v="3"/>
    <x v="1"/>
    <x v="0"/>
    <x v="0"/>
  </r>
  <r>
    <s v="REL00113"/>
    <s v="Female"/>
    <n v="54"/>
    <s v="Graduate"/>
    <s v="Single"/>
    <x v="5"/>
    <s v="HR Manager"/>
    <x v="1"/>
    <x v="7"/>
    <s v="East"/>
    <n v="13"/>
    <n v="97522"/>
    <x v="2"/>
    <n v="1"/>
    <n v="2"/>
    <n v="52"/>
    <n v="3"/>
    <d v="2010-04-19T00:00:00"/>
    <s v="No"/>
    <x v="1"/>
    <n v="2"/>
    <x v="2"/>
    <x v="0"/>
    <x v="1"/>
  </r>
  <r>
    <s v="REL00114"/>
    <s v="Female"/>
    <n v="43"/>
    <s v="BTech"/>
    <s v="Divorced"/>
    <x v="7"/>
    <s v="Customer Service Rep"/>
    <x v="2"/>
    <x v="1"/>
    <s v="North"/>
    <n v="6"/>
    <n v="42324"/>
    <x v="0"/>
    <n v="4"/>
    <n v="3"/>
    <n v="70"/>
    <n v="0"/>
    <d v="2017-02-21T00:00:00"/>
    <s v="No"/>
    <x v="2"/>
    <n v="3"/>
    <x v="1"/>
    <x v="0"/>
    <x v="1"/>
  </r>
  <r>
    <s v="REL00115"/>
    <s v="Male"/>
    <n v="25"/>
    <s v="BTech"/>
    <s v="Married"/>
    <x v="5"/>
    <s v="Operations Head"/>
    <x v="4"/>
    <x v="7"/>
    <s v="East"/>
    <n v="10"/>
    <n v="105873"/>
    <x v="1"/>
    <n v="2"/>
    <n v="4"/>
    <n v="28"/>
    <n v="1"/>
    <d v="2013-08-21T00:00:00"/>
    <s v="Yes"/>
    <x v="1"/>
    <n v="1"/>
    <x v="1"/>
    <x v="1"/>
    <x v="2"/>
  </r>
  <r>
    <s v="REL00116"/>
    <s v="Male"/>
    <n v="48"/>
    <s v="BTech"/>
    <s v="Divorced"/>
    <x v="2"/>
    <s v="Customer Service Rep"/>
    <x v="2"/>
    <x v="3"/>
    <s v="West"/>
    <n v="8"/>
    <n v="54722"/>
    <x v="3"/>
    <n v="4"/>
    <n v="1"/>
    <n v="27"/>
    <n v="1"/>
    <d v="2015-06-06T00:00:00"/>
    <s v="No"/>
    <x v="0"/>
    <n v="4"/>
    <x v="1"/>
    <x v="2"/>
    <x v="1"/>
  </r>
  <r>
    <s v="REL00117"/>
    <s v="Female"/>
    <n v="38"/>
    <s v="BTech"/>
    <s v="Married"/>
    <x v="5"/>
    <s v="HR Manager"/>
    <x v="3"/>
    <x v="1"/>
    <s v="North"/>
    <n v="6"/>
    <n v="92062"/>
    <x v="1"/>
    <n v="2"/>
    <n v="2"/>
    <n v="45"/>
    <n v="2"/>
    <d v="2017-03-29T00:00:00"/>
    <s v="Yes"/>
    <x v="1"/>
    <n v="1"/>
    <x v="1"/>
    <x v="1"/>
    <x v="2"/>
  </r>
  <r>
    <s v="REL00118"/>
    <s v="Female"/>
    <n v="40"/>
    <s v="Graduate"/>
    <s v="Divorced"/>
    <x v="4"/>
    <s v="Finance Analyst"/>
    <x v="0"/>
    <x v="5"/>
    <s v="South"/>
    <n v="12"/>
    <n v="84388"/>
    <x v="0"/>
    <n v="4"/>
    <n v="4"/>
    <n v="54"/>
    <n v="1"/>
    <d v="2011-07-10T00:00:00"/>
    <s v="No"/>
    <x v="1"/>
    <n v="3"/>
    <x v="2"/>
    <x v="0"/>
    <x v="0"/>
  </r>
  <r>
    <s v="REL00119"/>
    <s v="Male"/>
    <n v="39"/>
    <s v="BTech"/>
    <s v="Divorced"/>
    <x v="0"/>
    <s v="Finance Analyst"/>
    <x v="0"/>
    <x v="8"/>
    <s v="South"/>
    <n v="6"/>
    <n v="70403"/>
    <x v="3"/>
    <n v="3"/>
    <n v="2"/>
    <n v="23"/>
    <n v="1"/>
    <d v="2017-09-15T00:00:00"/>
    <s v="No"/>
    <x v="0"/>
    <n v="4"/>
    <x v="1"/>
    <x v="2"/>
    <x v="1"/>
  </r>
  <r>
    <s v="REL00120"/>
    <s v="Female"/>
    <n v="52"/>
    <s v="Graduate"/>
    <s v="Divorced"/>
    <x v="0"/>
    <s v="Marketing Executive"/>
    <x v="1"/>
    <x v="5"/>
    <s v="South"/>
    <n v="11"/>
    <n v="63720"/>
    <x v="0"/>
    <n v="2"/>
    <n v="1"/>
    <n v="80"/>
    <n v="1"/>
    <d v="2012-06-06T00:00:00"/>
    <s v="Yes"/>
    <x v="0"/>
    <n v="3"/>
    <x v="2"/>
    <x v="1"/>
    <x v="0"/>
  </r>
  <r>
    <s v="REL00121"/>
    <s v="Male"/>
    <n v="27"/>
    <s v="BTech"/>
    <s v="Single"/>
    <x v="7"/>
    <s v="Operations Head"/>
    <x v="3"/>
    <x v="2"/>
    <s v="West"/>
    <n v="13"/>
    <n v="121524"/>
    <x v="0"/>
    <n v="1"/>
    <n v="2"/>
    <n v="63"/>
    <n v="1"/>
    <d v="2010-02-08T00:00:00"/>
    <s v="No"/>
    <x v="1"/>
    <n v="3"/>
    <x v="2"/>
    <x v="0"/>
    <x v="0"/>
  </r>
  <r>
    <s v="REL00122"/>
    <s v="Male"/>
    <n v="43"/>
    <s v="HSC"/>
    <s v="Married"/>
    <x v="6"/>
    <s v="Operations Head"/>
    <x v="3"/>
    <x v="3"/>
    <s v="West"/>
    <n v="15"/>
    <n v="116227"/>
    <x v="0"/>
    <n v="4"/>
    <n v="2"/>
    <n v="74"/>
    <n v="3"/>
    <d v="2008-08-05T00:00:00"/>
    <s v="Yes"/>
    <x v="1"/>
    <n v="3"/>
    <x v="2"/>
    <x v="1"/>
    <x v="0"/>
  </r>
  <r>
    <s v="REL00123"/>
    <s v="Female"/>
    <n v="40"/>
    <s v="BTech"/>
    <s v="Divorced"/>
    <x v="1"/>
    <s v="Finance Analyst"/>
    <x v="4"/>
    <x v="8"/>
    <s v="South"/>
    <n v="3"/>
    <n v="64430"/>
    <x v="2"/>
    <n v="2"/>
    <n v="2"/>
    <n v="61"/>
    <n v="3"/>
    <d v="2020-12-25T00:00:00"/>
    <s v="No"/>
    <x v="0"/>
    <n v="2"/>
    <x v="0"/>
    <x v="0"/>
    <x v="1"/>
  </r>
  <r>
    <s v="REL00124"/>
    <s v="Male"/>
    <n v="22"/>
    <s v="HSC"/>
    <s v="Married"/>
    <x v="5"/>
    <s v="Sales Executive"/>
    <x v="4"/>
    <x v="1"/>
    <s v="North"/>
    <n v="11"/>
    <n v="58054"/>
    <x v="1"/>
    <n v="2"/>
    <n v="4"/>
    <n v="44"/>
    <n v="2"/>
    <d v="2012-07-22T00:00:00"/>
    <s v="Yes"/>
    <x v="0"/>
    <n v="1"/>
    <x v="2"/>
    <x v="1"/>
    <x v="1"/>
  </r>
  <r>
    <s v="REL00125"/>
    <s v="Female"/>
    <n v="32"/>
    <s v="MBA"/>
    <s v="Divorced"/>
    <x v="0"/>
    <s v="Marketing Executive"/>
    <x v="0"/>
    <x v="8"/>
    <s v="South"/>
    <n v="12"/>
    <n v="66035"/>
    <x v="2"/>
    <n v="3"/>
    <n v="1"/>
    <n v="47"/>
    <n v="2"/>
    <d v="2011-05-11T00:00:00"/>
    <s v="Yes"/>
    <x v="0"/>
    <n v="2"/>
    <x v="2"/>
    <x v="1"/>
    <x v="1"/>
  </r>
  <r>
    <s v="REL00126"/>
    <s v="Female"/>
    <n v="52"/>
    <s v="BTech"/>
    <s v="Divorced"/>
    <x v="1"/>
    <s v="HR Manager"/>
    <x v="2"/>
    <x v="4"/>
    <s v="North"/>
    <n v="8"/>
    <n v="95908"/>
    <x v="0"/>
    <n v="2"/>
    <n v="2"/>
    <n v="20"/>
    <n v="3"/>
    <d v="2015-06-26T00:00:00"/>
    <s v="No"/>
    <x v="1"/>
    <n v="3"/>
    <x v="1"/>
    <x v="0"/>
    <x v="0"/>
  </r>
  <r>
    <s v="REL00127"/>
    <s v="Male"/>
    <n v="42"/>
    <s v="BTech"/>
    <s v="Married"/>
    <x v="5"/>
    <s v="Marketing Executive"/>
    <x v="4"/>
    <x v="1"/>
    <s v="North"/>
    <n v="1"/>
    <n v="60766"/>
    <x v="3"/>
    <n v="1"/>
    <n v="2"/>
    <n v="72"/>
    <n v="0"/>
    <d v="2022-10-17T00:00:00"/>
    <s v="No"/>
    <x v="0"/>
    <n v="4"/>
    <x v="3"/>
    <x v="2"/>
    <x v="1"/>
  </r>
  <r>
    <s v="REL00128"/>
    <s v="Female"/>
    <n v="41"/>
    <s v="Graduate"/>
    <s v="Married"/>
    <x v="7"/>
    <s v="Logistics Coordinator"/>
    <x v="4"/>
    <x v="1"/>
    <s v="North"/>
    <n v="3"/>
    <n v="55968"/>
    <x v="1"/>
    <n v="3"/>
    <n v="1"/>
    <n v="37"/>
    <n v="0"/>
    <d v="2020-03-21T00:00:00"/>
    <s v="Yes"/>
    <x v="0"/>
    <n v="1"/>
    <x v="0"/>
    <x v="1"/>
    <x v="1"/>
  </r>
  <r>
    <s v="REL00129"/>
    <s v="Female"/>
    <n v="48"/>
    <s v="Post Graduate"/>
    <s v="Single"/>
    <x v="6"/>
    <s v="Store Manager"/>
    <x v="0"/>
    <x v="3"/>
    <s v="West"/>
    <n v="9"/>
    <n v="95261"/>
    <x v="3"/>
    <n v="4"/>
    <n v="3"/>
    <n v="58"/>
    <n v="3"/>
    <d v="2014-12-18T00:00:00"/>
    <s v="No"/>
    <x v="1"/>
    <n v="4"/>
    <x v="1"/>
    <x v="2"/>
    <x v="0"/>
  </r>
  <r>
    <s v="REL00130"/>
    <s v="Female"/>
    <n v="55"/>
    <s v="Post Graduate"/>
    <s v="Divorced"/>
    <x v="6"/>
    <s v="Customer Service Rep"/>
    <x v="4"/>
    <x v="2"/>
    <s v="West"/>
    <n v="11"/>
    <n v="50887"/>
    <x v="0"/>
    <n v="2"/>
    <n v="1"/>
    <n v="12"/>
    <n v="2"/>
    <d v="2012-04-03T00:00:00"/>
    <s v="No"/>
    <x v="0"/>
    <n v="3"/>
    <x v="2"/>
    <x v="0"/>
    <x v="0"/>
  </r>
  <r>
    <s v="REL00131"/>
    <s v="Female"/>
    <n v="34"/>
    <s v="Graduate"/>
    <s v="Single"/>
    <x v="6"/>
    <s v="Marketing Executive"/>
    <x v="1"/>
    <x v="9"/>
    <s v="West"/>
    <n v="14"/>
    <n v="76110"/>
    <x v="1"/>
    <n v="4"/>
    <n v="1"/>
    <n v="40"/>
    <n v="1"/>
    <d v="2009-10-17T00:00:00"/>
    <s v="Yes"/>
    <x v="0"/>
    <n v="1"/>
    <x v="2"/>
    <x v="1"/>
    <x v="1"/>
  </r>
  <r>
    <s v="REL00132"/>
    <s v="Female"/>
    <n v="36"/>
    <s v="BTech"/>
    <s v="Single"/>
    <x v="2"/>
    <s v="Store Manager"/>
    <x v="1"/>
    <x v="0"/>
    <s v="North"/>
    <n v="8"/>
    <n v="99019"/>
    <x v="3"/>
    <n v="1"/>
    <n v="2"/>
    <n v="74"/>
    <n v="2"/>
    <d v="2015-06-12T00:00:00"/>
    <s v="Yes"/>
    <x v="1"/>
    <n v="4"/>
    <x v="1"/>
    <x v="1"/>
    <x v="0"/>
  </r>
  <r>
    <s v="REL00133"/>
    <s v="Female"/>
    <n v="41"/>
    <s v="HSC"/>
    <s v="Single"/>
    <x v="5"/>
    <s v="Operations Head"/>
    <x v="1"/>
    <x v="5"/>
    <s v="South"/>
    <n v="4"/>
    <n v="97694"/>
    <x v="2"/>
    <n v="2"/>
    <n v="4"/>
    <n v="73"/>
    <n v="0"/>
    <d v="2019-09-11T00:00:00"/>
    <s v="No"/>
    <x v="1"/>
    <n v="2"/>
    <x v="0"/>
    <x v="0"/>
    <x v="1"/>
  </r>
  <r>
    <s v="REL00134"/>
    <s v="Female"/>
    <n v="33"/>
    <s v="BTech"/>
    <s v="Married"/>
    <x v="6"/>
    <s v="Logistics Coordinator"/>
    <x v="1"/>
    <x v="7"/>
    <s v="East"/>
    <n v="12"/>
    <n v="72377"/>
    <x v="2"/>
    <n v="2"/>
    <n v="2"/>
    <n v="48"/>
    <n v="1"/>
    <d v="2011-08-04T00:00:00"/>
    <s v="No"/>
    <x v="0"/>
    <n v="2"/>
    <x v="2"/>
    <x v="0"/>
    <x v="1"/>
  </r>
  <r>
    <s v="REL00135"/>
    <s v="Female"/>
    <n v="27"/>
    <s v="MBA"/>
    <s v="Married"/>
    <x v="0"/>
    <s v="HR Manager"/>
    <x v="1"/>
    <x v="9"/>
    <s v="West"/>
    <n v="7"/>
    <n v="91727"/>
    <x v="1"/>
    <n v="1"/>
    <n v="2"/>
    <n v="16"/>
    <n v="2"/>
    <d v="2016-09-20T00:00:00"/>
    <s v="Yes"/>
    <x v="1"/>
    <n v="1"/>
    <x v="1"/>
    <x v="1"/>
    <x v="2"/>
  </r>
  <r>
    <s v="REL00136"/>
    <s v="Female"/>
    <n v="22"/>
    <s v="Post Graduate"/>
    <s v="Single"/>
    <x v="0"/>
    <s v="Marketing Executive"/>
    <x v="4"/>
    <x v="2"/>
    <s v="West"/>
    <n v="13"/>
    <n v="81708"/>
    <x v="0"/>
    <n v="1"/>
    <n v="4"/>
    <n v="41"/>
    <n v="1"/>
    <d v="2010-07-18T00:00:00"/>
    <s v="No"/>
    <x v="1"/>
    <n v="3"/>
    <x v="2"/>
    <x v="0"/>
    <x v="0"/>
  </r>
  <r>
    <s v="REL00137"/>
    <s v="Female"/>
    <n v="41"/>
    <s v="HSC"/>
    <s v="Married"/>
    <x v="1"/>
    <s v="Operations Head"/>
    <x v="1"/>
    <x v="2"/>
    <s v="West"/>
    <n v="13"/>
    <n v="123473"/>
    <x v="2"/>
    <n v="4"/>
    <n v="4"/>
    <n v="22"/>
    <n v="3"/>
    <d v="2010-04-06T00:00:00"/>
    <s v="No"/>
    <x v="1"/>
    <n v="2"/>
    <x v="2"/>
    <x v="0"/>
    <x v="1"/>
  </r>
  <r>
    <s v="REL00138"/>
    <s v="Male"/>
    <n v="38"/>
    <s v="BTech"/>
    <s v="Divorced"/>
    <x v="1"/>
    <s v="Store Manager"/>
    <x v="0"/>
    <x v="7"/>
    <s v="East"/>
    <n v="7"/>
    <n v="107432"/>
    <x v="2"/>
    <n v="4"/>
    <n v="3"/>
    <n v="29"/>
    <n v="1"/>
    <d v="2016-10-20T00:00:00"/>
    <s v="No"/>
    <x v="1"/>
    <n v="2"/>
    <x v="1"/>
    <x v="0"/>
    <x v="1"/>
  </r>
  <r>
    <s v="REL00139"/>
    <s v="Female"/>
    <n v="51"/>
    <s v="Post Graduate"/>
    <s v="Divorced"/>
    <x v="1"/>
    <s v="Customer Service Rep"/>
    <x v="3"/>
    <x v="7"/>
    <s v="East"/>
    <n v="8"/>
    <n v="49432"/>
    <x v="0"/>
    <n v="3"/>
    <n v="2"/>
    <n v="27"/>
    <n v="3"/>
    <d v="2015-02-09T00:00:00"/>
    <s v="No"/>
    <x v="2"/>
    <n v="3"/>
    <x v="1"/>
    <x v="0"/>
    <x v="1"/>
  </r>
  <r>
    <s v="REL00140"/>
    <s v="Male"/>
    <n v="36"/>
    <s v="Graduate"/>
    <s v="Divorced"/>
    <x v="0"/>
    <s v="Sales Executive"/>
    <x v="1"/>
    <x v="6"/>
    <s v="South"/>
    <n v="14"/>
    <n v="59589"/>
    <x v="3"/>
    <n v="2"/>
    <n v="1"/>
    <n v="37"/>
    <n v="3"/>
    <d v="2009-06-07T00:00:00"/>
    <s v="Yes"/>
    <x v="0"/>
    <n v="4"/>
    <x v="2"/>
    <x v="1"/>
    <x v="1"/>
  </r>
  <r>
    <s v="REL00141"/>
    <s v="Female"/>
    <n v="22"/>
    <s v="Graduate"/>
    <s v="Divorced"/>
    <x v="0"/>
    <s v="Finance Analyst"/>
    <x v="1"/>
    <x v="7"/>
    <s v="East"/>
    <n v="11"/>
    <n v="72515"/>
    <x v="1"/>
    <n v="3"/>
    <n v="3"/>
    <n v="12"/>
    <n v="3"/>
    <d v="2012-03-27T00:00:00"/>
    <s v="No"/>
    <x v="0"/>
    <n v="1"/>
    <x v="2"/>
    <x v="0"/>
    <x v="1"/>
  </r>
  <r>
    <s v="REL00142"/>
    <s v="Female"/>
    <n v="47"/>
    <s v="Graduate"/>
    <s v="Married"/>
    <x v="2"/>
    <s v="Marketing Executive"/>
    <x v="4"/>
    <x v="6"/>
    <s v="South"/>
    <n v="4"/>
    <n v="65250"/>
    <x v="0"/>
    <n v="4"/>
    <n v="4"/>
    <n v="41"/>
    <n v="1"/>
    <d v="2019-07-05T00:00:00"/>
    <s v="No"/>
    <x v="0"/>
    <n v="3"/>
    <x v="0"/>
    <x v="0"/>
    <x v="0"/>
  </r>
  <r>
    <s v="REL00143"/>
    <s v="Male"/>
    <n v="22"/>
    <s v="Post Graduate"/>
    <s v="Single"/>
    <x v="2"/>
    <s v="Logistics Coordinator"/>
    <x v="4"/>
    <x v="8"/>
    <s v="South"/>
    <n v="7"/>
    <n v="61359"/>
    <x v="3"/>
    <n v="4"/>
    <n v="4"/>
    <n v="52"/>
    <n v="0"/>
    <d v="2016-05-04T00:00:00"/>
    <s v="No"/>
    <x v="0"/>
    <n v="4"/>
    <x v="1"/>
    <x v="2"/>
    <x v="1"/>
  </r>
  <r>
    <s v="REL00144"/>
    <s v="Female"/>
    <n v="24"/>
    <s v="Post Graduate"/>
    <s v="Married"/>
    <x v="0"/>
    <s v="Finance Analyst"/>
    <x v="2"/>
    <x v="1"/>
    <s v="North"/>
    <n v="15"/>
    <n v="88883"/>
    <x v="0"/>
    <n v="1"/>
    <n v="2"/>
    <n v="28"/>
    <n v="3"/>
    <d v="2008-11-27T00:00:00"/>
    <s v="Yes"/>
    <x v="1"/>
    <n v="3"/>
    <x v="2"/>
    <x v="1"/>
    <x v="0"/>
  </r>
  <r>
    <s v="REL00145"/>
    <s v="Male"/>
    <n v="27"/>
    <s v="BTech"/>
    <s v="Divorced"/>
    <x v="4"/>
    <s v="Logistics Coordinator"/>
    <x v="2"/>
    <x v="0"/>
    <s v="North"/>
    <n v="10"/>
    <n v="72713"/>
    <x v="0"/>
    <n v="3"/>
    <n v="1"/>
    <n v="22"/>
    <n v="3"/>
    <d v="2013-06-21T00:00:00"/>
    <s v="No"/>
    <x v="0"/>
    <n v="3"/>
    <x v="1"/>
    <x v="0"/>
    <x v="0"/>
  </r>
  <r>
    <s v="REL00146"/>
    <s v="Male"/>
    <n v="44"/>
    <s v="BTech"/>
    <s v="Married"/>
    <x v="2"/>
    <s v="Customer Service Rep"/>
    <x v="0"/>
    <x v="5"/>
    <s v="South"/>
    <n v="13"/>
    <n v="51970"/>
    <x v="1"/>
    <n v="4"/>
    <n v="2"/>
    <n v="58"/>
    <n v="0"/>
    <d v="2010-04-28T00:00:00"/>
    <s v="Yes"/>
    <x v="0"/>
    <n v="1"/>
    <x v="2"/>
    <x v="1"/>
    <x v="1"/>
  </r>
  <r>
    <s v="REL00147"/>
    <s v="Male"/>
    <n v="46"/>
    <s v="HSC"/>
    <s v="Married"/>
    <x v="4"/>
    <s v="Operations Head"/>
    <x v="2"/>
    <x v="4"/>
    <s v="North"/>
    <n v="2"/>
    <n v="94053"/>
    <x v="3"/>
    <n v="1"/>
    <n v="1"/>
    <n v="10"/>
    <n v="2"/>
    <d v="2021-01-02T00:00:00"/>
    <s v="No"/>
    <x v="1"/>
    <n v="4"/>
    <x v="3"/>
    <x v="2"/>
    <x v="0"/>
  </r>
  <r>
    <s v="REL00148"/>
    <s v="Female"/>
    <n v="28"/>
    <s v="Graduate"/>
    <s v="Single"/>
    <x v="5"/>
    <s v="Sales Executive"/>
    <x v="0"/>
    <x v="9"/>
    <s v="West"/>
    <n v="3"/>
    <n v="42140"/>
    <x v="3"/>
    <n v="3"/>
    <n v="1"/>
    <n v="51"/>
    <n v="3"/>
    <d v="2020-05-17T00:00:00"/>
    <s v="No"/>
    <x v="2"/>
    <n v="4"/>
    <x v="0"/>
    <x v="2"/>
    <x v="1"/>
  </r>
  <r>
    <s v="REL00149"/>
    <s v="Male"/>
    <n v="46"/>
    <s v="Post Graduate"/>
    <s v="Single"/>
    <x v="4"/>
    <s v="Sales Executive"/>
    <x v="3"/>
    <x v="3"/>
    <s v="West"/>
    <n v="13"/>
    <n v="74334"/>
    <x v="1"/>
    <n v="3"/>
    <n v="3"/>
    <n v="44"/>
    <n v="3"/>
    <d v="2010-04-13T00:00:00"/>
    <s v="No"/>
    <x v="0"/>
    <n v="1"/>
    <x v="2"/>
    <x v="0"/>
    <x v="1"/>
  </r>
  <r>
    <s v="REL00150"/>
    <s v="Female"/>
    <n v="37"/>
    <s v="MBA"/>
    <s v="Divorced"/>
    <x v="2"/>
    <s v="Logistics Coordinator"/>
    <x v="2"/>
    <x v="6"/>
    <s v="South"/>
    <n v="5"/>
    <n v="54822"/>
    <x v="1"/>
    <n v="2"/>
    <n v="4"/>
    <n v="23"/>
    <n v="1"/>
    <d v="2018-07-02T00:00:00"/>
    <s v="Yes"/>
    <x v="0"/>
    <n v="1"/>
    <x v="0"/>
    <x v="1"/>
    <x v="1"/>
  </r>
  <r>
    <s v="REL00151"/>
    <s v="Female"/>
    <n v="30"/>
    <s v="HSC"/>
    <s v="Married"/>
    <x v="0"/>
    <s v="Logistics Coordinator"/>
    <x v="3"/>
    <x v="8"/>
    <s v="South"/>
    <n v="14"/>
    <n v="73798"/>
    <x v="2"/>
    <n v="2"/>
    <n v="4"/>
    <n v="50"/>
    <n v="1"/>
    <d v="2009-07-17T00:00:00"/>
    <s v="No"/>
    <x v="0"/>
    <n v="2"/>
    <x v="2"/>
    <x v="0"/>
    <x v="1"/>
  </r>
  <r>
    <s v="REL00152"/>
    <s v="Female"/>
    <n v="29"/>
    <s v="BTech"/>
    <s v="Single"/>
    <x v="5"/>
    <s v="Marketing Executive"/>
    <x v="0"/>
    <x v="2"/>
    <s v="West"/>
    <n v="10"/>
    <n v="70678"/>
    <x v="1"/>
    <n v="2"/>
    <n v="1"/>
    <n v="69"/>
    <n v="1"/>
    <d v="2013-06-16T00:00:00"/>
    <s v="Yes"/>
    <x v="0"/>
    <n v="1"/>
    <x v="1"/>
    <x v="1"/>
    <x v="1"/>
  </r>
  <r>
    <s v="REL00153"/>
    <s v="Male"/>
    <n v="49"/>
    <s v="MBA"/>
    <s v="Single"/>
    <x v="4"/>
    <s v="Finance Analyst"/>
    <x v="4"/>
    <x v="9"/>
    <s v="West"/>
    <n v="11"/>
    <n v="76560"/>
    <x v="1"/>
    <n v="4"/>
    <n v="4"/>
    <n v="61"/>
    <n v="3"/>
    <d v="2012-08-27T00:00:00"/>
    <s v="Yes"/>
    <x v="0"/>
    <n v="1"/>
    <x v="2"/>
    <x v="1"/>
    <x v="1"/>
  </r>
  <r>
    <s v="REL00154"/>
    <s v="Male"/>
    <n v="47"/>
    <s v="HSC"/>
    <s v="Married"/>
    <x v="0"/>
    <s v="Marketing Executive"/>
    <x v="0"/>
    <x v="1"/>
    <s v="North"/>
    <n v="2"/>
    <n v="55632"/>
    <x v="3"/>
    <n v="1"/>
    <n v="1"/>
    <n v="22"/>
    <n v="2"/>
    <d v="2021-02-04T00:00:00"/>
    <s v="No"/>
    <x v="0"/>
    <n v="4"/>
    <x v="3"/>
    <x v="2"/>
    <x v="1"/>
  </r>
  <r>
    <s v="REL00155"/>
    <s v="Female"/>
    <n v="23"/>
    <s v="MBA"/>
    <s v="Single"/>
    <x v="1"/>
    <s v="Finance Analyst"/>
    <x v="3"/>
    <x v="5"/>
    <s v="South"/>
    <n v="7"/>
    <n v="83286"/>
    <x v="2"/>
    <n v="3"/>
    <n v="4"/>
    <n v="20"/>
    <n v="0"/>
    <d v="2016-10-17T00:00:00"/>
    <s v="No"/>
    <x v="1"/>
    <n v="2"/>
    <x v="1"/>
    <x v="0"/>
    <x v="1"/>
  </r>
  <r>
    <s v="REL00156"/>
    <s v="Female"/>
    <n v="28"/>
    <s v="MBA"/>
    <s v="Divorced"/>
    <x v="5"/>
    <s v="Marketing Executive"/>
    <x v="0"/>
    <x v="6"/>
    <s v="South"/>
    <n v="8"/>
    <n v="73075"/>
    <x v="2"/>
    <n v="4"/>
    <n v="3"/>
    <n v="18"/>
    <n v="2"/>
    <d v="2015-07-09T00:00:00"/>
    <s v="No"/>
    <x v="0"/>
    <n v="2"/>
    <x v="1"/>
    <x v="0"/>
    <x v="1"/>
  </r>
  <r>
    <s v="REL00157"/>
    <s v="Male"/>
    <n v="32"/>
    <s v="HSC"/>
    <s v="Divorced"/>
    <x v="2"/>
    <s v="Sales Executive"/>
    <x v="4"/>
    <x v="3"/>
    <s v="West"/>
    <n v="11"/>
    <n v="57385"/>
    <x v="2"/>
    <n v="4"/>
    <n v="4"/>
    <n v="39"/>
    <n v="3"/>
    <d v="2012-04-14T00:00:00"/>
    <s v="No"/>
    <x v="0"/>
    <n v="2"/>
    <x v="2"/>
    <x v="0"/>
    <x v="1"/>
  </r>
  <r>
    <s v="REL00158"/>
    <s v="Male"/>
    <n v="35"/>
    <s v="Post Graduate"/>
    <s v="Married"/>
    <x v="3"/>
    <s v="Marketing Executive"/>
    <x v="3"/>
    <x v="6"/>
    <s v="South"/>
    <n v="1"/>
    <n v="56731"/>
    <x v="1"/>
    <n v="1"/>
    <n v="1"/>
    <n v="78"/>
    <n v="1"/>
    <d v="2022-06-16T00:00:00"/>
    <s v="Yes"/>
    <x v="0"/>
    <n v="1"/>
    <x v="3"/>
    <x v="1"/>
    <x v="1"/>
  </r>
  <r>
    <s v="REL00159"/>
    <s v="Female"/>
    <n v="47"/>
    <s v="BTech"/>
    <s v="Single"/>
    <x v="5"/>
    <s v="Operations Head"/>
    <x v="2"/>
    <x v="7"/>
    <s v="East"/>
    <n v="2"/>
    <n v="105039"/>
    <x v="1"/>
    <n v="3"/>
    <n v="3"/>
    <n v="68"/>
    <n v="1"/>
    <d v="2021-07-25T00:00:00"/>
    <s v="No"/>
    <x v="1"/>
    <n v="1"/>
    <x v="3"/>
    <x v="3"/>
    <x v="2"/>
  </r>
  <r>
    <s v="REL00160"/>
    <s v="Female"/>
    <n v="31"/>
    <s v="BTech"/>
    <s v="Married"/>
    <x v="2"/>
    <s v="Marketing Executive"/>
    <x v="2"/>
    <x v="8"/>
    <s v="South"/>
    <n v="2"/>
    <n v="54006"/>
    <x v="2"/>
    <n v="4"/>
    <n v="2"/>
    <n v="59"/>
    <n v="3"/>
    <d v="2021-09-30T00:00:00"/>
    <s v="Yes"/>
    <x v="0"/>
    <n v="2"/>
    <x v="3"/>
    <x v="1"/>
    <x v="1"/>
  </r>
  <r>
    <s v="REL00161"/>
    <s v="Male"/>
    <n v="42"/>
    <s v="MBA"/>
    <s v="Divorced"/>
    <x v="7"/>
    <s v="HR Manager"/>
    <x v="1"/>
    <x v="6"/>
    <s v="South"/>
    <n v="9"/>
    <n v="99044"/>
    <x v="0"/>
    <n v="1"/>
    <n v="3"/>
    <n v="11"/>
    <n v="3"/>
    <d v="2014-10-24T00:00:00"/>
    <s v="No"/>
    <x v="1"/>
    <n v="3"/>
    <x v="1"/>
    <x v="0"/>
    <x v="0"/>
  </r>
  <r>
    <s v="REL00162"/>
    <s v="Male"/>
    <n v="23"/>
    <s v="Post Graduate"/>
    <s v="Married"/>
    <x v="1"/>
    <s v="Finance Analyst"/>
    <x v="3"/>
    <x v="6"/>
    <s v="South"/>
    <n v="7"/>
    <n v="77619"/>
    <x v="1"/>
    <n v="1"/>
    <n v="3"/>
    <n v="38"/>
    <n v="2"/>
    <d v="2016-10-09T00:00:00"/>
    <s v="Yes"/>
    <x v="0"/>
    <n v="1"/>
    <x v="1"/>
    <x v="1"/>
    <x v="1"/>
  </r>
  <r>
    <s v="REL00163"/>
    <s v="Female"/>
    <n v="24"/>
    <s v="MBA"/>
    <s v="Divorced"/>
    <x v="7"/>
    <s v="Sales Executive"/>
    <x v="1"/>
    <x v="6"/>
    <s v="South"/>
    <n v="9"/>
    <n v="66766"/>
    <x v="1"/>
    <n v="2"/>
    <n v="4"/>
    <n v="23"/>
    <n v="1"/>
    <d v="2014-03-31T00:00:00"/>
    <s v="Yes"/>
    <x v="0"/>
    <n v="1"/>
    <x v="1"/>
    <x v="1"/>
    <x v="1"/>
  </r>
  <r>
    <s v="REL00164"/>
    <s v="Male"/>
    <n v="44"/>
    <s v="BTech"/>
    <s v="Divorced"/>
    <x v="0"/>
    <s v="Sales Executive"/>
    <x v="3"/>
    <x v="8"/>
    <s v="South"/>
    <n v="6"/>
    <n v="56387"/>
    <x v="2"/>
    <n v="4"/>
    <n v="2"/>
    <n v="27"/>
    <n v="1"/>
    <d v="2017-09-03T00:00:00"/>
    <s v="Yes"/>
    <x v="0"/>
    <n v="2"/>
    <x v="1"/>
    <x v="1"/>
    <x v="1"/>
  </r>
  <r>
    <s v="REL00165"/>
    <s v="Female"/>
    <n v="40"/>
    <s v="HSC"/>
    <s v="Divorced"/>
    <x v="0"/>
    <s v="Operations Head"/>
    <x v="1"/>
    <x v="5"/>
    <s v="South"/>
    <n v="9"/>
    <n v="122557"/>
    <x v="2"/>
    <n v="3"/>
    <n v="1"/>
    <n v="27"/>
    <n v="3"/>
    <d v="2014-10-09T00:00:00"/>
    <s v="No"/>
    <x v="1"/>
    <n v="2"/>
    <x v="1"/>
    <x v="0"/>
    <x v="1"/>
  </r>
  <r>
    <s v="REL00166"/>
    <s v="Female"/>
    <n v="53"/>
    <s v="Post Graduate"/>
    <s v="Divorced"/>
    <x v="4"/>
    <s v="HR Manager"/>
    <x v="2"/>
    <x v="3"/>
    <s v="West"/>
    <n v="4"/>
    <n v="83554"/>
    <x v="0"/>
    <n v="3"/>
    <n v="4"/>
    <n v="58"/>
    <n v="3"/>
    <d v="2019-01-21T00:00:00"/>
    <s v="No"/>
    <x v="1"/>
    <n v="3"/>
    <x v="0"/>
    <x v="0"/>
    <x v="0"/>
  </r>
  <r>
    <s v="REL00167"/>
    <s v="Male"/>
    <n v="27"/>
    <s v="MBA"/>
    <s v="Divorced"/>
    <x v="2"/>
    <s v="Customer Service Rep"/>
    <x v="3"/>
    <x v="0"/>
    <s v="North"/>
    <n v="12"/>
    <n v="63899"/>
    <x v="2"/>
    <n v="3"/>
    <n v="1"/>
    <n v="78"/>
    <n v="3"/>
    <d v="2011-07-21T00:00:00"/>
    <s v="No"/>
    <x v="0"/>
    <n v="2"/>
    <x v="2"/>
    <x v="0"/>
    <x v="1"/>
  </r>
  <r>
    <s v="REL00168"/>
    <s v="Male"/>
    <n v="53"/>
    <s v="HSC"/>
    <s v="Divorced"/>
    <x v="6"/>
    <s v="Customer Service Rep"/>
    <x v="2"/>
    <x v="5"/>
    <s v="South"/>
    <n v="5"/>
    <n v="44292"/>
    <x v="1"/>
    <n v="1"/>
    <n v="1"/>
    <n v="22"/>
    <n v="3"/>
    <d v="2018-03-13T00:00:00"/>
    <s v="No"/>
    <x v="2"/>
    <n v="1"/>
    <x v="0"/>
    <x v="0"/>
    <x v="1"/>
  </r>
  <r>
    <s v="REL00169"/>
    <s v="Female"/>
    <n v="32"/>
    <s v="HSC"/>
    <s v="Single"/>
    <x v="2"/>
    <s v="Store Manager"/>
    <x v="2"/>
    <x v="3"/>
    <s v="West"/>
    <n v="8"/>
    <n v="105018"/>
    <x v="1"/>
    <n v="3"/>
    <n v="3"/>
    <n v="20"/>
    <n v="2"/>
    <d v="2015-10-28T00:00:00"/>
    <s v="No"/>
    <x v="1"/>
    <n v="1"/>
    <x v="1"/>
    <x v="0"/>
    <x v="2"/>
  </r>
  <r>
    <s v="REL00170"/>
    <s v="Male"/>
    <n v="22"/>
    <s v="Post Graduate"/>
    <s v="Married"/>
    <x v="0"/>
    <s v="Marketing Executive"/>
    <x v="3"/>
    <x v="6"/>
    <s v="South"/>
    <n v="12"/>
    <n v="78065"/>
    <x v="2"/>
    <n v="1"/>
    <n v="2"/>
    <n v="38"/>
    <n v="3"/>
    <d v="2011-01-09T00:00:00"/>
    <s v="Yes"/>
    <x v="0"/>
    <n v="2"/>
    <x v="2"/>
    <x v="1"/>
    <x v="1"/>
  </r>
  <r>
    <s v="REL00171"/>
    <s v="Male"/>
    <n v="46"/>
    <s v="Graduate"/>
    <s v="Divorced"/>
    <x v="0"/>
    <s v="Logistics Coordinator"/>
    <x v="0"/>
    <x v="3"/>
    <s v="West"/>
    <n v="14"/>
    <n v="67331"/>
    <x v="3"/>
    <n v="1"/>
    <n v="1"/>
    <n v="50"/>
    <n v="2"/>
    <d v="2009-11-29T00:00:00"/>
    <s v="No"/>
    <x v="0"/>
    <n v="4"/>
    <x v="2"/>
    <x v="2"/>
    <x v="1"/>
  </r>
  <r>
    <s v="REL00172"/>
    <s v="Male"/>
    <n v="32"/>
    <s v="MBA"/>
    <s v="Married"/>
    <x v="3"/>
    <s v="HR Manager"/>
    <x v="3"/>
    <x v="8"/>
    <s v="South"/>
    <n v="11"/>
    <n v="89241"/>
    <x v="0"/>
    <n v="2"/>
    <n v="2"/>
    <n v="62"/>
    <n v="3"/>
    <d v="2012-03-21T00:00:00"/>
    <s v="No"/>
    <x v="1"/>
    <n v="3"/>
    <x v="2"/>
    <x v="0"/>
    <x v="0"/>
  </r>
  <r>
    <s v="REL00173"/>
    <s v="Female"/>
    <n v="42"/>
    <s v="Post Graduate"/>
    <s v="Single"/>
    <x v="2"/>
    <s v="Sales Executive"/>
    <x v="4"/>
    <x v="5"/>
    <s v="South"/>
    <n v="13"/>
    <n v="75319"/>
    <x v="0"/>
    <n v="3"/>
    <n v="1"/>
    <n v="41"/>
    <n v="2"/>
    <d v="2010-07-09T00:00:00"/>
    <s v="No"/>
    <x v="0"/>
    <n v="3"/>
    <x v="2"/>
    <x v="0"/>
    <x v="0"/>
  </r>
  <r>
    <s v="REL00174"/>
    <s v="Female"/>
    <n v="46"/>
    <s v="Graduate"/>
    <s v="Single"/>
    <x v="4"/>
    <s v="Logistics Coordinator"/>
    <x v="2"/>
    <x v="3"/>
    <s v="West"/>
    <n v="12"/>
    <n v="68684"/>
    <x v="0"/>
    <n v="4"/>
    <n v="1"/>
    <n v="77"/>
    <n v="0"/>
    <d v="2011-09-04T00:00:00"/>
    <s v="Yes"/>
    <x v="0"/>
    <n v="3"/>
    <x v="2"/>
    <x v="1"/>
    <x v="0"/>
  </r>
  <r>
    <s v="REL00175"/>
    <s v="Female"/>
    <n v="26"/>
    <s v="Graduate"/>
    <s v="Divorced"/>
    <x v="5"/>
    <s v="Logistics Coordinator"/>
    <x v="2"/>
    <x v="7"/>
    <s v="East"/>
    <n v="14"/>
    <n v="74973"/>
    <x v="1"/>
    <n v="1"/>
    <n v="1"/>
    <n v="43"/>
    <n v="1"/>
    <d v="2009-10-08T00:00:00"/>
    <s v="No"/>
    <x v="0"/>
    <n v="1"/>
    <x v="2"/>
    <x v="0"/>
    <x v="1"/>
  </r>
  <r>
    <s v="REL00176"/>
    <s v="Male"/>
    <n v="39"/>
    <s v="Graduate"/>
    <s v="Married"/>
    <x v="0"/>
    <s v="Logistics Coordinator"/>
    <x v="3"/>
    <x v="3"/>
    <s v="West"/>
    <n v="11"/>
    <n v="70879"/>
    <x v="2"/>
    <n v="1"/>
    <n v="2"/>
    <n v="29"/>
    <n v="2"/>
    <d v="2012-11-22T00:00:00"/>
    <s v="No"/>
    <x v="0"/>
    <n v="2"/>
    <x v="2"/>
    <x v="0"/>
    <x v="1"/>
  </r>
  <r>
    <s v="REL00177"/>
    <s v="Male"/>
    <n v="51"/>
    <s v="BTech"/>
    <s v="Divorced"/>
    <x v="2"/>
    <s v="Marketing Executive"/>
    <x v="0"/>
    <x v="2"/>
    <s v="West"/>
    <n v="12"/>
    <n v="65897"/>
    <x v="1"/>
    <n v="1"/>
    <n v="3"/>
    <n v="32"/>
    <n v="0"/>
    <d v="2011-05-27T00:00:00"/>
    <s v="Yes"/>
    <x v="0"/>
    <n v="1"/>
    <x v="2"/>
    <x v="1"/>
    <x v="1"/>
  </r>
  <r>
    <s v="REL00178"/>
    <s v="Male"/>
    <n v="45"/>
    <s v="Post Graduate"/>
    <s v="Divorced"/>
    <x v="3"/>
    <s v="Customer Service Rep"/>
    <x v="4"/>
    <x v="3"/>
    <s v="West"/>
    <n v="8"/>
    <n v="58137"/>
    <x v="0"/>
    <n v="3"/>
    <n v="1"/>
    <n v="13"/>
    <n v="2"/>
    <d v="2015-08-24T00:00:00"/>
    <s v="No"/>
    <x v="0"/>
    <n v="3"/>
    <x v="1"/>
    <x v="0"/>
    <x v="0"/>
  </r>
  <r>
    <s v="REL00179"/>
    <s v="Female"/>
    <n v="25"/>
    <s v="MBA"/>
    <s v="Divorced"/>
    <x v="4"/>
    <s v="Sales Executive"/>
    <x v="1"/>
    <x v="2"/>
    <s v="West"/>
    <n v="5"/>
    <n v="56257"/>
    <x v="3"/>
    <n v="2"/>
    <n v="3"/>
    <n v="30"/>
    <n v="2"/>
    <d v="2018-04-16T00:00:00"/>
    <s v="No"/>
    <x v="0"/>
    <n v="4"/>
    <x v="0"/>
    <x v="2"/>
    <x v="1"/>
  </r>
  <r>
    <s v="REL00180"/>
    <s v="Female"/>
    <n v="46"/>
    <s v="Post Graduate"/>
    <s v="Single"/>
    <x v="2"/>
    <s v="Store Manager"/>
    <x v="2"/>
    <x v="0"/>
    <s v="North"/>
    <n v="1"/>
    <n v="85013"/>
    <x v="3"/>
    <n v="1"/>
    <n v="4"/>
    <n v="38"/>
    <n v="2"/>
    <d v="2022-05-05T00:00:00"/>
    <s v="Yes"/>
    <x v="1"/>
    <n v="4"/>
    <x v="3"/>
    <x v="1"/>
    <x v="0"/>
  </r>
  <r>
    <s v="REL00181"/>
    <s v="Male"/>
    <n v="33"/>
    <s v="Post Graduate"/>
    <s v="Divorced"/>
    <x v="6"/>
    <s v="Sales Executive"/>
    <x v="0"/>
    <x v="5"/>
    <s v="South"/>
    <n v="14"/>
    <n v="76728"/>
    <x v="2"/>
    <n v="1"/>
    <n v="4"/>
    <n v="18"/>
    <n v="3"/>
    <d v="2009-11-04T00:00:00"/>
    <s v="No"/>
    <x v="0"/>
    <n v="2"/>
    <x v="2"/>
    <x v="0"/>
    <x v="1"/>
  </r>
  <r>
    <s v="REL00182"/>
    <s v="Female"/>
    <n v="41"/>
    <s v="BTech"/>
    <s v="Single"/>
    <x v="4"/>
    <s v="Finance Analyst"/>
    <x v="0"/>
    <x v="8"/>
    <s v="South"/>
    <n v="9"/>
    <n v="68261"/>
    <x v="3"/>
    <n v="4"/>
    <n v="3"/>
    <n v="73"/>
    <n v="1"/>
    <d v="2014-09-23T00:00:00"/>
    <s v="No"/>
    <x v="0"/>
    <n v="4"/>
    <x v="1"/>
    <x v="2"/>
    <x v="1"/>
  </r>
  <r>
    <s v="REL00183"/>
    <s v="Female"/>
    <n v="22"/>
    <s v="HSC"/>
    <s v="Single"/>
    <x v="1"/>
    <s v="Logistics Coordinator"/>
    <x v="2"/>
    <x v="1"/>
    <s v="North"/>
    <n v="15"/>
    <n v="65783"/>
    <x v="3"/>
    <n v="4"/>
    <n v="3"/>
    <n v="23"/>
    <n v="1"/>
    <d v="2008-04-02T00:00:00"/>
    <s v="No"/>
    <x v="0"/>
    <n v="4"/>
    <x v="2"/>
    <x v="2"/>
    <x v="1"/>
  </r>
  <r>
    <s v="REL00184"/>
    <s v="Female"/>
    <n v="45"/>
    <s v="MBA"/>
    <s v="Divorced"/>
    <x v="1"/>
    <s v="HR Manager"/>
    <x v="3"/>
    <x v="1"/>
    <s v="North"/>
    <n v="1"/>
    <n v="76169"/>
    <x v="1"/>
    <n v="1"/>
    <n v="1"/>
    <n v="74"/>
    <n v="1"/>
    <d v="2022-09-05T00:00:00"/>
    <s v="Yes"/>
    <x v="0"/>
    <n v="1"/>
    <x v="3"/>
    <x v="1"/>
    <x v="1"/>
  </r>
  <r>
    <s v="REL00185"/>
    <s v="Female"/>
    <n v="47"/>
    <s v="HSC"/>
    <s v="Married"/>
    <x v="2"/>
    <s v="HR Manager"/>
    <x v="1"/>
    <x v="2"/>
    <s v="West"/>
    <n v="7"/>
    <n v="86758"/>
    <x v="3"/>
    <n v="4"/>
    <n v="3"/>
    <n v="39"/>
    <n v="0"/>
    <d v="2016-08-22T00:00:00"/>
    <s v="No"/>
    <x v="1"/>
    <n v="4"/>
    <x v="1"/>
    <x v="2"/>
    <x v="0"/>
  </r>
  <r>
    <s v="REL00186"/>
    <s v="Female"/>
    <n v="48"/>
    <s v="Graduate"/>
    <s v="Divorced"/>
    <x v="3"/>
    <s v="Sales Executive"/>
    <x v="1"/>
    <x v="5"/>
    <s v="South"/>
    <n v="3"/>
    <n v="41386"/>
    <x v="3"/>
    <n v="3"/>
    <n v="2"/>
    <n v="67"/>
    <n v="2"/>
    <d v="2020-05-08T00:00:00"/>
    <s v="No"/>
    <x v="2"/>
    <n v="4"/>
    <x v="0"/>
    <x v="2"/>
    <x v="1"/>
  </r>
  <r>
    <s v="REL00187"/>
    <s v="Female"/>
    <n v="31"/>
    <s v="Graduate"/>
    <s v="Divorced"/>
    <x v="4"/>
    <s v="Operations Head"/>
    <x v="4"/>
    <x v="9"/>
    <s v="West"/>
    <n v="3"/>
    <n v="110769"/>
    <x v="3"/>
    <n v="2"/>
    <n v="3"/>
    <n v="60"/>
    <n v="0"/>
    <d v="2020-09-13T00:00:00"/>
    <s v="Yes"/>
    <x v="1"/>
    <n v="4"/>
    <x v="0"/>
    <x v="1"/>
    <x v="0"/>
  </r>
  <r>
    <s v="REL00188"/>
    <s v="Male"/>
    <n v="51"/>
    <s v="Graduate"/>
    <s v="Single"/>
    <x v="4"/>
    <s v="Finance Analyst"/>
    <x v="2"/>
    <x v="8"/>
    <s v="South"/>
    <n v="7"/>
    <n v="82217"/>
    <x v="3"/>
    <n v="1"/>
    <n v="1"/>
    <n v="17"/>
    <n v="1"/>
    <d v="2016-08-28T00:00:00"/>
    <s v="No"/>
    <x v="1"/>
    <n v="4"/>
    <x v="1"/>
    <x v="2"/>
    <x v="0"/>
  </r>
  <r>
    <s v="REL00189"/>
    <s v="Male"/>
    <n v="23"/>
    <s v="Graduate"/>
    <s v="Single"/>
    <x v="1"/>
    <s v="Sales Executive"/>
    <x v="3"/>
    <x v="6"/>
    <s v="South"/>
    <n v="11"/>
    <n v="71081"/>
    <x v="2"/>
    <n v="4"/>
    <n v="2"/>
    <n v="21"/>
    <n v="2"/>
    <d v="2012-08-24T00:00:00"/>
    <s v="No"/>
    <x v="0"/>
    <n v="2"/>
    <x v="2"/>
    <x v="0"/>
    <x v="1"/>
  </r>
  <r>
    <s v="REL00190"/>
    <s v="Female"/>
    <n v="49"/>
    <s v="Post Graduate"/>
    <s v="Married"/>
    <x v="0"/>
    <s v="Logistics Coordinator"/>
    <x v="3"/>
    <x v="0"/>
    <s v="North"/>
    <n v="3"/>
    <n v="53943"/>
    <x v="3"/>
    <n v="2"/>
    <n v="2"/>
    <n v="45"/>
    <n v="2"/>
    <d v="2020-12-17T00:00:00"/>
    <s v="No"/>
    <x v="0"/>
    <n v="4"/>
    <x v="0"/>
    <x v="2"/>
    <x v="1"/>
  </r>
  <r>
    <s v="REL00191"/>
    <s v="Female"/>
    <n v="25"/>
    <s v="Graduate"/>
    <s v="Married"/>
    <x v="3"/>
    <s v="Operations Head"/>
    <x v="4"/>
    <x v="9"/>
    <s v="West"/>
    <n v="11"/>
    <n v="123347"/>
    <x v="0"/>
    <n v="4"/>
    <n v="2"/>
    <n v="63"/>
    <n v="1"/>
    <d v="2012-03-28T00:00:00"/>
    <s v="No"/>
    <x v="1"/>
    <n v="3"/>
    <x v="2"/>
    <x v="0"/>
    <x v="0"/>
  </r>
  <r>
    <s v="REL00192"/>
    <s v="Female"/>
    <n v="54"/>
    <s v="HSC"/>
    <s v="Married"/>
    <x v="1"/>
    <s v="Customer Service Rep"/>
    <x v="1"/>
    <x v="1"/>
    <s v="North"/>
    <n v="7"/>
    <n v="54718"/>
    <x v="3"/>
    <n v="3"/>
    <n v="2"/>
    <n v="13"/>
    <n v="2"/>
    <d v="2016-04-29T00:00:00"/>
    <s v="No"/>
    <x v="0"/>
    <n v="4"/>
    <x v="1"/>
    <x v="2"/>
    <x v="1"/>
  </r>
  <r>
    <s v="REL00193"/>
    <s v="Male"/>
    <n v="32"/>
    <s v="Graduate"/>
    <s v="Single"/>
    <x v="1"/>
    <s v="Finance Analyst"/>
    <x v="4"/>
    <x v="4"/>
    <s v="North"/>
    <n v="1"/>
    <n v="69348"/>
    <x v="2"/>
    <n v="2"/>
    <n v="3"/>
    <n v="78"/>
    <n v="0"/>
    <d v="2022-03-08T00:00:00"/>
    <s v="No"/>
    <x v="0"/>
    <n v="2"/>
    <x v="3"/>
    <x v="0"/>
    <x v="1"/>
  </r>
  <r>
    <s v="REL00194"/>
    <s v="Female"/>
    <n v="23"/>
    <s v="HSC"/>
    <s v="Divorced"/>
    <x v="6"/>
    <s v="Marketing Executive"/>
    <x v="0"/>
    <x v="5"/>
    <s v="South"/>
    <n v="3"/>
    <n v="65415"/>
    <x v="0"/>
    <n v="2"/>
    <n v="2"/>
    <n v="73"/>
    <n v="2"/>
    <d v="2020-01-10T00:00:00"/>
    <s v="No"/>
    <x v="0"/>
    <n v="3"/>
    <x v="0"/>
    <x v="0"/>
    <x v="0"/>
  </r>
  <r>
    <s v="REL00195"/>
    <s v="Female"/>
    <n v="22"/>
    <s v="HSC"/>
    <s v="Divorced"/>
    <x v="7"/>
    <s v="Marketing Executive"/>
    <x v="4"/>
    <x v="6"/>
    <s v="South"/>
    <n v="1"/>
    <n v="61715"/>
    <x v="3"/>
    <n v="2"/>
    <n v="2"/>
    <n v="53"/>
    <n v="1"/>
    <d v="2022-12-22T00:00:00"/>
    <s v="No"/>
    <x v="0"/>
    <n v="4"/>
    <x v="3"/>
    <x v="2"/>
    <x v="1"/>
  </r>
  <r>
    <s v="REL00196"/>
    <s v="Male"/>
    <n v="45"/>
    <s v="MBA"/>
    <s v="Divorced"/>
    <x v="0"/>
    <s v="HR Manager"/>
    <x v="4"/>
    <x v="7"/>
    <s v="East"/>
    <n v="10"/>
    <n v="88634"/>
    <x v="0"/>
    <n v="1"/>
    <n v="3"/>
    <n v="48"/>
    <n v="2"/>
    <d v="2013-07-01T00:00:00"/>
    <s v="No"/>
    <x v="1"/>
    <n v="3"/>
    <x v="1"/>
    <x v="0"/>
    <x v="0"/>
  </r>
  <r>
    <s v="REL00197"/>
    <s v="Female"/>
    <n v="36"/>
    <s v="BTech"/>
    <s v="Single"/>
    <x v="3"/>
    <s v="Customer Service Rep"/>
    <x v="3"/>
    <x v="6"/>
    <s v="South"/>
    <n v="11"/>
    <n v="52708"/>
    <x v="1"/>
    <n v="4"/>
    <n v="3"/>
    <n v="47"/>
    <n v="1"/>
    <d v="2012-02-24T00:00:00"/>
    <s v="No"/>
    <x v="0"/>
    <n v="1"/>
    <x v="2"/>
    <x v="0"/>
    <x v="1"/>
  </r>
  <r>
    <s v="REL00198"/>
    <s v="Male"/>
    <n v="28"/>
    <s v="MBA"/>
    <s v="Single"/>
    <x v="0"/>
    <s v="Store Manager"/>
    <x v="1"/>
    <x v="6"/>
    <s v="South"/>
    <n v="14"/>
    <n v="108966"/>
    <x v="1"/>
    <n v="3"/>
    <n v="1"/>
    <n v="40"/>
    <n v="2"/>
    <d v="2009-02-25T00:00:00"/>
    <s v="Yes"/>
    <x v="1"/>
    <n v="1"/>
    <x v="2"/>
    <x v="1"/>
    <x v="2"/>
  </r>
  <r>
    <s v="REL00199"/>
    <s v="Male"/>
    <n v="44"/>
    <s v="HSC"/>
    <s v="Single"/>
    <x v="3"/>
    <s v="Store Manager"/>
    <x v="4"/>
    <x v="7"/>
    <s v="East"/>
    <n v="8"/>
    <n v="99690"/>
    <x v="2"/>
    <n v="1"/>
    <n v="1"/>
    <n v="59"/>
    <n v="3"/>
    <d v="2015-08-29T00:00:00"/>
    <s v="No"/>
    <x v="1"/>
    <n v="2"/>
    <x v="1"/>
    <x v="0"/>
    <x v="1"/>
  </r>
  <r>
    <s v="REL00200"/>
    <s v="Female"/>
    <n v="36"/>
    <s v="Post Graduate"/>
    <s v="Married"/>
    <x v="3"/>
    <s v="Logistics Coordinator"/>
    <x v="3"/>
    <x v="2"/>
    <s v="West"/>
    <n v="15"/>
    <n v="76509"/>
    <x v="1"/>
    <n v="1"/>
    <n v="1"/>
    <n v="47"/>
    <n v="0"/>
    <d v="2008-11-14T00:00:00"/>
    <s v="Yes"/>
    <x v="0"/>
    <n v="1"/>
    <x v="2"/>
    <x v="1"/>
    <x v="1"/>
  </r>
  <r>
    <s v="REL00201"/>
    <s v="Male"/>
    <n v="43"/>
    <s v="BTech"/>
    <s v="Divorced"/>
    <x v="4"/>
    <s v="HR Manager"/>
    <x v="4"/>
    <x v="7"/>
    <s v="East"/>
    <n v="6"/>
    <n v="89303"/>
    <x v="3"/>
    <n v="4"/>
    <n v="1"/>
    <n v="65"/>
    <n v="1"/>
    <d v="2017-11-25T00:00:00"/>
    <s v="No"/>
    <x v="1"/>
    <n v="4"/>
    <x v="1"/>
    <x v="2"/>
    <x v="0"/>
  </r>
  <r>
    <s v="REL00202"/>
    <s v="Female"/>
    <n v="40"/>
    <s v="HSC"/>
    <s v="Single"/>
    <x v="6"/>
    <s v="Customer Service Rep"/>
    <x v="2"/>
    <x v="4"/>
    <s v="North"/>
    <n v="2"/>
    <n v="35735"/>
    <x v="3"/>
    <n v="1"/>
    <n v="1"/>
    <n v="60"/>
    <n v="3"/>
    <d v="2021-06-06T00:00:00"/>
    <s v="No"/>
    <x v="2"/>
    <n v="4"/>
    <x v="3"/>
    <x v="2"/>
    <x v="1"/>
  </r>
  <r>
    <s v="REL00203"/>
    <s v="Male"/>
    <n v="28"/>
    <s v="Graduate"/>
    <s v="Single"/>
    <x v="0"/>
    <s v="Sales Executive"/>
    <x v="0"/>
    <x v="6"/>
    <s v="South"/>
    <n v="7"/>
    <n v="53651"/>
    <x v="3"/>
    <n v="2"/>
    <n v="3"/>
    <n v="20"/>
    <n v="3"/>
    <d v="2016-05-02T00:00:00"/>
    <s v="No"/>
    <x v="0"/>
    <n v="4"/>
    <x v="1"/>
    <x v="2"/>
    <x v="1"/>
  </r>
  <r>
    <s v="REL00204"/>
    <s v="Female"/>
    <n v="46"/>
    <s v="HSC"/>
    <s v="Single"/>
    <x v="4"/>
    <s v="Operations Head"/>
    <x v="3"/>
    <x v="0"/>
    <s v="North"/>
    <n v="8"/>
    <n v="103986"/>
    <x v="1"/>
    <n v="4"/>
    <n v="1"/>
    <n v="43"/>
    <n v="3"/>
    <d v="2015-10-01T00:00:00"/>
    <s v="Yes"/>
    <x v="1"/>
    <n v="1"/>
    <x v="1"/>
    <x v="1"/>
    <x v="2"/>
  </r>
  <r>
    <s v="REL00205"/>
    <s v="Female"/>
    <n v="48"/>
    <s v="BTech"/>
    <s v="Single"/>
    <x v="4"/>
    <s v="Store Manager"/>
    <x v="2"/>
    <x v="9"/>
    <s v="West"/>
    <n v="10"/>
    <n v="99952"/>
    <x v="2"/>
    <n v="1"/>
    <n v="4"/>
    <n v="76"/>
    <n v="3"/>
    <d v="2013-11-21T00:00:00"/>
    <s v="Yes"/>
    <x v="1"/>
    <n v="2"/>
    <x v="1"/>
    <x v="1"/>
    <x v="1"/>
  </r>
  <r>
    <s v="REL00206"/>
    <s v="Male"/>
    <n v="54"/>
    <s v="BTech"/>
    <s v="Divorced"/>
    <x v="7"/>
    <s v="Operations Head"/>
    <x v="1"/>
    <x v="1"/>
    <s v="North"/>
    <n v="8"/>
    <n v="103587"/>
    <x v="0"/>
    <n v="2"/>
    <n v="1"/>
    <n v="67"/>
    <n v="1"/>
    <d v="2015-01-03T00:00:00"/>
    <s v="No"/>
    <x v="1"/>
    <n v="3"/>
    <x v="1"/>
    <x v="0"/>
    <x v="0"/>
  </r>
  <r>
    <s v="REL00207"/>
    <s v="Male"/>
    <n v="38"/>
    <s v="HSC"/>
    <s v="Divorced"/>
    <x v="1"/>
    <s v="Logistics Coordinator"/>
    <x v="2"/>
    <x v="6"/>
    <s v="South"/>
    <n v="1"/>
    <n v="39567"/>
    <x v="0"/>
    <n v="1"/>
    <n v="1"/>
    <n v="59"/>
    <n v="3"/>
    <d v="2022-09-20T00:00:00"/>
    <s v="No"/>
    <x v="2"/>
    <n v="3"/>
    <x v="3"/>
    <x v="0"/>
    <x v="1"/>
  </r>
  <r>
    <s v="REL00208"/>
    <s v="Female"/>
    <n v="31"/>
    <s v="Post Graduate"/>
    <s v="Divorced"/>
    <x v="5"/>
    <s v="Store Manager"/>
    <x v="0"/>
    <x v="1"/>
    <s v="North"/>
    <n v="15"/>
    <n v="124253"/>
    <x v="1"/>
    <n v="1"/>
    <n v="1"/>
    <n v="22"/>
    <n v="2"/>
    <d v="2008-11-08T00:00:00"/>
    <s v="Yes"/>
    <x v="1"/>
    <n v="1"/>
    <x v="2"/>
    <x v="1"/>
    <x v="2"/>
  </r>
  <r>
    <s v="REL00209"/>
    <s v="Male"/>
    <n v="33"/>
    <s v="HSC"/>
    <s v="Married"/>
    <x v="5"/>
    <s v="Finance Analyst"/>
    <x v="3"/>
    <x v="1"/>
    <s v="North"/>
    <n v="7"/>
    <n v="82744"/>
    <x v="2"/>
    <n v="2"/>
    <n v="4"/>
    <n v="14"/>
    <n v="3"/>
    <d v="2016-05-05T00:00:00"/>
    <s v="No"/>
    <x v="1"/>
    <n v="2"/>
    <x v="1"/>
    <x v="0"/>
    <x v="1"/>
  </r>
  <r>
    <s v="REL00210"/>
    <s v="Female"/>
    <n v="39"/>
    <s v="MBA"/>
    <s v="Divorced"/>
    <x v="1"/>
    <s v="Operations Head"/>
    <x v="4"/>
    <x v="7"/>
    <s v="East"/>
    <n v="15"/>
    <n v="127204"/>
    <x v="1"/>
    <n v="1"/>
    <n v="2"/>
    <n v="27"/>
    <n v="2"/>
    <d v="2008-08-02T00:00:00"/>
    <s v="Yes"/>
    <x v="1"/>
    <n v="1"/>
    <x v="2"/>
    <x v="1"/>
    <x v="2"/>
  </r>
  <r>
    <s v="REL00211"/>
    <s v="Female"/>
    <n v="55"/>
    <s v="HSC"/>
    <s v="Single"/>
    <x v="5"/>
    <s v="Sales Executive"/>
    <x v="0"/>
    <x v="9"/>
    <s v="West"/>
    <n v="10"/>
    <n v="56158"/>
    <x v="1"/>
    <n v="2"/>
    <n v="1"/>
    <n v="49"/>
    <n v="3"/>
    <d v="2013-06-09T00:00:00"/>
    <s v="Yes"/>
    <x v="0"/>
    <n v="1"/>
    <x v="1"/>
    <x v="1"/>
    <x v="1"/>
  </r>
  <r>
    <s v="REL00212"/>
    <s v="Female"/>
    <n v="25"/>
    <s v="HSC"/>
    <s v="Divorced"/>
    <x v="0"/>
    <s v="Marketing Executive"/>
    <x v="2"/>
    <x v="6"/>
    <s v="South"/>
    <n v="15"/>
    <n v="71888"/>
    <x v="0"/>
    <n v="2"/>
    <n v="3"/>
    <n v="57"/>
    <n v="3"/>
    <d v="2008-12-19T00:00:00"/>
    <s v="No"/>
    <x v="0"/>
    <n v="3"/>
    <x v="2"/>
    <x v="0"/>
    <x v="0"/>
  </r>
  <r>
    <s v="REL00213"/>
    <s v="Male"/>
    <n v="52"/>
    <s v="BTech"/>
    <s v="Divorced"/>
    <x v="6"/>
    <s v="Customer Service Rep"/>
    <x v="4"/>
    <x v="1"/>
    <s v="North"/>
    <n v="4"/>
    <n v="49016"/>
    <x v="3"/>
    <n v="3"/>
    <n v="3"/>
    <n v="30"/>
    <n v="2"/>
    <d v="2019-05-19T00:00:00"/>
    <s v="No"/>
    <x v="2"/>
    <n v="4"/>
    <x v="0"/>
    <x v="2"/>
    <x v="1"/>
  </r>
  <r>
    <s v="REL00214"/>
    <s v="Male"/>
    <n v="35"/>
    <s v="HSC"/>
    <s v="Divorced"/>
    <x v="4"/>
    <s v="HR Manager"/>
    <x v="4"/>
    <x v="0"/>
    <s v="North"/>
    <n v="1"/>
    <n v="85751"/>
    <x v="1"/>
    <n v="4"/>
    <n v="1"/>
    <n v="11"/>
    <n v="3"/>
    <d v="2022-02-04T00:00:00"/>
    <s v="Yes"/>
    <x v="1"/>
    <n v="1"/>
    <x v="3"/>
    <x v="1"/>
    <x v="2"/>
  </r>
  <r>
    <s v="REL00215"/>
    <s v="Female"/>
    <n v="49"/>
    <s v="MBA"/>
    <s v="Married"/>
    <x v="3"/>
    <s v="Operations Head"/>
    <x v="1"/>
    <x v="6"/>
    <s v="South"/>
    <n v="4"/>
    <n v="112934"/>
    <x v="3"/>
    <n v="4"/>
    <n v="3"/>
    <n v="37"/>
    <n v="3"/>
    <d v="2019-01-03T00:00:00"/>
    <s v="No"/>
    <x v="1"/>
    <n v="4"/>
    <x v="0"/>
    <x v="2"/>
    <x v="0"/>
  </r>
  <r>
    <s v="REL00216"/>
    <s v="Female"/>
    <n v="41"/>
    <s v="Graduate"/>
    <s v="Married"/>
    <x v="6"/>
    <s v="Customer Service Rep"/>
    <x v="1"/>
    <x v="8"/>
    <s v="South"/>
    <n v="1"/>
    <n v="45397"/>
    <x v="3"/>
    <n v="1"/>
    <n v="3"/>
    <n v="45"/>
    <n v="2"/>
    <d v="2022-02-24T00:00:00"/>
    <s v="No"/>
    <x v="2"/>
    <n v="4"/>
    <x v="3"/>
    <x v="2"/>
    <x v="1"/>
  </r>
  <r>
    <s v="REL00217"/>
    <s v="Female"/>
    <n v="30"/>
    <s v="Graduate"/>
    <s v="Divorced"/>
    <x v="4"/>
    <s v="Marketing Executive"/>
    <x v="0"/>
    <x v="8"/>
    <s v="South"/>
    <n v="3"/>
    <n v="47860"/>
    <x v="0"/>
    <n v="4"/>
    <n v="3"/>
    <n v="43"/>
    <n v="3"/>
    <d v="2020-06-09T00:00:00"/>
    <s v="No"/>
    <x v="2"/>
    <n v="3"/>
    <x v="0"/>
    <x v="0"/>
    <x v="1"/>
  </r>
  <r>
    <s v="REL00218"/>
    <s v="Female"/>
    <n v="54"/>
    <s v="HSC"/>
    <s v="Single"/>
    <x v="6"/>
    <s v="Marketing Executive"/>
    <x v="4"/>
    <x v="2"/>
    <s v="West"/>
    <n v="6"/>
    <n v="69518"/>
    <x v="0"/>
    <n v="2"/>
    <n v="3"/>
    <n v="22"/>
    <n v="3"/>
    <d v="2017-01-24T00:00:00"/>
    <s v="No"/>
    <x v="0"/>
    <n v="3"/>
    <x v="1"/>
    <x v="0"/>
    <x v="0"/>
  </r>
  <r>
    <s v="REL00219"/>
    <s v="Male"/>
    <n v="41"/>
    <s v="MBA"/>
    <s v="Married"/>
    <x v="4"/>
    <s v="Customer Service Rep"/>
    <x v="1"/>
    <x v="6"/>
    <s v="South"/>
    <n v="11"/>
    <n v="49926"/>
    <x v="0"/>
    <n v="3"/>
    <n v="3"/>
    <n v="47"/>
    <n v="3"/>
    <d v="2012-07-06T00:00:00"/>
    <s v="No"/>
    <x v="2"/>
    <n v="3"/>
    <x v="2"/>
    <x v="0"/>
    <x v="1"/>
  </r>
  <r>
    <s v="REL00220"/>
    <s v="Female"/>
    <n v="55"/>
    <s v="HSC"/>
    <s v="Married"/>
    <x v="7"/>
    <s v="Marketing Executive"/>
    <x v="4"/>
    <x v="0"/>
    <s v="North"/>
    <n v="8"/>
    <n v="72399"/>
    <x v="3"/>
    <n v="1"/>
    <n v="2"/>
    <n v="27"/>
    <n v="1"/>
    <d v="2015-01-20T00:00:00"/>
    <s v="Yes"/>
    <x v="0"/>
    <n v="4"/>
    <x v="1"/>
    <x v="1"/>
    <x v="1"/>
  </r>
  <r>
    <s v="REL00221"/>
    <s v="Male"/>
    <n v="42"/>
    <s v="Graduate"/>
    <s v="Single"/>
    <x v="6"/>
    <s v="Customer Service Rep"/>
    <x v="1"/>
    <x v="7"/>
    <s v="East"/>
    <n v="3"/>
    <n v="36909"/>
    <x v="1"/>
    <n v="4"/>
    <n v="3"/>
    <n v="36"/>
    <n v="1"/>
    <d v="2020-07-15T00:00:00"/>
    <s v="Yes"/>
    <x v="2"/>
    <n v="1"/>
    <x v="0"/>
    <x v="1"/>
    <x v="1"/>
  </r>
  <r>
    <s v="REL00222"/>
    <s v="Female"/>
    <n v="46"/>
    <s v="Graduate"/>
    <s v="Single"/>
    <x v="3"/>
    <s v="Logistics Coordinator"/>
    <x v="3"/>
    <x v="4"/>
    <s v="North"/>
    <n v="3"/>
    <n v="55070"/>
    <x v="3"/>
    <n v="2"/>
    <n v="3"/>
    <n v="11"/>
    <n v="2"/>
    <d v="2020-05-27T00:00:00"/>
    <s v="No"/>
    <x v="0"/>
    <n v="4"/>
    <x v="0"/>
    <x v="2"/>
    <x v="1"/>
  </r>
  <r>
    <s v="REL00223"/>
    <s v="Male"/>
    <n v="28"/>
    <s v="MBA"/>
    <s v="Divorced"/>
    <x v="1"/>
    <s v="Marketing Executive"/>
    <x v="4"/>
    <x v="1"/>
    <s v="North"/>
    <n v="11"/>
    <n v="69414"/>
    <x v="3"/>
    <n v="3"/>
    <n v="2"/>
    <n v="18"/>
    <n v="0"/>
    <d v="2012-07-28T00:00:00"/>
    <s v="No"/>
    <x v="0"/>
    <n v="4"/>
    <x v="2"/>
    <x v="2"/>
    <x v="1"/>
  </r>
  <r>
    <s v="REL00224"/>
    <s v="Male"/>
    <n v="32"/>
    <s v="MBA"/>
    <s v="Single"/>
    <x v="4"/>
    <s v="HR Manager"/>
    <x v="3"/>
    <x v="8"/>
    <s v="South"/>
    <n v="7"/>
    <n v="90230"/>
    <x v="2"/>
    <n v="2"/>
    <n v="2"/>
    <n v="26"/>
    <n v="1"/>
    <d v="2016-07-03T00:00:00"/>
    <s v="No"/>
    <x v="1"/>
    <n v="2"/>
    <x v="1"/>
    <x v="0"/>
    <x v="1"/>
  </r>
  <r>
    <s v="REL00225"/>
    <s v="Male"/>
    <n v="25"/>
    <s v="Graduate"/>
    <s v="Divorced"/>
    <x v="3"/>
    <s v="Store Manager"/>
    <x v="4"/>
    <x v="3"/>
    <s v="West"/>
    <n v="12"/>
    <n v="111294"/>
    <x v="2"/>
    <n v="1"/>
    <n v="1"/>
    <n v="24"/>
    <n v="3"/>
    <d v="2011-04-06T00:00:00"/>
    <s v="No"/>
    <x v="1"/>
    <n v="2"/>
    <x v="2"/>
    <x v="0"/>
    <x v="1"/>
  </r>
  <r>
    <s v="REL00226"/>
    <s v="Female"/>
    <n v="28"/>
    <s v="BTech"/>
    <s v="Married"/>
    <x v="6"/>
    <s v="HR Manager"/>
    <x v="4"/>
    <x v="9"/>
    <s v="West"/>
    <n v="8"/>
    <n v="87733"/>
    <x v="2"/>
    <n v="2"/>
    <n v="4"/>
    <n v="23"/>
    <n v="0"/>
    <d v="2015-08-02T00:00:00"/>
    <s v="Yes"/>
    <x v="1"/>
    <n v="2"/>
    <x v="1"/>
    <x v="1"/>
    <x v="1"/>
  </r>
  <r>
    <s v="REL00227"/>
    <s v="Female"/>
    <n v="40"/>
    <s v="Post Graduate"/>
    <s v="Single"/>
    <x v="2"/>
    <s v="Marketing Executive"/>
    <x v="4"/>
    <x v="8"/>
    <s v="South"/>
    <n v="4"/>
    <n v="56617"/>
    <x v="1"/>
    <n v="4"/>
    <n v="2"/>
    <n v="71"/>
    <n v="2"/>
    <d v="2019-07-03T00:00:00"/>
    <s v="Yes"/>
    <x v="0"/>
    <n v="1"/>
    <x v="0"/>
    <x v="1"/>
    <x v="1"/>
  </r>
  <r>
    <s v="REL00228"/>
    <s v="Male"/>
    <n v="54"/>
    <s v="Graduate"/>
    <s v="Divorced"/>
    <x v="0"/>
    <s v="Sales Executive"/>
    <x v="4"/>
    <x v="5"/>
    <s v="South"/>
    <n v="15"/>
    <n v="78813"/>
    <x v="3"/>
    <n v="1"/>
    <n v="3"/>
    <n v="39"/>
    <n v="3"/>
    <d v="2008-10-20T00:00:00"/>
    <s v="No"/>
    <x v="0"/>
    <n v="4"/>
    <x v="2"/>
    <x v="2"/>
    <x v="1"/>
  </r>
  <r>
    <s v="REL00229"/>
    <s v="Female"/>
    <n v="49"/>
    <s v="Graduate"/>
    <s v="Single"/>
    <x v="4"/>
    <s v="HR Manager"/>
    <x v="3"/>
    <x v="8"/>
    <s v="South"/>
    <n v="2"/>
    <n v="70292"/>
    <x v="3"/>
    <n v="1"/>
    <n v="1"/>
    <n v="27"/>
    <n v="1"/>
    <d v="2021-07-01T00:00:00"/>
    <s v="No"/>
    <x v="0"/>
    <n v="4"/>
    <x v="3"/>
    <x v="2"/>
    <x v="1"/>
  </r>
  <r>
    <s v="REL00230"/>
    <s v="Male"/>
    <n v="47"/>
    <s v="MBA"/>
    <s v="Married"/>
    <x v="5"/>
    <s v="Sales Executive"/>
    <x v="3"/>
    <x v="7"/>
    <s v="East"/>
    <n v="15"/>
    <n v="72210"/>
    <x v="2"/>
    <n v="3"/>
    <n v="4"/>
    <n v="71"/>
    <n v="3"/>
    <d v="2008-10-03T00:00:00"/>
    <s v="No"/>
    <x v="0"/>
    <n v="2"/>
    <x v="2"/>
    <x v="0"/>
    <x v="1"/>
  </r>
  <r>
    <s v="REL00231"/>
    <s v="Female"/>
    <n v="50"/>
    <s v="Post Graduate"/>
    <s v="Divorced"/>
    <x v="2"/>
    <s v="HR Manager"/>
    <x v="2"/>
    <x v="6"/>
    <s v="South"/>
    <n v="14"/>
    <n v="96398"/>
    <x v="3"/>
    <n v="4"/>
    <n v="3"/>
    <n v="13"/>
    <n v="1"/>
    <d v="2009-03-08T00:00:00"/>
    <s v="No"/>
    <x v="1"/>
    <n v="4"/>
    <x v="2"/>
    <x v="2"/>
    <x v="0"/>
  </r>
  <r>
    <s v="REL00232"/>
    <s v="Male"/>
    <n v="55"/>
    <s v="BTech"/>
    <s v="Divorced"/>
    <x v="7"/>
    <s v="Store Manager"/>
    <x v="4"/>
    <x v="9"/>
    <s v="West"/>
    <n v="8"/>
    <n v="93075"/>
    <x v="1"/>
    <n v="2"/>
    <n v="3"/>
    <n v="76"/>
    <n v="0"/>
    <d v="2015-07-27T00:00:00"/>
    <s v="No"/>
    <x v="1"/>
    <n v="1"/>
    <x v="1"/>
    <x v="0"/>
    <x v="2"/>
  </r>
  <r>
    <s v="REL00233"/>
    <s v="Male"/>
    <n v="22"/>
    <s v="Post Graduate"/>
    <s v="Divorced"/>
    <x v="1"/>
    <s v="Logistics Coordinator"/>
    <x v="3"/>
    <x v="2"/>
    <s v="West"/>
    <n v="11"/>
    <n v="61871"/>
    <x v="2"/>
    <n v="4"/>
    <n v="4"/>
    <n v="31"/>
    <n v="0"/>
    <d v="2012-02-25T00:00:00"/>
    <s v="No"/>
    <x v="0"/>
    <n v="2"/>
    <x v="2"/>
    <x v="0"/>
    <x v="1"/>
  </r>
  <r>
    <s v="REL00234"/>
    <s v="Female"/>
    <n v="47"/>
    <s v="Post Graduate"/>
    <s v="Single"/>
    <x v="5"/>
    <s v="Store Manager"/>
    <x v="2"/>
    <x v="9"/>
    <s v="West"/>
    <n v="5"/>
    <n v="101611"/>
    <x v="2"/>
    <n v="4"/>
    <n v="4"/>
    <n v="67"/>
    <n v="0"/>
    <d v="2018-03-27T00:00:00"/>
    <s v="No"/>
    <x v="1"/>
    <n v="2"/>
    <x v="0"/>
    <x v="0"/>
    <x v="1"/>
  </r>
  <r>
    <s v="REL00235"/>
    <s v="Male"/>
    <n v="22"/>
    <s v="Graduate"/>
    <s v="Divorced"/>
    <x v="7"/>
    <s v="Store Manager"/>
    <x v="0"/>
    <x v="9"/>
    <s v="West"/>
    <n v="8"/>
    <n v="94363"/>
    <x v="3"/>
    <n v="3"/>
    <n v="2"/>
    <n v="68"/>
    <n v="2"/>
    <d v="2015-06-06T00:00:00"/>
    <s v="No"/>
    <x v="1"/>
    <n v="4"/>
    <x v="1"/>
    <x v="2"/>
    <x v="0"/>
  </r>
  <r>
    <s v="REL00236"/>
    <s v="Male"/>
    <n v="22"/>
    <s v="HSC"/>
    <s v="Married"/>
    <x v="0"/>
    <s v="Finance Analyst"/>
    <x v="2"/>
    <x v="7"/>
    <s v="East"/>
    <n v="6"/>
    <n v="73904"/>
    <x v="1"/>
    <n v="3"/>
    <n v="3"/>
    <n v="23"/>
    <n v="0"/>
    <d v="2017-11-14T00:00:00"/>
    <s v="Yes"/>
    <x v="0"/>
    <n v="1"/>
    <x v="1"/>
    <x v="1"/>
    <x v="1"/>
  </r>
  <r>
    <s v="REL00237"/>
    <s v="Male"/>
    <n v="51"/>
    <s v="Post Graduate"/>
    <s v="Divorced"/>
    <x v="7"/>
    <s v="Operations Head"/>
    <x v="2"/>
    <x v="6"/>
    <s v="South"/>
    <n v="2"/>
    <n v="95419"/>
    <x v="1"/>
    <n v="3"/>
    <n v="1"/>
    <n v="63"/>
    <n v="0"/>
    <d v="2021-06-14T00:00:00"/>
    <s v="Yes"/>
    <x v="1"/>
    <n v="1"/>
    <x v="3"/>
    <x v="1"/>
    <x v="2"/>
  </r>
  <r>
    <s v="REL00238"/>
    <s v="Female"/>
    <n v="52"/>
    <s v="BTech"/>
    <s v="Single"/>
    <x v="2"/>
    <s v="HR Manager"/>
    <x v="3"/>
    <x v="4"/>
    <s v="North"/>
    <n v="11"/>
    <n v="103345"/>
    <x v="1"/>
    <n v="2"/>
    <n v="2"/>
    <n v="23"/>
    <n v="3"/>
    <d v="2012-12-10T00:00:00"/>
    <s v="No"/>
    <x v="1"/>
    <n v="1"/>
    <x v="2"/>
    <x v="0"/>
    <x v="2"/>
  </r>
  <r>
    <s v="REL00239"/>
    <s v="Female"/>
    <n v="30"/>
    <s v="Post Graduate"/>
    <s v="Married"/>
    <x v="5"/>
    <s v="Marketing Executive"/>
    <x v="1"/>
    <x v="4"/>
    <s v="North"/>
    <n v="7"/>
    <n v="62965"/>
    <x v="1"/>
    <n v="3"/>
    <n v="3"/>
    <n v="80"/>
    <n v="1"/>
    <d v="2016-08-05T00:00:00"/>
    <s v="Yes"/>
    <x v="0"/>
    <n v="1"/>
    <x v="1"/>
    <x v="1"/>
    <x v="1"/>
  </r>
  <r>
    <s v="REL00240"/>
    <s v="Female"/>
    <n v="29"/>
    <s v="HSC"/>
    <s v="Divorced"/>
    <x v="1"/>
    <s v="Customer Service Rep"/>
    <x v="1"/>
    <x v="5"/>
    <s v="South"/>
    <n v="11"/>
    <n v="51347"/>
    <x v="2"/>
    <n v="4"/>
    <n v="4"/>
    <n v="78"/>
    <n v="2"/>
    <d v="2012-04-21T00:00:00"/>
    <s v="No"/>
    <x v="0"/>
    <n v="2"/>
    <x v="2"/>
    <x v="0"/>
    <x v="1"/>
  </r>
  <r>
    <s v="REL00241"/>
    <s v="Male"/>
    <n v="34"/>
    <s v="HSC"/>
    <s v="Single"/>
    <x v="0"/>
    <s v="Logistics Coordinator"/>
    <x v="1"/>
    <x v="2"/>
    <s v="West"/>
    <n v="1"/>
    <n v="41762"/>
    <x v="3"/>
    <n v="3"/>
    <n v="3"/>
    <n v="28"/>
    <n v="0"/>
    <d v="2022-01-23T00:00:00"/>
    <s v="Yes"/>
    <x v="2"/>
    <n v="4"/>
    <x v="3"/>
    <x v="1"/>
    <x v="1"/>
  </r>
  <r>
    <s v="REL00242"/>
    <s v="Male"/>
    <n v="46"/>
    <s v="Post Graduate"/>
    <s v="Divorced"/>
    <x v="1"/>
    <s v="Finance Analyst"/>
    <x v="1"/>
    <x v="8"/>
    <s v="South"/>
    <n v="6"/>
    <n v="65358"/>
    <x v="3"/>
    <n v="3"/>
    <n v="1"/>
    <n v="58"/>
    <n v="3"/>
    <d v="2017-01-22T00:00:00"/>
    <s v="No"/>
    <x v="0"/>
    <n v="4"/>
    <x v="1"/>
    <x v="2"/>
    <x v="1"/>
  </r>
  <r>
    <s v="REL00243"/>
    <s v="Male"/>
    <n v="45"/>
    <s v="BTech"/>
    <s v="Divorced"/>
    <x v="5"/>
    <s v="Operations Head"/>
    <x v="1"/>
    <x v="2"/>
    <s v="West"/>
    <n v="1"/>
    <n v="93654"/>
    <x v="3"/>
    <n v="2"/>
    <n v="2"/>
    <n v="47"/>
    <n v="3"/>
    <d v="2022-05-20T00:00:00"/>
    <s v="No"/>
    <x v="1"/>
    <n v="4"/>
    <x v="3"/>
    <x v="2"/>
    <x v="0"/>
  </r>
  <r>
    <s v="REL00244"/>
    <s v="Female"/>
    <n v="38"/>
    <s v="Post Graduate"/>
    <s v="Single"/>
    <x v="2"/>
    <s v="Sales Executive"/>
    <x v="2"/>
    <x v="6"/>
    <s v="South"/>
    <n v="12"/>
    <n v="66360"/>
    <x v="0"/>
    <n v="3"/>
    <n v="1"/>
    <n v="52"/>
    <n v="3"/>
    <d v="2011-05-30T00:00:00"/>
    <s v="Yes"/>
    <x v="0"/>
    <n v="3"/>
    <x v="2"/>
    <x v="1"/>
    <x v="0"/>
  </r>
  <r>
    <s v="REL00245"/>
    <s v="Female"/>
    <n v="26"/>
    <s v="HSC"/>
    <s v="Divorced"/>
    <x v="0"/>
    <s v="Store Manager"/>
    <x v="2"/>
    <x v="6"/>
    <s v="South"/>
    <n v="10"/>
    <n v="104868"/>
    <x v="2"/>
    <n v="2"/>
    <n v="2"/>
    <n v="76"/>
    <n v="0"/>
    <d v="2013-03-16T00:00:00"/>
    <s v="No"/>
    <x v="1"/>
    <n v="2"/>
    <x v="1"/>
    <x v="0"/>
    <x v="1"/>
  </r>
  <r>
    <s v="REL00246"/>
    <s v="Female"/>
    <n v="45"/>
    <s v="HSC"/>
    <s v="Single"/>
    <x v="3"/>
    <s v="Customer Service Rep"/>
    <x v="3"/>
    <x v="1"/>
    <s v="North"/>
    <n v="2"/>
    <n v="36248"/>
    <x v="1"/>
    <n v="4"/>
    <n v="1"/>
    <n v="24"/>
    <n v="2"/>
    <d v="2021-07-16T00:00:00"/>
    <s v="No"/>
    <x v="2"/>
    <n v="1"/>
    <x v="3"/>
    <x v="3"/>
    <x v="1"/>
  </r>
  <r>
    <s v="REL00247"/>
    <s v="Female"/>
    <n v="40"/>
    <s v="Graduate"/>
    <s v="Divorced"/>
    <x v="1"/>
    <s v="Customer Service Rep"/>
    <x v="1"/>
    <x v="9"/>
    <s v="West"/>
    <n v="1"/>
    <n v="39496"/>
    <x v="0"/>
    <n v="3"/>
    <n v="4"/>
    <n v="72"/>
    <n v="0"/>
    <d v="2022-06-18T00:00:00"/>
    <s v="Yes"/>
    <x v="2"/>
    <n v="3"/>
    <x v="3"/>
    <x v="1"/>
    <x v="1"/>
  </r>
  <r>
    <s v="REL00248"/>
    <s v="Male"/>
    <n v="35"/>
    <s v="Post Graduate"/>
    <s v="Divorced"/>
    <x v="1"/>
    <s v="HR Manager"/>
    <x v="0"/>
    <x v="8"/>
    <s v="South"/>
    <n v="2"/>
    <n v="86628"/>
    <x v="3"/>
    <n v="4"/>
    <n v="1"/>
    <n v="36"/>
    <n v="3"/>
    <d v="2021-12-29T00:00:00"/>
    <s v="No"/>
    <x v="1"/>
    <n v="4"/>
    <x v="3"/>
    <x v="2"/>
    <x v="0"/>
  </r>
  <r>
    <s v="REL00249"/>
    <s v="Male"/>
    <n v="38"/>
    <s v="BTech"/>
    <s v="Single"/>
    <x v="3"/>
    <s v="Customer Service Rep"/>
    <x v="4"/>
    <x v="0"/>
    <s v="North"/>
    <n v="12"/>
    <n v="50241"/>
    <x v="1"/>
    <n v="2"/>
    <n v="3"/>
    <n v="62"/>
    <n v="3"/>
    <d v="2011-12-08T00:00:00"/>
    <s v="Yes"/>
    <x v="0"/>
    <n v="1"/>
    <x v="2"/>
    <x v="1"/>
    <x v="1"/>
  </r>
  <r>
    <s v="REL00250"/>
    <s v="Male"/>
    <n v="24"/>
    <s v="Graduate"/>
    <s v="Married"/>
    <x v="6"/>
    <s v="Logistics Coordinator"/>
    <x v="3"/>
    <x v="9"/>
    <s v="West"/>
    <n v="1"/>
    <n v="40876"/>
    <x v="2"/>
    <n v="1"/>
    <n v="3"/>
    <n v="48"/>
    <n v="0"/>
    <d v="2022-12-29T00:00:00"/>
    <s v="No"/>
    <x v="2"/>
    <n v="2"/>
    <x v="3"/>
    <x v="0"/>
    <x v="1"/>
  </r>
  <r>
    <s v="REL00251"/>
    <s v="Male"/>
    <n v="47"/>
    <s v="BTech"/>
    <s v="Married"/>
    <x v="7"/>
    <s v="Store Manager"/>
    <x v="3"/>
    <x v="8"/>
    <s v="South"/>
    <n v="14"/>
    <n v="118531"/>
    <x v="1"/>
    <n v="2"/>
    <n v="3"/>
    <n v="57"/>
    <n v="0"/>
    <d v="2009-09-14T00:00:00"/>
    <s v="No"/>
    <x v="1"/>
    <n v="1"/>
    <x v="2"/>
    <x v="0"/>
    <x v="2"/>
  </r>
  <r>
    <s v="REL00252"/>
    <s v="Female"/>
    <n v="35"/>
    <s v="HSC"/>
    <s v="Single"/>
    <x v="3"/>
    <s v="Logistics Coordinator"/>
    <x v="4"/>
    <x v="1"/>
    <s v="North"/>
    <n v="1"/>
    <n v="54601"/>
    <x v="3"/>
    <n v="4"/>
    <n v="2"/>
    <n v="30"/>
    <n v="1"/>
    <d v="2022-11-19T00:00:00"/>
    <s v="No"/>
    <x v="0"/>
    <n v="4"/>
    <x v="3"/>
    <x v="2"/>
    <x v="1"/>
  </r>
  <r>
    <s v="REL00253"/>
    <s v="Male"/>
    <n v="40"/>
    <s v="Graduate"/>
    <s v="Married"/>
    <x v="4"/>
    <s v="Store Manager"/>
    <x v="2"/>
    <x v="5"/>
    <s v="South"/>
    <n v="3"/>
    <n v="98984"/>
    <x v="3"/>
    <n v="1"/>
    <n v="2"/>
    <n v="72"/>
    <n v="2"/>
    <d v="2020-02-06T00:00:00"/>
    <s v="No"/>
    <x v="1"/>
    <n v="4"/>
    <x v="0"/>
    <x v="2"/>
    <x v="0"/>
  </r>
  <r>
    <s v="REL00254"/>
    <s v="Female"/>
    <n v="43"/>
    <s v="BTech"/>
    <s v="Divorced"/>
    <x v="3"/>
    <s v="Sales Executive"/>
    <x v="2"/>
    <x v="7"/>
    <s v="East"/>
    <n v="5"/>
    <n v="46340"/>
    <x v="3"/>
    <n v="3"/>
    <n v="2"/>
    <n v="56"/>
    <n v="2"/>
    <d v="2018-04-29T00:00:00"/>
    <s v="No"/>
    <x v="2"/>
    <n v="4"/>
    <x v="0"/>
    <x v="2"/>
    <x v="1"/>
  </r>
  <r>
    <s v="REL00255"/>
    <s v="Male"/>
    <n v="43"/>
    <s v="MBA"/>
    <s v="Married"/>
    <x v="3"/>
    <s v="Marketing Executive"/>
    <x v="4"/>
    <x v="2"/>
    <s v="West"/>
    <n v="4"/>
    <n v="62290"/>
    <x v="2"/>
    <n v="4"/>
    <n v="3"/>
    <n v="49"/>
    <n v="3"/>
    <d v="2019-07-02T00:00:00"/>
    <s v="No"/>
    <x v="0"/>
    <n v="2"/>
    <x v="0"/>
    <x v="0"/>
    <x v="1"/>
  </r>
  <r>
    <s v="REL00256"/>
    <s v="Female"/>
    <n v="26"/>
    <s v="Graduate"/>
    <s v="Single"/>
    <x v="2"/>
    <s v="Operations Head"/>
    <x v="2"/>
    <x v="1"/>
    <s v="North"/>
    <n v="14"/>
    <n v="117587"/>
    <x v="3"/>
    <n v="1"/>
    <n v="4"/>
    <n v="37"/>
    <n v="0"/>
    <d v="2009-09-26T00:00:00"/>
    <s v="No"/>
    <x v="1"/>
    <n v="4"/>
    <x v="2"/>
    <x v="2"/>
    <x v="0"/>
  </r>
  <r>
    <s v="REL00257"/>
    <s v="Female"/>
    <n v="30"/>
    <s v="MBA"/>
    <s v="Divorced"/>
    <x v="4"/>
    <s v="HR Manager"/>
    <x v="1"/>
    <x v="1"/>
    <s v="North"/>
    <n v="11"/>
    <n v="98987"/>
    <x v="1"/>
    <n v="1"/>
    <n v="4"/>
    <n v="56"/>
    <n v="0"/>
    <d v="2012-03-08T00:00:00"/>
    <s v="Yes"/>
    <x v="1"/>
    <n v="1"/>
    <x v="2"/>
    <x v="1"/>
    <x v="2"/>
  </r>
  <r>
    <s v="REL00258"/>
    <s v="Male"/>
    <n v="52"/>
    <s v="HSC"/>
    <s v="Single"/>
    <x v="3"/>
    <s v="HR Manager"/>
    <x v="1"/>
    <x v="5"/>
    <s v="South"/>
    <n v="8"/>
    <n v="86870"/>
    <x v="0"/>
    <n v="2"/>
    <n v="4"/>
    <n v="39"/>
    <n v="0"/>
    <d v="2015-03-20T00:00:00"/>
    <s v="No"/>
    <x v="1"/>
    <n v="3"/>
    <x v="1"/>
    <x v="0"/>
    <x v="0"/>
  </r>
  <r>
    <s v="REL00259"/>
    <s v="Female"/>
    <n v="51"/>
    <s v="Graduate"/>
    <s v="Single"/>
    <x v="5"/>
    <s v="Marketing Executive"/>
    <x v="2"/>
    <x v="8"/>
    <s v="South"/>
    <n v="11"/>
    <n v="78970"/>
    <x v="3"/>
    <n v="3"/>
    <n v="1"/>
    <n v="76"/>
    <n v="2"/>
    <d v="2012-06-19T00:00:00"/>
    <s v="No"/>
    <x v="0"/>
    <n v="4"/>
    <x v="2"/>
    <x v="2"/>
    <x v="1"/>
  </r>
  <r>
    <s v="REL00260"/>
    <s v="Female"/>
    <n v="44"/>
    <s v="HSC"/>
    <s v="Married"/>
    <x v="3"/>
    <s v="Sales Executive"/>
    <x v="3"/>
    <x v="8"/>
    <s v="South"/>
    <n v="6"/>
    <n v="58930"/>
    <x v="1"/>
    <n v="4"/>
    <n v="1"/>
    <n v="74"/>
    <n v="1"/>
    <d v="2017-09-10T00:00:00"/>
    <s v="Yes"/>
    <x v="0"/>
    <n v="1"/>
    <x v="1"/>
    <x v="1"/>
    <x v="1"/>
  </r>
  <r>
    <s v="REL00261"/>
    <s v="Male"/>
    <n v="45"/>
    <s v="BTech"/>
    <s v="Divorced"/>
    <x v="3"/>
    <s v="Operations Head"/>
    <x v="2"/>
    <x v="9"/>
    <s v="West"/>
    <n v="9"/>
    <n v="109930"/>
    <x v="3"/>
    <n v="1"/>
    <n v="2"/>
    <n v="63"/>
    <n v="2"/>
    <d v="2014-09-30T00:00:00"/>
    <s v="No"/>
    <x v="1"/>
    <n v="4"/>
    <x v="1"/>
    <x v="2"/>
    <x v="0"/>
  </r>
  <r>
    <s v="REL00262"/>
    <s v="Male"/>
    <n v="32"/>
    <s v="Post Graduate"/>
    <s v="Divorced"/>
    <x v="7"/>
    <s v="HR Manager"/>
    <x v="3"/>
    <x v="0"/>
    <s v="North"/>
    <n v="4"/>
    <n v="86464"/>
    <x v="1"/>
    <n v="1"/>
    <n v="2"/>
    <n v="17"/>
    <n v="1"/>
    <d v="2019-12-11T00:00:00"/>
    <s v="Yes"/>
    <x v="1"/>
    <n v="1"/>
    <x v="0"/>
    <x v="1"/>
    <x v="2"/>
  </r>
  <r>
    <s v="REL00263"/>
    <s v="Female"/>
    <n v="52"/>
    <s v="Post Graduate"/>
    <s v="Single"/>
    <x v="3"/>
    <s v="Store Manager"/>
    <x v="1"/>
    <x v="8"/>
    <s v="South"/>
    <n v="10"/>
    <n v="104288"/>
    <x v="1"/>
    <n v="4"/>
    <n v="2"/>
    <n v="33"/>
    <n v="2"/>
    <d v="2013-05-19T00:00:00"/>
    <s v="Yes"/>
    <x v="1"/>
    <n v="1"/>
    <x v="1"/>
    <x v="1"/>
    <x v="2"/>
  </r>
  <r>
    <s v="REL00264"/>
    <s v="Male"/>
    <n v="34"/>
    <s v="BTech"/>
    <s v="Divorced"/>
    <x v="5"/>
    <s v="Logistics Coordinator"/>
    <x v="3"/>
    <x v="6"/>
    <s v="South"/>
    <n v="4"/>
    <n v="55630"/>
    <x v="3"/>
    <n v="4"/>
    <n v="2"/>
    <n v="22"/>
    <n v="1"/>
    <d v="2019-11-08T00:00:00"/>
    <s v="No"/>
    <x v="0"/>
    <n v="4"/>
    <x v="0"/>
    <x v="2"/>
    <x v="1"/>
  </r>
  <r>
    <s v="REL00265"/>
    <s v="Male"/>
    <n v="49"/>
    <s v="BTech"/>
    <s v="Married"/>
    <x v="0"/>
    <s v="Finance Analyst"/>
    <x v="1"/>
    <x v="9"/>
    <s v="West"/>
    <n v="2"/>
    <n v="58270"/>
    <x v="3"/>
    <n v="3"/>
    <n v="1"/>
    <n v="77"/>
    <n v="3"/>
    <d v="2021-03-31T00:00:00"/>
    <s v="No"/>
    <x v="0"/>
    <n v="4"/>
    <x v="3"/>
    <x v="2"/>
    <x v="1"/>
  </r>
  <r>
    <s v="REL00266"/>
    <s v="Female"/>
    <n v="36"/>
    <s v="Graduate"/>
    <s v="Married"/>
    <x v="7"/>
    <s v="Sales Executive"/>
    <x v="3"/>
    <x v="5"/>
    <s v="South"/>
    <n v="10"/>
    <n v="63942"/>
    <x v="2"/>
    <n v="4"/>
    <n v="3"/>
    <n v="34"/>
    <n v="0"/>
    <d v="2013-08-26T00:00:00"/>
    <s v="No"/>
    <x v="0"/>
    <n v="2"/>
    <x v="1"/>
    <x v="0"/>
    <x v="1"/>
  </r>
  <r>
    <s v="REL00267"/>
    <s v="Male"/>
    <n v="31"/>
    <s v="MBA"/>
    <s v="Divorced"/>
    <x v="2"/>
    <s v="Marketing Executive"/>
    <x v="1"/>
    <x v="3"/>
    <s v="West"/>
    <n v="7"/>
    <n v="64351"/>
    <x v="3"/>
    <n v="3"/>
    <n v="3"/>
    <n v="78"/>
    <n v="3"/>
    <d v="2016-07-01T00:00:00"/>
    <s v="No"/>
    <x v="0"/>
    <n v="4"/>
    <x v="1"/>
    <x v="2"/>
    <x v="1"/>
  </r>
  <r>
    <s v="REL00268"/>
    <s v="Female"/>
    <n v="33"/>
    <s v="HSC"/>
    <s v="Divorced"/>
    <x v="5"/>
    <s v="Logistics Coordinator"/>
    <x v="1"/>
    <x v="4"/>
    <s v="North"/>
    <n v="11"/>
    <n v="63674"/>
    <x v="2"/>
    <n v="4"/>
    <n v="3"/>
    <n v="49"/>
    <n v="2"/>
    <d v="2012-03-27T00:00:00"/>
    <s v="No"/>
    <x v="0"/>
    <n v="2"/>
    <x v="2"/>
    <x v="0"/>
    <x v="1"/>
  </r>
  <r>
    <s v="REL00269"/>
    <s v="Female"/>
    <n v="43"/>
    <s v="BTech"/>
    <s v="Divorced"/>
    <x v="3"/>
    <s v="HR Manager"/>
    <x v="4"/>
    <x v="2"/>
    <s v="West"/>
    <n v="8"/>
    <n v="84285"/>
    <x v="0"/>
    <n v="1"/>
    <n v="2"/>
    <n v="59"/>
    <n v="0"/>
    <d v="2015-04-18T00:00:00"/>
    <s v="No"/>
    <x v="1"/>
    <n v="3"/>
    <x v="1"/>
    <x v="0"/>
    <x v="0"/>
  </r>
  <r>
    <s v="REL00270"/>
    <s v="Male"/>
    <n v="46"/>
    <s v="MBA"/>
    <s v="Divorced"/>
    <x v="3"/>
    <s v="Sales Executive"/>
    <x v="3"/>
    <x v="0"/>
    <s v="North"/>
    <n v="2"/>
    <n v="42620"/>
    <x v="1"/>
    <n v="3"/>
    <n v="1"/>
    <n v="32"/>
    <n v="3"/>
    <d v="2021-11-22T00:00:00"/>
    <s v="Yes"/>
    <x v="2"/>
    <n v="1"/>
    <x v="3"/>
    <x v="1"/>
    <x v="1"/>
  </r>
  <r>
    <s v="REL00271"/>
    <s v="Male"/>
    <n v="32"/>
    <s v="Graduate"/>
    <s v="Married"/>
    <x v="0"/>
    <s v="Store Manager"/>
    <x v="2"/>
    <x v="9"/>
    <s v="West"/>
    <n v="4"/>
    <n v="102644"/>
    <x v="2"/>
    <n v="2"/>
    <n v="1"/>
    <n v="30"/>
    <n v="0"/>
    <d v="2019-04-13T00:00:00"/>
    <s v="No"/>
    <x v="1"/>
    <n v="2"/>
    <x v="0"/>
    <x v="0"/>
    <x v="1"/>
  </r>
  <r>
    <s v="REL00272"/>
    <s v="Male"/>
    <n v="27"/>
    <s v="BTech"/>
    <s v="Married"/>
    <x v="6"/>
    <s v="Marketing Executive"/>
    <x v="0"/>
    <x v="8"/>
    <s v="South"/>
    <n v="7"/>
    <n v="70965"/>
    <x v="1"/>
    <n v="3"/>
    <n v="3"/>
    <n v="45"/>
    <n v="1"/>
    <d v="2016-01-08T00:00:00"/>
    <s v="No"/>
    <x v="0"/>
    <n v="1"/>
    <x v="1"/>
    <x v="0"/>
    <x v="1"/>
  </r>
  <r>
    <s v="REL00273"/>
    <s v="Male"/>
    <n v="26"/>
    <s v="BTech"/>
    <s v="Married"/>
    <x v="1"/>
    <s v="Store Manager"/>
    <x v="3"/>
    <x v="4"/>
    <s v="North"/>
    <n v="10"/>
    <n v="103555"/>
    <x v="1"/>
    <n v="3"/>
    <n v="1"/>
    <n v="75"/>
    <n v="2"/>
    <d v="2013-04-19T00:00:00"/>
    <s v="Yes"/>
    <x v="1"/>
    <n v="1"/>
    <x v="1"/>
    <x v="1"/>
    <x v="2"/>
  </r>
  <r>
    <s v="REL00274"/>
    <s v="Female"/>
    <n v="23"/>
    <s v="MBA"/>
    <s v="Single"/>
    <x v="4"/>
    <s v="Finance Analyst"/>
    <x v="3"/>
    <x v="1"/>
    <s v="North"/>
    <n v="10"/>
    <n v="77971"/>
    <x v="1"/>
    <n v="3"/>
    <n v="1"/>
    <n v="58"/>
    <n v="1"/>
    <d v="2013-01-20T00:00:00"/>
    <s v="Yes"/>
    <x v="0"/>
    <n v="1"/>
    <x v="1"/>
    <x v="1"/>
    <x v="1"/>
  </r>
  <r>
    <s v="REL00275"/>
    <s v="Male"/>
    <n v="47"/>
    <s v="HSC"/>
    <s v="Single"/>
    <x v="5"/>
    <s v="Store Manager"/>
    <x v="3"/>
    <x v="5"/>
    <s v="South"/>
    <n v="9"/>
    <n v="101629"/>
    <x v="2"/>
    <n v="2"/>
    <n v="4"/>
    <n v="50"/>
    <n v="2"/>
    <d v="2014-08-09T00:00:00"/>
    <s v="No"/>
    <x v="1"/>
    <n v="2"/>
    <x v="1"/>
    <x v="0"/>
    <x v="1"/>
  </r>
  <r>
    <s v="REL00276"/>
    <s v="Male"/>
    <n v="36"/>
    <s v="Post Graduate"/>
    <s v="Single"/>
    <x v="4"/>
    <s v="Marketing Executive"/>
    <x v="2"/>
    <x v="5"/>
    <s v="South"/>
    <n v="8"/>
    <n v="63695"/>
    <x v="0"/>
    <n v="3"/>
    <n v="2"/>
    <n v="23"/>
    <n v="0"/>
    <d v="2015-08-21T00:00:00"/>
    <s v="No"/>
    <x v="0"/>
    <n v="3"/>
    <x v="1"/>
    <x v="0"/>
    <x v="0"/>
  </r>
  <r>
    <s v="REL00277"/>
    <s v="Female"/>
    <n v="53"/>
    <s v="BTech"/>
    <s v="Married"/>
    <x v="7"/>
    <s v="Store Manager"/>
    <x v="1"/>
    <x v="0"/>
    <s v="North"/>
    <n v="13"/>
    <n v="116803"/>
    <x v="3"/>
    <n v="4"/>
    <n v="2"/>
    <n v="75"/>
    <n v="2"/>
    <d v="2010-02-21T00:00:00"/>
    <s v="No"/>
    <x v="1"/>
    <n v="4"/>
    <x v="2"/>
    <x v="2"/>
    <x v="0"/>
  </r>
  <r>
    <s v="REL00278"/>
    <s v="Female"/>
    <n v="47"/>
    <s v="Post Graduate"/>
    <s v="Married"/>
    <x v="1"/>
    <s v="Logistics Coordinator"/>
    <x v="1"/>
    <x v="2"/>
    <s v="West"/>
    <n v="1"/>
    <n v="52673"/>
    <x v="0"/>
    <n v="1"/>
    <n v="4"/>
    <n v="50"/>
    <n v="0"/>
    <d v="2022-12-16T00:00:00"/>
    <s v="No"/>
    <x v="0"/>
    <n v="3"/>
    <x v="3"/>
    <x v="0"/>
    <x v="0"/>
  </r>
  <r>
    <s v="REL00279"/>
    <s v="Female"/>
    <n v="37"/>
    <s v="HSC"/>
    <s v="Married"/>
    <x v="1"/>
    <s v="Customer Service Rep"/>
    <x v="3"/>
    <x v="3"/>
    <s v="West"/>
    <n v="6"/>
    <n v="45509"/>
    <x v="3"/>
    <n v="3"/>
    <n v="3"/>
    <n v="33"/>
    <n v="3"/>
    <d v="2017-03-28T00:00:00"/>
    <s v="No"/>
    <x v="2"/>
    <n v="4"/>
    <x v="1"/>
    <x v="2"/>
    <x v="1"/>
  </r>
  <r>
    <s v="REL00280"/>
    <s v="Male"/>
    <n v="36"/>
    <s v="Graduate"/>
    <s v="Divorced"/>
    <x v="1"/>
    <s v="Logistics Coordinator"/>
    <x v="3"/>
    <x v="2"/>
    <s v="West"/>
    <n v="6"/>
    <n v="56162"/>
    <x v="2"/>
    <n v="3"/>
    <n v="2"/>
    <n v="65"/>
    <n v="3"/>
    <d v="2017-10-02T00:00:00"/>
    <s v="No"/>
    <x v="0"/>
    <n v="2"/>
    <x v="1"/>
    <x v="0"/>
    <x v="1"/>
  </r>
  <r>
    <s v="REL00281"/>
    <s v="Female"/>
    <n v="53"/>
    <s v="HSC"/>
    <s v="Married"/>
    <x v="3"/>
    <s v="Store Manager"/>
    <x v="2"/>
    <x v="5"/>
    <s v="South"/>
    <n v="13"/>
    <n v="106787"/>
    <x v="1"/>
    <n v="1"/>
    <n v="4"/>
    <n v="22"/>
    <n v="1"/>
    <d v="2010-10-28T00:00:00"/>
    <s v="Yes"/>
    <x v="1"/>
    <n v="1"/>
    <x v="2"/>
    <x v="1"/>
    <x v="2"/>
  </r>
  <r>
    <s v="REL00282"/>
    <s v="Female"/>
    <n v="38"/>
    <s v="HSC"/>
    <s v="Single"/>
    <x v="1"/>
    <s v="Sales Executive"/>
    <x v="0"/>
    <x v="3"/>
    <s v="West"/>
    <n v="14"/>
    <n v="72740"/>
    <x v="1"/>
    <n v="4"/>
    <n v="1"/>
    <n v="54"/>
    <n v="1"/>
    <d v="2009-07-04T00:00:00"/>
    <s v="Yes"/>
    <x v="0"/>
    <n v="1"/>
    <x v="2"/>
    <x v="1"/>
    <x v="1"/>
  </r>
  <r>
    <s v="REL00283"/>
    <s v="Female"/>
    <n v="51"/>
    <s v="Post Graduate"/>
    <s v="Single"/>
    <x v="3"/>
    <s v="Finance Analyst"/>
    <x v="0"/>
    <x v="4"/>
    <s v="North"/>
    <n v="6"/>
    <n v="76645"/>
    <x v="2"/>
    <n v="3"/>
    <n v="4"/>
    <n v="61"/>
    <n v="0"/>
    <d v="2017-06-21T00:00:00"/>
    <s v="Yes"/>
    <x v="0"/>
    <n v="2"/>
    <x v="1"/>
    <x v="1"/>
    <x v="1"/>
  </r>
  <r>
    <s v="REL00284"/>
    <s v="Female"/>
    <n v="39"/>
    <s v="MBA"/>
    <s v="Married"/>
    <x v="3"/>
    <s v="Customer Service Rep"/>
    <x v="0"/>
    <x v="0"/>
    <s v="North"/>
    <n v="6"/>
    <n v="46547"/>
    <x v="0"/>
    <n v="4"/>
    <n v="4"/>
    <n v="31"/>
    <n v="1"/>
    <d v="2017-02-27T00:00:00"/>
    <s v="No"/>
    <x v="2"/>
    <n v="3"/>
    <x v="1"/>
    <x v="0"/>
    <x v="1"/>
  </r>
  <r>
    <s v="REL00285"/>
    <s v="Male"/>
    <n v="28"/>
    <s v="Graduate"/>
    <s v="Married"/>
    <x v="3"/>
    <s v="Sales Executive"/>
    <x v="2"/>
    <x v="3"/>
    <s v="West"/>
    <n v="12"/>
    <n v="60900"/>
    <x v="2"/>
    <n v="1"/>
    <n v="1"/>
    <n v="60"/>
    <n v="0"/>
    <d v="2011-06-15T00:00:00"/>
    <s v="No"/>
    <x v="0"/>
    <n v="2"/>
    <x v="2"/>
    <x v="0"/>
    <x v="1"/>
  </r>
  <r>
    <s v="REL00286"/>
    <s v="Female"/>
    <n v="50"/>
    <s v="Post Graduate"/>
    <s v="Single"/>
    <x v="4"/>
    <s v="Logistics Coordinator"/>
    <x v="1"/>
    <x v="0"/>
    <s v="North"/>
    <n v="2"/>
    <n v="49137"/>
    <x v="0"/>
    <n v="2"/>
    <n v="1"/>
    <n v="14"/>
    <n v="2"/>
    <d v="2021-08-28T00:00:00"/>
    <s v="No"/>
    <x v="2"/>
    <n v="3"/>
    <x v="3"/>
    <x v="0"/>
    <x v="1"/>
  </r>
  <r>
    <s v="REL00287"/>
    <s v="Female"/>
    <n v="49"/>
    <s v="BTech"/>
    <s v="Divorced"/>
    <x v="7"/>
    <s v="Finance Analyst"/>
    <x v="3"/>
    <x v="7"/>
    <s v="East"/>
    <n v="9"/>
    <n v="72427"/>
    <x v="2"/>
    <n v="3"/>
    <n v="3"/>
    <n v="71"/>
    <n v="1"/>
    <d v="2014-10-05T00:00:00"/>
    <s v="No"/>
    <x v="0"/>
    <n v="2"/>
    <x v="1"/>
    <x v="0"/>
    <x v="1"/>
  </r>
  <r>
    <s v="REL00288"/>
    <s v="Male"/>
    <n v="55"/>
    <s v="Post Graduate"/>
    <s v="Married"/>
    <x v="7"/>
    <s v="Operations Head"/>
    <x v="0"/>
    <x v="0"/>
    <s v="North"/>
    <n v="7"/>
    <n v="104102"/>
    <x v="2"/>
    <n v="3"/>
    <n v="4"/>
    <n v="78"/>
    <n v="0"/>
    <d v="2016-12-28T00:00:00"/>
    <s v="No"/>
    <x v="1"/>
    <n v="2"/>
    <x v="1"/>
    <x v="0"/>
    <x v="1"/>
  </r>
  <r>
    <s v="REL00289"/>
    <s v="Male"/>
    <n v="45"/>
    <s v="Post Graduate"/>
    <s v="Married"/>
    <x v="7"/>
    <s v="Logistics Coordinator"/>
    <x v="0"/>
    <x v="9"/>
    <s v="West"/>
    <n v="13"/>
    <n v="70598"/>
    <x v="3"/>
    <n v="4"/>
    <n v="4"/>
    <n v="41"/>
    <n v="1"/>
    <d v="2010-09-08T00:00:00"/>
    <s v="No"/>
    <x v="0"/>
    <n v="4"/>
    <x v="2"/>
    <x v="2"/>
    <x v="1"/>
  </r>
  <r>
    <s v="REL00290"/>
    <s v="Female"/>
    <n v="40"/>
    <s v="BTech"/>
    <s v="Married"/>
    <x v="6"/>
    <s v="Logistics Coordinator"/>
    <x v="2"/>
    <x v="2"/>
    <s v="West"/>
    <n v="2"/>
    <n v="46849"/>
    <x v="2"/>
    <n v="4"/>
    <n v="2"/>
    <n v="18"/>
    <n v="1"/>
    <d v="2021-02-22T00:00:00"/>
    <s v="No"/>
    <x v="2"/>
    <n v="2"/>
    <x v="3"/>
    <x v="0"/>
    <x v="1"/>
  </r>
  <r>
    <s v="REL00291"/>
    <s v="Female"/>
    <n v="23"/>
    <s v="Post Graduate"/>
    <s v="Single"/>
    <x v="4"/>
    <s v="Finance Analyst"/>
    <x v="4"/>
    <x v="6"/>
    <s v="South"/>
    <n v="10"/>
    <n v="78917"/>
    <x v="1"/>
    <n v="1"/>
    <n v="2"/>
    <n v="23"/>
    <n v="2"/>
    <d v="2013-09-29T00:00:00"/>
    <s v="Yes"/>
    <x v="0"/>
    <n v="1"/>
    <x v="1"/>
    <x v="1"/>
    <x v="1"/>
  </r>
  <r>
    <s v="REL00292"/>
    <s v="Male"/>
    <n v="43"/>
    <s v="MBA"/>
    <s v="Married"/>
    <x v="3"/>
    <s v="Sales Executive"/>
    <x v="3"/>
    <x v="8"/>
    <s v="South"/>
    <n v="4"/>
    <n v="42937"/>
    <x v="3"/>
    <n v="4"/>
    <n v="3"/>
    <n v="69"/>
    <n v="0"/>
    <d v="2019-04-25T00:00:00"/>
    <s v="Yes"/>
    <x v="2"/>
    <n v="4"/>
    <x v="0"/>
    <x v="1"/>
    <x v="1"/>
  </r>
  <r>
    <s v="REL00293"/>
    <s v="Male"/>
    <n v="34"/>
    <s v="HSC"/>
    <s v="Married"/>
    <x v="2"/>
    <s v="Logistics Coordinator"/>
    <x v="2"/>
    <x v="7"/>
    <s v="East"/>
    <n v="5"/>
    <n v="47339"/>
    <x v="3"/>
    <n v="1"/>
    <n v="1"/>
    <n v="41"/>
    <n v="3"/>
    <d v="2018-05-07T00:00:00"/>
    <s v="No"/>
    <x v="2"/>
    <n v="4"/>
    <x v="0"/>
    <x v="2"/>
    <x v="1"/>
  </r>
  <r>
    <s v="REL00294"/>
    <s v="Female"/>
    <n v="41"/>
    <s v="HSC"/>
    <s v="Single"/>
    <x v="1"/>
    <s v="Sales Executive"/>
    <x v="4"/>
    <x v="9"/>
    <s v="West"/>
    <n v="8"/>
    <n v="63076"/>
    <x v="0"/>
    <n v="1"/>
    <n v="1"/>
    <n v="42"/>
    <n v="3"/>
    <d v="2015-05-06T00:00:00"/>
    <s v="No"/>
    <x v="0"/>
    <n v="3"/>
    <x v="1"/>
    <x v="0"/>
    <x v="0"/>
  </r>
  <r>
    <s v="REL00295"/>
    <s v="Female"/>
    <n v="42"/>
    <s v="Graduate"/>
    <s v="Single"/>
    <x v="1"/>
    <s v="Marketing Executive"/>
    <x v="0"/>
    <x v="8"/>
    <s v="South"/>
    <n v="14"/>
    <n v="71700"/>
    <x v="3"/>
    <n v="3"/>
    <n v="1"/>
    <n v="60"/>
    <n v="1"/>
    <d v="2009-02-14T00:00:00"/>
    <s v="No"/>
    <x v="0"/>
    <n v="4"/>
    <x v="2"/>
    <x v="2"/>
    <x v="1"/>
  </r>
  <r>
    <s v="REL00296"/>
    <s v="Female"/>
    <n v="27"/>
    <s v="BTech"/>
    <s v="Married"/>
    <x v="0"/>
    <s v="HR Manager"/>
    <x v="1"/>
    <x v="3"/>
    <s v="West"/>
    <n v="12"/>
    <n v="101169"/>
    <x v="1"/>
    <n v="1"/>
    <n v="1"/>
    <n v="55"/>
    <n v="1"/>
    <d v="2011-10-16T00:00:00"/>
    <s v="Yes"/>
    <x v="1"/>
    <n v="1"/>
    <x v="2"/>
    <x v="1"/>
    <x v="2"/>
  </r>
  <r>
    <s v="REL00297"/>
    <s v="Male"/>
    <n v="46"/>
    <s v="HSC"/>
    <s v="Divorced"/>
    <x v="2"/>
    <s v="Customer Service Rep"/>
    <x v="2"/>
    <x v="1"/>
    <s v="North"/>
    <n v="4"/>
    <n v="51296"/>
    <x v="1"/>
    <n v="2"/>
    <n v="3"/>
    <n v="15"/>
    <n v="3"/>
    <d v="2019-09-26T00:00:00"/>
    <s v="Yes"/>
    <x v="0"/>
    <n v="1"/>
    <x v="0"/>
    <x v="1"/>
    <x v="1"/>
  </r>
  <r>
    <s v="REL00298"/>
    <s v="Female"/>
    <n v="32"/>
    <s v="Graduate"/>
    <s v="Divorced"/>
    <x v="4"/>
    <s v="HR Manager"/>
    <x v="1"/>
    <x v="9"/>
    <s v="West"/>
    <n v="4"/>
    <n v="90813"/>
    <x v="1"/>
    <n v="2"/>
    <n v="4"/>
    <n v="47"/>
    <n v="2"/>
    <d v="2019-05-08T00:00:00"/>
    <s v="Yes"/>
    <x v="1"/>
    <n v="1"/>
    <x v="0"/>
    <x v="1"/>
    <x v="2"/>
  </r>
  <r>
    <s v="REL00299"/>
    <s v="Female"/>
    <n v="37"/>
    <s v="HSC"/>
    <s v="Divorced"/>
    <x v="5"/>
    <s v="Logistics Coordinator"/>
    <x v="3"/>
    <x v="1"/>
    <s v="North"/>
    <n v="13"/>
    <n v="67079"/>
    <x v="3"/>
    <n v="1"/>
    <n v="4"/>
    <n v="34"/>
    <n v="3"/>
    <d v="2010-02-21T00:00:00"/>
    <s v="Yes"/>
    <x v="0"/>
    <n v="4"/>
    <x v="2"/>
    <x v="1"/>
    <x v="1"/>
  </r>
  <r>
    <s v="REL00300"/>
    <s v="Male"/>
    <n v="24"/>
    <s v="Post Graduate"/>
    <s v="Single"/>
    <x v="3"/>
    <s v="Logistics Coordinator"/>
    <x v="1"/>
    <x v="1"/>
    <s v="North"/>
    <n v="6"/>
    <n v="57552"/>
    <x v="2"/>
    <n v="1"/>
    <n v="2"/>
    <n v="23"/>
    <n v="3"/>
    <d v="2017-11-14T00:00:00"/>
    <s v="Yes"/>
    <x v="0"/>
    <n v="2"/>
    <x v="1"/>
    <x v="1"/>
    <x v="1"/>
  </r>
  <r>
    <s v="REL00301"/>
    <s v="Female"/>
    <n v="25"/>
    <s v="HSC"/>
    <s v="Single"/>
    <x v="2"/>
    <s v="Finance Analyst"/>
    <x v="4"/>
    <x v="5"/>
    <s v="South"/>
    <n v="11"/>
    <n v="89230"/>
    <x v="1"/>
    <n v="1"/>
    <n v="1"/>
    <n v="36"/>
    <n v="3"/>
    <d v="2012-03-07T00:00:00"/>
    <s v="No"/>
    <x v="1"/>
    <n v="1"/>
    <x v="2"/>
    <x v="0"/>
    <x v="2"/>
  </r>
  <r>
    <s v="REL00302"/>
    <s v="Female"/>
    <n v="55"/>
    <s v="Graduate"/>
    <s v="Divorced"/>
    <x v="7"/>
    <s v="Logistics Coordinator"/>
    <x v="4"/>
    <x v="0"/>
    <s v="North"/>
    <n v="9"/>
    <n v="65093"/>
    <x v="2"/>
    <n v="1"/>
    <n v="3"/>
    <n v="19"/>
    <n v="1"/>
    <d v="2014-02-22T00:00:00"/>
    <s v="Yes"/>
    <x v="0"/>
    <n v="2"/>
    <x v="1"/>
    <x v="1"/>
    <x v="1"/>
  </r>
  <r>
    <s v="REL00303"/>
    <s v="Male"/>
    <n v="33"/>
    <s v="BTech"/>
    <s v="Divorced"/>
    <x v="2"/>
    <s v="Logistics Coordinator"/>
    <x v="4"/>
    <x v="1"/>
    <s v="North"/>
    <n v="9"/>
    <n v="59208"/>
    <x v="0"/>
    <n v="4"/>
    <n v="1"/>
    <n v="55"/>
    <n v="3"/>
    <d v="2014-04-09T00:00:00"/>
    <s v="No"/>
    <x v="0"/>
    <n v="3"/>
    <x v="1"/>
    <x v="0"/>
    <x v="0"/>
  </r>
  <r>
    <s v="REL00304"/>
    <s v="Male"/>
    <n v="50"/>
    <s v="HSC"/>
    <s v="Married"/>
    <x v="2"/>
    <s v="Logistics Coordinator"/>
    <x v="2"/>
    <x v="2"/>
    <s v="West"/>
    <n v="9"/>
    <n v="69537"/>
    <x v="0"/>
    <n v="3"/>
    <n v="3"/>
    <n v="62"/>
    <n v="3"/>
    <d v="2014-02-01T00:00:00"/>
    <s v="No"/>
    <x v="0"/>
    <n v="3"/>
    <x v="1"/>
    <x v="0"/>
    <x v="0"/>
  </r>
  <r>
    <s v="REL00305"/>
    <s v="Female"/>
    <n v="22"/>
    <s v="Graduate"/>
    <s v="Married"/>
    <x v="1"/>
    <s v="Operations Head"/>
    <x v="1"/>
    <x v="7"/>
    <s v="East"/>
    <n v="7"/>
    <n v="110796"/>
    <x v="0"/>
    <n v="1"/>
    <n v="2"/>
    <n v="48"/>
    <n v="0"/>
    <d v="2016-05-18T00:00:00"/>
    <s v="No"/>
    <x v="1"/>
    <n v="3"/>
    <x v="1"/>
    <x v="0"/>
    <x v="0"/>
  </r>
  <r>
    <s v="REL00306"/>
    <s v="Male"/>
    <n v="28"/>
    <s v="Graduate"/>
    <s v="Married"/>
    <x v="1"/>
    <s v="Operations Head"/>
    <x v="2"/>
    <x v="8"/>
    <s v="South"/>
    <n v="1"/>
    <n v="105142"/>
    <x v="2"/>
    <n v="3"/>
    <n v="2"/>
    <n v="27"/>
    <n v="2"/>
    <d v="2022-03-23T00:00:00"/>
    <s v="No"/>
    <x v="1"/>
    <n v="2"/>
    <x v="3"/>
    <x v="0"/>
    <x v="1"/>
  </r>
  <r>
    <s v="REL00307"/>
    <s v="Male"/>
    <n v="26"/>
    <s v="HSC"/>
    <s v="Married"/>
    <x v="1"/>
    <s v="Operations Head"/>
    <x v="2"/>
    <x v="7"/>
    <s v="East"/>
    <n v="13"/>
    <n v="114011"/>
    <x v="2"/>
    <n v="2"/>
    <n v="4"/>
    <n v="22"/>
    <n v="2"/>
    <d v="2010-06-14T00:00:00"/>
    <s v="No"/>
    <x v="1"/>
    <n v="2"/>
    <x v="2"/>
    <x v="0"/>
    <x v="1"/>
  </r>
  <r>
    <s v="REL00308"/>
    <s v="Male"/>
    <n v="36"/>
    <s v="BTech"/>
    <s v="Single"/>
    <x v="6"/>
    <s v="Customer Service Rep"/>
    <x v="4"/>
    <x v="3"/>
    <s v="West"/>
    <n v="15"/>
    <n v="66400"/>
    <x v="3"/>
    <n v="4"/>
    <n v="1"/>
    <n v="49"/>
    <n v="0"/>
    <d v="2008-06-05T00:00:00"/>
    <s v="No"/>
    <x v="0"/>
    <n v="4"/>
    <x v="2"/>
    <x v="2"/>
    <x v="1"/>
  </r>
  <r>
    <s v="REL00309"/>
    <s v="Male"/>
    <n v="36"/>
    <s v="MBA"/>
    <s v="Married"/>
    <x v="3"/>
    <s v="Store Manager"/>
    <x v="0"/>
    <x v="7"/>
    <s v="East"/>
    <n v="3"/>
    <n v="93873"/>
    <x v="0"/>
    <n v="4"/>
    <n v="2"/>
    <n v="26"/>
    <n v="2"/>
    <d v="2020-03-03T00:00:00"/>
    <s v="No"/>
    <x v="1"/>
    <n v="3"/>
    <x v="0"/>
    <x v="0"/>
    <x v="0"/>
  </r>
  <r>
    <s v="REL00310"/>
    <s v="Female"/>
    <n v="30"/>
    <s v="Post Graduate"/>
    <s v="Married"/>
    <x v="7"/>
    <s v="Logistics Coordinator"/>
    <x v="1"/>
    <x v="0"/>
    <s v="North"/>
    <n v="9"/>
    <n v="61603"/>
    <x v="3"/>
    <n v="2"/>
    <n v="4"/>
    <n v="60"/>
    <n v="1"/>
    <d v="2014-06-13T00:00:00"/>
    <s v="Yes"/>
    <x v="0"/>
    <n v="4"/>
    <x v="1"/>
    <x v="1"/>
    <x v="1"/>
  </r>
  <r>
    <s v="REL00311"/>
    <s v="Male"/>
    <n v="48"/>
    <s v="MBA"/>
    <s v="Married"/>
    <x v="1"/>
    <s v="Logistics Coordinator"/>
    <x v="2"/>
    <x v="1"/>
    <s v="North"/>
    <n v="5"/>
    <n v="55597"/>
    <x v="3"/>
    <n v="3"/>
    <n v="2"/>
    <n v="51"/>
    <n v="2"/>
    <d v="2018-11-18T00:00:00"/>
    <s v="No"/>
    <x v="0"/>
    <n v="4"/>
    <x v="0"/>
    <x v="2"/>
    <x v="1"/>
  </r>
  <r>
    <s v="REL00312"/>
    <s v="Male"/>
    <n v="34"/>
    <s v="HSC"/>
    <s v="Single"/>
    <x v="0"/>
    <s v="Finance Analyst"/>
    <x v="0"/>
    <x v="4"/>
    <s v="North"/>
    <n v="6"/>
    <n v="66778"/>
    <x v="0"/>
    <n v="1"/>
    <n v="1"/>
    <n v="16"/>
    <n v="1"/>
    <d v="2017-12-11T00:00:00"/>
    <s v="No"/>
    <x v="0"/>
    <n v="3"/>
    <x v="1"/>
    <x v="0"/>
    <x v="0"/>
  </r>
  <r>
    <s v="REL00313"/>
    <s v="Male"/>
    <n v="43"/>
    <s v="Post Graduate"/>
    <s v="Divorced"/>
    <x v="3"/>
    <s v="Sales Executive"/>
    <x v="0"/>
    <x v="4"/>
    <s v="North"/>
    <n v="6"/>
    <n v="51998"/>
    <x v="3"/>
    <n v="2"/>
    <n v="2"/>
    <n v="79"/>
    <n v="2"/>
    <d v="2017-05-06T00:00:00"/>
    <s v="No"/>
    <x v="0"/>
    <n v="4"/>
    <x v="1"/>
    <x v="2"/>
    <x v="1"/>
  </r>
  <r>
    <s v="REL00314"/>
    <s v="Male"/>
    <n v="38"/>
    <s v="Post Graduate"/>
    <s v="Single"/>
    <x v="7"/>
    <s v="Store Manager"/>
    <x v="1"/>
    <x v="1"/>
    <s v="North"/>
    <n v="12"/>
    <n v="111340"/>
    <x v="0"/>
    <n v="3"/>
    <n v="2"/>
    <n v="44"/>
    <n v="0"/>
    <d v="2011-01-30T00:00:00"/>
    <s v="No"/>
    <x v="1"/>
    <n v="3"/>
    <x v="2"/>
    <x v="0"/>
    <x v="0"/>
  </r>
  <r>
    <s v="REL00315"/>
    <s v="Female"/>
    <n v="36"/>
    <s v="MBA"/>
    <s v="Divorced"/>
    <x v="0"/>
    <s v="Operations Head"/>
    <x v="4"/>
    <x v="9"/>
    <s v="West"/>
    <n v="11"/>
    <n v="118803"/>
    <x v="1"/>
    <n v="1"/>
    <n v="3"/>
    <n v="72"/>
    <n v="0"/>
    <d v="2012-08-07T00:00:00"/>
    <s v="Yes"/>
    <x v="1"/>
    <n v="1"/>
    <x v="2"/>
    <x v="1"/>
    <x v="2"/>
  </r>
  <r>
    <s v="REL00316"/>
    <s v="Female"/>
    <n v="53"/>
    <s v="MBA"/>
    <s v="Divorced"/>
    <x v="1"/>
    <s v="Store Manager"/>
    <x v="1"/>
    <x v="6"/>
    <s v="South"/>
    <n v="9"/>
    <n v="94302"/>
    <x v="1"/>
    <n v="2"/>
    <n v="1"/>
    <n v="54"/>
    <n v="2"/>
    <d v="2014-07-31T00:00:00"/>
    <s v="No"/>
    <x v="1"/>
    <n v="1"/>
    <x v="1"/>
    <x v="0"/>
    <x v="2"/>
  </r>
  <r>
    <s v="REL00317"/>
    <s v="Female"/>
    <n v="36"/>
    <s v="Post Graduate"/>
    <s v="Married"/>
    <x v="4"/>
    <s v="Store Manager"/>
    <x v="2"/>
    <x v="7"/>
    <s v="East"/>
    <n v="13"/>
    <n v="109443"/>
    <x v="2"/>
    <n v="4"/>
    <n v="2"/>
    <n v="21"/>
    <n v="3"/>
    <d v="2010-12-20T00:00:00"/>
    <s v="No"/>
    <x v="1"/>
    <n v="2"/>
    <x v="2"/>
    <x v="0"/>
    <x v="1"/>
  </r>
  <r>
    <s v="REL00318"/>
    <s v="Female"/>
    <n v="50"/>
    <s v="BTech"/>
    <s v="Single"/>
    <x v="1"/>
    <s v="HR Manager"/>
    <x v="3"/>
    <x v="1"/>
    <s v="North"/>
    <n v="10"/>
    <n v="98974"/>
    <x v="0"/>
    <n v="2"/>
    <n v="2"/>
    <n v="79"/>
    <n v="1"/>
    <d v="2013-02-28T00:00:00"/>
    <s v="No"/>
    <x v="1"/>
    <n v="3"/>
    <x v="1"/>
    <x v="0"/>
    <x v="0"/>
  </r>
  <r>
    <s v="REL00319"/>
    <s v="Male"/>
    <n v="29"/>
    <s v="Post Graduate"/>
    <s v="Married"/>
    <x v="4"/>
    <s v="HR Manager"/>
    <x v="1"/>
    <x v="6"/>
    <s v="South"/>
    <n v="7"/>
    <n v="97508"/>
    <x v="0"/>
    <n v="2"/>
    <n v="1"/>
    <n v="50"/>
    <n v="3"/>
    <d v="2016-07-24T00:00:00"/>
    <s v="No"/>
    <x v="1"/>
    <n v="3"/>
    <x v="1"/>
    <x v="0"/>
    <x v="0"/>
  </r>
  <r>
    <s v="REL00320"/>
    <s v="Male"/>
    <n v="39"/>
    <s v="BTech"/>
    <s v="Divorced"/>
    <x v="4"/>
    <s v="Marketing Executive"/>
    <x v="3"/>
    <x v="2"/>
    <s v="West"/>
    <n v="3"/>
    <n v="49498"/>
    <x v="2"/>
    <n v="2"/>
    <n v="2"/>
    <n v="39"/>
    <n v="0"/>
    <d v="2020-09-29T00:00:00"/>
    <s v="No"/>
    <x v="2"/>
    <n v="2"/>
    <x v="0"/>
    <x v="0"/>
    <x v="1"/>
  </r>
  <r>
    <s v="REL00321"/>
    <s v="Female"/>
    <n v="52"/>
    <s v="Post Graduate"/>
    <s v="Single"/>
    <x v="2"/>
    <s v="Finance Analyst"/>
    <x v="3"/>
    <x v="7"/>
    <s v="East"/>
    <n v="9"/>
    <n v="80253"/>
    <x v="0"/>
    <n v="2"/>
    <n v="2"/>
    <n v="14"/>
    <n v="3"/>
    <d v="2014-06-19T00:00:00"/>
    <s v="No"/>
    <x v="1"/>
    <n v="3"/>
    <x v="1"/>
    <x v="0"/>
    <x v="0"/>
  </r>
  <r>
    <s v="REL00322"/>
    <s v="Female"/>
    <n v="53"/>
    <s v="HSC"/>
    <s v="Married"/>
    <x v="4"/>
    <s v="Marketing Executive"/>
    <x v="3"/>
    <x v="3"/>
    <s v="West"/>
    <n v="12"/>
    <n v="70703"/>
    <x v="0"/>
    <n v="2"/>
    <n v="4"/>
    <n v="61"/>
    <n v="0"/>
    <d v="2011-10-06T00:00:00"/>
    <s v="Yes"/>
    <x v="0"/>
    <n v="3"/>
    <x v="2"/>
    <x v="1"/>
    <x v="0"/>
  </r>
  <r>
    <s v="REL00323"/>
    <s v="Male"/>
    <n v="37"/>
    <s v="BTech"/>
    <s v="Divorced"/>
    <x v="6"/>
    <s v="Store Manager"/>
    <x v="0"/>
    <x v="4"/>
    <s v="North"/>
    <n v="10"/>
    <n v="112060"/>
    <x v="1"/>
    <n v="4"/>
    <n v="1"/>
    <n v="59"/>
    <n v="0"/>
    <d v="2013-05-15T00:00:00"/>
    <s v="Yes"/>
    <x v="1"/>
    <n v="1"/>
    <x v="1"/>
    <x v="1"/>
    <x v="2"/>
  </r>
  <r>
    <s v="REL00324"/>
    <s v="Female"/>
    <n v="25"/>
    <s v="BTech"/>
    <s v="Single"/>
    <x v="4"/>
    <s v="Operations Head"/>
    <x v="3"/>
    <x v="5"/>
    <s v="South"/>
    <n v="15"/>
    <n v="124368"/>
    <x v="1"/>
    <n v="4"/>
    <n v="4"/>
    <n v="21"/>
    <n v="0"/>
    <d v="2008-06-02T00:00:00"/>
    <s v="Yes"/>
    <x v="1"/>
    <n v="1"/>
    <x v="2"/>
    <x v="1"/>
    <x v="2"/>
  </r>
  <r>
    <s v="REL00325"/>
    <s v="Male"/>
    <n v="51"/>
    <s v="Graduate"/>
    <s v="Married"/>
    <x v="3"/>
    <s v="Finance Analyst"/>
    <x v="3"/>
    <x v="6"/>
    <s v="South"/>
    <n v="6"/>
    <n v="62816"/>
    <x v="1"/>
    <n v="3"/>
    <n v="2"/>
    <n v="25"/>
    <n v="0"/>
    <d v="2017-03-06T00:00:00"/>
    <s v="Yes"/>
    <x v="0"/>
    <n v="1"/>
    <x v="1"/>
    <x v="1"/>
    <x v="1"/>
  </r>
  <r>
    <s v="REL00326"/>
    <s v="Female"/>
    <n v="46"/>
    <s v="Graduate"/>
    <s v="Single"/>
    <x v="7"/>
    <s v="Logistics Coordinator"/>
    <x v="0"/>
    <x v="0"/>
    <s v="North"/>
    <n v="9"/>
    <n v="69766"/>
    <x v="3"/>
    <n v="3"/>
    <n v="2"/>
    <n v="30"/>
    <n v="1"/>
    <d v="2014-10-14T00:00:00"/>
    <s v="No"/>
    <x v="0"/>
    <n v="4"/>
    <x v="1"/>
    <x v="2"/>
    <x v="1"/>
  </r>
  <r>
    <s v="REL00327"/>
    <s v="Male"/>
    <n v="34"/>
    <s v="Graduate"/>
    <s v="Divorced"/>
    <x v="0"/>
    <s v="Finance Analyst"/>
    <x v="3"/>
    <x v="6"/>
    <s v="South"/>
    <n v="5"/>
    <n v="69462"/>
    <x v="2"/>
    <n v="3"/>
    <n v="1"/>
    <n v="68"/>
    <n v="3"/>
    <d v="2018-11-03T00:00:00"/>
    <s v="No"/>
    <x v="0"/>
    <n v="2"/>
    <x v="0"/>
    <x v="0"/>
    <x v="1"/>
  </r>
  <r>
    <s v="REL00328"/>
    <s v="Female"/>
    <n v="27"/>
    <s v="BTech"/>
    <s v="Divorced"/>
    <x v="0"/>
    <s v="Marketing Executive"/>
    <x v="1"/>
    <x v="9"/>
    <s v="West"/>
    <n v="4"/>
    <n v="67295"/>
    <x v="1"/>
    <n v="1"/>
    <n v="2"/>
    <n v="80"/>
    <n v="2"/>
    <d v="2019-06-07T00:00:00"/>
    <s v="Yes"/>
    <x v="0"/>
    <n v="1"/>
    <x v="0"/>
    <x v="1"/>
    <x v="1"/>
  </r>
  <r>
    <s v="REL00329"/>
    <s v="Male"/>
    <n v="41"/>
    <s v="HSC"/>
    <s v="Single"/>
    <x v="1"/>
    <s v="Store Manager"/>
    <x v="4"/>
    <x v="4"/>
    <s v="North"/>
    <n v="3"/>
    <n v="92436"/>
    <x v="0"/>
    <n v="1"/>
    <n v="1"/>
    <n v="63"/>
    <n v="1"/>
    <d v="2020-10-19T00:00:00"/>
    <s v="Yes"/>
    <x v="1"/>
    <n v="3"/>
    <x v="0"/>
    <x v="1"/>
    <x v="0"/>
  </r>
  <r>
    <s v="REL00330"/>
    <s v="Female"/>
    <n v="45"/>
    <s v="MBA"/>
    <s v="Single"/>
    <x v="4"/>
    <s v="Customer Service Rep"/>
    <x v="1"/>
    <x v="6"/>
    <s v="South"/>
    <n v="8"/>
    <n v="42174"/>
    <x v="0"/>
    <n v="4"/>
    <n v="1"/>
    <n v="47"/>
    <n v="3"/>
    <d v="2015-08-03T00:00:00"/>
    <s v="Yes"/>
    <x v="2"/>
    <n v="3"/>
    <x v="1"/>
    <x v="1"/>
    <x v="1"/>
  </r>
  <r>
    <s v="REL00331"/>
    <s v="Male"/>
    <n v="25"/>
    <s v="Graduate"/>
    <s v="Divorced"/>
    <x v="2"/>
    <s v="Logistics Coordinator"/>
    <x v="0"/>
    <x v="6"/>
    <s v="South"/>
    <n v="9"/>
    <n v="70191"/>
    <x v="2"/>
    <n v="1"/>
    <n v="4"/>
    <n v="46"/>
    <n v="3"/>
    <d v="2014-01-12T00:00:00"/>
    <s v="No"/>
    <x v="0"/>
    <n v="2"/>
    <x v="1"/>
    <x v="0"/>
    <x v="1"/>
  </r>
  <r>
    <s v="REL00332"/>
    <s v="Female"/>
    <n v="53"/>
    <s v="Post Graduate"/>
    <s v="Divorced"/>
    <x v="5"/>
    <s v="HR Manager"/>
    <x v="0"/>
    <x v="4"/>
    <s v="North"/>
    <n v="15"/>
    <n v="113436"/>
    <x v="2"/>
    <n v="2"/>
    <n v="3"/>
    <n v="34"/>
    <n v="0"/>
    <d v="2008-04-13T00:00:00"/>
    <s v="No"/>
    <x v="1"/>
    <n v="2"/>
    <x v="2"/>
    <x v="0"/>
    <x v="1"/>
  </r>
  <r>
    <s v="REL00333"/>
    <s v="Female"/>
    <n v="44"/>
    <s v="BTech"/>
    <s v="Divorced"/>
    <x v="0"/>
    <s v="Marketing Executive"/>
    <x v="3"/>
    <x v="0"/>
    <s v="North"/>
    <n v="12"/>
    <n v="77586"/>
    <x v="3"/>
    <n v="2"/>
    <n v="1"/>
    <n v="35"/>
    <n v="2"/>
    <d v="2011-12-12T00:00:00"/>
    <s v="No"/>
    <x v="0"/>
    <n v="4"/>
    <x v="2"/>
    <x v="2"/>
    <x v="1"/>
  </r>
  <r>
    <s v="REL00334"/>
    <s v="Female"/>
    <n v="43"/>
    <s v="MBA"/>
    <s v="Divorced"/>
    <x v="2"/>
    <s v="Customer Service Rep"/>
    <x v="0"/>
    <x v="8"/>
    <s v="South"/>
    <n v="9"/>
    <n v="43200"/>
    <x v="2"/>
    <n v="1"/>
    <n v="2"/>
    <n v="34"/>
    <n v="2"/>
    <d v="2014-01-17T00:00:00"/>
    <s v="Yes"/>
    <x v="2"/>
    <n v="2"/>
    <x v="1"/>
    <x v="1"/>
    <x v="1"/>
  </r>
  <r>
    <s v="REL00335"/>
    <s v="Female"/>
    <n v="43"/>
    <s v="MBA"/>
    <s v="Married"/>
    <x v="7"/>
    <s v="HR Manager"/>
    <x v="3"/>
    <x v="7"/>
    <s v="East"/>
    <n v="11"/>
    <n v="102777"/>
    <x v="3"/>
    <n v="1"/>
    <n v="3"/>
    <n v="50"/>
    <n v="0"/>
    <d v="2012-02-17T00:00:00"/>
    <s v="No"/>
    <x v="1"/>
    <n v="4"/>
    <x v="2"/>
    <x v="2"/>
    <x v="0"/>
  </r>
  <r>
    <s v="REL00336"/>
    <s v="Male"/>
    <n v="46"/>
    <s v="Post Graduate"/>
    <s v="Divorced"/>
    <x v="5"/>
    <s v="Operations Head"/>
    <x v="0"/>
    <x v="5"/>
    <s v="South"/>
    <n v="3"/>
    <n v="92021"/>
    <x v="3"/>
    <n v="1"/>
    <n v="3"/>
    <n v="50"/>
    <n v="0"/>
    <d v="2020-06-23T00:00:00"/>
    <s v="No"/>
    <x v="1"/>
    <n v="4"/>
    <x v="0"/>
    <x v="2"/>
    <x v="0"/>
  </r>
  <r>
    <s v="REL00337"/>
    <s v="Female"/>
    <n v="33"/>
    <s v="Graduate"/>
    <s v="Married"/>
    <x v="6"/>
    <s v="Marketing Executive"/>
    <x v="4"/>
    <x v="8"/>
    <s v="South"/>
    <n v="15"/>
    <n v="82176"/>
    <x v="1"/>
    <n v="1"/>
    <n v="2"/>
    <n v="21"/>
    <n v="3"/>
    <d v="2008-09-16T00:00:00"/>
    <s v="Yes"/>
    <x v="1"/>
    <n v="1"/>
    <x v="2"/>
    <x v="1"/>
    <x v="2"/>
  </r>
  <r>
    <s v="REL00338"/>
    <s v="Female"/>
    <n v="31"/>
    <s v="Graduate"/>
    <s v="Divorced"/>
    <x v="0"/>
    <s v="Customer Service Rep"/>
    <x v="3"/>
    <x v="1"/>
    <s v="North"/>
    <n v="4"/>
    <n v="48842"/>
    <x v="0"/>
    <n v="2"/>
    <n v="2"/>
    <n v="14"/>
    <n v="3"/>
    <d v="2019-07-28T00:00:00"/>
    <s v="No"/>
    <x v="2"/>
    <n v="3"/>
    <x v="0"/>
    <x v="0"/>
    <x v="1"/>
  </r>
  <r>
    <s v="REL00339"/>
    <s v="Female"/>
    <n v="24"/>
    <s v="Graduate"/>
    <s v="Divorced"/>
    <x v="2"/>
    <s v="Store Manager"/>
    <x v="4"/>
    <x v="2"/>
    <s v="West"/>
    <n v="15"/>
    <n v="124473"/>
    <x v="2"/>
    <n v="3"/>
    <n v="1"/>
    <n v="49"/>
    <n v="1"/>
    <d v="2008-07-18T00:00:00"/>
    <s v="Yes"/>
    <x v="1"/>
    <n v="2"/>
    <x v="2"/>
    <x v="1"/>
    <x v="1"/>
  </r>
  <r>
    <s v="REL00340"/>
    <s v="Male"/>
    <n v="32"/>
    <s v="HSC"/>
    <s v="Single"/>
    <x v="1"/>
    <s v="Customer Service Rep"/>
    <x v="2"/>
    <x v="7"/>
    <s v="East"/>
    <n v="5"/>
    <n v="49454"/>
    <x v="2"/>
    <n v="1"/>
    <n v="1"/>
    <n v="36"/>
    <n v="2"/>
    <d v="2018-08-16T00:00:00"/>
    <s v="Yes"/>
    <x v="2"/>
    <n v="2"/>
    <x v="0"/>
    <x v="1"/>
    <x v="1"/>
  </r>
  <r>
    <s v="REL00341"/>
    <s v="Male"/>
    <n v="41"/>
    <s v="BTech"/>
    <s v="Married"/>
    <x v="5"/>
    <s v="Operations Head"/>
    <x v="0"/>
    <x v="1"/>
    <s v="North"/>
    <n v="12"/>
    <n v="127811"/>
    <x v="0"/>
    <n v="4"/>
    <n v="1"/>
    <n v="26"/>
    <n v="0"/>
    <d v="2011-10-09T00:00:00"/>
    <s v="No"/>
    <x v="1"/>
    <n v="3"/>
    <x v="2"/>
    <x v="0"/>
    <x v="0"/>
  </r>
  <r>
    <s v="REL00342"/>
    <s v="Female"/>
    <n v="44"/>
    <s v="HSC"/>
    <s v="Married"/>
    <x v="0"/>
    <s v="Sales Executive"/>
    <x v="4"/>
    <x v="9"/>
    <s v="West"/>
    <n v="1"/>
    <n v="45974"/>
    <x v="1"/>
    <n v="2"/>
    <n v="1"/>
    <n v="69"/>
    <n v="1"/>
    <d v="2022-01-06T00:00:00"/>
    <s v="Yes"/>
    <x v="2"/>
    <n v="1"/>
    <x v="3"/>
    <x v="1"/>
    <x v="1"/>
  </r>
  <r>
    <s v="REL00343"/>
    <s v="Female"/>
    <n v="45"/>
    <s v="MBA"/>
    <s v="Single"/>
    <x v="7"/>
    <s v="Finance Analyst"/>
    <x v="4"/>
    <x v="0"/>
    <s v="North"/>
    <n v="5"/>
    <n v="75418"/>
    <x v="1"/>
    <n v="3"/>
    <n v="3"/>
    <n v="68"/>
    <n v="3"/>
    <d v="2018-10-21T00:00:00"/>
    <s v="Yes"/>
    <x v="0"/>
    <n v="1"/>
    <x v="0"/>
    <x v="1"/>
    <x v="1"/>
  </r>
  <r>
    <s v="REL00344"/>
    <s v="Female"/>
    <n v="30"/>
    <s v="BTech"/>
    <s v="Single"/>
    <x v="2"/>
    <s v="Finance Analyst"/>
    <x v="3"/>
    <x v="3"/>
    <s v="West"/>
    <n v="6"/>
    <n v="77113"/>
    <x v="3"/>
    <n v="4"/>
    <n v="1"/>
    <n v="51"/>
    <n v="0"/>
    <d v="2017-08-11T00:00:00"/>
    <s v="No"/>
    <x v="0"/>
    <n v="4"/>
    <x v="1"/>
    <x v="2"/>
    <x v="1"/>
  </r>
  <r>
    <s v="REL00345"/>
    <s v="Male"/>
    <n v="43"/>
    <s v="Post Graduate"/>
    <s v="Divorced"/>
    <x v="7"/>
    <s v="Marketing Executive"/>
    <x v="3"/>
    <x v="8"/>
    <s v="South"/>
    <n v="4"/>
    <n v="65955"/>
    <x v="1"/>
    <n v="4"/>
    <n v="4"/>
    <n v="53"/>
    <n v="1"/>
    <d v="2019-06-20T00:00:00"/>
    <s v="Yes"/>
    <x v="0"/>
    <n v="1"/>
    <x v="0"/>
    <x v="1"/>
    <x v="1"/>
  </r>
  <r>
    <s v="REL00346"/>
    <s v="Male"/>
    <n v="41"/>
    <s v="MBA"/>
    <s v="Single"/>
    <x v="2"/>
    <s v="Finance Analyst"/>
    <x v="1"/>
    <x v="6"/>
    <s v="South"/>
    <n v="2"/>
    <n v="64661"/>
    <x v="1"/>
    <n v="1"/>
    <n v="4"/>
    <n v="51"/>
    <n v="3"/>
    <d v="2021-05-19T00:00:00"/>
    <s v="Yes"/>
    <x v="0"/>
    <n v="1"/>
    <x v="3"/>
    <x v="1"/>
    <x v="1"/>
  </r>
  <r>
    <s v="REL00347"/>
    <s v="Female"/>
    <n v="46"/>
    <s v="BTech"/>
    <s v="Divorced"/>
    <x v="2"/>
    <s v="Store Manager"/>
    <x v="2"/>
    <x v="3"/>
    <s v="West"/>
    <n v="15"/>
    <n v="109807"/>
    <x v="0"/>
    <n v="4"/>
    <n v="2"/>
    <n v="36"/>
    <n v="2"/>
    <d v="2008-05-18T00:00:00"/>
    <s v="No"/>
    <x v="1"/>
    <n v="3"/>
    <x v="2"/>
    <x v="0"/>
    <x v="0"/>
  </r>
  <r>
    <s v="REL00348"/>
    <s v="Female"/>
    <n v="25"/>
    <s v="HSC"/>
    <s v="Divorced"/>
    <x v="4"/>
    <s v="Store Manager"/>
    <x v="3"/>
    <x v="8"/>
    <s v="South"/>
    <n v="2"/>
    <n v="95725"/>
    <x v="2"/>
    <n v="1"/>
    <n v="1"/>
    <n v="55"/>
    <n v="0"/>
    <d v="2021-10-28T00:00:00"/>
    <s v="No"/>
    <x v="1"/>
    <n v="2"/>
    <x v="3"/>
    <x v="0"/>
    <x v="1"/>
  </r>
  <r>
    <s v="REL00349"/>
    <s v="Female"/>
    <n v="35"/>
    <s v="Post Graduate"/>
    <s v="Married"/>
    <x v="0"/>
    <s v="Logistics Coordinator"/>
    <x v="2"/>
    <x v="8"/>
    <s v="South"/>
    <n v="12"/>
    <n v="69424"/>
    <x v="1"/>
    <n v="2"/>
    <n v="2"/>
    <n v="59"/>
    <n v="2"/>
    <d v="2011-06-23T00:00:00"/>
    <s v="Yes"/>
    <x v="0"/>
    <n v="1"/>
    <x v="2"/>
    <x v="1"/>
    <x v="1"/>
  </r>
  <r>
    <s v="REL00350"/>
    <s v="Female"/>
    <n v="49"/>
    <s v="Post Graduate"/>
    <s v="Single"/>
    <x v="3"/>
    <s v="Store Manager"/>
    <x v="0"/>
    <x v="2"/>
    <s v="West"/>
    <n v="3"/>
    <n v="83350"/>
    <x v="0"/>
    <n v="2"/>
    <n v="4"/>
    <n v="68"/>
    <n v="3"/>
    <d v="2020-10-20T00:00:00"/>
    <s v="Yes"/>
    <x v="1"/>
    <n v="3"/>
    <x v="0"/>
    <x v="1"/>
    <x v="0"/>
  </r>
  <r>
    <s v="REL00351"/>
    <s v="Female"/>
    <n v="22"/>
    <s v="BTech"/>
    <s v="Married"/>
    <x v="3"/>
    <s v="Finance Analyst"/>
    <x v="3"/>
    <x v="4"/>
    <s v="North"/>
    <n v="9"/>
    <n v="80606"/>
    <x v="1"/>
    <n v="2"/>
    <n v="3"/>
    <n v="62"/>
    <n v="2"/>
    <d v="2014-09-30T00:00:00"/>
    <s v="Yes"/>
    <x v="1"/>
    <n v="1"/>
    <x v="1"/>
    <x v="1"/>
    <x v="2"/>
  </r>
  <r>
    <s v="REL00352"/>
    <s v="Male"/>
    <n v="31"/>
    <s v="BTech"/>
    <s v="Married"/>
    <x v="0"/>
    <s v="Customer Service Rep"/>
    <x v="1"/>
    <x v="3"/>
    <s v="West"/>
    <n v="12"/>
    <n v="52708"/>
    <x v="1"/>
    <n v="4"/>
    <n v="1"/>
    <n v="76"/>
    <n v="0"/>
    <d v="2011-01-16T00:00:00"/>
    <s v="Yes"/>
    <x v="0"/>
    <n v="1"/>
    <x v="2"/>
    <x v="1"/>
    <x v="1"/>
  </r>
  <r>
    <s v="REL00353"/>
    <s v="Female"/>
    <n v="51"/>
    <s v="BTech"/>
    <s v="Married"/>
    <x v="7"/>
    <s v="Store Manager"/>
    <x v="4"/>
    <x v="5"/>
    <s v="South"/>
    <n v="10"/>
    <n v="106257"/>
    <x v="2"/>
    <n v="3"/>
    <n v="4"/>
    <n v="55"/>
    <n v="2"/>
    <d v="2013-12-29T00:00:00"/>
    <s v="No"/>
    <x v="1"/>
    <n v="2"/>
    <x v="1"/>
    <x v="0"/>
    <x v="1"/>
  </r>
  <r>
    <s v="REL00354"/>
    <s v="Male"/>
    <n v="25"/>
    <s v="HSC"/>
    <s v="Divorced"/>
    <x v="3"/>
    <s v="Operations Head"/>
    <x v="4"/>
    <x v="8"/>
    <s v="South"/>
    <n v="12"/>
    <n v="111012"/>
    <x v="2"/>
    <n v="1"/>
    <n v="3"/>
    <n v="72"/>
    <n v="0"/>
    <d v="2011-03-14T00:00:00"/>
    <s v="No"/>
    <x v="1"/>
    <n v="2"/>
    <x v="2"/>
    <x v="0"/>
    <x v="1"/>
  </r>
  <r>
    <s v="REL00355"/>
    <s v="Male"/>
    <n v="33"/>
    <s v="BTech"/>
    <s v="Divorced"/>
    <x v="2"/>
    <s v="Operations Head"/>
    <x v="0"/>
    <x v="6"/>
    <s v="South"/>
    <n v="3"/>
    <n v="100018"/>
    <x v="2"/>
    <n v="2"/>
    <n v="4"/>
    <n v="57"/>
    <n v="1"/>
    <d v="2020-12-25T00:00:00"/>
    <s v="No"/>
    <x v="1"/>
    <n v="2"/>
    <x v="0"/>
    <x v="0"/>
    <x v="1"/>
  </r>
  <r>
    <s v="REL00356"/>
    <s v="Male"/>
    <n v="53"/>
    <s v="MBA"/>
    <s v="Married"/>
    <x v="1"/>
    <s v="Store Manager"/>
    <x v="3"/>
    <x v="8"/>
    <s v="South"/>
    <n v="13"/>
    <n v="112234"/>
    <x v="0"/>
    <n v="2"/>
    <n v="4"/>
    <n v="31"/>
    <n v="1"/>
    <d v="2010-10-22T00:00:00"/>
    <s v="Yes"/>
    <x v="1"/>
    <n v="3"/>
    <x v="2"/>
    <x v="1"/>
    <x v="0"/>
  </r>
  <r>
    <s v="REL00357"/>
    <s v="Female"/>
    <n v="52"/>
    <s v="HSC"/>
    <s v="Married"/>
    <x v="5"/>
    <s v="Sales Executive"/>
    <x v="4"/>
    <x v="4"/>
    <s v="North"/>
    <n v="13"/>
    <n v="57721"/>
    <x v="2"/>
    <n v="2"/>
    <n v="4"/>
    <n v="59"/>
    <n v="3"/>
    <d v="2010-05-12T00:00:00"/>
    <s v="No"/>
    <x v="0"/>
    <n v="2"/>
    <x v="2"/>
    <x v="0"/>
    <x v="1"/>
  </r>
  <r>
    <s v="REL00358"/>
    <s v="Male"/>
    <n v="28"/>
    <s v="BTech"/>
    <s v="Divorced"/>
    <x v="3"/>
    <s v="Operations Head"/>
    <x v="1"/>
    <x v="8"/>
    <s v="South"/>
    <n v="1"/>
    <n v="101706"/>
    <x v="1"/>
    <n v="3"/>
    <n v="4"/>
    <n v="44"/>
    <n v="2"/>
    <d v="2022-07-24T00:00:00"/>
    <s v="No"/>
    <x v="1"/>
    <n v="1"/>
    <x v="3"/>
    <x v="3"/>
    <x v="2"/>
  </r>
  <r>
    <s v="REL00359"/>
    <s v="Male"/>
    <n v="55"/>
    <s v="HSC"/>
    <s v="Divorced"/>
    <x v="4"/>
    <s v="Logistics Coordinator"/>
    <x v="4"/>
    <x v="8"/>
    <s v="South"/>
    <n v="11"/>
    <n v="72109"/>
    <x v="2"/>
    <n v="2"/>
    <n v="3"/>
    <n v="80"/>
    <n v="0"/>
    <d v="2012-01-25T00:00:00"/>
    <s v="No"/>
    <x v="0"/>
    <n v="2"/>
    <x v="2"/>
    <x v="0"/>
    <x v="1"/>
  </r>
  <r>
    <s v="REL00360"/>
    <s v="Female"/>
    <n v="34"/>
    <s v="Graduate"/>
    <s v="Single"/>
    <x v="2"/>
    <s v="Sales Executive"/>
    <x v="4"/>
    <x v="3"/>
    <s v="West"/>
    <n v="2"/>
    <n v="48612"/>
    <x v="1"/>
    <n v="1"/>
    <n v="1"/>
    <n v="37"/>
    <n v="0"/>
    <d v="2021-08-09T00:00:00"/>
    <s v="Yes"/>
    <x v="2"/>
    <n v="1"/>
    <x v="3"/>
    <x v="1"/>
    <x v="1"/>
  </r>
  <r>
    <s v="REL00361"/>
    <s v="Female"/>
    <n v="51"/>
    <s v="Graduate"/>
    <s v="Divorced"/>
    <x v="2"/>
    <s v="HR Manager"/>
    <x v="1"/>
    <x v="0"/>
    <s v="North"/>
    <n v="7"/>
    <n v="82632"/>
    <x v="0"/>
    <n v="4"/>
    <n v="3"/>
    <n v="64"/>
    <n v="2"/>
    <d v="2016-08-26T00:00:00"/>
    <s v="No"/>
    <x v="1"/>
    <n v="3"/>
    <x v="1"/>
    <x v="0"/>
    <x v="0"/>
  </r>
  <r>
    <s v="REL00362"/>
    <s v="Male"/>
    <n v="38"/>
    <s v="HSC"/>
    <s v="Single"/>
    <x v="3"/>
    <s v="Store Manager"/>
    <x v="4"/>
    <x v="8"/>
    <s v="South"/>
    <n v="13"/>
    <n v="113543"/>
    <x v="2"/>
    <n v="4"/>
    <n v="1"/>
    <n v="72"/>
    <n v="1"/>
    <d v="2010-07-18T00:00:00"/>
    <s v="No"/>
    <x v="1"/>
    <n v="2"/>
    <x v="2"/>
    <x v="0"/>
    <x v="1"/>
  </r>
  <r>
    <s v="REL00363"/>
    <s v="Male"/>
    <n v="50"/>
    <s v="HSC"/>
    <s v="Single"/>
    <x v="6"/>
    <s v="HR Manager"/>
    <x v="2"/>
    <x v="4"/>
    <s v="North"/>
    <n v="2"/>
    <n v="86715"/>
    <x v="1"/>
    <n v="1"/>
    <n v="1"/>
    <n v="19"/>
    <n v="2"/>
    <d v="2021-02-21T00:00:00"/>
    <s v="Yes"/>
    <x v="1"/>
    <n v="1"/>
    <x v="3"/>
    <x v="1"/>
    <x v="2"/>
  </r>
  <r>
    <s v="REL00364"/>
    <s v="Male"/>
    <n v="43"/>
    <s v="MBA"/>
    <s v="Divorced"/>
    <x v="0"/>
    <s v="Store Manager"/>
    <x v="3"/>
    <x v="9"/>
    <s v="West"/>
    <n v="11"/>
    <n v="98239"/>
    <x v="0"/>
    <n v="1"/>
    <n v="4"/>
    <n v="71"/>
    <n v="3"/>
    <d v="2012-08-20T00:00:00"/>
    <s v="No"/>
    <x v="1"/>
    <n v="3"/>
    <x v="2"/>
    <x v="0"/>
    <x v="0"/>
  </r>
  <r>
    <s v="REL00365"/>
    <s v="Female"/>
    <n v="43"/>
    <s v="HSC"/>
    <s v="Married"/>
    <x v="2"/>
    <s v="Logistics Coordinator"/>
    <x v="1"/>
    <x v="2"/>
    <s v="West"/>
    <n v="1"/>
    <n v="52796"/>
    <x v="0"/>
    <n v="1"/>
    <n v="1"/>
    <n v="56"/>
    <n v="2"/>
    <d v="2022-03-17T00:00:00"/>
    <s v="Yes"/>
    <x v="0"/>
    <n v="3"/>
    <x v="3"/>
    <x v="1"/>
    <x v="0"/>
  </r>
  <r>
    <s v="REL00366"/>
    <s v="Female"/>
    <n v="28"/>
    <s v="HSC"/>
    <s v="Married"/>
    <x v="7"/>
    <s v="Store Manager"/>
    <x v="0"/>
    <x v="0"/>
    <s v="North"/>
    <n v="3"/>
    <n v="93588"/>
    <x v="0"/>
    <n v="1"/>
    <n v="4"/>
    <n v="34"/>
    <n v="1"/>
    <d v="2020-08-01T00:00:00"/>
    <s v="No"/>
    <x v="1"/>
    <n v="3"/>
    <x v="0"/>
    <x v="0"/>
    <x v="0"/>
  </r>
  <r>
    <s v="REL00367"/>
    <s v="Female"/>
    <n v="53"/>
    <s v="BTech"/>
    <s v="Married"/>
    <x v="1"/>
    <s v="Logistics Coordinator"/>
    <x v="4"/>
    <x v="3"/>
    <s v="West"/>
    <n v="8"/>
    <n v="53064"/>
    <x v="0"/>
    <n v="1"/>
    <n v="1"/>
    <n v="53"/>
    <n v="0"/>
    <d v="2015-02-08T00:00:00"/>
    <s v="No"/>
    <x v="0"/>
    <n v="3"/>
    <x v="1"/>
    <x v="0"/>
    <x v="0"/>
  </r>
  <r>
    <s v="REL00368"/>
    <s v="Male"/>
    <n v="26"/>
    <s v="Graduate"/>
    <s v="Divorced"/>
    <x v="0"/>
    <s v="Finance Analyst"/>
    <x v="3"/>
    <x v="7"/>
    <s v="East"/>
    <n v="4"/>
    <n v="75582"/>
    <x v="3"/>
    <n v="2"/>
    <n v="4"/>
    <n v="12"/>
    <n v="3"/>
    <d v="2019-03-12T00:00:00"/>
    <s v="No"/>
    <x v="0"/>
    <n v="4"/>
    <x v="0"/>
    <x v="2"/>
    <x v="1"/>
  </r>
  <r>
    <s v="REL00369"/>
    <s v="Female"/>
    <n v="32"/>
    <s v="BTech"/>
    <s v="Single"/>
    <x v="0"/>
    <s v="HR Manager"/>
    <x v="2"/>
    <x v="4"/>
    <s v="North"/>
    <n v="1"/>
    <n v="68637"/>
    <x v="0"/>
    <n v="1"/>
    <n v="1"/>
    <n v="73"/>
    <n v="1"/>
    <d v="2022-11-13T00:00:00"/>
    <s v="No"/>
    <x v="0"/>
    <n v="3"/>
    <x v="3"/>
    <x v="0"/>
    <x v="0"/>
  </r>
  <r>
    <s v="REL00370"/>
    <s v="Male"/>
    <n v="42"/>
    <s v="Post Graduate"/>
    <s v="Single"/>
    <x v="1"/>
    <s v="Logistics Coordinator"/>
    <x v="3"/>
    <x v="0"/>
    <s v="North"/>
    <n v="13"/>
    <n v="71624"/>
    <x v="2"/>
    <n v="2"/>
    <n v="3"/>
    <n v="18"/>
    <n v="0"/>
    <d v="2010-01-19T00:00:00"/>
    <s v="Yes"/>
    <x v="0"/>
    <n v="2"/>
    <x v="2"/>
    <x v="1"/>
    <x v="1"/>
  </r>
  <r>
    <s v="REL00371"/>
    <s v="Male"/>
    <n v="24"/>
    <s v="Post Graduate"/>
    <s v="Single"/>
    <x v="3"/>
    <s v="Customer Service Rep"/>
    <x v="3"/>
    <x v="8"/>
    <s v="South"/>
    <n v="12"/>
    <n v="67134"/>
    <x v="0"/>
    <n v="4"/>
    <n v="2"/>
    <n v="12"/>
    <n v="3"/>
    <d v="2011-05-25T00:00:00"/>
    <s v="No"/>
    <x v="0"/>
    <n v="3"/>
    <x v="2"/>
    <x v="0"/>
    <x v="0"/>
  </r>
  <r>
    <s v="REL00372"/>
    <s v="Female"/>
    <n v="30"/>
    <s v="Post Graduate"/>
    <s v="Single"/>
    <x v="0"/>
    <s v="Sales Executive"/>
    <x v="4"/>
    <x v="0"/>
    <s v="North"/>
    <n v="15"/>
    <n v="79455"/>
    <x v="0"/>
    <n v="3"/>
    <n v="4"/>
    <n v="62"/>
    <n v="1"/>
    <d v="2008-06-05T00:00:00"/>
    <s v="No"/>
    <x v="0"/>
    <n v="3"/>
    <x v="2"/>
    <x v="0"/>
    <x v="0"/>
  </r>
  <r>
    <s v="REL00373"/>
    <s v="Female"/>
    <n v="22"/>
    <s v="BTech"/>
    <s v="Single"/>
    <x v="0"/>
    <s v="Finance Analyst"/>
    <x v="1"/>
    <x v="6"/>
    <s v="South"/>
    <n v="12"/>
    <n v="76884"/>
    <x v="0"/>
    <n v="2"/>
    <n v="1"/>
    <n v="77"/>
    <n v="0"/>
    <d v="2011-07-10T00:00:00"/>
    <s v="No"/>
    <x v="0"/>
    <n v="3"/>
    <x v="2"/>
    <x v="0"/>
    <x v="0"/>
  </r>
  <r>
    <s v="REL00374"/>
    <s v="Male"/>
    <n v="31"/>
    <s v="MBA"/>
    <s v="Married"/>
    <x v="5"/>
    <s v="Marketing Executive"/>
    <x v="1"/>
    <x v="4"/>
    <s v="North"/>
    <n v="8"/>
    <n v="65057"/>
    <x v="0"/>
    <n v="2"/>
    <n v="2"/>
    <n v="15"/>
    <n v="0"/>
    <d v="2015-09-26T00:00:00"/>
    <s v="Yes"/>
    <x v="0"/>
    <n v="3"/>
    <x v="1"/>
    <x v="1"/>
    <x v="0"/>
  </r>
  <r>
    <s v="REL00375"/>
    <s v="Male"/>
    <n v="32"/>
    <s v="Graduate"/>
    <s v="Married"/>
    <x v="4"/>
    <s v="Customer Service Rep"/>
    <x v="2"/>
    <x v="7"/>
    <s v="East"/>
    <n v="5"/>
    <n v="49848"/>
    <x v="1"/>
    <n v="1"/>
    <n v="1"/>
    <n v="40"/>
    <n v="3"/>
    <d v="2018-12-07T00:00:00"/>
    <s v="Yes"/>
    <x v="2"/>
    <n v="1"/>
    <x v="0"/>
    <x v="1"/>
    <x v="1"/>
  </r>
  <r>
    <s v="REL00376"/>
    <s v="Male"/>
    <n v="28"/>
    <s v="Post Graduate"/>
    <s v="Divorced"/>
    <x v="5"/>
    <s v="Customer Service Rep"/>
    <x v="3"/>
    <x v="4"/>
    <s v="North"/>
    <n v="12"/>
    <n v="56538"/>
    <x v="0"/>
    <n v="4"/>
    <n v="2"/>
    <n v="58"/>
    <n v="1"/>
    <d v="2011-07-22T00:00:00"/>
    <s v="Yes"/>
    <x v="0"/>
    <n v="3"/>
    <x v="2"/>
    <x v="1"/>
    <x v="0"/>
  </r>
  <r>
    <s v="REL00377"/>
    <s v="Male"/>
    <n v="46"/>
    <s v="HSC"/>
    <s v="Single"/>
    <x v="7"/>
    <s v="Logistics Coordinator"/>
    <x v="1"/>
    <x v="0"/>
    <s v="North"/>
    <n v="1"/>
    <n v="41749"/>
    <x v="1"/>
    <n v="4"/>
    <n v="2"/>
    <n v="55"/>
    <n v="2"/>
    <d v="2022-05-14T00:00:00"/>
    <s v="No"/>
    <x v="2"/>
    <n v="1"/>
    <x v="3"/>
    <x v="3"/>
    <x v="1"/>
  </r>
  <r>
    <s v="REL00378"/>
    <s v="Female"/>
    <n v="51"/>
    <s v="MBA"/>
    <s v="Single"/>
    <x v="5"/>
    <s v="Store Manager"/>
    <x v="2"/>
    <x v="5"/>
    <s v="South"/>
    <n v="12"/>
    <n v="108194"/>
    <x v="3"/>
    <n v="3"/>
    <n v="2"/>
    <n v="47"/>
    <n v="1"/>
    <d v="2011-11-09T00:00:00"/>
    <s v="No"/>
    <x v="1"/>
    <n v="4"/>
    <x v="2"/>
    <x v="2"/>
    <x v="0"/>
  </r>
  <r>
    <s v="REL00379"/>
    <s v="Female"/>
    <n v="51"/>
    <s v="HSC"/>
    <s v="Single"/>
    <x v="3"/>
    <s v="Logistics Coordinator"/>
    <x v="1"/>
    <x v="4"/>
    <s v="North"/>
    <n v="2"/>
    <n v="56097"/>
    <x v="0"/>
    <n v="4"/>
    <n v="2"/>
    <n v="41"/>
    <n v="2"/>
    <d v="2021-09-13T00:00:00"/>
    <s v="No"/>
    <x v="0"/>
    <n v="3"/>
    <x v="3"/>
    <x v="0"/>
    <x v="0"/>
  </r>
  <r>
    <s v="REL00380"/>
    <s v="Female"/>
    <n v="54"/>
    <s v="Graduate"/>
    <s v="Married"/>
    <x v="1"/>
    <s v="Store Manager"/>
    <x v="1"/>
    <x v="2"/>
    <s v="West"/>
    <n v="15"/>
    <n v="118689"/>
    <x v="0"/>
    <n v="4"/>
    <n v="4"/>
    <n v="22"/>
    <n v="3"/>
    <d v="2008-12-15T00:00:00"/>
    <s v="Yes"/>
    <x v="1"/>
    <n v="3"/>
    <x v="2"/>
    <x v="1"/>
    <x v="0"/>
  </r>
  <r>
    <s v="REL00381"/>
    <s v="Female"/>
    <n v="37"/>
    <s v="Graduate"/>
    <s v="Single"/>
    <x v="1"/>
    <s v="Logistics Coordinator"/>
    <x v="4"/>
    <x v="9"/>
    <s v="West"/>
    <n v="12"/>
    <n v="66143"/>
    <x v="3"/>
    <n v="4"/>
    <n v="3"/>
    <n v="30"/>
    <n v="3"/>
    <d v="2011-07-05T00:00:00"/>
    <s v="No"/>
    <x v="0"/>
    <n v="4"/>
    <x v="2"/>
    <x v="2"/>
    <x v="1"/>
  </r>
  <r>
    <s v="REL00382"/>
    <s v="Female"/>
    <n v="22"/>
    <s v="Graduate"/>
    <s v="Married"/>
    <x v="0"/>
    <s v="HR Manager"/>
    <x v="3"/>
    <x v="4"/>
    <s v="North"/>
    <n v="13"/>
    <n v="104282"/>
    <x v="1"/>
    <n v="3"/>
    <n v="1"/>
    <n v="47"/>
    <n v="3"/>
    <d v="2010-02-18T00:00:00"/>
    <s v="Yes"/>
    <x v="1"/>
    <n v="1"/>
    <x v="2"/>
    <x v="1"/>
    <x v="2"/>
  </r>
  <r>
    <s v="REL00383"/>
    <s v="Male"/>
    <n v="46"/>
    <s v="HSC"/>
    <s v="Married"/>
    <x v="1"/>
    <s v="Store Manager"/>
    <x v="4"/>
    <x v="8"/>
    <s v="South"/>
    <n v="12"/>
    <n v="115866"/>
    <x v="2"/>
    <n v="1"/>
    <n v="3"/>
    <n v="56"/>
    <n v="1"/>
    <d v="2011-12-09T00:00:00"/>
    <s v="No"/>
    <x v="1"/>
    <n v="2"/>
    <x v="2"/>
    <x v="0"/>
    <x v="1"/>
  </r>
  <r>
    <s v="REL00384"/>
    <s v="Female"/>
    <n v="35"/>
    <s v="Post Graduate"/>
    <s v="Married"/>
    <x v="2"/>
    <s v="Customer Service Rep"/>
    <x v="1"/>
    <x v="1"/>
    <s v="North"/>
    <n v="3"/>
    <n v="38819"/>
    <x v="0"/>
    <n v="3"/>
    <n v="3"/>
    <n v="74"/>
    <n v="3"/>
    <d v="2020-11-04T00:00:00"/>
    <s v="No"/>
    <x v="2"/>
    <n v="3"/>
    <x v="0"/>
    <x v="0"/>
    <x v="1"/>
  </r>
  <r>
    <s v="REL00385"/>
    <s v="Male"/>
    <n v="52"/>
    <s v="BTech"/>
    <s v="Divorced"/>
    <x v="0"/>
    <s v="Finance Analyst"/>
    <x v="4"/>
    <x v="8"/>
    <s v="South"/>
    <n v="6"/>
    <n v="77932"/>
    <x v="2"/>
    <n v="3"/>
    <n v="4"/>
    <n v="57"/>
    <n v="0"/>
    <d v="2017-04-08T00:00:00"/>
    <s v="No"/>
    <x v="0"/>
    <n v="2"/>
    <x v="1"/>
    <x v="0"/>
    <x v="1"/>
  </r>
  <r>
    <s v="REL00386"/>
    <s v="Male"/>
    <n v="39"/>
    <s v="Graduate"/>
    <s v="Divorced"/>
    <x v="7"/>
    <s v="HR Manager"/>
    <x v="4"/>
    <x v="5"/>
    <s v="South"/>
    <n v="7"/>
    <n v="88449"/>
    <x v="3"/>
    <n v="2"/>
    <n v="4"/>
    <n v="29"/>
    <n v="1"/>
    <d v="2016-11-08T00:00:00"/>
    <s v="Yes"/>
    <x v="1"/>
    <n v="4"/>
    <x v="1"/>
    <x v="1"/>
    <x v="0"/>
  </r>
  <r>
    <s v="REL00387"/>
    <s v="Male"/>
    <n v="40"/>
    <s v="Post Graduate"/>
    <s v="Single"/>
    <x v="0"/>
    <s v="HR Manager"/>
    <x v="0"/>
    <x v="1"/>
    <s v="North"/>
    <n v="11"/>
    <n v="102528"/>
    <x v="1"/>
    <n v="1"/>
    <n v="2"/>
    <n v="76"/>
    <n v="2"/>
    <d v="2012-05-21T00:00:00"/>
    <s v="Yes"/>
    <x v="1"/>
    <n v="1"/>
    <x v="2"/>
    <x v="1"/>
    <x v="2"/>
  </r>
  <r>
    <s v="REL00388"/>
    <s v="Female"/>
    <n v="32"/>
    <s v="HSC"/>
    <s v="Single"/>
    <x v="5"/>
    <s v="Finance Analyst"/>
    <x v="0"/>
    <x v="2"/>
    <s v="West"/>
    <n v="10"/>
    <n v="85007"/>
    <x v="1"/>
    <n v="4"/>
    <n v="3"/>
    <n v="46"/>
    <n v="0"/>
    <d v="2013-10-28T00:00:00"/>
    <s v="No"/>
    <x v="1"/>
    <n v="1"/>
    <x v="1"/>
    <x v="0"/>
    <x v="2"/>
  </r>
  <r>
    <s v="REL00389"/>
    <s v="Male"/>
    <n v="32"/>
    <s v="Post Graduate"/>
    <s v="Single"/>
    <x v="5"/>
    <s v="HR Manager"/>
    <x v="0"/>
    <x v="6"/>
    <s v="South"/>
    <n v="3"/>
    <n v="88541"/>
    <x v="1"/>
    <n v="1"/>
    <n v="3"/>
    <n v="26"/>
    <n v="3"/>
    <d v="2020-10-04T00:00:00"/>
    <s v="Yes"/>
    <x v="1"/>
    <n v="1"/>
    <x v="0"/>
    <x v="1"/>
    <x v="2"/>
  </r>
  <r>
    <s v="REL00390"/>
    <s v="Female"/>
    <n v="50"/>
    <s v="BTech"/>
    <s v="Single"/>
    <x v="5"/>
    <s v="Store Manager"/>
    <x v="2"/>
    <x v="8"/>
    <s v="South"/>
    <n v="9"/>
    <n v="103385"/>
    <x v="0"/>
    <n v="3"/>
    <n v="1"/>
    <n v="13"/>
    <n v="3"/>
    <d v="2014-10-20T00:00:00"/>
    <s v="No"/>
    <x v="1"/>
    <n v="3"/>
    <x v="1"/>
    <x v="0"/>
    <x v="0"/>
  </r>
  <r>
    <s v="REL00391"/>
    <s v="Female"/>
    <n v="52"/>
    <s v="HSC"/>
    <s v="Divorced"/>
    <x v="3"/>
    <s v="Store Manager"/>
    <x v="3"/>
    <x v="9"/>
    <s v="West"/>
    <n v="3"/>
    <n v="98896"/>
    <x v="2"/>
    <n v="2"/>
    <n v="4"/>
    <n v="53"/>
    <n v="0"/>
    <d v="2020-07-16T00:00:00"/>
    <s v="No"/>
    <x v="1"/>
    <n v="2"/>
    <x v="0"/>
    <x v="0"/>
    <x v="1"/>
  </r>
  <r>
    <s v="REL00392"/>
    <s v="Female"/>
    <n v="44"/>
    <s v="Graduate"/>
    <s v="Married"/>
    <x v="0"/>
    <s v="Store Manager"/>
    <x v="2"/>
    <x v="9"/>
    <s v="West"/>
    <n v="5"/>
    <n v="98160"/>
    <x v="3"/>
    <n v="1"/>
    <n v="2"/>
    <n v="77"/>
    <n v="1"/>
    <d v="2018-09-12T00:00:00"/>
    <s v="No"/>
    <x v="1"/>
    <n v="4"/>
    <x v="0"/>
    <x v="2"/>
    <x v="0"/>
  </r>
  <r>
    <s v="REL00393"/>
    <s v="Male"/>
    <n v="53"/>
    <s v="HSC"/>
    <s v="Divorced"/>
    <x v="1"/>
    <s v="Finance Analyst"/>
    <x v="4"/>
    <x v="8"/>
    <s v="South"/>
    <n v="9"/>
    <n v="70863"/>
    <x v="3"/>
    <n v="1"/>
    <n v="3"/>
    <n v="60"/>
    <n v="1"/>
    <d v="2014-06-16T00:00:00"/>
    <s v="No"/>
    <x v="0"/>
    <n v="4"/>
    <x v="1"/>
    <x v="2"/>
    <x v="1"/>
  </r>
  <r>
    <s v="REL00394"/>
    <s v="Female"/>
    <n v="27"/>
    <s v="Post Graduate"/>
    <s v="Divorced"/>
    <x v="5"/>
    <s v="Operations Head"/>
    <x v="3"/>
    <x v="2"/>
    <s v="West"/>
    <n v="1"/>
    <n v="98302"/>
    <x v="2"/>
    <n v="4"/>
    <n v="4"/>
    <n v="66"/>
    <n v="2"/>
    <d v="2022-07-28T00:00:00"/>
    <s v="No"/>
    <x v="1"/>
    <n v="2"/>
    <x v="3"/>
    <x v="0"/>
    <x v="1"/>
  </r>
  <r>
    <s v="REL00395"/>
    <s v="Female"/>
    <n v="55"/>
    <s v="HSC"/>
    <s v="Single"/>
    <x v="6"/>
    <s v="Sales Executive"/>
    <x v="3"/>
    <x v="6"/>
    <s v="South"/>
    <n v="14"/>
    <n v="62706"/>
    <x v="0"/>
    <n v="4"/>
    <n v="1"/>
    <n v="10"/>
    <n v="3"/>
    <d v="2009-08-02T00:00:00"/>
    <s v="No"/>
    <x v="0"/>
    <n v="3"/>
    <x v="2"/>
    <x v="0"/>
    <x v="0"/>
  </r>
  <r>
    <s v="REL00396"/>
    <s v="Female"/>
    <n v="24"/>
    <s v="HSC"/>
    <s v="Divorced"/>
    <x v="6"/>
    <s v="HR Manager"/>
    <x v="2"/>
    <x v="8"/>
    <s v="South"/>
    <n v="12"/>
    <n v="95529"/>
    <x v="1"/>
    <n v="3"/>
    <n v="4"/>
    <n v="69"/>
    <n v="1"/>
    <d v="2011-08-09T00:00:00"/>
    <s v="Yes"/>
    <x v="1"/>
    <n v="1"/>
    <x v="2"/>
    <x v="1"/>
    <x v="2"/>
  </r>
  <r>
    <s v="REL00397"/>
    <s v="Male"/>
    <n v="53"/>
    <s v="Post Graduate"/>
    <s v="Single"/>
    <x v="0"/>
    <s v="Finance Analyst"/>
    <x v="2"/>
    <x v="3"/>
    <s v="West"/>
    <n v="5"/>
    <n v="64069"/>
    <x v="2"/>
    <n v="1"/>
    <n v="3"/>
    <n v="73"/>
    <n v="0"/>
    <d v="2018-06-03T00:00:00"/>
    <s v="No"/>
    <x v="0"/>
    <n v="2"/>
    <x v="0"/>
    <x v="0"/>
    <x v="1"/>
  </r>
  <r>
    <s v="REL00398"/>
    <s v="Female"/>
    <n v="54"/>
    <s v="BTech"/>
    <s v="Single"/>
    <x v="5"/>
    <s v="Logistics Coordinator"/>
    <x v="1"/>
    <x v="4"/>
    <s v="North"/>
    <n v="10"/>
    <n v="63451"/>
    <x v="1"/>
    <n v="3"/>
    <n v="2"/>
    <n v="17"/>
    <n v="1"/>
    <d v="2013-11-03T00:00:00"/>
    <s v="No"/>
    <x v="0"/>
    <n v="1"/>
    <x v="1"/>
    <x v="0"/>
    <x v="1"/>
  </r>
  <r>
    <s v="REL00399"/>
    <s v="Female"/>
    <n v="25"/>
    <s v="HSC"/>
    <s v="Married"/>
    <x v="7"/>
    <s v="Store Manager"/>
    <x v="2"/>
    <x v="7"/>
    <s v="East"/>
    <n v="3"/>
    <n v="89934"/>
    <x v="2"/>
    <n v="1"/>
    <n v="2"/>
    <n v="33"/>
    <n v="0"/>
    <d v="2020-06-01T00:00:00"/>
    <s v="No"/>
    <x v="1"/>
    <n v="2"/>
    <x v="0"/>
    <x v="0"/>
    <x v="1"/>
  </r>
  <r>
    <s v="REL00400"/>
    <s v="Female"/>
    <n v="28"/>
    <s v="BTech"/>
    <s v="Divorced"/>
    <x v="3"/>
    <s v="Customer Service Rep"/>
    <x v="1"/>
    <x v="4"/>
    <s v="North"/>
    <n v="14"/>
    <n v="62865"/>
    <x v="2"/>
    <n v="3"/>
    <n v="2"/>
    <n v="11"/>
    <n v="1"/>
    <d v="2009-01-19T00:00:00"/>
    <s v="No"/>
    <x v="0"/>
    <n v="2"/>
    <x v="2"/>
    <x v="0"/>
    <x v="1"/>
  </r>
  <r>
    <s v="REL00401"/>
    <s v="Male"/>
    <n v="34"/>
    <s v="BTech"/>
    <s v="Divorced"/>
    <x v="4"/>
    <s v="Customer Service Rep"/>
    <x v="0"/>
    <x v="1"/>
    <s v="North"/>
    <n v="7"/>
    <n v="44342"/>
    <x v="1"/>
    <n v="1"/>
    <n v="4"/>
    <n v="68"/>
    <n v="0"/>
    <d v="2016-10-15T00:00:00"/>
    <s v="Yes"/>
    <x v="2"/>
    <n v="1"/>
    <x v="1"/>
    <x v="1"/>
    <x v="1"/>
  </r>
  <r>
    <s v="REL00402"/>
    <s v="Female"/>
    <n v="33"/>
    <s v="HSC"/>
    <s v="Single"/>
    <x v="3"/>
    <s v="Operations Head"/>
    <x v="4"/>
    <x v="0"/>
    <s v="North"/>
    <n v="6"/>
    <n v="108880"/>
    <x v="1"/>
    <n v="1"/>
    <n v="2"/>
    <n v="26"/>
    <n v="1"/>
    <d v="2017-03-03T00:00:00"/>
    <s v="Yes"/>
    <x v="1"/>
    <n v="1"/>
    <x v="1"/>
    <x v="1"/>
    <x v="2"/>
  </r>
  <r>
    <s v="REL00403"/>
    <s v="Male"/>
    <n v="52"/>
    <s v="MBA"/>
    <s v="Single"/>
    <x v="4"/>
    <s v="Sales Executive"/>
    <x v="2"/>
    <x v="5"/>
    <s v="South"/>
    <n v="3"/>
    <n v="49920"/>
    <x v="0"/>
    <n v="2"/>
    <n v="1"/>
    <n v="14"/>
    <n v="0"/>
    <d v="2020-11-23T00:00:00"/>
    <s v="Yes"/>
    <x v="2"/>
    <n v="3"/>
    <x v="0"/>
    <x v="1"/>
    <x v="1"/>
  </r>
  <r>
    <s v="REL00404"/>
    <s v="Male"/>
    <n v="34"/>
    <s v="Post Graduate"/>
    <s v="Divorced"/>
    <x v="2"/>
    <s v="Operations Head"/>
    <x v="0"/>
    <x v="9"/>
    <s v="West"/>
    <n v="2"/>
    <n v="89336"/>
    <x v="3"/>
    <n v="3"/>
    <n v="1"/>
    <n v="21"/>
    <n v="1"/>
    <d v="2021-10-30T00:00:00"/>
    <s v="Yes"/>
    <x v="1"/>
    <n v="4"/>
    <x v="3"/>
    <x v="1"/>
    <x v="0"/>
  </r>
  <r>
    <s v="REL00405"/>
    <s v="Male"/>
    <n v="22"/>
    <s v="BTech"/>
    <s v="Single"/>
    <x v="5"/>
    <s v="Marketing Executive"/>
    <x v="0"/>
    <x v="8"/>
    <s v="South"/>
    <n v="14"/>
    <n v="84544"/>
    <x v="0"/>
    <n v="2"/>
    <n v="3"/>
    <n v="31"/>
    <n v="0"/>
    <d v="2009-12-01T00:00:00"/>
    <s v="No"/>
    <x v="1"/>
    <n v="3"/>
    <x v="2"/>
    <x v="0"/>
    <x v="0"/>
  </r>
  <r>
    <s v="REL00406"/>
    <s v="Female"/>
    <n v="49"/>
    <s v="Post Graduate"/>
    <s v="Divorced"/>
    <x v="1"/>
    <s v="HR Manager"/>
    <x v="1"/>
    <x v="0"/>
    <s v="North"/>
    <n v="6"/>
    <n v="91406"/>
    <x v="1"/>
    <n v="2"/>
    <n v="4"/>
    <n v="24"/>
    <n v="2"/>
    <d v="2017-07-05T00:00:00"/>
    <s v="Yes"/>
    <x v="1"/>
    <n v="1"/>
    <x v="1"/>
    <x v="1"/>
    <x v="2"/>
  </r>
  <r>
    <s v="REL00407"/>
    <s v="Male"/>
    <n v="42"/>
    <s v="MBA"/>
    <s v="Single"/>
    <x v="7"/>
    <s v="Customer Service Rep"/>
    <x v="4"/>
    <x v="0"/>
    <s v="North"/>
    <n v="8"/>
    <n v="50446"/>
    <x v="0"/>
    <n v="4"/>
    <n v="3"/>
    <n v="68"/>
    <n v="2"/>
    <d v="2015-12-14T00:00:00"/>
    <s v="No"/>
    <x v="0"/>
    <n v="3"/>
    <x v="1"/>
    <x v="0"/>
    <x v="0"/>
  </r>
  <r>
    <s v="REL00408"/>
    <s v="Female"/>
    <n v="33"/>
    <s v="Graduate"/>
    <s v="Divorced"/>
    <x v="1"/>
    <s v="Logistics Coordinator"/>
    <x v="1"/>
    <x v="9"/>
    <s v="West"/>
    <n v="5"/>
    <n v="51186"/>
    <x v="1"/>
    <n v="4"/>
    <n v="1"/>
    <n v="60"/>
    <n v="3"/>
    <d v="2018-01-20T00:00:00"/>
    <s v="Yes"/>
    <x v="0"/>
    <n v="1"/>
    <x v="0"/>
    <x v="1"/>
    <x v="1"/>
  </r>
  <r>
    <s v="REL00409"/>
    <s v="Male"/>
    <n v="45"/>
    <s v="Post Graduate"/>
    <s v="Married"/>
    <x v="2"/>
    <s v="Logistics Coordinator"/>
    <x v="4"/>
    <x v="1"/>
    <s v="North"/>
    <n v="7"/>
    <n v="68351"/>
    <x v="0"/>
    <n v="2"/>
    <n v="4"/>
    <n v="25"/>
    <n v="1"/>
    <d v="2016-10-08T00:00:00"/>
    <s v="Yes"/>
    <x v="0"/>
    <n v="3"/>
    <x v="1"/>
    <x v="1"/>
    <x v="0"/>
  </r>
  <r>
    <s v="REL00410"/>
    <s v="Female"/>
    <n v="53"/>
    <s v="BTech"/>
    <s v="Married"/>
    <x v="7"/>
    <s v="Logistics Coordinator"/>
    <x v="0"/>
    <x v="2"/>
    <s v="West"/>
    <n v="13"/>
    <n v="72668"/>
    <x v="2"/>
    <n v="2"/>
    <n v="4"/>
    <n v="23"/>
    <n v="0"/>
    <d v="2010-01-28T00:00:00"/>
    <s v="No"/>
    <x v="0"/>
    <n v="2"/>
    <x v="2"/>
    <x v="0"/>
    <x v="1"/>
  </r>
  <r>
    <s v="REL00411"/>
    <s v="Male"/>
    <n v="53"/>
    <s v="Graduate"/>
    <s v="Single"/>
    <x v="7"/>
    <s v="HR Manager"/>
    <x v="3"/>
    <x v="8"/>
    <s v="South"/>
    <n v="11"/>
    <n v="87973"/>
    <x v="0"/>
    <n v="4"/>
    <n v="3"/>
    <n v="29"/>
    <n v="2"/>
    <d v="2012-12-07T00:00:00"/>
    <s v="Yes"/>
    <x v="1"/>
    <n v="3"/>
    <x v="2"/>
    <x v="1"/>
    <x v="0"/>
  </r>
  <r>
    <s v="REL00412"/>
    <s v="Female"/>
    <n v="54"/>
    <s v="HSC"/>
    <s v="Divorced"/>
    <x v="2"/>
    <s v="Finance Analyst"/>
    <x v="4"/>
    <x v="4"/>
    <s v="North"/>
    <n v="13"/>
    <n v="82616"/>
    <x v="1"/>
    <n v="3"/>
    <n v="1"/>
    <n v="14"/>
    <n v="3"/>
    <d v="2010-04-25T00:00:00"/>
    <s v="No"/>
    <x v="1"/>
    <n v="1"/>
    <x v="2"/>
    <x v="0"/>
    <x v="2"/>
  </r>
  <r>
    <s v="REL00413"/>
    <s v="Male"/>
    <n v="33"/>
    <s v="BTech"/>
    <s v="Divorced"/>
    <x v="6"/>
    <s v="Logistics Coordinator"/>
    <x v="3"/>
    <x v="0"/>
    <s v="North"/>
    <n v="14"/>
    <n v="77501"/>
    <x v="2"/>
    <n v="3"/>
    <n v="2"/>
    <n v="72"/>
    <n v="3"/>
    <d v="2009-12-17T00:00:00"/>
    <s v="No"/>
    <x v="0"/>
    <n v="2"/>
    <x v="2"/>
    <x v="0"/>
    <x v="1"/>
  </r>
  <r>
    <s v="REL00414"/>
    <s v="Female"/>
    <n v="52"/>
    <s v="BTech"/>
    <s v="Single"/>
    <x v="4"/>
    <s v="Sales Executive"/>
    <x v="3"/>
    <x v="6"/>
    <s v="South"/>
    <n v="13"/>
    <n v="74640"/>
    <x v="1"/>
    <n v="1"/>
    <n v="4"/>
    <n v="43"/>
    <n v="3"/>
    <d v="2010-03-27T00:00:00"/>
    <s v="No"/>
    <x v="0"/>
    <n v="1"/>
    <x v="2"/>
    <x v="0"/>
    <x v="1"/>
  </r>
  <r>
    <s v="REL00415"/>
    <s v="Male"/>
    <n v="30"/>
    <s v="HSC"/>
    <s v="Married"/>
    <x v="6"/>
    <s v="Operations Head"/>
    <x v="1"/>
    <x v="4"/>
    <s v="North"/>
    <n v="13"/>
    <n v="121501"/>
    <x v="2"/>
    <n v="1"/>
    <n v="3"/>
    <n v="58"/>
    <n v="0"/>
    <d v="2010-12-21T00:00:00"/>
    <s v="Yes"/>
    <x v="1"/>
    <n v="2"/>
    <x v="2"/>
    <x v="1"/>
    <x v="1"/>
  </r>
  <r>
    <s v="REL00416"/>
    <s v="Female"/>
    <n v="27"/>
    <s v="Graduate"/>
    <s v="Married"/>
    <x v="5"/>
    <s v="Store Manager"/>
    <x v="0"/>
    <x v="2"/>
    <s v="West"/>
    <n v="6"/>
    <n v="95002"/>
    <x v="1"/>
    <n v="1"/>
    <n v="3"/>
    <n v="31"/>
    <n v="0"/>
    <d v="2017-02-05T00:00:00"/>
    <s v="Yes"/>
    <x v="1"/>
    <n v="1"/>
    <x v="1"/>
    <x v="1"/>
    <x v="2"/>
  </r>
  <r>
    <s v="REL00417"/>
    <s v="Male"/>
    <n v="52"/>
    <s v="BTech"/>
    <s v="Single"/>
    <x v="5"/>
    <s v="Logistics Coordinator"/>
    <x v="4"/>
    <x v="1"/>
    <s v="North"/>
    <n v="11"/>
    <n v="75613"/>
    <x v="1"/>
    <n v="3"/>
    <n v="4"/>
    <n v="59"/>
    <n v="2"/>
    <d v="2012-08-20T00:00:00"/>
    <s v="Yes"/>
    <x v="0"/>
    <n v="1"/>
    <x v="2"/>
    <x v="1"/>
    <x v="1"/>
  </r>
  <r>
    <s v="REL00418"/>
    <s v="Female"/>
    <n v="32"/>
    <s v="BTech"/>
    <s v="Married"/>
    <x v="2"/>
    <s v="Marketing Executive"/>
    <x v="3"/>
    <x v="4"/>
    <s v="North"/>
    <n v="12"/>
    <n v="75008"/>
    <x v="3"/>
    <n v="3"/>
    <n v="4"/>
    <n v="35"/>
    <n v="3"/>
    <d v="2011-04-22T00:00:00"/>
    <s v="No"/>
    <x v="0"/>
    <n v="4"/>
    <x v="2"/>
    <x v="2"/>
    <x v="1"/>
  </r>
  <r>
    <s v="REL00419"/>
    <s v="Male"/>
    <n v="28"/>
    <s v="BTech"/>
    <s v="Married"/>
    <x v="1"/>
    <s v="Operations Head"/>
    <x v="0"/>
    <x v="0"/>
    <s v="North"/>
    <n v="1"/>
    <n v="105793"/>
    <x v="2"/>
    <n v="3"/>
    <n v="1"/>
    <n v="77"/>
    <n v="3"/>
    <d v="2022-09-08T00:00:00"/>
    <s v="No"/>
    <x v="1"/>
    <n v="2"/>
    <x v="3"/>
    <x v="0"/>
    <x v="1"/>
  </r>
  <r>
    <s v="REL00420"/>
    <s v="Female"/>
    <n v="34"/>
    <s v="MBA"/>
    <s v="Married"/>
    <x v="1"/>
    <s v="Operations Head"/>
    <x v="0"/>
    <x v="2"/>
    <s v="West"/>
    <n v="11"/>
    <n v="123536"/>
    <x v="3"/>
    <n v="3"/>
    <n v="4"/>
    <n v="80"/>
    <n v="1"/>
    <d v="2012-05-27T00:00:00"/>
    <s v="No"/>
    <x v="1"/>
    <n v="4"/>
    <x v="2"/>
    <x v="2"/>
    <x v="0"/>
  </r>
  <r>
    <s v="REL00421"/>
    <s v="Male"/>
    <n v="55"/>
    <s v="Post Graduate"/>
    <s v="Married"/>
    <x v="3"/>
    <s v="Finance Analyst"/>
    <x v="1"/>
    <x v="3"/>
    <s v="West"/>
    <n v="4"/>
    <n v="66779"/>
    <x v="1"/>
    <n v="4"/>
    <n v="2"/>
    <n v="40"/>
    <n v="1"/>
    <d v="2019-05-25T00:00:00"/>
    <s v="No"/>
    <x v="0"/>
    <n v="1"/>
    <x v="0"/>
    <x v="0"/>
    <x v="1"/>
  </r>
  <r>
    <s v="REL00422"/>
    <s v="Female"/>
    <n v="32"/>
    <s v="HSC"/>
    <s v="Divorced"/>
    <x v="6"/>
    <s v="Sales Executive"/>
    <x v="3"/>
    <x v="8"/>
    <s v="South"/>
    <n v="14"/>
    <n v="64670"/>
    <x v="2"/>
    <n v="2"/>
    <n v="4"/>
    <n v="40"/>
    <n v="0"/>
    <d v="2009-08-21T00:00:00"/>
    <s v="No"/>
    <x v="0"/>
    <n v="2"/>
    <x v="2"/>
    <x v="0"/>
    <x v="1"/>
  </r>
  <r>
    <s v="REL00423"/>
    <s v="Female"/>
    <n v="49"/>
    <s v="Graduate"/>
    <s v="Single"/>
    <x v="1"/>
    <s v="Operations Head"/>
    <x v="4"/>
    <x v="6"/>
    <s v="South"/>
    <n v="13"/>
    <n v="126209"/>
    <x v="0"/>
    <n v="2"/>
    <n v="3"/>
    <n v="27"/>
    <n v="0"/>
    <d v="2010-03-24T00:00:00"/>
    <s v="No"/>
    <x v="1"/>
    <n v="3"/>
    <x v="2"/>
    <x v="0"/>
    <x v="0"/>
  </r>
  <r>
    <s v="REL00424"/>
    <s v="Male"/>
    <n v="42"/>
    <s v="BTech"/>
    <s v="Married"/>
    <x v="4"/>
    <s v="Store Manager"/>
    <x v="1"/>
    <x v="8"/>
    <s v="South"/>
    <n v="11"/>
    <n v="112920"/>
    <x v="0"/>
    <n v="1"/>
    <n v="4"/>
    <n v="56"/>
    <n v="0"/>
    <d v="2012-12-06T00:00:00"/>
    <s v="Yes"/>
    <x v="1"/>
    <n v="3"/>
    <x v="2"/>
    <x v="1"/>
    <x v="0"/>
  </r>
  <r>
    <s v="REL00425"/>
    <s v="Female"/>
    <n v="53"/>
    <s v="Graduate"/>
    <s v="Single"/>
    <x v="3"/>
    <s v="Sales Executive"/>
    <x v="2"/>
    <x v="2"/>
    <s v="West"/>
    <n v="10"/>
    <n v="67103"/>
    <x v="3"/>
    <n v="1"/>
    <n v="3"/>
    <n v="52"/>
    <n v="3"/>
    <d v="2013-04-10T00:00:00"/>
    <s v="No"/>
    <x v="0"/>
    <n v="4"/>
    <x v="1"/>
    <x v="2"/>
    <x v="1"/>
  </r>
  <r>
    <s v="REL00426"/>
    <s v="Female"/>
    <n v="38"/>
    <s v="BTech"/>
    <s v="Single"/>
    <x v="6"/>
    <s v="HR Manager"/>
    <x v="2"/>
    <x v="5"/>
    <s v="South"/>
    <n v="2"/>
    <n v="76015"/>
    <x v="0"/>
    <n v="4"/>
    <n v="3"/>
    <n v="24"/>
    <n v="2"/>
    <d v="2021-05-21T00:00:00"/>
    <s v="No"/>
    <x v="0"/>
    <n v="3"/>
    <x v="3"/>
    <x v="0"/>
    <x v="0"/>
  </r>
  <r>
    <s v="REL00427"/>
    <s v="Female"/>
    <n v="23"/>
    <s v="BTech"/>
    <s v="Single"/>
    <x v="6"/>
    <s v="HR Manager"/>
    <x v="3"/>
    <x v="1"/>
    <s v="North"/>
    <n v="5"/>
    <n v="86894"/>
    <x v="0"/>
    <n v="1"/>
    <n v="2"/>
    <n v="42"/>
    <n v="3"/>
    <d v="2018-06-28T00:00:00"/>
    <s v="No"/>
    <x v="1"/>
    <n v="3"/>
    <x v="0"/>
    <x v="0"/>
    <x v="0"/>
  </r>
  <r>
    <s v="REL00428"/>
    <s v="Female"/>
    <n v="41"/>
    <s v="Graduate"/>
    <s v="Single"/>
    <x v="5"/>
    <s v="Finance Analyst"/>
    <x v="4"/>
    <x v="8"/>
    <s v="South"/>
    <n v="14"/>
    <n v="90729"/>
    <x v="0"/>
    <n v="3"/>
    <n v="2"/>
    <n v="30"/>
    <n v="3"/>
    <d v="2009-06-17T00:00:00"/>
    <s v="Yes"/>
    <x v="1"/>
    <n v="3"/>
    <x v="2"/>
    <x v="1"/>
    <x v="0"/>
  </r>
  <r>
    <s v="REL00429"/>
    <s v="Female"/>
    <n v="49"/>
    <s v="Graduate"/>
    <s v="Single"/>
    <x v="6"/>
    <s v="Sales Executive"/>
    <x v="4"/>
    <x v="7"/>
    <s v="East"/>
    <n v="14"/>
    <n v="74111"/>
    <x v="2"/>
    <n v="3"/>
    <n v="1"/>
    <n v="55"/>
    <n v="3"/>
    <d v="2009-06-07T00:00:00"/>
    <s v="No"/>
    <x v="0"/>
    <n v="2"/>
    <x v="2"/>
    <x v="0"/>
    <x v="1"/>
  </r>
  <r>
    <s v="REL00430"/>
    <s v="Male"/>
    <n v="22"/>
    <s v="MBA"/>
    <s v="Single"/>
    <x v="5"/>
    <s v="Store Manager"/>
    <x v="3"/>
    <x v="4"/>
    <s v="North"/>
    <n v="13"/>
    <n v="107020"/>
    <x v="3"/>
    <n v="3"/>
    <n v="3"/>
    <n v="20"/>
    <n v="0"/>
    <d v="2010-02-10T00:00:00"/>
    <s v="No"/>
    <x v="1"/>
    <n v="4"/>
    <x v="2"/>
    <x v="2"/>
    <x v="0"/>
  </r>
  <r>
    <s v="REL00431"/>
    <s v="Male"/>
    <n v="38"/>
    <s v="Post Graduate"/>
    <s v="Divorced"/>
    <x v="1"/>
    <s v="Logistics Coordinator"/>
    <x v="1"/>
    <x v="6"/>
    <s v="South"/>
    <n v="14"/>
    <n v="73466"/>
    <x v="0"/>
    <n v="3"/>
    <n v="3"/>
    <n v="35"/>
    <n v="0"/>
    <d v="2009-05-05T00:00:00"/>
    <s v="No"/>
    <x v="0"/>
    <n v="3"/>
    <x v="2"/>
    <x v="0"/>
    <x v="0"/>
  </r>
  <r>
    <s v="REL00432"/>
    <s v="Male"/>
    <n v="27"/>
    <s v="MBA"/>
    <s v="Single"/>
    <x v="5"/>
    <s v="Logistics Coordinator"/>
    <x v="2"/>
    <x v="2"/>
    <s v="West"/>
    <n v="15"/>
    <n v="83690"/>
    <x v="1"/>
    <n v="3"/>
    <n v="2"/>
    <n v="16"/>
    <n v="3"/>
    <d v="2008-12-24T00:00:00"/>
    <s v="Yes"/>
    <x v="1"/>
    <n v="1"/>
    <x v="2"/>
    <x v="1"/>
    <x v="2"/>
  </r>
  <r>
    <s v="REL00433"/>
    <s v="Male"/>
    <n v="22"/>
    <s v="BTech"/>
    <s v="Married"/>
    <x v="6"/>
    <s v="Sales Executive"/>
    <x v="1"/>
    <x v="4"/>
    <s v="North"/>
    <n v="3"/>
    <n v="48056"/>
    <x v="2"/>
    <n v="4"/>
    <n v="4"/>
    <n v="25"/>
    <n v="1"/>
    <d v="2020-03-17T00:00:00"/>
    <s v="No"/>
    <x v="2"/>
    <n v="2"/>
    <x v="0"/>
    <x v="0"/>
    <x v="1"/>
  </r>
  <r>
    <s v="REL00434"/>
    <s v="Male"/>
    <n v="35"/>
    <s v="HSC"/>
    <s v="Divorced"/>
    <x v="1"/>
    <s v="Finance Analyst"/>
    <x v="0"/>
    <x v="5"/>
    <s v="South"/>
    <n v="12"/>
    <n v="86519"/>
    <x v="2"/>
    <n v="2"/>
    <n v="4"/>
    <n v="33"/>
    <n v="3"/>
    <d v="2011-05-29T00:00:00"/>
    <s v="No"/>
    <x v="1"/>
    <n v="2"/>
    <x v="2"/>
    <x v="0"/>
    <x v="1"/>
  </r>
  <r>
    <s v="REL00435"/>
    <s v="Female"/>
    <n v="27"/>
    <s v="Graduate"/>
    <s v="Married"/>
    <x v="0"/>
    <s v="Finance Analyst"/>
    <x v="0"/>
    <x v="6"/>
    <s v="South"/>
    <n v="4"/>
    <n v="66136"/>
    <x v="2"/>
    <n v="2"/>
    <n v="3"/>
    <n v="60"/>
    <n v="1"/>
    <d v="2019-03-10T00:00:00"/>
    <s v="No"/>
    <x v="0"/>
    <n v="2"/>
    <x v="0"/>
    <x v="0"/>
    <x v="1"/>
  </r>
  <r>
    <s v="REL00436"/>
    <s v="Female"/>
    <n v="37"/>
    <s v="MBA"/>
    <s v="Married"/>
    <x v="6"/>
    <s v="Sales Executive"/>
    <x v="1"/>
    <x v="2"/>
    <s v="West"/>
    <n v="2"/>
    <n v="52251"/>
    <x v="2"/>
    <n v="1"/>
    <n v="1"/>
    <n v="42"/>
    <n v="3"/>
    <d v="2021-12-06T00:00:00"/>
    <s v="Yes"/>
    <x v="0"/>
    <n v="2"/>
    <x v="3"/>
    <x v="1"/>
    <x v="1"/>
  </r>
  <r>
    <s v="REL00437"/>
    <s v="Male"/>
    <n v="54"/>
    <s v="MBA"/>
    <s v="Married"/>
    <x v="6"/>
    <s v="Store Manager"/>
    <x v="0"/>
    <x v="8"/>
    <s v="South"/>
    <n v="15"/>
    <n v="124021"/>
    <x v="0"/>
    <n v="4"/>
    <n v="2"/>
    <n v="21"/>
    <n v="2"/>
    <d v="2008-08-24T00:00:00"/>
    <s v="No"/>
    <x v="1"/>
    <n v="3"/>
    <x v="2"/>
    <x v="0"/>
    <x v="0"/>
  </r>
  <r>
    <s v="REL00438"/>
    <s v="Female"/>
    <n v="45"/>
    <s v="MBA"/>
    <s v="Married"/>
    <x v="6"/>
    <s v="Customer Service Rep"/>
    <x v="2"/>
    <x v="1"/>
    <s v="North"/>
    <n v="2"/>
    <n v="30447"/>
    <x v="2"/>
    <n v="3"/>
    <n v="3"/>
    <n v="76"/>
    <n v="2"/>
    <d v="2021-04-21T00:00:00"/>
    <s v="No"/>
    <x v="3"/>
    <n v="2"/>
    <x v="3"/>
    <x v="0"/>
    <x v="1"/>
  </r>
  <r>
    <s v="REL00439"/>
    <s v="Male"/>
    <n v="25"/>
    <s v="Post Graduate"/>
    <s v="Single"/>
    <x v="3"/>
    <s v="HR Manager"/>
    <x v="0"/>
    <x v="2"/>
    <s v="West"/>
    <n v="13"/>
    <n v="109208"/>
    <x v="1"/>
    <n v="1"/>
    <n v="4"/>
    <n v="43"/>
    <n v="1"/>
    <d v="2010-09-30T00:00:00"/>
    <s v="Yes"/>
    <x v="1"/>
    <n v="1"/>
    <x v="2"/>
    <x v="1"/>
    <x v="2"/>
  </r>
  <r>
    <s v="REL00440"/>
    <s v="Female"/>
    <n v="29"/>
    <s v="Post Graduate"/>
    <s v="Single"/>
    <x v="6"/>
    <s v="Finance Analyst"/>
    <x v="4"/>
    <x v="9"/>
    <s v="West"/>
    <n v="1"/>
    <n v="63682"/>
    <x v="1"/>
    <n v="3"/>
    <n v="1"/>
    <n v="36"/>
    <n v="2"/>
    <d v="2022-05-12T00:00:00"/>
    <s v="Yes"/>
    <x v="0"/>
    <n v="1"/>
    <x v="3"/>
    <x v="1"/>
    <x v="1"/>
  </r>
  <r>
    <s v="REL00441"/>
    <s v="Male"/>
    <n v="48"/>
    <s v="Graduate"/>
    <s v="Single"/>
    <x v="3"/>
    <s v="Marketing Executive"/>
    <x v="1"/>
    <x v="6"/>
    <s v="South"/>
    <n v="10"/>
    <n v="79121"/>
    <x v="2"/>
    <n v="4"/>
    <n v="1"/>
    <n v="52"/>
    <n v="0"/>
    <d v="2013-04-09T00:00:00"/>
    <s v="Yes"/>
    <x v="0"/>
    <n v="2"/>
    <x v="1"/>
    <x v="1"/>
    <x v="1"/>
  </r>
  <r>
    <s v="REL00442"/>
    <s v="Male"/>
    <n v="51"/>
    <s v="MBA"/>
    <s v="Married"/>
    <x v="2"/>
    <s v="Sales Executive"/>
    <x v="3"/>
    <x v="8"/>
    <s v="South"/>
    <n v="10"/>
    <n v="60601"/>
    <x v="2"/>
    <n v="3"/>
    <n v="1"/>
    <n v="52"/>
    <n v="0"/>
    <d v="2013-12-20T00:00:00"/>
    <s v="No"/>
    <x v="0"/>
    <n v="2"/>
    <x v="1"/>
    <x v="0"/>
    <x v="1"/>
  </r>
  <r>
    <s v="REL00443"/>
    <s v="Male"/>
    <n v="46"/>
    <s v="Graduate"/>
    <s v="Married"/>
    <x v="7"/>
    <s v="Store Manager"/>
    <x v="0"/>
    <x v="4"/>
    <s v="North"/>
    <n v="4"/>
    <n v="92271"/>
    <x v="0"/>
    <n v="3"/>
    <n v="2"/>
    <n v="40"/>
    <n v="3"/>
    <d v="2019-12-05T00:00:00"/>
    <s v="No"/>
    <x v="1"/>
    <n v="3"/>
    <x v="0"/>
    <x v="0"/>
    <x v="0"/>
  </r>
  <r>
    <s v="REL00444"/>
    <s v="Female"/>
    <n v="53"/>
    <s v="MBA"/>
    <s v="Divorced"/>
    <x v="0"/>
    <s v="Logistics Coordinator"/>
    <x v="2"/>
    <x v="0"/>
    <s v="North"/>
    <n v="7"/>
    <n v="58336"/>
    <x v="0"/>
    <n v="3"/>
    <n v="2"/>
    <n v="55"/>
    <n v="0"/>
    <d v="2016-11-02T00:00:00"/>
    <s v="No"/>
    <x v="0"/>
    <n v="3"/>
    <x v="1"/>
    <x v="0"/>
    <x v="0"/>
  </r>
  <r>
    <s v="REL00445"/>
    <s v="Female"/>
    <n v="27"/>
    <s v="MBA"/>
    <s v="Married"/>
    <x v="1"/>
    <s v="Logistics Coordinator"/>
    <x v="3"/>
    <x v="7"/>
    <s v="East"/>
    <n v="15"/>
    <n v="80611"/>
    <x v="1"/>
    <n v="2"/>
    <n v="4"/>
    <n v="64"/>
    <n v="0"/>
    <d v="2008-03-03T00:00:00"/>
    <s v="No"/>
    <x v="1"/>
    <n v="1"/>
    <x v="2"/>
    <x v="0"/>
    <x v="2"/>
  </r>
  <r>
    <s v="REL00446"/>
    <s v="Male"/>
    <n v="40"/>
    <s v="MBA"/>
    <s v="Married"/>
    <x v="5"/>
    <s v="HR Manager"/>
    <x v="3"/>
    <x v="3"/>
    <s v="West"/>
    <n v="11"/>
    <n v="103230"/>
    <x v="0"/>
    <n v="1"/>
    <n v="4"/>
    <n v="48"/>
    <n v="1"/>
    <d v="2012-02-16T00:00:00"/>
    <s v="No"/>
    <x v="1"/>
    <n v="3"/>
    <x v="2"/>
    <x v="0"/>
    <x v="0"/>
  </r>
  <r>
    <s v="REL00447"/>
    <s v="Male"/>
    <n v="54"/>
    <s v="MBA"/>
    <s v="Married"/>
    <x v="4"/>
    <s v="Store Manager"/>
    <x v="2"/>
    <x v="6"/>
    <s v="South"/>
    <n v="5"/>
    <n v="103054"/>
    <x v="1"/>
    <n v="1"/>
    <n v="4"/>
    <n v="42"/>
    <n v="2"/>
    <d v="2018-04-15T00:00:00"/>
    <s v="Yes"/>
    <x v="1"/>
    <n v="1"/>
    <x v="0"/>
    <x v="1"/>
    <x v="2"/>
  </r>
  <r>
    <s v="REL00448"/>
    <s v="Male"/>
    <n v="27"/>
    <s v="MBA"/>
    <s v="Divorced"/>
    <x v="2"/>
    <s v="Finance Analyst"/>
    <x v="1"/>
    <x v="8"/>
    <s v="South"/>
    <n v="2"/>
    <n v="59883"/>
    <x v="3"/>
    <n v="3"/>
    <n v="3"/>
    <n v="68"/>
    <n v="3"/>
    <d v="2021-06-14T00:00:00"/>
    <s v="No"/>
    <x v="0"/>
    <n v="4"/>
    <x v="3"/>
    <x v="2"/>
    <x v="1"/>
  </r>
  <r>
    <s v="REL00449"/>
    <s v="Male"/>
    <n v="49"/>
    <s v="BTech"/>
    <s v="Single"/>
    <x v="4"/>
    <s v="HR Manager"/>
    <x v="0"/>
    <x v="4"/>
    <s v="North"/>
    <n v="4"/>
    <n v="75563"/>
    <x v="0"/>
    <n v="1"/>
    <n v="4"/>
    <n v="24"/>
    <n v="0"/>
    <d v="2019-08-23T00:00:00"/>
    <s v="No"/>
    <x v="0"/>
    <n v="3"/>
    <x v="0"/>
    <x v="0"/>
    <x v="0"/>
  </r>
  <r>
    <s v="REL00450"/>
    <s v="Female"/>
    <n v="41"/>
    <s v="Graduate"/>
    <s v="Single"/>
    <x v="7"/>
    <s v="Finance Analyst"/>
    <x v="3"/>
    <x v="6"/>
    <s v="South"/>
    <n v="14"/>
    <n v="87922"/>
    <x v="1"/>
    <n v="2"/>
    <n v="1"/>
    <n v="34"/>
    <n v="0"/>
    <d v="2009-07-04T00:00:00"/>
    <s v="No"/>
    <x v="1"/>
    <n v="1"/>
    <x v="2"/>
    <x v="0"/>
    <x v="2"/>
  </r>
  <r>
    <s v="REL00451"/>
    <s v="Male"/>
    <n v="27"/>
    <s v="HSC"/>
    <s v="Married"/>
    <x v="1"/>
    <s v="HR Manager"/>
    <x v="4"/>
    <x v="3"/>
    <s v="West"/>
    <n v="8"/>
    <n v="88922"/>
    <x v="0"/>
    <n v="2"/>
    <n v="4"/>
    <n v="64"/>
    <n v="0"/>
    <d v="2015-02-17T00:00:00"/>
    <s v="No"/>
    <x v="1"/>
    <n v="3"/>
    <x v="1"/>
    <x v="0"/>
    <x v="0"/>
  </r>
  <r>
    <s v="REL00452"/>
    <s v="Male"/>
    <n v="40"/>
    <s v="BTech"/>
    <s v="Married"/>
    <x v="3"/>
    <s v="Finance Analyst"/>
    <x v="2"/>
    <x v="0"/>
    <s v="North"/>
    <n v="8"/>
    <n v="66643"/>
    <x v="1"/>
    <n v="1"/>
    <n v="3"/>
    <n v="11"/>
    <n v="0"/>
    <d v="2015-09-01T00:00:00"/>
    <s v="No"/>
    <x v="0"/>
    <n v="1"/>
    <x v="1"/>
    <x v="0"/>
    <x v="1"/>
  </r>
  <r>
    <s v="REL00453"/>
    <s v="Female"/>
    <n v="36"/>
    <s v="Graduate"/>
    <s v="Divorced"/>
    <x v="6"/>
    <s v="Finance Analyst"/>
    <x v="3"/>
    <x v="2"/>
    <s v="West"/>
    <n v="1"/>
    <n v="65096"/>
    <x v="2"/>
    <n v="1"/>
    <n v="4"/>
    <n v="50"/>
    <n v="0"/>
    <d v="2022-04-14T00:00:00"/>
    <s v="No"/>
    <x v="0"/>
    <n v="2"/>
    <x v="3"/>
    <x v="0"/>
    <x v="1"/>
  </r>
  <r>
    <s v="REL00454"/>
    <s v="Male"/>
    <n v="40"/>
    <s v="Post Graduate"/>
    <s v="Married"/>
    <x v="6"/>
    <s v="Customer Service Rep"/>
    <x v="3"/>
    <x v="8"/>
    <s v="South"/>
    <n v="8"/>
    <n v="55690"/>
    <x v="3"/>
    <n v="3"/>
    <n v="4"/>
    <n v="39"/>
    <n v="1"/>
    <d v="2015-12-24T00:00:00"/>
    <s v="No"/>
    <x v="0"/>
    <n v="4"/>
    <x v="1"/>
    <x v="2"/>
    <x v="1"/>
  </r>
  <r>
    <s v="REL00455"/>
    <s v="Female"/>
    <n v="52"/>
    <s v="Post Graduate"/>
    <s v="Divorced"/>
    <x v="5"/>
    <s v="Operations Head"/>
    <x v="1"/>
    <x v="4"/>
    <s v="North"/>
    <n v="3"/>
    <n v="103791"/>
    <x v="1"/>
    <n v="2"/>
    <n v="3"/>
    <n v="21"/>
    <n v="3"/>
    <d v="2020-02-02T00:00:00"/>
    <s v="No"/>
    <x v="1"/>
    <n v="1"/>
    <x v="0"/>
    <x v="0"/>
    <x v="2"/>
  </r>
  <r>
    <s v="REL00456"/>
    <s v="Female"/>
    <n v="37"/>
    <s v="Post Graduate"/>
    <s v="Divorced"/>
    <x v="3"/>
    <s v="Finance Analyst"/>
    <x v="2"/>
    <x v="6"/>
    <s v="South"/>
    <n v="10"/>
    <n v="73306"/>
    <x v="0"/>
    <n v="1"/>
    <n v="1"/>
    <n v="55"/>
    <n v="2"/>
    <d v="2013-04-26T00:00:00"/>
    <s v="No"/>
    <x v="0"/>
    <n v="3"/>
    <x v="1"/>
    <x v="0"/>
    <x v="0"/>
  </r>
  <r>
    <s v="REL00457"/>
    <s v="Male"/>
    <n v="29"/>
    <s v="BTech"/>
    <s v="Single"/>
    <x v="3"/>
    <s v="Sales Executive"/>
    <x v="2"/>
    <x v="7"/>
    <s v="East"/>
    <n v="13"/>
    <n v="67066"/>
    <x v="3"/>
    <n v="4"/>
    <n v="3"/>
    <n v="53"/>
    <n v="2"/>
    <d v="2010-11-07T00:00:00"/>
    <s v="No"/>
    <x v="0"/>
    <n v="4"/>
    <x v="2"/>
    <x v="2"/>
    <x v="1"/>
  </r>
  <r>
    <s v="REL00458"/>
    <s v="Male"/>
    <n v="28"/>
    <s v="BTech"/>
    <s v="Single"/>
    <x v="4"/>
    <s v="Store Manager"/>
    <x v="2"/>
    <x v="3"/>
    <s v="West"/>
    <n v="12"/>
    <n v="113346"/>
    <x v="3"/>
    <n v="1"/>
    <n v="2"/>
    <n v="25"/>
    <n v="1"/>
    <d v="2011-11-09T00:00:00"/>
    <s v="No"/>
    <x v="1"/>
    <n v="4"/>
    <x v="2"/>
    <x v="2"/>
    <x v="0"/>
  </r>
  <r>
    <s v="REL00459"/>
    <s v="Female"/>
    <n v="30"/>
    <s v="Graduate"/>
    <s v="Single"/>
    <x v="3"/>
    <s v="Finance Analyst"/>
    <x v="0"/>
    <x v="7"/>
    <s v="East"/>
    <n v="13"/>
    <n v="79253"/>
    <x v="1"/>
    <n v="4"/>
    <n v="4"/>
    <n v="10"/>
    <n v="1"/>
    <d v="2010-07-02T00:00:00"/>
    <s v="No"/>
    <x v="0"/>
    <n v="1"/>
    <x v="2"/>
    <x v="0"/>
    <x v="1"/>
  </r>
  <r>
    <s v="REL00460"/>
    <s v="Male"/>
    <n v="31"/>
    <s v="BTech"/>
    <s v="Married"/>
    <x v="5"/>
    <s v="Operations Head"/>
    <x v="0"/>
    <x v="9"/>
    <s v="West"/>
    <n v="2"/>
    <n v="101203"/>
    <x v="0"/>
    <n v="2"/>
    <n v="2"/>
    <n v="64"/>
    <n v="3"/>
    <d v="2021-07-01T00:00:00"/>
    <s v="No"/>
    <x v="1"/>
    <n v="3"/>
    <x v="3"/>
    <x v="0"/>
    <x v="0"/>
  </r>
  <r>
    <s v="REL00461"/>
    <s v="Male"/>
    <n v="27"/>
    <s v="HSC"/>
    <s v="Married"/>
    <x v="7"/>
    <s v="Finance Analyst"/>
    <x v="1"/>
    <x v="2"/>
    <s v="West"/>
    <n v="1"/>
    <n v="56770"/>
    <x v="2"/>
    <n v="4"/>
    <n v="2"/>
    <n v="65"/>
    <n v="0"/>
    <d v="2022-04-12T00:00:00"/>
    <s v="Yes"/>
    <x v="0"/>
    <n v="2"/>
    <x v="3"/>
    <x v="1"/>
    <x v="1"/>
  </r>
  <r>
    <s v="REL00462"/>
    <s v="Female"/>
    <n v="42"/>
    <s v="HSC"/>
    <s v="Single"/>
    <x v="0"/>
    <s v="Operations Head"/>
    <x v="2"/>
    <x v="2"/>
    <s v="West"/>
    <n v="11"/>
    <n v="120739"/>
    <x v="3"/>
    <n v="3"/>
    <n v="2"/>
    <n v="61"/>
    <n v="3"/>
    <d v="2012-01-21T00:00:00"/>
    <s v="No"/>
    <x v="1"/>
    <n v="4"/>
    <x v="2"/>
    <x v="2"/>
    <x v="0"/>
  </r>
  <r>
    <s v="REL00463"/>
    <s v="Female"/>
    <n v="46"/>
    <s v="Post Graduate"/>
    <s v="Divorced"/>
    <x v="7"/>
    <s v="Marketing Executive"/>
    <x v="0"/>
    <x v="5"/>
    <s v="South"/>
    <n v="13"/>
    <n v="75880"/>
    <x v="1"/>
    <n v="3"/>
    <n v="2"/>
    <n v="21"/>
    <n v="2"/>
    <d v="2010-04-04T00:00:00"/>
    <s v="Yes"/>
    <x v="0"/>
    <n v="1"/>
    <x v="2"/>
    <x v="1"/>
    <x v="1"/>
  </r>
  <r>
    <s v="REL00464"/>
    <s v="Male"/>
    <n v="25"/>
    <s v="HSC"/>
    <s v="Married"/>
    <x v="5"/>
    <s v="Operations Head"/>
    <x v="2"/>
    <x v="1"/>
    <s v="North"/>
    <n v="1"/>
    <n v="94908"/>
    <x v="3"/>
    <n v="3"/>
    <n v="1"/>
    <n v="16"/>
    <n v="0"/>
    <d v="2022-05-30T00:00:00"/>
    <s v="No"/>
    <x v="1"/>
    <n v="4"/>
    <x v="3"/>
    <x v="2"/>
    <x v="0"/>
  </r>
  <r>
    <s v="REL00465"/>
    <s v="Male"/>
    <n v="44"/>
    <s v="HSC"/>
    <s v="Married"/>
    <x v="4"/>
    <s v="Customer Service Rep"/>
    <x v="1"/>
    <x v="9"/>
    <s v="West"/>
    <n v="8"/>
    <n v="48736"/>
    <x v="3"/>
    <n v="2"/>
    <n v="4"/>
    <n v="76"/>
    <n v="1"/>
    <d v="2015-03-20T00:00:00"/>
    <s v="No"/>
    <x v="2"/>
    <n v="4"/>
    <x v="1"/>
    <x v="2"/>
    <x v="1"/>
  </r>
  <r>
    <s v="REL00466"/>
    <s v="Female"/>
    <n v="48"/>
    <s v="Graduate"/>
    <s v="Single"/>
    <x v="5"/>
    <s v="Customer Service Rep"/>
    <x v="1"/>
    <x v="0"/>
    <s v="North"/>
    <n v="14"/>
    <n v="67886"/>
    <x v="0"/>
    <n v="1"/>
    <n v="4"/>
    <n v="26"/>
    <n v="3"/>
    <d v="2009-10-21T00:00:00"/>
    <s v="Yes"/>
    <x v="0"/>
    <n v="3"/>
    <x v="2"/>
    <x v="1"/>
    <x v="0"/>
  </r>
  <r>
    <s v="REL00467"/>
    <s v="Female"/>
    <n v="38"/>
    <s v="BTech"/>
    <s v="Married"/>
    <x v="7"/>
    <s v="Logistics Coordinator"/>
    <x v="4"/>
    <x v="5"/>
    <s v="South"/>
    <n v="11"/>
    <n v="76275"/>
    <x v="2"/>
    <n v="4"/>
    <n v="4"/>
    <n v="72"/>
    <n v="3"/>
    <d v="2012-04-13T00:00:00"/>
    <s v="No"/>
    <x v="0"/>
    <n v="2"/>
    <x v="2"/>
    <x v="0"/>
    <x v="1"/>
  </r>
  <r>
    <s v="REL00468"/>
    <s v="Male"/>
    <n v="35"/>
    <s v="MBA"/>
    <s v="Married"/>
    <x v="3"/>
    <s v="Finance Analyst"/>
    <x v="1"/>
    <x v="6"/>
    <s v="South"/>
    <n v="8"/>
    <n v="70239"/>
    <x v="0"/>
    <n v="1"/>
    <n v="2"/>
    <n v="57"/>
    <n v="0"/>
    <d v="2015-04-08T00:00:00"/>
    <s v="No"/>
    <x v="0"/>
    <n v="3"/>
    <x v="1"/>
    <x v="0"/>
    <x v="0"/>
  </r>
  <r>
    <s v="REL00469"/>
    <s v="Male"/>
    <n v="45"/>
    <s v="HSC"/>
    <s v="Married"/>
    <x v="6"/>
    <s v="Operations Head"/>
    <x v="4"/>
    <x v="4"/>
    <s v="North"/>
    <n v="6"/>
    <n v="98319"/>
    <x v="3"/>
    <n v="3"/>
    <n v="3"/>
    <n v="72"/>
    <n v="0"/>
    <d v="2017-10-16T00:00:00"/>
    <s v="No"/>
    <x v="1"/>
    <n v="4"/>
    <x v="1"/>
    <x v="2"/>
    <x v="0"/>
  </r>
  <r>
    <s v="REL00470"/>
    <s v="Male"/>
    <n v="29"/>
    <s v="BTech"/>
    <s v="Married"/>
    <x v="3"/>
    <s v="Operations Head"/>
    <x v="1"/>
    <x v="6"/>
    <s v="South"/>
    <n v="1"/>
    <n v="96289"/>
    <x v="1"/>
    <n v="1"/>
    <n v="1"/>
    <n v="63"/>
    <n v="3"/>
    <d v="2022-04-26T00:00:00"/>
    <s v="Yes"/>
    <x v="1"/>
    <n v="1"/>
    <x v="3"/>
    <x v="1"/>
    <x v="2"/>
  </r>
  <r>
    <s v="REL00471"/>
    <s v="Male"/>
    <n v="30"/>
    <s v="BTech"/>
    <s v="Divorced"/>
    <x v="4"/>
    <s v="Customer Service Rep"/>
    <x v="1"/>
    <x v="4"/>
    <s v="North"/>
    <n v="15"/>
    <n v="67363"/>
    <x v="1"/>
    <n v="4"/>
    <n v="4"/>
    <n v="67"/>
    <n v="1"/>
    <d v="2008-02-29T00:00:00"/>
    <s v="No"/>
    <x v="0"/>
    <n v="1"/>
    <x v="2"/>
    <x v="0"/>
    <x v="1"/>
  </r>
  <r>
    <s v="REL00472"/>
    <s v="Female"/>
    <n v="39"/>
    <s v="Graduate"/>
    <s v="Single"/>
    <x v="2"/>
    <s v="Marketing Executive"/>
    <x v="1"/>
    <x v="7"/>
    <s v="East"/>
    <n v="7"/>
    <n v="66956"/>
    <x v="1"/>
    <n v="1"/>
    <n v="3"/>
    <n v="25"/>
    <n v="0"/>
    <d v="2016-12-10T00:00:00"/>
    <s v="No"/>
    <x v="0"/>
    <n v="1"/>
    <x v="1"/>
    <x v="0"/>
    <x v="1"/>
  </r>
  <r>
    <s v="REL00473"/>
    <s v="Male"/>
    <n v="23"/>
    <s v="HSC"/>
    <s v="Single"/>
    <x v="0"/>
    <s v="Finance Analyst"/>
    <x v="1"/>
    <x v="5"/>
    <s v="South"/>
    <n v="13"/>
    <n v="92470"/>
    <x v="0"/>
    <n v="2"/>
    <n v="4"/>
    <n v="20"/>
    <n v="2"/>
    <d v="2010-11-04T00:00:00"/>
    <s v="Yes"/>
    <x v="1"/>
    <n v="3"/>
    <x v="2"/>
    <x v="1"/>
    <x v="0"/>
  </r>
  <r>
    <s v="REL00474"/>
    <s v="Female"/>
    <n v="46"/>
    <s v="HSC"/>
    <s v="Single"/>
    <x v="0"/>
    <s v="Logistics Coordinator"/>
    <x v="3"/>
    <x v="2"/>
    <s v="West"/>
    <n v="6"/>
    <n v="52914"/>
    <x v="3"/>
    <n v="1"/>
    <n v="1"/>
    <n v="79"/>
    <n v="1"/>
    <d v="2017-12-21T00:00:00"/>
    <s v="No"/>
    <x v="0"/>
    <n v="4"/>
    <x v="1"/>
    <x v="2"/>
    <x v="1"/>
  </r>
  <r>
    <s v="REL00475"/>
    <s v="Male"/>
    <n v="25"/>
    <s v="BTech"/>
    <s v="Married"/>
    <x v="3"/>
    <s v="Sales Executive"/>
    <x v="2"/>
    <x v="8"/>
    <s v="South"/>
    <n v="13"/>
    <n v="61053"/>
    <x v="2"/>
    <n v="2"/>
    <n v="1"/>
    <n v="17"/>
    <n v="2"/>
    <d v="2010-06-10T00:00:00"/>
    <s v="No"/>
    <x v="0"/>
    <n v="2"/>
    <x v="2"/>
    <x v="0"/>
    <x v="1"/>
  </r>
  <r>
    <s v="REL00476"/>
    <s v="Male"/>
    <n v="34"/>
    <s v="Post Graduate"/>
    <s v="Divorced"/>
    <x v="2"/>
    <s v="Customer Service Rep"/>
    <x v="0"/>
    <x v="2"/>
    <s v="West"/>
    <n v="7"/>
    <n v="47451"/>
    <x v="0"/>
    <n v="2"/>
    <n v="4"/>
    <n v="75"/>
    <n v="3"/>
    <d v="2016-11-02T00:00:00"/>
    <s v="No"/>
    <x v="2"/>
    <n v="3"/>
    <x v="1"/>
    <x v="0"/>
    <x v="1"/>
  </r>
  <r>
    <s v="REL00477"/>
    <s v="Female"/>
    <n v="36"/>
    <s v="Graduate"/>
    <s v="Married"/>
    <x v="4"/>
    <s v="Logistics Coordinator"/>
    <x v="4"/>
    <x v="0"/>
    <s v="North"/>
    <n v="8"/>
    <n v="53144"/>
    <x v="2"/>
    <n v="1"/>
    <n v="2"/>
    <n v="26"/>
    <n v="2"/>
    <d v="2015-12-20T00:00:00"/>
    <s v="No"/>
    <x v="0"/>
    <n v="2"/>
    <x v="1"/>
    <x v="0"/>
    <x v="1"/>
  </r>
  <r>
    <s v="REL00478"/>
    <s v="Male"/>
    <n v="37"/>
    <s v="BTech"/>
    <s v="Married"/>
    <x v="6"/>
    <s v="Marketing Executive"/>
    <x v="3"/>
    <x v="4"/>
    <s v="North"/>
    <n v="14"/>
    <n v="72665"/>
    <x v="3"/>
    <n v="4"/>
    <n v="1"/>
    <n v="10"/>
    <n v="3"/>
    <d v="2009-04-03T00:00:00"/>
    <s v="No"/>
    <x v="0"/>
    <n v="4"/>
    <x v="2"/>
    <x v="2"/>
    <x v="1"/>
  </r>
  <r>
    <s v="REL00479"/>
    <s v="Female"/>
    <n v="44"/>
    <s v="Post Graduate"/>
    <s v="Divorced"/>
    <x v="4"/>
    <s v="Finance Analyst"/>
    <x v="2"/>
    <x v="4"/>
    <s v="North"/>
    <n v="1"/>
    <n v="60955"/>
    <x v="3"/>
    <n v="3"/>
    <n v="1"/>
    <n v="30"/>
    <n v="0"/>
    <d v="2022-08-26T00:00:00"/>
    <s v="No"/>
    <x v="0"/>
    <n v="4"/>
    <x v="3"/>
    <x v="2"/>
    <x v="1"/>
  </r>
  <r>
    <s v="REL00480"/>
    <s v="Male"/>
    <n v="54"/>
    <s v="HSC"/>
    <s v="Divorced"/>
    <x v="2"/>
    <s v="HR Manager"/>
    <x v="3"/>
    <x v="8"/>
    <s v="South"/>
    <n v="14"/>
    <n v="111234"/>
    <x v="3"/>
    <n v="3"/>
    <n v="3"/>
    <n v="67"/>
    <n v="2"/>
    <d v="2009-05-28T00:00:00"/>
    <s v="No"/>
    <x v="1"/>
    <n v="4"/>
    <x v="2"/>
    <x v="2"/>
    <x v="0"/>
  </r>
  <r>
    <s v="REL00481"/>
    <s v="Male"/>
    <n v="52"/>
    <s v="Graduate"/>
    <s v="Single"/>
    <x v="5"/>
    <s v="Customer Service Rep"/>
    <x v="0"/>
    <x v="5"/>
    <s v="South"/>
    <n v="8"/>
    <n v="41520"/>
    <x v="0"/>
    <n v="2"/>
    <n v="4"/>
    <n v="72"/>
    <n v="3"/>
    <d v="2015-02-07T00:00:00"/>
    <s v="No"/>
    <x v="2"/>
    <n v="3"/>
    <x v="1"/>
    <x v="0"/>
    <x v="1"/>
  </r>
  <r>
    <s v="REL00482"/>
    <s v="Female"/>
    <n v="46"/>
    <s v="Post Graduate"/>
    <s v="Divorced"/>
    <x v="2"/>
    <s v="Finance Analyst"/>
    <x v="4"/>
    <x v="1"/>
    <s v="North"/>
    <n v="15"/>
    <n v="84044"/>
    <x v="3"/>
    <n v="1"/>
    <n v="1"/>
    <n v="69"/>
    <n v="2"/>
    <d v="2008-06-26T00:00:00"/>
    <s v="No"/>
    <x v="1"/>
    <n v="4"/>
    <x v="2"/>
    <x v="2"/>
    <x v="0"/>
  </r>
  <r>
    <s v="REL00483"/>
    <s v="Male"/>
    <n v="41"/>
    <s v="Post Graduate"/>
    <s v="Single"/>
    <x v="7"/>
    <s v="Store Manager"/>
    <x v="4"/>
    <x v="5"/>
    <s v="South"/>
    <n v="12"/>
    <n v="108212"/>
    <x v="0"/>
    <n v="4"/>
    <n v="3"/>
    <n v="14"/>
    <n v="2"/>
    <d v="2011-09-28T00:00:00"/>
    <s v="No"/>
    <x v="1"/>
    <n v="3"/>
    <x v="2"/>
    <x v="0"/>
    <x v="0"/>
  </r>
  <r>
    <s v="REL00484"/>
    <s v="Female"/>
    <n v="32"/>
    <s v="BTech"/>
    <s v="Single"/>
    <x v="1"/>
    <s v="Logistics Coordinator"/>
    <x v="4"/>
    <x v="9"/>
    <s v="West"/>
    <n v="14"/>
    <n v="66635"/>
    <x v="0"/>
    <n v="2"/>
    <n v="1"/>
    <n v="26"/>
    <n v="0"/>
    <d v="2009-03-19T00:00:00"/>
    <s v="No"/>
    <x v="0"/>
    <n v="3"/>
    <x v="2"/>
    <x v="0"/>
    <x v="0"/>
  </r>
  <r>
    <s v="REL00485"/>
    <s v="Female"/>
    <n v="51"/>
    <s v="Graduate"/>
    <s v="Married"/>
    <x v="4"/>
    <s v="Operations Head"/>
    <x v="1"/>
    <x v="6"/>
    <s v="South"/>
    <n v="15"/>
    <n v="121286"/>
    <x v="0"/>
    <n v="1"/>
    <n v="3"/>
    <n v="65"/>
    <n v="3"/>
    <d v="2008-01-16T00:00:00"/>
    <s v="Yes"/>
    <x v="1"/>
    <n v="3"/>
    <x v="2"/>
    <x v="1"/>
    <x v="0"/>
  </r>
  <r>
    <s v="REL00486"/>
    <s v="Male"/>
    <n v="39"/>
    <s v="MBA"/>
    <s v="Divorced"/>
    <x v="2"/>
    <s v="Customer Service Rep"/>
    <x v="1"/>
    <x v="8"/>
    <s v="South"/>
    <n v="8"/>
    <n v="57949"/>
    <x v="1"/>
    <n v="4"/>
    <n v="3"/>
    <n v="10"/>
    <n v="3"/>
    <d v="2015-09-11T00:00:00"/>
    <s v="No"/>
    <x v="0"/>
    <n v="1"/>
    <x v="1"/>
    <x v="0"/>
    <x v="1"/>
  </r>
  <r>
    <s v="REL00487"/>
    <s v="Male"/>
    <n v="32"/>
    <s v="HSC"/>
    <s v="Married"/>
    <x v="5"/>
    <s v="Marketing Executive"/>
    <x v="4"/>
    <x v="5"/>
    <s v="South"/>
    <n v="12"/>
    <n v="77887"/>
    <x v="3"/>
    <n v="1"/>
    <n v="1"/>
    <n v="13"/>
    <n v="3"/>
    <d v="2011-08-30T00:00:00"/>
    <s v="Yes"/>
    <x v="0"/>
    <n v="4"/>
    <x v="2"/>
    <x v="1"/>
    <x v="1"/>
  </r>
  <r>
    <s v="REL00488"/>
    <s v="Male"/>
    <n v="43"/>
    <s v="Graduate"/>
    <s v="Married"/>
    <x v="0"/>
    <s v="Operations Head"/>
    <x v="1"/>
    <x v="2"/>
    <s v="West"/>
    <n v="14"/>
    <n v="121098"/>
    <x v="2"/>
    <n v="2"/>
    <n v="1"/>
    <n v="66"/>
    <n v="0"/>
    <d v="2009-05-07T00:00:00"/>
    <s v="Yes"/>
    <x v="1"/>
    <n v="2"/>
    <x v="2"/>
    <x v="1"/>
    <x v="1"/>
  </r>
  <r>
    <s v="REL00489"/>
    <s v="Male"/>
    <n v="30"/>
    <s v="Graduate"/>
    <s v="Married"/>
    <x v="2"/>
    <s v="Store Manager"/>
    <x v="4"/>
    <x v="9"/>
    <s v="West"/>
    <n v="15"/>
    <n v="117366"/>
    <x v="3"/>
    <n v="1"/>
    <n v="3"/>
    <n v="65"/>
    <n v="0"/>
    <d v="2008-01-15T00:00:00"/>
    <s v="No"/>
    <x v="1"/>
    <n v="4"/>
    <x v="2"/>
    <x v="2"/>
    <x v="0"/>
  </r>
  <r>
    <s v="REL00490"/>
    <s v="Female"/>
    <n v="36"/>
    <s v="BTech"/>
    <s v="Divorced"/>
    <x v="0"/>
    <s v="Logistics Coordinator"/>
    <x v="1"/>
    <x v="0"/>
    <s v="North"/>
    <n v="5"/>
    <n v="58162"/>
    <x v="3"/>
    <n v="1"/>
    <n v="4"/>
    <n v="59"/>
    <n v="3"/>
    <d v="2018-02-20T00:00:00"/>
    <s v="Yes"/>
    <x v="0"/>
    <n v="4"/>
    <x v="0"/>
    <x v="1"/>
    <x v="1"/>
  </r>
  <r>
    <s v="REL00491"/>
    <s v="Male"/>
    <n v="22"/>
    <s v="BTech"/>
    <s v="Divorced"/>
    <x v="2"/>
    <s v="Customer Service Rep"/>
    <x v="0"/>
    <x v="2"/>
    <s v="West"/>
    <n v="8"/>
    <n v="60261"/>
    <x v="3"/>
    <n v="1"/>
    <n v="2"/>
    <n v="26"/>
    <n v="2"/>
    <d v="2015-11-09T00:00:00"/>
    <s v="No"/>
    <x v="0"/>
    <n v="4"/>
    <x v="1"/>
    <x v="2"/>
    <x v="1"/>
  </r>
  <r>
    <s v="REL00492"/>
    <s v="Female"/>
    <n v="49"/>
    <s v="BTech"/>
    <s v="Divorced"/>
    <x v="6"/>
    <s v="Marketing Executive"/>
    <x v="3"/>
    <x v="7"/>
    <s v="East"/>
    <n v="3"/>
    <n v="50511"/>
    <x v="1"/>
    <n v="3"/>
    <n v="3"/>
    <n v="79"/>
    <n v="1"/>
    <d v="2020-10-28T00:00:00"/>
    <s v="Yes"/>
    <x v="0"/>
    <n v="1"/>
    <x v="0"/>
    <x v="1"/>
    <x v="1"/>
  </r>
  <r>
    <s v="REL00493"/>
    <s v="Male"/>
    <n v="25"/>
    <s v="Post Graduate"/>
    <s v="Divorced"/>
    <x v="7"/>
    <s v="Customer Service Rep"/>
    <x v="0"/>
    <x v="6"/>
    <s v="South"/>
    <n v="5"/>
    <n v="35264"/>
    <x v="2"/>
    <n v="1"/>
    <n v="4"/>
    <n v="54"/>
    <n v="1"/>
    <d v="2018-03-08T00:00:00"/>
    <s v="No"/>
    <x v="2"/>
    <n v="2"/>
    <x v="0"/>
    <x v="0"/>
    <x v="1"/>
  </r>
  <r>
    <s v="REL00494"/>
    <s v="Female"/>
    <n v="43"/>
    <s v="BTech"/>
    <s v="Married"/>
    <x v="1"/>
    <s v="Finance Analyst"/>
    <x v="4"/>
    <x v="5"/>
    <s v="South"/>
    <n v="4"/>
    <n v="73315"/>
    <x v="2"/>
    <n v="4"/>
    <n v="3"/>
    <n v="30"/>
    <n v="0"/>
    <d v="2019-01-13T00:00:00"/>
    <s v="No"/>
    <x v="0"/>
    <n v="2"/>
    <x v="0"/>
    <x v="0"/>
    <x v="1"/>
  </r>
  <r>
    <s v="REL00495"/>
    <s v="Male"/>
    <n v="37"/>
    <s v="MBA"/>
    <s v="Divorced"/>
    <x v="0"/>
    <s v="Store Manager"/>
    <x v="3"/>
    <x v="9"/>
    <s v="West"/>
    <n v="15"/>
    <n v="112308"/>
    <x v="0"/>
    <n v="3"/>
    <n v="4"/>
    <n v="36"/>
    <n v="3"/>
    <d v="2008-05-11T00:00:00"/>
    <s v="No"/>
    <x v="1"/>
    <n v="3"/>
    <x v="2"/>
    <x v="0"/>
    <x v="0"/>
  </r>
  <r>
    <s v="REL00496"/>
    <s v="Male"/>
    <n v="40"/>
    <s v="MBA"/>
    <s v="Single"/>
    <x v="0"/>
    <s v="Customer Service Rep"/>
    <x v="0"/>
    <x v="6"/>
    <s v="South"/>
    <n v="2"/>
    <n v="29983"/>
    <x v="3"/>
    <n v="3"/>
    <n v="1"/>
    <n v="13"/>
    <n v="1"/>
    <d v="2021-11-04T00:00:00"/>
    <s v="No"/>
    <x v="3"/>
    <n v="4"/>
    <x v="3"/>
    <x v="2"/>
    <x v="3"/>
  </r>
  <r>
    <s v="REL00497"/>
    <s v="Male"/>
    <n v="33"/>
    <s v="Post Graduate"/>
    <s v="Single"/>
    <x v="4"/>
    <s v="Operations Head"/>
    <x v="2"/>
    <x v="5"/>
    <s v="South"/>
    <n v="15"/>
    <n v="120710"/>
    <x v="0"/>
    <n v="2"/>
    <n v="3"/>
    <n v="22"/>
    <n v="0"/>
    <d v="2008-03-27T00:00:00"/>
    <s v="No"/>
    <x v="1"/>
    <n v="3"/>
    <x v="2"/>
    <x v="0"/>
    <x v="0"/>
  </r>
  <r>
    <s v="REL00498"/>
    <s v="Female"/>
    <n v="45"/>
    <s v="Post Graduate"/>
    <s v="Divorced"/>
    <x v="6"/>
    <s v="Marketing Executive"/>
    <x v="4"/>
    <x v="6"/>
    <s v="South"/>
    <n v="15"/>
    <n v="79996"/>
    <x v="2"/>
    <n v="4"/>
    <n v="1"/>
    <n v="25"/>
    <n v="1"/>
    <d v="2008-09-04T00:00:00"/>
    <s v="No"/>
    <x v="0"/>
    <n v="2"/>
    <x v="2"/>
    <x v="0"/>
    <x v="1"/>
  </r>
  <r>
    <s v="REL00499"/>
    <s v="Male"/>
    <n v="24"/>
    <s v="BTech"/>
    <s v="Divorced"/>
    <x v="1"/>
    <s v="Customer Service Rep"/>
    <x v="2"/>
    <x v="6"/>
    <s v="South"/>
    <n v="12"/>
    <n v="59418"/>
    <x v="1"/>
    <n v="2"/>
    <n v="3"/>
    <n v="29"/>
    <n v="2"/>
    <d v="2011-02-13T00:00:00"/>
    <s v="Yes"/>
    <x v="0"/>
    <n v="1"/>
    <x v="2"/>
    <x v="1"/>
    <x v="1"/>
  </r>
  <r>
    <s v="REL00500"/>
    <s v="Male"/>
    <n v="32"/>
    <s v="BTech"/>
    <s v="Married"/>
    <x v="0"/>
    <s v="Finance Analyst"/>
    <x v="0"/>
    <x v="5"/>
    <s v="South"/>
    <n v="14"/>
    <n v="84856"/>
    <x v="0"/>
    <n v="3"/>
    <n v="4"/>
    <n v="76"/>
    <n v="3"/>
    <d v="2009-05-09T00:00:00"/>
    <s v="Yes"/>
    <x v="1"/>
    <n v="3"/>
    <x v="2"/>
    <x v="1"/>
    <x v="0"/>
  </r>
  <r>
    <s v="REL00501"/>
    <s v="Male"/>
    <n v="35"/>
    <s v="Post Graduate"/>
    <s v="Single"/>
    <x v="5"/>
    <s v="Finance Analyst"/>
    <x v="0"/>
    <x v="6"/>
    <s v="South"/>
    <n v="12"/>
    <n v="89524"/>
    <x v="1"/>
    <n v="4"/>
    <n v="2"/>
    <n v="60"/>
    <n v="1"/>
    <d v="2011-06-13T00:00:00"/>
    <s v="No"/>
    <x v="1"/>
    <n v="1"/>
    <x v="2"/>
    <x v="0"/>
    <x v="2"/>
  </r>
  <r>
    <s v="REL00502"/>
    <s v="Male"/>
    <n v="27"/>
    <s v="HSC"/>
    <s v="Married"/>
    <x v="6"/>
    <s v="Customer Service Rep"/>
    <x v="3"/>
    <x v="8"/>
    <s v="South"/>
    <n v="15"/>
    <n v="63340"/>
    <x v="0"/>
    <n v="3"/>
    <n v="2"/>
    <n v="15"/>
    <n v="3"/>
    <d v="2008-11-22T00:00:00"/>
    <s v="No"/>
    <x v="0"/>
    <n v="3"/>
    <x v="2"/>
    <x v="0"/>
    <x v="0"/>
  </r>
  <r>
    <s v="REL00503"/>
    <s v="Female"/>
    <n v="46"/>
    <s v="Graduate"/>
    <s v="Single"/>
    <x v="5"/>
    <s v="Logistics Coordinator"/>
    <x v="3"/>
    <x v="1"/>
    <s v="North"/>
    <n v="8"/>
    <n v="64400"/>
    <x v="1"/>
    <n v="4"/>
    <n v="2"/>
    <n v="43"/>
    <n v="0"/>
    <d v="2015-07-25T00:00:00"/>
    <s v="Yes"/>
    <x v="0"/>
    <n v="1"/>
    <x v="1"/>
    <x v="1"/>
    <x v="1"/>
  </r>
  <r>
    <s v="REL00504"/>
    <s v="Male"/>
    <n v="45"/>
    <s v="Graduate"/>
    <s v="Divorced"/>
    <x v="2"/>
    <s v="Operations Head"/>
    <x v="0"/>
    <x v="7"/>
    <s v="East"/>
    <n v="13"/>
    <n v="118462"/>
    <x v="3"/>
    <n v="2"/>
    <n v="3"/>
    <n v="35"/>
    <n v="2"/>
    <d v="2010-11-05T00:00:00"/>
    <s v="Yes"/>
    <x v="1"/>
    <n v="4"/>
    <x v="2"/>
    <x v="1"/>
    <x v="0"/>
  </r>
  <r>
    <s v="REL00505"/>
    <s v="Female"/>
    <n v="40"/>
    <s v="HSC"/>
    <s v="Married"/>
    <x v="4"/>
    <s v="HR Manager"/>
    <x v="0"/>
    <x v="8"/>
    <s v="South"/>
    <n v="12"/>
    <n v="106797"/>
    <x v="0"/>
    <n v="4"/>
    <n v="1"/>
    <n v="70"/>
    <n v="1"/>
    <d v="2011-12-31T00:00:00"/>
    <s v="No"/>
    <x v="1"/>
    <n v="3"/>
    <x v="2"/>
    <x v="0"/>
    <x v="0"/>
  </r>
  <r>
    <s v="REL00506"/>
    <s v="Female"/>
    <n v="51"/>
    <s v="HSC"/>
    <s v="Single"/>
    <x v="1"/>
    <s v="Marketing Executive"/>
    <x v="2"/>
    <x v="2"/>
    <s v="West"/>
    <n v="8"/>
    <n v="72902"/>
    <x v="0"/>
    <n v="3"/>
    <n v="2"/>
    <n v="64"/>
    <n v="3"/>
    <d v="2015-03-27T00:00:00"/>
    <s v="No"/>
    <x v="0"/>
    <n v="3"/>
    <x v="1"/>
    <x v="0"/>
    <x v="0"/>
  </r>
  <r>
    <s v="REL00507"/>
    <s v="Male"/>
    <n v="53"/>
    <s v="HSC"/>
    <s v="Married"/>
    <x v="7"/>
    <s v="HR Manager"/>
    <x v="3"/>
    <x v="5"/>
    <s v="South"/>
    <n v="6"/>
    <n v="95923"/>
    <x v="3"/>
    <n v="2"/>
    <n v="4"/>
    <n v="64"/>
    <n v="3"/>
    <d v="2017-07-30T00:00:00"/>
    <s v="No"/>
    <x v="1"/>
    <n v="4"/>
    <x v="1"/>
    <x v="2"/>
    <x v="0"/>
  </r>
  <r>
    <s v="REL00508"/>
    <s v="Female"/>
    <n v="46"/>
    <s v="Post Graduate"/>
    <s v="Married"/>
    <x v="4"/>
    <s v="Store Manager"/>
    <x v="0"/>
    <x v="1"/>
    <s v="North"/>
    <n v="10"/>
    <n v="99559"/>
    <x v="3"/>
    <n v="1"/>
    <n v="4"/>
    <n v="34"/>
    <n v="3"/>
    <d v="2013-07-18T00:00:00"/>
    <s v="No"/>
    <x v="1"/>
    <n v="4"/>
    <x v="1"/>
    <x v="2"/>
    <x v="0"/>
  </r>
  <r>
    <s v="REL00509"/>
    <s v="Male"/>
    <n v="24"/>
    <s v="BTech"/>
    <s v="Married"/>
    <x v="5"/>
    <s v="Operations Head"/>
    <x v="1"/>
    <x v="0"/>
    <s v="North"/>
    <n v="11"/>
    <n v="110055"/>
    <x v="1"/>
    <n v="1"/>
    <n v="2"/>
    <n v="35"/>
    <n v="0"/>
    <d v="2012-01-24T00:00:00"/>
    <s v="Yes"/>
    <x v="1"/>
    <n v="1"/>
    <x v="2"/>
    <x v="1"/>
    <x v="2"/>
  </r>
  <r>
    <s v="REL00510"/>
    <s v="Male"/>
    <n v="32"/>
    <s v="HSC"/>
    <s v="Married"/>
    <x v="4"/>
    <s v="Sales Executive"/>
    <x v="2"/>
    <x v="2"/>
    <s v="West"/>
    <n v="5"/>
    <n v="54898"/>
    <x v="0"/>
    <n v="4"/>
    <n v="2"/>
    <n v="24"/>
    <n v="1"/>
    <d v="2018-06-28T00:00:00"/>
    <s v="Yes"/>
    <x v="0"/>
    <n v="3"/>
    <x v="0"/>
    <x v="1"/>
    <x v="0"/>
  </r>
  <r>
    <s v="REL00511"/>
    <s v="Female"/>
    <n v="52"/>
    <s v="Post Graduate"/>
    <s v="Divorced"/>
    <x v="6"/>
    <s v="Marketing Executive"/>
    <x v="3"/>
    <x v="1"/>
    <s v="North"/>
    <n v="7"/>
    <n v="58257"/>
    <x v="3"/>
    <n v="3"/>
    <n v="2"/>
    <n v="74"/>
    <n v="3"/>
    <d v="2016-07-28T00:00:00"/>
    <s v="No"/>
    <x v="0"/>
    <n v="4"/>
    <x v="1"/>
    <x v="2"/>
    <x v="1"/>
  </r>
  <r>
    <s v="REL00512"/>
    <s v="Female"/>
    <n v="53"/>
    <s v="MBA"/>
    <s v="Married"/>
    <x v="1"/>
    <s v="Sales Executive"/>
    <x v="4"/>
    <x v="8"/>
    <s v="South"/>
    <n v="8"/>
    <n v="59082"/>
    <x v="0"/>
    <n v="1"/>
    <n v="1"/>
    <n v="46"/>
    <n v="3"/>
    <d v="2015-08-30T00:00:00"/>
    <s v="No"/>
    <x v="0"/>
    <n v="3"/>
    <x v="1"/>
    <x v="0"/>
    <x v="0"/>
  </r>
  <r>
    <s v="REL00513"/>
    <s v="Female"/>
    <n v="46"/>
    <s v="Post Graduate"/>
    <s v="Divorced"/>
    <x v="4"/>
    <s v="Marketing Executive"/>
    <x v="3"/>
    <x v="7"/>
    <s v="East"/>
    <n v="7"/>
    <n v="59884"/>
    <x v="0"/>
    <n v="1"/>
    <n v="4"/>
    <n v="15"/>
    <n v="1"/>
    <d v="2016-05-26T00:00:00"/>
    <s v="No"/>
    <x v="0"/>
    <n v="3"/>
    <x v="1"/>
    <x v="0"/>
    <x v="0"/>
  </r>
  <r>
    <s v="REL00514"/>
    <s v="Male"/>
    <n v="45"/>
    <s v="Graduate"/>
    <s v="Single"/>
    <x v="4"/>
    <s v="Sales Executive"/>
    <x v="1"/>
    <x v="6"/>
    <s v="South"/>
    <n v="11"/>
    <n v="59119"/>
    <x v="2"/>
    <n v="3"/>
    <n v="4"/>
    <n v="67"/>
    <n v="1"/>
    <d v="2012-06-07T00:00:00"/>
    <s v="No"/>
    <x v="0"/>
    <n v="2"/>
    <x v="2"/>
    <x v="0"/>
    <x v="1"/>
  </r>
  <r>
    <s v="REL00515"/>
    <s v="Female"/>
    <n v="47"/>
    <s v="Post Graduate"/>
    <s v="Married"/>
    <x v="1"/>
    <s v="Store Manager"/>
    <x v="1"/>
    <x v="8"/>
    <s v="South"/>
    <n v="8"/>
    <n v="93398"/>
    <x v="3"/>
    <n v="1"/>
    <n v="1"/>
    <n v="42"/>
    <n v="0"/>
    <d v="2015-06-22T00:00:00"/>
    <s v="No"/>
    <x v="1"/>
    <n v="4"/>
    <x v="1"/>
    <x v="2"/>
    <x v="0"/>
  </r>
  <r>
    <s v="REL00516"/>
    <s v="Female"/>
    <n v="30"/>
    <s v="MBA"/>
    <s v="Married"/>
    <x v="5"/>
    <s v="Sales Executive"/>
    <x v="3"/>
    <x v="6"/>
    <s v="South"/>
    <n v="8"/>
    <n v="48704"/>
    <x v="1"/>
    <n v="2"/>
    <n v="2"/>
    <n v="12"/>
    <n v="0"/>
    <d v="2015-09-01T00:00:00"/>
    <s v="No"/>
    <x v="2"/>
    <n v="1"/>
    <x v="1"/>
    <x v="0"/>
    <x v="1"/>
  </r>
  <r>
    <s v="REL00517"/>
    <s v="Female"/>
    <n v="33"/>
    <s v="Post Graduate"/>
    <s v="Divorced"/>
    <x v="4"/>
    <s v="Sales Executive"/>
    <x v="4"/>
    <x v="6"/>
    <s v="South"/>
    <n v="3"/>
    <n v="36367"/>
    <x v="1"/>
    <n v="1"/>
    <n v="2"/>
    <n v="66"/>
    <n v="0"/>
    <d v="2020-05-21T00:00:00"/>
    <s v="Yes"/>
    <x v="2"/>
    <n v="1"/>
    <x v="0"/>
    <x v="1"/>
    <x v="1"/>
  </r>
  <r>
    <s v="REL00518"/>
    <s v="Female"/>
    <n v="34"/>
    <s v="Post Graduate"/>
    <s v="Married"/>
    <x v="2"/>
    <s v="Store Manager"/>
    <x v="3"/>
    <x v="1"/>
    <s v="North"/>
    <n v="8"/>
    <n v="110601"/>
    <x v="2"/>
    <n v="2"/>
    <n v="2"/>
    <n v="21"/>
    <n v="0"/>
    <d v="2015-12-10T00:00:00"/>
    <s v="Yes"/>
    <x v="1"/>
    <n v="2"/>
    <x v="1"/>
    <x v="1"/>
    <x v="1"/>
  </r>
  <r>
    <s v="REL00519"/>
    <s v="Male"/>
    <n v="32"/>
    <s v="Graduate"/>
    <s v="Married"/>
    <x v="0"/>
    <s v="Marketing Executive"/>
    <x v="4"/>
    <x v="2"/>
    <s v="West"/>
    <n v="14"/>
    <n v="70070"/>
    <x v="2"/>
    <n v="1"/>
    <n v="3"/>
    <n v="51"/>
    <n v="1"/>
    <d v="2009-11-16T00:00:00"/>
    <s v="No"/>
    <x v="0"/>
    <n v="2"/>
    <x v="2"/>
    <x v="0"/>
    <x v="1"/>
  </r>
  <r>
    <s v="REL00520"/>
    <s v="Female"/>
    <n v="33"/>
    <s v="Graduate"/>
    <s v="Married"/>
    <x v="1"/>
    <s v="Sales Executive"/>
    <x v="1"/>
    <x v="4"/>
    <s v="North"/>
    <n v="7"/>
    <n v="51615"/>
    <x v="1"/>
    <n v="3"/>
    <n v="1"/>
    <n v="59"/>
    <n v="1"/>
    <d v="2016-07-04T00:00:00"/>
    <s v="Yes"/>
    <x v="0"/>
    <n v="1"/>
    <x v="1"/>
    <x v="1"/>
    <x v="1"/>
  </r>
  <r>
    <s v="REL00521"/>
    <s v="Female"/>
    <n v="41"/>
    <s v="BTech"/>
    <s v="Married"/>
    <x v="1"/>
    <s v="Customer Service Rep"/>
    <x v="4"/>
    <x v="9"/>
    <s v="West"/>
    <n v="11"/>
    <n v="48439"/>
    <x v="2"/>
    <n v="1"/>
    <n v="2"/>
    <n v="42"/>
    <n v="0"/>
    <d v="2012-09-14T00:00:00"/>
    <s v="Yes"/>
    <x v="2"/>
    <n v="2"/>
    <x v="2"/>
    <x v="1"/>
    <x v="1"/>
  </r>
  <r>
    <s v="REL00522"/>
    <s v="Female"/>
    <n v="23"/>
    <s v="BTech"/>
    <s v="Divorced"/>
    <x v="5"/>
    <s v="HR Manager"/>
    <x v="3"/>
    <x v="4"/>
    <s v="North"/>
    <n v="6"/>
    <n v="87419"/>
    <x v="0"/>
    <n v="4"/>
    <n v="4"/>
    <n v="75"/>
    <n v="1"/>
    <d v="2017-11-29T00:00:00"/>
    <s v="No"/>
    <x v="1"/>
    <n v="3"/>
    <x v="1"/>
    <x v="0"/>
    <x v="0"/>
  </r>
  <r>
    <s v="REL00523"/>
    <s v="Male"/>
    <n v="27"/>
    <s v="Graduate"/>
    <s v="Single"/>
    <x v="0"/>
    <s v="Sales Executive"/>
    <x v="2"/>
    <x v="1"/>
    <s v="North"/>
    <n v="10"/>
    <n v="60120"/>
    <x v="3"/>
    <n v="3"/>
    <n v="4"/>
    <n v="47"/>
    <n v="1"/>
    <d v="2013-05-29T00:00:00"/>
    <s v="No"/>
    <x v="0"/>
    <n v="4"/>
    <x v="1"/>
    <x v="2"/>
    <x v="1"/>
  </r>
  <r>
    <s v="REL00524"/>
    <s v="Female"/>
    <n v="24"/>
    <s v="BTech"/>
    <s v="Married"/>
    <x v="6"/>
    <s v="Finance Analyst"/>
    <x v="2"/>
    <x v="6"/>
    <s v="South"/>
    <n v="4"/>
    <n v="68770"/>
    <x v="3"/>
    <n v="3"/>
    <n v="1"/>
    <n v="39"/>
    <n v="2"/>
    <d v="2019-08-13T00:00:00"/>
    <s v="No"/>
    <x v="0"/>
    <n v="4"/>
    <x v="0"/>
    <x v="2"/>
    <x v="1"/>
  </r>
  <r>
    <s v="REL00525"/>
    <s v="Female"/>
    <n v="33"/>
    <s v="MBA"/>
    <s v="Divorced"/>
    <x v="1"/>
    <s v="Marketing Executive"/>
    <x v="2"/>
    <x v="7"/>
    <s v="East"/>
    <n v="15"/>
    <n v="77289"/>
    <x v="3"/>
    <n v="1"/>
    <n v="1"/>
    <n v="72"/>
    <n v="0"/>
    <d v="2008-06-23T00:00:00"/>
    <s v="No"/>
    <x v="0"/>
    <n v="4"/>
    <x v="2"/>
    <x v="2"/>
    <x v="1"/>
  </r>
  <r>
    <s v="REL00526"/>
    <s v="Male"/>
    <n v="37"/>
    <s v="BTech"/>
    <s v="Single"/>
    <x v="0"/>
    <s v="Sales Executive"/>
    <x v="2"/>
    <x v="5"/>
    <s v="South"/>
    <n v="3"/>
    <n v="41691"/>
    <x v="0"/>
    <n v="4"/>
    <n v="4"/>
    <n v="49"/>
    <n v="1"/>
    <d v="2020-03-26T00:00:00"/>
    <s v="No"/>
    <x v="2"/>
    <n v="3"/>
    <x v="0"/>
    <x v="0"/>
    <x v="1"/>
  </r>
  <r>
    <s v="REL00527"/>
    <s v="Female"/>
    <n v="34"/>
    <s v="HSC"/>
    <s v="Married"/>
    <x v="1"/>
    <s v="Marketing Executive"/>
    <x v="3"/>
    <x v="5"/>
    <s v="South"/>
    <n v="10"/>
    <n v="69932"/>
    <x v="0"/>
    <n v="1"/>
    <n v="3"/>
    <n v="60"/>
    <n v="3"/>
    <d v="2013-03-14T00:00:00"/>
    <s v="No"/>
    <x v="0"/>
    <n v="3"/>
    <x v="1"/>
    <x v="0"/>
    <x v="0"/>
  </r>
  <r>
    <s v="REL00528"/>
    <s v="Female"/>
    <n v="27"/>
    <s v="HSC"/>
    <s v="Divorced"/>
    <x v="7"/>
    <s v="Logistics Coordinator"/>
    <x v="3"/>
    <x v="6"/>
    <s v="South"/>
    <n v="9"/>
    <n v="58107"/>
    <x v="1"/>
    <n v="2"/>
    <n v="2"/>
    <n v="42"/>
    <n v="3"/>
    <d v="2014-06-22T00:00:00"/>
    <s v="Yes"/>
    <x v="0"/>
    <n v="1"/>
    <x v="1"/>
    <x v="1"/>
    <x v="1"/>
  </r>
  <r>
    <s v="REL00529"/>
    <s v="Female"/>
    <n v="34"/>
    <s v="Post Graduate"/>
    <s v="Single"/>
    <x v="4"/>
    <s v="Finance Analyst"/>
    <x v="3"/>
    <x v="9"/>
    <s v="West"/>
    <n v="7"/>
    <n v="66357"/>
    <x v="2"/>
    <n v="1"/>
    <n v="1"/>
    <n v="74"/>
    <n v="2"/>
    <d v="2016-10-25T00:00:00"/>
    <s v="No"/>
    <x v="0"/>
    <n v="2"/>
    <x v="1"/>
    <x v="0"/>
    <x v="1"/>
  </r>
  <r>
    <s v="REL00530"/>
    <s v="Male"/>
    <n v="48"/>
    <s v="Graduate"/>
    <s v="Single"/>
    <x v="6"/>
    <s v="Customer Service Rep"/>
    <x v="3"/>
    <x v="9"/>
    <s v="West"/>
    <n v="12"/>
    <n v="61584"/>
    <x v="1"/>
    <n v="4"/>
    <n v="2"/>
    <n v="34"/>
    <n v="3"/>
    <d v="2011-02-10T00:00:00"/>
    <s v="Yes"/>
    <x v="0"/>
    <n v="1"/>
    <x v="2"/>
    <x v="1"/>
    <x v="1"/>
  </r>
  <r>
    <s v="REL00531"/>
    <s v="Male"/>
    <n v="52"/>
    <s v="Graduate"/>
    <s v="Married"/>
    <x v="5"/>
    <s v="Customer Service Rep"/>
    <x v="1"/>
    <x v="8"/>
    <s v="South"/>
    <n v="11"/>
    <n v="48890"/>
    <x v="1"/>
    <n v="1"/>
    <n v="2"/>
    <n v="43"/>
    <n v="3"/>
    <d v="2012-08-30T00:00:00"/>
    <s v="Yes"/>
    <x v="2"/>
    <n v="1"/>
    <x v="2"/>
    <x v="1"/>
    <x v="1"/>
  </r>
  <r>
    <s v="REL00532"/>
    <s v="Male"/>
    <n v="55"/>
    <s v="Post Graduate"/>
    <s v="Married"/>
    <x v="4"/>
    <s v="Sales Executive"/>
    <x v="2"/>
    <x v="6"/>
    <s v="South"/>
    <n v="1"/>
    <n v="35024"/>
    <x v="0"/>
    <n v="2"/>
    <n v="4"/>
    <n v="42"/>
    <n v="2"/>
    <d v="2022-06-12T00:00:00"/>
    <s v="No"/>
    <x v="2"/>
    <n v="3"/>
    <x v="3"/>
    <x v="0"/>
    <x v="1"/>
  </r>
  <r>
    <s v="REL00533"/>
    <s v="Female"/>
    <n v="31"/>
    <s v="HSC"/>
    <s v="Divorced"/>
    <x v="6"/>
    <s v="Logistics Coordinator"/>
    <x v="1"/>
    <x v="1"/>
    <s v="North"/>
    <n v="12"/>
    <n v="61912"/>
    <x v="2"/>
    <n v="2"/>
    <n v="4"/>
    <n v="49"/>
    <n v="0"/>
    <d v="2011-02-13T00:00:00"/>
    <s v="Yes"/>
    <x v="0"/>
    <n v="2"/>
    <x v="2"/>
    <x v="1"/>
    <x v="1"/>
  </r>
  <r>
    <s v="REL00534"/>
    <s v="Female"/>
    <n v="49"/>
    <s v="Post Graduate"/>
    <s v="Single"/>
    <x v="7"/>
    <s v="Logistics Coordinator"/>
    <x v="4"/>
    <x v="6"/>
    <s v="South"/>
    <n v="2"/>
    <n v="56201"/>
    <x v="3"/>
    <n v="3"/>
    <n v="2"/>
    <n v="27"/>
    <n v="1"/>
    <d v="2021-01-31T00:00:00"/>
    <s v="No"/>
    <x v="0"/>
    <n v="4"/>
    <x v="3"/>
    <x v="2"/>
    <x v="1"/>
  </r>
  <r>
    <s v="REL00535"/>
    <s v="Male"/>
    <n v="34"/>
    <s v="HSC"/>
    <s v="Married"/>
    <x v="3"/>
    <s v="Marketing Executive"/>
    <x v="1"/>
    <x v="9"/>
    <s v="West"/>
    <n v="8"/>
    <n v="62082"/>
    <x v="3"/>
    <n v="4"/>
    <n v="1"/>
    <n v="31"/>
    <n v="0"/>
    <d v="2015-12-04T00:00:00"/>
    <s v="No"/>
    <x v="0"/>
    <n v="4"/>
    <x v="1"/>
    <x v="2"/>
    <x v="1"/>
  </r>
  <r>
    <s v="REL00536"/>
    <s v="Male"/>
    <n v="52"/>
    <s v="MBA"/>
    <s v="Divorced"/>
    <x v="2"/>
    <s v="Sales Executive"/>
    <x v="3"/>
    <x v="8"/>
    <s v="South"/>
    <n v="5"/>
    <n v="51211"/>
    <x v="3"/>
    <n v="1"/>
    <n v="1"/>
    <n v="17"/>
    <n v="2"/>
    <d v="2018-03-09T00:00:00"/>
    <s v="Yes"/>
    <x v="0"/>
    <n v="4"/>
    <x v="0"/>
    <x v="1"/>
    <x v="1"/>
  </r>
  <r>
    <s v="REL00537"/>
    <s v="Female"/>
    <n v="53"/>
    <s v="MBA"/>
    <s v="Married"/>
    <x v="0"/>
    <s v="Store Manager"/>
    <x v="4"/>
    <x v="3"/>
    <s v="West"/>
    <n v="9"/>
    <n v="105309"/>
    <x v="0"/>
    <n v="4"/>
    <n v="3"/>
    <n v="57"/>
    <n v="2"/>
    <d v="2014-04-12T00:00:00"/>
    <s v="No"/>
    <x v="1"/>
    <n v="3"/>
    <x v="1"/>
    <x v="0"/>
    <x v="0"/>
  </r>
  <r>
    <s v="REL00538"/>
    <s v="Female"/>
    <n v="47"/>
    <s v="Post Graduate"/>
    <s v="Single"/>
    <x v="1"/>
    <s v="Store Manager"/>
    <x v="0"/>
    <x v="7"/>
    <s v="East"/>
    <n v="7"/>
    <n v="100666"/>
    <x v="1"/>
    <n v="1"/>
    <n v="3"/>
    <n v="41"/>
    <n v="2"/>
    <d v="2017-01-01T00:00:00"/>
    <s v="Yes"/>
    <x v="1"/>
    <n v="1"/>
    <x v="1"/>
    <x v="1"/>
    <x v="2"/>
  </r>
  <r>
    <s v="REL00539"/>
    <s v="Female"/>
    <n v="24"/>
    <s v="HSC"/>
    <s v="Divorced"/>
    <x v="7"/>
    <s v="Marketing Executive"/>
    <x v="1"/>
    <x v="9"/>
    <s v="West"/>
    <n v="11"/>
    <n v="62102"/>
    <x v="1"/>
    <n v="4"/>
    <n v="2"/>
    <n v="72"/>
    <n v="3"/>
    <d v="2012-02-14T00:00:00"/>
    <s v="Yes"/>
    <x v="0"/>
    <n v="1"/>
    <x v="2"/>
    <x v="1"/>
    <x v="1"/>
  </r>
  <r>
    <s v="REL00540"/>
    <s v="Male"/>
    <n v="31"/>
    <s v="BTech"/>
    <s v="Divorced"/>
    <x v="2"/>
    <s v="Finance Analyst"/>
    <x v="0"/>
    <x v="4"/>
    <s v="North"/>
    <n v="15"/>
    <n v="83291"/>
    <x v="1"/>
    <n v="1"/>
    <n v="2"/>
    <n v="73"/>
    <n v="0"/>
    <d v="2008-02-29T00:00:00"/>
    <s v="Yes"/>
    <x v="1"/>
    <n v="1"/>
    <x v="2"/>
    <x v="1"/>
    <x v="2"/>
  </r>
  <r>
    <s v="REL00541"/>
    <s v="Male"/>
    <n v="27"/>
    <s v="Graduate"/>
    <s v="Married"/>
    <x v="7"/>
    <s v="Finance Analyst"/>
    <x v="2"/>
    <x v="8"/>
    <s v="South"/>
    <n v="2"/>
    <n v="71716"/>
    <x v="1"/>
    <n v="1"/>
    <n v="2"/>
    <n v="51"/>
    <n v="3"/>
    <d v="2021-09-15T00:00:00"/>
    <s v="Yes"/>
    <x v="0"/>
    <n v="1"/>
    <x v="3"/>
    <x v="1"/>
    <x v="1"/>
  </r>
  <r>
    <s v="REL00542"/>
    <s v="Male"/>
    <n v="43"/>
    <s v="Post Graduate"/>
    <s v="Divorced"/>
    <x v="1"/>
    <s v="Sales Executive"/>
    <x v="0"/>
    <x v="8"/>
    <s v="South"/>
    <n v="15"/>
    <n v="64448"/>
    <x v="1"/>
    <n v="1"/>
    <n v="3"/>
    <n v="58"/>
    <n v="3"/>
    <d v="2008-04-28T00:00:00"/>
    <s v="No"/>
    <x v="0"/>
    <n v="1"/>
    <x v="2"/>
    <x v="0"/>
    <x v="1"/>
  </r>
  <r>
    <s v="REL00543"/>
    <s v="Male"/>
    <n v="43"/>
    <s v="BTech"/>
    <s v="Single"/>
    <x v="6"/>
    <s v="Sales Executive"/>
    <x v="2"/>
    <x v="1"/>
    <s v="North"/>
    <n v="5"/>
    <n v="49534"/>
    <x v="0"/>
    <n v="1"/>
    <n v="3"/>
    <n v="26"/>
    <n v="2"/>
    <d v="2018-11-06T00:00:00"/>
    <s v="Yes"/>
    <x v="2"/>
    <n v="3"/>
    <x v="0"/>
    <x v="1"/>
    <x v="1"/>
  </r>
  <r>
    <s v="REL00544"/>
    <s v="Female"/>
    <n v="30"/>
    <s v="BTech"/>
    <s v="Divorced"/>
    <x v="0"/>
    <s v="Marketing Executive"/>
    <x v="0"/>
    <x v="2"/>
    <s v="West"/>
    <n v="10"/>
    <n v="72718"/>
    <x v="3"/>
    <n v="2"/>
    <n v="1"/>
    <n v="60"/>
    <n v="0"/>
    <d v="2013-07-24T00:00:00"/>
    <s v="No"/>
    <x v="0"/>
    <n v="4"/>
    <x v="1"/>
    <x v="2"/>
    <x v="1"/>
  </r>
  <r>
    <s v="REL00545"/>
    <s v="Female"/>
    <n v="31"/>
    <s v="BTech"/>
    <s v="Married"/>
    <x v="7"/>
    <s v="Operations Head"/>
    <x v="0"/>
    <x v="1"/>
    <s v="North"/>
    <n v="14"/>
    <n v="120173"/>
    <x v="0"/>
    <n v="2"/>
    <n v="1"/>
    <n v="50"/>
    <n v="2"/>
    <d v="2009-01-21T00:00:00"/>
    <s v="No"/>
    <x v="1"/>
    <n v="3"/>
    <x v="2"/>
    <x v="0"/>
    <x v="0"/>
  </r>
  <r>
    <s v="REL00546"/>
    <s v="Male"/>
    <n v="43"/>
    <s v="Post Graduate"/>
    <s v="Divorced"/>
    <x v="2"/>
    <s v="Marketing Executive"/>
    <x v="0"/>
    <x v="1"/>
    <s v="North"/>
    <n v="11"/>
    <n v="78220"/>
    <x v="1"/>
    <n v="2"/>
    <n v="2"/>
    <n v="16"/>
    <n v="1"/>
    <d v="2012-06-25T00:00:00"/>
    <s v="No"/>
    <x v="0"/>
    <n v="1"/>
    <x v="2"/>
    <x v="0"/>
    <x v="1"/>
  </r>
  <r>
    <s v="REL00547"/>
    <s v="Female"/>
    <n v="44"/>
    <s v="MBA"/>
    <s v="Married"/>
    <x v="6"/>
    <s v="Logistics Coordinator"/>
    <x v="0"/>
    <x v="9"/>
    <s v="West"/>
    <n v="1"/>
    <n v="48056"/>
    <x v="0"/>
    <n v="1"/>
    <n v="3"/>
    <n v="46"/>
    <n v="1"/>
    <d v="2022-01-19T00:00:00"/>
    <s v="No"/>
    <x v="2"/>
    <n v="3"/>
    <x v="3"/>
    <x v="0"/>
    <x v="1"/>
  </r>
  <r>
    <s v="REL00548"/>
    <s v="Male"/>
    <n v="30"/>
    <s v="MBA"/>
    <s v="Divorced"/>
    <x v="6"/>
    <s v="Store Manager"/>
    <x v="4"/>
    <x v="1"/>
    <s v="North"/>
    <n v="6"/>
    <n v="96963"/>
    <x v="0"/>
    <n v="4"/>
    <n v="3"/>
    <n v="28"/>
    <n v="1"/>
    <d v="2017-02-01T00:00:00"/>
    <s v="No"/>
    <x v="1"/>
    <n v="3"/>
    <x v="1"/>
    <x v="0"/>
    <x v="0"/>
  </r>
  <r>
    <s v="REL00549"/>
    <s v="Male"/>
    <n v="25"/>
    <s v="Graduate"/>
    <s v="Married"/>
    <x v="1"/>
    <s v="Sales Executive"/>
    <x v="4"/>
    <x v="5"/>
    <s v="South"/>
    <n v="12"/>
    <n v="58836"/>
    <x v="2"/>
    <n v="4"/>
    <n v="2"/>
    <n v="16"/>
    <n v="0"/>
    <d v="2011-05-31T00:00:00"/>
    <s v="No"/>
    <x v="0"/>
    <n v="2"/>
    <x v="2"/>
    <x v="0"/>
    <x v="1"/>
  </r>
  <r>
    <s v="REL00550"/>
    <s v="Female"/>
    <n v="53"/>
    <s v="HSC"/>
    <s v="Divorced"/>
    <x v="5"/>
    <s v="Logistics Coordinator"/>
    <x v="1"/>
    <x v="1"/>
    <s v="North"/>
    <n v="3"/>
    <n v="49028"/>
    <x v="1"/>
    <n v="2"/>
    <n v="4"/>
    <n v="21"/>
    <n v="3"/>
    <d v="2020-08-31T00:00:00"/>
    <s v="Yes"/>
    <x v="2"/>
    <n v="1"/>
    <x v="0"/>
    <x v="1"/>
    <x v="1"/>
  </r>
  <r>
    <s v="REL00551"/>
    <s v="Female"/>
    <n v="54"/>
    <s v="Post Graduate"/>
    <s v="Single"/>
    <x v="4"/>
    <s v="Sales Executive"/>
    <x v="3"/>
    <x v="2"/>
    <s v="West"/>
    <n v="1"/>
    <n v="35821"/>
    <x v="2"/>
    <n v="4"/>
    <n v="3"/>
    <n v="22"/>
    <n v="1"/>
    <d v="2022-10-31T00:00:00"/>
    <s v="Yes"/>
    <x v="2"/>
    <n v="2"/>
    <x v="3"/>
    <x v="1"/>
    <x v="1"/>
  </r>
  <r>
    <s v="REL00552"/>
    <s v="Male"/>
    <n v="47"/>
    <s v="Graduate"/>
    <s v="Married"/>
    <x v="7"/>
    <s v="HR Manager"/>
    <x v="3"/>
    <x v="2"/>
    <s v="West"/>
    <n v="10"/>
    <n v="88258"/>
    <x v="2"/>
    <n v="4"/>
    <n v="1"/>
    <n v="76"/>
    <n v="0"/>
    <d v="2013-12-02T00:00:00"/>
    <s v="No"/>
    <x v="1"/>
    <n v="2"/>
    <x v="1"/>
    <x v="0"/>
    <x v="1"/>
  </r>
  <r>
    <s v="REL00553"/>
    <s v="Male"/>
    <n v="35"/>
    <s v="Post Graduate"/>
    <s v="Single"/>
    <x v="2"/>
    <s v="Finance Analyst"/>
    <x v="2"/>
    <x v="5"/>
    <s v="South"/>
    <n v="1"/>
    <n v="62298"/>
    <x v="0"/>
    <n v="3"/>
    <n v="1"/>
    <n v="20"/>
    <n v="0"/>
    <d v="2022-12-12T00:00:00"/>
    <s v="Yes"/>
    <x v="0"/>
    <n v="3"/>
    <x v="3"/>
    <x v="1"/>
    <x v="0"/>
  </r>
  <r>
    <s v="REL00554"/>
    <s v="Female"/>
    <n v="50"/>
    <s v="Post Graduate"/>
    <s v="Divorced"/>
    <x v="4"/>
    <s v="Store Manager"/>
    <x v="0"/>
    <x v="1"/>
    <s v="North"/>
    <n v="7"/>
    <n v="97137"/>
    <x v="0"/>
    <n v="4"/>
    <n v="3"/>
    <n v="76"/>
    <n v="2"/>
    <d v="2016-12-10T00:00:00"/>
    <s v="No"/>
    <x v="1"/>
    <n v="3"/>
    <x v="1"/>
    <x v="0"/>
    <x v="0"/>
  </r>
  <r>
    <s v="REL00555"/>
    <s v="Male"/>
    <n v="30"/>
    <s v="BTech"/>
    <s v="Divorced"/>
    <x v="1"/>
    <s v="Store Manager"/>
    <x v="4"/>
    <x v="4"/>
    <s v="North"/>
    <n v="4"/>
    <n v="89162"/>
    <x v="3"/>
    <n v="2"/>
    <n v="3"/>
    <n v="45"/>
    <n v="1"/>
    <d v="2019-08-02T00:00:00"/>
    <s v="No"/>
    <x v="1"/>
    <n v="4"/>
    <x v="0"/>
    <x v="2"/>
    <x v="0"/>
  </r>
  <r>
    <s v="REL00556"/>
    <s v="Male"/>
    <n v="38"/>
    <s v="MBA"/>
    <s v="Divorced"/>
    <x v="6"/>
    <s v="Logistics Coordinator"/>
    <x v="4"/>
    <x v="4"/>
    <s v="North"/>
    <n v="5"/>
    <n v="50351"/>
    <x v="2"/>
    <n v="2"/>
    <n v="2"/>
    <n v="19"/>
    <n v="2"/>
    <d v="2018-05-14T00:00:00"/>
    <s v="No"/>
    <x v="0"/>
    <n v="2"/>
    <x v="0"/>
    <x v="0"/>
    <x v="1"/>
  </r>
  <r>
    <s v="REL00557"/>
    <s v="Male"/>
    <n v="37"/>
    <s v="Graduate"/>
    <s v="Married"/>
    <x v="5"/>
    <s v="HR Manager"/>
    <x v="1"/>
    <x v="5"/>
    <s v="South"/>
    <n v="7"/>
    <n v="89366"/>
    <x v="0"/>
    <n v="1"/>
    <n v="1"/>
    <n v="80"/>
    <n v="3"/>
    <d v="2016-06-22T00:00:00"/>
    <s v="No"/>
    <x v="1"/>
    <n v="3"/>
    <x v="1"/>
    <x v="0"/>
    <x v="0"/>
  </r>
  <r>
    <s v="REL00558"/>
    <s v="Female"/>
    <n v="22"/>
    <s v="Graduate"/>
    <s v="Married"/>
    <x v="5"/>
    <s v="Customer Service Rep"/>
    <x v="4"/>
    <x v="0"/>
    <s v="North"/>
    <n v="15"/>
    <n v="63953"/>
    <x v="2"/>
    <n v="2"/>
    <n v="4"/>
    <n v="23"/>
    <n v="0"/>
    <d v="2008-09-11T00:00:00"/>
    <s v="No"/>
    <x v="0"/>
    <n v="2"/>
    <x v="2"/>
    <x v="0"/>
    <x v="1"/>
  </r>
  <r>
    <s v="REL00559"/>
    <s v="Male"/>
    <n v="25"/>
    <s v="Post Graduate"/>
    <s v="Married"/>
    <x v="4"/>
    <s v="Customer Service Rep"/>
    <x v="1"/>
    <x v="6"/>
    <s v="South"/>
    <n v="2"/>
    <n v="47748"/>
    <x v="1"/>
    <n v="4"/>
    <n v="2"/>
    <n v="54"/>
    <n v="3"/>
    <d v="2021-08-16T00:00:00"/>
    <s v="No"/>
    <x v="2"/>
    <n v="1"/>
    <x v="3"/>
    <x v="3"/>
    <x v="1"/>
  </r>
  <r>
    <s v="REL00560"/>
    <s v="Female"/>
    <n v="25"/>
    <s v="HSC"/>
    <s v="Divorced"/>
    <x v="3"/>
    <s v="HR Manager"/>
    <x v="0"/>
    <x v="9"/>
    <s v="West"/>
    <n v="11"/>
    <n v="91140"/>
    <x v="3"/>
    <n v="2"/>
    <n v="4"/>
    <n v="68"/>
    <n v="1"/>
    <d v="2012-06-24T00:00:00"/>
    <s v="No"/>
    <x v="1"/>
    <n v="4"/>
    <x v="2"/>
    <x v="2"/>
    <x v="0"/>
  </r>
  <r>
    <s v="REL00561"/>
    <s v="Male"/>
    <n v="41"/>
    <s v="MBA"/>
    <s v="Married"/>
    <x v="5"/>
    <s v="Logistics Coordinator"/>
    <x v="3"/>
    <x v="9"/>
    <s v="West"/>
    <n v="5"/>
    <n v="62058"/>
    <x v="2"/>
    <n v="1"/>
    <n v="1"/>
    <n v="19"/>
    <n v="1"/>
    <d v="2018-07-30T00:00:00"/>
    <s v="No"/>
    <x v="0"/>
    <n v="2"/>
    <x v="0"/>
    <x v="0"/>
    <x v="1"/>
  </r>
  <r>
    <s v="REL00562"/>
    <s v="Female"/>
    <n v="54"/>
    <s v="Post Graduate"/>
    <s v="Married"/>
    <x v="3"/>
    <s v="Operations Head"/>
    <x v="1"/>
    <x v="0"/>
    <s v="North"/>
    <n v="2"/>
    <n v="107158"/>
    <x v="3"/>
    <n v="4"/>
    <n v="1"/>
    <n v="61"/>
    <n v="0"/>
    <d v="2021-12-27T00:00:00"/>
    <s v="No"/>
    <x v="1"/>
    <n v="4"/>
    <x v="3"/>
    <x v="2"/>
    <x v="0"/>
  </r>
  <r>
    <s v="REL00563"/>
    <s v="Male"/>
    <n v="50"/>
    <s v="Post Graduate"/>
    <s v="Divorced"/>
    <x v="1"/>
    <s v="Customer Service Rep"/>
    <x v="4"/>
    <x v="4"/>
    <s v="North"/>
    <n v="12"/>
    <n v="57002"/>
    <x v="1"/>
    <n v="2"/>
    <n v="2"/>
    <n v="19"/>
    <n v="2"/>
    <d v="2011-02-27T00:00:00"/>
    <s v="No"/>
    <x v="0"/>
    <n v="1"/>
    <x v="2"/>
    <x v="0"/>
    <x v="1"/>
  </r>
  <r>
    <s v="REL00564"/>
    <s v="Male"/>
    <n v="29"/>
    <s v="HSC"/>
    <s v="Married"/>
    <x v="5"/>
    <s v="Logistics Coordinator"/>
    <x v="4"/>
    <x v="6"/>
    <s v="South"/>
    <n v="8"/>
    <n v="56586"/>
    <x v="1"/>
    <n v="4"/>
    <n v="3"/>
    <n v="43"/>
    <n v="1"/>
    <d v="2015-07-14T00:00:00"/>
    <s v="Yes"/>
    <x v="0"/>
    <n v="1"/>
    <x v="1"/>
    <x v="1"/>
    <x v="1"/>
  </r>
  <r>
    <s v="REL00565"/>
    <s v="Male"/>
    <n v="44"/>
    <s v="Graduate"/>
    <s v="Divorced"/>
    <x v="6"/>
    <s v="Store Manager"/>
    <x v="2"/>
    <x v="3"/>
    <s v="West"/>
    <n v="15"/>
    <n v="120173"/>
    <x v="2"/>
    <n v="4"/>
    <n v="3"/>
    <n v="48"/>
    <n v="2"/>
    <d v="2008-04-30T00:00:00"/>
    <s v="No"/>
    <x v="1"/>
    <n v="2"/>
    <x v="2"/>
    <x v="0"/>
    <x v="1"/>
  </r>
  <r>
    <s v="REL00566"/>
    <s v="Female"/>
    <n v="34"/>
    <s v="Graduate"/>
    <s v="Divorced"/>
    <x v="0"/>
    <s v="Customer Service Rep"/>
    <x v="0"/>
    <x v="0"/>
    <s v="North"/>
    <n v="7"/>
    <n v="39290"/>
    <x v="0"/>
    <n v="2"/>
    <n v="4"/>
    <n v="25"/>
    <n v="3"/>
    <d v="2016-05-27T00:00:00"/>
    <s v="Yes"/>
    <x v="2"/>
    <n v="3"/>
    <x v="1"/>
    <x v="1"/>
    <x v="1"/>
  </r>
  <r>
    <s v="REL00567"/>
    <s v="Female"/>
    <n v="33"/>
    <s v="BTech"/>
    <s v="Married"/>
    <x v="3"/>
    <s v="Logistics Coordinator"/>
    <x v="0"/>
    <x v="3"/>
    <s v="West"/>
    <n v="8"/>
    <n v="63265"/>
    <x v="0"/>
    <n v="1"/>
    <n v="4"/>
    <n v="66"/>
    <n v="1"/>
    <d v="2015-07-01T00:00:00"/>
    <s v="No"/>
    <x v="0"/>
    <n v="3"/>
    <x v="1"/>
    <x v="0"/>
    <x v="0"/>
  </r>
  <r>
    <s v="REL00568"/>
    <s v="Male"/>
    <n v="30"/>
    <s v="MBA"/>
    <s v="Married"/>
    <x v="5"/>
    <s v="Marketing Executive"/>
    <x v="3"/>
    <x v="6"/>
    <s v="South"/>
    <n v="6"/>
    <n v="55626"/>
    <x v="3"/>
    <n v="3"/>
    <n v="1"/>
    <n v="30"/>
    <n v="1"/>
    <d v="2017-08-10T00:00:00"/>
    <s v="No"/>
    <x v="0"/>
    <n v="4"/>
    <x v="1"/>
    <x v="2"/>
    <x v="1"/>
  </r>
  <r>
    <s v="REL00569"/>
    <s v="Female"/>
    <n v="30"/>
    <s v="Graduate"/>
    <s v="Single"/>
    <x v="4"/>
    <s v="Finance Analyst"/>
    <x v="4"/>
    <x v="9"/>
    <s v="West"/>
    <n v="8"/>
    <n v="70175"/>
    <x v="1"/>
    <n v="1"/>
    <n v="2"/>
    <n v="29"/>
    <n v="2"/>
    <d v="2015-04-22T00:00:00"/>
    <s v="Yes"/>
    <x v="0"/>
    <n v="1"/>
    <x v="1"/>
    <x v="1"/>
    <x v="1"/>
  </r>
  <r>
    <s v="REL00570"/>
    <s v="Female"/>
    <n v="52"/>
    <s v="HSC"/>
    <s v="Married"/>
    <x v="0"/>
    <s v="Customer Service Rep"/>
    <x v="2"/>
    <x v="1"/>
    <s v="North"/>
    <n v="11"/>
    <n v="61079"/>
    <x v="3"/>
    <n v="4"/>
    <n v="1"/>
    <n v="64"/>
    <n v="1"/>
    <d v="2012-12-30T00:00:00"/>
    <s v="No"/>
    <x v="0"/>
    <n v="4"/>
    <x v="2"/>
    <x v="2"/>
    <x v="1"/>
  </r>
  <r>
    <s v="REL00571"/>
    <s v="Male"/>
    <n v="49"/>
    <s v="Post Graduate"/>
    <s v="Married"/>
    <x v="3"/>
    <s v="Operations Head"/>
    <x v="1"/>
    <x v="4"/>
    <s v="North"/>
    <n v="4"/>
    <n v="96768"/>
    <x v="0"/>
    <n v="1"/>
    <n v="2"/>
    <n v="34"/>
    <n v="1"/>
    <d v="2019-01-09T00:00:00"/>
    <s v="No"/>
    <x v="1"/>
    <n v="3"/>
    <x v="0"/>
    <x v="0"/>
    <x v="0"/>
  </r>
  <r>
    <s v="REL00572"/>
    <s v="Male"/>
    <n v="27"/>
    <s v="Graduate"/>
    <s v="Married"/>
    <x v="2"/>
    <s v="Operations Head"/>
    <x v="2"/>
    <x v="5"/>
    <s v="South"/>
    <n v="1"/>
    <n v="93297"/>
    <x v="1"/>
    <n v="4"/>
    <n v="3"/>
    <n v="39"/>
    <n v="1"/>
    <d v="2022-12-23T00:00:00"/>
    <s v="Yes"/>
    <x v="1"/>
    <n v="1"/>
    <x v="3"/>
    <x v="1"/>
    <x v="2"/>
  </r>
  <r>
    <s v="REL00573"/>
    <s v="Female"/>
    <n v="45"/>
    <s v="HSC"/>
    <s v="Married"/>
    <x v="6"/>
    <s v="Logistics Coordinator"/>
    <x v="3"/>
    <x v="7"/>
    <s v="East"/>
    <n v="9"/>
    <n v="54692"/>
    <x v="3"/>
    <n v="4"/>
    <n v="2"/>
    <n v="50"/>
    <n v="0"/>
    <d v="2014-11-08T00:00:00"/>
    <s v="No"/>
    <x v="0"/>
    <n v="4"/>
    <x v="1"/>
    <x v="2"/>
    <x v="1"/>
  </r>
  <r>
    <s v="REL00574"/>
    <s v="Female"/>
    <n v="28"/>
    <s v="MBA"/>
    <s v="Single"/>
    <x v="0"/>
    <s v="Customer Service Rep"/>
    <x v="4"/>
    <x v="6"/>
    <s v="South"/>
    <n v="11"/>
    <n v="53946"/>
    <x v="3"/>
    <n v="3"/>
    <n v="4"/>
    <n v="56"/>
    <n v="2"/>
    <d v="2012-05-07T00:00:00"/>
    <s v="No"/>
    <x v="0"/>
    <n v="4"/>
    <x v="2"/>
    <x v="2"/>
    <x v="1"/>
  </r>
  <r>
    <s v="REL00575"/>
    <s v="Female"/>
    <n v="37"/>
    <s v="HSC"/>
    <s v="Single"/>
    <x v="2"/>
    <s v="HR Manager"/>
    <x v="4"/>
    <x v="8"/>
    <s v="South"/>
    <n v="11"/>
    <n v="97853"/>
    <x v="3"/>
    <n v="4"/>
    <n v="1"/>
    <n v="23"/>
    <n v="1"/>
    <d v="2012-07-02T00:00:00"/>
    <s v="No"/>
    <x v="1"/>
    <n v="4"/>
    <x v="2"/>
    <x v="2"/>
    <x v="0"/>
  </r>
  <r>
    <s v="REL00576"/>
    <s v="Female"/>
    <n v="41"/>
    <s v="MBA"/>
    <s v="Single"/>
    <x v="2"/>
    <s v="Finance Analyst"/>
    <x v="4"/>
    <x v="4"/>
    <s v="North"/>
    <n v="4"/>
    <n v="61232"/>
    <x v="0"/>
    <n v="2"/>
    <n v="1"/>
    <n v="26"/>
    <n v="1"/>
    <d v="2019-03-29T00:00:00"/>
    <s v="Yes"/>
    <x v="0"/>
    <n v="3"/>
    <x v="0"/>
    <x v="1"/>
    <x v="0"/>
  </r>
  <r>
    <s v="REL00577"/>
    <s v="Male"/>
    <n v="52"/>
    <s v="MBA"/>
    <s v="Divorced"/>
    <x v="4"/>
    <s v="Customer Service Rep"/>
    <x v="1"/>
    <x v="2"/>
    <s v="West"/>
    <n v="15"/>
    <n v="69695"/>
    <x v="2"/>
    <n v="1"/>
    <n v="2"/>
    <n v="45"/>
    <n v="1"/>
    <d v="2008-05-26T00:00:00"/>
    <s v="Yes"/>
    <x v="0"/>
    <n v="2"/>
    <x v="2"/>
    <x v="1"/>
    <x v="1"/>
  </r>
  <r>
    <s v="REL00578"/>
    <s v="Male"/>
    <n v="32"/>
    <s v="MBA"/>
    <s v="Divorced"/>
    <x v="0"/>
    <s v="Marketing Executive"/>
    <x v="1"/>
    <x v="8"/>
    <s v="South"/>
    <n v="13"/>
    <n v="79025"/>
    <x v="3"/>
    <n v="4"/>
    <n v="4"/>
    <n v="61"/>
    <n v="2"/>
    <d v="2010-01-19T00:00:00"/>
    <s v="No"/>
    <x v="0"/>
    <n v="4"/>
    <x v="2"/>
    <x v="2"/>
    <x v="1"/>
  </r>
  <r>
    <s v="REL00579"/>
    <s v="Female"/>
    <n v="54"/>
    <s v="BTech"/>
    <s v="Married"/>
    <x v="3"/>
    <s v="Marketing Executive"/>
    <x v="4"/>
    <x v="5"/>
    <s v="South"/>
    <n v="10"/>
    <n v="79402"/>
    <x v="0"/>
    <n v="3"/>
    <n v="2"/>
    <n v="47"/>
    <n v="2"/>
    <d v="2013-04-16T00:00:00"/>
    <s v="Yes"/>
    <x v="0"/>
    <n v="3"/>
    <x v="1"/>
    <x v="1"/>
    <x v="0"/>
  </r>
  <r>
    <s v="REL00580"/>
    <s v="Male"/>
    <n v="39"/>
    <s v="Post Graduate"/>
    <s v="Married"/>
    <x v="2"/>
    <s v="Marketing Executive"/>
    <x v="2"/>
    <x v="1"/>
    <s v="North"/>
    <n v="1"/>
    <n v="51563"/>
    <x v="0"/>
    <n v="1"/>
    <n v="2"/>
    <n v="36"/>
    <n v="0"/>
    <d v="2022-02-08T00:00:00"/>
    <s v="Yes"/>
    <x v="0"/>
    <n v="3"/>
    <x v="3"/>
    <x v="1"/>
    <x v="0"/>
  </r>
  <r>
    <s v="REL00581"/>
    <s v="Female"/>
    <n v="40"/>
    <s v="HSC"/>
    <s v="Single"/>
    <x v="5"/>
    <s v="Sales Executive"/>
    <x v="1"/>
    <x v="3"/>
    <s v="West"/>
    <n v="6"/>
    <n v="59998"/>
    <x v="2"/>
    <n v="1"/>
    <n v="3"/>
    <n v="38"/>
    <n v="2"/>
    <d v="2017-10-26T00:00:00"/>
    <s v="No"/>
    <x v="0"/>
    <n v="2"/>
    <x v="1"/>
    <x v="0"/>
    <x v="1"/>
  </r>
  <r>
    <s v="REL00582"/>
    <s v="Male"/>
    <n v="50"/>
    <s v="Post Graduate"/>
    <s v="Married"/>
    <x v="4"/>
    <s v="Logistics Coordinator"/>
    <x v="4"/>
    <x v="6"/>
    <s v="South"/>
    <n v="12"/>
    <n v="67432"/>
    <x v="3"/>
    <n v="3"/>
    <n v="2"/>
    <n v="60"/>
    <n v="1"/>
    <d v="2011-03-28T00:00:00"/>
    <s v="No"/>
    <x v="0"/>
    <n v="4"/>
    <x v="2"/>
    <x v="2"/>
    <x v="1"/>
  </r>
  <r>
    <s v="REL00583"/>
    <s v="Female"/>
    <n v="33"/>
    <s v="Post Graduate"/>
    <s v="Single"/>
    <x v="1"/>
    <s v="Finance Analyst"/>
    <x v="3"/>
    <x v="9"/>
    <s v="West"/>
    <n v="3"/>
    <n v="59070"/>
    <x v="2"/>
    <n v="4"/>
    <n v="2"/>
    <n v="46"/>
    <n v="0"/>
    <d v="2020-10-01T00:00:00"/>
    <s v="No"/>
    <x v="0"/>
    <n v="2"/>
    <x v="0"/>
    <x v="0"/>
    <x v="1"/>
  </r>
  <r>
    <s v="REL00584"/>
    <s v="Male"/>
    <n v="51"/>
    <s v="MBA"/>
    <s v="Single"/>
    <x v="3"/>
    <s v="Marketing Executive"/>
    <x v="2"/>
    <x v="8"/>
    <s v="South"/>
    <n v="11"/>
    <n v="64275"/>
    <x v="1"/>
    <n v="2"/>
    <n v="1"/>
    <n v="22"/>
    <n v="3"/>
    <d v="2012-05-30T00:00:00"/>
    <s v="Yes"/>
    <x v="0"/>
    <n v="1"/>
    <x v="2"/>
    <x v="1"/>
    <x v="1"/>
  </r>
  <r>
    <s v="REL00585"/>
    <s v="Female"/>
    <n v="31"/>
    <s v="BTech"/>
    <s v="Single"/>
    <x v="0"/>
    <s v="Store Manager"/>
    <x v="4"/>
    <x v="2"/>
    <s v="West"/>
    <n v="13"/>
    <n v="105331"/>
    <x v="3"/>
    <n v="1"/>
    <n v="1"/>
    <n v="79"/>
    <n v="2"/>
    <d v="2010-11-23T00:00:00"/>
    <s v="No"/>
    <x v="1"/>
    <n v="4"/>
    <x v="2"/>
    <x v="2"/>
    <x v="0"/>
  </r>
  <r>
    <s v="REL00586"/>
    <s v="Male"/>
    <n v="37"/>
    <s v="Graduate"/>
    <s v="Divorced"/>
    <x v="1"/>
    <s v="Finance Analyst"/>
    <x v="2"/>
    <x v="0"/>
    <s v="North"/>
    <n v="13"/>
    <n v="81345"/>
    <x v="1"/>
    <n v="3"/>
    <n v="1"/>
    <n v="12"/>
    <n v="0"/>
    <d v="2010-05-04T00:00:00"/>
    <s v="Yes"/>
    <x v="1"/>
    <n v="1"/>
    <x v="2"/>
    <x v="1"/>
    <x v="2"/>
  </r>
  <r>
    <s v="REL00587"/>
    <s v="Female"/>
    <n v="31"/>
    <s v="HSC"/>
    <s v="Divorced"/>
    <x v="4"/>
    <s v="Store Manager"/>
    <x v="4"/>
    <x v="0"/>
    <s v="North"/>
    <n v="3"/>
    <n v="88350"/>
    <x v="1"/>
    <n v="3"/>
    <n v="2"/>
    <n v="59"/>
    <n v="0"/>
    <d v="2020-05-28T00:00:00"/>
    <s v="Yes"/>
    <x v="1"/>
    <n v="1"/>
    <x v="0"/>
    <x v="1"/>
    <x v="2"/>
  </r>
  <r>
    <s v="REL00588"/>
    <s v="Female"/>
    <n v="29"/>
    <s v="HSC"/>
    <s v="Single"/>
    <x v="3"/>
    <s v="Operations Head"/>
    <x v="4"/>
    <x v="9"/>
    <s v="West"/>
    <n v="2"/>
    <n v="100708"/>
    <x v="0"/>
    <n v="1"/>
    <n v="2"/>
    <n v="32"/>
    <n v="3"/>
    <d v="2021-02-20T00:00:00"/>
    <s v="Yes"/>
    <x v="1"/>
    <n v="3"/>
    <x v="3"/>
    <x v="1"/>
    <x v="0"/>
  </r>
  <r>
    <s v="REL00589"/>
    <s v="Female"/>
    <n v="44"/>
    <s v="Graduate"/>
    <s v="Married"/>
    <x v="5"/>
    <s v="Logistics Coordinator"/>
    <x v="1"/>
    <x v="1"/>
    <s v="North"/>
    <n v="11"/>
    <n v="61922"/>
    <x v="0"/>
    <n v="4"/>
    <n v="3"/>
    <n v="43"/>
    <n v="0"/>
    <d v="2012-02-19T00:00:00"/>
    <s v="No"/>
    <x v="0"/>
    <n v="3"/>
    <x v="2"/>
    <x v="0"/>
    <x v="0"/>
  </r>
  <r>
    <s v="REL00590"/>
    <s v="Male"/>
    <n v="49"/>
    <s v="HSC"/>
    <s v="Single"/>
    <x v="3"/>
    <s v="Logistics Coordinator"/>
    <x v="2"/>
    <x v="3"/>
    <s v="West"/>
    <n v="3"/>
    <n v="55637"/>
    <x v="2"/>
    <n v="1"/>
    <n v="3"/>
    <n v="26"/>
    <n v="1"/>
    <d v="2020-11-28T00:00:00"/>
    <s v="No"/>
    <x v="0"/>
    <n v="2"/>
    <x v="0"/>
    <x v="0"/>
    <x v="1"/>
  </r>
  <r>
    <s v="REL00591"/>
    <s v="Male"/>
    <n v="37"/>
    <s v="MBA"/>
    <s v="Married"/>
    <x v="5"/>
    <s v="Finance Analyst"/>
    <x v="0"/>
    <x v="2"/>
    <s v="West"/>
    <n v="7"/>
    <n v="77564"/>
    <x v="1"/>
    <n v="4"/>
    <n v="4"/>
    <n v="78"/>
    <n v="1"/>
    <d v="2016-07-16T00:00:00"/>
    <s v="No"/>
    <x v="0"/>
    <n v="1"/>
    <x v="1"/>
    <x v="0"/>
    <x v="1"/>
  </r>
  <r>
    <s v="REL00592"/>
    <s v="Male"/>
    <n v="23"/>
    <s v="HSC"/>
    <s v="Divorced"/>
    <x v="2"/>
    <s v="Marketing Executive"/>
    <x v="1"/>
    <x v="2"/>
    <s v="West"/>
    <n v="9"/>
    <n v="60859"/>
    <x v="1"/>
    <n v="4"/>
    <n v="2"/>
    <n v="24"/>
    <n v="0"/>
    <d v="2015-01-02T00:00:00"/>
    <s v="Yes"/>
    <x v="0"/>
    <n v="1"/>
    <x v="1"/>
    <x v="1"/>
    <x v="1"/>
  </r>
  <r>
    <s v="REL00593"/>
    <s v="Male"/>
    <n v="36"/>
    <s v="Graduate"/>
    <s v="Divorced"/>
    <x v="5"/>
    <s v="HR Manager"/>
    <x v="2"/>
    <x v="7"/>
    <s v="East"/>
    <n v="8"/>
    <n v="99071"/>
    <x v="2"/>
    <n v="2"/>
    <n v="1"/>
    <n v="28"/>
    <n v="3"/>
    <d v="2015-09-01T00:00:00"/>
    <s v="No"/>
    <x v="1"/>
    <n v="2"/>
    <x v="1"/>
    <x v="0"/>
    <x v="1"/>
  </r>
  <r>
    <s v="REL00594"/>
    <s v="Male"/>
    <n v="23"/>
    <s v="Post Graduate"/>
    <s v="Married"/>
    <x v="6"/>
    <s v="Sales Executive"/>
    <x v="0"/>
    <x v="3"/>
    <s v="West"/>
    <n v="12"/>
    <n v="73058"/>
    <x v="3"/>
    <n v="2"/>
    <n v="1"/>
    <n v="41"/>
    <n v="0"/>
    <d v="2011-05-05T00:00:00"/>
    <s v="Yes"/>
    <x v="0"/>
    <n v="4"/>
    <x v="2"/>
    <x v="1"/>
    <x v="1"/>
  </r>
  <r>
    <s v="REL00595"/>
    <s v="Female"/>
    <n v="43"/>
    <s v="MBA"/>
    <s v="Divorced"/>
    <x v="6"/>
    <s v="HR Manager"/>
    <x v="2"/>
    <x v="3"/>
    <s v="West"/>
    <n v="8"/>
    <n v="98283"/>
    <x v="0"/>
    <n v="1"/>
    <n v="3"/>
    <n v="24"/>
    <n v="1"/>
    <d v="2015-05-08T00:00:00"/>
    <s v="No"/>
    <x v="1"/>
    <n v="3"/>
    <x v="1"/>
    <x v="0"/>
    <x v="0"/>
  </r>
  <r>
    <s v="REL00596"/>
    <s v="Female"/>
    <n v="38"/>
    <s v="BTech"/>
    <s v="Divorced"/>
    <x v="0"/>
    <s v="HR Manager"/>
    <x v="1"/>
    <x v="3"/>
    <s v="West"/>
    <n v="9"/>
    <n v="83356"/>
    <x v="0"/>
    <n v="3"/>
    <n v="2"/>
    <n v="64"/>
    <n v="1"/>
    <d v="2014-06-01T00:00:00"/>
    <s v="No"/>
    <x v="1"/>
    <n v="3"/>
    <x v="1"/>
    <x v="0"/>
    <x v="0"/>
  </r>
  <r>
    <s v="REL00597"/>
    <s v="Female"/>
    <n v="33"/>
    <s v="BTech"/>
    <s v="Divorced"/>
    <x v="2"/>
    <s v="Marketing Executive"/>
    <x v="1"/>
    <x v="8"/>
    <s v="South"/>
    <n v="3"/>
    <n v="59120"/>
    <x v="1"/>
    <n v="1"/>
    <n v="4"/>
    <n v="71"/>
    <n v="2"/>
    <d v="2020-09-11T00:00:00"/>
    <s v="Yes"/>
    <x v="0"/>
    <n v="1"/>
    <x v="0"/>
    <x v="1"/>
    <x v="1"/>
  </r>
  <r>
    <s v="REL00598"/>
    <s v="Male"/>
    <n v="28"/>
    <s v="Graduate"/>
    <s v="Married"/>
    <x v="6"/>
    <s v="Customer Service Rep"/>
    <x v="2"/>
    <x v="2"/>
    <s v="West"/>
    <n v="13"/>
    <n v="64900"/>
    <x v="3"/>
    <n v="3"/>
    <n v="1"/>
    <n v="40"/>
    <n v="2"/>
    <d v="2010-08-19T00:00:00"/>
    <s v="No"/>
    <x v="0"/>
    <n v="4"/>
    <x v="2"/>
    <x v="2"/>
    <x v="1"/>
  </r>
  <r>
    <s v="REL00599"/>
    <s v="Male"/>
    <n v="24"/>
    <s v="Post Graduate"/>
    <s v="Married"/>
    <x v="2"/>
    <s v="Store Manager"/>
    <x v="4"/>
    <x v="6"/>
    <s v="South"/>
    <n v="10"/>
    <n v="105129"/>
    <x v="0"/>
    <n v="1"/>
    <n v="1"/>
    <n v="71"/>
    <n v="0"/>
    <d v="2013-03-27T00:00:00"/>
    <s v="No"/>
    <x v="1"/>
    <n v="3"/>
    <x v="1"/>
    <x v="0"/>
    <x v="0"/>
  </r>
  <r>
    <s v="REL00600"/>
    <s v="Male"/>
    <n v="42"/>
    <s v="MBA"/>
    <s v="Divorced"/>
    <x v="5"/>
    <s v="Customer Service Rep"/>
    <x v="4"/>
    <x v="3"/>
    <s v="West"/>
    <n v="1"/>
    <n v="36253"/>
    <x v="2"/>
    <n v="3"/>
    <n v="2"/>
    <n v="22"/>
    <n v="2"/>
    <d v="2022-04-20T00:00:00"/>
    <s v="No"/>
    <x v="2"/>
    <n v="2"/>
    <x v="3"/>
    <x v="0"/>
    <x v="1"/>
  </r>
  <r>
    <s v="REL00601"/>
    <s v="Female"/>
    <n v="32"/>
    <s v="Post Graduate"/>
    <s v="Divorced"/>
    <x v="2"/>
    <s v="Logistics Coordinator"/>
    <x v="1"/>
    <x v="2"/>
    <s v="West"/>
    <n v="1"/>
    <n v="52628"/>
    <x v="0"/>
    <n v="4"/>
    <n v="1"/>
    <n v="21"/>
    <n v="1"/>
    <d v="2022-12-13T00:00:00"/>
    <s v="No"/>
    <x v="0"/>
    <n v="3"/>
    <x v="3"/>
    <x v="0"/>
    <x v="0"/>
  </r>
  <r>
    <s v="REL00602"/>
    <s v="Female"/>
    <n v="24"/>
    <s v="MBA"/>
    <s v="Single"/>
    <x v="3"/>
    <s v="HR Manager"/>
    <x v="2"/>
    <x v="5"/>
    <s v="South"/>
    <n v="8"/>
    <n v="92109"/>
    <x v="2"/>
    <n v="2"/>
    <n v="1"/>
    <n v="29"/>
    <n v="3"/>
    <d v="2015-07-03T00:00:00"/>
    <s v="No"/>
    <x v="1"/>
    <n v="2"/>
    <x v="1"/>
    <x v="0"/>
    <x v="1"/>
  </r>
  <r>
    <s v="REL00603"/>
    <s v="Female"/>
    <n v="32"/>
    <s v="HSC"/>
    <s v="Single"/>
    <x v="0"/>
    <s v="Sales Executive"/>
    <x v="2"/>
    <x v="0"/>
    <s v="North"/>
    <n v="9"/>
    <n v="64348"/>
    <x v="2"/>
    <n v="1"/>
    <n v="3"/>
    <n v="56"/>
    <n v="2"/>
    <d v="2014-05-16T00:00:00"/>
    <s v="Yes"/>
    <x v="0"/>
    <n v="2"/>
    <x v="1"/>
    <x v="1"/>
    <x v="1"/>
  </r>
  <r>
    <s v="REL00604"/>
    <s v="Male"/>
    <n v="53"/>
    <s v="Graduate"/>
    <s v="Married"/>
    <x v="2"/>
    <s v="Finance Analyst"/>
    <x v="2"/>
    <x v="0"/>
    <s v="North"/>
    <n v="5"/>
    <n v="68389"/>
    <x v="1"/>
    <n v="3"/>
    <n v="4"/>
    <n v="62"/>
    <n v="1"/>
    <d v="2018-10-23T00:00:00"/>
    <s v="No"/>
    <x v="0"/>
    <n v="1"/>
    <x v="0"/>
    <x v="0"/>
    <x v="1"/>
  </r>
  <r>
    <s v="REL00605"/>
    <s v="Female"/>
    <n v="24"/>
    <s v="BTech"/>
    <s v="Divorced"/>
    <x v="5"/>
    <s v="Sales Executive"/>
    <x v="1"/>
    <x v="9"/>
    <s v="West"/>
    <n v="6"/>
    <n v="55539"/>
    <x v="2"/>
    <n v="1"/>
    <n v="2"/>
    <n v="11"/>
    <n v="1"/>
    <d v="2017-05-17T00:00:00"/>
    <s v="No"/>
    <x v="0"/>
    <n v="2"/>
    <x v="1"/>
    <x v="0"/>
    <x v="1"/>
  </r>
  <r>
    <s v="REL00606"/>
    <s v="Female"/>
    <n v="27"/>
    <s v="HSC"/>
    <s v="Married"/>
    <x v="4"/>
    <s v="Logistics Coordinator"/>
    <x v="3"/>
    <x v="0"/>
    <s v="North"/>
    <n v="10"/>
    <n v="57391"/>
    <x v="0"/>
    <n v="4"/>
    <n v="4"/>
    <n v="23"/>
    <n v="0"/>
    <d v="2013-06-19T00:00:00"/>
    <s v="No"/>
    <x v="0"/>
    <n v="3"/>
    <x v="1"/>
    <x v="0"/>
    <x v="0"/>
  </r>
  <r>
    <s v="REL00607"/>
    <s v="Female"/>
    <n v="35"/>
    <s v="MBA"/>
    <s v="Single"/>
    <x v="2"/>
    <s v="Logistics Coordinator"/>
    <x v="3"/>
    <x v="6"/>
    <s v="South"/>
    <n v="4"/>
    <n v="53771"/>
    <x v="1"/>
    <n v="3"/>
    <n v="4"/>
    <n v="14"/>
    <n v="1"/>
    <d v="2019-07-11T00:00:00"/>
    <s v="Yes"/>
    <x v="0"/>
    <n v="1"/>
    <x v="0"/>
    <x v="1"/>
    <x v="1"/>
  </r>
  <r>
    <s v="REL00608"/>
    <s v="Female"/>
    <n v="49"/>
    <s v="MBA"/>
    <s v="Single"/>
    <x v="3"/>
    <s v="Store Manager"/>
    <x v="2"/>
    <x v="9"/>
    <s v="West"/>
    <n v="10"/>
    <n v="114696"/>
    <x v="2"/>
    <n v="1"/>
    <n v="2"/>
    <n v="12"/>
    <n v="3"/>
    <d v="2013-12-03T00:00:00"/>
    <s v="No"/>
    <x v="1"/>
    <n v="2"/>
    <x v="1"/>
    <x v="0"/>
    <x v="1"/>
  </r>
  <r>
    <s v="REL00609"/>
    <s v="Female"/>
    <n v="50"/>
    <s v="MBA"/>
    <s v="Divorced"/>
    <x v="4"/>
    <s v="Sales Executive"/>
    <x v="2"/>
    <x v="8"/>
    <s v="South"/>
    <n v="3"/>
    <n v="44975"/>
    <x v="3"/>
    <n v="2"/>
    <n v="3"/>
    <n v="33"/>
    <n v="0"/>
    <d v="2020-11-21T00:00:00"/>
    <s v="No"/>
    <x v="2"/>
    <n v="4"/>
    <x v="0"/>
    <x v="2"/>
    <x v="1"/>
  </r>
  <r>
    <s v="REL00610"/>
    <s v="Female"/>
    <n v="32"/>
    <s v="MBA"/>
    <s v="Married"/>
    <x v="6"/>
    <s v="Marketing Executive"/>
    <x v="0"/>
    <x v="0"/>
    <s v="North"/>
    <n v="3"/>
    <n v="57445"/>
    <x v="2"/>
    <n v="4"/>
    <n v="1"/>
    <n v="35"/>
    <n v="0"/>
    <d v="2020-04-30T00:00:00"/>
    <s v="No"/>
    <x v="0"/>
    <n v="2"/>
    <x v="0"/>
    <x v="0"/>
    <x v="1"/>
  </r>
  <r>
    <s v="REL00611"/>
    <s v="Female"/>
    <n v="29"/>
    <s v="MBA"/>
    <s v="Married"/>
    <x v="3"/>
    <s v="HR Manager"/>
    <x v="0"/>
    <x v="4"/>
    <s v="North"/>
    <n v="1"/>
    <n v="82029"/>
    <x v="2"/>
    <n v="1"/>
    <n v="4"/>
    <n v="26"/>
    <n v="3"/>
    <d v="2022-04-21T00:00:00"/>
    <s v="No"/>
    <x v="1"/>
    <n v="2"/>
    <x v="3"/>
    <x v="0"/>
    <x v="1"/>
  </r>
  <r>
    <s v="REL00612"/>
    <s v="Female"/>
    <n v="35"/>
    <s v="HSC"/>
    <s v="Single"/>
    <x v="2"/>
    <s v="Marketing Executive"/>
    <x v="4"/>
    <x v="4"/>
    <s v="North"/>
    <n v="12"/>
    <n v="77768"/>
    <x v="0"/>
    <n v="2"/>
    <n v="1"/>
    <n v="57"/>
    <n v="2"/>
    <d v="2011-10-11T00:00:00"/>
    <s v="No"/>
    <x v="0"/>
    <n v="3"/>
    <x v="2"/>
    <x v="0"/>
    <x v="0"/>
  </r>
  <r>
    <s v="REL00613"/>
    <s v="Female"/>
    <n v="44"/>
    <s v="BTech"/>
    <s v="Married"/>
    <x v="4"/>
    <s v="Finance Analyst"/>
    <x v="0"/>
    <x v="3"/>
    <s v="West"/>
    <n v="12"/>
    <n v="88942"/>
    <x v="3"/>
    <n v="3"/>
    <n v="1"/>
    <n v="32"/>
    <n v="3"/>
    <d v="2011-06-08T00:00:00"/>
    <s v="No"/>
    <x v="1"/>
    <n v="4"/>
    <x v="2"/>
    <x v="2"/>
    <x v="0"/>
  </r>
  <r>
    <s v="REL00614"/>
    <s v="Female"/>
    <n v="40"/>
    <s v="BTech"/>
    <s v="Single"/>
    <x v="5"/>
    <s v="Logistics Coordinator"/>
    <x v="2"/>
    <x v="2"/>
    <s v="West"/>
    <n v="9"/>
    <n v="65503"/>
    <x v="0"/>
    <n v="1"/>
    <n v="1"/>
    <n v="21"/>
    <n v="0"/>
    <d v="2014-01-31T00:00:00"/>
    <s v="No"/>
    <x v="0"/>
    <n v="3"/>
    <x v="1"/>
    <x v="0"/>
    <x v="0"/>
  </r>
  <r>
    <s v="REL00615"/>
    <s v="Female"/>
    <n v="48"/>
    <s v="Post Graduate"/>
    <s v="Single"/>
    <x v="6"/>
    <s v="Sales Executive"/>
    <x v="4"/>
    <x v="4"/>
    <s v="North"/>
    <n v="12"/>
    <n v="68552"/>
    <x v="1"/>
    <n v="4"/>
    <n v="4"/>
    <n v="24"/>
    <n v="1"/>
    <d v="2011-12-19T00:00:00"/>
    <s v="No"/>
    <x v="0"/>
    <n v="1"/>
    <x v="2"/>
    <x v="0"/>
    <x v="1"/>
  </r>
  <r>
    <s v="REL00616"/>
    <s v="Female"/>
    <n v="39"/>
    <s v="HSC"/>
    <s v="Married"/>
    <x v="2"/>
    <s v="Logistics Coordinator"/>
    <x v="0"/>
    <x v="9"/>
    <s v="West"/>
    <n v="7"/>
    <n v="49249"/>
    <x v="1"/>
    <n v="4"/>
    <n v="2"/>
    <n v="10"/>
    <n v="3"/>
    <d v="2016-04-18T00:00:00"/>
    <s v="Yes"/>
    <x v="2"/>
    <n v="1"/>
    <x v="1"/>
    <x v="1"/>
    <x v="1"/>
  </r>
  <r>
    <s v="REL00617"/>
    <s v="Female"/>
    <n v="32"/>
    <s v="BTech"/>
    <s v="Married"/>
    <x v="0"/>
    <s v="Customer Service Rep"/>
    <x v="4"/>
    <x v="3"/>
    <s v="West"/>
    <n v="13"/>
    <n v="68005"/>
    <x v="0"/>
    <n v="2"/>
    <n v="4"/>
    <n v="34"/>
    <n v="3"/>
    <d v="2010-07-26T00:00:00"/>
    <s v="No"/>
    <x v="0"/>
    <n v="3"/>
    <x v="2"/>
    <x v="0"/>
    <x v="0"/>
  </r>
  <r>
    <s v="REL00618"/>
    <s v="Female"/>
    <n v="36"/>
    <s v="Graduate"/>
    <s v="Divorced"/>
    <x v="6"/>
    <s v="HR Manager"/>
    <x v="2"/>
    <x v="3"/>
    <s v="West"/>
    <n v="12"/>
    <n v="102209"/>
    <x v="1"/>
    <n v="2"/>
    <n v="1"/>
    <n v="60"/>
    <n v="2"/>
    <d v="2011-10-15T00:00:00"/>
    <s v="No"/>
    <x v="1"/>
    <n v="1"/>
    <x v="2"/>
    <x v="0"/>
    <x v="2"/>
  </r>
  <r>
    <s v="REL00619"/>
    <s v="Male"/>
    <n v="23"/>
    <s v="BTech"/>
    <s v="Divorced"/>
    <x v="3"/>
    <s v="Sales Executive"/>
    <x v="0"/>
    <x v="1"/>
    <s v="North"/>
    <n v="2"/>
    <n v="34840"/>
    <x v="0"/>
    <n v="1"/>
    <n v="4"/>
    <n v="13"/>
    <n v="1"/>
    <d v="2021-12-27T00:00:00"/>
    <s v="No"/>
    <x v="3"/>
    <n v="3"/>
    <x v="3"/>
    <x v="0"/>
    <x v="1"/>
  </r>
  <r>
    <s v="REL00620"/>
    <s v="Male"/>
    <n v="46"/>
    <s v="HSC"/>
    <s v="Divorced"/>
    <x v="5"/>
    <s v="Marketing Executive"/>
    <x v="2"/>
    <x v="9"/>
    <s v="West"/>
    <n v="11"/>
    <n v="71729"/>
    <x v="0"/>
    <n v="1"/>
    <n v="3"/>
    <n v="20"/>
    <n v="1"/>
    <d v="2012-04-04T00:00:00"/>
    <s v="No"/>
    <x v="0"/>
    <n v="3"/>
    <x v="2"/>
    <x v="0"/>
    <x v="0"/>
  </r>
  <r>
    <s v="REL00621"/>
    <s v="Male"/>
    <n v="27"/>
    <s v="Graduate"/>
    <s v="Married"/>
    <x v="2"/>
    <s v="Sales Executive"/>
    <x v="4"/>
    <x v="3"/>
    <s v="West"/>
    <n v="15"/>
    <n v="63508"/>
    <x v="1"/>
    <n v="3"/>
    <n v="2"/>
    <n v="60"/>
    <n v="0"/>
    <d v="2008-08-23T00:00:00"/>
    <s v="Yes"/>
    <x v="0"/>
    <n v="1"/>
    <x v="2"/>
    <x v="1"/>
    <x v="1"/>
  </r>
  <r>
    <s v="REL00622"/>
    <s v="Female"/>
    <n v="50"/>
    <s v="Post Graduate"/>
    <s v="Single"/>
    <x v="0"/>
    <s v="Sales Executive"/>
    <x v="3"/>
    <x v="9"/>
    <s v="West"/>
    <n v="8"/>
    <n v="52890"/>
    <x v="3"/>
    <n v="3"/>
    <n v="1"/>
    <n v="32"/>
    <n v="0"/>
    <d v="2015-06-25T00:00:00"/>
    <s v="No"/>
    <x v="0"/>
    <n v="4"/>
    <x v="1"/>
    <x v="2"/>
    <x v="1"/>
  </r>
  <r>
    <s v="REL00623"/>
    <s v="Male"/>
    <n v="34"/>
    <s v="BTech"/>
    <s v="Single"/>
    <x v="5"/>
    <s v="Store Manager"/>
    <x v="0"/>
    <x v="0"/>
    <s v="North"/>
    <n v="10"/>
    <n v="100190"/>
    <x v="1"/>
    <n v="1"/>
    <n v="2"/>
    <n v="37"/>
    <n v="2"/>
    <d v="2013-08-26T00:00:00"/>
    <s v="No"/>
    <x v="1"/>
    <n v="1"/>
    <x v="1"/>
    <x v="0"/>
    <x v="2"/>
  </r>
  <r>
    <s v="REL00624"/>
    <s v="Female"/>
    <n v="52"/>
    <s v="Post Graduate"/>
    <s v="Single"/>
    <x v="1"/>
    <s v="Marketing Executive"/>
    <x v="4"/>
    <x v="0"/>
    <s v="North"/>
    <n v="3"/>
    <n v="48734"/>
    <x v="2"/>
    <n v="3"/>
    <n v="3"/>
    <n v="69"/>
    <n v="3"/>
    <d v="2020-08-17T00:00:00"/>
    <s v="No"/>
    <x v="2"/>
    <n v="2"/>
    <x v="0"/>
    <x v="0"/>
    <x v="1"/>
  </r>
  <r>
    <s v="REL00625"/>
    <s v="Female"/>
    <n v="32"/>
    <s v="Post Graduate"/>
    <s v="Divorced"/>
    <x v="6"/>
    <s v="Marketing Executive"/>
    <x v="2"/>
    <x v="2"/>
    <s v="West"/>
    <n v="3"/>
    <n v="55210"/>
    <x v="2"/>
    <n v="4"/>
    <n v="4"/>
    <n v="67"/>
    <n v="3"/>
    <d v="2020-11-10T00:00:00"/>
    <s v="No"/>
    <x v="0"/>
    <n v="2"/>
    <x v="0"/>
    <x v="0"/>
    <x v="1"/>
  </r>
  <r>
    <s v="REL00626"/>
    <s v="Female"/>
    <n v="45"/>
    <s v="Graduate"/>
    <s v="Married"/>
    <x v="4"/>
    <s v="Logistics Coordinator"/>
    <x v="0"/>
    <x v="4"/>
    <s v="North"/>
    <n v="10"/>
    <n v="69067"/>
    <x v="3"/>
    <n v="2"/>
    <n v="1"/>
    <n v="75"/>
    <n v="2"/>
    <d v="2013-03-19T00:00:00"/>
    <s v="No"/>
    <x v="0"/>
    <n v="4"/>
    <x v="1"/>
    <x v="2"/>
    <x v="1"/>
  </r>
  <r>
    <s v="REL00627"/>
    <s v="Female"/>
    <n v="33"/>
    <s v="HSC"/>
    <s v="Single"/>
    <x v="6"/>
    <s v="Store Manager"/>
    <x v="0"/>
    <x v="4"/>
    <s v="North"/>
    <n v="7"/>
    <n v="92756"/>
    <x v="2"/>
    <n v="1"/>
    <n v="2"/>
    <n v="57"/>
    <n v="2"/>
    <d v="2016-07-21T00:00:00"/>
    <s v="No"/>
    <x v="1"/>
    <n v="2"/>
    <x v="1"/>
    <x v="0"/>
    <x v="1"/>
  </r>
  <r>
    <s v="REL00628"/>
    <s v="Female"/>
    <n v="36"/>
    <s v="BTech"/>
    <s v="Single"/>
    <x v="5"/>
    <s v="Store Manager"/>
    <x v="4"/>
    <x v="6"/>
    <s v="South"/>
    <n v="6"/>
    <n v="97776"/>
    <x v="3"/>
    <n v="4"/>
    <n v="3"/>
    <n v="37"/>
    <n v="1"/>
    <d v="2017-05-09T00:00:00"/>
    <s v="No"/>
    <x v="1"/>
    <n v="4"/>
    <x v="1"/>
    <x v="2"/>
    <x v="0"/>
  </r>
  <r>
    <s v="REL00629"/>
    <s v="Male"/>
    <n v="34"/>
    <s v="Graduate"/>
    <s v="Married"/>
    <x v="4"/>
    <s v="Logistics Coordinator"/>
    <x v="1"/>
    <x v="0"/>
    <s v="North"/>
    <n v="10"/>
    <n v="69260"/>
    <x v="3"/>
    <n v="4"/>
    <n v="1"/>
    <n v="45"/>
    <n v="3"/>
    <d v="2013-07-24T00:00:00"/>
    <s v="No"/>
    <x v="0"/>
    <n v="4"/>
    <x v="1"/>
    <x v="2"/>
    <x v="1"/>
  </r>
  <r>
    <s v="REL00630"/>
    <s v="Male"/>
    <n v="40"/>
    <s v="Graduate"/>
    <s v="Divorced"/>
    <x v="2"/>
    <s v="Customer Service Rep"/>
    <x v="3"/>
    <x v="0"/>
    <s v="North"/>
    <n v="10"/>
    <n v="64371"/>
    <x v="0"/>
    <n v="1"/>
    <n v="4"/>
    <n v="46"/>
    <n v="1"/>
    <d v="2013-09-04T00:00:00"/>
    <s v="No"/>
    <x v="0"/>
    <n v="3"/>
    <x v="1"/>
    <x v="0"/>
    <x v="0"/>
  </r>
  <r>
    <s v="REL00631"/>
    <s v="Female"/>
    <n v="41"/>
    <s v="HSC"/>
    <s v="Married"/>
    <x v="0"/>
    <s v="Store Manager"/>
    <x v="1"/>
    <x v="2"/>
    <s v="West"/>
    <n v="6"/>
    <n v="89275"/>
    <x v="3"/>
    <n v="3"/>
    <n v="4"/>
    <n v="20"/>
    <n v="2"/>
    <d v="2017-11-15T00:00:00"/>
    <s v="No"/>
    <x v="1"/>
    <n v="4"/>
    <x v="1"/>
    <x v="2"/>
    <x v="0"/>
  </r>
  <r>
    <s v="REL00632"/>
    <s v="Male"/>
    <n v="23"/>
    <s v="Post Graduate"/>
    <s v="Single"/>
    <x v="0"/>
    <s v="Finance Analyst"/>
    <x v="3"/>
    <x v="9"/>
    <s v="West"/>
    <n v="12"/>
    <n v="90165"/>
    <x v="2"/>
    <n v="1"/>
    <n v="2"/>
    <n v="23"/>
    <n v="2"/>
    <d v="2011-06-27T00:00:00"/>
    <s v="Yes"/>
    <x v="1"/>
    <n v="2"/>
    <x v="2"/>
    <x v="1"/>
    <x v="1"/>
  </r>
  <r>
    <s v="REL00633"/>
    <s v="Male"/>
    <n v="38"/>
    <s v="Graduate"/>
    <s v="Single"/>
    <x v="1"/>
    <s v="Customer Service Rep"/>
    <x v="2"/>
    <x v="2"/>
    <s v="West"/>
    <n v="4"/>
    <n v="50614"/>
    <x v="3"/>
    <n v="1"/>
    <n v="3"/>
    <n v="19"/>
    <n v="2"/>
    <d v="2019-01-15T00:00:00"/>
    <s v="Yes"/>
    <x v="0"/>
    <n v="4"/>
    <x v="0"/>
    <x v="1"/>
    <x v="1"/>
  </r>
  <r>
    <s v="REL00634"/>
    <s v="Male"/>
    <n v="42"/>
    <s v="Post Graduate"/>
    <s v="Divorced"/>
    <x v="6"/>
    <s v="HR Manager"/>
    <x v="0"/>
    <x v="7"/>
    <s v="East"/>
    <n v="15"/>
    <n v="114118"/>
    <x v="0"/>
    <n v="4"/>
    <n v="4"/>
    <n v="25"/>
    <n v="1"/>
    <d v="2008-11-04T00:00:00"/>
    <s v="No"/>
    <x v="1"/>
    <n v="3"/>
    <x v="2"/>
    <x v="0"/>
    <x v="0"/>
  </r>
  <r>
    <s v="REL00635"/>
    <s v="Female"/>
    <n v="27"/>
    <s v="HSC"/>
    <s v="Divorced"/>
    <x v="7"/>
    <s v="Finance Analyst"/>
    <x v="3"/>
    <x v="4"/>
    <s v="North"/>
    <n v="6"/>
    <n v="69400"/>
    <x v="2"/>
    <n v="2"/>
    <n v="2"/>
    <n v="19"/>
    <n v="0"/>
    <d v="2017-08-20T00:00:00"/>
    <s v="Yes"/>
    <x v="0"/>
    <n v="2"/>
    <x v="1"/>
    <x v="1"/>
    <x v="1"/>
  </r>
  <r>
    <s v="REL00636"/>
    <s v="Female"/>
    <n v="28"/>
    <s v="HSC"/>
    <s v="Single"/>
    <x v="0"/>
    <s v="Marketing Executive"/>
    <x v="2"/>
    <x v="9"/>
    <s v="West"/>
    <n v="11"/>
    <n v="77340"/>
    <x v="3"/>
    <n v="3"/>
    <n v="3"/>
    <n v="68"/>
    <n v="1"/>
    <d v="2012-09-29T00:00:00"/>
    <s v="No"/>
    <x v="0"/>
    <n v="4"/>
    <x v="2"/>
    <x v="2"/>
    <x v="1"/>
  </r>
  <r>
    <s v="REL00637"/>
    <s v="Male"/>
    <n v="47"/>
    <s v="Post Graduate"/>
    <s v="Single"/>
    <x v="2"/>
    <s v="Customer Service Rep"/>
    <x v="2"/>
    <x v="1"/>
    <s v="North"/>
    <n v="15"/>
    <n v="67634"/>
    <x v="0"/>
    <n v="3"/>
    <n v="4"/>
    <n v="31"/>
    <n v="2"/>
    <d v="2008-02-22T00:00:00"/>
    <s v="No"/>
    <x v="0"/>
    <n v="3"/>
    <x v="2"/>
    <x v="0"/>
    <x v="0"/>
  </r>
  <r>
    <s v="REL00638"/>
    <s v="Male"/>
    <n v="39"/>
    <s v="Graduate"/>
    <s v="Married"/>
    <x v="2"/>
    <s v="Sales Executive"/>
    <x v="2"/>
    <x v="4"/>
    <s v="North"/>
    <n v="15"/>
    <n v="63611"/>
    <x v="1"/>
    <n v="4"/>
    <n v="3"/>
    <n v="43"/>
    <n v="0"/>
    <d v="2008-05-14T00:00:00"/>
    <s v="Yes"/>
    <x v="0"/>
    <n v="1"/>
    <x v="2"/>
    <x v="1"/>
    <x v="1"/>
  </r>
  <r>
    <s v="REL00639"/>
    <s v="Female"/>
    <n v="25"/>
    <s v="MBA"/>
    <s v="Married"/>
    <x v="2"/>
    <s v="HR Manager"/>
    <x v="0"/>
    <x v="1"/>
    <s v="North"/>
    <n v="4"/>
    <n v="86006"/>
    <x v="1"/>
    <n v="3"/>
    <n v="1"/>
    <n v="16"/>
    <n v="3"/>
    <d v="2019-04-17T00:00:00"/>
    <s v="Yes"/>
    <x v="1"/>
    <n v="1"/>
    <x v="0"/>
    <x v="1"/>
    <x v="2"/>
  </r>
  <r>
    <s v="REL00640"/>
    <s v="Female"/>
    <n v="55"/>
    <s v="MBA"/>
    <s v="Single"/>
    <x v="1"/>
    <s v="HR Manager"/>
    <x v="0"/>
    <x v="2"/>
    <s v="West"/>
    <n v="7"/>
    <n v="98465"/>
    <x v="0"/>
    <n v="1"/>
    <n v="2"/>
    <n v="24"/>
    <n v="1"/>
    <d v="2016-04-06T00:00:00"/>
    <s v="No"/>
    <x v="1"/>
    <n v="3"/>
    <x v="1"/>
    <x v="0"/>
    <x v="0"/>
  </r>
  <r>
    <s v="REL00641"/>
    <s v="Male"/>
    <n v="47"/>
    <s v="MBA"/>
    <s v="Married"/>
    <x v="0"/>
    <s v="Sales Executive"/>
    <x v="4"/>
    <x v="0"/>
    <s v="North"/>
    <n v="4"/>
    <n v="55436"/>
    <x v="2"/>
    <n v="1"/>
    <n v="2"/>
    <n v="44"/>
    <n v="3"/>
    <d v="2019-08-14T00:00:00"/>
    <s v="Yes"/>
    <x v="0"/>
    <n v="2"/>
    <x v="0"/>
    <x v="1"/>
    <x v="1"/>
  </r>
  <r>
    <s v="REL00642"/>
    <s v="Male"/>
    <n v="33"/>
    <s v="BTech"/>
    <s v="Divorced"/>
    <x v="3"/>
    <s v="Operations Head"/>
    <x v="2"/>
    <x v="5"/>
    <s v="South"/>
    <n v="11"/>
    <n v="126539"/>
    <x v="2"/>
    <n v="4"/>
    <n v="3"/>
    <n v="40"/>
    <n v="1"/>
    <d v="2013-01-02T00:00:00"/>
    <s v="No"/>
    <x v="1"/>
    <n v="2"/>
    <x v="2"/>
    <x v="0"/>
    <x v="1"/>
  </r>
  <r>
    <s v="REL00643"/>
    <s v="Female"/>
    <n v="49"/>
    <s v="HSC"/>
    <s v="Single"/>
    <x v="2"/>
    <s v="Finance Analyst"/>
    <x v="2"/>
    <x v="7"/>
    <s v="East"/>
    <n v="6"/>
    <n v="66647"/>
    <x v="0"/>
    <n v="2"/>
    <n v="3"/>
    <n v="19"/>
    <n v="1"/>
    <d v="2017-01-26T00:00:00"/>
    <s v="Yes"/>
    <x v="0"/>
    <n v="3"/>
    <x v="1"/>
    <x v="1"/>
    <x v="0"/>
  </r>
  <r>
    <s v="REL00644"/>
    <s v="Male"/>
    <n v="40"/>
    <s v="Post Graduate"/>
    <s v="Divorced"/>
    <x v="5"/>
    <s v="Marketing Executive"/>
    <x v="3"/>
    <x v="3"/>
    <s v="West"/>
    <n v="8"/>
    <n v="71485"/>
    <x v="3"/>
    <n v="2"/>
    <n v="2"/>
    <n v="22"/>
    <n v="0"/>
    <d v="2015-12-11T00:00:00"/>
    <s v="Yes"/>
    <x v="0"/>
    <n v="4"/>
    <x v="1"/>
    <x v="1"/>
    <x v="1"/>
  </r>
  <r>
    <s v="REL00645"/>
    <s v="Female"/>
    <n v="45"/>
    <s v="MBA"/>
    <s v="Single"/>
    <x v="5"/>
    <s v="Customer Service Rep"/>
    <x v="3"/>
    <x v="8"/>
    <s v="South"/>
    <n v="12"/>
    <n v="66881"/>
    <x v="1"/>
    <n v="3"/>
    <n v="3"/>
    <n v="52"/>
    <n v="3"/>
    <d v="2011-04-30T00:00:00"/>
    <s v="No"/>
    <x v="0"/>
    <n v="1"/>
    <x v="2"/>
    <x v="0"/>
    <x v="1"/>
  </r>
  <r>
    <s v="REL00646"/>
    <s v="Female"/>
    <n v="23"/>
    <s v="Post Graduate"/>
    <s v="Divorced"/>
    <x v="4"/>
    <s v="Logistics Coordinator"/>
    <x v="1"/>
    <x v="0"/>
    <s v="North"/>
    <n v="3"/>
    <n v="48217"/>
    <x v="3"/>
    <n v="4"/>
    <n v="3"/>
    <n v="36"/>
    <n v="0"/>
    <d v="2020-07-03T00:00:00"/>
    <s v="No"/>
    <x v="2"/>
    <n v="4"/>
    <x v="0"/>
    <x v="2"/>
    <x v="1"/>
  </r>
  <r>
    <s v="REL00647"/>
    <s v="Female"/>
    <n v="43"/>
    <s v="MBA"/>
    <s v="Divorced"/>
    <x v="6"/>
    <s v="Finance Analyst"/>
    <x v="4"/>
    <x v="5"/>
    <s v="South"/>
    <n v="15"/>
    <n v="97265"/>
    <x v="2"/>
    <n v="4"/>
    <n v="3"/>
    <n v="49"/>
    <n v="1"/>
    <d v="2008-08-22T00:00:00"/>
    <s v="No"/>
    <x v="1"/>
    <n v="2"/>
    <x v="2"/>
    <x v="0"/>
    <x v="1"/>
  </r>
  <r>
    <s v="REL00648"/>
    <s v="Male"/>
    <n v="22"/>
    <s v="MBA"/>
    <s v="Divorced"/>
    <x v="5"/>
    <s v="Finance Analyst"/>
    <x v="1"/>
    <x v="3"/>
    <s v="West"/>
    <n v="7"/>
    <n v="82568"/>
    <x v="3"/>
    <n v="2"/>
    <n v="4"/>
    <n v="29"/>
    <n v="2"/>
    <d v="2016-08-08T00:00:00"/>
    <s v="No"/>
    <x v="1"/>
    <n v="4"/>
    <x v="1"/>
    <x v="2"/>
    <x v="0"/>
  </r>
  <r>
    <s v="REL00649"/>
    <s v="Male"/>
    <n v="40"/>
    <s v="BTech"/>
    <s v="Single"/>
    <x v="3"/>
    <s v="Sales Executive"/>
    <x v="0"/>
    <x v="4"/>
    <s v="North"/>
    <n v="5"/>
    <n v="49657"/>
    <x v="1"/>
    <n v="1"/>
    <n v="4"/>
    <n v="49"/>
    <n v="0"/>
    <d v="2018-12-13T00:00:00"/>
    <s v="Yes"/>
    <x v="2"/>
    <n v="1"/>
    <x v="0"/>
    <x v="1"/>
    <x v="1"/>
  </r>
  <r>
    <s v="REL00650"/>
    <s v="Male"/>
    <n v="27"/>
    <s v="HSC"/>
    <s v="Single"/>
    <x v="5"/>
    <s v="HR Manager"/>
    <x v="4"/>
    <x v="2"/>
    <s v="West"/>
    <n v="5"/>
    <n v="86475"/>
    <x v="3"/>
    <n v="2"/>
    <n v="4"/>
    <n v="20"/>
    <n v="2"/>
    <d v="2018-04-20T00:00:00"/>
    <s v="No"/>
    <x v="1"/>
    <n v="4"/>
    <x v="0"/>
    <x v="2"/>
    <x v="0"/>
  </r>
  <r>
    <s v="REL00651"/>
    <s v="Female"/>
    <n v="41"/>
    <s v="BTech"/>
    <s v="Married"/>
    <x v="0"/>
    <s v="Logistics Coordinator"/>
    <x v="3"/>
    <x v="5"/>
    <s v="South"/>
    <n v="4"/>
    <n v="56846"/>
    <x v="2"/>
    <n v="2"/>
    <n v="4"/>
    <n v="51"/>
    <n v="1"/>
    <d v="2019-11-13T00:00:00"/>
    <s v="No"/>
    <x v="0"/>
    <n v="2"/>
    <x v="0"/>
    <x v="0"/>
    <x v="1"/>
  </r>
  <r>
    <s v="REL00652"/>
    <s v="Female"/>
    <n v="33"/>
    <s v="MBA"/>
    <s v="Married"/>
    <x v="4"/>
    <s v="Marketing Executive"/>
    <x v="2"/>
    <x v="5"/>
    <s v="South"/>
    <n v="9"/>
    <n v="67865"/>
    <x v="1"/>
    <n v="1"/>
    <n v="2"/>
    <n v="77"/>
    <n v="3"/>
    <d v="2014-08-04T00:00:00"/>
    <s v="Yes"/>
    <x v="0"/>
    <n v="1"/>
    <x v="1"/>
    <x v="1"/>
    <x v="1"/>
  </r>
  <r>
    <s v="REL00653"/>
    <s v="Male"/>
    <n v="23"/>
    <s v="MBA"/>
    <s v="Single"/>
    <x v="5"/>
    <s v="Finance Analyst"/>
    <x v="3"/>
    <x v="7"/>
    <s v="East"/>
    <n v="7"/>
    <n v="77779"/>
    <x v="2"/>
    <n v="2"/>
    <n v="3"/>
    <n v="41"/>
    <n v="2"/>
    <d v="2016-05-11T00:00:00"/>
    <s v="No"/>
    <x v="0"/>
    <n v="2"/>
    <x v="1"/>
    <x v="0"/>
    <x v="1"/>
  </r>
  <r>
    <s v="REL00654"/>
    <s v="Male"/>
    <n v="27"/>
    <s v="Graduate"/>
    <s v="Married"/>
    <x v="4"/>
    <s v="Logistics Coordinator"/>
    <x v="4"/>
    <x v="6"/>
    <s v="South"/>
    <n v="3"/>
    <n v="41195"/>
    <x v="1"/>
    <n v="1"/>
    <n v="3"/>
    <n v="22"/>
    <n v="2"/>
    <d v="2020-05-11T00:00:00"/>
    <s v="No"/>
    <x v="2"/>
    <n v="1"/>
    <x v="0"/>
    <x v="0"/>
    <x v="1"/>
  </r>
  <r>
    <s v="REL00655"/>
    <s v="Female"/>
    <n v="30"/>
    <s v="Post Graduate"/>
    <s v="Divorced"/>
    <x v="7"/>
    <s v="Store Manager"/>
    <x v="0"/>
    <x v="4"/>
    <s v="North"/>
    <n v="2"/>
    <n v="85719"/>
    <x v="3"/>
    <n v="2"/>
    <n v="3"/>
    <n v="49"/>
    <n v="0"/>
    <d v="2021-10-20T00:00:00"/>
    <s v="No"/>
    <x v="1"/>
    <n v="4"/>
    <x v="3"/>
    <x v="2"/>
    <x v="0"/>
  </r>
  <r>
    <s v="REL00656"/>
    <s v="Male"/>
    <n v="37"/>
    <s v="Post Graduate"/>
    <s v="Single"/>
    <x v="1"/>
    <s v="HR Manager"/>
    <x v="4"/>
    <x v="9"/>
    <s v="West"/>
    <n v="1"/>
    <n v="86785"/>
    <x v="3"/>
    <n v="4"/>
    <n v="1"/>
    <n v="74"/>
    <n v="3"/>
    <d v="2022-04-10T00:00:00"/>
    <s v="Yes"/>
    <x v="1"/>
    <n v="4"/>
    <x v="3"/>
    <x v="1"/>
    <x v="0"/>
  </r>
  <r>
    <s v="REL00657"/>
    <s v="Female"/>
    <n v="50"/>
    <s v="BTech"/>
    <s v="Single"/>
    <x v="0"/>
    <s v="Finance Analyst"/>
    <x v="4"/>
    <x v="2"/>
    <s v="West"/>
    <n v="7"/>
    <n v="70030"/>
    <x v="2"/>
    <n v="4"/>
    <n v="2"/>
    <n v="12"/>
    <n v="1"/>
    <d v="2016-03-29T00:00:00"/>
    <s v="No"/>
    <x v="0"/>
    <n v="2"/>
    <x v="1"/>
    <x v="0"/>
    <x v="1"/>
  </r>
  <r>
    <s v="REL00658"/>
    <s v="Male"/>
    <n v="53"/>
    <s v="HSC"/>
    <s v="Divorced"/>
    <x v="1"/>
    <s v="Finance Analyst"/>
    <x v="2"/>
    <x v="6"/>
    <s v="South"/>
    <n v="8"/>
    <n v="75503"/>
    <x v="0"/>
    <n v="3"/>
    <n v="4"/>
    <n v="59"/>
    <n v="0"/>
    <d v="2015-01-27T00:00:00"/>
    <s v="No"/>
    <x v="0"/>
    <n v="3"/>
    <x v="1"/>
    <x v="0"/>
    <x v="0"/>
  </r>
  <r>
    <s v="REL00659"/>
    <s v="Female"/>
    <n v="22"/>
    <s v="BTech"/>
    <s v="Married"/>
    <x v="6"/>
    <s v="Operations Head"/>
    <x v="3"/>
    <x v="9"/>
    <s v="West"/>
    <n v="1"/>
    <n v="101977"/>
    <x v="0"/>
    <n v="1"/>
    <n v="4"/>
    <n v="15"/>
    <n v="2"/>
    <d v="2022-03-19T00:00:00"/>
    <s v="Yes"/>
    <x v="1"/>
    <n v="3"/>
    <x v="3"/>
    <x v="1"/>
    <x v="0"/>
  </r>
  <r>
    <s v="REL00660"/>
    <s v="Male"/>
    <n v="44"/>
    <s v="BTech"/>
    <s v="Married"/>
    <x v="7"/>
    <s v="HR Manager"/>
    <x v="3"/>
    <x v="6"/>
    <s v="South"/>
    <n v="1"/>
    <n v="78722"/>
    <x v="2"/>
    <n v="1"/>
    <n v="2"/>
    <n v="29"/>
    <n v="2"/>
    <d v="2022-04-19T00:00:00"/>
    <s v="No"/>
    <x v="0"/>
    <n v="2"/>
    <x v="3"/>
    <x v="0"/>
    <x v="1"/>
  </r>
  <r>
    <s v="REL00661"/>
    <s v="Female"/>
    <n v="46"/>
    <s v="MBA"/>
    <s v="Divorced"/>
    <x v="5"/>
    <s v="Operations Head"/>
    <x v="3"/>
    <x v="4"/>
    <s v="North"/>
    <n v="5"/>
    <n v="107908"/>
    <x v="0"/>
    <n v="2"/>
    <n v="3"/>
    <n v="26"/>
    <n v="2"/>
    <d v="2018-02-06T00:00:00"/>
    <s v="Yes"/>
    <x v="1"/>
    <n v="3"/>
    <x v="0"/>
    <x v="1"/>
    <x v="0"/>
  </r>
  <r>
    <s v="REL00662"/>
    <s v="Male"/>
    <n v="53"/>
    <s v="MBA"/>
    <s v="Married"/>
    <x v="5"/>
    <s v="Store Manager"/>
    <x v="1"/>
    <x v="4"/>
    <s v="North"/>
    <n v="2"/>
    <n v="79967"/>
    <x v="1"/>
    <n v="2"/>
    <n v="2"/>
    <n v="23"/>
    <n v="1"/>
    <d v="2021-11-13T00:00:00"/>
    <s v="Yes"/>
    <x v="0"/>
    <n v="1"/>
    <x v="3"/>
    <x v="1"/>
    <x v="1"/>
  </r>
  <r>
    <s v="REL00663"/>
    <s v="Female"/>
    <n v="45"/>
    <s v="BTech"/>
    <s v="Divorced"/>
    <x v="6"/>
    <s v="Operations Head"/>
    <x v="4"/>
    <x v="2"/>
    <s v="West"/>
    <n v="10"/>
    <n v="108751"/>
    <x v="3"/>
    <n v="1"/>
    <n v="2"/>
    <n v="51"/>
    <n v="0"/>
    <d v="2013-11-27T00:00:00"/>
    <s v="Yes"/>
    <x v="1"/>
    <n v="4"/>
    <x v="1"/>
    <x v="1"/>
    <x v="0"/>
  </r>
  <r>
    <s v="REL00664"/>
    <s v="Female"/>
    <n v="36"/>
    <s v="Post Graduate"/>
    <s v="Divorced"/>
    <x v="6"/>
    <s v="Operations Head"/>
    <x v="2"/>
    <x v="9"/>
    <s v="West"/>
    <n v="4"/>
    <n v="109092"/>
    <x v="0"/>
    <n v="2"/>
    <n v="4"/>
    <n v="77"/>
    <n v="1"/>
    <d v="2019-01-20T00:00:00"/>
    <s v="No"/>
    <x v="1"/>
    <n v="3"/>
    <x v="0"/>
    <x v="0"/>
    <x v="0"/>
  </r>
  <r>
    <s v="REL00665"/>
    <s v="Male"/>
    <n v="43"/>
    <s v="Post Graduate"/>
    <s v="Divorced"/>
    <x v="0"/>
    <s v="HR Manager"/>
    <x v="4"/>
    <x v="0"/>
    <s v="North"/>
    <n v="1"/>
    <n v="67171"/>
    <x v="0"/>
    <n v="4"/>
    <n v="2"/>
    <n v="36"/>
    <n v="3"/>
    <d v="2022-06-07T00:00:00"/>
    <s v="No"/>
    <x v="0"/>
    <n v="3"/>
    <x v="3"/>
    <x v="0"/>
    <x v="0"/>
  </r>
  <r>
    <s v="REL00666"/>
    <s v="Female"/>
    <n v="26"/>
    <s v="BTech"/>
    <s v="Single"/>
    <x v="5"/>
    <s v="Sales Executive"/>
    <x v="0"/>
    <x v="1"/>
    <s v="North"/>
    <n v="13"/>
    <n v="70381"/>
    <x v="0"/>
    <n v="2"/>
    <n v="3"/>
    <n v="22"/>
    <n v="0"/>
    <d v="2010-02-18T00:00:00"/>
    <s v="No"/>
    <x v="0"/>
    <n v="3"/>
    <x v="2"/>
    <x v="0"/>
    <x v="0"/>
  </r>
  <r>
    <s v="REL00667"/>
    <s v="Female"/>
    <n v="26"/>
    <s v="Post Graduate"/>
    <s v="Married"/>
    <x v="1"/>
    <s v="Marketing Executive"/>
    <x v="4"/>
    <x v="9"/>
    <s v="West"/>
    <n v="1"/>
    <n v="51499"/>
    <x v="2"/>
    <n v="1"/>
    <n v="2"/>
    <n v="76"/>
    <n v="2"/>
    <d v="2022-06-16T00:00:00"/>
    <s v="No"/>
    <x v="0"/>
    <n v="2"/>
    <x v="3"/>
    <x v="0"/>
    <x v="1"/>
  </r>
  <r>
    <s v="REL00668"/>
    <s v="Female"/>
    <n v="48"/>
    <s v="HSC"/>
    <s v="Single"/>
    <x v="0"/>
    <s v="Finance Analyst"/>
    <x v="1"/>
    <x v="2"/>
    <s v="West"/>
    <n v="10"/>
    <n v="78619"/>
    <x v="3"/>
    <n v="3"/>
    <n v="1"/>
    <n v="27"/>
    <n v="1"/>
    <d v="2013-12-18T00:00:00"/>
    <s v="Yes"/>
    <x v="0"/>
    <n v="4"/>
    <x v="1"/>
    <x v="1"/>
    <x v="1"/>
  </r>
  <r>
    <s v="REL00669"/>
    <s v="Male"/>
    <n v="44"/>
    <s v="Graduate"/>
    <s v="Married"/>
    <x v="5"/>
    <s v="Sales Executive"/>
    <x v="4"/>
    <x v="1"/>
    <s v="North"/>
    <n v="8"/>
    <n v="64476"/>
    <x v="0"/>
    <n v="1"/>
    <n v="4"/>
    <n v="26"/>
    <n v="2"/>
    <d v="2015-01-09T00:00:00"/>
    <s v="No"/>
    <x v="0"/>
    <n v="3"/>
    <x v="1"/>
    <x v="0"/>
    <x v="0"/>
  </r>
  <r>
    <s v="REL00670"/>
    <s v="Male"/>
    <n v="23"/>
    <s v="Graduate"/>
    <s v="Single"/>
    <x v="2"/>
    <s v="Marketing Executive"/>
    <x v="4"/>
    <x v="3"/>
    <s v="West"/>
    <n v="9"/>
    <n v="69477"/>
    <x v="1"/>
    <n v="2"/>
    <n v="4"/>
    <n v="12"/>
    <n v="3"/>
    <d v="2014-08-01T00:00:00"/>
    <s v="Yes"/>
    <x v="0"/>
    <n v="1"/>
    <x v="1"/>
    <x v="1"/>
    <x v="1"/>
  </r>
  <r>
    <s v="REL00671"/>
    <s v="Female"/>
    <n v="29"/>
    <s v="BTech"/>
    <s v="Married"/>
    <x v="6"/>
    <s v="Logistics Coordinator"/>
    <x v="3"/>
    <x v="3"/>
    <s v="West"/>
    <n v="7"/>
    <n v="67007"/>
    <x v="0"/>
    <n v="3"/>
    <n v="2"/>
    <n v="53"/>
    <n v="3"/>
    <d v="2016-11-04T00:00:00"/>
    <s v="No"/>
    <x v="0"/>
    <n v="3"/>
    <x v="1"/>
    <x v="0"/>
    <x v="0"/>
  </r>
  <r>
    <s v="REL00672"/>
    <s v="Male"/>
    <n v="22"/>
    <s v="Post Graduate"/>
    <s v="Single"/>
    <x v="1"/>
    <s v="Store Manager"/>
    <x v="2"/>
    <x v="3"/>
    <s v="West"/>
    <n v="10"/>
    <n v="102442"/>
    <x v="3"/>
    <n v="1"/>
    <n v="1"/>
    <n v="26"/>
    <n v="3"/>
    <d v="2013-04-04T00:00:00"/>
    <s v="No"/>
    <x v="1"/>
    <n v="4"/>
    <x v="1"/>
    <x v="2"/>
    <x v="0"/>
  </r>
  <r>
    <s v="REL00673"/>
    <s v="Female"/>
    <n v="52"/>
    <s v="Graduate"/>
    <s v="Divorced"/>
    <x v="4"/>
    <s v="Marketing Executive"/>
    <x v="4"/>
    <x v="6"/>
    <s v="South"/>
    <n v="6"/>
    <n v="61581"/>
    <x v="2"/>
    <n v="1"/>
    <n v="1"/>
    <n v="42"/>
    <n v="1"/>
    <d v="2017-02-26T00:00:00"/>
    <s v="No"/>
    <x v="0"/>
    <n v="2"/>
    <x v="1"/>
    <x v="0"/>
    <x v="1"/>
  </r>
  <r>
    <s v="REL00674"/>
    <s v="Male"/>
    <n v="55"/>
    <s v="HSC"/>
    <s v="Married"/>
    <x v="5"/>
    <s v="Operations Head"/>
    <x v="2"/>
    <x v="9"/>
    <s v="West"/>
    <n v="12"/>
    <n v="121023"/>
    <x v="1"/>
    <n v="1"/>
    <n v="1"/>
    <n v="54"/>
    <n v="3"/>
    <d v="2011-02-04T00:00:00"/>
    <s v="Yes"/>
    <x v="1"/>
    <n v="1"/>
    <x v="2"/>
    <x v="1"/>
    <x v="2"/>
  </r>
  <r>
    <s v="REL00675"/>
    <s v="Male"/>
    <n v="29"/>
    <s v="HSC"/>
    <s v="Divorced"/>
    <x v="7"/>
    <s v="HR Manager"/>
    <x v="0"/>
    <x v="4"/>
    <s v="North"/>
    <n v="4"/>
    <n v="90071"/>
    <x v="3"/>
    <n v="2"/>
    <n v="1"/>
    <n v="40"/>
    <n v="3"/>
    <d v="2019-07-30T00:00:00"/>
    <s v="No"/>
    <x v="1"/>
    <n v="4"/>
    <x v="0"/>
    <x v="2"/>
    <x v="0"/>
  </r>
  <r>
    <s v="REL00676"/>
    <s v="Female"/>
    <n v="27"/>
    <s v="Graduate"/>
    <s v="Married"/>
    <x v="2"/>
    <s v="Store Manager"/>
    <x v="4"/>
    <x v="9"/>
    <s v="West"/>
    <n v="14"/>
    <n v="111857"/>
    <x v="1"/>
    <n v="4"/>
    <n v="4"/>
    <n v="12"/>
    <n v="3"/>
    <d v="2009-06-22T00:00:00"/>
    <s v="No"/>
    <x v="1"/>
    <n v="1"/>
    <x v="2"/>
    <x v="0"/>
    <x v="2"/>
  </r>
  <r>
    <s v="REL00677"/>
    <s v="Male"/>
    <n v="41"/>
    <s v="Graduate"/>
    <s v="Divorced"/>
    <x v="7"/>
    <s v="Logistics Coordinator"/>
    <x v="4"/>
    <x v="2"/>
    <s v="West"/>
    <n v="4"/>
    <n v="49043"/>
    <x v="0"/>
    <n v="3"/>
    <n v="1"/>
    <n v="53"/>
    <n v="2"/>
    <d v="2019-04-05T00:00:00"/>
    <s v="No"/>
    <x v="2"/>
    <n v="3"/>
    <x v="0"/>
    <x v="0"/>
    <x v="1"/>
  </r>
  <r>
    <s v="REL00678"/>
    <s v="Female"/>
    <n v="40"/>
    <s v="BTech"/>
    <s v="Married"/>
    <x v="1"/>
    <s v="Logistics Coordinator"/>
    <x v="4"/>
    <x v="4"/>
    <s v="North"/>
    <n v="12"/>
    <n v="73009"/>
    <x v="2"/>
    <n v="4"/>
    <n v="3"/>
    <n v="30"/>
    <n v="3"/>
    <d v="2011-11-10T00:00:00"/>
    <s v="Yes"/>
    <x v="0"/>
    <n v="2"/>
    <x v="2"/>
    <x v="1"/>
    <x v="1"/>
  </r>
  <r>
    <s v="REL00679"/>
    <s v="Female"/>
    <n v="43"/>
    <s v="BTech"/>
    <s v="Married"/>
    <x v="1"/>
    <s v="Operations Head"/>
    <x v="2"/>
    <x v="9"/>
    <s v="West"/>
    <n v="5"/>
    <n v="97802"/>
    <x v="3"/>
    <n v="1"/>
    <n v="3"/>
    <n v="56"/>
    <n v="2"/>
    <d v="2018-03-31T00:00:00"/>
    <s v="No"/>
    <x v="1"/>
    <n v="4"/>
    <x v="0"/>
    <x v="2"/>
    <x v="0"/>
  </r>
  <r>
    <s v="REL00680"/>
    <s v="Female"/>
    <n v="23"/>
    <s v="MBA"/>
    <s v="Single"/>
    <x v="0"/>
    <s v="Customer Service Rep"/>
    <x v="4"/>
    <x v="8"/>
    <s v="South"/>
    <n v="10"/>
    <n v="53667"/>
    <x v="2"/>
    <n v="4"/>
    <n v="1"/>
    <n v="55"/>
    <n v="3"/>
    <d v="2013-05-21T00:00:00"/>
    <s v="No"/>
    <x v="0"/>
    <n v="2"/>
    <x v="1"/>
    <x v="0"/>
    <x v="1"/>
  </r>
  <r>
    <s v="REL00681"/>
    <s v="Female"/>
    <n v="26"/>
    <s v="MBA"/>
    <s v="Single"/>
    <x v="1"/>
    <s v="Sales Executive"/>
    <x v="3"/>
    <x v="1"/>
    <s v="North"/>
    <n v="10"/>
    <n v="59058"/>
    <x v="3"/>
    <n v="3"/>
    <n v="3"/>
    <n v="43"/>
    <n v="3"/>
    <d v="2013-03-27T00:00:00"/>
    <s v="No"/>
    <x v="0"/>
    <n v="4"/>
    <x v="1"/>
    <x v="2"/>
    <x v="1"/>
  </r>
  <r>
    <s v="REL00682"/>
    <s v="Male"/>
    <n v="33"/>
    <s v="BTech"/>
    <s v="Married"/>
    <x v="1"/>
    <s v="Store Manager"/>
    <x v="2"/>
    <x v="6"/>
    <s v="South"/>
    <n v="14"/>
    <n v="110624"/>
    <x v="0"/>
    <n v="3"/>
    <n v="1"/>
    <n v="80"/>
    <n v="1"/>
    <d v="2009-02-03T00:00:00"/>
    <s v="Yes"/>
    <x v="1"/>
    <n v="3"/>
    <x v="2"/>
    <x v="1"/>
    <x v="0"/>
  </r>
  <r>
    <s v="REL00683"/>
    <s v="Male"/>
    <n v="44"/>
    <s v="Graduate"/>
    <s v="Single"/>
    <x v="4"/>
    <s v="Customer Service Rep"/>
    <x v="0"/>
    <x v="3"/>
    <s v="West"/>
    <n v="11"/>
    <n v="64709"/>
    <x v="3"/>
    <n v="4"/>
    <n v="1"/>
    <n v="75"/>
    <n v="0"/>
    <d v="2012-03-02T00:00:00"/>
    <s v="Yes"/>
    <x v="0"/>
    <n v="4"/>
    <x v="2"/>
    <x v="1"/>
    <x v="1"/>
  </r>
  <r>
    <s v="REL00684"/>
    <s v="Male"/>
    <n v="23"/>
    <s v="HSC"/>
    <s v="Divorced"/>
    <x v="1"/>
    <s v="Logistics Coordinator"/>
    <x v="0"/>
    <x v="5"/>
    <s v="South"/>
    <n v="14"/>
    <n v="65339"/>
    <x v="2"/>
    <n v="3"/>
    <n v="3"/>
    <n v="62"/>
    <n v="2"/>
    <d v="2009-08-13T00:00:00"/>
    <s v="No"/>
    <x v="0"/>
    <n v="2"/>
    <x v="2"/>
    <x v="0"/>
    <x v="1"/>
  </r>
  <r>
    <s v="REL00685"/>
    <s v="Male"/>
    <n v="28"/>
    <s v="BTech"/>
    <s v="Single"/>
    <x v="4"/>
    <s v="Customer Service Rep"/>
    <x v="1"/>
    <x v="9"/>
    <s v="West"/>
    <n v="3"/>
    <n v="32461"/>
    <x v="3"/>
    <n v="3"/>
    <n v="3"/>
    <n v="37"/>
    <n v="3"/>
    <d v="2020-10-17T00:00:00"/>
    <s v="No"/>
    <x v="3"/>
    <n v="4"/>
    <x v="0"/>
    <x v="2"/>
    <x v="3"/>
  </r>
  <r>
    <s v="REL00686"/>
    <s v="Female"/>
    <n v="29"/>
    <s v="BTech"/>
    <s v="Single"/>
    <x v="0"/>
    <s v="Sales Executive"/>
    <x v="2"/>
    <x v="4"/>
    <s v="North"/>
    <n v="13"/>
    <n v="58533"/>
    <x v="1"/>
    <n v="4"/>
    <n v="4"/>
    <n v="50"/>
    <n v="2"/>
    <d v="2010-04-22T00:00:00"/>
    <s v="No"/>
    <x v="0"/>
    <n v="1"/>
    <x v="2"/>
    <x v="0"/>
    <x v="1"/>
  </r>
  <r>
    <s v="REL00687"/>
    <s v="Male"/>
    <n v="37"/>
    <s v="MBA"/>
    <s v="Divorced"/>
    <x v="4"/>
    <s v="Customer Service Rep"/>
    <x v="2"/>
    <x v="5"/>
    <s v="South"/>
    <n v="4"/>
    <n v="40565"/>
    <x v="2"/>
    <n v="4"/>
    <n v="3"/>
    <n v="20"/>
    <n v="2"/>
    <d v="2019-07-25T00:00:00"/>
    <s v="No"/>
    <x v="2"/>
    <n v="2"/>
    <x v="0"/>
    <x v="0"/>
    <x v="1"/>
  </r>
  <r>
    <s v="REL00688"/>
    <s v="Male"/>
    <n v="37"/>
    <s v="MBA"/>
    <s v="Divorced"/>
    <x v="2"/>
    <s v="Marketing Executive"/>
    <x v="0"/>
    <x v="1"/>
    <s v="North"/>
    <n v="10"/>
    <n v="74711"/>
    <x v="1"/>
    <n v="2"/>
    <n v="3"/>
    <n v="46"/>
    <n v="2"/>
    <d v="2013-03-18T00:00:00"/>
    <s v="Yes"/>
    <x v="0"/>
    <n v="1"/>
    <x v="1"/>
    <x v="1"/>
    <x v="1"/>
  </r>
  <r>
    <s v="REL00689"/>
    <s v="Male"/>
    <n v="51"/>
    <s v="Graduate"/>
    <s v="Single"/>
    <x v="2"/>
    <s v="HR Manager"/>
    <x v="4"/>
    <x v="7"/>
    <s v="East"/>
    <n v="7"/>
    <n v="97874"/>
    <x v="1"/>
    <n v="1"/>
    <n v="4"/>
    <n v="43"/>
    <n v="3"/>
    <d v="2016-09-23T00:00:00"/>
    <s v="No"/>
    <x v="1"/>
    <n v="1"/>
    <x v="1"/>
    <x v="0"/>
    <x v="2"/>
  </r>
  <r>
    <s v="REL00690"/>
    <s v="Female"/>
    <n v="49"/>
    <s v="HSC"/>
    <s v="Single"/>
    <x v="3"/>
    <s v="HR Manager"/>
    <x v="4"/>
    <x v="0"/>
    <s v="North"/>
    <n v="1"/>
    <n v="69392"/>
    <x v="1"/>
    <n v="4"/>
    <n v="2"/>
    <n v="47"/>
    <n v="0"/>
    <d v="2022-04-05T00:00:00"/>
    <s v="No"/>
    <x v="0"/>
    <n v="1"/>
    <x v="3"/>
    <x v="3"/>
    <x v="1"/>
  </r>
  <r>
    <s v="REL00691"/>
    <s v="Female"/>
    <n v="50"/>
    <s v="MBA"/>
    <s v="Married"/>
    <x v="5"/>
    <s v="Store Manager"/>
    <x v="1"/>
    <x v="7"/>
    <s v="East"/>
    <n v="12"/>
    <n v="101416"/>
    <x v="3"/>
    <n v="4"/>
    <n v="2"/>
    <n v="33"/>
    <n v="0"/>
    <d v="2011-05-20T00:00:00"/>
    <s v="No"/>
    <x v="1"/>
    <n v="4"/>
    <x v="2"/>
    <x v="2"/>
    <x v="0"/>
  </r>
  <r>
    <s v="REL00692"/>
    <s v="Male"/>
    <n v="54"/>
    <s v="BTech"/>
    <s v="Married"/>
    <x v="0"/>
    <s v="Finance Analyst"/>
    <x v="1"/>
    <x v="6"/>
    <s v="South"/>
    <n v="11"/>
    <n v="84431"/>
    <x v="2"/>
    <n v="1"/>
    <n v="2"/>
    <n v="48"/>
    <n v="3"/>
    <d v="2012-05-24T00:00:00"/>
    <s v="No"/>
    <x v="1"/>
    <n v="2"/>
    <x v="2"/>
    <x v="0"/>
    <x v="1"/>
  </r>
  <r>
    <s v="REL00693"/>
    <s v="Male"/>
    <n v="35"/>
    <s v="MBA"/>
    <s v="Divorced"/>
    <x v="0"/>
    <s v="Customer Service Rep"/>
    <x v="1"/>
    <x v="7"/>
    <s v="East"/>
    <n v="5"/>
    <n v="47585"/>
    <x v="1"/>
    <n v="3"/>
    <n v="3"/>
    <n v="22"/>
    <n v="2"/>
    <d v="2018-10-21T00:00:00"/>
    <s v="Yes"/>
    <x v="2"/>
    <n v="1"/>
    <x v="0"/>
    <x v="1"/>
    <x v="1"/>
  </r>
  <r>
    <s v="REL00694"/>
    <s v="Female"/>
    <n v="38"/>
    <s v="BTech"/>
    <s v="Single"/>
    <x v="3"/>
    <s v="Finance Analyst"/>
    <x v="4"/>
    <x v="8"/>
    <s v="South"/>
    <n v="5"/>
    <n v="74382"/>
    <x v="2"/>
    <n v="2"/>
    <n v="3"/>
    <n v="28"/>
    <n v="0"/>
    <d v="2018-10-08T00:00:00"/>
    <s v="No"/>
    <x v="0"/>
    <n v="2"/>
    <x v="0"/>
    <x v="0"/>
    <x v="1"/>
  </r>
  <r>
    <s v="REL00695"/>
    <s v="Female"/>
    <n v="35"/>
    <s v="HSC"/>
    <s v="Divorced"/>
    <x v="3"/>
    <s v="Marketing Executive"/>
    <x v="4"/>
    <x v="5"/>
    <s v="South"/>
    <n v="15"/>
    <n v="70218"/>
    <x v="3"/>
    <n v="4"/>
    <n v="4"/>
    <n v="76"/>
    <n v="1"/>
    <d v="2008-12-22T00:00:00"/>
    <s v="No"/>
    <x v="0"/>
    <n v="4"/>
    <x v="2"/>
    <x v="2"/>
    <x v="1"/>
  </r>
  <r>
    <s v="REL00696"/>
    <s v="Male"/>
    <n v="39"/>
    <s v="Graduate"/>
    <s v="Married"/>
    <x v="4"/>
    <s v="Logistics Coordinator"/>
    <x v="4"/>
    <x v="9"/>
    <s v="West"/>
    <n v="8"/>
    <n v="67162"/>
    <x v="3"/>
    <n v="1"/>
    <n v="2"/>
    <n v="19"/>
    <n v="2"/>
    <d v="2015-11-20T00:00:00"/>
    <s v="No"/>
    <x v="0"/>
    <n v="4"/>
    <x v="1"/>
    <x v="2"/>
    <x v="1"/>
  </r>
  <r>
    <s v="REL00697"/>
    <s v="Female"/>
    <n v="34"/>
    <s v="BTech"/>
    <s v="Divorced"/>
    <x v="5"/>
    <s v="Sales Executive"/>
    <x v="0"/>
    <x v="6"/>
    <s v="South"/>
    <n v="11"/>
    <n v="62315"/>
    <x v="1"/>
    <n v="1"/>
    <n v="1"/>
    <n v="41"/>
    <n v="1"/>
    <d v="2012-11-13T00:00:00"/>
    <s v="Yes"/>
    <x v="0"/>
    <n v="1"/>
    <x v="2"/>
    <x v="1"/>
    <x v="1"/>
  </r>
  <r>
    <s v="REL00698"/>
    <s v="Female"/>
    <n v="40"/>
    <s v="Post Graduate"/>
    <s v="Single"/>
    <x v="6"/>
    <s v="Finance Analyst"/>
    <x v="2"/>
    <x v="4"/>
    <s v="North"/>
    <n v="5"/>
    <n v="64962"/>
    <x v="0"/>
    <n v="1"/>
    <n v="2"/>
    <n v="10"/>
    <n v="3"/>
    <d v="2018-09-29T00:00:00"/>
    <s v="No"/>
    <x v="0"/>
    <n v="3"/>
    <x v="0"/>
    <x v="0"/>
    <x v="0"/>
  </r>
  <r>
    <s v="REL00699"/>
    <s v="Female"/>
    <n v="46"/>
    <s v="BTech"/>
    <s v="Single"/>
    <x v="7"/>
    <s v="HR Manager"/>
    <x v="1"/>
    <x v="0"/>
    <s v="North"/>
    <n v="12"/>
    <n v="90271"/>
    <x v="0"/>
    <n v="3"/>
    <n v="4"/>
    <n v="77"/>
    <n v="1"/>
    <d v="2011-01-17T00:00:00"/>
    <s v="No"/>
    <x v="1"/>
    <n v="3"/>
    <x v="2"/>
    <x v="0"/>
    <x v="0"/>
  </r>
  <r>
    <s v="REL00700"/>
    <s v="Female"/>
    <n v="28"/>
    <s v="Post Graduate"/>
    <s v="Single"/>
    <x v="1"/>
    <s v="Logistics Coordinator"/>
    <x v="0"/>
    <x v="8"/>
    <s v="South"/>
    <n v="8"/>
    <n v="70590"/>
    <x v="1"/>
    <n v="3"/>
    <n v="4"/>
    <n v="67"/>
    <n v="2"/>
    <d v="2015-05-02T00:00:00"/>
    <s v="No"/>
    <x v="0"/>
    <n v="1"/>
    <x v="1"/>
    <x v="0"/>
    <x v="1"/>
  </r>
  <r>
    <s v="REL00701"/>
    <s v="Female"/>
    <n v="30"/>
    <s v="MBA"/>
    <s v="Married"/>
    <x v="6"/>
    <s v="Customer Service Rep"/>
    <x v="4"/>
    <x v="5"/>
    <s v="South"/>
    <n v="8"/>
    <n v="44720"/>
    <x v="0"/>
    <n v="4"/>
    <n v="2"/>
    <n v="13"/>
    <n v="2"/>
    <d v="2015-01-12T00:00:00"/>
    <s v="No"/>
    <x v="2"/>
    <n v="3"/>
    <x v="1"/>
    <x v="0"/>
    <x v="1"/>
  </r>
  <r>
    <s v="REL00702"/>
    <s v="Female"/>
    <n v="50"/>
    <s v="MBA"/>
    <s v="Married"/>
    <x v="1"/>
    <s v="Customer Service Rep"/>
    <x v="3"/>
    <x v="8"/>
    <s v="South"/>
    <n v="9"/>
    <n v="51572"/>
    <x v="3"/>
    <n v="3"/>
    <n v="1"/>
    <n v="44"/>
    <n v="3"/>
    <d v="2014-06-07T00:00:00"/>
    <s v="No"/>
    <x v="0"/>
    <n v="4"/>
    <x v="1"/>
    <x v="2"/>
    <x v="1"/>
  </r>
  <r>
    <s v="REL00703"/>
    <s v="Male"/>
    <n v="29"/>
    <s v="BTech"/>
    <s v="Divorced"/>
    <x v="5"/>
    <s v="Logistics Coordinator"/>
    <x v="4"/>
    <x v="5"/>
    <s v="South"/>
    <n v="8"/>
    <n v="58251"/>
    <x v="2"/>
    <n v="3"/>
    <n v="2"/>
    <n v="79"/>
    <n v="0"/>
    <d v="2015-10-10T00:00:00"/>
    <s v="No"/>
    <x v="0"/>
    <n v="2"/>
    <x v="1"/>
    <x v="0"/>
    <x v="1"/>
  </r>
  <r>
    <s v="REL00704"/>
    <s v="Male"/>
    <n v="55"/>
    <s v="Post Graduate"/>
    <s v="Married"/>
    <x v="6"/>
    <s v="Customer Service Rep"/>
    <x v="4"/>
    <x v="3"/>
    <s v="West"/>
    <n v="15"/>
    <n v="73117"/>
    <x v="2"/>
    <n v="2"/>
    <n v="2"/>
    <n v="78"/>
    <n v="3"/>
    <d v="2008-02-04T00:00:00"/>
    <s v="Yes"/>
    <x v="0"/>
    <n v="2"/>
    <x v="2"/>
    <x v="1"/>
    <x v="1"/>
  </r>
  <r>
    <s v="REL00705"/>
    <s v="Male"/>
    <n v="24"/>
    <s v="Graduate"/>
    <s v="Divorced"/>
    <x v="4"/>
    <s v="Logistics Coordinator"/>
    <x v="2"/>
    <x v="5"/>
    <s v="South"/>
    <n v="6"/>
    <n v="54065"/>
    <x v="2"/>
    <n v="1"/>
    <n v="4"/>
    <n v="72"/>
    <n v="0"/>
    <d v="2017-08-28T00:00:00"/>
    <s v="No"/>
    <x v="0"/>
    <n v="2"/>
    <x v="1"/>
    <x v="0"/>
    <x v="1"/>
  </r>
  <r>
    <s v="REL00706"/>
    <s v="Female"/>
    <n v="47"/>
    <s v="Post Graduate"/>
    <s v="Divorced"/>
    <x v="4"/>
    <s v="Marketing Executive"/>
    <x v="0"/>
    <x v="6"/>
    <s v="South"/>
    <n v="4"/>
    <n v="49106"/>
    <x v="3"/>
    <n v="3"/>
    <n v="1"/>
    <n v="19"/>
    <n v="0"/>
    <d v="2019-10-31T00:00:00"/>
    <s v="No"/>
    <x v="2"/>
    <n v="4"/>
    <x v="0"/>
    <x v="2"/>
    <x v="1"/>
  </r>
  <r>
    <s v="REL00707"/>
    <s v="Male"/>
    <n v="41"/>
    <s v="HSC"/>
    <s v="Married"/>
    <x v="6"/>
    <s v="HR Manager"/>
    <x v="4"/>
    <x v="1"/>
    <s v="North"/>
    <n v="12"/>
    <n v="92131"/>
    <x v="3"/>
    <n v="1"/>
    <n v="3"/>
    <n v="45"/>
    <n v="3"/>
    <d v="2011-06-18T00:00:00"/>
    <s v="No"/>
    <x v="1"/>
    <n v="4"/>
    <x v="2"/>
    <x v="2"/>
    <x v="0"/>
  </r>
  <r>
    <s v="REL00708"/>
    <s v="Female"/>
    <n v="52"/>
    <s v="HSC"/>
    <s v="Divorced"/>
    <x v="2"/>
    <s v="Operations Head"/>
    <x v="0"/>
    <x v="5"/>
    <s v="South"/>
    <n v="7"/>
    <n v="113074"/>
    <x v="1"/>
    <n v="2"/>
    <n v="4"/>
    <n v="12"/>
    <n v="3"/>
    <d v="2016-06-08T00:00:00"/>
    <s v="Yes"/>
    <x v="1"/>
    <n v="1"/>
    <x v="1"/>
    <x v="1"/>
    <x v="2"/>
  </r>
  <r>
    <s v="REL00709"/>
    <s v="Male"/>
    <n v="50"/>
    <s v="HSC"/>
    <s v="Married"/>
    <x v="5"/>
    <s v="Marketing Executive"/>
    <x v="1"/>
    <x v="2"/>
    <s v="West"/>
    <n v="8"/>
    <n v="74935"/>
    <x v="3"/>
    <n v="1"/>
    <n v="3"/>
    <n v="52"/>
    <n v="1"/>
    <d v="2015-06-14T00:00:00"/>
    <s v="Yes"/>
    <x v="0"/>
    <n v="4"/>
    <x v="1"/>
    <x v="1"/>
    <x v="1"/>
  </r>
  <r>
    <s v="REL00710"/>
    <s v="Male"/>
    <n v="47"/>
    <s v="BTech"/>
    <s v="Married"/>
    <x v="2"/>
    <s v="Finance Analyst"/>
    <x v="1"/>
    <x v="0"/>
    <s v="North"/>
    <n v="4"/>
    <n v="77444"/>
    <x v="0"/>
    <n v="2"/>
    <n v="1"/>
    <n v="73"/>
    <n v="2"/>
    <d v="2019-11-21T00:00:00"/>
    <s v="No"/>
    <x v="0"/>
    <n v="3"/>
    <x v="0"/>
    <x v="0"/>
    <x v="0"/>
  </r>
  <r>
    <s v="REL00711"/>
    <s v="Male"/>
    <n v="39"/>
    <s v="Post Graduate"/>
    <s v="Divorced"/>
    <x v="4"/>
    <s v="Customer Service Rep"/>
    <x v="0"/>
    <x v="2"/>
    <s v="West"/>
    <n v="1"/>
    <n v="45524"/>
    <x v="0"/>
    <n v="4"/>
    <n v="4"/>
    <n v="50"/>
    <n v="1"/>
    <d v="2022-06-07T00:00:00"/>
    <s v="No"/>
    <x v="2"/>
    <n v="3"/>
    <x v="3"/>
    <x v="0"/>
    <x v="1"/>
  </r>
  <r>
    <s v="REL00712"/>
    <s v="Male"/>
    <n v="22"/>
    <s v="Post Graduate"/>
    <s v="Divorced"/>
    <x v="7"/>
    <s v="Sales Executive"/>
    <x v="3"/>
    <x v="7"/>
    <s v="East"/>
    <n v="15"/>
    <n v="73949"/>
    <x v="3"/>
    <n v="1"/>
    <n v="2"/>
    <n v="35"/>
    <n v="3"/>
    <d v="2008-06-26T00:00:00"/>
    <s v="Yes"/>
    <x v="0"/>
    <n v="4"/>
    <x v="2"/>
    <x v="1"/>
    <x v="1"/>
  </r>
  <r>
    <s v="REL00713"/>
    <s v="Male"/>
    <n v="40"/>
    <s v="Graduate"/>
    <s v="Married"/>
    <x v="0"/>
    <s v="Finance Analyst"/>
    <x v="3"/>
    <x v="0"/>
    <s v="North"/>
    <n v="3"/>
    <n v="60583"/>
    <x v="1"/>
    <n v="3"/>
    <n v="3"/>
    <n v="76"/>
    <n v="2"/>
    <d v="2020-06-11T00:00:00"/>
    <s v="Yes"/>
    <x v="0"/>
    <n v="1"/>
    <x v="0"/>
    <x v="1"/>
    <x v="1"/>
  </r>
  <r>
    <s v="REL00714"/>
    <s v="Female"/>
    <n v="55"/>
    <s v="BTech"/>
    <s v="Married"/>
    <x v="5"/>
    <s v="Operations Head"/>
    <x v="1"/>
    <x v="4"/>
    <s v="North"/>
    <n v="3"/>
    <n v="108145"/>
    <x v="0"/>
    <n v="4"/>
    <n v="4"/>
    <n v="36"/>
    <n v="2"/>
    <d v="2020-02-22T00:00:00"/>
    <s v="No"/>
    <x v="1"/>
    <n v="3"/>
    <x v="0"/>
    <x v="0"/>
    <x v="0"/>
  </r>
  <r>
    <s v="REL00715"/>
    <s v="Male"/>
    <n v="22"/>
    <s v="HSC"/>
    <s v="Divorced"/>
    <x v="3"/>
    <s v="Customer Service Rep"/>
    <x v="1"/>
    <x v="6"/>
    <s v="South"/>
    <n v="1"/>
    <n v="40641"/>
    <x v="1"/>
    <n v="2"/>
    <n v="2"/>
    <n v="22"/>
    <n v="3"/>
    <d v="2022-05-06T00:00:00"/>
    <s v="Yes"/>
    <x v="2"/>
    <n v="1"/>
    <x v="3"/>
    <x v="1"/>
    <x v="1"/>
  </r>
  <r>
    <s v="REL00716"/>
    <s v="Male"/>
    <n v="44"/>
    <s v="Graduate"/>
    <s v="Single"/>
    <x v="2"/>
    <s v="HR Manager"/>
    <x v="4"/>
    <x v="7"/>
    <s v="East"/>
    <n v="10"/>
    <n v="87187"/>
    <x v="1"/>
    <n v="3"/>
    <n v="3"/>
    <n v="64"/>
    <n v="2"/>
    <d v="2013-03-23T00:00:00"/>
    <s v="No"/>
    <x v="1"/>
    <n v="1"/>
    <x v="1"/>
    <x v="0"/>
    <x v="2"/>
  </r>
  <r>
    <s v="REL00717"/>
    <s v="Male"/>
    <n v="38"/>
    <s v="BTech"/>
    <s v="Single"/>
    <x v="6"/>
    <s v="HR Manager"/>
    <x v="0"/>
    <x v="7"/>
    <s v="East"/>
    <n v="2"/>
    <n v="72374"/>
    <x v="0"/>
    <n v="2"/>
    <n v="4"/>
    <n v="52"/>
    <n v="2"/>
    <d v="2021-08-11T00:00:00"/>
    <s v="No"/>
    <x v="0"/>
    <n v="3"/>
    <x v="3"/>
    <x v="0"/>
    <x v="0"/>
  </r>
  <r>
    <s v="REL00718"/>
    <s v="Male"/>
    <n v="31"/>
    <s v="Post Graduate"/>
    <s v="Married"/>
    <x v="7"/>
    <s v="Marketing Executive"/>
    <x v="2"/>
    <x v="4"/>
    <s v="North"/>
    <n v="1"/>
    <n v="49092"/>
    <x v="0"/>
    <n v="1"/>
    <n v="3"/>
    <n v="19"/>
    <n v="0"/>
    <d v="2022-02-21T00:00:00"/>
    <s v="Yes"/>
    <x v="2"/>
    <n v="3"/>
    <x v="3"/>
    <x v="1"/>
    <x v="1"/>
  </r>
  <r>
    <s v="REL00719"/>
    <s v="Female"/>
    <n v="46"/>
    <s v="MBA"/>
    <s v="Divorced"/>
    <x v="7"/>
    <s v="Operations Head"/>
    <x v="3"/>
    <x v="6"/>
    <s v="South"/>
    <n v="6"/>
    <n v="113396"/>
    <x v="1"/>
    <n v="4"/>
    <n v="3"/>
    <n v="49"/>
    <n v="2"/>
    <d v="2017-03-22T00:00:00"/>
    <s v="Yes"/>
    <x v="1"/>
    <n v="1"/>
    <x v="1"/>
    <x v="1"/>
    <x v="2"/>
  </r>
  <r>
    <s v="REL00720"/>
    <s v="Female"/>
    <n v="53"/>
    <s v="HSC"/>
    <s v="Divorced"/>
    <x v="2"/>
    <s v="Operations Head"/>
    <x v="1"/>
    <x v="1"/>
    <s v="North"/>
    <n v="3"/>
    <n v="95682"/>
    <x v="0"/>
    <n v="1"/>
    <n v="4"/>
    <n v="54"/>
    <n v="1"/>
    <d v="2020-03-21T00:00:00"/>
    <s v="No"/>
    <x v="1"/>
    <n v="3"/>
    <x v="0"/>
    <x v="0"/>
    <x v="0"/>
  </r>
  <r>
    <s v="REL00721"/>
    <s v="Male"/>
    <n v="46"/>
    <s v="HSC"/>
    <s v="Single"/>
    <x v="5"/>
    <s v="Logistics Coordinator"/>
    <x v="3"/>
    <x v="3"/>
    <s v="West"/>
    <n v="12"/>
    <n v="66005"/>
    <x v="2"/>
    <n v="1"/>
    <n v="2"/>
    <n v="66"/>
    <n v="2"/>
    <d v="2011-03-24T00:00:00"/>
    <s v="No"/>
    <x v="0"/>
    <n v="2"/>
    <x v="2"/>
    <x v="0"/>
    <x v="1"/>
  </r>
  <r>
    <s v="REL00722"/>
    <s v="Male"/>
    <n v="39"/>
    <s v="Graduate"/>
    <s v="Divorced"/>
    <x v="1"/>
    <s v="Sales Executive"/>
    <x v="4"/>
    <x v="1"/>
    <s v="North"/>
    <n v="6"/>
    <n v="54087"/>
    <x v="2"/>
    <n v="3"/>
    <n v="4"/>
    <n v="60"/>
    <n v="0"/>
    <d v="2017-04-20T00:00:00"/>
    <s v="No"/>
    <x v="0"/>
    <n v="2"/>
    <x v="1"/>
    <x v="0"/>
    <x v="1"/>
  </r>
  <r>
    <s v="REL00723"/>
    <s v="Male"/>
    <n v="52"/>
    <s v="BTech"/>
    <s v="Single"/>
    <x v="4"/>
    <s v="Finance Analyst"/>
    <x v="4"/>
    <x v="8"/>
    <s v="South"/>
    <n v="14"/>
    <n v="97908"/>
    <x v="3"/>
    <n v="1"/>
    <n v="3"/>
    <n v="13"/>
    <n v="1"/>
    <d v="2009-04-28T00:00:00"/>
    <s v="No"/>
    <x v="1"/>
    <n v="4"/>
    <x v="2"/>
    <x v="2"/>
    <x v="0"/>
  </r>
  <r>
    <s v="REL00724"/>
    <s v="Male"/>
    <n v="42"/>
    <s v="Graduate"/>
    <s v="Divorced"/>
    <x v="3"/>
    <s v="Sales Executive"/>
    <x v="4"/>
    <x v="6"/>
    <s v="South"/>
    <n v="14"/>
    <n v="59836"/>
    <x v="1"/>
    <n v="3"/>
    <n v="2"/>
    <n v="12"/>
    <n v="2"/>
    <d v="2009-01-06T00:00:00"/>
    <s v="No"/>
    <x v="0"/>
    <n v="1"/>
    <x v="2"/>
    <x v="0"/>
    <x v="1"/>
  </r>
  <r>
    <s v="REL00725"/>
    <s v="Male"/>
    <n v="26"/>
    <s v="Post Graduate"/>
    <s v="Divorced"/>
    <x v="3"/>
    <s v="Store Manager"/>
    <x v="1"/>
    <x v="7"/>
    <s v="East"/>
    <n v="9"/>
    <n v="106211"/>
    <x v="2"/>
    <n v="2"/>
    <n v="3"/>
    <n v="20"/>
    <n v="1"/>
    <d v="2014-01-27T00:00:00"/>
    <s v="No"/>
    <x v="1"/>
    <n v="2"/>
    <x v="1"/>
    <x v="0"/>
    <x v="1"/>
  </r>
  <r>
    <s v="REL00726"/>
    <s v="Female"/>
    <n v="44"/>
    <s v="Graduate"/>
    <s v="Married"/>
    <x v="0"/>
    <s v="Logistics Coordinator"/>
    <x v="0"/>
    <x v="9"/>
    <s v="West"/>
    <n v="12"/>
    <n v="64667"/>
    <x v="0"/>
    <n v="4"/>
    <n v="1"/>
    <n v="69"/>
    <n v="0"/>
    <d v="2011-07-29T00:00:00"/>
    <s v="Yes"/>
    <x v="0"/>
    <n v="3"/>
    <x v="2"/>
    <x v="1"/>
    <x v="0"/>
  </r>
  <r>
    <s v="REL00727"/>
    <s v="Male"/>
    <n v="35"/>
    <s v="HSC"/>
    <s v="Married"/>
    <x v="2"/>
    <s v="Customer Service Rep"/>
    <x v="2"/>
    <x v="0"/>
    <s v="North"/>
    <n v="3"/>
    <n v="50370"/>
    <x v="3"/>
    <n v="1"/>
    <n v="2"/>
    <n v="49"/>
    <n v="1"/>
    <d v="2020-10-07T00:00:00"/>
    <s v="Yes"/>
    <x v="0"/>
    <n v="4"/>
    <x v="0"/>
    <x v="1"/>
    <x v="1"/>
  </r>
  <r>
    <s v="REL00728"/>
    <s v="Female"/>
    <n v="48"/>
    <s v="Post Graduate"/>
    <s v="Single"/>
    <x v="4"/>
    <s v="Operations Head"/>
    <x v="4"/>
    <x v="6"/>
    <s v="South"/>
    <n v="12"/>
    <n v="114832"/>
    <x v="1"/>
    <n v="3"/>
    <n v="2"/>
    <n v="32"/>
    <n v="2"/>
    <d v="2011-03-21T00:00:00"/>
    <s v="Yes"/>
    <x v="1"/>
    <n v="1"/>
    <x v="2"/>
    <x v="1"/>
    <x v="2"/>
  </r>
  <r>
    <s v="REL00729"/>
    <s v="Female"/>
    <n v="32"/>
    <s v="Graduate"/>
    <s v="Divorced"/>
    <x v="7"/>
    <s v="Customer Service Rep"/>
    <x v="0"/>
    <x v="8"/>
    <s v="South"/>
    <n v="8"/>
    <n v="59962"/>
    <x v="3"/>
    <n v="4"/>
    <n v="2"/>
    <n v="78"/>
    <n v="1"/>
    <d v="2015-07-09T00:00:00"/>
    <s v="No"/>
    <x v="0"/>
    <n v="4"/>
    <x v="1"/>
    <x v="2"/>
    <x v="1"/>
  </r>
  <r>
    <s v="REL00730"/>
    <s v="Female"/>
    <n v="35"/>
    <s v="MBA"/>
    <s v="Married"/>
    <x v="5"/>
    <s v="Operations Head"/>
    <x v="0"/>
    <x v="2"/>
    <s v="West"/>
    <n v="6"/>
    <n v="99973"/>
    <x v="0"/>
    <n v="1"/>
    <n v="1"/>
    <n v="76"/>
    <n v="1"/>
    <d v="2017-09-17T00:00:00"/>
    <s v="No"/>
    <x v="1"/>
    <n v="3"/>
    <x v="1"/>
    <x v="0"/>
    <x v="0"/>
  </r>
  <r>
    <s v="REL00731"/>
    <s v="Male"/>
    <n v="44"/>
    <s v="Graduate"/>
    <s v="Single"/>
    <x v="3"/>
    <s v="Logistics Coordinator"/>
    <x v="3"/>
    <x v="9"/>
    <s v="West"/>
    <n v="6"/>
    <n v="66280"/>
    <x v="2"/>
    <n v="4"/>
    <n v="4"/>
    <n v="52"/>
    <n v="2"/>
    <d v="2017-07-21T00:00:00"/>
    <s v="Yes"/>
    <x v="0"/>
    <n v="2"/>
    <x v="1"/>
    <x v="1"/>
    <x v="1"/>
  </r>
  <r>
    <s v="REL00732"/>
    <s v="Female"/>
    <n v="51"/>
    <s v="BTech"/>
    <s v="Divorced"/>
    <x v="3"/>
    <s v="Finance Analyst"/>
    <x v="0"/>
    <x v="0"/>
    <s v="North"/>
    <n v="3"/>
    <n v="73916"/>
    <x v="2"/>
    <n v="4"/>
    <n v="4"/>
    <n v="70"/>
    <n v="1"/>
    <d v="2020-12-21T00:00:00"/>
    <s v="No"/>
    <x v="0"/>
    <n v="2"/>
    <x v="0"/>
    <x v="0"/>
    <x v="1"/>
  </r>
  <r>
    <s v="REL00733"/>
    <s v="Male"/>
    <n v="48"/>
    <s v="MBA"/>
    <s v="Married"/>
    <x v="5"/>
    <s v="Logistics Coordinator"/>
    <x v="1"/>
    <x v="8"/>
    <s v="South"/>
    <n v="8"/>
    <n v="60836"/>
    <x v="2"/>
    <n v="4"/>
    <n v="1"/>
    <n v="30"/>
    <n v="1"/>
    <d v="2015-09-06T00:00:00"/>
    <s v="Yes"/>
    <x v="0"/>
    <n v="2"/>
    <x v="1"/>
    <x v="1"/>
    <x v="1"/>
  </r>
  <r>
    <s v="REL00734"/>
    <s v="Male"/>
    <n v="44"/>
    <s v="MBA"/>
    <s v="Married"/>
    <x v="1"/>
    <s v="Customer Service Rep"/>
    <x v="1"/>
    <x v="8"/>
    <s v="South"/>
    <n v="3"/>
    <n v="32762"/>
    <x v="0"/>
    <n v="2"/>
    <n v="4"/>
    <n v="10"/>
    <n v="1"/>
    <d v="2020-07-27T00:00:00"/>
    <s v="Yes"/>
    <x v="3"/>
    <n v="3"/>
    <x v="0"/>
    <x v="1"/>
    <x v="1"/>
  </r>
  <r>
    <s v="REL00735"/>
    <s v="Male"/>
    <n v="37"/>
    <s v="Post Graduate"/>
    <s v="Divorced"/>
    <x v="3"/>
    <s v="HR Manager"/>
    <x v="0"/>
    <x v="5"/>
    <s v="South"/>
    <n v="2"/>
    <n v="76739"/>
    <x v="2"/>
    <n v="3"/>
    <n v="1"/>
    <n v="71"/>
    <n v="1"/>
    <d v="2021-05-23T00:00:00"/>
    <s v="No"/>
    <x v="0"/>
    <n v="2"/>
    <x v="3"/>
    <x v="0"/>
    <x v="1"/>
  </r>
  <r>
    <s v="REL00736"/>
    <s v="Male"/>
    <n v="28"/>
    <s v="MBA"/>
    <s v="Single"/>
    <x v="2"/>
    <s v="Marketing Executive"/>
    <x v="3"/>
    <x v="7"/>
    <s v="East"/>
    <n v="12"/>
    <n v="79476"/>
    <x v="1"/>
    <n v="3"/>
    <n v="2"/>
    <n v="61"/>
    <n v="2"/>
    <d v="2011-01-08T00:00:00"/>
    <s v="Yes"/>
    <x v="0"/>
    <n v="1"/>
    <x v="2"/>
    <x v="1"/>
    <x v="1"/>
  </r>
  <r>
    <s v="REL00737"/>
    <s v="Male"/>
    <n v="36"/>
    <s v="BTech"/>
    <s v="Single"/>
    <x v="6"/>
    <s v="Sales Executive"/>
    <x v="1"/>
    <x v="8"/>
    <s v="South"/>
    <n v="9"/>
    <n v="59366"/>
    <x v="1"/>
    <n v="2"/>
    <n v="3"/>
    <n v="56"/>
    <n v="2"/>
    <d v="2014-03-09T00:00:00"/>
    <s v="No"/>
    <x v="0"/>
    <n v="1"/>
    <x v="1"/>
    <x v="0"/>
    <x v="1"/>
  </r>
  <r>
    <s v="REL00738"/>
    <s v="Male"/>
    <n v="35"/>
    <s v="HSC"/>
    <s v="Married"/>
    <x v="0"/>
    <s v="Sales Executive"/>
    <x v="1"/>
    <x v="1"/>
    <s v="North"/>
    <n v="15"/>
    <n v="67539"/>
    <x v="1"/>
    <n v="1"/>
    <n v="3"/>
    <n v="59"/>
    <n v="1"/>
    <d v="2008-09-30T00:00:00"/>
    <s v="Yes"/>
    <x v="0"/>
    <n v="1"/>
    <x v="2"/>
    <x v="1"/>
    <x v="1"/>
  </r>
  <r>
    <s v="REL00739"/>
    <s v="Male"/>
    <n v="32"/>
    <s v="MBA"/>
    <s v="Divorced"/>
    <x v="3"/>
    <s v="Finance Analyst"/>
    <x v="0"/>
    <x v="2"/>
    <s v="West"/>
    <n v="7"/>
    <n v="65141"/>
    <x v="2"/>
    <n v="1"/>
    <n v="4"/>
    <n v="20"/>
    <n v="2"/>
    <d v="2016-06-01T00:00:00"/>
    <s v="No"/>
    <x v="0"/>
    <n v="2"/>
    <x v="1"/>
    <x v="0"/>
    <x v="1"/>
  </r>
  <r>
    <s v="REL00740"/>
    <s v="Female"/>
    <n v="22"/>
    <s v="MBA"/>
    <s v="Divorced"/>
    <x v="6"/>
    <s v="HR Manager"/>
    <x v="4"/>
    <x v="0"/>
    <s v="North"/>
    <n v="6"/>
    <n v="95831"/>
    <x v="0"/>
    <n v="4"/>
    <n v="4"/>
    <n v="16"/>
    <n v="2"/>
    <d v="2017-06-20T00:00:00"/>
    <s v="No"/>
    <x v="1"/>
    <n v="3"/>
    <x v="1"/>
    <x v="0"/>
    <x v="0"/>
  </r>
  <r>
    <s v="REL00741"/>
    <s v="Male"/>
    <n v="33"/>
    <s v="MBA"/>
    <s v="Divorced"/>
    <x v="4"/>
    <s v="Customer Service Rep"/>
    <x v="4"/>
    <x v="2"/>
    <s v="West"/>
    <n v="9"/>
    <n v="58517"/>
    <x v="1"/>
    <n v="4"/>
    <n v="1"/>
    <n v="29"/>
    <n v="0"/>
    <d v="2014-07-01T00:00:00"/>
    <s v="No"/>
    <x v="0"/>
    <n v="1"/>
    <x v="1"/>
    <x v="0"/>
    <x v="1"/>
  </r>
  <r>
    <s v="REL00742"/>
    <s v="Female"/>
    <n v="51"/>
    <s v="HSC"/>
    <s v="Single"/>
    <x v="4"/>
    <s v="Store Manager"/>
    <x v="2"/>
    <x v="7"/>
    <s v="East"/>
    <n v="7"/>
    <n v="104229"/>
    <x v="1"/>
    <n v="3"/>
    <n v="3"/>
    <n v="64"/>
    <n v="2"/>
    <d v="2016-11-01T00:00:00"/>
    <s v="Yes"/>
    <x v="1"/>
    <n v="1"/>
    <x v="1"/>
    <x v="1"/>
    <x v="2"/>
  </r>
  <r>
    <s v="REL00743"/>
    <s v="Female"/>
    <n v="42"/>
    <s v="HSC"/>
    <s v="Divorced"/>
    <x v="0"/>
    <s v="Operations Head"/>
    <x v="1"/>
    <x v="8"/>
    <s v="South"/>
    <n v="3"/>
    <n v="102694"/>
    <x v="2"/>
    <n v="1"/>
    <n v="1"/>
    <n v="55"/>
    <n v="0"/>
    <d v="2020-12-24T00:00:00"/>
    <s v="No"/>
    <x v="1"/>
    <n v="2"/>
    <x v="0"/>
    <x v="0"/>
    <x v="1"/>
  </r>
  <r>
    <s v="REL00744"/>
    <s v="Female"/>
    <n v="49"/>
    <s v="HSC"/>
    <s v="Married"/>
    <x v="6"/>
    <s v="Sales Executive"/>
    <x v="2"/>
    <x v="1"/>
    <s v="North"/>
    <n v="2"/>
    <n v="38130"/>
    <x v="0"/>
    <n v="4"/>
    <n v="2"/>
    <n v="77"/>
    <n v="3"/>
    <d v="2021-02-11T00:00:00"/>
    <s v="No"/>
    <x v="2"/>
    <n v="3"/>
    <x v="3"/>
    <x v="0"/>
    <x v="1"/>
  </r>
  <r>
    <s v="REL00745"/>
    <s v="Male"/>
    <n v="43"/>
    <s v="HSC"/>
    <s v="Married"/>
    <x v="2"/>
    <s v="HR Manager"/>
    <x v="0"/>
    <x v="3"/>
    <s v="West"/>
    <n v="1"/>
    <n v="86967"/>
    <x v="2"/>
    <n v="4"/>
    <n v="1"/>
    <n v="33"/>
    <n v="2"/>
    <d v="2022-06-20T00:00:00"/>
    <s v="Yes"/>
    <x v="1"/>
    <n v="2"/>
    <x v="3"/>
    <x v="1"/>
    <x v="1"/>
  </r>
  <r>
    <s v="REL00746"/>
    <s v="Male"/>
    <n v="25"/>
    <s v="HSC"/>
    <s v="Divorced"/>
    <x v="6"/>
    <s v="Operations Head"/>
    <x v="4"/>
    <x v="0"/>
    <s v="North"/>
    <n v="10"/>
    <n v="114935"/>
    <x v="0"/>
    <n v="4"/>
    <n v="2"/>
    <n v="65"/>
    <n v="2"/>
    <d v="2013-04-15T00:00:00"/>
    <s v="No"/>
    <x v="1"/>
    <n v="3"/>
    <x v="1"/>
    <x v="0"/>
    <x v="0"/>
  </r>
  <r>
    <s v="REL00747"/>
    <s v="Male"/>
    <n v="48"/>
    <s v="Post Graduate"/>
    <s v="Single"/>
    <x v="4"/>
    <s v="Logistics Coordinator"/>
    <x v="1"/>
    <x v="6"/>
    <s v="South"/>
    <n v="10"/>
    <n v="60939"/>
    <x v="3"/>
    <n v="4"/>
    <n v="2"/>
    <n v="45"/>
    <n v="2"/>
    <d v="2013-08-17T00:00:00"/>
    <s v="No"/>
    <x v="0"/>
    <n v="4"/>
    <x v="1"/>
    <x v="2"/>
    <x v="1"/>
  </r>
  <r>
    <s v="REL00748"/>
    <s v="Female"/>
    <n v="51"/>
    <s v="BTech"/>
    <s v="Married"/>
    <x v="5"/>
    <s v="Store Manager"/>
    <x v="4"/>
    <x v="9"/>
    <s v="West"/>
    <n v="4"/>
    <n v="93636"/>
    <x v="0"/>
    <n v="3"/>
    <n v="4"/>
    <n v="70"/>
    <n v="0"/>
    <d v="2019-12-01T00:00:00"/>
    <s v="No"/>
    <x v="1"/>
    <n v="3"/>
    <x v="0"/>
    <x v="0"/>
    <x v="0"/>
  </r>
  <r>
    <s v="REL00749"/>
    <s v="Male"/>
    <n v="32"/>
    <s v="MBA"/>
    <s v="Married"/>
    <x v="5"/>
    <s v="Finance Analyst"/>
    <x v="0"/>
    <x v="7"/>
    <s v="East"/>
    <n v="14"/>
    <n v="82973"/>
    <x v="2"/>
    <n v="4"/>
    <n v="1"/>
    <n v="20"/>
    <n v="3"/>
    <d v="2009-04-24T00:00:00"/>
    <s v="No"/>
    <x v="1"/>
    <n v="2"/>
    <x v="2"/>
    <x v="0"/>
    <x v="1"/>
  </r>
  <r>
    <s v="REL00750"/>
    <s v="Female"/>
    <n v="51"/>
    <s v="Graduate"/>
    <s v="Single"/>
    <x v="5"/>
    <s v="Customer Service Rep"/>
    <x v="4"/>
    <x v="1"/>
    <s v="North"/>
    <n v="12"/>
    <n v="58962"/>
    <x v="0"/>
    <n v="2"/>
    <n v="3"/>
    <n v="65"/>
    <n v="3"/>
    <d v="2011-07-27T00:00:00"/>
    <s v="No"/>
    <x v="0"/>
    <n v="3"/>
    <x v="2"/>
    <x v="0"/>
    <x v="0"/>
  </r>
  <r>
    <s v="REL00751"/>
    <s v="Male"/>
    <n v="28"/>
    <s v="MBA"/>
    <s v="Single"/>
    <x v="4"/>
    <s v="Logistics Coordinator"/>
    <x v="1"/>
    <x v="3"/>
    <s v="West"/>
    <n v="4"/>
    <n v="60615"/>
    <x v="1"/>
    <n v="2"/>
    <n v="1"/>
    <n v="47"/>
    <n v="1"/>
    <d v="2019-02-26T00:00:00"/>
    <s v="Yes"/>
    <x v="0"/>
    <n v="1"/>
    <x v="0"/>
    <x v="1"/>
    <x v="1"/>
  </r>
  <r>
    <s v="REL00752"/>
    <s v="Female"/>
    <n v="28"/>
    <s v="HSC"/>
    <s v="Divorced"/>
    <x v="6"/>
    <s v="Marketing Executive"/>
    <x v="1"/>
    <x v="6"/>
    <s v="South"/>
    <n v="6"/>
    <n v="65702"/>
    <x v="1"/>
    <n v="4"/>
    <n v="2"/>
    <n v="61"/>
    <n v="3"/>
    <d v="2017-07-23T00:00:00"/>
    <s v="Yes"/>
    <x v="0"/>
    <n v="1"/>
    <x v="1"/>
    <x v="1"/>
    <x v="1"/>
  </r>
  <r>
    <s v="REL00753"/>
    <s v="Female"/>
    <n v="51"/>
    <s v="Post Graduate"/>
    <s v="Divorced"/>
    <x v="4"/>
    <s v="HR Manager"/>
    <x v="3"/>
    <x v="9"/>
    <s v="West"/>
    <n v="15"/>
    <n v="108108"/>
    <x v="0"/>
    <n v="1"/>
    <n v="4"/>
    <n v="63"/>
    <n v="3"/>
    <d v="2009-01-03T00:00:00"/>
    <s v="No"/>
    <x v="1"/>
    <n v="3"/>
    <x v="2"/>
    <x v="0"/>
    <x v="0"/>
  </r>
  <r>
    <s v="REL00754"/>
    <s v="Male"/>
    <n v="42"/>
    <s v="BTech"/>
    <s v="Single"/>
    <x v="1"/>
    <s v="Sales Executive"/>
    <x v="4"/>
    <x v="2"/>
    <s v="West"/>
    <n v="3"/>
    <n v="55646"/>
    <x v="0"/>
    <n v="2"/>
    <n v="4"/>
    <n v="21"/>
    <n v="2"/>
    <d v="2020-06-06T00:00:00"/>
    <s v="No"/>
    <x v="0"/>
    <n v="3"/>
    <x v="0"/>
    <x v="0"/>
    <x v="0"/>
  </r>
  <r>
    <s v="REL00755"/>
    <s v="Male"/>
    <n v="52"/>
    <s v="Post Graduate"/>
    <s v="Married"/>
    <x v="6"/>
    <s v="HR Manager"/>
    <x v="1"/>
    <x v="3"/>
    <s v="West"/>
    <n v="14"/>
    <n v="108000"/>
    <x v="0"/>
    <n v="2"/>
    <n v="3"/>
    <n v="18"/>
    <n v="0"/>
    <d v="2009-09-04T00:00:00"/>
    <s v="No"/>
    <x v="1"/>
    <n v="3"/>
    <x v="2"/>
    <x v="0"/>
    <x v="0"/>
  </r>
  <r>
    <s v="REL00756"/>
    <s v="Male"/>
    <n v="43"/>
    <s v="Post Graduate"/>
    <s v="Single"/>
    <x v="7"/>
    <s v="Finance Analyst"/>
    <x v="3"/>
    <x v="5"/>
    <s v="South"/>
    <n v="11"/>
    <n v="79926"/>
    <x v="0"/>
    <n v="4"/>
    <n v="1"/>
    <n v="10"/>
    <n v="0"/>
    <d v="2012-05-12T00:00:00"/>
    <s v="No"/>
    <x v="0"/>
    <n v="3"/>
    <x v="2"/>
    <x v="0"/>
    <x v="0"/>
  </r>
  <r>
    <s v="REL00757"/>
    <s v="Male"/>
    <n v="50"/>
    <s v="MBA"/>
    <s v="Divorced"/>
    <x v="7"/>
    <s v="Logistics Coordinator"/>
    <x v="3"/>
    <x v="2"/>
    <s v="West"/>
    <n v="13"/>
    <n v="69520"/>
    <x v="3"/>
    <n v="1"/>
    <n v="3"/>
    <n v="60"/>
    <n v="0"/>
    <d v="2010-11-04T00:00:00"/>
    <s v="No"/>
    <x v="0"/>
    <n v="4"/>
    <x v="2"/>
    <x v="2"/>
    <x v="1"/>
  </r>
  <r>
    <s v="REL00758"/>
    <s v="Male"/>
    <n v="32"/>
    <s v="HSC"/>
    <s v="Married"/>
    <x v="6"/>
    <s v="Sales Executive"/>
    <x v="1"/>
    <x v="7"/>
    <s v="East"/>
    <n v="7"/>
    <n v="47395"/>
    <x v="1"/>
    <n v="3"/>
    <n v="2"/>
    <n v="41"/>
    <n v="3"/>
    <d v="2016-03-12T00:00:00"/>
    <s v="Yes"/>
    <x v="2"/>
    <n v="1"/>
    <x v="1"/>
    <x v="1"/>
    <x v="1"/>
  </r>
  <r>
    <s v="REL00759"/>
    <s v="Female"/>
    <n v="43"/>
    <s v="HSC"/>
    <s v="Divorced"/>
    <x v="4"/>
    <s v="Sales Executive"/>
    <x v="4"/>
    <x v="5"/>
    <s v="South"/>
    <n v="11"/>
    <n v="67015"/>
    <x v="2"/>
    <n v="4"/>
    <n v="3"/>
    <n v="67"/>
    <n v="2"/>
    <d v="2012-08-31T00:00:00"/>
    <s v="No"/>
    <x v="0"/>
    <n v="2"/>
    <x v="2"/>
    <x v="0"/>
    <x v="1"/>
  </r>
  <r>
    <s v="REL00760"/>
    <s v="Male"/>
    <n v="36"/>
    <s v="HSC"/>
    <s v="Divorced"/>
    <x v="4"/>
    <s v="HR Manager"/>
    <x v="1"/>
    <x v="4"/>
    <s v="North"/>
    <n v="13"/>
    <n v="95850"/>
    <x v="3"/>
    <n v="3"/>
    <n v="3"/>
    <n v="49"/>
    <n v="1"/>
    <d v="2010-08-10T00:00:00"/>
    <s v="No"/>
    <x v="1"/>
    <n v="4"/>
    <x v="2"/>
    <x v="2"/>
    <x v="0"/>
  </r>
  <r>
    <s v="REL00761"/>
    <s v="Female"/>
    <n v="46"/>
    <s v="HSC"/>
    <s v="Divorced"/>
    <x v="4"/>
    <s v="Operations Head"/>
    <x v="3"/>
    <x v="4"/>
    <s v="North"/>
    <n v="11"/>
    <n v="112060"/>
    <x v="1"/>
    <n v="2"/>
    <n v="1"/>
    <n v="37"/>
    <n v="2"/>
    <d v="2012-02-27T00:00:00"/>
    <s v="Yes"/>
    <x v="1"/>
    <n v="1"/>
    <x v="2"/>
    <x v="1"/>
    <x v="2"/>
  </r>
  <r>
    <s v="REL00762"/>
    <s v="Female"/>
    <n v="31"/>
    <s v="BTech"/>
    <s v="Divorced"/>
    <x v="0"/>
    <s v="Logistics Coordinator"/>
    <x v="0"/>
    <x v="6"/>
    <s v="South"/>
    <n v="12"/>
    <n v="74629"/>
    <x v="2"/>
    <n v="3"/>
    <n v="3"/>
    <n v="58"/>
    <n v="3"/>
    <d v="2011-10-09T00:00:00"/>
    <s v="No"/>
    <x v="0"/>
    <n v="2"/>
    <x v="2"/>
    <x v="0"/>
    <x v="1"/>
  </r>
  <r>
    <s v="REL00763"/>
    <s v="Female"/>
    <n v="35"/>
    <s v="Post Graduate"/>
    <s v="Single"/>
    <x v="7"/>
    <s v="Logistics Coordinator"/>
    <x v="2"/>
    <x v="6"/>
    <s v="South"/>
    <n v="15"/>
    <n v="65466"/>
    <x v="1"/>
    <n v="3"/>
    <n v="1"/>
    <n v="35"/>
    <n v="2"/>
    <d v="2008-09-11T00:00:00"/>
    <s v="Yes"/>
    <x v="0"/>
    <n v="1"/>
    <x v="2"/>
    <x v="1"/>
    <x v="1"/>
  </r>
  <r>
    <s v="REL00764"/>
    <s v="Male"/>
    <n v="47"/>
    <s v="Graduate"/>
    <s v="Married"/>
    <x v="7"/>
    <s v="Marketing Executive"/>
    <x v="1"/>
    <x v="9"/>
    <s v="West"/>
    <n v="14"/>
    <n v="74636"/>
    <x v="3"/>
    <n v="1"/>
    <n v="3"/>
    <n v="80"/>
    <n v="0"/>
    <d v="2009-01-29T00:00:00"/>
    <s v="No"/>
    <x v="0"/>
    <n v="4"/>
    <x v="2"/>
    <x v="2"/>
    <x v="1"/>
  </r>
  <r>
    <s v="REL00765"/>
    <s v="Female"/>
    <n v="33"/>
    <s v="Graduate"/>
    <s v="Divorced"/>
    <x v="7"/>
    <s v="Operations Head"/>
    <x v="1"/>
    <x v="3"/>
    <s v="West"/>
    <n v="4"/>
    <n v="98986"/>
    <x v="0"/>
    <n v="3"/>
    <n v="3"/>
    <n v="21"/>
    <n v="1"/>
    <d v="2019-09-08T00:00:00"/>
    <s v="No"/>
    <x v="1"/>
    <n v="3"/>
    <x v="0"/>
    <x v="0"/>
    <x v="0"/>
  </r>
  <r>
    <s v="REL00766"/>
    <s v="Female"/>
    <n v="51"/>
    <s v="Graduate"/>
    <s v="Divorced"/>
    <x v="3"/>
    <s v="Marketing Executive"/>
    <x v="1"/>
    <x v="0"/>
    <s v="North"/>
    <n v="1"/>
    <n v="49457"/>
    <x v="2"/>
    <n v="1"/>
    <n v="3"/>
    <n v="19"/>
    <n v="1"/>
    <d v="2022-03-08T00:00:00"/>
    <s v="No"/>
    <x v="2"/>
    <n v="2"/>
    <x v="3"/>
    <x v="0"/>
    <x v="1"/>
  </r>
  <r>
    <s v="REL00767"/>
    <s v="Male"/>
    <n v="53"/>
    <s v="HSC"/>
    <s v="Divorced"/>
    <x v="2"/>
    <s v="Marketing Executive"/>
    <x v="3"/>
    <x v="9"/>
    <s v="West"/>
    <n v="8"/>
    <n v="59272"/>
    <x v="3"/>
    <n v="1"/>
    <n v="4"/>
    <n v="24"/>
    <n v="3"/>
    <d v="2015-03-08T00:00:00"/>
    <s v="No"/>
    <x v="0"/>
    <n v="4"/>
    <x v="1"/>
    <x v="2"/>
    <x v="1"/>
  </r>
  <r>
    <s v="REL00768"/>
    <s v="Male"/>
    <n v="43"/>
    <s v="BTech"/>
    <s v="Married"/>
    <x v="7"/>
    <s v="Logistics Coordinator"/>
    <x v="4"/>
    <x v="5"/>
    <s v="South"/>
    <n v="13"/>
    <n v="80705"/>
    <x v="2"/>
    <n v="3"/>
    <n v="3"/>
    <n v="43"/>
    <n v="1"/>
    <d v="2010-04-27T00:00:00"/>
    <s v="No"/>
    <x v="1"/>
    <n v="2"/>
    <x v="2"/>
    <x v="0"/>
    <x v="1"/>
  </r>
  <r>
    <s v="REL00769"/>
    <s v="Male"/>
    <n v="42"/>
    <s v="BTech"/>
    <s v="Married"/>
    <x v="4"/>
    <s v="Finance Analyst"/>
    <x v="1"/>
    <x v="7"/>
    <s v="East"/>
    <n v="11"/>
    <n v="75652"/>
    <x v="2"/>
    <n v="4"/>
    <n v="2"/>
    <n v="32"/>
    <n v="0"/>
    <d v="2012-04-29T00:00:00"/>
    <s v="No"/>
    <x v="0"/>
    <n v="2"/>
    <x v="2"/>
    <x v="0"/>
    <x v="1"/>
  </r>
  <r>
    <s v="REL00770"/>
    <s v="Female"/>
    <n v="54"/>
    <s v="HSC"/>
    <s v="Married"/>
    <x v="4"/>
    <s v="HR Manager"/>
    <x v="4"/>
    <x v="2"/>
    <s v="West"/>
    <n v="6"/>
    <n v="83343"/>
    <x v="1"/>
    <n v="4"/>
    <n v="1"/>
    <n v="48"/>
    <n v="1"/>
    <d v="2017-09-15T00:00:00"/>
    <s v="Yes"/>
    <x v="1"/>
    <n v="1"/>
    <x v="1"/>
    <x v="1"/>
    <x v="2"/>
  </r>
  <r>
    <s v="REL00771"/>
    <s v="Male"/>
    <n v="42"/>
    <s v="BTech"/>
    <s v="Married"/>
    <x v="3"/>
    <s v="Logistics Coordinator"/>
    <x v="0"/>
    <x v="4"/>
    <s v="North"/>
    <n v="4"/>
    <n v="48628"/>
    <x v="0"/>
    <n v="4"/>
    <n v="3"/>
    <n v="39"/>
    <n v="2"/>
    <d v="2019-02-24T00:00:00"/>
    <s v="No"/>
    <x v="2"/>
    <n v="3"/>
    <x v="0"/>
    <x v="0"/>
    <x v="1"/>
  </r>
  <r>
    <s v="REL00772"/>
    <s v="Female"/>
    <n v="49"/>
    <s v="BTech"/>
    <s v="Married"/>
    <x v="4"/>
    <s v="Customer Service Rep"/>
    <x v="0"/>
    <x v="9"/>
    <s v="West"/>
    <n v="5"/>
    <n v="46597"/>
    <x v="0"/>
    <n v="4"/>
    <n v="1"/>
    <n v="61"/>
    <n v="0"/>
    <d v="2018-05-17T00:00:00"/>
    <s v="No"/>
    <x v="2"/>
    <n v="3"/>
    <x v="0"/>
    <x v="0"/>
    <x v="1"/>
  </r>
  <r>
    <s v="REL00773"/>
    <s v="Female"/>
    <n v="40"/>
    <s v="HSC"/>
    <s v="Single"/>
    <x v="5"/>
    <s v="Operations Head"/>
    <x v="2"/>
    <x v="2"/>
    <s v="West"/>
    <n v="13"/>
    <n v="111638"/>
    <x v="1"/>
    <n v="3"/>
    <n v="4"/>
    <n v="58"/>
    <n v="2"/>
    <d v="2010-01-31T00:00:00"/>
    <s v="Yes"/>
    <x v="1"/>
    <n v="1"/>
    <x v="2"/>
    <x v="1"/>
    <x v="2"/>
  </r>
  <r>
    <s v="REL00774"/>
    <s v="Female"/>
    <n v="52"/>
    <s v="BTech"/>
    <s v="Married"/>
    <x v="1"/>
    <s v="Operations Head"/>
    <x v="2"/>
    <x v="1"/>
    <s v="North"/>
    <n v="14"/>
    <n v="116500"/>
    <x v="1"/>
    <n v="1"/>
    <n v="4"/>
    <n v="72"/>
    <n v="1"/>
    <d v="2009-10-14T00:00:00"/>
    <s v="Yes"/>
    <x v="1"/>
    <n v="1"/>
    <x v="2"/>
    <x v="1"/>
    <x v="2"/>
  </r>
  <r>
    <s v="REL00775"/>
    <s v="Female"/>
    <n v="40"/>
    <s v="Graduate"/>
    <s v="Married"/>
    <x v="6"/>
    <s v="Customer Service Rep"/>
    <x v="4"/>
    <x v="8"/>
    <s v="South"/>
    <n v="1"/>
    <n v="36045"/>
    <x v="3"/>
    <n v="2"/>
    <n v="1"/>
    <n v="51"/>
    <n v="3"/>
    <d v="2022-06-26T00:00:00"/>
    <s v="No"/>
    <x v="2"/>
    <n v="4"/>
    <x v="3"/>
    <x v="2"/>
    <x v="1"/>
  </r>
  <r>
    <s v="REL00776"/>
    <s v="Male"/>
    <n v="42"/>
    <s v="BTech"/>
    <s v="Divorced"/>
    <x v="3"/>
    <s v="Marketing Executive"/>
    <x v="1"/>
    <x v="6"/>
    <s v="South"/>
    <n v="10"/>
    <n v="78410"/>
    <x v="2"/>
    <n v="3"/>
    <n v="3"/>
    <n v="12"/>
    <n v="1"/>
    <d v="2013-05-24T00:00:00"/>
    <s v="Yes"/>
    <x v="0"/>
    <n v="2"/>
    <x v="1"/>
    <x v="1"/>
    <x v="1"/>
  </r>
  <r>
    <s v="REL00777"/>
    <s v="Female"/>
    <n v="45"/>
    <s v="HSC"/>
    <s v="Single"/>
    <x v="5"/>
    <s v="Marketing Executive"/>
    <x v="0"/>
    <x v="0"/>
    <s v="North"/>
    <n v="12"/>
    <n v="70033"/>
    <x v="1"/>
    <n v="3"/>
    <n v="3"/>
    <n v="12"/>
    <n v="1"/>
    <d v="2011-09-10T00:00:00"/>
    <s v="Yes"/>
    <x v="0"/>
    <n v="1"/>
    <x v="2"/>
    <x v="1"/>
    <x v="1"/>
  </r>
  <r>
    <s v="REL00778"/>
    <s v="Female"/>
    <n v="23"/>
    <s v="BTech"/>
    <s v="Married"/>
    <x v="6"/>
    <s v="Finance Analyst"/>
    <x v="3"/>
    <x v="0"/>
    <s v="North"/>
    <n v="13"/>
    <n v="77573"/>
    <x v="1"/>
    <n v="1"/>
    <n v="3"/>
    <n v="78"/>
    <n v="3"/>
    <d v="2010-04-17T00:00:00"/>
    <s v="Yes"/>
    <x v="0"/>
    <n v="1"/>
    <x v="2"/>
    <x v="1"/>
    <x v="1"/>
  </r>
  <r>
    <s v="REL00779"/>
    <s v="Male"/>
    <n v="54"/>
    <s v="Graduate"/>
    <s v="Divorced"/>
    <x v="5"/>
    <s v="Sales Executive"/>
    <x v="4"/>
    <x v="8"/>
    <s v="South"/>
    <n v="10"/>
    <n v="68294"/>
    <x v="3"/>
    <n v="4"/>
    <n v="2"/>
    <n v="19"/>
    <n v="3"/>
    <d v="2013-04-06T00:00:00"/>
    <s v="Yes"/>
    <x v="0"/>
    <n v="4"/>
    <x v="1"/>
    <x v="1"/>
    <x v="1"/>
  </r>
  <r>
    <s v="REL00780"/>
    <s v="Female"/>
    <n v="51"/>
    <s v="BTech"/>
    <s v="Divorced"/>
    <x v="7"/>
    <s v="Customer Service Rep"/>
    <x v="3"/>
    <x v="8"/>
    <s v="South"/>
    <n v="11"/>
    <n v="49392"/>
    <x v="0"/>
    <n v="4"/>
    <n v="1"/>
    <n v="61"/>
    <n v="2"/>
    <d v="2012-02-07T00:00:00"/>
    <s v="No"/>
    <x v="2"/>
    <n v="3"/>
    <x v="2"/>
    <x v="0"/>
    <x v="1"/>
  </r>
  <r>
    <s v="REL00781"/>
    <s v="Male"/>
    <n v="42"/>
    <s v="BTech"/>
    <s v="Married"/>
    <x v="6"/>
    <s v="Customer Service Rep"/>
    <x v="4"/>
    <x v="3"/>
    <s v="West"/>
    <n v="4"/>
    <n v="46996"/>
    <x v="3"/>
    <n v="2"/>
    <n v="3"/>
    <n v="29"/>
    <n v="1"/>
    <d v="2019-08-23T00:00:00"/>
    <s v="No"/>
    <x v="2"/>
    <n v="4"/>
    <x v="0"/>
    <x v="2"/>
    <x v="1"/>
  </r>
  <r>
    <s v="REL00782"/>
    <s v="Male"/>
    <n v="44"/>
    <s v="Graduate"/>
    <s v="Married"/>
    <x v="1"/>
    <s v="Store Manager"/>
    <x v="0"/>
    <x v="6"/>
    <s v="South"/>
    <n v="2"/>
    <n v="96479"/>
    <x v="0"/>
    <n v="3"/>
    <n v="2"/>
    <n v="36"/>
    <n v="1"/>
    <d v="2021-12-12T00:00:00"/>
    <s v="No"/>
    <x v="1"/>
    <n v="3"/>
    <x v="3"/>
    <x v="0"/>
    <x v="0"/>
  </r>
  <r>
    <s v="REL00783"/>
    <s v="Female"/>
    <n v="29"/>
    <s v="MBA"/>
    <s v="Single"/>
    <x v="3"/>
    <s v="Marketing Executive"/>
    <x v="3"/>
    <x v="8"/>
    <s v="South"/>
    <n v="4"/>
    <n v="59643"/>
    <x v="2"/>
    <n v="4"/>
    <n v="2"/>
    <n v="58"/>
    <n v="0"/>
    <d v="2019-10-24T00:00:00"/>
    <s v="Yes"/>
    <x v="0"/>
    <n v="2"/>
    <x v="0"/>
    <x v="1"/>
    <x v="1"/>
  </r>
  <r>
    <s v="REL00784"/>
    <s v="Male"/>
    <n v="54"/>
    <s v="BTech"/>
    <s v="Divorced"/>
    <x v="7"/>
    <s v="Logistics Coordinator"/>
    <x v="3"/>
    <x v="9"/>
    <s v="West"/>
    <n v="4"/>
    <n v="62340"/>
    <x v="0"/>
    <n v="1"/>
    <n v="2"/>
    <n v="36"/>
    <n v="0"/>
    <d v="2019-11-16T00:00:00"/>
    <s v="Yes"/>
    <x v="0"/>
    <n v="3"/>
    <x v="0"/>
    <x v="1"/>
    <x v="0"/>
  </r>
  <r>
    <s v="REL00785"/>
    <s v="Female"/>
    <n v="54"/>
    <s v="Graduate"/>
    <s v="Married"/>
    <x v="5"/>
    <s v="Marketing Executive"/>
    <x v="0"/>
    <x v="9"/>
    <s v="West"/>
    <n v="4"/>
    <n v="50975"/>
    <x v="1"/>
    <n v="1"/>
    <n v="1"/>
    <n v="58"/>
    <n v="3"/>
    <d v="2019-05-03T00:00:00"/>
    <s v="Yes"/>
    <x v="0"/>
    <n v="1"/>
    <x v="0"/>
    <x v="1"/>
    <x v="1"/>
  </r>
  <r>
    <s v="REL00786"/>
    <s v="Male"/>
    <n v="46"/>
    <s v="MBA"/>
    <s v="Single"/>
    <x v="2"/>
    <s v="Sales Executive"/>
    <x v="0"/>
    <x v="2"/>
    <s v="West"/>
    <n v="5"/>
    <n v="54226"/>
    <x v="2"/>
    <n v="3"/>
    <n v="3"/>
    <n v="15"/>
    <n v="1"/>
    <d v="2018-09-07T00:00:00"/>
    <s v="No"/>
    <x v="0"/>
    <n v="2"/>
    <x v="0"/>
    <x v="0"/>
    <x v="1"/>
  </r>
  <r>
    <s v="REL00787"/>
    <s v="Male"/>
    <n v="35"/>
    <s v="HSC"/>
    <s v="Married"/>
    <x v="3"/>
    <s v="HR Manager"/>
    <x v="1"/>
    <x v="5"/>
    <s v="South"/>
    <n v="3"/>
    <n v="75594"/>
    <x v="3"/>
    <n v="4"/>
    <n v="2"/>
    <n v="63"/>
    <n v="1"/>
    <d v="2020-12-13T00:00:00"/>
    <s v="No"/>
    <x v="0"/>
    <n v="4"/>
    <x v="0"/>
    <x v="2"/>
    <x v="1"/>
  </r>
  <r>
    <s v="REL00788"/>
    <s v="Male"/>
    <n v="41"/>
    <s v="MBA"/>
    <s v="Divorced"/>
    <x v="3"/>
    <s v="Sales Executive"/>
    <x v="2"/>
    <x v="6"/>
    <s v="South"/>
    <n v="15"/>
    <n v="65320"/>
    <x v="2"/>
    <n v="3"/>
    <n v="3"/>
    <n v="51"/>
    <n v="0"/>
    <d v="2008-04-25T00:00:00"/>
    <s v="Yes"/>
    <x v="0"/>
    <n v="2"/>
    <x v="2"/>
    <x v="1"/>
    <x v="1"/>
  </r>
  <r>
    <s v="REL00789"/>
    <s v="Male"/>
    <n v="32"/>
    <s v="Graduate"/>
    <s v="Single"/>
    <x v="5"/>
    <s v="HR Manager"/>
    <x v="4"/>
    <x v="3"/>
    <s v="West"/>
    <n v="1"/>
    <n v="80358"/>
    <x v="1"/>
    <n v="3"/>
    <n v="2"/>
    <n v="21"/>
    <n v="3"/>
    <d v="2022-06-22T00:00:00"/>
    <s v="No"/>
    <x v="1"/>
    <n v="1"/>
    <x v="3"/>
    <x v="3"/>
    <x v="2"/>
  </r>
  <r>
    <s v="REL00790"/>
    <s v="Female"/>
    <n v="52"/>
    <s v="MBA"/>
    <s v="Married"/>
    <x v="2"/>
    <s v="Finance Analyst"/>
    <x v="3"/>
    <x v="0"/>
    <s v="North"/>
    <n v="7"/>
    <n v="68404"/>
    <x v="1"/>
    <n v="2"/>
    <n v="3"/>
    <n v="79"/>
    <n v="2"/>
    <d v="2017-01-02T00:00:00"/>
    <s v="No"/>
    <x v="0"/>
    <n v="1"/>
    <x v="1"/>
    <x v="0"/>
    <x v="1"/>
  </r>
  <r>
    <s v="REL00791"/>
    <s v="Male"/>
    <n v="36"/>
    <s v="Graduate"/>
    <s v="Divorced"/>
    <x v="2"/>
    <s v="Marketing Executive"/>
    <x v="3"/>
    <x v="4"/>
    <s v="North"/>
    <n v="12"/>
    <n v="68123"/>
    <x v="1"/>
    <n v="1"/>
    <n v="4"/>
    <n v="46"/>
    <n v="0"/>
    <d v="2011-10-30T00:00:00"/>
    <s v="No"/>
    <x v="0"/>
    <n v="1"/>
    <x v="2"/>
    <x v="0"/>
    <x v="1"/>
  </r>
  <r>
    <s v="REL00792"/>
    <s v="Female"/>
    <n v="30"/>
    <s v="HSC"/>
    <s v="Married"/>
    <x v="1"/>
    <s v="Operations Head"/>
    <x v="0"/>
    <x v="5"/>
    <s v="South"/>
    <n v="12"/>
    <n v="119768"/>
    <x v="0"/>
    <n v="3"/>
    <n v="2"/>
    <n v="14"/>
    <n v="3"/>
    <d v="2011-01-27T00:00:00"/>
    <s v="No"/>
    <x v="1"/>
    <n v="3"/>
    <x v="2"/>
    <x v="0"/>
    <x v="0"/>
  </r>
  <r>
    <s v="REL00793"/>
    <s v="Female"/>
    <n v="22"/>
    <s v="BTech"/>
    <s v="Married"/>
    <x v="1"/>
    <s v="Store Manager"/>
    <x v="2"/>
    <x v="3"/>
    <s v="West"/>
    <n v="3"/>
    <n v="88793"/>
    <x v="3"/>
    <n v="4"/>
    <n v="3"/>
    <n v="34"/>
    <n v="3"/>
    <d v="2020-06-12T00:00:00"/>
    <s v="No"/>
    <x v="1"/>
    <n v="4"/>
    <x v="0"/>
    <x v="2"/>
    <x v="0"/>
  </r>
  <r>
    <s v="REL00794"/>
    <s v="Female"/>
    <n v="43"/>
    <s v="Post Graduate"/>
    <s v="Married"/>
    <x v="1"/>
    <s v="Finance Analyst"/>
    <x v="3"/>
    <x v="9"/>
    <s v="West"/>
    <n v="9"/>
    <n v="71860"/>
    <x v="2"/>
    <n v="3"/>
    <n v="4"/>
    <n v="80"/>
    <n v="3"/>
    <d v="2014-02-02T00:00:00"/>
    <s v="No"/>
    <x v="0"/>
    <n v="2"/>
    <x v="1"/>
    <x v="0"/>
    <x v="1"/>
  </r>
  <r>
    <s v="REL00795"/>
    <s v="Male"/>
    <n v="28"/>
    <s v="Post Graduate"/>
    <s v="Married"/>
    <x v="5"/>
    <s v="Customer Service Rep"/>
    <x v="1"/>
    <x v="0"/>
    <s v="North"/>
    <n v="2"/>
    <n v="42976"/>
    <x v="2"/>
    <n v="1"/>
    <n v="1"/>
    <n v="80"/>
    <n v="2"/>
    <d v="2021-03-29T00:00:00"/>
    <s v="Yes"/>
    <x v="2"/>
    <n v="2"/>
    <x v="3"/>
    <x v="1"/>
    <x v="1"/>
  </r>
  <r>
    <s v="REL00796"/>
    <s v="Male"/>
    <n v="31"/>
    <s v="Post Graduate"/>
    <s v="Single"/>
    <x v="5"/>
    <s v="Sales Executive"/>
    <x v="0"/>
    <x v="6"/>
    <s v="South"/>
    <n v="7"/>
    <n v="60538"/>
    <x v="1"/>
    <n v="2"/>
    <n v="3"/>
    <n v="77"/>
    <n v="1"/>
    <d v="2016-04-16T00:00:00"/>
    <s v="Yes"/>
    <x v="0"/>
    <n v="1"/>
    <x v="1"/>
    <x v="1"/>
    <x v="1"/>
  </r>
  <r>
    <s v="REL00797"/>
    <s v="Male"/>
    <n v="28"/>
    <s v="Post Graduate"/>
    <s v="Divorced"/>
    <x v="0"/>
    <s v="Marketing Executive"/>
    <x v="1"/>
    <x v="4"/>
    <s v="North"/>
    <n v="9"/>
    <n v="75395"/>
    <x v="2"/>
    <n v="2"/>
    <n v="2"/>
    <n v="79"/>
    <n v="3"/>
    <d v="2014-06-26T00:00:00"/>
    <s v="No"/>
    <x v="0"/>
    <n v="2"/>
    <x v="1"/>
    <x v="0"/>
    <x v="1"/>
  </r>
  <r>
    <s v="REL00798"/>
    <s v="Female"/>
    <n v="30"/>
    <s v="HSC"/>
    <s v="Single"/>
    <x v="4"/>
    <s v="Logistics Coordinator"/>
    <x v="4"/>
    <x v="5"/>
    <s v="South"/>
    <n v="5"/>
    <n v="62096"/>
    <x v="1"/>
    <n v="1"/>
    <n v="3"/>
    <n v="49"/>
    <n v="1"/>
    <d v="2018-05-08T00:00:00"/>
    <s v="Yes"/>
    <x v="0"/>
    <n v="1"/>
    <x v="0"/>
    <x v="1"/>
    <x v="1"/>
  </r>
  <r>
    <s v="REL00799"/>
    <s v="Male"/>
    <n v="48"/>
    <s v="MBA"/>
    <s v="Divorced"/>
    <x v="2"/>
    <s v="HR Manager"/>
    <x v="4"/>
    <x v="4"/>
    <s v="North"/>
    <n v="3"/>
    <n v="86759"/>
    <x v="1"/>
    <n v="2"/>
    <n v="2"/>
    <n v="54"/>
    <n v="0"/>
    <d v="2020-06-15T00:00:00"/>
    <s v="Yes"/>
    <x v="1"/>
    <n v="1"/>
    <x v="0"/>
    <x v="1"/>
    <x v="2"/>
  </r>
  <r>
    <s v="REL00800"/>
    <s v="Female"/>
    <n v="42"/>
    <s v="Graduate"/>
    <s v="Divorced"/>
    <x v="4"/>
    <s v="HR Manager"/>
    <x v="2"/>
    <x v="5"/>
    <s v="South"/>
    <n v="2"/>
    <n v="75744"/>
    <x v="1"/>
    <n v="1"/>
    <n v="3"/>
    <n v="77"/>
    <n v="0"/>
    <d v="2021-01-22T00:00:00"/>
    <s v="Yes"/>
    <x v="0"/>
    <n v="1"/>
    <x v="3"/>
    <x v="1"/>
    <x v="1"/>
  </r>
  <r>
    <s v="REL00801"/>
    <s v="Male"/>
    <n v="43"/>
    <s v="HSC"/>
    <s v="Single"/>
    <x v="7"/>
    <s v="Sales Executive"/>
    <x v="2"/>
    <x v="4"/>
    <s v="North"/>
    <n v="5"/>
    <n v="57735"/>
    <x v="1"/>
    <n v="4"/>
    <n v="3"/>
    <n v="24"/>
    <n v="3"/>
    <d v="2018-10-16T00:00:00"/>
    <s v="Yes"/>
    <x v="0"/>
    <n v="1"/>
    <x v="0"/>
    <x v="1"/>
    <x v="1"/>
  </r>
  <r>
    <s v="REL00802"/>
    <s v="Female"/>
    <n v="37"/>
    <s v="MBA"/>
    <s v="Divorced"/>
    <x v="3"/>
    <s v="Sales Executive"/>
    <x v="3"/>
    <x v="2"/>
    <s v="West"/>
    <n v="4"/>
    <n v="40902"/>
    <x v="2"/>
    <n v="4"/>
    <n v="4"/>
    <n v="17"/>
    <n v="0"/>
    <d v="2019-03-02T00:00:00"/>
    <s v="No"/>
    <x v="2"/>
    <n v="2"/>
    <x v="0"/>
    <x v="0"/>
    <x v="1"/>
  </r>
  <r>
    <s v="REL00803"/>
    <s v="Male"/>
    <n v="53"/>
    <s v="Post Graduate"/>
    <s v="Divorced"/>
    <x v="4"/>
    <s v="Operations Head"/>
    <x v="0"/>
    <x v="8"/>
    <s v="South"/>
    <n v="7"/>
    <n v="110687"/>
    <x v="2"/>
    <n v="4"/>
    <n v="2"/>
    <n v="65"/>
    <n v="2"/>
    <d v="2016-12-27T00:00:00"/>
    <s v="Yes"/>
    <x v="1"/>
    <n v="2"/>
    <x v="1"/>
    <x v="1"/>
    <x v="1"/>
  </r>
  <r>
    <s v="REL00804"/>
    <s v="Male"/>
    <n v="28"/>
    <s v="Graduate"/>
    <s v="Single"/>
    <x v="7"/>
    <s v="Logistics Coordinator"/>
    <x v="1"/>
    <x v="0"/>
    <s v="North"/>
    <n v="10"/>
    <n v="56379"/>
    <x v="1"/>
    <n v="3"/>
    <n v="4"/>
    <n v="60"/>
    <n v="0"/>
    <d v="2013-03-07T00:00:00"/>
    <s v="Yes"/>
    <x v="0"/>
    <n v="1"/>
    <x v="1"/>
    <x v="1"/>
    <x v="1"/>
  </r>
  <r>
    <s v="REL00805"/>
    <s v="Male"/>
    <n v="23"/>
    <s v="HSC"/>
    <s v="Single"/>
    <x v="7"/>
    <s v="Logistics Coordinator"/>
    <x v="3"/>
    <x v="7"/>
    <s v="East"/>
    <n v="7"/>
    <n v="49840"/>
    <x v="3"/>
    <n v="3"/>
    <n v="4"/>
    <n v="13"/>
    <n v="3"/>
    <d v="2016-03-18T00:00:00"/>
    <s v="No"/>
    <x v="2"/>
    <n v="4"/>
    <x v="1"/>
    <x v="2"/>
    <x v="1"/>
  </r>
  <r>
    <s v="REL00806"/>
    <s v="Female"/>
    <n v="38"/>
    <s v="Post Graduate"/>
    <s v="Single"/>
    <x v="5"/>
    <s v="Operations Head"/>
    <x v="0"/>
    <x v="8"/>
    <s v="South"/>
    <n v="4"/>
    <n v="107614"/>
    <x v="2"/>
    <n v="3"/>
    <n v="4"/>
    <n v="54"/>
    <n v="1"/>
    <d v="2019-07-20T00:00:00"/>
    <s v="Yes"/>
    <x v="1"/>
    <n v="2"/>
    <x v="0"/>
    <x v="1"/>
    <x v="1"/>
  </r>
  <r>
    <s v="REL00807"/>
    <s v="Male"/>
    <n v="47"/>
    <s v="HSC"/>
    <s v="Divorced"/>
    <x v="2"/>
    <s v="Marketing Executive"/>
    <x v="0"/>
    <x v="9"/>
    <s v="West"/>
    <n v="10"/>
    <n v="70372"/>
    <x v="2"/>
    <n v="4"/>
    <n v="2"/>
    <n v="58"/>
    <n v="1"/>
    <d v="2013-11-13T00:00:00"/>
    <s v="No"/>
    <x v="0"/>
    <n v="2"/>
    <x v="1"/>
    <x v="0"/>
    <x v="1"/>
  </r>
  <r>
    <s v="REL00808"/>
    <s v="Female"/>
    <n v="23"/>
    <s v="Graduate"/>
    <s v="Single"/>
    <x v="7"/>
    <s v="Finance Analyst"/>
    <x v="0"/>
    <x v="8"/>
    <s v="South"/>
    <n v="13"/>
    <n v="87844"/>
    <x v="2"/>
    <n v="3"/>
    <n v="3"/>
    <n v="78"/>
    <n v="1"/>
    <d v="2010-10-10T00:00:00"/>
    <s v="No"/>
    <x v="1"/>
    <n v="2"/>
    <x v="2"/>
    <x v="0"/>
    <x v="1"/>
  </r>
  <r>
    <s v="REL00809"/>
    <s v="Female"/>
    <n v="47"/>
    <s v="Post Graduate"/>
    <s v="Married"/>
    <x v="2"/>
    <s v="Logistics Coordinator"/>
    <x v="2"/>
    <x v="2"/>
    <s v="West"/>
    <n v="2"/>
    <n v="47630"/>
    <x v="3"/>
    <n v="1"/>
    <n v="3"/>
    <n v="20"/>
    <n v="2"/>
    <d v="2021-07-11T00:00:00"/>
    <s v="No"/>
    <x v="2"/>
    <n v="4"/>
    <x v="3"/>
    <x v="2"/>
    <x v="1"/>
  </r>
  <r>
    <s v="REL00810"/>
    <s v="Male"/>
    <n v="36"/>
    <s v="Post Graduate"/>
    <s v="Single"/>
    <x v="7"/>
    <s v="HR Manager"/>
    <x v="4"/>
    <x v="5"/>
    <s v="South"/>
    <n v="9"/>
    <n v="91971"/>
    <x v="0"/>
    <n v="4"/>
    <n v="2"/>
    <n v="28"/>
    <n v="0"/>
    <d v="2014-04-25T00:00:00"/>
    <s v="Yes"/>
    <x v="1"/>
    <n v="3"/>
    <x v="1"/>
    <x v="1"/>
    <x v="0"/>
  </r>
  <r>
    <s v="REL00811"/>
    <s v="Male"/>
    <n v="48"/>
    <s v="Post Graduate"/>
    <s v="Divorced"/>
    <x v="1"/>
    <s v="Finance Analyst"/>
    <x v="4"/>
    <x v="8"/>
    <s v="South"/>
    <n v="14"/>
    <n v="91583"/>
    <x v="1"/>
    <n v="4"/>
    <n v="4"/>
    <n v="43"/>
    <n v="2"/>
    <d v="2009-03-20T00:00:00"/>
    <s v="No"/>
    <x v="1"/>
    <n v="1"/>
    <x v="2"/>
    <x v="0"/>
    <x v="2"/>
  </r>
  <r>
    <s v="REL00812"/>
    <s v="Male"/>
    <n v="30"/>
    <s v="HSC"/>
    <s v="Divorced"/>
    <x v="6"/>
    <s v="Marketing Executive"/>
    <x v="0"/>
    <x v="8"/>
    <s v="South"/>
    <n v="15"/>
    <n v="80490"/>
    <x v="2"/>
    <n v="2"/>
    <n v="2"/>
    <n v="22"/>
    <n v="3"/>
    <d v="2008-07-06T00:00:00"/>
    <s v="No"/>
    <x v="1"/>
    <n v="2"/>
    <x v="2"/>
    <x v="0"/>
    <x v="1"/>
  </r>
  <r>
    <s v="REL00813"/>
    <s v="Female"/>
    <n v="25"/>
    <s v="MBA"/>
    <s v="Divorced"/>
    <x v="5"/>
    <s v="Customer Service Rep"/>
    <x v="4"/>
    <x v="1"/>
    <s v="North"/>
    <n v="12"/>
    <n v="67155"/>
    <x v="0"/>
    <n v="4"/>
    <n v="4"/>
    <n v="65"/>
    <n v="0"/>
    <d v="2011-05-11T00:00:00"/>
    <s v="No"/>
    <x v="0"/>
    <n v="3"/>
    <x v="2"/>
    <x v="0"/>
    <x v="0"/>
  </r>
  <r>
    <s v="REL00814"/>
    <s v="Male"/>
    <n v="44"/>
    <s v="Graduate"/>
    <s v="Divorced"/>
    <x v="0"/>
    <s v="Store Manager"/>
    <x v="1"/>
    <x v="6"/>
    <s v="South"/>
    <n v="9"/>
    <n v="104390"/>
    <x v="1"/>
    <n v="3"/>
    <n v="3"/>
    <n v="13"/>
    <n v="3"/>
    <d v="2014-10-20T00:00:00"/>
    <s v="No"/>
    <x v="1"/>
    <n v="1"/>
    <x v="1"/>
    <x v="0"/>
    <x v="2"/>
  </r>
  <r>
    <s v="REL00815"/>
    <s v="Female"/>
    <n v="43"/>
    <s v="Post Graduate"/>
    <s v="Divorced"/>
    <x v="3"/>
    <s v="Finance Analyst"/>
    <x v="3"/>
    <x v="2"/>
    <s v="West"/>
    <n v="11"/>
    <n v="82152"/>
    <x v="0"/>
    <n v="4"/>
    <n v="2"/>
    <n v="79"/>
    <n v="2"/>
    <d v="2012-01-13T00:00:00"/>
    <s v="No"/>
    <x v="1"/>
    <n v="3"/>
    <x v="2"/>
    <x v="0"/>
    <x v="0"/>
  </r>
  <r>
    <s v="REL00816"/>
    <s v="Male"/>
    <n v="34"/>
    <s v="Post Graduate"/>
    <s v="Divorced"/>
    <x v="0"/>
    <s v="Sales Executive"/>
    <x v="0"/>
    <x v="3"/>
    <s v="West"/>
    <n v="13"/>
    <n v="58084"/>
    <x v="3"/>
    <n v="2"/>
    <n v="2"/>
    <n v="13"/>
    <n v="3"/>
    <d v="2010-06-07T00:00:00"/>
    <s v="No"/>
    <x v="0"/>
    <n v="4"/>
    <x v="2"/>
    <x v="2"/>
    <x v="1"/>
  </r>
  <r>
    <s v="REL00817"/>
    <s v="Female"/>
    <n v="30"/>
    <s v="HSC"/>
    <s v="Single"/>
    <x v="5"/>
    <s v="Logistics Coordinator"/>
    <x v="4"/>
    <x v="0"/>
    <s v="North"/>
    <n v="7"/>
    <n v="62355"/>
    <x v="3"/>
    <n v="1"/>
    <n v="3"/>
    <n v="55"/>
    <n v="1"/>
    <d v="2016-01-12T00:00:00"/>
    <s v="No"/>
    <x v="0"/>
    <n v="4"/>
    <x v="1"/>
    <x v="2"/>
    <x v="1"/>
  </r>
  <r>
    <s v="REL00818"/>
    <s v="Female"/>
    <n v="27"/>
    <s v="HSC"/>
    <s v="Married"/>
    <x v="4"/>
    <s v="Operations Head"/>
    <x v="3"/>
    <x v="2"/>
    <s v="West"/>
    <n v="3"/>
    <n v="104153"/>
    <x v="3"/>
    <n v="1"/>
    <n v="3"/>
    <n v="12"/>
    <n v="0"/>
    <d v="2020-09-07T00:00:00"/>
    <s v="No"/>
    <x v="1"/>
    <n v="4"/>
    <x v="0"/>
    <x v="2"/>
    <x v="0"/>
  </r>
  <r>
    <s v="REL00819"/>
    <s v="Female"/>
    <n v="46"/>
    <s v="HSC"/>
    <s v="Single"/>
    <x v="0"/>
    <s v="Store Manager"/>
    <x v="0"/>
    <x v="1"/>
    <s v="North"/>
    <n v="3"/>
    <n v="98338"/>
    <x v="3"/>
    <n v="3"/>
    <n v="1"/>
    <n v="32"/>
    <n v="1"/>
    <d v="2020-12-30T00:00:00"/>
    <s v="Yes"/>
    <x v="1"/>
    <n v="4"/>
    <x v="0"/>
    <x v="1"/>
    <x v="0"/>
  </r>
  <r>
    <s v="REL00820"/>
    <s v="Male"/>
    <n v="50"/>
    <s v="Post Graduate"/>
    <s v="Divorced"/>
    <x v="7"/>
    <s v="Sales Executive"/>
    <x v="2"/>
    <x v="4"/>
    <s v="North"/>
    <n v="6"/>
    <n v="47068"/>
    <x v="0"/>
    <n v="2"/>
    <n v="4"/>
    <n v="13"/>
    <n v="0"/>
    <d v="2017-06-25T00:00:00"/>
    <s v="No"/>
    <x v="2"/>
    <n v="3"/>
    <x v="1"/>
    <x v="0"/>
    <x v="1"/>
  </r>
  <r>
    <s v="REL00821"/>
    <s v="Male"/>
    <n v="28"/>
    <s v="MBA"/>
    <s v="Single"/>
    <x v="2"/>
    <s v="Customer Service Rep"/>
    <x v="0"/>
    <x v="1"/>
    <s v="North"/>
    <n v="2"/>
    <n v="34911"/>
    <x v="2"/>
    <n v="2"/>
    <n v="3"/>
    <n v="68"/>
    <n v="3"/>
    <d v="2021-04-11T00:00:00"/>
    <s v="No"/>
    <x v="3"/>
    <n v="2"/>
    <x v="3"/>
    <x v="0"/>
    <x v="1"/>
  </r>
  <r>
    <s v="REL00822"/>
    <s v="Female"/>
    <n v="34"/>
    <s v="MBA"/>
    <s v="Single"/>
    <x v="2"/>
    <s v="Marketing Executive"/>
    <x v="1"/>
    <x v="9"/>
    <s v="West"/>
    <n v="6"/>
    <n v="63983"/>
    <x v="3"/>
    <n v="3"/>
    <n v="1"/>
    <n v="71"/>
    <n v="0"/>
    <d v="2017-09-02T00:00:00"/>
    <s v="No"/>
    <x v="0"/>
    <n v="4"/>
    <x v="1"/>
    <x v="2"/>
    <x v="1"/>
  </r>
  <r>
    <s v="REL00823"/>
    <s v="Male"/>
    <n v="40"/>
    <s v="MBA"/>
    <s v="Married"/>
    <x v="2"/>
    <s v="Marketing Executive"/>
    <x v="0"/>
    <x v="1"/>
    <s v="North"/>
    <n v="13"/>
    <n v="75258"/>
    <x v="1"/>
    <n v="4"/>
    <n v="4"/>
    <n v="20"/>
    <n v="3"/>
    <d v="2010-05-20T00:00:00"/>
    <s v="Yes"/>
    <x v="0"/>
    <n v="1"/>
    <x v="2"/>
    <x v="1"/>
    <x v="1"/>
  </r>
  <r>
    <s v="REL00824"/>
    <s v="Female"/>
    <n v="40"/>
    <s v="Graduate"/>
    <s v="Divorced"/>
    <x v="7"/>
    <s v="Finance Analyst"/>
    <x v="4"/>
    <x v="3"/>
    <s v="West"/>
    <n v="9"/>
    <n v="87977"/>
    <x v="2"/>
    <n v="1"/>
    <n v="2"/>
    <n v="21"/>
    <n v="2"/>
    <d v="2014-07-31T00:00:00"/>
    <s v="No"/>
    <x v="1"/>
    <n v="2"/>
    <x v="1"/>
    <x v="0"/>
    <x v="1"/>
  </r>
  <r>
    <s v="REL00825"/>
    <s v="Male"/>
    <n v="44"/>
    <s v="BTech"/>
    <s v="Single"/>
    <x v="3"/>
    <s v="Store Manager"/>
    <x v="0"/>
    <x v="4"/>
    <s v="North"/>
    <n v="9"/>
    <n v="94546"/>
    <x v="3"/>
    <n v="4"/>
    <n v="2"/>
    <n v="75"/>
    <n v="2"/>
    <d v="2014-06-20T00:00:00"/>
    <s v="No"/>
    <x v="1"/>
    <n v="4"/>
    <x v="1"/>
    <x v="2"/>
    <x v="0"/>
  </r>
  <r>
    <s v="REL00826"/>
    <s v="Female"/>
    <n v="35"/>
    <s v="BTech"/>
    <s v="Divorced"/>
    <x v="1"/>
    <s v="Marketing Executive"/>
    <x v="4"/>
    <x v="3"/>
    <s v="West"/>
    <n v="3"/>
    <n v="56495"/>
    <x v="1"/>
    <n v="1"/>
    <n v="1"/>
    <n v="58"/>
    <n v="1"/>
    <d v="2020-09-19T00:00:00"/>
    <s v="No"/>
    <x v="0"/>
    <n v="1"/>
    <x v="0"/>
    <x v="0"/>
    <x v="1"/>
  </r>
  <r>
    <s v="REL00827"/>
    <s v="Female"/>
    <n v="47"/>
    <s v="Graduate"/>
    <s v="Single"/>
    <x v="4"/>
    <s v="Customer Service Rep"/>
    <x v="4"/>
    <x v="0"/>
    <s v="North"/>
    <n v="11"/>
    <n v="52801"/>
    <x v="0"/>
    <n v="2"/>
    <n v="2"/>
    <n v="43"/>
    <n v="3"/>
    <d v="2012-09-09T00:00:00"/>
    <s v="No"/>
    <x v="0"/>
    <n v="3"/>
    <x v="2"/>
    <x v="0"/>
    <x v="0"/>
  </r>
  <r>
    <s v="REL00828"/>
    <s v="Female"/>
    <n v="34"/>
    <s v="MBA"/>
    <s v="Married"/>
    <x v="4"/>
    <s v="Store Manager"/>
    <x v="2"/>
    <x v="4"/>
    <s v="North"/>
    <n v="7"/>
    <n v="102627"/>
    <x v="2"/>
    <n v="1"/>
    <n v="4"/>
    <n v="15"/>
    <n v="3"/>
    <d v="2016-06-23T00:00:00"/>
    <s v="No"/>
    <x v="1"/>
    <n v="2"/>
    <x v="1"/>
    <x v="0"/>
    <x v="1"/>
  </r>
  <r>
    <s v="REL00829"/>
    <s v="Female"/>
    <n v="32"/>
    <s v="HSC"/>
    <s v="Divorced"/>
    <x v="1"/>
    <s v="HR Manager"/>
    <x v="4"/>
    <x v="6"/>
    <s v="South"/>
    <n v="2"/>
    <n v="85008"/>
    <x v="3"/>
    <n v="4"/>
    <n v="3"/>
    <n v="78"/>
    <n v="2"/>
    <d v="2021-09-30T00:00:00"/>
    <s v="Yes"/>
    <x v="1"/>
    <n v="4"/>
    <x v="3"/>
    <x v="1"/>
    <x v="0"/>
  </r>
  <r>
    <s v="REL00830"/>
    <s v="Male"/>
    <n v="30"/>
    <s v="BTech"/>
    <s v="Single"/>
    <x v="4"/>
    <s v="Marketing Executive"/>
    <x v="4"/>
    <x v="8"/>
    <s v="South"/>
    <n v="7"/>
    <n v="56834"/>
    <x v="3"/>
    <n v="4"/>
    <n v="4"/>
    <n v="23"/>
    <n v="0"/>
    <d v="2016-04-23T00:00:00"/>
    <s v="No"/>
    <x v="0"/>
    <n v="4"/>
    <x v="1"/>
    <x v="2"/>
    <x v="1"/>
  </r>
  <r>
    <s v="REL00831"/>
    <s v="Female"/>
    <n v="50"/>
    <s v="Post Graduate"/>
    <s v="Married"/>
    <x v="0"/>
    <s v="Sales Executive"/>
    <x v="3"/>
    <x v="5"/>
    <s v="South"/>
    <n v="2"/>
    <n v="41921"/>
    <x v="0"/>
    <n v="1"/>
    <n v="2"/>
    <n v="36"/>
    <n v="2"/>
    <d v="2021-02-20T00:00:00"/>
    <s v="No"/>
    <x v="2"/>
    <n v="3"/>
    <x v="3"/>
    <x v="0"/>
    <x v="1"/>
  </r>
  <r>
    <s v="REL00832"/>
    <s v="Male"/>
    <n v="25"/>
    <s v="MBA"/>
    <s v="Married"/>
    <x v="0"/>
    <s v="Operations Head"/>
    <x v="2"/>
    <x v="3"/>
    <s v="West"/>
    <n v="14"/>
    <n v="118751"/>
    <x v="2"/>
    <n v="2"/>
    <n v="3"/>
    <n v="74"/>
    <n v="0"/>
    <d v="2009-05-13T00:00:00"/>
    <s v="No"/>
    <x v="1"/>
    <n v="2"/>
    <x v="2"/>
    <x v="0"/>
    <x v="1"/>
  </r>
  <r>
    <s v="REL00833"/>
    <s v="Male"/>
    <n v="55"/>
    <s v="HSC"/>
    <s v="Divorced"/>
    <x v="3"/>
    <s v="Finance Analyst"/>
    <x v="2"/>
    <x v="5"/>
    <s v="South"/>
    <n v="11"/>
    <n v="72829"/>
    <x v="2"/>
    <n v="2"/>
    <n v="2"/>
    <n v="80"/>
    <n v="2"/>
    <d v="2012-11-29T00:00:00"/>
    <s v="No"/>
    <x v="0"/>
    <n v="2"/>
    <x v="2"/>
    <x v="0"/>
    <x v="1"/>
  </r>
  <r>
    <s v="REL00834"/>
    <s v="Male"/>
    <n v="28"/>
    <s v="Post Graduate"/>
    <s v="Single"/>
    <x v="2"/>
    <s v="Store Manager"/>
    <x v="4"/>
    <x v="3"/>
    <s v="West"/>
    <n v="9"/>
    <n v="98567"/>
    <x v="1"/>
    <n v="4"/>
    <n v="1"/>
    <n v="17"/>
    <n v="3"/>
    <d v="2014-12-15T00:00:00"/>
    <s v="Yes"/>
    <x v="1"/>
    <n v="1"/>
    <x v="1"/>
    <x v="1"/>
    <x v="2"/>
  </r>
  <r>
    <s v="REL00835"/>
    <s v="Female"/>
    <n v="40"/>
    <s v="BTech"/>
    <s v="Married"/>
    <x v="2"/>
    <s v="Sales Executive"/>
    <x v="2"/>
    <x v="4"/>
    <s v="North"/>
    <n v="10"/>
    <n v="50648"/>
    <x v="3"/>
    <n v="4"/>
    <n v="2"/>
    <n v="72"/>
    <n v="2"/>
    <d v="2013-03-17T00:00:00"/>
    <s v="No"/>
    <x v="0"/>
    <n v="4"/>
    <x v="1"/>
    <x v="2"/>
    <x v="1"/>
  </r>
  <r>
    <s v="REL00836"/>
    <s v="Male"/>
    <n v="46"/>
    <s v="HSC"/>
    <s v="Single"/>
    <x v="7"/>
    <s v="Customer Service Rep"/>
    <x v="3"/>
    <x v="7"/>
    <s v="East"/>
    <n v="8"/>
    <n v="48334"/>
    <x v="0"/>
    <n v="3"/>
    <n v="1"/>
    <n v="65"/>
    <n v="2"/>
    <d v="2015-08-10T00:00:00"/>
    <s v="No"/>
    <x v="2"/>
    <n v="3"/>
    <x v="1"/>
    <x v="0"/>
    <x v="1"/>
  </r>
  <r>
    <s v="REL00837"/>
    <s v="Male"/>
    <n v="47"/>
    <s v="MBA"/>
    <s v="Married"/>
    <x v="0"/>
    <s v="Marketing Executive"/>
    <x v="3"/>
    <x v="6"/>
    <s v="South"/>
    <n v="12"/>
    <n v="77180"/>
    <x v="1"/>
    <n v="4"/>
    <n v="4"/>
    <n v="66"/>
    <n v="3"/>
    <d v="2011-07-08T00:00:00"/>
    <s v="No"/>
    <x v="0"/>
    <n v="1"/>
    <x v="2"/>
    <x v="0"/>
    <x v="1"/>
  </r>
  <r>
    <s v="REL00838"/>
    <s v="Male"/>
    <n v="35"/>
    <s v="Post Graduate"/>
    <s v="Divorced"/>
    <x v="5"/>
    <s v="Logistics Coordinator"/>
    <x v="0"/>
    <x v="9"/>
    <s v="West"/>
    <n v="11"/>
    <n v="61361"/>
    <x v="2"/>
    <n v="2"/>
    <n v="3"/>
    <n v="69"/>
    <n v="3"/>
    <d v="2012-09-20T00:00:00"/>
    <s v="No"/>
    <x v="0"/>
    <n v="2"/>
    <x v="2"/>
    <x v="0"/>
    <x v="1"/>
  </r>
  <r>
    <s v="REL00839"/>
    <s v="Female"/>
    <n v="48"/>
    <s v="Graduate"/>
    <s v="Single"/>
    <x v="4"/>
    <s v="Finance Analyst"/>
    <x v="2"/>
    <x v="7"/>
    <s v="East"/>
    <n v="3"/>
    <n v="59560"/>
    <x v="1"/>
    <n v="2"/>
    <n v="3"/>
    <n v="80"/>
    <n v="1"/>
    <d v="2020-05-15T00:00:00"/>
    <s v="No"/>
    <x v="0"/>
    <n v="1"/>
    <x v="0"/>
    <x v="0"/>
    <x v="1"/>
  </r>
  <r>
    <s v="REL00840"/>
    <s v="Female"/>
    <n v="31"/>
    <s v="MBA"/>
    <s v="Divorced"/>
    <x v="6"/>
    <s v="Marketing Executive"/>
    <x v="2"/>
    <x v="2"/>
    <s v="West"/>
    <n v="1"/>
    <n v="54647"/>
    <x v="1"/>
    <n v="2"/>
    <n v="2"/>
    <n v="62"/>
    <n v="2"/>
    <d v="2022-10-05T00:00:00"/>
    <s v="No"/>
    <x v="0"/>
    <n v="1"/>
    <x v="3"/>
    <x v="3"/>
    <x v="1"/>
  </r>
  <r>
    <s v="REL00841"/>
    <s v="Male"/>
    <n v="25"/>
    <s v="HSC"/>
    <s v="Single"/>
    <x v="1"/>
    <s v="Store Manager"/>
    <x v="2"/>
    <x v="9"/>
    <s v="West"/>
    <n v="6"/>
    <n v="90180"/>
    <x v="1"/>
    <n v="3"/>
    <n v="3"/>
    <n v="35"/>
    <n v="1"/>
    <d v="2017-12-23T00:00:00"/>
    <s v="Yes"/>
    <x v="1"/>
    <n v="1"/>
    <x v="1"/>
    <x v="1"/>
    <x v="2"/>
  </r>
  <r>
    <s v="REL00842"/>
    <s v="Female"/>
    <n v="33"/>
    <s v="HSC"/>
    <s v="Married"/>
    <x v="4"/>
    <s v="Customer Service Rep"/>
    <x v="4"/>
    <x v="5"/>
    <s v="South"/>
    <n v="10"/>
    <n v="64118"/>
    <x v="2"/>
    <n v="1"/>
    <n v="2"/>
    <n v="29"/>
    <n v="1"/>
    <d v="2013-05-05T00:00:00"/>
    <s v="No"/>
    <x v="0"/>
    <n v="2"/>
    <x v="1"/>
    <x v="0"/>
    <x v="1"/>
  </r>
  <r>
    <s v="REL00843"/>
    <s v="Male"/>
    <n v="50"/>
    <s v="Graduate"/>
    <s v="Single"/>
    <x v="2"/>
    <s v="Finance Analyst"/>
    <x v="1"/>
    <x v="2"/>
    <s v="West"/>
    <n v="3"/>
    <n v="65215"/>
    <x v="1"/>
    <n v="2"/>
    <n v="4"/>
    <n v="70"/>
    <n v="3"/>
    <d v="2020-01-28T00:00:00"/>
    <s v="Yes"/>
    <x v="0"/>
    <n v="1"/>
    <x v="0"/>
    <x v="1"/>
    <x v="1"/>
  </r>
  <r>
    <s v="REL00844"/>
    <s v="Female"/>
    <n v="23"/>
    <s v="MBA"/>
    <s v="Divorced"/>
    <x v="3"/>
    <s v="Finance Analyst"/>
    <x v="4"/>
    <x v="9"/>
    <s v="West"/>
    <n v="15"/>
    <n v="99165"/>
    <x v="2"/>
    <n v="3"/>
    <n v="3"/>
    <n v="20"/>
    <n v="2"/>
    <d v="2008-10-03T00:00:00"/>
    <s v="No"/>
    <x v="1"/>
    <n v="2"/>
    <x v="2"/>
    <x v="0"/>
    <x v="1"/>
  </r>
  <r>
    <s v="REL00845"/>
    <s v="Male"/>
    <n v="42"/>
    <s v="HSC"/>
    <s v="Divorced"/>
    <x v="3"/>
    <s v="Logistics Coordinator"/>
    <x v="2"/>
    <x v="0"/>
    <s v="North"/>
    <n v="11"/>
    <n v="61898"/>
    <x v="2"/>
    <n v="1"/>
    <n v="3"/>
    <n v="73"/>
    <n v="0"/>
    <d v="2012-01-27T00:00:00"/>
    <s v="Yes"/>
    <x v="0"/>
    <n v="2"/>
    <x v="2"/>
    <x v="1"/>
    <x v="1"/>
  </r>
  <r>
    <s v="REL00846"/>
    <s v="Male"/>
    <n v="53"/>
    <s v="HSC"/>
    <s v="Single"/>
    <x v="6"/>
    <s v="Operations Head"/>
    <x v="2"/>
    <x v="4"/>
    <s v="North"/>
    <n v="14"/>
    <n v="119292"/>
    <x v="2"/>
    <n v="1"/>
    <n v="2"/>
    <n v="49"/>
    <n v="2"/>
    <d v="2009-08-14T00:00:00"/>
    <s v="No"/>
    <x v="1"/>
    <n v="2"/>
    <x v="2"/>
    <x v="0"/>
    <x v="1"/>
  </r>
  <r>
    <s v="REL00847"/>
    <s v="Male"/>
    <n v="30"/>
    <s v="BTech"/>
    <s v="Single"/>
    <x v="6"/>
    <s v="Finance Analyst"/>
    <x v="0"/>
    <x v="9"/>
    <s v="West"/>
    <n v="5"/>
    <n v="62629"/>
    <x v="3"/>
    <n v="1"/>
    <n v="3"/>
    <n v="58"/>
    <n v="1"/>
    <d v="2018-03-26T00:00:00"/>
    <s v="No"/>
    <x v="0"/>
    <n v="4"/>
    <x v="0"/>
    <x v="2"/>
    <x v="1"/>
  </r>
  <r>
    <s v="REL00848"/>
    <s v="Female"/>
    <n v="48"/>
    <s v="HSC"/>
    <s v="Single"/>
    <x v="6"/>
    <s v="Operations Head"/>
    <x v="3"/>
    <x v="9"/>
    <s v="West"/>
    <n v="12"/>
    <n v="121292"/>
    <x v="3"/>
    <n v="3"/>
    <n v="3"/>
    <n v="80"/>
    <n v="1"/>
    <d v="2011-07-01T00:00:00"/>
    <s v="No"/>
    <x v="1"/>
    <n v="4"/>
    <x v="2"/>
    <x v="2"/>
    <x v="0"/>
  </r>
  <r>
    <s v="REL00849"/>
    <s v="Male"/>
    <n v="23"/>
    <s v="Post Graduate"/>
    <s v="Single"/>
    <x v="4"/>
    <s v="Finance Analyst"/>
    <x v="0"/>
    <x v="9"/>
    <s v="West"/>
    <n v="15"/>
    <n v="82778"/>
    <x v="3"/>
    <n v="2"/>
    <n v="1"/>
    <n v="32"/>
    <n v="2"/>
    <d v="2008-04-19T00:00:00"/>
    <s v="No"/>
    <x v="1"/>
    <n v="4"/>
    <x v="2"/>
    <x v="2"/>
    <x v="0"/>
  </r>
  <r>
    <s v="REL00850"/>
    <s v="Female"/>
    <n v="26"/>
    <s v="Post Graduate"/>
    <s v="Divorced"/>
    <x v="3"/>
    <s v="Sales Executive"/>
    <x v="1"/>
    <x v="0"/>
    <s v="North"/>
    <n v="13"/>
    <n v="58471"/>
    <x v="0"/>
    <n v="4"/>
    <n v="3"/>
    <n v="23"/>
    <n v="0"/>
    <d v="2010-12-29T00:00:00"/>
    <s v="Yes"/>
    <x v="0"/>
    <n v="3"/>
    <x v="2"/>
    <x v="1"/>
    <x v="0"/>
  </r>
  <r>
    <s v="REL00851"/>
    <s v="Male"/>
    <n v="35"/>
    <s v="Graduate"/>
    <s v="Divorced"/>
    <x v="3"/>
    <s v="Sales Executive"/>
    <x v="2"/>
    <x v="3"/>
    <s v="West"/>
    <n v="3"/>
    <n v="39001"/>
    <x v="3"/>
    <n v="1"/>
    <n v="4"/>
    <n v="51"/>
    <n v="1"/>
    <d v="2020-05-25T00:00:00"/>
    <s v="Yes"/>
    <x v="2"/>
    <n v="4"/>
    <x v="0"/>
    <x v="1"/>
    <x v="1"/>
  </r>
  <r>
    <s v="REL00852"/>
    <s v="Male"/>
    <n v="54"/>
    <s v="Graduate"/>
    <s v="Single"/>
    <x v="1"/>
    <s v="Operations Head"/>
    <x v="3"/>
    <x v="9"/>
    <s v="West"/>
    <n v="8"/>
    <n v="120392"/>
    <x v="0"/>
    <n v="2"/>
    <n v="2"/>
    <n v="43"/>
    <n v="1"/>
    <d v="2015-05-22T00:00:00"/>
    <s v="Yes"/>
    <x v="1"/>
    <n v="3"/>
    <x v="1"/>
    <x v="1"/>
    <x v="0"/>
  </r>
  <r>
    <s v="REL00853"/>
    <s v="Female"/>
    <n v="40"/>
    <s v="BTech"/>
    <s v="Married"/>
    <x v="1"/>
    <s v="HR Manager"/>
    <x v="4"/>
    <x v="1"/>
    <s v="North"/>
    <n v="4"/>
    <n v="83531"/>
    <x v="3"/>
    <n v="3"/>
    <n v="2"/>
    <n v="64"/>
    <n v="2"/>
    <d v="2019-10-11T00:00:00"/>
    <s v="No"/>
    <x v="1"/>
    <n v="4"/>
    <x v="0"/>
    <x v="2"/>
    <x v="0"/>
  </r>
  <r>
    <s v="REL00854"/>
    <s v="Male"/>
    <n v="26"/>
    <s v="MBA"/>
    <s v="Married"/>
    <x v="1"/>
    <s v="Operations Head"/>
    <x v="1"/>
    <x v="7"/>
    <s v="East"/>
    <n v="11"/>
    <n v="116222"/>
    <x v="3"/>
    <n v="1"/>
    <n v="4"/>
    <n v="20"/>
    <n v="3"/>
    <d v="2012-12-01T00:00:00"/>
    <s v="No"/>
    <x v="1"/>
    <n v="4"/>
    <x v="2"/>
    <x v="2"/>
    <x v="0"/>
  </r>
  <r>
    <s v="REL00855"/>
    <s v="Female"/>
    <n v="44"/>
    <s v="MBA"/>
    <s v="Married"/>
    <x v="2"/>
    <s v="Sales Executive"/>
    <x v="0"/>
    <x v="3"/>
    <s v="West"/>
    <n v="12"/>
    <n v="72651"/>
    <x v="2"/>
    <n v="4"/>
    <n v="3"/>
    <n v="72"/>
    <n v="2"/>
    <d v="2011-07-25T00:00:00"/>
    <s v="No"/>
    <x v="0"/>
    <n v="2"/>
    <x v="2"/>
    <x v="0"/>
    <x v="1"/>
  </r>
  <r>
    <s v="REL00856"/>
    <s v="Female"/>
    <n v="47"/>
    <s v="MBA"/>
    <s v="Married"/>
    <x v="1"/>
    <s v="Customer Service Rep"/>
    <x v="2"/>
    <x v="1"/>
    <s v="North"/>
    <n v="1"/>
    <n v="40426"/>
    <x v="0"/>
    <n v="4"/>
    <n v="2"/>
    <n v="28"/>
    <n v="3"/>
    <d v="2022-05-10T00:00:00"/>
    <s v="No"/>
    <x v="2"/>
    <n v="3"/>
    <x v="3"/>
    <x v="0"/>
    <x v="1"/>
  </r>
  <r>
    <s v="REL00857"/>
    <s v="Female"/>
    <n v="33"/>
    <s v="Post Graduate"/>
    <s v="Divorced"/>
    <x v="0"/>
    <s v="HR Manager"/>
    <x v="2"/>
    <x v="2"/>
    <s v="West"/>
    <n v="7"/>
    <n v="92088"/>
    <x v="2"/>
    <n v="2"/>
    <n v="2"/>
    <n v="22"/>
    <n v="0"/>
    <d v="2016-12-26T00:00:00"/>
    <s v="No"/>
    <x v="1"/>
    <n v="2"/>
    <x v="1"/>
    <x v="0"/>
    <x v="1"/>
  </r>
  <r>
    <s v="REL00858"/>
    <s v="Male"/>
    <n v="41"/>
    <s v="BTech"/>
    <s v="Married"/>
    <x v="7"/>
    <s v="Marketing Executive"/>
    <x v="2"/>
    <x v="2"/>
    <s v="West"/>
    <n v="6"/>
    <n v="52710"/>
    <x v="2"/>
    <n v="2"/>
    <n v="2"/>
    <n v="72"/>
    <n v="3"/>
    <d v="2017-06-16T00:00:00"/>
    <s v="No"/>
    <x v="0"/>
    <n v="2"/>
    <x v="1"/>
    <x v="0"/>
    <x v="1"/>
  </r>
  <r>
    <s v="REL00859"/>
    <s v="Female"/>
    <n v="40"/>
    <s v="Post Graduate"/>
    <s v="Single"/>
    <x v="6"/>
    <s v="Store Manager"/>
    <x v="2"/>
    <x v="2"/>
    <s v="West"/>
    <n v="11"/>
    <n v="108579"/>
    <x v="1"/>
    <n v="4"/>
    <n v="2"/>
    <n v="63"/>
    <n v="3"/>
    <d v="2012-07-22T00:00:00"/>
    <s v="Yes"/>
    <x v="1"/>
    <n v="1"/>
    <x v="2"/>
    <x v="1"/>
    <x v="2"/>
  </r>
  <r>
    <s v="REL00860"/>
    <s v="Male"/>
    <n v="55"/>
    <s v="HSC"/>
    <s v="Married"/>
    <x v="4"/>
    <s v="Operations Head"/>
    <x v="2"/>
    <x v="3"/>
    <s v="West"/>
    <n v="11"/>
    <n v="121057"/>
    <x v="2"/>
    <n v="3"/>
    <n v="2"/>
    <n v="57"/>
    <n v="3"/>
    <d v="2012-11-02T00:00:00"/>
    <s v="No"/>
    <x v="1"/>
    <n v="2"/>
    <x v="2"/>
    <x v="0"/>
    <x v="1"/>
  </r>
  <r>
    <s v="REL00861"/>
    <s v="Male"/>
    <n v="42"/>
    <s v="MBA"/>
    <s v="Married"/>
    <x v="0"/>
    <s v="Marketing Executive"/>
    <x v="3"/>
    <x v="0"/>
    <s v="North"/>
    <n v="7"/>
    <n v="60863"/>
    <x v="2"/>
    <n v="3"/>
    <n v="3"/>
    <n v="34"/>
    <n v="1"/>
    <d v="2016-01-16T00:00:00"/>
    <s v="No"/>
    <x v="0"/>
    <n v="2"/>
    <x v="1"/>
    <x v="0"/>
    <x v="1"/>
  </r>
  <r>
    <s v="REL00862"/>
    <s v="Male"/>
    <n v="42"/>
    <s v="BTech"/>
    <s v="Single"/>
    <x v="1"/>
    <s v="Marketing Executive"/>
    <x v="1"/>
    <x v="7"/>
    <s v="East"/>
    <n v="14"/>
    <n v="84010"/>
    <x v="0"/>
    <n v="4"/>
    <n v="2"/>
    <n v="51"/>
    <n v="0"/>
    <d v="2009-05-09T00:00:00"/>
    <s v="No"/>
    <x v="1"/>
    <n v="3"/>
    <x v="2"/>
    <x v="0"/>
    <x v="0"/>
  </r>
  <r>
    <s v="REL00863"/>
    <s v="Male"/>
    <n v="45"/>
    <s v="Graduate"/>
    <s v="Married"/>
    <x v="7"/>
    <s v="Finance Analyst"/>
    <x v="3"/>
    <x v="1"/>
    <s v="North"/>
    <n v="2"/>
    <n v="66765"/>
    <x v="2"/>
    <n v="2"/>
    <n v="2"/>
    <n v="10"/>
    <n v="2"/>
    <d v="2021-08-13T00:00:00"/>
    <s v="No"/>
    <x v="0"/>
    <n v="2"/>
    <x v="3"/>
    <x v="0"/>
    <x v="1"/>
  </r>
  <r>
    <s v="REL00864"/>
    <s v="Male"/>
    <n v="34"/>
    <s v="BTech"/>
    <s v="Divorced"/>
    <x v="7"/>
    <s v="Operations Head"/>
    <x v="1"/>
    <x v="7"/>
    <s v="East"/>
    <n v="13"/>
    <n v="121486"/>
    <x v="0"/>
    <n v="1"/>
    <n v="3"/>
    <n v="17"/>
    <n v="1"/>
    <d v="2010-07-28T00:00:00"/>
    <s v="No"/>
    <x v="1"/>
    <n v="3"/>
    <x v="2"/>
    <x v="0"/>
    <x v="0"/>
  </r>
  <r>
    <s v="REL00865"/>
    <s v="Female"/>
    <n v="23"/>
    <s v="Graduate"/>
    <s v="Divorced"/>
    <x v="4"/>
    <s v="Store Manager"/>
    <x v="2"/>
    <x v="1"/>
    <s v="North"/>
    <n v="7"/>
    <n v="98770"/>
    <x v="1"/>
    <n v="4"/>
    <n v="1"/>
    <n v="57"/>
    <n v="3"/>
    <d v="2016-10-21T00:00:00"/>
    <s v="Yes"/>
    <x v="1"/>
    <n v="1"/>
    <x v="1"/>
    <x v="1"/>
    <x v="2"/>
  </r>
  <r>
    <s v="REL00866"/>
    <s v="Female"/>
    <n v="39"/>
    <s v="Post Graduate"/>
    <s v="Divorced"/>
    <x v="7"/>
    <s v="Finance Analyst"/>
    <x v="3"/>
    <x v="6"/>
    <s v="South"/>
    <n v="10"/>
    <n v="80292"/>
    <x v="0"/>
    <n v="4"/>
    <n v="3"/>
    <n v="30"/>
    <n v="1"/>
    <d v="2013-08-16T00:00:00"/>
    <s v="Yes"/>
    <x v="1"/>
    <n v="3"/>
    <x v="1"/>
    <x v="1"/>
    <x v="0"/>
  </r>
  <r>
    <s v="REL00867"/>
    <s v="Male"/>
    <n v="42"/>
    <s v="MBA"/>
    <s v="Divorced"/>
    <x v="0"/>
    <s v="Customer Service Rep"/>
    <x v="4"/>
    <x v="7"/>
    <s v="East"/>
    <n v="14"/>
    <n v="71106"/>
    <x v="3"/>
    <n v="1"/>
    <n v="4"/>
    <n v="51"/>
    <n v="3"/>
    <d v="2009-06-30T00:00:00"/>
    <s v="No"/>
    <x v="0"/>
    <n v="4"/>
    <x v="2"/>
    <x v="2"/>
    <x v="1"/>
  </r>
  <r>
    <s v="REL00868"/>
    <s v="Male"/>
    <n v="54"/>
    <s v="Graduate"/>
    <s v="Divorced"/>
    <x v="5"/>
    <s v="Operations Head"/>
    <x v="1"/>
    <x v="6"/>
    <s v="South"/>
    <n v="11"/>
    <n v="117617"/>
    <x v="3"/>
    <n v="2"/>
    <n v="4"/>
    <n v="18"/>
    <n v="0"/>
    <d v="2012-03-18T00:00:00"/>
    <s v="No"/>
    <x v="1"/>
    <n v="4"/>
    <x v="2"/>
    <x v="2"/>
    <x v="0"/>
  </r>
  <r>
    <s v="REL00869"/>
    <s v="Female"/>
    <n v="27"/>
    <s v="MBA"/>
    <s v="Married"/>
    <x v="3"/>
    <s v="Marketing Executive"/>
    <x v="4"/>
    <x v="6"/>
    <s v="South"/>
    <n v="12"/>
    <n v="67010"/>
    <x v="0"/>
    <n v="1"/>
    <n v="4"/>
    <n v="61"/>
    <n v="0"/>
    <d v="2011-07-06T00:00:00"/>
    <s v="No"/>
    <x v="0"/>
    <n v="3"/>
    <x v="2"/>
    <x v="0"/>
    <x v="0"/>
  </r>
  <r>
    <s v="REL00870"/>
    <s v="Male"/>
    <n v="38"/>
    <s v="Post Graduate"/>
    <s v="Single"/>
    <x v="6"/>
    <s v="Sales Executive"/>
    <x v="3"/>
    <x v="1"/>
    <s v="North"/>
    <n v="9"/>
    <n v="54791"/>
    <x v="0"/>
    <n v="1"/>
    <n v="1"/>
    <n v="16"/>
    <n v="1"/>
    <d v="2014-10-14T00:00:00"/>
    <s v="No"/>
    <x v="0"/>
    <n v="3"/>
    <x v="1"/>
    <x v="0"/>
    <x v="0"/>
  </r>
  <r>
    <s v="REL00871"/>
    <s v="Female"/>
    <n v="42"/>
    <s v="MBA"/>
    <s v="Divorced"/>
    <x v="0"/>
    <s v="Marketing Executive"/>
    <x v="4"/>
    <x v="9"/>
    <s v="West"/>
    <n v="13"/>
    <n v="71001"/>
    <x v="0"/>
    <n v="4"/>
    <n v="1"/>
    <n v="75"/>
    <n v="2"/>
    <d v="2010-04-23T00:00:00"/>
    <s v="No"/>
    <x v="0"/>
    <n v="3"/>
    <x v="2"/>
    <x v="0"/>
    <x v="0"/>
  </r>
  <r>
    <s v="REL00872"/>
    <s v="Male"/>
    <n v="53"/>
    <s v="Graduate"/>
    <s v="Married"/>
    <x v="0"/>
    <s v="Marketing Executive"/>
    <x v="3"/>
    <x v="9"/>
    <s v="West"/>
    <n v="1"/>
    <n v="61322"/>
    <x v="3"/>
    <n v="1"/>
    <n v="3"/>
    <n v="75"/>
    <n v="1"/>
    <d v="2022-09-17T00:00:00"/>
    <s v="Yes"/>
    <x v="0"/>
    <n v="4"/>
    <x v="3"/>
    <x v="1"/>
    <x v="1"/>
  </r>
  <r>
    <s v="REL00873"/>
    <s v="Female"/>
    <n v="32"/>
    <s v="Post Graduate"/>
    <s v="Divorced"/>
    <x v="1"/>
    <s v="Operations Head"/>
    <x v="2"/>
    <x v="2"/>
    <s v="West"/>
    <n v="15"/>
    <n v="123704"/>
    <x v="3"/>
    <n v="3"/>
    <n v="3"/>
    <n v="35"/>
    <n v="2"/>
    <d v="2008-06-27T00:00:00"/>
    <s v="No"/>
    <x v="1"/>
    <n v="4"/>
    <x v="2"/>
    <x v="2"/>
    <x v="0"/>
  </r>
  <r>
    <s v="REL00874"/>
    <s v="Female"/>
    <n v="35"/>
    <s v="Post Graduate"/>
    <s v="Single"/>
    <x v="6"/>
    <s v="Store Manager"/>
    <x v="4"/>
    <x v="8"/>
    <s v="South"/>
    <n v="8"/>
    <n v="105599"/>
    <x v="2"/>
    <n v="1"/>
    <n v="4"/>
    <n v="23"/>
    <n v="1"/>
    <d v="2015-02-04T00:00:00"/>
    <s v="No"/>
    <x v="1"/>
    <n v="2"/>
    <x v="1"/>
    <x v="0"/>
    <x v="1"/>
  </r>
  <r>
    <s v="REL00875"/>
    <s v="Female"/>
    <n v="35"/>
    <s v="BTech"/>
    <s v="Single"/>
    <x v="4"/>
    <s v="Finance Analyst"/>
    <x v="2"/>
    <x v="5"/>
    <s v="South"/>
    <n v="6"/>
    <n v="63781"/>
    <x v="2"/>
    <n v="3"/>
    <n v="1"/>
    <n v="37"/>
    <n v="1"/>
    <d v="2017-03-18T00:00:00"/>
    <s v="No"/>
    <x v="0"/>
    <n v="2"/>
    <x v="1"/>
    <x v="0"/>
    <x v="1"/>
  </r>
  <r>
    <s v="REL00876"/>
    <s v="Female"/>
    <n v="52"/>
    <s v="BTech"/>
    <s v="Divorced"/>
    <x v="1"/>
    <s v="Customer Service Rep"/>
    <x v="3"/>
    <x v="7"/>
    <s v="East"/>
    <n v="12"/>
    <n v="64003"/>
    <x v="1"/>
    <n v="3"/>
    <n v="2"/>
    <n v="19"/>
    <n v="0"/>
    <d v="2011-10-12T00:00:00"/>
    <s v="No"/>
    <x v="0"/>
    <n v="1"/>
    <x v="2"/>
    <x v="0"/>
    <x v="1"/>
  </r>
  <r>
    <s v="REL00877"/>
    <s v="Female"/>
    <n v="46"/>
    <s v="BTech"/>
    <s v="Single"/>
    <x v="0"/>
    <s v="Store Manager"/>
    <x v="1"/>
    <x v="3"/>
    <s v="West"/>
    <n v="14"/>
    <n v="111986"/>
    <x v="3"/>
    <n v="1"/>
    <n v="1"/>
    <n v="57"/>
    <n v="1"/>
    <d v="2009-08-02T00:00:00"/>
    <s v="Yes"/>
    <x v="1"/>
    <n v="4"/>
    <x v="2"/>
    <x v="1"/>
    <x v="0"/>
  </r>
  <r>
    <s v="REL00878"/>
    <s v="Male"/>
    <n v="41"/>
    <s v="Post Graduate"/>
    <s v="Married"/>
    <x v="6"/>
    <s v="Logistics Coordinator"/>
    <x v="0"/>
    <x v="5"/>
    <s v="South"/>
    <n v="5"/>
    <n v="45733"/>
    <x v="3"/>
    <n v="4"/>
    <n v="2"/>
    <n v="25"/>
    <n v="0"/>
    <d v="2018-12-16T00:00:00"/>
    <s v="No"/>
    <x v="2"/>
    <n v="4"/>
    <x v="0"/>
    <x v="2"/>
    <x v="1"/>
  </r>
  <r>
    <s v="REL00879"/>
    <s v="Female"/>
    <n v="39"/>
    <s v="Graduate"/>
    <s v="Divorced"/>
    <x v="3"/>
    <s v="Marketing Executive"/>
    <x v="4"/>
    <x v="9"/>
    <s v="West"/>
    <n v="2"/>
    <n v="58917"/>
    <x v="3"/>
    <n v="4"/>
    <n v="1"/>
    <n v="29"/>
    <n v="1"/>
    <d v="2021-01-11T00:00:00"/>
    <s v="No"/>
    <x v="0"/>
    <n v="4"/>
    <x v="3"/>
    <x v="2"/>
    <x v="1"/>
  </r>
  <r>
    <s v="REL00880"/>
    <s v="Male"/>
    <n v="22"/>
    <s v="BTech"/>
    <s v="Single"/>
    <x v="6"/>
    <s v="Finance Analyst"/>
    <x v="3"/>
    <x v="0"/>
    <s v="North"/>
    <n v="1"/>
    <n v="66171"/>
    <x v="3"/>
    <n v="1"/>
    <n v="3"/>
    <n v="46"/>
    <n v="3"/>
    <d v="2022-06-04T00:00:00"/>
    <s v="No"/>
    <x v="0"/>
    <n v="4"/>
    <x v="3"/>
    <x v="2"/>
    <x v="1"/>
  </r>
  <r>
    <s v="REL00881"/>
    <s v="Male"/>
    <n v="49"/>
    <s v="BTech"/>
    <s v="Divorced"/>
    <x v="4"/>
    <s v="Marketing Executive"/>
    <x v="4"/>
    <x v="5"/>
    <s v="South"/>
    <n v="14"/>
    <n v="75694"/>
    <x v="2"/>
    <n v="4"/>
    <n v="2"/>
    <n v="16"/>
    <n v="2"/>
    <d v="2010-01-04T00:00:00"/>
    <s v="No"/>
    <x v="0"/>
    <n v="2"/>
    <x v="2"/>
    <x v="0"/>
    <x v="1"/>
  </r>
  <r>
    <s v="REL00882"/>
    <s v="Female"/>
    <n v="31"/>
    <s v="HSC"/>
    <s v="Divorced"/>
    <x v="2"/>
    <s v="Finance Analyst"/>
    <x v="1"/>
    <x v="7"/>
    <s v="East"/>
    <n v="8"/>
    <n v="83845"/>
    <x v="2"/>
    <n v="3"/>
    <n v="4"/>
    <n v="32"/>
    <n v="3"/>
    <d v="2015-06-26T00:00:00"/>
    <s v="No"/>
    <x v="1"/>
    <n v="2"/>
    <x v="1"/>
    <x v="0"/>
    <x v="1"/>
  </r>
  <r>
    <s v="REL00883"/>
    <s v="Female"/>
    <n v="27"/>
    <s v="BTech"/>
    <s v="Married"/>
    <x v="7"/>
    <s v="Finance Analyst"/>
    <x v="0"/>
    <x v="7"/>
    <s v="East"/>
    <n v="3"/>
    <n v="73769"/>
    <x v="2"/>
    <n v="2"/>
    <n v="3"/>
    <n v="55"/>
    <n v="3"/>
    <d v="2020-07-01T00:00:00"/>
    <s v="No"/>
    <x v="0"/>
    <n v="2"/>
    <x v="0"/>
    <x v="0"/>
    <x v="1"/>
  </r>
  <r>
    <s v="REL00884"/>
    <s v="Male"/>
    <n v="30"/>
    <s v="Post Graduate"/>
    <s v="Divorced"/>
    <x v="3"/>
    <s v="HR Manager"/>
    <x v="4"/>
    <x v="9"/>
    <s v="West"/>
    <n v="9"/>
    <n v="102621"/>
    <x v="2"/>
    <n v="4"/>
    <n v="1"/>
    <n v="63"/>
    <n v="0"/>
    <d v="2014-04-02T00:00:00"/>
    <s v="No"/>
    <x v="1"/>
    <n v="2"/>
    <x v="1"/>
    <x v="0"/>
    <x v="1"/>
  </r>
  <r>
    <s v="REL00885"/>
    <s v="Male"/>
    <n v="36"/>
    <s v="HSC"/>
    <s v="Married"/>
    <x v="0"/>
    <s v="Store Manager"/>
    <x v="1"/>
    <x v="1"/>
    <s v="North"/>
    <n v="10"/>
    <n v="103346"/>
    <x v="3"/>
    <n v="1"/>
    <n v="3"/>
    <n v="57"/>
    <n v="3"/>
    <d v="2013-01-28T00:00:00"/>
    <s v="No"/>
    <x v="1"/>
    <n v="4"/>
    <x v="1"/>
    <x v="2"/>
    <x v="0"/>
  </r>
  <r>
    <s v="REL00886"/>
    <s v="Female"/>
    <n v="31"/>
    <s v="Post Graduate"/>
    <s v="Divorced"/>
    <x v="6"/>
    <s v="Logistics Coordinator"/>
    <x v="2"/>
    <x v="1"/>
    <s v="North"/>
    <n v="12"/>
    <n v="62487"/>
    <x v="2"/>
    <n v="1"/>
    <n v="1"/>
    <n v="73"/>
    <n v="1"/>
    <d v="2011-02-11T00:00:00"/>
    <s v="No"/>
    <x v="0"/>
    <n v="2"/>
    <x v="2"/>
    <x v="0"/>
    <x v="1"/>
  </r>
  <r>
    <s v="REL00887"/>
    <s v="Male"/>
    <n v="23"/>
    <s v="HSC"/>
    <s v="Single"/>
    <x v="4"/>
    <s v="Marketing Executive"/>
    <x v="2"/>
    <x v="0"/>
    <s v="North"/>
    <n v="5"/>
    <n v="67759"/>
    <x v="1"/>
    <n v="2"/>
    <n v="2"/>
    <n v="19"/>
    <n v="0"/>
    <d v="2018-12-21T00:00:00"/>
    <s v="Yes"/>
    <x v="0"/>
    <n v="1"/>
    <x v="0"/>
    <x v="1"/>
    <x v="1"/>
  </r>
  <r>
    <s v="REL00888"/>
    <s v="Female"/>
    <n v="45"/>
    <s v="Post Graduate"/>
    <s v="Married"/>
    <x v="7"/>
    <s v="Logistics Coordinator"/>
    <x v="4"/>
    <x v="8"/>
    <s v="South"/>
    <n v="6"/>
    <n v="47346"/>
    <x v="1"/>
    <n v="4"/>
    <n v="4"/>
    <n v="15"/>
    <n v="3"/>
    <d v="2017-07-11T00:00:00"/>
    <s v="Yes"/>
    <x v="2"/>
    <n v="1"/>
    <x v="1"/>
    <x v="1"/>
    <x v="1"/>
  </r>
  <r>
    <s v="REL00889"/>
    <s v="Male"/>
    <n v="49"/>
    <s v="BTech"/>
    <s v="Divorced"/>
    <x v="7"/>
    <s v="Operations Head"/>
    <x v="0"/>
    <x v="3"/>
    <s v="West"/>
    <n v="1"/>
    <n v="102518"/>
    <x v="2"/>
    <n v="3"/>
    <n v="4"/>
    <n v="13"/>
    <n v="3"/>
    <d v="2022-04-01T00:00:00"/>
    <s v="No"/>
    <x v="1"/>
    <n v="2"/>
    <x v="3"/>
    <x v="0"/>
    <x v="1"/>
  </r>
  <r>
    <s v="REL00890"/>
    <s v="Male"/>
    <n v="51"/>
    <s v="MBA"/>
    <s v="Divorced"/>
    <x v="7"/>
    <s v="Sales Executive"/>
    <x v="4"/>
    <x v="3"/>
    <s v="West"/>
    <n v="5"/>
    <n v="42718"/>
    <x v="1"/>
    <n v="3"/>
    <n v="2"/>
    <n v="70"/>
    <n v="0"/>
    <d v="2018-02-13T00:00:00"/>
    <s v="No"/>
    <x v="2"/>
    <n v="1"/>
    <x v="0"/>
    <x v="0"/>
    <x v="1"/>
  </r>
  <r>
    <s v="REL00891"/>
    <s v="Male"/>
    <n v="54"/>
    <s v="MBA"/>
    <s v="Single"/>
    <x v="4"/>
    <s v="Logistics Coordinator"/>
    <x v="1"/>
    <x v="7"/>
    <s v="East"/>
    <n v="4"/>
    <n v="46111"/>
    <x v="1"/>
    <n v="2"/>
    <n v="4"/>
    <n v="45"/>
    <n v="3"/>
    <d v="2019-10-29T00:00:00"/>
    <s v="No"/>
    <x v="2"/>
    <n v="1"/>
    <x v="0"/>
    <x v="0"/>
    <x v="1"/>
  </r>
  <r>
    <s v="REL00892"/>
    <s v="Male"/>
    <n v="24"/>
    <s v="HSC"/>
    <s v="Divorced"/>
    <x v="0"/>
    <s v="Finance Analyst"/>
    <x v="0"/>
    <x v="1"/>
    <s v="North"/>
    <n v="12"/>
    <n v="79698"/>
    <x v="3"/>
    <n v="3"/>
    <n v="4"/>
    <n v="24"/>
    <n v="1"/>
    <d v="2011-08-07T00:00:00"/>
    <s v="No"/>
    <x v="0"/>
    <n v="4"/>
    <x v="2"/>
    <x v="2"/>
    <x v="1"/>
  </r>
  <r>
    <s v="REL00893"/>
    <s v="Female"/>
    <n v="33"/>
    <s v="Post Graduate"/>
    <s v="Married"/>
    <x v="1"/>
    <s v="Store Manager"/>
    <x v="3"/>
    <x v="0"/>
    <s v="North"/>
    <n v="4"/>
    <n v="95691"/>
    <x v="1"/>
    <n v="4"/>
    <n v="2"/>
    <n v="66"/>
    <n v="0"/>
    <d v="2019-12-11T00:00:00"/>
    <s v="Yes"/>
    <x v="1"/>
    <n v="1"/>
    <x v="0"/>
    <x v="1"/>
    <x v="2"/>
  </r>
  <r>
    <s v="REL00894"/>
    <s v="Female"/>
    <n v="23"/>
    <s v="BTech"/>
    <s v="Divorced"/>
    <x v="3"/>
    <s v="Store Manager"/>
    <x v="2"/>
    <x v="0"/>
    <s v="North"/>
    <n v="12"/>
    <n v="113355"/>
    <x v="0"/>
    <n v="3"/>
    <n v="1"/>
    <n v="63"/>
    <n v="3"/>
    <d v="2011-07-01T00:00:00"/>
    <s v="No"/>
    <x v="1"/>
    <n v="3"/>
    <x v="2"/>
    <x v="0"/>
    <x v="0"/>
  </r>
  <r>
    <s v="REL00895"/>
    <s v="Female"/>
    <n v="47"/>
    <s v="BTech"/>
    <s v="Single"/>
    <x v="4"/>
    <s v="Sales Executive"/>
    <x v="3"/>
    <x v="3"/>
    <s v="West"/>
    <n v="2"/>
    <n v="36858"/>
    <x v="1"/>
    <n v="2"/>
    <n v="1"/>
    <n v="13"/>
    <n v="1"/>
    <d v="2021-07-02T00:00:00"/>
    <s v="No"/>
    <x v="2"/>
    <n v="1"/>
    <x v="3"/>
    <x v="3"/>
    <x v="1"/>
  </r>
  <r>
    <s v="REL00896"/>
    <s v="Male"/>
    <n v="48"/>
    <s v="Graduate"/>
    <s v="Divorced"/>
    <x v="3"/>
    <s v="Customer Service Rep"/>
    <x v="2"/>
    <x v="0"/>
    <s v="North"/>
    <n v="11"/>
    <n v="65263"/>
    <x v="1"/>
    <n v="1"/>
    <n v="2"/>
    <n v="35"/>
    <n v="1"/>
    <d v="2012-11-30T00:00:00"/>
    <s v="Yes"/>
    <x v="0"/>
    <n v="1"/>
    <x v="2"/>
    <x v="1"/>
    <x v="1"/>
  </r>
  <r>
    <s v="REL00897"/>
    <s v="Female"/>
    <n v="55"/>
    <s v="Graduate"/>
    <s v="Married"/>
    <x v="3"/>
    <s v="Store Manager"/>
    <x v="3"/>
    <x v="8"/>
    <s v="South"/>
    <n v="6"/>
    <n v="103718"/>
    <x v="3"/>
    <n v="2"/>
    <n v="3"/>
    <n v="41"/>
    <n v="3"/>
    <d v="2017-11-06T00:00:00"/>
    <s v="Yes"/>
    <x v="1"/>
    <n v="4"/>
    <x v="1"/>
    <x v="1"/>
    <x v="0"/>
  </r>
  <r>
    <s v="REL00898"/>
    <s v="Male"/>
    <n v="31"/>
    <s v="Post Graduate"/>
    <s v="Divorced"/>
    <x v="1"/>
    <s v="Marketing Executive"/>
    <x v="3"/>
    <x v="5"/>
    <s v="South"/>
    <n v="8"/>
    <n v="59245"/>
    <x v="1"/>
    <n v="2"/>
    <n v="1"/>
    <n v="71"/>
    <n v="0"/>
    <d v="2015-03-26T00:00:00"/>
    <s v="Yes"/>
    <x v="0"/>
    <n v="1"/>
    <x v="1"/>
    <x v="1"/>
    <x v="1"/>
  </r>
  <r>
    <s v="REL00899"/>
    <s v="Female"/>
    <n v="24"/>
    <s v="HSC"/>
    <s v="Married"/>
    <x v="3"/>
    <s v="Customer Service Rep"/>
    <x v="2"/>
    <x v="4"/>
    <s v="North"/>
    <n v="14"/>
    <n v="60384"/>
    <x v="1"/>
    <n v="1"/>
    <n v="2"/>
    <n v="57"/>
    <n v="3"/>
    <d v="2009-12-05T00:00:00"/>
    <s v="Yes"/>
    <x v="0"/>
    <n v="1"/>
    <x v="2"/>
    <x v="1"/>
    <x v="1"/>
  </r>
  <r>
    <s v="REL00900"/>
    <s v="Female"/>
    <n v="53"/>
    <s v="Graduate"/>
    <s v="Married"/>
    <x v="1"/>
    <s v="Logistics Coordinator"/>
    <x v="2"/>
    <x v="9"/>
    <s v="West"/>
    <n v="10"/>
    <n v="60153"/>
    <x v="1"/>
    <n v="1"/>
    <n v="4"/>
    <n v="18"/>
    <n v="0"/>
    <d v="2013-04-12T00:00:00"/>
    <s v="No"/>
    <x v="0"/>
    <n v="1"/>
    <x v="1"/>
    <x v="0"/>
    <x v="1"/>
  </r>
  <r>
    <s v="REL00901"/>
    <s v="Female"/>
    <n v="41"/>
    <s v="MBA"/>
    <s v="Divorced"/>
    <x v="0"/>
    <s v="Operations Head"/>
    <x v="0"/>
    <x v="6"/>
    <s v="South"/>
    <n v="7"/>
    <n v="114220"/>
    <x v="2"/>
    <n v="4"/>
    <n v="4"/>
    <n v="27"/>
    <n v="3"/>
    <d v="2016-07-31T00:00:00"/>
    <s v="No"/>
    <x v="1"/>
    <n v="2"/>
    <x v="1"/>
    <x v="0"/>
    <x v="1"/>
  </r>
  <r>
    <s v="REL00902"/>
    <s v="Female"/>
    <n v="54"/>
    <s v="Post Graduate"/>
    <s v="Married"/>
    <x v="2"/>
    <s v="Sales Executive"/>
    <x v="3"/>
    <x v="7"/>
    <s v="East"/>
    <n v="9"/>
    <n v="56244"/>
    <x v="2"/>
    <n v="3"/>
    <n v="2"/>
    <n v="34"/>
    <n v="2"/>
    <d v="2014-08-18T00:00:00"/>
    <s v="No"/>
    <x v="0"/>
    <n v="2"/>
    <x v="1"/>
    <x v="0"/>
    <x v="1"/>
  </r>
  <r>
    <s v="REL00903"/>
    <s v="Male"/>
    <n v="30"/>
    <s v="HSC"/>
    <s v="Single"/>
    <x v="1"/>
    <s v="Operations Head"/>
    <x v="0"/>
    <x v="8"/>
    <s v="South"/>
    <n v="5"/>
    <n v="114587"/>
    <x v="1"/>
    <n v="3"/>
    <n v="3"/>
    <n v="36"/>
    <n v="3"/>
    <d v="2018-01-30T00:00:00"/>
    <s v="No"/>
    <x v="1"/>
    <n v="1"/>
    <x v="0"/>
    <x v="0"/>
    <x v="2"/>
  </r>
  <r>
    <s v="REL00904"/>
    <s v="Female"/>
    <n v="33"/>
    <s v="MBA"/>
    <s v="Married"/>
    <x v="3"/>
    <s v="Marketing Executive"/>
    <x v="4"/>
    <x v="4"/>
    <s v="North"/>
    <n v="11"/>
    <n v="68741"/>
    <x v="2"/>
    <n v="2"/>
    <n v="4"/>
    <n v="71"/>
    <n v="2"/>
    <d v="2012-02-14T00:00:00"/>
    <s v="No"/>
    <x v="0"/>
    <n v="2"/>
    <x v="2"/>
    <x v="0"/>
    <x v="1"/>
  </r>
  <r>
    <s v="REL00905"/>
    <s v="Male"/>
    <n v="46"/>
    <s v="BTech"/>
    <s v="Married"/>
    <x v="7"/>
    <s v="Operations Head"/>
    <x v="1"/>
    <x v="4"/>
    <s v="North"/>
    <n v="3"/>
    <n v="110856"/>
    <x v="2"/>
    <n v="1"/>
    <n v="1"/>
    <n v="34"/>
    <n v="2"/>
    <d v="2020-08-25T00:00:00"/>
    <s v="Yes"/>
    <x v="1"/>
    <n v="2"/>
    <x v="0"/>
    <x v="1"/>
    <x v="1"/>
  </r>
  <r>
    <s v="REL00906"/>
    <s v="Female"/>
    <n v="53"/>
    <s v="BTech"/>
    <s v="Single"/>
    <x v="7"/>
    <s v="Logistics Coordinator"/>
    <x v="1"/>
    <x v="9"/>
    <s v="West"/>
    <n v="9"/>
    <n v="59527"/>
    <x v="2"/>
    <n v="4"/>
    <n v="4"/>
    <n v="59"/>
    <n v="2"/>
    <d v="2014-12-08T00:00:00"/>
    <s v="No"/>
    <x v="0"/>
    <n v="2"/>
    <x v="1"/>
    <x v="0"/>
    <x v="1"/>
  </r>
  <r>
    <s v="REL00907"/>
    <s v="Male"/>
    <n v="39"/>
    <s v="Post Graduate"/>
    <s v="Single"/>
    <x v="3"/>
    <s v="Store Manager"/>
    <x v="2"/>
    <x v="0"/>
    <s v="North"/>
    <n v="6"/>
    <n v="88344"/>
    <x v="3"/>
    <n v="4"/>
    <n v="2"/>
    <n v="15"/>
    <n v="0"/>
    <d v="2017-08-13T00:00:00"/>
    <s v="Yes"/>
    <x v="1"/>
    <n v="4"/>
    <x v="1"/>
    <x v="1"/>
    <x v="0"/>
  </r>
  <r>
    <s v="REL00908"/>
    <s v="Female"/>
    <n v="44"/>
    <s v="Post Graduate"/>
    <s v="Single"/>
    <x v="2"/>
    <s v="Logistics Coordinator"/>
    <x v="0"/>
    <x v="3"/>
    <s v="West"/>
    <n v="5"/>
    <n v="52886"/>
    <x v="2"/>
    <n v="1"/>
    <n v="3"/>
    <n v="38"/>
    <n v="1"/>
    <d v="2018-09-12T00:00:00"/>
    <s v="No"/>
    <x v="0"/>
    <n v="2"/>
    <x v="0"/>
    <x v="0"/>
    <x v="1"/>
  </r>
  <r>
    <s v="REL00909"/>
    <s v="Female"/>
    <n v="29"/>
    <s v="Graduate"/>
    <s v="Single"/>
    <x v="1"/>
    <s v="Sales Executive"/>
    <x v="1"/>
    <x v="2"/>
    <s v="West"/>
    <n v="3"/>
    <n v="54718"/>
    <x v="3"/>
    <n v="4"/>
    <n v="2"/>
    <n v="40"/>
    <n v="3"/>
    <d v="2020-08-16T00:00:00"/>
    <s v="No"/>
    <x v="0"/>
    <n v="4"/>
    <x v="0"/>
    <x v="2"/>
    <x v="1"/>
  </r>
  <r>
    <s v="REL00910"/>
    <s v="Female"/>
    <n v="49"/>
    <s v="BTech"/>
    <s v="Divorced"/>
    <x v="3"/>
    <s v="Sales Executive"/>
    <x v="2"/>
    <x v="4"/>
    <s v="North"/>
    <n v="5"/>
    <n v="40103"/>
    <x v="0"/>
    <n v="4"/>
    <n v="4"/>
    <n v="37"/>
    <n v="1"/>
    <d v="2018-01-24T00:00:00"/>
    <s v="No"/>
    <x v="2"/>
    <n v="3"/>
    <x v="0"/>
    <x v="0"/>
    <x v="1"/>
  </r>
  <r>
    <s v="REL00911"/>
    <s v="Female"/>
    <n v="35"/>
    <s v="MBA"/>
    <s v="Married"/>
    <x v="2"/>
    <s v="HR Manager"/>
    <x v="3"/>
    <x v="0"/>
    <s v="North"/>
    <n v="8"/>
    <n v="93598"/>
    <x v="1"/>
    <n v="3"/>
    <n v="3"/>
    <n v="12"/>
    <n v="3"/>
    <d v="2015-12-23T00:00:00"/>
    <s v="Yes"/>
    <x v="1"/>
    <n v="1"/>
    <x v="1"/>
    <x v="1"/>
    <x v="2"/>
  </r>
  <r>
    <s v="REL00912"/>
    <s v="Female"/>
    <n v="32"/>
    <s v="MBA"/>
    <s v="Single"/>
    <x v="6"/>
    <s v="HR Manager"/>
    <x v="3"/>
    <x v="1"/>
    <s v="North"/>
    <n v="6"/>
    <n v="79534"/>
    <x v="0"/>
    <n v="2"/>
    <n v="3"/>
    <n v="55"/>
    <n v="3"/>
    <d v="2017-01-10T00:00:00"/>
    <s v="No"/>
    <x v="0"/>
    <n v="3"/>
    <x v="1"/>
    <x v="0"/>
    <x v="0"/>
  </r>
  <r>
    <s v="REL00913"/>
    <s v="Male"/>
    <n v="50"/>
    <s v="Graduate"/>
    <s v="Married"/>
    <x v="1"/>
    <s v="Finance Analyst"/>
    <x v="0"/>
    <x v="8"/>
    <s v="South"/>
    <n v="7"/>
    <n v="64795"/>
    <x v="0"/>
    <n v="3"/>
    <n v="3"/>
    <n v="58"/>
    <n v="0"/>
    <d v="2016-08-31T00:00:00"/>
    <s v="No"/>
    <x v="0"/>
    <n v="3"/>
    <x v="1"/>
    <x v="0"/>
    <x v="0"/>
  </r>
  <r>
    <s v="REL00914"/>
    <s v="Female"/>
    <n v="38"/>
    <s v="MBA"/>
    <s v="Single"/>
    <x v="6"/>
    <s v="Logistics Coordinator"/>
    <x v="3"/>
    <x v="9"/>
    <s v="West"/>
    <n v="2"/>
    <n v="47353"/>
    <x v="1"/>
    <n v="2"/>
    <n v="2"/>
    <n v="76"/>
    <n v="1"/>
    <d v="2021-08-17T00:00:00"/>
    <s v="Yes"/>
    <x v="2"/>
    <n v="1"/>
    <x v="3"/>
    <x v="1"/>
    <x v="1"/>
  </r>
  <r>
    <s v="REL00915"/>
    <s v="Male"/>
    <n v="38"/>
    <s v="Graduate"/>
    <s v="Divorced"/>
    <x v="6"/>
    <s v="Marketing Executive"/>
    <x v="0"/>
    <x v="3"/>
    <s v="West"/>
    <n v="13"/>
    <n v="68948"/>
    <x v="3"/>
    <n v="3"/>
    <n v="4"/>
    <n v="29"/>
    <n v="2"/>
    <d v="2010-11-18T00:00:00"/>
    <s v="No"/>
    <x v="0"/>
    <n v="4"/>
    <x v="2"/>
    <x v="2"/>
    <x v="1"/>
  </r>
  <r>
    <s v="REL00916"/>
    <s v="Male"/>
    <n v="36"/>
    <s v="Graduate"/>
    <s v="Divorced"/>
    <x v="6"/>
    <s v="Logistics Coordinator"/>
    <x v="0"/>
    <x v="6"/>
    <s v="South"/>
    <n v="4"/>
    <n v="53210"/>
    <x v="0"/>
    <n v="1"/>
    <n v="2"/>
    <n v="46"/>
    <n v="3"/>
    <d v="2019-04-11T00:00:00"/>
    <s v="No"/>
    <x v="0"/>
    <n v="3"/>
    <x v="0"/>
    <x v="0"/>
    <x v="0"/>
  </r>
  <r>
    <s v="REL00917"/>
    <s v="Male"/>
    <n v="39"/>
    <s v="Post Graduate"/>
    <s v="Divorced"/>
    <x v="3"/>
    <s v="Marketing Executive"/>
    <x v="2"/>
    <x v="2"/>
    <s v="West"/>
    <n v="13"/>
    <n v="85747"/>
    <x v="3"/>
    <n v="1"/>
    <n v="4"/>
    <n v="80"/>
    <n v="2"/>
    <d v="2010-12-01T00:00:00"/>
    <s v="Yes"/>
    <x v="1"/>
    <n v="4"/>
    <x v="2"/>
    <x v="1"/>
    <x v="0"/>
  </r>
  <r>
    <s v="REL00918"/>
    <s v="Male"/>
    <n v="54"/>
    <s v="BTech"/>
    <s v="Single"/>
    <x v="3"/>
    <s v="Store Manager"/>
    <x v="1"/>
    <x v="6"/>
    <s v="South"/>
    <n v="4"/>
    <n v="93665"/>
    <x v="0"/>
    <n v="4"/>
    <n v="2"/>
    <n v="31"/>
    <n v="0"/>
    <d v="2019-08-16T00:00:00"/>
    <s v="No"/>
    <x v="1"/>
    <n v="3"/>
    <x v="0"/>
    <x v="0"/>
    <x v="0"/>
  </r>
  <r>
    <s v="REL00919"/>
    <s v="Male"/>
    <n v="51"/>
    <s v="Post Graduate"/>
    <s v="Divorced"/>
    <x v="3"/>
    <s v="Customer Service Rep"/>
    <x v="2"/>
    <x v="9"/>
    <s v="West"/>
    <n v="14"/>
    <n v="71804"/>
    <x v="0"/>
    <n v="1"/>
    <n v="2"/>
    <n v="30"/>
    <n v="0"/>
    <d v="2009-05-13T00:00:00"/>
    <s v="No"/>
    <x v="0"/>
    <n v="3"/>
    <x v="2"/>
    <x v="0"/>
    <x v="0"/>
  </r>
  <r>
    <s v="REL00920"/>
    <s v="Female"/>
    <n v="47"/>
    <s v="BTech"/>
    <s v="Married"/>
    <x v="6"/>
    <s v="Finance Analyst"/>
    <x v="2"/>
    <x v="0"/>
    <s v="North"/>
    <n v="5"/>
    <n v="77330"/>
    <x v="3"/>
    <n v="3"/>
    <n v="4"/>
    <n v="42"/>
    <n v="3"/>
    <d v="2018-01-21T00:00:00"/>
    <s v="No"/>
    <x v="0"/>
    <n v="4"/>
    <x v="0"/>
    <x v="2"/>
    <x v="1"/>
  </r>
  <r>
    <s v="REL00921"/>
    <s v="Male"/>
    <n v="48"/>
    <s v="MBA"/>
    <s v="Married"/>
    <x v="7"/>
    <s v="Sales Executive"/>
    <x v="2"/>
    <x v="6"/>
    <s v="South"/>
    <n v="4"/>
    <n v="57654"/>
    <x v="3"/>
    <n v="3"/>
    <n v="3"/>
    <n v="13"/>
    <n v="2"/>
    <d v="2019-08-03T00:00:00"/>
    <s v="No"/>
    <x v="0"/>
    <n v="4"/>
    <x v="0"/>
    <x v="2"/>
    <x v="1"/>
  </r>
  <r>
    <s v="REL00922"/>
    <s v="Female"/>
    <n v="47"/>
    <s v="Post Graduate"/>
    <s v="Single"/>
    <x v="1"/>
    <s v="HR Manager"/>
    <x v="4"/>
    <x v="9"/>
    <s v="West"/>
    <n v="7"/>
    <n v="93743"/>
    <x v="0"/>
    <n v="1"/>
    <n v="2"/>
    <n v="66"/>
    <n v="2"/>
    <d v="2016-10-23T00:00:00"/>
    <s v="No"/>
    <x v="1"/>
    <n v="3"/>
    <x v="1"/>
    <x v="0"/>
    <x v="0"/>
  </r>
  <r>
    <s v="REL00923"/>
    <s v="Male"/>
    <n v="31"/>
    <s v="Graduate"/>
    <s v="Married"/>
    <x v="6"/>
    <s v="Marketing Executive"/>
    <x v="3"/>
    <x v="9"/>
    <s v="West"/>
    <n v="6"/>
    <n v="67181"/>
    <x v="1"/>
    <n v="3"/>
    <n v="1"/>
    <n v="54"/>
    <n v="3"/>
    <d v="2017-12-07T00:00:00"/>
    <s v="Yes"/>
    <x v="0"/>
    <n v="1"/>
    <x v="1"/>
    <x v="1"/>
    <x v="1"/>
  </r>
  <r>
    <s v="REL00924"/>
    <s v="Female"/>
    <n v="43"/>
    <s v="Post Graduate"/>
    <s v="Married"/>
    <x v="6"/>
    <s v="Finance Analyst"/>
    <x v="4"/>
    <x v="2"/>
    <s v="West"/>
    <n v="6"/>
    <n v="63327"/>
    <x v="2"/>
    <n v="2"/>
    <n v="1"/>
    <n v="22"/>
    <n v="1"/>
    <d v="2017-11-29T00:00:00"/>
    <s v="No"/>
    <x v="0"/>
    <n v="2"/>
    <x v="1"/>
    <x v="0"/>
    <x v="1"/>
  </r>
  <r>
    <s v="REL00925"/>
    <s v="Female"/>
    <n v="47"/>
    <s v="HSC"/>
    <s v="Divorced"/>
    <x v="4"/>
    <s v="Marketing Executive"/>
    <x v="4"/>
    <x v="1"/>
    <s v="North"/>
    <n v="9"/>
    <n v="75075"/>
    <x v="3"/>
    <n v="4"/>
    <n v="3"/>
    <n v="51"/>
    <n v="2"/>
    <d v="2014-12-22T00:00:00"/>
    <s v="No"/>
    <x v="0"/>
    <n v="4"/>
    <x v="1"/>
    <x v="2"/>
    <x v="1"/>
  </r>
  <r>
    <s v="REL00926"/>
    <s v="Male"/>
    <n v="54"/>
    <s v="Graduate"/>
    <s v="Single"/>
    <x v="0"/>
    <s v="Finance Analyst"/>
    <x v="1"/>
    <x v="7"/>
    <s v="East"/>
    <n v="15"/>
    <n v="95974"/>
    <x v="3"/>
    <n v="4"/>
    <n v="3"/>
    <n v="66"/>
    <n v="2"/>
    <d v="2008-04-16T00:00:00"/>
    <s v="No"/>
    <x v="1"/>
    <n v="4"/>
    <x v="2"/>
    <x v="2"/>
    <x v="0"/>
  </r>
  <r>
    <s v="REL00927"/>
    <s v="Male"/>
    <n v="24"/>
    <s v="HSC"/>
    <s v="Single"/>
    <x v="3"/>
    <s v="Logistics Coordinator"/>
    <x v="2"/>
    <x v="6"/>
    <s v="South"/>
    <n v="10"/>
    <n v="64036"/>
    <x v="3"/>
    <n v="2"/>
    <n v="2"/>
    <n v="63"/>
    <n v="1"/>
    <d v="2013-09-13T00:00:00"/>
    <s v="No"/>
    <x v="0"/>
    <n v="4"/>
    <x v="1"/>
    <x v="2"/>
    <x v="1"/>
  </r>
  <r>
    <s v="REL00928"/>
    <s v="Male"/>
    <n v="38"/>
    <s v="MBA"/>
    <s v="Single"/>
    <x v="3"/>
    <s v="Marketing Executive"/>
    <x v="3"/>
    <x v="2"/>
    <s v="West"/>
    <n v="15"/>
    <n v="70018"/>
    <x v="2"/>
    <n v="2"/>
    <n v="4"/>
    <n v="31"/>
    <n v="3"/>
    <d v="2008-10-13T00:00:00"/>
    <s v="Yes"/>
    <x v="0"/>
    <n v="2"/>
    <x v="2"/>
    <x v="1"/>
    <x v="1"/>
  </r>
  <r>
    <s v="REL00929"/>
    <s v="Female"/>
    <n v="42"/>
    <s v="BTech"/>
    <s v="Single"/>
    <x v="2"/>
    <s v="Customer Service Rep"/>
    <x v="3"/>
    <x v="0"/>
    <s v="North"/>
    <n v="10"/>
    <n v="60365"/>
    <x v="2"/>
    <n v="3"/>
    <n v="2"/>
    <n v="38"/>
    <n v="0"/>
    <d v="2013-03-14T00:00:00"/>
    <s v="No"/>
    <x v="0"/>
    <n v="2"/>
    <x v="1"/>
    <x v="0"/>
    <x v="1"/>
  </r>
  <r>
    <s v="REL00930"/>
    <s v="Female"/>
    <n v="38"/>
    <s v="Graduate"/>
    <s v="Single"/>
    <x v="7"/>
    <s v="Operations Head"/>
    <x v="0"/>
    <x v="2"/>
    <s v="West"/>
    <n v="9"/>
    <n v="119347"/>
    <x v="2"/>
    <n v="2"/>
    <n v="2"/>
    <n v="41"/>
    <n v="3"/>
    <d v="2014-12-08T00:00:00"/>
    <s v="No"/>
    <x v="1"/>
    <n v="2"/>
    <x v="1"/>
    <x v="0"/>
    <x v="1"/>
  </r>
  <r>
    <s v="REL00931"/>
    <s v="Female"/>
    <n v="27"/>
    <s v="Post Graduate"/>
    <s v="Single"/>
    <x v="2"/>
    <s v="Logistics Coordinator"/>
    <x v="1"/>
    <x v="6"/>
    <s v="South"/>
    <n v="7"/>
    <n v="62739"/>
    <x v="2"/>
    <n v="4"/>
    <n v="1"/>
    <n v="50"/>
    <n v="0"/>
    <d v="2016-07-17T00:00:00"/>
    <s v="No"/>
    <x v="0"/>
    <n v="2"/>
    <x v="1"/>
    <x v="0"/>
    <x v="1"/>
  </r>
  <r>
    <s v="REL00932"/>
    <s v="Male"/>
    <n v="41"/>
    <s v="Post Graduate"/>
    <s v="Married"/>
    <x v="6"/>
    <s v="Finance Analyst"/>
    <x v="3"/>
    <x v="2"/>
    <s v="West"/>
    <n v="7"/>
    <n v="65002"/>
    <x v="0"/>
    <n v="4"/>
    <n v="4"/>
    <n v="37"/>
    <n v="3"/>
    <d v="2016-06-27T00:00:00"/>
    <s v="No"/>
    <x v="0"/>
    <n v="3"/>
    <x v="1"/>
    <x v="0"/>
    <x v="0"/>
  </r>
  <r>
    <s v="REL00933"/>
    <s v="Female"/>
    <n v="46"/>
    <s v="Graduate"/>
    <s v="Single"/>
    <x v="1"/>
    <s v="HR Manager"/>
    <x v="0"/>
    <x v="2"/>
    <s v="West"/>
    <n v="10"/>
    <n v="96013"/>
    <x v="0"/>
    <n v="1"/>
    <n v="1"/>
    <n v="11"/>
    <n v="1"/>
    <d v="2013-03-03T00:00:00"/>
    <s v="No"/>
    <x v="1"/>
    <n v="3"/>
    <x v="1"/>
    <x v="0"/>
    <x v="0"/>
  </r>
  <r>
    <s v="REL00934"/>
    <s v="Male"/>
    <n v="24"/>
    <s v="Post Graduate"/>
    <s v="Married"/>
    <x v="6"/>
    <s v="HR Manager"/>
    <x v="3"/>
    <x v="1"/>
    <s v="North"/>
    <n v="15"/>
    <n v="96682"/>
    <x v="3"/>
    <n v="3"/>
    <n v="3"/>
    <n v="21"/>
    <n v="0"/>
    <d v="2008-05-08T00:00:00"/>
    <s v="Yes"/>
    <x v="1"/>
    <n v="4"/>
    <x v="2"/>
    <x v="1"/>
    <x v="0"/>
  </r>
  <r>
    <s v="REL00935"/>
    <s v="Male"/>
    <n v="32"/>
    <s v="MBA"/>
    <s v="Married"/>
    <x v="4"/>
    <s v="Sales Executive"/>
    <x v="0"/>
    <x v="6"/>
    <s v="South"/>
    <n v="1"/>
    <n v="33294"/>
    <x v="3"/>
    <n v="1"/>
    <n v="3"/>
    <n v="47"/>
    <n v="0"/>
    <d v="2023-01-01T00:00:00"/>
    <s v="No"/>
    <x v="3"/>
    <n v="4"/>
    <x v="3"/>
    <x v="2"/>
    <x v="3"/>
  </r>
  <r>
    <s v="REL00936"/>
    <s v="Female"/>
    <n v="36"/>
    <s v="HSC"/>
    <s v="Single"/>
    <x v="4"/>
    <s v="Operations Head"/>
    <x v="2"/>
    <x v="4"/>
    <s v="North"/>
    <n v="8"/>
    <n v="106157"/>
    <x v="3"/>
    <n v="4"/>
    <n v="3"/>
    <n v="30"/>
    <n v="3"/>
    <d v="2015-11-15T00:00:00"/>
    <s v="No"/>
    <x v="1"/>
    <n v="4"/>
    <x v="1"/>
    <x v="2"/>
    <x v="0"/>
  </r>
  <r>
    <s v="REL00937"/>
    <s v="Female"/>
    <n v="35"/>
    <s v="Post Graduate"/>
    <s v="Married"/>
    <x v="5"/>
    <s v="Logistics Coordinator"/>
    <x v="1"/>
    <x v="9"/>
    <s v="West"/>
    <n v="5"/>
    <n v="58696"/>
    <x v="2"/>
    <n v="2"/>
    <n v="2"/>
    <n v="14"/>
    <n v="0"/>
    <d v="2018-07-28T00:00:00"/>
    <s v="No"/>
    <x v="0"/>
    <n v="2"/>
    <x v="0"/>
    <x v="0"/>
    <x v="1"/>
  </r>
  <r>
    <s v="REL00938"/>
    <s v="Female"/>
    <n v="42"/>
    <s v="BTech"/>
    <s v="Single"/>
    <x v="2"/>
    <s v="HR Manager"/>
    <x v="2"/>
    <x v="3"/>
    <s v="West"/>
    <n v="8"/>
    <n v="85893"/>
    <x v="3"/>
    <n v="4"/>
    <n v="4"/>
    <n v="62"/>
    <n v="0"/>
    <d v="2015-08-12T00:00:00"/>
    <s v="Yes"/>
    <x v="1"/>
    <n v="4"/>
    <x v="1"/>
    <x v="1"/>
    <x v="0"/>
  </r>
  <r>
    <s v="REL00939"/>
    <s v="Female"/>
    <n v="26"/>
    <s v="Graduate"/>
    <s v="Single"/>
    <x v="4"/>
    <s v="Store Manager"/>
    <x v="2"/>
    <x v="1"/>
    <s v="North"/>
    <n v="11"/>
    <n v="108934"/>
    <x v="1"/>
    <n v="3"/>
    <n v="4"/>
    <n v="33"/>
    <n v="3"/>
    <d v="2012-09-27T00:00:00"/>
    <s v="Yes"/>
    <x v="1"/>
    <n v="1"/>
    <x v="2"/>
    <x v="1"/>
    <x v="2"/>
  </r>
  <r>
    <s v="REL00940"/>
    <s v="Male"/>
    <n v="22"/>
    <s v="Post Graduate"/>
    <s v="Married"/>
    <x v="6"/>
    <s v="Customer Service Rep"/>
    <x v="0"/>
    <x v="9"/>
    <s v="West"/>
    <n v="3"/>
    <n v="44839"/>
    <x v="1"/>
    <n v="4"/>
    <n v="1"/>
    <n v="72"/>
    <n v="2"/>
    <d v="2020-01-09T00:00:00"/>
    <s v="No"/>
    <x v="2"/>
    <n v="1"/>
    <x v="0"/>
    <x v="0"/>
    <x v="1"/>
  </r>
  <r>
    <s v="REL00941"/>
    <s v="Female"/>
    <n v="24"/>
    <s v="Graduate"/>
    <s v="Divorced"/>
    <x v="0"/>
    <s v="Finance Analyst"/>
    <x v="2"/>
    <x v="6"/>
    <s v="South"/>
    <n v="9"/>
    <n v="77104"/>
    <x v="0"/>
    <n v="3"/>
    <n v="3"/>
    <n v="57"/>
    <n v="2"/>
    <d v="2014-10-03T00:00:00"/>
    <s v="No"/>
    <x v="0"/>
    <n v="3"/>
    <x v="1"/>
    <x v="0"/>
    <x v="0"/>
  </r>
  <r>
    <s v="REL00942"/>
    <s v="Female"/>
    <n v="55"/>
    <s v="BTech"/>
    <s v="Divorced"/>
    <x v="2"/>
    <s v="HR Manager"/>
    <x v="3"/>
    <x v="3"/>
    <s v="West"/>
    <n v="4"/>
    <n v="83895"/>
    <x v="0"/>
    <n v="2"/>
    <n v="4"/>
    <n v="15"/>
    <n v="3"/>
    <d v="2019-08-15T00:00:00"/>
    <s v="No"/>
    <x v="1"/>
    <n v="3"/>
    <x v="0"/>
    <x v="0"/>
    <x v="0"/>
  </r>
  <r>
    <s v="REL00943"/>
    <s v="Male"/>
    <n v="52"/>
    <s v="MBA"/>
    <s v="Married"/>
    <x v="4"/>
    <s v="Operations Head"/>
    <x v="1"/>
    <x v="4"/>
    <s v="North"/>
    <n v="1"/>
    <n v="97898"/>
    <x v="1"/>
    <n v="2"/>
    <n v="3"/>
    <n v="38"/>
    <n v="3"/>
    <d v="2022-03-06T00:00:00"/>
    <s v="Yes"/>
    <x v="1"/>
    <n v="1"/>
    <x v="3"/>
    <x v="1"/>
    <x v="2"/>
  </r>
  <r>
    <s v="REL00944"/>
    <s v="Male"/>
    <n v="24"/>
    <s v="Post Graduate"/>
    <s v="Married"/>
    <x v="4"/>
    <s v="Operations Head"/>
    <x v="4"/>
    <x v="8"/>
    <s v="South"/>
    <n v="11"/>
    <n v="119937"/>
    <x v="0"/>
    <n v="2"/>
    <n v="4"/>
    <n v="10"/>
    <n v="3"/>
    <d v="2013-01-01T00:00:00"/>
    <s v="No"/>
    <x v="1"/>
    <n v="3"/>
    <x v="2"/>
    <x v="0"/>
    <x v="0"/>
  </r>
  <r>
    <s v="REL00945"/>
    <s v="Male"/>
    <n v="40"/>
    <s v="Graduate"/>
    <s v="Single"/>
    <x v="2"/>
    <s v="Operations Head"/>
    <x v="0"/>
    <x v="3"/>
    <s v="West"/>
    <n v="1"/>
    <n v="106668"/>
    <x v="1"/>
    <n v="4"/>
    <n v="3"/>
    <n v="32"/>
    <n v="1"/>
    <d v="2022-03-10T00:00:00"/>
    <s v="Yes"/>
    <x v="1"/>
    <n v="1"/>
    <x v="3"/>
    <x v="1"/>
    <x v="2"/>
  </r>
  <r>
    <s v="REL00946"/>
    <s v="Male"/>
    <n v="38"/>
    <s v="Post Graduate"/>
    <s v="Divorced"/>
    <x v="6"/>
    <s v="Marketing Executive"/>
    <x v="4"/>
    <x v="3"/>
    <s v="West"/>
    <n v="11"/>
    <n v="77724"/>
    <x v="2"/>
    <n v="3"/>
    <n v="3"/>
    <n v="63"/>
    <n v="1"/>
    <d v="2012-11-14T00:00:00"/>
    <s v="Yes"/>
    <x v="0"/>
    <n v="2"/>
    <x v="2"/>
    <x v="1"/>
    <x v="1"/>
  </r>
  <r>
    <s v="REL00947"/>
    <s v="Male"/>
    <n v="26"/>
    <s v="Post Graduate"/>
    <s v="Single"/>
    <x v="1"/>
    <s v="Operations Head"/>
    <x v="2"/>
    <x v="2"/>
    <s v="West"/>
    <n v="2"/>
    <n v="99141"/>
    <x v="2"/>
    <n v="1"/>
    <n v="2"/>
    <n v="18"/>
    <n v="2"/>
    <d v="2021-01-12T00:00:00"/>
    <s v="No"/>
    <x v="1"/>
    <n v="2"/>
    <x v="3"/>
    <x v="0"/>
    <x v="1"/>
  </r>
  <r>
    <s v="REL00948"/>
    <s v="Female"/>
    <n v="27"/>
    <s v="HSC"/>
    <s v="Single"/>
    <x v="2"/>
    <s v="Finance Analyst"/>
    <x v="3"/>
    <x v="6"/>
    <s v="South"/>
    <n v="2"/>
    <n v="70737"/>
    <x v="2"/>
    <n v="3"/>
    <n v="2"/>
    <n v="59"/>
    <n v="1"/>
    <d v="2021-04-30T00:00:00"/>
    <s v="Yes"/>
    <x v="0"/>
    <n v="2"/>
    <x v="3"/>
    <x v="1"/>
    <x v="1"/>
  </r>
  <r>
    <s v="REL00949"/>
    <s v="Male"/>
    <n v="52"/>
    <s v="HSC"/>
    <s v="Single"/>
    <x v="4"/>
    <s v="HR Manager"/>
    <x v="4"/>
    <x v="1"/>
    <s v="North"/>
    <n v="2"/>
    <n v="73777"/>
    <x v="3"/>
    <n v="3"/>
    <n v="4"/>
    <n v="65"/>
    <n v="0"/>
    <d v="2021-10-11T00:00:00"/>
    <s v="No"/>
    <x v="0"/>
    <n v="4"/>
    <x v="3"/>
    <x v="2"/>
    <x v="1"/>
  </r>
  <r>
    <s v="REL00950"/>
    <s v="Female"/>
    <n v="51"/>
    <s v="MBA"/>
    <s v="Married"/>
    <x v="6"/>
    <s v="Finance Analyst"/>
    <x v="2"/>
    <x v="1"/>
    <s v="North"/>
    <n v="4"/>
    <n v="77213"/>
    <x v="0"/>
    <n v="3"/>
    <n v="2"/>
    <n v="15"/>
    <n v="0"/>
    <d v="2019-09-08T00:00:00"/>
    <s v="Yes"/>
    <x v="0"/>
    <n v="3"/>
    <x v="0"/>
    <x v="1"/>
    <x v="0"/>
  </r>
  <r>
    <s v="REL00951"/>
    <s v="Female"/>
    <n v="51"/>
    <s v="Graduate"/>
    <s v="Single"/>
    <x v="1"/>
    <s v="Customer Service Rep"/>
    <x v="4"/>
    <x v="9"/>
    <s v="West"/>
    <n v="1"/>
    <n v="38099"/>
    <x v="2"/>
    <n v="1"/>
    <n v="1"/>
    <n v="27"/>
    <n v="3"/>
    <d v="2022-12-29T00:00:00"/>
    <s v="No"/>
    <x v="2"/>
    <n v="2"/>
    <x v="3"/>
    <x v="0"/>
    <x v="1"/>
  </r>
  <r>
    <s v="REL00952"/>
    <s v="Female"/>
    <n v="40"/>
    <s v="Graduate"/>
    <s v="Single"/>
    <x v="5"/>
    <s v="Customer Service Rep"/>
    <x v="4"/>
    <x v="9"/>
    <s v="West"/>
    <n v="13"/>
    <n v="59062"/>
    <x v="3"/>
    <n v="1"/>
    <n v="3"/>
    <n v="27"/>
    <n v="2"/>
    <d v="2010-04-05T00:00:00"/>
    <s v="No"/>
    <x v="0"/>
    <n v="4"/>
    <x v="2"/>
    <x v="2"/>
    <x v="1"/>
  </r>
  <r>
    <s v="REL00953"/>
    <s v="Male"/>
    <n v="53"/>
    <s v="HSC"/>
    <s v="Divorced"/>
    <x v="3"/>
    <s v="Logistics Coordinator"/>
    <x v="0"/>
    <x v="2"/>
    <s v="West"/>
    <n v="14"/>
    <n v="65437"/>
    <x v="2"/>
    <n v="3"/>
    <n v="4"/>
    <n v="12"/>
    <n v="0"/>
    <d v="2009-07-02T00:00:00"/>
    <s v="No"/>
    <x v="0"/>
    <n v="2"/>
    <x v="2"/>
    <x v="0"/>
    <x v="1"/>
  </r>
  <r>
    <s v="REL00954"/>
    <s v="Male"/>
    <n v="45"/>
    <s v="Graduate"/>
    <s v="Single"/>
    <x v="5"/>
    <s v="HR Manager"/>
    <x v="2"/>
    <x v="8"/>
    <s v="South"/>
    <n v="14"/>
    <n v="110201"/>
    <x v="3"/>
    <n v="3"/>
    <n v="3"/>
    <n v="50"/>
    <n v="0"/>
    <d v="2009-03-04T00:00:00"/>
    <s v="No"/>
    <x v="1"/>
    <n v="4"/>
    <x v="2"/>
    <x v="2"/>
    <x v="0"/>
  </r>
  <r>
    <s v="REL00955"/>
    <s v="Male"/>
    <n v="41"/>
    <s v="BTech"/>
    <s v="Divorced"/>
    <x v="1"/>
    <s v="Store Manager"/>
    <x v="1"/>
    <x v="6"/>
    <s v="South"/>
    <n v="4"/>
    <n v="92060"/>
    <x v="3"/>
    <n v="3"/>
    <n v="1"/>
    <n v="61"/>
    <n v="0"/>
    <d v="2019-03-27T00:00:00"/>
    <s v="No"/>
    <x v="1"/>
    <n v="4"/>
    <x v="0"/>
    <x v="2"/>
    <x v="0"/>
  </r>
  <r>
    <s v="REL00956"/>
    <s v="Male"/>
    <n v="28"/>
    <s v="MBA"/>
    <s v="Single"/>
    <x v="6"/>
    <s v="Store Manager"/>
    <x v="4"/>
    <x v="8"/>
    <s v="South"/>
    <n v="5"/>
    <n v="89485"/>
    <x v="2"/>
    <n v="4"/>
    <n v="3"/>
    <n v="61"/>
    <n v="0"/>
    <d v="2018-11-15T00:00:00"/>
    <s v="Yes"/>
    <x v="1"/>
    <n v="2"/>
    <x v="0"/>
    <x v="1"/>
    <x v="1"/>
  </r>
  <r>
    <s v="REL00957"/>
    <s v="Male"/>
    <n v="23"/>
    <s v="MBA"/>
    <s v="Single"/>
    <x v="3"/>
    <s v="Customer Service Rep"/>
    <x v="1"/>
    <x v="8"/>
    <s v="South"/>
    <n v="2"/>
    <n v="34517"/>
    <x v="0"/>
    <n v="2"/>
    <n v="2"/>
    <n v="75"/>
    <n v="1"/>
    <d v="2021-02-03T00:00:00"/>
    <s v="No"/>
    <x v="3"/>
    <n v="3"/>
    <x v="3"/>
    <x v="0"/>
    <x v="1"/>
  </r>
  <r>
    <s v="REL00958"/>
    <s v="Male"/>
    <n v="49"/>
    <s v="Post Graduate"/>
    <s v="Divorced"/>
    <x v="0"/>
    <s v="Marketing Executive"/>
    <x v="1"/>
    <x v="2"/>
    <s v="West"/>
    <n v="10"/>
    <n v="76143"/>
    <x v="2"/>
    <n v="4"/>
    <n v="2"/>
    <n v="77"/>
    <n v="2"/>
    <d v="2013-09-04T00:00:00"/>
    <s v="No"/>
    <x v="0"/>
    <n v="2"/>
    <x v="1"/>
    <x v="0"/>
    <x v="1"/>
  </r>
  <r>
    <s v="REL00959"/>
    <s v="Female"/>
    <n v="38"/>
    <s v="BTech"/>
    <s v="Married"/>
    <x v="3"/>
    <s v="Operations Head"/>
    <x v="3"/>
    <x v="7"/>
    <s v="East"/>
    <n v="15"/>
    <n v="123826"/>
    <x v="1"/>
    <n v="1"/>
    <n v="1"/>
    <n v="61"/>
    <n v="1"/>
    <d v="2008-11-02T00:00:00"/>
    <s v="No"/>
    <x v="1"/>
    <n v="1"/>
    <x v="2"/>
    <x v="0"/>
    <x v="2"/>
  </r>
  <r>
    <s v="REL00960"/>
    <s v="Male"/>
    <n v="36"/>
    <s v="Post Graduate"/>
    <s v="Divorced"/>
    <x v="3"/>
    <s v="Sales Executive"/>
    <x v="1"/>
    <x v="8"/>
    <s v="South"/>
    <n v="14"/>
    <n v="66152"/>
    <x v="0"/>
    <n v="1"/>
    <n v="1"/>
    <n v="60"/>
    <n v="1"/>
    <d v="2009-01-05T00:00:00"/>
    <s v="No"/>
    <x v="0"/>
    <n v="3"/>
    <x v="2"/>
    <x v="0"/>
    <x v="0"/>
  </r>
  <r>
    <s v="REL00961"/>
    <s v="Male"/>
    <n v="43"/>
    <s v="Post Graduate"/>
    <s v="Married"/>
    <x v="4"/>
    <s v="Marketing Executive"/>
    <x v="4"/>
    <x v="5"/>
    <s v="South"/>
    <n v="11"/>
    <n v="65629"/>
    <x v="3"/>
    <n v="2"/>
    <n v="2"/>
    <n v="25"/>
    <n v="2"/>
    <d v="2012-06-06T00:00:00"/>
    <s v="Yes"/>
    <x v="0"/>
    <n v="4"/>
    <x v="2"/>
    <x v="1"/>
    <x v="1"/>
  </r>
  <r>
    <s v="REL00962"/>
    <s v="Female"/>
    <n v="34"/>
    <s v="Post Graduate"/>
    <s v="Married"/>
    <x v="6"/>
    <s v="Marketing Executive"/>
    <x v="3"/>
    <x v="7"/>
    <s v="East"/>
    <n v="8"/>
    <n v="60781"/>
    <x v="2"/>
    <n v="4"/>
    <n v="3"/>
    <n v="65"/>
    <n v="0"/>
    <d v="2015-06-18T00:00:00"/>
    <s v="No"/>
    <x v="0"/>
    <n v="2"/>
    <x v="1"/>
    <x v="0"/>
    <x v="1"/>
  </r>
  <r>
    <s v="REL00963"/>
    <s v="Male"/>
    <n v="48"/>
    <s v="Graduate"/>
    <s v="Married"/>
    <x v="0"/>
    <s v="Store Manager"/>
    <x v="3"/>
    <x v="8"/>
    <s v="South"/>
    <n v="3"/>
    <n v="82952"/>
    <x v="1"/>
    <n v="2"/>
    <n v="3"/>
    <n v="45"/>
    <n v="1"/>
    <d v="2020-08-06T00:00:00"/>
    <s v="No"/>
    <x v="1"/>
    <n v="1"/>
    <x v="0"/>
    <x v="0"/>
    <x v="2"/>
  </r>
  <r>
    <s v="REL00964"/>
    <s v="Male"/>
    <n v="50"/>
    <s v="Post Graduate"/>
    <s v="Divorced"/>
    <x v="0"/>
    <s v="Finance Analyst"/>
    <x v="3"/>
    <x v="2"/>
    <s v="West"/>
    <n v="10"/>
    <n v="81398"/>
    <x v="3"/>
    <n v="3"/>
    <n v="4"/>
    <n v="59"/>
    <n v="2"/>
    <d v="2013-02-08T00:00:00"/>
    <s v="No"/>
    <x v="1"/>
    <n v="4"/>
    <x v="1"/>
    <x v="2"/>
    <x v="0"/>
  </r>
  <r>
    <s v="REL00965"/>
    <s v="Female"/>
    <n v="36"/>
    <s v="BTech"/>
    <s v="Divorced"/>
    <x v="7"/>
    <s v="HR Manager"/>
    <x v="2"/>
    <x v="6"/>
    <s v="South"/>
    <n v="15"/>
    <n v="95561"/>
    <x v="1"/>
    <n v="2"/>
    <n v="1"/>
    <n v="44"/>
    <n v="2"/>
    <d v="2008-05-01T00:00:00"/>
    <s v="No"/>
    <x v="1"/>
    <n v="1"/>
    <x v="2"/>
    <x v="0"/>
    <x v="2"/>
  </r>
  <r>
    <s v="REL00966"/>
    <s v="Male"/>
    <n v="37"/>
    <s v="HSC"/>
    <s v="Married"/>
    <x v="4"/>
    <s v="Operations Head"/>
    <x v="4"/>
    <x v="1"/>
    <s v="North"/>
    <n v="14"/>
    <n v="126228"/>
    <x v="2"/>
    <n v="2"/>
    <n v="2"/>
    <n v="73"/>
    <n v="0"/>
    <d v="2009-12-03T00:00:00"/>
    <s v="Yes"/>
    <x v="1"/>
    <n v="2"/>
    <x v="2"/>
    <x v="1"/>
    <x v="1"/>
  </r>
  <r>
    <s v="REL00967"/>
    <s v="Male"/>
    <n v="41"/>
    <s v="MBA"/>
    <s v="Married"/>
    <x v="0"/>
    <s v="Customer Service Rep"/>
    <x v="0"/>
    <x v="6"/>
    <s v="South"/>
    <n v="10"/>
    <n v="45047"/>
    <x v="1"/>
    <n v="3"/>
    <n v="2"/>
    <n v="61"/>
    <n v="2"/>
    <d v="2013-09-30T00:00:00"/>
    <s v="Yes"/>
    <x v="2"/>
    <n v="1"/>
    <x v="1"/>
    <x v="1"/>
    <x v="1"/>
  </r>
  <r>
    <s v="REL00968"/>
    <s v="Female"/>
    <n v="52"/>
    <s v="Post Graduate"/>
    <s v="Divorced"/>
    <x v="6"/>
    <s v="Marketing Executive"/>
    <x v="3"/>
    <x v="0"/>
    <s v="North"/>
    <n v="15"/>
    <n v="80640"/>
    <x v="0"/>
    <n v="3"/>
    <n v="4"/>
    <n v="39"/>
    <n v="3"/>
    <d v="2008-07-16T00:00:00"/>
    <s v="Yes"/>
    <x v="1"/>
    <n v="3"/>
    <x v="2"/>
    <x v="1"/>
    <x v="0"/>
  </r>
  <r>
    <s v="REL00969"/>
    <s v="Male"/>
    <n v="51"/>
    <s v="MBA"/>
    <s v="Divorced"/>
    <x v="0"/>
    <s v="HR Manager"/>
    <x v="4"/>
    <x v="1"/>
    <s v="North"/>
    <n v="10"/>
    <n v="92579"/>
    <x v="3"/>
    <n v="1"/>
    <n v="1"/>
    <n v="80"/>
    <n v="3"/>
    <d v="2013-12-12T00:00:00"/>
    <s v="No"/>
    <x v="1"/>
    <n v="4"/>
    <x v="1"/>
    <x v="2"/>
    <x v="0"/>
  </r>
  <r>
    <s v="REL00970"/>
    <s v="Female"/>
    <n v="29"/>
    <s v="HSC"/>
    <s v="Divorced"/>
    <x v="1"/>
    <s v="Sales Executive"/>
    <x v="2"/>
    <x v="6"/>
    <s v="South"/>
    <n v="6"/>
    <n v="43199"/>
    <x v="0"/>
    <n v="4"/>
    <n v="2"/>
    <n v="21"/>
    <n v="2"/>
    <d v="2017-12-28T00:00:00"/>
    <s v="No"/>
    <x v="2"/>
    <n v="3"/>
    <x v="1"/>
    <x v="0"/>
    <x v="1"/>
  </r>
  <r>
    <s v="REL00971"/>
    <s v="Female"/>
    <n v="32"/>
    <s v="Graduate"/>
    <s v="Married"/>
    <x v="2"/>
    <s v="Marketing Executive"/>
    <x v="4"/>
    <x v="5"/>
    <s v="South"/>
    <n v="13"/>
    <n v="67447"/>
    <x v="2"/>
    <n v="2"/>
    <n v="4"/>
    <n v="52"/>
    <n v="0"/>
    <d v="2010-01-17T00:00:00"/>
    <s v="No"/>
    <x v="0"/>
    <n v="2"/>
    <x v="2"/>
    <x v="0"/>
    <x v="1"/>
  </r>
  <r>
    <s v="REL00972"/>
    <s v="Male"/>
    <n v="23"/>
    <s v="Graduate"/>
    <s v="Divorced"/>
    <x v="1"/>
    <s v="Logistics Coordinator"/>
    <x v="1"/>
    <x v="0"/>
    <s v="North"/>
    <n v="1"/>
    <n v="48434"/>
    <x v="2"/>
    <n v="1"/>
    <n v="3"/>
    <n v="34"/>
    <n v="1"/>
    <d v="2022-05-15T00:00:00"/>
    <s v="No"/>
    <x v="2"/>
    <n v="2"/>
    <x v="3"/>
    <x v="0"/>
    <x v="1"/>
  </r>
  <r>
    <s v="REL00973"/>
    <s v="Female"/>
    <n v="25"/>
    <s v="MBA"/>
    <s v="Single"/>
    <x v="1"/>
    <s v="Marketing Executive"/>
    <x v="4"/>
    <x v="6"/>
    <s v="South"/>
    <n v="4"/>
    <n v="54476"/>
    <x v="0"/>
    <n v="2"/>
    <n v="1"/>
    <n v="25"/>
    <n v="1"/>
    <d v="2019-08-04T00:00:00"/>
    <s v="No"/>
    <x v="0"/>
    <n v="3"/>
    <x v="0"/>
    <x v="0"/>
    <x v="0"/>
  </r>
  <r>
    <s v="REL00974"/>
    <s v="Male"/>
    <n v="32"/>
    <s v="HSC"/>
    <s v="Single"/>
    <x v="4"/>
    <s v="Sales Executive"/>
    <x v="3"/>
    <x v="7"/>
    <s v="East"/>
    <n v="12"/>
    <n v="59212"/>
    <x v="0"/>
    <n v="2"/>
    <n v="4"/>
    <n v="23"/>
    <n v="0"/>
    <d v="2011-06-25T00:00:00"/>
    <s v="No"/>
    <x v="0"/>
    <n v="3"/>
    <x v="2"/>
    <x v="0"/>
    <x v="0"/>
  </r>
  <r>
    <s v="REL00975"/>
    <s v="Male"/>
    <n v="39"/>
    <s v="BTech"/>
    <s v="Divorced"/>
    <x v="1"/>
    <s v="Sales Executive"/>
    <x v="4"/>
    <x v="6"/>
    <s v="South"/>
    <n v="7"/>
    <n v="58241"/>
    <x v="0"/>
    <n v="3"/>
    <n v="4"/>
    <n v="30"/>
    <n v="1"/>
    <d v="2016-01-10T00:00:00"/>
    <s v="No"/>
    <x v="0"/>
    <n v="3"/>
    <x v="1"/>
    <x v="0"/>
    <x v="0"/>
  </r>
  <r>
    <s v="REL00976"/>
    <s v="Male"/>
    <n v="47"/>
    <s v="HSC"/>
    <s v="Married"/>
    <x v="6"/>
    <s v="Customer Service Rep"/>
    <x v="2"/>
    <x v="9"/>
    <s v="West"/>
    <n v="5"/>
    <n v="43527"/>
    <x v="1"/>
    <n v="4"/>
    <n v="1"/>
    <n v="24"/>
    <n v="1"/>
    <d v="2018-12-23T00:00:00"/>
    <s v="Yes"/>
    <x v="2"/>
    <n v="1"/>
    <x v="0"/>
    <x v="1"/>
    <x v="1"/>
  </r>
  <r>
    <s v="REL00977"/>
    <s v="Male"/>
    <n v="25"/>
    <s v="BTech"/>
    <s v="Single"/>
    <x v="1"/>
    <s v="Finance Analyst"/>
    <x v="1"/>
    <x v="3"/>
    <s v="West"/>
    <n v="9"/>
    <n v="80930"/>
    <x v="3"/>
    <n v="2"/>
    <n v="2"/>
    <n v="40"/>
    <n v="0"/>
    <d v="2014-01-04T00:00:00"/>
    <s v="No"/>
    <x v="1"/>
    <n v="4"/>
    <x v="1"/>
    <x v="2"/>
    <x v="0"/>
  </r>
  <r>
    <s v="REL00978"/>
    <s v="Male"/>
    <n v="33"/>
    <s v="Graduate"/>
    <s v="Married"/>
    <x v="2"/>
    <s v="Sales Executive"/>
    <x v="2"/>
    <x v="1"/>
    <s v="North"/>
    <n v="6"/>
    <n v="50508"/>
    <x v="3"/>
    <n v="4"/>
    <n v="2"/>
    <n v="27"/>
    <n v="1"/>
    <d v="2017-07-16T00:00:00"/>
    <s v="No"/>
    <x v="0"/>
    <n v="4"/>
    <x v="1"/>
    <x v="2"/>
    <x v="1"/>
  </r>
  <r>
    <s v="REL00979"/>
    <s v="Female"/>
    <n v="32"/>
    <s v="HSC"/>
    <s v="Married"/>
    <x v="3"/>
    <s v="Logistics Coordinator"/>
    <x v="1"/>
    <x v="0"/>
    <s v="North"/>
    <n v="2"/>
    <n v="56915"/>
    <x v="1"/>
    <n v="1"/>
    <n v="1"/>
    <n v="11"/>
    <n v="0"/>
    <d v="2021-07-21T00:00:00"/>
    <s v="No"/>
    <x v="0"/>
    <n v="1"/>
    <x v="3"/>
    <x v="3"/>
    <x v="1"/>
  </r>
  <r>
    <s v="REL00980"/>
    <s v="Male"/>
    <n v="50"/>
    <s v="BTech"/>
    <s v="Divorced"/>
    <x v="0"/>
    <s v="Sales Executive"/>
    <x v="4"/>
    <x v="3"/>
    <s v="West"/>
    <n v="3"/>
    <n v="38707"/>
    <x v="2"/>
    <n v="3"/>
    <n v="1"/>
    <n v="13"/>
    <n v="1"/>
    <d v="2020-04-30T00:00:00"/>
    <s v="No"/>
    <x v="2"/>
    <n v="2"/>
    <x v="0"/>
    <x v="0"/>
    <x v="1"/>
  </r>
  <r>
    <s v="REL00981"/>
    <s v="Male"/>
    <n v="31"/>
    <s v="BTech"/>
    <s v="Divorced"/>
    <x v="5"/>
    <s v="Operations Head"/>
    <x v="3"/>
    <x v="7"/>
    <s v="East"/>
    <n v="13"/>
    <n v="120572"/>
    <x v="3"/>
    <n v="4"/>
    <n v="3"/>
    <n v="72"/>
    <n v="0"/>
    <d v="2010-10-15T00:00:00"/>
    <s v="No"/>
    <x v="1"/>
    <n v="4"/>
    <x v="2"/>
    <x v="2"/>
    <x v="0"/>
  </r>
  <r>
    <s v="REL00982"/>
    <s v="Female"/>
    <n v="51"/>
    <s v="Graduate"/>
    <s v="Single"/>
    <x v="3"/>
    <s v="Logistics Coordinator"/>
    <x v="0"/>
    <x v="6"/>
    <s v="South"/>
    <n v="6"/>
    <n v="62364"/>
    <x v="3"/>
    <n v="1"/>
    <n v="1"/>
    <n v="43"/>
    <n v="1"/>
    <d v="2017-04-18T00:00:00"/>
    <s v="Yes"/>
    <x v="0"/>
    <n v="4"/>
    <x v="1"/>
    <x v="1"/>
    <x v="1"/>
  </r>
  <r>
    <s v="REL00983"/>
    <s v="Female"/>
    <n v="29"/>
    <s v="Post Graduate"/>
    <s v="Married"/>
    <x v="5"/>
    <s v="Operations Head"/>
    <x v="0"/>
    <x v="2"/>
    <s v="West"/>
    <n v="6"/>
    <n v="114368"/>
    <x v="3"/>
    <n v="2"/>
    <n v="3"/>
    <n v="75"/>
    <n v="1"/>
    <d v="2017-06-09T00:00:00"/>
    <s v="No"/>
    <x v="1"/>
    <n v="4"/>
    <x v="1"/>
    <x v="2"/>
    <x v="0"/>
  </r>
  <r>
    <s v="REL00984"/>
    <s v="Male"/>
    <n v="52"/>
    <s v="Graduate"/>
    <s v="Married"/>
    <x v="5"/>
    <s v="HR Manager"/>
    <x v="4"/>
    <x v="7"/>
    <s v="East"/>
    <n v="5"/>
    <n v="93901"/>
    <x v="2"/>
    <n v="2"/>
    <n v="2"/>
    <n v="62"/>
    <n v="3"/>
    <d v="2018-12-12T00:00:00"/>
    <s v="No"/>
    <x v="1"/>
    <n v="2"/>
    <x v="0"/>
    <x v="0"/>
    <x v="1"/>
  </r>
  <r>
    <s v="REL00985"/>
    <s v="Male"/>
    <n v="47"/>
    <s v="HSC"/>
    <s v="Divorced"/>
    <x v="5"/>
    <s v="Sales Executive"/>
    <x v="4"/>
    <x v="4"/>
    <s v="North"/>
    <n v="3"/>
    <n v="37989"/>
    <x v="0"/>
    <n v="1"/>
    <n v="1"/>
    <n v="43"/>
    <n v="2"/>
    <d v="2020-12-08T00:00:00"/>
    <s v="No"/>
    <x v="2"/>
    <n v="3"/>
    <x v="0"/>
    <x v="0"/>
    <x v="1"/>
  </r>
  <r>
    <s v="REL00986"/>
    <s v="Male"/>
    <n v="47"/>
    <s v="HSC"/>
    <s v="Single"/>
    <x v="7"/>
    <s v="Marketing Executive"/>
    <x v="3"/>
    <x v="6"/>
    <s v="South"/>
    <n v="9"/>
    <n v="70389"/>
    <x v="0"/>
    <n v="2"/>
    <n v="1"/>
    <n v="28"/>
    <n v="3"/>
    <d v="2014-04-08T00:00:00"/>
    <s v="No"/>
    <x v="0"/>
    <n v="3"/>
    <x v="1"/>
    <x v="0"/>
    <x v="0"/>
  </r>
  <r>
    <s v="REL00987"/>
    <s v="Female"/>
    <n v="30"/>
    <s v="HSC"/>
    <s v="Divorced"/>
    <x v="4"/>
    <s v="Operations Head"/>
    <x v="2"/>
    <x v="4"/>
    <s v="North"/>
    <n v="7"/>
    <n v="104196"/>
    <x v="2"/>
    <n v="4"/>
    <n v="2"/>
    <n v="23"/>
    <n v="2"/>
    <d v="2016-08-31T00:00:00"/>
    <s v="Yes"/>
    <x v="1"/>
    <n v="2"/>
    <x v="1"/>
    <x v="1"/>
    <x v="1"/>
  </r>
  <r>
    <s v="REL00988"/>
    <s v="Female"/>
    <n v="45"/>
    <s v="HSC"/>
    <s v="Single"/>
    <x v="2"/>
    <s v="Logistics Coordinator"/>
    <x v="3"/>
    <x v="8"/>
    <s v="South"/>
    <n v="14"/>
    <n v="72555"/>
    <x v="3"/>
    <n v="2"/>
    <n v="4"/>
    <n v="39"/>
    <n v="2"/>
    <d v="2009-10-16T00:00:00"/>
    <s v="No"/>
    <x v="0"/>
    <n v="4"/>
    <x v="2"/>
    <x v="2"/>
    <x v="1"/>
  </r>
  <r>
    <s v="REL00989"/>
    <s v="Female"/>
    <n v="48"/>
    <s v="HSC"/>
    <s v="Married"/>
    <x v="3"/>
    <s v="Store Manager"/>
    <x v="0"/>
    <x v="7"/>
    <s v="East"/>
    <n v="14"/>
    <n v="105772"/>
    <x v="0"/>
    <n v="1"/>
    <n v="2"/>
    <n v="23"/>
    <n v="2"/>
    <d v="2009-06-25T00:00:00"/>
    <s v="No"/>
    <x v="1"/>
    <n v="3"/>
    <x v="2"/>
    <x v="0"/>
    <x v="0"/>
  </r>
  <r>
    <s v="REL00990"/>
    <s v="Male"/>
    <n v="43"/>
    <s v="Graduate"/>
    <s v="Married"/>
    <x v="3"/>
    <s v="HR Manager"/>
    <x v="0"/>
    <x v="5"/>
    <s v="South"/>
    <n v="12"/>
    <n v="104259"/>
    <x v="2"/>
    <n v="1"/>
    <n v="3"/>
    <n v="40"/>
    <n v="1"/>
    <d v="2011-01-13T00:00:00"/>
    <s v="No"/>
    <x v="1"/>
    <n v="2"/>
    <x v="2"/>
    <x v="0"/>
    <x v="1"/>
  </r>
  <r>
    <s v="REL00991"/>
    <s v="Male"/>
    <n v="47"/>
    <s v="Post Graduate"/>
    <s v="Single"/>
    <x v="1"/>
    <s v="Operations Head"/>
    <x v="0"/>
    <x v="5"/>
    <s v="South"/>
    <n v="14"/>
    <n v="132238"/>
    <x v="0"/>
    <n v="1"/>
    <n v="1"/>
    <n v="22"/>
    <n v="3"/>
    <d v="2009-01-07T00:00:00"/>
    <s v="No"/>
    <x v="1"/>
    <n v="3"/>
    <x v="2"/>
    <x v="0"/>
    <x v="0"/>
  </r>
  <r>
    <s v="REL00992"/>
    <s v="Male"/>
    <n v="53"/>
    <s v="Post Graduate"/>
    <s v="Single"/>
    <x v="7"/>
    <s v="Marketing Executive"/>
    <x v="4"/>
    <x v="1"/>
    <s v="North"/>
    <n v="10"/>
    <n v="67900"/>
    <x v="3"/>
    <n v="4"/>
    <n v="3"/>
    <n v="38"/>
    <n v="0"/>
    <d v="2013-11-18T00:00:00"/>
    <s v="No"/>
    <x v="0"/>
    <n v="4"/>
    <x v="1"/>
    <x v="2"/>
    <x v="1"/>
  </r>
  <r>
    <s v="REL00993"/>
    <s v="Female"/>
    <n v="54"/>
    <s v="MBA"/>
    <s v="Divorced"/>
    <x v="0"/>
    <s v="Finance Analyst"/>
    <x v="4"/>
    <x v="2"/>
    <s v="West"/>
    <n v="15"/>
    <n v="90729"/>
    <x v="3"/>
    <n v="1"/>
    <n v="1"/>
    <n v="33"/>
    <n v="1"/>
    <d v="2008-11-17T00:00:00"/>
    <s v="No"/>
    <x v="1"/>
    <n v="4"/>
    <x v="2"/>
    <x v="2"/>
    <x v="0"/>
  </r>
  <r>
    <s v="REL00994"/>
    <s v="Male"/>
    <n v="37"/>
    <s v="MBA"/>
    <s v="Married"/>
    <x v="0"/>
    <s v="Logistics Coordinator"/>
    <x v="1"/>
    <x v="3"/>
    <s v="West"/>
    <n v="6"/>
    <n v="50670"/>
    <x v="3"/>
    <n v="4"/>
    <n v="4"/>
    <n v="43"/>
    <n v="2"/>
    <d v="2017-10-29T00:00:00"/>
    <s v="No"/>
    <x v="0"/>
    <n v="4"/>
    <x v="1"/>
    <x v="2"/>
    <x v="1"/>
  </r>
  <r>
    <s v="REL00995"/>
    <s v="Female"/>
    <n v="30"/>
    <s v="Graduate"/>
    <s v="Single"/>
    <x v="2"/>
    <s v="Marketing Executive"/>
    <x v="3"/>
    <x v="4"/>
    <s v="North"/>
    <n v="15"/>
    <n v="82837"/>
    <x v="3"/>
    <n v="3"/>
    <n v="1"/>
    <n v="25"/>
    <n v="2"/>
    <d v="2008-02-27T00:00:00"/>
    <s v="No"/>
    <x v="1"/>
    <n v="4"/>
    <x v="2"/>
    <x v="2"/>
    <x v="0"/>
  </r>
  <r>
    <s v="REL00996"/>
    <s v="Male"/>
    <n v="48"/>
    <s v="Post Graduate"/>
    <s v="Single"/>
    <x v="4"/>
    <s v="Finance Analyst"/>
    <x v="2"/>
    <x v="0"/>
    <s v="North"/>
    <n v="7"/>
    <n v="75237"/>
    <x v="0"/>
    <n v="2"/>
    <n v="2"/>
    <n v="74"/>
    <n v="1"/>
    <d v="2016-03-08T00:00:00"/>
    <s v="Yes"/>
    <x v="0"/>
    <n v="3"/>
    <x v="1"/>
    <x v="1"/>
    <x v="0"/>
  </r>
  <r>
    <s v="REL00997"/>
    <s v="Female"/>
    <n v="24"/>
    <s v="HSC"/>
    <s v="Single"/>
    <x v="1"/>
    <s v="Customer Service Rep"/>
    <x v="3"/>
    <x v="0"/>
    <s v="North"/>
    <n v="6"/>
    <n v="50705"/>
    <x v="2"/>
    <n v="4"/>
    <n v="1"/>
    <n v="56"/>
    <n v="0"/>
    <d v="2017-11-16T00:00:00"/>
    <s v="Yes"/>
    <x v="0"/>
    <n v="2"/>
    <x v="1"/>
    <x v="1"/>
    <x v="1"/>
  </r>
  <r>
    <s v="REL00998"/>
    <s v="Male"/>
    <n v="30"/>
    <s v="MBA"/>
    <s v="Single"/>
    <x v="1"/>
    <s v="Logistics Coordinator"/>
    <x v="3"/>
    <x v="7"/>
    <s v="East"/>
    <n v="7"/>
    <n v="50519"/>
    <x v="1"/>
    <n v="1"/>
    <n v="2"/>
    <n v="17"/>
    <n v="1"/>
    <d v="2016-11-14T00:00:00"/>
    <s v="No"/>
    <x v="0"/>
    <n v="1"/>
    <x v="1"/>
    <x v="0"/>
    <x v="1"/>
  </r>
  <r>
    <s v="REL00999"/>
    <s v="Female"/>
    <n v="26"/>
    <s v="HSC"/>
    <s v="Divorced"/>
    <x v="6"/>
    <s v="Store Manager"/>
    <x v="3"/>
    <x v="7"/>
    <s v="East"/>
    <n v="14"/>
    <n v="115657"/>
    <x v="3"/>
    <n v="2"/>
    <n v="1"/>
    <n v="32"/>
    <n v="1"/>
    <d v="2009-01-19T00:00:00"/>
    <s v="No"/>
    <x v="1"/>
    <n v="4"/>
    <x v="2"/>
    <x v="2"/>
    <x v="0"/>
  </r>
  <r>
    <s v="REL01000"/>
    <s v="Female"/>
    <n v="28"/>
    <s v="MBA"/>
    <s v="Divorced"/>
    <x v="5"/>
    <s v="Logistics Coordinator"/>
    <x v="0"/>
    <x v="8"/>
    <s v="South"/>
    <n v="14"/>
    <n v="79681"/>
    <x v="3"/>
    <n v="4"/>
    <n v="4"/>
    <n v="28"/>
    <n v="1"/>
    <d v="2009-10-03T00:00:00"/>
    <s v="No"/>
    <x v="0"/>
    <n v="4"/>
    <x v="2"/>
    <x v="2"/>
    <x v="1"/>
  </r>
  <r>
    <s v="REL01001"/>
    <s v="Female"/>
    <n v="34"/>
    <s v="HSC"/>
    <s v="Married"/>
    <x v="4"/>
    <s v="Marketing Executive"/>
    <x v="0"/>
    <x v="1"/>
    <s v="North"/>
    <n v="2"/>
    <n v="53961"/>
    <x v="3"/>
    <n v="2"/>
    <n v="4"/>
    <n v="80"/>
    <n v="1"/>
    <d v="2021-12-30T00:00:00"/>
    <s v="No"/>
    <x v="0"/>
    <n v="4"/>
    <x v="3"/>
    <x v="2"/>
    <x v="1"/>
  </r>
  <r>
    <s v="REL01002"/>
    <s v="Female"/>
    <n v="50"/>
    <s v="Graduate"/>
    <s v="Divorced"/>
    <x v="0"/>
    <s v="Customer Service Rep"/>
    <x v="2"/>
    <x v="2"/>
    <s v="West"/>
    <n v="11"/>
    <n v="51067"/>
    <x v="0"/>
    <n v="1"/>
    <n v="3"/>
    <n v="18"/>
    <n v="2"/>
    <d v="2012-11-12T00:00:00"/>
    <s v="Yes"/>
    <x v="0"/>
    <n v="3"/>
    <x v="2"/>
    <x v="1"/>
    <x v="0"/>
  </r>
  <r>
    <s v="REL01003"/>
    <s v="Female"/>
    <n v="46"/>
    <s v="HSC"/>
    <s v="Divorced"/>
    <x v="3"/>
    <s v="HR Manager"/>
    <x v="4"/>
    <x v="8"/>
    <s v="South"/>
    <n v="5"/>
    <n v="88200"/>
    <x v="1"/>
    <n v="4"/>
    <n v="1"/>
    <n v="76"/>
    <n v="2"/>
    <d v="2018-03-15T00:00:00"/>
    <s v="No"/>
    <x v="1"/>
    <n v="1"/>
    <x v="0"/>
    <x v="0"/>
    <x v="2"/>
  </r>
  <r>
    <s v="REL01004"/>
    <s v="Female"/>
    <n v="23"/>
    <s v="BTech"/>
    <s v="Married"/>
    <x v="5"/>
    <s v="Marketing Executive"/>
    <x v="1"/>
    <x v="6"/>
    <s v="South"/>
    <n v="11"/>
    <n v="66814"/>
    <x v="1"/>
    <n v="2"/>
    <n v="2"/>
    <n v="34"/>
    <n v="0"/>
    <d v="2012-11-12T00:00:00"/>
    <s v="No"/>
    <x v="0"/>
    <n v="1"/>
    <x v="2"/>
    <x v="0"/>
    <x v="1"/>
  </r>
  <r>
    <s v="REL01005"/>
    <s v="Male"/>
    <n v="48"/>
    <s v="BTech"/>
    <s v="Divorced"/>
    <x v="1"/>
    <s v="Logistics Coordinator"/>
    <x v="0"/>
    <x v="6"/>
    <s v="South"/>
    <n v="13"/>
    <n v="74245"/>
    <x v="0"/>
    <n v="1"/>
    <n v="4"/>
    <n v="29"/>
    <n v="3"/>
    <d v="2010-03-24T00:00:00"/>
    <s v="No"/>
    <x v="0"/>
    <n v="3"/>
    <x v="2"/>
    <x v="0"/>
    <x v="0"/>
  </r>
  <r>
    <s v="REL01006"/>
    <s v="Male"/>
    <n v="55"/>
    <s v="BTech"/>
    <s v="Single"/>
    <x v="7"/>
    <s v="Finance Analyst"/>
    <x v="3"/>
    <x v="0"/>
    <s v="North"/>
    <n v="11"/>
    <n v="77698"/>
    <x v="3"/>
    <n v="3"/>
    <n v="3"/>
    <n v="41"/>
    <n v="1"/>
    <d v="2012-07-29T00:00:00"/>
    <s v="No"/>
    <x v="0"/>
    <n v="4"/>
    <x v="2"/>
    <x v="2"/>
    <x v="1"/>
  </r>
  <r>
    <s v="REL01007"/>
    <s v="Female"/>
    <n v="43"/>
    <s v="Graduate"/>
    <s v="Divorced"/>
    <x v="0"/>
    <s v="Customer Service Rep"/>
    <x v="0"/>
    <x v="1"/>
    <s v="North"/>
    <n v="15"/>
    <n v="68352"/>
    <x v="3"/>
    <n v="2"/>
    <n v="4"/>
    <n v="55"/>
    <n v="1"/>
    <d v="2008-10-24T00:00:00"/>
    <s v="Yes"/>
    <x v="0"/>
    <n v="4"/>
    <x v="2"/>
    <x v="1"/>
    <x v="1"/>
  </r>
  <r>
    <s v="REL01008"/>
    <s v="Male"/>
    <n v="22"/>
    <s v="BTech"/>
    <s v="Married"/>
    <x v="4"/>
    <s v="Logistics Coordinator"/>
    <x v="4"/>
    <x v="2"/>
    <s v="West"/>
    <n v="10"/>
    <n v="66295"/>
    <x v="1"/>
    <n v="4"/>
    <n v="1"/>
    <n v="28"/>
    <n v="1"/>
    <d v="2013-11-27T00:00:00"/>
    <s v="No"/>
    <x v="0"/>
    <n v="1"/>
    <x v="1"/>
    <x v="0"/>
    <x v="1"/>
  </r>
  <r>
    <s v="REL01009"/>
    <s v="Female"/>
    <n v="31"/>
    <s v="Post Graduate"/>
    <s v="Divorced"/>
    <x v="5"/>
    <s v="Sales Executive"/>
    <x v="1"/>
    <x v="1"/>
    <s v="North"/>
    <n v="15"/>
    <n v="68255"/>
    <x v="2"/>
    <n v="3"/>
    <n v="3"/>
    <n v="15"/>
    <n v="0"/>
    <d v="2008-08-21T00:00:00"/>
    <s v="No"/>
    <x v="0"/>
    <n v="2"/>
    <x v="2"/>
    <x v="0"/>
    <x v="1"/>
  </r>
  <r>
    <s v="REL01010"/>
    <s v="Male"/>
    <n v="25"/>
    <s v="Graduate"/>
    <s v="Married"/>
    <x v="7"/>
    <s v="Logistics Coordinator"/>
    <x v="2"/>
    <x v="6"/>
    <s v="South"/>
    <n v="1"/>
    <n v="56673"/>
    <x v="3"/>
    <n v="2"/>
    <n v="1"/>
    <n v="20"/>
    <n v="1"/>
    <d v="2022-06-16T00:00:00"/>
    <s v="No"/>
    <x v="0"/>
    <n v="4"/>
    <x v="3"/>
    <x v="2"/>
    <x v="1"/>
  </r>
  <r>
    <s v="REL01011"/>
    <s v="Female"/>
    <n v="27"/>
    <s v="HSC"/>
    <s v="Divorced"/>
    <x v="5"/>
    <s v="Logistics Coordinator"/>
    <x v="4"/>
    <x v="4"/>
    <s v="North"/>
    <n v="2"/>
    <n v="56295"/>
    <x v="3"/>
    <n v="1"/>
    <n v="3"/>
    <n v="16"/>
    <n v="3"/>
    <d v="2021-02-22T00:00:00"/>
    <s v="Yes"/>
    <x v="0"/>
    <n v="4"/>
    <x v="3"/>
    <x v="1"/>
    <x v="1"/>
  </r>
  <r>
    <s v="REL01012"/>
    <s v="Female"/>
    <n v="36"/>
    <s v="HSC"/>
    <s v="Married"/>
    <x v="3"/>
    <s v="Finance Analyst"/>
    <x v="1"/>
    <x v="2"/>
    <s v="West"/>
    <n v="14"/>
    <n v="91472"/>
    <x v="0"/>
    <n v="1"/>
    <n v="4"/>
    <n v="66"/>
    <n v="3"/>
    <d v="2009-12-10T00:00:00"/>
    <s v="No"/>
    <x v="1"/>
    <n v="3"/>
    <x v="2"/>
    <x v="0"/>
    <x v="0"/>
  </r>
  <r>
    <s v="REL01013"/>
    <s v="Male"/>
    <n v="30"/>
    <s v="HSC"/>
    <s v="Single"/>
    <x v="4"/>
    <s v="Finance Analyst"/>
    <x v="3"/>
    <x v="4"/>
    <s v="North"/>
    <n v="1"/>
    <n v="56578"/>
    <x v="0"/>
    <n v="1"/>
    <n v="4"/>
    <n v="70"/>
    <n v="3"/>
    <d v="2022-06-05T00:00:00"/>
    <s v="No"/>
    <x v="0"/>
    <n v="3"/>
    <x v="3"/>
    <x v="0"/>
    <x v="0"/>
  </r>
  <r>
    <s v="REL01014"/>
    <s v="Female"/>
    <n v="26"/>
    <s v="Post Graduate"/>
    <s v="Single"/>
    <x v="3"/>
    <s v="Operations Head"/>
    <x v="1"/>
    <x v="3"/>
    <s v="West"/>
    <n v="13"/>
    <n v="111744"/>
    <x v="3"/>
    <n v="2"/>
    <n v="4"/>
    <n v="39"/>
    <n v="0"/>
    <d v="2010-04-11T00:00:00"/>
    <s v="No"/>
    <x v="1"/>
    <n v="4"/>
    <x v="2"/>
    <x v="2"/>
    <x v="0"/>
  </r>
  <r>
    <s v="REL01015"/>
    <s v="Male"/>
    <n v="51"/>
    <s v="Graduate"/>
    <s v="Single"/>
    <x v="5"/>
    <s v="Customer Service Rep"/>
    <x v="0"/>
    <x v="6"/>
    <s v="South"/>
    <n v="4"/>
    <n v="46150"/>
    <x v="0"/>
    <n v="2"/>
    <n v="1"/>
    <n v="20"/>
    <n v="1"/>
    <d v="2019-05-08T00:00:00"/>
    <s v="Yes"/>
    <x v="2"/>
    <n v="3"/>
    <x v="0"/>
    <x v="1"/>
    <x v="1"/>
  </r>
  <r>
    <s v="REL01016"/>
    <s v="Female"/>
    <n v="30"/>
    <s v="MBA"/>
    <s v="Married"/>
    <x v="6"/>
    <s v="Logistics Coordinator"/>
    <x v="4"/>
    <x v="3"/>
    <s v="West"/>
    <n v="13"/>
    <n v="68797"/>
    <x v="0"/>
    <n v="3"/>
    <n v="4"/>
    <n v="25"/>
    <n v="1"/>
    <d v="2010-01-27T00:00:00"/>
    <s v="No"/>
    <x v="0"/>
    <n v="3"/>
    <x v="2"/>
    <x v="0"/>
    <x v="0"/>
  </r>
  <r>
    <s v="REL01017"/>
    <s v="Female"/>
    <n v="25"/>
    <s v="Post Graduate"/>
    <s v="Married"/>
    <x v="7"/>
    <s v="Operations Head"/>
    <x v="4"/>
    <x v="5"/>
    <s v="South"/>
    <n v="5"/>
    <n v="114416"/>
    <x v="2"/>
    <n v="3"/>
    <n v="1"/>
    <n v="22"/>
    <n v="3"/>
    <d v="2018-10-08T00:00:00"/>
    <s v="Yes"/>
    <x v="1"/>
    <n v="2"/>
    <x v="0"/>
    <x v="1"/>
    <x v="1"/>
  </r>
  <r>
    <s v="REL01018"/>
    <s v="Female"/>
    <n v="28"/>
    <s v="Post Graduate"/>
    <s v="Married"/>
    <x v="4"/>
    <s v="Marketing Executive"/>
    <x v="4"/>
    <x v="8"/>
    <s v="South"/>
    <n v="8"/>
    <n v="64196"/>
    <x v="0"/>
    <n v="4"/>
    <n v="2"/>
    <n v="33"/>
    <n v="0"/>
    <d v="2015-06-14T00:00:00"/>
    <s v="Yes"/>
    <x v="0"/>
    <n v="3"/>
    <x v="1"/>
    <x v="1"/>
    <x v="0"/>
  </r>
  <r>
    <s v="REL01019"/>
    <s v="Female"/>
    <n v="32"/>
    <s v="BTech"/>
    <s v="Divorced"/>
    <x v="3"/>
    <s v="HR Manager"/>
    <x v="4"/>
    <x v="3"/>
    <s v="West"/>
    <n v="15"/>
    <n v="98353"/>
    <x v="1"/>
    <n v="3"/>
    <n v="4"/>
    <n v="66"/>
    <n v="1"/>
    <d v="2008-04-14T00:00:00"/>
    <s v="Yes"/>
    <x v="1"/>
    <n v="1"/>
    <x v="2"/>
    <x v="1"/>
    <x v="2"/>
  </r>
  <r>
    <s v="REL01020"/>
    <s v="Female"/>
    <n v="48"/>
    <s v="Graduate"/>
    <s v="Married"/>
    <x v="1"/>
    <s v="Sales Executive"/>
    <x v="1"/>
    <x v="2"/>
    <s v="West"/>
    <n v="15"/>
    <n v="76885"/>
    <x v="0"/>
    <n v="2"/>
    <n v="4"/>
    <n v="12"/>
    <n v="3"/>
    <d v="2008-04-01T00:00:00"/>
    <s v="No"/>
    <x v="0"/>
    <n v="3"/>
    <x v="2"/>
    <x v="0"/>
    <x v="0"/>
  </r>
  <r>
    <s v="REL01021"/>
    <s v="Male"/>
    <n v="47"/>
    <s v="BTech"/>
    <s v="Single"/>
    <x v="6"/>
    <s v="Finance Analyst"/>
    <x v="3"/>
    <x v="4"/>
    <s v="North"/>
    <n v="8"/>
    <n v="68001"/>
    <x v="3"/>
    <n v="1"/>
    <n v="3"/>
    <n v="10"/>
    <n v="3"/>
    <d v="2015-04-24T00:00:00"/>
    <s v="No"/>
    <x v="0"/>
    <n v="4"/>
    <x v="1"/>
    <x v="2"/>
    <x v="1"/>
  </r>
  <r>
    <s v="REL01022"/>
    <s v="Male"/>
    <n v="27"/>
    <s v="MBA"/>
    <s v="Divorced"/>
    <x v="3"/>
    <s v="Marketing Executive"/>
    <x v="4"/>
    <x v="1"/>
    <s v="North"/>
    <n v="3"/>
    <n v="57445"/>
    <x v="0"/>
    <n v="3"/>
    <n v="1"/>
    <n v="52"/>
    <n v="3"/>
    <d v="2020-01-22T00:00:00"/>
    <s v="No"/>
    <x v="0"/>
    <n v="3"/>
    <x v="0"/>
    <x v="0"/>
    <x v="0"/>
  </r>
  <r>
    <s v="REL01023"/>
    <s v="Male"/>
    <n v="42"/>
    <s v="BTech"/>
    <s v="Married"/>
    <x v="4"/>
    <s v="Sales Executive"/>
    <x v="3"/>
    <x v="0"/>
    <s v="North"/>
    <n v="12"/>
    <n v="71132"/>
    <x v="0"/>
    <n v="4"/>
    <n v="1"/>
    <n v="78"/>
    <n v="2"/>
    <d v="2011-11-28T00:00:00"/>
    <s v="No"/>
    <x v="0"/>
    <n v="3"/>
    <x v="2"/>
    <x v="0"/>
    <x v="0"/>
  </r>
  <r>
    <s v="REL01024"/>
    <s v="Female"/>
    <n v="24"/>
    <s v="BTech"/>
    <s v="Divorced"/>
    <x v="6"/>
    <s v="Store Manager"/>
    <x v="1"/>
    <x v="5"/>
    <s v="South"/>
    <n v="13"/>
    <n v="106188"/>
    <x v="2"/>
    <n v="2"/>
    <n v="4"/>
    <n v="42"/>
    <n v="2"/>
    <d v="2010-12-16T00:00:00"/>
    <s v="No"/>
    <x v="1"/>
    <n v="2"/>
    <x v="2"/>
    <x v="0"/>
    <x v="1"/>
  </r>
  <r>
    <s v="REL01025"/>
    <s v="Female"/>
    <n v="54"/>
    <s v="MBA"/>
    <s v="Single"/>
    <x v="4"/>
    <s v="Sales Executive"/>
    <x v="1"/>
    <x v="6"/>
    <s v="South"/>
    <n v="14"/>
    <n v="60752"/>
    <x v="2"/>
    <n v="4"/>
    <n v="1"/>
    <n v="55"/>
    <n v="1"/>
    <d v="2009-07-11T00:00:00"/>
    <s v="No"/>
    <x v="0"/>
    <n v="2"/>
    <x v="2"/>
    <x v="0"/>
    <x v="1"/>
  </r>
  <r>
    <s v="REL01026"/>
    <s v="Female"/>
    <n v="39"/>
    <s v="MBA"/>
    <s v="Single"/>
    <x v="6"/>
    <s v="Marketing Executive"/>
    <x v="3"/>
    <x v="5"/>
    <s v="South"/>
    <n v="8"/>
    <n v="73670"/>
    <x v="1"/>
    <n v="1"/>
    <n v="4"/>
    <n v="73"/>
    <n v="3"/>
    <d v="2015-02-22T00:00:00"/>
    <s v="Yes"/>
    <x v="0"/>
    <n v="1"/>
    <x v="1"/>
    <x v="1"/>
    <x v="1"/>
  </r>
  <r>
    <s v="REL01027"/>
    <s v="Male"/>
    <n v="53"/>
    <s v="Graduate"/>
    <s v="Divorced"/>
    <x v="3"/>
    <s v="Finance Analyst"/>
    <x v="1"/>
    <x v="2"/>
    <s v="West"/>
    <n v="9"/>
    <n v="73043"/>
    <x v="1"/>
    <n v="3"/>
    <n v="1"/>
    <n v="61"/>
    <n v="1"/>
    <d v="2014-04-14T00:00:00"/>
    <s v="Yes"/>
    <x v="0"/>
    <n v="1"/>
    <x v="1"/>
    <x v="1"/>
    <x v="1"/>
  </r>
  <r>
    <s v="REL01028"/>
    <s v="Female"/>
    <n v="51"/>
    <s v="BTech"/>
    <s v="Single"/>
    <x v="5"/>
    <s v="Store Manager"/>
    <x v="4"/>
    <x v="5"/>
    <s v="South"/>
    <n v="15"/>
    <n v="116808"/>
    <x v="2"/>
    <n v="1"/>
    <n v="1"/>
    <n v="31"/>
    <n v="2"/>
    <d v="2008-06-23T00:00:00"/>
    <s v="No"/>
    <x v="1"/>
    <n v="2"/>
    <x v="2"/>
    <x v="0"/>
    <x v="1"/>
  </r>
  <r>
    <s v="REL01029"/>
    <s v="Female"/>
    <n v="47"/>
    <s v="Post Graduate"/>
    <s v="Single"/>
    <x v="3"/>
    <s v="Operations Head"/>
    <x v="0"/>
    <x v="1"/>
    <s v="North"/>
    <n v="5"/>
    <n v="100981"/>
    <x v="2"/>
    <n v="3"/>
    <n v="3"/>
    <n v="33"/>
    <n v="1"/>
    <d v="2018-06-15T00:00:00"/>
    <s v="No"/>
    <x v="1"/>
    <n v="2"/>
    <x v="0"/>
    <x v="0"/>
    <x v="1"/>
  </r>
  <r>
    <s v="REL01030"/>
    <s v="Female"/>
    <n v="47"/>
    <s v="Post Graduate"/>
    <s v="Married"/>
    <x v="4"/>
    <s v="Marketing Executive"/>
    <x v="3"/>
    <x v="6"/>
    <s v="South"/>
    <n v="14"/>
    <n v="85897"/>
    <x v="0"/>
    <n v="1"/>
    <n v="3"/>
    <n v="33"/>
    <n v="2"/>
    <d v="2009-11-13T00:00:00"/>
    <s v="No"/>
    <x v="1"/>
    <n v="3"/>
    <x v="2"/>
    <x v="0"/>
    <x v="0"/>
  </r>
  <r>
    <s v="REL01031"/>
    <s v="Male"/>
    <n v="43"/>
    <s v="BTech"/>
    <s v="Divorced"/>
    <x v="3"/>
    <s v="HR Manager"/>
    <x v="0"/>
    <x v="9"/>
    <s v="West"/>
    <n v="3"/>
    <n v="84226"/>
    <x v="1"/>
    <n v="3"/>
    <n v="1"/>
    <n v="38"/>
    <n v="0"/>
    <d v="2020-01-12T00:00:00"/>
    <s v="Yes"/>
    <x v="1"/>
    <n v="1"/>
    <x v="0"/>
    <x v="1"/>
    <x v="2"/>
  </r>
  <r>
    <s v="REL01032"/>
    <s v="Female"/>
    <n v="23"/>
    <s v="BTech"/>
    <s v="Married"/>
    <x v="6"/>
    <s v="Finance Analyst"/>
    <x v="0"/>
    <x v="1"/>
    <s v="North"/>
    <n v="1"/>
    <n v="69004"/>
    <x v="2"/>
    <n v="4"/>
    <n v="3"/>
    <n v="43"/>
    <n v="1"/>
    <d v="2022-06-18T00:00:00"/>
    <s v="No"/>
    <x v="0"/>
    <n v="2"/>
    <x v="3"/>
    <x v="0"/>
    <x v="1"/>
  </r>
  <r>
    <s v="REL01033"/>
    <s v="Female"/>
    <n v="32"/>
    <s v="Graduate"/>
    <s v="Single"/>
    <x v="1"/>
    <s v="Sales Executive"/>
    <x v="0"/>
    <x v="3"/>
    <s v="West"/>
    <n v="15"/>
    <n v="63709"/>
    <x v="3"/>
    <n v="3"/>
    <n v="2"/>
    <n v="44"/>
    <n v="0"/>
    <d v="2008-03-04T00:00:00"/>
    <s v="No"/>
    <x v="0"/>
    <n v="4"/>
    <x v="2"/>
    <x v="2"/>
    <x v="1"/>
  </r>
  <r>
    <s v="REL01034"/>
    <s v="Female"/>
    <n v="42"/>
    <s v="Post Graduate"/>
    <s v="Single"/>
    <x v="5"/>
    <s v="Sales Executive"/>
    <x v="2"/>
    <x v="0"/>
    <s v="North"/>
    <n v="5"/>
    <n v="50657"/>
    <x v="1"/>
    <n v="2"/>
    <n v="2"/>
    <n v="56"/>
    <n v="1"/>
    <d v="2018-11-08T00:00:00"/>
    <s v="Yes"/>
    <x v="0"/>
    <n v="1"/>
    <x v="0"/>
    <x v="1"/>
    <x v="1"/>
  </r>
  <r>
    <s v="REL01035"/>
    <s v="Male"/>
    <n v="39"/>
    <s v="Post Graduate"/>
    <s v="Divorced"/>
    <x v="7"/>
    <s v="Logistics Coordinator"/>
    <x v="1"/>
    <x v="2"/>
    <s v="West"/>
    <n v="4"/>
    <n v="57658"/>
    <x v="3"/>
    <n v="1"/>
    <n v="3"/>
    <n v="21"/>
    <n v="0"/>
    <d v="2019-12-10T00:00:00"/>
    <s v="No"/>
    <x v="0"/>
    <n v="4"/>
    <x v="0"/>
    <x v="2"/>
    <x v="1"/>
  </r>
  <r>
    <s v="REL01036"/>
    <s v="Male"/>
    <n v="30"/>
    <s v="MBA"/>
    <s v="Single"/>
    <x v="3"/>
    <s v="Sales Executive"/>
    <x v="3"/>
    <x v="7"/>
    <s v="East"/>
    <n v="10"/>
    <n v="69389"/>
    <x v="1"/>
    <n v="3"/>
    <n v="3"/>
    <n v="26"/>
    <n v="1"/>
    <d v="2013-03-22T00:00:00"/>
    <s v="Yes"/>
    <x v="0"/>
    <n v="1"/>
    <x v="1"/>
    <x v="1"/>
    <x v="1"/>
  </r>
  <r>
    <s v="REL01037"/>
    <s v="Female"/>
    <n v="25"/>
    <s v="HSC"/>
    <s v="Divorced"/>
    <x v="5"/>
    <s v="HR Manager"/>
    <x v="3"/>
    <x v="1"/>
    <s v="North"/>
    <n v="15"/>
    <n v="105842"/>
    <x v="0"/>
    <n v="4"/>
    <n v="4"/>
    <n v="78"/>
    <n v="3"/>
    <d v="2008-05-30T00:00:00"/>
    <s v="No"/>
    <x v="1"/>
    <n v="3"/>
    <x v="2"/>
    <x v="0"/>
    <x v="0"/>
  </r>
  <r>
    <s v="REL01038"/>
    <s v="Female"/>
    <n v="43"/>
    <s v="BTech"/>
    <s v="Married"/>
    <x v="4"/>
    <s v="Customer Service Rep"/>
    <x v="2"/>
    <x v="8"/>
    <s v="South"/>
    <n v="8"/>
    <n v="57718"/>
    <x v="0"/>
    <n v="3"/>
    <n v="3"/>
    <n v="46"/>
    <n v="1"/>
    <d v="2015-01-26T00:00:00"/>
    <s v="No"/>
    <x v="0"/>
    <n v="3"/>
    <x v="1"/>
    <x v="0"/>
    <x v="0"/>
  </r>
  <r>
    <s v="REL01039"/>
    <s v="Male"/>
    <n v="24"/>
    <s v="Graduate"/>
    <s v="Single"/>
    <x v="3"/>
    <s v="Logistics Coordinator"/>
    <x v="0"/>
    <x v="1"/>
    <s v="North"/>
    <n v="2"/>
    <n v="49888"/>
    <x v="3"/>
    <n v="3"/>
    <n v="3"/>
    <n v="39"/>
    <n v="1"/>
    <d v="2021-10-24T00:00:00"/>
    <s v="Yes"/>
    <x v="2"/>
    <n v="4"/>
    <x v="3"/>
    <x v="1"/>
    <x v="1"/>
  </r>
  <r>
    <s v="REL01040"/>
    <s v="Male"/>
    <n v="42"/>
    <s v="HSC"/>
    <s v="Married"/>
    <x v="1"/>
    <s v="Customer Service Rep"/>
    <x v="2"/>
    <x v="0"/>
    <s v="North"/>
    <n v="13"/>
    <n v="61399"/>
    <x v="3"/>
    <n v="1"/>
    <n v="2"/>
    <n v="64"/>
    <n v="1"/>
    <d v="2010-09-20T00:00:00"/>
    <s v="Yes"/>
    <x v="0"/>
    <n v="4"/>
    <x v="2"/>
    <x v="1"/>
    <x v="1"/>
  </r>
  <r>
    <s v="REL01041"/>
    <s v="Female"/>
    <n v="31"/>
    <s v="MBA"/>
    <s v="Divorced"/>
    <x v="4"/>
    <s v="Logistics Coordinator"/>
    <x v="0"/>
    <x v="0"/>
    <s v="North"/>
    <n v="14"/>
    <n v="75642"/>
    <x v="2"/>
    <n v="2"/>
    <n v="4"/>
    <n v="67"/>
    <n v="3"/>
    <d v="2009-02-21T00:00:00"/>
    <s v="No"/>
    <x v="0"/>
    <n v="2"/>
    <x v="2"/>
    <x v="0"/>
    <x v="1"/>
  </r>
  <r>
    <s v="REL01042"/>
    <s v="Female"/>
    <n v="35"/>
    <s v="Graduate"/>
    <s v="Divorced"/>
    <x v="6"/>
    <s v="Customer Service Rep"/>
    <x v="2"/>
    <x v="8"/>
    <s v="South"/>
    <n v="3"/>
    <n v="47885"/>
    <x v="3"/>
    <n v="2"/>
    <n v="2"/>
    <n v="79"/>
    <n v="0"/>
    <d v="2020-06-27T00:00:00"/>
    <s v="No"/>
    <x v="2"/>
    <n v="4"/>
    <x v="0"/>
    <x v="2"/>
    <x v="1"/>
  </r>
  <r>
    <s v="REL01043"/>
    <s v="Male"/>
    <n v="25"/>
    <s v="MBA"/>
    <s v="Divorced"/>
    <x v="1"/>
    <s v="HR Manager"/>
    <x v="4"/>
    <x v="6"/>
    <s v="South"/>
    <n v="4"/>
    <n v="73232"/>
    <x v="0"/>
    <n v="1"/>
    <n v="1"/>
    <n v="76"/>
    <n v="1"/>
    <d v="2019-02-17T00:00:00"/>
    <s v="No"/>
    <x v="0"/>
    <n v="3"/>
    <x v="0"/>
    <x v="0"/>
    <x v="0"/>
  </r>
  <r>
    <s v="REL01044"/>
    <s v="Male"/>
    <n v="52"/>
    <s v="MBA"/>
    <s v="Divorced"/>
    <x v="4"/>
    <s v="Finance Analyst"/>
    <x v="3"/>
    <x v="2"/>
    <s v="West"/>
    <n v="4"/>
    <n v="69305"/>
    <x v="0"/>
    <n v="1"/>
    <n v="4"/>
    <n v="32"/>
    <n v="1"/>
    <d v="2019-04-05T00:00:00"/>
    <s v="Yes"/>
    <x v="0"/>
    <n v="3"/>
    <x v="0"/>
    <x v="1"/>
    <x v="0"/>
  </r>
  <r>
    <s v="REL01045"/>
    <s v="Male"/>
    <n v="46"/>
    <s v="Post Graduate"/>
    <s v="Divorced"/>
    <x v="7"/>
    <s v="Customer Service Rep"/>
    <x v="3"/>
    <x v="7"/>
    <s v="East"/>
    <n v="5"/>
    <n v="53416"/>
    <x v="2"/>
    <n v="1"/>
    <n v="3"/>
    <n v="28"/>
    <n v="0"/>
    <d v="2018-04-30T00:00:00"/>
    <s v="No"/>
    <x v="0"/>
    <n v="2"/>
    <x v="0"/>
    <x v="0"/>
    <x v="1"/>
  </r>
  <r>
    <s v="REL01046"/>
    <s v="Male"/>
    <n v="50"/>
    <s v="Graduate"/>
    <s v="Divorced"/>
    <x v="7"/>
    <s v="Sales Executive"/>
    <x v="3"/>
    <x v="1"/>
    <s v="North"/>
    <n v="12"/>
    <n v="66861"/>
    <x v="0"/>
    <n v="4"/>
    <n v="2"/>
    <n v="18"/>
    <n v="3"/>
    <d v="2011-03-29T00:00:00"/>
    <s v="Yes"/>
    <x v="0"/>
    <n v="3"/>
    <x v="2"/>
    <x v="1"/>
    <x v="0"/>
  </r>
  <r>
    <s v="REL01047"/>
    <s v="Male"/>
    <n v="31"/>
    <s v="BTech"/>
    <s v="Divorced"/>
    <x v="1"/>
    <s v="HR Manager"/>
    <x v="3"/>
    <x v="5"/>
    <s v="South"/>
    <n v="15"/>
    <n v="95959"/>
    <x v="0"/>
    <n v="2"/>
    <n v="4"/>
    <n v="31"/>
    <n v="0"/>
    <d v="2008-10-03T00:00:00"/>
    <s v="No"/>
    <x v="1"/>
    <n v="3"/>
    <x v="2"/>
    <x v="0"/>
    <x v="0"/>
  </r>
  <r>
    <s v="REL01048"/>
    <s v="Male"/>
    <n v="37"/>
    <s v="Post Graduate"/>
    <s v="Married"/>
    <x v="5"/>
    <s v="Operations Head"/>
    <x v="1"/>
    <x v="2"/>
    <s v="West"/>
    <n v="11"/>
    <n v="114742"/>
    <x v="3"/>
    <n v="3"/>
    <n v="2"/>
    <n v="79"/>
    <n v="1"/>
    <d v="2012-03-28T00:00:00"/>
    <s v="No"/>
    <x v="1"/>
    <n v="4"/>
    <x v="2"/>
    <x v="2"/>
    <x v="0"/>
  </r>
  <r>
    <s v="REL01049"/>
    <s v="Female"/>
    <n v="40"/>
    <s v="Post Graduate"/>
    <s v="Single"/>
    <x v="4"/>
    <s v="Finance Analyst"/>
    <x v="0"/>
    <x v="7"/>
    <s v="East"/>
    <n v="2"/>
    <n v="69172"/>
    <x v="1"/>
    <n v="3"/>
    <n v="3"/>
    <n v="42"/>
    <n v="3"/>
    <d v="2021-10-11T00:00:00"/>
    <s v="Yes"/>
    <x v="0"/>
    <n v="1"/>
    <x v="3"/>
    <x v="1"/>
    <x v="1"/>
  </r>
  <r>
    <s v="REL01050"/>
    <s v="Female"/>
    <n v="26"/>
    <s v="Post Graduate"/>
    <s v="Single"/>
    <x v="2"/>
    <s v="Finance Analyst"/>
    <x v="2"/>
    <x v="4"/>
    <s v="North"/>
    <n v="10"/>
    <n v="70088"/>
    <x v="1"/>
    <n v="3"/>
    <n v="2"/>
    <n v="69"/>
    <n v="3"/>
    <d v="2013-10-06T00:00:00"/>
    <s v="No"/>
    <x v="0"/>
    <n v="1"/>
    <x v="1"/>
    <x v="0"/>
    <x v="1"/>
  </r>
  <r>
    <s v="REL01051"/>
    <s v="Male"/>
    <n v="30"/>
    <s v="HSC"/>
    <s v="Married"/>
    <x v="1"/>
    <s v="Marketing Executive"/>
    <x v="3"/>
    <x v="0"/>
    <s v="North"/>
    <n v="3"/>
    <n v="50281"/>
    <x v="2"/>
    <n v="1"/>
    <n v="2"/>
    <n v="32"/>
    <n v="0"/>
    <d v="2020-12-18T00:00:00"/>
    <s v="No"/>
    <x v="0"/>
    <n v="2"/>
    <x v="0"/>
    <x v="0"/>
    <x v="1"/>
  </r>
  <r>
    <s v="REL01052"/>
    <s v="Female"/>
    <n v="44"/>
    <s v="Post Graduate"/>
    <s v="Divorced"/>
    <x v="4"/>
    <s v="Finance Analyst"/>
    <x v="1"/>
    <x v="3"/>
    <s v="West"/>
    <n v="10"/>
    <n v="86994"/>
    <x v="1"/>
    <n v="3"/>
    <n v="3"/>
    <n v="33"/>
    <n v="1"/>
    <d v="2013-03-18T00:00:00"/>
    <s v="No"/>
    <x v="1"/>
    <n v="1"/>
    <x v="1"/>
    <x v="0"/>
    <x v="2"/>
  </r>
  <r>
    <s v="REL01053"/>
    <s v="Female"/>
    <n v="27"/>
    <s v="BTech"/>
    <s v="Divorced"/>
    <x v="6"/>
    <s v="Store Manager"/>
    <x v="4"/>
    <x v="1"/>
    <s v="North"/>
    <n v="4"/>
    <n v="92113"/>
    <x v="3"/>
    <n v="3"/>
    <n v="1"/>
    <n v="68"/>
    <n v="0"/>
    <d v="2019-09-04T00:00:00"/>
    <s v="No"/>
    <x v="1"/>
    <n v="4"/>
    <x v="0"/>
    <x v="2"/>
    <x v="0"/>
  </r>
  <r>
    <s v="REL01054"/>
    <s v="Female"/>
    <n v="23"/>
    <s v="Graduate"/>
    <s v="Married"/>
    <x v="3"/>
    <s v="HR Manager"/>
    <x v="2"/>
    <x v="7"/>
    <s v="East"/>
    <n v="1"/>
    <n v="85913"/>
    <x v="3"/>
    <n v="2"/>
    <n v="4"/>
    <n v="45"/>
    <n v="1"/>
    <d v="2022-03-07T00:00:00"/>
    <s v="No"/>
    <x v="1"/>
    <n v="4"/>
    <x v="3"/>
    <x v="2"/>
    <x v="0"/>
  </r>
  <r>
    <s v="REL01055"/>
    <s v="Male"/>
    <n v="31"/>
    <s v="MBA"/>
    <s v="Single"/>
    <x v="1"/>
    <s v="Sales Executive"/>
    <x v="4"/>
    <x v="3"/>
    <s v="West"/>
    <n v="8"/>
    <n v="52894"/>
    <x v="1"/>
    <n v="2"/>
    <n v="2"/>
    <n v="24"/>
    <n v="1"/>
    <d v="2015-11-17T00:00:00"/>
    <s v="Yes"/>
    <x v="0"/>
    <n v="1"/>
    <x v="1"/>
    <x v="1"/>
    <x v="1"/>
  </r>
  <r>
    <s v="REL01056"/>
    <s v="Male"/>
    <n v="29"/>
    <s v="Graduate"/>
    <s v="Married"/>
    <x v="2"/>
    <s v="HR Manager"/>
    <x v="3"/>
    <x v="6"/>
    <s v="South"/>
    <n v="8"/>
    <n v="82753"/>
    <x v="1"/>
    <n v="4"/>
    <n v="1"/>
    <n v="26"/>
    <n v="1"/>
    <d v="2015-01-24T00:00:00"/>
    <s v="No"/>
    <x v="1"/>
    <n v="1"/>
    <x v="1"/>
    <x v="0"/>
    <x v="2"/>
  </r>
  <r>
    <s v="REL01057"/>
    <s v="Male"/>
    <n v="34"/>
    <s v="BTech"/>
    <s v="Divorced"/>
    <x v="2"/>
    <s v="HR Manager"/>
    <x v="1"/>
    <x v="3"/>
    <s v="West"/>
    <n v="8"/>
    <n v="92237"/>
    <x v="3"/>
    <n v="2"/>
    <n v="1"/>
    <n v="47"/>
    <n v="1"/>
    <d v="2015-05-24T00:00:00"/>
    <s v="No"/>
    <x v="1"/>
    <n v="4"/>
    <x v="1"/>
    <x v="2"/>
    <x v="0"/>
  </r>
  <r>
    <s v="REL01058"/>
    <s v="Female"/>
    <n v="55"/>
    <s v="Graduate"/>
    <s v="Single"/>
    <x v="6"/>
    <s v="Store Manager"/>
    <x v="0"/>
    <x v="2"/>
    <s v="West"/>
    <n v="9"/>
    <n v="98860"/>
    <x v="0"/>
    <n v="3"/>
    <n v="2"/>
    <n v="22"/>
    <n v="0"/>
    <d v="2014-02-04T00:00:00"/>
    <s v="No"/>
    <x v="1"/>
    <n v="3"/>
    <x v="1"/>
    <x v="0"/>
    <x v="0"/>
  </r>
  <r>
    <s v="REL01059"/>
    <s v="Female"/>
    <n v="30"/>
    <s v="Post Graduate"/>
    <s v="Divorced"/>
    <x v="0"/>
    <s v="HR Manager"/>
    <x v="1"/>
    <x v="8"/>
    <s v="South"/>
    <n v="11"/>
    <n v="98047"/>
    <x v="1"/>
    <n v="3"/>
    <n v="4"/>
    <n v="26"/>
    <n v="0"/>
    <d v="2012-01-29T00:00:00"/>
    <s v="No"/>
    <x v="1"/>
    <n v="1"/>
    <x v="2"/>
    <x v="0"/>
    <x v="2"/>
  </r>
  <r>
    <s v="REL01060"/>
    <s v="Female"/>
    <n v="30"/>
    <s v="BTech"/>
    <s v="Married"/>
    <x v="1"/>
    <s v="Logistics Coordinator"/>
    <x v="0"/>
    <x v="4"/>
    <s v="North"/>
    <n v="12"/>
    <n v="61163"/>
    <x v="2"/>
    <n v="1"/>
    <n v="1"/>
    <n v="39"/>
    <n v="3"/>
    <d v="2011-09-17T00:00:00"/>
    <s v="Yes"/>
    <x v="0"/>
    <n v="2"/>
    <x v="2"/>
    <x v="1"/>
    <x v="1"/>
  </r>
  <r>
    <s v="REL01061"/>
    <s v="Female"/>
    <n v="46"/>
    <s v="HSC"/>
    <s v="Single"/>
    <x v="3"/>
    <s v="Customer Service Rep"/>
    <x v="0"/>
    <x v="0"/>
    <s v="North"/>
    <n v="7"/>
    <n v="57012"/>
    <x v="0"/>
    <n v="2"/>
    <n v="1"/>
    <n v="43"/>
    <n v="0"/>
    <d v="2016-04-01T00:00:00"/>
    <s v="No"/>
    <x v="0"/>
    <n v="3"/>
    <x v="1"/>
    <x v="0"/>
    <x v="0"/>
  </r>
  <r>
    <s v="REL01062"/>
    <s v="Male"/>
    <n v="52"/>
    <s v="Post Graduate"/>
    <s v="Divorced"/>
    <x v="0"/>
    <s v="Store Manager"/>
    <x v="2"/>
    <x v="6"/>
    <s v="South"/>
    <n v="15"/>
    <n v="118843"/>
    <x v="1"/>
    <n v="4"/>
    <n v="3"/>
    <n v="17"/>
    <n v="1"/>
    <d v="2008-02-25T00:00:00"/>
    <s v="Yes"/>
    <x v="1"/>
    <n v="1"/>
    <x v="2"/>
    <x v="1"/>
    <x v="2"/>
  </r>
  <r>
    <s v="REL01063"/>
    <s v="Male"/>
    <n v="30"/>
    <s v="Post Graduate"/>
    <s v="Married"/>
    <x v="0"/>
    <s v="Logistics Coordinator"/>
    <x v="3"/>
    <x v="4"/>
    <s v="North"/>
    <n v="7"/>
    <n v="68359"/>
    <x v="3"/>
    <n v="1"/>
    <n v="3"/>
    <n v="50"/>
    <n v="2"/>
    <d v="2016-06-05T00:00:00"/>
    <s v="Yes"/>
    <x v="0"/>
    <n v="4"/>
    <x v="1"/>
    <x v="1"/>
    <x v="1"/>
  </r>
  <r>
    <s v="REL01064"/>
    <s v="Female"/>
    <n v="47"/>
    <s v="MBA"/>
    <s v="Divorced"/>
    <x v="0"/>
    <s v="Marketing Executive"/>
    <x v="2"/>
    <x v="6"/>
    <s v="South"/>
    <n v="1"/>
    <n v="43921"/>
    <x v="2"/>
    <n v="4"/>
    <n v="3"/>
    <n v="64"/>
    <n v="2"/>
    <d v="2022-12-24T00:00:00"/>
    <s v="Yes"/>
    <x v="2"/>
    <n v="2"/>
    <x v="3"/>
    <x v="1"/>
    <x v="1"/>
  </r>
  <r>
    <s v="REL01065"/>
    <s v="Male"/>
    <n v="38"/>
    <s v="MBA"/>
    <s v="Single"/>
    <x v="2"/>
    <s v="Customer Service Rep"/>
    <x v="0"/>
    <x v="4"/>
    <s v="North"/>
    <n v="10"/>
    <n v="57188"/>
    <x v="1"/>
    <n v="2"/>
    <n v="3"/>
    <n v="69"/>
    <n v="3"/>
    <d v="2013-10-07T00:00:00"/>
    <s v="Yes"/>
    <x v="0"/>
    <n v="1"/>
    <x v="1"/>
    <x v="1"/>
    <x v="1"/>
  </r>
  <r>
    <s v="REL01066"/>
    <s v="Male"/>
    <n v="23"/>
    <s v="MBA"/>
    <s v="Divorced"/>
    <x v="2"/>
    <s v="Sales Executive"/>
    <x v="4"/>
    <x v="3"/>
    <s v="West"/>
    <n v="13"/>
    <n v="72848"/>
    <x v="3"/>
    <n v="2"/>
    <n v="1"/>
    <n v="67"/>
    <n v="3"/>
    <d v="2010-12-16T00:00:00"/>
    <s v="Yes"/>
    <x v="0"/>
    <n v="4"/>
    <x v="2"/>
    <x v="1"/>
    <x v="1"/>
  </r>
  <r>
    <s v="REL01067"/>
    <s v="Male"/>
    <n v="45"/>
    <s v="MBA"/>
    <s v="Single"/>
    <x v="2"/>
    <s v="Store Manager"/>
    <x v="3"/>
    <x v="8"/>
    <s v="South"/>
    <n v="7"/>
    <n v="106838"/>
    <x v="0"/>
    <n v="2"/>
    <n v="1"/>
    <n v="23"/>
    <n v="2"/>
    <d v="2016-04-13T00:00:00"/>
    <s v="Yes"/>
    <x v="1"/>
    <n v="3"/>
    <x v="1"/>
    <x v="1"/>
    <x v="0"/>
  </r>
  <r>
    <s v="REL01068"/>
    <s v="Male"/>
    <n v="25"/>
    <s v="MBA"/>
    <s v="Divorced"/>
    <x v="7"/>
    <s v="Store Manager"/>
    <x v="4"/>
    <x v="3"/>
    <s v="West"/>
    <n v="9"/>
    <n v="106388"/>
    <x v="0"/>
    <n v="2"/>
    <n v="3"/>
    <n v="20"/>
    <n v="0"/>
    <d v="2014-11-12T00:00:00"/>
    <s v="No"/>
    <x v="1"/>
    <n v="3"/>
    <x v="1"/>
    <x v="0"/>
    <x v="0"/>
  </r>
  <r>
    <s v="REL01069"/>
    <s v="Male"/>
    <n v="34"/>
    <s v="Graduate"/>
    <s v="Single"/>
    <x v="5"/>
    <s v="Operations Head"/>
    <x v="1"/>
    <x v="8"/>
    <s v="South"/>
    <n v="8"/>
    <n v="107537"/>
    <x v="2"/>
    <n v="4"/>
    <n v="2"/>
    <n v="54"/>
    <n v="2"/>
    <d v="2015-10-06T00:00:00"/>
    <s v="No"/>
    <x v="1"/>
    <n v="2"/>
    <x v="1"/>
    <x v="0"/>
    <x v="1"/>
  </r>
  <r>
    <s v="REL01070"/>
    <s v="Male"/>
    <n v="43"/>
    <s v="Post Graduate"/>
    <s v="Divorced"/>
    <x v="6"/>
    <s v="Store Manager"/>
    <x v="3"/>
    <x v="9"/>
    <s v="West"/>
    <n v="8"/>
    <n v="97703"/>
    <x v="2"/>
    <n v="2"/>
    <n v="4"/>
    <n v="30"/>
    <n v="3"/>
    <d v="2015-03-22T00:00:00"/>
    <s v="Yes"/>
    <x v="1"/>
    <n v="2"/>
    <x v="1"/>
    <x v="1"/>
    <x v="1"/>
  </r>
  <r>
    <s v="REL01071"/>
    <s v="Male"/>
    <n v="30"/>
    <s v="MBA"/>
    <s v="Single"/>
    <x v="6"/>
    <s v="HR Manager"/>
    <x v="3"/>
    <x v="8"/>
    <s v="South"/>
    <n v="14"/>
    <n v="95586"/>
    <x v="1"/>
    <n v="1"/>
    <n v="1"/>
    <n v="44"/>
    <n v="3"/>
    <d v="2009-12-03T00:00:00"/>
    <s v="No"/>
    <x v="1"/>
    <n v="1"/>
    <x v="2"/>
    <x v="0"/>
    <x v="2"/>
  </r>
  <r>
    <s v="REL01072"/>
    <s v="Female"/>
    <n v="53"/>
    <s v="MBA"/>
    <s v="Single"/>
    <x v="6"/>
    <s v="Store Manager"/>
    <x v="4"/>
    <x v="2"/>
    <s v="West"/>
    <n v="6"/>
    <n v="89222"/>
    <x v="2"/>
    <n v="3"/>
    <n v="1"/>
    <n v="12"/>
    <n v="2"/>
    <d v="2017-12-08T00:00:00"/>
    <s v="Yes"/>
    <x v="1"/>
    <n v="2"/>
    <x v="1"/>
    <x v="1"/>
    <x v="1"/>
  </r>
  <r>
    <s v="REL01073"/>
    <s v="Male"/>
    <n v="26"/>
    <s v="HSC"/>
    <s v="Single"/>
    <x v="1"/>
    <s v="Operations Head"/>
    <x v="1"/>
    <x v="4"/>
    <s v="North"/>
    <n v="14"/>
    <n v="131814"/>
    <x v="3"/>
    <n v="1"/>
    <n v="3"/>
    <n v="74"/>
    <n v="0"/>
    <d v="2009-07-27T00:00:00"/>
    <s v="Yes"/>
    <x v="1"/>
    <n v="4"/>
    <x v="2"/>
    <x v="1"/>
    <x v="0"/>
  </r>
  <r>
    <s v="REL01074"/>
    <s v="Male"/>
    <n v="26"/>
    <s v="Post Graduate"/>
    <s v="Married"/>
    <x v="4"/>
    <s v="Logistics Coordinator"/>
    <x v="1"/>
    <x v="4"/>
    <s v="North"/>
    <n v="15"/>
    <n v="84860"/>
    <x v="1"/>
    <n v="4"/>
    <n v="1"/>
    <n v="63"/>
    <n v="3"/>
    <d v="2008-02-12T00:00:00"/>
    <s v="Yes"/>
    <x v="1"/>
    <n v="1"/>
    <x v="2"/>
    <x v="1"/>
    <x v="2"/>
  </r>
  <r>
    <s v="REL01075"/>
    <s v="Female"/>
    <n v="25"/>
    <s v="MBA"/>
    <s v="Married"/>
    <x v="4"/>
    <s v="Logistics Coordinator"/>
    <x v="4"/>
    <x v="4"/>
    <s v="North"/>
    <n v="15"/>
    <n v="68262"/>
    <x v="1"/>
    <n v="3"/>
    <n v="2"/>
    <n v="39"/>
    <n v="1"/>
    <d v="2008-05-01T00:00:00"/>
    <s v="Yes"/>
    <x v="0"/>
    <n v="1"/>
    <x v="2"/>
    <x v="1"/>
    <x v="1"/>
  </r>
  <r>
    <s v="REL01076"/>
    <s v="Female"/>
    <n v="22"/>
    <s v="Graduate"/>
    <s v="Divorced"/>
    <x v="6"/>
    <s v="Operations Head"/>
    <x v="2"/>
    <x v="7"/>
    <s v="East"/>
    <n v="12"/>
    <n v="128099"/>
    <x v="0"/>
    <n v="3"/>
    <n v="2"/>
    <n v="65"/>
    <n v="1"/>
    <d v="2011-11-07T00:00:00"/>
    <s v="No"/>
    <x v="1"/>
    <n v="3"/>
    <x v="2"/>
    <x v="0"/>
    <x v="0"/>
  </r>
  <r>
    <s v="REL01077"/>
    <s v="Male"/>
    <n v="48"/>
    <s v="Graduate"/>
    <s v="Single"/>
    <x v="1"/>
    <s v="Finance Analyst"/>
    <x v="3"/>
    <x v="3"/>
    <s v="West"/>
    <n v="9"/>
    <n v="85712"/>
    <x v="3"/>
    <n v="1"/>
    <n v="3"/>
    <n v="22"/>
    <n v="0"/>
    <d v="2014-11-10T00:00:00"/>
    <s v="No"/>
    <x v="1"/>
    <n v="4"/>
    <x v="1"/>
    <x v="2"/>
    <x v="0"/>
  </r>
  <r>
    <s v="REL01078"/>
    <s v="Female"/>
    <n v="54"/>
    <s v="Graduate"/>
    <s v="Single"/>
    <x v="5"/>
    <s v="HR Manager"/>
    <x v="1"/>
    <x v="5"/>
    <s v="South"/>
    <n v="15"/>
    <n v="98668"/>
    <x v="1"/>
    <n v="4"/>
    <n v="3"/>
    <n v="48"/>
    <n v="1"/>
    <d v="2008-12-24T00:00:00"/>
    <s v="Yes"/>
    <x v="1"/>
    <n v="1"/>
    <x v="2"/>
    <x v="1"/>
    <x v="2"/>
  </r>
  <r>
    <s v="REL01079"/>
    <s v="Female"/>
    <n v="50"/>
    <s v="Graduate"/>
    <s v="Divorced"/>
    <x v="2"/>
    <s v="Marketing Executive"/>
    <x v="3"/>
    <x v="6"/>
    <s v="South"/>
    <n v="9"/>
    <n v="76713"/>
    <x v="2"/>
    <n v="2"/>
    <n v="1"/>
    <n v="13"/>
    <n v="2"/>
    <d v="2014-04-19T00:00:00"/>
    <s v="No"/>
    <x v="0"/>
    <n v="2"/>
    <x v="1"/>
    <x v="0"/>
    <x v="1"/>
  </r>
  <r>
    <s v="REL01080"/>
    <s v="Male"/>
    <n v="41"/>
    <s v="BTech"/>
    <s v="Married"/>
    <x v="0"/>
    <s v="Finance Analyst"/>
    <x v="3"/>
    <x v="1"/>
    <s v="North"/>
    <n v="6"/>
    <n v="65070"/>
    <x v="1"/>
    <n v="1"/>
    <n v="1"/>
    <n v="30"/>
    <n v="3"/>
    <d v="2017-06-22T00:00:00"/>
    <s v="Yes"/>
    <x v="0"/>
    <n v="1"/>
    <x v="1"/>
    <x v="1"/>
    <x v="1"/>
  </r>
  <r>
    <s v="REL01081"/>
    <s v="Female"/>
    <n v="25"/>
    <s v="HSC"/>
    <s v="Single"/>
    <x v="4"/>
    <s v="HR Manager"/>
    <x v="2"/>
    <x v="4"/>
    <s v="North"/>
    <n v="9"/>
    <n v="98183"/>
    <x v="1"/>
    <n v="3"/>
    <n v="2"/>
    <n v="25"/>
    <n v="2"/>
    <d v="2014-01-25T00:00:00"/>
    <s v="No"/>
    <x v="1"/>
    <n v="1"/>
    <x v="1"/>
    <x v="0"/>
    <x v="2"/>
  </r>
  <r>
    <s v="REL01082"/>
    <s v="Male"/>
    <n v="33"/>
    <s v="MBA"/>
    <s v="Married"/>
    <x v="6"/>
    <s v="Store Manager"/>
    <x v="4"/>
    <x v="0"/>
    <s v="North"/>
    <n v="7"/>
    <n v="105199"/>
    <x v="2"/>
    <n v="2"/>
    <n v="3"/>
    <n v="58"/>
    <n v="2"/>
    <d v="2016-02-09T00:00:00"/>
    <s v="No"/>
    <x v="1"/>
    <n v="2"/>
    <x v="1"/>
    <x v="0"/>
    <x v="1"/>
  </r>
  <r>
    <s v="REL01083"/>
    <s v="Female"/>
    <n v="46"/>
    <s v="MBA"/>
    <s v="Divorced"/>
    <x v="7"/>
    <s v="Operations Head"/>
    <x v="1"/>
    <x v="0"/>
    <s v="North"/>
    <n v="3"/>
    <n v="92480"/>
    <x v="1"/>
    <n v="2"/>
    <n v="3"/>
    <n v="64"/>
    <n v="0"/>
    <d v="2020-01-08T00:00:00"/>
    <s v="Yes"/>
    <x v="1"/>
    <n v="1"/>
    <x v="0"/>
    <x v="1"/>
    <x v="2"/>
  </r>
  <r>
    <s v="REL01084"/>
    <s v="Female"/>
    <n v="28"/>
    <s v="MBA"/>
    <s v="Single"/>
    <x v="7"/>
    <s v="Sales Executive"/>
    <x v="1"/>
    <x v="8"/>
    <s v="South"/>
    <n v="3"/>
    <n v="50547"/>
    <x v="2"/>
    <n v="2"/>
    <n v="3"/>
    <n v="41"/>
    <n v="3"/>
    <d v="2020-10-15T00:00:00"/>
    <s v="Yes"/>
    <x v="0"/>
    <n v="2"/>
    <x v="0"/>
    <x v="1"/>
    <x v="1"/>
  </r>
  <r>
    <s v="REL01085"/>
    <s v="Male"/>
    <n v="49"/>
    <s v="Post Graduate"/>
    <s v="Married"/>
    <x v="3"/>
    <s v="Logistics Coordinator"/>
    <x v="4"/>
    <x v="8"/>
    <s v="South"/>
    <n v="5"/>
    <n v="62455"/>
    <x v="0"/>
    <n v="4"/>
    <n v="4"/>
    <n v="29"/>
    <n v="3"/>
    <d v="2018-09-08T00:00:00"/>
    <s v="No"/>
    <x v="0"/>
    <n v="3"/>
    <x v="0"/>
    <x v="0"/>
    <x v="0"/>
  </r>
  <r>
    <s v="REL01086"/>
    <s v="Male"/>
    <n v="29"/>
    <s v="BTech"/>
    <s v="Divorced"/>
    <x v="2"/>
    <s v="Sales Executive"/>
    <x v="3"/>
    <x v="4"/>
    <s v="North"/>
    <n v="10"/>
    <n v="52922"/>
    <x v="3"/>
    <n v="2"/>
    <n v="3"/>
    <n v="30"/>
    <n v="1"/>
    <d v="2013-11-27T00:00:00"/>
    <s v="No"/>
    <x v="0"/>
    <n v="4"/>
    <x v="1"/>
    <x v="2"/>
    <x v="1"/>
  </r>
  <r>
    <s v="REL01087"/>
    <s v="Male"/>
    <n v="24"/>
    <s v="HSC"/>
    <s v="Married"/>
    <x v="2"/>
    <s v="Logistics Coordinator"/>
    <x v="2"/>
    <x v="2"/>
    <s v="West"/>
    <n v="8"/>
    <n v="51013"/>
    <x v="0"/>
    <n v="1"/>
    <n v="4"/>
    <n v="52"/>
    <n v="0"/>
    <d v="2015-09-30T00:00:00"/>
    <s v="No"/>
    <x v="0"/>
    <n v="3"/>
    <x v="1"/>
    <x v="0"/>
    <x v="0"/>
  </r>
  <r>
    <s v="REL01088"/>
    <s v="Male"/>
    <n v="49"/>
    <s v="HSC"/>
    <s v="Divorced"/>
    <x v="5"/>
    <s v="HR Manager"/>
    <x v="0"/>
    <x v="6"/>
    <s v="South"/>
    <n v="8"/>
    <n v="89591"/>
    <x v="2"/>
    <n v="1"/>
    <n v="2"/>
    <n v="47"/>
    <n v="2"/>
    <d v="2015-02-22T00:00:00"/>
    <s v="Yes"/>
    <x v="1"/>
    <n v="2"/>
    <x v="1"/>
    <x v="1"/>
    <x v="1"/>
  </r>
  <r>
    <s v="REL01089"/>
    <s v="Female"/>
    <n v="24"/>
    <s v="BTech"/>
    <s v="Divorced"/>
    <x v="6"/>
    <s v="Finance Analyst"/>
    <x v="3"/>
    <x v="3"/>
    <s v="West"/>
    <n v="8"/>
    <n v="68140"/>
    <x v="3"/>
    <n v="1"/>
    <n v="4"/>
    <n v="69"/>
    <n v="1"/>
    <d v="2015-10-31T00:00:00"/>
    <s v="No"/>
    <x v="0"/>
    <n v="4"/>
    <x v="1"/>
    <x v="2"/>
    <x v="1"/>
  </r>
  <r>
    <s v="REL01090"/>
    <s v="Male"/>
    <n v="47"/>
    <s v="MBA"/>
    <s v="Married"/>
    <x v="4"/>
    <s v="Logistics Coordinator"/>
    <x v="4"/>
    <x v="0"/>
    <s v="North"/>
    <n v="5"/>
    <n v="61940"/>
    <x v="1"/>
    <n v="4"/>
    <n v="2"/>
    <n v="60"/>
    <n v="3"/>
    <d v="2018-07-19T00:00:00"/>
    <s v="Yes"/>
    <x v="0"/>
    <n v="1"/>
    <x v="0"/>
    <x v="1"/>
    <x v="1"/>
  </r>
  <r>
    <s v="REL01091"/>
    <s v="Female"/>
    <n v="42"/>
    <s v="Graduate"/>
    <s v="Single"/>
    <x v="6"/>
    <s v="Sales Executive"/>
    <x v="1"/>
    <x v="8"/>
    <s v="South"/>
    <n v="12"/>
    <n v="64725"/>
    <x v="2"/>
    <n v="1"/>
    <n v="2"/>
    <n v="33"/>
    <n v="0"/>
    <d v="2011-03-09T00:00:00"/>
    <s v="No"/>
    <x v="0"/>
    <n v="2"/>
    <x v="2"/>
    <x v="0"/>
    <x v="1"/>
  </r>
  <r>
    <s v="REL01092"/>
    <s v="Male"/>
    <n v="49"/>
    <s v="Graduate"/>
    <s v="Single"/>
    <x v="5"/>
    <s v="Store Manager"/>
    <x v="2"/>
    <x v="9"/>
    <s v="West"/>
    <n v="15"/>
    <n v="116510"/>
    <x v="1"/>
    <n v="4"/>
    <n v="2"/>
    <n v="63"/>
    <n v="2"/>
    <d v="2008-05-07T00:00:00"/>
    <s v="Yes"/>
    <x v="1"/>
    <n v="1"/>
    <x v="2"/>
    <x v="1"/>
    <x v="2"/>
  </r>
  <r>
    <s v="REL01093"/>
    <s v="Male"/>
    <n v="46"/>
    <s v="MBA"/>
    <s v="Single"/>
    <x v="6"/>
    <s v="Operations Head"/>
    <x v="2"/>
    <x v="5"/>
    <s v="South"/>
    <n v="9"/>
    <n v="113736"/>
    <x v="3"/>
    <n v="1"/>
    <n v="1"/>
    <n v="48"/>
    <n v="1"/>
    <d v="2014-03-03T00:00:00"/>
    <s v="No"/>
    <x v="1"/>
    <n v="4"/>
    <x v="1"/>
    <x v="2"/>
    <x v="0"/>
  </r>
  <r>
    <s v="REL01094"/>
    <s v="Female"/>
    <n v="49"/>
    <s v="MBA"/>
    <s v="Married"/>
    <x v="4"/>
    <s v="Logistics Coordinator"/>
    <x v="2"/>
    <x v="8"/>
    <s v="South"/>
    <n v="5"/>
    <n v="57289"/>
    <x v="3"/>
    <n v="1"/>
    <n v="3"/>
    <n v="65"/>
    <n v="2"/>
    <d v="2018-03-23T00:00:00"/>
    <s v="No"/>
    <x v="0"/>
    <n v="4"/>
    <x v="0"/>
    <x v="2"/>
    <x v="1"/>
  </r>
  <r>
    <s v="REL01095"/>
    <s v="Male"/>
    <n v="50"/>
    <s v="HSC"/>
    <s v="Married"/>
    <x v="0"/>
    <s v="Customer Service Rep"/>
    <x v="0"/>
    <x v="6"/>
    <s v="South"/>
    <n v="7"/>
    <n v="55057"/>
    <x v="2"/>
    <n v="2"/>
    <n v="2"/>
    <n v="74"/>
    <n v="0"/>
    <d v="2016-07-12T00:00:00"/>
    <s v="No"/>
    <x v="0"/>
    <n v="2"/>
    <x v="1"/>
    <x v="0"/>
    <x v="1"/>
  </r>
  <r>
    <s v="REL01096"/>
    <s v="Male"/>
    <n v="48"/>
    <s v="HSC"/>
    <s v="Divorced"/>
    <x v="3"/>
    <s v="Logistics Coordinator"/>
    <x v="2"/>
    <x v="2"/>
    <s v="West"/>
    <n v="5"/>
    <n v="57493"/>
    <x v="2"/>
    <n v="3"/>
    <n v="1"/>
    <n v="23"/>
    <n v="3"/>
    <d v="2018-02-12T00:00:00"/>
    <s v="No"/>
    <x v="0"/>
    <n v="2"/>
    <x v="0"/>
    <x v="0"/>
    <x v="1"/>
  </r>
  <r>
    <s v="REL01097"/>
    <s v="Male"/>
    <n v="31"/>
    <s v="HSC"/>
    <s v="Single"/>
    <x v="5"/>
    <s v="Logistics Coordinator"/>
    <x v="2"/>
    <x v="7"/>
    <s v="East"/>
    <n v="1"/>
    <n v="42251"/>
    <x v="3"/>
    <n v="4"/>
    <n v="4"/>
    <n v="71"/>
    <n v="3"/>
    <d v="2022-11-02T00:00:00"/>
    <s v="No"/>
    <x v="2"/>
    <n v="4"/>
    <x v="3"/>
    <x v="2"/>
    <x v="1"/>
  </r>
  <r>
    <s v="REL01098"/>
    <s v="Male"/>
    <n v="33"/>
    <s v="HSC"/>
    <s v="Divorced"/>
    <x v="6"/>
    <s v="Sales Executive"/>
    <x v="2"/>
    <x v="8"/>
    <s v="South"/>
    <n v="10"/>
    <n v="62784"/>
    <x v="2"/>
    <n v="1"/>
    <n v="1"/>
    <n v="57"/>
    <n v="2"/>
    <d v="2013-11-11T00:00:00"/>
    <s v="Yes"/>
    <x v="0"/>
    <n v="2"/>
    <x v="1"/>
    <x v="1"/>
    <x v="1"/>
  </r>
  <r>
    <s v="REL01099"/>
    <s v="Female"/>
    <n v="52"/>
    <s v="MBA"/>
    <s v="Divorced"/>
    <x v="6"/>
    <s v="Store Manager"/>
    <x v="4"/>
    <x v="1"/>
    <s v="North"/>
    <n v="13"/>
    <n v="104550"/>
    <x v="3"/>
    <n v="2"/>
    <n v="2"/>
    <n v="20"/>
    <n v="1"/>
    <d v="2010-03-09T00:00:00"/>
    <s v="No"/>
    <x v="1"/>
    <n v="4"/>
    <x v="2"/>
    <x v="2"/>
    <x v="0"/>
  </r>
  <r>
    <s v="REL01100"/>
    <s v="Female"/>
    <n v="32"/>
    <s v="MBA"/>
    <s v="Single"/>
    <x v="5"/>
    <s v="Operations Head"/>
    <x v="3"/>
    <x v="4"/>
    <s v="North"/>
    <n v="15"/>
    <n v="129618"/>
    <x v="3"/>
    <n v="2"/>
    <n v="1"/>
    <n v="31"/>
    <n v="0"/>
    <d v="2008-06-09T00:00:00"/>
    <s v="No"/>
    <x v="1"/>
    <n v="4"/>
    <x v="2"/>
    <x v="2"/>
    <x v="0"/>
  </r>
  <r>
    <s v="REL01101"/>
    <s v="Female"/>
    <n v="25"/>
    <s v="MBA"/>
    <s v="Divorced"/>
    <x v="4"/>
    <s v="Marketing Executive"/>
    <x v="2"/>
    <x v="5"/>
    <s v="South"/>
    <n v="6"/>
    <n v="66092"/>
    <x v="1"/>
    <n v="3"/>
    <n v="2"/>
    <n v="57"/>
    <n v="2"/>
    <d v="2017-03-07T00:00:00"/>
    <s v="No"/>
    <x v="0"/>
    <n v="1"/>
    <x v="1"/>
    <x v="0"/>
    <x v="1"/>
  </r>
  <r>
    <s v="REL01102"/>
    <s v="Female"/>
    <n v="39"/>
    <s v="Graduate"/>
    <s v="Single"/>
    <x v="3"/>
    <s v="Marketing Executive"/>
    <x v="0"/>
    <x v="1"/>
    <s v="North"/>
    <n v="2"/>
    <n v="60497"/>
    <x v="0"/>
    <n v="4"/>
    <n v="3"/>
    <n v="49"/>
    <n v="2"/>
    <d v="2021-08-25T00:00:00"/>
    <s v="No"/>
    <x v="0"/>
    <n v="3"/>
    <x v="3"/>
    <x v="0"/>
    <x v="0"/>
  </r>
  <r>
    <s v="REL01103"/>
    <s v="Male"/>
    <n v="31"/>
    <s v="MBA"/>
    <s v="Married"/>
    <x v="7"/>
    <s v="Marketing Executive"/>
    <x v="0"/>
    <x v="8"/>
    <s v="South"/>
    <n v="14"/>
    <n v="70513"/>
    <x v="0"/>
    <n v="4"/>
    <n v="1"/>
    <n v="67"/>
    <n v="3"/>
    <d v="2009-10-25T00:00:00"/>
    <s v="Yes"/>
    <x v="0"/>
    <n v="3"/>
    <x v="2"/>
    <x v="1"/>
    <x v="0"/>
  </r>
  <r>
    <s v="REL01104"/>
    <s v="Male"/>
    <n v="46"/>
    <s v="Post Graduate"/>
    <s v="Single"/>
    <x v="1"/>
    <s v="HR Manager"/>
    <x v="2"/>
    <x v="2"/>
    <s v="West"/>
    <n v="11"/>
    <n v="103032"/>
    <x v="2"/>
    <n v="4"/>
    <n v="3"/>
    <n v="11"/>
    <n v="0"/>
    <d v="2012-12-19T00:00:00"/>
    <s v="No"/>
    <x v="1"/>
    <n v="2"/>
    <x v="2"/>
    <x v="0"/>
    <x v="1"/>
  </r>
  <r>
    <s v="REL01105"/>
    <s v="Male"/>
    <n v="42"/>
    <s v="BTech"/>
    <s v="Divorced"/>
    <x v="6"/>
    <s v="Customer Service Rep"/>
    <x v="2"/>
    <x v="0"/>
    <s v="North"/>
    <n v="5"/>
    <n v="41368"/>
    <x v="3"/>
    <n v="2"/>
    <n v="3"/>
    <n v="39"/>
    <n v="2"/>
    <d v="2018-06-19T00:00:00"/>
    <s v="Yes"/>
    <x v="2"/>
    <n v="4"/>
    <x v="0"/>
    <x v="1"/>
    <x v="1"/>
  </r>
  <r>
    <s v="REL01106"/>
    <s v="Female"/>
    <n v="52"/>
    <s v="BTech"/>
    <s v="Married"/>
    <x v="4"/>
    <s v="Sales Executive"/>
    <x v="4"/>
    <x v="5"/>
    <s v="South"/>
    <n v="14"/>
    <n v="74865"/>
    <x v="3"/>
    <n v="1"/>
    <n v="4"/>
    <n v="54"/>
    <n v="1"/>
    <d v="2009-06-16T00:00:00"/>
    <s v="Yes"/>
    <x v="0"/>
    <n v="4"/>
    <x v="2"/>
    <x v="1"/>
    <x v="1"/>
  </r>
  <r>
    <s v="REL01107"/>
    <s v="Male"/>
    <n v="45"/>
    <s v="Graduate"/>
    <s v="Married"/>
    <x v="4"/>
    <s v="Operations Head"/>
    <x v="0"/>
    <x v="8"/>
    <s v="South"/>
    <n v="5"/>
    <n v="109008"/>
    <x v="2"/>
    <n v="2"/>
    <n v="4"/>
    <n v="80"/>
    <n v="0"/>
    <d v="2018-04-05T00:00:00"/>
    <s v="Yes"/>
    <x v="1"/>
    <n v="2"/>
    <x v="0"/>
    <x v="1"/>
    <x v="1"/>
  </r>
  <r>
    <s v="REL01108"/>
    <s v="Female"/>
    <n v="46"/>
    <s v="BTech"/>
    <s v="Divorced"/>
    <x v="5"/>
    <s v="Finance Analyst"/>
    <x v="2"/>
    <x v="3"/>
    <s v="West"/>
    <n v="3"/>
    <n v="72460"/>
    <x v="3"/>
    <n v="4"/>
    <n v="2"/>
    <n v="17"/>
    <n v="2"/>
    <d v="2020-01-29T00:00:00"/>
    <s v="No"/>
    <x v="0"/>
    <n v="4"/>
    <x v="0"/>
    <x v="2"/>
    <x v="1"/>
  </r>
  <r>
    <s v="REL01109"/>
    <s v="Male"/>
    <n v="38"/>
    <s v="MBA"/>
    <s v="Single"/>
    <x v="7"/>
    <s v="Finance Analyst"/>
    <x v="1"/>
    <x v="7"/>
    <s v="East"/>
    <n v="14"/>
    <n v="81429"/>
    <x v="0"/>
    <n v="1"/>
    <n v="1"/>
    <n v="79"/>
    <n v="3"/>
    <d v="2009-05-19T00:00:00"/>
    <s v="No"/>
    <x v="1"/>
    <n v="3"/>
    <x v="2"/>
    <x v="0"/>
    <x v="0"/>
  </r>
  <r>
    <s v="REL01110"/>
    <s v="Female"/>
    <n v="32"/>
    <s v="BTech"/>
    <s v="Single"/>
    <x v="3"/>
    <s v="Marketing Executive"/>
    <x v="0"/>
    <x v="8"/>
    <s v="South"/>
    <n v="15"/>
    <n v="88243"/>
    <x v="0"/>
    <n v="2"/>
    <n v="1"/>
    <n v="29"/>
    <n v="0"/>
    <d v="2008-03-07T00:00:00"/>
    <s v="No"/>
    <x v="1"/>
    <n v="3"/>
    <x v="2"/>
    <x v="0"/>
    <x v="0"/>
  </r>
  <r>
    <s v="REL01111"/>
    <s v="Male"/>
    <n v="35"/>
    <s v="Post Graduate"/>
    <s v="Single"/>
    <x v="7"/>
    <s v="HR Manager"/>
    <x v="4"/>
    <x v="1"/>
    <s v="North"/>
    <n v="15"/>
    <n v="113565"/>
    <x v="1"/>
    <n v="1"/>
    <n v="1"/>
    <n v="24"/>
    <n v="0"/>
    <d v="2008-04-15T00:00:00"/>
    <s v="Yes"/>
    <x v="1"/>
    <n v="1"/>
    <x v="2"/>
    <x v="1"/>
    <x v="2"/>
  </r>
  <r>
    <s v="REL01112"/>
    <s v="Female"/>
    <n v="46"/>
    <s v="Graduate"/>
    <s v="Single"/>
    <x v="1"/>
    <s v="Sales Executive"/>
    <x v="2"/>
    <x v="6"/>
    <s v="South"/>
    <n v="1"/>
    <n v="49105"/>
    <x v="3"/>
    <n v="1"/>
    <n v="4"/>
    <n v="59"/>
    <n v="0"/>
    <d v="2022-05-10T00:00:00"/>
    <s v="No"/>
    <x v="2"/>
    <n v="4"/>
    <x v="3"/>
    <x v="2"/>
    <x v="1"/>
  </r>
  <r>
    <s v="REL01113"/>
    <s v="Male"/>
    <n v="40"/>
    <s v="HSC"/>
    <s v="Divorced"/>
    <x v="2"/>
    <s v="Logistics Coordinator"/>
    <x v="0"/>
    <x v="3"/>
    <s v="West"/>
    <n v="6"/>
    <n v="50045"/>
    <x v="0"/>
    <n v="2"/>
    <n v="1"/>
    <n v="75"/>
    <n v="0"/>
    <d v="2017-12-02T00:00:00"/>
    <s v="No"/>
    <x v="0"/>
    <n v="3"/>
    <x v="1"/>
    <x v="0"/>
    <x v="0"/>
  </r>
  <r>
    <s v="REL01114"/>
    <s v="Female"/>
    <n v="28"/>
    <s v="Graduate"/>
    <s v="Single"/>
    <x v="4"/>
    <s v="Customer Service Rep"/>
    <x v="3"/>
    <x v="9"/>
    <s v="West"/>
    <n v="4"/>
    <n v="43136"/>
    <x v="0"/>
    <n v="2"/>
    <n v="1"/>
    <n v="68"/>
    <n v="3"/>
    <d v="2019-03-07T00:00:00"/>
    <s v="No"/>
    <x v="2"/>
    <n v="3"/>
    <x v="0"/>
    <x v="0"/>
    <x v="1"/>
  </r>
  <r>
    <s v="REL01115"/>
    <s v="Male"/>
    <n v="24"/>
    <s v="MBA"/>
    <s v="Married"/>
    <x v="0"/>
    <s v="Logistics Coordinator"/>
    <x v="0"/>
    <x v="6"/>
    <s v="South"/>
    <n v="6"/>
    <n v="61337"/>
    <x v="2"/>
    <n v="4"/>
    <n v="4"/>
    <n v="44"/>
    <n v="0"/>
    <d v="2017-07-17T00:00:00"/>
    <s v="Yes"/>
    <x v="0"/>
    <n v="2"/>
    <x v="1"/>
    <x v="1"/>
    <x v="1"/>
  </r>
  <r>
    <s v="REL01116"/>
    <s v="Male"/>
    <n v="50"/>
    <s v="BTech"/>
    <s v="Married"/>
    <x v="0"/>
    <s v="Sales Executive"/>
    <x v="3"/>
    <x v="0"/>
    <s v="North"/>
    <n v="5"/>
    <n v="42958"/>
    <x v="2"/>
    <n v="1"/>
    <n v="4"/>
    <n v="44"/>
    <n v="3"/>
    <d v="2018-08-11T00:00:00"/>
    <s v="No"/>
    <x v="2"/>
    <n v="2"/>
    <x v="0"/>
    <x v="0"/>
    <x v="1"/>
  </r>
  <r>
    <s v="REL01117"/>
    <s v="Male"/>
    <n v="46"/>
    <s v="BTech"/>
    <s v="Divorced"/>
    <x v="0"/>
    <s v="Logistics Coordinator"/>
    <x v="0"/>
    <x v="3"/>
    <s v="West"/>
    <n v="7"/>
    <n v="66964"/>
    <x v="0"/>
    <n v="4"/>
    <n v="2"/>
    <n v="59"/>
    <n v="3"/>
    <d v="2016-08-05T00:00:00"/>
    <s v="No"/>
    <x v="0"/>
    <n v="3"/>
    <x v="1"/>
    <x v="0"/>
    <x v="0"/>
  </r>
  <r>
    <s v="REL01118"/>
    <s v="Female"/>
    <n v="26"/>
    <s v="HSC"/>
    <s v="Single"/>
    <x v="1"/>
    <s v="Sales Executive"/>
    <x v="1"/>
    <x v="3"/>
    <s v="West"/>
    <n v="9"/>
    <n v="63482"/>
    <x v="1"/>
    <n v="3"/>
    <n v="4"/>
    <n v="33"/>
    <n v="2"/>
    <d v="2014-01-30T00:00:00"/>
    <s v="No"/>
    <x v="0"/>
    <n v="1"/>
    <x v="1"/>
    <x v="0"/>
    <x v="1"/>
  </r>
  <r>
    <s v="REL01119"/>
    <s v="Male"/>
    <n v="27"/>
    <s v="Post Graduate"/>
    <s v="Married"/>
    <x v="2"/>
    <s v="Logistics Coordinator"/>
    <x v="1"/>
    <x v="9"/>
    <s v="West"/>
    <n v="15"/>
    <n v="65765"/>
    <x v="1"/>
    <n v="3"/>
    <n v="4"/>
    <n v="76"/>
    <n v="1"/>
    <d v="2008-11-01T00:00:00"/>
    <s v="Yes"/>
    <x v="0"/>
    <n v="1"/>
    <x v="2"/>
    <x v="1"/>
    <x v="1"/>
  </r>
  <r>
    <s v="REL01120"/>
    <s v="Male"/>
    <n v="51"/>
    <s v="HSC"/>
    <s v="Married"/>
    <x v="0"/>
    <s v="Store Manager"/>
    <x v="0"/>
    <x v="2"/>
    <s v="West"/>
    <n v="9"/>
    <n v="111731"/>
    <x v="3"/>
    <n v="3"/>
    <n v="1"/>
    <n v="68"/>
    <n v="3"/>
    <d v="2014-10-24T00:00:00"/>
    <s v="No"/>
    <x v="1"/>
    <n v="4"/>
    <x v="1"/>
    <x v="2"/>
    <x v="0"/>
  </r>
  <r>
    <s v="REL01121"/>
    <s v="Male"/>
    <n v="28"/>
    <s v="BTech"/>
    <s v="Divorced"/>
    <x v="4"/>
    <s v="Operations Head"/>
    <x v="4"/>
    <x v="9"/>
    <s v="West"/>
    <n v="8"/>
    <n v="113618"/>
    <x v="0"/>
    <n v="2"/>
    <n v="3"/>
    <n v="21"/>
    <n v="3"/>
    <d v="2015-10-01T00:00:00"/>
    <s v="No"/>
    <x v="1"/>
    <n v="3"/>
    <x v="1"/>
    <x v="0"/>
    <x v="0"/>
  </r>
  <r>
    <s v="REL01122"/>
    <s v="Male"/>
    <n v="50"/>
    <s v="Graduate"/>
    <s v="Divorced"/>
    <x v="6"/>
    <s v="HR Manager"/>
    <x v="0"/>
    <x v="6"/>
    <s v="South"/>
    <n v="3"/>
    <n v="90764"/>
    <x v="0"/>
    <n v="3"/>
    <n v="3"/>
    <n v="44"/>
    <n v="1"/>
    <d v="2020-07-14T00:00:00"/>
    <s v="No"/>
    <x v="1"/>
    <n v="3"/>
    <x v="0"/>
    <x v="0"/>
    <x v="0"/>
  </r>
  <r>
    <s v="REL01123"/>
    <s v="Male"/>
    <n v="22"/>
    <s v="BTech"/>
    <s v="Single"/>
    <x v="5"/>
    <s v="Store Manager"/>
    <x v="0"/>
    <x v="0"/>
    <s v="North"/>
    <n v="8"/>
    <n v="101451"/>
    <x v="2"/>
    <n v="2"/>
    <n v="3"/>
    <n v="73"/>
    <n v="0"/>
    <d v="2015-04-20T00:00:00"/>
    <s v="No"/>
    <x v="1"/>
    <n v="2"/>
    <x v="1"/>
    <x v="0"/>
    <x v="1"/>
  </r>
  <r>
    <s v="REL01124"/>
    <s v="Female"/>
    <n v="25"/>
    <s v="MBA"/>
    <s v="Single"/>
    <x v="0"/>
    <s v="Logistics Coordinator"/>
    <x v="4"/>
    <x v="4"/>
    <s v="North"/>
    <n v="11"/>
    <n v="64194"/>
    <x v="3"/>
    <n v="2"/>
    <n v="2"/>
    <n v="45"/>
    <n v="3"/>
    <d v="2012-06-08T00:00:00"/>
    <s v="No"/>
    <x v="0"/>
    <n v="4"/>
    <x v="2"/>
    <x v="2"/>
    <x v="1"/>
  </r>
  <r>
    <s v="REL01125"/>
    <s v="Female"/>
    <n v="55"/>
    <s v="BTech"/>
    <s v="Single"/>
    <x v="3"/>
    <s v="Operations Head"/>
    <x v="1"/>
    <x v="6"/>
    <s v="South"/>
    <n v="15"/>
    <n v="115165"/>
    <x v="2"/>
    <n v="2"/>
    <n v="3"/>
    <n v="67"/>
    <n v="1"/>
    <d v="2008-11-20T00:00:00"/>
    <s v="Yes"/>
    <x v="1"/>
    <n v="2"/>
    <x v="2"/>
    <x v="1"/>
    <x v="1"/>
  </r>
  <r>
    <s v="REL01126"/>
    <s v="Male"/>
    <n v="44"/>
    <s v="BTech"/>
    <s v="Divorced"/>
    <x v="3"/>
    <s v="Customer Service Rep"/>
    <x v="3"/>
    <x v="0"/>
    <s v="North"/>
    <n v="7"/>
    <n v="39204"/>
    <x v="3"/>
    <n v="1"/>
    <n v="1"/>
    <n v="24"/>
    <n v="2"/>
    <d v="2016-11-30T00:00:00"/>
    <s v="No"/>
    <x v="2"/>
    <n v="4"/>
    <x v="1"/>
    <x v="2"/>
    <x v="1"/>
  </r>
  <r>
    <s v="REL01127"/>
    <s v="Male"/>
    <n v="24"/>
    <s v="HSC"/>
    <s v="Single"/>
    <x v="3"/>
    <s v="Sales Executive"/>
    <x v="3"/>
    <x v="3"/>
    <s v="West"/>
    <n v="14"/>
    <n v="68321"/>
    <x v="3"/>
    <n v="4"/>
    <n v="1"/>
    <n v="27"/>
    <n v="1"/>
    <d v="2009-05-31T00:00:00"/>
    <s v="No"/>
    <x v="0"/>
    <n v="4"/>
    <x v="2"/>
    <x v="2"/>
    <x v="1"/>
  </r>
  <r>
    <s v="REL01128"/>
    <s v="Male"/>
    <n v="22"/>
    <s v="MBA"/>
    <s v="Married"/>
    <x v="0"/>
    <s v="Logistics Coordinator"/>
    <x v="3"/>
    <x v="3"/>
    <s v="West"/>
    <n v="13"/>
    <n v="80452"/>
    <x v="3"/>
    <n v="1"/>
    <n v="3"/>
    <n v="51"/>
    <n v="2"/>
    <d v="2010-01-21T00:00:00"/>
    <s v="No"/>
    <x v="1"/>
    <n v="4"/>
    <x v="2"/>
    <x v="2"/>
    <x v="0"/>
  </r>
  <r>
    <s v="REL01129"/>
    <s v="Female"/>
    <n v="39"/>
    <s v="MBA"/>
    <s v="Single"/>
    <x v="3"/>
    <s v="Marketing Executive"/>
    <x v="1"/>
    <x v="5"/>
    <s v="South"/>
    <n v="7"/>
    <n v="67504"/>
    <x v="1"/>
    <n v="4"/>
    <n v="1"/>
    <n v="75"/>
    <n v="1"/>
    <d v="2016-03-04T00:00:00"/>
    <s v="Yes"/>
    <x v="0"/>
    <n v="1"/>
    <x v="1"/>
    <x v="1"/>
    <x v="1"/>
  </r>
  <r>
    <s v="REL01130"/>
    <s v="Male"/>
    <n v="31"/>
    <s v="HSC"/>
    <s v="Divorced"/>
    <x v="1"/>
    <s v="Sales Executive"/>
    <x v="0"/>
    <x v="9"/>
    <s v="West"/>
    <n v="4"/>
    <n v="39163"/>
    <x v="3"/>
    <n v="4"/>
    <n v="2"/>
    <n v="33"/>
    <n v="0"/>
    <d v="2019-07-16T00:00:00"/>
    <s v="No"/>
    <x v="2"/>
    <n v="4"/>
    <x v="0"/>
    <x v="2"/>
    <x v="1"/>
  </r>
  <r>
    <s v="REL01131"/>
    <s v="Male"/>
    <n v="48"/>
    <s v="BTech"/>
    <s v="Single"/>
    <x v="4"/>
    <s v="Operations Head"/>
    <x v="2"/>
    <x v="9"/>
    <s v="West"/>
    <n v="8"/>
    <n v="118171"/>
    <x v="2"/>
    <n v="4"/>
    <n v="3"/>
    <n v="79"/>
    <n v="3"/>
    <d v="2015-07-15T00:00:00"/>
    <s v="No"/>
    <x v="1"/>
    <n v="2"/>
    <x v="1"/>
    <x v="0"/>
    <x v="1"/>
  </r>
  <r>
    <s v="REL01132"/>
    <s v="Male"/>
    <n v="41"/>
    <s v="Post Graduate"/>
    <s v="Married"/>
    <x v="6"/>
    <s v="Marketing Executive"/>
    <x v="3"/>
    <x v="3"/>
    <s v="West"/>
    <n v="10"/>
    <n v="68236"/>
    <x v="0"/>
    <n v="2"/>
    <n v="4"/>
    <n v="48"/>
    <n v="3"/>
    <d v="2013-04-01T00:00:00"/>
    <s v="No"/>
    <x v="0"/>
    <n v="3"/>
    <x v="1"/>
    <x v="0"/>
    <x v="0"/>
  </r>
  <r>
    <s v="REL01133"/>
    <s v="Male"/>
    <n v="47"/>
    <s v="HSC"/>
    <s v="Married"/>
    <x v="0"/>
    <s v="Finance Analyst"/>
    <x v="0"/>
    <x v="6"/>
    <s v="South"/>
    <n v="1"/>
    <n v="66559"/>
    <x v="2"/>
    <n v="3"/>
    <n v="3"/>
    <n v="20"/>
    <n v="2"/>
    <d v="2022-01-06T00:00:00"/>
    <s v="No"/>
    <x v="0"/>
    <n v="2"/>
    <x v="3"/>
    <x v="0"/>
    <x v="1"/>
  </r>
  <r>
    <s v="REL01134"/>
    <s v="Female"/>
    <n v="42"/>
    <s v="Graduate"/>
    <s v="Single"/>
    <x v="3"/>
    <s v="Store Manager"/>
    <x v="2"/>
    <x v="2"/>
    <s v="West"/>
    <n v="12"/>
    <n v="118466"/>
    <x v="0"/>
    <n v="4"/>
    <n v="3"/>
    <n v="13"/>
    <n v="0"/>
    <d v="2011-04-03T00:00:00"/>
    <s v="Yes"/>
    <x v="1"/>
    <n v="3"/>
    <x v="2"/>
    <x v="1"/>
    <x v="0"/>
  </r>
  <r>
    <s v="REL01135"/>
    <s v="Male"/>
    <n v="31"/>
    <s v="HSC"/>
    <s v="Married"/>
    <x v="2"/>
    <s v="Logistics Coordinator"/>
    <x v="4"/>
    <x v="5"/>
    <s v="South"/>
    <n v="8"/>
    <n v="54104"/>
    <x v="3"/>
    <n v="4"/>
    <n v="4"/>
    <n v="16"/>
    <n v="1"/>
    <d v="2015-01-17T00:00:00"/>
    <s v="No"/>
    <x v="0"/>
    <n v="4"/>
    <x v="1"/>
    <x v="2"/>
    <x v="1"/>
  </r>
  <r>
    <s v="REL01136"/>
    <s v="Male"/>
    <n v="33"/>
    <s v="Graduate"/>
    <s v="Single"/>
    <x v="0"/>
    <s v="Marketing Executive"/>
    <x v="3"/>
    <x v="6"/>
    <s v="South"/>
    <n v="15"/>
    <n v="80326"/>
    <x v="2"/>
    <n v="2"/>
    <n v="2"/>
    <n v="66"/>
    <n v="2"/>
    <d v="2008-01-13T00:00:00"/>
    <s v="No"/>
    <x v="1"/>
    <n v="2"/>
    <x v="2"/>
    <x v="0"/>
    <x v="1"/>
  </r>
  <r>
    <s v="REL01137"/>
    <s v="Male"/>
    <n v="43"/>
    <s v="Post Graduate"/>
    <s v="Divorced"/>
    <x v="5"/>
    <s v="Logistics Coordinator"/>
    <x v="4"/>
    <x v="4"/>
    <s v="North"/>
    <n v="3"/>
    <n v="42663"/>
    <x v="3"/>
    <n v="2"/>
    <n v="3"/>
    <n v="43"/>
    <n v="3"/>
    <d v="2020-07-22T00:00:00"/>
    <s v="Yes"/>
    <x v="2"/>
    <n v="4"/>
    <x v="0"/>
    <x v="1"/>
    <x v="1"/>
  </r>
  <r>
    <s v="REL01138"/>
    <s v="Male"/>
    <n v="30"/>
    <s v="MBA"/>
    <s v="Divorced"/>
    <x v="5"/>
    <s v="Store Manager"/>
    <x v="4"/>
    <x v="4"/>
    <s v="North"/>
    <n v="5"/>
    <n v="101132"/>
    <x v="1"/>
    <n v="1"/>
    <n v="3"/>
    <n v="56"/>
    <n v="0"/>
    <d v="2018-01-07T00:00:00"/>
    <s v="Yes"/>
    <x v="1"/>
    <n v="1"/>
    <x v="0"/>
    <x v="1"/>
    <x v="2"/>
  </r>
  <r>
    <s v="REL01139"/>
    <s v="Male"/>
    <n v="29"/>
    <s v="Graduate"/>
    <s v="Married"/>
    <x v="2"/>
    <s v="Operations Head"/>
    <x v="4"/>
    <x v="5"/>
    <s v="South"/>
    <n v="7"/>
    <n v="106085"/>
    <x v="3"/>
    <n v="3"/>
    <n v="2"/>
    <n v="14"/>
    <n v="1"/>
    <d v="2016-12-27T00:00:00"/>
    <s v="No"/>
    <x v="1"/>
    <n v="4"/>
    <x v="1"/>
    <x v="2"/>
    <x v="0"/>
  </r>
  <r>
    <s v="REL01140"/>
    <s v="Male"/>
    <n v="36"/>
    <s v="HSC"/>
    <s v="Divorced"/>
    <x v="0"/>
    <s v="Sales Executive"/>
    <x v="1"/>
    <x v="2"/>
    <s v="West"/>
    <n v="2"/>
    <n v="51785"/>
    <x v="2"/>
    <n v="2"/>
    <n v="3"/>
    <n v="54"/>
    <n v="1"/>
    <d v="2021-02-15T00:00:00"/>
    <s v="No"/>
    <x v="0"/>
    <n v="2"/>
    <x v="3"/>
    <x v="0"/>
    <x v="1"/>
  </r>
  <r>
    <s v="REL01141"/>
    <s v="Female"/>
    <n v="53"/>
    <s v="BTech"/>
    <s v="Divorced"/>
    <x v="5"/>
    <s v="Logistics Coordinator"/>
    <x v="2"/>
    <x v="7"/>
    <s v="East"/>
    <n v="6"/>
    <n v="49315"/>
    <x v="3"/>
    <n v="1"/>
    <n v="1"/>
    <n v="60"/>
    <n v="3"/>
    <d v="2017-12-03T00:00:00"/>
    <s v="Yes"/>
    <x v="2"/>
    <n v="4"/>
    <x v="1"/>
    <x v="1"/>
    <x v="1"/>
  </r>
  <r>
    <s v="REL01142"/>
    <s v="Male"/>
    <n v="52"/>
    <s v="BTech"/>
    <s v="Married"/>
    <x v="0"/>
    <s v="Finance Analyst"/>
    <x v="4"/>
    <x v="1"/>
    <s v="North"/>
    <n v="12"/>
    <n v="89646"/>
    <x v="1"/>
    <n v="2"/>
    <n v="2"/>
    <n v="34"/>
    <n v="2"/>
    <d v="2011-01-13T00:00:00"/>
    <s v="Yes"/>
    <x v="1"/>
    <n v="1"/>
    <x v="2"/>
    <x v="1"/>
    <x v="2"/>
  </r>
  <r>
    <s v="REL01143"/>
    <s v="Male"/>
    <n v="43"/>
    <s v="HSC"/>
    <s v="Single"/>
    <x v="5"/>
    <s v="Logistics Coordinator"/>
    <x v="2"/>
    <x v="8"/>
    <s v="South"/>
    <n v="1"/>
    <n v="53081"/>
    <x v="3"/>
    <n v="2"/>
    <n v="2"/>
    <n v="54"/>
    <n v="0"/>
    <d v="2022-06-22T00:00:00"/>
    <s v="No"/>
    <x v="0"/>
    <n v="4"/>
    <x v="3"/>
    <x v="2"/>
    <x v="1"/>
  </r>
  <r>
    <s v="REL01144"/>
    <s v="Male"/>
    <n v="51"/>
    <s v="BTech"/>
    <s v="Married"/>
    <x v="7"/>
    <s v="Operations Head"/>
    <x v="2"/>
    <x v="0"/>
    <s v="North"/>
    <n v="6"/>
    <n v="101260"/>
    <x v="1"/>
    <n v="2"/>
    <n v="1"/>
    <n v="33"/>
    <n v="1"/>
    <d v="2017-08-09T00:00:00"/>
    <s v="Yes"/>
    <x v="1"/>
    <n v="1"/>
    <x v="1"/>
    <x v="1"/>
    <x v="2"/>
  </r>
  <r>
    <s v="REL01145"/>
    <s v="Male"/>
    <n v="48"/>
    <s v="Graduate"/>
    <s v="Married"/>
    <x v="1"/>
    <s v="Sales Executive"/>
    <x v="0"/>
    <x v="5"/>
    <s v="South"/>
    <n v="14"/>
    <n v="60285"/>
    <x v="2"/>
    <n v="2"/>
    <n v="1"/>
    <n v="79"/>
    <n v="3"/>
    <d v="2009-12-19T00:00:00"/>
    <s v="Yes"/>
    <x v="0"/>
    <n v="2"/>
    <x v="2"/>
    <x v="1"/>
    <x v="1"/>
  </r>
  <r>
    <s v="REL01146"/>
    <s v="Female"/>
    <n v="36"/>
    <s v="Post Graduate"/>
    <s v="Divorced"/>
    <x v="4"/>
    <s v="Sales Executive"/>
    <x v="2"/>
    <x v="1"/>
    <s v="North"/>
    <n v="3"/>
    <n v="38896"/>
    <x v="3"/>
    <n v="1"/>
    <n v="3"/>
    <n v="52"/>
    <n v="3"/>
    <d v="2020-06-14T00:00:00"/>
    <s v="No"/>
    <x v="2"/>
    <n v="4"/>
    <x v="0"/>
    <x v="2"/>
    <x v="1"/>
  </r>
  <r>
    <s v="REL01147"/>
    <s v="Female"/>
    <n v="32"/>
    <s v="MBA"/>
    <s v="Single"/>
    <x v="7"/>
    <s v="HR Manager"/>
    <x v="0"/>
    <x v="7"/>
    <s v="East"/>
    <n v="2"/>
    <n v="88445"/>
    <x v="0"/>
    <n v="2"/>
    <n v="2"/>
    <n v="63"/>
    <n v="1"/>
    <d v="2021-05-30T00:00:00"/>
    <s v="No"/>
    <x v="1"/>
    <n v="3"/>
    <x v="3"/>
    <x v="0"/>
    <x v="0"/>
  </r>
  <r>
    <s v="REL01148"/>
    <s v="Female"/>
    <n v="23"/>
    <s v="BTech"/>
    <s v="Single"/>
    <x v="3"/>
    <s v="HR Manager"/>
    <x v="3"/>
    <x v="3"/>
    <s v="West"/>
    <n v="6"/>
    <n v="79547"/>
    <x v="2"/>
    <n v="1"/>
    <n v="4"/>
    <n v="24"/>
    <n v="0"/>
    <d v="2017-05-11T00:00:00"/>
    <s v="No"/>
    <x v="0"/>
    <n v="2"/>
    <x v="1"/>
    <x v="0"/>
    <x v="1"/>
  </r>
  <r>
    <s v="REL01149"/>
    <s v="Male"/>
    <n v="26"/>
    <s v="HSC"/>
    <s v="Divorced"/>
    <x v="3"/>
    <s v="Marketing Executive"/>
    <x v="2"/>
    <x v="7"/>
    <s v="East"/>
    <n v="3"/>
    <n v="60137"/>
    <x v="3"/>
    <n v="1"/>
    <n v="4"/>
    <n v="10"/>
    <n v="2"/>
    <d v="2020-11-12T00:00:00"/>
    <s v="No"/>
    <x v="0"/>
    <n v="4"/>
    <x v="0"/>
    <x v="2"/>
    <x v="1"/>
  </r>
  <r>
    <s v="REL01150"/>
    <s v="Female"/>
    <n v="43"/>
    <s v="BTech"/>
    <s v="Divorced"/>
    <x v="2"/>
    <s v="Sales Executive"/>
    <x v="3"/>
    <x v="4"/>
    <s v="North"/>
    <n v="13"/>
    <n v="72486"/>
    <x v="3"/>
    <n v="1"/>
    <n v="3"/>
    <n v="69"/>
    <n v="3"/>
    <d v="2010-09-18T00:00:00"/>
    <s v="No"/>
    <x v="0"/>
    <n v="4"/>
    <x v="2"/>
    <x v="2"/>
    <x v="1"/>
  </r>
  <r>
    <s v="REL01151"/>
    <s v="Male"/>
    <n v="26"/>
    <s v="BTech"/>
    <s v="Married"/>
    <x v="2"/>
    <s v="Store Manager"/>
    <x v="3"/>
    <x v="6"/>
    <s v="South"/>
    <n v="12"/>
    <n v="110130"/>
    <x v="3"/>
    <n v="2"/>
    <n v="4"/>
    <n v="32"/>
    <n v="2"/>
    <d v="2011-05-04T00:00:00"/>
    <s v="No"/>
    <x v="1"/>
    <n v="4"/>
    <x v="2"/>
    <x v="2"/>
    <x v="0"/>
  </r>
  <r>
    <s v="REL01152"/>
    <s v="Male"/>
    <n v="25"/>
    <s v="Post Graduate"/>
    <s v="Divorced"/>
    <x v="4"/>
    <s v="HR Manager"/>
    <x v="4"/>
    <x v="7"/>
    <s v="East"/>
    <n v="9"/>
    <n v="88509"/>
    <x v="3"/>
    <n v="2"/>
    <n v="3"/>
    <n v="78"/>
    <n v="1"/>
    <d v="2014-10-12T00:00:00"/>
    <s v="No"/>
    <x v="1"/>
    <n v="4"/>
    <x v="1"/>
    <x v="2"/>
    <x v="0"/>
  </r>
  <r>
    <s v="REL01153"/>
    <s v="Female"/>
    <n v="35"/>
    <s v="Post Graduate"/>
    <s v="Divorced"/>
    <x v="3"/>
    <s v="Sales Executive"/>
    <x v="2"/>
    <x v="5"/>
    <s v="South"/>
    <n v="5"/>
    <n v="49090"/>
    <x v="3"/>
    <n v="1"/>
    <n v="1"/>
    <n v="63"/>
    <n v="2"/>
    <d v="2018-04-28T00:00:00"/>
    <s v="No"/>
    <x v="2"/>
    <n v="4"/>
    <x v="0"/>
    <x v="2"/>
    <x v="1"/>
  </r>
  <r>
    <s v="REL01154"/>
    <s v="Male"/>
    <n v="25"/>
    <s v="HSC"/>
    <s v="Divorced"/>
    <x v="1"/>
    <s v="Store Manager"/>
    <x v="4"/>
    <x v="4"/>
    <s v="North"/>
    <n v="12"/>
    <n v="103180"/>
    <x v="0"/>
    <n v="2"/>
    <n v="2"/>
    <n v="26"/>
    <n v="1"/>
    <d v="2011-02-14T00:00:00"/>
    <s v="Yes"/>
    <x v="1"/>
    <n v="3"/>
    <x v="2"/>
    <x v="1"/>
    <x v="0"/>
  </r>
  <r>
    <s v="REL01155"/>
    <s v="Male"/>
    <n v="30"/>
    <s v="BTech"/>
    <s v="Single"/>
    <x v="7"/>
    <s v="Sales Executive"/>
    <x v="0"/>
    <x v="9"/>
    <s v="West"/>
    <n v="12"/>
    <n v="61985"/>
    <x v="0"/>
    <n v="4"/>
    <n v="3"/>
    <n v="16"/>
    <n v="3"/>
    <d v="2011-09-27T00:00:00"/>
    <s v="No"/>
    <x v="0"/>
    <n v="3"/>
    <x v="2"/>
    <x v="0"/>
    <x v="0"/>
  </r>
  <r>
    <s v="REL01156"/>
    <s v="Female"/>
    <n v="51"/>
    <s v="MBA"/>
    <s v="Married"/>
    <x v="6"/>
    <s v="Store Manager"/>
    <x v="2"/>
    <x v="8"/>
    <s v="South"/>
    <n v="11"/>
    <n v="108286"/>
    <x v="3"/>
    <n v="4"/>
    <n v="1"/>
    <n v="78"/>
    <n v="1"/>
    <d v="2012-09-07T00:00:00"/>
    <s v="No"/>
    <x v="1"/>
    <n v="4"/>
    <x v="2"/>
    <x v="2"/>
    <x v="0"/>
  </r>
  <r>
    <s v="REL01157"/>
    <s v="Female"/>
    <n v="46"/>
    <s v="BTech"/>
    <s v="Single"/>
    <x v="2"/>
    <s v="Sales Executive"/>
    <x v="4"/>
    <x v="6"/>
    <s v="South"/>
    <n v="10"/>
    <n v="63622"/>
    <x v="0"/>
    <n v="2"/>
    <n v="2"/>
    <n v="25"/>
    <n v="0"/>
    <d v="2013-05-08T00:00:00"/>
    <s v="Yes"/>
    <x v="0"/>
    <n v="3"/>
    <x v="1"/>
    <x v="1"/>
    <x v="0"/>
  </r>
  <r>
    <s v="REL01158"/>
    <s v="Male"/>
    <n v="34"/>
    <s v="Graduate"/>
    <s v="Married"/>
    <x v="1"/>
    <s v="Logistics Coordinator"/>
    <x v="1"/>
    <x v="8"/>
    <s v="South"/>
    <n v="2"/>
    <n v="51841"/>
    <x v="2"/>
    <n v="4"/>
    <n v="1"/>
    <n v="74"/>
    <n v="0"/>
    <d v="2021-10-16T00:00:00"/>
    <s v="No"/>
    <x v="0"/>
    <n v="2"/>
    <x v="3"/>
    <x v="0"/>
    <x v="1"/>
  </r>
  <r>
    <s v="REL01159"/>
    <s v="Female"/>
    <n v="36"/>
    <s v="MBA"/>
    <s v="Single"/>
    <x v="6"/>
    <s v="Logistics Coordinator"/>
    <x v="1"/>
    <x v="7"/>
    <s v="East"/>
    <n v="14"/>
    <n v="75886"/>
    <x v="2"/>
    <n v="1"/>
    <n v="4"/>
    <n v="56"/>
    <n v="2"/>
    <d v="2009-12-15T00:00:00"/>
    <s v="No"/>
    <x v="0"/>
    <n v="2"/>
    <x v="2"/>
    <x v="0"/>
    <x v="1"/>
  </r>
  <r>
    <s v="REL01160"/>
    <s v="Female"/>
    <n v="47"/>
    <s v="Post Graduate"/>
    <s v="Divorced"/>
    <x v="4"/>
    <s v="Operations Head"/>
    <x v="1"/>
    <x v="3"/>
    <s v="West"/>
    <n v="13"/>
    <n v="120846"/>
    <x v="2"/>
    <n v="3"/>
    <n v="2"/>
    <n v="38"/>
    <n v="3"/>
    <d v="2010-05-24T00:00:00"/>
    <s v="Yes"/>
    <x v="1"/>
    <n v="2"/>
    <x v="2"/>
    <x v="1"/>
    <x v="1"/>
  </r>
  <r>
    <s v="REL01161"/>
    <s v="Male"/>
    <n v="49"/>
    <s v="Graduate"/>
    <s v="Single"/>
    <x v="0"/>
    <s v="Finance Analyst"/>
    <x v="0"/>
    <x v="7"/>
    <s v="East"/>
    <n v="3"/>
    <n v="62218"/>
    <x v="1"/>
    <n v="3"/>
    <n v="2"/>
    <n v="42"/>
    <n v="1"/>
    <d v="2020-06-18T00:00:00"/>
    <s v="Yes"/>
    <x v="0"/>
    <n v="1"/>
    <x v="0"/>
    <x v="1"/>
    <x v="1"/>
  </r>
  <r>
    <s v="REL01162"/>
    <s v="Male"/>
    <n v="53"/>
    <s v="BTech"/>
    <s v="Divorced"/>
    <x v="3"/>
    <s v="HR Manager"/>
    <x v="0"/>
    <x v="2"/>
    <s v="West"/>
    <n v="5"/>
    <n v="78323"/>
    <x v="2"/>
    <n v="1"/>
    <n v="4"/>
    <n v="28"/>
    <n v="1"/>
    <d v="2018-04-15T00:00:00"/>
    <s v="No"/>
    <x v="0"/>
    <n v="2"/>
    <x v="0"/>
    <x v="0"/>
    <x v="1"/>
  </r>
  <r>
    <s v="REL01163"/>
    <s v="Male"/>
    <n v="40"/>
    <s v="MBA"/>
    <s v="Single"/>
    <x v="2"/>
    <s v="Marketing Executive"/>
    <x v="1"/>
    <x v="8"/>
    <s v="South"/>
    <n v="5"/>
    <n v="56586"/>
    <x v="1"/>
    <n v="3"/>
    <n v="1"/>
    <n v="56"/>
    <n v="1"/>
    <d v="2018-09-02T00:00:00"/>
    <s v="Yes"/>
    <x v="0"/>
    <n v="1"/>
    <x v="0"/>
    <x v="1"/>
    <x v="1"/>
  </r>
  <r>
    <s v="REL01164"/>
    <s v="Female"/>
    <n v="55"/>
    <s v="MBA"/>
    <s v="Married"/>
    <x v="1"/>
    <s v="Store Manager"/>
    <x v="0"/>
    <x v="5"/>
    <s v="South"/>
    <n v="14"/>
    <n v="110893"/>
    <x v="0"/>
    <n v="1"/>
    <n v="3"/>
    <n v="44"/>
    <n v="2"/>
    <d v="2009-11-25T00:00:00"/>
    <s v="Yes"/>
    <x v="1"/>
    <n v="3"/>
    <x v="2"/>
    <x v="1"/>
    <x v="0"/>
  </r>
  <r>
    <s v="REL01165"/>
    <s v="Female"/>
    <n v="43"/>
    <s v="Post Graduate"/>
    <s v="Married"/>
    <x v="6"/>
    <s v="Customer Service Rep"/>
    <x v="1"/>
    <x v="9"/>
    <s v="West"/>
    <n v="8"/>
    <n v="55861"/>
    <x v="2"/>
    <n v="2"/>
    <n v="4"/>
    <n v="57"/>
    <n v="3"/>
    <d v="2015-03-09T00:00:00"/>
    <s v="No"/>
    <x v="0"/>
    <n v="2"/>
    <x v="1"/>
    <x v="0"/>
    <x v="1"/>
  </r>
  <r>
    <s v="REL01166"/>
    <s v="Male"/>
    <n v="33"/>
    <s v="HSC"/>
    <s v="Married"/>
    <x v="6"/>
    <s v="Sales Executive"/>
    <x v="3"/>
    <x v="8"/>
    <s v="South"/>
    <n v="13"/>
    <n v="70119"/>
    <x v="1"/>
    <n v="3"/>
    <n v="1"/>
    <n v="78"/>
    <n v="0"/>
    <d v="2010-11-01T00:00:00"/>
    <s v="Yes"/>
    <x v="0"/>
    <n v="1"/>
    <x v="2"/>
    <x v="1"/>
    <x v="1"/>
  </r>
  <r>
    <s v="REL01167"/>
    <s v="Male"/>
    <n v="42"/>
    <s v="HSC"/>
    <s v="Divorced"/>
    <x v="5"/>
    <s v="Sales Executive"/>
    <x v="1"/>
    <x v="4"/>
    <s v="North"/>
    <n v="9"/>
    <n v="59196"/>
    <x v="2"/>
    <n v="4"/>
    <n v="4"/>
    <n v="48"/>
    <n v="3"/>
    <d v="2014-06-13T00:00:00"/>
    <s v="No"/>
    <x v="0"/>
    <n v="2"/>
    <x v="1"/>
    <x v="0"/>
    <x v="1"/>
  </r>
  <r>
    <s v="REL01168"/>
    <s v="Male"/>
    <n v="39"/>
    <s v="Post Graduate"/>
    <s v="Married"/>
    <x v="2"/>
    <s v="Operations Head"/>
    <x v="2"/>
    <x v="6"/>
    <s v="South"/>
    <n v="8"/>
    <n v="105479"/>
    <x v="3"/>
    <n v="1"/>
    <n v="3"/>
    <n v="16"/>
    <n v="2"/>
    <d v="2015-06-29T00:00:00"/>
    <s v="No"/>
    <x v="1"/>
    <n v="4"/>
    <x v="1"/>
    <x v="2"/>
    <x v="0"/>
  </r>
  <r>
    <s v="REL01169"/>
    <s v="Male"/>
    <n v="25"/>
    <s v="MBA"/>
    <s v="Divorced"/>
    <x v="1"/>
    <s v="Sales Executive"/>
    <x v="2"/>
    <x v="1"/>
    <s v="North"/>
    <n v="7"/>
    <n v="53863"/>
    <x v="0"/>
    <n v="4"/>
    <n v="2"/>
    <n v="68"/>
    <n v="1"/>
    <d v="2016-07-28T00:00:00"/>
    <s v="No"/>
    <x v="0"/>
    <n v="3"/>
    <x v="1"/>
    <x v="0"/>
    <x v="0"/>
  </r>
  <r>
    <s v="REL01170"/>
    <s v="Male"/>
    <n v="45"/>
    <s v="BTech"/>
    <s v="Married"/>
    <x v="0"/>
    <s v="Customer Service Rep"/>
    <x v="4"/>
    <x v="0"/>
    <s v="North"/>
    <n v="8"/>
    <n v="46472"/>
    <x v="3"/>
    <n v="1"/>
    <n v="3"/>
    <n v="50"/>
    <n v="1"/>
    <d v="2015-11-03T00:00:00"/>
    <s v="No"/>
    <x v="2"/>
    <n v="4"/>
    <x v="1"/>
    <x v="2"/>
    <x v="1"/>
  </r>
  <r>
    <s v="REL01171"/>
    <s v="Female"/>
    <n v="25"/>
    <s v="Graduate"/>
    <s v="Married"/>
    <x v="5"/>
    <s v="Finance Analyst"/>
    <x v="0"/>
    <x v="5"/>
    <s v="South"/>
    <n v="7"/>
    <n v="72511"/>
    <x v="0"/>
    <n v="2"/>
    <n v="2"/>
    <n v="13"/>
    <n v="3"/>
    <d v="2016-01-20T00:00:00"/>
    <s v="No"/>
    <x v="0"/>
    <n v="3"/>
    <x v="1"/>
    <x v="0"/>
    <x v="0"/>
  </r>
  <r>
    <s v="REL01172"/>
    <s v="Female"/>
    <n v="48"/>
    <s v="Post Graduate"/>
    <s v="Single"/>
    <x v="3"/>
    <s v="Finance Analyst"/>
    <x v="2"/>
    <x v="7"/>
    <s v="East"/>
    <n v="8"/>
    <n v="70327"/>
    <x v="1"/>
    <n v="4"/>
    <n v="1"/>
    <n v="24"/>
    <n v="2"/>
    <d v="2015-06-13T00:00:00"/>
    <s v="Yes"/>
    <x v="0"/>
    <n v="1"/>
    <x v="1"/>
    <x v="1"/>
    <x v="1"/>
  </r>
  <r>
    <s v="REL01173"/>
    <s v="Female"/>
    <n v="42"/>
    <s v="BTech"/>
    <s v="Divorced"/>
    <x v="0"/>
    <s v="Finance Analyst"/>
    <x v="0"/>
    <x v="3"/>
    <s v="West"/>
    <n v="14"/>
    <n v="95596"/>
    <x v="0"/>
    <n v="1"/>
    <n v="1"/>
    <n v="13"/>
    <n v="1"/>
    <d v="2009-12-23T00:00:00"/>
    <s v="Yes"/>
    <x v="1"/>
    <n v="3"/>
    <x v="2"/>
    <x v="1"/>
    <x v="0"/>
  </r>
  <r>
    <s v="REL01174"/>
    <s v="Male"/>
    <n v="29"/>
    <s v="MBA"/>
    <s v="Single"/>
    <x v="3"/>
    <s v="HR Manager"/>
    <x v="2"/>
    <x v="9"/>
    <s v="West"/>
    <n v="5"/>
    <n v="85478"/>
    <x v="3"/>
    <n v="3"/>
    <n v="2"/>
    <n v="25"/>
    <n v="1"/>
    <d v="2018-01-28T00:00:00"/>
    <s v="No"/>
    <x v="1"/>
    <n v="4"/>
    <x v="0"/>
    <x v="2"/>
    <x v="0"/>
  </r>
  <r>
    <s v="REL01175"/>
    <s v="Female"/>
    <n v="44"/>
    <s v="HSC"/>
    <s v="Divorced"/>
    <x v="2"/>
    <s v="Store Manager"/>
    <x v="3"/>
    <x v="2"/>
    <s v="West"/>
    <n v="15"/>
    <n v="111503"/>
    <x v="0"/>
    <n v="2"/>
    <n v="4"/>
    <n v="32"/>
    <n v="0"/>
    <d v="2008-09-25T00:00:00"/>
    <s v="Yes"/>
    <x v="1"/>
    <n v="3"/>
    <x v="2"/>
    <x v="1"/>
    <x v="0"/>
  </r>
  <r>
    <s v="REL01176"/>
    <s v="Female"/>
    <n v="35"/>
    <s v="Post Graduate"/>
    <s v="Single"/>
    <x v="3"/>
    <s v="Marketing Executive"/>
    <x v="1"/>
    <x v="4"/>
    <s v="North"/>
    <n v="13"/>
    <n v="77271"/>
    <x v="1"/>
    <n v="2"/>
    <n v="2"/>
    <n v="66"/>
    <n v="1"/>
    <d v="2010-06-27T00:00:00"/>
    <s v="No"/>
    <x v="0"/>
    <n v="1"/>
    <x v="2"/>
    <x v="0"/>
    <x v="1"/>
  </r>
  <r>
    <s v="REL01177"/>
    <s v="Male"/>
    <n v="44"/>
    <s v="Post Graduate"/>
    <s v="Single"/>
    <x v="1"/>
    <s v="Operations Head"/>
    <x v="1"/>
    <x v="4"/>
    <s v="North"/>
    <n v="1"/>
    <n v="98914"/>
    <x v="0"/>
    <n v="2"/>
    <n v="4"/>
    <n v="64"/>
    <n v="0"/>
    <d v="2022-01-13T00:00:00"/>
    <s v="No"/>
    <x v="1"/>
    <n v="3"/>
    <x v="3"/>
    <x v="0"/>
    <x v="0"/>
  </r>
  <r>
    <s v="REL01178"/>
    <s v="Male"/>
    <n v="46"/>
    <s v="BTech"/>
    <s v="Married"/>
    <x v="5"/>
    <s v="Sales Executive"/>
    <x v="4"/>
    <x v="1"/>
    <s v="North"/>
    <n v="7"/>
    <n v="45604"/>
    <x v="1"/>
    <n v="1"/>
    <n v="2"/>
    <n v="35"/>
    <n v="3"/>
    <d v="2016-12-10T00:00:00"/>
    <s v="Yes"/>
    <x v="2"/>
    <n v="1"/>
    <x v="1"/>
    <x v="1"/>
    <x v="1"/>
  </r>
  <r>
    <s v="REL01179"/>
    <s v="Male"/>
    <n v="33"/>
    <s v="Graduate"/>
    <s v="Married"/>
    <x v="2"/>
    <s v="HR Manager"/>
    <x v="4"/>
    <x v="3"/>
    <s v="West"/>
    <n v="2"/>
    <n v="81990"/>
    <x v="1"/>
    <n v="4"/>
    <n v="3"/>
    <n v="78"/>
    <n v="2"/>
    <d v="2021-02-05T00:00:00"/>
    <s v="Yes"/>
    <x v="1"/>
    <n v="1"/>
    <x v="3"/>
    <x v="1"/>
    <x v="2"/>
  </r>
  <r>
    <s v="REL01180"/>
    <s v="Male"/>
    <n v="31"/>
    <s v="Post Graduate"/>
    <s v="Single"/>
    <x v="7"/>
    <s v="Operations Head"/>
    <x v="2"/>
    <x v="2"/>
    <s v="West"/>
    <n v="8"/>
    <n v="105293"/>
    <x v="2"/>
    <n v="1"/>
    <n v="1"/>
    <n v="47"/>
    <n v="2"/>
    <d v="2015-09-18T00:00:00"/>
    <s v="No"/>
    <x v="1"/>
    <n v="2"/>
    <x v="1"/>
    <x v="0"/>
    <x v="1"/>
  </r>
  <r>
    <s v="REL01181"/>
    <s v="Male"/>
    <n v="46"/>
    <s v="Post Graduate"/>
    <s v="Divorced"/>
    <x v="5"/>
    <s v="HR Manager"/>
    <x v="1"/>
    <x v="6"/>
    <s v="South"/>
    <n v="12"/>
    <n v="94853"/>
    <x v="0"/>
    <n v="3"/>
    <n v="2"/>
    <n v="57"/>
    <n v="0"/>
    <d v="2011-06-11T00:00:00"/>
    <s v="No"/>
    <x v="1"/>
    <n v="3"/>
    <x v="2"/>
    <x v="0"/>
    <x v="0"/>
  </r>
  <r>
    <s v="REL01182"/>
    <s v="Female"/>
    <n v="53"/>
    <s v="HSC"/>
    <s v="Single"/>
    <x v="1"/>
    <s v="Sales Executive"/>
    <x v="3"/>
    <x v="2"/>
    <s v="West"/>
    <n v="2"/>
    <n v="51418"/>
    <x v="0"/>
    <n v="2"/>
    <n v="1"/>
    <n v="72"/>
    <n v="2"/>
    <d v="2021-08-15T00:00:00"/>
    <s v="Yes"/>
    <x v="0"/>
    <n v="3"/>
    <x v="3"/>
    <x v="1"/>
    <x v="0"/>
  </r>
  <r>
    <s v="REL01183"/>
    <s v="Male"/>
    <n v="47"/>
    <s v="Graduate"/>
    <s v="Divorced"/>
    <x v="4"/>
    <s v="Store Manager"/>
    <x v="4"/>
    <x v="5"/>
    <s v="South"/>
    <n v="3"/>
    <n v="83350"/>
    <x v="2"/>
    <n v="3"/>
    <n v="4"/>
    <n v="39"/>
    <n v="3"/>
    <d v="2020-06-18T00:00:00"/>
    <s v="No"/>
    <x v="1"/>
    <n v="2"/>
    <x v="0"/>
    <x v="0"/>
    <x v="1"/>
  </r>
  <r>
    <s v="REL01184"/>
    <s v="Female"/>
    <n v="38"/>
    <s v="BTech"/>
    <s v="Single"/>
    <x v="6"/>
    <s v="Operations Head"/>
    <x v="4"/>
    <x v="7"/>
    <s v="East"/>
    <n v="12"/>
    <n v="124602"/>
    <x v="2"/>
    <n v="2"/>
    <n v="1"/>
    <n v="57"/>
    <n v="0"/>
    <d v="2011-07-03T00:00:00"/>
    <s v="Yes"/>
    <x v="1"/>
    <n v="2"/>
    <x v="2"/>
    <x v="1"/>
    <x v="1"/>
  </r>
  <r>
    <s v="REL01185"/>
    <s v="Male"/>
    <n v="27"/>
    <s v="BTech"/>
    <s v="Divorced"/>
    <x v="4"/>
    <s v="Customer Service Rep"/>
    <x v="4"/>
    <x v="2"/>
    <s v="West"/>
    <n v="10"/>
    <n v="55811"/>
    <x v="3"/>
    <n v="4"/>
    <n v="2"/>
    <n v="51"/>
    <n v="3"/>
    <d v="2013-08-17T00:00:00"/>
    <s v="No"/>
    <x v="0"/>
    <n v="4"/>
    <x v="1"/>
    <x v="2"/>
    <x v="1"/>
  </r>
  <r>
    <s v="REL01186"/>
    <s v="Female"/>
    <n v="32"/>
    <s v="MBA"/>
    <s v="Single"/>
    <x v="7"/>
    <s v="Finance Analyst"/>
    <x v="0"/>
    <x v="1"/>
    <s v="North"/>
    <n v="1"/>
    <n v="52017"/>
    <x v="0"/>
    <n v="1"/>
    <n v="1"/>
    <n v="73"/>
    <n v="0"/>
    <d v="2022-12-23T00:00:00"/>
    <s v="No"/>
    <x v="0"/>
    <n v="3"/>
    <x v="3"/>
    <x v="0"/>
    <x v="0"/>
  </r>
  <r>
    <s v="REL01187"/>
    <s v="Female"/>
    <n v="51"/>
    <s v="BTech"/>
    <s v="Divorced"/>
    <x v="2"/>
    <s v="Marketing Executive"/>
    <x v="2"/>
    <x v="6"/>
    <s v="South"/>
    <n v="2"/>
    <n v="62729"/>
    <x v="2"/>
    <n v="4"/>
    <n v="4"/>
    <n v="14"/>
    <n v="3"/>
    <d v="2021-05-26T00:00:00"/>
    <s v="No"/>
    <x v="0"/>
    <n v="2"/>
    <x v="3"/>
    <x v="0"/>
    <x v="1"/>
  </r>
  <r>
    <s v="REL01188"/>
    <s v="Male"/>
    <n v="50"/>
    <s v="MBA"/>
    <s v="Divorced"/>
    <x v="2"/>
    <s v="Finance Analyst"/>
    <x v="2"/>
    <x v="5"/>
    <s v="South"/>
    <n v="8"/>
    <n v="73580"/>
    <x v="1"/>
    <n v="1"/>
    <n v="4"/>
    <n v="53"/>
    <n v="3"/>
    <d v="2015-10-01T00:00:00"/>
    <s v="No"/>
    <x v="0"/>
    <n v="1"/>
    <x v="1"/>
    <x v="0"/>
    <x v="1"/>
  </r>
  <r>
    <s v="REL01189"/>
    <s v="Male"/>
    <n v="27"/>
    <s v="MBA"/>
    <s v="Married"/>
    <x v="6"/>
    <s v="Marketing Executive"/>
    <x v="0"/>
    <x v="1"/>
    <s v="North"/>
    <n v="14"/>
    <n v="86732"/>
    <x v="0"/>
    <n v="3"/>
    <n v="2"/>
    <n v="13"/>
    <n v="2"/>
    <d v="2009-09-23T00:00:00"/>
    <s v="No"/>
    <x v="1"/>
    <n v="3"/>
    <x v="2"/>
    <x v="0"/>
    <x v="0"/>
  </r>
  <r>
    <s v="REL01190"/>
    <s v="Female"/>
    <n v="23"/>
    <s v="HSC"/>
    <s v="Married"/>
    <x v="1"/>
    <s v="HR Manager"/>
    <x v="4"/>
    <x v="6"/>
    <s v="South"/>
    <n v="1"/>
    <n v="70966"/>
    <x v="0"/>
    <n v="4"/>
    <n v="3"/>
    <n v="46"/>
    <n v="3"/>
    <d v="2022-11-27T00:00:00"/>
    <s v="No"/>
    <x v="0"/>
    <n v="3"/>
    <x v="3"/>
    <x v="0"/>
    <x v="0"/>
  </r>
  <r>
    <s v="REL01191"/>
    <s v="Female"/>
    <n v="41"/>
    <s v="HSC"/>
    <s v="Divorced"/>
    <x v="7"/>
    <s v="HR Manager"/>
    <x v="4"/>
    <x v="8"/>
    <s v="South"/>
    <n v="1"/>
    <n v="80790"/>
    <x v="3"/>
    <n v="4"/>
    <n v="4"/>
    <n v="61"/>
    <n v="2"/>
    <d v="2022-05-09T00:00:00"/>
    <s v="No"/>
    <x v="1"/>
    <n v="4"/>
    <x v="3"/>
    <x v="2"/>
    <x v="0"/>
  </r>
  <r>
    <s v="REL01192"/>
    <s v="Female"/>
    <n v="49"/>
    <s v="Graduate"/>
    <s v="Married"/>
    <x v="7"/>
    <s v="Operations Head"/>
    <x v="1"/>
    <x v="4"/>
    <s v="North"/>
    <n v="15"/>
    <n v="117917"/>
    <x v="1"/>
    <n v="3"/>
    <n v="1"/>
    <n v="12"/>
    <n v="3"/>
    <d v="2008-06-21T00:00:00"/>
    <s v="Yes"/>
    <x v="1"/>
    <n v="1"/>
    <x v="2"/>
    <x v="1"/>
    <x v="2"/>
  </r>
  <r>
    <s v="REL01193"/>
    <s v="Female"/>
    <n v="49"/>
    <s v="BTech"/>
    <s v="Single"/>
    <x v="5"/>
    <s v="Marketing Executive"/>
    <x v="0"/>
    <x v="5"/>
    <s v="South"/>
    <n v="8"/>
    <n v="57233"/>
    <x v="0"/>
    <n v="4"/>
    <n v="4"/>
    <n v="20"/>
    <n v="0"/>
    <d v="2015-06-20T00:00:00"/>
    <s v="No"/>
    <x v="0"/>
    <n v="3"/>
    <x v="1"/>
    <x v="0"/>
    <x v="0"/>
  </r>
  <r>
    <s v="REL01194"/>
    <s v="Female"/>
    <n v="22"/>
    <s v="Post Graduate"/>
    <s v="Married"/>
    <x v="5"/>
    <s v="Customer Service Rep"/>
    <x v="2"/>
    <x v="4"/>
    <s v="North"/>
    <n v="4"/>
    <n v="39746"/>
    <x v="1"/>
    <n v="3"/>
    <n v="1"/>
    <n v="30"/>
    <n v="1"/>
    <d v="2019-06-27T00:00:00"/>
    <s v="No"/>
    <x v="2"/>
    <n v="1"/>
    <x v="0"/>
    <x v="0"/>
    <x v="1"/>
  </r>
  <r>
    <s v="REL01195"/>
    <s v="Female"/>
    <n v="47"/>
    <s v="HSC"/>
    <s v="Married"/>
    <x v="6"/>
    <s v="Marketing Executive"/>
    <x v="2"/>
    <x v="9"/>
    <s v="West"/>
    <n v="5"/>
    <n v="52567"/>
    <x v="1"/>
    <n v="4"/>
    <n v="4"/>
    <n v="41"/>
    <n v="2"/>
    <d v="2018-08-07T00:00:00"/>
    <s v="No"/>
    <x v="0"/>
    <n v="1"/>
    <x v="0"/>
    <x v="0"/>
    <x v="1"/>
  </r>
  <r>
    <s v="REL01196"/>
    <s v="Male"/>
    <n v="47"/>
    <s v="BTech"/>
    <s v="Divorced"/>
    <x v="4"/>
    <s v="Operations Head"/>
    <x v="0"/>
    <x v="7"/>
    <s v="East"/>
    <n v="5"/>
    <n v="97391"/>
    <x v="0"/>
    <n v="2"/>
    <n v="2"/>
    <n v="43"/>
    <n v="2"/>
    <d v="2018-02-23T00:00:00"/>
    <s v="No"/>
    <x v="1"/>
    <n v="3"/>
    <x v="0"/>
    <x v="0"/>
    <x v="0"/>
  </r>
  <r>
    <s v="REL01197"/>
    <s v="Male"/>
    <n v="31"/>
    <s v="Post Graduate"/>
    <s v="Single"/>
    <x v="7"/>
    <s v="Operations Head"/>
    <x v="0"/>
    <x v="4"/>
    <s v="North"/>
    <n v="10"/>
    <n v="118432"/>
    <x v="0"/>
    <n v="3"/>
    <n v="4"/>
    <n v="26"/>
    <n v="3"/>
    <d v="2013-12-26T00:00:00"/>
    <s v="No"/>
    <x v="1"/>
    <n v="3"/>
    <x v="1"/>
    <x v="0"/>
    <x v="0"/>
  </r>
  <r>
    <s v="REL01198"/>
    <s v="Male"/>
    <n v="25"/>
    <s v="Post Graduate"/>
    <s v="Single"/>
    <x v="4"/>
    <s v="Sales Executive"/>
    <x v="4"/>
    <x v="5"/>
    <s v="South"/>
    <n v="3"/>
    <n v="36261"/>
    <x v="0"/>
    <n v="4"/>
    <n v="1"/>
    <n v="71"/>
    <n v="2"/>
    <d v="2020-05-18T00:00:00"/>
    <s v="No"/>
    <x v="2"/>
    <n v="3"/>
    <x v="0"/>
    <x v="0"/>
    <x v="1"/>
  </r>
  <r>
    <s v="REL01199"/>
    <s v="Male"/>
    <n v="30"/>
    <s v="Graduate"/>
    <s v="Single"/>
    <x v="5"/>
    <s v="Logistics Coordinator"/>
    <x v="2"/>
    <x v="8"/>
    <s v="South"/>
    <n v="11"/>
    <n v="69141"/>
    <x v="2"/>
    <n v="1"/>
    <n v="1"/>
    <n v="48"/>
    <n v="2"/>
    <d v="2012-05-07T00:00:00"/>
    <s v="No"/>
    <x v="0"/>
    <n v="2"/>
    <x v="2"/>
    <x v="0"/>
    <x v="1"/>
  </r>
  <r>
    <s v="REL01200"/>
    <s v="Male"/>
    <n v="23"/>
    <s v="Post Graduate"/>
    <s v="Divorced"/>
    <x v="6"/>
    <s v="Sales Executive"/>
    <x v="0"/>
    <x v="4"/>
    <s v="North"/>
    <n v="15"/>
    <n v="64862"/>
    <x v="1"/>
    <n v="3"/>
    <n v="1"/>
    <n v="27"/>
    <n v="0"/>
    <d v="2008-03-20T00:00:00"/>
    <s v="Yes"/>
    <x v="0"/>
    <n v="1"/>
    <x v="2"/>
    <x v="1"/>
    <x v="1"/>
  </r>
  <r>
    <s v="REL01201"/>
    <s v="Female"/>
    <n v="43"/>
    <s v="MBA"/>
    <s v="Single"/>
    <x v="7"/>
    <s v="Customer Service Rep"/>
    <x v="0"/>
    <x v="5"/>
    <s v="South"/>
    <n v="14"/>
    <n v="70326"/>
    <x v="1"/>
    <n v="4"/>
    <n v="1"/>
    <n v="37"/>
    <n v="0"/>
    <d v="2009-09-29T00:00:00"/>
    <s v="Yes"/>
    <x v="0"/>
    <n v="1"/>
    <x v="2"/>
    <x v="1"/>
    <x v="1"/>
  </r>
  <r>
    <s v="REL01202"/>
    <s v="Male"/>
    <n v="27"/>
    <s v="Graduate"/>
    <s v="Single"/>
    <x v="5"/>
    <s v="Operations Head"/>
    <x v="1"/>
    <x v="8"/>
    <s v="South"/>
    <n v="4"/>
    <n v="103723"/>
    <x v="2"/>
    <n v="3"/>
    <n v="1"/>
    <n v="36"/>
    <n v="2"/>
    <d v="2019-06-18T00:00:00"/>
    <s v="No"/>
    <x v="1"/>
    <n v="2"/>
    <x v="0"/>
    <x v="0"/>
    <x v="1"/>
  </r>
  <r>
    <s v="REL01203"/>
    <s v="Female"/>
    <n v="51"/>
    <s v="HSC"/>
    <s v="Single"/>
    <x v="1"/>
    <s v="HR Manager"/>
    <x v="3"/>
    <x v="6"/>
    <s v="South"/>
    <n v="15"/>
    <n v="96097"/>
    <x v="0"/>
    <n v="3"/>
    <n v="4"/>
    <n v="36"/>
    <n v="0"/>
    <d v="2008-09-27T00:00:00"/>
    <s v="No"/>
    <x v="1"/>
    <n v="3"/>
    <x v="2"/>
    <x v="0"/>
    <x v="0"/>
  </r>
  <r>
    <s v="REL01204"/>
    <s v="Male"/>
    <n v="42"/>
    <s v="Post Graduate"/>
    <s v="Divorced"/>
    <x v="4"/>
    <s v="Logistics Coordinator"/>
    <x v="2"/>
    <x v="3"/>
    <s v="West"/>
    <n v="12"/>
    <n v="75529"/>
    <x v="1"/>
    <n v="3"/>
    <n v="4"/>
    <n v="16"/>
    <n v="1"/>
    <d v="2011-12-21T00:00:00"/>
    <s v="No"/>
    <x v="0"/>
    <n v="1"/>
    <x v="2"/>
    <x v="0"/>
    <x v="1"/>
  </r>
  <r>
    <s v="REL01205"/>
    <s v="Female"/>
    <n v="35"/>
    <s v="HSC"/>
    <s v="Single"/>
    <x v="7"/>
    <s v="Finance Analyst"/>
    <x v="3"/>
    <x v="0"/>
    <s v="North"/>
    <n v="2"/>
    <n v="62634"/>
    <x v="2"/>
    <n v="2"/>
    <n v="2"/>
    <n v="78"/>
    <n v="2"/>
    <d v="2021-12-13T00:00:00"/>
    <s v="No"/>
    <x v="0"/>
    <n v="2"/>
    <x v="3"/>
    <x v="0"/>
    <x v="1"/>
  </r>
  <r>
    <s v="REL01206"/>
    <s v="Female"/>
    <n v="32"/>
    <s v="Post Graduate"/>
    <s v="Single"/>
    <x v="3"/>
    <s v="Logistics Coordinator"/>
    <x v="2"/>
    <x v="3"/>
    <s v="West"/>
    <n v="7"/>
    <n v="60086"/>
    <x v="2"/>
    <n v="2"/>
    <n v="2"/>
    <n v="39"/>
    <n v="0"/>
    <d v="2016-05-18T00:00:00"/>
    <s v="No"/>
    <x v="0"/>
    <n v="2"/>
    <x v="1"/>
    <x v="0"/>
    <x v="1"/>
  </r>
  <r>
    <s v="REL01207"/>
    <s v="Male"/>
    <n v="23"/>
    <s v="Post Graduate"/>
    <s v="Single"/>
    <x v="0"/>
    <s v="Sales Executive"/>
    <x v="2"/>
    <x v="6"/>
    <s v="South"/>
    <n v="7"/>
    <n v="51062"/>
    <x v="2"/>
    <n v="3"/>
    <n v="4"/>
    <n v="69"/>
    <n v="3"/>
    <d v="2016-12-28T00:00:00"/>
    <s v="No"/>
    <x v="0"/>
    <n v="2"/>
    <x v="1"/>
    <x v="0"/>
    <x v="1"/>
  </r>
  <r>
    <s v="REL01208"/>
    <s v="Female"/>
    <n v="42"/>
    <s v="Post Graduate"/>
    <s v="Divorced"/>
    <x v="2"/>
    <s v="Store Manager"/>
    <x v="3"/>
    <x v="0"/>
    <s v="North"/>
    <n v="6"/>
    <n v="101337"/>
    <x v="1"/>
    <n v="1"/>
    <n v="2"/>
    <n v="45"/>
    <n v="2"/>
    <d v="2017-05-03T00:00:00"/>
    <s v="Yes"/>
    <x v="1"/>
    <n v="1"/>
    <x v="1"/>
    <x v="1"/>
    <x v="2"/>
  </r>
  <r>
    <s v="REL01209"/>
    <s v="Female"/>
    <n v="32"/>
    <s v="Post Graduate"/>
    <s v="Single"/>
    <x v="0"/>
    <s v="Marketing Executive"/>
    <x v="4"/>
    <x v="5"/>
    <s v="South"/>
    <n v="15"/>
    <n v="89061"/>
    <x v="0"/>
    <n v="2"/>
    <n v="3"/>
    <n v="26"/>
    <n v="0"/>
    <d v="2008-08-25T00:00:00"/>
    <s v="No"/>
    <x v="1"/>
    <n v="3"/>
    <x v="2"/>
    <x v="0"/>
    <x v="0"/>
  </r>
  <r>
    <s v="REL01210"/>
    <s v="Male"/>
    <n v="30"/>
    <s v="HSC"/>
    <s v="Single"/>
    <x v="4"/>
    <s v="Store Manager"/>
    <x v="3"/>
    <x v="6"/>
    <s v="South"/>
    <n v="13"/>
    <n v="103977"/>
    <x v="3"/>
    <n v="3"/>
    <n v="1"/>
    <n v="66"/>
    <n v="3"/>
    <d v="2010-10-13T00:00:00"/>
    <s v="No"/>
    <x v="1"/>
    <n v="4"/>
    <x v="2"/>
    <x v="2"/>
    <x v="0"/>
  </r>
  <r>
    <s v="REL01211"/>
    <s v="Male"/>
    <n v="38"/>
    <s v="Graduate"/>
    <s v="Married"/>
    <x v="7"/>
    <s v="Finance Analyst"/>
    <x v="4"/>
    <x v="8"/>
    <s v="South"/>
    <n v="11"/>
    <n v="82522"/>
    <x v="1"/>
    <n v="3"/>
    <n v="2"/>
    <n v="78"/>
    <n v="3"/>
    <d v="2012-11-10T00:00:00"/>
    <s v="Yes"/>
    <x v="1"/>
    <n v="1"/>
    <x v="2"/>
    <x v="1"/>
    <x v="2"/>
  </r>
  <r>
    <s v="REL01212"/>
    <s v="Male"/>
    <n v="43"/>
    <s v="MBA"/>
    <s v="Married"/>
    <x v="7"/>
    <s v="Sales Executive"/>
    <x v="2"/>
    <x v="6"/>
    <s v="South"/>
    <n v="9"/>
    <n v="53894"/>
    <x v="2"/>
    <n v="3"/>
    <n v="3"/>
    <n v="74"/>
    <n v="1"/>
    <d v="2014-07-25T00:00:00"/>
    <s v="No"/>
    <x v="0"/>
    <n v="2"/>
    <x v="1"/>
    <x v="0"/>
    <x v="1"/>
  </r>
  <r>
    <s v="REL01213"/>
    <s v="Male"/>
    <n v="27"/>
    <s v="Graduate"/>
    <s v="Single"/>
    <x v="7"/>
    <s v="Sales Executive"/>
    <x v="2"/>
    <x v="5"/>
    <s v="South"/>
    <n v="8"/>
    <n v="52104"/>
    <x v="0"/>
    <n v="4"/>
    <n v="1"/>
    <n v="40"/>
    <n v="2"/>
    <d v="2015-10-29T00:00:00"/>
    <s v="Yes"/>
    <x v="0"/>
    <n v="3"/>
    <x v="1"/>
    <x v="1"/>
    <x v="0"/>
  </r>
  <r>
    <s v="REL01214"/>
    <s v="Female"/>
    <n v="24"/>
    <s v="Post Graduate"/>
    <s v="Divorced"/>
    <x v="6"/>
    <s v="Sales Executive"/>
    <x v="1"/>
    <x v="1"/>
    <s v="North"/>
    <n v="11"/>
    <n v="66890"/>
    <x v="3"/>
    <n v="2"/>
    <n v="3"/>
    <n v="23"/>
    <n v="2"/>
    <d v="2012-04-30T00:00:00"/>
    <s v="Yes"/>
    <x v="0"/>
    <n v="4"/>
    <x v="2"/>
    <x v="1"/>
    <x v="1"/>
  </r>
  <r>
    <s v="REL01215"/>
    <s v="Male"/>
    <n v="31"/>
    <s v="MBA"/>
    <s v="Married"/>
    <x v="3"/>
    <s v="Sales Executive"/>
    <x v="1"/>
    <x v="7"/>
    <s v="East"/>
    <n v="12"/>
    <n v="70187"/>
    <x v="2"/>
    <n v="3"/>
    <n v="2"/>
    <n v="38"/>
    <n v="3"/>
    <d v="2011-10-08T00:00:00"/>
    <s v="Yes"/>
    <x v="0"/>
    <n v="2"/>
    <x v="2"/>
    <x v="1"/>
    <x v="1"/>
  </r>
  <r>
    <s v="REL01216"/>
    <s v="Female"/>
    <n v="33"/>
    <s v="MBA"/>
    <s v="Divorced"/>
    <x v="3"/>
    <s v="Operations Head"/>
    <x v="4"/>
    <x v="6"/>
    <s v="South"/>
    <n v="14"/>
    <n v="117903"/>
    <x v="2"/>
    <n v="3"/>
    <n v="3"/>
    <n v="58"/>
    <n v="1"/>
    <d v="2009-11-08T00:00:00"/>
    <s v="No"/>
    <x v="1"/>
    <n v="2"/>
    <x v="2"/>
    <x v="0"/>
    <x v="1"/>
  </r>
  <r>
    <s v="REL01217"/>
    <s v="Male"/>
    <n v="41"/>
    <s v="BTech"/>
    <s v="Divorced"/>
    <x v="0"/>
    <s v="Operations Head"/>
    <x v="1"/>
    <x v="5"/>
    <s v="South"/>
    <n v="4"/>
    <n v="102647"/>
    <x v="0"/>
    <n v="4"/>
    <n v="3"/>
    <n v="11"/>
    <n v="2"/>
    <d v="2019-05-21T00:00:00"/>
    <s v="No"/>
    <x v="1"/>
    <n v="3"/>
    <x v="0"/>
    <x v="0"/>
    <x v="0"/>
  </r>
  <r>
    <s v="REL01218"/>
    <s v="Female"/>
    <n v="26"/>
    <s v="BTech"/>
    <s v="Married"/>
    <x v="0"/>
    <s v="Customer Service Rep"/>
    <x v="2"/>
    <x v="9"/>
    <s v="West"/>
    <n v="14"/>
    <n v="65370"/>
    <x v="3"/>
    <n v="2"/>
    <n v="4"/>
    <n v="73"/>
    <n v="2"/>
    <d v="2009-01-19T00:00:00"/>
    <s v="No"/>
    <x v="0"/>
    <n v="4"/>
    <x v="2"/>
    <x v="2"/>
    <x v="1"/>
  </r>
  <r>
    <s v="REL01219"/>
    <s v="Female"/>
    <n v="36"/>
    <s v="HSC"/>
    <s v="Single"/>
    <x v="3"/>
    <s v="Marketing Executive"/>
    <x v="3"/>
    <x v="4"/>
    <s v="North"/>
    <n v="11"/>
    <n v="67241"/>
    <x v="1"/>
    <n v="4"/>
    <n v="4"/>
    <n v="70"/>
    <n v="2"/>
    <d v="2012-07-25T00:00:00"/>
    <s v="No"/>
    <x v="0"/>
    <n v="1"/>
    <x v="2"/>
    <x v="0"/>
    <x v="1"/>
  </r>
  <r>
    <s v="REL01220"/>
    <s v="Male"/>
    <n v="31"/>
    <s v="BTech"/>
    <s v="Single"/>
    <x v="3"/>
    <s v="Logistics Coordinator"/>
    <x v="0"/>
    <x v="6"/>
    <s v="South"/>
    <n v="1"/>
    <n v="39639"/>
    <x v="0"/>
    <n v="1"/>
    <n v="3"/>
    <n v="30"/>
    <n v="1"/>
    <d v="2022-07-07T00:00:00"/>
    <s v="No"/>
    <x v="2"/>
    <n v="3"/>
    <x v="3"/>
    <x v="0"/>
    <x v="1"/>
  </r>
  <r>
    <s v="REL01221"/>
    <s v="Female"/>
    <n v="42"/>
    <s v="BTech"/>
    <s v="Married"/>
    <x v="4"/>
    <s v="Logistics Coordinator"/>
    <x v="4"/>
    <x v="4"/>
    <s v="North"/>
    <n v="6"/>
    <n v="54155"/>
    <x v="3"/>
    <n v="2"/>
    <n v="4"/>
    <n v="41"/>
    <n v="3"/>
    <d v="2017-10-17T00:00:00"/>
    <s v="Yes"/>
    <x v="0"/>
    <n v="4"/>
    <x v="1"/>
    <x v="1"/>
    <x v="1"/>
  </r>
  <r>
    <s v="REL01222"/>
    <s v="Male"/>
    <n v="43"/>
    <s v="HSC"/>
    <s v="Divorced"/>
    <x v="6"/>
    <s v="HR Manager"/>
    <x v="2"/>
    <x v="6"/>
    <s v="South"/>
    <n v="11"/>
    <n v="88400"/>
    <x v="2"/>
    <n v="1"/>
    <n v="3"/>
    <n v="22"/>
    <n v="1"/>
    <d v="2012-06-24T00:00:00"/>
    <s v="No"/>
    <x v="1"/>
    <n v="2"/>
    <x v="2"/>
    <x v="0"/>
    <x v="1"/>
  </r>
  <r>
    <s v="REL01223"/>
    <s v="Male"/>
    <n v="26"/>
    <s v="Graduate"/>
    <s v="Single"/>
    <x v="2"/>
    <s v="Operations Head"/>
    <x v="2"/>
    <x v="5"/>
    <s v="South"/>
    <n v="1"/>
    <n v="105805"/>
    <x v="3"/>
    <n v="2"/>
    <n v="1"/>
    <n v="32"/>
    <n v="0"/>
    <d v="2022-09-09T00:00:00"/>
    <s v="No"/>
    <x v="1"/>
    <n v="4"/>
    <x v="3"/>
    <x v="2"/>
    <x v="0"/>
  </r>
  <r>
    <s v="REL01224"/>
    <s v="Female"/>
    <n v="53"/>
    <s v="MBA"/>
    <s v="Married"/>
    <x v="4"/>
    <s v="Customer Service Rep"/>
    <x v="1"/>
    <x v="7"/>
    <s v="East"/>
    <n v="12"/>
    <n v="66639"/>
    <x v="3"/>
    <n v="1"/>
    <n v="1"/>
    <n v="24"/>
    <n v="2"/>
    <d v="2011-05-27T00:00:00"/>
    <s v="No"/>
    <x v="0"/>
    <n v="4"/>
    <x v="2"/>
    <x v="2"/>
    <x v="1"/>
  </r>
  <r>
    <s v="REL01225"/>
    <s v="Male"/>
    <n v="54"/>
    <s v="MBA"/>
    <s v="Married"/>
    <x v="0"/>
    <s v="HR Manager"/>
    <x v="3"/>
    <x v="8"/>
    <s v="South"/>
    <n v="5"/>
    <n v="75031"/>
    <x v="2"/>
    <n v="4"/>
    <n v="2"/>
    <n v="50"/>
    <n v="2"/>
    <d v="2018-06-18T00:00:00"/>
    <s v="Yes"/>
    <x v="0"/>
    <n v="2"/>
    <x v="0"/>
    <x v="1"/>
    <x v="1"/>
  </r>
  <r>
    <s v="REL01226"/>
    <s v="Male"/>
    <n v="40"/>
    <s v="Post Graduate"/>
    <s v="Single"/>
    <x v="6"/>
    <s v="Operations Head"/>
    <x v="0"/>
    <x v="2"/>
    <s v="West"/>
    <n v="12"/>
    <n v="112891"/>
    <x v="1"/>
    <n v="2"/>
    <n v="4"/>
    <n v="28"/>
    <n v="1"/>
    <d v="2011-10-30T00:00:00"/>
    <s v="Yes"/>
    <x v="1"/>
    <n v="1"/>
    <x v="2"/>
    <x v="1"/>
    <x v="2"/>
  </r>
  <r>
    <s v="REL01227"/>
    <s v="Female"/>
    <n v="35"/>
    <s v="Graduate"/>
    <s v="Married"/>
    <x v="1"/>
    <s v="Sales Executive"/>
    <x v="2"/>
    <x v="0"/>
    <s v="North"/>
    <n v="5"/>
    <n v="41490"/>
    <x v="3"/>
    <n v="4"/>
    <n v="1"/>
    <n v="21"/>
    <n v="3"/>
    <d v="2018-10-11T00:00:00"/>
    <s v="No"/>
    <x v="2"/>
    <n v="4"/>
    <x v="0"/>
    <x v="2"/>
    <x v="1"/>
  </r>
  <r>
    <s v="REL01228"/>
    <s v="Male"/>
    <n v="54"/>
    <s v="Post Graduate"/>
    <s v="Single"/>
    <x v="7"/>
    <s v="Operations Head"/>
    <x v="2"/>
    <x v="4"/>
    <s v="North"/>
    <n v="10"/>
    <n v="123853"/>
    <x v="1"/>
    <n v="1"/>
    <n v="1"/>
    <n v="38"/>
    <n v="3"/>
    <d v="2013-02-04T00:00:00"/>
    <s v="Yes"/>
    <x v="1"/>
    <n v="1"/>
    <x v="1"/>
    <x v="1"/>
    <x v="2"/>
  </r>
  <r>
    <s v="REL01229"/>
    <s v="Male"/>
    <n v="32"/>
    <s v="BTech"/>
    <s v="Married"/>
    <x v="6"/>
    <s v="Store Manager"/>
    <x v="4"/>
    <x v="2"/>
    <s v="West"/>
    <n v="12"/>
    <n v="101044"/>
    <x v="0"/>
    <n v="2"/>
    <n v="4"/>
    <n v="34"/>
    <n v="0"/>
    <d v="2011-07-10T00:00:00"/>
    <s v="Yes"/>
    <x v="1"/>
    <n v="3"/>
    <x v="2"/>
    <x v="1"/>
    <x v="0"/>
  </r>
  <r>
    <s v="REL01230"/>
    <s v="Male"/>
    <n v="22"/>
    <s v="HSC"/>
    <s v="Divorced"/>
    <x v="5"/>
    <s v="HR Manager"/>
    <x v="4"/>
    <x v="3"/>
    <s v="West"/>
    <n v="13"/>
    <n v="99852"/>
    <x v="2"/>
    <n v="2"/>
    <n v="4"/>
    <n v="31"/>
    <n v="0"/>
    <d v="2010-04-08T00:00:00"/>
    <s v="No"/>
    <x v="1"/>
    <n v="2"/>
    <x v="2"/>
    <x v="0"/>
    <x v="1"/>
  </r>
  <r>
    <s v="REL01231"/>
    <s v="Male"/>
    <n v="54"/>
    <s v="BTech"/>
    <s v="Married"/>
    <x v="7"/>
    <s v="Finance Analyst"/>
    <x v="3"/>
    <x v="3"/>
    <s v="West"/>
    <n v="3"/>
    <n v="70291"/>
    <x v="1"/>
    <n v="2"/>
    <n v="2"/>
    <n v="71"/>
    <n v="3"/>
    <d v="2020-10-03T00:00:00"/>
    <s v="Yes"/>
    <x v="0"/>
    <n v="1"/>
    <x v="0"/>
    <x v="1"/>
    <x v="1"/>
  </r>
  <r>
    <s v="REL01232"/>
    <s v="Female"/>
    <n v="28"/>
    <s v="Graduate"/>
    <s v="Single"/>
    <x v="5"/>
    <s v="Logistics Coordinator"/>
    <x v="4"/>
    <x v="0"/>
    <s v="North"/>
    <n v="3"/>
    <n v="55905"/>
    <x v="1"/>
    <n v="2"/>
    <n v="2"/>
    <n v="74"/>
    <n v="1"/>
    <d v="2020-05-24T00:00:00"/>
    <s v="Yes"/>
    <x v="0"/>
    <n v="1"/>
    <x v="0"/>
    <x v="1"/>
    <x v="1"/>
  </r>
  <r>
    <s v="REL01233"/>
    <s v="Male"/>
    <n v="55"/>
    <s v="MBA"/>
    <s v="Married"/>
    <x v="1"/>
    <s v="Marketing Executive"/>
    <x v="1"/>
    <x v="5"/>
    <s v="South"/>
    <n v="2"/>
    <n v="55446"/>
    <x v="0"/>
    <n v="1"/>
    <n v="4"/>
    <n v="71"/>
    <n v="3"/>
    <d v="2021-05-10T00:00:00"/>
    <s v="No"/>
    <x v="0"/>
    <n v="3"/>
    <x v="3"/>
    <x v="0"/>
    <x v="0"/>
  </r>
  <r>
    <s v="REL01234"/>
    <s v="Male"/>
    <n v="39"/>
    <s v="Post Graduate"/>
    <s v="Single"/>
    <x v="2"/>
    <s v="Customer Service Rep"/>
    <x v="4"/>
    <x v="2"/>
    <s v="West"/>
    <n v="13"/>
    <n v="70071"/>
    <x v="1"/>
    <n v="2"/>
    <n v="4"/>
    <n v="66"/>
    <n v="3"/>
    <d v="2010-02-13T00:00:00"/>
    <s v="Yes"/>
    <x v="0"/>
    <n v="1"/>
    <x v="2"/>
    <x v="1"/>
    <x v="1"/>
  </r>
  <r>
    <s v="REL01235"/>
    <s v="Male"/>
    <n v="41"/>
    <s v="HSC"/>
    <s v="Divorced"/>
    <x v="7"/>
    <s v="Logistics Coordinator"/>
    <x v="1"/>
    <x v="0"/>
    <s v="North"/>
    <n v="6"/>
    <n v="65990"/>
    <x v="3"/>
    <n v="4"/>
    <n v="2"/>
    <n v="12"/>
    <n v="1"/>
    <d v="2017-02-07T00:00:00"/>
    <s v="No"/>
    <x v="0"/>
    <n v="4"/>
    <x v="1"/>
    <x v="2"/>
    <x v="1"/>
  </r>
  <r>
    <s v="REL01236"/>
    <s v="Male"/>
    <n v="30"/>
    <s v="HSC"/>
    <s v="Married"/>
    <x v="6"/>
    <s v="Logistics Coordinator"/>
    <x v="0"/>
    <x v="2"/>
    <s v="West"/>
    <n v="9"/>
    <n v="58597"/>
    <x v="1"/>
    <n v="2"/>
    <n v="3"/>
    <n v="74"/>
    <n v="1"/>
    <d v="2014-03-15T00:00:00"/>
    <s v="Yes"/>
    <x v="0"/>
    <n v="1"/>
    <x v="1"/>
    <x v="1"/>
    <x v="1"/>
  </r>
  <r>
    <s v="REL01237"/>
    <s v="Male"/>
    <n v="23"/>
    <s v="MBA"/>
    <s v="Married"/>
    <x v="5"/>
    <s v="Logistics Coordinator"/>
    <x v="2"/>
    <x v="7"/>
    <s v="East"/>
    <n v="11"/>
    <n v="57295"/>
    <x v="2"/>
    <n v="4"/>
    <n v="2"/>
    <n v="62"/>
    <n v="3"/>
    <d v="2012-08-04T00:00:00"/>
    <s v="No"/>
    <x v="0"/>
    <n v="2"/>
    <x v="2"/>
    <x v="0"/>
    <x v="1"/>
  </r>
  <r>
    <s v="REL01238"/>
    <s v="Female"/>
    <n v="41"/>
    <s v="MBA"/>
    <s v="Married"/>
    <x v="4"/>
    <s v="Logistics Coordinator"/>
    <x v="4"/>
    <x v="4"/>
    <s v="North"/>
    <n v="10"/>
    <n v="70873"/>
    <x v="1"/>
    <n v="3"/>
    <n v="3"/>
    <n v="61"/>
    <n v="2"/>
    <d v="2014-01-02T00:00:00"/>
    <s v="No"/>
    <x v="0"/>
    <n v="1"/>
    <x v="1"/>
    <x v="0"/>
    <x v="1"/>
  </r>
  <r>
    <s v="REL01239"/>
    <s v="Female"/>
    <n v="55"/>
    <s v="HSC"/>
    <s v="Single"/>
    <x v="1"/>
    <s v="Logistics Coordinator"/>
    <x v="1"/>
    <x v="0"/>
    <s v="North"/>
    <n v="2"/>
    <n v="54140"/>
    <x v="2"/>
    <n v="4"/>
    <n v="1"/>
    <n v="58"/>
    <n v="2"/>
    <d v="2021-08-07T00:00:00"/>
    <s v="No"/>
    <x v="0"/>
    <n v="2"/>
    <x v="3"/>
    <x v="0"/>
    <x v="1"/>
  </r>
  <r>
    <s v="REL01240"/>
    <s v="Female"/>
    <n v="22"/>
    <s v="HSC"/>
    <s v="Single"/>
    <x v="0"/>
    <s v="Store Manager"/>
    <x v="0"/>
    <x v="4"/>
    <s v="North"/>
    <n v="6"/>
    <n v="106822"/>
    <x v="2"/>
    <n v="1"/>
    <n v="1"/>
    <n v="30"/>
    <n v="3"/>
    <d v="2017-01-28T00:00:00"/>
    <s v="No"/>
    <x v="1"/>
    <n v="2"/>
    <x v="1"/>
    <x v="0"/>
    <x v="1"/>
  </r>
  <r>
    <s v="REL01241"/>
    <s v="Male"/>
    <n v="39"/>
    <s v="BTech"/>
    <s v="Married"/>
    <x v="7"/>
    <s v="Operations Head"/>
    <x v="4"/>
    <x v="6"/>
    <s v="South"/>
    <n v="7"/>
    <n v="117116"/>
    <x v="1"/>
    <n v="3"/>
    <n v="1"/>
    <n v="38"/>
    <n v="0"/>
    <d v="2016-12-24T00:00:00"/>
    <s v="Yes"/>
    <x v="1"/>
    <n v="1"/>
    <x v="1"/>
    <x v="1"/>
    <x v="2"/>
  </r>
  <r>
    <s v="REL01242"/>
    <s v="Female"/>
    <n v="38"/>
    <s v="Graduate"/>
    <s v="Divorced"/>
    <x v="1"/>
    <s v="Operations Head"/>
    <x v="4"/>
    <x v="1"/>
    <s v="North"/>
    <n v="8"/>
    <n v="118722"/>
    <x v="2"/>
    <n v="3"/>
    <n v="4"/>
    <n v="40"/>
    <n v="0"/>
    <d v="2015-09-04T00:00:00"/>
    <s v="No"/>
    <x v="1"/>
    <n v="2"/>
    <x v="1"/>
    <x v="0"/>
    <x v="1"/>
  </r>
  <r>
    <s v="REL01243"/>
    <s v="Female"/>
    <n v="46"/>
    <s v="MBA"/>
    <s v="Single"/>
    <x v="7"/>
    <s v="Store Manager"/>
    <x v="0"/>
    <x v="6"/>
    <s v="South"/>
    <n v="1"/>
    <n v="83974"/>
    <x v="3"/>
    <n v="3"/>
    <n v="2"/>
    <n v="12"/>
    <n v="2"/>
    <d v="2022-01-19T00:00:00"/>
    <s v="Yes"/>
    <x v="1"/>
    <n v="4"/>
    <x v="3"/>
    <x v="1"/>
    <x v="0"/>
  </r>
  <r>
    <s v="REL01244"/>
    <s v="Female"/>
    <n v="49"/>
    <s v="MBA"/>
    <s v="Divorced"/>
    <x v="4"/>
    <s v="Marketing Executive"/>
    <x v="4"/>
    <x v="2"/>
    <s v="West"/>
    <n v="13"/>
    <n v="80361"/>
    <x v="2"/>
    <n v="1"/>
    <n v="4"/>
    <n v="12"/>
    <n v="0"/>
    <d v="2010-01-29T00:00:00"/>
    <s v="No"/>
    <x v="1"/>
    <n v="2"/>
    <x v="2"/>
    <x v="0"/>
    <x v="1"/>
  </r>
  <r>
    <s v="REL01245"/>
    <s v="Female"/>
    <n v="45"/>
    <s v="Graduate"/>
    <s v="Single"/>
    <x v="7"/>
    <s v="Store Manager"/>
    <x v="2"/>
    <x v="1"/>
    <s v="North"/>
    <n v="15"/>
    <n v="106023"/>
    <x v="1"/>
    <n v="2"/>
    <n v="3"/>
    <n v="47"/>
    <n v="2"/>
    <d v="2008-09-22T00:00:00"/>
    <s v="No"/>
    <x v="1"/>
    <n v="1"/>
    <x v="2"/>
    <x v="0"/>
    <x v="2"/>
  </r>
  <r>
    <s v="REL01246"/>
    <s v="Female"/>
    <n v="45"/>
    <s v="Post Graduate"/>
    <s v="Married"/>
    <x v="3"/>
    <s v="Finance Analyst"/>
    <x v="1"/>
    <x v="8"/>
    <s v="South"/>
    <n v="7"/>
    <n v="72986"/>
    <x v="3"/>
    <n v="1"/>
    <n v="4"/>
    <n v="28"/>
    <n v="1"/>
    <d v="2016-05-31T00:00:00"/>
    <s v="No"/>
    <x v="0"/>
    <n v="4"/>
    <x v="1"/>
    <x v="2"/>
    <x v="1"/>
  </r>
  <r>
    <s v="REL01247"/>
    <s v="Male"/>
    <n v="33"/>
    <s v="Graduate"/>
    <s v="Divorced"/>
    <x v="5"/>
    <s v="Finance Analyst"/>
    <x v="0"/>
    <x v="0"/>
    <s v="North"/>
    <n v="14"/>
    <n v="82486"/>
    <x v="1"/>
    <n v="1"/>
    <n v="3"/>
    <n v="40"/>
    <n v="1"/>
    <d v="2009-10-05T00:00:00"/>
    <s v="Yes"/>
    <x v="1"/>
    <n v="1"/>
    <x v="2"/>
    <x v="1"/>
    <x v="2"/>
  </r>
  <r>
    <s v="REL01248"/>
    <s v="Female"/>
    <n v="42"/>
    <s v="HSC"/>
    <s v="Divorced"/>
    <x v="7"/>
    <s v="Operations Head"/>
    <x v="4"/>
    <x v="8"/>
    <s v="South"/>
    <n v="8"/>
    <n v="116741"/>
    <x v="2"/>
    <n v="2"/>
    <n v="4"/>
    <n v="51"/>
    <n v="1"/>
    <d v="2015-08-01T00:00:00"/>
    <s v="No"/>
    <x v="1"/>
    <n v="2"/>
    <x v="1"/>
    <x v="0"/>
    <x v="1"/>
  </r>
  <r>
    <s v="REL01249"/>
    <s v="Female"/>
    <n v="43"/>
    <s v="HSC"/>
    <s v="Single"/>
    <x v="1"/>
    <s v="Store Manager"/>
    <x v="1"/>
    <x v="0"/>
    <s v="North"/>
    <n v="6"/>
    <n v="103026"/>
    <x v="0"/>
    <n v="1"/>
    <n v="2"/>
    <n v="17"/>
    <n v="0"/>
    <d v="2017-10-24T00:00:00"/>
    <s v="Yes"/>
    <x v="1"/>
    <n v="3"/>
    <x v="1"/>
    <x v="1"/>
    <x v="0"/>
  </r>
  <r>
    <s v="REL01250"/>
    <s v="Male"/>
    <n v="51"/>
    <s v="MBA"/>
    <s v="Single"/>
    <x v="6"/>
    <s v="Sales Executive"/>
    <x v="2"/>
    <x v="5"/>
    <s v="South"/>
    <n v="2"/>
    <n v="49476"/>
    <x v="0"/>
    <n v="4"/>
    <n v="3"/>
    <n v="78"/>
    <n v="1"/>
    <d v="2021-02-08T00:00:00"/>
    <s v="No"/>
    <x v="2"/>
    <n v="3"/>
    <x v="3"/>
    <x v="0"/>
    <x v="1"/>
  </r>
  <r>
    <s v="REL01251"/>
    <s v="Male"/>
    <n v="41"/>
    <s v="Post Graduate"/>
    <s v="Divorced"/>
    <x v="5"/>
    <s v="Customer Service Rep"/>
    <x v="1"/>
    <x v="4"/>
    <s v="North"/>
    <n v="12"/>
    <n v="67158"/>
    <x v="2"/>
    <n v="3"/>
    <n v="2"/>
    <n v="50"/>
    <n v="0"/>
    <d v="2011-10-09T00:00:00"/>
    <s v="No"/>
    <x v="0"/>
    <n v="2"/>
    <x v="2"/>
    <x v="0"/>
    <x v="1"/>
  </r>
  <r>
    <s v="REL01252"/>
    <s v="Male"/>
    <n v="43"/>
    <s v="Graduate"/>
    <s v="Divorced"/>
    <x v="2"/>
    <s v="Customer Service Rep"/>
    <x v="1"/>
    <x v="2"/>
    <s v="West"/>
    <n v="8"/>
    <n v="43753"/>
    <x v="2"/>
    <n v="1"/>
    <n v="3"/>
    <n v="49"/>
    <n v="0"/>
    <d v="2015-11-30T00:00:00"/>
    <s v="No"/>
    <x v="2"/>
    <n v="2"/>
    <x v="1"/>
    <x v="0"/>
    <x v="1"/>
  </r>
  <r>
    <s v="REL01253"/>
    <s v="Male"/>
    <n v="44"/>
    <s v="Post Graduate"/>
    <s v="Married"/>
    <x v="7"/>
    <s v="Finance Analyst"/>
    <x v="3"/>
    <x v="8"/>
    <s v="South"/>
    <n v="5"/>
    <n v="67547"/>
    <x v="2"/>
    <n v="4"/>
    <n v="3"/>
    <n v="24"/>
    <n v="3"/>
    <d v="2018-02-10T00:00:00"/>
    <s v="No"/>
    <x v="0"/>
    <n v="2"/>
    <x v="0"/>
    <x v="0"/>
    <x v="1"/>
  </r>
  <r>
    <s v="REL01254"/>
    <s v="Male"/>
    <n v="24"/>
    <s v="HSC"/>
    <s v="Single"/>
    <x v="5"/>
    <s v="Finance Analyst"/>
    <x v="1"/>
    <x v="0"/>
    <s v="North"/>
    <n v="12"/>
    <n v="80535"/>
    <x v="2"/>
    <n v="4"/>
    <n v="1"/>
    <n v="38"/>
    <n v="1"/>
    <d v="2011-08-09T00:00:00"/>
    <s v="No"/>
    <x v="1"/>
    <n v="2"/>
    <x v="2"/>
    <x v="0"/>
    <x v="1"/>
  </r>
  <r>
    <s v="REL01255"/>
    <s v="Male"/>
    <n v="49"/>
    <s v="Graduate"/>
    <s v="Divorced"/>
    <x v="1"/>
    <s v="Sales Executive"/>
    <x v="3"/>
    <x v="0"/>
    <s v="North"/>
    <n v="14"/>
    <n v="64587"/>
    <x v="3"/>
    <n v="4"/>
    <n v="2"/>
    <n v="18"/>
    <n v="2"/>
    <d v="2009-02-09T00:00:00"/>
    <s v="No"/>
    <x v="0"/>
    <n v="4"/>
    <x v="2"/>
    <x v="2"/>
    <x v="1"/>
  </r>
  <r>
    <s v="REL01256"/>
    <s v="Female"/>
    <n v="26"/>
    <s v="HSC"/>
    <s v="Single"/>
    <x v="7"/>
    <s v="Store Manager"/>
    <x v="1"/>
    <x v="6"/>
    <s v="South"/>
    <n v="4"/>
    <n v="92346"/>
    <x v="1"/>
    <n v="1"/>
    <n v="4"/>
    <n v="49"/>
    <n v="3"/>
    <d v="2019-09-30T00:00:00"/>
    <s v="Yes"/>
    <x v="1"/>
    <n v="1"/>
    <x v="0"/>
    <x v="1"/>
    <x v="2"/>
  </r>
  <r>
    <s v="REL01257"/>
    <s v="Male"/>
    <n v="44"/>
    <s v="MBA"/>
    <s v="Divorced"/>
    <x v="1"/>
    <s v="Store Manager"/>
    <x v="0"/>
    <x v="7"/>
    <s v="East"/>
    <n v="8"/>
    <n v="94326"/>
    <x v="0"/>
    <n v="4"/>
    <n v="2"/>
    <n v="47"/>
    <n v="2"/>
    <d v="2015-03-20T00:00:00"/>
    <s v="No"/>
    <x v="1"/>
    <n v="3"/>
    <x v="1"/>
    <x v="0"/>
    <x v="0"/>
  </r>
  <r>
    <s v="REL01258"/>
    <s v="Male"/>
    <n v="41"/>
    <s v="Post Graduate"/>
    <s v="Single"/>
    <x v="7"/>
    <s v="Logistics Coordinator"/>
    <x v="4"/>
    <x v="2"/>
    <s v="West"/>
    <n v="8"/>
    <n v="56327"/>
    <x v="1"/>
    <n v="4"/>
    <n v="2"/>
    <n v="42"/>
    <n v="3"/>
    <d v="2015-03-08T00:00:00"/>
    <s v="Yes"/>
    <x v="0"/>
    <n v="1"/>
    <x v="1"/>
    <x v="1"/>
    <x v="1"/>
  </r>
  <r>
    <s v="REL01259"/>
    <s v="Female"/>
    <n v="52"/>
    <s v="Post Graduate"/>
    <s v="Divorced"/>
    <x v="4"/>
    <s v="Store Manager"/>
    <x v="0"/>
    <x v="2"/>
    <s v="West"/>
    <n v="10"/>
    <n v="96210"/>
    <x v="3"/>
    <n v="1"/>
    <n v="2"/>
    <n v="53"/>
    <n v="1"/>
    <d v="2013-12-10T00:00:00"/>
    <s v="Yes"/>
    <x v="1"/>
    <n v="4"/>
    <x v="1"/>
    <x v="1"/>
    <x v="0"/>
  </r>
  <r>
    <s v="REL01260"/>
    <s v="Female"/>
    <n v="39"/>
    <s v="BTech"/>
    <s v="Divorced"/>
    <x v="2"/>
    <s v="Operations Head"/>
    <x v="1"/>
    <x v="0"/>
    <s v="North"/>
    <n v="11"/>
    <n v="116420"/>
    <x v="1"/>
    <n v="3"/>
    <n v="4"/>
    <n v="57"/>
    <n v="3"/>
    <d v="2012-08-06T00:00:00"/>
    <s v="No"/>
    <x v="1"/>
    <n v="1"/>
    <x v="2"/>
    <x v="0"/>
    <x v="2"/>
  </r>
  <r>
    <s v="REL01261"/>
    <s v="Male"/>
    <n v="25"/>
    <s v="Post Graduate"/>
    <s v="Single"/>
    <x v="5"/>
    <s v="Customer Service Rep"/>
    <x v="3"/>
    <x v="6"/>
    <s v="South"/>
    <n v="11"/>
    <n v="64036"/>
    <x v="2"/>
    <n v="1"/>
    <n v="4"/>
    <n v="69"/>
    <n v="0"/>
    <d v="2012-04-13T00:00:00"/>
    <s v="No"/>
    <x v="0"/>
    <n v="2"/>
    <x v="2"/>
    <x v="0"/>
    <x v="1"/>
  </r>
  <r>
    <s v="REL01262"/>
    <s v="Female"/>
    <n v="55"/>
    <s v="HSC"/>
    <s v="Married"/>
    <x v="4"/>
    <s v="Finance Analyst"/>
    <x v="1"/>
    <x v="6"/>
    <s v="South"/>
    <n v="11"/>
    <n v="74685"/>
    <x v="0"/>
    <n v="3"/>
    <n v="1"/>
    <n v="44"/>
    <n v="1"/>
    <d v="2012-12-27T00:00:00"/>
    <s v="No"/>
    <x v="0"/>
    <n v="3"/>
    <x v="2"/>
    <x v="0"/>
    <x v="0"/>
  </r>
  <r>
    <s v="REL01263"/>
    <s v="Male"/>
    <n v="35"/>
    <s v="BTech"/>
    <s v="Divorced"/>
    <x v="7"/>
    <s v="Sales Executive"/>
    <x v="2"/>
    <x v="2"/>
    <s v="West"/>
    <n v="9"/>
    <n v="50719"/>
    <x v="1"/>
    <n v="3"/>
    <n v="4"/>
    <n v="78"/>
    <n v="0"/>
    <d v="2014-09-14T00:00:00"/>
    <s v="No"/>
    <x v="0"/>
    <n v="1"/>
    <x v="1"/>
    <x v="0"/>
    <x v="1"/>
  </r>
  <r>
    <s v="REL01264"/>
    <s v="Male"/>
    <n v="32"/>
    <s v="Graduate"/>
    <s v="Married"/>
    <x v="1"/>
    <s v="Sales Executive"/>
    <x v="1"/>
    <x v="0"/>
    <s v="North"/>
    <n v="14"/>
    <n v="67014"/>
    <x v="1"/>
    <n v="4"/>
    <n v="1"/>
    <n v="57"/>
    <n v="2"/>
    <d v="2009-12-30T00:00:00"/>
    <s v="No"/>
    <x v="0"/>
    <n v="1"/>
    <x v="2"/>
    <x v="0"/>
    <x v="1"/>
  </r>
  <r>
    <s v="REL01265"/>
    <s v="Male"/>
    <n v="51"/>
    <s v="Graduate"/>
    <s v="Divorced"/>
    <x v="6"/>
    <s v="Customer Service Rep"/>
    <x v="3"/>
    <x v="6"/>
    <s v="South"/>
    <n v="4"/>
    <n v="35930"/>
    <x v="0"/>
    <n v="3"/>
    <n v="2"/>
    <n v="26"/>
    <n v="3"/>
    <d v="2019-04-19T00:00:00"/>
    <s v="No"/>
    <x v="2"/>
    <n v="3"/>
    <x v="0"/>
    <x v="0"/>
    <x v="1"/>
  </r>
  <r>
    <s v="REL01266"/>
    <s v="Male"/>
    <n v="52"/>
    <s v="HSC"/>
    <s v="Single"/>
    <x v="2"/>
    <s v="Sales Executive"/>
    <x v="4"/>
    <x v="3"/>
    <s v="West"/>
    <n v="13"/>
    <n v="56341"/>
    <x v="0"/>
    <n v="3"/>
    <n v="3"/>
    <n v="25"/>
    <n v="1"/>
    <d v="2010-04-07T00:00:00"/>
    <s v="No"/>
    <x v="0"/>
    <n v="3"/>
    <x v="2"/>
    <x v="0"/>
    <x v="0"/>
  </r>
  <r>
    <s v="REL01267"/>
    <s v="Male"/>
    <n v="24"/>
    <s v="HSC"/>
    <s v="Married"/>
    <x v="0"/>
    <s v="Customer Service Rep"/>
    <x v="1"/>
    <x v="2"/>
    <s v="West"/>
    <n v="12"/>
    <n v="66531"/>
    <x v="3"/>
    <n v="1"/>
    <n v="2"/>
    <n v="48"/>
    <n v="1"/>
    <d v="2011-04-22T00:00:00"/>
    <s v="Yes"/>
    <x v="0"/>
    <n v="4"/>
    <x v="2"/>
    <x v="1"/>
    <x v="1"/>
  </r>
  <r>
    <s v="REL01268"/>
    <s v="Female"/>
    <n v="47"/>
    <s v="Post Graduate"/>
    <s v="Married"/>
    <x v="1"/>
    <s v="Customer Service Rep"/>
    <x v="3"/>
    <x v="9"/>
    <s v="West"/>
    <n v="15"/>
    <n v="72397"/>
    <x v="3"/>
    <n v="1"/>
    <n v="2"/>
    <n v="54"/>
    <n v="3"/>
    <d v="2008-09-21T00:00:00"/>
    <s v="No"/>
    <x v="0"/>
    <n v="4"/>
    <x v="2"/>
    <x v="2"/>
    <x v="1"/>
  </r>
  <r>
    <s v="REL01269"/>
    <s v="Female"/>
    <n v="49"/>
    <s v="Graduate"/>
    <s v="Married"/>
    <x v="1"/>
    <s v="Store Manager"/>
    <x v="2"/>
    <x v="4"/>
    <s v="North"/>
    <n v="4"/>
    <n v="83233"/>
    <x v="2"/>
    <n v="3"/>
    <n v="4"/>
    <n v="41"/>
    <n v="0"/>
    <d v="2019-03-30T00:00:00"/>
    <s v="No"/>
    <x v="1"/>
    <n v="2"/>
    <x v="0"/>
    <x v="0"/>
    <x v="1"/>
  </r>
  <r>
    <s v="REL01270"/>
    <s v="Female"/>
    <n v="29"/>
    <s v="Graduate"/>
    <s v="Married"/>
    <x v="6"/>
    <s v="Finance Analyst"/>
    <x v="3"/>
    <x v="7"/>
    <s v="East"/>
    <n v="10"/>
    <n v="88615"/>
    <x v="0"/>
    <n v="3"/>
    <n v="2"/>
    <n v="60"/>
    <n v="0"/>
    <d v="2013-07-05T00:00:00"/>
    <s v="No"/>
    <x v="1"/>
    <n v="3"/>
    <x v="1"/>
    <x v="0"/>
    <x v="0"/>
  </r>
  <r>
    <s v="REL01271"/>
    <s v="Female"/>
    <n v="46"/>
    <s v="MBA"/>
    <s v="Single"/>
    <x v="1"/>
    <s v="Finance Analyst"/>
    <x v="3"/>
    <x v="6"/>
    <s v="South"/>
    <n v="3"/>
    <n v="56923"/>
    <x v="1"/>
    <n v="3"/>
    <n v="2"/>
    <n v="47"/>
    <n v="1"/>
    <d v="2020-03-03T00:00:00"/>
    <s v="No"/>
    <x v="0"/>
    <n v="1"/>
    <x v="0"/>
    <x v="0"/>
    <x v="1"/>
  </r>
  <r>
    <s v="REL01272"/>
    <s v="Male"/>
    <n v="51"/>
    <s v="HSC"/>
    <s v="Divorced"/>
    <x v="2"/>
    <s v="Sales Executive"/>
    <x v="3"/>
    <x v="1"/>
    <s v="North"/>
    <n v="5"/>
    <n v="53507"/>
    <x v="2"/>
    <n v="2"/>
    <n v="3"/>
    <n v="78"/>
    <n v="2"/>
    <d v="2018-12-16T00:00:00"/>
    <s v="Yes"/>
    <x v="0"/>
    <n v="2"/>
    <x v="0"/>
    <x v="1"/>
    <x v="1"/>
  </r>
  <r>
    <s v="REL01273"/>
    <s v="Male"/>
    <n v="30"/>
    <s v="MBA"/>
    <s v="Single"/>
    <x v="4"/>
    <s v="Store Manager"/>
    <x v="4"/>
    <x v="2"/>
    <s v="West"/>
    <n v="2"/>
    <n v="85190"/>
    <x v="2"/>
    <n v="1"/>
    <n v="3"/>
    <n v="28"/>
    <n v="3"/>
    <d v="2021-03-28T00:00:00"/>
    <s v="No"/>
    <x v="1"/>
    <n v="2"/>
    <x v="3"/>
    <x v="0"/>
    <x v="1"/>
  </r>
  <r>
    <s v="REL01274"/>
    <s v="Female"/>
    <n v="51"/>
    <s v="Graduate"/>
    <s v="Divorced"/>
    <x v="1"/>
    <s v="Sales Executive"/>
    <x v="3"/>
    <x v="2"/>
    <s v="West"/>
    <n v="15"/>
    <n v="68627"/>
    <x v="0"/>
    <n v="2"/>
    <n v="3"/>
    <n v="37"/>
    <n v="0"/>
    <d v="2008-01-24T00:00:00"/>
    <s v="No"/>
    <x v="0"/>
    <n v="3"/>
    <x v="2"/>
    <x v="0"/>
    <x v="0"/>
  </r>
  <r>
    <s v="REL01275"/>
    <s v="Male"/>
    <n v="33"/>
    <s v="Post Graduate"/>
    <s v="Divorced"/>
    <x v="6"/>
    <s v="Finance Analyst"/>
    <x v="1"/>
    <x v="4"/>
    <s v="North"/>
    <n v="7"/>
    <n v="77177"/>
    <x v="3"/>
    <n v="3"/>
    <n v="4"/>
    <n v="44"/>
    <n v="2"/>
    <d v="2016-01-13T00:00:00"/>
    <s v="No"/>
    <x v="0"/>
    <n v="4"/>
    <x v="1"/>
    <x v="2"/>
    <x v="1"/>
  </r>
  <r>
    <s v="REL01276"/>
    <s v="Female"/>
    <n v="39"/>
    <s v="Post Graduate"/>
    <s v="Single"/>
    <x v="2"/>
    <s v="Finance Analyst"/>
    <x v="2"/>
    <x v="7"/>
    <s v="East"/>
    <n v="9"/>
    <n v="72449"/>
    <x v="2"/>
    <n v="4"/>
    <n v="1"/>
    <n v="23"/>
    <n v="3"/>
    <d v="2014-11-01T00:00:00"/>
    <s v="No"/>
    <x v="0"/>
    <n v="2"/>
    <x v="1"/>
    <x v="0"/>
    <x v="1"/>
  </r>
  <r>
    <s v="REL01277"/>
    <s v="Female"/>
    <n v="50"/>
    <s v="HSC"/>
    <s v="Divorced"/>
    <x v="0"/>
    <s v="Sales Executive"/>
    <x v="2"/>
    <x v="8"/>
    <s v="South"/>
    <n v="4"/>
    <n v="54621"/>
    <x v="2"/>
    <n v="2"/>
    <n v="2"/>
    <n v="37"/>
    <n v="3"/>
    <d v="2019-09-19T00:00:00"/>
    <s v="No"/>
    <x v="0"/>
    <n v="2"/>
    <x v="0"/>
    <x v="0"/>
    <x v="1"/>
  </r>
  <r>
    <s v="REL01278"/>
    <s v="Male"/>
    <n v="29"/>
    <s v="HSC"/>
    <s v="Single"/>
    <x v="7"/>
    <s v="Operations Head"/>
    <x v="3"/>
    <x v="8"/>
    <s v="South"/>
    <n v="14"/>
    <n v="116089"/>
    <x v="3"/>
    <n v="4"/>
    <n v="1"/>
    <n v="33"/>
    <n v="1"/>
    <d v="2009-12-31T00:00:00"/>
    <s v="No"/>
    <x v="1"/>
    <n v="4"/>
    <x v="2"/>
    <x v="2"/>
    <x v="0"/>
  </r>
  <r>
    <s v="REL01279"/>
    <s v="Male"/>
    <n v="36"/>
    <s v="Graduate"/>
    <s v="Divorced"/>
    <x v="3"/>
    <s v="HR Manager"/>
    <x v="0"/>
    <x v="2"/>
    <s v="West"/>
    <n v="13"/>
    <n v="92294"/>
    <x v="2"/>
    <n v="1"/>
    <n v="3"/>
    <n v="67"/>
    <n v="3"/>
    <d v="2010-12-01T00:00:00"/>
    <s v="No"/>
    <x v="1"/>
    <n v="2"/>
    <x v="2"/>
    <x v="0"/>
    <x v="1"/>
  </r>
  <r>
    <s v="REL01280"/>
    <s v="Female"/>
    <n v="28"/>
    <s v="BTech"/>
    <s v="Single"/>
    <x v="0"/>
    <s v="Store Manager"/>
    <x v="0"/>
    <x v="6"/>
    <s v="South"/>
    <n v="2"/>
    <n v="80854"/>
    <x v="2"/>
    <n v="2"/>
    <n v="3"/>
    <n v="57"/>
    <n v="1"/>
    <d v="2021-01-13T00:00:00"/>
    <s v="No"/>
    <x v="1"/>
    <n v="2"/>
    <x v="3"/>
    <x v="0"/>
    <x v="1"/>
  </r>
  <r>
    <s v="REL01281"/>
    <s v="Female"/>
    <n v="23"/>
    <s v="BTech"/>
    <s v="Divorced"/>
    <x v="2"/>
    <s v="Operations Head"/>
    <x v="4"/>
    <x v="1"/>
    <s v="North"/>
    <n v="12"/>
    <n v="112237"/>
    <x v="1"/>
    <n v="4"/>
    <n v="2"/>
    <n v="59"/>
    <n v="2"/>
    <d v="2011-08-16T00:00:00"/>
    <s v="Yes"/>
    <x v="1"/>
    <n v="1"/>
    <x v="2"/>
    <x v="1"/>
    <x v="2"/>
  </r>
  <r>
    <s v="REL01282"/>
    <s v="Male"/>
    <n v="33"/>
    <s v="HSC"/>
    <s v="Single"/>
    <x v="6"/>
    <s v="Customer Service Rep"/>
    <x v="2"/>
    <x v="4"/>
    <s v="North"/>
    <n v="3"/>
    <n v="33560"/>
    <x v="0"/>
    <n v="3"/>
    <n v="2"/>
    <n v="32"/>
    <n v="3"/>
    <d v="2020-08-02T00:00:00"/>
    <s v="No"/>
    <x v="3"/>
    <n v="3"/>
    <x v="0"/>
    <x v="0"/>
    <x v="1"/>
  </r>
  <r>
    <s v="REL01283"/>
    <s v="Female"/>
    <n v="28"/>
    <s v="MBA"/>
    <s v="Single"/>
    <x v="2"/>
    <s v="Marketing Executive"/>
    <x v="1"/>
    <x v="0"/>
    <s v="North"/>
    <n v="1"/>
    <n v="52009"/>
    <x v="3"/>
    <n v="1"/>
    <n v="4"/>
    <n v="11"/>
    <n v="1"/>
    <d v="2022-04-07T00:00:00"/>
    <s v="No"/>
    <x v="0"/>
    <n v="4"/>
    <x v="3"/>
    <x v="2"/>
    <x v="1"/>
  </r>
  <r>
    <s v="REL01284"/>
    <s v="Female"/>
    <n v="37"/>
    <s v="MBA"/>
    <s v="Married"/>
    <x v="6"/>
    <s v="HR Manager"/>
    <x v="3"/>
    <x v="1"/>
    <s v="North"/>
    <n v="1"/>
    <n v="68151"/>
    <x v="0"/>
    <n v="2"/>
    <n v="1"/>
    <n v="56"/>
    <n v="1"/>
    <d v="2022-03-03T00:00:00"/>
    <s v="Yes"/>
    <x v="0"/>
    <n v="3"/>
    <x v="3"/>
    <x v="1"/>
    <x v="0"/>
  </r>
  <r>
    <s v="REL01285"/>
    <s v="Male"/>
    <n v="28"/>
    <s v="MBA"/>
    <s v="Single"/>
    <x v="0"/>
    <s v="Finance Analyst"/>
    <x v="4"/>
    <x v="2"/>
    <s v="West"/>
    <n v="8"/>
    <n v="85821"/>
    <x v="2"/>
    <n v="2"/>
    <n v="3"/>
    <n v="11"/>
    <n v="0"/>
    <d v="2015-12-19T00:00:00"/>
    <s v="No"/>
    <x v="1"/>
    <n v="2"/>
    <x v="1"/>
    <x v="0"/>
    <x v="1"/>
  </r>
  <r>
    <s v="REL01286"/>
    <s v="Male"/>
    <n v="28"/>
    <s v="Post Graduate"/>
    <s v="Divorced"/>
    <x v="1"/>
    <s v="Marketing Executive"/>
    <x v="1"/>
    <x v="9"/>
    <s v="West"/>
    <n v="2"/>
    <n v="45134"/>
    <x v="1"/>
    <n v="4"/>
    <n v="1"/>
    <n v="75"/>
    <n v="3"/>
    <d v="2021-10-11T00:00:00"/>
    <s v="Yes"/>
    <x v="2"/>
    <n v="1"/>
    <x v="3"/>
    <x v="1"/>
    <x v="1"/>
  </r>
  <r>
    <s v="REL01287"/>
    <s v="Female"/>
    <n v="48"/>
    <s v="Graduate"/>
    <s v="Married"/>
    <x v="6"/>
    <s v="Sales Executive"/>
    <x v="3"/>
    <x v="0"/>
    <s v="North"/>
    <n v="3"/>
    <n v="36817"/>
    <x v="0"/>
    <n v="1"/>
    <n v="2"/>
    <n v="80"/>
    <n v="0"/>
    <d v="2020-07-24T00:00:00"/>
    <s v="No"/>
    <x v="2"/>
    <n v="3"/>
    <x v="0"/>
    <x v="0"/>
    <x v="1"/>
  </r>
  <r>
    <s v="REL01288"/>
    <s v="Male"/>
    <n v="41"/>
    <s v="HSC"/>
    <s v="Single"/>
    <x v="0"/>
    <s v="Marketing Executive"/>
    <x v="3"/>
    <x v="9"/>
    <s v="West"/>
    <n v="5"/>
    <n v="63338"/>
    <x v="2"/>
    <n v="2"/>
    <n v="3"/>
    <n v="28"/>
    <n v="0"/>
    <d v="2018-10-20T00:00:00"/>
    <s v="Yes"/>
    <x v="0"/>
    <n v="2"/>
    <x v="0"/>
    <x v="1"/>
    <x v="1"/>
  </r>
  <r>
    <s v="REL01289"/>
    <s v="Male"/>
    <n v="23"/>
    <s v="BTech"/>
    <s v="Married"/>
    <x v="0"/>
    <s v="Marketing Executive"/>
    <x v="2"/>
    <x v="2"/>
    <s v="West"/>
    <n v="3"/>
    <n v="65258"/>
    <x v="2"/>
    <n v="3"/>
    <n v="4"/>
    <n v="70"/>
    <n v="1"/>
    <d v="2020-11-20T00:00:00"/>
    <s v="No"/>
    <x v="0"/>
    <n v="2"/>
    <x v="0"/>
    <x v="0"/>
    <x v="1"/>
  </r>
  <r>
    <s v="REL01290"/>
    <s v="Male"/>
    <n v="52"/>
    <s v="MBA"/>
    <s v="Single"/>
    <x v="0"/>
    <s v="Customer Service Rep"/>
    <x v="2"/>
    <x v="2"/>
    <s v="West"/>
    <n v="7"/>
    <n v="49348"/>
    <x v="0"/>
    <n v="4"/>
    <n v="3"/>
    <n v="13"/>
    <n v="1"/>
    <d v="2016-09-09T00:00:00"/>
    <s v="Yes"/>
    <x v="2"/>
    <n v="3"/>
    <x v="1"/>
    <x v="1"/>
    <x v="1"/>
  </r>
  <r>
    <s v="REL01291"/>
    <s v="Male"/>
    <n v="29"/>
    <s v="HSC"/>
    <s v="Divorced"/>
    <x v="5"/>
    <s v="Logistics Coordinator"/>
    <x v="0"/>
    <x v="8"/>
    <s v="South"/>
    <n v="2"/>
    <n v="40214"/>
    <x v="2"/>
    <n v="1"/>
    <n v="2"/>
    <n v="65"/>
    <n v="3"/>
    <d v="2021-11-08T00:00:00"/>
    <s v="No"/>
    <x v="2"/>
    <n v="2"/>
    <x v="3"/>
    <x v="0"/>
    <x v="1"/>
  </r>
  <r>
    <s v="REL01292"/>
    <s v="Female"/>
    <n v="46"/>
    <s v="Graduate"/>
    <s v="Single"/>
    <x v="6"/>
    <s v="Logistics Coordinator"/>
    <x v="0"/>
    <x v="8"/>
    <s v="South"/>
    <n v="9"/>
    <n v="69832"/>
    <x v="1"/>
    <n v="3"/>
    <n v="3"/>
    <n v="68"/>
    <n v="2"/>
    <d v="2014-09-16T00:00:00"/>
    <s v="Yes"/>
    <x v="0"/>
    <n v="1"/>
    <x v="1"/>
    <x v="1"/>
    <x v="1"/>
  </r>
  <r>
    <s v="REL01293"/>
    <s v="Female"/>
    <n v="30"/>
    <s v="Graduate"/>
    <s v="Married"/>
    <x v="1"/>
    <s v="Sales Executive"/>
    <x v="3"/>
    <x v="3"/>
    <s v="West"/>
    <n v="10"/>
    <n v="68739"/>
    <x v="3"/>
    <n v="3"/>
    <n v="1"/>
    <n v="16"/>
    <n v="3"/>
    <d v="2013-04-27T00:00:00"/>
    <s v="Yes"/>
    <x v="0"/>
    <n v="4"/>
    <x v="1"/>
    <x v="1"/>
    <x v="1"/>
  </r>
  <r>
    <s v="REL01294"/>
    <s v="Female"/>
    <n v="54"/>
    <s v="MBA"/>
    <s v="Married"/>
    <x v="1"/>
    <s v="Marketing Executive"/>
    <x v="3"/>
    <x v="4"/>
    <s v="North"/>
    <n v="14"/>
    <n v="78683"/>
    <x v="0"/>
    <n v="4"/>
    <n v="1"/>
    <n v="74"/>
    <n v="1"/>
    <d v="2009-08-15T00:00:00"/>
    <s v="No"/>
    <x v="0"/>
    <n v="3"/>
    <x v="2"/>
    <x v="0"/>
    <x v="0"/>
  </r>
  <r>
    <s v="REL01295"/>
    <s v="Male"/>
    <n v="32"/>
    <s v="Graduate"/>
    <s v="Single"/>
    <x v="1"/>
    <s v="Operations Head"/>
    <x v="1"/>
    <x v="0"/>
    <s v="North"/>
    <n v="6"/>
    <n v="111145"/>
    <x v="1"/>
    <n v="2"/>
    <n v="4"/>
    <n v="28"/>
    <n v="0"/>
    <d v="2017-01-02T00:00:00"/>
    <s v="Yes"/>
    <x v="1"/>
    <n v="1"/>
    <x v="1"/>
    <x v="1"/>
    <x v="2"/>
  </r>
  <r>
    <s v="REL01296"/>
    <s v="Male"/>
    <n v="55"/>
    <s v="MBA"/>
    <s v="Single"/>
    <x v="5"/>
    <s v="Marketing Executive"/>
    <x v="4"/>
    <x v="7"/>
    <s v="East"/>
    <n v="13"/>
    <n v="66064"/>
    <x v="0"/>
    <n v="3"/>
    <n v="4"/>
    <n v="68"/>
    <n v="1"/>
    <d v="2010-12-25T00:00:00"/>
    <s v="Yes"/>
    <x v="0"/>
    <n v="3"/>
    <x v="2"/>
    <x v="1"/>
    <x v="0"/>
  </r>
  <r>
    <s v="REL01297"/>
    <s v="Female"/>
    <n v="22"/>
    <s v="Graduate"/>
    <s v="Divorced"/>
    <x v="2"/>
    <s v="Sales Executive"/>
    <x v="1"/>
    <x v="4"/>
    <s v="North"/>
    <n v="1"/>
    <n v="35975"/>
    <x v="3"/>
    <n v="1"/>
    <n v="4"/>
    <n v="29"/>
    <n v="1"/>
    <d v="2022-11-02T00:00:00"/>
    <s v="No"/>
    <x v="2"/>
    <n v="4"/>
    <x v="3"/>
    <x v="2"/>
    <x v="1"/>
  </r>
  <r>
    <s v="REL01298"/>
    <s v="Female"/>
    <n v="41"/>
    <s v="BTech"/>
    <s v="Single"/>
    <x v="7"/>
    <s v="Finance Analyst"/>
    <x v="2"/>
    <x v="6"/>
    <s v="South"/>
    <n v="12"/>
    <n v="75465"/>
    <x v="1"/>
    <n v="4"/>
    <n v="4"/>
    <n v="43"/>
    <n v="3"/>
    <d v="2011-04-02T00:00:00"/>
    <s v="Yes"/>
    <x v="0"/>
    <n v="1"/>
    <x v="2"/>
    <x v="1"/>
    <x v="1"/>
  </r>
  <r>
    <s v="REL01299"/>
    <s v="Male"/>
    <n v="28"/>
    <s v="Post Graduate"/>
    <s v="Married"/>
    <x v="0"/>
    <s v="Operations Head"/>
    <x v="4"/>
    <x v="5"/>
    <s v="South"/>
    <n v="15"/>
    <n v="122180"/>
    <x v="3"/>
    <n v="1"/>
    <n v="1"/>
    <n v="76"/>
    <n v="0"/>
    <d v="2008-05-27T00:00:00"/>
    <s v="No"/>
    <x v="1"/>
    <n v="4"/>
    <x v="2"/>
    <x v="2"/>
    <x v="0"/>
  </r>
  <r>
    <s v="REL01300"/>
    <s v="Female"/>
    <n v="31"/>
    <s v="Graduate"/>
    <s v="Single"/>
    <x v="2"/>
    <s v="Operations Head"/>
    <x v="1"/>
    <x v="7"/>
    <s v="East"/>
    <n v="12"/>
    <n v="119804"/>
    <x v="2"/>
    <n v="3"/>
    <n v="1"/>
    <n v="18"/>
    <n v="2"/>
    <d v="2011-10-24T00:00:00"/>
    <s v="No"/>
    <x v="1"/>
    <n v="2"/>
    <x v="2"/>
    <x v="0"/>
    <x v="1"/>
  </r>
  <r>
    <s v="REL01301"/>
    <s v="Female"/>
    <n v="38"/>
    <s v="HSC"/>
    <s v="Divorced"/>
    <x v="5"/>
    <s v="Logistics Coordinator"/>
    <x v="2"/>
    <x v="5"/>
    <s v="South"/>
    <n v="7"/>
    <n v="49982"/>
    <x v="2"/>
    <n v="3"/>
    <n v="4"/>
    <n v="65"/>
    <n v="3"/>
    <d v="2016-07-22T00:00:00"/>
    <s v="No"/>
    <x v="2"/>
    <n v="2"/>
    <x v="1"/>
    <x v="0"/>
    <x v="1"/>
  </r>
  <r>
    <s v="REL01302"/>
    <s v="Male"/>
    <n v="54"/>
    <s v="Post Graduate"/>
    <s v="Single"/>
    <x v="0"/>
    <s v="HR Manager"/>
    <x v="4"/>
    <x v="6"/>
    <s v="South"/>
    <n v="9"/>
    <n v="91748"/>
    <x v="3"/>
    <n v="2"/>
    <n v="4"/>
    <n v="46"/>
    <n v="0"/>
    <d v="2014-10-24T00:00:00"/>
    <s v="Yes"/>
    <x v="1"/>
    <n v="4"/>
    <x v="1"/>
    <x v="1"/>
    <x v="0"/>
  </r>
  <r>
    <s v="REL01303"/>
    <s v="Female"/>
    <n v="42"/>
    <s v="Post Graduate"/>
    <s v="Married"/>
    <x v="6"/>
    <s v="Customer Service Rep"/>
    <x v="2"/>
    <x v="6"/>
    <s v="South"/>
    <n v="9"/>
    <n v="59410"/>
    <x v="3"/>
    <n v="2"/>
    <n v="3"/>
    <n v="34"/>
    <n v="3"/>
    <d v="2014-04-24T00:00:00"/>
    <s v="Yes"/>
    <x v="0"/>
    <n v="4"/>
    <x v="1"/>
    <x v="1"/>
    <x v="1"/>
  </r>
  <r>
    <s v="REL01304"/>
    <s v="Male"/>
    <n v="28"/>
    <s v="BTech"/>
    <s v="Single"/>
    <x v="3"/>
    <s v="Store Manager"/>
    <x v="2"/>
    <x v="8"/>
    <s v="South"/>
    <n v="8"/>
    <n v="91275"/>
    <x v="2"/>
    <n v="3"/>
    <n v="1"/>
    <n v="80"/>
    <n v="0"/>
    <d v="2015-11-20T00:00:00"/>
    <s v="No"/>
    <x v="1"/>
    <n v="2"/>
    <x v="1"/>
    <x v="0"/>
    <x v="1"/>
  </r>
  <r>
    <s v="REL01305"/>
    <s v="Male"/>
    <n v="25"/>
    <s v="MBA"/>
    <s v="Divorced"/>
    <x v="2"/>
    <s v="Store Manager"/>
    <x v="2"/>
    <x v="2"/>
    <s v="West"/>
    <n v="6"/>
    <n v="96399"/>
    <x v="2"/>
    <n v="2"/>
    <n v="2"/>
    <n v="17"/>
    <n v="2"/>
    <d v="2017-11-05T00:00:00"/>
    <s v="No"/>
    <x v="1"/>
    <n v="2"/>
    <x v="1"/>
    <x v="0"/>
    <x v="1"/>
  </r>
  <r>
    <s v="REL01306"/>
    <s v="Male"/>
    <n v="51"/>
    <s v="Graduate"/>
    <s v="Single"/>
    <x v="6"/>
    <s v="HR Manager"/>
    <x v="4"/>
    <x v="2"/>
    <s v="West"/>
    <n v="2"/>
    <n v="87401"/>
    <x v="3"/>
    <n v="1"/>
    <n v="2"/>
    <n v="35"/>
    <n v="1"/>
    <d v="2021-04-09T00:00:00"/>
    <s v="No"/>
    <x v="1"/>
    <n v="4"/>
    <x v="3"/>
    <x v="2"/>
    <x v="0"/>
  </r>
  <r>
    <s v="REL01307"/>
    <s v="Female"/>
    <n v="22"/>
    <s v="MBA"/>
    <s v="Divorced"/>
    <x v="6"/>
    <s v="HR Manager"/>
    <x v="4"/>
    <x v="4"/>
    <s v="North"/>
    <n v="2"/>
    <n v="69962"/>
    <x v="2"/>
    <n v="4"/>
    <n v="4"/>
    <n v="51"/>
    <n v="1"/>
    <d v="2021-04-04T00:00:00"/>
    <s v="No"/>
    <x v="0"/>
    <n v="2"/>
    <x v="3"/>
    <x v="0"/>
    <x v="1"/>
  </r>
  <r>
    <s v="REL01308"/>
    <s v="Female"/>
    <n v="36"/>
    <s v="HSC"/>
    <s v="Married"/>
    <x v="4"/>
    <s v="Operations Head"/>
    <x v="3"/>
    <x v="8"/>
    <s v="South"/>
    <n v="15"/>
    <n v="120823"/>
    <x v="3"/>
    <n v="1"/>
    <n v="1"/>
    <n v="21"/>
    <n v="2"/>
    <d v="2008-05-24T00:00:00"/>
    <s v="No"/>
    <x v="1"/>
    <n v="4"/>
    <x v="2"/>
    <x v="2"/>
    <x v="0"/>
  </r>
  <r>
    <s v="REL01309"/>
    <s v="Male"/>
    <n v="44"/>
    <s v="BTech"/>
    <s v="Married"/>
    <x v="0"/>
    <s v="Marketing Executive"/>
    <x v="0"/>
    <x v="5"/>
    <s v="South"/>
    <n v="12"/>
    <n v="74129"/>
    <x v="1"/>
    <n v="1"/>
    <n v="4"/>
    <n v="62"/>
    <n v="1"/>
    <d v="2011-08-25T00:00:00"/>
    <s v="Yes"/>
    <x v="0"/>
    <n v="1"/>
    <x v="2"/>
    <x v="1"/>
    <x v="1"/>
  </r>
  <r>
    <s v="REL01310"/>
    <s v="Male"/>
    <n v="54"/>
    <s v="MBA"/>
    <s v="Married"/>
    <x v="5"/>
    <s v="Finance Analyst"/>
    <x v="4"/>
    <x v="6"/>
    <s v="South"/>
    <n v="14"/>
    <n v="84005"/>
    <x v="0"/>
    <n v="4"/>
    <n v="3"/>
    <n v="61"/>
    <n v="1"/>
    <d v="2009-05-18T00:00:00"/>
    <s v="No"/>
    <x v="1"/>
    <n v="3"/>
    <x v="2"/>
    <x v="0"/>
    <x v="0"/>
  </r>
  <r>
    <s v="REL01311"/>
    <s v="Female"/>
    <n v="52"/>
    <s v="MBA"/>
    <s v="Single"/>
    <x v="4"/>
    <s v="Logistics Coordinator"/>
    <x v="4"/>
    <x v="6"/>
    <s v="South"/>
    <n v="15"/>
    <n v="82884"/>
    <x v="1"/>
    <n v="2"/>
    <n v="1"/>
    <n v="36"/>
    <n v="2"/>
    <d v="2008-08-19T00:00:00"/>
    <s v="No"/>
    <x v="1"/>
    <n v="1"/>
    <x v="2"/>
    <x v="0"/>
    <x v="2"/>
  </r>
  <r>
    <s v="REL01312"/>
    <s v="Female"/>
    <n v="31"/>
    <s v="Post Graduate"/>
    <s v="Single"/>
    <x v="0"/>
    <s v="Operations Head"/>
    <x v="3"/>
    <x v="3"/>
    <s v="West"/>
    <n v="13"/>
    <n v="127403"/>
    <x v="3"/>
    <n v="3"/>
    <n v="3"/>
    <n v="36"/>
    <n v="2"/>
    <d v="2010-05-02T00:00:00"/>
    <s v="No"/>
    <x v="1"/>
    <n v="4"/>
    <x v="2"/>
    <x v="2"/>
    <x v="0"/>
  </r>
  <r>
    <s v="REL01313"/>
    <s v="Female"/>
    <n v="38"/>
    <s v="BTech"/>
    <s v="Divorced"/>
    <x v="4"/>
    <s v="HR Manager"/>
    <x v="3"/>
    <x v="3"/>
    <s v="West"/>
    <n v="9"/>
    <n v="86619"/>
    <x v="1"/>
    <n v="3"/>
    <n v="2"/>
    <n v="55"/>
    <n v="2"/>
    <d v="2014-07-15T00:00:00"/>
    <s v="Yes"/>
    <x v="1"/>
    <n v="1"/>
    <x v="1"/>
    <x v="1"/>
    <x v="2"/>
  </r>
  <r>
    <s v="REL01314"/>
    <s v="Female"/>
    <n v="34"/>
    <s v="BTech"/>
    <s v="Divorced"/>
    <x v="3"/>
    <s v="Operations Head"/>
    <x v="4"/>
    <x v="4"/>
    <s v="North"/>
    <n v="11"/>
    <n v="116275"/>
    <x v="1"/>
    <n v="1"/>
    <n v="2"/>
    <n v="69"/>
    <n v="1"/>
    <d v="2012-11-13T00:00:00"/>
    <s v="Yes"/>
    <x v="1"/>
    <n v="1"/>
    <x v="2"/>
    <x v="1"/>
    <x v="2"/>
  </r>
  <r>
    <s v="REL01315"/>
    <s v="Male"/>
    <n v="26"/>
    <s v="BTech"/>
    <s v="Divorced"/>
    <x v="6"/>
    <s v="Customer Service Rep"/>
    <x v="2"/>
    <x v="3"/>
    <s v="West"/>
    <n v="4"/>
    <n v="52226"/>
    <x v="2"/>
    <n v="3"/>
    <n v="4"/>
    <n v="78"/>
    <n v="0"/>
    <d v="2019-04-21T00:00:00"/>
    <s v="No"/>
    <x v="0"/>
    <n v="2"/>
    <x v="0"/>
    <x v="0"/>
    <x v="1"/>
  </r>
  <r>
    <s v="REL01316"/>
    <s v="Male"/>
    <n v="32"/>
    <s v="HSC"/>
    <s v="Married"/>
    <x v="6"/>
    <s v="Sales Executive"/>
    <x v="0"/>
    <x v="2"/>
    <s v="West"/>
    <n v="6"/>
    <n v="45301"/>
    <x v="3"/>
    <n v="2"/>
    <n v="3"/>
    <n v="20"/>
    <n v="1"/>
    <d v="2017-10-01T00:00:00"/>
    <s v="Yes"/>
    <x v="2"/>
    <n v="4"/>
    <x v="1"/>
    <x v="1"/>
    <x v="1"/>
  </r>
  <r>
    <s v="REL01317"/>
    <s v="Female"/>
    <n v="31"/>
    <s v="Graduate"/>
    <s v="Divorced"/>
    <x v="0"/>
    <s v="Operations Head"/>
    <x v="4"/>
    <x v="5"/>
    <s v="South"/>
    <n v="1"/>
    <n v="104297"/>
    <x v="1"/>
    <n v="4"/>
    <n v="1"/>
    <n v="17"/>
    <n v="1"/>
    <d v="2022-09-01T00:00:00"/>
    <s v="Yes"/>
    <x v="1"/>
    <n v="1"/>
    <x v="3"/>
    <x v="1"/>
    <x v="2"/>
  </r>
  <r>
    <s v="REL01318"/>
    <s v="Male"/>
    <n v="27"/>
    <s v="Graduate"/>
    <s v="Married"/>
    <x v="0"/>
    <s v="Finance Analyst"/>
    <x v="2"/>
    <x v="6"/>
    <s v="South"/>
    <n v="10"/>
    <n v="88047"/>
    <x v="3"/>
    <n v="1"/>
    <n v="1"/>
    <n v="36"/>
    <n v="2"/>
    <d v="2013-02-19T00:00:00"/>
    <s v="No"/>
    <x v="1"/>
    <n v="4"/>
    <x v="1"/>
    <x v="2"/>
    <x v="0"/>
  </r>
  <r>
    <s v="REL01319"/>
    <s v="Female"/>
    <n v="24"/>
    <s v="Graduate"/>
    <s v="Divorced"/>
    <x v="2"/>
    <s v="Finance Analyst"/>
    <x v="2"/>
    <x v="9"/>
    <s v="West"/>
    <n v="13"/>
    <n v="79240"/>
    <x v="3"/>
    <n v="4"/>
    <n v="2"/>
    <n v="55"/>
    <n v="0"/>
    <d v="2010-05-11T00:00:00"/>
    <s v="No"/>
    <x v="0"/>
    <n v="4"/>
    <x v="2"/>
    <x v="2"/>
    <x v="1"/>
  </r>
  <r>
    <s v="REL01320"/>
    <s v="Male"/>
    <n v="29"/>
    <s v="Graduate"/>
    <s v="Single"/>
    <x v="4"/>
    <s v="Finance Analyst"/>
    <x v="4"/>
    <x v="1"/>
    <s v="North"/>
    <n v="14"/>
    <n v="95166"/>
    <x v="2"/>
    <n v="4"/>
    <n v="3"/>
    <n v="38"/>
    <n v="2"/>
    <d v="2009-07-02T00:00:00"/>
    <s v="No"/>
    <x v="1"/>
    <n v="2"/>
    <x v="2"/>
    <x v="0"/>
    <x v="1"/>
  </r>
  <r>
    <s v="REL01321"/>
    <s v="Female"/>
    <n v="55"/>
    <s v="Graduate"/>
    <s v="Married"/>
    <x v="3"/>
    <s v="HR Manager"/>
    <x v="4"/>
    <x v="1"/>
    <s v="North"/>
    <n v="8"/>
    <n v="99288"/>
    <x v="3"/>
    <n v="2"/>
    <n v="4"/>
    <n v="17"/>
    <n v="1"/>
    <d v="2015-01-22T00:00:00"/>
    <s v="No"/>
    <x v="1"/>
    <n v="4"/>
    <x v="1"/>
    <x v="2"/>
    <x v="0"/>
  </r>
  <r>
    <s v="REL01322"/>
    <s v="Female"/>
    <n v="31"/>
    <s v="Post Graduate"/>
    <s v="Single"/>
    <x v="2"/>
    <s v="Store Manager"/>
    <x v="3"/>
    <x v="9"/>
    <s v="West"/>
    <n v="7"/>
    <n v="107105"/>
    <x v="3"/>
    <n v="4"/>
    <n v="3"/>
    <n v="71"/>
    <n v="3"/>
    <d v="2016-11-07T00:00:00"/>
    <s v="No"/>
    <x v="1"/>
    <n v="4"/>
    <x v="1"/>
    <x v="2"/>
    <x v="0"/>
  </r>
  <r>
    <s v="REL01323"/>
    <s v="Male"/>
    <n v="22"/>
    <s v="Post Graduate"/>
    <s v="Married"/>
    <x v="1"/>
    <s v="Marketing Executive"/>
    <x v="3"/>
    <x v="0"/>
    <s v="North"/>
    <n v="14"/>
    <n v="69321"/>
    <x v="2"/>
    <n v="1"/>
    <n v="3"/>
    <n v="55"/>
    <n v="3"/>
    <d v="2009-06-04T00:00:00"/>
    <s v="No"/>
    <x v="0"/>
    <n v="2"/>
    <x v="2"/>
    <x v="0"/>
    <x v="1"/>
  </r>
  <r>
    <s v="REL01324"/>
    <s v="Male"/>
    <n v="47"/>
    <s v="Post Graduate"/>
    <s v="Single"/>
    <x v="0"/>
    <s v="Operations Head"/>
    <x v="4"/>
    <x v="1"/>
    <s v="North"/>
    <n v="11"/>
    <n v="116606"/>
    <x v="0"/>
    <n v="1"/>
    <n v="4"/>
    <n v="14"/>
    <n v="3"/>
    <d v="2012-10-26T00:00:00"/>
    <s v="No"/>
    <x v="1"/>
    <n v="3"/>
    <x v="2"/>
    <x v="0"/>
    <x v="0"/>
  </r>
  <r>
    <s v="REL01325"/>
    <s v="Female"/>
    <n v="23"/>
    <s v="MBA"/>
    <s v="Married"/>
    <x v="6"/>
    <s v="Finance Analyst"/>
    <x v="1"/>
    <x v="4"/>
    <s v="North"/>
    <n v="14"/>
    <n v="86505"/>
    <x v="2"/>
    <n v="3"/>
    <n v="1"/>
    <n v="65"/>
    <n v="0"/>
    <d v="2009-01-28T00:00:00"/>
    <s v="No"/>
    <x v="1"/>
    <n v="2"/>
    <x v="2"/>
    <x v="0"/>
    <x v="1"/>
  </r>
  <r>
    <s v="REL01326"/>
    <s v="Male"/>
    <n v="46"/>
    <s v="Graduate"/>
    <s v="Single"/>
    <x v="5"/>
    <s v="Store Manager"/>
    <x v="2"/>
    <x v="5"/>
    <s v="South"/>
    <n v="6"/>
    <n v="90782"/>
    <x v="3"/>
    <n v="4"/>
    <n v="1"/>
    <n v="37"/>
    <n v="1"/>
    <d v="2017-08-03T00:00:00"/>
    <s v="No"/>
    <x v="1"/>
    <n v="4"/>
    <x v="1"/>
    <x v="2"/>
    <x v="0"/>
  </r>
  <r>
    <s v="REL01327"/>
    <s v="Male"/>
    <n v="36"/>
    <s v="BTech"/>
    <s v="Single"/>
    <x v="0"/>
    <s v="HR Manager"/>
    <x v="1"/>
    <x v="7"/>
    <s v="East"/>
    <n v="15"/>
    <n v="104242"/>
    <x v="2"/>
    <n v="3"/>
    <n v="3"/>
    <n v="74"/>
    <n v="0"/>
    <d v="2008-01-11T00:00:00"/>
    <s v="No"/>
    <x v="1"/>
    <n v="2"/>
    <x v="2"/>
    <x v="0"/>
    <x v="1"/>
  </r>
  <r>
    <s v="REL01328"/>
    <s v="Male"/>
    <n v="42"/>
    <s v="Post Graduate"/>
    <s v="Single"/>
    <x v="0"/>
    <s v="Sales Executive"/>
    <x v="4"/>
    <x v="5"/>
    <s v="South"/>
    <n v="15"/>
    <n v="73929"/>
    <x v="2"/>
    <n v="2"/>
    <n v="1"/>
    <n v="57"/>
    <n v="0"/>
    <d v="2008-11-27T00:00:00"/>
    <s v="No"/>
    <x v="0"/>
    <n v="2"/>
    <x v="2"/>
    <x v="0"/>
    <x v="1"/>
  </r>
  <r>
    <s v="REL01329"/>
    <s v="Female"/>
    <n v="36"/>
    <s v="HSC"/>
    <s v="Divorced"/>
    <x v="7"/>
    <s v="Operations Head"/>
    <x v="0"/>
    <x v="2"/>
    <s v="West"/>
    <n v="12"/>
    <n v="122247"/>
    <x v="1"/>
    <n v="1"/>
    <n v="1"/>
    <n v="10"/>
    <n v="2"/>
    <d v="2011-01-28T00:00:00"/>
    <s v="Yes"/>
    <x v="1"/>
    <n v="1"/>
    <x v="2"/>
    <x v="1"/>
    <x v="2"/>
  </r>
  <r>
    <s v="REL01330"/>
    <s v="Female"/>
    <n v="29"/>
    <s v="HSC"/>
    <s v="Married"/>
    <x v="2"/>
    <s v="Operations Head"/>
    <x v="0"/>
    <x v="3"/>
    <s v="West"/>
    <n v="7"/>
    <n v="104094"/>
    <x v="1"/>
    <n v="2"/>
    <n v="3"/>
    <n v="51"/>
    <n v="0"/>
    <d v="2016-03-09T00:00:00"/>
    <s v="No"/>
    <x v="1"/>
    <n v="1"/>
    <x v="1"/>
    <x v="0"/>
    <x v="2"/>
  </r>
  <r>
    <s v="REL01331"/>
    <s v="Female"/>
    <n v="54"/>
    <s v="Graduate"/>
    <s v="Married"/>
    <x v="2"/>
    <s v="Sales Executive"/>
    <x v="3"/>
    <x v="6"/>
    <s v="South"/>
    <n v="6"/>
    <n v="46390"/>
    <x v="1"/>
    <n v="3"/>
    <n v="3"/>
    <n v="29"/>
    <n v="3"/>
    <d v="2017-06-26T00:00:00"/>
    <s v="No"/>
    <x v="2"/>
    <n v="1"/>
    <x v="1"/>
    <x v="0"/>
    <x v="1"/>
  </r>
  <r>
    <s v="REL01332"/>
    <s v="Female"/>
    <n v="49"/>
    <s v="HSC"/>
    <s v="Married"/>
    <x v="7"/>
    <s v="Logistics Coordinator"/>
    <x v="2"/>
    <x v="3"/>
    <s v="West"/>
    <n v="12"/>
    <n v="59618"/>
    <x v="0"/>
    <n v="4"/>
    <n v="4"/>
    <n v="69"/>
    <n v="1"/>
    <d v="2011-08-06T00:00:00"/>
    <s v="No"/>
    <x v="0"/>
    <n v="3"/>
    <x v="2"/>
    <x v="0"/>
    <x v="0"/>
  </r>
  <r>
    <s v="REL01333"/>
    <s v="Female"/>
    <n v="29"/>
    <s v="HSC"/>
    <s v="Married"/>
    <x v="5"/>
    <s v="Store Manager"/>
    <x v="4"/>
    <x v="3"/>
    <s v="West"/>
    <n v="2"/>
    <n v="94095"/>
    <x v="1"/>
    <n v="3"/>
    <n v="4"/>
    <n v="78"/>
    <n v="1"/>
    <d v="2021-04-20T00:00:00"/>
    <s v="Yes"/>
    <x v="1"/>
    <n v="1"/>
    <x v="3"/>
    <x v="1"/>
    <x v="2"/>
  </r>
  <r>
    <s v="REL01334"/>
    <s v="Male"/>
    <n v="33"/>
    <s v="MBA"/>
    <s v="Married"/>
    <x v="0"/>
    <s v="Customer Service Rep"/>
    <x v="2"/>
    <x v="9"/>
    <s v="West"/>
    <n v="8"/>
    <n v="51056"/>
    <x v="3"/>
    <n v="1"/>
    <n v="3"/>
    <n v="74"/>
    <n v="2"/>
    <d v="2015-04-07T00:00:00"/>
    <s v="No"/>
    <x v="0"/>
    <n v="4"/>
    <x v="1"/>
    <x v="2"/>
    <x v="1"/>
  </r>
  <r>
    <s v="REL01335"/>
    <s v="Female"/>
    <n v="31"/>
    <s v="MBA"/>
    <s v="Single"/>
    <x v="3"/>
    <s v="HR Manager"/>
    <x v="3"/>
    <x v="9"/>
    <s v="West"/>
    <n v="3"/>
    <n v="81889"/>
    <x v="3"/>
    <n v="3"/>
    <n v="1"/>
    <n v="67"/>
    <n v="3"/>
    <d v="2020-06-14T00:00:00"/>
    <s v="No"/>
    <x v="1"/>
    <n v="4"/>
    <x v="0"/>
    <x v="2"/>
    <x v="0"/>
  </r>
  <r>
    <s v="REL01336"/>
    <s v="Male"/>
    <n v="35"/>
    <s v="HSC"/>
    <s v="Single"/>
    <x v="4"/>
    <s v="Logistics Coordinator"/>
    <x v="2"/>
    <x v="2"/>
    <s v="West"/>
    <n v="8"/>
    <n v="57778"/>
    <x v="3"/>
    <n v="4"/>
    <n v="4"/>
    <n v="63"/>
    <n v="1"/>
    <d v="2015-05-04T00:00:00"/>
    <s v="No"/>
    <x v="0"/>
    <n v="4"/>
    <x v="1"/>
    <x v="2"/>
    <x v="1"/>
  </r>
  <r>
    <s v="REL01337"/>
    <s v="Male"/>
    <n v="38"/>
    <s v="BTech"/>
    <s v="Divorced"/>
    <x v="3"/>
    <s v="Finance Analyst"/>
    <x v="2"/>
    <x v="7"/>
    <s v="East"/>
    <n v="12"/>
    <n v="93902"/>
    <x v="1"/>
    <n v="4"/>
    <n v="2"/>
    <n v="32"/>
    <n v="0"/>
    <d v="2011-01-26T00:00:00"/>
    <s v="Yes"/>
    <x v="1"/>
    <n v="1"/>
    <x v="2"/>
    <x v="1"/>
    <x v="2"/>
  </r>
  <r>
    <s v="REL01338"/>
    <s v="Male"/>
    <n v="52"/>
    <s v="Post Graduate"/>
    <s v="Divorced"/>
    <x v="5"/>
    <s v="Customer Service Rep"/>
    <x v="2"/>
    <x v="7"/>
    <s v="East"/>
    <n v="1"/>
    <n v="27832"/>
    <x v="2"/>
    <n v="4"/>
    <n v="1"/>
    <n v="51"/>
    <n v="3"/>
    <d v="2022-02-26T00:00:00"/>
    <s v="No"/>
    <x v="3"/>
    <n v="2"/>
    <x v="3"/>
    <x v="0"/>
    <x v="1"/>
  </r>
  <r>
    <s v="REL01339"/>
    <s v="Female"/>
    <n v="54"/>
    <s v="BTech"/>
    <s v="Married"/>
    <x v="4"/>
    <s v="Customer Service Rep"/>
    <x v="4"/>
    <x v="2"/>
    <s v="West"/>
    <n v="4"/>
    <n v="46483"/>
    <x v="2"/>
    <n v="4"/>
    <n v="3"/>
    <n v="54"/>
    <n v="2"/>
    <d v="2019-12-04T00:00:00"/>
    <s v="No"/>
    <x v="2"/>
    <n v="2"/>
    <x v="0"/>
    <x v="0"/>
    <x v="1"/>
  </r>
  <r>
    <s v="REL01340"/>
    <s v="Male"/>
    <n v="47"/>
    <s v="Post Graduate"/>
    <s v="Married"/>
    <x v="6"/>
    <s v="Operations Head"/>
    <x v="4"/>
    <x v="6"/>
    <s v="South"/>
    <n v="4"/>
    <n v="97822"/>
    <x v="3"/>
    <n v="2"/>
    <n v="2"/>
    <n v="17"/>
    <n v="1"/>
    <d v="2019-05-03T00:00:00"/>
    <s v="No"/>
    <x v="1"/>
    <n v="4"/>
    <x v="0"/>
    <x v="2"/>
    <x v="0"/>
  </r>
  <r>
    <s v="REL01341"/>
    <s v="Female"/>
    <n v="49"/>
    <s v="BTech"/>
    <s v="Single"/>
    <x v="3"/>
    <s v="Sales Executive"/>
    <x v="3"/>
    <x v="6"/>
    <s v="South"/>
    <n v="2"/>
    <n v="49230"/>
    <x v="3"/>
    <n v="4"/>
    <n v="1"/>
    <n v="64"/>
    <n v="1"/>
    <d v="2021-02-02T00:00:00"/>
    <s v="No"/>
    <x v="2"/>
    <n v="4"/>
    <x v="3"/>
    <x v="2"/>
    <x v="1"/>
  </r>
  <r>
    <s v="REL01342"/>
    <s v="Male"/>
    <n v="24"/>
    <s v="HSC"/>
    <s v="Single"/>
    <x v="4"/>
    <s v="Operations Head"/>
    <x v="2"/>
    <x v="3"/>
    <s v="West"/>
    <n v="2"/>
    <n v="97788"/>
    <x v="2"/>
    <n v="1"/>
    <n v="4"/>
    <n v="11"/>
    <n v="1"/>
    <d v="2021-06-09T00:00:00"/>
    <s v="No"/>
    <x v="1"/>
    <n v="2"/>
    <x v="3"/>
    <x v="0"/>
    <x v="1"/>
  </r>
  <r>
    <s v="REL01343"/>
    <s v="Male"/>
    <n v="28"/>
    <s v="HSC"/>
    <s v="Single"/>
    <x v="3"/>
    <s v="HR Manager"/>
    <x v="2"/>
    <x v="4"/>
    <s v="North"/>
    <n v="15"/>
    <n v="108540"/>
    <x v="3"/>
    <n v="4"/>
    <n v="3"/>
    <n v="73"/>
    <n v="0"/>
    <d v="2008-03-29T00:00:00"/>
    <s v="No"/>
    <x v="1"/>
    <n v="4"/>
    <x v="2"/>
    <x v="2"/>
    <x v="0"/>
  </r>
  <r>
    <s v="REL01344"/>
    <s v="Male"/>
    <n v="27"/>
    <s v="MBA"/>
    <s v="Single"/>
    <x v="6"/>
    <s v="Sales Executive"/>
    <x v="1"/>
    <x v="3"/>
    <s v="West"/>
    <n v="14"/>
    <n v="72764"/>
    <x v="3"/>
    <n v="4"/>
    <n v="1"/>
    <n v="53"/>
    <n v="0"/>
    <d v="2009-12-26T00:00:00"/>
    <s v="No"/>
    <x v="0"/>
    <n v="4"/>
    <x v="2"/>
    <x v="2"/>
    <x v="1"/>
  </r>
  <r>
    <s v="REL01345"/>
    <s v="Female"/>
    <n v="39"/>
    <s v="MBA"/>
    <s v="Divorced"/>
    <x v="4"/>
    <s v="HR Manager"/>
    <x v="1"/>
    <x v="3"/>
    <s v="West"/>
    <n v="4"/>
    <n v="86541"/>
    <x v="0"/>
    <n v="2"/>
    <n v="1"/>
    <n v="66"/>
    <n v="1"/>
    <d v="2019-10-01T00:00:00"/>
    <s v="No"/>
    <x v="1"/>
    <n v="3"/>
    <x v="0"/>
    <x v="0"/>
    <x v="0"/>
  </r>
  <r>
    <s v="REL01346"/>
    <s v="Female"/>
    <n v="42"/>
    <s v="HSC"/>
    <s v="Single"/>
    <x v="4"/>
    <s v="Store Manager"/>
    <x v="3"/>
    <x v="4"/>
    <s v="North"/>
    <n v="4"/>
    <n v="100692"/>
    <x v="1"/>
    <n v="2"/>
    <n v="3"/>
    <n v="80"/>
    <n v="2"/>
    <d v="2019-12-17T00:00:00"/>
    <s v="No"/>
    <x v="1"/>
    <n v="1"/>
    <x v="0"/>
    <x v="0"/>
    <x v="2"/>
  </r>
  <r>
    <s v="REL01347"/>
    <s v="Male"/>
    <n v="32"/>
    <s v="BTech"/>
    <s v="Single"/>
    <x v="1"/>
    <s v="Finance Analyst"/>
    <x v="1"/>
    <x v="0"/>
    <s v="North"/>
    <n v="3"/>
    <n v="61177"/>
    <x v="0"/>
    <n v="4"/>
    <n v="2"/>
    <n v="54"/>
    <n v="0"/>
    <d v="2020-10-01T00:00:00"/>
    <s v="No"/>
    <x v="0"/>
    <n v="3"/>
    <x v="0"/>
    <x v="0"/>
    <x v="0"/>
  </r>
  <r>
    <s v="REL01348"/>
    <s v="Female"/>
    <n v="32"/>
    <s v="MBA"/>
    <s v="Single"/>
    <x v="6"/>
    <s v="Logistics Coordinator"/>
    <x v="4"/>
    <x v="8"/>
    <s v="South"/>
    <n v="14"/>
    <n v="76755"/>
    <x v="0"/>
    <n v="3"/>
    <n v="3"/>
    <n v="36"/>
    <n v="3"/>
    <d v="2009-06-16T00:00:00"/>
    <s v="No"/>
    <x v="0"/>
    <n v="3"/>
    <x v="2"/>
    <x v="0"/>
    <x v="0"/>
  </r>
  <r>
    <s v="REL01349"/>
    <s v="Male"/>
    <n v="48"/>
    <s v="MBA"/>
    <s v="Married"/>
    <x v="5"/>
    <s v="Store Manager"/>
    <x v="4"/>
    <x v="8"/>
    <s v="South"/>
    <n v="12"/>
    <n v="115569"/>
    <x v="1"/>
    <n v="4"/>
    <n v="1"/>
    <n v="31"/>
    <n v="0"/>
    <d v="2011-08-03T00:00:00"/>
    <s v="Yes"/>
    <x v="1"/>
    <n v="1"/>
    <x v="2"/>
    <x v="1"/>
    <x v="2"/>
  </r>
  <r>
    <s v="REL01350"/>
    <s v="Female"/>
    <n v="41"/>
    <s v="Post Graduate"/>
    <s v="Divorced"/>
    <x v="0"/>
    <s v="Store Manager"/>
    <x v="4"/>
    <x v="1"/>
    <s v="North"/>
    <n v="10"/>
    <n v="100436"/>
    <x v="0"/>
    <n v="1"/>
    <n v="3"/>
    <n v="43"/>
    <n v="0"/>
    <d v="2013-11-25T00:00:00"/>
    <s v="No"/>
    <x v="1"/>
    <n v="3"/>
    <x v="1"/>
    <x v="0"/>
    <x v="0"/>
  </r>
  <r>
    <s v="REL01351"/>
    <s v="Male"/>
    <n v="32"/>
    <s v="Post Graduate"/>
    <s v="Married"/>
    <x v="1"/>
    <s v="Marketing Executive"/>
    <x v="2"/>
    <x v="4"/>
    <s v="North"/>
    <n v="6"/>
    <n v="60102"/>
    <x v="0"/>
    <n v="1"/>
    <n v="1"/>
    <n v="29"/>
    <n v="2"/>
    <d v="2017-10-06T00:00:00"/>
    <s v="No"/>
    <x v="0"/>
    <n v="3"/>
    <x v="1"/>
    <x v="0"/>
    <x v="0"/>
  </r>
  <r>
    <s v="REL01352"/>
    <s v="Male"/>
    <n v="36"/>
    <s v="MBA"/>
    <s v="Divorced"/>
    <x v="5"/>
    <s v="Marketing Executive"/>
    <x v="4"/>
    <x v="7"/>
    <s v="East"/>
    <n v="10"/>
    <n v="71063"/>
    <x v="3"/>
    <n v="3"/>
    <n v="2"/>
    <n v="34"/>
    <n v="1"/>
    <d v="2013-07-19T00:00:00"/>
    <s v="No"/>
    <x v="0"/>
    <n v="4"/>
    <x v="1"/>
    <x v="2"/>
    <x v="1"/>
  </r>
  <r>
    <s v="REL01353"/>
    <s v="Male"/>
    <n v="23"/>
    <s v="HSC"/>
    <s v="Divorced"/>
    <x v="3"/>
    <s v="HR Manager"/>
    <x v="0"/>
    <x v="5"/>
    <s v="South"/>
    <n v="7"/>
    <n v="98401"/>
    <x v="0"/>
    <n v="2"/>
    <n v="1"/>
    <n v="26"/>
    <n v="2"/>
    <d v="2016-10-27T00:00:00"/>
    <s v="No"/>
    <x v="1"/>
    <n v="3"/>
    <x v="1"/>
    <x v="0"/>
    <x v="0"/>
  </r>
  <r>
    <s v="REL01354"/>
    <s v="Male"/>
    <n v="25"/>
    <s v="Graduate"/>
    <s v="Single"/>
    <x v="2"/>
    <s v="Customer Service Rep"/>
    <x v="2"/>
    <x v="8"/>
    <s v="South"/>
    <n v="8"/>
    <n v="60609"/>
    <x v="3"/>
    <n v="2"/>
    <n v="4"/>
    <n v="61"/>
    <n v="1"/>
    <d v="2015-07-27T00:00:00"/>
    <s v="No"/>
    <x v="0"/>
    <n v="4"/>
    <x v="1"/>
    <x v="2"/>
    <x v="1"/>
  </r>
  <r>
    <s v="REL01355"/>
    <s v="Male"/>
    <n v="46"/>
    <s v="Post Graduate"/>
    <s v="Divorced"/>
    <x v="7"/>
    <s v="Customer Service Rep"/>
    <x v="3"/>
    <x v="0"/>
    <s v="North"/>
    <n v="10"/>
    <n v="54104"/>
    <x v="2"/>
    <n v="3"/>
    <n v="1"/>
    <n v="36"/>
    <n v="3"/>
    <d v="2013-12-01T00:00:00"/>
    <s v="No"/>
    <x v="0"/>
    <n v="2"/>
    <x v="1"/>
    <x v="0"/>
    <x v="1"/>
  </r>
  <r>
    <s v="REL01356"/>
    <s v="Male"/>
    <n v="28"/>
    <s v="MBA"/>
    <s v="Married"/>
    <x v="2"/>
    <s v="Logistics Coordinator"/>
    <x v="1"/>
    <x v="7"/>
    <s v="East"/>
    <n v="3"/>
    <n v="55625"/>
    <x v="0"/>
    <n v="2"/>
    <n v="4"/>
    <n v="26"/>
    <n v="3"/>
    <d v="2020-01-08T00:00:00"/>
    <s v="Yes"/>
    <x v="0"/>
    <n v="3"/>
    <x v="0"/>
    <x v="1"/>
    <x v="0"/>
  </r>
  <r>
    <s v="REL01357"/>
    <s v="Male"/>
    <n v="23"/>
    <s v="BTech"/>
    <s v="Married"/>
    <x v="7"/>
    <s v="Logistics Coordinator"/>
    <x v="0"/>
    <x v="8"/>
    <s v="South"/>
    <n v="11"/>
    <n v="65253"/>
    <x v="0"/>
    <n v="1"/>
    <n v="4"/>
    <n v="39"/>
    <n v="0"/>
    <d v="2012-11-12T00:00:00"/>
    <s v="No"/>
    <x v="0"/>
    <n v="3"/>
    <x v="2"/>
    <x v="0"/>
    <x v="0"/>
  </r>
  <r>
    <s v="REL01358"/>
    <s v="Male"/>
    <n v="28"/>
    <s v="Graduate"/>
    <s v="Married"/>
    <x v="3"/>
    <s v="HR Manager"/>
    <x v="1"/>
    <x v="3"/>
    <s v="West"/>
    <n v="6"/>
    <n v="85863"/>
    <x v="2"/>
    <n v="2"/>
    <n v="3"/>
    <n v="55"/>
    <n v="0"/>
    <d v="2017-09-27T00:00:00"/>
    <s v="Yes"/>
    <x v="1"/>
    <n v="2"/>
    <x v="1"/>
    <x v="1"/>
    <x v="1"/>
  </r>
  <r>
    <s v="REL01359"/>
    <s v="Male"/>
    <n v="41"/>
    <s v="Post Graduate"/>
    <s v="Divorced"/>
    <x v="2"/>
    <s v="HR Manager"/>
    <x v="0"/>
    <x v="7"/>
    <s v="East"/>
    <n v="12"/>
    <n v="92288"/>
    <x v="0"/>
    <n v="1"/>
    <n v="4"/>
    <n v="72"/>
    <n v="3"/>
    <d v="2011-02-11T00:00:00"/>
    <s v="No"/>
    <x v="1"/>
    <n v="3"/>
    <x v="2"/>
    <x v="0"/>
    <x v="0"/>
  </r>
  <r>
    <s v="REL01360"/>
    <s v="Male"/>
    <n v="38"/>
    <s v="HSC"/>
    <s v="Divorced"/>
    <x v="4"/>
    <s v="Operations Head"/>
    <x v="3"/>
    <x v="6"/>
    <s v="South"/>
    <n v="6"/>
    <n v="101302"/>
    <x v="0"/>
    <n v="1"/>
    <n v="2"/>
    <n v="10"/>
    <n v="2"/>
    <d v="2017-11-16T00:00:00"/>
    <s v="No"/>
    <x v="1"/>
    <n v="3"/>
    <x v="1"/>
    <x v="0"/>
    <x v="0"/>
  </r>
  <r>
    <s v="REL01361"/>
    <s v="Male"/>
    <n v="37"/>
    <s v="Post Graduate"/>
    <s v="Divorced"/>
    <x v="7"/>
    <s v="Finance Analyst"/>
    <x v="3"/>
    <x v="1"/>
    <s v="North"/>
    <n v="7"/>
    <n v="76524"/>
    <x v="3"/>
    <n v="4"/>
    <n v="3"/>
    <n v="22"/>
    <n v="2"/>
    <d v="2016-09-23T00:00:00"/>
    <s v="No"/>
    <x v="0"/>
    <n v="4"/>
    <x v="1"/>
    <x v="2"/>
    <x v="1"/>
  </r>
  <r>
    <s v="REL01362"/>
    <s v="Female"/>
    <n v="54"/>
    <s v="HSC"/>
    <s v="Divorced"/>
    <x v="0"/>
    <s v="Operations Head"/>
    <x v="2"/>
    <x v="4"/>
    <s v="North"/>
    <n v="8"/>
    <n v="115198"/>
    <x v="2"/>
    <n v="2"/>
    <n v="2"/>
    <n v="51"/>
    <n v="3"/>
    <d v="2015-12-05T00:00:00"/>
    <s v="No"/>
    <x v="1"/>
    <n v="2"/>
    <x v="1"/>
    <x v="0"/>
    <x v="1"/>
  </r>
  <r>
    <s v="REL01363"/>
    <s v="Male"/>
    <n v="45"/>
    <s v="HSC"/>
    <s v="Single"/>
    <x v="3"/>
    <s v="Operations Head"/>
    <x v="3"/>
    <x v="9"/>
    <s v="West"/>
    <n v="1"/>
    <n v="100038"/>
    <x v="0"/>
    <n v="3"/>
    <n v="3"/>
    <n v="20"/>
    <n v="3"/>
    <d v="2022-10-29T00:00:00"/>
    <s v="No"/>
    <x v="1"/>
    <n v="3"/>
    <x v="3"/>
    <x v="0"/>
    <x v="0"/>
  </r>
  <r>
    <s v="REL01364"/>
    <s v="Male"/>
    <n v="44"/>
    <s v="MBA"/>
    <s v="Single"/>
    <x v="3"/>
    <s v="Customer Service Rep"/>
    <x v="2"/>
    <x v="6"/>
    <s v="South"/>
    <n v="14"/>
    <n v="53282"/>
    <x v="0"/>
    <n v="3"/>
    <n v="4"/>
    <n v="32"/>
    <n v="3"/>
    <d v="2009-04-06T00:00:00"/>
    <s v="Yes"/>
    <x v="0"/>
    <n v="3"/>
    <x v="2"/>
    <x v="1"/>
    <x v="0"/>
  </r>
  <r>
    <s v="REL01365"/>
    <s v="Male"/>
    <n v="40"/>
    <s v="BTech"/>
    <s v="Divorced"/>
    <x v="4"/>
    <s v="HR Manager"/>
    <x v="2"/>
    <x v="5"/>
    <s v="South"/>
    <n v="2"/>
    <n v="74325"/>
    <x v="3"/>
    <n v="2"/>
    <n v="1"/>
    <n v="11"/>
    <n v="3"/>
    <d v="2021-08-14T00:00:00"/>
    <s v="No"/>
    <x v="0"/>
    <n v="4"/>
    <x v="3"/>
    <x v="2"/>
    <x v="1"/>
  </r>
  <r>
    <s v="REL01366"/>
    <s v="Female"/>
    <n v="25"/>
    <s v="BTech"/>
    <s v="Married"/>
    <x v="3"/>
    <s v="Logistics Coordinator"/>
    <x v="3"/>
    <x v="2"/>
    <s v="West"/>
    <n v="3"/>
    <n v="54058"/>
    <x v="3"/>
    <n v="4"/>
    <n v="2"/>
    <n v="33"/>
    <n v="0"/>
    <d v="2020-08-20T00:00:00"/>
    <s v="Yes"/>
    <x v="0"/>
    <n v="4"/>
    <x v="0"/>
    <x v="1"/>
    <x v="1"/>
  </r>
  <r>
    <s v="REL01367"/>
    <s v="Male"/>
    <n v="37"/>
    <s v="HSC"/>
    <s v="Single"/>
    <x v="4"/>
    <s v="Marketing Executive"/>
    <x v="4"/>
    <x v="9"/>
    <s v="West"/>
    <n v="12"/>
    <n v="66453"/>
    <x v="3"/>
    <n v="2"/>
    <n v="2"/>
    <n v="30"/>
    <n v="2"/>
    <d v="2011-11-22T00:00:00"/>
    <s v="Yes"/>
    <x v="0"/>
    <n v="4"/>
    <x v="2"/>
    <x v="1"/>
    <x v="1"/>
  </r>
  <r>
    <s v="REL01368"/>
    <s v="Male"/>
    <n v="51"/>
    <s v="MBA"/>
    <s v="Divorced"/>
    <x v="2"/>
    <s v="Store Manager"/>
    <x v="4"/>
    <x v="9"/>
    <s v="West"/>
    <n v="7"/>
    <n v="90532"/>
    <x v="0"/>
    <n v="1"/>
    <n v="3"/>
    <n v="61"/>
    <n v="2"/>
    <d v="2016-12-23T00:00:00"/>
    <s v="No"/>
    <x v="1"/>
    <n v="3"/>
    <x v="1"/>
    <x v="0"/>
    <x v="0"/>
  </r>
  <r>
    <s v="REL01369"/>
    <s v="Male"/>
    <n v="55"/>
    <s v="HSC"/>
    <s v="Single"/>
    <x v="2"/>
    <s v="Logistics Coordinator"/>
    <x v="3"/>
    <x v="2"/>
    <s v="West"/>
    <n v="8"/>
    <n v="55253"/>
    <x v="3"/>
    <n v="1"/>
    <n v="3"/>
    <n v="39"/>
    <n v="3"/>
    <d v="2015-08-12T00:00:00"/>
    <s v="No"/>
    <x v="0"/>
    <n v="4"/>
    <x v="1"/>
    <x v="2"/>
    <x v="1"/>
  </r>
  <r>
    <s v="REL01370"/>
    <s v="Male"/>
    <n v="35"/>
    <s v="Post Graduate"/>
    <s v="Married"/>
    <x v="1"/>
    <s v="Finance Analyst"/>
    <x v="0"/>
    <x v="6"/>
    <s v="South"/>
    <n v="2"/>
    <n v="67946"/>
    <x v="1"/>
    <n v="1"/>
    <n v="1"/>
    <n v="43"/>
    <n v="2"/>
    <d v="2021-01-22T00:00:00"/>
    <s v="Yes"/>
    <x v="0"/>
    <n v="1"/>
    <x v="3"/>
    <x v="1"/>
    <x v="1"/>
  </r>
  <r>
    <s v="REL01371"/>
    <s v="Female"/>
    <n v="29"/>
    <s v="Post Graduate"/>
    <s v="Married"/>
    <x v="6"/>
    <s v="Sales Executive"/>
    <x v="0"/>
    <x v="0"/>
    <s v="North"/>
    <n v="4"/>
    <n v="50749"/>
    <x v="0"/>
    <n v="2"/>
    <n v="4"/>
    <n v="70"/>
    <n v="3"/>
    <d v="2019-08-14T00:00:00"/>
    <s v="No"/>
    <x v="0"/>
    <n v="3"/>
    <x v="0"/>
    <x v="0"/>
    <x v="0"/>
  </r>
  <r>
    <s v="REL01372"/>
    <s v="Female"/>
    <n v="33"/>
    <s v="BTech"/>
    <s v="Single"/>
    <x v="5"/>
    <s v="Store Manager"/>
    <x v="3"/>
    <x v="1"/>
    <s v="North"/>
    <n v="15"/>
    <n v="118827"/>
    <x v="1"/>
    <n v="3"/>
    <n v="4"/>
    <n v="18"/>
    <n v="3"/>
    <d v="2008-03-01T00:00:00"/>
    <s v="Yes"/>
    <x v="1"/>
    <n v="1"/>
    <x v="2"/>
    <x v="1"/>
    <x v="2"/>
  </r>
  <r>
    <s v="REL01373"/>
    <s v="Male"/>
    <n v="33"/>
    <s v="HSC"/>
    <s v="Divorced"/>
    <x v="5"/>
    <s v="Sales Executive"/>
    <x v="4"/>
    <x v="7"/>
    <s v="East"/>
    <n v="1"/>
    <n v="48200"/>
    <x v="1"/>
    <n v="2"/>
    <n v="1"/>
    <n v="31"/>
    <n v="2"/>
    <d v="2022-03-18T00:00:00"/>
    <s v="No"/>
    <x v="2"/>
    <n v="1"/>
    <x v="3"/>
    <x v="3"/>
    <x v="1"/>
  </r>
  <r>
    <s v="REL01374"/>
    <s v="Male"/>
    <n v="39"/>
    <s v="HSC"/>
    <s v="Married"/>
    <x v="1"/>
    <s v="Operations Head"/>
    <x v="3"/>
    <x v="1"/>
    <s v="North"/>
    <n v="5"/>
    <n v="97548"/>
    <x v="2"/>
    <n v="3"/>
    <n v="2"/>
    <n v="74"/>
    <n v="3"/>
    <d v="2018-10-08T00:00:00"/>
    <s v="No"/>
    <x v="1"/>
    <n v="2"/>
    <x v="0"/>
    <x v="0"/>
    <x v="1"/>
  </r>
  <r>
    <s v="REL01375"/>
    <s v="Male"/>
    <n v="46"/>
    <s v="Post Graduate"/>
    <s v="Married"/>
    <x v="4"/>
    <s v="Customer Service Rep"/>
    <x v="3"/>
    <x v="4"/>
    <s v="North"/>
    <n v="3"/>
    <n v="40614"/>
    <x v="3"/>
    <n v="1"/>
    <n v="3"/>
    <n v="69"/>
    <n v="1"/>
    <d v="2020-06-26T00:00:00"/>
    <s v="No"/>
    <x v="2"/>
    <n v="4"/>
    <x v="0"/>
    <x v="2"/>
    <x v="1"/>
  </r>
  <r>
    <s v="REL01376"/>
    <s v="Male"/>
    <n v="54"/>
    <s v="HSC"/>
    <s v="Divorced"/>
    <x v="6"/>
    <s v="Store Manager"/>
    <x v="0"/>
    <x v="5"/>
    <s v="South"/>
    <n v="11"/>
    <n v="97105"/>
    <x v="3"/>
    <n v="3"/>
    <n v="4"/>
    <n v="44"/>
    <n v="1"/>
    <d v="2012-07-14T00:00:00"/>
    <s v="No"/>
    <x v="1"/>
    <n v="4"/>
    <x v="2"/>
    <x v="2"/>
    <x v="0"/>
  </r>
  <r>
    <s v="REL01377"/>
    <s v="Female"/>
    <n v="26"/>
    <s v="HSC"/>
    <s v="Divorced"/>
    <x v="6"/>
    <s v="Store Manager"/>
    <x v="0"/>
    <x v="0"/>
    <s v="North"/>
    <n v="6"/>
    <n v="88065"/>
    <x v="0"/>
    <n v="4"/>
    <n v="1"/>
    <n v="49"/>
    <n v="3"/>
    <d v="2017-09-12T00:00:00"/>
    <s v="No"/>
    <x v="1"/>
    <n v="3"/>
    <x v="1"/>
    <x v="0"/>
    <x v="0"/>
  </r>
  <r>
    <s v="REL01378"/>
    <s v="Male"/>
    <n v="47"/>
    <s v="MBA"/>
    <s v="Single"/>
    <x v="2"/>
    <s v="Operations Head"/>
    <x v="0"/>
    <x v="2"/>
    <s v="West"/>
    <n v="8"/>
    <n v="110037"/>
    <x v="0"/>
    <n v="4"/>
    <n v="3"/>
    <n v="63"/>
    <n v="2"/>
    <d v="2015-05-14T00:00:00"/>
    <s v="No"/>
    <x v="1"/>
    <n v="3"/>
    <x v="1"/>
    <x v="0"/>
    <x v="0"/>
  </r>
  <r>
    <s v="REL01379"/>
    <s v="Female"/>
    <n v="27"/>
    <s v="BTech"/>
    <s v="Married"/>
    <x v="7"/>
    <s v="Marketing Executive"/>
    <x v="2"/>
    <x v="2"/>
    <s v="West"/>
    <n v="13"/>
    <n v="79242"/>
    <x v="1"/>
    <n v="1"/>
    <n v="1"/>
    <n v="29"/>
    <n v="3"/>
    <d v="2010-06-30T00:00:00"/>
    <s v="Yes"/>
    <x v="0"/>
    <n v="1"/>
    <x v="2"/>
    <x v="1"/>
    <x v="1"/>
  </r>
  <r>
    <s v="REL01380"/>
    <s v="Female"/>
    <n v="46"/>
    <s v="Graduate"/>
    <s v="Married"/>
    <x v="3"/>
    <s v="Operations Head"/>
    <x v="1"/>
    <x v="9"/>
    <s v="West"/>
    <n v="1"/>
    <n v="97961"/>
    <x v="3"/>
    <n v="2"/>
    <n v="3"/>
    <n v="62"/>
    <n v="3"/>
    <d v="2022-01-09T00:00:00"/>
    <s v="Yes"/>
    <x v="1"/>
    <n v="4"/>
    <x v="3"/>
    <x v="1"/>
    <x v="0"/>
  </r>
  <r>
    <s v="REL01381"/>
    <s v="Male"/>
    <n v="35"/>
    <s v="Graduate"/>
    <s v="Married"/>
    <x v="5"/>
    <s v="Marketing Executive"/>
    <x v="4"/>
    <x v="3"/>
    <s v="West"/>
    <n v="12"/>
    <n v="78555"/>
    <x v="0"/>
    <n v="4"/>
    <n v="4"/>
    <n v="37"/>
    <n v="0"/>
    <d v="2011-06-01T00:00:00"/>
    <s v="No"/>
    <x v="0"/>
    <n v="3"/>
    <x v="2"/>
    <x v="0"/>
    <x v="0"/>
  </r>
  <r>
    <s v="REL01382"/>
    <s v="Female"/>
    <n v="27"/>
    <s v="BTech"/>
    <s v="Single"/>
    <x v="7"/>
    <s v="HR Manager"/>
    <x v="4"/>
    <x v="2"/>
    <s v="West"/>
    <n v="3"/>
    <n v="84783"/>
    <x v="0"/>
    <n v="4"/>
    <n v="4"/>
    <n v="52"/>
    <n v="1"/>
    <d v="2020-05-03T00:00:00"/>
    <s v="No"/>
    <x v="1"/>
    <n v="3"/>
    <x v="0"/>
    <x v="0"/>
    <x v="0"/>
  </r>
  <r>
    <s v="REL01383"/>
    <s v="Male"/>
    <n v="41"/>
    <s v="Post Graduate"/>
    <s v="Divorced"/>
    <x v="5"/>
    <s v="Finance Analyst"/>
    <x v="1"/>
    <x v="1"/>
    <s v="North"/>
    <n v="7"/>
    <n v="70725"/>
    <x v="3"/>
    <n v="4"/>
    <n v="4"/>
    <n v="13"/>
    <n v="2"/>
    <d v="2016-06-04T00:00:00"/>
    <s v="No"/>
    <x v="0"/>
    <n v="4"/>
    <x v="1"/>
    <x v="2"/>
    <x v="1"/>
  </r>
  <r>
    <s v="REL01384"/>
    <s v="Female"/>
    <n v="26"/>
    <s v="BTech"/>
    <s v="Married"/>
    <x v="0"/>
    <s v="Sales Executive"/>
    <x v="0"/>
    <x v="7"/>
    <s v="East"/>
    <n v="3"/>
    <n v="50922"/>
    <x v="0"/>
    <n v="4"/>
    <n v="1"/>
    <n v="62"/>
    <n v="3"/>
    <d v="2020-08-20T00:00:00"/>
    <s v="Yes"/>
    <x v="0"/>
    <n v="3"/>
    <x v="0"/>
    <x v="1"/>
    <x v="0"/>
  </r>
  <r>
    <s v="REL01385"/>
    <s v="Male"/>
    <n v="33"/>
    <s v="BTech"/>
    <s v="Divorced"/>
    <x v="3"/>
    <s v="HR Manager"/>
    <x v="4"/>
    <x v="5"/>
    <s v="South"/>
    <n v="7"/>
    <n v="97935"/>
    <x v="3"/>
    <n v="1"/>
    <n v="2"/>
    <n v="72"/>
    <n v="0"/>
    <d v="2016-05-05T00:00:00"/>
    <s v="Yes"/>
    <x v="1"/>
    <n v="4"/>
    <x v="1"/>
    <x v="1"/>
    <x v="0"/>
  </r>
  <r>
    <s v="REL01386"/>
    <s v="Female"/>
    <n v="22"/>
    <s v="BTech"/>
    <s v="Married"/>
    <x v="3"/>
    <s v="Marketing Executive"/>
    <x v="3"/>
    <x v="1"/>
    <s v="North"/>
    <n v="15"/>
    <n v="77647"/>
    <x v="2"/>
    <n v="3"/>
    <n v="3"/>
    <n v="31"/>
    <n v="3"/>
    <d v="2008-11-19T00:00:00"/>
    <s v="No"/>
    <x v="0"/>
    <n v="2"/>
    <x v="2"/>
    <x v="0"/>
    <x v="1"/>
  </r>
  <r>
    <s v="REL01387"/>
    <s v="Female"/>
    <n v="23"/>
    <s v="Graduate"/>
    <s v="Married"/>
    <x v="4"/>
    <s v="Marketing Executive"/>
    <x v="2"/>
    <x v="4"/>
    <s v="North"/>
    <n v="4"/>
    <n v="50854"/>
    <x v="3"/>
    <n v="3"/>
    <n v="4"/>
    <n v="67"/>
    <n v="0"/>
    <d v="2019-07-19T00:00:00"/>
    <s v="No"/>
    <x v="0"/>
    <n v="4"/>
    <x v="0"/>
    <x v="2"/>
    <x v="1"/>
  </r>
  <r>
    <s v="REL01388"/>
    <s v="Female"/>
    <n v="55"/>
    <s v="Post Graduate"/>
    <s v="Married"/>
    <x v="3"/>
    <s v="Finance Analyst"/>
    <x v="4"/>
    <x v="2"/>
    <s v="West"/>
    <n v="14"/>
    <n v="84221"/>
    <x v="2"/>
    <n v="2"/>
    <n v="3"/>
    <n v="41"/>
    <n v="0"/>
    <d v="2009-06-30T00:00:00"/>
    <s v="Yes"/>
    <x v="1"/>
    <n v="2"/>
    <x v="2"/>
    <x v="1"/>
    <x v="1"/>
  </r>
  <r>
    <s v="REL01389"/>
    <s v="Female"/>
    <n v="39"/>
    <s v="Post Graduate"/>
    <s v="Divorced"/>
    <x v="2"/>
    <s v="Finance Analyst"/>
    <x v="3"/>
    <x v="6"/>
    <s v="South"/>
    <n v="7"/>
    <n v="80449"/>
    <x v="3"/>
    <n v="1"/>
    <n v="3"/>
    <n v="77"/>
    <n v="0"/>
    <d v="2016-06-19T00:00:00"/>
    <s v="Yes"/>
    <x v="1"/>
    <n v="4"/>
    <x v="1"/>
    <x v="1"/>
    <x v="0"/>
  </r>
  <r>
    <s v="REL01390"/>
    <s v="Female"/>
    <n v="24"/>
    <s v="Graduate"/>
    <s v="Married"/>
    <x v="6"/>
    <s v="Sales Executive"/>
    <x v="0"/>
    <x v="0"/>
    <s v="North"/>
    <n v="15"/>
    <n v="70766"/>
    <x v="0"/>
    <n v="1"/>
    <n v="2"/>
    <n v="62"/>
    <n v="2"/>
    <d v="2008-09-24T00:00:00"/>
    <s v="Yes"/>
    <x v="0"/>
    <n v="3"/>
    <x v="2"/>
    <x v="1"/>
    <x v="0"/>
  </r>
  <r>
    <s v="REL01391"/>
    <s v="Male"/>
    <n v="47"/>
    <s v="Post Graduate"/>
    <s v="Divorced"/>
    <x v="7"/>
    <s v="Store Manager"/>
    <x v="4"/>
    <x v="3"/>
    <s v="West"/>
    <n v="1"/>
    <n v="93960"/>
    <x v="0"/>
    <n v="2"/>
    <n v="4"/>
    <n v="80"/>
    <n v="1"/>
    <d v="2022-05-14T00:00:00"/>
    <s v="Yes"/>
    <x v="1"/>
    <n v="3"/>
    <x v="3"/>
    <x v="1"/>
    <x v="0"/>
  </r>
  <r>
    <s v="REL01392"/>
    <s v="Female"/>
    <n v="33"/>
    <s v="MBA"/>
    <s v="Divorced"/>
    <x v="4"/>
    <s v="Store Manager"/>
    <x v="1"/>
    <x v="8"/>
    <s v="South"/>
    <n v="13"/>
    <n v="101630"/>
    <x v="2"/>
    <n v="3"/>
    <n v="1"/>
    <n v="19"/>
    <n v="3"/>
    <d v="2010-10-21T00:00:00"/>
    <s v="No"/>
    <x v="1"/>
    <n v="2"/>
    <x v="2"/>
    <x v="0"/>
    <x v="1"/>
  </r>
  <r>
    <s v="REL01393"/>
    <s v="Female"/>
    <n v="47"/>
    <s v="Post Graduate"/>
    <s v="Single"/>
    <x v="0"/>
    <s v="Logistics Coordinator"/>
    <x v="3"/>
    <x v="1"/>
    <s v="North"/>
    <n v="12"/>
    <n v="62610"/>
    <x v="3"/>
    <n v="1"/>
    <n v="2"/>
    <n v="12"/>
    <n v="1"/>
    <d v="2011-05-08T00:00:00"/>
    <s v="No"/>
    <x v="0"/>
    <n v="4"/>
    <x v="2"/>
    <x v="2"/>
    <x v="1"/>
  </r>
  <r>
    <s v="REL01394"/>
    <s v="Female"/>
    <n v="39"/>
    <s v="HSC"/>
    <s v="Single"/>
    <x v="2"/>
    <s v="HR Manager"/>
    <x v="3"/>
    <x v="4"/>
    <s v="North"/>
    <n v="11"/>
    <n v="100804"/>
    <x v="3"/>
    <n v="3"/>
    <n v="4"/>
    <n v="33"/>
    <n v="2"/>
    <d v="2012-01-25T00:00:00"/>
    <s v="No"/>
    <x v="1"/>
    <n v="4"/>
    <x v="2"/>
    <x v="2"/>
    <x v="0"/>
  </r>
  <r>
    <s v="REL01395"/>
    <s v="Male"/>
    <n v="45"/>
    <s v="Post Graduate"/>
    <s v="Married"/>
    <x v="7"/>
    <s v="Store Manager"/>
    <x v="4"/>
    <x v="7"/>
    <s v="East"/>
    <n v="3"/>
    <n v="90674"/>
    <x v="3"/>
    <n v="1"/>
    <n v="1"/>
    <n v="29"/>
    <n v="1"/>
    <d v="2020-08-02T00:00:00"/>
    <s v="No"/>
    <x v="1"/>
    <n v="4"/>
    <x v="0"/>
    <x v="2"/>
    <x v="0"/>
  </r>
  <r>
    <s v="REL01396"/>
    <s v="Male"/>
    <n v="37"/>
    <s v="BTech"/>
    <s v="Married"/>
    <x v="5"/>
    <s v="Operations Head"/>
    <x v="2"/>
    <x v="9"/>
    <s v="West"/>
    <n v="3"/>
    <n v="109673"/>
    <x v="3"/>
    <n v="4"/>
    <n v="1"/>
    <n v="26"/>
    <n v="2"/>
    <d v="2020-06-08T00:00:00"/>
    <s v="No"/>
    <x v="1"/>
    <n v="4"/>
    <x v="0"/>
    <x v="2"/>
    <x v="0"/>
  </r>
  <r>
    <s v="REL01397"/>
    <s v="Male"/>
    <n v="49"/>
    <s v="HSC"/>
    <s v="Divorced"/>
    <x v="6"/>
    <s v="Operations Head"/>
    <x v="0"/>
    <x v="5"/>
    <s v="South"/>
    <n v="14"/>
    <n v="114377"/>
    <x v="0"/>
    <n v="1"/>
    <n v="4"/>
    <n v="57"/>
    <n v="2"/>
    <d v="2009-07-07T00:00:00"/>
    <s v="No"/>
    <x v="1"/>
    <n v="3"/>
    <x v="2"/>
    <x v="0"/>
    <x v="0"/>
  </r>
  <r>
    <s v="REL01398"/>
    <s v="Female"/>
    <n v="53"/>
    <s v="Post Graduate"/>
    <s v="Divorced"/>
    <x v="1"/>
    <s v="HR Manager"/>
    <x v="3"/>
    <x v="3"/>
    <s v="West"/>
    <n v="14"/>
    <n v="96894"/>
    <x v="2"/>
    <n v="3"/>
    <n v="3"/>
    <n v="61"/>
    <n v="3"/>
    <d v="2009-03-19T00:00:00"/>
    <s v="No"/>
    <x v="1"/>
    <n v="2"/>
    <x v="2"/>
    <x v="0"/>
    <x v="1"/>
  </r>
  <r>
    <s v="REL01399"/>
    <s v="Female"/>
    <n v="40"/>
    <s v="BTech"/>
    <s v="Single"/>
    <x v="1"/>
    <s v="Store Manager"/>
    <x v="2"/>
    <x v="6"/>
    <s v="South"/>
    <n v="7"/>
    <n v="101489"/>
    <x v="0"/>
    <n v="2"/>
    <n v="3"/>
    <n v="49"/>
    <n v="3"/>
    <d v="2016-05-10T00:00:00"/>
    <s v="No"/>
    <x v="1"/>
    <n v="3"/>
    <x v="1"/>
    <x v="0"/>
    <x v="0"/>
  </r>
  <r>
    <s v="REL01400"/>
    <s v="Male"/>
    <n v="22"/>
    <s v="MBA"/>
    <s v="Married"/>
    <x v="3"/>
    <s v="Logistics Coordinator"/>
    <x v="4"/>
    <x v="6"/>
    <s v="South"/>
    <n v="3"/>
    <n v="47046"/>
    <x v="2"/>
    <n v="4"/>
    <n v="1"/>
    <n v="68"/>
    <n v="3"/>
    <d v="2020-06-05T00:00:00"/>
    <s v="No"/>
    <x v="2"/>
    <n v="2"/>
    <x v="0"/>
    <x v="0"/>
    <x v="1"/>
  </r>
  <r>
    <s v="REL01401"/>
    <s v="Male"/>
    <n v="35"/>
    <s v="HSC"/>
    <s v="Divorced"/>
    <x v="1"/>
    <s v="HR Manager"/>
    <x v="0"/>
    <x v="6"/>
    <s v="South"/>
    <n v="10"/>
    <n v="104267"/>
    <x v="1"/>
    <n v="4"/>
    <n v="4"/>
    <n v="75"/>
    <n v="3"/>
    <d v="2013-03-29T00:00:00"/>
    <s v="No"/>
    <x v="1"/>
    <n v="1"/>
    <x v="1"/>
    <x v="0"/>
    <x v="2"/>
  </r>
  <r>
    <s v="REL01402"/>
    <s v="Male"/>
    <n v="38"/>
    <s v="BTech"/>
    <s v="Single"/>
    <x v="7"/>
    <s v="Logistics Coordinator"/>
    <x v="1"/>
    <x v="9"/>
    <s v="West"/>
    <n v="6"/>
    <n v="47404"/>
    <x v="0"/>
    <n v="1"/>
    <n v="3"/>
    <n v="41"/>
    <n v="0"/>
    <d v="2017-11-01T00:00:00"/>
    <s v="No"/>
    <x v="2"/>
    <n v="3"/>
    <x v="1"/>
    <x v="0"/>
    <x v="1"/>
  </r>
  <r>
    <s v="REL01403"/>
    <s v="Male"/>
    <n v="23"/>
    <s v="Graduate"/>
    <s v="Single"/>
    <x v="1"/>
    <s v="Sales Executive"/>
    <x v="1"/>
    <x v="7"/>
    <s v="East"/>
    <n v="13"/>
    <n v="61071"/>
    <x v="0"/>
    <n v="3"/>
    <n v="3"/>
    <n v="16"/>
    <n v="3"/>
    <d v="2010-06-12T00:00:00"/>
    <s v="No"/>
    <x v="0"/>
    <n v="3"/>
    <x v="2"/>
    <x v="0"/>
    <x v="0"/>
  </r>
  <r>
    <s v="REL01404"/>
    <s v="Male"/>
    <n v="35"/>
    <s v="HSC"/>
    <s v="Single"/>
    <x v="3"/>
    <s v="Operations Head"/>
    <x v="1"/>
    <x v="2"/>
    <s v="West"/>
    <n v="13"/>
    <n v="118432"/>
    <x v="3"/>
    <n v="1"/>
    <n v="2"/>
    <n v="76"/>
    <n v="3"/>
    <d v="2010-08-12T00:00:00"/>
    <s v="Yes"/>
    <x v="1"/>
    <n v="4"/>
    <x v="2"/>
    <x v="1"/>
    <x v="0"/>
  </r>
  <r>
    <s v="REL01405"/>
    <s v="Female"/>
    <n v="46"/>
    <s v="HSC"/>
    <s v="Single"/>
    <x v="3"/>
    <s v="Store Manager"/>
    <x v="1"/>
    <x v="7"/>
    <s v="East"/>
    <n v="3"/>
    <n v="100380"/>
    <x v="1"/>
    <n v="2"/>
    <n v="3"/>
    <n v="11"/>
    <n v="2"/>
    <d v="2020-05-24T00:00:00"/>
    <s v="No"/>
    <x v="1"/>
    <n v="1"/>
    <x v="0"/>
    <x v="0"/>
    <x v="2"/>
  </r>
  <r>
    <s v="REL01406"/>
    <s v="Female"/>
    <n v="49"/>
    <s v="MBA"/>
    <s v="Divorced"/>
    <x v="3"/>
    <s v="Customer Service Rep"/>
    <x v="4"/>
    <x v="4"/>
    <s v="North"/>
    <n v="4"/>
    <n v="40606"/>
    <x v="0"/>
    <n v="1"/>
    <n v="3"/>
    <n v="61"/>
    <n v="1"/>
    <d v="2019-03-17T00:00:00"/>
    <s v="Yes"/>
    <x v="2"/>
    <n v="3"/>
    <x v="0"/>
    <x v="1"/>
    <x v="1"/>
  </r>
  <r>
    <s v="REL01407"/>
    <s v="Female"/>
    <n v="37"/>
    <s v="Graduate"/>
    <s v="Married"/>
    <x v="0"/>
    <s v="HR Manager"/>
    <x v="0"/>
    <x v="4"/>
    <s v="North"/>
    <n v="9"/>
    <n v="83141"/>
    <x v="1"/>
    <n v="4"/>
    <n v="4"/>
    <n v="22"/>
    <n v="3"/>
    <d v="2014-01-31T00:00:00"/>
    <s v="Yes"/>
    <x v="1"/>
    <n v="1"/>
    <x v="1"/>
    <x v="1"/>
    <x v="2"/>
  </r>
  <r>
    <s v="REL01408"/>
    <s v="Female"/>
    <n v="53"/>
    <s v="HSC"/>
    <s v="Single"/>
    <x v="5"/>
    <s v="Operations Head"/>
    <x v="3"/>
    <x v="4"/>
    <s v="North"/>
    <n v="13"/>
    <n v="111220"/>
    <x v="0"/>
    <n v="2"/>
    <n v="3"/>
    <n v="38"/>
    <n v="0"/>
    <d v="2010-08-31T00:00:00"/>
    <s v="No"/>
    <x v="1"/>
    <n v="3"/>
    <x v="2"/>
    <x v="0"/>
    <x v="0"/>
  </r>
  <r>
    <s v="REL01409"/>
    <s v="Female"/>
    <n v="53"/>
    <s v="MBA"/>
    <s v="Single"/>
    <x v="7"/>
    <s v="Logistics Coordinator"/>
    <x v="1"/>
    <x v="5"/>
    <s v="South"/>
    <n v="14"/>
    <n v="66176"/>
    <x v="2"/>
    <n v="2"/>
    <n v="1"/>
    <n v="73"/>
    <n v="2"/>
    <d v="2009-12-09T00:00:00"/>
    <s v="Yes"/>
    <x v="0"/>
    <n v="2"/>
    <x v="2"/>
    <x v="1"/>
    <x v="1"/>
  </r>
  <r>
    <s v="REL01410"/>
    <s v="Female"/>
    <n v="26"/>
    <s v="BTech"/>
    <s v="Single"/>
    <x v="1"/>
    <s v="HR Manager"/>
    <x v="3"/>
    <x v="3"/>
    <s v="West"/>
    <n v="13"/>
    <n v="92474"/>
    <x v="3"/>
    <n v="4"/>
    <n v="2"/>
    <n v="36"/>
    <n v="3"/>
    <d v="2010-01-14T00:00:00"/>
    <s v="No"/>
    <x v="1"/>
    <n v="4"/>
    <x v="2"/>
    <x v="2"/>
    <x v="0"/>
  </r>
  <r>
    <s v="REL01411"/>
    <s v="Female"/>
    <n v="22"/>
    <s v="HSC"/>
    <s v="Married"/>
    <x v="1"/>
    <s v="Operations Head"/>
    <x v="0"/>
    <x v="3"/>
    <s v="West"/>
    <n v="13"/>
    <n v="121174"/>
    <x v="0"/>
    <n v="4"/>
    <n v="1"/>
    <n v="66"/>
    <n v="3"/>
    <d v="2010-05-20T00:00:00"/>
    <s v="No"/>
    <x v="1"/>
    <n v="3"/>
    <x v="2"/>
    <x v="0"/>
    <x v="0"/>
  </r>
  <r>
    <s v="REL01412"/>
    <s v="Male"/>
    <n v="26"/>
    <s v="MBA"/>
    <s v="Divorced"/>
    <x v="1"/>
    <s v="Store Manager"/>
    <x v="0"/>
    <x v="6"/>
    <s v="South"/>
    <n v="15"/>
    <n v="120415"/>
    <x v="3"/>
    <n v="1"/>
    <n v="3"/>
    <n v="21"/>
    <n v="3"/>
    <d v="2008-07-24T00:00:00"/>
    <s v="No"/>
    <x v="1"/>
    <n v="4"/>
    <x v="2"/>
    <x v="2"/>
    <x v="0"/>
  </r>
  <r>
    <s v="REL01413"/>
    <s v="Female"/>
    <n v="24"/>
    <s v="BTech"/>
    <s v="Single"/>
    <x v="3"/>
    <s v="Operations Head"/>
    <x v="1"/>
    <x v="5"/>
    <s v="South"/>
    <n v="2"/>
    <n v="100523"/>
    <x v="2"/>
    <n v="3"/>
    <n v="1"/>
    <n v="54"/>
    <n v="2"/>
    <d v="2021-09-25T00:00:00"/>
    <s v="No"/>
    <x v="1"/>
    <n v="2"/>
    <x v="3"/>
    <x v="0"/>
    <x v="1"/>
  </r>
  <r>
    <s v="REL01414"/>
    <s v="Female"/>
    <n v="45"/>
    <s v="Post Graduate"/>
    <s v="Divorced"/>
    <x v="2"/>
    <s v="Finance Analyst"/>
    <x v="4"/>
    <x v="1"/>
    <s v="North"/>
    <n v="15"/>
    <n v="88538"/>
    <x v="2"/>
    <n v="1"/>
    <n v="4"/>
    <n v="16"/>
    <n v="3"/>
    <d v="2008-02-22T00:00:00"/>
    <s v="No"/>
    <x v="1"/>
    <n v="2"/>
    <x v="2"/>
    <x v="0"/>
    <x v="1"/>
  </r>
  <r>
    <s v="REL01415"/>
    <s v="Female"/>
    <n v="29"/>
    <s v="BTech"/>
    <s v="Married"/>
    <x v="0"/>
    <s v="Marketing Executive"/>
    <x v="4"/>
    <x v="9"/>
    <s v="West"/>
    <n v="1"/>
    <n v="42412"/>
    <x v="2"/>
    <n v="1"/>
    <n v="2"/>
    <n v="79"/>
    <n v="1"/>
    <d v="2022-07-22T00:00:00"/>
    <s v="No"/>
    <x v="2"/>
    <n v="2"/>
    <x v="3"/>
    <x v="0"/>
    <x v="1"/>
  </r>
  <r>
    <s v="REL01416"/>
    <s v="Male"/>
    <n v="24"/>
    <s v="Post Graduate"/>
    <s v="Divorced"/>
    <x v="2"/>
    <s v="Marketing Executive"/>
    <x v="1"/>
    <x v="6"/>
    <s v="South"/>
    <n v="11"/>
    <n v="81286"/>
    <x v="3"/>
    <n v="3"/>
    <n v="4"/>
    <n v="45"/>
    <n v="0"/>
    <d v="2012-06-16T00:00:00"/>
    <s v="No"/>
    <x v="1"/>
    <n v="4"/>
    <x v="2"/>
    <x v="2"/>
    <x v="0"/>
  </r>
  <r>
    <s v="REL01417"/>
    <s v="Female"/>
    <n v="49"/>
    <s v="BTech"/>
    <s v="Single"/>
    <x v="0"/>
    <s v="HR Manager"/>
    <x v="2"/>
    <x v="9"/>
    <s v="West"/>
    <n v="6"/>
    <n v="96925"/>
    <x v="1"/>
    <n v="2"/>
    <n v="2"/>
    <n v="53"/>
    <n v="3"/>
    <d v="2017-06-21T00:00:00"/>
    <s v="Yes"/>
    <x v="1"/>
    <n v="1"/>
    <x v="1"/>
    <x v="1"/>
    <x v="2"/>
  </r>
  <r>
    <s v="REL01418"/>
    <s v="Male"/>
    <n v="49"/>
    <s v="MBA"/>
    <s v="Single"/>
    <x v="1"/>
    <s v="Finance Analyst"/>
    <x v="4"/>
    <x v="6"/>
    <s v="South"/>
    <n v="10"/>
    <n v="79829"/>
    <x v="0"/>
    <n v="4"/>
    <n v="1"/>
    <n v="31"/>
    <n v="0"/>
    <d v="2013-12-24T00:00:00"/>
    <s v="No"/>
    <x v="0"/>
    <n v="3"/>
    <x v="1"/>
    <x v="0"/>
    <x v="0"/>
  </r>
  <r>
    <s v="REL01419"/>
    <s v="Male"/>
    <n v="46"/>
    <s v="MBA"/>
    <s v="Single"/>
    <x v="2"/>
    <s v="Marketing Executive"/>
    <x v="1"/>
    <x v="0"/>
    <s v="North"/>
    <n v="14"/>
    <n v="70584"/>
    <x v="2"/>
    <n v="1"/>
    <n v="3"/>
    <n v="78"/>
    <n v="2"/>
    <d v="2009-09-24T00:00:00"/>
    <s v="Yes"/>
    <x v="0"/>
    <n v="2"/>
    <x v="2"/>
    <x v="1"/>
    <x v="1"/>
  </r>
  <r>
    <s v="REL01420"/>
    <s v="Male"/>
    <n v="29"/>
    <s v="BTech"/>
    <s v="Divorced"/>
    <x v="5"/>
    <s v="HR Manager"/>
    <x v="1"/>
    <x v="1"/>
    <s v="North"/>
    <n v="6"/>
    <n v="90085"/>
    <x v="3"/>
    <n v="4"/>
    <n v="1"/>
    <n v="47"/>
    <n v="3"/>
    <d v="2017-09-29T00:00:00"/>
    <s v="No"/>
    <x v="1"/>
    <n v="4"/>
    <x v="1"/>
    <x v="2"/>
    <x v="0"/>
  </r>
  <r>
    <s v="REL01421"/>
    <s v="Female"/>
    <n v="45"/>
    <s v="HSC"/>
    <s v="Married"/>
    <x v="3"/>
    <s v="Finance Analyst"/>
    <x v="4"/>
    <x v="6"/>
    <s v="South"/>
    <n v="4"/>
    <n v="58229"/>
    <x v="2"/>
    <n v="4"/>
    <n v="1"/>
    <n v="78"/>
    <n v="1"/>
    <d v="2019-05-03T00:00:00"/>
    <s v="No"/>
    <x v="0"/>
    <n v="2"/>
    <x v="0"/>
    <x v="0"/>
    <x v="1"/>
  </r>
  <r>
    <s v="REL01422"/>
    <s v="Female"/>
    <n v="37"/>
    <s v="BTech"/>
    <s v="Married"/>
    <x v="2"/>
    <s v="Logistics Coordinator"/>
    <x v="3"/>
    <x v="5"/>
    <s v="South"/>
    <n v="5"/>
    <n v="47406"/>
    <x v="3"/>
    <n v="4"/>
    <n v="4"/>
    <n v="59"/>
    <n v="3"/>
    <d v="2018-03-15T00:00:00"/>
    <s v="No"/>
    <x v="2"/>
    <n v="4"/>
    <x v="0"/>
    <x v="2"/>
    <x v="1"/>
  </r>
  <r>
    <s v="REL01423"/>
    <s v="Male"/>
    <n v="30"/>
    <s v="MBA"/>
    <s v="Single"/>
    <x v="6"/>
    <s v="Logistics Coordinator"/>
    <x v="2"/>
    <x v="6"/>
    <s v="South"/>
    <n v="6"/>
    <n v="47090"/>
    <x v="0"/>
    <n v="3"/>
    <n v="1"/>
    <n v="26"/>
    <n v="2"/>
    <d v="2017-09-06T00:00:00"/>
    <s v="No"/>
    <x v="2"/>
    <n v="3"/>
    <x v="1"/>
    <x v="0"/>
    <x v="1"/>
  </r>
  <r>
    <s v="REL01424"/>
    <s v="Female"/>
    <n v="25"/>
    <s v="MBA"/>
    <s v="Single"/>
    <x v="7"/>
    <s v="Logistics Coordinator"/>
    <x v="4"/>
    <x v="9"/>
    <s v="West"/>
    <n v="15"/>
    <n v="81938"/>
    <x v="0"/>
    <n v="1"/>
    <n v="4"/>
    <n v="60"/>
    <n v="1"/>
    <d v="2008-12-11T00:00:00"/>
    <s v="No"/>
    <x v="1"/>
    <n v="3"/>
    <x v="2"/>
    <x v="0"/>
    <x v="0"/>
  </r>
  <r>
    <s v="REL01425"/>
    <s v="Male"/>
    <n v="22"/>
    <s v="Post Graduate"/>
    <s v="Divorced"/>
    <x v="0"/>
    <s v="Sales Executive"/>
    <x v="0"/>
    <x v="2"/>
    <s v="West"/>
    <n v="3"/>
    <n v="50055"/>
    <x v="3"/>
    <n v="1"/>
    <n v="1"/>
    <n v="31"/>
    <n v="0"/>
    <d v="2020-12-28T00:00:00"/>
    <s v="No"/>
    <x v="0"/>
    <n v="4"/>
    <x v="0"/>
    <x v="2"/>
    <x v="1"/>
  </r>
  <r>
    <s v="REL01426"/>
    <s v="Male"/>
    <n v="34"/>
    <s v="MBA"/>
    <s v="Married"/>
    <x v="0"/>
    <s v="Store Manager"/>
    <x v="2"/>
    <x v="5"/>
    <s v="South"/>
    <n v="3"/>
    <n v="100933"/>
    <x v="2"/>
    <n v="4"/>
    <n v="3"/>
    <n v="39"/>
    <n v="0"/>
    <d v="2020-07-12T00:00:00"/>
    <s v="No"/>
    <x v="1"/>
    <n v="2"/>
    <x v="0"/>
    <x v="0"/>
    <x v="1"/>
  </r>
  <r>
    <s v="REL01427"/>
    <s v="Female"/>
    <n v="53"/>
    <s v="HSC"/>
    <s v="Divorced"/>
    <x v="3"/>
    <s v="Logistics Coordinator"/>
    <x v="3"/>
    <x v="4"/>
    <s v="North"/>
    <n v="1"/>
    <n v="38408"/>
    <x v="3"/>
    <n v="3"/>
    <n v="3"/>
    <n v="44"/>
    <n v="1"/>
    <d v="2022-05-09T00:00:00"/>
    <s v="No"/>
    <x v="2"/>
    <n v="4"/>
    <x v="3"/>
    <x v="2"/>
    <x v="1"/>
  </r>
  <r>
    <s v="REL01428"/>
    <s v="Male"/>
    <n v="29"/>
    <s v="BTech"/>
    <s v="Single"/>
    <x v="5"/>
    <s v="Operations Head"/>
    <x v="0"/>
    <x v="3"/>
    <s v="West"/>
    <n v="12"/>
    <n v="119793"/>
    <x v="2"/>
    <n v="1"/>
    <n v="4"/>
    <n v="54"/>
    <n v="2"/>
    <d v="2011-04-16T00:00:00"/>
    <s v="No"/>
    <x v="1"/>
    <n v="2"/>
    <x v="2"/>
    <x v="0"/>
    <x v="1"/>
  </r>
  <r>
    <s v="REL01429"/>
    <s v="Male"/>
    <n v="45"/>
    <s v="Post Graduate"/>
    <s v="Single"/>
    <x v="1"/>
    <s v="Customer Service Rep"/>
    <x v="0"/>
    <x v="1"/>
    <s v="North"/>
    <n v="13"/>
    <n v="64046"/>
    <x v="2"/>
    <n v="4"/>
    <n v="4"/>
    <n v="16"/>
    <n v="2"/>
    <d v="2010-10-16T00:00:00"/>
    <s v="No"/>
    <x v="0"/>
    <n v="2"/>
    <x v="2"/>
    <x v="0"/>
    <x v="1"/>
  </r>
  <r>
    <s v="REL01430"/>
    <s v="Female"/>
    <n v="49"/>
    <s v="Graduate"/>
    <s v="Married"/>
    <x v="6"/>
    <s v="Logistics Coordinator"/>
    <x v="4"/>
    <x v="2"/>
    <s v="West"/>
    <n v="13"/>
    <n v="64360"/>
    <x v="0"/>
    <n v="1"/>
    <n v="3"/>
    <n v="67"/>
    <n v="1"/>
    <d v="2010-10-25T00:00:00"/>
    <s v="No"/>
    <x v="0"/>
    <n v="3"/>
    <x v="2"/>
    <x v="0"/>
    <x v="0"/>
  </r>
  <r>
    <s v="REL01431"/>
    <s v="Female"/>
    <n v="23"/>
    <s v="Graduate"/>
    <s v="Married"/>
    <x v="6"/>
    <s v="Customer Service Rep"/>
    <x v="4"/>
    <x v="2"/>
    <s v="West"/>
    <n v="4"/>
    <n v="35060"/>
    <x v="0"/>
    <n v="2"/>
    <n v="1"/>
    <n v="18"/>
    <n v="3"/>
    <d v="2019-04-19T00:00:00"/>
    <s v="No"/>
    <x v="2"/>
    <n v="3"/>
    <x v="0"/>
    <x v="0"/>
    <x v="1"/>
  </r>
  <r>
    <s v="REL01432"/>
    <s v="Female"/>
    <n v="25"/>
    <s v="HSC"/>
    <s v="Single"/>
    <x v="2"/>
    <s v="Sales Executive"/>
    <x v="3"/>
    <x v="5"/>
    <s v="South"/>
    <n v="13"/>
    <n v="66355"/>
    <x v="1"/>
    <n v="2"/>
    <n v="3"/>
    <n v="48"/>
    <n v="0"/>
    <d v="2010-07-11T00:00:00"/>
    <s v="Yes"/>
    <x v="0"/>
    <n v="1"/>
    <x v="2"/>
    <x v="1"/>
    <x v="1"/>
  </r>
  <r>
    <s v="REL01433"/>
    <s v="Female"/>
    <n v="38"/>
    <s v="HSC"/>
    <s v="Single"/>
    <x v="1"/>
    <s v="Finance Analyst"/>
    <x v="1"/>
    <x v="5"/>
    <s v="South"/>
    <n v="5"/>
    <n v="78584"/>
    <x v="2"/>
    <n v="1"/>
    <n v="3"/>
    <n v="69"/>
    <n v="0"/>
    <d v="2018-12-05T00:00:00"/>
    <s v="No"/>
    <x v="0"/>
    <n v="2"/>
    <x v="0"/>
    <x v="0"/>
    <x v="1"/>
  </r>
  <r>
    <s v="REL01434"/>
    <s v="Male"/>
    <n v="49"/>
    <s v="HSC"/>
    <s v="Married"/>
    <x v="7"/>
    <s v="Logistics Coordinator"/>
    <x v="4"/>
    <x v="7"/>
    <s v="East"/>
    <n v="13"/>
    <n v="75245"/>
    <x v="3"/>
    <n v="1"/>
    <n v="2"/>
    <n v="34"/>
    <n v="2"/>
    <d v="2010-06-11T00:00:00"/>
    <s v="No"/>
    <x v="0"/>
    <n v="4"/>
    <x v="2"/>
    <x v="2"/>
    <x v="1"/>
  </r>
  <r>
    <s v="REL01435"/>
    <s v="Male"/>
    <n v="52"/>
    <s v="MBA"/>
    <s v="Divorced"/>
    <x v="7"/>
    <s v="Store Manager"/>
    <x v="0"/>
    <x v="4"/>
    <s v="North"/>
    <n v="7"/>
    <n v="101263"/>
    <x v="1"/>
    <n v="1"/>
    <n v="3"/>
    <n v="41"/>
    <n v="0"/>
    <d v="2016-09-29T00:00:00"/>
    <s v="Yes"/>
    <x v="1"/>
    <n v="1"/>
    <x v="1"/>
    <x v="1"/>
    <x v="2"/>
  </r>
  <r>
    <s v="REL01436"/>
    <s v="Male"/>
    <n v="34"/>
    <s v="Post Graduate"/>
    <s v="Divorced"/>
    <x v="3"/>
    <s v="Customer Service Rep"/>
    <x v="2"/>
    <x v="0"/>
    <s v="North"/>
    <n v="10"/>
    <n v="59171"/>
    <x v="3"/>
    <n v="4"/>
    <n v="2"/>
    <n v="27"/>
    <n v="1"/>
    <d v="2013-09-02T00:00:00"/>
    <s v="No"/>
    <x v="0"/>
    <n v="4"/>
    <x v="1"/>
    <x v="2"/>
    <x v="1"/>
  </r>
  <r>
    <s v="REL01437"/>
    <s v="Male"/>
    <n v="32"/>
    <s v="MBA"/>
    <s v="Married"/>
    <x v="6"/>
    <s v="HR Manager"/>
    <x v="0"/>
    <x v="4"/>
    <s v="North"/>
    <n v="1"/>
    <n v="85372"/>
    <x v="2"/>
    <n v="4"/>
    <n v="2"/>
    <n v="43"/>
    <n v="1"/>
    <d v="2022-07-21T00:00:00"/>
    <s v="No"/>
    <x v="1"/>
    <n v="2"/>
    <x v="3"/>
    <x v="0"/>
    <x v="1"/>
  </r>
  <r>
    <s v="REL01438"/>
    <s v="Male"/>
    <n v="33"/>
    <s v="Graduate"/>
    <s v="Divorced"/>
    <x v="7"/>
    <s v="Customer Service Rep"/>
    <x v="2"/>
    <x v="9"/>
    <s v="West"/>
    <n v="4"/>
    <n v="37610"/>
    <x v="0"/>
    <n v="1"/>
    <n v="3"/>
    <n v="10"/>
    <n v="0"/>
    <d v="2019-10-25T00:00:00"/>
    <s v="Yes"/>
    <x v="2"/>
    <n v="3"/>
    <x v="0"/>
    <x v="1"/>
    <x v="1"/>
  </r>
  <r>
    <s v="REL01439"/>
    <s v="Female"/>
    <n v="53"/>
    <s v="Graduate"/>
    <s v="Divorced"/>
    <x v="1"/>
    <s v="Operations Head"/>
    <x v="2"/>
    <x v="2"/>
    <s v="West"/>
    <n v="9"/>
    <n v="112612"/>
    <x v="0"/>
    <n v="2"/>
    <n v="1"/>
    <n v="71"/>
    <n v="2"/>
    <d v="2014-09-17T00:00:00"/>
    <s v="No"/>
    <x v="1"/>
    <n v="3"/>
    <x v="1"/>
    <x v="0"/>
    <x v="0"/>
  </r>
  <r>
    <s v="REL01440"/>
    <s v="Female"/>
    <n v="42"/>
    <s v="MBA"/>
    <s v="Divorced"/>
    <x v="2"/>
    <s v="Customer Service Rep"/>
    <x v="0"/>
    <x v="7"/>
    <s v="East"/>
    <n v="12"/>
    <n v="53156"/>
    <x v="2"/>
    <n v="1"/>
    <n v="2"/>
    <n v="80"/>
    <n v="1"/>
    <d v="2011-12-06T00:00:00"/>
    <s v="No"/>
    <x v="0"/>
    <n v="2"/>
    <x v="2"/>
    <x v="0"/>
    <x v="1"/>
  </r>
  <r>
    <s v="REL01441"/>
    <s v="Male"/>
    <n v="49"/>
    <s v="Post Graduate"/>
    <s v="Single"/>
    <x v="0"/>
    <s v="Operations Head"/>
    <x v="4"/>
    <x v="0"/>
    <s v="North"/>
    <n v="13"/>
    <n v="119056"/>
    <x v="1"/>
    <n v="4"/>
    <n v="4"/>
    <n v="69"/>
    <n v="3"/>
    <d v="2010-10-17T00:00:00"/>
    <s v="No"/>
    <x v="1"/>
    <n v="1"/>
    <x v="2"/>
    <x v="0"/>
    <x v="2"/>
  </r>
  <r>
    <s v="REL01442"/>
    <s v="Male"/>
    <n v="50"/>
    <s v="Graduate"/>
    <s v="Single"/>
    <x v="1"/>
    <s v="Store Manager"/>
    <x v="4"/>
    <x v="5"/>
    <s v="South"/>
    <n v="15"/>
    <n v="118055"/>
    <x v="1"/>
    <n v="3"/>
    <n v="1"/>
    <n v="40"/>
    <n v="3"/>
    <d v="2008-05-05T00:00:00"/>
    <s v="Yes"/>
    <x v="1"/>
    <n v="1"/>
    <x v="2"/>
    <x v="1"/>
    <x v="2"/>
  </r>
  <r>
    <s v="REL01443"/>
    <s v="Male"/>
    <n v="52"/>
    <s v="HSC"/>
    <s v="Divorced"/>
    <x v="5"/>
    <s v="Operations Head"/>
    <x v="1"/>
    <x v="3"/>
    <s v="West"/>
    <n v="3"/>
    <n v="95432"/>
    <x v="2"/>
    <n v="1"/>
    <n v="2"/>
    <n v="73"/>
    <n v="2"/>
    <d v="2020-11-19T00:00:00"/>
    <s v="No"/>
    <x v="1"/>
    <n v="2"/>
    <x v="0"/>
    <x v="0"/>
    <x v="1"/>
  </r>
  <r>
    <s v="REL01444"/>
    <s v="Male"/>
    <n v="45"/>
    <s v="BTech"/>
    <s v="Single"/>
    <x v="6"/>
    <s v="HR Manager"/>
    <x v="3"/>
    <x v="3"/>
    <s v="West"/>
    <n v="9"/>
    <n v="97025"/>
    <x v="2"/>
    <n v="4"/>
    <n v="2"/>
    <n v="11"/>
    <n v="0"/>
    <d v="2014-06-02T00:00:00"/>
    <s v="No"/>
    <x v="1"/>
    <n v="2"/>
    <x v="1"/>
    <x v="0"/>
    <x v="1"/>
  </r>
  <r>
    <s v="REL01445"/>
    <s v="Female"/>
    <n v="50"/>
    <s v="HSC"/>
    <s v="Married"/>
    <x v="6"/>
    <s v="Logistics Coordinator"/>
    <x v="2"/>
    <x v="5"/>
    <s v="South"/>
    <n v="11"/>
    <n v="65597"/>
    <x v="2"/>
    <n v="4"/>
    <n v="2"/>
    <n v="23"/>
    <n v="1"/>
    <d v="2012-11-28T00:00:00"/>
    <s v="No"/>
    <x v="0"/>
    <n v="2"/>
    <x v="2"/>
    <x v="0"/>
    <x v="1"/>
  </r>
  <r>
    <s v="REL01446"/>
    <s v="Female"/>
    <n v="24"/>
    <s v="BTech"/>
    <s v="Divorced"/>
    <x v="7"/>
    <s v="Sales Executive"/>
    <x v="1"/>
    <x v="4"/>
    <s v="North"/>
    <n v="14"/>
    <n v="66443"/>
    <x v="2"/>
    <n v="3"/>
    <n v="3"/>
    <n v="11"/>
    <n v="2"/>
    <d v="2009-01-08T00:00:00"/>
    <s v="No"/>
    <x v="0"/>
    <n v="2"/>
    <x v="2"/>
    <x v="0"/>
    <x v="1"/>
  </r>
  <r>
    <s v="REL01447"/>
    <s v="Male"/>
    <n v="38"/>
    <s v="MBA"/>
    <s v="Single"/>
    <x v="1"/>
    <s v="Logistics Coordinator"/>
    <x v="2"/>
    <x v="4"/>
    <s v="North"/>
    <n v="13"/>
    <n v="70718"/>
    <x v="1"/>
    <n v="2"/>
    <n v="1"/>
    <n v="30"/>
    <n v="0"/>
    <d v="2010-10-29T00:00:00"/>
    <s v="Yes"/>
    <x v="0"/>
    <n v="1"/>
    <x v="2"/>
    <x v="1"/>
    <x v="1"/>
  </r>
  <r>
    <s v="REL01448"/>
    <s v="Male"/>
    <n v="26"/>
    <s v="Post Graduate"/>
    <s v="Divorced"/>
    <x v="5"/>
    <s v="Customer Service Rep"/>
    <x v="1"/>
    <x v="0"/>
    <s v="North"/>
    <n v="9"/>
    <n v="50470"/>
    <x v="2"/>
    <n v="4"/>
    <n v="4"/>
    <n v="30"/>
    <n v="1"/>
    <d v="2014-12-26T00:00:00"/>
    <s v="No"/>
    <x v="0"/>
    <n v="2"/>
    <x v="1"/>
    <x v="0"/>
    <x v="1"/>
  </r>
  <r>
    <s v="REL01449"/>
    <s v="Female"/>
    <n v="26"/>
    <s v="BTech"/>
    <s v="Divorced"/>
    <x v="4"/>
    <s v="HR Manager"/>
    <x v="3"/>
    <x v="5"/>
    <s v="South"/>
    <n v="3"/>
    <n v="82174"/>
    <x v="2"/>
    <n v="2"/>
    <n v="2"/>
    <n v="36"/>
    <n v="3"/>
    <d v="2020-05-10T00:00:00"/>
    <s v="No"/>
    <x v="1"/>
    <n v="2"/>
    <x v="0"/>
    <x v="0"/>
    <x v="1"/>
  </r>
  <r>
    <s v="REL01450"/>
    <s v="Male"/>
    <n v="46"/>
    <s v="Graduate"/>
    <s v="Divorced"/>
    <x v="7"/>
    <s v="Operations Head"/>
    <x v="4"/>
    <x v="1"/>
    <s v="North"/>
    <n v="11"/>
    <n v="109208"/>
    <x v="2"/>
    <n v="2"/>
    <n v="3"/>
    <n v="57"/>
    <n v="3"/>
    <d v="2012-04-11T00:00:00"/>
    <s v="No"/>
    <x v="1"/>
    <n v="2"/>
    <x v="2"/>
    <x v="0"/>
    <x v="1"/>
  </r>
  <r>
    <s v="REL01451"/>
    <s v="Female"/>
    <n v="39"/>
    <s v="BTech"/>
    <s v="Married"/>
    <x v="7"/>
    <s v="Store Manager"/>
    <x v="1"/>
    <x v="8"/>
    <s v="South"/>
    <n v="7"/>
    <n v="99635"/>
    <x v="2"/>
    <n v="2"/>
    <n v="2"/>
    <n v="10"/>
    <n v="3"/>
    <d v="2016-05-28T00:00:00"/>
    <s v="No"/>
    <x v="1"/>
    <n v="2"/>
    <x v="1"/>
    <x v="0"/>
    <x v="1"/>
  </r>
  <r>
    <s v="REL01452"/>
    <s v="Male"/>
    <n v="46"/>
    <s v="MBA"/>
    <s v="Single"/>
    <x v="1"/>
    <s v="Store Manager"/>
    <x v="3"/>
    <x v="6"/>
    <s v="South"/>
    <n v="1"/>
    <n v="95806"/>
    <x v="3"/>
    <n v="1"/>
    <n v="1"/>
    <n v="63"/>
    <n v="2"/>
    <d v="2022-06-02T00:00:00"/>
    <s v="No"/>
    <x v="1"/>
    <n v="4"/>
    <x v="3"/>
    <x v="2"/>
    <x v="0"/>
  </r>
  <r>
    <s v="REL01453"/>
    <s v="Female"/>
    <n v="44"/>
    <s v="MBA"/>
    <s v="Married"/>
    <x v="5"/>
    <s v="Customer Service Rep"/>
    <x v="3"/>
    <x v="7"/>
    <s v="East"/>
    <n v="5"/>
    <n v="51359"/>
    <x v="1"/>
    <n v="1"/>
    <n v="2"/>
    <n v="42"/>
    <n v="3"/>
    <d v="2018-07-21T00:00:00"/>
    <s v="Yes"/>
    <x v="0"/>
    <n v="1"/>
    <x v="0"/>
    <x v="1"/>
    <x v="1"/>
  </r>
  <r>
    <s v="REL01454"/>
    <s v="Female"/>
    <n v="55"/>
    <s v="Post Graduate"/>
    <s v="Married"/>
    <x v="4"/>
    <s v="Logistics Coordinator"/>
    <x v="4"/>
    <x v="2"/>
    <s v="West"/>
    <n v="1"/>
    <n v="54163"/>
    <x v="3"/>
    <n v="1"/>
    <n v="3"/>
    <n v="19"/>
    <n v="3"/>
    <d v="2022-07-13T00:00:00"/>
    <s v="No"/>
    <x v="0"/>
    <n v="4"/>
    <x v="3"/>
    <x v="2"/>
    <x v="1"/>
  </r>
  <r>
    <s v="REL01455"/>
    <s v="Female"/>
    <n v="26"/>
    <s v="BTech"/>
    <s v="Divorced"/>
    <x v="5"/>
    <s v="HR Manager"/>
    <x v="0"/>
    <x v="2"/>
    <s v="West"/>
    <n v="2"/>
    <n v="74738"/>
    <x v="2"/>
    <n v="4"/>
    <n v="3"/>
    <n v="10"/>
    <n v="1"/>
    <d v="2021-07-31T00:00:00"/>
    <s v="No"/>
    <x v="0"/>
    <n v="2"/>
    <x v="3"/>
    <x v="0"/>
    <x v="1"/>
  </r>
  <r>
    <s v="REL01456"/>
    <s v="Female"/>
    <n v="24"/>
    <s v="Graduate"/>
    <s v="Married"/>
    <x v="1"/>
    <s v="Logistics Coordinator"/>
    <x v="1"/>
    <x v="5"/>
    <s v="South"/>
    <n v="15"/>
    <n v="65556"/>
    <x v="1"/>
    <n v="1"/>
    <n v="2"/>
    <n v="62"/>
    <n v="1"/>
    <d v="2008-07-26T00:00:00"/>
    <s v="Yes"/>
    <x v="0"/>
    <n v="1"/>
    <x v="2"/>
    <x v="1"/>
    <x v="1"/>
  </r>
  <r>
    <s v="REL01457"/>
    <s v="Male"/>
    <n v="24"/>
    <s v="HSC"/>
    <s v="Divorced"/>
    <x v="4"/>
    <s v="Marketing Executive"/>
    <x v="0"/>
    <x v="3"/>
    <s v="West"/>
    <n v="15"/>
    <n v="86799"/>
    <x v="0"/>
    <n v="1"/>
    <n v="2"/>
    <n v="13"/>
    <n v="2"/>
    <d v="2008-12-04T00:00:00"/>
    <s v="No"/>
    <x v="1"/>
    <n v="3"/>
    <x v="2"/>
    <x v="0"/>
    <x v="0"/>
  </r>
  <r>
    <s v="REL01458"/>
    <s v="Female"/>
    <n v="53"/>
    <s v="Post Graduate"/>
    <s v="Married"/>
    <x v="1"/>
    <s v="Logistics Coordinator"/>
    <x v="0"/>
    <x v="0"/>
    <s v="North"/>
    <n v="10"/>
    <n v="57169"/>
    <x v="3"/>
    <n v="3"/>
    <n v="2"/>
    <n v="44"/>
    <n v="0"/>
    <d v="2013-05-05T00:00:00"/>
    <s v="No"/>
    <x v="0"/>
    <n v="4"/>
    <x v="1"/>
    <x v="2"/>
    <x v="1"/>
  </r>
  <r>
    <s v="REL01459"/>
    <s v="Female"/>
    <n v="35"/>
    <s v="HSC"/>
    <s v="Married"/>
    <x v="5"/>
    <s v="Store Manager"/>
    <x v="3"/>
    <x v="5"/>
    <s v="South"/>
    <n v="9"/>
    <n v="102791"/>
    <x v="2"/>
    <n v="4"/>
    <n v="3"/>
    <n v="75"/>
    <n v="0"/>
    <d v="2014-12-13T00:00:00"/>
    <s v="No"/>
    <x v="1"/>
    <n v="2"/>
    <x v="1"/>
    <x v="0"/>
    <x v="1"/>
  </r>
  <r>
    <s v="REL01460"/>
    <s v="Male"/>
    <n v="30"/>
    <s v="MBA"/>
    <s v="Single"/>
    <x v="5"/>
    <s v="Operations Head"/>
    <x v="3"/>
    <x v="4"/>
    <s v="North"/>
    <n v="10"/>
    <n v="105617"/>
    <x v="0"/>
    <n v="2"/>
    <n v="3"/>
    <n v="44"/>
    <n v="1"/>
    <d v="2013-03-10T00:00:00"/>
    <s v="No"/>
    <x v="1"/>
    <n v="3"/>
    <x v="1"/>
    <x v="0"/>
    <x v="0"/>
  </r>
  <r>
    <s v="REL01461"/>
    <s v="Male"/>
    <n v="51"/>
    <s v="Post Graduate"/>
    <s v="Married"/>
    <x v="1"/>
    <s v="HR Manager"/>
    <x v="4"/>
    <x v="3"/>
    <s v="West"/>
    <n v="15"/>
    <n v="105883"/>
    <x v="2"/>
    <n v="2"/>
    <n v="1"/>
    <n v="39"/>
    <n v="0"/>
    <d v="2008-08-14T00:00:00"/>
    <s v="No"/>
    <x v="1"/>
    <n v="2"/>
    <x v="2"/>
    <x v="0"/>
    <x v="1"/>
  </r>
  <r>
    <s v="REL01462"/>
    <s v="Male"/>
    <n v="41"/>
    <s v="Graduate"/>
    <s v="Divorced"/>
    <x v="7"/>
    <s v="Logistics Coordinator"/>
    <x v="3"/>
    <x v="4"/>
    <s v="North"/>
    <n v="5"/>
    <n v="60082"/>
    <x v="1"/>
    <n v="4"/>
    <n v="3"/>
    <n v="76"/>
    <n v="1"/>
    <d v="2018-06-29T00:00:00"/>
    <s v="No"/>
    <x v="0"/>
    <n v="1"/>
    <x v="0"/>
    <x v="0"/>
    <x v="1"/>
  </r>
  <r>
    <s v="REL01463"/>
    <s v="Female"/>
    <n v="28"/>
    <s v="BTech"/>
    <s v="Married"/>
    <x v="0"/>
    <s v="Customer Service Rep"/>
    <x v="1"/>
    <x v="5"/>
    <s v="South"/>
    <n v="14"/>
    <n v="70039"/>
    <x v="0"/>
    <n v="2"/>
    <n v="2"/>
    <n v="38"/>
    <n v="1"/>
    <d v="2009-01-13T00:00:00"/>
    <s v="No"/>
    <x v="0"/>
    <n v="3"/>
    <x v="2"/>
    <x v="0"/>
    <x v="0"/>
  </r>
  <r>
    <s v="REL01464"/>
    <s v="Female"/>
    <n v="55"/>
    <s v="Post Graduate"/>
    <s v="Single"/>
    <x v="0"/>
    <s v="Operations Head"/>
    <x v="0"/>
    <x v="2"/>
    <s v="West"/>
    <n v="12"/>
    <n v="114431"/>
    <x v="1"/>
    <n v="4"/>
    <n v="2"/>
    <n v="10"/>
    <n v="3"/>
    <d v="2011-05-03T00:00:00"/>
    <s v="Yes"/>
    <x v="1"/>
    <n v="1"/>
    <x v="2"/>
    <x v="1"/>
    <x v="2"/>
  </r>
  <r>
    <s v="REL01465"/>
    <s v="Male"/>
    <n v="51"/>
    <s v="BTech"/>
    <s v="Divorced"/>
    <x v="3"/>
    <s v="Sales Executive"/>
    <x v="1"/>
    <x v="2"/>
    <s v="West"/>
    <n v="11"/>
    <n v="64174"/>
    <x v="0"/>
    <n v="2"/>
    <n v="3"/>
    <n v="28"/>
    <n v="3"/>
    <d v="2012-04-07T00:00:00"/>
    <s v="Yes"/>
    <x v="0"/>
    <n v="3"/>
    <x v="2"/>
    <x v="1"/>
    <x v="0"/>
  </r>
  <r>
    <s v="REL01466"/>
    <s v="Male"/>
    <n v="51"/>
    <s v="Post Graduate"/>
    <s v="Single"/>
    <x v="5"/>
    <s v="Store Manager"/>
    <x v="1"/>
    <x v="7"/>
    <s v="East"/>
    <n v="7"/>
    <n v="102775"/>
    <x v="2"/>
    <n v="4"/>
    <n v="1"/>
    <n v="67"/>
    <n v="0"/>
    <d v="2016-09-04T00:00:00"/>
    <s v="No"/>
    <x v="1"/>
    <n v="2"/>
    <x v="1"/>
    <x v="0"/>
    <x v="1"/>
  </r>
  <r>
    <s v="REL01467"/>
    <s v="Female"/>
    <n v="25"/>
    <s v="BTech"/>
    <s v="Married"/>
    <x v="3"/>
    <s v="Store Manager"/>
    <x v="2"/>
    <x v="6"/>
    <s v="South"/>
    <n v="11"/>
    <n v="98176"/>
    <x v="1"/>
    <n v="4"/>
    <n v="4"/>
    <n v="51"/>
    <n v="2"/>
    <d v="2012-08-17T00:00:00"/>
    <s v="Yes"/>
    <x v="1"/>
    <n v="1"/>
    <x v="2"/>
    <x v="1"/>
    <x v="2"/>
  </r>
  <r>
    <s v="REL01468"/>
    <s v="Male"/>
    <n v="50"/>
    <s v="Post Graduate"/>
    <s v="Married"/>
    <x v="7"/>
    <s v="Customer Service Rep"/>
    <x v="3"/>
    <x v="0"/>
    <s v="North"/>
    <n v="6"/>
    <n v="43636"/>
    <x v="1"/>
    <n v="1"/>
    <n v="3"/>
    <n v="18"/>
    <n v="2"/>
    <d v="2017-11-24T00:00:00"/>
    <s v="No"/>
    <x v="2"/>
    <n v="1"/>
    <x v="1"/>
    <x v="0"/>
    <x v="1"/>
  </r>
  <r>
    <s v="REL01469"/>
    <s v="Male"/>
    <n v="54"/>
    <s v="HSC"/>
    <s v="Divorced"/>
    <x v="0"/>
    <s v="Logistics Coordinator"/>
    <x v="1"/>
    <x v="9"/>
    <s v="West"/>
    <n v="6"/>
    <n v="52493"/>
    <x v="2"/>
    <n v="4"/>
    <n v="4"/>
    <n v="36"/>
    <n v="0"/>
    <d v="2017-03-27T00:00:00"/>
    <s v="No"/>
    <x v="0"/>
    <n v="2"/>
    <x v="1"/>
    <x v="0"/>
    <x v="1"/>
  </r>
  <r>
    <s v="REL01470"/>
    <s v="Male"/>
    <n v="33"/>
    <s v="Graduate"/>
    <s v="Divorced"/>
    <x v="0"/>
    <s v="HR Manager"/>
    <x v="3"/>
    <x v="6"/>
    <s v="South"/>
    <n v="2"/>
    <n v="76792"/>
    <x v="1"/>
    <n v="1"/>
    <n v="3"/>
    <n v="21"/>
    <n v="0"/>
    <d v="2021-01-18T00:00:00"/>
    <s v="Yes"/>
    <x v="0"/>
    <n v="1"/>
    <x v="3"/>
    <x v="1"/>
    <x v="1"/>
  </r>
  <r>
    <s v="REL01471"/>
    <s v="Female"/>
    <n v="24"/>
    <s v="Graduate"/>
    <s v="Single"/>
    <x v="6"/>
    <s v="Store Manager"/>
    <x v="4"/>
    <x v="6"/>
    <s v="South"/>
    <n v="14"/>
    <n v="119005"/>
    <x v="0"/>
    <n v="4"/>
    <n v="2"/>
    <n v="38"/>
    <n v="3"/>
    <d v="2009-06-13T00:00:00"/>
    <s v="Yes"/>
    <x v="1"/>
    <n v="3"/>
    <x v="2"/>
    <x v="1"/>
    <x v="0"/>
  </r>
  <r>
    <s v="REL01472"/>
    <s v="Female"/>
    <n v="51"/>
    <s v="Graduate"/>
    <s v="Single"/>
    <x v="3"/>
    <s v="Operations Head"/>
    <x v="3"/>
    <x v="6"/>
    <s v="South"/>
    <n v="4"/>
    <n v="109756"/>
    <x v="0"/>
    <n v="3"/>
    <n v="1"/>
    <n v="63"/>
    <n v="3"/>
    <d v="2019-01-29T00:00:00"/>
    <s v="No"/>
    <x v="1"/>
    <n v="3"/>
    <x v="0"/>
    <x v="0"/>
    <x v="0"/>
  </r>
  <r>
    <s v="REL01473"/>
    <s v="Female"/>
    <n v="22"/>
    <s v="MBA"/>
    <s v="Married"/>
    <x v="7"/>
    <s v="Marketing Executive"/>
    <x v="1"/>
    <x v="7"/>
    <s v="East"/>
    <n v="14"/>
    <n v="74258"/>
    <x v="1"/>
    <n v="2"/>
    <n v="1"/>
    <n v="31"/>
    <n v="1"/>
    <d v="2009-01-16T00:00:00"/>
    <s v="Yes"/>
    <x v="0"/>
    <n v="1"/>
    <x v="2"/>
    <x v="1"/>
    <x v="1"/>
  </r>
  <r>
    <s v="REL01474"/>
    <s v="Male"/>
    <n v="44"/>
    <s v="Post Graduate"/>
    <s v="Divorced"/>
    <x v="5"/>
    <s v="Store Manager"/>
    <x v="0"/>
    <x v="0"/>
    <s v="North"/>
    <n v="11"/>
    <n v="107429"/>
    <x v="2"/>
    <n v="1"/>
    <n v="4"/>
    <n v="38"/>
    <n v="2"/>
    <d v="2012-01-23T00:00:00"/>
    <s v="No"/>
    <x v="1"/>
    <n v="2"/>
    <x v="2"/>
    <x v="0"/>
    <x v="1"/>
  </r>
  <r>
    <s v="REL01475"/>
    <s v="Male"/>
    <n v="41"/>
    <s v="MBA"/>
    <s v="Single"/>
    <x v="4"/>
    <s v="Marketing Executive"/>
    <x v="4"/>
    <x v="8"/>
    <s v="South"/>
    <n v="6"/>
    <n v="55429"/>
    <x v="2"/>
    <n v="1"/>
    <n v="2"/>
    <n v="39"/>
    <n v="2"/>
    <d v="2017-07-27T00:00:00"/>
    <s v="Yes"/>
    <x v="0"/>
    <n v="2"/>
    <x v="1"/>
    <x v="1"/>
    <x v="1"/>
  </r>
  <r>
    <s v="REL01476"/>
    <s v="Male"/>
    <n v="50"/>
    <s v="MBA"/>
    <s v="Divorced"/>
    <x v="1"/>
    <s v="Customer Service Rep"/>
    <x v="3"/>
    <x v="3"/>
    <s v="West"/>
    <n v="2"/>
    <n v="41895"/>
    <x v="1"/>
    <n v="4"/>
    <n v="1"/>
    <n v="28"/>
    <n v="1"/>
    <d v="2021-11-24T00:00:00"/>
    <s v="No"/>
    <x v="2"/>
    <n v="1"/>
    <x v="3"/>
    <x v="3"/>
    <x v="1"/>
  </r>
  <r>
    <s v="REL01477"/>
    <s v="Female"/>
    <n v="23"/>
    <s v="Post Graduate"/>
    <s v="Married"/>
    <x v="4"/>
    <s v="Operations Head"/>
    <x v="0"/>
    <x v="8"/>
    <s v="South"/>
    <n v="9"/>
    <n v="111631"/>
    <x v="1"/>
    <n v="4"/>
    <n v="3"/>
    <n v="12"/>
    <n v="0"/>
    <d v="2014-03-15T00:00:00"/>
    <s v="Yes"/>
    <x v="1"/>
    <n v="1"/>
    <x v="1"/>
    <x v="1"/>
    <x v="2"/>
  </r>
  <r>
    <s v="REL01478"/>
    <s v="Male"/>
    <n v="29"/>
    <s v="HSC"/>
    <s v="Divorced"/>
    <x v="1"/>
    <s v="Marketing Executive"/>
    <x v="2"/>
    <x v="2"/>
    <s v="West"/>
    <n v="8"/>
    <n v="72338"/>
    <x v="2"/>
    <n v="4"/>
    <n v="3"/>
    <n v="67"/>
    <n v="1"/>
    <d v="2015-01-30T00:00:00"/>
    <s v="No"/>
    <x v="0"/>
    <n v="2"/>
    <x v="1"/>
    <x v="0"/>
    <x v="1"/>
  </r>
  <r>
    <s v="REL01479"/>
    <s v="Male"/>
    <n v="30"/>
    <s v="BTech"/>
    <s v="Single"/>
    <x v="3"/>
    <s v="Logistics Coordinator"/>
    <x v="3"/>
    <x v="4"/>
    <s v="North"/>
    <n v="2"/>
    <n v="57335"/>
    <x v="0"/>
    <n v="3"/>
    <n v="3"/>
    <n v="48"/>
    <n v="1"/>
    <d v="2021-01-03T00:00:00"/>
    <s v="No"/>
    <x v="0"/>
    <n v="3"/>
    <x v="3"/>
    <x v="0"/>
    <x v="0"/>
  </r>
  <r>
    <s v="REL01480"/>
    <s v="Female"/>
    <n v="38"/>
    <s v="BTech"/>
    <s v="Single"/>
    <x v="1"/>
    <s v="Logistics Coordinator"/>
    <x v="2"/>
    <x v="5"/>
    <s v="South"/>
    <n v="2"/>
    <n v="51217"/>
    <x v="2"/>
    <n v="4"/>
    <n v="4"/>
    <n v="13"/>
    <n v="3"/>
    <d v="2021-03-26T00:00:00"/>
    <s v="Yes"/>
    <x v="0"/>
    <n v="2"/>
    <x v="3"/>
    <x v="1"/>
    <x v="1"/>
  </r>
  <r>
    <s v="REL01481"/>
    <s v="Female"/>
    <n v="44"/>
    <s v="BTech"/>
    <s v="Married"/>
    <x v="4"/>
    <s v="Finance Analyst"/>
    <x v="0"/>
    <x v="5"/>
    <s v="South"/>
    <n v="14"/>
    <n v="86342"/>
    <x v="1"/>
    <n v="1"/>
    <n v="4"/>
    <n v="44"/>
    <n v="0"/>
    <d v="2009-11-03T00:00:00"/>
    <s v="Yes"/>
    <x v="1"/>
    <n v="1"/>
    <x v="2"/>
    <x v="1"/>
    <x v="2"/>
  </r>
  <r>
    <s v="REL01482"/>
    <s v="Male"/>
    <n v="47"/>
    <s v="BTech"/>
    <s v="Divorced"/>
    <x v="2"/>
    <s v="Store Manager"/>
    <x v="3"/>
    <x v="2"/>
    <s v="West"/>
    <n v="6"/>
    <n v="92294"/>
    <x v="3"/>
    <n v="1"/>
    <n v="3"/>
    <n v="22"/>
    <n v="1"/>
    <d v="2017-11-24T00:00:00"/>
    <s v="No"/>
    <x v="1"/>
    <n v="4"/>
    <x v="1"/>
    <x v="2"/>
    <x v="0"/>
  </r>
  <r>
    <s v="REL01483"/>
    <s v="Female"/>
    <n v="50"/>
    <s v="HSC"/>
    <s v="Single"/>
    <x v="4"/>
    <s v="Store Manager"/>
    <x v="3"/>
    <x v="8"/>
    <s v="South"/>
    <n v="12"/>
    <n v="118359"/>
    <x v="1"/>
    <n v="2"/>
    <n v="2"/>
    <n v="78"/>
    <n v="3"/>
    <d v="2011-09-22T00:00:00"/>
    <s v="No"/>
    <x v="1"/>
    <n v="1"/>
    <x v="2"/>
    <x v="0"/>
    <x v="2"/>
  </r>
  <r>
    <s v="REL01484"/>
    <s v="Female"/>
    <n v="33"/>
    <s v="Graduate"/>
    <s v="Divorced"/>
    <x v="1"/>
    <s v="HR Manager"/>
    <x v="2"/>
    <x v="8"/>
    <s v="South"/>
    <n v="13"/>
    <n v="104918"/>
    <x v="3"/>
    <n v="2"/>
    <n v="4"/>
    <n v="58"/>
    <n v="3"/>
    <d v="2010-12-20T00:00:00"/>
    <s v="No"/>
    <x v="1"/>
    <n v="4"/>
    <x v="2"/>
    <x v="2"/>
    <x v="0"/>
  </r>
  <r>
    <s v="REL01485"/>
    <s v="Female"/>
    <n v="47"/>
    <s v="Post Graduate"/>
    <s v="Married"/>
    <x v="2"/>
    <s v="Logistics Coordinator"/>
    <x v="1"/>
    <x v="9"/>
    <s v="West"/>
    <n v="7"/>
    <n v="63270"/>
    <x v="1"/>
    <n v="2"/>
    <n v="1"/>
    <n v="27"/>
    <n v="1"/>
    <d v="2016-10-23T00:00:00"/>
    <s v="Yes"/>
    <x v="0"/>
    <n v="1"/>
    <x v="1"/>
    <x v="1"/>
    <x v="1"/>
  </r>
  <r>
    <s v="REL01486"/>
    <s v="Male"/>
    <n v="48"/>
    <s v="MBA"/>
    <s v="Married"/>
    <x v="1"/>
    <s v="Marketing Executive"/>
    <x v="0"/>
    <x v="6"/>
    <s v="South"/>
    <n v="2"/>
    <n v="58343"/>
    <x v="3"/>
    <n v="1"/>
    <n v="1"/>
    <n v="70"/>
    <n v="3"/>
    <d v="2021-03-24T00:00:00"/>
    <s v="No"/>
    <x v="0"/>
    <n v="4"/>
    <x v="3"/>
    <x v="2"/>
    <x v="1"/>
  </r>
  <r>
    <s v="REL01487"/>
    <s v="Female"/>
    <n v="40"/>
    <s v="Graduate"/>
    <s v="Divorced"/>
    <x v="2"/>
    <s v="Operations Head"/>
    <x v="0"/>
    <x v="4"/>
    <s v="North"/>
    <n v="11"/>
    <n v="116046"/>
    <x v="0"/>
    <n v="2"/>
    <n v="2"/>
    <n v="41"/>
    <n v="2"/>
    <d v="2012-11-03T00:00:00"/>
    <s v="No"/>
    <x v="1"/>
    <n v="3"/>
    <x v="2"/>
    <x v="0"/>
    <x v="0"/>
  </r>
  <r>
    <s v="REL01488"/>
    <s v="Male"/>
    <n v="29"/>
    <s v="BTech"/>
    <s v="Married"/>
    <x v="7"/>
    <s v="Customer Service Rep"/>
    <x v="0"/>
    <x v="0"/>
    <s v="North"/>
    <n v="15"/>
    <n v="69230"/>
    <x v="1"/>
    <n v="2"/>
    <n v="4"/>
    <n v="26"/>
    <n v="3"/>
    <d v="2008-06-26T00:00:00"/>
    <s v="Yes"/>
    <x v="0"/>
    <n v="1"/>
    <x v="2"/>
    <x v="1"/>
    <x v="1"/>
  </r>
  <r>
    <s v="REL01489"/>
    <s v="Male"/>
    <n v="33"/>
    <s v="MBA"/>
    <s v="Divorced"/>
    <x v="2"/>
    <s v="Logistics Coordinator"/>
    <x v="1"/>
    <x v="5"/>
    <s v="South"/>
    <n v="12"/>
    <n v="69972"/>
    <x v="2"/>
    <n v="4"/>
    <n v="4"/>
    <n v="43"/>
    <n v="0"/>
    <d v="2011-03-12T00:00:00"/>
    <s v="No"/>
    <x v="0"/>
    <n v="2"/>
    <x v="2"/>
    <x v="0"/>
    <x v="1"/>
  </r>
  <r>
    <s v="REL01490"/>
    <s v="Female"/>
    <n v="26"/>
    <s v="Post Graduate"/>
    <s v="Married"/>
    <x v="0"/>
    <s v="Customer Service Rep"/>
    <x v="4"/>
    <x v="8"/>
    <s v="South"/>
    <n v="15"/>
    <n v="55081"/>
    <x v="0"/>
    <n v="3"/>
    <n v="3"/>
    <n v="80"/>
    <n v="3"/>
    <d v="2008-07-17T00:00:00"/>
    <s v="No"/>
    <x v="0"/>
    <n v="3"/>
    <x v="2"/>
    <x v="0"/>
    <x v="0"/>
  </r>
  <r>
    <s v="REL01491"/>
    <s v="Male"/>
    <n v="26"/>
    <s v="HSC"/>
    <s v="Married"/>
    <x v="3"/>
    <s v="Store Manager"/>
    <x v="2"/>
    <x v="9"/>
    <s v="West"/>
    <n v="10"/>
    <n v="104853"/>
    <x v="0"/>
    <n v="3"/>
    <n v="4"/>
    <n v="20"/>
    <n v="2"/>
    <d v="2013-09-02T00:00:00"/>
    <s v="No"/>
    <x v="1"/>
    <n v="3"/>
    <x v="1"/>
    <x v="0"/>
    <x v="0"/>
  </r>
  <r>
    <s v="REL01492"/>
    <s v="Female"/>
    <n v="55"/>
    <s v="BTech"/>
    <s v="Married"/>
    <x v="4"/>
    <s v="Customer Service Rep"/>
    <x v="1"/>
    <x v="9"/>
    <s v="West"/>
    <n v="3"/>
    <n v="34040"/>
    <x v="0"/>
    <n v="3"/>
    <n v="2"/>
    <n v="18"/>
    <n v="1"/>
    <d v="2020-08-21T00:00:00"/>
    <s v="Yes"/>
    <x v="3"/>
    <n v="3"/>
    <x v="0"/>
    <x v="1"/>
    <x v="1"/>
  </r>
  <r>
    <s v="REL01493"/>
    <s v="Female"/>
    <n v="49"/>
    <s v="Graduate"/>
    <s v="Divorced"/>
    <x v="4"/>
    <s v="Marketing Executive"/>
    <x v="4"/>
    <x v="3"/>
    <s v="West"/>
    <n v="5"/>
    <n v="64444"/>
    <x v="2"/>
    <n v="2"/>
    <n v="1"/>
    <n v="77"/>
    <n v="2"/>
    <d v="2018-02-03T00:00:00"/>
    <s v="No"/>
    <x v="0"/>
    <n v="2"/>
    <x v="0"/>
    <x v="0"/>
    <x v="1"/>
  </r>
  <r>
    <s v="REL01494"/>
    <s v="Male"/>
    <n v="27"/>
    <s v="HSC"/>
    <s v="Single"/>
    <x v="0"/>
    <s v="Finance Analyst"/>
    <x v="4"/>
    <x v="1"/>
    <s v="North"/>
    <n v="12"/>
    <n v="81969"/>
    <x v="3"/>
    <n v="1"/>
    <n v="3"/>
    <n v="39"/>
    <n v="3"/>
    <d v="2011-07-29T00:00:00"/>
    <s v="Yes"/>
    <x v="1"/>
    <n v="4"/>
    <x v="2"/>
    <x v="1"/>
    <x v="0"/>
  </r>
  <r>
    <s v="REL01495"/>
    <s v="Female"/>
    <n v="28"/>
    <s v="Graduate"/>
    <s v="Divorced"/>
    <x v="6"/>
    <s v="Store Manager"/>
    <x v="2"/>
    <x v="9"/>
    <s v="West"/>
    <n v="13"/>
    <n v="116921"/>
    <x v="3"/>
    <n v="4"/>
    <n v="3"/>
    <n v="64"/>
    <n v="2"/>
    <d v="2010-11-26T00:00:00"/>
    <s v="No"/>
    <x v="1"/>
    <n v="4"/>
    <x v="2"/>
    <x v="2"/>
    <x v="0"/>
  </r>
  <r>
    <s v="REL01496"/>
    <s v="Male"/>
    <n v="37"/>
    <s v="Graduate"/>
    <s v="Married"/>
    <x v="5"/>
    <s v="Store Manager"/>
    <x v="3"/>
    <x v="6"/>
    <s v="South"/>
    <n v="7"/>
    <n v="93678"/>
    <x v="3"/>
    <n v="3"/>
    <n v="2"/>
    <n v="35"/>
    <n v="0"/>
    <d v="2016-03-12T00:00:00"/>
    <s v="No"/>
    <x v="1"/>
    <n v="4"/>
    <x v="1"/>
    <x v="2"/>
    <x v="0"/>
  </r>
  <r>
    <s v="REL01497"/>
    <s v="Female"/>
    <n v="43"/>
    <s v="Graduate"/>
    <s v="Divorced"/>
    <x v="0"/>
    <s v="Store Manager"/>
    <x v="4"/>
    <x v="2"/>
    <s v="West"/>
    <n v="4"/>
    <n v="89062"/>
    <x v="0"/>
    <n v="3"/>
    <n v="2"/>
    <n v="31"/>
    <n v="2"/>
    <d v="2019-05-26T00:00:00"/>
    <s v="No"/>
    <x v="1"/>
    <n v="3"/>
    <x v="0"/>
    <x v="0"/>
    <x v="0"/>
  </r>
  <r>
    <s v="REL01498"/>
    <s v="Male"/>
    <n v="42"/>
    <s v="Graduate"/>
    <s v="Married"/>
    <x v="2"/>
    <s v="Logistics Coordinator"/>
    <x v="0"/>
    <x v="0"/>
    <s v="North"/>
    <n v="1"/>
    <n v="50397"/>
    <x v="0"/>
    <n v="3"/>
    <n v="2"/>
    <n v="12"/>
    <n v="0"/>
    <d v="2022-12-14T00:00:00"/>
    <s v="No"/>
    <x v="0"/>
    <n v="3"/>
    <x v="3"/>
    <x v="0"/>
    <x v="0"/>
  </r>
  <r>
    <s v="REL01499"/>
    <s v="Female"/>
    <n v="24"/>
    <s v="Graduate"/>
    <s v="Married"/>
    <x v="6"/>
    <s v="HR Manager"/>
    <x v="2"/>
    <x v="2"/>
    <s v="West"/>
    <n v="14"/>
    <n v="97218"/>
    <x v="0"/>
    <n v="2"/>
    <n v="2"/>
    <n v="33"/>
    <n v="1"/>
    <d v="2009-10-27T00:00:00"/>
    <s v="No"/>
    <x v="1"/>
    <n v="3"/>
    <x v="2"/>
    <x v="0"/>
    <x v="0"/>
  </r>
  <r>
    <s v="REL01500"/>
    <s v="Male"/>
    <n v="29"/>
    <s v="Post Graduate"/>
    <s v="Married"/>
    <x v="5"/>
    <s v="Store Manager"/>
    <x v="3"/>
    <x v="3"/>
    <s v="West"/>
    <n v="11"/>
    <n v="100132"/>
    <x v="0"/>
    <n v="3"/>
    <n v="2"/>
    <n v="38"/>
    <n v="0"/>
    <d v="2012-12-11T00:00:00"/>
    <s v="No"/>
    <x v="1"/>
    <n v="3"/>
    <x v="2"/>
    <x v="0"/>
    <x v="0"/>
  </r>
  <r>
    <s v="REL01501"/>
    <s v="Male"/>
    <n v="38"/>
    <s v="HSC"/>
    <s v="Married"/>
    <x v="1"/>
    <s v="Logistics Coordinator"/>
    <x v="2"/>
    <x v="5"/>
    <s v="South"/>
    <n v="3"/>
    <n v="44825"/>
    <x v="2"/>
    <n v="3"/>
    <n v="3"/>
    <n v="26"/>
    <n v="1"/>
    <d v="2020-10-12T00:00:00"/>
    <s v="No"/>
    <x v="2"/>
    <n v="2"/>
    <x v="0"/>
    <x v="0"/>
    <x v="1"/>
  </r>
  <r>
    <s v="REL01502"/>
    <s v="Male"/>
    <n v="38"/>
    <s v="BTech"/>
    <s v="Divorced"/>
    <x v="3"/>
    <s v="Operations Head"/>
    <x v="1"/>
    <x v="8"/>
    <s v="South"/>
    <n v="5"/>
    <n v="114969"/>
    <x v="1"/>
    <n v="4"/>
    <n v="4"/>
    <n v="34"/>
    <n v="2"/>
    <d v="2018-12-31T00:00:00"/>
    <s v="Yes"/>
    <x v="1"/>
    <n v="1"/>
    <x v="0"/>
    <x v="1"/>
    <x v="2"/>
  </r>
  <r>
    <s v="REL01503"/>
    <s v="Male"/>
    <n v="39"/>
    <s v="BTech"/>
    <s v="Divorced"/>
    <x v="0"/>
    <s v="Logistics Coordinator"/>
    <x v="1"/>
    <x v="6"/>
    <s v="South"/>
    <n v="4"/>
    <n v="57870"/>
    <x v="2"/>
    <n v="3"/>
    <n v="2"/>
    <n v="70"/>
    <n v="1"/>
    <d v="2019-02-16T00:00:00"/>
    <s v="No"/>
    <x v="0"/>
    <n v="2"/>
    <x v="0"/>
    <x v="0"/>
    <x v="1"/>
  </r>
  <r>
    <s v="REL01504"/>
    <s v="Female"/>
    <n v="26"/>
    <s v="HSC"/>
    <s v="Married"/>
    <x v="6"/>
    <s v="HR Manager"/>
    <x v="4"/>
    <x v="7"/>
    <s v="East"/>
    <n v="12"/>
    <n v="101571"/>
    <x v="2"/>
    <n v="4"/>
    <n v="2"/>
    <n v="57"/>
    <n v="1"/>
    <d v="2011-06-29T00:00:00"/>
    <s v="No"/>
    <x v="1"/>
    <n v="2"/>
    <x v="2"/>
    <x v="0"/>
    <x v="1"/>
  </r>
  <r>
    <s v="REL01505"/>
    <s v="Male"/>
    <n v="37"/>
    <s v="MBA"/>
    <s v="Divorced"/>
    <x v="0"/>
    <s v="Operations Head"/>
    <x v="1"/>
    <x v="1"/>
    <s v="North"/>
    <n v="7"/>
    <n v="102448"/>
    <x v="1"/>
    <n v="3"/>
    <n v="2"/>
    <n v="46"/>
    <n v="3"/>
    <d v="2016-06-27T00:00:00"/>
    <s v="Yes"/>
    <x v="1"/>
    <n v="1"/>
    <x v="1"/>
    <x v="1"/>
    <x v="2"/>
  </r>
  <r>
    <s v="REL01506"/>
    <s v="Female"/>
    <n v="30"/>
    <s v="BTech"/>
    <s v="Divorced"/>
    <x v="6"/>
    <s v="Marketing Executive"/>
    <x v="3"/>
    <x v="8"/>
    <s v="South"/>
    <n v="11"/>
    <n v="73077"/>
    <x v="2"/>
    <n v="3"/>
    <n v="2"/>
    <n v="29"/>
    <n v="2"/>
    <d v="2012-03-22T00:00:00"/>
    <s v="No"/>
    <x v="0"/>
    <n v="2"/>
    <x v="2"/>
    <x v="0"/>
    <x v="1"/>
  </r>
  <r>
    <s v="REL01507"/>
    <s v="Male"/>
    <n v="51"/>
    <s v="MBA"/>
    <s v="Single"/>
    <x v="6"/>
    <s v="Sales Executive"/>
    <x v="3"/>
    <x v="5"/>
    <s v="South"/>
    <n v="5"/>
    <n v="51100"/>
    <x v="0"/>
    <n v="2"/>
    <n v="3"/>
    <n v="44"/>
    <n v="1"/>
    <d v="2018-11-22T00:00:00"/>
    <s v="No"/>
    <x v="0"/>
    <n v="3"/>
    <x v="0"/>
    <x v="0"/>
    <x v="0"/>
  </r>
  <r>
    <s v="REL01508"/>
    <s v="Female"/>
    <n v="28"/>
    <s v="MBA"/>
    <s v="Divorced"/>
    <x v="6"/>
    <s v="Logistics Coordinator"/>
    <x v="1"/>
    <x v="8"/>
    <s v="South"/>
    <n v="9"/>
    <n v="61072"/>
    <x v="2"/>
    <n v="2"/>
    <n v="3"/>
    <n v="70"/>
    <n v="1"/>
    <d v="2014-12-21T00:00:00"/>
    <s v="No"/>
    <x v="0"/>
    <n v="2"/>
    <x v="1"/>
    <x v="0"/>
    <x v="1"/>
  </r>
  <r>
    <s v="REL01509"/>
    <s v="Female"/>
    <n v="54"/>
    <s v="Post Graduate"/>
    <s v="Divorced"/>
    <x v="2"/>
    <s v="Marketing Executive"/>
    <x v="3"/>
    <x v="4"/>
    <s v="North"/>
    <n v="6"/>
    <n v="68387"/>
    <x v="3"/>
    <n v="4"/>
    <n v="1"/>
    <n v="13"/>
    <n v="1"/>
    <d v="2017-11-12T00:00:00"/>
    <s v="Yes"/>
    <x v="0"/>
    <n v="4"/>
    <x v="1"/>
    <x v="1"/>
    <x v="1"/>
  </r>
  <r>
    <s v="REL01510"/>
    <s v="Male"/>
    <n v="28"/>
    <s v="HSC"/>
    <s v="Divorced"/>
    <x v="7"/>
    <s v="Logistics Coordinator"/>
    <x v="2"/>
    <x v="3"/>
    <s v="West"/>
    <n v="3"/>
    <n v="42931"/>
    <x v="1"/>
    <n v="4"/>
    <n v="4"/>
    <n v="80"/>
    <n v="0"/>
    <d v="2020-10-08T00:00:00"/>
    <s v="No"/>
    <x v="2"/>
    <n v="1"/>
    <x v="0"/>
    <x v="0"/>
    <x v="1"/>
  </r>
  <r>
    <s v="REL01511"/>
    <s v="Female"/>
    <n v="47"/>
    <s v="Post Graduate"/>
    <s v="Divorced"/>
    <x v="3"/>
    <s v="Marketing Executive"/>
    <x v="3"/>
    <x v="1"/>
    <s v="North"/>
    <n v="10"/>
    <n v="63860"/>
    <x v="2"/>
    <n v="3"/>
    <n v="4"/>
    <n v="60"/>
    <n v="1"/>
    <d v="2013-11-02T00:00:00"/>
    <s v="No"/>
    <x v="0"/>
    <n v="2"/>
    <x v="1"/>
    <x v="0"/>
    <x v="1"/>
  </r>
  <r>
    <s v="REL01512"/>
    <s v="Male"/>
    <n v="28"/>
    <s v="MBA"/>
    <s v="Single"/>
    <x v="4"/>
    <s v="Operations Head"/>
    <x v="2"/>
    <x v="7"/>
    <s v="East"/>
    <n v="7"/>
    <n v="110287"/>
    <x v="0"/>
    <n v="3"/>
    <n v="1"/>
    <n v="37"/>
    <n v="3"/>
    <d v="2016-09-19T00:00:00"/>
    <s v="No"/>
    <x v="1"/>
    <n v="3"/>
    <x v="1"/>
    <x v="0"/>
    <x v="0"/>
  </r>
  <r>
    <s v="REL01513"/>
    <s v="Female"/>
    <n v="40"/>
    <s v="BTech"/>
    <s v="Married"/>
    <x v="4"/>
    <s v="Sales Executive"/>
    <x v="1"/>
    <x v="4"/>
    <s v="North"/>
    <n v="11"/>
    <n v="57948"/>
    <x v="3"/>
    <n v="1"/>
    <n v="4"/>
    <n v="67"/>
    <n v="0"/>
    <d v="2012-01-10T00:00:00"/>
    <s v="No"/>
    <x v="0"/>
    <n v="4"/>
    <x v="2"/>
    <x v="2"/>
    <x v="1"/>
  </r>
  <r>
    <s v="REL01514"/>
    <s v="Male"/>
    <n v="32"/>
    <s v="HSC"/>
    <s v="Divorced"/>
    <x v="1"/>
    <s v="Sales Executive"/>
    <x v="2"/>
    <x v="2"/>
    <s v="West"/>
    <n v="4"/>
    <n v="39076"/>
    <x v="2"/>
    <n v="1"/>
    <n v="1"/>
    <n v="61"/>
    <n v="1"/>
    <d v="2019-06-17T00:00:00"/>
    <s v="Yes"/>
    <x v="2"/>
    <n v="2"/>
    <x v="0"/>
    <x v="1"/>
    <x v="1"/>
  </r>
  <r>
    <s v="REL01515"/>
    <s v="Female"/>
    <n v="39"/>
    <s v="Post Graduate"/>
    <s v="Married"/>
    <x v="4"/>
    <s v="Sales Executive"/>
    <x v="1"/>
    <x v="4"/>
    <s v="North"/>
    <n v="13"/>
    <n v="62379"/>
    <x v="3"/>
    <n v="4"/>
    <n v="4"/>
    <n v="36"/>
    <n v="2"/>
    <d v="2010-09-08T00:00:00"/>
    <s v="No"/>
    <x v="0"/>
    <n v="4"/>
    <x v="2"/>
    <x v="2"/>
    <x v="1"/>
  </r>
  <r>
    <s v="REL01516"/>
    <s v="Female"/>
    <n v="53"/>
    <s v="BTech"/>
    <s v="Single"/>
    <x v="2"/>
    <s v="Operations Head"/>
    <x v="0"/>
    <x v="1"/>
    <s v="North"/>
    <n v="14"/>
    <n v="115903"/>
    <x v="3"/>
    <n v="1"/>
    <n v="1"/>
    <n v="42"/>
    <n v="0"/>
    <d v="2009-11-29T00:00:00"/>
    <s v="Yes"/>
    <x v="1"/>
    <n v="4"/>
    <x v="2"/>
    <x v="1"/>
    <x v="0"/>
  </r>
  <r>
    <s v="REL01517"/>
    <s v="Male"/>
    <n v="24"/>
    <s v="Post Graduate"/>
    <s v="Divorced"/>
    <x v="6"/>
    <s v="Sales Executive"/>
    <x v="4"/>
    <x v="0"/>
    <s v="North"/>
    <n v="10"/>
    <n v="50816"/>
    <x v="2"/>
    <n v="4"/>
    <n v="4"/>
    <n v="25"/>
    <n v="3"/>
    <d v="2013-07-28T00:00:00"/>
    <s v="Yes"/>
    <x v="0"/>
    <n v="2"/>
    <x v="1"/>
    <x v="1"/>
    <x v="1"/>
  </r>
  <r>
    <s v="REL01518"/>
    <s v="Female"/>
    <n v="54"/>
    <s v="HSC"/>
    <s v="Married"/>
    <x v="0"/>
    <s v="Operations Head"/>
    <x v="4"/>
    <x v="1"/>
    <s v="North"/>
    <n v="4"/>
    <n v="97731"/>
    <x v="3"/>
    <n v="3"/>
    <n v="2"/>
    <n v="17"/>
    <n v="1"/>
    <d v="2019-09-22T00:00:00"/>
    <s v="Yes"/>
    <x v="1"/>
    <n v="4"/>
    <x v="0"/>
    <x v="1"/>
    <x v="0"/>
  </r>
  <r>
    <s v="REL01519"/>
    <s v="Male"/>
    <n v="35"/>
    <s v="BTech"/>
    <s v="Married"/>
    <x v="1"/>
    <s v="Finance Analyst"/>
    <x v="4"/>
    <x v="7"/>
    <s v="East"/>
    <n v="1"/>
    <n v="70529"/>
    <x v="1"/>
    <n v="1"/>
    <n v="1"/>
    <n v="51"/>
    <n v="3"/>
    <d v="2022-03-05T00:00:00"/>
    <s v="Yes"/>
    <x v="0"/>
    <n v="1"/>
    <x v="3"/>
    <x v="1"/>
    <x v="1"/>
  </r>
  <r>
    <s v="REL01520"/>
    <s v="Female"/>
    <n v="23"/>
    <s v="Post Graduate"/>
    <s v="Married"/>
    <x v="2"/>
    <s v="HR Manager"/>
    <x v="3"/>
    <x v="0"/>
    <s v="North"/>
    <n v="4"/>
    <n v="76203"/>
    <x v="3"/>
    <n v="4"/>
    <n v="1"/>
    <n v="30"/>
    <n v="0"/>
    <d v="2019-01-18T00:00:00"/>
    <s v="No"/>
    <x v="0"/>
    <n v="4"/>
    <x v="0"/>
    <x v="2"/>
    <x v="1"/>
  </r>
  <r>
    <s v="REL01521"/>
    <s v="Female"/>
    <n v="26"/>
    <s v="BTech"/>
    <s v="Single"/>
    <x v="2"/>
    <s v="Finance Analyst"/>
    <x v="4"/>
    <x v="8"/>
    <s v="South"/>
    <n v="14"/>
    <n v="87800"/>
    <x v="0"/>
    <n v="4"/>
    <n v="4"/>
    <n v="75"/>
    <n v="2"/>
    <d v="2009-10-27T00:00:00"/>
    <s v="No"/>
    <x v="1"/>
    <n v="3"/>
    <x v="2"/>
    <x v="0"/>
    <x v="0"/>
  </r>
  <r>
    <s v="REL01522"/>
    <s v="Female"/>
    <n v="41"/>
    <s v="BTech"/>
    <s v="Single"/>
    <x v="6"/>
    <s v="Sales Executive"/>
    <x v="0"/>
    <x v="9"/>
    <s v="West"/>
    <n v="4"/>
    <n v="45826"/>
    <x v="1"/>
    <n v="4"/>
    <n v="1"/>
    <n v="46"/>
    <n v="1"/>
    <d v="2019-12-14T00:00:00"/>
    <s v="Yes"/>
    <x v="2"/>
    <n v="1"/>
    <x v="0"/>
    <x v="1"/>
    <x v="1"/>
  </r>
  <r>
    <s v="REL01523"/>
    <s v="Female"/>
    <n v="35"/>
    <s v="HSC"/>
    <s v="Single"/>
    <x v="3"/>
    <s v="Store Manager"/>
    <x v="4"/>
    <x v="5"/>
    <s v="South"/>
    <n v="5"/>
    <n v="87494"/>
    <x v="2"/>
    <n v="4"/>
    <n v="4"/>
    <n v="33"/>
    <n v="3"/>
    <d v="2018-11-21T00:00:00"/>
    <s v="No"/>
    <x v="1"/>
    <n v="2"/>
    <x v="0"/>
    <x v="0"/>
    <x v="1"/>
  </r>
  <r>
    <s v="REL01524"/>
    <s v="Male"/>
    <n v="53"/>
    <s v="HSC"/>
    <s v="Single"/>
    <x v="6"/>
    <s v="Customer Service Rep"/>
    <x v="1"/>
    <x v="0"/>
    <s v="North"/>
    <n v="14"/>
    <n v="64047"/>
    <x v="2"/>
    <n v="1"/>
    <n v="2"/>
    <n v="56"/>
    <n v="2"/>
    <d v="2009-07-23T00:00:00"/>
    <s v="No"/>
    <x v="0"/>
    <n v="2"/>
    <x v="2"/>
    <x v="0"/>
    <x v="1"/>
  </r>
  <r>
    <s v="REL01525"/>
    <s v="Female"/>
    <n v="54"/>
    <s v="BTech"/>
    <s v="Divorced"/>
    <x v="2"/>
    <s v="Customer Service Rep"/>
    <x v="3"/>
    <x v="9"/>
    <s v="West"/>
    <n v="9"/>
    <n v="56956"/>
    <x v="2"/>
    <n v="2"/>
    <n v="1"/>
    <n v="13"/>
    <n v="2"/>
    <d v="2014-02-28T00:00:00"/>
    <s v="No"/>
    <x v="0"/>
    <n v="2"/>
    <x v="1"/>
    <x v="0"/>
    <x v="1"/>
  </r>
  <r>
    <s v="REL01526"/>
    <s v="Female"/>
    <n v="31"/>
    <s v="Post Graduate"/>
    <s v="Married"/>
    <x v="5"/>
    <s v="Logistics Coordinator"/>
    <x v="3"/>
    <x v="0"/>
    <s v="North"/>
    <n v="6"/>
    <n v="53822"/>
    <x v="1"/>
    <n v="1"/>
    <n v="4"/>
    <n v="29"/>
    <n v="3"/>
    <d v="2017-04-19T00:00:00"/>
    <s v="Yes"/>
    <x v="0"/>
    <n v="1"/>
    <x v="1"/>
    <x v="1"/>
    <x v="1"/>
  </r>
  <r>
    <s v="REL01527"/>
    <s v="Male"/>
    <n v="24"/>
    <s v="Graduate"/>
    <s v="Married"/>
    <x v="3"/>
    <s v="Store Manager"/>
    <x v="0"/>
    <x v="2"/>
    <s v="West"/>
    <n v="6"/>
    <n v="95486"/>
    <x v="1"/>
    <n v="3"/>
    <n v="1"/>
    <n v="38"/>
    <n v="0"/>
    <d v="2017-05-04T00:00:00"/>
    <s v="Yes"/>
    <x v="1"/>
    <n v="1"/>
    <x v="1"/>
    <x v="1"/>
    <x v="2"/>
  </r>
  <r>
    <s v="REL01528"/>
    <s v="Female"/>
    <n v="48"/>
    <s v="BTech"/>
    <s v="Divorced"/>
    <x v="6"/>
    <s v="Finance Analyst"/>
    <x v="2"/>
    <x v="2"/>
    <s v="West"/>
    <n v="1"/>
    <n v="55362"/>
    <x v="2"/>
    <n v="1"/>
    <n v="3"/>
    <n v="22"/>
    <n v="3"/>
    <d v="2022-12-31T00:00:00"/>
    <s v="Yes"/>
    <x v="0"/>
    <n v="2"/>
    <x v="3"/>
    <x v="1"/>
    <x v="1"/>
  </r>
  <r>
    <s v="REL01529"/>
    <s v="Male"/>
    <n v="44"/>
    <s v="Post Graduate"/>
    <s v="Single"/>
    <x v="3"/>
    <s v="HR Manager"/>
    <x v="4"/>
    <x v="6"/>
    <s v="South"/>
    <n v="7"/>
    <n v="85297"/>
    <x v="1"/>
    <n v="2"/>
    <n v="2"/>
    <n v="80"/>
    <n v="1"/>
    <d v="2016-11-07T00:00:00"/>
    <s v="No"/>
    <x v="1"/>
    <n v="1"/>
    <x v="1"/>
    <x v="0"/>
    <x v="2"/>
  </r>
  <r>
    <s v="REL01530"/>
    <s v="Female"/>
    <n v="31"/>
    <s v="BTech"/>
    <s v="Single"/>
    <x v="3"/>
    <s v="Store Manager"/>
    <x v="1"/>
    <x v="6"/>
    <s v="South"/>
    <n v="5"/>
    <n v="102565"/>
    <x v="0"/>
    <n v="3"/>
    <n v="3"/>
    <n v="14"/>
    <n v="0"/>
    <d v="2018-05-06T00:00:00"/>
    <s v="No"/>
    <x v="1"/>
    <n v="3"/>
    <x v="0"/>
    <x v="0"/>
    <x v="0"/>
  </r>
  <r>
    <s v="REL01531"/>
    <s v="Male"/>
    <n v="37"/>
    <s v="HSC"/>
    <s v="Divorced"/>
    <x v="2"/>
    <s v="Sales Executive"/>
    <x v="4"/>
    <x v="8"/>
    <s v="South"/>
    <n v="8"/>
    <n v="53476"/>
    <x v="2"/>
    <n v="1"/>
    <n v="3"/>
    <n v="34"/>
    <n v="2"/>
    <d v="2015-11-12T00:00:00"/>
    <s v="No"/>
    <x v="0"/>
    <n v="2"/>
    <x v="1"/>
    <x v="0"/>
    <x v="1"/>
  </r>
  <r>
    <s v="REL01532"/>
    <s v="Female"/>
    <n v="53"/>
    <s v="BTech"/>
    <s v="Single"/>
    <x v="3"/>
    <s v="Store Manager"/>
    <x v="2"/>
    <x v="9"/>
    <s v="West"/>
    <n v="15"/>
    <n v="119309"/>
    <x v="0"/>
    <n v="4"/>
    <n v="2"/>
    <n v="13"/>
    <n v="1"/>
    <d v="2008-11-05T00:00:00"/>
    <s v="No"/>
    <x v="1"/>
    <n v="3"/>
    <x v="2"/>
    <x v="0"/>
    <x v="0"/>
  </r>
  <r>
    <s v="REL01533"/>
    <s v="Female"/>
    <n v="37"/>
    <s v="HSC"/>
    <s v="Single"/>
    <x v="0"/>
    <s v="Operations Head"/>
    <x v="4"/>
    <x v="1"/>
    <s v="North"/>
    <n v="15"/>
    <n v="118353"/>
    <x v="3"/>
    <n v="3"/>
    <n v="2"/>
    <n v="75"/>
    <n v="0"/>
    <d v="2008-08-10T00:00:00"/>
    <s v="No"/>
    <x v="1"/>
    <n v="4"/>
    <x v="2"/>
    <x v="2"/>
    <x v="0"/>
  </r>
  <r>
    <s v="REL01534"/>
    <s v="Male"/>
    <n v="27"/>
    <s v="BTech"/>
    <s v="Divorced"/>
    <x v="4"/>
    <s v="Finance Analyst"/>
    <x v="3"/>
    <x v="8"/>
    <s v="South"/>
    <n v="13"/>
    <n v="85431"/>
    <x v="1"/>
    <n v="2"/>
    <n v="1"/>
    <n v="59"/>
    <n v="1"/>
    <d v="2010-12-17T00:00:00"/>
    <s v="No"/>
    <x v="1"/>
    <n v="1"/>
    <x v="2"/>
    <x v="0"/>
    <x v="2"/>
  </r>
  <r>
    <s v="REL01535"/>
    <s v="Male"/>
    <n v="31"/>
    <s v="Graduate"/>
    <s v="Single"/>
    <x v="7"/>
    <s v="Marketing Executive"/>
    <x v="1"/>
    <x v="7"/>
    <s v="East"/>
    <n v="11"/>
    <n v="77225"/>
    <x v="3"/>
    <n v="4"/>
    <n v="3"/>
    <n v="40"/>
    <n v="3"/>
    <d v="2012-03-10T00:00:00"/>
    <s v="No"/>
    <x v="0"/>
    <n v="4"/>
    <x v="2"/>
    <x v="2"/>
    <x v="1"/>
  </r>
  <r>
    <s v="REL01536"/>
    <s v="Female"/>
    <n v="23"/>
    <s v="BTech"/>
    <s v="Married"/>
    <x v="0"/>
    <s v="Customer Service Rep"/>
    <x v="0"/>
    <x v="4"/>
    <s v="North"/>
    <n v="9"/>
    <n v="54287"/>
    <x v="2"/>
    <n v="2"/>
    <n v="1"/>
    <n v="63"/>
    <n v="3"/>
    <d v="2014-06-27T00:00:00"/>
    <s v="No"/>
    <x v="0"/>
    <n v="2"/>
    <x v="1"/>
    <x v="0"/>
    <x v="1"/>
  </r>
  <r>
    <s v="REL01537"/>
    <s v="Female"/>
    <n v="22"/>
    <s v="MBA"/>
    <s v="Single"/>
    <x v="0"/>
    <s v="HR Manager"/>
    <x v="0"/>
    <x v="4"/>
    <s v="North"/>
    <n v="15"/>
    <n v="112033"/>
    <x v="2"/>
    <n v="1"/>
    <n v="4"/>
    <n v="52"/>
    <n v="3"/>
    <d v="2008-04-01T00:00:00"/>
    <s v="No"/>
    <x v="1"/>
    <n v="2"/>
    <x v="2"/>
    <x v="0"/>
    <x v="1"/>
  </r>
  <r>
    <s v="REL01538"/>
    <s v="Female"/>
    <n v="42"/>
    <s v="Post Graduate"/>
    <s v="Married"/>
    <x v="1"/>
    <s v="Operations Head"/>
    <x v="2"/>
    <x v="9"/>
    <s v="West"/>
    <n v="13"/>
    <n v="123165"/>
    <x v="1"/>
    <n v="4"/>
    <n v="1"/>
    <n v="38"/>
    <n v="3"/>
    <d v="2010-11-23T00:00:00"/>
    <s v="Yes"/>
    <x v="1"/>
    <n v="1"/>
    <x v="2"/>
    <x v="1"/>
    <x v="2"/>
  </r>
  <r>
    <s v="REL01539"/>
    <s v="Female"/>
    <n v="34"/>
    <s v="MBA"/>
    <s v="Divorced"/>
    <x v="2"/>
    <s v="Customer Service Rep"/>
    <x v="0"/>
    <x v="1"/>
    <s v="North"/>
    <n v="3"/>
    <n v="38207"/>
    <x v="3"/>
    <n v="4"/>
    <n v="2"/>
    <n v="60"/>
    <n v="2"/>
    <d v="2020-04-14T00:00:00"/>
    <s v="Yes"/>
    <x v="2"/>
    <n v="4"/>
    <x v="0"/>
    <x v="1"/>
    <x v="1"/>
  </r>
  <r>
    <s v="REL01540"/>
    <s v="Male"/>
    <n v="37"/>
    <s v="Post Graduate"/>
    <s v="Married"/>
    <x v="4"/>
    <s v="HR Manager"/>
    <x v="3"/>
    <x v="8"/>
    <s v="South"/>
    <n v="14"/>
    <n v="103587"/>
    <x v="1"/>
    <n v="2"/>
    <n v="2"/>
    <n v="48"/>
    <n v="0"/>
    <d v="2009-08-13T00:00:00"/>
    <s v="No"/>
    <x v="1"/>
    <n v="1"/>
    <x v="2"/>
    <x v="0"/>
    <x v="2"/>
  </r>
  <r>
    <s v="REL01541"/>
    <s v="Female"/>
    <n v="37"/>
    <s v="MBA"/>
    <s v="Divorced"/>
    <x v="4"/>
    <s v="HR Manager"/>
    <x v="4"/>
    <x v="3"/>
    <s v="West"/>
    <n v="12"/>
    <n v="99086"/>
    <x v="1"/>
    <n v="1"/>
    <n v="3"/>
    <n v="78"/>
    <n v="2"/>
    <d v="2011-07-19T00:00:00"/>
    <s v="No"/>
    <x v="1"/>
    <n v="1"/>
    <x v="2"/>
    <x v="0"/>
    <x v="2"/>
  </r>
  <r>
    <s v="REL01542"/>
    <s v="Male"/>
    <n v="32"/>
    <s v="HSC"/>
    <s v="Single"/>
    <x v="7"/>
    <s v="HR Manager"/>
    <x v="0"/>
    <x v="7"/>
    <s v="East"/>
    <n v="7"/>
    <n v="95350"/>
    <x v="3"/>
    <n v="3"/>
    <n v="4"/>
    <n v="17"/>
    <n v="1"/>
    <d v="2016-06-23T00:00:00"/>
    <s v="No"/>
    <x v="1"/>
    <n v="4"/>
    <x v="1"/>
    <x v="2"/>
    <x v="0"/>
  </r>
  <r>
    <s v="REL01543"/>
    <s v="Male"/>
    <n v="42"/>
    <s v="BTech"/>
    <s v="Single"/>
    <x v="1"/>
    <s v="Operations Head"/>
    <x v="2"/>
    <x v="5"/>
    <s v="South"/>
    <n v="11"/>
    <n v="118758"/>
    <x v="2"/>
    <n v="4"/>
    <n v="2"/>
    <n v="15"/>
    <n v="2"/>
    <d v="2012-09-12T00:00:00"/>
    <s v="No"/>
    <x v="1"/>
    <n v="2"/>
    <x v="2"/>
    <x v="0"/>
    <x v="1"/>
  </r>
  <r>
    <s v="REL01544"/>
    <s v="Male"/>
    <n v="53"/>
    <s v="HSC"/>
    <s v="Single"/>
    <x v="3"/>
    <s v="HR Manager"/>
    <x v="1"/>
    <x v="3"/>
    <s v="West"/>
    <n v="7"/>
    <n v="98663"/>
    <x v="1"/>
    <n v="2"/>
    <n v="2"/>
    <n v="13"/>
    <n v="2"/>
    <d v="2016-10-14T00:00:00"/>
    <s v="Yes"/>
    <x v="1"/>
    <n v="1"/>
    <x v="1"/>
    <x v="1"/>
    <x v="2"/>
  </r>
  <r>
    <s v="REL01545"/>
    <s v="Male"/>
    <n v="47"/>
    <s v="MBA"/>
    <s v="Divorced"/>
    <x v="6"/>
    <s v="Sales Executive"/>
    <x v="3"/>
    <x v="0"/>
    <s v="North"/>
    <n v="15"/>
    <n v="71769"/>
    <x v="0"/>
    <n v="2"/>
    <n v="4"/>
    <n v="10"/>
    <n v="3"/>
    <d v="2008-03-08T00:00:00"/>
    <s v="No"/>
    <x v="0"/>
    <n v="3"/>
    <x v="2"/>
    <x v="0"/>
    <x v="0"/>
  </r>
  <r>
    <s v="REL01546"/>
    <s v="Male"/>
    <n v="41"/>
    <s v="BTech"/>
    <s v="Married"/>
    <x v="3"/>
    <s v="Sales Executive"/>
    <x v="0"/>
    <x v="5"/>
    <s v="South"/>
    <n v="4"/>
    <n v="45557"/>
    <x v="3"/>
    <n v="1"/>
    <n v="2"/>
    <n v="29"/>
    <n v="0"/>
    <d v="2019-10-14T00:00:00"/>
    <s v="No"/>
    <x v="2"/>
    <n v="4"/>
    <x v="0"/>
    <x v="2"/>
    <x v="1"/>
  </r>
  <r>
    <s v="REL01547"/>
    <s v="Male"/>
    <n v="53"/>
    <s v="BTech"/>
    <s v="Married"/>
    <x v="2"/>
    <s v="Marketing Executive"/>
    <x v="1"/>
    <x v="2"/>
    <s v="West"/>
    <n v="2"/>
    <n v="51979"/>
    <x v="3"/>
    <n v="1"/>
    <n v="1"/>
    <n v="10"/>
    <n v="0"/>
    <d v="2021-06-24T00:00:00"/>
    <s v="No"/>
    <x v="0"/>
    <n v="4"/>
    <x v="3"/>
    <x v="2"/>
    <x v="1"/>
  </r>
  <r>
    <s v="REL01548"/>
    <s v="Female"/>
    <n v="46"/>
    <s v="HSC"/>
    <s v="Divorced"/>
    <x v="3"/>
    <s v="Sales Executive"/>
    <x v="1"/>
    <x v="3"/>
    <s v="West"/>
    <n v="7"/>
    <n v="56346"/>
    <x v="2"/>
    <n v="4"/>
    <n v="1"/>
    <n v="75"/>
    <n v="2"/>
    <d v="2016-09-30T00:00:00"/>
    <s v="No"/>
    <x v="0"/>
    <n v="2"/>
    <x v="1"/>
    <x v="0"/>
    <x v="1"/>
  </r>
  <r>
    <s v="REL01549"/>
    <s v="Male"/>
    <n v="30"/>
    <s v="Post Graduate"/>
    <s v="Single"/>
    <x v="4"/>
    <s v="HR Manager"/>
    <x v="4"/>
    <x v="7"/>
    <s v="East"/>
    <n v="10"/>
    <n v="92435"/>
    <x v="1"/>
    <n v="4"/>
    <n v="4"/>
    <n v="69"/>
    <n v="0"/>
    <d v="2013-07-11T00:00:00"/>
    <s v="Yes"/>
    <x v="1"/>
    <n v="1"/>
    <x v="1"/>
    <x v="1"/>
    <x v="2"/>
  </r>
  <r>
    <s v="REL01550"/>
    <s v="Male"/>
    <n v="40"/>
    <s v="HSC"/>
    <s v="Single"/>
    <x v="5"/>
    <s v="Operations Head"/>
    <x v="3"/>
    <x v="8"/>
    <s v="South"/>
    <n v="8"/>
    <n v="109030"/>
    <x v="2"/>
    <n v="1"/>
    <n v="1"/>
    <n v="67"/>
    <n v="3"/>
    <d v="2015-12-28T00:00:00"/>
    <s v="No"/>
    <x v="1"/>
    <n v="2"/>
    <x v="1"/>
    <x v="0"/>
    <x v="1"/>
  </r>
  <r>
    <s v="REL01551"/>
    <s v="Female"/>
    <n v="26"/>
    <s v="Post Graduate"/>
    <s v="Single"/>
    <x v="6"/>
    <s v="Customer Service Rep"/>
    <x v="3"/>
    <x v="2"/>
    <s v="West"/>
    <n v="1"/>
    <n v="32793"/>
    <x v="2"/>
    <n v="2"/>
    <n v="1"/>
    <n v="51"/>
    <n v="3"/>
    <d v="2022-02-04T00:00:00"/>
    <s v="No"/>
    <x v="3"/>
    <n v="2"/>
    <x v="3"/>
    <x v="0"/>
    <x v="1"/>
  </r>
  <r>
    <s v="REL01552"/>
    <s v="Male"/>
    <n v="29"/>
    <s v="MBA"/>
    <s v="Married"/>
    <x v="0"/>
    <s v="Store Manager"/>
    <x v="3"/>
    <x v="1"/>
    <s v="North"/>
    <n v="13"/>
    <n v="106107"/>
    <x v="3"/>
    <n v="4"/>
    <n v="1"/>
    <n v="59"/>
    <n v="3"/>
    <d v="2010-09-01T00:00:00"/>
    <s v="No"/>
    <x v="1"/>
    <n v="4"/>
    <x v="2"/>
    <x v="2"/>
    <x v="0"/>
  </r>
  <r>
    <s v="REL01553"/>
    <s v="Female"/>
    <n v="31"/>
    <s v="Graduate"/>
    <s v="Single"/>
    <x v="1"/>
    <s v="HR Manager"/>
    <x v="0"/>
    <x v="2"/>
    <s v="West"/>
    <n v="3"/>
    <n v="77501"/>
    <x v="0"/>
    <n v="4"/>
    <n v="3"/>
    <n v="75"/>
    <n v="2"/>
    <d v="2020-10-30T00:00:00"/>
    <s v="No"/>
    <x v="0"/>
    <n v="3"/>
    <x v="0"/>
    <x v="0"/>
    <x v="0"/>
  </r>
  <r>
    <s v="REL01554"/>
    <s v="Male"/>
    <n v="23"/>
    <s v="Graduate"/>
    <s v="Single"/>
    <x v="1"/>
    <s v="Operations Head"/>
    <x v="3"/>
    <x v="2"/>
    <s v="West"/>
    <n v="2"/>
    <n v="93988"/>
    <x v="3"/>
    <n v="2"/>
    <n v="4"/>
    <n v="53"/>
    <n v="1"/>
    <d v="2021-07-26T00:00:00"/>
    <s v="No"/>
    <x v="1"/>
    <n v="4"/>
    <x v="3"/>
    <x v="2"/>
    <x v="0"/>
  </r>
  <r>
    <s v="REL01555"/>
    <s v="Female"/>
    <n v="46"/>
    <s v="BTech"/>
    <s v="Single"/>
    <x v="3"/>
    <s v="HR Manager"/>
    <x v="2"/>
    <x v="4"/>
    <s v="North"/>
    <n v="4"/>
    <n v="81508"/>
    <x v="3"/>
    <n v="2"/>
    <n v="4"/>
    <n v="78"/>
    <n v="2"/>
    <d v="2019-07-10T00:00:00"/>
    <s v="No"/>
    <x v="1"/>
    <n v="4"/>
    <x v="0"/>
    <x v="2"/>
    <x v="0"/>
  </r>
  <r>
    <s v="REL01556"/>
    <s v="Male"/>
    <n v="43"/>
    <s v="Post Graduate"/>
    <s v="Divorced"/>
    <x v="7"/>
    <s v="Finance Analyst"/>
    <x v="1"/>
    <x v="0"/>
    <s v="North"/>
    <n v="13"/>
    <n v="89524"/>
    <x v="0"/>
    <n v="2"/>
    <n v="1"/>
    <n v="22"/>
    <n v="0"/>
    <d v="2010-03-19T00:00:00"/>
    <s v="No"/>
    <x v="1"/>
    <n v="3"/>
    <x v="2"/>
    <x v="0"/>
    <x v="0"/>
  </r>
  <r>
    <s v="REL01557"/>
    <s v="Female"/>
    <n v="50"/>
    <s v="Post Graduate"/>
    <s v="Married"/>
    <x v="0"/>
    <s v="Logistics Coordinator"/>
    <x v="3"/>
    <x v="8"/>
    <s v="South"/>
    <n v="3"/>
    <n v="53875"/>
    <x v="2"/>
    <n v="1"/>
    <n v="2"/>
    <n v="72"/>
    <n v="1"/>
    <d v="2020-09-29T00:00:00"/>
    <s v="No"/>
    <x v="0"/>
    <n v="2"/>
    <x v="0"/>
    <x v="0"/>
    <x v="1"/>
  </r>
  <r>
    <s v="REL01558"/>
    <s v="Female"/>
    <n v="42"/>
    <s v="MBA"/>
    <s v="Divorced"/>
    <x v="5"/>
    <s v="Marketing Executive"/>
    <x v="0"/>
    <x v="8"/>
    <s v="South"/>
    <n v="13"/>
    <n v="82023"/>
    <x v="0"/>
    <n v="4"/>
    <n v="4"/>
    <n v="43"/>
    <n v="3"/>
    <d v="2010-01-25T00:00:00"/>
    <s v="No"/>
    <x v="1"/>
    <n v="3"/>
    <x v="2"/>
    <x v="0"/>
    <x v="0"/>
  </r>
  <r>
    <s v="REL01559"/>
    <s v="Female"/>
    <n v="29"/>
    <s v="Graduate"/>
    <s v="Married"/>
    <x v="4"/>
    <s v="HR Manager"/>
    <x v="1"/>
    <x v="1"/>
    <s v="North"/>
    <n v="3"/>
    <n v="80131"/>
    <x v="1"/>
    <n v="4"/>
    <n v="2"/>
    <n v="50"/>
    <n v="0"/>
    <d v="2020-01-05T00:00:00"/>
    <s v="Yes"/>
    <x v="1"/>
    <n v="1"/>
    <x v="0"/>
    <x v="1"/>
    <x v="2"/>
  </r>
  <r>
    <s v="REL01560"/>
    <s v="Male"/>
    <n v="48"/>
    <s v="Post Graduate"/>
    <s v="Married"/>
    <x v="3"/>
    <s v="Logistics Coordinator"/>
    <x v="1"/>
    <x v="2"/>
    <s v="West"/>
    <n v="6"/>
    <n v="64492"/>
    <x v="1"/>
    <n v="4"/>
    <n v="4"/>
    <n v="32"/>
    <n v="1"/>
    <d v="2017-10-21T00:00:00"/>
    <s v="Yes"/>
    <x v="0"/>
    <n v="1"/>
    <x v="1"/>
    <x v="1"/>
    <x v="1"/>
  </r>
  <r>
    <s v="REL01561"/>
    <s v="Male"/>
    <n v="29"/>
    <s v="HSC"/>
    <s v="Married"/>
    <x v="0"/>
    <s v="Marketing Executive"/>
    <x v="1"/>
    <x v="7"/>
    <s v="East"/>
    <n v="10"/>
    <n v="68434"/>
    <x v="1"/>
    <n v="3"/>
    <n v="1"/>
    <n v="33"/>
    <n v="1"/>
    <d v="2013-11-27T00:00:00"/>
    <s v="Yes"/>
    <x v="0"/>
    <n v="1"/>
    <x v="1"/>
    <x v="1"/>
    <x v="1"/>
  </r>
  <r>
    <s v="REL01562"/>
    <s v="Female"/>
    <n v="30"/>
    <s v="HSC"/>
    <s v="Single"/>
    <x v="4"/>
    <s v="Store Manager"/>
    <x v="3"/>
    <x v="5"/>
    <s v="South"/>
    <n v="9"/>
    <n v="102400"/>
    <x v="1"/>
    <n v="3"/>
    <n v="1"/>
    <n v="68"/>
    <n v="0"/>
    <d v="2014-03-19T00:00:00"/>
    <s v="Yes"/>
    <x v="1"/>
    <n v="1"/>
    <x v="1"/>
    <x v="1"/>
    <x v="2"/>
  </r>
  <r>
    <s v="REL01563"/>
    <s v="Male"/>
    <n v="37"/>
    <s v="Post Graduate"/>
    <s v="Married"/>
    <x v="1"/>
    <s v="Operations Head"/>
    <x v="1"/>
    <x v="5"/>
    <s v="South"/>
    <n v="2"/>
    <n v="103836"/>
    <x v="0"/>
    <n v="2"/>
    <n v="1"/>
    <n v="44"/>
    <n v="2"/>
    <d v="2021-01-18T00:00:00"/>
    <s v="No"/>
    <x v="1"/>
    <n v="3"/>
    <x v="3"/>
    <x v="0"/>
    <x v="0"/>
  </r>
  <r>
    <s v="REL01564"/>
    <s v="Male"/>
    <n v="30"/>
    <s v="BTech"/>
    <s v="Married"/>
    <x v="6"/>
    <s v="Finance Analyst"/>
    <x v="3"/>
    <x v="0"/>
    <s v="North"/>
    <n v="13"/>
    <n v="76385"/>
    <x v="1"/>
    <n v="2"/>
    <n v="1"/>
    <n v="24"/>
    <n v="0"/>
    <d v="2010-06-10T00:00:00"/>
    <s v="Yes"/>
    <x v="0"/>
    <n v="1"/>
    <x v="2"/>
    <x v="1"/>
    <x v="1"/>
  </r>
  <r>
    <s v="REL01565"/>
    <s v="Female"/>
    <n v="38"/>
    <s v="BTech"/>
    <s v="Single"/>
    <x v="3"/>
    <s v="Operations Head"/>
    <x v="4"/>
    <x v="6"/>
    <s v="South"/>
    <n v="15"/>
    <n v="131494"/>
    <x v="3"/>
    <n v="2"/>
    <n v="2"/>
    <n v="64"/>
    <n v="3"/>
    <d v="2008-11-01T00:00:00"/>
    <s v="No"/>
    <x v="1"/>
    <n v="4"/>
    <x v="2"/>
    <x v="2"/>
    <x v="0"/>
  </r>
  <r>
    <s v="REL01566"/>
    <s v="Male"/>
    <n v="46"/>
    <s v="Graduate"/>
    <s v="Married"/>
    <x v="6"/>
    <s v="Logistics Coordinator"/>
    <x v="4"/>
    <x v="4"/>
    <s v="North"/>
    <n v="12"/>
    <n v="75343"/>
    <x v="0"/>
    <n v="3"/>
    <n v="3"/>
    <n v="65"/>
    <n v="1"/>
    <d v="2011-01-12T00:00:00"/>
    <s v="Yes"/>
    <x v="0"/>
    <n v="3"/>
    <x v="2"/>
    <x v="1"/>
    <x v="0"/>
  </r>
  <r>
    <s v="REL01567"/>
    <s v="Female"/>
    <n v="45"/>
    <s v="Graduate"/>
    <s v="Divorced"/>
    <x v="5"/>
    <s v="Store Manager"/>
    <x v="3"/>
    <x v="3"/>
    <s v="West"/>
    <n v="10"/>
    <n v="98726"/>
    <x v="2"/>
    <n v="2"/>
    <n v="3"/>
    <n v="16"/>
    <n v="0"/>
    <d v="2013-10-21T00:00:00"/>
    <s v="No"/>
    <x v="1"/>
    <n v="2"/>
    <x v="1"/>
    <x v="0"/>
    <x v="1"/>
  </r>
  <r>
    <s v="REL01568"/>
    <s v="Male"/>
    <n v="25"/>
    <s v="Post Graduate"/>
    <s v="Divorced"/>
    <x v="2"/>
    <s v="Sales Executive"/>
    <x v="0"/>
    <x v="0"/>
    <s v="North"/>
    <n v="7"/>
    <n v="59571"/>
    <x v="2"/>
    <n v="1"/>
    <n v="3"/>
    <n v="42"/>
    <n v="0"/>
    <d v="2016-04-06T00:00:00"/>
    <s v="No"/>
    <x v="0"/>
    <n v="2"/>
    <x v="1"/>
    <x v="0"/>
    <x v="1"/>
  </r>
  <r>
    <s v="REL01569"/>
    <s v="Female"/>
    <n v="26"/>
    <s v="Post Graduate"/>
    <s v="Married"/>
    <x v="4"/>
    <s v="Sales Executive"/>
    <x v="4"/>
    <x v="3"/>
    <s v="West"/>
    <n v="4"/>
    <n v="49421"/>
    <x v="2"/>
    <n v="2"/>
    <n v="1"/>
    <n v="45"/>
    <n v="1"/>
    <d v="2019-06-19T00:00:00"/>
    <s v="No"/>
    <x v="2"/>
    <n v="2"/>
    <x v="0"/>
    <x v="0"/>
    <x v="1"/>
  </r>
  <r>
    <s v="REL01570"/>
    <s v="Male"/>
    <n v="28"/>
    <s v="MBA"/>
    <s v="Divorced"/>
    <x v="4"/>
    <s v="Store Manager"/>
    <x v="3"/>
    <x v="9"/>
    <s v="West"/>
    <n v="6"/>
    <n v="93458"/>
    <x v="2"/>
    <n v="3"/>
    <n v="4"/>
    <n v="46"/>
    <n v="3"/>
    <d v="2017-02-17T00:00:00"/>
    <s v="Yes"/>
    <x v="1"/>
    <n v="2"/>
    <x v="1"/>
    <x v="1"/>
    <x v="1"/>
  </r>
  <r>
    <s v="REL01571"/>
    <s v="Female"/>
    <n v="28"/>
    <s v="MBA"/>
    <s v="Divorced"/>
    <x v="7"/>
    <s v="Sales Executive"/>
    <x v="3"/>
    <x v="0"/>
    <s v="North"/>
    <n v="1"/>
    <n v="51929"/>
    <x v="2"/>
    <n v="2"/>
    <n v="4"/>
    <n v="23"/>
    <n v="3"/>
    <d v="2022-10-14T00:00:00"/>
    <s v="Yes"/>
    <x v="0"/>
    <n v="2"/>
    <x v="3"/>
    <x v="1"/>
    <x v="1"/>
  </r>
  <r>
    <s v="REL01572"/>
    <s v="Female"/>
    <n v="46"/>
    <s v="MBA"/>
    <s v="Married"/>
    <x v="2"/>
    <s v="Logistics Coordinator"/>
    <x v="0"/>
    <x v="0"/>
    <s v="North"/>
    <n v="7"/>
    <n v="52696"/>
    <x v="1"/>
    <n v="2"/>
    <n v="2"/>
    <n v="30"/>
    <n v="3"/>
    <d v="2016-03-16T00:00:00"/>
    <s v="No"/>
    <x v="0"/>
    <n v="1"/>
    <x v="1"/>
    <x v="0"/>
    <x v="1"/>
  </r>
  <r>
    <s v="REL01573"/>
    <s v="Female"/>
    <n v="34"/>
    <s v="HSC"/>
    <s v="Married"/>
    <x v="7"/>
    <s v="Store Manager"/>
    <x v="4"/>
    <x v="0"/>
    <s v="North"/>
    <n v="14"/>
    <n v="113906"/>
    <x v="2"/>
    <n v="1"/>
    <n v="3"/>
    <n v="64"/>
    <n v="2"/>
    <d v="2009-09-20T00:00:00"/>
    <s v="No"/>
    <x v="1"/>
    <n v="2"/>
    <x v="2"/>
    <x v="0"/>
    <x v="1"/>
  </r>
  <r>
    <s v="REL01574"/>
    <s v="Male"/>
    <n v="40"/>
    <s v="Post Graduate"/>
    <s v="Married"/>
    <x v="3"/>
    <s v="Customer Service Rep"/>
    <x v="1"/>
    <x v="9"/>
    <s v="West"/>
    <n v="4"/>
    <n v="40845"/>
    <x v="2"/>
    <n v="4"/>
    <n v="2"/>
    <n v="22"/>
    <n v="3"/>
    <d v="2019-03-12T00:00:00"/>
    <s v="No"/>
    <x v="2"/>
    <n v="2"/>
    <x v="0"/>
    <x v="0"/>
    <x v="1"/>
  </r>
  <r>
    <s v="REL01575"/>
    <s v="Female"/>
    <n v="53"/>
    <s v="BTech"/>
    <s v="Single"/>
    <x v="5"/>
    <s v="Customer Service Rep"/>
    <x v="1"/>
    <x v="9"/>
    <s v="West"/>
    <n v="2"/>
    <n v="46675"/>
    <x v="3"/>
    <n v="1"/>
    <n v="2"/>
    <n v="10"/>
    <n v="1"/>
    <d v="2021-05-29T00:00:00"/>
    <s v="No"/>
    <x v="2"/>
    <n v="4"/>
    <x v="3"/>
    <x v="2"/>
    <x v="1"/>
  </r>
  <r>
    <s v="REL01576"/>
    <s v="Female"/>
    <n v="36"/>
    <s v="HSC"/>
    <s v="Married"/>
    <x v="5"/>
    <s v="Finance Analyst"/>
    <x v="2"/>
    <x v="1"/>
    <s v="North"/>
    <n v="15"/>
    <n v="85857"/>
    <x v="0"/>
    <n v="1"/>
    <n v="3"/>
    <n v="17"/>
    <n v="1"/>
    <d v="2008-06-22T00:00:00"/>
    <s v="No"/>
    <x v="1"/>
    <n v="3"/>
    <x v="2"/>
    <x v="0"/>
    <x v="0"/>
  </r>
  <r>
    <s v="REL01577"/>
    <s v="Female"/>
    <n v="34"/>
    <s v="Graduate"/>
    <s v="Divorced"/>
    <x v="3"/>
    <s v="Logistics Coordinator"/>
    <x v="1"/>
    <x v="7"/>
    <s v="East"/>
    <n v="5"/>
    <n v="48489"/>
    <x v="2"/>
    <n v="4"/>
    <n v="2"/>
    <n v="11"/>
    <n v="3"/>
    <d v="2018-12-31T00:00:00"/>
    <s v="No"/>
    <x v="2"/>
    <n v="2"/>
    <x v="0"/>
    <x v="0"/>
    <x v="1"/>
  </r>
  <r>
    <s v="REL01578"/>
    <s v="Male"/>
    <n v="42"/>
    <s v="Post Graduate"/>
    <s v="Divorced"/>
    <x v="3"/>
    <s v="Finance Analyst"/>
    <x v="3"/>
    <x v="5"/>
    <s v="South"/>
    <n v="8"/>
    <n v="69799"/>
    <x v="1"/>
    <n v="4"/>
    <n v="4"/>
    <n v="35"/>
    <n v="0"/>
    <d v="2015-08-07T00:00:00"/>
    <s v="No"/>
    <x v="0"/>
    <n v="1"/>
    <x v="1"/>
    <x v="0"/>
    <x v="1"/>
  </r>
  <r>
    <s v="REL01579"/>
    <s v="Female"/>
    <n v="31"/>
    <s v="Post Graduate"/>
    <s v="Married"/>
    <x v="0"/>
    <s v="Sales Executive"/>
    <x v="4"/>
    <x v="4"/>
    <s v="North"/>
    <n v="15"/>
    <n v="64798"/>
    <x v="1"/>
    <n v="3"/>
    <n v="4"/>
    <n v="37"/>
    <n v="0"/>
    <d v="2008-10-24T00:00:00"/>
    <s v="Yes"/>
    <x v="0"/>
    <n v="1"/>
    <x v="2"/>
    <x v="1"/>
    <x v="1"/>
  </r>
  <r>
    <s v="REL01580"/>
    <s v="Female"/>
    <n v="28"/>
    <s v="MBA"/>
    <s v="Married"/>
    <x v="7"/>
    <s v="Logistics Coordinator"/>
    <x v="3"/>
    <x v="7"/>
    <s v="East"/>
    <n v="2"/>
    <n v="42942"/>
    <x v="1"/>
    <n v="4"/>
    <n v="3"/>
    <n v="61"/>
    <n v="3"/>
    <d v="2021-02-12T00:00:00"/>
    <s v="No"/>
    <x v="2"/>
    <n v="1"/>
    <x v="3"/>
    <x v="3"/>
    <x v="1"/>
  </r>
  <r>
    <s v="REL01581"/>
    <s v="Female"/>
    <n v="39"/>
    <s v="Graduate"/>
    <s v="Single"/>
    <x v="6"/>
    <s v="Logistics Coordinator"/>
    <x v="0"/>
    <x v="9"/>
    <s v="West"/>
    <n v="10"/>
    <n v="72170"/>
    <x v="3"/>
    <n v="3"/>
    <n v="2"/>
    <n v="30"/>
    <n v="2"/>
    <d v="2013-09-26T00:00:00"/>
    <s v="No"/>
    <x v="0"/>
    <n v="4"/>
    <x v="1"/>
    <x v="2"/>
    <x v="1"/>
  </r>
  <r>
    <s v="REL01582"/>
    <s v="Male"/>
    <n v="26"/>
    <s v="HSC"/>
    <s v="Single"/>
    <x v="6"/>
    <s v="Finance Analyst"/>
    <x v="0"/>
    <x v="6"/>
    <s v="South"/>
    <n v="13"/>
    <n v="82563"/>
    <x v="0"/>
    <n v="1"/>
    <n v="4"/>
    <n v="12"/>
    <n v="2"/>
    <d v="2010-10-31T00:00:00"/>
    <s v="No"/>
    <x v="1"/>
    <n v="3"/>
    <x v="2"/>
    <x v="0"/>
    <x v="0"/>
  </r>
  <r>
    <s v="REL01583"/>
    <s v="Male"/>
    <n v="27"/>
    <s v="HSC"/>
    <s v="Single"/>
    <x v="7"/>
    <s v="Sales Executive"/>
    <x v="2"/>
    <x v="8"/>
    <s v="South"/>
    <n v="1"/>
    <n v="42963"/>
    <x v="1"/>
    <n v="1"/>
    <n v="1"/>
    <n v="18"/>
    <n v="3"/>
    <d v="2022-03-07T00:00:00"/>
    <s v="No"/>
    <x v="2"/>
    <n v="1"/>
    <x v="3"/>
    <x v="3"/>
    <x v="1"/>
  </r>
  <r>
    <s v="REL01584"/>
    <s v="Male"/>
    <n v="38"/>
    <s v="MBA"/>
    <s v="Married"/>
    <x v="6"/>
    <s v="Store Manager"/>
    <x v="4"/>
    <x v="6"/>
    <s v="South"/>
    <n v="9"/>
    <n v="97408"/>
    <x v="3"/>
    <n v="4"/>
    <n v="2"/>
    <n v="38"/>
    <n v="2"/>
    <d v="2014-07-09T00:00:00"/>
    <s v="No"/>
    <x v="1"/>
    <n v="4"/>
    <x v="1"/>
    <x v="2"/>
    <x v="0"/>
  </r>
  <r>
    <s v="REL01585"/>
    <s v="Female"/>
    <n v="52"/>
    <s v="BTech"/>
    <s v="Single"/>
    <x v="1"/>
    <s v="Sales Executive"/>
    <x v="0"/>
    <x v="8"/>
    <s v="South"/>
    <n v="15"/>
    <n v="79664"/>
    <x v="1"/>
    <n v="3"/>
    <n v="4"/>
    <n v="41"/>
    <n v="3"/>
    <d v="2008-08-12T00:00:00"/>
    <s v="Yes"/>
    <x v="0"/>
    <n v="1"/>
    <x v="2"/>
    <x v="1"/>
    <x v="1"/>
  </r>
  <r>
    <s v="REL01586"/>
    <s v="Male"/>
    <n v="48"/>
    <s v="MBA"/>
    <s v="Married"/>
    <x v="4"/>
    <s v="Marketing Executive"/>
    <x v="2"/>
    <x v="2"/>
    <s v="West"/>
    <n v="1"/>
    <n v="45002"/>
    <x v="0"/>
    <n v="2"/>
    <n v="2"/>
    <n v="49"/>
    <n v="3"/>
    <d v="2022-01-12T00:00:00"/>
    <s v="No"/>
    <x v="2"/>
    <n v="3"/>
    <x v="3"/>
    <x v="0"/>
    <x v="1"/>
  </r>
  <r>
    <s v="REL01587"/>
    <s v="Male"/>
    <n v="24"/>
    <s v="Post Graduate"/>
    <s v="Single"/>
    <x v="5"/>
    <s v="Finance Analyst"/>
    <x v="0"/>
    <x v="1"/>
    <s v="North"/>
    <n v="12"/>
    <n v="78211"/>
    <x v="0"/>
    <n v="4"/>
    <n v="1"/>
    <n v="21"/>
    <n v="2"/>
    <d v="2012-01-03T00:00:00"/>
    <s v="No"/>
    <x v="0"/>
    <n v="3"/>
    <x v="2"/>
    <x v="0"/>
    <x v="0"/>
  </r>
  <r>
    <s v="REL01588"/>
    <s v="Male"/>
    <n v="31"/>
    <s v="MBA"/>
    <s v="Single"/>
    <x v="0"/>
    <s v="Store Manager"/>
    <x v="0"/>
    <x v="2"/>
    <s v="West"/>
    <n v="10"/>
    <n v="113332"/>
    <x v="3"/>
    <n v="4"/>
    <n v="2"/>
    <n v="17"/>
    <n v="1"/>
    <d v="2013-08-13T00:00:00"/>
    <s v="No"/>
    <x v="1"/>
    <n v="4"/>
    <x v="1"/>
    <x v="2"/>
    <x v="0"/>
  </r>
  <r>
    <s v="REL01589"/>
    <s v="Male"/>
    <n v="24"/>
    <s v="BTech"/>
    <s v="Single"/>
    <x v="5"/>
    <s v="Marketing Executive"/>
    <x v="3"/>
    <x v="5"/>
    <s v="South"/>
    <n v="7"/>
    <n v="54421"/>
    <x v="0"/>
    <n v="2"/>
    <n v="1"/>
    <n v="80"/>
    <n v="3"/>
    <d v="2016-12-04T00:00:00"/>
    <s v="Yes"/>
    <x v="0"/>
    <n v="3"/>
    <x v="1"/>
    <x v="1"/>
    <x v="0"/>
  </r>
  <r>
    <s v="REL01590"/>
    <s v="Male"/>
    <n v="43"/>
    <s v="HSC"/>
    <s v="Single"/>
    <x v="2"/>
    <s v="Store Manager"/>
    <x v="4"/>
    <x v="1"/>
    <s v="North"/>
    <n v="14"/>
    <n v="108684"/>
    <x v="2"/>
    <n v="3"/>
    <n v="2"/>
    <n v="16"/>
    <n v="1"/>
    <d v="2009-02-09T00:00:00"/>
    <s v="No"/>
    <x v="1"/>
    <n v="2"/>
    <x v="2"/>
    <x v="0"/>
    <x v="1"/>
  </r>
  <r>
    <s v="REL01591"/>
    <s v="Male"/>
    <n v="23"/>
    <s v="BTech"/>
    <s v="Single"/>
    <x v="4"/>
    <s v="Logistics Coordinator"/>
    <x v="2"/>
    <x v="3"/>
    <s v="West"/>
    <n v="7"/>
    <n v="51900"/>
    <x v="1"/>
    <n v="2"/>
    <n v="2"/>
    <n v="64"/>
    <n v="0"/>
    <d v="2016-06-15T00:00:00"/>
    <s v="Yes"/>
    <x v="0"/>
    <n v="1"/>
    <x v="1"/>
    <x v="1"/>
    <x v="1"/>
  </r>
  <r>
    <s v="REL01592"/>
    <s v="Male"/>
    <n v="27"/>
    <s v="Graduate"/>
    <s v="Married"/>
    <x v="4"/>
    <s v="Finance Analyst"/>
    <x v="3"/>
    <x v="7"/>
    <s v="East"/>
    <n v="13"/>
    <n v="76122"/>
    <x v="2"/>
    <n v="2"/>
    <n v="2"/>
    <n v="11"/>
    <n v="3"/>
    <d v="2010-09-14T00:00:00"/>
    <s v="No"/>
    <x v="0"/>
    <n v="2"/>
    <x v="2"/>
    <x v="0"/>
    <x v="1"/>
  </r>
  <r>
    <s v="REL01593"/>
    <s v="Male"/>
    <n v="41"/>
    <s v="Post Graduate"/>
    <s v="Divorced"/>
    <x v="1"/>
    <s v="Operations Head"/>
    <x v="1"/>
    <x v="9"/>
    <s v="West"/>
    <n v="10"/>
    <n v="109571"/>
    <x v="1"/>
    <n v="4"/>
    <n v="2"/>
    <n v="70"/>
    <n v="3"/>
    <d v="2013-03-10T00:00:00"/>
    <s v="No"/>
    <x v="1"/>
    <n v="1"/>
    <x v="1"/>
    <x v="0"/>
    <x v="2"/>
  </r>
  <r>
    <s v="REL01594"/>
    <s v="Female"/>
    <n v="52"/>
    <s v="MBA"/>
    <s v="Single"/>
    <x v="0"/>
    <s v="Finance Analyst"/>
    <x v="4"/>
    <x v="7"/>
    <s v="East"/>
    <n v="13"/>
    <n v="89996"/>
    <x v="1"/>
    <n v="2"/>
    <n v="4"/>
    <n v="40"/>
    <n v="3"/>
    <d v="2010-11-15T00:00:00"/>
    <s v="No"/>
    <x v="1"/>
    <n v="1"/>
    <x v="2"/>
    <x v="0"/>
    <x v="2"/>
  </r>
  <r>
    <s v="REL01595"/>
    <s v="Male"/>
    <n v="32"/>
    <s v="Post Graduate"/>
    <s v="Married"/>
    <x v="5"/>
    <s v="Logistics Coordinator"/>
    <x v="4"/>
    <x v="1"/>
    <s v="North"/>
    <n v="12"/>
    <n v="64290"/>
    <x v="3"/>
    <n v="4"/>
    <n v="4"/>
    <n v="66"/>
    <n v="0"/>
    <d v="2011-06-13T00:00:00"/>
    <s v="No"/>
    <x v="0"/>
    <n v="4"/>
    <x v="2"/>
    <x v="2"/>
    <x v="1"/>
  </r>
  <r>
    <s v="REL01596"/>
    <s v="Male"/>
    <n v="51"/>
    <s v="HSC"/>
    <s v="Divorced"/>
    <x v="1"/>
    <s v="Logistics Coordinator"/>
    <x v="3"/>
    <x v="4"/>
    <s v="North"/>
    <n v="2"/>
    <n v="49645"/>
    <x v="1"/>
    <n v="2"/>
    <n v="3"/>
    <n v="78"/>
    <n v="0"/>
    <d v="2021-03-26T00:00:00"/>
    <s v="Yes"/>
    <x v="2"/>
    <n v="1"/>
    <x v="3"/>
    <x v="1"/>
    <x v="1"/>
  </r>
  <r>
    <s v="REL01597"/>
    <s v="Female"/>
    <n v="46"/>
    <s v="HSC"/>
    <s v="Single"/>
    <x v="5"/>
    <s v="Finance Analyst"/>
    <x v="0"/>
    <x v="6"/>
    <s v="South"/>
    <n v="8"/>
    <n v="70990"/>
    <x v="1"/>
    <n v="2"/>
    <n v="3"/>
    <n v="78"/>
    <n v="0"/>
    <d v="2015-03-01T00:00:00"/>
    <s v="Yes"/>
    <x v="0"/>
    <n v="1"/>
    <x v="1"/>
    <x v="1"/>
    <x v="1"/>
  </r>
  <r>
    <s v="REL01598"/>
    <s v="Female"/>
    <n v="34"/>
    <s v="BTech"/>
    <s v="Single"/>
    <x v="0"/>
    <s v="Finance Analyst"/>
    <x v="4"/>
    <x v="7"/>
    <s v="East"/>
    <n v="2"/>
    <n v="57583"/>
    <x v="2"/>
    <n v="2"/>
    <n v="3"/>
    <n v="60"/>
    <n v="2"/>
    <d v="2021-07-17T00:00:00"/>
    <s v="No"/>
    <x v="0"/>
    <n v="2"/>
    <x v="3"/>
    <x v="0"/>
    <x v="1"/>
  </r>
  <r>
    <s v="REL01599"/>
    <s v="Male"/>
    <n v="45"/>
    <s v="Graduate"/>
    <s v="Single"/>
    <x v="7"/>
    <s v="Operations Head"/>
    <x v="4"/>
    <x v="0"/>
    <s v="North"/>
    <n v="14"/>
    <n v="130222"/>
    <x v="3"/>
    <n v="2"/>
    <n v="3"/>
    <n v="44"/>
    <n v="1"/>
    <d v="2009-12-15T00:00:00"/>
    <s v="No"/>
    <x v="1"/>
    <n v="4"/>
    <x v="2"/>
    <x v="2"/>
    <x v="0"/>
  </r>
  <r>
    <s v="REL01600"/>
    <s v="Male"/>
    <n v="34"/>
    <s v="Graduate"/>
    <s v="Single"/>
    <x v="7"/>
    <s v="Finance Analyst"/>
    <x v="1"/>
    <x v="1"/>
    <s v="North"/>
    <n v="6"/>
    <n v="63631"/>
    <x v="1"/>
    <n v="1"/>
    <n v="2"/>
    <n v="53"/>
    <n v="0"/>
    <d v="2017-12-25T00:00:00"/>
    <s v="No"/>
    <x v="0"/>
    <n v="1"/>
    <x v="1"/>
    <x v="0"/>
    <x v="1"/>
  </r>
  <r>
    <s v="REL01601"/>
    <s v="Female"/>
    <n v="31"/>
    <s v="Post Graduate"/>
    <s v="Single"/>
    <x v="6"/>
    <s v="HR Manager"/>
    <x v="4"/>
    <x v="0"/>
    <s v="North"/>
    <n v="5"/>
    <n v="93730"/>
    <x v="1"/>
    <n v="2"/>
    <n v="2"/>
    <n v="62"/>
    <n v="1"/>
    <d v="2018-01-29T00:00:00"/>
    <s v="Yes"/>
    <x v="1"/>
    <n v="1"/>
    <x v="0"/>
    <x v="1"/>
    <x v="2"/>
  </r>
  <r>
    <s v="REL01602"/>
    <s v="Male"/>
    <n v="23"/>
    <s v="Post Graduate"/>
    <s v="Married"/>
    <x v="0"/>
    <s v="Store Manager"/>
    <x v="3"/>
    <x v="0"/>
    <s v="North"/>
    <n v="15"/>
    <n v="105446"/>
    <x v="0"/>
    <n v="2"/>
    <n v="4"/>
    <n v="64"/>
    <n v="1"/>
    <d v="2008-02-12T00:00:00"/>
    <s v="No"/>
    <x v="1"/>
    <n v="3"/>
    <x v="2"/>
    <x v="0"/>
    <x v="0"/>
  </r>
  <r>
    <s v="REL01603"/>
    <s v="Male"/>
    <n v="39"/>
    <s v="HSC"/>
    <s v="Married"/>
    <x v="7"/>
    <s v="Operations Head"/>
    <x v="0"/>
    <x v="8"/>
    <s v="South"/>
    <n v="8"/>
    <n v="101815"/>
    <x v="0"/>
    <n v="3"/>
    <n v="4"/>
    <n v="73"/>
    <n v="2"/>
    <d v="2015-04-25T00:00:00"/>
    <s v="No"/>
    <x v="1"/>
    <n v="3"/>
    <x v="1"/>
    <x v="0"/>
    <x v="0"/>
  </r>
  <r>
    <s v="REL01604"/>
    <s v="Male"/>
    <n v="38"/>
    <s v="HSC"/>
    <s v="Divorced"/>
    <x v="6"/>
    <s v="Marketing Executive"/>
    <x v="1"/>
    <x v="3"/>
    <s v="West"/>
    <n v="13"/>
    <n v="77858"/>
    <x v="1"/>
    <n v="1"/>
    <n v="3"/>
    <n v="58"/>
    <n v="3"/>
    <d v="2010-06-28T00:00:00"/>
    <s v="Yes"/>
    <x v="0"/>
    <n v="1"/>
    <x v="2"/>
    <x v="1"/>
    <x v="1"/>
  </r>
  <r>
    <s v="REL01605"/>
    <s v="Male"/>
    <n v="44"/>
    <s v="BTech"/>
    <s v="Married"/>
    <x v="6"/>
    <s v="Operations Head"/>
    <x v="0"/>
    <x v="1"/>
    <s v="North"/>
    <n v="11"/>
    <n v="123602"/>
    <x v="0"/>
    <n v="2"/>
    <n v="4"/>
    <n v="73"/>
    <n v="1"/>
    <d v="2012-08-05T00:00:00"/>
    <s v="No"/>
    <x v="1"/>
    <n v="3"/>
    <x v="2"/>
    <x v="0"/>
    <x v="0"/>
  </r>
  <r>
    <s v="REL01606"/>
    <s v="Female"/>
    <n v="55"/>
    <s v="MBA"/>
    <s v="Single"/>
    <x v="6"/>
    <s v="HR Manager"/>
    <x v="0"/>
    <x v="2"/>
    <s v="West"/>
    <n v="4"/>
    <n v="73960"/>
    <x v="2"/>
    <n v="3"/>
    <n v="2"/>
    <n v="30"/>
    <n v="3"/>
    <d v="2019-05-05T00:00:00"/>
    <s v="No"/>
    <x v="0"/>
    <n v="2"/>
    <x v="0"/>
    <x v="0"/>
    <x v="1"/>
  </r>
  <r>
    <s v="REL01607"/>
    <s v="Male"/>
    <n v="44"/>
    <s v="Graduate"/>
    <s v="Divorced"/>
    <x v="1"/>
    <s v="Logistics Coordinator"/>
    <x v="0"/>
    <x v="4"/>
    <s v="North"/>
    <n v="4"/>
    <n v="62564"/>
    <x v="2"/>
    <n v="3"/>
    <n v="3"/>
    <n v="17"/>
    <n v="2"/>
    <d v="2019-04-03T00:00:00"/>
    <s v="No"/>
    <x v="0"/>
    <n v="2"/>
    <x v="0"/>
    <x v="0"/>
    <x v="1"/>
  </r>
  <r>
    <s v="REL01608"/>
    <s v="Female"/>
    <n v="34"/>
    <s v="HSC"/>
    <s v="Single"/>
    <x v="3"/>
    <s v="Finance Analyst"/>
    <x v="1"/>
    <x v="3"/>
    <s v="West"/>
    <n v="7"/>
    <n v="69412"/>
    <x v="2"/>
    <n v="2"/>
    <n v="1"/>
    <n v="69"/>
    <n v="3"/>
    <d v="2016-12-07T00:00:00"/>
    <s v="Yes"/>
    <x v="0"/>
    <n v="2"/>
    <x v="1"/>
    <x v="1"/>
    <x v="1"/>
  </r>
  <r>
    <s v="REL01609"/>
    <s v="Male"/>
    <n v="26"/>
    <s v="MBA"/>
    <s v="Single"/>
    <x v="7"/>
    <s v="Customer Service Rep"/>
    <x v="2"/>
    <x v="5"/>
    <s v="South"/>
    <n v="5"/>
    <n v="35156"/>
    <x v="2"/>
    <n v="3"/>
    <n v="3"/>
    <n v="24"/>
    <n v="2"/>
    <d v="2018-03-21T00:00:00"/>
    <s v="No"/>
    <x v="2"/>
    <n v="2"/>
    <x v="0"/>
    <x v="0"/>
    <x v="1"/>
  </r>
  <r>
    <s v="REL01610"/>
    <s v="Female"/>
    <n v="35"/>
    <s v="HSC"/>
    <s v="Single"/>
    <x v="3"/>
    <s v="Store Manager"/>
    <x v="4"/>
    <x v="3"/>
    <s v="West"/>
    <n v="6"/>
    <n v="93061"/>
    <x v="2"/>
    <n v="1"/>
    <n v="2"/>
    <n v="69"/>
    <n v="2"/>
    <d v="2017-11-15T00:00:00"/>
    <s v="No"/>
    <x v="1"/>
    <n v="2"/>
    <x v="1"/>
    <x v="0"/>
    <x v="1"/>
  </r>
  <r>
    <s v="REL01611"/>
    <s v="Male"/>
    <n v="44"/>
    <s v="BTech"/>
    <s v="Single"/>
    <x v="1"/>
    <s v="Sales Executive"/>
    <x v="3"/>
    <x v="5"/>
    <s v="South"/>
    <n v="4"/>
    <n v="41295"/>
    <x v="2"/>
    <n v="3"/>
    <n v="2"/>
    <n v="61"/>
    <n v="2"/>
    <d v="2019-10-22T00:00:00"/>
    <s v="Yes"/>
    <x v="2"/>
    <n v="2"/>
    <x v="0"/>
    <x v="1"/>
    <x v="1"/>
  </r>
  <r>
    <s v="REL01612"/>
    <s v="Female"/>
    <n v="29"/>
    <s v="Graduate"/>
    <s v="Divorced"/>
    <x v="7"/>
    <s v="Logistics Coordinator"/>
    <x v="0"/>
    <x v="6"/>
    <s v="South"/>
    <n v="9"/>
    <n v="65461"/>
    <x v="0"/>
    <n v="3"/>
    <n v="4"/>
    <n v="38"/>
    <n v="1"/>
    <d v="2014-01-27T00:00:00"/>
    <s v="No"/>
    <x v="0"/>
    <n v="3"/>
    <x v="1"/>
    <x v="0"/>
    <x v="0"/>
  </r>
  <r>
    <s v="REL01613"/>
    <s v="Male"/>
    <n v="36"/>
    <s v="HSC"/>
    <s v="Single"/>
    <x v="5"/>
    <s v="Sales Executive"/>
    <x v="0"/>
    <x v="1"/>
    <s v="North"/>
    <n v="6"/>
    <n v="50504"/>
    <x v="2"/>
    <n v="1"/>
    <n v="4"/>
    <n v="48"/>
    <n v="2"/>
    <d v="2017-12-13T00:00:00"/>
    <s v="No"/>
    <x v="0"/>
    <n v="2"/>
    <x v="1"/>
    <x v="0"/>
    <x v="1"/>
  </r>
  <r>
    <s v="REL01614"/>
    <s v="Male"/>
    <n v="48"/>
    <s v="MBA"/>
    <s v="Single"/>
    <x v="5"/>
    <s v="Store Manager"/>
    <x v="2"/>
    <x v="7"/>
    <s v="East"/>
    <n v="12"/>
    <n v="112693"/>
    <x v="1"/>
    <n v="2"/>
    <n v="4"/>
    <n v="42"/>
    <n v="3"/>
    <d v="2011-10-01T00:00:00"/>
    <s v="Yes"/>
    <x v="1"/>
    <n v="1"/>
    <x v="2"/>
    <x v="1"/>
    <x v="2"/>
  </r>
  <r>
    <s v="REL01615"/>
    <s v="Female"/>
    <n v="38"/>
    <s v="Graduate"/>
    <s v="Single"/>
    <x v="3"/>
    <s v="Finance Analyst"/>
    <x v="4"/>
    <x v="0"/>
    <s v="North"/>
    <n v="14"/>
    <n v="90273"/>
    <x v="2"/>
    <n v="4"/>
    <n v="1"/>
    <n v="75"/>
    <n v="2"/>
    <d v="2009-10-11T00:00:00"/>
    <s v="No"/>
    <x v="1"/>
    <n v="2"/>
    <x v="2"/>
    <x v="0"/>
    <x v="1"/>
  </r>
  <r>
    <s v="REL01616"/>
    <s v="Female"/>
    <n v="36"/>
    <s v="Graduate"/>
    <s v="Divorced"/>
    <x v="2"/>
    <s v="HR Manager"/>
    <x v="1"/>
    <x v="1"/>
    <s v="North"/>
    <n v="7"/>
    <n v="79462"/>
    <x v="1"/>
    <n v="4"/>
    <n v="2"/>
    <n v="12"/>
    <n v="1"/>
    <d v="2016-12-03T00:00:00"/>
    <s v="No"/>
    <x v="0"/>
    <n v="1"/>
    <x v="1"/>
    <x v="0"/>
    <x v="1"/>
  </r>
  <r>
    <s v="REL01617"/>
    <s v="Female"/>
    <n v="31"/>
    <s v="Post Graduate"/>
    <s v="Divorced"/>
    <x v="5"/>
    <s v="Finance Analyst"/>
    <x v="4"/>
    <x v="4"/>
    <s v="North"/>
    <n v="12"/>
    <n v="75943"/>
    <x v="1"/>
    <n v="4"/>
    <n v="4"/>
    <n v="39"/>
    <n v="0"/>
    <d v="2011-12-19T00:00:00"/>
    <s v="Yes"/>
    <x v="0"/>
    <n v="1"/>
    <x v="2"/>
    <x v="1"/>
    <x v="1"/>
  </r>
  <r>
    <s v="REL01618"/>
    <s v="Male"/>
    <n v="40"/>
    <s v="Post Graduate"/>
    <s v="Single"/>
    <x v="1"/>
    <s v="Store Manager"/>
    <x v="0"/>
    <x v="6"/>
    <s v="South"/>
    <n v="14"/>
    <n v="113111"/>
    <x v="0"/>
    <n v="2"/>
    <n v="3"/>
    <n v="41"/>
    <n v="3"/>
    <d v="2009-07-12T00:00:00"/>
    <s v="No"/>
    <x v="1"/>
    <n v="3"/>
    <x v="2"/>
    <x v="0"/>
    <x v="0"/>
  </r>
  <r>
    <s v="REL01619"/>
    <s v="Female"/>
    <n v="30"/>
    <s v="MBA"/>
    <s v="Married"/>
    <x v="5"/>
    <s v="HR Manager"/>
    <x v="4"/>
    <x v="8"/>
    <s v="South"/>
    <n v="9"/>
    <n v="90783"/>
    <x v="0"/>
    <n v="3"/>
    <n v="4"/>
    <n v="58"/>
    <n v="3"/>
    <d v="2014-08-30T00:00:00"/>
    <s v="Yes"/>
    <x v="1"/>
    <n v="3"/>
    <x v="1"/>
    <x v="1"/>
    <x v="0"/>
  </r>
  <r>
    <s v="REL01620"/>
    <s v="Male"/>
    <n v="55"/>
    <s v="Post Graduate"/>
    <s v="Divorced"/>
    <x v="2"/>
    <s v="Store Manager"/>
    <x v="4"/>
    <x v="6"/>
    <s v="South"/>
    <n v="5"/>
    <n v="94346"/>
    <x v="2"/>
    <n v="3"/>
    <n v="2"/>
    <n v="65"/>
    <n v="2"/>
    <d v="2018-09-25T00:00:00"/>
    <s v="No"/>
    <x v="1"/>
    <n v="2"/>
    <x v="0"/>
    <x v="0"/>
    <x v="1"/>
  </r>
  <r>
    <s v="REL01621"/>
    <s v="Male"/>
    <n v="42"/>
    <s v="Graduate"/>
    <s v="Married"/>
    <x v="2"/>
    <s v="Finance Analyst"/>
    <x v="4"/>
    <x v="5"/>
    <s v="South"/>
    <n v="11"/>
    <n v="87848"/>
    <x v="0"/>
    <n v="2"/>
    <n v="1"/>
    <n v="69"/>
    <n v="1"/>
    <d v="2012-01-22T00:00:00"/>
    <s v="Yes"/>
    <x v="1"/>
    <n v="3"/>
    <x v="2"/>
    <x v="1"/>
    <x v="0"/>
  </r>
  <r>
    <s v="REL01622"/>
    <s v="Male"/>
    <n v="25"/>
    <s v="BTech"/>
    <s v="Married"/>
    <x v="5"/>
    <s v="HR Manager"/>
    <x v="4"/>
    <x v="2"/>
    <s v="West"/>
    <n v="4"/>
    <n v="89686"/>
    <x v="1"/>
    <n v="2"/>
    <n v="2"/>
    <n v="30"/>
    <n v="0"/>
    <d v="2019-10-22T00:00:00"/>
    <s v="Yes"/>
    <x v="1"/>
    <n v="1"/>
    <x v="0"/>
    <x v="1"/>
    <x v="2"/>
  </r>
  <r>
    <s v="REL01623"/>
    <s v="Female"/>
    <n v="49"/>
    <s v="MBA"/>
    <s v="Single"/>
    <x v="1"/>
    <s v="Customer Service Rep"/>
    <x v="3"/>
    <x v="4"/>
    <s v="North"/>
    <n v="13"/>
    <n v="65504"/>
    <x v="3"/>
    <n v="1"/>
    <n v="3"/>
    <n v="27"/>
    <n v="3"/>
    <d v="2010-01-22T00:00:00"/>
    <s v="No"/>
    <x v="0"/>
    <n v="4"/>
    <x v="2"/>
    <x v="2"/>
    <x v="1"/>
  </r>
  <r>
    <s v="REL01624"/>
    <s v="Female"/>
    <n v="39"/>
    <s v="HSC"/>
    <s v="Single"/>
    <x v="0"/>
    <s v="Sales Executive"/>
    <x v="3"/>
    <x v="9"/>
    <s v="West"/>
    <n v="6"/>
    <n v="54227"/>
    <x v="2"/>
    <n v="1"/>
    <n v="2"/>
    <n v="10"/>
    <n v="1"/>
    <d v="2017-12-05T00:00:00"/>
    <s v="No"/>
    <x v="0"/>
    <n v="2"/>
    <x v="1"/>
    <x v="0"/>
    <x v="1"/>
  </r>
  <r>
    <s v="REL01625"/>
    <s v="Male"/>
    <n v="32"/>
    <s v="BTech"/>
    <s v="Married"/>
    <x v="1"/>
    <s v="Store Manager"/>
    <x v="1"/>
    <x v="2"/>
    <s v="West"/>
    <n v="9"/>
    <n v="99981"/>
    <x v="1"/>
    <n v="4"/>
    <n v="4"/>
    <n v="60"/>
    <n v="0"/>
    <d v="2014-07-10T00:00:00"/>
    <s v="No"/>
    <x v="1"/>
    <n v="1"/>
    <x v="1"/>
    <x v="0"/>
    <x v="2"/>
  </r>
  <r>
    <s v="REL01626"/>
    <s v="Female"/>
    <n v="44"/>
    <s v="HSC"/>
    <s v="Divorced"/>
    <x v="0"/>
    <s v="Marketing Executive"/>
    <x v="0"/>
    <x v="5"/>
    <s v="South"/>
    <n v="10"/>
    <n v="68950"/>
    <x v="3"/>
    <n v="1"/>
    <n v="2"/>
    <n v="40"/>
    <n v="3"/>
    <d v="2013-01-18T00:00:00"/>
    <s v="No"/>
    <x v="0"/>
    <n v="4"/>
    <x v="1"/>
    <x v="2"/>
    <x v="1"/>
  </r>
  <r>
    <s v="REL01627"/>
    <s v="Male"/>
    <n v="26"/>
    <s v="Graduate"/>
    <s v="Married"/>
    <x v="2"/>
    <s v="Marketing Executive"/>
    <x v="4"/>
    <x v="1"/>
    <s v="North"/>
    <n v="15"/>
    <n v="88004"/>
    <x v="3"/>
    <n v="1"/>
    <n v="2"/>
    <n v="41"/>
    <n v="2"/>
    <d v="2008-05-21T00:00:00"/>
    <s v="No"/>
    <x v="1"/>
    <n v="4"/>
    <x v="2"/>
    <x v="2"/>
    <x v="0"/>
  </r>
  <r>
    <s v="REL01628"/>
    <s v="Male"/>
    <n v="45"/>
    <s v="Post Graduate"/>
    <s v="Single"/>
    <x v="0"/>
    <s v="HR Manager"/>
    <x v="4"/>
    <x v="2"/>
    <s v="West"/>
    <n v="3"/>
    <n v="71095"/>
    <x v="2"/>
    <n v="1"/>
    <n v="2"/>
    <n v="19"/>
    <n v="3"/>
    <d v="2020-09-03T00:00:00"/>
    <s v="Yes"/>
    <x v="0"/>
    <n v="2"/>
    <x v="0"/>
    <x v="1"/>
    <x v="1"/>
  </r>
  <r>
    <s v="REL01629"/>
    <s v="Male"/>
    <n v="52"/>
    <s v="Post Graduate"/>
    <s v="Divorced"/>
    <x v="2"/>
    <s v="Store Manager"/>
    <x v="3"/>
    <x v="1"/>
    <s v="North"/>
    <n v="7"/>
    <n v="96784"/>
    <x v="0"/>
    <n v="4"/>
    <n v="1"/>
    <n v="69"/>
    <n v="2"/>
    <d v="2016-03-19T00:00:00"/>
    <s v="No"/>
    <x v="1"/>
    <n v="3"/>
    <x v="1"/>
    <x v="0"/>
    <x v="0"/>
  </r>
  <r>
    <s v="REL01630"/>
    <s v="Male"/>
    <n v="38"/>
    <s v="Graduate"/>
    <s v="Single"/>
    <x v="6"/>
    <s v="Store Manager"/>
    <x v="3"/>
    <x v="9"/>
    <s v="West"/>
    <n v="1"/>
    <n v="77758"/>
    <x v="0"/>
    <n v="4"/>
    <n v="1"/>
    <n v="68"/>
    <n v="0"/>
    <d v="2022-10-27T00:00:00"/>
    <s v="No"/>
    <x v="0"/>
    <n v="3"/>
    <x v="3"/>
    <x v="0"/>
    <x v="0"/>
  </r>
  <r>
    <s v="REL01631"/>
    <s v="Male"/>
    <n v="33"/>
    <s v="Post Graduate"/>
    <s v="Married"/>
    <x v="1"/>
    <s v="Store Manager"/>
    <x v="0"/>
    <x v="2"/>
    <s v="West"/>
    <n v="14"/>
    <n v="120469"/>
    <x v="2"/>
    <n v="1"/>
    <n v="3"/>
    <n v="20"/>
    <n v="0"/>
    <d v="2009-07-24T00:00:00"/>
    <s v="No"/>
    <x v="1"/>
    <n v="2"/>
    <x v="2"/>
    <x v="0"/>
    <x v="1"/>
  </r>
  <r>
    <s v="REL01632"/>
    <s v="Female"/>
    <n v="52"/>
    <s v="Post Graduate"/>
    <s v="Divorced"/>
    <x v="2"/>
    <s v="Operations Head"/>
    <x v="1"/>
    <x v="4"/>
    <s v="North"/>
    <n v="13"/>
    <n v="122855"/>
    <x v="2"/>
    <n v="4"/>
    <n v="3"/>
    <n v="53"/>
    <n v="3"/>
    <d v="2010-07-02T00:00:00"/>
    <s v="No"/>
    <x v="1"/>
    <n v="2"/>
    <x v="2"/>
    <x v="0"/>
    <x v="1"/>
  </r>
  <r>
    <s v="REL01633"/>
    <s v="Male"/>
    <n v="54"/>
    <s v="BTech"/>
    <s v="Married"/>
    <x v="3"/>
    <s v="Sales Executive"/>
    <x v="3"/>
    <x v="0"/>
    <s v="North"/>
    <n v="8"/>
    <n v="53743"/>
    <x v="1"/>
    <n v="2"/>
    <n v="4"/>
    <n v="40"/>
    <n v="2"/>
    <d v="2015-01-18T00:00:00"/>
    <s v="Yes"/>
    <x v="0"/>
    <n v="1"/>
    <x v="1"/>
    <x v="1"/>
    <x v="1"/>
  </r>
  <r>
    <s v="REL01634"/>
    <s v="Female"/>
    <n v="45"/>
    <s v="MBA"/>
    <s v="Single"/>
    <x v="2"/>
    <s v="Logistics Coordinator"/>
    <x v="2"/>
    <x v="2"/>
    <s v="West"/>
    <n v="13"/>
    <n v="75438"/>
    <x v="1"/>
    <n v="4"/>
    <n v="1"/>
    <n v="35"/>
    <n v="3"/>
    <d v="2010-12-23T00:00:00"/>
    <s v="Yes"/>
    <x v="0"/>
    <n v="1"/>
    <x v="2"/>
    <x v="1"/>
    <x v="1"/>
  </r>
  <r>
    <s v="REL01635"/>
    <s v="Female"/>
    <n v="47"/>
    <s v="MBA"/>
    <s v="Single"/>
    <x v="0"/>
    <s v="Operations Head"/>
    <x v="2"/>
    <x v="8"/>
    <s v="South"/>
    <n v="4"/>
    <n v="105477"/>
    <x v="0"/>
    <n v="4"/>
    <n v="4"/>
    <n v="36"/>
    <n v="1"/>
    <d v="2019-08-01T00:00:00"/>
    <s v="Yes"/>
    <x v="1"/>
    <n v="3"/>
    <x v="0"/>
    <x v="1"/>
    <x v="0"/>
  </r>
  <r>
    <s v="REL01636"/>
    <s v="Female"/>
    <n v="33"/>
    <s v="Graduate"/>
    <s v="Married"/>
    <x v="4"/>
    <s v="Finance Analyst"/>
    <x v="4"/>
    <x v="3"/>
    <s v="West"/>
    <n v="13"/>
    <n v="89634"/>
    <x v="3"/>
    <n v="2"/>
    <n v="3"/>
    <n v="75"/>
    <n v="1"/>
    <d v="2010-01-19T00:00:00"/>
    <s v="Yes"/>
    <x v="1"/>
    <n v="4"/>
    <x v="2"/>
    <x v="1"/>
    <x v="0"/>
  </r>
  <r>
    <s v="REL01637"/>
    <s v="Female"/>
    <n v="42"/>
    <s v="MBA"/>
    <s v="Divorced"/>
    <x v="6"/>
    <s v="Logistics Coordinator"/>
    <x v="1"/>
    <x v="0"/>
    <s v="North"/>
    <n v="4"/>
    <n v="51582"/>
    <x v="1"/>
    <n v="4"/>
    <n v="4"/>
    <n v="12"/>
    <n v="1"/>
    <d v="2019-08-27T00:00:00"/>
    <s v="Yes"/>
    <x v="0"/>
    <n v="1"/>
    <x v="0"/>
    <x v="1"/>
    <x v="1"/>
  </r>
  <r>
    <s v="REL01638"/>
    <s v="Male"/>
    <n v="47"/>
    <s v="Post Graduate"/>
    <s v="Divorced"/>
    <x v="1"/>
    <s v="Marketing Executive"/>
    <x v="4"/>
    <x v="2"/>
    <s v="West"/>
    <n v="5"/>
    <n v="65939"/>
    <x v="3"/>
    <n v="1"/>
    <n v="3"/>
    <n v="33"/>
    <n v="1"/>
    <d v="2018-02-08T00:00:00"/>
    <s v="No"/>
    <x v="0"/>
    <n v="4"/>
    <x v="0"/>
    <x v="2"/>
    <x v="1"/>
  </r>
  <r>
    <s v="REL01639"/>
    <s v="Female"/>
    <n v="26"/>
    <s v="Graduate"/>
    <s v="Married"/>
    <x v="2"/>
    <s v="Store Manager"/>
    <x v="2"/>
    <x v="4"/>
    <s v="North"/>
    <n v="15"/>
    <n v="117560"/>
    <x v="1"/>
    <n v="1"/>
    <n v="4"/>
    <n v="28"/>
    <n v="0"/>
    <d v="2008-09-12T00:00:00"/>
    <s v="No"/>
    <x v="1"/>
    <n v="1"/>
    <x v="2"/>
    <x v="0"/>
    <x v="2"/>
  </r>
  <r>
    <s v="REL01640"/>
    <s v="Male"/>
    <n v="23"/>
    <s v="Graduate"/>
    <s v="Divorced"/>
    <x v="7"/>
    <s v="HR Manager"/>
    <x v="2"/>
    <x v="0"/>
    <s v="North"/>
    <n v="9"/>
    <n v="92200"/>
    <x v="0"/>
    <n v="1"/>
    <n v="4"/>
    <n v="61"/>
    <n v="0"/>
    <d v="2014-11-01T00:00:00"/>
    <s v="No"/>
    <x v="1"/>
    <n v="3"/>
    <x v="1"/>
    <x v="0"/>
    <x v="0"/>
  </r>
  <r>
    <s v="REL01641"/>
    <s v="Female"/>
    <n v="25"/>
    <s v="HSC"/>
    <s v="Single"/>
    <x v="5"/>
    <s v="Finance Analyst"/>
    <x v="3"/>
    <x v="9"/>
    <s v="West"/>
    <n v="14"/>
    <n v="87334"/>
    <x v="2"/>
    <n v="2"/>
    <n v="1"/>
    <n v="72"/>
    <n v="0"/>
    <d v="2009-02-24T00:00:00"/>
    <s v="No"/>
    <x v="1"/>
    <n v="2"/>
    <x v="2"/>
    <x v="0"/>
    <x v="1"/>
  </r>
  <r>
    <s v="REL01642"/>
    <s v="Male"/>
    <n v="22"/>
    <s v="MBA"/>
    <s v="Single"/>
    <x v="4"/>
    <s v="Customer Service Rep"/>
    <x v="1"/>
    <x v="0"/>
    <s v="North"/>
    <n v="13"/>
    <n v="64680"/>
    <x v="1"/>
    <n v="4"/>
    <n v="2"/>
    <n v="50"/>
    <n v="3"/>
    <d v="2010-11-17T00:00:00"/>
    <s v="No"/>
    <x v="0"/>
    <n v="1"/>
    <x v="2"/>
    <x v="0"/>
    <x v="1"/>
  </r>
  <r>
    <s v="REL01643"/>
    <s v="Female"/>
    <n v="44"/>
    <s v="MBA"/>
    <s v="Single"/>
    <x v="2"/>
    <s v="Sales Executive"/>
    <x v="3"/>
    <x v="5"/>
    <s v="South"/>
    <n v="14"/>
    <n v="63510"/>
    <x v="0"/>
    <n v="4"/>
    <n v="1"/>
    <n v="63"/>
    <n v="2"/>
    <d v="2009-05-13T00:00:00"/>
    <s v="No"/>
    <x v="0"/>
    <n v="3"/>
    <x v="2"/>
    <x v="0"/>
    <x v="0"/>
  </r>
  <r>
    <s v="REL01644"/>
    <s v="Male"/>
    <n v="47"/>
    <s v="BTech"/>
    <s v="Single"/>
    <x v="6"/>
    <s v="Sales Executive"/>
    <x v="2"/>
    <x v="4"/>
    <s v="North"/>
    <n v="15"/>
    <n v="62905"/>
    <x v="1"/>
    <n v="1"/>
    <n v="1"/>
    <n v="36"/>
    <n v="0"/>
    <d v="2008-04-10T00:00:00"/>
    <s v="Yes"/>
    <x v="0"/>
    <n v="1"/>
    <x v="2"/>
    <x v="1"/>
    <x v="1"/>
  </r>
  <r>
    <s v="REL01645"/>
    <s v="Male"/>
    <n v="48"/>
    <s v="Graduate"/>
    <s v="Single"/>
    <x v="2"/>
    <s v="Marketing Executive"/>
    <x v="3"/>
    <x v="9"/>
    <s v="West"/>
    <n v="6"/>
    <n v="57627"/>
    <x v="1"/>
    <n v="1"/>
    <n v="4"/>
    <n v="77"/>
    <n v="2"/>
    <d v="2017-09-11T00:00:00"/>
    <s v="Yes"/>
    <x v="0"/>
    <n v="1"/>
    <x v="1"/>
    <x v="1"/>
    <x v="1"/>
  </r>
  <r>
    <s v="REL01646"/>
    <s v="Male"/>
    <n v="44"/>
    <s v="HSC"/>
    <s v="Married"/>
    <x v="0"/>
    <s v="Store Manager"/>
    <x v="4"/>
    <x v="8"/>
    <s v="South"/>
    <n v="12"/>
    <n v="106951"/>
    <x v="2"/>
    <n v="3"/>
    <n v="2"/>
    <n v="53"/>
    <n v="3"/>
    <d v="2011-01-25T00:00:00"/>
    <s v="No"/>
    <x v="1"/>
    <n v="2"/>
    <x v="2"/>
    <x v="0"/>
    <x v="1"/>
  </r>
  <r>
    <s v="REL01647"/>
    <s v="Male"/>
    <n v="42"/>
    <s v="HSC"/>
    <s v="Single"/>
    <x v="2"/>
    <s v="Operations Head"/>
    <x v="2"/>
    <x v="5"/>
    <s v="South"/>
    <n v="14"/>
    <n v="120137"/>
    <x v="1"/>
    <n v="4"/>
    <n v="3"/>
    <n v="18"/>
    <n v="1"/>
    <d v="2009-10-18T00:00:00"/>
    <s v="No"/>
    <x v="1"/>
    <n v="1"/>
    <x v="2"/>
    <x v="0"/>
    <x v="2"/>
  </r>
  <r>
    <s v="REL01648"/>
    <s v="Male"/>
    <n v="47"/>
    <s v="Graduate"/>
    <s v="Single"/>
    <x v="2"/>
    <s v="Logistics Coordinator"/>
    <x v="0"/>
    <x v="7"/>
    <s v="East"/>
    <n v="14"/>
    <n v="68881"/>
    <x v="1"/>
    <n v="4"/>
    <n v="2"/>
    <n v="43"/>
    <n v="2"/>
    <d v="2009-10-03T00:00:00"/>
    <s v="No"/>
    <x v="0"/>
    <n v="1"/>
    <x v="2"/>
    <x v="0"/>
    <x v="1"/>
  </r>
  <r>
    <s v="REL01649"/>
    <s v="Male"/>
    <n v="25"/>
    <s v="BTech"/>
    <s v="Single"/>
    <x v="2"/>
    <s v="Marketing Executive"/>
    <x v="2"/>
    <x v="8"/>
    <s v="South"/>
    <n v="6"/>
    <n v="55074"/>
    <x v="2"/>
    <n v="1"/>
    <n v="4"/>
    <n v="61"/>
    <n v="2"/>
    <d v="2017-06-17T00:00:00"/>
    <s v="No"/>
    <x v="0"/>
    <n v="2"/>
    <x v="1"/>
    <x v="0"/>
    <x v="1"/>
  </r>
  <r>
    <s v="REL01650"/>
    <s v="Male"/>
    <n v="39"/>
    <s v="Graduate"/>
    <s v="Divorced"/>
    <x v="0"/>
    <s v="Operations Head"/>
    <x v="1"/>
    <x v="4"/>
    <s v="North"/>
    <n v="12"/>
    <n v="120873"/>
    <x v="1"/>
    <n v="2"/>
    <n v="1"/>
    <n v="68"/>
    <n v="3"/>
    <d v="2011-05-12T00:00:00"/>
    <s v="No"/>
    <x v="1"/>
    <n v="1"/>
    <x v="2"/>
    <x v="0"/>
    <x v="2"/>
  </r>
  <r>
    <s v="REL01651"/>
    <s v="Female"/>
    <n v="34"/>
    <s v="MBA"/>
    <s v="Married"/>
    <x v="5"/>
    <s v="Sales Executive"/>
    <x v="4"/>
    <x v="5"/>
    <s v="South"/>
    <n v="7"/>
    <n v="46180"/>
    <x v="1"/>
    <n v="1"/>
    <n v="4"/>
    <n v="27"/>
    <n v="0"/>
    <d v="2016-02-19T00:00:00"/>
    <s v="Yes"/>
    <x v="2"/>
    <n v="1"/>
    <x v="1"/>
    <x v="1"/>
    <x v="1"/>
  </r>
  <r>
    <s v="REL01652"/>
    <s v="Male"/>
    <n v="32"/>
    <s v="HSC"/>
    <s v="Single"/>
    <x v="1"/>
    <s v="HR Manager"/>
    <x v="0"/>
    <x v="9"/>
    <s v="West"/>
    <n v="12"/>
    <n v="99014"/>
    <x v="3"/>
    <n v="2"/>
    <n v="1"/>
    <n v="62"/>
    <n v="1"/>
    <d v="2011-02-05T00:00:00"/>
    <s v="No"/>
    <x v="1"/>
    <n v="4"/>
    <x v="2"/>
    <x v="2"/>
    <x v="0"/>
  </r>
  <r>
    <s v="REL01653"/>
    <s v="Female"/>
    <n v="40"/>
    <s v="HSC"/>
    <s v="Single"/>
    <x v="1"/>
    <s v="Store Manager"/>
    <x v="3"/>
    <x v="6"/>
    <s v="South"/>
    <n v="5"/>
    <n v="88084"/>
    <x v="2"/>
    <n v="3"/>
    <n v="3"/>
    <n v="29"/>
    <n v="0"/>
    <d v="2018-11-12T00:00:00"/>
    <s v="No"/>
    <x v="1"/>
    <n v="2"/>
    <x v="0"/>
    <x v="0"/>
    <x v="1"/>
  </r>
  <r>
    <s v="REL01654"/>
    <s v="Male"/>
    <n v="29"/>
    <s v="BTech"/>
    <s v="Married"/>
    <x v="4"/>
    <s v="Operations Head"/>
    <x v="2"/>
    <x v="6"/>
    <s v="South"/>
    <n v="1"/>
    <n v="101392"/>
    <x v="2"/>
    <n v="1"/>
    <n v="3"/>
    <n v="63"/>
    <n v="2"/>
    <d v="2022-07-06T00:00:00"/>
    <s v="No"/>
    <x v="1"/>
    <n v="2"/>
    <x v="3"/>
    <x v="0"/>
    <x v="1"/>
  </r>
  <r>
    <s v="REL01655"/>
    <s v="Male"/>
    <n v="34"/>
    <s v="MBA"/>
    <s v="Single"/>
    <x v="4"/>
    <s v="Customer Service Rep"/>
    <x v="4"/>
    <x v="3"/>
    <s v="West"/>
    <n v="8"/>
    <n v="47304"/>
    <x v="2"/>
    <n v="3"/>
    <n v="3"/>
    <n v="27"/>
    <n v="2"/>
    <d v="2015-04-02T00:00:00"/>
    <s v="No"/>
    <x v="2"/>
    <n v="2"/>
    <x v="1"/>
    <x v="0"/>
    <x v="1"/>
  </r>
  <r>
    <s v="REL01656"/>
    <s v="Male"/>
    <n v="23"/>
    <s v="Post Graduate"/>
    <s v="Married"/>
    <x v="2"/>
    <s v="HR Manager"/>
    <x v="1"/>
    <x v="7"/>
    <s v="East"/>
    <n v="9"/>
    <n v="95633"/>
    <x v="3"/>
    <n v="4"/>
    <n v="3"/>
    <n v="44"/>
    <n v="1"/>
    <d v="2014-01-27T00:00:00"/>
    <s v="Yes"/>
    <x v="1"/>
    <n v="4"/>
    <x v="1"/>
    <x v="1"/>
    <x v="0"/>
  </r>
  <r>
    <s v="REL01657"/>
    <s v="Female"/>
    <n v="33"/>
    <s v="Post Graduate"/>
    <s v="Divorced"/>
    <x v="3"/>
    <s v="Finance Analyst"/>
    <x v="4"/>
    <x v="4"/>
    <s v="North"/>
    <n v="4"/>
    <n v="70524"/>
    <x v="0"/>
    <n v="3"/>
    <n v="2"/>
    <n v="39"/>
    <n v="3"/>
    <d v="2019-05-26T00:00:00"/>
    <s v="No"/>
    <x v="0"/>
    <n v="3"/>
    <x v="0"/>
    <x v="0"/>
    <x v="0"/>
  </r>
  <r>
    <s v="REL01658"/>
    <s v="Male"/>
    <n v="41"/>
    <s v="Post Graduate"/>
    <s v="Married"/>
    <x v="4"/>
    <s v="Marketing Executive"/>
    <x v="4"/>
    <x v="0"/>
    <s v="North"/>
    <n v="11"/>
    <n v="81950"/>
    <x v="3"/>
    <n v="2"/>
    <n v="3"/>
    <n v="10"/>
    <n v="3"/>
    <d v="2012-02-20T00:00:00"/>
    <s v="Yes"/>
    <x v="1"/>
    <n v="4"/>
    <x v="2"/>
    <x v="1"/>
    <x v="0"/>
  </r>
  <r>
    <s v="REL01659"/>
    <s v="Male"/>
    <n v="37"/>
    <s v="HSC"/>
    <s v="Single"/>
    <x v="3"/>
    <s v="Logistics Coordinator"/>
    <x v="1"/>
    <x v="2"/>
    <s v="West"/>
    <n v="5"/>
    <n v="51269"/>
    <x v="0"/>
    <n v="4"/>
    <n v="3"/>
    <n v="23"/>
    <n v="3"/>
    <d v="2018-08-02T00:00:00"/>
    <s v="No"/>
    <x v="0"/>
    <n v="3"/>
    <x v="0"/>
    <x v="0"/>
    <x v="0"/>
  </r>
  <r>
    <s v="REL01660"/>
    <s v="Male"/>
    <n v="46"/>
    <s v="BTech"/>
    <s v="Single"/>
    <x v="4"/>
    <s v="Customer Service Rep"/>
    <x v="4"/>
    <x v="2"/>
    <s v="West"/>
    <n v="13"/>
    <n v="60436"/>
    <x v="1"/>
    <n v="3"/>
    <n v="3"/>
    <n v="12"/>
    <n v="3"/>
    <d v="2010-08-30T00:00:00"/>
    <s v="Yes"/>
    <x v="0"/>
    <n v="1"/>
    <x v="2"/>
    <x v="1"/>
    <x v="1"/>
  </r>
  <r>
    <s v="REL01661"/>
    <s v="Female"/>
    <n v="39"/>
    <s v="MBA"/>
    <s v="Divorced"/>
    <x v="1"/>
    <s v="Customer Service Rep"/>
    <x v="0"/>
    <x v="8"/>
    <s v="South"/>
    <n v="10"/>
    <n v="50344"/>
    <x v="3"/>
    <n v="1"/>
    <n v="2"/>
    <n v="64"/>
    <n v="3"/>
    <d v="2013-02-13T00:00:00"/>
    <s v="No"/>
    <x v="0"/>
    <n v="4"/>
    <x v="1"/>
    <x v="2"/>
    <x v="1"/>
  </r>
  <r>
    <s v="REL01662"/>
    <s v="Male"/>
    <n v="38"/>
    <s v="MBA"/>
    <s v="Single"/>
    <x v="5"/>
    <s v="Sales Executive"/>
    <x v="2"/>
    <x v="8"/>
    <s v="South"/>
    <n v="10"/>
    <n v="65411"/>
    <x v="2"/>
    <n v="2"/>
    <n v="1"/>
    <n v="14"/>
    <n v="2"/>
    <d v="2013-07-19T00:00:00"/>
    <s v="No"/>
    <x v="0"/>
    <n v="2"/>
    <x v="1"/>
    <x v="0"/>
    <x v="1"/>
  </r>
  <r>
    <s v="REL01663"/>
    <s v="Female"/>
    <n v="55"/>
    <s v="MBA"/>
    <s v="Married"/>
    <x v="3"/>
    <s v="Operations Head"/>
    <x v="1"/>
    <x v="8"/>
    <s v="South"/>
    <n v="4"/>
    <n v="102332"/>
    <x v="1"/>
    <n v="4"/>
    <n v="3"/>
    <n v="68"/>
    <n v="0"/>
    <d v="2019-06-11T00:00:00"/>
    <s v="No"/>
    <x v="1"/>
    <n v="1"/>
    <x v="0"/>
    <x v="0"/>
    <x v="2"/>
  </r>
  <r>
    <s v="REL01664"/>
    <s v="Female"/>
    <n v="50"/>
    <s v="Graduate"/>
    <s v="Single"/>
    <x v="2"/>
    <s v="Logistics Coordinator"/>
    <x v="3"/>
    <x v="2"/>
    <s v="West"/>
    <n v="14"/>
    <n v="82144"/>
    <x v="3"/>
    <n v="1"/>
    <n v="2"/>
    <n v="77"/>
    <n v="2"/>
    <d v="2009-11-22T00:00:00"/>
    <s v="Yes"/>
    <x v="1"/>
    <n v="4"/>
    <x v="2"/>
    <x v="1"/>
    <x v="0"/>
  </r>
  <r>
    <s v="REL01665"/>
    <s v="Male"/>
    <n v="43"/>
    <s v="Graduate"/>
    <s v="Divorced"/>
    <x v="2"/>
    <s v="Customer Service Rep"/>
    <x v="0"/>
    <x v="9"/>
    <s v="West"/>
    <n v="8"/>
    <n v="54724"/>
    <x v="1"/>
    <n v="4"/>
    <n v="1"/>
    <n v="22"/>
    <n v="3"/>
    <d v="2015-07-21T00:00:00"/>
    <s v="No"/>
    <x v="0"/>
    <n v="1"/>
    <x v="1"/>
    <x v="0"/>
    <x v="1"/>
  </r>
  <r>
    <s v="REL01666"/>
    <s v="Female"/>
    <n v="55"/>
    <s v="HSC"/>
    <s v="Single"/>
    <x v="4"/>
    <s v="Operations Head"/>
    <x v="0"/>
    <x v="9"/>
    <s v="West"/>
    <n v="4"/>
    <n v="99798"/>
    <x v="0"/>
    <n v="3"/>
    <n v="3"/>
    <n v="12"/>
    <n v="2"/>
    <d v="2019-02-24T00:00:00"/>
    <s v="No"/>
    <x v="1"/>
    <n v="3"/>
    <x v="0"/>
    <x v="0"/>
    <x v="0"/>
  </r>
  <r>
    <s v="REL01667"/>
    <s v="Female"/>
    <n v="33"/>
    <s v="BTech"/>
    <s v="Married"/>
    <x v="6"/>
    <s v="Customer Service Rep"/>
    <x v="1"/>
    <x v="2"/>
    <s v="West"/>
    <n v="8"/>
    <n v="51186"/>
    <x v="0"/>
    <n v="1"/>
    <n v="4"/>
    <n v="78"/>
    <n v="1"/>
    <d v="2015-10-26T00:00:00"/>
    <s v="Yes"/>
    <x v="0"/>
    <n v="3"/>
    <x v="1"/>
    <x v="1"/>
    <x v="0"/>
  </r>
  <r>
    <s v="REL01668"/>
    <s v="Male"/>
    <n v="42"/>
    <s v="MBA"/>
    <s v="Married"/>
    <x v="7"/>
    <s v="HR Manager"/>
    <x v="4"/>
    <x v="7"/>
    <s v="East"/>
    <n v="1"/>
    <n v="77827"/>
    <x v="2"/>
    <n v="2"/>
    <n v="4"/>
    <n v="48"/>
    <n v="0"/>
    <d v="2022-01-17T00:00:00"/>
    <s v="Yes"/>
    <x v="0"/>
    <n v="2"/>
    <x v="3"/>
    <x v="1"/>
    <x v="1"/>
  </r>
  <r>
    <s v="REL01669"/>
    <s v="Female"/>
    <n v="34"/>
    <s v="HSC"/>
    <s v="Divorced"/>
    <x v="1"/>
    <s v="Marketing Executive"/>
    <x v="1"/>
    <x v="2"/>
    <s v="West"/>
    <n v="10"/>
    <n v="73343"/>
    <x v="2"/>
    <n v="3"/>
    <n v="2"/>
    <n v="12"/>
    <n v="0"/>
    <d v="2013-12-08T00:00:00"/>
    <s v="No"/>
    <x v="0"/>
    <n v="2"/>
    <x v="1"/>
    <x v="0"/>
    <x v="1"/>
  </r>
  <r>
    <s v="REL01670"/>
    <s v="Male"/>
    <n v="22"/>
    <s v="HSC"/>
    <s v="Divorced"/>
    <x v="2"/>
    <s v="Logistics Coordinator"/>
    <x v="2"/>
    <x v="3"/>
    <s v="West"/>
    <n v="9"/>
    <n v="72696"/>
    <x v="1"/>
    <n v="3"/>
    <n v="2"/>
    <n v="72"/>
    <n v="3"/>
    <d v="2014-02-25T00:00:00"/>
    <s v="Yes"/>
    <x v="0"/>
    <n v="1"/>
    <x v="1"/>
    <x v="1"/>
    <x v="1"/>
  </r>
  <r>
    <s v="REL01671"/>
    <s v="Male"/>
    <n v="25"/>
    <s v="Post Graduate"/>
    <s v="Divorced"/>
    <x v="6"/>
    <s v="Marketing Executive"/>
    <x v="3"/>
    <x v="7"/>
    <s v="East"/>
    <n v="15"/>
    <n v="82690"/>
    <x v="3"/>
    <n v="4"/>
    <n v="2"/>
    <n v="42"/>
    <n v="2"/>
    <d v="2008-06-06T00:00:00"/>
    <s v="No"/>
    <x v="1"/>
    <n v="4"/>
    <x v="2"/>
    <x v="2"/>
    <x v="0"/>
  </r>
  <r>
    <s v="REL01672"/>
    <s v="Male"/>
    <n v="31"/>
    <s v="Post Graduate"/>
    <s v="Single"/>
    <x v="1"/>
    <s v="Logistics Coordinator"/>
    <x v="1"/>
    <x v="8"/>
    <s v="South"/>
    <n v="7"/>
    <n v="57015"/>
    <x v="2"/>
    <n v="3"/>
    <n v="4"/>
    <n v="63"/>
    <n v="0"/>
    <d v="2016-11-10T00:00:00"/>
    <s v="No"/>
    <x v="0"/>
    <n v="2"/>
    <x v="1"/>
    <x v="0"/>
    <x v="1"/>
  </r>
  <r>
    <s v="REL01673"/>
    <s v="Female"/>
    <n v="51"/>
    <s v="MBA"/>
    <s v="Married"/>
    <x v="0"/>
    <s v="Sales Executive"/>
    <x v="3"/>
    <x v="9"/>
    <s v="West"/>
    <n v="14"/>
    <n v="72630"/>
    <x v="0"/>
    <n v="2"/>
    <n v="4"/>
    <n v="27"/>
    <n v="3"/>
    <d v="2009-08-14T00:00:00"/>
    <s v="No"/>
    <x v="0"/>
    <n v="3"/>
    <x v="2"/>
    <x v="0"/>
    <x v="0"/>
  </r>
  <r>
    <s v="REL01674"/>
    <s v="Female"/>
    <n v="53"/>
    <s v="HSC"/>
    <s v="Married"/>
    <x v="6"/>
    <s v="Store Manager"/>
    <x v="3"/>
    <x v="5"/>
    <s v="South"/>
    <n v="12"/>
    <n v="115693"/>
    <x v="2"/>
    <n v="3"/>
    <n v="3"/>
    <n v="46"/>
    <n v="1"/>
    <d v="2011-03-27T00:00:00"/>
    <s v="No"/>
    <x v="1"/>
    <n v="2"/>
    <x v="2"/>
    <x v="0"/>
    <x v="1"/>
  </r>
  <r>
    <s v="REL01675"/>
    <s v="Male"/>
    <n v="37"/>
    <s v="MBA"/>
    <s v="Married"/>
    <x v="5"/>
    <s v="Marketing Executive"/>
    <x v="2"/>
    <x v="8"/>
    <s v="South"/>
    <n v="14"/>
    <n v="82618"/>
    <x v="2"/>
    <n v="4"/>
    <n v="4"/>
    <n v="70"/>
    <n v="2"/>
    <d v="2009-08-28T00:00:00"/>
    <s v="No"/>
    <x v="1"/>
    <n v="2"/>
    <x v="2"/>
    <x v="0"/>
    <x v="1"/>
  </r>
  <r>
    <s v="REL01676"/>
    <s v="Male"/>
    <n v="41"/>
    <s v="BTech"/>
    <s v="Married"/>
    <x v="4"/>
    <s v="Finance Analyst"/>
    <x v="2"/>
    <x v="3"/>
    <s v="West"/>
    <n v="14"/>
    <n v="91803"/>
    <x v="3"/>
    <n v="3"/>
    <n v="2"/>
    <n v="48"/>
    <n v="0"/>
    <d v="2009-07-07T00:00:00"/>
    <s v="No"/>
    <x v="1"/>
    <n v="4"/>
    <x v="2"/>
    <x v="2"/>
    <x v="0"/>
  </r>
  <r>
    <s v="REL01677"/>
    <s v="Male"/>
    <n v="24"/>
    <s v="Graduate"/>
    <s v="Divorced"/>
    <x v="5"/>
    <s v="Marketing Executive"/>
    <x v="3"/>
    <x v="0"/>
    <s v="North"/>
    <n v="11"/>
    <n v="63946"/>
    <x v="0"/>
    <n v="3"/>
    <n v="1"/>
    <n v="62"/>
    <n v="2"/>
    <d v="2012-03-08T00:00:00"/>
    <s v="No"/>
    <x v="0"/>
    <n v="3"/>
    <x v="2"/>
    <x v="0"/>
    <x v="0"/>
  </r>
  <r>
    <s v="REL01678"/>
    <s v="Female"/>
    <n v="49"/>
    <s v="HSC"/>
    <s v="Single"/>
    <x v="5"/>
    <s v="Operations Head"/>
    <x v="1"/>
    <x v="2"/>
    <s v="West"/>
    <n v="4"/>
    <n v="101630"/>
    <x v="0"/>
    <n v="3"/>
    <n v="2"/>
    <n v="35"/>
    <n v="1"/>
    <d v="2019-08-30T00:00:00"/>
    <s v="No"/>
    <x v="1"/>
    <n v="3"/>
    <x v="0"/>
    <x v="0"/>
    <x v="0"/>
  </r>
  <r>
    <s v="REL01679"/>
    <s v="Male"/>
    <n v="26"/>
    <s v="Graduate"/>
    <s v="Divorced"/>
    <x v="6"/>
    <s v="Store Manager"/>
    <x v="4"/>
    <x v="2"/>
    <s v="West"/>
    <n v="14"/>
    <n v="111527"/>
    <x v="3"/>
    <n v="2"/>
    <n v="3"/>
    <n v="56"/>
    <n v="3"/>
    <d v="2009-12-21T00:00:00"/>
    <s v="No"/>
    <x v="1"/>
    <n v="4"/>
    <x v="2"/>
    <x v="2"/>
    <x v="0"/>
  </r>
  <r>
    <s v="REL01680"/>
    <s v="Female"/>
    <n v="54"/>
    <s v="Post Graduate"/>
    <s v="Divorced"/>
    <x v="2"/>
    <s v="Customer Service Rep"/>
    <x v="1"/>
    <x v="0"/>
    <s v="North"/>
    <n v="14"/>
    <n v="55632"/>
    <x v="1"/>
    <n v="4"/>
    <n v="3"/>
    <n v="61"/>
    <n v="3"/>
    <d v="2009-11-13T00:00:00"/>
    <s v="No"/>
    <x v="0"/>
    <n v="1"/>
    <x v="2"/>
    <x v="0"/>
    <x v="1"/>
  </r>
  <r>
    <s v="REL01681"/>
    <s v="Female"/>
    <n v="54"/>
    <s v="MBA"/>
    <s v="Divorced"/>
    <x v="4"/>
    <s v="Logistics Coordinator"/>
    <x v="0"/>
    <x v="0"/>
    <s v="North"/>
    <n v="8"/>
    <n v="54047"/>
    <x v="1"/>
    <n v="1"/>
    <n v="3"/>
    <n v="69"/>
    <n v="3"/>
    <d v="2015-02-06T00:00:00"/>
    <s v="No"/>
    <x v="0"/>
    <n v="1"/>
    <x v="1"/>
    <x v="0"/>
    <x v="1"/>
  </r>
  <r>
    <s v="REL01682"/>
    <s v="Female"/>
    <n v="43"/>
    <s v="BTech"/>
    <s v="Divorced"/>
    <x v="6"/>
    <s v="Store Manager"/>
    <x v="1"/>
    <x v="2"/>
    <s v="West"/>
    <n v="12"/>
    <n v="111218"/>
    <x v="0"/>
    <n v="3"/>
    <n v="1"/>
    <n v="77"/>
    <n v="0"/>
    <d v="2011-06-30T00:00:00"/>
    <s v="No"/>
    <x v="1"/>
    <n v="3"/>
    <x v="2"/>
    <x v="0"/>
    <x v="0"/>
  </r>
  <r>
    <s v="REL01683"/>
    <s v="Female"/>
    <n v="40"/>
    <s v="Graduate"/>
    <s v="Married"/>
    <x v="3"/>
    <s v="HR Manager"/>
    <x v="2"/>
    <x v="8"/>
    <s v="South"/>
    <n v="1"/>
    <n v="85817"/>
    <x v="0"/>
    <n v="3"/>
    <n v="4"/>
    <n v="40"/>
    <n v="3"/>
    <d v="2022-04-22T00:00:00"/>
    <s v="No"/>
    <x v="1"/>
    <n v="3"/>
    <x v="3"/>
    <x v="0"/>
    <x v="0"/>
  </r>
  <r>
    <s v="REL01684"/>
    <s v="Female"/>
    <n v="46"/>
    <s v="Graduate"/>
    <s v="Married"/>
    <x v="3"/>
    <s v="Customer Service Rep"/>
    <x v="4"/>
    <x v="6"/>
    <s v="South"/>
    <n v="1"/>
    <n v="29203"/>
    <x v="2"/>
    <n v="4"/>
    <n v="3"/>
    <n v="67"/>
    <n v="1"/>
    <d v="2022-11-17T00:00:00"/>
    <s v="No"/>
    <x v="3"/>
    <n v="2"/>
    <x v="3"/>
    <x v="0"/>
    <x v="1"/>
  </r>
  <r>
    <s v="REL01685"/>
    <s v="Female"/>
    <n v="30"/>
    <s v="Graduate"/>
    <s v="Single"/>
    <x v="2"/>
    <s v="Customer Service Rep"/>
    <x v="0"/>
    <x v="5"/>
    <s v="South"/>
    <n v="12"/>
    <n v="54493"/>
    <x v="1"/>
    <n v="3"/>
    <n v="3"/>
    <n v="46"/>
    <n v="0"/>
    <d v="2011-08-04T00:00:00"/>
    <s v="Yes"/>
    <x v="0"/>
    <n v="1"/>
    <x v="2"/>
    <x v="1"/>
    <x v="1"/>
  </r>
  <r>
    <s v="REL01686"/>
    <s v="Female"/>
    <n v="48"/>
    <s v="HSC"/>
    <s v="Married"/>
    <x v="3"/>
    <s v="Marketing Executive"/>
    <x v="2"/>
    <x v="3"/>
    <s v="West"/>
    <n v="11"/>
    <n v="73709"/>
    <x v="1"/>
    <n v="4"/>
    <n v="3"/>
    <n v="22"/>
    <n v="1"/>
    <d v="2012-01-20T00:00:00"/>
    <s v="No"/>
    <x v="0"/>
    <n v="1"/>
    <x v="2"/>
    <x v="0"/>
    <x v="1"/>
  </r>
  <r>
    <s v="REL01687"/>
    <s v="Female"/>
    <n v="34"/>
    <s v="HSC"/>
    <s v="Married"/>
    <x v="1"/>
    <s v="Marketing Executive"/>
    <x v="0"/>
    <x v="0"/>
    <s v="North"/>
    <n v="9"/>
    <n v="58283"/>
    <x v="3"/>
    <n v="3"/>
    <n v="1"/>
    <n v="54"/>
    <n v="1"/>
    <d v="2014-07-06T00:00:00"/>
    <s v="No"/>
    <x v="0"/>
    <n v="4"/>
    <x v="1"/>
    <x v="2"/>
    <x v="1"/>
  </r>
  <r>
    <s v="REL01688"/>
    <s v="Male"/>
    <n v="55"/>
    <s v="HSC"/>
    <s v="Divorced"/>
    <x v="5"/>
    <s v="Customer Service Rep"/>
    <x v="2"/>
    <x v="4"/>
    <s v="North"/>
    <n v="8"/>
    <n v="52263"/>
    <x v="3"/>
    <n v="1"/>
    <n v="2"/>
    <n v="80"/>
    <n v="3"/>
    <d v="2015-02-20T00:00:00"/>
    <s v="No"/>
    <x v="0"/>
    <n v="4"/>
    <x v="1"/>
    <x v="2"/>
    <x v="1"/>
  </r>
  <r>
    <s v="REL01689"/>
    <s v="Male"/>
    <n v="35"/>
    <s v="Graduate"/>
    <s v="Divorced"/>
    <x v="5"/>
    <s v="Finance Analyst"/>
    <x v="1"/>
    <x v="7"/>
    <s v="East"/>
    <n v="7"/>
    <n v="75310"/>
    <x v="3"/>
    <n v="2"/>
    <n v="3"/>
    <n v="78"/>
    <n v="0"/>
    <d v="2016-10-03T00:00:00"/>
    <s v="No"/>
    <x v="0"/>
    <n v="4"/>
    <x v="1"/>
    <x v="2"/>
    <x v="1"/>
  </r>
  <r>
    <s v="REL01690"/>
    <s v="Female"/>
    <n v="30"/>
    <s v="BTech"/>
    <s v="Single"/>
    <x v="0"/>
    <s v="Sales Executive"/>
    <x v="4"/>
    <x v="1"/>
    <s v="North"/>
    <n v="9"/>
    <n v="56460"/>
    <x v="0"/>
    <n v="3"/>
    <n v="2"/>
    <n v="23"/>
    <n v="2"/>
    <d v="2014-09-29T00:00:00"/>
    <s v="No"/>
    <x v="0"/>
    <n v="3"/>
    <x v="1"/>
    <x v="0"/>
    <x v="0"/>
  </r>
  <r>
    <s v="REL01691"/>
    <s v="Female"/>
    <n v="31"/>
    <s v="MBA"/>
    <s v="Single"/>
    <x v="7"/>
    <s v="Sales Executive"/>
    <x v="2"/>
    <x v="4"/>
    <s v="North"/>
    <n v="14"/>
    <n v="63681"/>
    <x v="3"/>
    <n v="3"/>
    <n v="1"/>
    <n v="21"/>
    <n v="2"/>
    <d v="2009-04-16T00:00:00"/>
    <s v="Yes"/>
    <x v="0"/>
    <n v="4"/>
    <x v="2"/>
    <x v="1"/>
    <x v="1"/>
  </r>
  <r>
    <s v="REL01692"/>
    <s v="Male"/>
    <n v="26"/>
    <s v="HSC"/>
    <s v="Single"/>
    <x v="2"/>
    <s v="Customer Service Rep"/>
    <x v="2"/>
    <x v="2"/>
    <s v="West"/>
    <n v="2"/>
    <n v="40677"/>
    <x v="0"/>
    <n v="1"/>
    <n v="2"/>
    <n v="17"/>
    <n v="2"/>
    <d v="2021-09-23T00:00:00"/>
    <s v="No"/>
    <x v="2"/>
    <n v="3"/>
    <x v="3"/>
    <x v="0"/>
    <x v="1"/>
  </r>
  <r>
    <s v="REL01693"/>
    <s v="Female"/>
    <n v="41"/>
    <s v="HSC"/>
    <s v="Married"/>
    <x v="0"/>
    <s v="Sales Executive"/>
    <x v="3"/>
    <x v="8"/>
    <s v="South"/>
    <n v="9"/>
    <n v="51270"/>
    <x v="1"/>
    <n v="4"/>
    <n v="4"/>
    <n v="65"/>
    <n v="1"/>
    <d v="2014-06-09T00:00:00"/>
    <s v="No"/>
    <x v="0"/>
    <n v="1"/>
    <x v="1"/>
    <x v="0"/>
    <x v="1"/>
  </r>
  <r>
    <s v="REL01694"/>
    <s v="Male"/>
    <n v="48"/>
    <s v="BTech"/>
    <s v="Divorced"/>
    <x v="5"/>
    <s v="HR Manager"/>
    <x v="0"/>
    <x v="8"/>
    <s v="South"/>
    <n v="13"/>
    <n v="110583"/>
    <x v="3"/>
    <n v="3"/>
    <n v="3"/>
    <n v="29"/>
    <n v="0"/>
    <d v="2010-11-15T00:00:00"/>
    <s v="No"/>
    <x v="1"/>
    <n v="4"/>
    <x v="2"/>
    <x v="2"/>
    <x v="0"/>
  </r>
  <r>
    <s v="REL01695"/>
    <s v="Female"/>
    <n v="27"/>
    <s v="Graduate"/>
    <s v="Single"/>
    <x v="4"/>
    <s v="Logistics Coordinator"/>
    <x v="4"/>
    <x v="2"/>
    <s v="West"/>
    <n v="1"/>
    <n v="40428"/>
    <x v="3"/>
    <n v="2"/>
    <n v="2"/>
    <n v="42"/>
    <n v="1"/>
    <d v="2022-02-07T00:00:00"/>
    <s v="No"/>
    <x v="2"/>
    <n v="4"/>
    <x v="3"/>
    <x v="2"/>
    <x v="1"/>
  </r>
  <r>
    <s v="REL01696"/>
    <s v="Female"/>
    <n v="44"/>
    <s v="MBA"/>
    <s v="Single"/>
    <x v="6"/>
    <s v="HR Manager"/>
    <x v="1"/>
    <x v="0"/>
    <s v="North"/>
    <n v="7"/>
    <n v="83978"/>
    <x v="0"/>
    <n v="4"/>
    <n v="4"/>
    <n v="28"/>
    <n v="0"/>
    <d v="2016-02-13T00:00:00"/>
    <s v="Yes"/>
    <x v="1"/>
    <n v="3"/>
    <x v="1"/>
    <x v="1"/>
    <x v="0"/>
  </r>
  <r>
    <s v="REL01697"/>
    <s v="Male"/>
    <n v="30"/>
    <s v="HSC"/>
    <s v="Married"/>
    <x v="1"/>
    <s v="Sales Executive"/>
    <x v="0"/>
    <x v="1"/>
    <s v="North"/>
    <n v="10"/>
    <n v="50127"/>
    <x v="1"/>
    <n v="2"/>
    <n v="2"/>
    <n v="80"/>
    <n v="3"/>
    <d v="2013-03-18T00:00:00"/>
    <s v="Yes"/>
    <x v="0"/>
    <n v="1"/>
    <x v="1"/>
    <x v="1"/>
    <x v="1"/>
  </r>
  <r>
    <s v="REL01698"/>
    <s v="Female"/>
    <n v="53"/>
    <s v="Post Graduate"/>
    <s v="Married"/>
    <x v="1"/>
    <s v="Store Manager"/>
    <x v="2"/>
    <x v="3"/>
    <s v="West"/>
    <n v="1"/>
    <n v="92181"/>
    <x v="0"/>
    <n v="2"/>
    <n v="4"/>
    <n v="25"/>
    <n v="1"/>
    <d v="2022-03-21T00:00:00"/>
    <s v="No"/>
    <x v="1"/>
    <n v="3"/>
    <x v="3"/>
    <x v="0"/>
    <x v="0"/>
  </r>
  <r>
    <s v="REL01699"/>
    <s v="Male"/>
    <n v="31"/>
    <s v="BTech"/>
    <s v="Married"/>
    <x v="5"/>
    <s v="HR Manager"/>
    <x v="4"/>
    <x v="4"/>
    <s v="North"/>
    <n v="6"/>
    <n v="78464"/>
    <x v="2"/>
    <n v="1"/>
    <n v="4"/>
    <n v="15"/>
    <n v="2"/>
    <d v="2017-01-21T00:00:00"/>
    <s v="No"/>
    <x v="0"/>
    <n v="2"/>
    <x v="1"/>
    <x v="0"/>
    <x v="1"/>
  </r>
  <r>
    <s v="REL01700"/>
    <s v="Female"/>
    <n v="38"/>
    <s v="MBA"/>
    <s v="Married"/>
    <x v="0"/>
    <s v="Store Manager"/>
    <x v="2"/>
    <x v="1"/>
    <s v="North"/>
    <n v="5"/>
    <n v="98713"/>
    <x v="0"/>
    <n v="3"/>
    <n v="1"/>
    <n v="12"/>
    <n v="2"/>
    <d v="2018-08-02T00:00:00"/>
    <s v="No"/>
    <x v="1"/>
    <n v="3"/>
    <x v="0"/>
    <x v="0"/>
    <x v="0"/>
  </r>
  <r>
    <s v="REL01701"/>
    <s v="Female"/>
    <n v="44"/>
    <s v="MBA"/>
    <s v="Single"/>
    <x v="5"/>
    <s v="Operations Head"/>
    <x v="3"/>
    <x v="0"/>
    <s v="North"/>
    <n v="12"/>
    <n v="115692"/>
    <x v="1"/>
    <n v="2"/>
    <n v="4"/>
    <n v="77"/>
    <n v="3"/>
    <d v="2011-06-19T00:00:00"/>
    <s v="Yes"/>
    <x v="1"/>
    <n v="1"/>
    <x v="2"/>
    <x v="1"/>
    <x v="2"/>
  </r>
  <r>
    <s v="REL01702"/>
    <s v="Male"/>
    <n v="30"/>
    <s v="BTech"/>
    <s v="Single"/>
    <x v="5"/>
    <s v="Marketing Executive"/>
    <x v="3"/>
    <x v="2"/>
    <s v="West"/>
    <n v="2"/>
    <n v="56758"/>
    <x v="0"/>
    <n v="1"/>
    <n v="1"/>
    <n v="34"/>
    <n v="3"/>
    <d v="2021-06-02T00:00:00"/>
    <s v="Yes"/>
    <x v="0"/>
    <n v="3"/>
    <x v="3"/>
    <x v="1"/>
    <x v="0"/>
  </r>
  <r>
    <s v="REL01703"/>
    <s v="Male"/>
    <n v="35"/>
    <s v="BTech"/>
    <s v="Single"/>
    <x v="4"/>
    <s v="Finance Analyst"/>
    <x v="3"/>
    <x v="3"/>
    <s v="West"/>
    <n v="11"/>
    <n v="74609"/>
    <x v="2"/>
    <n v="2"/>
    <n v="3"/>
    <n v="25"/>
    <n v="2"/>
    <d v="2012-02-23T00:00:00"/>
    <s v="No"/>
    <x v="0"/>
    <n v="2"/>
    <x v="2"/>
    <x v="0"/>
    <x v="1"/>
  </r>
  <r>
    <s v="REL01704"/>
    <s v="Male"/>
    <n v="38"/>
    <s v="MBA"/>
    <s v="Divorced"/>
    <x v="5"/>
    <s v="Operations Head"/>
    <x v="2"/>
    <x v="1"/>
    <s v="North"/>
    <n v="12"/>
    <n v="119093"/>
    <x v="0"/>
    <n v="1"/>
    <n v="3"/>
    <n v="39"/>
    <n v="2"/>
    <d v="2011-03-09T00:00:00"/>
    <s v="Yes"/>
    <x v="1"/>
    <n v="3"/>
    <x v="2"/>
    <x v="1"/>
    <x v="0"/>
  </r>
  <r>
    <s v="REL01705"/>
    <s v="Male"/>
    <n v="25"/>
    <s v="BTech"/>
    <s v="Married"/>
    <x v="3"/>
    <s v="Customer Service Rep"/>
    <x v="1"/>
    <x v="9"/>
    <s v="West"/>
    <n v="10"/>
    <n v="48046"/>
    <x v="0"/>
    <n v="2"/>
    <n v="2"/>
    <n v="60"/>
    <n v="3"/>
    <d v="2013-05-06T00:00:00"/>
    <s v="No"/>
    <x v="2"/>
    <n v="3"/>
    <x v="1"/>
    <x v="0"/>
    <x v="1"/>
  </r>
  <r>
    <s v="REL01706"/>
    <s v="Male"/>
    <n v="32"/>
    <s v="HSC"/>
    <s v="Divorced"/>
    <x v="4"/>
    <s v="Logistics Coordinator"/>
    <x v="1"/>
    <x v="3"/>
    <s v="West"/>
    <n v="14"/>
    <n v="73870"/>
    <x v="1"/>
    <n v="2"/>
    <n v="2"/>
    <n v="77"/>
    <n v="1"/>
    <d v="2009-01-31T00:00:00"/>
    <s v="No"/>
    <x v="0"/>
    <n v="1"/>
    <x v="2"/>
    <x v="0"/>
    <x v="1"/>
  </r>
  <r>
    <s v="REL01707"/>
    <s v="Female"/>
    <n v="54"/>
    <s v="BTech"/>
    <s v="Married"/>
    <x v="0"/>
    <s v="Marketing Executive"/>
    <x v="4"/>
    <x v="1"/>
    <s v="North"/>
    <n v="3"/>
    <n v="58239"/>
    <x v="0"/>
    <n v="4"/>
    <n v="3"/>
    <n v="64"/>
    <n v="3"/>
    <d v="2020-12-11T00:00:00"/>
    <s v="No"/>
    <x v="0"/>
    <n v="3"/>
    <x v="0"/>
    <x v="0"/>
    <x v="0"/>
  </r>
  <r>
    <s v="REL01708"/>
    <s v="Male"/>
    <n v="52"/>
    <s v="HSC"/>
    <s v="Divorced"/>
    <x v="7"/>
    <s v="Logistics Coordinator"/>
    <x v="1"/>
    <x v="2"/>
    <s v="West"/>
    <n v="10"/>
    <n v="64127"/>
    <x v="3"/>
    <n v="3"/>
    <n v="3"/>
    <n v="70"/>
    <n v="2"/>
    <d v="2013-03-27T00:00:00"/>
    <s v="No"/>
    <x v="0"/>
    <n v="4"/>
    <x v="1"/>
    <x v="2"/>
    <x v="1"/>
  </r>
  <r>
    <s v="REL01709"/>
    <s v="Female"/>
    <n v="43"/>
    <s v="BTech"/>
    <s v="Divorced"/>
    <x v="2"/>
    <s v="Marketing Executive"/>
    <x v="2"/>
    <x v="6"/>
    <s v="South"/>
    <n v="11"/>
    <n v="64659"/>
    <x v="2"/>
    <n v="2"/>
    <n v="4"/>
    <n v="45"/>
    <n v="3"/>
    <d v="2012-07-22T00:00:00"/>
    <s v="No"/>
    <x v="0"/>
    <n v="2"/>
    <x v="2"/>
    <x v="0"/>
    <x v="1"/>
  </r>
  <r>
    <s v="REL01710"/>
    <s v="Female"/>
    <n v="29"/>
    <s v="Graduate"/>
    <s v="Divorced"/>
    <x v="2"/>
    <s v="Logistics Coordinator"/>
    <x v="4"/>
    <x v="8"/>
    <s v="South"/>
    <n v="9"/>
    <n v="58127"/>
    <x v="2"/>
    <n v="4"/>
    <n v="4"/>
    <n v="42"/>
    <n v="2"/>
    <d v="2014-05-21T00:00:00"/>
    <s v="No"/>
    <x v="0"/>
    <n v="2"/>
    <x v="1"/>
    <x v="0"/>
    <x v="1"/>
  </r>
  <r>
    <s v="REL01711"/>
    <s v="Female"/>
    <n v="29"/>
    <s v="BTech"/>
    <s v="Married"/>
    <x v="4"/>
    <s v="Customer Service Rep"/>
    <x v="1"/>
    <x v="5"/>
    <s v="South"/>
    <n v="6"/>
    <n v="39357"/>
    <x v="1"/>
    <n v="4"/>
    <n v="4"/>
    <n v="40"/>
    <n v="0"/>
    <d v="2017-05-24T00:00:00"/>
    <s v="No"/>
    <x v="2"/>
    <n v="1"/>
    <x v="1"/>
    <x v="0"/>
    <x v="1"/>
  </r>
  <r>
    <s v="REL01712"/>
    <s v="Male"/>
    <n v="42"/>
    <s v="BTech"/>
    <s v="Married"/>
    <x v="1"/>
    <s v="Sales Executive"/>
    <x v="0"/>
    <x v="3"/>
    <s v="West"/>
    <n v="1"/>
    <n v="44976"/>
    <x v="0"/>
    <n v="2"/>
    <n v="2"/>
    <n v="45"/>
    <n v="1"/>
    <d v="2022-12-13T00:00:00"/>
    <s v="No"/>
    <x v="2"/>
    <n v="3"/>
    <x v="3"/>
    <x v="0"/>
    <x v="1"/>
  </r>
  <r>
    <s v="REL01713"/>
    <s v="Male"/>
    <n v="55"/>
    <s v="HSC"/>
    <s v="Married"/>
    <x v="4"/>
    <s v="HR Manager"/>
    <x v="1"/>
    <x v="6"/>
    <s v="South"/>
    <n v="5"/>
    <n v="90715"/>
    <x v="0"/>
    <n v="1"/>
    <n v="1"/>
    <n v="74"/>
    <n v="0"/>
    <d v="2018-06-06T00:00:00"/>
    <s v="No"/>
    <x v="1"/>
    <n v="3"/>
    <x v="0"/>
    <x v="0"/>
    <x v="0"/>
  </r>
  <r>
    <s v="REL01714"/>
    <s v="Female"/>
    <n v="36"/>
    <s v="MBA"/>
    <s v="Divorced"/>
    <x v="0"/>
    <s v="Operations Head"/>
    <x v="2"/>
    <x v="8"/>
    <s v="South"/>
    <n v="15"/>
    <n v="133138"/>
    <x v="0"/>
    <n v="2"/>
    <n v="3"/>
    <n v="77"/>
    <n v="3"/>
    <d v="2008-11-29T00:00:00"/>
    <s v="Yes"/>
    <x v="1"/>
    <n v="3"/>
    <x v="2"/>
    <x v="1"/>
    <x v="0"/>
  </r>
  <r>
    <s v="REL01715"/>
    <s v="Female"/>
    <n v="37"/>
    <s v="BTech"/>
    <s v="Single"/>
    <x v="7"/>
    <s v="Operations Head"/>
    <x v="4"/>
    <x v="2"/>
    <s v="West"/>
    <n v="6"/>
    <n v="105931"/>
    <x v="2"/>
    <n v="4"/>
    <n v="1"/>
    <n v="65"/>
    <n v="3"/>
    <d v="2017-12-25T00:00:00"/>
    <s v="No"/>
    <x v="1"/>
    <n v="2"/>
    <x v="1"/>
    <x v="0"/>
    <x v="1"/>
  </r>
  <r>
    <s v="REL01716"/>
    <s v="Female"/>
    <n v="26"/>
    <s v="Graduate"/>
    <s v="Divorced"/>
    <x v="6"/>
    <s v="Store Manager"/>
    <x v="2"/>
    <x v="8"/>
    <s v="South"/>
    <n v="3"/>
    <n v="91903"/>
    <x v="1"/>
    <n v="2"/>
    <n v="3"/>
    <n v="62"/>
    <n v="3"/>
    <d v="2020-01-11T00:00:00"/>
    <s v="Yes"/>
    <x v="1"/>
    <n v="1"/>
    <x v="0"/>
    <x v="1"/>
    <x v="2"/>
  </r>
  <r>
    <s v="REL01717"/>
    <s v="Male"/>
    <n v="23"/>
    <s v="MBA"/>
    <s v="Married"/>
    <x v="5"/>
    <s v="Customer Service Rep"/>
    <x v="4"/>
    <x v="6"/>
    <s v="South"/>
    <n v="2"/>
    <n v="39517"/>
    <x v="0"/>
    <n v="3"/>
    <n v="3"/>
    <n v="80"/>
    <n v="1"/>
    <d v="2021-03-22T00:00:00"/>
    <s v="No"/>
    <x v="2"/>
    <n v="3"/>
    <x v="3"/>
    <x v="0"/>
    <x v="1"/>
  </r>
  <r>
    <s v="REL01718"/>
    <s v="Female"/>
    <n v="52"/>
    <s v="BTech"/>
    <s v="Married"/>
    <x v="3"/>
    <s v="Operations Head"/>
    <x v="3"/>
    <x v="0"/>
    <s v="North"/>
    <n v="7"/>
    <n v="106128"/>
    <x v="0"/>
    <n v="3"/>
    <n v="4"/>
    <n v="10"/>
    <n v="3"/>
    <d v="2016-06-27T00:00:00"/>
    <s v="No"/>
    <x v="1"/>
    <n v="3"/>
    <x v="1"/>
    <x v="0"/>
    <x v="0"/>
  </r>
  <r>
    <s v="REL01719"/>
    <s v="Female"/>
    <n v="52"/>
    <s v="HSC"/>
    <s v="Married"/>
    <x v="0"/>
    <s v="Sales Executive"/>
    <x v="3"/>
    <x v="1"/>
    <s v="North"/>
    <n v="2"/>
    <n v="53895"/>
    <x v="2"/>
    <n v="1"/>
    <n v="2"/>
    <n v="45"/>
    <n v="2"/>
    <d v="2021-11-29T00:00:00"/>
    <s v="No"/>
    <x v="0"/>
    <n v="2"/>
    <x v="3"/>
    <x v="0"/>
    <x v="1"/>
  </r>
  <r>
    <s v="REL01720"/>
    <s v="Male"/>
    <n v="55"/>
    <s v="Post Graduate"/>
    <s v="Divorced"/>
    <x v="4"/>
    <s v="Marketing Executive"/>
    <x v="1"/>
    <x v="0"/>
    <s v="North"/>
    <n v="6"/>
    <n v="55286"/>
    <x v="0"/>
    <n v="3"/>
    <n v="4"/>
    <n v="44"/>
    <n v="3"/>
    <d v="2017-08-14T00:00:00"/>
    <s v="No"/>
    <x v="0"/>
    <n v="3"/>
    <x v="1"/>
    <x v="0"/>
    <x v="0"/>
  </r>
  <r>
    <s v="REL01721"/>
    <s v="Female"/>
    <n v="42"/>
    <s v="HSC"/>
    <s v="Divorced"/>
    <x v="6"/>
    <s v="Customer Service Rep"/>
    <x v="0"/>
    <x v="9"/>
    <s v="West"/>
    <n v="13"/>
    <n v="70082"/>
    <x v="1"/>
    <n v="3"/>
    <n v="2"/>
    <n v="49"/>
    <n v="1"/>
    <d v="2010-12-26T00:00:00"/>
    <s v="Yes"/>
    <x v="0"/>
    <n v="1"/>
    <x v="2"/>
    <x v="1"/>
    <x v="1"/>
  </r>
  <r>
    <s v="REL01722"/>
    <s v="Male"/>
    <n v="39"/>
    <s v="BTech"/>
    <s v="Single"/>
    <x v="7"/>
    <s v="Logistics Coordinator"/>
    <x v="3"/>
    <x v="2"/>
    <s v="West"/>
    <n v="6"/>
    <n v="65470"/>
    <x v="3"/>
    <n v="4"/>
    <n v="4"/>
    <n v="40"/>
    <n v="2"/>
    <d v="2017-10-22T00:00:00"/>
    <s v="No"/>
    <x v="0"/>
    <n v="4"/>
    <x v="1"/>
    <x v="2"/>
    <x v="1"/>
  </r>
  <r>
    <s v="REL01723"/>
    <s v="Male"/>
    <n v="29"/>
    <s v="Graduate"/>
    <s v="Married"/>
    <x v="5"/>
    <s v="Finance Analyst"/>
    <x v="2"/>
    <x v="0"/>
    <s v="North"/>
    <n v="10"/>
    <n v="85290"/>
    <x v="2"/>
    <n v="3"/>
    <n v="4"/>
    <n v="68"/>
    <n v="1"/>
    <d v="2013-12-08T00:00:00"/>
    <s v="Yes"/>
    <x v="1"/>
    <n v="2"/>
    <x v="1"/>
    <x v="1"/>
    <x v="1"/>
  </r>
  <r>
    <s v="REL01724"/>
    <s v="Male"/>
    <n v="44"/>
    <s v="HSC"/>
    <s v="Married"/>
    <x v="4"/>
    <s v="Operations Head"/>
    <x v="2"/>
    <x v="8"/>
    <s v="South"/>
    <n v="14"/>
    <n v="130581"/>
    <x v="3"/>
    <n v="3"/>
    <n v="4"/>
    <n v="42"/>
    <n v="0"/>
    <d v="2009-10-28T00:00:00"/>
    <s v="No"/>
    <x v="1"/>
    <n v="4"/>
    <x v="2"/>
    <x v="2"/>
    <x v="0"/>
  </r>
  <r>
    <s v="REL01725"/>
    <s v="Female"/>
    <n v="51"/>
    <s v="Post Graduate"/>
    <s v="Divorced"/>
    <x v="5"/>
    <s v="Sales Executive"/>
    <x v="0"/>
    <x v="5"/>
    <s v="South"/>
    <n v="5"/>
    <n v="52894"/>
    <x v="1"/>
    <n v="3"/>
    <n v="2"/>
    <n v="40"/>
    <n v="1"/>
    <d v="2018-02-04T00:00:00"/>
    <s v="Yes"/>
    <x v="0"/>
    <n v="1"/>
    <x v="0"/>
    <x v="1"/>
    <x v="1"/>
  </r>
  <r>
    <s v="REL01726"/>
    <s v="Female"/>
    <n v="53"/>
    <s v="HSC"/>
    <s v="Divorced"/>
    <x v="5"/>
    <s v="Store Manager"/>
    <x v="0"/>
    <x v="1"/>
    <s v="North"/>
    <n v="9"/>
    <n v="112073"/>
    <x v="2"/>
    <n v="1"/>
    <n v="4"/>
    <n v="61"/>
    <n v="0"/>
    <d v="2014-04-30T00:00:00"/>
    <s v="No"/>
    <x v="1"/>
    <n v="2"/>
    <x v="1"/>
    <x v="0"/>
    <x v="1"/>
  </r>
  <r>
    <s v="REL01727"/>
    <s v="Female"/>
    <n v="50"/>
    <s v="Graduate"/>
    <s v="Married"/>
    <x v="4"/>
    <s v="HR Manager"/>
    <x v="4"/>
    <x v="6"/>
    <s v="South"/>
    <n v="7"/>
    <n v="86809"/>
    <x v="0"/>
    <n v="1"/>
    <n v="4"/>
    <n v="23"/>
    <n v="2"/>
    <d v="2016-02-02T00:00:00"/>
    <s v="No"/>
    <x v="1"/>
    <n v="3"/>
    <x v="1"/>
    <x v="0"/>
    <x v="0"/>
  </r>
  <r>
    <s v="REL01728"/>
    <s v="Male"/>
    <n v="40"/>
    <s v="Graduate"/>
    <s v="Divorced"/>
    <x v="7"/>
    <s v="Finance Analyst"/>
    <x v="4"/>
    <x v="2"/>
    <s v="West"/>
    <n v="12"/>
    <n v="93328"/>
    <x v="2"/>
    <n v="3"/>
    <n v="3"/>
    <n v="53"/>
    <n v="0"/>
    <d v="2011-01-14T00:00:00"/>
    <s v="No"/>
    <x v="1"/>
    <n v="2"/>
    <x v="2"/>
    <x v="0"/>
    <x v="1"/>
  </r>
  <r>
    <s v="REL01729"/>
    <s v="Male"/>
    <n v="34"/>
    <s v="BTech"/>
    <s v="Married"/>
    <x v="1"/>
    <s v="Logistics Coordinator"/>
    <x v="3"/>
    <x v="1"/>
    <s v="North"/>
    <n v="6"/>
    <n v="48215"/>
    <x v="2"/>
    <n v="1"/>
    <n v="1"/>
    <n v="19"/>
    <n v="3"/>
    <d v="2017-05-11T00:00:00"/>
    <s v="Yes"/>
    <x v="2"/>
    <n v="2"/>
    <x v="1"/>
    <x v="1"/>
    <x v="1"/>
  </r>
  <r>
    <s v="REL01730"/>
    <s v="Female"/>
    <n v="24"/>
    <s v="MBA"/>
    <s v="Divorced"/>
    <x v="0"/>
    <s v="Store Manager"/>
    <x v="4"/>
    <x v="7"/>
    <s v="East"/>
    <n v="8"/>
    <n v="103557"/>
    <x v="3"/>
    <n v="4"/>
    <n v="2"/>
    <n v="77"/>
    <n v="2"/>
    <d v="2015-03-16T00:00:00"/>
    <s v="No"/>
    <x v="1"/>
    <n v="4"/>
    <x v="1"/>
    <x v="2"/>
    <x v="0"/>
  </r>
  <r>
    <s v="REL01731"/>
    <s v="Female"/>
    <n v="50"/>
    <s v="MBA"/>
    <s v="Divorced"/>
    <x v="2"/>
    <s v="Customer Service Rep"/>
    <x v="3"/>
    <x v="7"/>
    <s v="East"/>
    <n v="2"/>
    <n v="47949"/>
    <x v="0"/>
    <n v="2"/>
    <n v="3"/>
    <n v="35"/>
    <n v="3"/>
    <d v="2021-01-26T00:00:00"/>
    <s v="No"/>
    <x v="2"/>
    <n v="3"/>
    <x v="3"/>
    <x v="0"/>
    <x v="1"/>
  </r>
  <r>
    <s v="REL01732"/>
    <s v="Female"/>
    <n v="30"/>
    <s v="Post Graduate"/>
    <s v="Divorced"/>
    <x v="1"/>
    <s v="Logistics Coordinator"/>
    <x v="0"/>
    <x v="9"/>
    <s v="West"/>
    <n v="12"/>
    <n v="60490"/>
    <x v="2"/>
    <n v="2"/>
    <n v="3"/>
    <n v="20"/>
    <n v="1"/>
    <d v="2011-12-06T00:00:00"/>
    <s v="No"/>
    <x v="0"/>
    <n v="2"/>
    <x v="2"/>
    <x v="0"/>
    <x v="1"/>
  </r>
  <r>
    <s v="REL01733"/>
    <s v="Male"/>
    <n v="51"/>
    <s v="HSC"/>
    <s v="Single"/>
    <x v="5"/>
    <s v="Store Manager"/>
    <x v="4"/>
    <x v="5"/>
    <s v="South"/>
    <n v="10"/>
    <n v="97438"/>
    <x v="0"/>
    <n v="4"/>
    <n v="3"/>
    <n v="39"/>
    <n v="3"/>
    <d v="2013-09-28T00:00:00"/>
    <s v="No"/>
    <x v="1"/>
    <n v="3"/>
    <x v="1"/>
    <x v="0"/>
    <x v="0"/>
  </r>
  <r>
    <s v="REL01734"/>
    <s v="Male"/>
    <n v="34"/>
    <s v="Graduate"/>
    <s v="Divorced"/>
    <x v="1"/>
    <s v="Logistics Coordinator"/>
    <x v="0"/>
    <x v="2"/>
    <s v="West"/>
    <n v="12"/>
    <n v="73471"/>
    <x v="1"/>
    <n v="1"/>
    <n v="4"/>
    <n v="39"/>
    <n v="2"/>
    <d v="2011-08-20T00:00:00"/>
    <s v="No"/>
    <x v="0"/>
    <n v="1"/>
    <x v="2"/>
    <x v="0"/>
    <x v="1"/>
  </r>
  <r>
    <s v="REL01735"/>
    <s v="Male"/>
    <n v="48"/>
    <s v="Post Graduate"/>
    <s v="Divorced"/>
    <x v="5"/>
    <s v="Store Manager"/>
    <x v="1"/>
    <x v="2"/>
    <s v="West"/>
    <n v="7"/>
    <n v="105831"/>
    <x v="0"/>
    <n v="4"/>
    <n v="3"/>
    <n v="18"/>
    <n v="1"/>
    <d v="2016-07-11T00:00:00"/>
    <s v="No"/>
    <x v="1"/>
    <n v="3"/>
    <x v="1"/>
    <x v="0"/>
    <x v="0"/>
  </r>
  <r>
    <s v="REL01736"/>
    <s v="Male"/>
    <n v="38"/>
    <s v="Post Graduate"/>
    <s v="Married"/>
    <x v="6"/>
    <s v="HR Manager"/>
    <x v="3"/>
    <x v="1"/>
    <s v="North"/>
    <n v="2"/>
    <n v="73208"/>
    <x v="3"/>
    <n v="2"/>
    <n v="4"/>
    <n v="20"/>
    <n v="0"/>
    <d v="2021-10-08T00:00:00"/>
    <s v="No"/>
    <x v="0"/>
    <n v="4"/>
    <x v="3"/>
    <x v="2"/>
    <x v="1"/>
  </r>
  <r>
    <s v="REL01737"/>
    <s v="Female"/>
    <n v="38"/>
    <s v="HSC"/>
    <s v="Married"/>
    <x v="7"/>
    <s v="Customer Service Rep"/>
    <x v="1"/>
    <x v="4"/>
    <s v="North"/>
    <n v="14"/>
    <n v="63031"/>
    <x v="0"/>
    <n v="3"/>
    <n v="2"/>
    <n v="33"/>
    <n v="2"/>
    <d v="2009-07-25T00:00:00"/>
    <s v="No"/>
    <x v="0"/>
    <n v="3"/>
    <x v="2"/>
    <x v="0"/>
    <x v="0"/>
  </r>
  <r>
    <s v="REL01738"/>
    <s v="Male"/>
    <n v="46"/>
    <s v="MBA"/>
    <s v="Single"/>
    <x v="4"/>
    <s v="Sales Executive"/>
    <x v="0"/>
    <x v="7"/>
    <s v="East"/>
    <n v="2"/>
    <n v="51443"/>
    <x v="3"/>
    <n v="1"/>
    <n v="3"/>
    <n v="28"/>
    <n v="0"/>
    <d v="2021-11-19T00:00:00"/>
    <s v="No"/>
    <x v="0"/>
    <n v="4"/>
    <x v="3"/>
    <x v="2"/>
    <x v="1"/>
  </r>
  <r>
    <s v="REL01739"/>
    <s v="Female"/>
    <n v="53"/>
    <s v="Graduate"/>
    <s v="Married"/>
    <x v="2"/>
    <s v="Logistics Coordinator"/>
    <x v="1"/>
    <x v="5"/>
    <s v="South"/>
    <n v="8"/>
    <n v="67809"/>
    <x v="0"/>
    <n v="4"/>
    <n v="2"/>
    <n v="31"/>
    <n v="0"/>
    <d v="2015-11-13T00:00:00"/>
    <s v="No"/>
    <x v="0"/>
    <n v="3"/>
    <x v="1"/>
    <x v="0"/>
    <x v="0"/>
  </r>
  <r>
    <s v="REL01740"/>
    <s v="Male"/>
    <n v="29"/>
    <s v="Post Graduate"/>
    <s v="Married"/>
    <x v="4"/>
    <s v="Marketing Executive"/>
    <x v="1"/>
    <x v="0"/>
    <s v="North"/>
    <n v="4"/>
    <n v="58605"/>
    <x v="0"/>
    <n v="2"/>
    <n v="2"/>
    <n v="59"/>
    <n v="0"/>
    <d v="2019-12-03T00:00:00"/>
    <s v="No"/>
    <x v="0"/>
    <n v="3"/>
    <x v="0"/>
    <x v="0"/>
    <x v="0"/>
  </r>
  <r>
    <s v="REL01741"/>
    <s v="Male"/>
    <n v="48"/>
    <s v="MBA"/>
    <s v="Married"/>
    <x v="0"/>
    <s v="Logistics Coordinator"/>
    <x v="1"/>
    <x v="5"/>
    <s v="South"/>
    <n v="15"/>
    <n v="74538"/>
    <x v="1"/>
    <n v="1"/>
    <n v="2"/>
    <n v="69"/>
    <n v="3"/>
    <d v="2008-12-12T00:00:00"/>
    <s v="Yes"/>
    <x v="0"/>
    <n v="1"/>
    <x v="2"/>
    <x v="1"/>
    <x v="1"/>
  </r>
  <r>
    <s v="REL01742"/>
    <s v="Female"/>
    <n v="31"/>
    <s v="Graduate"/>
    <s v="Married"/>
    <x v="5"/>
    <s v="Finance Analyst"/>
    <x v="4"/>
    <x v="6"/>
    <s v="South"/>
    <n v="7"/>
    <n v="66152"/>
    <x v="1"/>
    <n v="4"/>
    <n v="1"/>
    <n v="48"/>
    <n v="0"/>
    <d v="2016-11-15T00:00:00"/>
    <s v="Yes"/>
    <x v="0"/>
    <n v="1"/>
    <x v="1"/>
    <x v="1"/>
    <x v="1"/>
  </r>
  <r>
    <s v="REL01743"/>
    <s v="Female"/>
    <n v="47"/>
    <s v="HSC"/>
    <s v="Divorced"/>
    <x v="6"/>
    <s v="Marketing Executive"/>
    <x v="1"/>
    <x v="1"/>
    <s v="North"/>
    <n v="1"/>
    <n v="47303"/>
    <x v="0"/>
    <n v="4"/>
    <n v="4"/>
    <n v="48"/>
    <n v="0"/>
    <d v="2022-08-02T00:00:00"/>
    <s v="No"/>
    <x v="2"/>
    <n v="3"/>
    <x v="3"/>
    <x v="0"/>
    <x v="1"/>
  </r>
  <r>
    <s v="REL01744"/>
    <s v="Female"/>
    <n v="24"/>
    <s v="BTech"/>
    <s v="Divorced"/>
    <x v="2"/>
    <s v="Marketing Executive"/>
    <x v="3"/>
    <x v="4"/>
    <s v="North"/>
    <n v="6"/>
    <n v="71963"/>
    <x v="3"/>
    <n v="4"/>
    <n v="1"/>
    <n v="39"/>
    <n v="2"/>
    <d v="2017-06-18T00:00:00"/>
    <s v="Yes"/>
    <x v="0"/>
    <n v="4"/>
    <x v="1"/>
    <x v="1"/>
    <x v="1"/>
  </r>
  <r>
    <s v="REL01745"/>
    <s v="Male"/>
    <n v="34"/>
    <s v="MBA"/>
    <s v="Divorced"/>
    <x v="5"/>
    <s v="Store Manager"/>
    <x v="4"/>
    <x v="6"/>
    <s v="South"/>
    <n v="11"/>
    <n v="101043"/>
    <x v="1"/>
    <n v="2"/>
    <n v="4"/>
    <n v="69"/>
    <n v="0"/>
    <d v="2012-06-26T00:00:00"/>
    <s v="Yes"/>
    <x v="1"/>
    <n v="1"/>
    <x v="2"/>
    <x v="1"/>
    <x v="2"/>
  </r>
  <r>
    <s v="REL01746"/>
    <s v="Female"/>
    <n v="30"/>
    <s v="HSC"/>
    <s v="Single"/>
    <x v="4"/>
    <s v="Marketing Executive"/>
    <x v="2"/>
    <x v="9"/>
    <s v="West"/>
    <n v="6"/>
    <n v="54194"/>
    <x v="3"/>
    <n v="4"/>
    <n v="1"/>
    <n v="27"/>
    <n v="1"/>
    <d v="2017-08-28T00:00:00"/>
    <s v="No"/>
    <x v="0"/>
    <n v="4"/>
    <x v="1"/>
    <x v="2"/>
    <x v="1"/>
  </r>
  <r>
    <s v="REL01747"/>
    <s v="Male"/>
    <n v="31"/>
    <s v="BTech"/>
    <s v="Single"/>
    <x v="6"/>
    <s v="Finance Analyst"/>
    <x v="1"/>
    <x v="0"/>
    <s v="North"/>
    <n v="9"/>
    <n v="80020"/>
    <x v="3"/>
    <n v="2"/>
    <n v="3"/>
    <n v="79"/>
    <n v="1"/>
    <d v="2014-04-15T00:00:00"/>
    <s v="No"/>
    <x v="1"/>
    <n v="4"/>
    <x v="1"/>
    <x v="2"/>
    <x v="0"/>
  </r>
  <r>
    <s v="REL01748"/>
    <s v="Female"/>
    <n v="27"/>
    <s v="MBA"/>
    <s v="Married"/>
    <x v="4"/>
    <s v="Logistics Coordinator"/>
    <x v="2"/>
    <x v="1"/>
    <s v="North"/>
    <n v="1"/>
    <n v="48864"/>
    <x v="3"/>
    <n v="3"/>
    <n v="3"/>
    <n v="58"/>
    <n v="1"/>
    <d v="2022-09-01T00:00:00"/>
    <s v="No"/>
    <x v="2"/>
    <n v="4"/>
    <x v="3"/>
    <x v="2"/>
    <x v="1"/>
  </r>
  <r>
    <s v="REL01749"/>
    <s v="Male"/>
    <n v="37"/>
    <s v="Post Graduate"/>
    <s v="Single"/>
    <x v="2"/>
    <s v="Sales Executive"/>
    <x v="4"/>
    <x v="7"/>
    <s v="East"/>
    <n v="12"/>
    <n v="63969"/>
    <x v="0"/>
    <n v="3"/>
    <n v="3"/>
    <n v="75"/>
    <n v="3"/>
    <d v="2011-11-20T00:00:00"/>
    <s v="Yes"/>
    <x v="0"/>
    <n v="3"/>
    <x v="2"/>
    <x v="1"/>
    <x v="0"/>
  </r>
  <r>
    <s v="REL01750"/>
    <s v="Male"/>
    <n v="53"/>
    <s v="Graduate"/>
    <s v="Single"/>
    <x v="0"/>
    <s v="Finance Analyst"/>
    <x v="2"/>
    <x v="4"/>
    <s v="North"/>
    <n v="13"/>
    <n v="79275"/>
    <x v="2"/>
    <n v="1"/>
    <n v="3"/>
    <n v="62"/>
    <n v="3"/>
    <d v="2010-04-27T00:00:00"/>
    <s v="No"/>
    <x v="0"/>
    <n v="2"/>
    <x v="2"/>
    <x v="0"/>
    <x v="1"/>
  </r>
  <r>
    <s v="REL01751"/>
    <s v="Female"/>
    <n v="38"/>
    <s v="BTech"/>
    <s v="Single"/>
    <x v="4"/>
    <s v="Logistics Coordinator"/>
    <x v="4"/>
    <x v="3"/>
    <s v="West"/>
    <n v="5"/>
    <n v="45157"/>
    <x v="0"/>
    <n v="3"/>
    <n v="2"/>
    <n v="40"/>
    <n v="3"/>
    <d v="2018-11-16T00:00:00"/>
    <s v="No"/>
    <x v="2"/>
    <n v="3"/>
    <x v="0"/>
    <x v="0"/>
    <x v="1"/>
  </r>
  <r>
    <s v="REL01752"/>
    <s v="Male"/>
    <n v="22"/>
    <s v="MBA"/>
    <s v="Married"/>
    <x v="4"/>
    <s v="Logistics Coordinator"/>
    <x v="4"/>
    <x v="2"/>
    <s v="West"/>
    <n v="13"/>
    <n v="75991"/>
    <x v="1"/>
    <n v="2"/>
    <n v="3"/>
    <n v="51"/>
    <n v="3"/>
    <d v="2010-05-26T00:00:00"/>
    <s v="No"/>
    <x v="0"/>
    <n v="1"/>
    <x v="2"/>
    <x v="0"/>
    <x v="1"/>
  </r>
  <r>
    <s v="REL01753"/>
    <s v="Female"/>
    <n v="50"/>
    <s v="HSC"/>
    <s v="Married"/>
    <x v="2"/>
    <s v="Marketing Executive"/>
    <x v="3"/>
    <x v="5"/>
    <s v="South"/>
    <n v="1"/>
    <n v="49398"/>
    <x v="0"/>
    <n v="3"/>
    <n v="3"/>
    <n v="24"/>
    <n v="0"/>
    <d v="2022-08-19T00:00:00"/>
    <s v="No"/>
    <x v="2"/>
    <n v="3"/>
    <x v="3"/>
    <x v="0"/>
    <x v="1"/>
  </r>
  <r>
    <s v="REL01754"/>
    <s v="Male"/>
    <n v="44"/>
    <s v="MBA"/>
    <s v="Single"/>
    <x v="4"/>
    <s v="Operations Head"/>
    <x v="1"/>
    <x v="8"/>
    <s v="South"/>
    <n v="10"/>
    <n v="119378"/>
    <x v="3"/>
    <n v="3"/>
    <n v="3"/>
    <n v="30"/>
    <n v="3"/>
    <d v="2013-11-05T00:00:00"/>
    <s v="No"/>
    <x v="1"/>
    <n v="4"/>
    <x v="1"/>
    <x v="2"/>
    <x v="0"/>
  </r>
  <r>
    <s v="REL01755"/>
    <s v="Male"/>
    <n v="28"/>
    <s v="Graduate"/>
    <s v="Married"/>
    <x v="7"/>
    <s v="Operations Head"/>
    <x v="1"/>
    <x v="3"/>
    <s v="West"/>
    <n v="14"/>
    <n v="128640"/>
    <x v="2"/>
    <n v="4"/>
    <n v="4"/>
    <n v="49"/>
    <n v="3"/>
    <d v="2009-11-05T00:00:00"/>
    <s v="No"/>
    <x v="1"/>
    <n v="2"/>
    <x v="2"/>
    <x v="0"/>
    <x v="1"/>
  </r>
  <r>
    <s v="REL01756"/>
    <s v="Male"/>
    <n v="32"/>
    <s v="MBA"/>
    <s v="Divorced"/>
    <x v="4"/>
    <s v="Finance Analyst"/>
    <x v="0"/>
    <x v="7"/>
    <s v="East"/>
    <n v="6"/>
    <n v="66910"/>
    <x v="1"/>
    <n v="2"/>
    <n v="3"/>
    <n v="74"/>
    <n v="2"/>
    <d v="2017-05-14T00:00:00"/>
    <s v="No"/>
    <x v="0"/>
    <n v="1"/>
    <x v="1"/>
    <x v="0"/>
    <x v="1"/>
  </r>
  <r>
    <s v="REL01757"/>
    <s v="Female"/>
    <n v="22"/>
    <s v="MBA"/>
    <s v="Married"/>
    <x v="0"/>
    <s v="Operations Head"/>
    <x v="2"/>
    <x v="8"/>
    <s v="South"/>
    <n v="10"/>
    <n v="117459"/>
    <x v="3"/>
    <n v="2"/>
    <n v="4"/>
    <n v="18"/>
    <n v="1"/>
    <d v="2013-07-09T00:00:00"/>
    <s v="No"/>
    <x v="1"/>
    <n v="4"/>
    <x v="1"/>
    <x v="2"/>
    <x v="0"/>
  </r>
  <r>
    <s v="REL01758"/>
    <s v="Female"/>
    <n v="51"/>
    <s v="Graduate"/>
    <s v="Divorced"/>
    <x v="3"/>
    <s v="Finance Analyst"/>
    <x v="3"/>
    <x v="1"/>
    <s v="North"/>
    <n v="1"/>
    <n v="66441"/>
    <x v="1"/>
    <n v="2"/>
    <n v="4"/>
    <n v="28"/>
    <n v="3"/>
    <d v="2022-03-02T00:00:00"/>
    <s v="Yes"/>
    <x v="0"/>
    <n v="1"/>
    <x v="3"/>
    <x v="1"/>
    <x v="1"/>
  </r>
  <r>
    <s v="REL01759"/>
    <s v="Female"/>
    <n v="37"/>
    <s v="HSC"/>
    <s v="Single"/>
    <x v="7"/>
    <s v="Finance Analyst"/>
    <x v="3"/>
    <x v="5"/>
    <s v="South"/>
    <n v="15"/>
    <n v="82285"/>
    <x v="0"/>
    <n v="2"/>
    <n v="4"/>
    <n v="32"/>
    <n v="1"/>
    <d v="2008-12-07T00:00:00"/>
    <s v="Yes"/>
    <x v="1"/>
    <n v="3"/>
    <x v="2"/>
    <x v="1"/>
    <x v="0"/>
  </r>
  <r>
    <s v="REL01760"/>
    <s v="Male"/>
    <n v="25"/>
    <s v="Post Graduate"/>
    <s v="Single"/>
    <x v="6"/>
    <s v="Marketing Executive"/>
    <x v="1"/>
    <x v="3"/>
    <s v="West"/>
    <n v="5"/>
    <n v="55372"/>
    <x v="0"/>
    <n v="2"/>
    <n v="3"/>
    <n v="45"/>
    <n v="3"/>
    <d v="2018-09-26T00:00:00"/>
    <s v="No"/>
    <x v="0"/>
    <n v="3"/>
    <x v="0"/>
    <x v="0"/>
    <x v="0"/>
  </r>
  <r>
    <s v="REL01761"/>
    <s v="Female"/>
    <n v="30"/>
    <s v="Post Graduate"/>
    <s v="Married"/>
    <x v="6"/>
    <s v="Operations Head"/>
    <x v="4"/>
    <x v="3"/>
    <s v="West"/>
    <n v="10"/>
    <n v="112424"/>
    <x v="1"/>
    <n v="4"/>
    <n v="4"/>
    <n v="51"/>
    <n v="1"/>
    <d v="2013-02-24T00:00:00"/>
    <s v="Yes"/>
    <x v="1"/>
    <n v="1"/>
    <x v="1"/>
    <x v="1"/>
    <x v="2"/>
  </r>
  <r>
    <s v="REL01762"/>
    <s v="Male"/>
    <n v="46"/>
    <s v="HSC"/>
    <s v="Married"/>
    <x v="4"/>
    <s v="Customer Service Rep"/>
    <x v="4"/>
    <x v="4"/>
    <s v="North"/>
    <n v="9"/>
    <n v="50944"/>
    <x v="0"/>
    <n v="3"/>
    <n v="3"/>
    <n v="78"/>
    <n v="3"/>
    <d v="2014-12-10T00:00:00"/>
    <s v="No"/>
    <x v="0"/>
    <n v="3"/>
    <x v="1"/>
    <x v="0"/>
    <x v="0"/>
  </r>
  <r>
    <s v="REL01763"/>
    <s v="Female"/>
    <n v="41"/>
    <s v="Post Graduate"/>
    <s v="Divorced"/>
    <x v="1"/>
    <s v="Store Manager"/>
    <x v="4"/>
    <x v="7"/>
    <s v="East"/>
    <n v="10"/>
    <n v="103386"/>
    <x v="3"/>
    <n v="1"/>
    <n v="3"/>
    <n v="41"/>
    <n v="3"/>
    <d v="2013-07-02T00:00:00"/>
    <s v="No"/>
    <x v="1"/>
    <n v="4"/>
    <x v="1"/>
    <x v="2"/>
    <x v="0"/>
  </r>
  <r>
    <s v="REL01764"/>
    <s v="Female"/>
    <n v="47"/>
    <s v="Graduate"/>
    <s v="Divorced"/>
    <x v="4"/>
    <s v="Store Manager"/>
    <x v="2"/>
    <x v="2"/>
    <s v="West"/>
    <n v="6"/>
    <n v="102717"/>
    <x v="2"/>
    <n v="2"/>
    <n v="1"/>
    <n v="39"/>
    <n v="1"/>
    <d v="2017-05-30T00:00:00"/>
    <s v="No"/>
    <x v="1"/>
    <n v="2"/>
    <x v="1"/>
    <x v="0"/>
    <x v="1"/>
  </r>
  <r>
    <s v="REL01765"/>
    <s v="Female"/>
    <n v="47"/>
    <s v="MBA"/>
    <s v="Single"/>
    <x v="2"/>
    <s v="Finance Analyst"/>
    <x v="2"/>
    <x v="6"/>
    <s v="South"/>
    <n v="15"/>
    <n v="81120"/>
    <x v="3"/>
    <n v="2"/>
    <n v="4"/>
    <n v="77"/>
    <n v="3"/>
    <d v="2008-02-21T00:00:00"/>
    <s v="Yes"/>
    <x v="1"/>
    <n v="4"/>
    <x v="2"/>
    <x v="1"/>
    <x v="0"/>
  </r>
  <r>
    <s v="REL01766"/>
    <s v="Female"/>
    <n v="33"/>
    <s v="BTech"/>
    <s v="Single"/>
    <x v="7"/>
    <s v="HR Manager"/>
    <x v="2"/>
    <x v="6"/>
    <s v="South"/>
    <n v="5"/>
    <n v="85148"/>
    <x v="3"/>
    <n v="4"/>
    <n v="4"/>
    <n v="49"/>
    <n v="2"/>
    <d v="2018-07-01T00:00:00"/>
    <s v="No"/>
    <x v="1"/>
    <n v="4"/>
    <x v="0"/>
    <x v="2"/>
    <x v="0"/>
  </r>
  <r>
    <s v="REL01767"/>
    <s v="Male"/>
    <n v="52"/>
    <s v="Graduate"/>
    <s v="Single"/>
    <x v="6"/>
    <s v="HR Manager"/>
    <x v="4"/>
    <x v="0"/>
    <s v="North"/>
    <n v="4"/>
    <n v="90757"/>
    <x v="0"/>
    <n v="3"/>
    <n v="1"/>
    <n v="15"/>
    <n v="1"/>
    <d v="2019-04-18T00:00:00"/>
    <s v="No"/>
    <x v="1"/>
    <n v="3"/>
    <x v="0"/>
    <x v="0"/>
    <x v="0"/>
  </r>
  <r>
    <s v="REL01768"/>
    <s v="Male"/>
    <n v="22"/>
    <s v="Graduate"/>
    <s v="Divorced"/>
    <x v="7"/>
    <s v="Sales Executive"/>
    <x v="0"/>
    <x v="1"/>
    <s v="North"/>
    <n v="11"/>
    <n v="56917"/>
    <x v="2"/>
    <n v="4"/>
    <n v="3"/>
    <n v="48"/>
    <n v="2"/>
    <d v="2012-10-20T00:00:00"/>
    <s v="Yes"/>
    <x v="0"/>
    <n v="2"/>
    <x v="2"/>
    <x v="1"/>
    <x v="1"/>
  </r>
  <r>
    <s v="REL01769"/>
    <s v="Female"/>
    <n v="47"/>
    <s v="MBA"/>
    <s v="Single"/>
    <x v="2"/>
    <s v="Finance Analyst"/>
    <x v="3"/>
    <x v="8"/>
    <s v="South"/>
    <n v="9"/>
    <n v="72505"/>
    <x v="2"/>
    <n v="4"/>
    <n v="3"/>
    <n v="12"/>
    <n v="0"/>
    <d v="2014-12-06T00:00:00"/>
    <s v="Yes"/>
    <x v="0"/>
    <n v="2"/>
    <x v="1"/>
    <x v="1"/>
    <x v="1"/>
  </r>
  <r>
    <s v="REL01770"/>
    <s v="Male"/>
    <n v="52"/>
    <s v="BTech"/>
    <s v="Married"/>
    <x v="3"/>
    <s v="Operations Head"/>
    <x v="3"/>
    <x v="7"/>
    <s v="East"/>
    <n v="5"/>
    <n v="100597"/>
    <x v="1"/>
    <n v="3"/>
    <n v="2"/>
    <n v="35"/>
    <n v="0"/>
    <d v="2018-06-13T00:00:00"/>
    <s v="Yes"/>
    <x v="1"/>
    <n v="1"/>
    <x v="0"/>
    <x v="1"/>
    <x v="2"/>
  </r>
  <r>
    <s v="REL01771"/>
    <s v="Male"/>
    <n v="49"/>
    <s v="Graduate"/>
    <s v="Single"/>
    <x v="5"/>
    <s v="Marketing Executive"/>
    <x v="1"/>
    <x v="4"/>
    <s v="North"/>
    <n v="3"/>
    <n v="64199"/>
    <x v="1"/>
    <n v="3"/>
    <n v="3"/>
    <n v="67"/>
    <n v="1"/>
    <d v="2020-04-03T00:00:00"/>
    <s v="Yes"/>
    <x v="0"/>
    <n v="1"/>
    <x v="0"/>
    <x v="1"/>
    <x v="1"/>
  </r>
  <r>
    <s v="REL01772"/>
    <s v="Male"/>
    <n v="51"/>
    <s v="Graduate"/>
    <s v="Single"/>
    <x v="3"/>
    <s v="Operations Head"/>
    <x v="3"/>
    <x v="5"/>
    <s v="South"/>
    <n v="2"/>
    <n v="106417"/>
    <x v="1"/>
    <n v="3"/>
    <n v="1"/>
    <n v="23"/>
    <n v="3"/>
    <d v="2021-01-06T00:00:00"/>
    <s v="No"/>
    <x v="1"/>
    <n v="1"/>
    <x v="3"/>
    <x v="3"/>
    <x v="2"/>
  </r>
  <r>
    <s v="REL01773"/>
    <s v="Male"/>
    <n v="24"/>
    <s v="Graduate"/>
    <s v="Divorced"/>
    <x v="7"/>
    <s v="HR Manager"/>
    <x v="2"/>
    <x v="9"/>
    <s v="West"/>
    <n v="10"/>
    <n v="96481"/>
    <x v="3"/>
    <n v="2"/>
    <n v="3"/>
    <n v="26"/>
    <n v="1"/>
    <d v="2013-03-17T00:00:00"/>
    <s v="Yes"/>
    <x v="1"/>
    <n v="4"/>
    <x v="1"/>
    <x v="1"/>
    <x v="0"/>
  </r>
  <r>
    <s v="REL01774"/>
    <s v="Female"/>
    <n v="43"/>
    <s v="BTech"/>
    <s v="Single"/>
    <x v="3"/>
    <s v="Store Manager"/>
    <x v="1"/>
    <x v="5"/>
    <s v="South"/>
    <n v="14"/>
    <n v="111803"/>
    <x v="1"/>
    <n v="1"/>
    <n v="3"/>
    <n v="78"/>
    <n v="2"/>
    <d v="2009-09-25T00:00:00"/>
    <s v="No"/>
    <x v="1"/>
    <n v="1"/>
    <x v="2"/>
    <x v="0"/>
    <x v="2"/>
  </r>
  <r>
    <s v="REL01775"/>
    <s v="Male"/>
    <n v="23"/>
    <s v="MBA"/>
    <s v="Married"/>
    <x v="2"/>
    <s v="Marketing Executive"/>
    <x v="4"/>
    <x v="7"/>
    <s v="East"/>
    <n v="14"/>
    <n v="87803"/>
    <x v="1"/>
    <n v="4"/>
    <n v="3"/>
    <n v="24"/>
    <n v="2"/>
    <d v="2009-08-13T00:00:00"/>
    <s v="Yes"/>
    <x v="1"/>
    <n v="1"/>
    <x v="2"/>
    <x v="1"/>
    <x v="2"/>
  </r>
  <r>
    <s v="REL01776"/>
    <s v="Male"/>
    <n v="44"/>
    <s v="BTech"/>
    <s v="Single"/>
    <x v="4"/>
    <s v="Marketing Executive"/>
    <x v="1"/>
    <x v="6"/>
    <s v="South"/>
    <n v="14"/>
    <n v="87097"/>
    <x v="1"/>
    <n v="2"/>
    <n v="1"/>
    <n v="32"/>
    <n v="2"/>
    <d v="2009-06-21T00:00:00"/>
    <s v="Yes"/>
    <x v="1"/>
    <n v="1"/>
    <x v="2"/>
    <x v="1"/>
    <x v="2"/>
  </r>
  <r>
    <s v="REL01777"/>
    <s v="Female"/>
    <n v="41"/>
    <s v="Post Graduate"/>
    <s v="Divorced"/>
    <x v="7"/>
    <s v="Logistics Coordinator"/>
    <x v="3"/>
    <x v="4"/>
    <s v="North"/>
    <n v="13"/>
    <n v="76108"/>
    <x v="0"/>
    <n v="3"/>
    <n v="2"/>
    <n v="53"/>
    <n v="2"/>
    <d v="2010-10-09T00:00:00"/>
    <s v="No"/>
    <x v="0"/>
    <n v="3"/>
    <x v="2"/>
    <x v="0"/>
    <x v="0"/>
  </r>
  <r>
    <s v="REL01778"/>
    <s v="Female"/>
    <n v="41"/>
    <s v="Post Graduate"/>
    <s v="Divorced"/>
    <x v="7"/>
    <s v="Logistics Coordinator"/>
    <x v="1"/>
    <x v="4"/>
    <s v="North"/>
    <n v="3"/>
    <n v="52858"/>
    <x v="1"/>
    <n v="1"/>
    <n v="2"/>
    <n v="16"/>
    <n v="1"/>
    <d v="2020-07-13T00:00:00"/>
    <s v="Yes"/>
    <x v="0"/>
    <n v="1"/>
    <x v="0"/>
    <x v="1"/>
    <x v="1"/>
  </r>
  <r>
    <s v="REL01779"/>
    <s v="Male"/>
    <n v="25"/>
    <s v="BTech"/>
    <s v="Married"/>
    <x v="0"/>
    <s v="Finance Analyst"/>
    <x v="0"/>
    <x v="8"/>
    <s v="South"/>
    <n v="5"/>
    <n v="79044"/>
    <x v="0"/>
    <n v="1"/>
    <n v="1"/>
    <n v="63"/>
    <n v="2"/>
    <d v="2018-12-08T00:00:00"/>
    <s v="No"/>
    <x v="0"/>
    <n v="3"/>
    <x v="0"/>
    <x v="0"/>
    <x v="0"/>
  </r>
  <r>
    <s v="REL01780"/>
    <s v="Male"/>
    <n v="30"/>
    <s v="HSC"/>
    <s v="Married"/>
    <x v="1"/>
    <s v="Operations Head"/>
    <x v="3"/>
    <x v="9"/>
    <s v="West"/>
    <n v="3"/>
    <n v="96498"/>
    <x v="1"/>
    <n v="2"/>
    <n v="1"/>
    <n v="38"/>
    <n v="3"/>
    <d v="2020-01-12T00:00:00"/>
    <s v="Yes"/>
    <x v="1"/>
    <n v="1"/>
    <x v="0"/>
    <x v="1"/>
    <x v="2"/>
  </r>
  <r>
    <s v="REL01781"/>
    <s v="Female"/>
    <n v="31"/>
    <s v="MBA"/>
    <s v="Single"/>
    <x v="1"/>
    <s v="Operations Head"/>
    <x v="4"/>
    <x v="4"/>
    <s v="North"/>
    <n v="12"/>
    <n v="110921"/>
    <x v="3"/>
    <n v="1"/>
    <n v="1"/>
    <n v="68"/>
    <n v="1"/>
    <d v="2011-01-22T00:00:00"/>
    <s v="Yes"/>
    <x v="1"/>
    <n v="4"/>
    <x v="2"/>
    <x v="1"/>
    <x v="0"/>
  </r>
  <r>
    <s v="REL01782"/>
    <s v="Male"/>
    <n v="22"/>
    <s v="Graduate"/>
    <s v="Divorced"/>
    <x v="6"/>
    <s v="Finance Analyst"/>
    <x v="0"/>
    <x v="6"/>
    <s v="South"/>
    <n v="5"/>
    <n v="70756"/>
    <x v="3"/>
    <n v="3"/>
    <n v="2"/>
    <n v="38"/>
    <n v="1"/>
    <d v="2018-03-16T00:00:00"/>
    <s v="No"/>
    <x v="0"/>
    <n v="4"/>
    <x v="0"/>
    <x v="2"/>
    <x v="1"/>
  </r>
  <r>
    <s v="REL01783"/>
    <s v="Male"/>
    <n v="42"/>
    <s v="BTech"/>
    <s v="Married"/>
    <x v="4"/>
    <s v="HR Manager"/>
    <x v="3"/>
    <x v="7"/>
    <s v="East"/>
    <n v="3"/>
    <n v="89848"/>
    <x v="2"/>
    <n v="4"/>
    <n v="4"/>
    <n v="71"/>
    <n v="0"/>
    <d v="2020-02-10T00:00:00"/>
    <s v="No"/>
    <x v="1"/>
    <n v="2"/>
    <x v="0"/>
    <x v="0"/>
    <x v="1"/>
  </r>
  <r>
    <s v="REL01784"/>
    <s v="Female"/>
    <n v="51"/>
    <s v="Post Graduate"/>
    <s v="Married"/>
    <x v="1"/>
    <s v="HR Manager"/>
    <x v="1"/>
    <x v="7"/>
    <s v="East"/>
    <n v="13"/>
    <n v="96444"/>
    <x v="3"/>
    <n v="3"/>
    <n v="1"/>
    <n v="15"/>
    <n v="1"/>
    <d v="2010-10-13T00:00:00"/>
    <s v="No"/>
    <x v="1"/>
    <n v="4"/>
    <x v="2"/>
    <x v="2"/>
    <x v="0"/>
  </r>
  <r>
    <s v="REL01785"/>
    <s v="Female"/>
    <n v="26"/>
    <s v="HSC"/>
    <s v="Married"/>
    <x v="0"/>
    <s v="Store Manager"/>
    <x v="1"/>
    <x v="6"/>
    <s v="South"/>
    <n v="12"/>
    <n v="113166"/>
    <x v="3"/>
    <n v="2"/>
    <n v="4"/>
    <n v="74"/>
    <n v="3"/>
    <d v="2011-05-17T00:00:00"/>
    <s v="No"/>
    <x v="1"/>
    <n v="4"/>
    <x v="2"/>
    <x v="2"/>
    <x v="0"/>
  </r>
  <r>
    <s v="REL01786"/>
    <s v="Male"/>
    <n v="29"/>
    <s v="MBA"/>
    <s v="Divorced"/>
    <x v="5"/>
    <s v="Store Manager"/>
    <x v="0"/>
    <x v="5"/>
    <s v="South"/>
    <n v="11"/>
    <n v="106310"/>
    <x v="2"/>
    <n v="4"/>
    <n v="2"/>
    <n v="17"/>
    <n v="3"/>
    <d v="2012-02-10T00:00:00"/>
    <s v="No"/>
    <x v="1"/>
    <n v="2"/>
    <x v="2"/>
    <x v="0"/>
    <x v="1"/>
  </r>
  <r>
    <s v="REL01787"/>
    <s v="Female"/>
    <n v="23"/>
    <s v="HSC"/>
    <s v="Married"/>
    <x v="5"/>
    <s v="Marketing Executive"/>
    <x v="0"/>
    <x v="9"/>
    <s v="West"/>
    <n v="10"/>
    <n v="70019"/>
    <x v="0"/>
    <n v="2"/>
    <n v="2"/>
    <n v="54"/>
    <n v="1"/>
    <d v="2013-01-18T00:00:00"/>
    <s v="No"/>
    <x v="0"/>
    <n v="3"/>
    <x v="1"/>
    <x v="0"/>
    <x v="0"/>
  </r>
  <r>
    <s v="REL01788"/>
    <s v="Male"/>
    <n v="36"/>
    <s v="Post Graduate"/>
    <s v="Single"/>
    <x v="7"/>
    <s v="Finance Analyst"/>
    <x v="1"/>
    <x v="1"/>
    <s v="North"/>
    <n v="6"/>
    <n v="68492"/>
    <x v="0"/>
    <n v="4"/>
    <n v="2"/>
    <n v="45"/>
    <n v="2"/>
    <d v="2017-04-16T00:00:00"/>
    <s v="No"/>
    <x v="0"/>
    <n v="3"/>
    <x v="1"/>
    <x v="0"/>
    <x v="0"/>
  </r>
  <r>
    <s v="REL01789"/>
    <s v="Male"/>
    <n v="40"/>
    <s v="MBA"/>
    <s v="Married"/>
    <x v="1"/>
    <s v="Logistics Coordinator"/>
    <x v="4"/>
    <x v="5"/>
    <s v="South"/>
    <n v="4"/>
    <n v="53165"/>
    <x v="0"/>
    <n v="1"/>
    <n v="3"/>
    <n v="34"/>
    <n v="3"/>
    <d v="2019-10-03T00:00:00"/>
    <s v="Yes"/>
    <x v="0"/>
    <n v="3"/>
    <x v="0"/>
    <x v="1"/>
    <x v="0"/>
  </r>
  <r>
    <s v="REL01790"/>
    <s v="Male"/>
    <n v="30"/>
    <s v="Post Graduate"/>
    <s v="Single"/>
    <x v="0"/>
    <s v="Store Manager"/>
    <x v="2"/>
    <x v="6"/>
    <s v="South"/>
    <n v="6"/>
    <n v="97623"/>
    <x v="0"/>
    <n v="3"/>
    <n v="1"/>
    <n v="13"/>
    <n v="3"/>
    <d v="2017-06-12T00:00:00"/>
    <s v="Yes"/>
    <x v="1"/>
    <n v="3"/>
    <x v="1"/>
    <x v="1"/>
    <x v="0"/>
  </r>
  <r>
    <s v="REL01791"/>
    <s v="Male"/>
    <n v="39"/>
    <s v="Post Graduate"/>
    <s v="Single"/>
    <x v="5"/>
    <s v="Finance Analyst"/>
    <x v="0"/>
    <x v="0"/>
    <s v="North"/>
    <n v="9"/>
    <n v="69774"/>
    <x v="2"/>
    <n v="3"/>
    <n v="3"/>
    <n v="60"/>
    <n v="2"/>
    <d v="2014-08-20T00:00:00"/>
    <s v="No"/>
    <x v="0"/>
    <n v="2"/>
    <x v="1"/>
    <x v="0"/>
    <x v="1"/>
  </r>
  <r>
    <s v="REL01792"/>
    <s v="Male"/>
    <n v="54"/>
    <s v="Graduate"/>
    <s v="Married"/>
    <x v="2"/>
    <s v="Customer Service Rep"/>
    <x v="1"/>
    <x v="0"/>
    <s v="North"/>
    <n v="6"/>
    <n v="39870"/>
    <x v="0"/>
    <n v="1"/>
    <n v="1"/>
    <n v="41"/>
    <n v="2"/>
    <d v="2017-07-22T00:00:00"/>
    <s v="No"/>
    <x v="2"/>
    <n v="3"/>
    <x v="1"/>
    <x v="0"/>
    <x v="1"/>
  </r>
  <r>
    <s v="REL01793"/>
    <s v="Female"/>
    <n v="29"/>
    <s v="HSC"/>
    <s v="Divorced"/>
    <x v="5"/>
    <s v="Operations Head"/>
    <x v="2"/>
    <x v="3"/>
    <s v="West"/>
    <n v="10"/>
    <n v="107240"/>
    <x v="2"/>
    <n v="4"/>
    <n v="3"/>
    <n v="55"/>
    <n v="3"/>
    <d v="2013-01-03T00:00:00"/>
    <s v="No"/>
    <x v="1"/>
    <n v="2"/>
    <x v="1"/>
    <x v="0"/>
    <x v="1"/>
  </r>
  <r>
    <s v="REL01794"/>
    <s v="Male"/>
    <n v="49"/>
    <s v="Graduate"/>
    <s v="Divorced"/>
    <x v="6"/>
    <s v="HR Manager"/>
    <x v="3"/>
    <x v="0"/>
    <s v="North"/>
    <n v="3"/>
    <n v="80098"/>
    <x v="0"/>
    <n v="4"/>
    <n v="2"/>
    <n v="19"/>
    <n v="2"/>
    <d v="2020-08-29T00:00:00"/>
    <s v="No"/>
    <x v="1"/>
    <n v="3"/>
    <x v="0"/>
    <x v="0"/>
    <x v="0"/>
  </r>
  <r>
    <s v="REL01795"/>
    <s v="Female"/>
    <n v="24"/>
    <s v="HSC"/>
    <s v="Single"/>
    <x v="1"/>
    <s v="Store Manager"/>
    <x v="0"/>
    <x v="2"/>
    <s v="West"/>
    <n v="1"/>
    <n v="92014"/>
    <x v="0"/>
    <n v="1"/>
    <n v="3"/>
    <n v="59"/>
    <n v="2"/>
    <d v="2022-11-25T00:00:00"/>
    <s v="No"/>
    <x v="1"/>
    <n v="3"/>
    <x v="3"/>
    <x v="0"/>
    <x v="0"/>
  </r>
  <r>
    <s v="REL01796"/>
    <s v="Male"/>
    <n v="24"/>
    <s v="Graduate"/>
    <s v="Single"/>
    <x v="7"/>
    <s v="Marketing Executive"/>
    <x v="3"/>
    <x v="2"/>
    <s v="West"/>
    <n v="5"/>
    <n v="57070"/>
    <x v="3"/>
    <n v="1"/>
    <n v="3"/>
    <n v="63"/>
    <n v="0"/>
    <d v="2018-12-21T00:00:00"/>
    <s v="No"/>
    <x v="0"/>
    <n v="4"/>
    <x v="0"/>
    <x v="2"/>
    <x v="1"/>
  </r>
  <r>
    <s v="REL01797"/>
    <s v="Male"/>
    <n v="39"/>
    <s v="MBA"/>
    <s v="Divorced"/>
    <x v="1"/>
    <s v="Sales Executive"/>
    <x v="1"/>
    <x v="3"/>
    <s v="West"/>
    <n v="8"/>
    <n v="63627"/>
    <x v="0"/>
    <n v="1"/>
    <n v="4"/>
    <n v="41"/>
    <n v="0"/>
    <d v="2015-09-19T00:00:00"/>
    <s v="No"/>
    <x v="0"/>
    <n v="3"/>
    <x v="1"/>
    <x v="0"/>
    <x v="0"/>
  </r>
  <r>
    <s v="REL01798"/>
    <s v="Female"/>
    <n v="24"/>
    <s v="BTech"/>
    <s v="Married"/>
    <x v="7"/>
    <s v="Customer Service Rep"/>
    <x v="1"/>
    <x v="2"/>
    <s v="West"/>
    <n v="2"/>
    <n v="42777"/>
    <x v="2"/>
    <n v="3"/>
    <n v="4"/>
    <n v="78"/>
    <n v="1"/>
    <d v="2021-12-09T00:00:00"/>
    <s v="No"/>
    <x v="2"/>
    <n v="2"/>
    <x v="3"/>
    <x v="0"/>
    <x v="1"/>
  </r>
  <r>
    <s v="REL01799"/>
    <s v="Male"/>
    <n v="29"/>
    <s v="HSC"/>
    <s v="Married"/>
    <x v="7"/>
    <s v="Finance Analyst"/>
    <x v="2"/>
    <x v="2"/>
    <s v="West"/>
    <n v="1"/>
    <n v="57114"/>
    <x v="3"/>
    <n v="2"/>
    <n v="2"/>
    <n v="68"/>
    <n v="1"/>
    <d v="2022-10-13T00:00:00"/>
    <s v="No"/>
    <x v="0"/>
    <n v="4"/>
    <x v="3"/>
    <x v="2"/>
    <x v="1"/>
  </r>
  <r>
    <s v="REL01800"/>
    <s v="Male"/>
    <n v="47"/>
    <s v="BTech"/>
    <s v="Married"/>
    <x v="6"/>
    <s v="Marketing Executive"/>
    <x v="0"/>
    <x v="7"/>
    <s v="East"/>
    <n v="8"/>
    <n v="56943"/>
    <x v="3"/>
    <n v="3"/>
    <n v="1"/>
    <n v="42"/>
    <n v="2"/>
    <d v="2015-09-12T00:00:00"/>
    <s v="No"/>
    <x v="0"/>
    <n v="4"/>
    <x v="1"/>
    <x v="2"/>
    <x v="1"/>
  </r>
  <r>
    <s v="REL01801"/>
    <s v="Male"/>
    <n v="49"/>
    <s v="MBA"/>
    <s v="Divorced"/>
    <x v="1"/>
    <s v="Sales Executive"/>
    <x v="3"/>
    <x v="8"/>
    <s v="South"/>
    <n v="15"/>
    <n v="68526"/>
    <x v="1"/>
    <n v="4"/>
    <n v="4"/>
    <n v="57"/>
    <n v="0"/>
    <d v="2008-08-23T00:00:00"/>
    <s v="Yes"/>
    <x v="0"/>
    <n v="1"/>
    <x v="2"/>
    <x v="1"/>
    <x v="1"/>
  </r>
  <r>
    <s v="REL01802"/>
    <s v="Male"/>
    <n v="44"/>
    <s v="BTech"/>
    <s v="Married"/>
    <x v="5"/>
    <s v="Logistics Coordinator"/>
    <x v="3"/>
    <x v="1"/>
    <s v="North"/>
    <n v="2"/>
    <n v="48972"/>
    <x v="3"/>
    <n v="4"/>
    <n v="2"/>
    <n v="48"/>
    <n v="1"/>
    <d v="2021-05-26T00:00:00"/>
    <s v="No"/>
    <x v="2"/>
    <n v="4"/>
    <x v="3"/>
    <x v="2"/>
    <x v="1"/>
  </r>
  <r>
    <s v="REL01803"/>
    <s v="Female"/>
    <n v="55"/>
    <s v="HSC"/>
    <s v="Married"/>
    <x v="0"/>
    <s v="HR Manager"/>
    <x v="3"/>
    <x v="0"/>
    <s v="North"/>
    <n v="10"/>
    <n v="85532"/>
    <x v="0"/>
    <n v="3"/>
    <n v="2"/>
    <n v="40"/>
    <n v="3"/>
    <d v="2013-10-27T00:00:00"/>
    <s v="Yes"/>
    <x v="1"/>
    <n v="3"/>
    <x v="1"/>
    <x v="1"/>
    <x v="0"/>
  </r>
  <r>
    <s v="REL01804"/>
    <s v="Female"/>
    <n v="28"/>
    <s v="BTech"/>
    <s v="Single"/>
    <x v="7"/>
    <s v="Marketing Executive"/>
    <x v="2"/>
    <x v="9"/>
    <s v="West"/>
    <n v="11"/>
    <n v="65257"/>
    <x v="3"/>
    <n v="4"/>
    <n v="1"/>
    <n v="57"/>
    <n v="2"/>
    <d v="2012-04-25T00:00:00"/>
    <s v="No"/>
    <x v="0"/>
    <n v="4"/>
    <x v="2"/>
    <x v="2"/>
    <x v="1"/>
  </r>
  <r>
    <s v="REL01805"/>
    <s v="Male"/>
    <n v="30"/>
    <s v="HSC"/>
    <s v="Married"/>
    <x v="7"/>
    <s v="Sales Executive"/>
    <x v="2"/>
    <x v="1"/>
    <s v="North"/>
    <n v="14"/>
    <n v="62704"/>
    <x v="3"/>
    <n v="3"/>
    <n v="3"/>
    <n v="13"/>
    <n v="0"/>
    <d v="2009-01-29T00:00:00"/>
    <s v="No"/>
    <x v="0"/>
    <n v="4"/>
    <x v="2"/>
    <x v="2"/>
    <x v="1"/>
  </r>
  <r>
    <s v="REL01806"/>
    <s v="Male"/>
    <n v="53"/>
    <s v="MBA"/>
    <s v="Divorced"/>
    <x v="4"/>
    <s v="Store Manager"/>
    <x v="1"/>
    <x v="7"/>
    <s v="East"/>
    <n v="9"/>
    <n v="111467"/>
    <x v="3"/>
    <n v="4"/>
    <n v="2"/>
    <n v="76"/>
    <n v="3"/>
    <d v="2014-03-28T00:00:00"/>
    <s v="No"/>
    <x v="1"/>
    <n v="4"/>
    <x v="1"/>
    <x v="2"/>
    <x v="0"/>
  </r>
  <r>
    <s v="REL01807"/>
    <s v="Male"/>
    <n v="55"/>
    <s v="Post Graduate"/>
    <s v="Divorced"/>
    <x v="4"/>
    <s v="Marketing Executive"/>
    <x v="3"/>
    <x v="6"/>
    <s v="South"/>
    <n v="7"/>
    <n v="54432"/>
    <x v="3"/>
    <n v="1"/>
    <n v="1"/>
    <n v="13"/>
    <n v="0"/>
    <d v="2016-08-11T00:00:00"/>
    <s v="No"/>
    <x v="0"/>
    <n v="4"/>
    <x v="1"/>
    <x v="2"/>
    <x v="1"/>
  </r>
  <r>
    <s v="REL01808"/>
    <s v="Female"/>
    <n v="28"/>
    <s v="MBA"/>
    <s v="Divorced"/>
    <x v="1"/>
    <s v="Operations Head"/>
    <x v="0"/>
    <x v="8"/>
    <s v="South"/>
    <n v="10"/>
    <n v="112406"/>
    <x v="0"/>
    <n v="4"/>
    <n v="3"/>
    <n v="44"/>
    <n v="3"/>
    <d v="2013-04-27T00:00:00"/>
    <s v="Yes"/>
    <x v="1"/>
    <n v="3"/>
    <x v="1"/>
    <x v="1"/>
    <x v="0"/>
  </r>
  <r>
    <s v="REL01809"/>
    <s v="Female"/>
    <n v="32"/>
    <s v="Post Graduate"/>
    <s v="Married"/>
    <x v="3"/>
    <s v="Marketing Executive"/>
    <x v="1"/>
    <x v="2"/>
    <s v="West"/>
    <n v="12"/>
    <n v="75771"/>
    <x v="1"/>
    <n v="2"/>
    <n v="4"/>
    <n v="51"/>
    <n v="3"/>
    <d v="2011-02-28T00:00:00"/>
    <s v="No"/>
    <x v="0"/>
    <n v="1"/>
    <x v="2"/>
    <x v="0"/>
    <x v="1"/>
  </r>
  <r>
    <s v="REL01810"/>
    <s v="Male"/>
    <n v="45"/>
    <s v="MBA"/>
    <s v="Divorced"/>
    <x v="0"/>
    <s v="Store Manager"/>
    <x v="2"/>
    <x v="3"/>
    <s v="West"/>
    <n v="4"/>
    <n v="87248"/>
    <x v="0"/>
    <n v="4"/>
    <n v="4"/>
    <n v="23"/>
    <n v="1"/>
    <d v="2019-08-09T00:00:00"/>
    <s v="No"/>
    <x v="1"/>
    <n v="3"/>
    <x v="0"/>
    <x v="0"/>
    <x v="0"/>
  </r>
  <r>
    <s v="REL01811"/>
    <s v="Male"/>
    <n v="54"/>
    <s v="Graduate"/>
    <s v="Married"/>
    <x v="2"/>
    <s v="Operations Head"/>
    <x v="0"/>
    <x v="7"/>
    <s v="East"/>
    <n v="14"/>
    <n v="116351"/>
    <x v="3"/>
    <n v="1"/>
    <n v="4"/>
    <n v="61"/>
    <n v="3"/>
    <d v="2009-02-16T00:00:00"/>
    <s v="No"/>
    <x v="1"/>
    <n v="4"/>
    <x v="2"/>
    <x v="2"/>
    <x v="0"/>
  </r>
  <r>
    <s v="REL01812"/>
    <s v="Female"/>
    <n v="39"/>
    <s v="MBA"/>
    <s v="Divorced"/>
    <x v="2"/>
    <s v="HR Manager"/>
    <x v="2"/>
    <x v="3"/>
    <s v="West"/>
    <n v="10"/>
    <n v="100984"/>
    <x v="0"/>
    <n v="1"/>
    <n v="4"/>
    <n v="34"/>
    <n v="3"/>
    <d v="2013-03-26T00:00:00"/>
    <s v="No"/>
    <x v="1"/>
    <n v="3"/>
    <x v="1"/>
    <x v="0"/>
    <x v="0"/>
  </r>
  <r>
    <s v="REL01813"/>
    <s v="Male"/>
    <n v="22"/>
    <s v="Post Graduate"/>
    <s v="Single"/>
    <x v="5"/>
    <s v="Customer Service Rep"/>
    <x v="2"/>
    <x v="0"/>
    <s v="North"/>
    <n v="7"/>
    <n v="57076"/>
    <x v="1"/>
    <n v="3"/>
    <n v="2"/>
    <n v="42"/>
    <n v="3"/>
    <d v="2016-07-31T00:00:00"/>
    <s v="Yes"/>
    <x v="0"/>
    <n v="1"/>
    <x v="1"/>
    <x v="1"/>
    <x v="1"/>
  </r>
  <r>
    <s v="REL01814"/>
    <s v="Male"/>
    <n v="26"/>
    <s v="Graduate"/>
    <s v="Divorced"/>
    <x v="2"/>
    <s v="Finance Analyst"/>
    <x v="2"/>
    <x v="5"/>
    <s v="South"/>
    <n v="4"/>
    <n v="60516"/>
    <x v="1"/>
    <n v="1"/>
    <n v="2"/>
    <n v="58"/>
    <n v="3"/>
    <d v="2019-12-12T00:00:00"/>
    <s v="Yes"/>
    <x v="0"/>
    <n v="1"/>
    <x v="0"/>
    <x v="1"/>
    <x v="1"/>
  </r>
  <r>
    <s v="REL01815"/>
    <s v="Female"/>
    <n v="27"/>
    <s v="Graduate"/>
    <s v="Married"/>
    <x v="2"/>
    <s v="Marketing Executive"/>
    <x v="0"/>
    <x v="4"/>
    <s v="North"/>
    <n v="10"/>
    <n v="78800"/>
    <x v="3"/>
    <n v="4"/>
    <n v="1"/>
    <n v="74"/>
    <n v="0"/>
    <d v="2013-12-31T00:00:00"/>
    <s v="No"/>
    <x v="0"/>
    <n v="4"/>
    <x v="1"/>
    <x v="2"/>
    <x v="1"/>
  </r>
  <r>
    <s v="REL01816"/>
    <s v="Male"/>
    <n v="40"/>
    <s v="Graduate"/>
    <s v="Single"/>
    <x v="3"/>
    <s v="HR Manager"/>
    <x v="0"/>
    <x v="0"/>
    <s v="North"/>
    <n v="11"/>
    <n v="96954"/>
    <x v="1"/>
    <n v="2"/>
    <n v="3"/>
    <n v="20"/>
    <n v="2"/>
    <d v="2012-03-23T00:00:00"/>
    <s v="Yes"/>
    <x v="1"/>
    <n v="1"/>
    <x v="2"/>
    <x v="1"/>
    <x v="2"/>
  </r>
  <r>
    <s v="REL01817"/>
    <s v="Male"/>
    <n v="36"/>
    <s v="Post Graduate"/>
    <s v="Married"/>
    <x v="1"/>
    <s v="Sales Executive"/>
    <x v="4"/>
    <x v="0"/>
    <s v="North"/>
    <n v="2"/>
    <n v="44225"/>
    <x v="3"/>
    <n v="1"/>
    <n v="4"/>
    <n v="10"/>
    <n v="2"/>
    <d v="2021-07-10T00:00:00"/>
    <s v="Yes"/>
    <x v="2"/>
    <n v="4"/>
    <x v="3"/>
    <x v="1"/>
    <x v="1"/>
  </r>
  <r>
    <s v="REL01818"/>
    <s v="Female"/>
    <n v="51"/>
    <s v="Graduate"/>
    <s v="Married"/>
    <x v="7"/>
    <s v="Store Manager"/>
    <x v="4"/>
    <x v="8"/>
    <s v="South"/>
    <n v="7"/>
    <n v="107760"/>
    <x v="2"/>
    <n v="4"/>
    <n v="2"/>
    <n v="18"/>
    <n v="0"/>
    <d v="2016-12-09T00:00:00"/>
    <s v="No"/>
    <x v="1"/>
    <n v="2"/>
    <x v="1"/>
    <x v="0"/>
    <x v="1"/>
  </r>
  <r>
    <s v="REL01819"/>
    <s v="Male"/>
    <n v="31"/>
    <s v="MBA"/>
    <s v="Married"/>
    <x v="2"/>
    <s v="Logistics Coordinator"/>
    <x v="0"/>
    <x v="5"/>
    <s v="South"/>
    <n v="13"/>
    <n v="69905"/>
    <x v="2"/>
    <n v="4"/>
    <n v="3"/>
    <n v="16"/>
    <n v="3"/>
    <d v="2010-05-07T00:00:00"/>
    <s v="No"/>
    <x v="0"/>
    <n v="2"/>
    <x v="2"/>
    <x v="0"/>
    <x v="1"/>
  </r>
  <r>
    <s v="REL01820"/>
    <s v="Female"/>
    <n v="22"/>
    <s v="BTech"/>
    <s v="Single"/>
    <x v="0"/>
    <s v="Finance Analyst"/>
    <x v="2"/>
    <x v="8"/>
    <s v="South"/>
    <n v="14"/>
    <n v="86700"/>
    <x v="0"/>
    <n v="2"/>
    <n v="1"/>
    <n v="39"/>
    <n v="3"/>
    <d v="2009-02-22T00:00:00"/>
    <s v="No"/>
    <x v="1"/>
    <n v="3"/>
    <x v="2"/>
    <x v="0"/>
    <x v="0"/>
  </r>
  <r>
    <s v="REL01821"/>
    <s v="Female"/>
    <n v="23"/>
    <s v="Post Graduate"/>
    <s v="Single"/>
    <x v="4"/>
    <s v="Logistics Coordinator"/>
    <x v="4"/>
    <x v="4"/>
    <s v="North"/>
    <n v="14"/>
    <n v="72845"/>
    <x v="0"/>
    <n v="4"/>
    <n v="4"/>
    <n v="54"/>
    <n v="1"/>
    <d v="2010-01-02T00:00:00"/>
    <s v="Yes"/>
    <x v="0"/>
    <n v="3"/>
    <x v="2"/>
    <x v="1"/>
    <x v="0"/>
  </r>
  <r>
    <s v="REL01822"/>
    <s v="Male"/>
    <n v="23"/>
    <s v="BTech"/>
    <s v="Divorced"/>
    <x v="0"/>
    <s v="Logistics Coordinator"/>
    <x v="0"/>
    <x v="0"/>
    <s v="North"/>
    <n v="15"/>
    <n v="72911"/>
    <x v="1"/>
    <n v="4"/>
    <n v="3"/>
    <n v="47"/>
    <n v="3"/>
    <d v="2008-12-17T00:00:00"/>
    <s v="No"/>
    <x v="0"/>
    <n v="1"/>
    <x v="2"/>
    <x v="0"/>
    <x v="1"/>
  </r>
  <r>
    <s v="REL01823"/>
    <s v="Male"/>
    <n v="39"/>
    <s v="MBA"/>
    <s v="Married"/>
    <x v="3"/>
    <s v="Store Manager"/>
    <x v="0"/>
    <x v="0"/>
    <s v="North"/>
    <n v="7"/>
    <n v="101730"/>
    <x v="0"/>
    <n v="4"/>
    <n v="4"/>
    <n v="48"/>
    <n v="3"/>
    <d v="2016-12-23T00:00:00"/>
    <s v="No"/>
    <x v="1"/>
    <n v="3"/>
    <x v="1"/>
    <x v="0"/>
    <x v="0"/>
  </r>
  <r>
    <s v="REL01824"/>
    <s v="Male"/>
    <n v="47"/>
    <s v="Graduate"/>
    <s v="Single"/>
    <x v="4"/>
    <s v="Sales Executive"/>
    <x v="1"/>
    <x v="4"/>
    <s v="North"/>
    <n v="9"/>
    <n v="63312"/>
    <x v="2"/>
    <n v="1"/>
    <n v="4"/>
    <n v="69"/>
    <n v="0"/>
    <d v="2014-02-05T00:00:00"/>
    <s v="Yes"/>
    <x v="0"/>
    <n v="2"/>
    <x v="1"/>
    <x v="1"/>
    <x v="1"/>
  </r>
  <r>
    <s v="REL01825"/>
    <s v="Male"/>
    <n v="34"/>
    <s v="Graduate"/>
    <s v="Married"/>
    <x v="7"/>
    <s v="Finance Analyst"/>
    <x v="3"/>
    <x v="0"/>
    <s v="North"/>
    <n v="11"/>
    <n v="82262"/>
    <x v="0"/>
    <n v="1"/>
    <n v="1"/>
    <n v="19"/>
    <n v="3"/>
    <d v="2012-07-29T00:00:00"/>
    <s v="No"/>
    <x v="1"/>
    <n v="3"/>
    <x v="2"/>
    <x v="0"/>
    <x v="0"/>
  </r>
  <r>
    <s v="REL01826"/>
    <s v="Female"/>
    <n v="40"/>
    <s v="Graduate"/>
    <s v="Married"/>
    <x v="6"/>
    <s v="Store Manager"/>
    <x v="4"/>
    <x v="0"/>
    <s v="North"/>
    <n v="5"/>
    <n v="90577"/>
    <x v="3"/>
    <n v="3"/>
    <n v="4"/>
    <n v="67"/>
    <n v="2"/>
    <d v="2018-08-18T00:00:00"/>
    <s v="Yes"/>
    <x v="1"/>
    <n v="4"/>
    <x v="0"/>
    <x v="1"/>
    <x v="0"/>
  </r>
  <r>
    <s v="REL01827"/>
    <s v="Male"/>
    <n v="28"/>
    <s v="MBA"/>
    <s v="Divorced"/>
    <x v="1"/>
    <s v="Logistics Coordinator"/>
    <x v="2"/>
    <x v="5"/>
    <s v="South"/>
    <n v="11"/>
    <n v="68221"/>
    <x v="2"/>
    <n v="1"/>
    <n v="2"/>
    <n v="39"/>
    <n v="2"/>
    <d v="2012-10-13T00:00:00"/>
    <s v="No"/>
    <x v="0"/>
    <n v="2"/>
    <x v="2"/>
    <x v="0"/>
    <x v="1"/>
  </r>
  <r>
    <s v="REL01828"/>
    <s v="Male"/>
    <n v="46"/>
    <s v="Graduate"/>
    <s v="Divorced"/>
    <x v="0"/>
    <s v="HR Manager"/>
    <x v="4"/>
    <x v="5"/>
    <s v="South"/>
    <n v="10"/>
    <n v="97606"/>
    <x v="2"/>
    <n v="4"/>
    <n v="4"/>
    <n v="40"/>
    <n v="0"/>
    <d v="2013-07-09T00:00:00"/>
    <s v="No"/>
    <x v="1"/>
    <n v="2"/>
    <x v="1"/>
    <x v="0"/>
    <x v="1"/>
  </r>
  <r>
    <s v="REL01829"/>
    <s v="Female"/>
    <n v="31"/>
    <s v="Post Graduate"/>
    <s v="Divorced"/>
    <x v="1"/>
    <s v="Logistics Coordinator"/>
    <x v="1"/>
    <x v="9"/>
    <s v="West"/>
    <n v="13"/>
    <n v="66071"/>
    <x v="2"/>
    <n v="3"/>
    <n v="4"/>
    <n v="52"/>
    <n v="1"/>
    <d v="2010-04-20T00:00:00"/>
    <s v="No"/>
    <x v="0"/>
    <n v="2"/>
    <x v="2"/>
    <x v="0"/>
    <x v="1"/>
  </r>
  <r>
    <s v="REL01830"/>
    <s v="Male"/>
    <n v="39"/>
    <s v="BTech"/>
    <s v="Single"/>
    <x v="3"/>
    <s v="Finance Analyst"/>
    <x v="3"/>
    <x v="4"/>
    <s v="North"/>
    <n v="9"/>
    <n v="71030"/>
    <x v="1"/>
    <n v="1"/>
    <n v="4"/>
    <n v="59"/>
    <n v="3"/>
    <d v="2014-11-24T00:00:00"/>
    <s v="No"/>
    <x v="0"/>
    <n v="1"/>
    <x v="1"/>
    <x v="0"/>
    <x v="1"/>
  </r>
  <r>
    <s v="REL01831"/>
    <s v="Female"/>
    <n v="30"/>
    <s v="Graduate"/>
    <s v="Divorced"/>
    <x v="6"/>
    <s v="Sales Executive"/>
    <x v="4"/>
    <x v="3"/>
    <s v="West"/>
    <n v="6"/>
    <n v="57652"/>
    <x v="2"/>
    <n v="1"/>
    <n v="4"/>
    <n v="27"/>
    <n v="2"/>
    <d v="2017-07-23T00:00:00"/>
    <s v="No"/>
    <x v="0"/>
    <n v="2"/>
    <x v="1"/>
    <x v="0"/>
    <x v="1"/>
  </r>
  <r>
    <s v="REL01832"/>
    <s v="Female"/>
    <n v="35"/>
    <s v="BTech"/>
    <s v="Divorced"/>
    <x v="6"/>
    <s v="Customer Service Rep"/>
    <x v="1"/>
    <x v="3"/>
    <s v="West"/>
    <n v="15"/>
    <n v="63617"/>
    <x v="0"/>
    <n v="4"/>
    <n v="1"/>
    <n v="23"/>
    <n v="2"/>
    <d v="2008-08-03T00:00:00"/>
    <s v="No"/>
    <x v="0"/>
    <n v="3"/>
    <x v="2"/>
    <x v="0"/>
    <x v="0"/>
  </r>
  <r>
    <s v="REL01833"/>
    <s v="Male"/>
    <n v="52"/>
    <s v="Graduate"/>
    <s v="Divorced"/>
    <x v="5"/>
    <s v="Marketing Executive"/>
    <x v="3"/>
    <x v="7"/>
    <s v="East"/>
    <n v="14"/>
    <n v="87637"/>
    <x v="3"/>
    <n v="4"/>
    <n v="4"/>
    <n v="29"/>
    <n v="2"/>
    <d v="2009-08-29T00:00:00"/>
    <s v="No"/>
    <x v="1"/>
    <n v="4"/>
    <x v="2"/>
    <x v="2"/>
    <x v="0"/>
  </r>
  <r>
    <s v="REL01834"/>
    <s v="Male"/>
    <n v="25"/>
    <s v="Graduate"/>
    <s v="Single"/>
    <x v="3"/>
    <s v="Store Manager"/>
    <x v="1"/>
    <x v="7"/>
    <s v="East"/>
    <n v="6"/>
    <n v="92689"/>
    <x v="3"/>
    <n v="1"/>
    <n v="1"/>
    <n v="51"/>
    <n v="3"/>
    <d v="2017-12-06T00:00:00"/>
    <s v="No"/>
    <x v="1"/>
    <n v="4"/>
    <x v="1"/>
    <x v="2"/>
    <x v="0"/>
  </r>
  <r>
    <s v="REL01835"/>
    <s v="Male"/>
    <n v="30"/>
    <s v="Graduate"/>
    <s v="Single"/>
    <x v="6"/>
    <s v="Operations Head"/>
    <x v="4"/>
    <x v="0"/>
    <s v="North"/>
    <n v="4"/>
    <n v="101269"/>
    <x v="1"/>
    <n v="1"/>
    <n v="1"/>
    <n v="75"/>
    <n v="1"/>
    <d v="2019-04-14T00:00:00"/>
    <s v="No"/>
    <x v="1"/>
    <n v="1"/>
    <x v="0"/>
    <x v="0"/>
    <x v="2"/>
  </r>
  <r>
    <s v="REL01836"/>
    <s v="Male"/>
    <n v="26"/>
    <s v="Graduate"/>
    <s v="Married"/>
    <x v="4"/>
    <s v="Logistics Coordinator"/>
    <x v="3"/>
    <x v="5"/>
    <s v="South"/>
    <n v="13"/>
    <n v="76665"/>
    <x v="3"/>
    <n v="3"/>
    <n v="1"/>
    <n v="73"/>
    <n v="3"/>
    <d v="2010-09-26T00:00:00"/>
    <s v="No"/>
    <x v="0"/>
    <n v="4"/>
    <x v="2"/>
    <x v="2"/>
    <x v="1"/>
  </r>
  <r>
    <s v="REL01837"/>
    <s v="Male"/>
    <n v="26"/>
    <s v="BTech"/>
    <s v="Divorced"/>
    <x v="6"/>
    <s v="Logistics Coordinator"/>
    <x v="0"/>
    <x v="5"/>
    <s v="South"/>
    <n v="12"/>
    <n v="61300"/>
    <x v="2"/>
    <n v="2"/>
    <n v="2"/>
    <n v="12"/>
    <n v="3"/>
    <d v="2011-10-26T00:00:00"/>
    <s v="No"/>
    <x v="0"/>
    <n v="2"/>
    <x v="2"/>
    <x v="0"/>
    <x v="1"/>
  </r>
  <r>
    <s v="REL01838"/>
    <s v="Male"/>
    <n v="23"/>
    <s v="Post Graduate"/>
    <s v="Single"/>
    <x v="2"/>
    <s v="Operations Head"/>
    <x v="1"/>
    <x v="5"/>
    <s v="South"/>
    <n v="14"/>
    <n v="116983"/>
    <x v="1"/>
    <n v="4"/>
    <n v="3"/>
    <n v="24"/>
    <n v="3"/>
    <d v="2009-12-03T00:00:00"/>
    <s v="Yes"/>
    <x v="1"/>
    <n v="1"/>
    <x v="2"/>
    <x v="1"/>
    <x v="2"/>
  </r>
  <r>
    <s v="REL01839"/>
    <s v="Female"/>
    <n v="22"/>
    <s v="Post Graduate"/>
    <s v="Single"/>
    <x v="1"/>
    <s v="Sales Executive"/>
    <x v="3"/>
    <x v="4"/>
    <s v="North"/>
    <n v="6"/>
    <n v="55560"/>
    <x v="0"/>
    <n v="2"/>
    <n v="1"/>
    <n v="39"/>
    <n v="1"/>
    <d v="2017-05-25T00:00:00"/>
    <s v="No"/>
    <x v="0"/>
    <n v="3"/>
    <x v="1"/>
    <x v="0"/>
    <x v="0"/>
  </r>
  <r>
    <s v="REL01840"/>
    <s v="Female"/>
    <n v="37"/>
    <s v="MBA"/>
    <s v="Divorced"/>
    <x v="3"/>
    <s v="Logistics Coordinator"/>
    <x v="1"/>
    <x v="7"/>
    <s v="East"/>
    <n v="15"/>
    <n v="79883"/>
    <x v="0"/>
    <n v="3"/>
    <n v="3"/>
    <n v="31"/>
    <n v="1"/>
    <d v="2008-10-07T00:00:00"/>
    <s v="Yes"/>
    <x v="0"/>
    <n v="3"/>
    <x v="2"/>
    <x v="1"/>
    <x v="0"/>
  </r>
  <r>
    <s v="REL01841"/>
    <s v="Female"/>
    <n v="37"/>
    <s v="MBA"/>
    <s v="Divorced"/>
    <x v="3"/>
    <s v="Operations Head"/>
    <x v="1"/>
    <x v="7"/>
    <s v="East"/>
    <n v="13"/>
    <n v="119458"/>
    <x v="1"/>
    <n v="4"/>
    <n v="1"/>
    <n v="24"/>
    <n v="0"/>
    <d v="2010-04-13T00:00:00"/>
    <s v="No"/>
    <x v="1"/>
    <n v="1"/>
    <x v="2"/>
    <x v="0"/>
    <x v="2"/>
  </r>
  <r>
    <s v="REL01842"/>
    <s v="Male"/>
    <n v="42"/>
    <s v="BTech"/>
    <s v="Married"/>
    <x v="1"/>
    <s v="Operations Head"/>
    <x v="2"/>
    <x v="8"/>
    <s v="South"/>
    <n v="7"/>
    <n v="99796"/>
    <x v="3"/>
    <n v="4"/>
    <n v="1"/>
    <n v="52"/>
    <n v="2"/>
    <d v="2016-01-06T00:00:00"/>
    <s v="No"/>
    <x v="1"/>
    <n v="4"/>
    <x v="1"/>
    <x v="2"/>
    <x v="0"/>
  </r>
  <r>
    <s v="REL01843"/>
    <s v="Male"/>
    <n v="32"/>
    <s v="HSC"/>
    <s v="Divorced"/>
    <x v="0"/>
    <s v="Finance Analyst"/>
    <x v="3"/>
    <x v="7"/>
    <s v="East"/>
    <n v="13"/>
    <n v="93388"/>
    <x v="0"/>
    <n v="1"/>
    <n v="2"/>
    <n v="12"/>
    <n v="2"/>
    <d v="2010-02-26T00:00:00"/>
    <s v="No"/>
    <x v="1"/>
    <n v="3"/>
    <x v="2"/>
    <x v="0"/>
    <x v="0"/>
  </r>
  <r>
    <s v="REL01844"/>
    <s v="Male"/>
    <n v="35"/>
    <s v="Post Graduate"/>
    <s v="Single"/>
    <x v="1"/>
    <s v="Logistics Coordinator"/>
    <x v="3"/>
    <x v="2"/>
    <s v="West"/>
    <n v="2"/>
    <n v="44851"/>
    <x v="0"/>
    <n v="3"/>
    <n v="3"/>
    <n v="19"/>
    <n v="0"/>
    <d v="2021-06-13T00:00:00"/>
    <s v="No"/>
    <x v="2"/>
    <n v="3"/>
    <x v="3"/>
    <x v="0"/>
    <x v="1"/>
  </r>
  <r>
    <s v="REL01845"/>
    <s v="Female"/>
    <n v="53"/>
    <s v="BTech"/>
    <s v="Married"/>
    <x v="5"/>
    <s v="Marketing Executive"/>
    <x v="0"/>
    <x v="6"/>
    <s v="South"/>
    <n v="8"/>
    <n v="70921"/>
    <x v="1"/>
    <n v="3"/>
    <n v="1"/>
    <n v="28"/>
    <n v="2"/>
    <d v="2015-03-01T00:00:00"/>
    <s v="Yes"/>
    <x v="0"/>
    <n v="1"/>
    <x v="1"/>
    <x v="1"/>
    <x v="1"/>
  </r>
  <r>
    <s v="REL01846"/>
    <s v="Male"/>
    <n v="35"/>
    <s v="BTech"/>
    <s v="Married"/>
    <x v="4"/>
    <s v="Finance Analyst"/>
    <x v="4"/>
    <x v="9"/>
    <s v="West"/>
    <n v="2"/>
    <n v="61096"/>
    <x v="3"/>
    <n v="2"/>
    <n v="3"/>
    <n v="60"/>
    <n v="3"/>
    <d v="2021-05-13T00:00:00"/>
    <s v="No"/>
    <x v="0"/>
    <n v="4"/>
    <x v="3"/>
    <x v="2"/>
    <x v="1"/>
  </r>
  <r>
    <s v="REL01847"/>
    <s v="Male"/>
    <n v="22"/>
    <s v="BTech"/>
    <s v="Single"/>
    <x v="2"/>
    <s v="Operations Head"/>
    <x v="4"/>
    <x v="2"/>
    <s v="West"/>
    <n v="6"/>
    <n v="102254"/>
    <x v="0"/>
    <n v="3"/>
    <n v="4"/>
    <n v="41"/>
    <n v="0"/>
    <d v="2017-09-18T00:00:00"/>
    <s v="No"/>
    <x v="1"/>
    <n v="3"/>
    <x v="1"/>
    <x v="0"/>
    <x v="0"/>
  </r>
  <r>
    <s v="REL01848"/>
    <s v="Female"/>
    <n v="36"/>
    <s v="Post Graduate"/>
    <s v="Single"/>
    <x v="3"/>
    <s v="Operations Head"/>
    <x v="1"/>
    <x v="1"/>
    <s v="North"/>
    <n v="11"/>
    <n v="125304"/>
    <x v="0"/>
    <n v="1"/>
    <n v="4"/>
    <n v="76"/>
    <n v="1"/>
    <d v="2012-04-17T00:00:00"/>
    <s v="No"/>
    <x v="1"/>
    <n v="3"/>
    <x v="2"/>
    <x v="0"/>
    <x v="0"/>
  </r>
  <r>
    <s v="REL01849"/>
    <s v="Female"/>
    <n v="31"/>
    <s v="Post Graduate"/>
    <s v="Single"/>
    <x v="3"/>
    <s v="Logistics Coordinator"/>
    <x v="3"/>
    <x v="0"/>
    <s v="North"/>
    <n v="12"/>
    <n v="70571"/>
    <x v="0"/>
    <n v="4"/>
    <n v="2"/>
    <n v="10"/>
    <n v="0"/>
    <d v="2011-04-01T00:00:00"/>
    <s v="No"/>
    <x v="0"/>
    <n v="3"/>
    <x v="2"/>
    <x v="0"/>
    <x v="0"/>
  </r>
  <r>
    <s v="REL01850"/>
    <s v="Male"/>
    <n v="53"/>
    <s v="BTech"/>
    <s v="Divorced"/>
    <x v="7"/>
    <s v="Finance Analyst"/>
    <x v="4"/>
    <x v="4"/>
    <s v="North"/>
    <n v="3"/>
    <n v="64302"/>
    <x v="2"/>
    <n v="4"/>
    <n v="2"/>
    <n v="60"/>
    <n v="2"/>
    <d v="2020-05-23T00:00:00"/>
    <s v="Yes"/>
    <x v="0"/>
    <n v="2"/>
    <x v="0"/>
    <x v="1"/>
    <x v="1"/>
  </r>
  <r>
    <s v="REL01851"/>
    <s v="Female"/>
    <n v="27"/>
    <s v="Graduate"/>
    <s v="Divorced"/>
    <x v="3"/>
    <s v="Customer Service Rep"/>
    <x v="1"/>
    <x v="0"/>
    <s v="North"/>
    <n v="6"/>
    <n v="39994"/>
    <x v="2"/>
    <n v="1"/>
    <n v="3"/>
    <n v="78"/>
    <n v="2"/>
    <d v="2017-12-24T00:00:00"/>
    <s v="Yes"/>
    <x v="2"/>
    <n v="2"/>
    <x v="1"/>
    <x v="1"/>
    <x v="1"/>
  </r>
  <r>
    <s v="REL01852"/>
    <s v="Male"/>
    <n v="50"/>
    <s v="Post Graduate"/>
    <s v="Single"/>
    <x v="3"/>
    <s v="Store Manager"/>
    <x v="3"/>
    <x v="6"/>
    <s v="South"/>
    <n v="4"/>
    <n v="83421"/>
    <x v="0"/>
    <n v="2"/>
    <n v="3"/>
    <n v="14"/>
    <n v="1"/>
    <d v="2019-06-02T00:00:00"/>
    <s v="No"/>
    <x v="1"/>
    <n v="3"/>
    <x v="0"/>
    <x v="0"/>
    <x v="0"/>
  </r>
  <r>
    <s v="REL01853"/>
    <s v="Female"/>
    <n v="43"/>
    <s v="Post Graduate"/>
    <s v="Divorced"/>
    <x v="1"/>
    <s v="Operations Head"/>
    <x v="4"/>
    <x v="1"/>
    <s v="North"/>
    <n v="11"/>
    <n v="111664"/>
    <x v="0"/>
    <n v="1"/>
    <n v="4"/>
    <n v="28"/>
    <n v="0"/>
    <d v="2012-09-24T00:00:00"/>
    <s v="No"/>
    <x v="1"/>
    <n v="3"/>
    <x v="2"/>
    <x v="0"/>
    <x v="0"/>
  </r>
  <r>
    <s v="REL01854"/>
    <s v="Female"/>
    <n v="41"/>
    <s v="Graduate"/>
    <s v="Single"/>
    <x v="2"/>
    <s v="Sales Executive"/>
    <x v="3"/>
    <x v="4"/>
    <s v="North"/>
    <n v="4"/>
    <n v="51828"/>
    <x v="1"/>
    <n v="2"/>
    <n v="1"/>
    <n v="42"/>
    <n v="2"/>
    <d v="2019-06-19T00:00:00"/>
    <s v="No"/>
    <x v="0"/>
    <n v="1"/>
    <x v="0"/>
    <x v="0"/>
    <x v="1"/>
  </r>
  <r>
    <s v="REL01855"/>
    <s v="Female"/>
    <n v="22"/>
    <s v="Graduate"/>
    <s v="Divorced"/>
    <x v="4"/>
    <s v="Sales Executive"/>
    <x v="4"/>
    <x v="8"/>
    <s v="South"/>
    <n v="7"/>
    <n v="58283"/>
    <x v="3"/>
    <n v="3"/>
    <n v="3"/>
    <n v="52"/>
    <n v="0"/>
    <d v="2016-08-20T00:00:00"/>
    <s v="No"/>
    <x v="0"/>
    <n v="4"/>
    <x v="1"/>
    <x v="2"/>
    <x v="1"/>
  </r>
  <r>
    <s v="REL01856"/>
    <s v="Male"/>
    <n v="55"/>
    <s v="Graduate"/>
    <s v="Divorced"/>
    <x v="5"/>
    <s v="Operations Head"/>
    <x v="4"/>
    <x v="0"/>
    <s v="North"/>
    <n v="7"/>
    <n v="103676"/>
    <x v="1"/>
    <n v="2"/>
    <n v="3"/>
    <n v="22"/>
    <n v="0"/>
    <d v="2016-01-14T00:00:00"/>
    <s v="Yes"/>
    <x v="1"/>
    <n v="1"/>
    <x v="1"/>
    <x v="1"/>
    <x v="2"/>
  </r>
  <r>
    <s v="REL01857"/>
    <s v="Male"/>
    <n v="29"/>
    <s v="HSC"/>
    <s v="Single"/>
    <x v="0"/>
    <s v="Logistics Coordinator"/>
    <x v="0"/>
    <x v="7"/>
    <s v="East"/>
    <n v="11"/>
    <n v="75780"/>
    <x v="3"/>
    <n v="3"/>
    <n v="3"/>
    <n v="30"/>
    <n v="1"/>
    <d v="2012-11-14T00:00:00"/>
    <s v="No"/>
    <x v="0"/>
    <n v="4"/>
    <x v="2"/>
    <x v="2"/>
    <x v="1"/>
  </r>
  <r>
    <s v="REL01858"/>
    <s v="Female"/>
    <n v="37"/>
    <s v="HSC"/>
    <s v="Married"/>
    <x v="3"/>
    <s v="Marketing Executive"/>
    <x v="1"/>
    <x v="6"/>
    <s v="South"/>
    <n v="6"/>
    <n v="66943"/>
    <x v="3"/>
    <n v="1"/>
    <n v="3"/>
    <n v="73"/>
    <n v="3"/>
    <d v="2017-02-11T00:00:00"/>
    <s v="No"/>
    <x v="0"/>
    <n v="4"/>
    <x v="1"/>
    <x v="2"/>
    <x v="1"/>
  </r>
  <r>
    <s v="REL01859"/>
    <s v="Male"/>
    <n v="42"/>
    <s v="HSC"/>
    <s v="Divorced"/>
    <x v="5"/>
    <s v="Sales Executive"/>
    <x v="2"/>
    <x v="6"/>
    <s v="South"/>
    <n v="1"/>
    <n v="34848"/>
    <x v="2"/>
    <n v="4"/>
    <n v="2"/>
    <n v="69"/>
    <n v="3"/>
    <d v="2022-07-17T00:00:00"/>
    <s v="Yes"/>
    <x v="3"/>
    <n v="2"/>
    <x v="3"/>
    <x v="1"/>
    <x v="1"/>
  </r>
  <r>
    <s v="REL01860"/>
    <s v="Male"/>
    <n v="37"/>
    <s v="Graduate"/>
    <s v="Married"/>
    <x v="3"/>
    <s v="Sales Executive"/>
    <x v="3"/>
    <x v="1"/>
    <s v="North"/>
    <n v="4"/>
    <n v="52586"/>
    <x v="3"/>
    <n v="3"/>
    <n v="1"/>
    <n v="70"/>
    <n v="0"/>
    <d v="2019-04-05T00:00:00"/>
    <s v="No"/>
    <x v="0"/>
    <n v="4"/>
    <x v="0"/>
    <x v="2"/>
    <x v="1"/>
  </r>
  <r>
    <s v="REL01861"/>
    <s v="Female"/>
    <n v="43"/>
    <s v="HSC"/>
    <s v="Divorced"/>
    <x v="6"/>
    <s v="HR Manager"/>
    <x v="4"/>
    <x v="1"/>
    <s v="North"/>
    <n v="14"/>
    <n v="98835"/>
    <x v="2"/>
    <n v="3"/>
    <n v="2"/>
    <n v="15"/>
    <n v="2"/>
    <d v="2009-09-14T00:00:00"/>
    <s v="No"/>
    <x v="1"/>
    <n v="2"/>
    <x v="2"/>
    <x v="0"/>
    <x v="1"/>
  </r>
  <r>
    <s v="REL01862"/>
    <s v="Male"/>
    <n v="34"/>
    <s v="MBA"/>
    <s v="Divorced"/>
    <x v="6"/>
    <s v="Finance Analyst"/>
    <x v="3"/>
    <x v="7"/>
    <s v="East"/>
    <n v="8"/>
    <n v="85647"/>
    <x v="2"/>
    <n v="2"/>
    <n v="1"/>
    <n v="49"/>
    <n v="2"/>
    <d v="2015-11-19T00:00:00"/>
    <s v="No"/>
    <x v="1"/>
    <n v="2"/>
    <x v="1"/>
    <x v="0"/>
    <x v="1"/>
  </r>
  <r>
    <s v="REL01863"/>
    <s v="Male"/>
    <n v="44"/>
    <s v="BTech"/>
    <s v="Divorced"/>
    <x v="6"/>
    <s v="Operations Head"/>
    <x v="2"/>
    <x v="9"/>
    <s v="West"/>
    <n v="14"/>
    <n v="123654"/>
    <x v="1"/>
    <n v="4"/>
    <n v="1"/>
    <n v="23"/>
    <n v="2"/>
    <d v="2009-06-19T00:00:00"/>
    <s v="Yes"/>
    <x v="1"/>
    <n v="1"/>
    <x v="2"/>
    <x v="1"/>
    <x v="2"/>
  </r>
  <r>
    <s v="REL01864"/>
    <s v="Male"/>
    <n v="22"/>
    <s v="BTech"/>
    <s v="Single"/>
    <x v="3"/>
    <s v="Logistics Coordinator"/>
    <x v="4"/>
    <x v="6"/>
    <s v="South"/>
    <n v="4"/>
    <n v="60094"/>
    <x v="0"/>
    <n v="3"/>
    <n v="4"/>
    <n v="65"/>
    <n v="0"/>
    <d v="2019-06-24T00:00:00"/>
    <s v="No"/>
    <x v="0"/>
    <n v="3"/>
    <x v="0"/>
    <x v="0"/>
    <x v="0"/>
  </r>
  <r>
    <s v="REL01865"/>
    <s v="Female"/>
    <n v="30"/>
    <s v="MBA"/>
    <s v="Single"/>
    <x v="1"/>
    <s v="Logistics Coordinator"/>
    <x v="4"/>
    <x v="6"/>
    <s v="South"/>
    <n v="5"/>
    <n v="48467"/>
    <x v="1"/>
    <n v="3"/>
    <n v="4"/>
    <n v="16"/>
    <n v="1"/>
    <d v="2018-08-29T00:00:00"/>
    <s v="No"/>
    <x v="2"/>
    <n v="1"/>
    <x v="0"/>
    <x v="0"/>
    <x v="1"/>
  </r>
  <r>
    <s v="REL01866"/>
    <s v="Female"/>
    <n v="54"/>
    <s v="Graduate"/>
    <s v="Divorced"/>
    <x v="7"/>
    <s v="HR Manager"/>
    <x v="1"/>
    <x v="5"/>
    <s v="South"/>
    <n v="15"/>
    <n v="111821"/>
    <x v="2"/>
    <n v="3"/>
    <n v="2"/>
    <n v="69"/>
    <n v="3"/>
    <d v="2008-02-10T00:00:00"/>
    <s v="No"/>
    <x v="1"/>
    <n v="2"/>
    <x v="2"/>
    <x v="0"/>
    <x v="1"/>
  </r>
  <r>
    <s v="REL01867"/>
    <s v="Female"/>
    <n v="41"/>
    <s v="HSC"/>
    <s v="Married"/>
    <x v="0"/>
    <s v="Store Manager"/>
    <x v="1"/>
    <x v="5"/>
    <s v="South"/>
    <n v="11"/>
    <n v="112409"/>
    <x v="3"/>
    <n v="4"/>
    <n v="3"/>
    <n v="49"/>
    <n v="2"/>
    <d v="2012-04-24T00:00:00"/>
    <s v="No"/>
    <x v="1"/>
    <n v="4"/>
    <x v="2"/>
    <x v="2"/>
    <x v="0"/>
  </r>
  <r>
    <s v="REL01868"/>
    <s v="Female"/>
    <n v="40"/>
    <s v="Post Graduate"/>
    <s v="Married"/>
    <x v="0"/>
    <s v="HR Manager"/>
    <x v="3"/>
    <x v="0"/>
    <s v="North"/>
    <n v="10"/>
    <n v="98960"/>
    <x v="1"/>
    <n v="4"/>
    <n v="3"/>
    <n v="23"/>
    <n v="3"/>
    <d v="2013-02-10T00:00:00"/>
    <s v="Yes"/>
    <x v="1"/>
    <n v="1"/>
    <x v="1"/>
    <x v="1"/>
    <x v="2"/>
  </r>
  <r>
    <s v="REL01869"/>
    <s v="Male"/>
    <n v="51"/>
    <s v="BTech"/>
    <s v="Divorced"/>
    <x v="4"/>
    <s v="Marketing Executive"/>
    <x v="2"/>
    <x v="3"/>
    <s v="West"/>
    <n v="10"/>
    <n v="76899"/>
    <x v="2"/>
    <n v="4"/>
    <n v="3"/>
    <n v="74"/>
    <n v="2"/>
    <d v="2013-02-17T00:00:00"/>
    <s v="No"/>
    <x v="0"/>
    <n v="2"/>
    <x v="1"/>
    <x v="0"/>
    <x v="1"/>
  </r>
  <r>
    <s v="REL01870"/>
    <s v="Female"/>
    <n v="35"/>
    <s v="HSC"/>
    <s v="Divorced"/>
    <x v="1"/>
    <s v="Sales Executive"/>
    <x v="3"/>
    <x v="9"/>
    <s v="West"/>
    <n v="7"/>
    <n v="56399"/>
    <x v="2"/>
    <n v="1"/>
    <n v="4"/>
    <n v="36"/>
    <n v="0"/>
    <d v="2016-04-08T00:00:00"/>
    <s v="No"/>
    <x v="0"/>
    <n v="2"/>
    <x v="1"/>
    <x v="0"/>
    <x v="1"/>
  </r>
  <r>
    <s v="REL01871"/>
    <s v="Male"/>
    <n v="53"/>
    <s v="BTech"/>
    <s v="Divorced"/>
    <x v="2"/>
    <s v="Sales Executive"/>
    <x v="3"/>
    <x v="9"/>
    <s v="West"/>
    <n v="7"/>
    <n v="50334"/>
    <x v="1"/>
    <n v="2"/>
    <n v="4"/>
    <n v="30"/>
    <n v="1"/>
    <d v="2016-12-20T00:00:00"/>
    <s v="No"/>
    <x v="0"/>
    <n v="1"/>
    <x v="1"/>
    <x v="0"/>
    <x v="1"/>
  </r>
  <r>
    <s v="REL01872"/>
    <s v="Female"/>
    <n v="30"/>
    <s v="BTech"/>
    <s v="Married"/>
    <x v="1"/>
    <s v="Store Manager"/>
    <x v="1"/>
    <x v="5"/>
    <s v="South"/>
    <n v="5"/>
    <n v="92742"/>
    <x v="2"/>
    <n v="1"/>
    <n v="2"/>
    <n v="38"/>
    <n v="0"/>
    <d v="2018-06-07T00:00:00"/>
    <s v="No"/>
    <x v="1"/>
    <n v="2"/>
    <x v="0"/>
    <x v="0"/>
    <x v="1"/>
  </r>
  <r>
    <s v="REL01873"/>
    <s v="Female"/>
    <n v="29"/>
    <s v="HSC"/>
    <s v="Divorced"/>
    <x v="6"/>
    <s v="Finance Analyst"/>
    <x v="0"/>
    <x v="6"/>
    <s v="South"/>
    <n v="3"/>
    <n v="63795"/>
    <x v="0"/>
    <n v="4"/>
    <n v="2"/>
    <n v="43"/>
    <n v="0"/>
    <d v="2020-01-12T00:00:00"/>
    <s v="No"/>
    <x v="0"/>
    <n v="3"/>
    <x v="0"/>
    <x v="0"/>
    <x v="0"/>
  </r>
  <r>
    <s v="REL01874"/>
    <s v="Female"/>
    <n v="43"/>
    <s v="Graduate"/>
    <s v="Divorced"/>
    <x v="3"/>
    <s v="Finance Analyst"/>
    <x v="2"/>
    <x v="5"/>
    <s v="South"/>
    <n v="5"/>
    <n v="75967"/>
    <x v="0"/>
    <n v="2"/>
    <n v="3"/>
    <n v="50"/>
    <n v="2"/>
    <d v="2018-08-06T00:00:00"/>
    <s v="Yes"/>
    <x v="0"/>
    <n v="3"/>
    <x v="0"/>
    <x v="1"/>
    <x v="0"/>
  </r>
  <r>
    <s v="REL01875"/>
    <s v="Female"/>
    <n v="26"/>
    <s v="Post Graduate"/>
    <s v="Married"/>
    <x v="7"/>
    <s v="Store Manager"/>
    <x v="4"/>
    <x v="7"/>
    <s v="East"/>
    <n v="1"/>
    <n v="90470"/>
    <x v="0"/>
    <n v="3"/>
    <n v="3"/>
    <n v="56"/>
    <n v="2"/>
    <d v="2022-05-06T00:00:00"/>
    <s v="Yes"/>
    <x v="1"/>
    <n v="3"/>
    <x v="3"/>
    <x v="1"/>
    <x v="0"/>
  </r>
  <r>
    <s v="REL01876"/>
    <s v="Male"/>
    <n v="52"/>
    <s v="Graduate"/>
    <s v="Married"/>
    <x v="6"/>
    <s v="Marketing Executive"/>
    <x v="4"/>
    <x v="9"/>
    <s v="West"/>
    <n v="2"/>
    <n v="63564"/>
    <x v="0"/>
    <n v="3"/>
    <n v="1"/>
    <n v="66"/>
    <n v="3"/>
    <d v="2021-02-10T00:00:00"/>
    <s v="Yes"/>
    <x v="0"/>
    <n v="3"/>
    <x v="3"/>
    <x v="1"/>
    <x v="0"/>
  </r>
  <r>
    <s v="REL01877"/>
    <s v="Female"/>
    <n v="40"/>
    <s v="MBA"/>
    <s v="Divorced"/>
    <x v="3"/>
    <s v="Marketing Executive"/>
    <x v="2"/>
    <x v="0"/>
    <s v="North"/>
    <n v="15"/>
    <n v="70865"/>
    <x v="0"/>
    <n v="3"/>
    <n v="2"/>
    <n v="10"/>
    <n v="2"/>
    <d v="2008-06-21T00:00:00"/>
    <s v="No"/>
    <x v="0"/>
    <n v="3"/>
    <x v="2"/>
    <x v="0"/>
    <x v="0"/>
  </r>
  <r>
    <s v="REL01878"/>
    <s v="Male"/>
    <n v="43"/>
    <s v="MBA"/>
    <s v="Single"/>
    <x v="5"/>
    <s v="Customer Service Rep"/>
    <x v="0"/>
    <x v="7"/>
    <s v="East"/>
    <n v="10"/>
    <n v="46672"/>
    <x v="2"/>
    <n v="4"/>
    <n v="4"/>
    <n v="72"/>
    <n v="2"/>
    <d v="2013-06-09T00:00:00"/>
    <s v="No"/>
    <x v="2"/>
    <n v="2"/>
    <x v="1"/>
    <x v="0"/>
    <x v="1"/>
  </r>
  <r>
    <s v="REL01879"/>
    <s v="Female"/>
    <n v="24"/>
    <s v="Graduate"/>
    <s v="Divorced"/>
    <x v="1"/>
    <s v="Marketing Executive"/>
    <x v="2"/>
    <x v="5"/>
    <s v="South"/>
    <n v="7"/>
    <n v="72892"/>
    <x v="1"/>
    <n v="2"/>
    <n v="2"/>
    <n v="61"/>
    <n v="3"/>
    <d v="2016-08-21T00:00:00"/>
    <s v="Yes"/>
    <x v="0"/>
    <n v="1"/>
    <x v="1"/>
    <x v="1"/>
    <x v="1"/>
  </r>
  <r>
    <s v="REL01880"/>
    <s v="Female"/>
    <n v="45"/>
    <s v="HSC"/>
    <s v="Divorced"/>
    <x v="6"/>
    <s v="HR Manager"/>
    <x v="1"/>
    <x v="6"/>
    <s v="South"/>
    <n v="3"/>
    <n v="75904"/>
    <x v="3"/>
    <n v="1"/>
    <n v="4"/>
    <n v="23"/>
    <n v="3"/>
    <d v="2020-03-19T00:00:00"/>
    <s v="Yes"/>
    <x v="0"/>
    <n v="4"/>
    <x v="0"/>
    <x v="1"/>
    <x v="1"/>
  </r>
  <r>
    <s v="REL01881"/>
    <s v="Male"/>
    <n v="35"/>
    <s v="BTech"/>
    <s v="Single"/>
    <x v="0"/>
    <s v="Sales Executive"/>
    <x v="3"/>
    <x v="4"/>
    <s v="North"/>
    <n v="1"/>
    <n v="43166"/>
    <x v="1"/>
    <n v="3"/>
    <n v="3"/>
    <n v="14"/>
    <n v="3"/>
    <d v="2022-12-13T00:00:00"/>
    <s v="Yes"/>
    <x v="2"/>
    <n v="1"/>
    <x v="3"/>
    <x v="1"/>
    <x v="1"/>
  </r>
  <r>
    <s v="REL01882"/>
    <s v="Male"/>
    <n v="37"/>
    <s v="Post Graduate"/>
    <s v="Divorced"/>
    <x v="7"/>
    <s v="HR Manager"/>
    <x v="2"/>
    <x v="2"/>
    <s v="West"/>
    <n v="7"/>
    <n v="81421"/>
    <x v="3"/>
    <n v="1"/>
    <n v="2"/>
    <n v="58"/>
    <n v="1"/>
    <d v="2016-02-05T00:00:00"/>
    <s v="No"/>
    <x v="1"/>
    <n v="4"/>
    <x v="1"/>
    <x v="2"/>
    <x v="0"/>
  </r>
  <r>
    <s v="REL01883"/>
    <s v="Female"/>
    <n v="24"/>
    <s v="Graduate"/>
    <s v="Divorced"/>
    <x v="0"/>
    <s v="Finance Analyst"/>
    <x v="0"/>
    <x v="0"/>
    <s v="North"/>
    <n v="1"/>
    <n v="54786"/>
    <x v="0"/>
    <n v="2"/>
    <n v="2"/>
    <n v="75"/>
    <n v="1"/>
    <d v="2022-10-05T00:00:00"/>
    <s v="No"/>
    <x v="0"/>
    <n v="3"/>
    <x v="3"/>
    <x v="0"/>
    <x v="0"/>
  </r>
  <r>
    <s v="REL01884"/>
    <s v="Female"/>
    <n v="53"/>
    <s v="BTech"/>
    <s v="Divorced"/>
    <x v="7"/>
    <s v="Store Manager"/>
    <x v="0"/>
    <x v="9"/>
    <s v="West"/>
    <n v="8"/>
    <n v="101340"/>
    <x v="0"/>
    <n v="4"/>
    <n v="2"/>
    <n v="80"/>
    <n v="1"/>
    <d v="2015-02-20T00:00:00"/>
    <s v="No"/>
    <x v="1"/>
    <n v="3"/>
    <x v="1"/>
    <x v="0"/>
    <x v="0"/>
  </r>
  <r>
    <s v="REL01885"/>
    <s v="Male"/>
    <n v="40"/>
    <s v="HSC"/>
    <s v="Married"/>
    <x v="6"/>
    <s v="Store Manager"/>
    <x v="2"/>
    <x v="3"/>
    <s v="West"/>
    <n v="3"/>
    <n v="83593"/>
    <x v="0"/>
    <n v="4"/>
    <n v="3"/>
    <n v="74"/>
    <n v="2"/>
    <d v="2020-05-31T00:00:00"/>
    <s v="No"/>
    <x v="1"/>
    <n v="3"/>
    <x v="0"/>
    <x v="0"/>
    <x v="0"/>
  </r>
  <r>
    <s v="REL01886"/>
    <s v="Male"/>
    <n v="38"/>
    <s v="HSC"/>
    <s v="Single"/>
    <x v="4"/>
    <s v="Logistics Coordinator"/>
    <x v="3"/>
    <x v="6"/>
    <s v="South"/>
    <n v="1"/>
    <n v="37637"/>
    <x v="1"/>
    <n v="3"/>
    <n v="4"/>
    <n v="37"/>
    <n v="3"/>
    <d v="2022-05-21T00:00:00"/>
    <s v="Yes"/>
    <x v="2"/>
    <n v="1"/>
    <x v="3"/>
    <x v="1"/>
    <x v="1"/>
  </r>
  <r>
    <s v="REL01887"/>
    <s v="Female"/>
    <n v="48"/>
    <s v="HSC"/>
    <s v="Married"/>
    <x v="7"/>
    <s v="Operations Head"/>
    <x v="0"/>
    <x v="1"/>
    <s v="North"/>
    <n v="8"/>
    <n v="101461"/>
    <x v="1"/>
    <n v="4"/>
    <n v="4"/>
    <n v="16"/>
    <n v="3"/>
    <d v="2015-01-12T00:00:00"/>
    <s v="Yes"/>
    <x v="1"/>
    <n v="1"/>
    <x v="1"/>
    <x v="1"/>
    <x v="2"/>
  </r>
  <r>
    <s v="REL01888"/>
    <s v="Male"/>
    <n v="30"/>
    <s v="BTech"/>
    <s v="Single"/>
    <x v="3"/>
    <s v="HR Manager"/>
    <x v="1"/>
    <x v="0"/>
    <s v="North"/>
    <n v="15"/>
    <n v="112883"/>
    <x v="1"/>
    <n v="4"/>
    <n v="1"/>
    <n v="58"/>
    <n v="2"/>
    <d v="2008-06-14T00:00:00"/>
    <s v="Yes"/>
    <x v="1"/>
    <n v="1"/>
    <x v="2"/>
    <x v="1"/>
    <x v="2"/>
  </r>
  <r>
    <s v="REL01889"/>
    <s v="Female"/>
    <n v="24"/>
    <s v="HSC"/>
    <s v="Married"/>
    <x v="7"/>
    <s v="Marketing Executive"/>
    <x v="4"/>
    <x v="0"/>
    <s v="North"/>
    <n v="6"/>
    <n v="68144"/>
    <x v="3"/>
    <n v="4"/>
    <n v="1"/>
    <n v="35"/>
    <n v="0"/>
    <d v="2017-02-06T00:00:00"/>
    <s v="Yes"/>
    <x v="0"/>
    <n v="4"/>
    <x v="1"/>
    <x v="1"/>
    <x v="1"/>
  </r>
  <r>
    <s v="REL01890"/>
    <s v="Male"/>
    <n v="29"/>
    <s v="Post Graduate"/>
    <s v="Married"/>
    <x v="6"/>
    <s v="Customer Service Rep"/>
    <x v="0"/>
    <x v="2"/>
    <s v="West"/>
    <n v="14"/>
    <n v="55100"/>
    <x v="1"/>
    <n v="2"/>
    <n v="3"/>
    <n v="40"/>
    <n v="2"/>
    <d v="2009-03-12T00:00:00"/>
    <s v="Yes"/>
    <x v="0"/>
    <n v="1"/>
    <x v="2"/>
    <x v="1"/>
    <x v="1"/>
  </r>
  <r>
    <s v="REL01891"/>
    <s v="Male"/>
    <n v="55"/>
    <s v="MBA"/>
    <s v="Single"/>
    <x v="2"/>
    <s v="Sales Executive"/>
    <x v="3"/>
    <x v="8"/>
    <s v="South"/>
    <n v="2"/>
    <n v="52231"/>
    <x v="3"/>
    <n v="1"/>
    <n v="4"/>
    <n v="10"/>
    <n v="3"/>
    <d v="2021-03-23T00:00:00"/>
    <s v="No"/>
    <x v="0"/>
    <n v="4"/>
    <x v="3"/>
    <x v="2"/>
    <x v="1"/>
  </r>
  <r>
    <s v="REL01892"/>
    <s v="Female"/>
    <n v="40"/>
    <s v="Graduate"/>
    <s v="Married"/>
    <x v="2"/>
    <s v="Finance Analyst"/>
    <x v="0"/>
    <x v="9"/>
    <s v="West"/>
    <n v="1"/>
    <n v="67313"/>
    <x v="0"/>
    <n v="2"/>
    <n v="2"/>
    <n v="64"/>
    <n v="2"/>
    <d v="2022-12-04T00:00:00"/>
    <s v="Yes"/>
    <x v="0"/>
    <n v="3"/>
    <x v="3"/>
    <x v="1"/>
    <x v="0"/>
  </r>
  <r>
    <s v="REL01893"/>
    <s v="Male"/>
    <n v="42"/>
    <s v="Graduate"/>
    <s v="Single"/>
    <x v="6"/>
    <s v="Operations Head"/>
    <x v="3"/>
    <x v="9"/>
    <s v="West"/>
    <n v="11"/>
    <n v="120509"/>
    <x v="0"/>
    <n v="1"/>
    <n v="1"/>
    <n v="16"/>
    <n v="3"/>
    <d v="2012-01-27T00:00:00"/>
    <s v="Yes"/>
    <x v="1"/>
    <n v="3"/>
    <x v="2"/>
    <x v="1"/>
    <x v="0"/>
  </r>
  <r>
    <s v="REL01894"/>
    <s v="Male"/>
    <n v="44"/>
    <s v="HSC"/>
    <s v="Divorced"/>
    <x v="2"/>
    <s v="HR Manager"/>
    <x v="3"/>
    <x v="3"/>
    <s v="West"/>
    <n v="1"/>
    <n v="67387"/>
    <x v="2"/>
    <n v="4"/>
    <n v="2"/>
    <n v="39"/>
    <n v="1"/>
    <d v="2022-12-08T00:00:00"/>
    <s v="No"/>
    <x v="0"/>
    <n v="2"/>
    <x v="3"/>
    <x v="0"/>
    <x v="1"/>
  </r>
  <r>
    <s v="REL01895"/>
    <s v="Female"/>
    <n v="39"/>
    <s v="MBA"/>
    <s v="Divorced"/>
    <x v="2"/>
    <s v="Finance Analyst"/>
    <x v="4"/>
    <x v="3"/>
    <s v="West"/>
    <n v="10"/>
    <n v="81943"/>
    <x v="0"/>
    <n v="3"/>
    <n v="2"/>
    <n v="64"/>
    <n v="2"/>
    <d v="2013-03-01T00:00:00"/>
    <s v="No"/>
    <x v="1"/>
    <n v="3"/>
    <x v="1"/>
    <x v="0"/>
    <x v="0"/>
  </r>
  <r>
    <s v="REL01896"/>
    <s v="Female"/>
    <n v="32"/>
    <s v="Graduate"/>
    <s v="Married"/>
    <x v="7"/>
    <s v="HR Manager"/>
    <x v="0"/>
    <x v="4"/>
    <s v="North"/>
    <n v="14"/>
    <n v="104355"/>
    <x v="2"/>
    <n v="1"/>
    <n v="4"/>
    <n v="46"/>
    <n v="0"/>
    <d v="2009-06-22T00:00:00"/>
    <s v="No"/>
    <x v="1"/>
    <n v="2"/>
    <x v="2"/>
    <x v="0"/>
    <x v="1"/>
  </r>
  <r>
    <s v="REL01897"/>
    <s v="Female"/>
    <n v="36"/>
    <s v="MBA"/>
    <s v="Married"/>
    <x v="1"/>
    <s v="Customer Service Rep"/>
    <x v="3"/>
    <x v="7"/>
    <s v="East"/>
    <n v="1"/>
    <n v="30044"/>
    <x v="2"/>
    <n v="4"/>
    <n v="4"/>
    <n v="58"/>
    <n v="0"/>
    <d v="2022-09-01T00:00:00"/>
    <s v="No"/>
    <x v="3"/>
    <n v="2"/>
    <x v="3"/>
    <x v="0"/>
    <x v="1"/>
  </r>
  <r>
    <s v="REL01898"/>
    <s v="Male"/>
    <n v="45"/>
    <s v="BTech"/>
    <s v="Married"/>
    <x v="0"/>
    <s v="Finance Analyst"/>
    <x v="1"/>
    <x v="2"/>
    <s v="West"/>
    <n v="6"/>
    <n v="64896"/>
    <x v="2"/>
    <n v="4"/>
    <n v="1"/>
    <n v="45"/>
    <n v="2"/>
    <d v="2017-08-01T00:00:00"/>
    <s v="No"/>
    <x v="0"/>
    <n v="2"/>
    <x v="1"/>
    <x v="0"/>
    <x v="1"/>
  </r>
  <r>
    <s v="REL01899"/>
    <s v="Female"/>
    <n v="24"/>
    <s v="HSC"/>
    <s v="Married"/>
    <x v="0"/>
    <s v="Customer Service Rep"/>
    <x v="1"/>
    <x v="4"/>
    <s v="North"/>
    <n v="4"/>
    <n v="49492"/>
    <x v="3"/>
    <n v="3"/>
    <n v="3"/>
    <n v="52"/>
    <n v="0"/>
    <d v="2019-10-07T00:00:00"/>
    <s v="No"/>
    <x v="2"/>
    <n v="4"/>
    <x v="0"/>
    <x v="2"/>
    <x v="1"/>
  </r>
  <r>
    <s v="REL01900"/>
    <s v="Female"/>
    <n v="28"/>
    <s v="Graduate"/>
    <s v="Single"/>
    <x v="6"/>
    <s v="Customer Service Rep"/>
    <x v="2"/>
    <x v="4"/>
    <s v="North"/>
    <n v="5"/>
    <n v="42978"/>
    <x v="0"/>
    <n v="1"/>
    <n v="1"/>
    <n v="76"/>
    <n v="2"/>
    <d v="2018-10-20T00:00:00"/>
    <s v="No"/>
    <x v="2"/>
    <n v="3"/>
    <x v="0"/>
    <x v="0"/>
    <x v="1"/>
  </r>
  <r>
    <s v="REL01901"/>
    <s v="Male"/>
    <n v="44"/>
    <s v="BTech"/>
    <s v="Married"/>
    <x v="4"/>
    <s v="Customer Service Rep"/>
    <x v="3"/>
    <x v="0"/>
    <s v="North"/>
    <n v="15"/>
    <n v="74544"/>
    <x v="1"/>
    <n v="1"/>
    <n v="2"/>
    <n v="16"/>
    <n v="3"/>
    <d v="2008-11-26T00:00:00"/>
    <s v="Yes"/>
    <x v="0"/>
    <n v="1"/>
    <x v="2"/>
    <x v="1"/>
    <x v="1"/>
  </r>
  <r>
    <s v="REL01902"/>
    <s v="Female"/>
    <n v="38"/>
    <s v="Post Graduate"/>
    <s v="Married"/>
    <x v="4"/>
    <s v="Store Manager"/>
    <x v="1"/>
    <x v="5"/>
    <s v="South"/>
    <n v="15"/>
    <n v="110118"/>
    <x v="3"/>
    <n v="4"/>
    <n v="2"/>
    <n v="11"/>
    <n v="2"/>
    <d v="2008-02-03T00:00:00"/>
    <s v="No"/>
    <x v="1"/>
    <n v="4"/>
    <x v="2"/>
    <x v="2"/>
    <x v="0"/>
  </r>
  <r>
    <s v="REL01903"/>
    <s v="Male"/>
    <n v="26"/>
    <s v="HSC"/>
    <s v="Married"/>
    <x v="4"/>
    <s v="Finance Analyst"/>
    <x v="1"/>
    <x v="7"/>
    <s v="East"/>
    <n v="14"/>
    <n v="95958"/>
    <x v="0"/>
    <n v="3"/>
    <n v="3"/>
    <n v="67"/>
    <n v="2"/>
    <d v="2009-02-26T00:00:00"/>
    <s v="Yes"/>
    <x v="1"/>
    <n v="3"/>
    <x v="2"/>
    <x v="1"/>
    <x v="0"/>
  </r>
  <r>
    <s v="REL01904"/>
    <s v="Female"/>
    <n v="52"/>
    <s v="Post Graduate"/>
    <s v="Single"/>
    <x v="0"/>
    <s v="Marketing Executive"/>
    <x v="0"/>
    <x v="2"/>
    <s v="West"/>
    <n v="10"/>
    <n v="74931"/>
    <x v="0"/>
    <n v="3"/>
    <n v="4"/>
    <n v="20"/>
    <n v="3"/>
    <d v="2013-05-02T00:00:00"/>
    <s v="Yes"/>
    <x v="0"/>
    <n v="3"/>
    <x v="1"/>
    <x v="1"/>
    <x v="0"/>
  </r>
  <r>
    <s v="REL01905"/>
    <s v="Male"/>
    <n v="49"/>
    <s v="MBA"/>
    <s v="Married"/>
    <x v="7"/>
    <s v="Operations Head"/>
    <x v="0"/>
    <x v="6"/>
    <s v="South"/>
    <n v="13"/>
    <n v="122276"/>
    <x v="3"/>
    <n v="4"/>
    <n v="4"/>
    <n v="70"/>
    <n v="2"/>
    <d v="2010-02-20T00:00:00"/>
    <s v="No"/>
    <x v="1"/>
    <n v="4"/>
    <x v="2"/>
    <x v="2"/>
    <x v="0"/>
  </r>
  <r>
    <s v="REL01906"/>
    <s v="Female"/>
    <n v="22"/>
    <s v="Graduate"/>
    <s v="Divorced"/>
    <x v="4"/>
    <s v="Finance Analyst"/>
    <x v="0"/>
    <x v="8"/>
    <s v="South"/>
    <n v="15"/>
    <n v="89663"/>
    <x v="2"/>
    <n v="2"/>
    <n v="2"/>
    <n v="63"/>
    <n v="0"/>
    <d v="2008-09-06T00:00:00"/>
    <s v="Yes"/>
    <x v="1"/>
    <n v="2"/>
    <x v="2"/>
    <x v="1"/>
    <x v="1"/>
  </r>
  <r>
    <s v="REL01907"/>
    <s v="Male"/>
    <n v="55"/>
    <s v="BTech"/>
    <s v="Single"/>
    <x v="6"/>
    <s v="Sales Executive"/>
    <x v="2"/>
    <x v="7"/>
    <s v="East"/>
    <n v="6"/>
    <n v="61052"/>
    <x v="1"/>
    <n v="1"/>
    <n v="2"/>
    <n v="45"/>
    <n v="2"/>
    <d v="2017-06-24T00:00:00"/>
    <s v="Yes"/>
    <x v="0"/>
    <n v="1"/>
    <x v="1"/>
    <x v="1"/>
    <x v="1"/>
  </r>
  <r>
    <s v="REL01908"/>
    <s v="Female"/>
    <n v="48"/>
    <s v="BTech"/>
    <s v="Married"/>
    <x v="7"/>
    <s v="Customer Service Rep"/>
    <x v="1"/>
    <x v="8"/>
    <s v="South"/>
    <n v="7"/>
    <n v="52340"/>
    <x v="0"/>
    <n v="2"/>
    <n v="2"/>
    <n v="40"/>
    <n v="0"/>
    <d v="2016-11-28T00:00:00"/>
    <s v="Yes"/>
    <x v="0"/>
    <n v="3"/>
    <x v="1"/>
    <x v="1"/>
    <x v="0"/>
  </r>
  <r>
    <s v="REL01909"/>
    <s v="Male"/>
    <n v="28"/>
    <s v="MBA"/>
    <s v="Single"/>
    <x v="0"/>
    <s v="Operations Head"/>
    <x v="3"/>
    <x v="9"/>
    <s v="West"/>
    <n v="10"/>
    <n v="121988"/>
    <x v="2"/>
    <n v="2"/>
    <n v="2"/>
    <n v="67"/>
    <n v="2"/>
    <d v="2013-07-26T00:00:00"/>
    <s v="Yes"/>
    <x v="1"/>
    <n v="2"/>
    <x v="1"/>
    <x v="1"/>
    <x v="1"/>
  </r>
  <r>
    <s v="REL01910"/>
    <s v="Female"/>
    <n v="32"/>
    <s v="HSC"/>
    <s v="Married"/>
    <x v="1"/>
    <s v="Finance Analyst"/>
    <x v="4"/>
    <x v="5"/>
    <s v="South"/>
    <n v="14"/>
    <n v="83775"/>
    <x v="0"/>
    <n v="4"/>
    <n v="3"/>
    <n v="63"/>
    <n v="1"/>
    <d v="2009-12-01T00:00:00"/>
    <s v="No"/>
    <x v="1"/>
    <n v="3"/>
    <x v="2"/>
    <x v="0"/>
    <x v="0"/>
  </r>
  <r>
    <s v="REL01911"/>
    <s v="Female"/>
    <n v="25"/>
    <s v="MBA"/>
    <s v="Married"/>
    <x v="2"/>
    <s v="Store Manager"/>
    <x v="2"/>
    <x v="0"/>
    <s v="North"/>
    <n v="4"/>
    <n v="99106"/>
    <x v="3"/>
    <n v="1"/>
    <n v="3"/>
    <n v="48"/>
    <n v="2"/>
    <d v="2019-09-29T00:00:00"/>
    <s v="No"/>
    <x v="1"/>
    <n v="4"/>
    <x v="0"/>
    <x v="2"/>
    <x v="0"/>
  </r>
  <r>
    <s v="REL01912"/>
    <s v="Female"/>
    <n v="27"/>
    <s v="BTech"/>
    <s v="Single"/>
    <x v="5"/>
    <s v="Marketing Executive"/>
    <x v="1"/>
    <x v="4"/>
    <s v="North"/>
    <n v="7"/>
    <n v="65588"/>
    <x v="1"/>
    <n v="2"/>
    <n v="2"/>
    <n v="53"/>
    <n v="1"/>
    <d v="2016-01-06T00:00:00"/>
    <s v="Yes"/>
    <x v="0"/>
    <n v="1"/>
    <x v="1"/>
    <x v="1"/>
    <x v="1"/>
  </r>
  <r>
    <s v="REL01913"/>
    <s v="Female"/>
    <n v="33"/>
    <s v="BTech"/>
    <s v="Divorced"/>
    <x v="3"/>
    <s v="Store Manager"/>
    <x v="1"/>
    <x v="0"/>
    <s v="North"/>
    <n v="7"/>
    <n v="99357"/>
    <x v="1"/>
    <n v="2"/>
    <n v="3"/>
    <n v="67"/>
    <n v="0"/>
    <d v="2016-06-17T00:00:00"/>
    <s v="Yes"/>
    <x v="1"/>
    <n v="1"/>
    <x v="1"/>
    <x v="1"/>
    <x v="2"/>
  </r>
  <r>
    <s v="REL01914"/>
    <s v="Female"/>
    <n v="27"/>
    <s v="Post Graduate"/>
    <s v="Single"/>
    <x v="3"/>
    <s v="Marketing Executive"/>
    <x v="4"/>
    <x v="7"/>
    <s v="East"/>
    <n v="2"/>
    <n v="49490"/>
    <x v="0"/>
    <n v="2"/>
    <n v="1"/>
    <n v="36"/>
    <n v="3"/>
    <d v="2021-03-31T00:00:00"/>
    <s v="No"/>
    <x v="2"/>
    <n v="3"/>
    <x v="3"/>
    <x v="0"/>
    <x v="1"/>
  </r>
  <r>
    <s v="REL01915"/>
    <s v="Male"/>
    <n v="49"/>
    <s v="BTech"/>
    <s v="Divorced"/>
    <x v="6"/>
    <s v="Finance Analyst"/>
    <x v="0"/>
    <x v="2"/>
    <s v="West"/>
    <n v="13"/>
    <n v="91746"/>
    <x v="0"/>
    <n v="3"/>
    <n v="2"/>
    <n v="70"/>
    <n v="1"/>
    <d v="2010-06-19T00:00:00"/>
    <s v="No"/>
    <x v="1"/>
    <n v="3"/>
    <x v="2"/>
    <x v="0"/>
    <x v="0"/>
  </r>
  <r>
    <s v="REL01916"/>
    <s v="Female"/>
    <n v="50"/>
    <s v="BTech"/>
    <s v="Single"/>
    <x v="7"/>
    <s v="Marketing Executive"/>
    <x v="3"/>
    <x v="1"/>
    <s v="North"/>
    <n v="12"/>
    <n v="68900"/>
    <x v="3"/>
    <n v="3"/>
    <n v="4"/>
    <n v="20"/>
    <n v="0"/>
    <d v="2011-04-21T00:00:00"/>
    <s v="Yes"/>
    <x v="0"/>
    <n v="4"/>
    <x v="2"/>
    <x v="1"/>
    <x v="1"/>
  </r>
  <r>
    <s v="REL01917"/>
    <s v="Female"/>
    <n v="52"/>
    <s v="Post Graduate"/>
    <s v="Married"/>
    <x v="3"/>
    <s v="Marketing Executive"/>
    <x v="1"/>
    <x v="2"/>
    <s v="West"/>
    <n v="14"/>
    <n v="76714"/>
    <x v="0"/>
    <n v="4"/>
    <n v="2"/>
    <n v="34"/>
    <n v="1"/>
    <d v="2009-02-13T00:00:00"/>
    <s v="No"/>
    <x v="0"/>
    <n v="3"/>
    <x v="2"/>
    <x v="0"/>
    <x v="0"/>
  </r>
  <r>
    <s v="REL01918"/>
    <s v="Female"/>
    <n v="52"/>
    <s v="Post Graduate"/>
    <s v="Single"/>
    <x v="7"/>
    <s v="Customer Service Rep"/>
    <x v="4"/>
    <x v="9"/>
    <s v="West"/>
    <n v="5"/>
    <n v="41978"/>
    <x v="3"/>
    <n v="2"/>
    <n v="4"/>
    <n v="38"/>
    <n v="1"/>
    <d v="2018-04-06T00:00:00"/>
    <s v="No"/>
    <x v="2"/>
    <n v="4"/>
    <x v="0"/>
    <x v="2"/>
    <x v="1"/>
  </r>
  <r>
    <s v="REL01919"/>
    <s v="Female"/>
    <n v="43"/>
    <s v="HSC"/>
    <s v="Married"/>
    <x v="5"/>
    <s v="HR Manager"/>
    <x v="3"/>
    <x v="6"/>
    <s v="South"/>
    <n v="5"/>
    <n v="83341"/>
    <x v="3"/>
    <n v="4"/>
    <n v="2"/>
    <n v="67"/>
    <n v="3"/>
    <d v="2018-10-16T00:00:00"/>
    <s v="Yes"/>
    <x v="1"/>
    <n v="4"/>
    <x v="0"/>
    <x v="1"/>
    <x v="0"/>
  </r>
  <r>
    <s v="REL01920"/>
    <s v="Female"/>
    <n v="48"/>
    <s v="HSC"/>
    <s v="Married"/>
    <x v="4"/>
    <s v="Finance Analyst"/>
    <x v="4"/>
    <x v="3"/>
    <s v="West"/>
    <n v="7"/>
    <n v="82281"/>
    <x v="3"/>
    <n v="4"/>
    <n v="2"/>
    <n v="77"/>
    <n v="3"/>
    <d v="2016-11-28T00:00:00"/>
    <s v="No"/>
    <x v="1"/>
    <n v="4"/>
    <x v="1"/>
    <x v="2"/>
    <x v="0"/>
  </r>
  <r>
    <s v="REL01921"/>
    <s v="Female"/>
    <n v="53"/>
    <s v="Post Graduate"/>
    <s v="Single"/>
    <x v="6"/>
    <s v="Operations Head"/>
    <x v="1"/>
    <x v="7"/>
    <s v="East"/>
    <n v="5"/>
    <n v="111872"/>
    <x v="3"/>
    <n v="2"/>
    <n v="2"/>
    <n v="19"/>
    <n v="1"/>
    <d v="2018-01-24T00:00:00"/>
    <s v="No"/>
    <x v="1"/>
    <n v="4"/>
    <x v="0"/>
    <x v="2"/>
    <x v="0"/>
  </r>
  <r>
    <s v="REL01922"/>
    <s v="Male"/>
    <n v="37"/>
    <s v="BTech"/>
    <s v="Married"/>
    <x v="5"/>
    <s v="Finance Analyst"/>
    <x v="0"/>
    <x v="8"/>
    <s v="South"/>
    <n v="15"/>
    <n v="80950"/>
    <x v="1"/>
    <n v="3"/>
    <n v="3"/>
    <n v="30"/>
    <n v="3"/>
    <d v="2008-06-02T00:00:00"/>
    <s v="No"/>
    <x v="1"/>
    <n v="1"/>
    <x v="2"/>
    <x v="0"/>
    <x v="2"/>
  </r>
  <r>
    <s v="REL01923"/>
    <s v="Male"/>
    <n v="36"/>
    <s v="Post Graduate"/>
    <s v="Divorced"/>
    <x v="0"/>
    <s v="Customer Service Rep"/>
    <x v="3"/>
    <x v="8"/>
    <s v="South"/>
    <n v="1"/>
    <n v="33760"/>
    <x v="1"/>
    <n v="1"/>
    <n v="1"/>
    <n v="40"/>
    <n v="3"/>
    <d v="2022-10-28T00:00:00"/>
    <s v="Yes"/>
    <x v="3"/>
    <n v="1"/>
    <x v="3"/>
    <x v="1"/>
    <x v="1"/>
  </r>
  <r>
    <s v="REL01924"/>
    <s v="Male"/>
    <n v="42"/>
    <s v="BTech"/>
    <s v="Single"/>
    <x v="6"/>
    <s v="Customer Service Rep"/>
    <x v="2"/>
    <x v="0"/>
    <s v="North"/>
    <n v="4"/>
    <n v="46903"/>
    <x v="0"/>
    <n v="1"/>
    <n v="1"/>
    <n v="24"/>
    <n v="2"/>
    <d v="2019-02-17T00:00:00"/>
    <s v="No"/>
    <x v="2"/>
    <n v="3"/>
    <x v="0"/>
    <x v="0"/>
    <x v="1"/>
  </r>
  <r>
    <s v="REL01925"/>
    <s v="Male"/>
    <n v="30"/>
    <s v="MBA"/>
    <s v="Married"/>
    <x v="1"/>
    <s v="Marketing Executive"/>
    <x v="3"/>
    <x v="5"/>
    <s v="South"/>
    <n v="14"/>
    <n v="78684"/>
    <x v="2"/>
    <n v="2"/>
    <n v="4"/>
    <n v="19"/>
    <n v="2"/>
    <d v="2009-05-15T00:00:00"/>
    <s v="No"/>
    <x v="0"/>
    <n v="2"/>
    <x v="2"/>
    <x v="0"/>
    <x v="1"/>
  </r>
  <r>
    <s v="REL01926"/>
    <s v="Female"/>
    <n v="53"/>
    <s v="HSC"/>
    <s v="Divorced"/>
    <x v="5"/>
    <s v="Customer Service Rep"/>
    <x v="1"/>
    <x v="2"/>
    <s v="West"/>
    <n v="11"/>
    <n v="62161"/>
    <x v="1"/>
    <n v="3"/>
    <n v="3"/>
    <n v="57"/>
    <n v="0"/>
    <d v="2012-08-05T00:00:00"/>
    <s v="No"/>
    <x v="0"/>
    <n v="1"/>
    <x v="2"/>
    <x v="0"/>
    <x v="1"/>
  </r>
  <r>
    <s v="REL01927"/>
    <s v="Female"/>
    <n v="40"/>
    <s v="Graduate"/>
    <s v="Divorced"/>
    <x v="5"/>
    <s v="Sales Executive"/>
    <x v="2"/>
    <x v="7"/>
    <s v="East"/>
    <n v="3"/>
    <n v="50519"/>
    <x v="1"/>
    <n v="2"/>
    <n v="3"/>
    <n v="30"/>
    <n v="2"/>
    <d v="2020-04-13T00:00:00"/>
    <s v="Yes"/>
    <x v="0"/>
    <n v="1"/>
    <x v="0"/>
    <x v="1"/>
    <x v="1"/>
  </r>
  <r>
    <s v="REL01928"/>
    <s v="Female"/>
    <n v="28"/>
    <s v="Graduate"/>
    <s v="Divorced"/>
    <x v="5"/>
    <s v="HR Manager"/>
    <x v="2"/>
    <x v="6"/>
    <s v="South"/>
    <n v="8"/>
    <n v="83434"/>
    <x v="3"/>
    <n v="2"/>
    <n v="1"/>
    <n v="48"/>
    <n v="2"/>
    <d v="2015-02-05T00:00:00"/>
    <s v="No"/>
    <x v="1"/>
    <n v="4"/>
    <x v="1"/>
    <x v="2"/>
    <x v="0"/>
  </r>
  <r>
    <s v="REL01929"/>
    <s v="Male"/>
    <n v="52"/>
    <s v="MBA"/>
    <s v="Divorced"/>
    <x v="4"/>
    <s v="Store Manager"/>
    <x v="0"/>
    <x v="9"/>
    <s v="West"/>
    <n v="3"/>
    <n v="87701"/>
    <x v="2"/>
    <n v="3"/>
    <n v="4"/>
    <n v="35"/>
    <n v="0"/>
    <d v="2020-01-27T00:00:00"/>
    <s v="Yes"/>
    <x v="1"/>
    <n v="2"/>
    <x v="0"/>
    <x v="1"/>
    <x v="1"/>
  </r>
  <r>
    <s v="REL01930"/>
    <s v="Male"/>
    <n v="40"/>
    <s v="HSC"/>
    <s v="Single"/>
    <x v="3"/>
    <s v="Customer Service Rep"/>
    <x v="0"/>
    <x v="1"/>
    <s v="North"/>
    <n v="4"/>
    <n v="40928"/>
    <x v="3"/>
    <n v="2"/>
    <n v="2"/>
    <n v="65"/>
    <n v="1"/>
    <d v="2019-11-17T00:00:00"/>
    <s v="No"/>
    <x v="2"/>
    <n v="4"/>
    <x v="0"/>
    <x v="2"/>
    <x v="1"/>
  </r>
  <r>
    <s v="REL01931"/>
    <s v="Female"/>
    <n v="32"/>
    <s v="HSC"/>
    <s v="Married"/>
    <x v="0"/>
    <s v="HR Manager"/>
    <x v="1"/>
    <x v="8"/>
    <s v="South"/>
    <n v="2"/>
    <n v="71901"/>
    <x v="2"/>
    <n v="3"/>
    <n v="1"/>
    <n v="13"/>
    <n v="2"/>
    <d v="2021-12-13T00:00:00"/>
    <s v="No"/>
    <x v="0"/>
    <n v="2"/>
    <x v="3"/>
    <x v="0"/>
    <x v="1"/>
  </r>
  <r>
    <s v="REL01932"/>
    <s v="Female"/>
    <n v="22"/>
    <s v="Graduate"/>
    <s v="Divorced"/>
    <x v="4"/>
    <s v="Marketing Executive"/>
    <x v="4"/>
    <x v="9"/>
    <s v="West"/>
    <n v="13"/>
    <n v="71041"/>
    <x v="0"/>
    <n v="1"/>
    <n v="1"/>
    <n v="36"/>
    <n v="2"/>
    <d v="2010-08-03T00:00:00"/>
    <s v="No"/>
    <x v="0"/>
    <n v="3"/>
    <x v="2"/>
    <x v="0"/>
    <x v="0"/>
  </r>
  <r>
    <s v="REL01933"/>
    <s v="Female"/>
    <n v="33"/>
    <s v="MBA"/>
    <s v="Married"/>
    <x v="4"/>
    <s v="Sales Executive"/>
    <x v="1"/>
    <x v="5"/>
    <s v="South"/>
    <n v="8"/>
    <n v="52623"/>
    <x v="2"/>
    <n v="4"/>
    <n v="1"/>
    <n v="33"/>
    <n v="3"/>
    <d v="2015-03-02T00:00:00"/>
    <s v="No"/>
    <x v="0"/>
    <n v="2"/>
    <x v="1"/>
    <x v="0"/>
    <x v="1"/>
  </r>
  <r>
    <s v="REL01934"/>
    <s v="Male"/>
    <n v="35"/>
    <s v="BTech"/>
    <s v="Single"/>
    <x v="4"/>
    <s v="Sales Executive"/>
    <x v="2"/>
    <x v="5"/>
    <s v="South"/>
    <n v="13"/>
    <n v="60939"/>
    <x v="3"/>
    <n v="2"/>
    <n v="1"/>
    <n v="21"/>
    <n v="2"/>
    <d v="2010-10-12T00:00:00"/>
    <s v="Yes"/>
    <x v="0"/>
    <n v="4"/>
    <x v="2"/>
    <x v="1"/>
    <x v="1"/>
  </r>
  <r>
    <s v="REL01935"/>
    <s v="Male"/>
    <n v="46"/>
    <s v="MBA"/>
    <s v="Married"/>
    <x v="4"/>
    <s v="Store Manager"/>
    <x v="1"/>
    <x v="4"/>
    <s v="North"/>
    <n v="3"/>
    <n v="99220"/>
    <x v="3"/>
    <n v="3"/>
    <n v="2"/>
    <n v="34"/>
    <n v="0"/>
    <d v="2020-02-06T00:00:00"/>
    <s v="No"/>
    <x v="1"/>
    <n v="4"/>
    <x v="0"/>
    <x v="2"/>
    <x v="0"/>
  </r>
  <r>
    <s v="REL01936"/>
    <s v="Female"/>
    <n v="47"/>
    <s v="BTech"/>
    <s v="Divorced"/>
    <x v="2"/>
    <s v="HR Manager"/>
    <x v="1"/>
    <x v="4"/>
    <s v="North"/>
    <n v="9"/>
    <n v="85297"/>
    <x v="3"/>
    <n v="2"/>
    <n v="1"/>
    <n v="66"/>
    <n v="1"/>
    <d v="2014-09-27T00:00:00"/>
    <s v="No"/>
    <x v="1"/>
    <n v="4"/>
    <x v="1"/>
    <x v="2"/>
    <x v="0"/>
  </r>
  <r>
    <s v="REL01937"/>
    <s v="Male"/>
    <n v="27"/>
    <s v="BTech"/>
    <s v="Single"/>
    <x v="6"/>
    <s v="Operations Head"/>
    <x v="3"/>
    <x v="5"/>
    <s v="South"/>
    <n v="1"/>
    <n v="89267"/>
    <x v="1"/>
    <n v="4"/>
    <n v="3"/>
    <n v="14"/>
    <n v="2"/>
    <d v="2022-12-27T00:00:00"/>
    <s v="Yes"/>
    <x v="1"/>
    <n v="1"/>
    <x v="3"/>
    <x v="1"/>
    <x v="2"/>
  </r>
  <r>
    <s v="REL01938"/>
    <s v="Female"/>
    <n v="45"/>
    <s v="MBA"/>
    <s v="Single"/>
    <x v="2"/>
    <s v="HR Manager"/>
    <x v="2"/>
    <x v="3"/>
    <s v="West"/>
    <n v="13"/>
    <n v="91751"/>
    <x v="0"/>
    <n v="4"/>
    <n v="1"/>
    <n v="42"/>
    <n v="3"/>
    <d v="2010-08-18T00:00:00"/>
    <s v="No"/>
    <x v="1"/>
    <n v="3"/>
    <x v="2"/>
    <x v="0"/>
    <x v="0"/>
  </r>
  <r>
    <s v="REL01939"/>
    <s v="Female"/>
    <n v="31"/>
    <s v="Post Graduate"/>
    <s v="Single"/>
    <x v="5"/>
    <s v="Customer Service Rep"/>
    <x v="4"/>
    <x v="2"/>
    <s v="West"/>
    <n v="8"/>
    <n v="46029"/>
    <x v="1"/>
    <n v="4"/>
    <n v="2"/>
    <n v="25"/>
    <n v="3"/>
    <d v="2015-02-03T00:00:00"/>
    <s v="No"/>
    <x v="2"/>
    <n v="1"/>
    <x v="1"/>
    <x v="0"/>
    <x v="1"/>
  </r>
  <r>
    <s v="REL01940"/>
    <s v="Male"/>
    <n v="46"/>
    <s v="Post Graduate"/>
    <s v="Single"/>
    <x v="1"/>
    <s v="Store Manager"/>
    <x v="3"/>
    <x v="3"/>
    <s v="West"/>
    <n v="2"/>
    <n v="89336"/>
    <x v="3"/>
    <n v="4"/>
    <n v="4"/>
    <n v="69"/>
    <n v="0"/>
    <d v="2021-12-17T00:00:00"/>
    <s v="No"/>
    <x v="1"/>
    <n v="4"/>
    <x v="3"/>
    <x v="2"/>
    <x v="0"/>
  </r>
  <r>
    <s v="REL01941"/>
    <s v="Male"/>
    <n v="37"/>
    <s v="Post Graduate"/>
    <s v="Divorced"/>
    <x v="5"/>
    <s v="Logistics Coordinator"/>
    <x v="1"/>
    <x v="3"/>
    <s v="West"/>
    <n v="7"/>
    <n v="62015"/>
    <x v="2"/>
    <n v="4"/>
    <n v="1"/>
    <n v="13"/>
    <n v="3"/>
    <d v="2016-08-30T00:00:00"/>
    <s v="No"/>
    <x v="0"/>
    <n v="2"/>
    <x v="1"/>
    <x v="0"/>
    <x v="1"/>
  </r>
  <r>
    <s v="REL01942"/>
    <s v="Female"/>
    <n v="25"/>
    <s v="BTech"/>
    <s v="Married"/>
    <x v="5"/>
    <s v="Store Manager"/>
    <x v="1"/>
    <x v="0"/>
    <s v="North"/>
    <n v="13"/>
    <n v="120005"/>
    <x v="3"/>
    <n v="2"/>
    <n v="2"/>
    <n v="33"/>
    <n v="1"/>
    <d v="2010-12-02T00:00:00"/>
    <s v="No"/>
    <x v="1"/>
    <n v="4"/>
    <x v="2"/>
    <x v="2"/>
    <x v="0"/>
  </r>
  <r>
    <s v="REL01943"/>
    <s v="Male"/>
    <n v="32"/>
    <s v="Post Graduate"/>
    <s v="Married"/>
    <x v="1"/>
    <s v="Finance Analyst"/>
    <x v="4"/>
    <x v="8"/>
    <s v="South"/>
    <n v="6"/>
    <n v="71606"/>
    <x v="1"/>
    <n v="3"/>
    <n v="1"/>
    <n v="73"/>
    <n v="1"/>
    <d v="2017-03-31T00:00:00"/>
    <s v="No"/>
    <x v="0"/>
    <n v="1"/>
    <x v="1"/>
    <x v="0"/>
    <x v="1"/>
  </r>
  <r>
    <s v="REL01944"/>
    <s v="Female"/>
    <n v="42"/>
    <s v="Graduate"/>
    <s v="Single"/>
    <x v="5"/>
    <s v="Customer Service Rep"/>
    <x v="1"/>
    <x v="6"/>
    <s v="South"/>
    <n v="11"/>
    <n v="65035"/>
    <x v="0"/>
    <n v="1"/>
    <n v="4"/>
    <n v="13"/>
    <n v="1"/>
    <d v="2012-08-16T00:00:00"/>
    <s v="No"/>
    <x v="0"/>
    <n v="3"/>
    <x v="2"/>
    <x v="0"/>
    <x v="0"/>
  </r>
  <r>
    <s v="REL01945"/>
    <s v="Male"/>
    <n v="31"/>
    <s v="Post Graduate"/>
    <s v="Divorced"/>
    <x v="3"/>
    <s v="Marketing Executive"/>
    <x v="2"/>
    <x v="8"/>
    <s v="South"/>
    <n v="8"/>
    <n v="73950"/>
    <x v="1"/>
    <n v="1"/>
    <n v="1"/>
    <n v="43"/>
    <n v="1"/>
    <d v="2015-06-15T00:00:00"/>
    <s v="Yes"/>
    <x v="0"/>
    <n v="1"/>
    <x v="1"/>
    <x v="1"/>
    <x v="1"/>
  </r>
  <r>
    <s v="REL01946"/>
    <s v="Female"/>
    <n v="52"/>
    <s v="HSC"/>
    <s v="Single"/>
    <x v="4"/>
    <s v="Operations Head"/>
    <x v="3"/>
    <x v="2"/>
    <s v="West"/>
    <n v="9"/>
    <n v="116542"/>
    <x v="2"/>
    <n v="4"/>
    <n v="2"/>
    <n v="72"/>
    <n v="0"/>
    <d v="2014-08-16T00:00:00"/>
    <s v="No"/>
    <x v="1"/>
    <n v="2"/>
    <x v="1"/>
    <x v="0"/>
    <x v="1"/>
  </r>
  <r>
    <s v="REL01947"/>
    <s v="Female"/>
    <n v="52"/>
    <s v="MBA"/>
    <s v="Single"/>
    <x v="0"/>
    <s v="Finance Analyst"/>
    <x v="3"/>
    <x v="6"/>
    <s v="South"/>
    <n v="2"/>
    <n v="64909"/>
    <x v="0"/>
    <n v="1"/>
    <n v="3"/>
    <n v="55"/>
    <n v="2"/>
    <d v="2021-10-07T00:00:00"/>
    <s v="No"/>
    <x v="0"/>
    <n v="3"/>
    <x v="3"/>
    <x v="0"/>
    <x v="0"/>
  </r>
  <r>
    <s v="REL01948"/>
    <s v="Male"/>
    <n v="41"/>
    <s v="Post Graduate"/>
    <s v="Divorced"/>
    <x v="2"/>
    <s v="Sales Executive"/>
    <x v="4"/>
    <x v="3"/>
    <s v="West"/>
    <n v="5"/>
    <n v="52119"/>
    <x v="2"/>
    <n v="4"/>
    <n v="1"/>
    <n v="19"/>
    <n v="3"/>
    <d v="2018-10-03T00:00:00"/>
    <s v="No"/>
    <x v="0"/>
    <n v="2"/>
    <x v="0"/>
    <x v="0"/>
    <x v="1"/>
  </r>
  <r>
    <s v="REL01949"/>
    <s v="Male"/>
    <n v="27"/>
    <s v="BTech"/>
    <s v="Divorced"/>
    <x v="6"/>
    <s v="Logistics Coordinator"/>
    <x v="4"/>
    <x v="1"/>
    <s v="North"/>
    <n v="5"/>
    <n v="46017"/>
    <x v="3"/>
    <n v="2"/>
    <n v="4"/>
    <n v="12"/>
    <n v="2"/>
    <d v="2018-06-24T00:00:00"/>
    <s v="No"/>
    <x v="2"/>
    <n v="4"/>
    <x v="0"/>
    <x v="2"/>
    <x v="1"/>
  </r>
  <r>
    <s v="REL01950"/>
    <s v="Female"/>
    <n v="54"/>
    <s v="HSC"/>
    <s v="Single"/>
    <x v="5"/>
    <s v="Operations Head"/>
    <x v="0"/>
    <x v="7"/>
    <s v="East"/>
    <n v="6"/>
    <n v="102749"/>
    <x v="1"/>
    <n v="4"/>
    <n v="4"/>
    <n v="21"/>
    <n v="2"/>
    <d v="2017-08-29T00:00:00"/>
    <s v="No"/>
    <x v="1"/>
    <n v="1"/>
    <x v="1"/>
    <x v="0"/>
    <x v="2"/>
  </r>
  <r>
    <s v="REL01951"/>
    <s v="Female"/>
    <n v="48"/>
    <s v="MBA"/>
    <s v="Single"/>
    <x v="1"/>
    <s v="Customer Service Rep"/>
    <x v="0"/>
    <x v="3"/>
    <s v="West"/>
    <n v="11"/>
    <n v="56201"/>
    <x v="2"/>
    <n v="1"/>
    <n v="2"/>
    <n v="10"/>
    <n v="0"/>
    <d v="2012-03-19T00:00:00"/>
    <s v="No"/>
    <x v="0"/>
    <n v="2"/>
    <x v="2"/>
    <x v="0"/>
    <x v="1"/>
  </r>
  <r>
    <s v="REL01952"/>
    <s v="Female"/>
    <n v="39"/>
    <s v="Post Graduate"/>
    <s v="Divorced"/>
    <x v="6"/>
    <s v="HR Manager"/>
    <x v="2"/>
    <x v="0"/>
    <s v="North"/>
    <n v="8"/>
    <n v="88226"/>
    <x v="0"/>
    <n v="1"/>
    <n v="4"/>
    <n v="36"/>
    <n v="3"/>
    <d v="2015-06-25T00:00:00"/>
    <s v="No"/>
    <x v="1"/>
    <n v="3"/>
    <x v="1"/>
    <x v="0"/>
    <x v="0"/>
  </r>
  <r>
    <s v="REL01953"/>
    <s v="Female"/>
    <n v="23"/>
    <s v="BTech"/>
    <s v="Single"/>
    <x v="1"/>
    <s v="Store Manager"/>
    <x v="1"/>
    <x v="1"/>
    <s v="North"/>
    <n v="11"/>
    <n v="116035"/>
    <x v="2"/>
    <n v="3"/>
    <n v="1"/>
    <n v="20"/>
    <n v="3"/>
    <d v="2012-01-22T00:00:00"/>
    <s v="No"/>
    <x v="1"/>
    <n v="2"/>
    <x v="2"/>
    <x v="0"/>
    <x v="1"/>
  </r>
  <r>
    <s v="REL01954"/>
    <s v="Male"/>
    <n v="39"/>
    <s v="BTech"/>
    <s v="Divorced"/>
    <x v="0"/>
    <s v="Marketing Executive"/>
    <x v="1"/>
    <x v="7"/>
    <s v="East"/>
    <n v="2"/>
    <n v="57495"/>
    <x v="3"/>
    <n v="3"/>
    <n v="3"/>
    <n v="34"/>
    <n v="3"/>
    <d v="2021-12-23T00:00:00"/>
    <s v="No"/>
    <x v="0"/>
    <n v="4"/>
    <x v="3"/>
    <x v="2"/>
    <x v="1"/>
  </r>
  <r>
    <s v="REL01955"/>
    <s v="Female"/>
    <n v="29"/>
    <s v="HSC"/>
    <s v="Single"/>
    <x v="0"/>
    <s v="Finance Analyst"/>
    <x v="4"/>
    <x v="9"/>
    <s v="West"/>
    <n v="3"/>
    <n v="74691"/>
    <x v="1"/>
    <n v="3"/>
    <n v="3"/>
    <n v="46"/>
    <n v="3"/>
    <d v="2020-01-29T00:00:00"/>
    <s v="No"/>
    <x v="0"/>
    <n v="1"/>
    <x v="0"/>
    <x v="0"/>
    <x v="1"/>
  </r>
  <r>
    <s v="REL01956"/>
    <s v="Male"/>
    <n v="52"/>
    <s v="HSC"/>
    <s v="Single"/>
    <x v="5"/>
    <s v="Sales Executive"/>
    <x v="0"/>
    <x v="2"/>
    <s v="West"/>
    <n v="14"/>
    <n v="73596"/>
    <x v="0"/>
    <n v="1"/>
    <n v="1"/>
    <n v="24"/>
    <n v="3"/>
    <d v="2009-05-27T00:00:00"/>
    <s v="No"/>
    <x v="0"/>
    <n v="3"/>
    <x v="2"/>
    <x v="0"/>
    <x v="0"/>
  </r>
  <r>
    <s v="REL01957"/>
    <s v="Female"/>
    <n v="33"/>
    <s v="Post Graduate"/>
    <s v="Married"/>
    <x v="7"/>
    <s v="Finance Analyst"/>
    <x v="2"/>
    <x v="0"/>
    <s v="North"/>
    <n v="5"/>
    <n v="79004"/>
    <x v="2"/>
    <n v="1"/>
    <n v="4"/>
    <n v="37"/>
    <n v="1"/>
    <d v="2018-01-11T00:00:00"/>
    <s v="No"/>
    <x v="0"/>
    <n v="2"/>
    <x v="0"/>
    <x v="0"/>
    <x v="1"/>
  </r>
  <r>
    <s v="REL01958"/>
    <s v="Male"/>
    <n v="51"/>
    <s v="BTech"/>
    <s v="Single"/>
    <x v="6"/>
    <s v="Sales Executive"/>
    <x v="0"/>
    <x v="6"/>
    <s v="South"/>
    <n v="12"/>
    <n v="55513"/>
    <x v="1"/>
    <n v="2"/>
    <n v="3"/>
    <n v="53"/>
    <n v="3"/>
    <d v="2011-05-22T00:00:00"/>
    <s v="Yes"/>
    <x v="0"/>
    <n v="1"/>
    <x v="2"/>
    <x v="1"/>
    <x v="1"/>
  </r>
  <r>
    <s v="REL01959"/>
    <s v="Female"/>
    <n v="27"/>
    <s v="HSC"/>
    <s v="Single"/>
    <x v="2"/>
    <s v="Operations Head"/>
    <x v="2"/>
    <x v="2"/>
    <s v="West"/>
    <n v="14"/>
    <n v="131555"/>
    <x v="3"/>
    <n v="2"/>
    <n v="3"/>
    <n v="54"/>
    <n v="1"/>
    <d v="2009-03-24T00:00:00"/>
    <s v="No"/>
    <x v="1"/>
    <n v="4"/>
    <x v="2"/>
    <x v="2"/>
    <x v="0"/>
  </r>
  <r>
    <s v="REL01960"/>
    <s v="Male"/>
    <n v="35"/>
    <s v="Graduate"/>
    <s v="Single"/>
    <x v="1"/>
    <s v="Finance Analyst"/>
    <x v="2"/>
    <x v="1"/>
    <s v="North"/>
    <n v="3"/>
    <n v="67770"/>
    <x v="1"/>
    <n v="4"/>
    <n v="3"/>
    <n v="58"/>
    <n v="2"/>
    <d v="2020-04-25T00:00:00"/>
    <s v="No"/>
    <x v="0"/>
    <n v="1"/>
    <x v="0"/>
    <x v="0"/>
    <x v="1"/>
  </r>
  <r>
    <s v="REL01961"/>
    <s v="Male"/>
    <n v="55"/>
    <s v="BTech"/>
    <s v="Married"/>
    <x v="7"/>
    <s v="HR Manager"/>
    <x v="4"/>
    <x v="9"/>
    <s v="West"/>
    <n v="6"/>
    <n v="79121"/>
    <x v="3"/>
    <n v="1"/>
    <n v="1"/>
    <n v="72"/>
    <n v="0"/>
    <d v="2017-05-08T00:00:00"/>
    <s v="No"/>
    <x v="0"/>
    <n v="4"/>
    <x v="1"/>
    <x v="2"/>
    <x v="1"/>
  </r>
  <r>
    <s v="REL01962"/>
    <s v="Male"/>
    <n v="28"/>
    <s v="BTech"/>
    <s v="Divorced"/>
    <x v="6"/>
    <s v="Logistics Coordinator"/>
    <x v="4"/>
    <x v="0"/>
    <s v="North"/>
    <n v="5"/>
    <n v="53447"/>
    <x v="3"/>
    <n v="2"/>
    <n v="1"/>
    <n v="68"/>
    <n v="2"/>
    <d v="2018-06-21T00:00:00"/>
    <s v="No"/>
    <x v="0"/>
    <n v="4"/>
    <x v="0"/>
    <x v="2"/>
    <x v="1"/>
  </r>
  <r>
    <s v="REL01963"/>
    <s v="Female"/>
    <n v="40"/>
    <s v="BTech"/>
    <s v="Divorced"/>
    <x v="3"/>
    <s v="Customer Service Rep"/>
    <x v="0"/>
    <x v="8"/>
    <s v="South"/>
    <n v="4"/>
    <n v="39053"/>
    <x v="1"/>
    <n v="4"/>
    <n v="4"/>
    <n v="10"/>
    <n v="0"/>
    <d v="2019-01-25T00:00:00"/>
    <s v="Yes"/>
    <x v="2"/>
    <n v="1"/>
    <x v="0"/>
    <x v="1"/>
    <x v="1"/>
  </r>
  <r>
    <s v="REL01964"/>
    <s v="Male"/>
    <n v="23"/>
    <s v="BTech"/>
    <s v="Single"/>
    <x v="2"/>
    <s v="HR Manager"/>
    <x v="2"/>
    <x v="9"/>
    <s v="West"/>
    <n v="4"/>
    <n v="83955"/>
    <x v="2"/>
    <n v="2"/>
    <n v="4"/>
    <n v="71"/>
    <n v="0"/>
    <d v="2019-10-14T00:00:00"/>
    <s v="Yes"/>
    <x v="1"/>
    <n v="2"/>
    <x v="0"/>
    <x v="1"/>
    <x v="1"/>
  </r>
  <r>
    <s v="REL01965"/>
    <s v="Male"/>
    <n v="35"/>
    <s v="BTech"/>
    <s v="Divorced"/>
    <x v="6"/>
    <s v="Store Manager"/>
    <x v="3"/>
    <x v="4"/>
    <s v="North"/>
    <n v="12"/>
    <n v="103862"/>
    <x v="1"/>
    <n v="3"/>
    <n v="4"/>
    <n v="18"/>
    <n v="3"/>
    <d v="2011-07-04T00:00:00"/>
    <s v="Yes"/>
    <x v="1"/>
    <n v="1"/>
    <x v="2"/>
    <x v="1"/>
    <x v="2"/>
  </r>
  <r>
    <s v="REL01966"/>
    <s v="Female"/>
    <n v="22"/>
    <s v="BTech"/>
    <s v="Single"/>
    <x v="6"/>
    <s v="Store Manager"/>
    <x v="1"/>
    <x v="8"/>
    <s v="South"/>
    <n v="2"/>
    <n v="79454"/>
    <x v="0"/>
    <n v="4"/>
    <n v="1"/>
    <n v="41"/>
    <n v="3"/>
    <d v="2021-01-17T00:00:00"/>
    <s v="No"/>
    <x v="0"/>
    <n v="3"/>
    <x v="3"/>
    <x v="0"/>
    <x v="0"/>
  </r>
  <r>
    <s v="REL01967"/>
    <s v="Female"/>
    <n v="24"/>
    <s v="BTech"/>
    <s v="Divorced"/>
    <x v="0"/>
    <s v="Logistics Coordinator"/>
    <x v="1"/>
    <x v="1"/>
    <s v="North"/>
    <n v="15"/>
    <n v="84006"/>
    <x v="1"/>
    <n v="2"/>
    <n v="3"/>
    <n v="74"/>
    <n v="2"/>
    <d v="2008-12-17T00:00:00"/>
    <s v="Yes"/>
    <x v="1"/>
    <n v="1"/>
    <x v="2"/>
    <x v="1"/>
    <x v="2"/>
  </r>
  <r>
    <s v="REL01968"/>
    <s v="Male"/>
    <n v="48"/>
    <s v="HSC"/>
    <s v="Single"/>
    <x v="3"/>
    <s v="Operations Head"/>
    <x v="3"/>
    <x v="4"/>
    <s v="North"/>
    <n v="12"/>
    <n v="126721"/>
    <x v="1"/>
    <n v="4"/>
    <n v="3"/>
    <n v="44"/>
    <n v="2"/>
    <d v="2011-01-19T00:00:00"/>
    <s v="Yes"/>
    <x v="1"/>
    <n v="1"/>
    <x v="2"/>
    <x v="1"/>
    <x v="2"/>
  </r>
  <r>
    <s v="REL01969"/>
    <s v="Female"/>
    <n v="27"/>
    <s v="BTech"/>
    <s v="Divorced"/>
    <x v="5"/>
    <s v="Finance Analyst"/>
    <x v="3"/>
    <x v="2"/>
    <s v="West"/>
    <n v="7"/>
    <n v="76948"/>
    <x v="0"/>
    <n v="2"/>
    <n v="1"/>
    <n v="67"/>
    <n v="2"/>
    <d v="2016-01-22T00:00:00"/>
    <s v="No"/>
    <x v="0"/>
    <n v="3"/>
    <x v="1"/>
    <x v="0"/>
    <x v="0"/>
  </r>
  <r>
    <s v="REL01970"/>
    <s v="Male"/>
    <n v="31"/>
    <s v="Graduate"/>
    <s v="Single"/>
    <x v="7"/>
    <s v="Store Manager"/>
    <x v="1"/>
    <x v="9"/>
    <s v="West"/>
    <n v="1"/>
    <n v="83351"/>
    <x v="2"/>
    <n v="4"/>
    <n v="2"/>
    <n v="60"/>
    <n v="1"/>
    <d v="2022-07-15T00:00:00"/>
    <s v="No"/>
    <x v="1"/>
    <n v="2"/>
    <x v="3"/>
    <x v="0"/>
    <x v="1"/>
  </r>
  <r>
    <s v="REL01971"/>
    <s v="Male"/>
    <n v="37"/>
    <s v="Graduate"/>
    <s v="Divorced"/>
    <x v="1"/>
    <s v="Operations Head"/>
    <x v="2"/>
    <x v="3"/>
    <s v="West"/>
    <n v="11"/>
    <n v="118315"/>
    <x v="1"/>
    <n v="1"/>
    <n v="4"/>
    <n v="43"/>
    <n v="0"/>
    <d v="2012-05-22T00:00:00"/>
    <s v="Yes"/>
    <x v="1"/>
    <n v="1"/>
    <x v="2"/>
    <x v="1"/>
    <x v="2"/>
  </r>
  <r>
    <s v="REL01972"/>
    <s v="Female"/>
    <n v="47"/>
    <s v="MBA"/>
    <s v="Married"/>
    <x v="1"/>
    <s v="Customer Service Rep"/>
    <x v="0"/>
    <x v="2"/>
    <s v="West"/>
    <n v="7"/>
    <n v="43805"/>
    <x v="3"/>
    <n v="1"/>
    <n v="2"/>
    <n v="53"/>
    <n v="1"/>
    <d v="2016-08-16T00:00:00"/>
    <s v="No"/>
    <x v="2"/>
    <n v="4"/>
    <x v="1"/>
    <x v="2"/>
    <x v="1"/>
  </r>
  <r>
    <s v="REL01973"/>
    <s v="Male"/>
    <n v="34"/>
    <s v="Post Graduate"/>
    <s v="Married"/>
    <x v="0"/>
    <s v="Marketing Executive"/>
    <x v="4"/>
    <x v="9"/>
    <s v="West"/>
    <n v="14"/>
    <n v="81088"/>
    <x v="2"/>
    <n v="4"/>
    <n v="2"/>
    <n v="37"/>
    <n v="2"/>
    <d v="2009-03-03T00:00:00"/>
    <s v="No"/>
    <x v="1"/>
    <n v="2"/>
    <x v="2"/>
    <x v="0"/>
    <x v="1"/>
  </r>
  <r>
    <s v="REL01974"/>
    <s v="Female"/>
    <n v="30"/>
    <s v="Post Graduate"/>
    <s v="Married"/>
    <x v="3"/>
    <s v="Logistics Coordinator"/>
    <x v="1"/>
    <x v="6"/>
    <s v="South"/>
    <n v="12"/>
    <n v="64221"/>
    <x v="2"/>
    <n v="2"/>
    <n v="2"/>
    <n v="53"/>
    <n v="1"/>
    <d v="2011-09-08T00:00:00"/>
    <s v="No"/>
    <x v="0"/>
    <n v="2"/>
    <x v="2"/>
    <x v="0"/>
    <x v="1"/>
  </r>
  <r>
    <s v="REL01975"/>
    <s v="Female"/>
    <n v="31"/>
    <s v="Post Graduate"/>
    <s v="Married"/>
    <x v="0"/>
    <s v="Finance Analyst"/>
    <x v="2"/>
    <x v="0"/>
    <s v="North"/>
    <n v="12"/>
    <n v="75743"/>
    <x v="0"/>
    <n v="1"/>
    <n v="2"/>
    <n v="67"/>
    <n v="0"/>
    <d v="2011-04-01T00:00:00"/>
    <s v="Yes"/>
    <x v="0"/>
    <n v="3"/>
    <x v="2"/>
    <x v="1"/>
    <x v="0"/>
  </r>
  <r>
    <s v="REL01976"/>
    <s v="Male"/>
    <n v="39"/>
    <s v="HSC"/>
    <s v="Married"/>
    <x v="1"/>
    <s v="Marketing Executive"/>
    <x v="2"/>
    <x v="8"/>
    <s v="South"/>
    <n v="15"/>
    <n v="74056"/>
    <x v="0"/>
    <n v="1"/>
    <n v="2"/>
    <n v="56"/>
    <n v="3"/>
    <d v="2008-04-16T00:00:00"/>
    <s v="No"/>
    <x v="0"/>
    <n v="3"/>
    <x v="2"/>
    <x v="0"/>
    <x v="0"/>
  </r>
  <r>
    <s v="REL01977"/>
    <s v="Female"/>
    <n v="29"/>
    <s v="MBA"/>
    <s v="Married"/>
    <x v="0"/>
    <s v="Finance Analyst"/>
    <x v="0"/>
    <x v="1"/>
    <s v="North"/>
    <n v="4"/>
    <n v="61310"/>
    <x v="1"/>
    <n v="4"/>
    <n v="1"/>
    <n v="59"/>
    <n v="2"/>
    <d v="2019-01-04T00:00:00"/>
    <s v="No"/>
    <x v="0"/>
    <n v="1"/>
    <x v="0"/>
    <x v="0"/>
    <x v="1"/>
  </r>
  <r>
    <s v="REL01978"/>
    <s v="Male"/>
    <n v="51"/>
    <s v="BTech"/>
    <s v="Divorced"/>
    <x v="5"/>
    <s v="HR Manager"/>
    <x v="0"/>
    <x v="7"/>
    <s v="East"/>
    <n v="12"/>
    <n v="92141"/>
    <x v="2"/>
    <n v="2"/>
    <n v="4"/>
    <n v="47"/>
    <n v="0"/>
    <d v="2011-04-29T00:00:00"/>
    <s v="No"/>
    <x v="1"/>
    <n v="2"/>
    <x v="2"/>
    <x v="0"/>
    <x v="1"/>
  </r>
  <r>
    <s v="REL01979"/>
    <s v="Male"/>
    <n v="38"/>
    <s v="Post Graduate"/>
    <s v="Divorced"/>
    <x v="1"/>
    <s v="Logistics Coordinator"/>
    <x v="2"/>
    <x v="7"/>
    <s v="East"/>
    <n v="4"/>
    <n v="60117"/>
    <x v="1"/>
    <n v="2"/>
    <n v="1"/>
    <n v="38"/>
    <n v="3"/>
    <d v="2019-02-21T00:00:00"/>
    <s v="Yes"/>
    <x v="0"/>
    <n v="1"/>
    <x v="0"/>
    <x v="1"/>
    <x v="1"/>
  </r>
  <r>
    <s v="REL01980"/>
    <s v="Male"/>
    <n v="32"/>
    <s v="Graduate"/>
    <s v="Divorced"/>
    <x v="7"/>
    <s v="Marketing Executive"/>
    <x v="1"/>
    <x v="4"/>
    <s v="North"/>
    <n v="11"/>
    <n v="64631"/>
    <x v="0"/>
    <n v="3"/>
    <n v="4"/>
    <n v="54"/>
    <n v="2"/>
    <d v="2012-12-23T00:00:00"/>
    <s v="No"/>
    <x v="0"/>
    <n v="3"/>
    <x v="2"/>
    <x v="0"/>
    <x v="0"/>
  </r>
  <r>
    <s v="REL01981"/>
    <s v="Female"/>
    <n v="24"/>
    <s v="MBA"/>
    <s v="Divorced"/>
    <x v="0"/>
    <s v="Logistics Coordinator"/>
    <x v="2"/>
    <x v="0"/>
    <s v="North"/>
    <n v="1"/>
    <n v="51283"/>
    <x v="2"/>
    <n v="4"/>
    <n v="2"/>
    <n v="48"/>
    <n v="3"/>
    <d v="2022-02-03T00:00:00"/>
    <s v="No"/>
    <x v="0"/>
    <n v="2"/>
    <x v="3"/>
    <x v="0"/>
    <x v="1"/>
  </r>
  <r>
    <s v="REL01982"/>
    <s v="Female"/>
    <n v="27"/>
    <s v="Graduate"/>
    <s v="Single"/>
    <x v="7"/>
    <s v="Logistics Coordinator"/>
    <x v="4"/>
    <x v="2"/>
    <s v="West"/>
    <n v="14"/>
    <n v="71081"/>
    <x v="2"/>
    <n v="3"/>
    <n v="2"/>
    <n v="49"/>
    <n v="1"/>
    <d v="2009-03-24T00:00:00"/>
    <s v="No"/>
    <x v="0"/>
    <n v="2"/>
    <x v="2"/>
    <x v="0"/>
    <x v="1"/>
  </r>
  <r>
    <s v="REL01983"/>
    <s v="Male"/>
    <n v="50"/>
    <s v="HSC"/>
    <s v="Single"/>
    <x v="6"/>
    <s v="Customer Service Rep"/>
    <x v="2"/>
    <x v="9"/>
    <s v="West"/>
    <n v="2"/>
    <n v="40549"/>
    <x v="0"/>
    <n v="4"/>
    <n v="2"/>
    <n v="42"/>
    <n v="2"/>
    <d v="2021-06-10T00:00:00"/>
    <s v="No"/>
    <x v="2"/>
    <n v="3"/>
    <x v="3"/>
    <x v="0"/>
    <x v="1"/>
  </r>
  <r>
    <s v="REL01984"/>
    <s v="Female"/>
    <n v="49"/>
    <s v="HSC"/>
    <s v="Single"/>
    <x v="4"/>
    <s v="Customer Service Rep"/>
    <x v="4"/>
    <x v="4"/>
    <s v="North"/>
    <n v="9"/>
    <n v="53498"/>
    <x v="0"/>
    <n v="1"/>
    <n v="4"/>
    <n v="17"/>
    <n v="3"/>
    <d v="2014-06-05T00:00:00"/>
    <s v="No"/>
    <x v="0"/>
    <n v="3"/>
    <x v="1"/>
    <x v="0"/>
    <x v="0"/>
  </r>
  <r>
    <s v="REL01985"/>
    <s v="Male"/>
    <n v="46"/>
    <s v="MBA"/>
    <s v="Single"/>
    <x v="0"/>
    <s v="Sales Executive"/>
    <x v="4"/>
    <x v="5"/>
    <s v="South"/>
    <n v="12"/>
    <n v="54514"/>
    <x v="0"/>
    <n v="2"/>
    <n v="3"/>
    <n v="59"/>
    <n v="3"/>
    <d v="2011-05-10T00:00:00"/>
    <s v="No"/>
    <x v="0"/>
    <n v="3"/>
    <x v="2"/>
    <x v="0"/>
    <x v="0"/>
  </r>
  <r>
    <s v="REL01986"/>
    <s v="Male"/>
    <n v="49"/>
    <s v="MBA"/>
    <s v="Single"/>
    <x v="3"/>
    <s v="Finance Analyst"/>
    <x v="2"/>
    <x v="5"/>
    <s v="South"/>
    <n v="5"/>
    <n v="68778"/>
    <x v="0"/>
    <n v="1"/>
    <n v="1"/>
    <n v="14"/>
    <n v="0"/>
    <d v="2018-09-15T00:00:00"/>
    <s v="No"/>
    <x v="0"/>
    <n v="3"/>
    <x v="0"/>
    <x v="0"/>
    <x v="0"/>
  </r>
  <r>
    <s v="REL01987"/>
    <s v="Female"/>
    <n v="41"/>
    <s v="MBA"/>
    <s v="Divorced"/>
    <x v="6"/>
    <s v="Finance Analyst"/>
    <x v="3"/>
    <x v="8"/>
    <s v="South"/>
    <n v="12"/>
    <n v="80811"/>
    <x v="3"/>
    <n v="2"/>
    <n v="4"/>
    <n v="75"/>
    <n v="2"/>
    <d v="2011-06-07T00:00:00"/>
    <s v="No"/>
    <x v="1"/>
    <n v="4"/>
    <x v="2"/>
    <x v="2"/>
    <x v="0"/>
  </r>
  <r>
    <s v="REL01988"/>
    <s v="Male"/>
    <n v="34"/>
    <s v="MBA"/>
    <s v="Single"/>
    <x v="5"/>
    <s v="Logistics Coordinator"/>
    <x v="0"/>
    <x v="4"/>
    <s v="North"/>
    <n v="8"/>
    <n v="52909"/>
    <x v="3"/>
    <n v="4"/>
    <n v="3"/>
    <n v="56"/>
    <n v="0"/>
    <d v="2015-01-25T00:00:00"/>
    <s v="No"/>
    <x v="0"/>
    <n v="4"/>
    <x v="1"/>
    <x v="2"/>
    <x v="1"/>
  </r>
  <r>
    <s v="REL01989"/>
    <s v="Female"/>
    <n v="38"/>
    <s v="MBA"/>
    <s v="Single"/>
    <x v="4"/>
    <s v="Marketing Executive"/>
    <x v="0"/>
    <x v="3"/>
    <s v="West"/>
    <n v="14"/>
    <n v="76909"/>
    <x v="1"/>
    <n v="2"/>
    <n v="4"/>
    <n v="80"/>
    <n v="0"/>
    <d v="2009-03-16T00:00:00"/>
    <s v="Yes"/>
    <x v="0"/>
    <n v="1"/>
    <x v="2"/>
    <x v="1"/>
    <x v="1"/>
  </r>
  <r>
    <s v="REL01990"/>
    <s v="Male"/>
    <n v="34"/>
    <s v="MBA"/>
    <s v="Divorced"/>
    <x v="3"/>
    <s v="Customer Service Rep"/>
    <x v="1"/>
    <x v="7"/>
    <s v="East"/>
    <n v="11"/>
    <n v="59746"/>
    <x v="3"/>
    <n v="3"/>
    <n v="4"/>
    <n v="66"/>
    <n v="0"/>
    <d v="2012-07-11T00:00:00"/>
    <s v="No"/>
    <x v="0"/>
    <n v="4"/>
    <x v="2"/>
    <x v="2"/>
    <x v="1"/>
  </r>
  <r>
    <s v="REL01991"/>
    <s v="Female"/>
    <n v="54"/>
    <s v="HSC"/>
    <s v="Divorced"/>
    <x v="1"/>
    <s v="Operations Head"/>
    <x v="3"/>
    <x v="4"/>
    <s v="North"/>
    <n v="4"/>
    <n v="104624"/>
    <x v="2"/>
    <n v="2"/>
    <n v="1"/>
    <n v="60"/>
    <n v="1"/>
    <d v="2019-02-26T00:00:00"/>
    <s v="Yes"/>
    <x v="1"/>
    <n v="2"/>
    <x v="0"/>
    <x v="1"/>
    <x v="1"/>
  </r>
  <r>
    <s v="REL01992"/>
    <s v="Male"/>
    <n v="38"/>
    <s v="Post Graduate"/>
    <s v="Married"/>
    <x v="0"/>
    <s v="Logistics Coordinator"/>
    <x v="2"/>
    <x v="7"/>
    <s v="East"/>
    <n v="1"/>
    <n v="46188"/>
    <x v="0"/>
    <n v="2"/>
    <n v="3"/>
    <n v="42"/>
    <n v="3"/>
    <d v="2022-02-24T00:00:00"/>
    <s v="No"/>
    <x v="2"/>
    <n v="3"/>
    <x v="3"/>
    <x v="0"/>
    <x v="1"/>
  </r>
  <r>
    <s v="REL01993"/>
    <s v="Male"/>
    <n v="54"/>
    <s v="MBA"/>
    <s v="Single"/>
    <x v="5"/>
    <s v="Sales Executive"/>
    <x v="2"/>
    <x v="4"/>
    <s v="North"/>
    <n v="3"/>
    <n v="47654"/>
    <x v="3"/>
    <n v="1"/>
    <n v="1"/>
    <n v="36"/>
    <n v="2"/>
    <d v="2020-12-16T00:00:00"/>
    <s v="No"/>
    <x v="2"/>
    <n v="4"/>
    <x v="0"/>
    <x v="2"/>
    <x v="1"/>
  </r>
  <r>
    <s v="REL01994"/>
    <s v="Male"/>
    <n v="35"/>
    <s v="MBA"/>
    <s v="Married"/>
    <x v="6"/>
    <s v="Logistics Coordinator"/>
    <x v="1"/>
    <x v="8"/>
    <s v="South"/>
    <n v="7"/>
    <n v="49022"/>
    <x v="2"/>
    <n v="3"/>
    <n v="4"/>
    <n v="45"/>
    <n v="3"/>
    <d v="2016-03-08T00:00:00"/>
    <s v="No"/>
    <x v="2"/>
    <n v="2"/>
    <x v="1"/>
    <x v="0"/>
    <x v="1"/>
  </r>
  <r>
    <s v="REL01995"/>
    <s v="Male"/>
    <n v="47"/>
    <s v="HSC"/>
    <s v="Married"/>
    <x v="2"/>
    <s v="HR Manager"/>
    <x v="4"/>
    <x v="2"/>
    <s v="West"/>
    <n v="2"/>
    <n v="74813"/>
    <x v="1"/>
    <n v="4"/>
    <n v="1"/>
    <n v="15"/>
    <n v="0"/>
    <d v="2021-12-10T00:00:00"/>
    <s v="Yes"/>
    <x v="0"/>
    <n v="1"/>
    <x v="3"/>
    <x v="1"/>
    <x v="1"/>
  </r>
  <r>
    <s v="REL01996"/>
    <s v="Female"/>
    <n v="47"/>
    <s v="Graduate"/>
    <s v="Single"/>
    <x v="2"/>
    <s v="Marketing Executive"/>
    <x v="0"/>
    <x v="8"/>
    <s v="South"/>
    <n v="4"/>
    <n v="60216"/>
    <x v="0"/>
    <n v="2"/>
    <n v="3"/>
    <n v="50"/>
    <n v="0"/>
    <d v="2019-03-30T00:00:00"/>
    <s v="No"/>
    <x v="0"/>
    <n v="3"/>
    <x v="0"/>
    <x v="0"/>
    <x v="0"/>
  </r>
  <r>
    <s v="REL01997"/>
    <s v="Male"/>
    <n v="23"/>
    <s v="Graduate"/>
    <s v="Single"/>
    <x v="3"/>
    <s v="Finance Analyst"/>
    <x v="1"/>
    <x v="3"/>
    <s v="West"/>
    <n v="13"/>
    <n v="82324"/>
    <x v="2"/>
    <n v="3"/>
    <n v="3"/>
    <n v="69"/>
    <n v="0"/>
    <d v="2010-12-30T00:00:00"/>
    <s v="No"/>
    <x v="1"/>
    <n v="2"/>
    <x v="2"/>
    <x v="0"/>
    <x v="1"/>
  </r>
  <r>
    <s v="REL01998"/>
    <s v="Male"/>
    <n v="34"/>
    <s v="MBA"/>
    <s v="Divorced"/>
    <x v="2"/>
    <s v="Sales Executive"/>
    <x v="0"/>
    <x v="1"/>
    <s v="North"/>
    <n v="7"/>
    <n v="63586"/>
    <x v="3"/>
    <n v="3"/>
    <n v="1"/>
    <n v="55"/>
    <n v="2"/>
    <d v="2016-02-26T00:00:00"/>
    <s v="No"/>
    <x v="0"/>
    <n v="4"/>
    <x v="1"/>
    <x v="2"/>
    <x v="1"/>
  </r>
  <r>
    <s v="REL01999"/>
    <s v="Female"/>
    <n v="53"/>
    <s v="Graduate"/>
    <s v="Married"/>
    <x v="2"/>
    <s v="Logistics Coordinator"/>
    <x v="1"/>
    <x v="0"/>
    <s v="North"/>
    <n v="14"/>
    <n v="80440"/>
    <x v="0"/>
    <n v="1"/>
    <n v="1"/>
    <n v="49"/>
    <n v="1"/>
    <d v="2009-11-24T00:00:00"/>
    <s v="No"/>
    <x v="1"/>
    <n v="3"/>
    <x v="2"/>
    <x v="0"/>
    <x v="0"/>
  </r>
  <r>
    <s v="REL02000"/>
    <s v="Male"/>
    <n v="31"/>
    <s v="BTech"/>
    <s v="Single"/>
    <x v="1"/>
    <s v="Finance Analyst"/>
    <x v="2"/>
    <x v="4"/>
    <s v="North"/>
    <n v="1"/>
    <n v="55323"/>
    <x v="2"/>
    <n v="2"/>
    <n v="2"/>
    <n v="19"/>
    <n v="1"/>
    <d v="2022-05-30T00:00:00"/>
    <s v="No"/>
    <x v="0"/>
    <n v="2"/>
    <x v="3"/>
    <x v="0"/>
    <x v="1"/>
  </r>
  <r>
    <s v="REL02001"/>
    <s v="Female"/>
    <n v="26"/>
    <s v="MBA"/>
    <s v="Married"/>
    <x v="5"/>
    <s v="Operations Head"/>
    <x v="2"/>
    <x v="8"/>
    <s v="South"/>
    <n v="1"/>
    <n v="88354"/>
    <x v="0"/>
    <n v="3"/>
    <n v="3"/>
    <n v="59"/>
    <n v="1"/>
    <d v="2022-09-14T00:00:00"/>
    <s v="Yes"/>
    <x v="1"/>
    <n v="3"/>
    <x v="3"/>
    <x v="1"/>
    <x v="0"/>
  </r>
  <r>
    <s v="REL02002"/>
    <s v="Male"/>
    <n v="48"/>
    <s v="Post Graduate"/>
    <s v="Divorced"/>
    <x v="4"/>
    <s v="Logistics Coordinator"/>
    <x v="1"/>
    <x v="9"/>
    <s v="West"/>
    <n v="7"/>
    <n v="52480"/>
    <x v="3"/>
    <n v="1"/>
    <n v="2"/>
    <n v="17"/>
    <n v="3"/>
    <d v="2016-01-15T00:00:00"/>
    <s v="Yes"/>
    <x v="0"/>
    <n v="4"/>
    <x v="1"/>
    <x v="1"/>
    <x v="1"/>
  </r>
  <r>
    <s v="REL02003"/>
    <s v="Female"/>
    <n v="25"/>
    <s v="Graduate"/>
    <s v="Divorced"/>
    <x v="5"/>
    <s v="Finance Analyst"/>
    <x v="4"/>
    <x v="4"/>
    <s v="North"/>
    <n v="6"/>
    <n v="65057"/>
    <x v="1"/>
    <n v="1"/>
    <n v="1"/>
    <n v="26"/>
    <n v="1"/>
    <d v="2017-11-03T00:00:00"/>
    <s v="Yes"/>
    <x v="0"/>
    <n v="1"/>
    <x v="1"/>
    <x v="1"/>
    <x v="1"/>
  </r>
  <r>
    <s v="REL02004"/>
    <s v="Female"/>
    <n v="30"/>
    <s v="Graduate"/>
    <s v="Married"/>
    <x v="1"/>
    <s v="Customer Service Rep"/>
    <x v="2"/>
    <x v="4"/>
    <s v="North"/>
    <n v="3"/>
    <n v="42703"/>
    <x v="3"/>
    <n v="2"/>
    <n v="2"/>
    <n v="24"/>
    <n v="2"/>
    <d v="2020-04-16T00:00:00"/>
    <s v="No"/>
    <x v="2"/>
    <n v="4"/>
    <x v="0"/>
    <x v="2"/>
    <x v="1"/>
  </r>
  <r>
    <s v="REL02005"/>
    <s v="Male"/>
    <n v="47"/>
    <s v="BTech"/>
    <s v="Single"/>
    <x v="6"/>
    <s v="Store Manager"/>
    <x v="1"/>
    <x v="7"/>
    <s v="East"/>
    <n v="14"/>
    <n v="122093"/>
    <x v="3"/>
    <n v="3"/>
    <n v="3"/>
    <n v="13"/>
    <n v="2"/>
    <d v="2009-02-14T00:00:00"/>
    <s v="No"/>
    <x v="1"/>
    <n v="4"/>
    <x v="2"/>
    <x v="2"/>
    <x v="0"/>
  </r>
  <r>
    <s v="REL02006"/>
    <s v="Male"/>
    <n v="47"/>
    <s v="HSC"/>
    <s v="Single"/>
    <x v="2"/>
    <s v="Store Manager"/>
    <x v="4"/>
    <x v="6"/>
    <s v="South"/>
    <n v="13"/>
    <n v="108115"/>
    <x v="0"/>
    <n v="1"/>
    <n v="3"/>
    <n v="42"/>
    <n v="3"/>
    <d v="2011-01-01T00:00:00"/>
    <s v="No"/>
    <x v="1"/>
    <n v="3"/>
    <x v="2"/>
    <x v="0"/>
    <x v="0"/>
  </r>
  <r>
    <s v="REL02007"/>
    <s v="Female"/>
    <n v="49"/>
    <s v="BTech"/>
    <s v="Married"/>
    <x v="2"/>
    <s v="Sales Executive"/>
    <x v="1"/>
    <x v="3"/>
    <s v="West"/>
    <n v="15"/>
    <n v="68410"/>
    <x v="1"/>
    <n v="3"/>
    <n v="3"/>
    <n v="55"/>
    <n v="0"/>
    <d v="2008-09-06T00:00:00"/>
    <s v="No"/>
    <x v="0"/>
    <n v="1"/>
    <x v="2"/>
    <x v="0"/>
    <x v="1"/>
  </r>
  <r>
    <s v="REL02008"/>
    <s v="Female"/>
    <n v="38"/>
    <s v="HSC"/>
    <s v="Married"/>
    <x v="0"/>
    <s v="Store Manager"/>
    <x v="1"/>
    <x v="2"/>
    <s v="West"/>
    <n v="14"/>
    <n v="116564"/>
    <x v="2"/>
    <n v="4"/>
    <n v="2"/>
    <n v="79"/>
    <n v="2"/>
    <d v="2009-01-15T00:00:00"/>
    <s v="No"/>
    <x v="1"/>
    <n v="2"/>
    <x v="2"/>
    <x v="0"/>
    <x v="1"/>
  </r>
  <r>
    <s v="REL02009"/>
    <s v="Male"/>
    <n v="40"/>
    <s v="BTech"/>
    <s v="Married"/>
    <x v="0"/>
    <s v="Operations Head"/>
    <x v="3"/>
    <x v="4"/>
    <s v="North"/>
    <n v="3"/>
    <n v="93561"/>
    <x v="2"/>
    <n v="4"/>
    <n v="4"/>
    <n v="65"/>
    <n v="1"/>
    <d v="2020-10-20T00:00:00"/>
    <s v="No"/>
    <x v="1"/>
    <n v="2"/>
    <x v="0"/>
    <x v="0"/>
    <x v="1"/>
  </r>
  <r>
    <s v="REL02010"/>
    <s v="Female"/>
    <n v="34"/>
    <s v="Graduate"/>
    <s v="Single"/>
    <x v="1"/>
    <s v="Logistics Coordinator"/>
    <x v="1"/>
    <x v="7"/>
    <s v="East"/>
    <n v="8"/>
    <n v="63797"/>
    <x v="2"/>
    <n v="4"/>
    <n v="3"/>
    <n v="73"/>
    <n v="1"/>
    <d v="2015-11-21T00:00:00"/>
    <s v="No"/>
    <x v="0"/>
    <n v="2"/>
    <x v="1"/>
    <x v="0"/>
    <x v="1"/>
  </r>
  <r>
    <s v="REL02011"/>
    <s v="Male"/>
    <n v="46"/>
    <s v="Post Graduate"/>
    <s v="Divorced"/>
    <x v="6"/>
    <s v="Logistics Coordinator"/>
    <x v="4"/>
    <x v="1"/>
    <s v="North"/>
    <n v="5"/>
    <n v="61998"/>
    <x v="1"/>
    <n v="4"/>
    <n v="4"/>
    <n v="20"/>
    <n v="0"/>
    <d v="2018-12-26T00:00:00"/>
    <s v="No"/>
    <x v="0"/>
    <n v="1"/>
    <x v="0"/>
    <x v="0"/>
    <x v="1"/>
  </r>
  <r>
    <s v="REL02012"/>
    <s v="Male"/>
    <n v="39"/>
    <s v="MBA"/>
    <s v="Divorced"/>
    <x v="6"/>
    <s v="Store Manager"/>
    <x v="2"/>
    <x v="2"/>
    <s v="West"/>
    <n v="7"/>
    <n v="95214"/>
    <x v="1"/>
    <n v="4"/>
    <n v="4"/>
    <n v="15"/>
    <n v="0"/>
    <d v="2016-04-10T00:00:00"/>
    <s v="No"/>
    <x v="1"/>
    <n v="1"/>
    <x v="1"/>
    <x v="0"/>
    <x v="2"/>
  </r>
  <r>
    <s v="REL02013"/>
    <s v="Male"/>
    <n v="26"/>
    <s v="HSC"/>
    <s v="Married"/>
    <x v="5"/>
    <s v="Finance Analyst"/>
    <x v="3"/>
    <x v="2"/>
    <s v="West"/>
    <n v="14"/>
    <n v="94091"/>
    <x v="0"/>
    <n v="2"/>
    <n v="2"/>
    <n v="21"/>
    <n v="1"/>
    <d v="2009-12-13T00:00:00"/>
    <s v="No"/>
    <x v="1"/>
    <n v="3"/>
    <x v="2"/>
    <x v="0"/>
    <x v="0"/>
  </r>
  <r>
    <s v="REL02014"/>
    <s v="Male"/>
    <n v="22"/>
    <s v="BTech"/>
    <s v="Married"/>
    <x v="3"/>
    <s v="Customer Service Rep"/>
    <x v="0"/>
    <x v="7"/>
    <s v="East"/>
    <n v="4"/>
    <n v="37960"/>
    <x v="0"/>
    <n v="3"/>
    <n v="4"/>
    <n v="18"/>
    <n v="3"/>
    <d v="2019-06-17T00:00:00"/>
    <s v="No"/>
    <x v="2"/>
    <n v="3"/>
    <x v="0"/>
    <x v="0"/>
    <x v="1"/>
  </r>
  <r>
    <s v="REL02015"/>
    <s v="Female"/>
    <n v="34"/>
    <s v="Graduate"/>
    <s v="Single"/>
    <x v="2"/>
    <s v="HR Manager"/>
    <x v="0"/>
    <x v="6"/>
    <s v="South"/>
    <n v="6"/>
    <n v="77270"/>
    <x v="3"/>
    <n v="1"/>
    <n v="3"/>
    <n v="57"/>
    <n v="3"/>
    <d v="2017-09-08T00:00:00"/>
    <s v="No"/>
    <x v="0"/>
    <n v="4"/>
    <x v="1"/>
    <x v="2"/>
    <x v="1"/>
  </r>
  <r>
    <s v="REL02016"/>
    <s v="Male"/>
    <n v="22"/>
    <s v="BTech"/>
    <s v="Single"/>
    <x v="5"/>
    <s v="HR Manager"/>
    <x v="1"/>
    <x v="3"/>
    <s v="West"/>
    <n v="5"/>
    <n v="82936"/>
    <x v="0"/>
    <n v="2"/>
    <n v="3"/>
    <n v="43"/>
    <n v="1"/>
    <d v="2018-10-30T00:00:00"/>
    <s v="No"/>
    <x v="1"/>
    <n v="3"/>
    <x v="0"/>
    <x v="0"/>
    <x v="0"/>
  </r>
  <r>
    <s v="REL02017"/>
    <s v="Male"/>
    <n v="38"/>
    <s v="Post Graduate"/>
    <s v="Divorced"/>
    <x v="4"/>
    <s v="Store Manager"/>
    <x v="4"/>
    <x v="0"/>
    <s v="North"/>
    <n v="14"/>
    <n v="120637"/>
    <x v="2"/>
    <n v="4"/>
    <n v="4"/>
    <n v="79"/>
    <n v="1"/>
    <d v="2009-04-17T00:00:00"/>
    <s v="No"/>
    <x v="1"/>
    <n v="2"/>
    <x v="2"/>
    <x v="0"/>
    <x v="1"/>
  </r>
  <r>
    <s v="REL02018"/>
    <s v="Male"/>
    <n v="27"/>
    <s v="Post Graduate"/>
    <s v="Married"/>
    <x v="0"/>
    <s v="Sales Executive"/>
    <x v="2"/>
    <x v="8"/>
    <s v="South"/>
    <n v="15"/>
    <n v="73994"/>
    <x v="3"/>
    <n v="1"/>
    <n v="1"/>
    <n v="11"/>
    <n v="0"/>
    <d v="2008-10-21T00:00:00"/>
    <s v="No"/>
    <x v="0"/>
    <n v="4"/>
    <x v="2"/>
    <x v="2"/>
    <x v="1"/>
  </r>
  <r>
    <s v="REL02019"/>
    <s v="Female"/>
    <n v="35"/>
    <s v="HSC"/>
    <s v="Married"/>
    <x v="6"/>
    <s v="Logistics Coordinator"/>
    <x v="2"/>
    <x v="4"/>
    <s v="North"/>
    <n v="3"/>
    <n v="52265"/>
    <x v="2"/>
    <n v="4"/>
    <n v="4"/>
    <n v="46"/>
    <n v="2"/>
    <d v="2020-04-11T00:00:00"/>
    <s v="No"/>
    <x v="0"/>
    <n v="2"/>
    <x v="0"/>
    <x v="0"/>
    <x v="1"/>
  </r>
  <r>
    <s v="REL02020"/>
    <s v="Male"/>
    <n v="42"/>
    <s v="HSC"/>
    <s v="Married"/>
    <x v="6"/>
    <s v="HR Manager"/>
    <x v="2"/>
    <x v="6"/>
    <s v="South"/>
    <n v="9"/>
    <n v="89403"/>
    <x v="2"/>
    <n v="2"/>
    <n v="2"/>
    <n v="51"/>
    <n v="1"/>
    <d v="2014-02-17T00:00:00"/>
    <s v="No"/>
    <x v="1"/>
    <n v="2"/>
    <x v="1"/>
    <x v="0"/>
    <x v="1"/>
  </r>
  <r>
    <s v="REL02021"/>
    <s v="Male"/>
    <n v="38"/>
    <s v="HSC"/>
    <s v="Married"/>
    <x v="2"/>
    <s v="HR Manager"/>
    <x v="4"/>
    <x v="7"/>
    <s v="East"/>
    <n v="9"/>
    <n v="101138"/>
    <x v="1"/>
    <n v="2"/>
    <n v="2"/>
    <n v="75"/>
    <n v="3"/>
    <d v="2014-12-11T00:00:00"/>
    <s v="Yes"/>
    <x v="1"/>
    <n v="1"/>
    <x v="1"/>
    <x v="1"/>
    <x v="2"/>
  </r>
  <r>
    <s v="REL02022"/>
    <s v="Male"/>
    <n v="30"/>
    <s v="BTech"/>
    <s v="Divorced"/>
    <x v="0"/>
    <s v="Finance Analyst"/>
    <x v="0"/>
    <x v="6"/>
    <s v="South"/>
    <n v="7"/>
    <n v="78258"/>
    <x v="1"/>
    <n v="4"/>
    <n v="3"/>
    <n v="51"/>
    <n v="3"/>
    <d v="2016-01-06T00:00:00"/>
    <s v="Yes"/>
    <x v="0"/>
    <n v="1"/>
    <x v="1"/>
    <x v="1"/>
    <x v="1"/>
  </r>
  <r>
    <s v="REL02023"/>
    <s v="Female"/>
    <n v="34"/>
    <s v="Graduate"/>
    <s v="Married"/>
    <x v="3"/>
    <s v="Marketing Executive"/>
    <x v="4"/>
    <x v="0"/>
    <s v="North"/>
    <n v="6"/>
    <n v="54367"/>
    <x v="1"/>
    <n v="2"/>
    <n v="4"/>
    <n v="26"/>
    <n v="0"/>
    <d v="2017-06-17T00:00:00"/>
    <s v="No"/>
    <x v="0"/>
    <n v="1"/>
    <x v="1"/>
    <x v="0"/>
    <x v="1"/>
  </r>
  <r>
    <s v="REL02024"/>
    <s v="Male"/>
    <n v="22"/>
    <s v="MBA"/>
    <s v="Single"/>
    <x v="7"/>
    <s v="Operations Head"/>
    <x v="0"/>
    <x v="3"/>
    <s v="West"/>
    <n v="5"/>
    <n v="102204"/>
    <x v="3"/>
    <n v="3"/>
    <n v="3"/>
    <n v="55"/>
    <n v="1"/>
    <d v="2018-02-11T00:00:00"/>
    <s v="Yes"/>
    <x v="1"/>
    <n v="4"/>
    <x v="0"/>
    <x v="1"/>
    <x v="0"/>
  </r>
  <r>
    <s v="REL02025"/>
    <s v="Male"/>
    <n v="26"/>
    <s v="BTech"/>
    <s v="Divorced"/>
    <x v="6"/>
    <s v="Finance Analyst"/>
    <x v="0"/>
    <x v="4"/>
    <s v="North"/>
    <n v="12"/>
    <n v="84219"/>
    <x v="2"/>
    <n v="4"/>
    <n v="1"/>
    <n v="25"/>
    <n v="2"/>
    <d v="2011-09-22T00:00:00"/>
    <s v="No"/>
    <x v="1"/>
    <n v="2"/>
    <x v="2"/>
    <x v="0"/>
    <x v="1"/>
  </r>
  <r>
    <s v="REL02026"/>
    <s v="Female"/>
    <n v="23"/>
    <s v="Graduate"/>
    <s v="Single"/>
    <x v="1"/>
    <s v="Finance Analyst"/>
    <x v="2"/>
    <x v="5"/>
    <s v="South"/>
    <n v="13"/>
    <n v="81394"/>
    <x v="2"/>
    <n v="1"/>
    <n v="2"/>
    <n v="48"/>
    <n v="1"/>
    <d v="2010-05-28T00:00:00"/>
    <s v="No"/>
    <x v="1"/>
    <n v="2"/>
    <x v="2"/>
    <x v="0"/>
    <x v="1"/>
  </r>
  <r>
    <s v="REL02027"/>
    <s v="Male"/>
    <n v="52"/>
    <s v="BTech"/>
    <s v="Married"/>
    <x v="4"/>
    <s v="Customer Service Rep"/>
    <x v="1"/>
    <x v="8"/>
    <s v="South"/>
    <n v="6"/>
    <n v="55073"/>
    <x v="1"/>
    <n v="1"/>
    <n v="2"/>
    <n v="24"/>
    <n v="2"/>
    <d v="2017-11-28T00:00:00"/>
    <s v="No"/>
    <x v="0"/>
    <n v="1"/>
    <x v="1"/>
    <x v="0"/>
    <x v="1"/>
  </r>
  <r>
    <s v="REL02028"/>
    <s v="Male"/>
    <n v="53"/>
    <s v="HSC"/>
    <s v="Divorced"/>
    <x v="3"/>
    <s v="Finance Analyst"/>
    <x v="3"/>
    <x v="4"/>
    <s v="North"/>
    <n v="4"/>
    <n v="72323"/>
    <x v="2"/>
    <n v="1"/>
    <n v="2"/>
    <n v="37"/>
    <n v="0"/>
    <d v="2019-04-14T00:00:00"/>
    <s v="No"/>
    <x v="0"/>
    <n v="2"/>
    <x v="0"/>
    <x v="0"/>
    <x v="1"/>
  </r>
  <r>
    <s v="REL02029"/>
    <s v="Female"/>
    <n v="22"/>
    <s v="HSC"/>
    <s v="Married"/>
    <x v="3"/>
    <s v="Customer Service Rep"/>
    <x v="2"/>
    <x v="6"/>
    <s v="South"/>
    <n v="14"/>
    <n v="61652"/>
    <x v="0"/>
    <n v="2"/>
    <n v="1"/>
    <n v="49"/>
    <n v="1"/>
    <d v="2009-12-15T00:00:00"/>
    <s v="No"/>
    <x v="0"/>
    <n v="3"/>
    <x v="2"/>
    <x v="0"/>
    <x v="0"/>
  </r>
  <r>
    <s v="REL02030"/>
    <s v="Male"/>
    <n v="47"/>
    <s v="MBA"/>
    <s v="Married"/>
    <x v="7"/>
    <s v="Finance Analyst"/>
    <x v="0"/>
    <x v="2"/>
    <s v="West"/>
    <n v="8"/>
    <n v="74383"/>
    <x v="1"/>
    <n v="3"/>
    <n v="4"/>
    <n v="11"/>
    <n v="0"/>
    <d v="2015-12-25T00:00:00"/>
    <s v="Yes"/>
    <x v="0"/>
    <n v="1"/>
    <x v="1"/>
    <x v="1"/>
    <x v="1"/>
  </r>
  <r>
    <s v="REL02031"/>
    <s v="Male"/>
    <n v="29"/>
    <s v="BTech"/>
    <s v="Single"/>
    <x v="6"/>
    <s v="HR Manager"/>
    <x v="2"/>
    <x v="9"/>
    <s v="West"/>
    <n v="14"/>
    <n v="96936"/>
    <x v="0"/>
    <n v="4"/>
    <n v="2"/>
    <n v="71"/>
    <n v="2"/>
    <d v="2009-01-18T00:00:00"/>
    <s v="No"/>
    <x v="1"/>
    <n v="3"/>
    <x v="2"/>
    <x v="0"/>
    <x v="0"/>
  </r>
  <r>
    <s v="REL02032"/>
    <s v="Male"/>
    <n v="41"/>
    <s v="HSC"/>
    <s v="Divorced"/>
    <x v="3"/>
    <s v="Marketing Executive"/>
    <x v="3"/>
    <x v="9"/>
    <s v="West"/>
    <n v="12"/>
    <n v="83618"/>
    <x v="2"/>
    <n v="4"/>
    <n v="2"/>
    <n v="14"/>
    <n v="3"/>
    <d v="2011-09-25T00:00:00"/>
    <s v="No"/>
    <x v="1"/>
    <n v="2"/>
    <x v="2"/>
    <x v="0"/>
    <x v="1"/>
  </r>
  <r>
    <s v="REL02033"/>
    <s v="Male"/>
    <n v="38"/>
    <s v="HSC"/>
    <s v="Single"/>
    <x v="6"/>
    <s v="Customer Service Rep"/>
    <x v="4"/>
    <x v="2"/>
    <s v="West"/>
    <n v="9"/>
    <n v="50589"/>
    <x v="2"/>
    <n v="3"/>
    <n v="3"/>
    <n v="21"/>
    <n v="0"/>
    <d v="2014-10-02T00:00:00"/>
    <s v="Yes"/>
    <x v="0"/>
    <n v="2"/>
    <x v="1"/>
    <x v="1"/>
    <x v="1"/>
  </r>
  <r>
    <s v="REL02034"/>
    <s v="Male"/>
    <n v="46"/>
    <s v="Post Graduate"/>
    <s v="Married"/>
    <x v="4"/>
    <s v="HR Manager"/>
    <x v="3"/>
    <x v="1"/>
    <s v="North"/>
    <n v="2"/>
    <n v="77565"/>
    <x v="2"/>
    <n v="1"/>
    <n v="4"/>
    <n v="12"/>
    <n v="2"/>
    <d v="2021-11-02T00:00:00"/>
    <s v="No"/>
    <x v="0"/>
    <n v="2"/>
    <x v="3"/>
    <x v="0"/>
    <x v="1"/>
  </r>
  <r>
    <s v="REL02035"/>
    <s v="Female"/>
    <n v="45"/>
    <s v="BTech"/>
    <s v="Divorced"/>
    <x v="1"/>
    <s v="Sales Executive"/>
    <x v="3"/>
    <x v="1"/>
    <s v="North"/>
    <n v="11"/>
    <n v="54725"/>
    <x v="2"/>
    <n v="3"/>
    <n v="3"/>
    <n v="31"/>
    <n v="0"/>
    <d v="2012-07-14T00:00:00"/>
    <s v="No"/>
    <x v="0"/>
    <n v="2"/>
    <x v="2"/>
    <x v="0"/>
    <x v="1"/>
  </r>
  <r>
    <s v="REL02036"/>
    <s v="Female"/>
    <n v="43"/>
    <s v="BTech"/>
    <s v="Married"/>
    <x v="1"/>
    <s v="Sales Executive"/>
    <x v="3"/>
    <x v="4"/>
    <s v="North"/>
    <n v="15"/>
    <n v="66834"/>
    <x v="0"/>
    <n v="2"/>
    <n v="4"/>
    <n v="61"/>
    <n v="3"/>
    <d v="2008-09-27T00:00:00"/>
    <s v="No"/>
    <x v="0"/>
    <n v="3"/>
    <x v="2"/>
    <x v="0"/>
    <x v="0"/>
  </r>
  <r>
    <s v="REL02037"/>
    <s v="Male"/>
    <n v="41"/>
    <s v="Graduate"/>
    <s v="Married"/>
    <x v="7"/>
    <s v="Marketing Executive"/>
    <x v="3"/>
    <x v="2"/>
    <s v="West"/>
    <n v="6"/>
    <n v="63825"/>
    <x v="1"/>
    <n v="3"/>
    <n v="1"/>
    <n v="54"/>
    <n v="1"/>
    <d v="2017-11-27T00:00:00"/>
    <s v="Yes"/>
    <x v="0"/>
    <n v="1"/>
    <x v="1"/>
    <x v="1"/>
    <x v="1"/>
  </r>
  <r>
    <s v="REL02038"/>
    <s v="Male"/>
    <n v="22"/>
    <s v="MBA"/>
    <s v="Married"/>
    <x v="0"/>
    <s v="Logistics Coordinator"/>
    <x v="1"/>
    <x v="1"/>
    <s v="North"/>
    <n v="3"/>
    <n v="57101"/>
    <x v="2"/>
    <n v="1"/>
    <n v="3"/>
    <n v="13"/>
    <n v="0"/>
    <d v="2020-09-25T00:00:00"/>
    <s v="No"/>
    <x v="0"/>
    <n v="2"/>
    <x v="0"/>
    <x v="0"/>
    <x v="1"/>
  </r>
  <r>
    <s v="REL02039"/>
    <s v="Male"/>
    <n v="41"/>
    <s v="HSC"/>
    <s v="Single"/>
    <x v="2"/>
    <s v="Sales Executive"/>
    <x v="4"/>
    <x v="0"/>
    <s v="North"/>
    <n v="10"/>
    <n v="60954"/>
    <x v="0"/>
    <n v="2"/>
    <n v="4"/>
    <n v="42"/>
    <n v="3"/>
    <d v="2013-04-09T00:00:00"/>
    <s v="No"/>
    <x v="0"/>
    <n v="3"/>
    <x v="1"/>
    <x v="0"/>
    <x v="0"/>
  </r>
  <r>
    <s v="REL02040"/>
    <s v="Female"/>
    <n v="28"/>
    <s v="MBA"/>
    <s v="Married"/>
    <x v="3"/>
    <s v="Store Manager"/>
    <x v="4"/>
    <x v="4"/>
    <s v="North"/>
    <n v="10"/>
    <n v="97851"/>
    <x v="2"/>
    <n v="4"/>
    <n v="1"/>
    <n v="49"/>
    <n v="0"/>
    <d v="2013-04-10T00:00:00"/>
    <s v="Yes"/>
    <x v="1"/>
    <n v="2"/>
    <x v="1"/>
    <x v="1"/>
    <x v="1"/>
  </r>
  <r>
    <s v="REL02041"/>
    <s v="Male"/>
    <n v="46"/>
    <s v="MBA"/>
    <s v="Single"/>
    <x v="7"/>
    <s v="Finance Analyst"/>
    <x v="2"/>
    <x v="7"/>
    <s v="East"/>
    <n v="7"/>
    <n v="82752"/>
    <x v="3"/>
    <n v="1"/>
    <n v="4"/>
    <n v="25"/>
    <n v="0"/>
    <d v="2016-05-11T00:00:00"/>
    <s v="No"/>
    <x v="1"/>
    <n v="4"/>
    <x v="1"/>
    <x v="2"/>
    <x v="0"/>
  </r>
  <r>
    <s v="REL02042"/>
    <s v="Female"/>
    <n v="54"/>
    <s v="MBA"/>
    <s v="Divorced"/>
    <x v="1"/>
    <s v="Operations Head"/>
    <x v="3"/>
    <x v="6"/>
    <s v="South"/>
    <n v="7"/>
    <n v="106330"/>
    <x v="0"/>
    <n v="4"/>
    <n v="2"/>
    <n v="44"/>
    <n v="2"/>
    <d v="2016-12-04T00:00:00"/>
    <s v="No"/>
    <x v="1"/>
    <n v="3"/>
    <x v="1"/>
    <x v="0"/>
    <x v="0"/>
  </r>
  <r>
    <s v="REL02043"/>
    <s v="Female"/>
    <n v="22"/>
    <s v="Graduate"/>
    <s v="Single"/>
    <x v="7"/>
    <s v="Finance Analyst"/>
    <x v="4"/>
    <x v="4"/>
    <s v="North"/>
    <n v="6"/>
    <n v="68405"/>
    <x v="2"/>
    <n v="3"/>
    <n v="3"/>
    <n v="22"/>
    <n v="3"/>
    <d v="2017-04-27T00:00:00"/>
    <s v="No"/>
    <x v="0"/>
    <n v="2"/>
    <x v="1"/>
    <x v="0"/>
    <x v="1"/>
  </r>
  <r>
    <s v="REL02044"/>
    <s v="Female"/>
    <n v="26"/>
    <s v="Graduate"/>
    <s v="Divorced"/>
    <x v="1"/>
    <s v="Logistics Coordinator"/>
    <x v="2"/>
    <x v="9"/>
    <s v="West"/>
    <n v="1"/>
    <n v="53645"/>
    <x v="1"/>
    <n v="3"/>
    <n v="4"/>
    <n v="35"/>
    <n v="2"/>
    <d v="2022-04-16T00:00:00"/>
    <s v="Yes"/>
    <x v="0"/>
    <n v="1"/>
    <x v="3"/>
    <x v="1"/>
    <x v="1"/>
  </r>
  <r>
    <s v="REL02045"/>
    <s v="Female"/>
    <n v="53"/>
    <s v="Graduate"/>
    <s v="Single"/>
    <x v="6"/>
    <s v="Marketing Executive"/>
    <x v="3"/>
    <x v="1"/>
    <s v="North"/>
    <n v="14"/>
    <n v="74374"/>
    <x v="2"/>
    <n v="4"/>
    <n v="2"/>
    <n v="29"/>
    <n v="3"/>
    <d v="2009-08-17T00:00:00"/>
    <s v="No"/>
    <x v="0"/>
    <n v="2"/>
    <x v="2"/>
    <x v="0"/>
    <x v="1"/>
  </r>
  <r>
    <s v="REL02046"/>
    <s v="Female"/>
    <n v="46"/>
    <s v="MBA"/>
    <s v="Divorced"/>
    <x v="7"/>
    <s v="Logistics Coordinator"/>
    <x v="3"/>
    <x v="2"/>
    <s v="West"/>
    <n v="10"/>
    <n v="63645"/>
    <x v="2"/>
    <n v="3"/>
    <n v="3"/>
    <n v="66"/>
    <n v="0"/>
    <d v="2013-04-13T00:00:00"/>
    <s v="No"/>
    <x v="0"/>
    <n v="2"/>
    <x v="1"/>
    <x v="0"/>
    <x v="1"/>
  </r>
  <r>
    <s v="REL02047"/>
    <s v="Male"/>
    <n v="30"/>
    <s v="HSC"/>
    <s v="Single"/>
    <x v="5"/>
    <s v="Finance Analyst"/>
    <x v="2"/>
    <x v="7"/>
    <s v="East"/>
    <n v="14"/>
    <n v="86281"/>
    <x v="2"/>
    <n v="3"/>
    <n v="2"/>
    <n v="66"/>
    <n v="3"/>
    <d v="2009-02-07T00:00:00"/>
    <s v="No"/>
    <x v="1"/>
    <n v="2"/>
    <x v="2"/>
    <x v="0"/>
    <x v="1"/>
  </r>
  <r>
    <s v="REL02048"/>
    <s v="Female"/>
    <n v="43"/>
    <s v="Graduate"/>
    <s v="Single"/>
    <x v="0"/>
    <s v="Logistics Coordinator"/>
    <x v="1"/>
    <x v="6"/>
    <s v="South"/>
    <n v="11"/>
    <n v="67316"/>
    <x v="2"/>
    <n v="4"/>
    <n v="3"/>
    <n v="45"/>
    <n v="0"/>
    <d v="2012-02-10T00:00:00"/>
    <s v="No"/>
    <x v="0"/>
    <n v="2"/>
    <x v="2"/>
    <x v="0"/>
    <x v="1"/>
  </r>
  <r>
    <s v="REL02049"/>
    <s v="Female"/>
    <n v="34"/>
    <s v="Post Graduate"/>
    <s v="Divorced"/>
    <x v="0"/>
    <s v="Marketing Executive"/>
    <x v="0"/>
    <x v="9"/>
    <s v="West"/>
    <n v="9"/>
    <n v="64511"/>
    <x v="0"/>
    <n v="1"/>
    <n v="2"/>
    <n v="62"/>
    <n v="3"/>
    <d v="2014-06-27T00:00:00"/>
    <s v="No"/>
    <x v="0"/>
    <n v="3"/>
    <x v="1"/>
    <x v="0"/>
    <x v="0"/>
  </r>
  <r>
    <s v="REL02050"/>
    <s v="Female"/>
    <n v="27"/>
    <s v="HSC"/>
    <s v="Single"/>
    <x v="0"/>
    <s v="Marketing Executive"/>
    <x v="0"/>
    <x v="8"/>
    <s v="South"/>
    <n v="8"/>
    <n v="71027"/>
    <x v="3"/>
    <n v="4"/>
    <n v="2"/>
    <n v="32"/>
    <n v="2"/>
    <d v="2015-12-06T00:00:00"/>
    <s v="No"/>
    <x v="0"/>
    <n v="4"/>
    <x v="1"/>
    <x v="2"/>
    <x v="1"/>
  </r>
  <r>
    <s v="REL02051"/>
    <s v="Male"/>
    <n v="50"/>
    <s v="BTech"/>
    <s v="Married"/>
    <x v="5"/>
    <s v="HR Manager"/>
    <x v="4"/>
    <x v="3"/>
    <s v="West"/>
    <n v="13"/>
    <n v="104356"/>
    <x v="3"/>
    <n v="2"/>
    <n v="2"/>
    <n v="47"/>
    <n v="3"/>
    <d v="2010-04-15T00:00:00"/>
    <s v="No"/>
    <x v="1"/>
    <n v="4"/>
    <x v="2"/>
    <x v="2"/>
    <x v="0"/>
  </r>
  <r>
    <s v="REL02052"/>
    <s v="Male"/>
    <n v="30"/>
    <s v="MBA"/>
    <s v="Single"/>
    <x v="4"/>
    <s v="Logistics Coordinator"/>
    <x v="3"/>
    <x v="9"/>
    <s v="West"/>
    <n v="12"/>
    <n v="73151"/>
    <x v="2"/>
    <n v="4"/>
    <n v="3"/>
    <n v="24"/>
    <n v="2"/>
    <d v="2011-08-31T00:00:00"/>
    <s v="Yes"/>
    <x v="0"/>
    <n v="2"/>
    <x v="2"/>
    <x v="1"/>
    <x v="1"/>
  </r>
  <r>
    <s v="REL02053"/>
    <s v="Male"/>
    <n v="53"/>
    <s v="MBA"/>
    <s v="Single"/>
    <x v="3"/>
    <s v="Sales Executive"/>
    <x v="4"/>
    <x v="4"/>
    <s v="North"/>
    <n v="14"/>
    <n v="59748"/>
    <x v="2"/>
    <n v="4"/>
    <n v="1"/>
    <n v="51"/>
    <n v="0"/>
    <d v="2009-12-25T00:00:00"/>
    <s v="Yes"/>
    <x v="0"/>
    <n v="2"/>
    <x v="2"/>
    <x v="1"/>
    <x v="1"/>
  </r>
  <r>
    <s v="REL02054"/>
    <s v="Female"/>
    <n v="34"/>
    <s v="BTech"/>
    <s v="Single"/>
    <x v="4"/>
    <s v="Finance Analyst"/>
    <x v="1"/>
    <x v="2"/>
    <s v="West"/>
    <n v="10"/>
    <n v="85590"/>
    <x v="2"/>
    <n v="2"/>
    <n v="1"/>
    <n v="64"/>
    <n v="0"/>
    <d v="2013-02-13T00:00:00"/>
    <s v="No"/>
    <x v="1"/>
    <n v="2"/>
    <x v="1"/>
    <x v="0"/>
    <x v="1"/>
  </r>
  <r>
    <s v="REL02055"/>
    <s v="Male"/>
    <n v="43"/>
    <s v="Graduate"/>
    <s v="Married"/>
    <x v="4"/>
    <s v="Customer Service Rep"/>
    <x v="2"/>
    <x v="8"/>
    <s v="South"/>
    <n v="8"/>
    <n v="49833"/>
    <x v="2"/>
    <n v="2"/>
    <n v="4"/>
    <n v="14"/>
    <n v="1"/>
    <d v="2015-04-08T00:00:00"/>
    <s v="No"/>
    <x v="2"/>
    <n v="2"/>
    <x v="1"/>
    <x v="0"/>
    <x v="1"/>
  </r>
  <r>
    <s v="REL02056"/>
    <s v="Male"/>
    <n v="32"/>
    <s v="BTech"/>
    <s v="Single"/>
    <x v="0"/>
    <s v="Logistics Coordinator"/>
    <x v="3"/>
    <x v="9"/>
    <s v="West"/>
    <n v="6"/>
    <n v="62415"/>
    <x v="1"/>
    <n v="2"/>
    <n v="4"/>
    <n v="22"/>
    <n v="1"/>
    <d v="2017-11-20T00:00:00"/>
    <s v="Yes"/>
    <x v="0"/>
    <n v="1"/>
    <x v="1"/>
    <x v="1"/>
    <x v="1"/>
  </r>
  <r>
    <s v="REL02057"/>
    <s v="Female"/>
    <n v="28"/>
    <s v="Post Graduate"/>
    <s v="Single"/>
    <x v="2"/>
    <s v="Finance Analyst"/>
    <x v="2"/>
    <x v="4"/>
    <s v="North"/>
    <n v="8"/>
    <n v="74308"/>
    <x v="0"/>
    <n v="4"/>
    <n v="4"/>
    <n v="74"/>
    <n v="3"/>
    <d v="2015-03-03T00:00:00"/>
    <s v="No"/>
    <x v="0"/>
    <n v="3"/>
    <x v="1"/>
    <x v="0"/>
    <x v="0"/>
  </r>
  <r>
    <s v="REL02058"/>
    <s v="Female"/>
    <n v="29"/>
    <s v="Graduate"/>
    <s v="Married"/>
    <x v="5"/>
    <s v="Sales Executive"/>
    <x v="1"/>
    <x v="3"/>
    <s v="West"/>
    <n v="8"/>
    <n v="47470"/>
    <x v="3"/>
    <n v="3"/>
    <n v="1"/>
    <n v="73"/>
    <n v="0"/>
    <d v="2015-02-09T00:00:00"/>
    <s v="No"/>
    <x v="2"/>
    <n v="4"/>
    <x v="1"/>
    <x v="2"/>
    <x v="1"/>
  </r>
  <r>
    <s v="REL02059"/>
    <s v="Male"/>
    <n v="38"/>
    <s v="BTech"/>
    <s v="Married"/>
    <x v="1"/>
    <s v="Operations Head"/>
    <x v="1"/>
    <x v="9"/>
    <s v="West"/>
    <n v="8"/>
    <n v="117786"/>
    <x v="2"/>
    <n v="4"/>
    <n v="2"/>
    <n v="65"/>
    <n v="2"/>
    <d v="2015-12-29T00:00:00"/>
    <s v="No"/>
    <x v="1"/>
    <n v="2"/>
    <x v="1"/>
    <x v="0"/>
    <x v="1"/>
  </r>
  <r>
    <s v="REL02060"/>
    <s v="Male"/>
    <n v="22"/>
    <s v="Post Graduate"/>
    <s v="Single"/>
    <x v="0"/>
    <s v="HR Manager"/>
    <x v="0"/>
    <x v="8"/>
    <s v="South"/>
    <n v="10"/>
    <n v="100702"/>
    <x v="2"/>
    <n v="4"/>
    <n v="2"/>
    <n v="59"/>
    <n v="2"/>
    <d v="2013-04-15T00:00:00"/>
    <s v="No"/>
    <x v="1"/>
    <n v="2"/>
    <x v="1"/>
    <x v="0"/>
    <x v="1"/>
  </r>
  <r>
    <s v="REL02061"/>
    <s v="Male"/>
    <n v="42"/>
    <s v="BTech"/>
    <s v="Single"/>
    <x v="2"/>
    <s v="Customer Service Rep"/>
    <x v="3"/>
    <x v="5"/>
    <s v="South"/>
    <n v="12"/>
    <n v="65468"/>
    <x v="1"/>
    <n v="1"/>
    <n v="2"/>
    <n v="33"/>
    <n v="0"/>
    <d v="2011-08-21T00:00:00"/>
    <s v="Yes"/>
    <x v="0"/>
    <n v="1"/>
    <x v="2"/>
    <x v="1"/>
    <x v="1"/>
  </r>
  <r>
    <s v="REL02062"/>
    <s v="Male"/>
    <n v="29"/>
    <s v="HSC"/>
    <s v="Single"/>
    <x v="5"/>
    <s v="Customer Service Rep"/>
    <x v="3"/>
    <x v="9"/>
    <s v="West"/>
    <n v="14"/>
    <n v="58063"/>
    <x v="3"/>
    <n v="2"/>
    <n v="1"/>
    <n v="26"/>
    <n v="3"/>
    <d v="2009-02-21T00:00:00"/>
    <s v="No"/>
    <x v="0"/>
    <n v="4"/>
    <x v="2"/>
    <x v="2"/>
    <x v="1"/>
  </r>
  <r>
    <s v="REL02063"/>
    <s v="Female"/>
    <n v="38"/>
    <s v="Graduate"/>
    <s v="Single"/>
    <x v="1"/>
    <s v="HR Manager"/>
    <x v="2"/>
    <x v="2"/>
    <s v="West"/>
    <n v="10"/>
    <n v="93057"/>
    <x v="3"/>
    <n v="1"/>
    <n v="4"/>
    <n v="25"/>
    <n v="2"/>
    <d v="2013-06-13T00:00:00"/>
    <s v="No"/>
    <x v="1"/>
    <n v="4"/>
    <x v="1"/>
    <x v="2"/>
    <x v="0"/>
  </r>
  <r>
    <s v="REL02064"/>
    <s v="Female"/>
    <n v="35"/>
    <s v="Graduate"/>
    <s v="Divorced"/>
    <x v="0"/>
    <s v="HR Manager"/>
    <x v="2"/>
    <x v="8"/>
    <s v="South"/>
    <n v="4"/>
    <n v="73843"/>
    <x v="1"/>
    <n v="3"/>
    <n v="1"/>
    <n v="12"/>
    <n v="2"/>
    <d v="2019-02-15T00:00:00"/>
    <s v="Yes"/>
    <x v="0"/>
    <n v="1"/>
    <x v="0"/>
    <x v="1"/>
    <x v="1"/>
  </r>
  <r>
    <s v="REL02065"/>
    <s v="Male"/>
    <n v="41"/>
    <s v="BTech"/>
    <s v="Single"/>
    <x v="1"/>
    <s v="Store Manager"/>
    <x v="4"/>
    <x v="6"/>
    <s v="South"/>
    <n v="12"/>
    <n v="111599"/>
    <x v="0"/>
    <n v="1"/>
    <n v="2"/>
    <n v="17"/>
    <n v="2"/>
    <d v="2011-11-01T00:00:00"/>
    <s v="No"/>
    <x v="1"/>
    <n v="3"/>
    <x v="2"/>
    <x v="0"/>
    <x v="0"/>
  </r>
  <r>
    <s v="REL02066"/>
    <s v="Female"/>
    <n v="35"/>
    <s v="BTech"/>
    <s v="Divorced"/>
    <x v="4"/>
    <s v="Customer Service Rep"/>
    <x v="3"/>
    <x v="8"/>
    <s v="South"/>
    <n v="15"/>
    <n v="69531"/>
    <x v="0"/>
    <n v="2"/>
    <n v="3"/>
    <n v="52"/>
    <n v="2"/>
    <d v="2008-03-03T00:00:00"/>
    <s v="No"/>
    <x v="0"/>
    <n v="3"/>
    <x v="2"/>
    <x v="0"/>
    <x v="0"/>
  </r>
  <r>
    <s v="REL02067"/>
    <s v="Male"/>
    <n v="54"/>
    <s v="Post Graduate"/>
    <s v="Married"/>
    <x v="2"/>
    <s v="HR Manager"/>
    <x v="0"/>
    <x v="5"/>
    <s v="South"/>
    <n v="9"/>
    <n v="98925"/>
    <x v="3"/>
    <n v="3"/>
    <n v="2"/>
    <n v="55"/>
    <n v="0"/>
    <d v="2014-01-21T00:00:00"/>
    <s v="No"/>
    <x v="1"/>
    <n v="4"/>
    <x v="1"/>
    <x v="2"/>
    <x v="0"/>
  </r>
  <r>
    <s v="REL02068"/>
    <s v="Male"/>
    <n v="43"/>
    <s v="HSC"/>
    <s v="Divorced"/>
    <x v="5"/>
    <s v="Finance Analyst"/>
    <x v="2"/>
    <x v="1"/>
    <s v="North"/>
    <n v="6"/>
    <n v="75723"/>
    <x v="2"/>
    <n v="1"/>
    <n v="2"/>
    <n v="16"/>
    <n v="0"/>
    <d v="2017-04-08T00:00:00"/>
    <s v="No"/>
    <x v="0"/>
    <n v="2"/>
    <x v="1"/>
    <x v="0"/>
    <x v="1"/>
  </r>
  <r>
    <s v="REL02069"/>
    <s v="Female"/>
    <n v="28"/>
    <s v="HSC"/>
    <s v="Single"/>
    <x v="6"/>
    <s v="Operations Head"/>
    <x v="1"/>
    <x v="4"/>
    <s v="North"/>
    <n v="14"/>
    <n v="121578"/>
    <x v="2"/>
    <n v="3"/>
    <n v="3"/>
    <n v="24"/>
    <n v="2"/>
    <d v="2009-05-17T00:00:00"/>
    <s v="No"/>
    <x v="1"/>
    <n v="2"/>
    <x v="2"/>
    <x v="0"/>
    <x v="1"/>
  </r>
  <r>
    <s v="REL02070"/>
    <s v="Male"/>
    <n v="50"/>
    <s v="MBA"/>
    <s v="Divorced"/>
    <x v="3"/>
    <s v="Operations Head"/>
    <x v="0"/>
    <x v="3"/>
    <s v="West"/>
    <n v="7"/>
    <n v="100345"/>
    <x v="2"/>
    <n v="3"/>
    <n v="3"/>
    <n v="55"/>
    <n v="1"/>
    <d v="2016-07-16T00:00:00"/>
    <s v="No"/>
    <x v="1"/>
    <n v="2"/>
    <x v="1"/>
    <x v="0"/>
    <x v="1"/>
  </r>
  <r>
    <s v="REL02071"/>
    <s v="Male"/>
    <n v="50"/>
    <s v="MBA"/>
    <s v="Married"/>
    <x v="5"/>
    <s v="Store Manager"/>
    <x v="1"/>
    <x v="7"/>
    <s v="East"/>
    <n v="14"/>
    <n v="119639"/>
    <x v="3"/>
    <n v="3"/>
    <n v="4"/>
    <n v="67"/>
    <n v="3"/>
    <d v="2009-01-30T00:00:00"/>
    <s v="No"/>
    <x v="1"/>
    <n v="4"/>
    <x v="2"/>
    <x v="2"/>
    <x v="0"/>
  </r>
  <r>
    <s v="REL02072"/>
    <s v="Female"/>
    <n v="31"/>
    <s v="HSC"/>
    <s v="Divorced"/>
    <x v="4"/>
    <s v="Operations Head"/>
    <x v="0"/>
    <x v="9"/>
    <s v="West"/>
    <n v="6"/>
    <n v="100849"/>
    <x v="0"/>
    <n v="2"/>
    <n v="4"/>
    <n v="70"/>
    <n v="0"/>
    <d v="2017-09-13T00:00:00"/>
    <s v="No"/>
    <x v="1"/>
    <n v="3"/>
    <x v="1"/>
    <x v="0"/>
    <x v="0"/>
  </r>
  <r>
    <s v="REL02073"/>
    <s v="Female"/>
    <n v="48"/>
    <s v="MBA"/>
    <s v="Married"/>
    <x v="7"/>
    <s v="Customer Service Rep"/>
    <x v="4"/>
    <x v="3"/>
    <s v="West"/>
    <n v="14"/>
    <n v="64933"/>
    <x v="2"/>
    <n v="1"/>
    <n v="4"/>
    <n v="64"/>
    <n v="1"/>
    <d v="2009-08-12T00:00:00"/>
    <s v="No"/>
    <x v="0"/>
    <n v="2"/>
    <x v="2"/>
    <x v="0"/>
    <x v="1"/>
  </r>
  <r>
    <s v="REL02074"/>
    <s v="Female"/>
    <n v="23"/>
    <s v="Post Graduate"/>
    <s v="Married"/>
    <x v="5"/>
    <s v="HR Manager"/>
    <x v="3"/>
    <x v="5"/>
    <s v="South"/>
    <n v="2"/>
    <n v="79809"/>
    <x v="1"/>
    <n v="4"/>
    <n v="4"/>
    <n v="43"/>
    <n v="0"/>
    <d v="2021-09-10T00:00:00"/>
    <s v="No"/>
    <x v="0"/>
    <n v="1"/>
    <x v="3"/>
    <x v="3"/>
    <x v="1"/>
  </r>
  <r>
    <s v="REL02075"/>
    <s v="Female"/>
    <n v="47"/>
    <s v="HSC"/>
    <s v="Single"/>
    <x v="4"/>
    <s v="HR Manager"/>
    <x v="4"/>
    <x v="2"/>
    <s v="West"/>
    <n v="15"/>
    <n v="111083"/>
    <x v="0"/>
    <n v="1"/>
    <n v="3"/>
    <n v="57"/>
    <n v="0"/>
    <d v="2008-01-23T00:00:00"/>
    <s v="No"/>
    <x v="1"/>
    <n v="3"/>
    <x v="2"/>
    <x v="0"/>
    <x v="0"/>
  </r>
  <r>
    <s v="REL02076"/>
    <s v="Female"/>
    <n v="37"/>
    <s v="HSC"/>
    <s v="Married"/>
    <x v="4"/>
    <s v="Store Manager"/>
    <x v="4"/>
    <x v="5"/>
    <s v="South"/>
    <n v="15"/>
    <n v="106831"/>
    <x v="1"/>
    <n v="3"/>
    <n v="3"/>
    <n v="56"/>
    <n v="3"/>
    <d v="2008-07-02T00:00:00"/>
    <s v="Yes"/>
    <x v="1"/>
    <n v="1"/>
    <x v="2"/>
    <x v="1"/>
    <x v="2"/>
  </r>
  <r>
    <s v="REL02077"/>
    <s v="Male"/>
    <n v="44"/>
    <s v="Graduate"/>
    <s v="Married"/>
    <x v="2"/>
    <s v="Customer Service Rep"/>
    <x v="3"/>
    <x v="6"/>
    <s v="South"/>
    <n v="4"/>
    <n v="48848"/>
    <x v="0"/>
    <n v="1"/>
    <n v="1"/>
    <n v="74"/>
    <n v="3"/>
    <d v="2019-06-04T00:00:00"/>
    <s v="No"/>
    <x v="2"/>
    <n v="3"/>
    <x v="0"/>
    <x v="0"/>
    <x v="1"/>
  </r>
  <r>
    <s v="REL02078"/>
    <s v="Female"/>
    <n v="42"/>
    <s v="Post Graduate"/>
    <s v="Single"/>
    <x v="4"/>
    <s v="Sales Executive"/>
    <x v="2"/>
    <x v="3"/>
    <s v="West"/>
    <n v="8"/>
    <n v="58142"/>
    <x v="3"/>
    <n v="4"/>
    <n v="2"/>
    <n v="38"/>
    <n v="3"/>
    <d v="2015-01-20T00:00:00"/>
    <s v="No"/>
    <x v="0"/>
    <n v="4"/>
    <x v="1"/>
    <x v="2"/>
    <x v="1"/>
  </r>
  <r>
    <s v="REL02079"/>
    <s v="Female"/>
    <n v="23"/>
    <s v="Graduate"/>
    <s v="Single"/>
    <x v="6"/>
    <s v="Sales Executive"/>
    <x v="4"/>
    <x v="1"/>
    <s v="North"/>
    <n v="14"/>
    <n v="71770"/>
    <x v="0"/>
    <n v="3"/>
    <n v="3"/>
    <n v="80"/>
    <n v="1"/>
    <d v="2009-04-11T00:00:00"/>
    <s v="Yes"/>
    <x v="0"/>
    <n v="3"/>
    <x v="2"/>
    <x v="1"/>
    <x v="0"/>
  </r>
  <r>
    <s v="REL02080"/>
    <s v="Female"/>
    <n v="40"/>
    <s v="Graduate"/>
    <s v="Single"/>
    <x v="2"/>
    <s v="Marketing Executive"/>
    <x v="4"/>
    <x v="4"/>
    <s v="North"/>
    <n v="6"/>
    <n v="57675"/>
    <x v="3"/>
    <n v="2"/>
    <n v="2"/>
    <n v="37"/>
    <n v="3"/>
    <d v="2017-10-12T00:00:00"/>
    <s v="Yes"/>
    <x v="0"/>
    <n v="4"/>
    <x v="1"/>
    <x v="1"/>
    <x v="1"/>
  </r>
  <r>
    <s v="REL02081"/>
    <s v="Female"/>
    <n v="55"/>
    <s v="Post Graduate"/>
    <s v="Divorced"/>
    <x v="7"/>
    <s v="Store Manager"/>
    <x v="1"/>
    <x v="5"/>
    <s v="South"/>
    <n v="3"/>
    <n v="88739"/>
    <x v="3"/>
    <n v="1"/>
    <n v="2"/>
    <n v="77"/>
    <n v="2"/>
    <d v="2020-03-21T00:00:00"/>
    <s v="No"/>
    <x v="1"/>
    <n v="4"/>
    <x v="0"/>
    <x v="2"/>
    <x v="0"/>
  </r>
  <r>
    <s v="REL02082"/>
    <s v="Male"/>
    <n v="39"/>
    <s v="Post Graduate"/>
    <s v="Divorced"/>
    <x v="7"/>
    <s v="Logistics Coordinator"/>
    <x v="1"/>
    <x v="8"/>
    <s v="South"/>
    <n v="13"/>
    <n v="75837"/>
    <x v="3"/>
    <n v="1"/>
    <n v="2"/>
    <n v="48"/>
    <n v="0"/>
    <d v="2010-06-12T00:00:00"/>
    <s v="No"/>
    <x v="0"/>
    <n v="4"/>
    <x v="2"/>
    <x v="2"/>
    <x v="1"/>
  </r>
  <r>
    <s v="REL02083"/>
    <s v="Female"/>
    <n v="39"/>
    <s v="Graduate"/>
    <s v="Married"/>
    <x v="4"/>
    <s v="Operations Head"/>
    <x v="2"/>
    <x v="6"/>
    <s v="South"/>
    <n v="7"/>
    <n v="114752"/>
    <x v="1"/>
    <n v="4"/>
    <n v="2"/>
    <n v="31"/>
    <n v="3"/>
    <d v="2016-06-05T00:00:00"/>
    <s v="Yes"/>
    <x v="1"/>
    <n v="1"/>
    <x v="1"/>
    <x v="1"/>
    <x v="2"/>
  </r>
  <r>
    <s v="REL02084"/>
    <s v="Female"/>
    <n v="50"/>
    <s v="HSC"/>
    <s v="Married"/>
    <x v="6"/>
    <s v="Customer Service Rep"/>
    <x v="3"/>
    <x v="4"/>
    <s v="North"/>
    <n v="8"/>
    <n v="57983"/>
    <x v="0"/>
    <n v="2"/>
    <n v="3"/>
    <n v="59"/>
    <n v="3"/>
    <d v="2015-01-19T00:00:00"/>
    <s v="Yes"/>
    <x v="0"/>
    <n v="3"/>
    <x v="1"/>
    <x v="1"/>
    <x v="0"/>
  </r>
  <r>
    <s v="REL02085"/>
    <s v="Male"/>
    <n v="27"/>
    <s v="HSC"/>
    <s v="Married"/>
    <x v="4"/>
    <s v="Marketing Executive"/>
    <x v="0"/>
    <x v="0"/>
    <s v="North"/>
    <n v="14"/>
    <n v="86646"/>
    <x v="1"/>
    <n v="4"/>
    <n v="4"/>
    <n v="49"/>
    <n v="1"/>
    <d v="2009-07-17T00:00:00"/>
    <s v="No"/>
    <x v="1"/>
    <n v="1"/>
    <x v="2"/>
    <x v="0"/>
    <x v="2"/>
  </r>
  <r>
    <s v="REL02086"/>
    <s v="Female"/>
    <n v="39"/>
    <s v="BTech"/>
    <s v="Married"/>
    <x v="4"/>
    <s v="Logistics Coordinator"/>
    <x v="4"/>
    <x v="5"/>
    <s v="South"/>
    <n v="11"/>
    <n v="76114"/>
    <x v="0"/>
    <n v="4"/>
    <n v="4"/>
    <n v="76"/>
    <n v="0"/>
    <d v="2012-03-25T00:00:00"/>
    <s v="Yes"/>
    <x v="0"/>
    <n v="3"/>
    <x v="2"/>
    <x v="1"/>
    <x v="0"/>
  </r>
  <r>
    <s v="REL02087"/>
    <s v="Female"/>
    <n v="30"/>
    <s v="Post Graduate"/>
    <s v="Single"/>
    <x v="3"/>
    <s v="HR Manager"/>
    <x v="2"/>
    <x v="0"/>
    <s v="North"/>
    <n v="4"/>
    <n v="81725"/>
    <x v="0"/>
    <n v="2"/>
    <n v="4"/>
    <n v="36"/>
    <n v="1"/>
    <d v="2019-03-22T00:00:00"/>
    <s v="No"/>
    <x v="1"/>
    <n v="3"/>
    <x v="0"/>
    <x v="0"/>
    <x v="0"/>
  </r>
  <r>
    <s v="REL02088"/>
    <s v="Female"/>
    <n v="55"/>
    <s v="HSC"/>
    <s v="Married"/>
    <x v="4"/>
    <s v="Sales Executive"/>
    <x v="4"/>
    <x v="9"/>
    <s v="West"/>
    <n v="11"/>
    <n v="58676"/>
    <x v="1"/>
    <n v="2"/>
    <n v="1"/>
    <n v="43"/>
    <n v="2"/>
    <d v="2012-04-27T00:00:00"/>
    <s v="Yes"/>
    <x v="0"/>
    <n v="1"/>
    <x v="2"/>
    <x v="1"/>
    <x v="1"/>
  </r>
  <r>
    <s v="REL02089"/>
    <s v="Male"/>
    <n v="25"/>
    <s v="HSC"/>
    <s v="Married"/>
    <x v="6"/>
    <s v="Logistics Coordinator"/>
    <x v="0"/>
    <x v="7"/>
    <s v="East"/>
    <n v="11"/>
    <n v="69184"/>
    <x v="1"/>
    <n v="1"/>
    <n v="2"/>
    <n v="60"/>
    <n v="3"/>
    <d v="2012-06-20T00:00:00"/>
    <s v="No"/>
    <x v="0"/>
    <n v="1"/>
    <x v="2"/>
    <x v="0"/>
    <x v="1"/>
  </r>
  <r>
    <s v="REL02090"/>
    <s v="Male"/>
    <n v="45"/>
    <s v="MBA"/>
    <s v="Single"/>
    <x v="4"/>
    <s v="Logistics Coordinator"/>
    <x v="0"/>
    <x v="2"/>
    <s v="West"/>
    <n v="4"/>
    <n v="50346"/>
    <x v="2"/>
    <n v="3"/>
    <n v="4"/>
    <n v="55"/>
    <n v="1"/>
    <d v="2019-05-08T00:00:00"/>
    <s v="No"/>
    <x v="0"/>
    <n v="2"/>
    <x v="0"/>
    <x v="0"/>
    <x v="1"/>
  </r>
  <r>
    <s v="REL02091"/>
    <s v="Female"/>
    <n v="50"/>
    <s v="HSC"/>
    <s v="Married"/>
    <x v="4"/>
    <s v="Operations Head"/>
    <x v="2"/>
    <x v="8"/>
    <s v="South"/>
    <n v="1"/>
    <n v="91945"/>
    <x v="3"/>
    <n v="1"/>
    <n v="3"/>
    <n v="27"/>
    <n v="0"/>
    <d v="2022-01-16T00:00:00"/>
    <s v="Yes"/>
    <x v="1"/>
    <n v="4"/>
    <x v="3"/>
    <x v="1"/>
    <x v="0"/>
  </r>
  <r>
    <s v="REL02092"/>
    <s v="Female"/>
    <n v="28"/>
    <s v="Post Graduate"/>
    <s v="Single"/>
    <x v="5"/>
    <s v="Customer Service Rep"/>
    <x v="4"/>
    <x v="5"/>
    <s v="South"/>
    <n v="10"/>
    <n v="45711"/>
    <x v="3"/>
    <n v="3"/>
    <n v="3"/>
    <n v="16"/>
    <n v="0"/>
    <d v="2013-06-08T00:00:00"/>
    <s v="No"/>
    <x v="2"/>
    <n v="4"/>
    <x v="1"/>
    <x v="2"/>
    <x v="1"/>
  </r>
  <r>
    <s v="REL02093"/>
    <s v="Male"/>
    <n v="33"/>
    <s v="MBA"/>
    <s v="Divorced"/>
    <x v="1"/>
    <s v="Finance Analyst"/>
    <x v="2"/>
    <x v="8"/>
    <s v="South"/>
    <n v="12"/>
    <n v="87871"/>
    <x v="0"/>
    <n v="1"/>
    <n v="3"/>
    <n v="26"/>
    <n v="1"/>
    <d v="2011-01-06T00:00:00"/>
    <s v="No"/>
    <x v="1"/>
    <n v="3"/>
    <x v="2"/>
    <x v="0"/>
    <x v="0"/>
  </r>
  <r>
    <s v="REL02094"/>
    <s v="Male"/>
    <n v="30"/>
    <s v="BTech"/>
    <s v="Single"/>
    <x v="2"/>
    <s v="Sales Executive"/>
    <x v="4"/>
    <x v="5"/>
    <s v="South"/>
    <n v="1"/>
    <n v="48091"/>
    <x v="1"/>
    <n v="3"/>
    <n v="3"/>
    <n v="68"/>
    <n v="2"/>
    <d v="2022-06-29T00:00:00"/>
    <s v="Yes"/>
    <x v="2"/>
    <n v="1"/>
    <x v="3"/>
    <x v="1"/>
    <x v="1"/>
  </r>
  <r>
    <s v="REL02095"/>
    <s v="Male"/>
    <n v="44"/>
    <s v="BTech"/>
    <s v="Divorced"/>
    <x v="6"/>
    <s v="HR Manager"/>
    <x v="0"/>
    <x v="4"/>
    <s v="North"/>
    <n v="6"/>
    <n v="92501"/>
    <x v="3"/>
    <n v="4"/>
    <n v="1"/>
    <n v="24"/>
    <n v="2"/>
    <d v="2017-01-07T00:00:00"/>
    <s v="Yes"/>
    <x v="1"/>
    <n v="4"/>
    <x v="1"/>
    <x v="1"/>
    <x v="0"/>
  </r>
  <r>
    <s v="REL02096"/>
    <s v="Female"/>
    <n v="29"/>
    <s v="Post Graduate"/>
    <s v="Single"/>
    <x v="5"/>
    <s v="Operations Head"/>
    <x v="1"/>
    <x v="5"/>
    <s v="South"/>
    <n v="1"/>
    <n v="87204"/>
    <x v="0"/>
    <n v="4"/>
    <n v="1"/>
    <n v="11"/>
    <n v="1"/>
    <d v="2022-05-01T00:00:00"/>
    <s v="No"/>
    <x v="1"/>
    <n v="3"/>
    <x v="3"/>
    <x v="0"/>
    <x v="0"/>
  </r>
  <r>
    <s v="REL02097"/>
    <s v="Female"/>
    <n v="37"/>
    <s v="Post Graduate"/>
    <s v="Single"/>
    <x v="2"/>
    <s v="Customer Service Rep"/>
    <x v="3"/>
    <x v="6"/>
    <s v="South"/>
    <n v="5"/>
    <n v="41591"/>
    <x v="1"/>
    <n v="3"/>
    <n v="2"/>
    <n v="20"/>
    <n v="1"/>
    <d v="2018-08-11T00:00:00"/>
    <s v="Yes"/>
    <x v="2"/>
    <n v="1"/>
    <x v="0"/>
    <x v="1"/>
    <x v="1"/>
  </r>
  <r>
    <s v="REL02098"/>
    <s v="Female"/>
    <n v="24"/>
    <s v="Post Graduate"/>
    <s v="Single"/>
    <x v="4"/>
    <s v="Logistics Coordinator"/>
    <x v="2"/>
    <x v="9"/>
    <s v="West"/>
    <n v="3"/>
    <n v="54925"/>
    <x v="3"/>
    <n v="2"/>
    <n v="4"/>
    <n v="21"/>
    <n v="3"/>
    <d v="2020-07-06T00:00:00"/>
    <s v="No"/>
    <x v="0"/>
    <n v="4"/>
    <x v="0"/>
    <x v="2"/>
    <x v="1"/>
  </r>
  <r>
    <s v="REL02099"/>
    <s v="Female"/>
    <n v="43"/>
    <s v="Post Graduate"/>
    <s v="Married"/>
    <x v="5"/>
    <s v="HR Manager"/>
    <x v="1"/>
    <x v="7"/>
    <s v="East"/>
    <n v="7"/>
    <n v="87209"/>
    <x v="3"/>
    <n v="4"/>
    <n v="2"/>
    <n v="16"/>
    <n v="1"/>
    <d v="2016-07-20T00:00:00"/>
    <s v="No"/>
    <x v="1"/>
    <n v="4"/>
    <x v="1"/>
    <x v="2"/>
    <x v="0"/>
  </r>
  <r>
    <s v="REL02100"/>
    <s v="Female"/>
    <n v="49"/>
    <s v="BTech"/>
    <s v="Married"/>
    <x v="7"/>
    <s v="Customer Service Rep"/>
    <x v="4"/>
    <x v="2"/>
    <s v="West"/>
    <n v="8"/>
    <n v="44694"/>
    <x v="0"/>
    <n v="1"/>
    <n v="4"/>
    <n v="10"/>
    <n v="2"/>
    <d v="2015-12-31T00:00:00"/>
    <s v="Yes"/>
    <x v="2"/>
    <n v="3"/>
    <x v="1"/>
    <x v="1"/>
    <x v="1"/>
  </r>
  <r>
    <s v="REL02101"/>
    <s v="Male"/>
    <n v="33"/>
    <s v="Post Graduate"/>
    <s v="Married"/>
    <x v="2"/>
    <s v="Sales Executive"/>
    <x v="4"/>
    <x v="9"/>
    <s v="West"/>
    <n v="2"/>
    <n v="46552"/>
    <x v="0"/>
    <n v="2"/>
    <n v="2"/>
    <n v="39"/>
    <n v="0"/>
    <d v="2021-01-14T00:00:00"/>
    <s v="No"/>
    <x v="2"/>
    <n v="3"/>
    <x v="3"/>
    <x v="0"/>
    <x v="1"/>
  </r>
  <r>
    <s v="REL02102"/>
    <s v="Female"/>
    <n v="25"/>
    <s v="MBA"/>
    <s v="Divorced"/>
    <x v="4"/>
    <s v="Customer Service Rep"/>
    <x v="1"/>
    <x v="7"/>
    <s v="East"/>
    <n v="12"/>
    <n v="51683"/>
    <x v="2"/>
    <n v="3"/>
    <n v="2"/>
    <n v="28"/>
    <n v="0"/>
    <d v="2011-07-19T00:00:00"/>
    <s v="No"/>
    <x v="0"/>
    <n v="2"/>
    <x v="2"/>
    <x v="0"/>
    <x v="1"/>
  </r>
  <r>
    <s v="REL02103"/>
    <s v="Female"/>
    <n v="43"/>
    <s v="Graduate"/>
    <s v="Divorced"/>
    <x v="1"/>
    <s v="HR Manager"/>
    <x v="4"/>
    <x v="1"/>
    <s v="North"/>
    <n v="5"/>
    <n v="87974"/>
    <x v="0"/>
    <n v="1"/>
    <n v="2"/>
    <n v="14"/>
    <n v="2"/>
    <d v="2018-06-05T00:00:00"/>
    <s v="No"/>
    <x v="1"/>
    <n v="3"/>
    <x v="0"/>
    <x v="0"/>
    <x v="0"/>
  </r>
  <r>
    <s v="REL02104"/>
    <s v="Male"/>
    <n v="34"/>
    <s v="HSC"/>
    <s v="Married"/>
    <x v="2"/>
    <s v="Store Manager"/>
    <x v="0"/>
    <x v="0"/>
    <s v="North"/>
    <n v="9"/>
    <n v="103356"/>
    <x v="2"/>
    <n v="3"/>
    <n v="2"/>
    <n v="38"/>
    <n v="3"/>
    <d v="2014-12-09T00:00:00"/>
    <s v="Yes"/>
    <x v="1"/>
    <n v="2"/>
    <x v="1"/>
    <x v="1"/>
    <x v="1"/>
  </r>
  <r>
    <s v="REL02105"/>
    <s v="Male"/>
    <n v="22"/>
    <s v="BTech"/>
    <s v="Divorced"/>
    <x v="1"/>
    <s v="Customer Service Rep"/>
    <x v="4"/>
    <x v="5"/>
    <s v="South"/>
    <n v="8"/>
    <n v="50917"/>
    <x v="2"/>
    <n v="3"/>
    <n v="1"/>
    <n v="61"/>
    <n v="2"/>
    <d v="2015-05-10T00:00:00"/>
    <s v="No"/>
    <x v="0"/>
    <n v="2"/>
    <x v="1"/>
    <x v="0"/>
    <x v="1"/>
  </r>
  <r>
    <s v="REL02106"/>
    <s v="Female"/>
    <n v="50"/>
    <s v="Graduate"/>
    <s v="Single"/>
    <x v="7"/>
    <s v="HR Manager"/>
    <x v="3"/>
    <x v="5"/>
    <s v="South"/>
    <n v="11"/>
    <n v="90142"/>
    <x v="3"/>
    <n v="2"/>
    <n v="3"/>
    <n v="31"/>
    <n v="1"/>
    <d v="2012-12-29T00:00:00"/>
    <s v="No"/>
    <x v="1"/>
    <n v="4"/>
    <x v="2"/>
    <x v="2"/>
    <x v="0"/>
  </r>
  <r>
    <s v="REL02107"/>
    <s v="Female"/>
    <n v="50"/>
    <s v="HSC"/>
    <s v="Single"/>
    <x v="7"/>
    <s v="Customer Service Rep"/>
    <x v="4"/>
    <x v="5"/>
    <s v="South"/>
    <n v="11"/>
    <n v="59474"/>
    <x v="1"/>
    <n v="3"/>
    <n v="1"/>
    <n v="73"/>
    <n v="1"/>
    <d v="2012-05-16T00:00:00"/>
    <s v="Yes"/>
    <x v="0"/>
    <n v="1"/>
    <x v="2"/>
    <x v="1"/>
    <x v="1"/>
  </r>
  <r>
    <s v="REL02108"/>
    <s v="Female"/>
    <n v="34"/>
    <s v="Post Graduate"/>
    <s v="Divorced"/>
    <x v="1"/>
    <s v="Customer Service Rep"/>
    <x v="4"/>
    <x v="4"/>
    <s v="North"/>
    <n v="1"/>
    <n v="38897"/>
    <x v="3"/>
    <n v="1"/>
    <n v="4"/>
    <n v="37"/>
    <n v="3"/>
    <d v="2022-11-20T00:00:00"/>
    <s v="No"/>
    <x v="2"/>
    <n v="4"/>
    <x v="3"/>
    <x v="2"/>
    <x v="1"/>
  </r>
  <r>
    <s v="REL02109"/>
    <s v="Female"/>
    <n v="44"/>
    <s v="Post Graduate"/>
    <s v="Divorced"/>
    <x v="7"/>
    <s v="Operations Head"/>
    <x v="4"/>
    <x v="8"/>
    <s v="South"/>
    <n v="12"/>
    <n v="110414"/>
    <x v="2"/>
    <n v="3"/>
    <n v="2"/>
    <n v="57"/>
    <n v="3"/>
    <d v="2011-07-09T00:00:00"/>
    <s v="No"/>
    <x v="1"/>
    <n v="2"/>
    <x v="2"/>
    <x v="0"/>
    <x v="1"/>
  </r>
  <r>
    <s v="REL02110"/>
    <s v="Female"/>
    <n v="42"/>
    <s v="MBA"/>
    <s v="Single"/>
    <x v="7"/>
    <s v="Operations Head"/>
    <x v="3"/>
    <x v="3"/>
    <s v="West"/>
    <n v="1"/>
    <n v="99843"/>
    <x v="2"/>
    <n v="2"/>
    <n v="4"/>
    <n v="24"/>
    <n v="1"/>
    <d v="2022-12-26T00:00:00"/>
    <s v="No"/>
    <x v="1"/>
    <n v="2"/>
    <x v="3"/>
    <x v="0"/>
    <x v="1"/>
  </r>
  <r>
    <s v="REL02111"/>
    <s v="Male"/>
    <n v="29"/>
    <s v="Graduate"/>
    <s v="Divorced"/>
    <x v="0"/>
    <s v="Sales Executive"/>
    <x v="2"/>
    <x v="2"/>
    <s v="West"/>
    <n v="13"/>
    <n v="59974"/>
    <x v="1"/>
    <n v="2"/>
    <n v="4"/>
    <n v="10"/>
    <n v="0"/>
    <d v="2010-04-17T00:00:00"/>
    <s v="Yes"/>
    <x v="0"/>
    <n v="1"/>
    <x v="2"/>
    <x v="1"/>
    <x v="1"/>
  </r>
  <r>
    <s v="REL02112"/>
    <s v="Male"/>
    <n v="30"/>
    <s v="MBA"/>
    <s v="Divorced"/>
    <x v="4"/>
    <s v="Sales Executive"/>
    <x v="1"/>
    <x v="4"/>
    <s v="North"/>
    <n v="14"/>
    <n v="73314"/>
    <x v="3"/>
    <n v="4"/>
    <n v="2"/>
    <n v="77"/>
    <n v="0"/>
    <d v="2009-12-10T00:00:00"/>
    <s v="Yes"/>
    <x v="0"/>
    <n v="4"/>
    <x v="2"/>
    <x v="1"/>
    <x v="1"/>
  </r>
  <r>
    <s v="REL02113"/>
    <s v="Female"/>
    <n v="30"/>
    <s v="MBA"/>
    <s v="Divorced"/>
    <x v="7"/>
    <s v="Finance Analyst"/>
    <x v="3"/>
    <x v="7"/>
    <s v="East"/>
    <n v="14"/>
    <n v="79630"/>
    <x v="1"/>
    <n v="2"/>
    <n v="1"/>
    <n v="23"/>
    <n v="2"/>
    <d v="2009-01-26T00:00:00"/>
    <s v="Yes"/>
    <x v="0"/>
    <n v="1"/>
    <x v="2"/>
    <x v="1"/>
    <x v="1"/>
  </r>
  <r>
    <s v="REL02114"/>
    <s v="Female"/>
    <n v="46"/>
    <s v="BTech"/>
    <s v="Divorced"/>
    <x v="6"/>
    <s v="Finance Analyst"/>
    <x v="0"/>
    <x v="2"/>
    <s v="West"/>
    <n v="1"/>
    <n v="66732"/>
    <x v="1"/>
    <n v="1"/>
    <n v="2"/>
    <n v="29"/>
    <n v="0"/>
    <d v="2022-07-23T00:00:00"/>
    <s v="No"/>
    <x v="0"/>
    <n v="1"/>
    <x v="3"/>
    <x v="3"/>
    <x v="1"/>
  </r>
  <r>
    <s v="REL02115"/>
    <s v="Male"/>
    <n v="44"/>
    <s v="Graduate"/>
    <s v="Single"/>
    <x v="2"/>
    <s v="Marketing Executive"/>
    <x v="2"/>
    <x v="7"/>
    <s v="East"/>
    <n v="7"/>
    <n v="72642"/>
    <x v="2"/>
    <n v="4"/>
    <n v="3"/>
    <n v="23"/>
    <n v="3"/>
    <d v="2016-08-11T00:00:00"/>
    <s v="No"/>
    <x v="0"/>
    <n v="2"/>
    <x v="1"/>
    <x v="0"/>
    <x v="1"/>
  </r>
  <r>
    <s v="REL02116"/>
    <s v="Male"/>
    <n v="29"/>
    <s v="MBA"/>
    <s v="Divorced"/>
    <x v="4"/>
    <s v="Finance Analyst"/>
    <x v="1"/>
    <x v="9"/>
    <s v="West"/>
    <n v="11"/>
    <n v="78197"/>
    <x v="1"/>
    <n v="4"/>
    <n v="3"/>
    <n v="75"/>
    <n v="3"/>
    <d v="2012-11-03T00:00:00"/>
    <s v="No"/>
    <x v="0"/>
    <n v="1"/>
    <x v="2"/>
    <x v="0"/>
    <x v="1"/>
  </r>
  <r>
    <s v="REL02117"/>
    <s v="Male"/>
    <n v="45"/>
    <s v="MBA"/>
    <s v="Divorced"/>
    <x v="7"/>
    <s v="Customer Service Rep"/>
    <x v="3"/>
    <x v="8"/>
    <s v="South"/>
    <n v="6"/>
    <n v="55024"/>
    <x v="0"/>
    <n v="4"/>
    <n v="1"/>
    <n v="32"/>
    <n v="2"/>
    <d v="2017-09-14T00:00:00"/>
    <s v="No"/>
    <x v="0"/>
    <n v="3"/>
    <x v="1"/>
    <x v="0"/>
    <x v="0"/>
  </r>
  <r>
    <s v="REL02118"/>
    <s v="Male"/>
    <n v="31"/>
    <s v="MBA"/>
    <s v="Married"/>
    <x v="0"/>
    <s v="Logistics Coordinator"/>
    <x v="4"/>
    <x v="6"/>
    <s v="South"/>
    <n v="1"/>
    <n v="45328"/>
    <x v="0"/>
    <n v="1"/>
    <n v="1"/>
    <n v="63"/>
    <n v="1"/>
    <d v="2022-02-08T00:00:00"/>
    <s v="No"/>
    <x v="2"/>
    <n v="3"/>
    <x v="3"/>
    <x v="0"/>
    <x v="1"/>
  </r>
  <r>
    <s v="REL02119"/>
    <s v="Male"/>
    <n v="24"/>
    <s v="HSC"/>
    <s v="Divorced"/>
    <x v="5"/>
    <s v="Sales Executive"/>
    <x v="2"/>
    <x v="5"/>
    <s v="South"/>
    <n v="4"/>
    <n v="46038"/>
    <x v="3"/>
    <n v="4"/>
    <n v="2"/>
    <n v="75"/>
    <n v="3"/>
    <d v="2019-05-03T00:00:00"/>
    <s v="No"/>
    <x v="2"/>
    <n v="4"/>
    <x v="0"/>
    <x v="2"/>
    <x v="1"/>
  </r>
  <r>
    <s v="REL02120"/>
    <s v="Male"/>
    <n v="25"/>
    <s v="Post Graduate"/>
    <s v="Divorced"/>
    <x v="1"/>
    <s v="Customer Service Rep"/>
    <x v="2"/>
    <x v="7"/>
    <s v="East"/>
    <n v="14"/>
    <n v="58830"/>
    <x v="2"/>
    <n v="3"/>
    <n v="4"/>
    <n v="42"/>
    <n v="3"/>
    <d v="2009-01-16T00:00:00"/>
    <s v="No"/>
    <x v="0"/>
    <n v="2"/>
    <x v="2"/>
    <x v="0"/>
    <x v="1"/>
  </r>
  <r>
    <s v="REL02121"/>
    <s v="Male"/>
    <n v="40"/>
    <s v="HSC"/>
    <s v="Single"/>
    <x v="2"/>
    <s v="HR Manager"/>
    <x v="4"/>
    <x v="1"/>
    <s v="North"/>
    <n v="9"/>
    <n v="96213"/>
    <x v="0"/>
    <n v="4"/>
    <n v="2"/>
    <n v="31"/>
    <n v="1"/>
    <d v="2014-01-28T00:00:00"/>
    <s v="No"/>
    <x v="1"/>
    <n v="3"/>
    <x v="1"/>
    <x v="0"/>
    <x v="0"/>
  </r>
  <r>
    <s v="REL02122"/>
    <s v="Male"/>
    <n v="39"/>
    <s v="MBA"/>
    <s v="Married"/>
    <x v="1"/>
    <s v="Finance Analyst"/>
    <x v="4"/>
    <x v="6"/>
    <s v="South"/>
    <n v="11"/>
    <n v="88734"/>
    <x v="1"/>
    <n v="1"/>
    <n v="3"/>
    <n v="51"/>
    <n v="3"/>
    <d v="2012-12-30T00:00:00"/>
    <s v="Yes"/>
    <x v="1"/>
    <n v="1"/>
    <x v="2"/>
    <x v="1"/>
    <x v="2"/>
  </r>
  <r>
    <s v="REL02123"/>
    <s v="Female"/>
    <n v="35"/>
    <s v="HSC"/>
    <s v="Divorced"/>
    <x v="7"/>
    <s v="Operations Head"/>
    <x v="1"/>
    <x v="9"/>
    <s v="West"/>
    <n v="8"/>
    <n v="107679"/>
    <x v="3"/>
    <n v="3"/>
    <n v="2"/>
    <n v="54"/>
    <n v="1"/>
    <d v="2015-10-31T00:00:00"/>
    <s v="Yes"/>
    <x v="1"/>
    <n v="4"/>
    <x v="1"/>
    <x v="1"/>
    <x v="0"/>
  </r>
  <r>
    <s v="REL02124"/>
    <s v="Female"/>
    <n v="32"/>
    <s v="Graduate"/>
    <s v="Divorced"/>
    <x v="2"/>
    <s v="Customer Service Rep"/>
    <x v="4"/>
    <x v="1"/>
    <s v="North"/>
    <n v="8"/>
    <n v="42037"/>
    <x v="2"/>
    <n v="3"/>
    <n v="1"/>
    <n v="34"/>
    <n v="3"/>
    <d v="2015-10-23T00:00:00"/>
    <s v="No"/>
    <x v="2"/>
    <n v="2"/>
    <x v="1"/>
    <x v="0"/>
    <x v="1"/>
  </r>
  <r>
    <s v="REL02125"/>
    <s v="Male"/>
    <n v="48"/>
    <s v="BTech"/>
    <s v="Married"/>
    <x v="5"/>
    <s v="HR Manager"/>
    <x v="3"/>
    <x v="4"/>
    <s v="North"/>
    <n v="7"/>
    <n v="87407"/>
    <x v="2"/>
    <n v="4"/>
    <n v="1"/>
    <n v="76"/>
    <n v="2"/>
    <d v="2016-09-22T00:00:00"/>
    <s v="No"/>
    <x v="1"/>
    <n v="2"/>
    <x v="1"/>
    <x v="0"/>
    <x v="1"/>
  </r>
  <r>
    <s v="REL02126"/>
    <s v="Male"/>
    <n v="23"/>
    <s v="HSC"/>
    <s v="Single"/>
    <x v="0"/>
    <s v="Operations Head"/>
    <x v="3"/>
    <x v="7"/>
    <s v="East"/>
    <n v="4"/>
    <n v="101717"/>
    <x v="2"/>
    <n v="4"/>
    <n v="4"/>
    <n v="43"/>
    <n v="1"/>
    <d v="2019-12-03T00:00:00"/>
    <s v="Yes"/>
    <x v="1"/>
    <n v="2"/>
    <x v="0"/>
    <x v="1"/>
    <x v="1"/>
  </r>
  <r>
    <s v="REL02127"/>
    <s v="Female"/>
    <n v="29"/>
    <s v="Post Graduate"/>
    <s v="Single"/>
    <x v="4"/>
    <s v="Store Manager"/>
    <x v="1"/>
    <x v="7"/>
    <s v="East"/>
    <n v="2"/>
    <n v="82499"/>
    <x v="0"/>
    <n v="2"/>
    <n v="3"/>
    <n v="67"/>
    <n v="2"/>
    <d v="2021-11-26T00:00:00"/>
    <s v="No"/>
    <x v="1"/>
    <n v="3"/>
    <x v="3"/>
    <x v="0"/>
    <x v="0"/>
  </r>
  <r>
    <s v="REL02128"/>
    <s v="Male"/>
    <n v="41"/>
    <s v="MBA"/>
    <s v="Married"/>
    <x v="4"/>
    <s v="Sales Executive"/>
    <x v="1"/>
    <x v="5"/>
    <s v="South"/>
    <n v="2"/>
    <n v="44647"/>
    <x v="3"/>
    <n v="4"/>
    <n v="1"/>
    <n v="21"/>
    <n v="3"/>
    <d v="2021-12-13T00:00:00"/>
    <s v="No"/>
    <x v="2"/>
    <n v="4"/>
    <x v="3"/>
    <x v="2"/>
    <x v="1"/>
  </r>
  <r>
    <s v="REL02129"/>
    <s v="Male"/>
    <n v="22"/>
    <s v="Post Graduate"/>
    <s v="Single"/>
    <x v="3"/>
    <s v="Customer Service Rep"/>
    <x v="3"/>
    <x v="8"/>
    <s v="South"/>
    <n v="5"/>
    <n v="45595"/>
    <x v="0"/>
    <n v="2"/>
    <n v="3"/>
    <n v="42"/>
    <n v="3"/>
    <d v="2018-06-03T00:00:00"/>
    <s v="No"/>
    <x v="2"/>
    <n v="3"/>
    <x v="0"/>
    <x v="0"/>
    <x v="1"/>
  </r>
  <r>
    <s v="REL02130"/>
    <s v="Female"/>
    <n v="37"/>
    <s v="HSC"/>
    <s v="Single"/>
    <x v="3"/>
    <s v="Operations Head"/>
    <x v="2"/>
    <x v="4"/>
    <s v="North"/>
    <n v="10"/>
    <n v="105129"/>
    <x v="0"/>
    <n v="3"/>
    <n v="4"/>
    <n v="59"/>
    <n v="0"/>
    <d v="2013-11-22T00:00:00"/>
    <s v="No"/>
    <x v="1"/>
    <n v="3"/>
    <x v="1"/>
    <x v="0"/>
    <x v="0"/>
  </r>
  <r>
    <s v="REL02131"/>
    <s v="Male"/>
    <n v="25"/>
    <s v="MBA"/>
    <s v="Divorced"/>
    <x v="5"/>
    <s v="Store Manager"/>
    <x v="0"/>
    <x v="4"/>
    <s v="North"/>
    <n v="11"/>
    <n v="98659"/>
    <x v="1"/>
    <n v="3"/>
    <n v="1"/>
    <n v="60"/>
    <n v="1"/>
    <d v="2012-08-29T00:00:00"/>
    <s v="Yes"/>
    <x v="1"/>
    <n v="1"/>
    <x v="2"/>
    <x v="1"/>
    <x v="2"/>
  </r>
  <r>
    <s v="REL02132"/>
    <s v="Male"/>
    <n v="40"/>
    <s v="Graduate"/>
    <s v="Married"/>
    <x v="3"/>
    <s v="Sales Executive"/>
    <x v="4"/>
    <x v="7"/>
    <s v="East"/>
    <n v="11"/>
    <n v="57810"/>
    <x v="2"/>
    <n v="3"/>
    <n v="4"/>
    <n v="18"/>
    <n v="3"/>
    <d v="2012-10-08T00:00:00"/>
    <s v="Yes"/>
    <x v="0"/>
    <n v="2"/>
    <x v="2"/>
    <x v="1"/>
    <x v="1"/>
  </r>
  <r>
    <s v="REL02133"/>
    <s v="Female"/>
    <n v="29"/>
    <s v="Post Graduate"/>
    <s v="Single"/>
    <x v="0"/>
    <s v="Operations Head"/>
    <x v="1"/>
    <x v="1"/>
    <s v="North"/>
    <n v="7"/>
    <n v="101814"/>
    <x v="2"/>
    <n v="2"/>
    <n v="4"/>
    <n v="60"/>
    <n v="2"/>
    <d v="2016-07-15T00:00:00"/>
    <s v="No"/>
    <x v="1"/>
    <n v="2"/>
    <x v="1"/>
    <x v="0"/>
    <x v="1"/>
  </r>
  <r>
    <s v="REL02134"/>
    <s v="Female"/>
    <n v="29"/>
    <s v="MBA"/>
    <s v="Divorced"/>
    <x v="3"/>
    <s v="Sales Executive"/>
    <x v="1"/>
    <x v="3"/>
    <s v="West"/>
    <n v="10"/>
    <n v="60772"/>
    <x v="2"/>
    <n v="1"/>
    <n v="3"/>
    <n v="70"/>
    <n v="1"/>
    <d v="2013-01-12T00:00:00"/>
    <s v="No"/>
    <x v="0"/>
    <n v="2"/>
    <x v="1"/>
    <x v="0"/>
    <x v="1"/>
  </r>
  <r>
    <s v="REL02135"/>
    <s v="Male"/>
    <n v="29"/>
    <s v="Graduate"/>
    <s v="Divorced"/>
    <x v="0"/>
    <s v="Operations Head"/>
    <x v="0"/>
    <x v="4"/>
    <s v="North"/>
    <n v="12"/>
    <n v="128419"/>
    <x v="0"/>
    <n v="3"/>
    <n v="2"/>
    <n v="44"/>
    <n v="0"/>
    <d v="2011-10-09T00:00:00"/>
    <s v="No"/>
    <x v="1"/>
    <n v="3"/>
    <x v="2"/>
    <x v="0"/>
    <x v="0"/>
  </r>
  <r>
    <s v="REL02136"/>
    <s v="Female"/>
    <n v="34"/>
    <s v="BTech"/>
    <s v="Single"/>
    <x v="2"/>
    <s v="Sales Executive"/>
    <x v="0"/>
    <x v="8"/>
    <s v="South"/>
    <n v="13"/>
    <n v="63090"/>
    <x v="3"/>
    <n v="3"/>
    <n v="2"/>
    <n v="62"/>
    <n v="2"/>
    <d v="2010-07-03T00:00:00"/>
    <s v="No"/>
    <x v="0"/>
    <n v="4"/>
    <x v="2"/>
    <x v="2"/>
    <x v="1"/>
  </r>
  <r>
    <s v="REL02137"/>
    <s v="Male"/>
    <n v="31"/>
    <s v="Graduate"/>
    <s v="Divorced"/>
    <x v="0"/>
    <s v="Store Manager"/>
    <x v="4"/>
    <x v="6"/>
    <s v="South"/>
    <n v="14"/>
    <n v="106541"/>
    <x v="0"/>
    <n v="3"/>
    <n v="3"/>
    <n v="65"/>
    <n v="3"/>
    <d v="2009-08-03T00:00:00"/>
    <s v="No"/>
    <x v="1"/>
    <n v="3"/>
    <x v="2"/>
    <x v="0"/>
    <x v="0"/>
  </r>
  <r>
    <s v="REL02138"/>
    <s v="Male"/>
    <n v="29"/>
    <s v="Post Graduate"/>
    <s v="Divorced"/>
    <x v="5"/>
    <s v="Sales Executive"/>
    <x v="1"/>
    <x v="2"/>
    <s v="West"/>
    <n v="9"/>
    <n v="65775"/>
    <x v="2"/>
    <n v="4"/>
    <n v="4"/>
    <n v="51"/>
    <n v="0"/>
    <d v="2014-05-11T00:00:00"/>
    <s v="No"/>
    <x v="0"/>
    <n v="2"/>
    <x v="1"/>
    <x v="0"/>
    <x v="1"/>
  </r>
  <r>
    <s v="REL02139"/>
    <s v="Male"/>
    <n v="28"/>
    <s v="Graduate"/>
    <s v="Single"/>
    <x v="4"/>
    <s v="Customer Service Rep"/>
    <x v="0"/>
    <x v="2"/>
    <s v="West"/>
    <n v="15"/>
    <n v="61271"/>
    <x v="3"/>
    <n v="1"/>
    <n v="3"/>
    <n v="27"/>
    <n v="1"/>
    <d v="2008-11-07T00:00:00"/>
    <s v="No"/>
    <x v="0"/>
    <n v="4"/>
    <x v="2"/>
    <x v="2"/>
    <x v="1"/>
  </r>
  <r>
    <s v="REL02140"/>
    <s v="Female"/>
    <n v="22"/>
    <s v="Post Graduate"/>
    <s v="Single"/>
    <x v="5"/>
    <s v="Marketing Executive"/>
    <x v="3"/>
    <x v="0"/>
    <s v="North"/>
    <n v="15"/>
    <n v="79496"/>
    <x v="0"/>
    <n v="3"/>
    <n v="4"/>
    <n v="32"/>
    <n v="3"/>
    <d v="2008-04-01T00:00:00"/>
    <s v="No"/>
    <x v="0"/>
    <n v="3"/>
    <x v="2"/>
    <x v="0"/>
    <x v="0"/>
  </r>
  <r>
    <s v="REL02141"/>
    <s v="Male"/>
    <n v="37"/>
    <s v="BTech"/>
    <s v="Married"/>
    <x v="2"/>
    <s v="HR Manager"/>
    <x v="2"/>
    <x v="9"/>
    <s v="West"/>
    <n v="1"/>
    <n v="77260"/>
    <x v="0"/>
    <n v="4"/>
    <n v="1"/>
    <n v="67"/>
    <n v="3"/>
    <d v="2022-08-25T00:00:00"/>
    <s v="No"/>
    <x v="0"/>
    <n v="3"/>
    <x v="3"/>
    <x v="0"/>
    <x v="0"/>
  </r>
  <r>
    <s v="REL02142"/>
    <s v="Female"/>
    <n v="47"/>
    <s v="MBA"/>
    <s v="Married"/>
    <x v="0"/>
    <s v="Marketing Executive"/>
    <x v="0"/>
    <x v="2"/>
    <s v="West"/>
    <n v="10"/>
    <n v="79334"/>
    <x v="0"/>
    <n v="1"/>
    <n v="4"/>
    <n v="72"/>
    <n v="1"/>
    <d v="2013-04-26T00:00:00"/>
    <s v="No"/>
    <x v="0"/>
    <n v="3"/>
    <x v="1"/>
    <x v="0"/>
    <x v="0"/>
  </r>
  <r>
    <s v="REL02143"/>
    <s v="Male"/>
    <n v="24"/>
    <s v="HSC"/>
    <s v="Single"/>
    <x v="0"/>
    <s v="Operations Head"/>
    <x v="3"/>
    <x v="0"/>
    <s v="North"/>
    <n v="3"/>
    <n v="92696"/>
    <x v="2"/>
    <n v="1"/>
    <n v="4"/>
    <n v="28"/>
    <n v="2"/>
    <d v="2020-08-31T00:00:00"/>
    <s v="Yes"/>
    <x v="1"/>
    <n v="2"/>
    <x v="0"/>
    <x v="1"/>
    <x v="1"/>
  </r>
  <r>
    <s v="REL02144"/>
    <s v="Female"/>
    <n v="35"/>
    <s v="BTech"/>
    <s v="Single"/>
    <x v="3"/>
    <s v="Logistics Coordinator"/>
    <x v="0"/>
    <x v="9"/>
    <s v="West"/>
    <n v="3"/>
    <n v="52349"/>
    <x v="2"/>
    <n v="4"/>
    <n v="4"/>
    <n v="39"/>
    <n v="2"/>
    <d v="2020-11-29T00:00:00"/>
    <s v="No"/>
    <x v="0"/>
    <n v="2"/>
    <x v="0"/>
    <x v="0"/>
    <x v="1"/>
  </r>
  <r>
    <s v="REL02145"/>
    <s v="Female"/>
    <n v="34"/>
    <s v="Post Graduate"/>
    <s v="Married"/>
    <x v="1"/>
    <s v="HR Manager"/>
    <x v="1"/>
    <x v="6"/>
    <s v="South"/>
    <n v="13"/>
    <n v="107753"/>
    <x v="3"/>
    <n v="4"/>
    <n v="1"/>
    <n v="71"/>
    <n v="0"/>
    <d v="2010-09-29T00:00:00"/>
    <s v="No"/>
    <x v="1"/>
    <n v="4"/>
    <x v="2"/>
    <x v="2"/>
    <x v="0"/>
  </r>
  <r>
    <s v="REL02146"/>
    <s v="Female"/>
    <n v="37"/>
    <s v="Graduate"/>
    <s v="Single"/>
    <x v="3"/>
    <s v="Finance Analyst"/>
    <x v="2"/>
    <x v="8"/>
    <s v="South"/>
    <n v="15"/>
    <n v="87568"/>
    <x v="2"/>
    <n v="4"/>
    <n v="2"/>
    <n v="20"/>
    <n v="1"/>
    <d v="2008-04-13T00:00:00"/>
    <s v="Yes"/>
    <x v="1"/>
    <n v="2"/>
    <x v="2"/>
    <x v="1"/>
    <x v="1"/>
  </r>
  <r>
    <s v="REL02147"/>
    <s v="Male"/>
    <n v="53"/>
    <s v="MBA"/>
    <s v="Married"/>
    <x v="1"/>
    <s v="Store Manager"/>
    <x v="0"/>
    <x v="7"/>
    <s v="East"/>
    <n v="12"/>
    <n v="110343"/>
    <x v="1"/>
    <n v="1"/>
    <n v="3"/>
    <n v="46"/>
    <n v="3"/>
    <d v="2011-02-03T00:00:00"/>
    <s v="Yes"/>
    <x v="1"/>
    <n v="1"/>
    <x v="2"/>
    <x v="1"/>
    <x v="2"/>
  </r>
  <r>
    <s v="REL02148"/>
    <s v="Male"/>
    <n v="42"/>
    <s v="BTech"/>
    <s v="Married"/>
    <x v="5"/>
    <s v="Logistics Coordinator"/>
    <x v="3"/>
    <x v="5"/>
    <s v="South"/>
    <n v="9"/>
    <n v="66585"/>
    <x v="1"/>
    <n v="1"/>
    <n v="3"/>
    <n v="80"/>
    <n v="2"/>
    <d v="2014-09-04T00:00:00"/>
    <s v="Yes"/>
    <x v="0"/>
    <n v="1"/>
    <x v="1"/>
    <x v="1"/>
    <x v="1"/>
  </r>
  <r>
    <s v="REL02149"/>
    <s v="Male"/>
    <n v="34"/>
    <s v="Post Graduate"/>
    <s v="Divorced"/>
    <x v="4"/>
    <s v="Customer Service Rep"/>
    <x v="2"/>
    <x v="7"/>
    <s v="East"/>
    <n v="15"/>
    <n v="74093"/>
    <x v="0"/>
    <n v="1"/>
    <n v="3"/>
    <n v="18"/>
    <n v="2"/>
    <d v="2008-07-16T00:00:00"/>
    <s v="No"/>
    <x v="0"/>
    <n v="3"/>
    <x v="2"/>
    <x v="0"/>
    <x v="0"/>
  </r>
  <r>
    <s v="REL02150"/>
    <s v="Female"/>
    <n v="53"/>
    <s v="HSC"/>
    <s v="Married"/>
    <x v="2"/>
    <s v="Customer Service Rep"/>
    <x v="1"/>
    <x v="8"/>
    <s v="South"/>
    <n v="4"/>
    <n v="36595"/>
    <x v="1"/>
    <n v="1"/>
    <n v="2"/>
    <n v="64"/>
    <n v="1"/>
    <d v="2019-03-03T00:00:00"/>
    <s v="Yes"/>
    <x v="2"/>
    <n v="1"/>
    <x v="0"/>
    <x v="1"/>
    <x v="1"/>
  </r>
  <r>
    <s v="REL02151"/>
    <s v="Female"/>
    <n v="37"/>
    <s v="MBA"/>
    <s v="Single"/>
    <x v="5"/>
    <s v="Customer Service Rep"/>
    <x v="1"/>
    <x v="2"/>
    <s v="West"/>
    <n v="14"/>
    <n v="53997"/>
    <x v="3"/>
    <n v="2"/>
    <n v="2"/>
    <n v="43"/>
    <n v="1"/>
    <d v="2009-12-02T00:00:00"/>
    <s v="No"/>
    <x v="0"/>
    <n v="4"/>
    <x v="2"/>
    <x v="2"/>
    <x v="1"/>
  </r>
  <r>
    <s v="REL02152"/>
    <s v="Male"/>
    <n v="30"/>
    <s v="BTech"/>
    <s v="Single"/>
    <x v="7"/>
    <s v="Store Manager"/>
    <x v="1"/>
    <x v="2"/>
    <s v="West"/>
    <n v="14"/>
    <n v="109511"/>
    <x v="1"/>
    <n v="4"/>
    <n v="1"/>
    <n v="77"/>
    <n v="1"/>
    <d v="2009-02-14T00:00:00"/>
    <s v="Yes"/>
    <x v="1"/>
    <n v="1"/>
    <x v="2"/>
    <x v="1"/>
    <x v="2"/>
  </r>
  <r>
    <s v="REL02153"/>
    <s v="Female"/>
    <n v="42"/>
    <s v="BTech"/>
    <s v="Married"/>
    <x v="4"/>
    <s v="HR Manager"/>
    <x v="3"/>
    <x v="7"/>
    <s v="East"/>
    <n v="15"/>
    <n v="98932"/>
    <x v="2"/>
    <n v="2"/>
    <n v="4"/>
    <n v="37"/>
    <n v="0"/>
    <d v="2008-10-14T00:00:00"/>
    <s v="Yes"/>
    <x v="1"/>
    <n v="2"/>
    <x v="2"/>
    <x v="1"/>
    <x v="1"/>
  </r>
  <r>
    <s v="REL02154"/>
    <s v="Female"/>
    <n v="32"/>
    <s v="Post Graduate"/>
    <s v="Single"/>
    <x v="4"/>
    <s v="Sales Executive"/>
    <x v="1"/>
    <x v="0"/>
    <s v="North"/>
    <n v="4"/>
    <n v="38529"/>
    <x v="0"/>
    <n v="4"/>
    <n v="3"/>
    <n v="43"/>
    <n v="0"/>
    <d v="2019-04-20T00:00:00"/>
    <s v="No"/>
    <x v="2"/>
    <n v="3"/>
    <x v="0"/>
    <x v="0"/>
    <x v="1"/>
  </r>
  <r>
    <s v="REL02155"/>
    <s v="Female"/>
    <n v="27"/>
    <s v="Graduate"/>
    <s v="Single"/>
    <x v="1"/>
    <s v="Store Manager"/>
    <x v="1"/>
    <x v="3"/>
    <s v="West"/>
    <n v="9"/>
    <n v="100977"/>
    <x v="3"/>
    <n v="2"/>
    <n v="1"/>
    <n v="74"/>
    <n v="1"/>
    <d v="2014-08-04T00:00:00"/>
    <s v="No"/>
    <x v="1"/>
    <n v="4"/>
    <x v="1"/>
    <x v="2"/>
    <x v="0"/>
  </r>
  <r>
    <s v="REL02156"/>
    <s v="Female"/>
    <n v="49"/>
    <s v="Graduate"/>
    <s v="Married"/>
    <x v="2"/>
    <s v="Sales Executive"/>
    <x v="0"/>
    <x v="8"/>
    <s v="South"/>
    <n v="9"/>
    <n v="62671"/>
    <x v="3"/>
    <n v="4"/>
    <n v="4"/>
    <n v="34"/>
    <n v="1"/>
    <d v="2014-10-27T00:00:00"/>
    <s v="Yes"/>
    <x v="0"/>
    <n v="4"/>
    <x v="1"/>
    <x v="1"/>
    <x v="1"/>
  </r>
  <r>
    <s v="REL02157"/>
    <s v="Male"/>
    <n v="41"/>
    <s v="MBA"/>
    <s v="Married"/>
    <x v="4"/>
    <s v="Store Manager"/>
    <x v="1"/>
    <x v="0"/>
    <s v="North"/>
    <n v="14"/>
    <n v="109868"/>
    <x v="1"/>
    <n v="2"/>
    <n v="2"/>
    <n v="49"/>
    <n v="2"/>
    <d v="2009-08-14T00:00:00"/>
    <s v="Yes"/>
    <x v="1"/>
    <n v="1"/>
    <x v="2"/>
    <x v="1"/>
    <x v="2"/>
  </r>
  <r>
    <s v="REL02158"/>
    <s v="Male"/>
    <n v="26"/>
    <s v="Graduate"/>
    <s v="Divorced"/>
    <x v="2"/>
    <s v="Sales Executive"/>
    <x v="4"/>
    <x v="6"/>
    <s v="South"/>
    <n v="6"/>
    <n v="43474"/>
    <x v="1"/>
    <n v="3"/>
    <n v="1"/>
    <n v="35"/>
    <n v="0"/>
    <d v="2017-06-14T00:00:00"/>
    <s v="Yes"/>
    <x v="2"/>
    <n v="1"/>
    <x v="1"/>
    <x v="1"/>
    <x v="1"/>
  </r>
  <r>
    <s v="REL02159"/>
    <s v="Male"/>
    <n v="52"/>
    <s v="Post Graduate"/>
    <s v="Divorced"/>
    <x v="5"/>
    <s v="Finance Analyst"/>
    <x v="0"/>
    <x v="5"/>
    <s v="South"/>
    <n v="12"/>
    <n v="92717"/>
    <x v="2"/>
    <n v="2"/>
    <n v="2"/>
    <n v="55"/>
    <n v="3"/>
    <d v="2011-10-28T00:00:00"/>
    <s v="No"/>
    <x v="1"/>
    <n v="2"/>
    <x v="2"/>
    <x v="0"/>
    <x v="1"/>
  </r>
  <r>
    <s v="REL02160"/>
    <s v="Female"/>
    <n v="51"/>
    <s v="MBA"/>
    <s v="Married"/>
    <x v="3"/>
    <s v="Sales Executive"/>
    <x v="4"/>
    <x v="9"/>
    <s v="West"/>
    <n v="7"/>
    <n v="61128"/>
    <x v="1"/>
    <n v="4"/>
    <n v="4"/>
    <n v="57"/>
    <n v="0"/>
    <d v="2016-03-10T00:00:00"/>
    <s v="No"/>
    <x v="0"/>
    <n v="1"/>
    <x v="1"/>
    <x v="0"/>
    <x v="1"/>
  </r>
  <r>
    <s v="REL02161"/>
    <s v="Male"/>
    <n v="51"/>
    <s v="Post Graduate"/>
    <s v="Single"/>
    <x v="7"/>
    <s v="Marketing Executive"/>
    <x v="3"/>
    <x v="5"/>
    <s v="South"/>
    <n v="3"/>
    <n v="65872"/>
    <x v="3"/>
    <n v="3"/>
    <n v="4"/>
    <n v="38"/>
    <n v="0"/>
    <d v="2020-11-19T00:00:00"/>
    <s v="No"/>
    <x v="0"/>
    <n v="4"/>
    <x v="0"/>
    <x v="2"/>
    <x v="1"/>
  </r>
  <r>
    <s v="REL02162"/>
    <s v="Male"/>
    <n v="51"/>
    <s v="Post Graduate"/>
    <s v="Married"/>
    <x v="5"/>
    <s v="Customer Service Rep"/>
    <x v="4"/>
    <x v="8"/>
    <s v="South"/>
    <n v="6"/>
    <n v="53426"/>
    <x v="2"/>
    <n v="1"/>
    <n v="1"/>
    <n v="73"/>
    <n v="3"/>
    <d v="2017-04-16T00:00:00"/>
    <s v="No"/>
    <x v="0"/>
    <n v="2"/>
    <x v="1"/>
    <x v="0"/>
    <x v="1"/>
  </r>
  <r>
    <s v="REL02163"/>
    <s v="Male"/>
    <n v="28"/>
    <s v="BTech"/>
    <s v="Divorced"/>
    <x v="0"/>
    <s v="Finance Analyst"/>
    <x v="2"/>
    <x v="8"/>
    <s v="South"/>
    <n v="6"/>
    <n v="72452"/>
    <x v="3"/>
    <n v="3"/>
    <n v="2"/>
    <n v="60"/>
    <n v="1"/>
    <d v="2017-07-17T00:00:00"/>
    <s v="No"/>
    <x v="0"/>
    <n v="4"/>
    <x v="1"/>
    <x v="2"/>
    <x v="1"/>
  </r>
  <r>
    <s v="REL02164"/>
    <s v="Female"/>
    <n v="27"/>
    <s v="BTech"/>
    <s v="Married"/>
    <x v="5"/>
    <s v="Marketing Executive"/>
    <x v="0"/>
    <x v="3"/>
    <s v="West"/>
    <n v="10"/>
    <n v="67718"/>
    <x v="2"/>
    <n v="3"/>
    <n v="1"/>
    <n v="62"/>
    <n v="1"/>
    <d v="2013-10-02T00:00:00"/>
    <s v="No"/>
    <x v="0"/>
    <n v="2"/>
    <x v="1"/>
    <x v="0"/>
    <x v="1"/>
  </r>
  <r>
    <s v="REL02165"/>
    <s v="Female"/>
    <n v="34"/>
    <s v="MBA"/>
    <s v="Divorced"/>
    <x v="5"/>
    <s v="HR Manager"/>
    <x v="3"/>
    <x v="1"/>
    <s v="North"/>
    <n v="1"/>
    <n v="68787"/>
    <x v="1"/>
    <n v="3"/>
    <n v="2"/>
    <n v="17"/>
    <n v="2"/>
    <d v="2022-11-24T00:00:00"/>
    <s v="No"/>
    <x v="0"/>
    <n v="1"/>
    <x v="3"/>
    <x v="3"/>
    <x v="1"/>
  </r>
  <r>
    <s v="REL02166"/>
    <s v="Female"/>
    <n v="55"/>
    <s v="BTech"/>
    <s v="Divorced"/>
    <x v="5"/>
    <s v="Customer Service Rep"/>
    <x v="0"/>
    <x v="7"/>
    <s v="East"/>
    <n v="11"/>
    <n v="55748"/>
    <x v="0"/>
    <n v="4"/>
    <n v="4"/>
    <n v="69"/>
    <n v="1"/>
    <d v="2012-12-16T00:00:00"/>
    <s v="No"/>
    <x v="0"/>
    <n v="3"/>
    <x v="2"/>
    <x v="0"/>
    <x v="0"/>
  </r>
  <r>
    <s v="REL02167"/>
    <s v="Female"/>
    <n v="53"/>
    <s v="Graduate"/>
    <s v="Single"/>
    <x v="2"/>
    <s v="HR Manager"/>
    <x v="4"/>
    <x v="6"/>
    <s v="South"/>
    <n v="8"/>
    <n v="81299"/>
    <x v="3"/>
    <n v="2"/>
    <n v="3"/>
    <n v="61"/>
    <n v="0"/>
    <d v="2015-12-23T00:00:00"/>
    <s v="No"/>
    <x v="1"/>
    <n v="4"/>
    <x v="1"/>
    <x v="2"/>
    <x v="0"/>
  </r>
  <r>
    <s v="REL02168"/>
    <s v="Female"/>
    <n v="49"/>
    <s v="MBA"/>
    <s v="Married"/>
    <x v="5"/>
    <s v="Operations Head"/>
    <x v="3"/>
    <x v="9"/>
    <s v="West"/>
    <n v="15"/>
    <n v="118105"/>
    <x v="3"/>
    <n v="1"/>
    <n v="4"/>
    <n v="42"/>
    <n v="2"/>
    <d v="2008-01-15T00:00:00"/>
    <s v="Yes"/>
    <x v="1"/>
    <n v="4"/>
    <x v="2"/>
    <x v="1"/>
    <x v="0"/>
  </r>
  <r>
    <s v="REL02169"/>
    <s v="Female"/>
    <n v="52"/>
    <s v="Graduate"/>
    <s v="Single"/>
    <x v="6"/>
    <s v="Finance Analyst"/>
    <x v="2"/>
    <x v="6"/>
    <s v="South"/>
    <n v="5"/>
    <n v="61942"/>
    <x v="2"/>
    <n v="1"/>
    <n v="1"/>
    <n v="74"/>
    <n v="3"/>
    <d v="2018-03-20T00:00:00"/>
    <s v="No"/>
    <x v="0"/>
    <n v="2"/>
    <x v="0"/>
    <x v="0"/>
    <x v="1"/>
  </r>
  <r>
    <s v="REL02170"/>
    <s v="Female"/>
    <n v="40"/>
    <s v="Post Graduate"/>
    <s v="Single"/>
    <x v="0"/>
    <s v="Customer Service Rep"/>
    <x v="2"/>
    <x v="9"/>
    <s v="West"/>
    <n v="3"/>
    <n v="46179"/>
    <x v="0"/>
    <n v="4"/>
    <n v="2"/>
    <n v="27"/>
    <n v="2"/>
    <d v="2020-01-13T00:00:00"/>
    <s v="Yes"/>
    <x v="2"/>
    <n v="3"/>
    <x v="0"/>
    <x v="1"/>
    <x v="1"/>
  </r>
  <r>
    <s v="REL02171"/>
    <s v="Male"/>
    <n v="38"/>
    <s v="Post Graduate"/>
    <s v="Divorced"/>
    <x v="6"/>
    <s v="Operations Head"/>
    <x v="1"/>
    <x v="2"/>
    <s v="West"/>
    <n v="11"/>
    <n v="126684"/>
    <x v="1"/>
    <n v="1"/>
    <n v="4"/>
    <n v="66"/>
    <n v="1"/>
    <d v="2012-02-11T00:00:00"/>
    <s v="Yes"/>
    <x v="1"/>
    <n v="1"/>
    <x v="2"/>
    <x v="1"/>
    <x v="2"/>
  </r>
  <r>
    <s v="REL02172"/>
    <s v="Male"/>
    <n v="28"/>
    <s v="Post Graduate"/>
    <s v="Single"/>
    <x v="6"/>
    <s v="Finance Analyst"/>
    <x v="1"/>
    <x v="8"/>
    <s v="South"/>
    <n v="5"/>
    <n v="60731"/>
    <x v="0"/>
    <n v="1"/>
    <n v="4"/>
    <n v="46"/>
    <n v="1"/>
    <d v="2018-04-07T00:00:00"/>
    <s v="No"/>
    <x v="0"/>
    <n v="3"/>
    <x v="0"/>
    <x v="0"/>
    <x v="0"/>
  </r>
  <r>
    <s v="REL02173"/>
    <s v="Male"/>
    <n v="32"/>
    <s v="MBA"/>
    <s v="Married"/>
    <x v="1"/>
    <s v="Customer Service Rep"/>
    <x v="4"/>
    <x v="6"/>
    <s v="South"/>
    <n v="15"/>
    <n v="67417"/>
    <x v="2"/>
    <n v="1"/>
    <n v="4"/>
    <n v="17"/>
    <n v="0"/>
    <d v="2008-11-16T00:00:00"/>
    <s v="No"/>
    <x v="0"/>
    <n v="2"/>
    <x v="2"/>
    <x v="0"/>
    <x v="1"/>
  </r>
  <r>
    <s v="REL02174"/>
    <s v="Female"/>
    <n v="40"/>
    <s v="Graduate"/>
    <s v="Divorced"/>
    <x v="4"/>
    <s v="Marketing Executive"/>
    <x v="2"/>
    <x v="5"/>
    <s v="South"/>
    <n v="5"/>
    <n v="55064"/>
    <x v="1"/>
    <n v="3"/>
    <n v="2"/>
    <n v="58"/>
    <n v="1"/>
    <d v="2018-01-18T00:00:00"/>
    <s v="Yes"/>
    <x v="0"/>
    <n v="1"/>
    <x v="0"/>
    <x v="1"/>
    <x v="1"/>
  </r>
  <r>
    <s v="REL02175"/>
    <s v="Male"/>
    <n v="29"/>
    <s v="BTech"/>
    <s v="Single"/>
    <x v="2"/>
    <s v="Sales Executive"/>
    <x v="2"/>
    <x v="7"/>
    <s v="East"/>
    <n v="2"/>
    <n v="45028"/>
    <x v="0"/>
    <n v="2"/>
    <n v="1"/>
    <n v="58"/>
    <n v="0"/>
    <d v="2021-11-07T00:00:00"/>
    <s v="No"/>
    <x v="2"/>
    <n v="3"/>
    <x v="3"/>
    <x v="0"/>
    <x v="1"/>
  </r>
  <r>
    <s v="REL02176"/>
    <s v="Male"/>
    <n v="26"/>
    <s v="HSC"/>
    <s v="Married"/>
    <x v="2"/>
    <s v="Marketing Executive"/>
    <x v="2"/>
    <x v="9"/>
    <s v="West"/>
    <n v="11"/>
    <n v="63728"/>
    <x v="1"/>
    <n v="2"/>
    <n v="4"/>
    <n v="66"/>
    <n v="1"/>
    <d v="2012-10-30T00:00:00"/>
    <s v="Yes"/>
    <x v="0"/>
    <n v="1"/>
    <x v="2"/>
    <x v="1"/>
    <x v="1"/>
  </r>
  <r>
    <s v="REL02177"/>
    <s v="Male"/>
    <n v="48"/>
    <s v="Graduate"/>
    <s v="Divorced"/>
    <x v="1"/>
    <s v="HR Manager"/>
    <x v="1"/>
    <x v="7"/>
    <s v="East"/>
    <n v="11"/>
    <n v="97353"/>
    <x v="2"/>
    <n v="3"/>
    <n v="3"/>
    <n v="44"/>
    <n v="1"/>
    <d v="2012-11-03T00:00:00"/>
    <s v="No"/>
    <x v="1"/>
    <n v="2"/>
    <x v="2"/>
    <x v="0"/>
    <x v="1"/>
  </r>
  <r>
    <s v="REL02178"/>
    <s v="Female"/>
    <n v="31"/>
    <s v="MBA"/>
    <s v="Divorced"/>
    <x v="2"/>
    <s v="Customer Service Rep"/>
    <x v="1"/>
    <x v="2"/>
    <s v="West"/>
    <n v="14"/>
    <n v="63308"/>
    <x v="2"/>
    <n v="2"/>
    <n v="3"/>
    <n v="17"/>
    <n v="0"/>
    <d v="2009-05-25T00:00:00"/>
    <s v="No"/>
    <x v="0"/>
    <n v="2"/>
    <x v="2"/>
    <x v="0"/>
    <x v="1"/>
  </r>
  <r>
    <s v="REL02179"/>
    <s v="Female"/>
    <n v="36"/>
    <s v="HSC"/>
    <s v="Divorced"/>
    <x v="4"/>
    <s v="Marketing Executive"/>
    <x v="4"/>
    <x v="8"/>
    <s v="South"/>
    <n v="13"/>
    <n v="70376"/>
    <x v="0"/>
    <n v="1"/>
    <n v="2"/>
    <n v="52"/>
    <n v="1"/>
    <d v="2010-07-11T00:00:00"/>
    <s v="No"/>
    <x v="0"/>
    <n v="3"/>
    <x v="2"/>
    <x v="0"/>
    <x v="0"/>
  </r>
  <r>
    <s v="REL02180"/>
    <s v="Male"/>
    <n v="50"/>
    <s v="Post Graduate"/>
    <s v="Married"/>
    <x v="0"/>
    <s v="Finance Analyst"/>
    <x v="0"/>
    <x v="1"/>
    <s v="North"/>
    <n v="15"/>
    <n v="90359"/>
    <x v="3"/>
    <n v="3"/>
    <n v="3"/>
    <n v="26"/>
    <n v="2"/>
    <d v="2008-04-25T00:00:00"/>
    <s v="Yes"/>
    <x v="1"/>
    <n v="4"/>
    <x v="2"/>
    <x v="1"/>
    <x v="0"/>
  </r>
  <r>
    <s v="REL02181"/>
    <s v="Female"/>
    <n v="38"/>
    <s v="BTech"/>
    <s v="Single"/>
    <x v="4"/>
    <s v="Finance Analyst"/>
    <x v="3"/>
    <x v="6"/>
    <s v="South"/>
    <n v="8"/>
    <n v="74293"/>
    <x v="1"/>
    <n v="1"/>
    <n v="3"/>
    <n v="64"/>
    <n v="2"/>
    <d v="2015-03-20T00:00:00"/>
    <s v="Yes"/>
    <x v="0"/>
    <n v="1"/>
    <x v="1"/>
    <x v="1"/>
    <x v="1"/>
  </r>
  <r>
    <s v="REL02182"/>
    <s v="Female"/>
    <n v="30"/>
    <s v="MBA"/>
    <s v="Married"/>
    <x v="0"/>
    <s v="HR Manager"/>
    <x v="3"/>
    <x v="3"/>
    <s v="West"/>
    <n v="7"/>
    <n v="91785"/>
    <x v="3"/>
    <n v="3"/>
    <n v="2"/>
    <n v="73"/>
    <n v="3"/>
    <d v="2016-03-29T00:00:00"/>
    <s v="No"/>
    <x v="1"/>
    <n v="4"/>
    <x v="1"/>
    <x v="2"/>
    <x v="0"/>
  </r>
  <r>
    <s v="REL02183"/>
    <s v="Male"/>
    <n v="30"/>
    <s v="Graduate"/>
    <s v="Single"/>
    <x v="1"/>
    <s v="Operations Head"/>
    <x v="1"/>
    <x v="4"/>
    <s v="North"/>
    <n v="15"/>
    <n v="127446"/>
    <x v="2"/>
    <n v="3"/>
    <n v="1"/>
    <n v="69"/>
    <n v="1"/>
    <d v="2008-03-12T00:00:00"/>
    <s v="Yes"/>
    <x v="1"/>
    <n v="2"/>
    <x v="2"/>
    <x v="1"/>
    <x v="1"/>
  </r>
  <r>
    <s v="REL02184"/>
    <s v="Male"/>
    <n v="36"/>
    <s v="Post Graduate"/>
    <s v="Divorced"/>
    <x v="4"/>
    <s v="Logistics Coordinator"/>
    <x v="0"/>
    <x v="7"/>
    <s v="East"/>
    <n v="10"/>
    <n v="56426"/>
    <x v="0"/>
    <n v="3"/>
    <n v="4"/>
    <n v="13"/>
    <n v="3"/>
    <d v="2013-05-26T00:00:00"/>
    <s v="Yes"/>
    <x v="0"/>
    <n v="3"/>
    <x v="1"/>
    <x v="1"/>
    <x v="0"/>
  </r>
  <r>
    <s v="REL02185"/>
    <s v="Male"/>
    <n v="47"/>
    <s v="Graduate"/>
    <s v="Single"/>
    <x v="3"/>
    <s v="Sales Executive"/>
    <x v="3"/>
    <x v="4"/>
    <s v="North"/>
    <n v="6"/>
    <n v="57627"/>
    <x v="0"/>
    <n v="2"/>
    <n v="3"/>
    <n v="17"/>
    <n v="1"/>
    <d v="2017-09-21T00:00:00"/>
    <s v="No"/>
    <x v="0"/>
    <n v="3"/>
    <x v="1"/>
    <x v="0"/>
    <x v="0"/>
  </r>
  <r>
    <s v="REL02186"/>
    <s v="Female"/>
    <n v="31"/>
    <s v="Post Graduate"/>
    <s v="Married"/>
    <x v="4"/>
    <s v="HR Manager"/>
    <x v="2"/>
    <x v="4"/>
    <s v="North"/>
    <n v="5"/>
    <n v="90070"/>
    <x v="2"/>
    <n v="1"/>
    <n v="4"/>
    <n v="43"/>
    <n v="3"/>
    <d v="2018-03-15T00:00:00"/>
    <s v="No"/>
    <x v="1"/>
    <n v="2"/>
    <x v="0"/>
    <x v="0"/>
    <x v="1"/>
  </r>
  <r>
    <s v="REL02187"/>
    <s v="Male"/>
    <n v="50"/>
    <s v="Post Graduate"/>
    <s v="Divorced"/>
    <x v="5"/>
    <s v="Customer Service Rep"/>
    <x v="0"/>
    <x v="8"/>
    <s v="South"/>
    <n v="12"/>
    <n v="63955"/>
    <x v="2"/>
    <n v="1"/>
    <n v="4"/>
    <n v="46"/>
    <n v="1"/>
    <d v="2011-11-06T00:00:00"/>
    <s v="No"/>
    <x v="0"/>
    <n v="2"/>
    <x v="2"/>
    <x v="0"/>
    <x v="1"/>
  </r>
  <r>
    <s v="REL02188"/>
    <s v="Male"/>
    <n v="35"/>
    <s v="MBA"/>
    <s v="Divorced"/>
    <x v="2"/>
    <s v="HR Manager"/>
    <x v="1"/>
    <x v="9"/>
    <s v="West"/>
    <n v="3"/>
    <n v="80170"/>
    <x v="0"/>
    <n v="2"/>
    <n v="4"/>
    <n v="59"/>
    <n v="0"/>
    <d v="2020-10-11T00:00:00"/>
    <s v="Yes"/>
    <x v="1"/>
    <n v="3"/>
    <x v="0"/>
    <x v="1"/>
    <x v="0"/>
  </r>
  <r>
    <s v="REL02189"/>
    <s v="Female"/>
    <n v="45"/>
    <s v="Graduate"/>
    <s v="Single"/>
    <x v="6"/>
    <s v="Operations Head"/>
    <x v="0"/>
    <x v="9"/>
    <s v="West"/>
    <n v="13"/>
    <n v="112324"/>
    <x v="3"/>
    <n v="2"/>
    <n v="4"/>
    <n v="39"/>
    <n v="0"/>
    <d v="2010-06-19T00:00:00"/>
    <s v="No"/>
    <x v="1"/>
    <n v="4"/>
    <x v="2"/>
    <x v="2"/>
    <x v="0"/>
  </r>
  <r>
    <s v="REL02190"/>
    <s v="Male"/>
    <n v="52"/>
    <s v="HSC"/>
    <s v="Divorced"/>
    <x v="0"/>
    <s v="HR Manager"/>
    <x v="0"/>
    <x v="0"/>
    <s v="North"/>
    <n v="3"/>
    <n v="88429"/>
    <x v="3"/>
    <n v="3"/>
    <n v="3"/>
    <n v="31"/>
    <n v="1"/>
    <d v="2020-10-11T00:00:00"/>
    <s v="No"/>
    <x v="1"/>
    <n v="4"/>
    <x v="0"/>
    <x v="2"/>
    <x v="0"/>
  </r>
  <r>
    <s v="REL02191"/>
    <s v="Female"/>
    <n v="38"/>
    <s v="Post Graduate"/>
    <s v="Single"/>
    <x v="6"/>
    <s v="Operations Head"/>
    <x v="3"/>
    <x v="9"/>
    <s v="West"/>
    <n v="13"/>
    <n v="116982"/>
    <x v="1"/>
    <n v="4"/>
    <n v="2"/>
    <n v="27"/>
    <n v="3"/>
    <d v="2010-09-19T00:00:00"/>
    <s v="No"/>
    <x v="1"/>
    <n v="1"/>
    <x v="2"/>
    <x v="0"/>
    <x v="2"/>
  </r>
  <r>
    <s v="REL02192"/>
    <s v="Male"/>
    <n v="30"/>
    <s v="MBA"/>
    <s v="Single"/>
    <x v="1"/>
    <s v="HR Manager"/>
    <x v="1"/>
    <x v="1"/>
    <s v="North"/>
    <n v="13"/>
    <n v="93615"/>
    <x v="1"/>
    <n v="4"/>
    <n v="4"/>
    <n v="31"/>
    <n v="0"/>
    <d v="2010-12-14T00:00:00"/>
    <s v="Yes"/>
    <x v="1"/>
    <n v="1"/>
    <x v="2"/>
    <x v="1"/>
    <x v="2"/>
  </r>
  <r>
    <s v="REL02193"/>
    <s v="Female"/>
    <n v="44"/>
    <s v="MBA"/>
    <s v="Single"/>
    <x v="1"/>
    <s v="Logistics Coordinator"/>
    <x v="0"/>
    <x v="8"/>
    <s v="South"/>
    <n v="15"/>
    <n v="76248"/>
    <x v="1"/>
    <n v="1"/>
    <n v="1"/>
    <n v="55"/>
    <n v="1"/>
    <d v="2008-12-01T00:00:00"/>
    <s v="Yes"/>
    <x v="0"/>
    <n v="1"/>
    <x v="2"/>
    <x v="1"/>
    <x v="1"/>
  </r>
  <r>
    <s v="REL02194"/>
    <s v="Male"/>
    <n v="36"/>
    <s v="MBA"/>
    <s v="Married"/>
    <x v="1"/>
    <s v="Store Manager"/>
    <x v="4"/>
    <x v="3"/>
    <s v="West"/>
    <n v="4"/>
    <n v="101623"/>
    <x v="1"/>
    <n v="2"/>
    <n v="1"/>
    <n v="26"/>
    <n v="3"/>
    <d v="2019-05-04T00:00:00"/>
    <s v="Yes"/>
    <x v="1"/>
    <n v="1"/>
    <x v="0"/>
    <x v="1"/>
    <x v="2"/>
  </r>
  <r>
    <s v="REL02195"/>
    <s v="Female"/>
    <n v="45"/>
    <s v="BTech"/>
    <s v="Divorced"/>
    <x v="4"/>
    <s v="Customer Service Rep"/>
    <x v="4"/>
    <x v="5"/>
    <s v="South"/>
    <n v="9"/>
    <n v="44693"/>
    <x v="2"/>
    <n v="1"/>
    <n v="2"/>
    <n v="62"/>
    <n v="0"/>
    <d v="2014-01-18T00:00:00"/>
    <s v="No"/>
    <x v="2"/>
    <n v="2"/>
    <x v="1"/>
    <x v="0"/>
    <x v="1"/>
  </r>
  <r>
    <s v="REL02196"/>
    <s v="Male"/>
    <n v="29"/>
    <s v="BTech"/>
    <s v="Divorced"/>
    <x v="0"/>
    <s v="Store Manager"/>
    <x v="3"/>
    <x v="3"/>
    <s v="West"/>
    <n v="3"/>
    <n v="99375"/>
    <x v="0"/>
    <n v="3"/>
    <n v="3"/>
    <n v="33"/>
    <n v="1"/>
    <d v="2020-11-19T00:00:00"/>
    <s v="No"/>
    <x v="1"/>
    <n v="3"/>
    <x v="0"/>
    <x v="0"/>
    <x v="0"/>
  </r>
  <r>
    <s v="REL02197"/>
    <s v="Female"/>
    <n v="55"/>
    <s v="MBA"/>
    <s v="Married"/>
    <x v="5"/>
    <s v="Store Manager"/>
    <x v="1"/>
    <x v="4"/>
    <s v="North"/>
    <n v="13"/>
    <n v="105305"/>
    <x v="1"/>
    <n v="1"/>
    <n v="4"/>
    <n v="56"/>
    <n v="3"/>
    <d v="2010-11-27T00:00:00"/>
    <s v="Yes"/>
    <x v="1"/>
    <n v="1"/>
    <x v="2"/>
    <x v="1"/>
    <x v="2"/>
  </r>
  <r>
    <s v="REL02198"/>
    <s v="Male"/>
    <n v="49"/>
    <s v="Graduate"/>
    <s v="Divorced"/>
    <x v="0"/>
    <s v="Store Manager"/>
    <x v="2"/>
    <x v="4"/>
    <s v="North"/>
    <n v="4"/>
    <n v="101048"/>
    <x v="0"/>
    <n v="3"/>
    <n v="1"/>
    <n v="69"/>
    <n v="2"/>
    <d v="2019-04-02T00:00:00"/>
    <s v="No"/>
    <x v="1"/>
    <n v="3"/>
    <x v="0"/>
    <x v="0"/>
    <x v="0"/>
  </r>
  <r>
    <s v="REL02199"/>
    <s v="Female"/>
    <n v="53"/>
    <s v="HSC"/>
    <s v="Divorced"/>
    <x v="3"/>
    <s v="Store Manager"/>
    <x v="0"/>
    <x v="3"/>
    <s v="West"/>
    <n v="4"/>
    <n v="84542"/>
    <x v="3"/>
    <n v="4"/>
    <n v="3"/>
    <n v="53"/>
    <n v="2"/>
    <d v="2019-04-15T00:00:00"/>
    <s v="No"/>
    <x v="1"/>
    <n v="4"/>
    <x v="0"/>
    <x v="2"/>
    <x v="0"/>
  </r>
  <r>
    <s v="REL02200"/>
    <s v="Female"/>
    <n v="33"/>
    <s v="Post Graduate"/>
    <s v="Married"/>
    <x v="5"/>
    <s v="Customer Service Rep"/>
    <x v="1"/>
    <x v="3"/>
    <s v="West"/>
    <n v="5"/>
    <n v="36412"/>
    <x v="3"/>
    <n v="4"/>
    <n v="3"/>
    <n v="60"/>
    <n v="1"/>
    <d v="2018-02-20T00:00:00"/>
    <s v="No"/>
    <x v="2"/>
    <n v="4"/>
    <x v="0"/>
    <x v="2"/>
    <x v="1"/>
  </r>
  <r>
    <s v="REL02201"/>
    <s v="Male"/>
    <n v="24"/>
    <s v="HSC"/>
    <s v="Single"/>
    <x v="3"/>
    <s v="Sales Executive"/>
    <x v="1"/>
    <x v="9"/>
    <s v="West"/>
    <n v="6"/>
    <n v="59700"/>
    <x v="1"/>
    <n v="3"/>
    <n v="3"/>
    <n v="15"/>
    <n v="2"/>
    <d v="2017-01-14T00:00:00"/>
    <s v="Yes"/>
    <x v="0"/>
    <n v="1"/>
    <x v="1"/>
    <x v="1"/>
    <x v="1"/>
  </r>
  <r>
    <s v="REL02202"/>
    <s v="Male"/>
    <n v="40"/>
    <s v="Graduate"/>
    <s v="Married"/>
    <x v="3"/>
    <s v="Logistics Coordinator"/>
    <x v="4"/>
    <x v="2"/>
    <s v="West"/>
    <n v="15"/>
    <n v="73545"/>
    <x v="1"/>
    <n v="4"/>
    <n v="4"/>
    <n v="42"/>
    <n v="0"/>
    <d v="2008-03-01T00:00:00"/>
    <s v="Yes"/>
    <x v="0"/>
    <n v="1"/>
    <x v="2"/>
    <x v="1"/>
    <x v="1"/>
  </r>
  <r>
    <s v="REL02203"/>
    <s v="Male"/>
    <n v="27"/>
    <s v="Graduate"/>
    <s v="Married"/>
    <x v="6"/>
    <s v="Customer Service Rep"/>
    <x v="1"/>
    <x v="9"/>
    <s v="West"/>
    <n v="9"/>
    <n v="57631"/>
    <x v="2"/>
    <n v="4"/>
    <n v="4"/>
    <n v="29"/>
    <n v="3"/>
    <d v="2014-02-20T00:00:00"/>
    <s v="No"/>
    <x v="0"/>
    <n v="2"/>
    <x v="1"/>
    <x v="0"/>
    <x v="1"/>
  </r>
  <r>
    <s v="REL02204"/>
    <s v="Female"/>
    <n v="35"/>
    <s v="MBA"/>
    <s v="Married"/>
    <x v="2"/>
    <s v="Marketing Executive"/>
    <x v="1"/>
    <x v="8"/>
    <s v="South"/>
    <n v="10"/>
    <n v="78974"/>
    <x v="1"/>
    <n v="1"/>
    <n v="1"/>
    <n v="30"/>
    <n v="2"/>
    <d v="2013-02-25T00:00:00"/>
    <s v="No"/>
    <x v="0"/>
    <n v="1"/>
    <x v="1"/>
    <x v="0"/>
    <x v="1"/>
  </r>
  <r>
    <s v="REL02205"/>
    <s v="Female"/>
    <n v="37"/>
    <s v="MBA"/>
    <s v="Divorced"/>
    <x v="1"/>
    <s v="Operations Head"/>
    <x v="4"/>
    <x v="4"/>
    <s v="North"/>
    <n v="12"/>
    <n v="120677"/>
    <x v="1"/>
    <n v="1"/>
    <n v="3"/>
    <n v="66"/>
    <n v="0"/>
    <d v="2011-10-21T00:00:00"/>
    <s v="No"/>
    <x v="1"/>
    <n v="1"/>
    <x v="2"/>
    <x v="0"/>
    <x v="2"/>
  </r>
  <r>
    <s v="REL02206"/>
    <s v="Female"/>
    <n v="47"/>
    <s v="BTech"/>
    <s v="Single"/>
    <x v="0"/>
    <s v="Customer Service Rep"/>
    <x v="3"/>
    <x v="8"/>
    <s v="South"/>
    <n v="7"/>
    <n v="41237"/>
    <x v="0"/>
    <n v="4"/>
    <n v="2"/>
    <n v="16"/>
    <n v="1"/>
    <d v="2016-05-19T00:00:00"/>
    <s v="No"/>
    <x v="2"/>
    <n v="3"/>
    <x v="1"/>
    <x v="0"/>
    <x v="1"/>
  </r>
  <r>
    <s v="REL02207"/>
    <s v="Female"/>
    <n v="52"/>
    <s v="Post Graduate"/>
    <s v="Single"/>
    <x v="7"/>
    <s v="Finance Analyst"/>
    <x v="2"/>
    <x v="6"/>
    <s v="South"/>
    <n v="13"/>
    <n v="79860"/>
    <x v="2"/>
    <n v="2"/>
    <n v="2"/>
    <n v="10"/>
    <n v="0"/>
    <d v="2010-07-02T00:00:00"/>
    <s v="No"/>
    <x v="0"/>
    <n v="2"/>
    <x v="2"/>
    <x v="0"/>
    <x v="1"/>
  </r>
  <r>
    <s v="REL02208"/>
    <s v="Female"/>
    <n v="33"/>
    <s v="HSC"/>
    <s v="Married"/>
    <x v="5"/>
    <s v="Sales Executive"/>
    <x v="3"/>
    <x v="1"/>
    <s v="North"/>
    <n v="13"/>
    <n v="68039"/>
    <x v="2"/>
    <n v="4"/>
    <n v="1"/>
    <n v="10"/>
    <n v="0"/>
    <d v="2010-10-24T00:00:00"/>
    <s v="No"/>
    <x v="0"/>
    <n v="2"/>
    <x v="2"/>
    <x v="0"/>
    <x v="1"/>
  </r>
  <r>
    <s v="REL02209"/>
    <s v="Female"/>
    <n v="26"/>
    <s v="Post Graduate"/>
    <s v="Divorced"/>
    <x v="7"/>
    <s v="Store Manager"/>
    <x v="1"/>
    <x v="7"/>
    <s v="East"/>
    <n v="7"/>
    <n v="95735"/>
    <x v="0"/>
    <n v="4"/>
    <n v="3"/>
    <n v="34"/>
    <n v="1"/>
    <d v="2016-09-21T00:00:00"/>
    <s v="Yes"/>
    <x v="1"/>
    <n v="3"/>
    <x v="1"/>
    <x v="1"/>
    <x v="0"/>
  </r>
  <r>
    <s v="REL02210"/>
    <s v="Male"/>
    <n v="49"/>
    <s v="Graduate"/>
    <s v="Single"/>
    <x v="5"/>
    <s v="Finance Analyst"/>
    <x v="3"/>
    <x v="4"/>
    <s v="North"/>
    <n v="10"/>
    <n v="84456"/>
    <x v="2"/>
    <n v="4"/>
    <n v="3"/>
    <n v="58"/>
    <n v="0"/>
    <d v="2013-04-23T00:00:00"/>
    <s v="Yes"/>
    <x v="1"/>
    <n v="2"/>
    <x v="1"/>
    <x v="1"/>
    <x v="1"/>
  </r>
  <r>
    <s v="REL02211"/>
    <s v="Female"/>
    <n v="41"/>
    <s v="HSC"/>
    <s v="Single"/>
    <x v="1"/>
    <s v="Store Manager"/>
    <x v="2"/>
    <x v="8"/>
    <s v="South"/>
    <n v="1"/>
    <n v="86102"/>
    <x v="1"/>
    <n v="4"/>
    <n v="4"/>
    <n v="20"/>
    <n v="3"/>
    <d v="2022-01-28T00:00:00"/>
    <s v="Yes"/>
    <x v="1"/>
    <n v="1"/>
    <x v="3"/>
    <x v="1"/>
    <x v="2"/>
  </r>
  <r>
    <s v="REL02212"/>
    <s v="Female"/>
    <n v="41"/>
    <s v="Graduate"/>
    <s v="Divorced"/>
    <x v="7"/>
    <s v="Sales Executive"/>
    <x v="3"/>
    <x v="5"/>
    <s v="South"/>
    <n v="14"/>
    <n v="69723"/>
    <x v="0"/>
    <n v="3"/>
    <n v="3"/>
    <n v="57"/>
    <n v="3"/>
    <d v="2009-01-07T00:00:00"/>
    <s v="No"/>
    <x v="0"/>
    <n v="3"/>
    <x v="2"/>
    <x v="0"/>
    <x v="0"/>
  </r>
  <r>
    <s v="REL02213"/>
    <s v="Male"/>
    <n v="53"/>
    <s v="BTech"/>
    <s v="Married"/>
    <x v="2"/>
    <s v="Finance Analyst"/>
    <x v="1"/>
    <x v="2"/>
    <s v="West"/>
    <n v="5"/>
    <n v="70079"/>
    <x v="0"/>
    <n v="2"/>
    <n v="1"/>
    <n v="42"/>
    <n v="0"/>
    <d v="2018-08-15T00:00:00"/>
    <s v="Yes"/>
    <x v="0"/>
    <n v="3"/>
    <x v="0"/>
    <x v="1"/>
    <x v="0"/>
  </r>
  <r>
    <s v="REL02214"/>
    <s v="Male"/>
    <n v="30"/>
    <s v="Post Graduate"/>
    <s v="Divorced"/>
    <x v="7"/>
    <s v="Operations Head"/>
    <x v="2"/>
    <x v="4"/>
    <s v="North"/>
    <n v="4"/>
    <n v="111741"/>
    <x v="1"/>
    <n v="2"/>
    <n v="2"/>
    <n v="25"/>
    <n v="2"/>
    <d v="2019-02-12T00:00:00"/>
    <s v="Yes"/>
    <x v="1"/>
    <n v="1"/>
    <x v="0"/>
    <x v="1"/>
    <x v="2"/>
  </r>
  <r>
    <s v="REL02215"/>
    <s v="Male"/>
    <n v="40"/>
    <s v="HSC"/>
    <s v="Divorced"/>
    <x v="0"/>
    <s v="Sales Executive"/>
    <x v="4"/>
    <x v="4"/>
    <s v="North"/>
    <n v="12"/>
    <n v="60934"/>
    <x v="1"/>
    <n v="3"/>
    <n v="3"/>
    <n v="63"/>
    <n v="3"/>
    <d v="2011-01-13T00:00:00"/>
    <s v="No"/>
    <x v="0"/>
    <n v="1"/>
    <x v="2"/>
    <x v="0"/>
    <x v="1"/>
  </r>
  <r>
    <s v="REL02216"/>
    <s v="Female"/>
    <n v="42"/>
    <s v="MBA"/>
    <s v="Divorced"/>
    <x v="2"/>
    <s v="Finance Analyst"/>
    <x v="0"/>
    <x v="9"/>
    <s v="West"/>
    <n v="2"/>
    <n v="66447"/>
    <x v="2"/>
    <n v="2"/>
    <n v="1"/>
    <n v="22"/>
    <n v="3"/>
    <d v="2021-12-29T00:00:00"/>
    <s v="No"/>
    <x v="0"/>
    <n v="2"/>
    <x v="3"/>
    <x v="0"/>
    <x v="1"/>
  </r>
  <r>
    <s v="REL02217"/>
    <s v="Female"/>
    <n v="47"/>
    <s v="HSC"/>
    <s v="Married"/>
    <x v="5"/>
    <s v="Finance Analyst"/>
    <x v="3"/>
    <x v="8"/>
    <s v="South"/>
    <n v="8"/>
    <n v="79090"/>
    <x v="1"/>
    <n v="4"/>
    <n v="1"/>
    <n v="55"/>
    <n v="1"/>
    <d v="2015-05-27T00:00:00"/>
    <s v="Yes"/>
    <x v="0"/>
    <n v="1"/>
    <x v="1"/>
    <x v="1"/>
    <x v="1"/>
  </r>
  <r>
    <s v="REL02218"/>
    <s v="Female"/>
    <n v="25"/>
    <s v="HSC"/>
    <s v="Divorced"/>
    <x v="5"/>
    <s v="Customer Service Rep"/>
    <x v="2"/>
    <x v="3"/>
    <s v="West"/>
    <n v="5"/>
    <n v="45507"/>
    <x v="1"/>
    <n v="4"/>
    <n v="2"/>
    <n v="74"/>
    <n v="3"/>
    <d v="2018-04-26T00:00:00"/>
    <s v="Yes"/>
    <x v="2"/>
    <n v="1"/>
    <x v="0"/>
    <x v="1"/>
    <x v="1"/>
  </r>
  <r>
    <s v="REL02219"/>
    <s v="Female"/>
    <n v="26"/>
    <s v="BTech"/>
    <s v="Married"/>
    <x v="7"/>
    <s v="Operations Head"/>
    <x v="0"/>
    <x v="6"/>
    <s v="South"/>
    <n v="12"/>
    <n v="113644"/>
    <x v="2"/>
    <n v="1"/>
    <n v="4"/>
    <n v="31"/>
    <n v="3"/>
    <d v="2012-01-02T00:00:00"/>
    <s v="No"/>
    <x v="1"/>
    <n v="2"/>
    <x v="2"/>
    <x v="0"/>
    <x v="1"/>
  </r>
  <r>
    <s v="REL02220"/>
    <s v="Female"/>
    <n v="49"/>
    <s v="Post Graduate"/>
    <s v="Divorced"/>
    <x v="6"/>
    <s v="Logistics Coordinator"/>
    <x v="0"/>
    <x v="5"/>
    <s v="South"/>
    <n v="1"/>
    <n v="52694"/>
    <x v="3"/>
    <n v="1"/>
    <n v="2"/>
    <n v="30"/>
    <n v="0"/>
    <d v="2022-07-29T00:00:00"/>
    <s v="No"/>
    <x v="0"/>
    <n v="4"/>
    <x v="3"/>
    <x v="2"/>
    <x v="1"/>
  </r>
  <r>
    <s v="REL02221"/>
    <s v="Male"/>
    <n v="27"/>
    <s v="Graduate"/>
    <s v="Single"/>
    <x v="1"/>
    <s v="Marketing Executive"/>
    <x v="4"/>
    <x v="8"/>
    <s v="South"/>
    <n v="2"/>
    <n v="62568"/>
    <x v="0"/>
    <n v="3"/>
    <n v="1"/>
    <n v="61"/>
    <n v="2"/>
    <d v="2021-08-31T00:00:00"/>
    <s v="No"/>
    <x v="0"/>
    <n v="3"/>
    <x v="3"/>
    <x v="0"/>
    <x v="0"/>
  </r>
  <r>
    <s v="REL02222"/>
    <s v="Female"/>
    <n v="28"/>
    <s v="HSC"/>
    <s v="Single"/>
    <x v="5"/>
    <s v="Customer Service Rep"/>
    <x v="0"/>
    <x v="8"/>
    <s v="South"/>
    <n v="6"/>
    <n v="41372"/>
    <x v="1"/>
    <n v="3"/>
    <n v="2"/>
    <n v="62"/>
    <n v="3"/>
    <d v="2017-10-16T00:00:00"/>
    <s v="Yes"/>
    <x v="2"/>
    <n v="1"/>
    <x v="1"/>
    <x v="1"/>
    <x v="1"/>
  </r>
  <r>
    <s v="REL02223"/>
    <s v="Male"/>
    <n v="54"/>
    <s v="MBA"/>
    <s v="Divorced"/>
    <x v="5"/>
    <s v="Sales Executive"/>
    <x v="3"/>
    <x v="8"/>
    <s v="South"/>
    <n v="6"/>
    <n v="56846"/>
    <x v="0"/>
    <n v="1"/>
    <n v="2"/>
    <n v="52"/>
    <n v="2"/>
    <d v="2017-03-29T00:00:00"/>
    <s v="No"/>
    <x v="0"/>
    <n v="3"/>
    <x v="1"/>
    <x v="0"/>
    <x v="0"/>
  </r>
  <r>
    <s v="REL02224"/>
    <s v="Female"/>
    <n v="49"/>
    <s v="HSC"/>
    <s v="Single"/>
    <x v="6"/>
    <s v="Marketing Executive"/>
    <x v="1"/>
    <x v="2"/>
    <s v="West"/>
    <n v="15"/>
    <n v="76662"/>
    <x v="1"/>
    <n v="4"/>
    <n v="2"/>
    <n v="51"/>
    <n v="3"/>
    <d v="2008-03-16T00:00:00"/>
    <s v="No"/>
    <x v="0"/>
    <n v="1"/>
    <x v="2"/>
    <x v="0"/>
    <x v="1"/>
  </r>
  <r>
    <s v="REL02225"/>
    <s v="Female"/>
    <n v="52"/>
    <s v="MBA"/>
    <s v="Divorced"/>
    <x v="2"/>
    <s v="Logistics Coordinator"/>
    <x v="1"/>
    <x v="3"/>
    <s v="West"/>
    <n v="13"/>
    <n v="65224"/>
    <x v="3"/>
    <n v="2"/>
    <n v="2"/>
    <n v="60"/>
    <n v="2"/>
    <d v="2010-06-01T00:00:00"/>
    <s v="No"/>
    <x v="0"/>
    <n v="4"/>
    <x v="2"/>
    <x v="2"/>
    <x v="1"/>
  </r>
  <r>
    <s v="REL02226"/>
    <s v="Male"/>
    <n v="49"/>
    <s v="MBA"/>
    <s v="Divorced"/>
    <x v="6"/>
    <s v="Sales Executive"/>
    <x v="1"/>
    <x v="6"/>
    <s v="South"/>
    <n v="14"/>
    <n v="73900"/>
    <x v="2"/>
    <n v="1"/>
    <n v="1"/>
    <n v="10"/>
    <n v="1"/>
    <d v="2009-05-15T00:00:00"/>
    <s v="No"/>
    <x v="0"/>
    <n v="2"/>
    <x v="2"/>
    <x v="0"/>
    <x v="1"/>
  </r>
  <r>
    <s v="REL02227"/>
    <s v="Female"/>
    <n v="32"/>
    <s v="Graduate"/>
    <s v="Single"/>
    <x v="2"/>
    <s v="Customer Service Rep"/>
    <x v="1"/>
    <x v="9"/>
    <s v="West"/>
    <n v="11"/>
    <n v="51168"/>
    <x v="3"/>
    <n v="1"/>
    <n v="3"/>
    <n v="19"/>
    <n v="0"/>
    <d v="2012-09-29T00:00:00"/>
    <s v="Yes"/>
    <x v="0"/>
    <n v="4"/>
    <x v="2"/>
    <x v="1"/>
    <x v="1"/>
  </r>
  <r>
    <s v="REL02228"/>
    <s v="Male"/>
    <n v="31"/>
    <s v="Graduate"/>
    <s v="Single"/>
    <x v="5"/>
    <s v="Operations Head"/>
    <x v="3"/>
    <x v="8"/>
    <s v="South"/>
    <n v="14"/>
    <n v="121869"/>
    <x v="0"/>
    <n v="4"/>
    <n v="3"/>
    <n v="64"/>
    <n v="3"/>
    <d v="2009-01-17T00:00:00"/>
    <s v="No"/>
    <x v="1"/>
    <n v="3"/>
    <x v="2"/>
    <x v="0"/>
    <x v="0"/>
  </r>
  <r>
    <s v="REL02229"/>
    <s v="Female"/>
    <n v="34"/>
    <s v="Post Graduate"/>
    <s v="Married"/>
    <x v="1"/>
    <s v="Customer Service Rep"/>
    <x v="1"/>
    <x v="5"/>
    <s v="South"/>
    <n v="11"/>
    <n v="48195"/>
    <x v="0"/>
    <n v="2"/>
    <n v="3"/>
    <n v="40"/>
    <n v="0"/>
    <d v="2012-10-16T00:00:00"/>
    <s v="No"/>
    <x v="2"/>
    <n v="3"/>
    <x v="2"/>
    <x v="0"/>
    <x v="1"/>
  </r>
  <r>
    <s v="REL02230"/>
    <s v="Female"/>
    <n v="26"/>
    <s v="HSC"/>
    <s v="Single"/>
    <x v="0"/>
    <s v="Finance Analyst"/>
    <x v="2"/>
    <x v="8"/>
    <s v="South"/>
    <n v="11"/>
    <n v="82285"/>
    <x v="3"/>
    <n v="1"/>
    <n v="2"/>
    <n v="46"/>
    <n v="2"/>
    <d v="2012-03-05T00:00:00"/>
    <s v="No"/>
    <x v="1"/>
    <n v="4"/>
    <x v="2"/>
    <x v="2"/>
    <x v="0"/>
  </r>
  <r>
    <s v="REL02231"/>
    <s v="Male"/>
    <n v="54"/>
    <s v="Graduate"/>
    <s v="Divorced"/>
    <x v="5"/>
    <s v="Customer Service Rep"/>
    <x v="4"/>
    <x v="5"/>
    <s v="South"/>
    <n v="5"/>
    <n v="35474"/>
    <x v="1"/>
    <n v="4"/>
    <n v="1"/>
    <n v="27"/>
    <n v="2"/>
    <d v="2018-08-29T00:00:00"/>
    <s v="Yes"/>
    <x v="2"/>
    <n v="1"/>
    <x v="0"/>
    <x v="1"/>
    <x v="1"/>
  </r>
  <r>
    <s v="REL02232"/>
    <s v="Male"/>
    <n v="33"/>
    <s v="Post Graduate"/>
    <s v="Divorced"/>
    <x v="0"/>
    <s v="Store Manager"/>
    <x v="0"/>
    <x v="8"/>
    <s v="South"/>
    <n v="2"/>
    <n v="79394"/>
    <x v="0"/>
    <n v="3"/>
    <n v="2"/>
    <n v="26"/>
    <n v="3"/>
    <d v="2021-04-29T00:00:00"/>
    <s v="No"/>
    <x v="0"/>
    <n v="3"/>
    <x v="3"/>
    <x v="0"/>
    <x v="0"/>
  </r>
  <r>
    <s v="REL02233"/>
    <s v="Female"/>
    <n v="30"/>
    <s v="MBA"/>
    <s v="Married"/>
    <x v="1"/>
    <s v="Customer Service Rep"/>
    <x v="3"/>
    <x v="9"/>
    <s v="West"/>
    <n v="6"/>
    <n v="45429"/>
    <x v="1"/>
    <n v="4"/>
    <n v="2"/>
    <n v="53"/>
    <n v="2"/>
    <d v="2017-11-30T00:00:00"/>
    <s v="Yes"/>
    <x v="2"/>
    <n v="1"/>
    <x v="1"/>
    <x v="1"/>
    <x v="1"/>
  </r>
  <r>
    <s v="REL02234"/>
    <s v="Female"/>
    <n v="37"/>
    <s v="BTech"/>
    <s v="Single"/>
    <x v="2"/>
    <s v="HR Manager"/>
    <x v="0"/>
    <x v="8"/>
    <s v="South"/>
    <n v="2"/>
    <n v="81767"/>
    <x v="1"/>
    <n v="2"/>
    <n v="3"/>
    <n v="32"/>
    <n v="3"/>
    <d v="2021-11-08T00:00:00"/>
    <s v="Yes"/>
    <x v="1"/>
    <n v="1"/>
    <x v="3"/>
    <x v="1"/>
    <x v="2"/>
  </r>
  <r>
    <s v="REL02235"/>
    <s v="Male"/>
    <n v="25"/>
    <s v="MBA"/>
    <s v="Single"/>
    <x v="3"/>
    <s v="Sales Executive"/>
    <x v="4"/>
    <x v="3"/>
    <s v="West"/>
    <n v="1"/>
    <n v="38805"/>
    <x v="2"/>
    <n v="4"/>
    <n v="3"/>
    <n v="74"/>
    <n v="1"/>
    <d v="2022-09-10T00:00:00"/>
    <s v="No"/>
    <x v="2"/>
    <n v="2"/>
    <x v="3"/>
    <x v="0"/>
    <x v="1"/>
  </r>
  <r>
    <s v="REL02236"/>
    <s v="Male"/>
    <n v="36"/>
    <s v="MBA"/>
    <s v="Single"/>
    <x v="7"/>
    <s v="Sales Executive"/>
    <x v="3"/>
    <x v="8"/>
    <s v="South"/>
    <n v="4"/>
    <n v="42312"/>
    <x v="0"/>
    <n v="1"/>
    <n v="2"/>
    <n v="66"/>
    <n v="2"/>
    <d v="2019-02-27T00:00:00"/>
    <s v="No"/>
    <x v="2"/>
    <n v="3"/>
    <x v="0"/>
    <x v="0"/>
    <x v="1"/>
  </r>
  <r>
    <s v="REL02237"/>
    <s v="Male"/>
    <n v="27"/>
    <s v="MBA"/>
    <s v="Divorced"/>
    <x v="1"/>
    <s v="Finance Analyst"/>
    <x v="1"/>
    <x v="4"/>
    <s v="North"/>
    <n v="6"/>
    <n v="64868"/>
    <x v="2"/>
    <n v="2"/>
    <n v="2"/>
    <n v="14"/>
    <n v="3"/>
    <d v="2017-10-02T00:00:00"/>
    <s v="No"/>
    <x v="0"/>
    <n v="2"/>
    <x v="1"/>
    <x v="0"/>
    <x v="1"/>
  </r>
  <r>
    <s v="REL02238"/>
    <s v="Female"/>
    <n v="35"/>
    <s v="MBA"/>
    <s v="Married"/>
    <x v="2"/>
    <s v="Operations Head"/>
    <x v="4"/>
    <x v="7"/>
    <s v="East"/>
    <n v="12"/>
    <n v="117238"/>
    <x v="3"/>
    <n v="3"/>
    <n v="3"/>
    <n v="36"/>
    <n v="1"/>
    <d v="2011-06-17T00:00:00"/>
    <s v="No"/>
    <x v="1"/>
    <n v="4"/>
    <x v="2"/>
    <x v="2"/>
    <x v="0"/>
  </r>
  <r>
    <s v="REL02239"/>
    <s v="Male"/>
    <n v="51"/>
    <s v="Post Graduate"/>
    <s v="Single"/>
    <x v="6"/>
    <s v="HR Manager"/>
    <x v="1"/>
    <x v="4"/>
    <s v="North"/>
    <n v="5"/>
    <n v="80121"/>
    <x v="3"/>
    <n v="4"/>
    <n v="4"/>
    <n v="74"/>
    <n v="1"/>
    <d v="2018-02-13T00:00:00"/>
    <s v="Yes"/>
    <x v="1"/>
    <n v="4"/>
    <x v="0"/>
    <x v="1"/>
    <x v="0"/>
  </r>
  <r>
    <s v="REL02240"/>
    <s v="Female"/>
    <n v="28"/>
    <s v="Graduate"/>
    <s v="Divorced"/>
    <x v="3"/>
    <s v="Finance Analyst"/>
    <x v="3"/>
    <x v="7"/>
    <s v="East"/>
    <n v="14"/>
    <n v="95870"/>
    <x v="3"/>
    <n v="2"/>
    <n v="2"/>
    <n v="79"/>
    <n v="2"/>
    <d v="2009-01-27T00:00:00"/>
    <s v="No"/>
    <x v="1"/>
    <n v="4"/>
    <x v="2"/>
    <x v="2"/>
    <x v="0"/>
  </r>
  <r>
    <s v="REL02241"/>
    <s v="Male"/>
    <n v="43"/>
    <s v="BTech"/>
    <s v="Divorced"/>
    <x v="0"/>
    <s v="Store Manager"/>
    <x v="4"/>
    <x v="5"/>
    <s v="South"/>
    <n v="10"/>
    <n v="96965"/>
    <x v="3"/>
    <n v="4"/>
    <n v="4"/>
    <n v="67"/>
    <n v="2"/>
    <d v="2013-09-17T00:00:00"/>
    <s v="No"/>
    <x v="1"/>
    <n v="4"/>
    <x v="1"/>
    <x v="2"/>
    <x v="0"/>
  </r>
  <r>
    <s v="REL02242"/>
    <s v="Female"/>
    <n v="23"/>
    <s v="Post Graduate"/>
    <s v="Married"/>
    <x v="6"/>
    <s v="Finance Analyst"/>
    <x v="0"/>
    <x v="8"/>
    <s v="South"/>
    <n v="2"/>
    <n v="59429"/>
    <x v="1"/>
    <n v="3"/>
    <n v="4"/>
    <n v="37"/>
    <n v="1"/>
    <d v="2021-07-27T00:00:00"/>
    <s v="No"/>
    <x v="0"/>
    <n v="1"/>
    <x v="3"/>
    <x v="3"/>
    <x v="1"/>
  </r>
  <r>
    <s v="REL02243"/>
    <s v="Female"/>
    <n v="40"/>
    <s v="MBA"/>
    <s v="Divorced"/>
    <x v="4"/>
    <s v="Logistics Coordinator"/>
    <x v="3"/>
    <x v="6"/>
    <s v="South"/>
    <n v="11"/>
    <n v="74313"/>
    <x v="2"/>
    <n v="2"/>
    <n v="3"/>
    <n v="25"/>
    <n v="3"/>
    <d v="2012-12-01T00:00:00"/>
    <s v="No"/>
    <x v="0"/>
    <n v="2"/>
    <x v="2"/>
    <x v="0"/>
    <x v="1"/>
  </r>
  <r>
    <s v="REL02244"/>
    <s v="Female"/>
    <n v="47"/>
    <s v="BTech"/>
    <s v="Divorced"/>
    <x v="7"/>
    <s v="Sales Executive"/>
    <x v="2"/>
    <x v="7"/>
    <s v="East"/>
    <n v="13"/>
    <n v="72864"/>
    <x v="2"/>
    <n v="4"/>
    <n v="3"/>
    <n v="56"/>
    <n v="3"/>
    <d v="2010-11-10T00:00:00"/>
    <s v="No"/>
    <x v="0"/>
    <n v="2"/>
    <x v="2"/>
    <x v="0"/>
    <x v="1"/>
  </r>
  <r>
    <s v="REL02245"/>
    <s v="Male"/>
    <n v="33"/>
    <s v="BTech"/>
    <s v="Married"/>
    <x v="6"/>
    <s v="Marketing Executive"/>
    <x v="4"/>
    <x v="7"/>
    <s v="East"/>
    <n v="13"/>
    <n v="73173"/>
    <x v="3"/>
    <n v="3"/>
    <n v="3"/>
    <n v="27"/>
    <n v="0"/>
    <d v="2010-07-27T00:00:00"/>
    <s v="No"/>
    <x v="0"/>
    <n v="4"/>
    <x v="2"/>
    <x v="2"/>
    <x v="1"/>
  </r>
  <r>
    <s v="REL02246"/>
    <s v="Female"/>
    <n v="45"/>
    <s v="Post Graduate"/>
    <s v="Married"/>
    <x v="3"/>
    <s v="Sales Executive"/>
    <x v="2"/>
    <x v="3"/>
    <s v="West"/>
    <n v="6"/>
    <n v="50702"/>
    <x v="0"/>
    <n v="2"/>
    <n v="2"/>
    <n v="72"/>
    <n v="3"/>
    <d v="2017-07-06T00:00:00"/>
    <s v="No"/>
    <x v="0"/>
    <n v="3"/>
    <x v="1"/>
    <x v="0"/>
    <x v="0"/>
  </r>
  <r>
    <s v="REL02247"/>
    <s v="Male"/>
    <n v="33"/>
    <s v="BTech"/>
    <s v="Married"/>
    <x v="0"/>
    <s v="HR Manager"/>
    <x v="0"/>
    <x v="2"/>
    <s v="West"/>
    <n v="5"/>
    <n v="89078"/>
    <x v="3"/>
    <n v="1"/>
    <n v="1"/>
    <n v="38"/>
    <n v="3"/>
    <d v="2018-09-15T00:00:00"/>
    <s v="No"/>
    <x v="1"/>
    <n v="4"/>
    <x v="0"/>
    <x v="2"/>
    <x v="0"/>
  </r>
  <r>
    <s v="REL02248"/>
    <s v="Male"/>
    <n v="41"/>
    <s v="Post Graduate"/>
    <s v="Divorced"/>
    <x v="3"/>
    <s v="Store Manager"/>
    <x v="1"/>
    <x v="6"/>
    <s v="South"/>
    <n v="2"/>
    <n v="85563"/>
    <x v="0"/>
    <n v="2"/>
    <n v="2"/>
    <n v="57"/>
    <n v="0"/>
    <d v="2021-02-09T00:00:00"/>
    <s v="No"/>
    <x v="1"/>
    <n v="3"/>
    <x v="3"/>
    <x v="0"/>
    <x v="0"/>
  </r>
  <r>
    <s v="REL02249"/>
    <s v="Female"/>
    <n v="43"/>
    <s v="Post Graduate"/>
    <s v="Divorced"/>
    <x v="4"/>
    <s v="HR Manager"/>
    <x v="1"/>
    <x v="0"/>
    <s v="North"/>
    <n v="15"/>
    <n v="113251"/>
    <x v="1"/>
    <n v="1"/>
    <n v="4"/>
    <n v="78"/>
    <n v="1"/>
    <d v="2008-05-14T00:00:00"/>
    <s v="Yes"/>
    <x v="1"/>
    <n v="1"/>
    <x v="2"/>
    <x v="1"/>
    <x v="2"/>
  </r>
  <r>
    <s v="REL02250"/>
    <s v="Female"/>
    <n v="41"/>
    <s v="MBA"/>
    <s v="Married"/>
    <x v="7"/>
    <s v="Store Manager"/>
    <x v="3"/>
    <x v="8"/>
    <s v="South"/>
    <n v="11"/>
    <n v="98648"/>
    <x v="1"/>
    <n v="4"/>
    <n v="4"/>
    <n v="49"/>
    <n v="1"/>
    <d v="2012-10-16T00:00:00"/>
    <s v="No"/>
    <x v="1"/>
    <n v="1"/>
    <x v="2"/>
    <x v="0"/>
    <x v="2"/>
  </r>
  <r>
    <s v="REL02251"/>
    <s v="Female"/>
    <n v="23"/>
    <s v="BTech"/>
    <s v="Married"/>
    <x v="0"/>
    <s v="Logistics Coordinator"/>
    <x v="1"/>
    <x v="2"/>
    <s v="West"/>
    <n v="4"/>
    <n v="59566"/>
    <x v="2"/>
    <n v="3"/>
    <n v="2"/>
    <n v="52"/>
    <n v="3"/>
    <d v="2019-01-18T00:00:00"/>
    <s v="No"/>
    <x v="0"/>
    <n v="2"/>
    <x v="0"/>
    <x v="0"/>
    <x v="1"/>
  </r>
  <r>
    <s v="REL02252"/>
    <s v="Male"/>
    <n v="53"/>
    <s v="Post Graduate"/>
    <s v="Divorced"/>
    <x v="7"/>
    <s v="HR Manager"/>
    <x v="2"/>
    <x v="6"/>
    <s v="South"/>
    <n v="7"/>
    <n v="85904"/>
    <x v="1"/>
    <n v="3"/>
    <n v="4"/>
    <n v="79"/>
    <n v="1"/>
    <d v="2016-05-18T00:00:00"/>
    <s v="Yes"/>
    <x v="1"/>
    <n v="1"/>
    <x v="1"/>
    <x v="1"/>
    <x v="2"/>
  </r>
  <r>
    <s v="REL02253"/>
    <s v="Female"/>
    <n v="48"/>
    <s v="MBA"/>
    <s v="Single"/>
    <x v="0"/>
    <s v="Marketing Executive"/>
    <x v="0"/>
    <x v="9"/>
    <s v="West"/>
    <n v="3"/>
    <n v="53895"/>
    <x v="1"/>
    <n v="1"/>
    <n v="3"/>
    <n v="22"/>
    <n v="2"/>
    <d v="2020-08-26T00:00:00"/>
    <s v="No"/>
    <x v="0"/>
    <n v="1"/>
    <x v="0"/>
    <x v="0"/>
    <x v="1"/>
  </r>
  <r>
    <s v="REL02254"/>
    <s v="Female"/>
    <n v="55"/>
    <s v="BTech"/>
    <s v="Married"/>
    <x v="6"/>
    <s v="Logistics Coordinator"/>
    <x v="4"/>
    <x v="4"/>
    <s v="North"/>
    <n v="7"/>
    <n v="54531"/>
    <x v="3"/>
    <n v="2"/>
    <n v="3"/>
    <n v="42"/>
    <n v="2"/>
    <d v="2016-03-27T00:00:00"/>
    <s v="No"/>
    <x v="0"/>
    <n v="4"/>
    <x v="1"/>
    <x v="2"/>
    <x v="1"/>
  </r>
  <r>
    <s v="REL02255"/>
    <s v="Male"/>
    <n v="41"/>
    <s v="HSC"/>
    <s v="Single"/>
    <x v="1"/>
    <s v="Logistics Coordinator"/>
    <x v="1"/>
    <x v="3"/>
    <s v="West"/>
    <n v="2"/>
    <n v="49617"/>
    <x v="2"/>
    <n v="2"/>
    <n v="2"/>
    <n v="22"/>
    <n v="1"/>
    <d v="2021-11-18T00:00:00"/>
    <s v="No"/>
    <x v="2"/>
    <n v="2"/>
    <x v="3"/>
    <x v="0"/>
    <x v="1"/>
  </r>
  <r>
    <s v="REL02256"/>
    <s v="Male"/>
    <n v="30"/>
    <s v="Post Graduate"/>
    <s v="Married"/>
    <x v="0"/>
    <s v="Marketing Executive"/>
    <x v="4"/>
    <x v="1"/>
    <s v="North"/>
    <n v="10"/>
    <n v="68777"/>
    <x v="1"/>
    <n v="4"/>
    <n v="2"/>
    <n v="80"/>
    <n v="0"/>
    <d v="2013-03-10T00:00:00"/>
    <s v="Yes"/>
    <x v="0"/>
    <n v="1"/>
    <x v="1"/>
    <x v="1"/>
    <x v="1"/>
  </r>
  <r>
    <s v="REL02257"/>
    <s v="Female"/>
    <n v="33"/>
    <s v="Graduate"/>
    <s v="Single"/>
    <x v="3"/>
    <s v="Logistics Coordinator"/>
    <x v="2"/>
    <x v="0"/>
    <s v="North"/>
    <n v="2"/>
    <n v="46047"/>
    <x v="3"/>
    <n v="2"/>
    <n v="2"/>
    <n v="22"/>
    <n v="2"/>
    <d v="2021-04-20T00:00:00"/>
    <s v="Yes"/>
    <x v="2"/>
    <n v="4"/>
    <x v="3"/>
    <x v="1"/>
    <x v="1"/>
  </r>
  <r>
    <s v="REL02258"/>
    <s v="Male"/>
    <n v="33"/>
    <s v="Graduate"/>
    <s v="Single"/>
    <x v="1"/>
    <s v="Logistics Coordinator"/>
    <x v="4"/>
    <x v="6"/>
    <s v="South"/>
    <n v="4"/>
    <n v="50105"/>
    <x v="0"/>
    <n v="4"/>
    <n v="1"/>
    <n v="33"/>
    <n v="1"/>
    <d v="2019-08-06T00:00:00"/>
    <s v="Yes"/>
    <x v="0"/>
    <n v="3"/>
    <x v="0"/>
    <x v="1"/>
    <x v="0"/>
  </r>
  <r>
    <s v="REL02259"/>
    <s v="Male"/>
    <n v="37"/>
    <s v="Graduate"/>
    <s v="Divorced"/>
    <x v="6"/>
    <s v="Sales Executive"/>
    <x v="3"/>
    <x v="0"/>
    <s v="North"/>
    <n v="1"/>
    <n v="37994"/>
    <x v="0"/>
    <n v="4"/>
    <n v="4"/>
    <n v="50"/>
    <n v="3"/>
    <d v="2022-07-07T00:00:00"/>
    <s v="No"/>
    <x v="2"/>
    <n v="3"/>
    <x v="3"/>
    <x v="0"/>
    <x v="1"/>
  </r>
  <r>
    <s v="REL02260"/>
    <s v="Female"/>
    <n v="43"/>
    <s v="Post Graduate"/>
    <s v="Single"/>
    <x v="0"/>
    <s v="Sales Executive"/>
    <x v="4"/>
    <x v="4"/>
    <s v="North"/>
    <n v="12"/>
    <n v="73065"/>
    <x v="3"/>
    <n v="3"/>
    <n v="3"/>
    <n v="77"/>
    <n v="1"/>
    <d v="2011-05-12T00:00:00"/>
    <s v="Yes"/>
    <x v="0"/>
    <n v="4"/>
    <x v="2"/>
    <x v="1"/>
    <x v="1"/>
  </r>
  <r>
    <s v="REL02261"/>
    <s v="Female"/>
    <n v="49"/>
    <s v="BTech"/>
    <s v="Single"/>
    <x v="1"/>
    <s v="Customer Service Rep"/>
    <x v="1"/>
    <x v="8"/>
    <s v="South"/>
    <n v="2"/>
    <n v="31383"/>
    <x v="1"/>
    <n v="1"/>
    <n v="4"/>
    <n v="17"/>
    <n v="3"/>
    <d v="2021-04-24T00:00:00"/>
    <s v="Yes"/>
    <x v="3"/>
    <n v="1"/>
    <x v="3"/>
    <x v="1"/>
    <x v="1"/>
  </r>
  <r>
    <s v="REL02262"/>
    <s v="Male"/>
    <n v="37"/>
    <s v="BTech"/>
    <s v="Single"/>
    <x v="3"/>
    <s v="HR Manager"/>
    <x v="3"/>
    <x v="3"/>
    <s v="West"/>
    <n v="9"/>
    <n v="84087"/>
    <x v="0"/>
    <n v="2"/>
    <n v="3"/>
    <n v="24"/>
    <n v="1"/>
    <d v="2014-12-07T00:00:00"/>
    <s v="No"/>
    <x v="1"/>
    <n v="3"/>
    <x v="1"/>
    <x v="0"/>
    <x v="0"/>
  </r>
  <r>
    <s v="REL02263"/>
    <s v="Male"/>
    <n v="33"/>
    <s v="HSC"/>
    <s v="Divorced"/>
    <x v="3"/>
    <s v="Store Manager"/>
    <x v="4"/>
    <x v="5"/>
    <s v="South"/>
    <n v="11"/>
    <n v="97819"/>
    <x v="1"/>
    <n v="1"/>
    <n v="2"/>
    <n v="27"/>
    <n v="2"/>
    <d v="2012-01-06T00:00:00"/>
    <s v="No"/>
    <x v="1"/>
    <n v="1"/>
    <x v="2"/>
    <x v="0"/>
    <x v="2"/>
  </r>
  <r>
    <s v="REL02264"/>
    <s v="Male"/>
    <n v="29"/>
    <s v="Graduate"/>
    <s v="Married"/>
    <x v="7"/>
    <s v="HR Manager"/>
    <x v="3"/>
    <x v="6"/>
    <s v="South"/>
    <n v="6"/>
    <n v="78406"/>
    <x v="0"/>
    <n v="4"/>
    <n v="3"/>
    <n v="47"/>
    <n v="1"/>
    <d v="2017-11-18T00:00:00"/>
    <s v="No"/>
    <x v="0"/>
    <n v="3"/>
    <x v="1"/>
    <x v="0"/>
    <x v="0"/>
  </r>
  <r>
    <s v="REL02265"/>
    <s v="Male"/>
    <n v="29"/>
    <s v="MBA"/>
    <s v="Married"/>
    <x v="1"/>
    <s v="Store Manager"/>
    <x v="2"/>
    <x v="1"/>
    <s v="North"/>
    <n v="8"/>
    <n v="94326"/>
    <x v="1"/>
    <n v="4"/>
    <n v="2"/>
    <n v="10"/>
    <n v="1"/>
    <d v="2015-05-20T00:00:00"/>
    <s v="Yes"/>
    <x v="1"/>
    <n v="1"/>
    <x v="1"/>
    <x v="1"/>
    <x v="2"/>
  </r>
  <r>
    <s v="REL02266"/>
    <s v="Female"/>
    <n v="36"/>
    <s v="Graduate"/>
    <s v="Single"/>
    <x v="2"/>
    <s v="Logistics Coordinator"/>
    <x v="0"/>
    <x v="7"/>
    <s v="East"/>
    <n v="9"/>
    <n v="61407"/>
    <x v="0"/>
    <n v="2"/>
    <n v="1"/>
    <n v="48"/>
    <n v="0"/>
    <d v="2014-05-27T00:00:00"/>
    <s v="No"/>
    <x v="0"/>
    <n v="3"/>
    <x v="1"/>
    <x v="0"/>
    <x v="0"/>
  </r>
  <r>
    <s v="REL02267"/>
    <s v="Female"/>
    <n v="26"/>
    <s v="Graduate"/>
    <s v="Divorced"/>
    <x v="5"/>
    <s v="Store Manager"/>
    <x v="2"/>
    <x v="9"/>
    <s v="West"/>
    <n v="5"/>
    <n v="96829"/>
    <x v="3"/>
    <n v="3"/>
    <n v="1"/>
    <n v="67"/>
    <n v="2"/>
    <d v="2018-11-24T00:00:00"/>
    <s v="No"/>
    <x v="1"/>
    <n v="4"/>
    <x v="0"/>
    <x v="2"/>
    <x v="0"/>
  </r>
  <r>
    <s v="REL02268"/>
    <s v="Female"/>
    <n v="53"/>
    <s v="MBA"/>
    <s v="Single"/>
    <x v="0"/>
    <s v="Customer Service Rep"/>
    <x v="1"/>
    <x v="7"/>
    <s v="East"/>
    <n v="9"/>
    <n v="48367"/>
    <x v="2"/>
    <n v="2"/>
    <n v="4"/>
    <n v="74"/>
    <n v="2"/>
    <d v="2014-08-07T00:00:00"/>
    <s v="No"/>
    <x v="2"/>
    <n v="2"/>
    <x v="1"/>
    <x v="0"/>
    <x v="1"/>
  </r>
  <r>
    <s v="REL02269"/>
    <s v="Female"/>
    <n v="47"/>
    <s v="HSC"/>
    <s v="Divorced"/>
    <x v="7"/>
    <s v="Store Manager"/>
    <x v="1"/>
    <x v="2"/>
    <s v="West"/>
    <n v="1"/>
    <n v="95321"/>
    <x v="1"/>
    <n v="3"/>
    <n v="1"/>
    <n v="53"/>
    <n v="1"/>
    <d v="2022-02-02T00:00:00"/>
    <s v="Yes"/>
    <x v="1"/>
    <n v="1"/>
    <x v="3"/>
    <x v="1"/>
    <x v="2"/>
  </r>
  <r>
    <s v="REL02270"/>
    <s v="Female"/>
    <n v="37"/>
    <s v="Post Graduate"/>
    <s v="Divorced"/>
    <x v="5"/>
    <s v="HR Manager"/>
    <x v="4"/>
    <x v="7"/>
    <s v="East"/>
    <n v="8"/>
    <n v="95479"/>
    <x v="3"/>
    <n v="2"/>
    <n v="1"/>
    <n v="25"/>
    <n v="1"/>
    <d v="2015-05-16T00:00:00"/>
    <s v="No"/>
    <x v="1"/>
    <n v="4"/>
    <x v="1"/>
    <x v="2"/>
    <x v="0"/>
  </r>
  <r>
    <s v="REL02271"/>
    <s v="Male"/>
    <n v="49"/>
    <s v="Post Graduate"/>
    <s v="Married"/>
    <x v="0"/>
    <s v="HR Manager"/>
    <x v="0"/>
    <x v="6"/>
    <s v="South"/>
    <n v="2"/>
    <n v="71071"/>
    <x v="3"/>
    <n v="1"/>
    <n v="1"/>
    <n v="15"/>
    <n v="2"/>
    <d v="2021-08-24T00:00:00"/>
    <s v="No"/>
    <x v="0"/>
    <n v="4"/>
    <x v="3"/>
    <x v="2"/>
    <x v="1"/>
  </r>
  <r>
    <s v="REL02272"/>
    <s v="Female"/>
    <n v="39"/>
    <s v="MBA"/>
    <s v="Single"/>
    <x v="3"/>
    <s v="Customer Service Rep"/>
    <x v="0"/>
    <x v="3"/>
    <s v="West"/>
    <n v="7"/>
    <n v="41104"/>
    <x v="3"/>
    <n v="1"/>
    <n v="4"/>
    <n v="16"/>
    <n v="3"/>
    <d v="2016-01-23T00:00:00"/>
    <s v="Yes"/>
    <x v="2"/>
    <n v="4"/>
    <x v="1"/>
    <x v="1"/>
    <x v="1"/>
  </r>
  <r>
    <s v="REL02273"/>
    <s v="Male"/>
    <n v="50"/>
    <s v="BTech"/>
    <s v="Single"/>
    <x v="5"/>
    <s v="Logistics Coordinator"/>
    <x v="3"/>
    <x v="8"/>
    <s v="South"/>
    <n v="15"/>
    <n v="71397"/>
    <x v="1"/>
    <n v="3"/>
    <n v="3"/>
    <n v="79"/>
    <n v="0"/>
    <d v="2008-08-27T00:00:00"/>
    <s v="Yes"/>
    <x v="0"/>
    <n v="1"/>
    <x v="2"/>
    <x v="1"/>
    <x v="1"/>
  </r>
  <r>
    <s v="REL02274"/>
    <s v="Female"/>
    <n v="53"/>
    <s v="MBA"/>
    <s v="Married"/>
    <x v="2"/>
    <s v="Sales Executive"/>
    <x v="1"/>
    <x v="5"/>
    <s v="South"/>
    <n v="15"/>
    <n v="63270"/>
    <x v="3"/>
    <n v="4"/>
    <n v="4"/>
    <n v="19"/>
    <n v="2"/>
    <d v="2008-07-17T00:00:00"/>
    <s v="No"/>
    <x v="0"/>
    <n v="4"/>
    <x v="2"/>
    <x v="2"/>
    <x v="1"/>
  </r>
  <r>
    <s v="REL02275"/>
    <s v="Male"/>
    <n v="28"/>
    <s v="MBA"/>
    <s v="Married"/>
    <x v="4"/>
    <s v="Store Manager"/>
    <x v="1"/>
    <x v="6"/>
    <s v="South"/>
    <n v="12"/>
    <n v="102159"/>
    <x v="1"/>
    <n v="3"/>
    <n v="3"/>
    <n v="19"/>
    <n v="3"/>
    <d v="2011-03-20T00:00:00"/>
    <s v="Yes"/>
    <x v="1"/>
    <n v="1"/>
    <x v="2"/>
    <x v="1"/>
    <x v="2"/>
  </r>
  <r>
    <s v="REL02276"/>
    <s v="Female"/>
    <n v="36"/>
    <s v="HSC"/>
    <s v="Married"/>
    <x v="0"/>
    <s v="Marketing Executive"/>
    <x v="2"/>
    <x v="9"/>
    <s v="West"/>
    <n v="11"/>
    <n v="80190"/>
    <x v="0"/>
    <n v="2"/>
    <n v="4"/>
    <n v="68"/>
    <n v="1"/>
    <d v="2012-08-28T00:00:00"/>
    <s v="Yes"/>
    <x v="1"/>
    <n v="3"/>
    <x v="2"/>
    <x v="1"/>
    <x v="0"/>
  </r>
  <r>
    <s v="REL02277"/>
    <s v="Female"/>
    <n v="55"/>
    <s v="BTech"/>
    <s v="Divorced"/>
    <x v="1"/>
    <s v="Customer Service Rep"/>
    <x v="2"/>
    <x v="7"/>
    <s v="East"/>
    <n v="10"/>
    <n v="64269"/>
    <x v="3"/>
    <n v="4"/>
    <n v="2"/>
    <n v="56"/>
    <n v="3"/>
    <d v="2013-04-06T00:00:00"/>
    <s v="No"/>
    <x v="0"/>
    <n v="4"/>
    <x v="1"/>
    <x v="2"/>
    <x v="1"/>
  </r>
  <r>
    <s v="REL02278"/>
    <s v="Female"/>
    <n v="23"/>
    <s v="BTech"/>
    <s v="Single"/>
    <x v="7"/>
    <s v="Customer Service Rep"/>
    <x v="2"/>
    <x v="6"/>
    <s v="South"/>
    <n v="4"/>
    <n v="48486"/>
    <x v="0"/>
    <n v="4"/>
    <n v="4"/>
    <n v="35"/>
    <n v="2"/>
    <d v="2019-10-11T00:00:00"/>
    <s v="Yes"/>
    <x v="2"/>
    <n v="3"/>
    <x v="0"/>
    <x v="1"/>
    <x v="1"/>
  </r>
  <r>
    <s v="REL02279"/>
    <s v="Male"/>
    <n v="42"/>
    <s v="MBA"/>
    <s v="Divorced"/>
    <x v="4"/>
    <s v="HR Manager"/>
    <x v="1"/>
    <x v="2"/>
    <s v="West"/>
    <n v="5"/>
    <n v="89906"/>
    <x v="2"/>
    <n v="3"/>
    <n v="2"/>
    <n v="40"/>
    <n v="0"/>
    <d v="2018-03-09T00:00:00"/>
    <s v="No"/>
    <x v="1"/>
    <n v="2"/>
    <x v="0"/>
    <x v="0"/>
    <x v="1"/>
  </r>
  <r>
    <s v="REL02280"/>
    <s v="Male"/>
    <n v="41"/>
    <s v="Graduate"/>
    <s v="Married"/>
    <x v="6"/>
    <s v="HR Manager"/>
    <x v="3"/>
    <x v="1"/>
    <s v="North"/>
    <n v="3"/>
    <n v="86509"/>
    <x v="1"/>
    <n v="2"/>
    <n v="1"/>
    <n v="23"/>
    <n v="3"/>
    <d v="2020-09-08T00:00:00"/>
    <s v="Yes"/>
    <x v="1"/>
    <n v="1"/>
    <x v="0"/>
    <x v="1"/>
    <x v="2"/>
  </r>
  <r>
    <s v="REL02281"/>
    <s v="Male"/>
    <n v="27"/>
    <s v="HSC"/>
    <s v="Married"/>
    <x v="1"/>
    <s v="Store Manager"/>
    <x v="2"/>
    <x v="2"/>
    <s v="West"/>
    <n v="13"/>
    <n v="104823"/>
    <x v="2"/>
    <n v="2"/>
    <n v="3"/>
    <n v="53"/>
    <n v="1"/>
    <d v="2010-01-16T00:00:00"/>
    <s v="No"/>
    <x v="1"/>
    <n v="2"/>
    <x v="2"/>
    <x v="0"/>
    <x v="1"/>
  </r>
  <r>
    <s v="REL02282"/>
    <s v="Female"/>
    <n v="51"/>
    <s v="Graduate"/>
    <s v="Married"/>
    <x v="1"/>
    <s v="Logistics Coordinator"/>
    <x v="3"/>
    <x v="2"/>
    <s v="West"/>
    <n v="13"/>
    <n v="66962"/>
    <x v="0"/>
    <n v="3"/>
    <n v="3"/>
    <n v="56"/>
    <n v="2"/>
    <d v="2010-09-27T00:00:00"/>
    <s v="No"/>
    <x v="0"/>
    <n v="3"/>
    <x v="2"/>
    <x v="0"/>
    <x v="0"/>
  </r>
  <r>
    <s v="REL02283"/>
    <s v="Male"/>
    <n v="51"/>
    <s v="HSC"/>
    <s v="Married"/>
    <x v="4"/>
    <s v="Operations Head"/>
    <x v="2"/>
    <x v="0"/>
    <s v="North"/>
    <n v="14"/>
    <n v="117826"/>
    <x v="2"/>
    <n v="3"/>
    <n v="3"/>
    <n v="52"/>
    <n v="3"/>
    <d v="2009-11-26T00:00:00"/>
    <s v="Yes"/>
    <x v="1"/>
    <n v="2"/>
    <x v="2"/>
    <x v="1"/>
    <x v="1"/>
  </r>
  <r>
    <s v="REL02284"/>
    <s v="Male"/>
    <n v="45"/>
    <s v="Graduate"/>
    <s v="Single"/>
    <x v="3"/>
    <s v="Operations Head"/>
    <x v="4"/>
    <x v="8"/>
    <s v="South"/>
    <n v="3"/>
    <n v="103404"/>
    <x v="2"/>
    <n v="1"/>
    <n v="1"/>
    <n v="62"/>
    <n v="2"/>
    <d v="2020-04-18T00:00:00"/>
    <s v="No"/>
    <x v="1"/>
    <n v="2"/>
    <x v="0"/>
    <x v="0"/>
    <x v="1"/>
  </r>
  <r>
    <s v="REL02285"/>
    <s v="Male"/>
    <n v="38"/>
    <s v="MBA"/>
    <s v="Divorced"/>
    <x v="3"/>
    <s v="HR Manager"/>
    <x v="0"/>
    <x v="9"/>
    <s v="West"/>
    <n v="5"/>
    <n v="94222"/>
    <x v="1"/>
    <n v="2"/>
    <n v="3"/>
    <n v="37"/>
    <n v="3"/>
    <d v="2018-05-21T00:00:00"/>
    <s v="No"/>
    <x v="1"/>
    <n v="1"/>
    <x v="0"/>
    <x v="0"/>
    <x v="2"/>
  </r>
  <r>
    <s v="REL02286"/>
    <s v="Male"/>
    <n v="38"/>
    <s v="HSC"/>
    <s v="Divorced"/>
    <x v="2"/>
    <s v="Store Manager"/>
    <x v="0"/>
    <x v="7"/>
    <s v="East"/>
    <n v="14"/>
    <n v="105003"/>
    <x v="0"/>
    <n v="1"/>
    <n v="2"/>
    <n v="45"/>
    <n v="3"/>
    <d v="2009-07-27T00:00:00"/>
    <s v="No"/>
    <x v="1"/>
    <n v="3"/>
    <x v="2"/>
    <x v="0"/>
    <x v="0"/>
  </r>
  <r>
    <s v="REL02287"/>
    <s v="Female"/>
    <n v="34"/>
    <s v="Graduate"/>
    <s v="Single"/>
    <x v="3"/>
    <s v="Finance Analyst"/>
    <x v="2"/>
    <x v="4"/>
    <s v="North"/>
    <n v="6"/>
    <n v="80274"/>
    <x v="3"/>
    <n v="1"/>
    <n v="2"/>
    <n v="42"/>
    <n v="3"/>
    <d v="2017-08-22T00:00:00"/>
    <s v="No"/>
    <x v="1"/>
    <n v="4"/>
    <x v="1"/>
    <x v="2"/>
    <x v="0"/>
  </r>
  <r>
    <s v="REL02288"/>
    <s v="Female"/>
    <n v="48"/>
    <s v="Graduate"/>
    <s v="Married"/>
    <x v="1"/>
    <s v="Operations Head"/>
    <x v="3"/>
    <x v="8"/>
    <s v="South"/>
    <n v="3"/>
    <n v="97736"/>
    <x v="1"/>
    <n v="4"/>
    <n v="4"/>
    <n v="24"/>
    <n v="0"/>
    <d v="2020-11-26T00:00:00"/>
    <s v="No"/>
    <x v="1"/>
    <n v="1"/>
    <x v="0"/>
    <x v="0"/>
    <x v="2"/>
  </r>
  <r>
    <s v="REL02289"/>
    <s v="Female"/>
    <n v="24"/>
    <s v="MBA"/>
    <s v="Married"/>
    <x v="6"/>
    <s v="Operations Head"/>
    <x v="2"/>
    <x v="2"/>
    <s v="West"/>
    <n v="15"/>
    <n v="134894"/>
    <x v="1"/>
    <n v="1"/>
    <n v="4"/>
    <n v="19"/>
    <n v="2"/>
    <d v="2008-12-03T00:00:00"/>
    <s v="Yes"/>
    <x v="1"/>
    <n v="1"/>
    <x v="2"/>
    <x v="1"/>
    <x v="2"/>
  </r>
  <r>
    <s v="REL02290"/>
    <s v="Male"/>
    <n v="34"/>
    <s v="Graduate"/>
    <s v="Married"/>
    <x v="2"/>
    <s v="Sales Executive"/>
    <x v="0"/>
    <x v="9"/>
    <s v="West"/>
    <n v="2"/>
    <n v="39396"/>
    <x v="3"/>
    <n v="1"/>
    <n v="1"/>
    <n v="42"/>
    <n v="0"/>
    <d v="2021-12-31T00:00:00"/>
    <s v="No"/>
    <x v="2"/>
    <n v="4"/>
    <x v="3"/>
    <x v="2"/>
    <x v="1"/>
  </r>
  <r>
    <s v="REL02291"/>
    <s v="Female"/>
    <n v="27"/>
    <s v="HSC"/>
    <s v="Divorced"/>
    <x v="7"/>
    <s v="Marketing Executive"/>
    <x v="2"/>
    <x v="6"/>
    <s v="South"/>
    <n v="13"/>
    <n v="70379"/>
    <x v="1"/>
    <n v="3"/>
    <n v="2"/>
    <n v="57"/>
    <n v="0"/>
    <d v="2010-12-05T00:00:00"/>
    <s v="Yes"/>
    <x v="0"/>
    <n v="1"/>
    <x v="2"/>
    <x v="1"/>
    <x v="1"/>
  </r>
  <r>
    <s v="REL02292"/>
    <s v="Male"/>
    <n v="40"/>
    <s v="Graduate"/>
    <s v="Married"/>
    <x v="6"/>
    <s v="Operations Head"/>
    <x v="3"/>
    <x v="9"/>
    <s v="West"/>
    <n v="9"/>
    <n v="108371"/>
    <x v="1"/>
    <n v="3"/>
    <n v="2"/>
    <n v="42"/>
    <n v="3"/>
    <d v="2014-02-06T00:00:00"/>
    <s v="Yes"/>
    <x v="1"/>
    <n v="1"/>
    <x v="1"/>
    <x v="1"/>
    <x v="2"/>
  </r>
  <r>
    <s v="REL02293"/>
    <s v="Female"/>
    <n v="32"/>
    <s v="BTech"/>
    <s v="Divorced"/>
    <x v="7"/>
    <s v="Marketing Executive"/>
    <x v="2"/>
    <x v="3"/>
    <s v="West"/>
    <n v="3"/>
    <n v="63473"/>
    <x v="1"/>
    <n v="3"/>
    <n v="3"/>
    <n v="68"/>
    <n v="2"/>
    <d v="2020-07-04T00:00:00"/>
    <s v="Yes"/>
    <x v="0"/>
    <n v="1"/>
    <x v="0"/>
    <x v="1"/>
    <x v="1"/>
  </r>
  <r>
    <s v="REL02294"/>
    <s v="Female"/>
    <n v="53"/>
    <s v="MBA"/>
    <s v="Divorced"/>
    <x v="6"/>
    <s v="HR Manager"/>
    <x v="2"/>
    <x v="9"/>
    <s v="West"/>
    <n v="12"/>
    <n v="108432"/>
    <x v="1"/>
    <n v="4"/>
    <n v="2"/>
    <n v="59"/>
    <n v="3"/>
    <d v="2011-07-14T00:00:00"/>
    <s v="Yes"/>
    <x v="1"/>
    <n v="1"/>
    <x v="2"/>
    <x v="1"/>
    <x v="2"/>
  </r>
  <r>
    <s v="REL02295"/>
    <s v="Male"/>
    <n v="39"/>
    <s v="BTech"/>
    <s v="Single"/>
    <x v="0"/>
    <s v="Sales Executive"/>
    <x v="3"/>
    <x v="2"/>
    <s v="West"/>
    <n v="12"/>
    <n v="55322"/>
    <x v="2"/>
    <n v="3"/>
    <n v="1"/>
    <n v="45"/>
    <n v="1"/>
    <d v="2011-03-10T00:00:00"/>
    <s v="No"/>
    <x v="0"/>
    <n v="2"/>
    <x v="2"/>
    <x v="0"/>
    <x v="1"/>
  </r>
  <r>
    <s v="REL02296"/>
    <s v="Female"/>
    <n v="48"/>
    <s v="BTech"/>
    <s v="Divorced"/>
    <x v="0"/>
    <s v="Logistics Coordinator"/>
    <x v="2"/>
    <x v="4"/>
    <s v="North"/>
    <n v="13"/>
    <n v="61832"/>
    <x v="2"/>
    <n v="4"/>
    <n v="4"/>
    <n v="11"/>
    <n v="3"/>
    <d v="2010-04-08T00:00:00"/>
    <s v="No"/>
    <x v="0"/>
    <n v="2"/>
    <x v="2"/>
    <x v="0"/>
    <x v="1"/>
  </r>
  <r>
    <s v="REL02297"/>
    <s v="Male"/>
    <n v="27"/>
    <s v="Graduate"/>
    <s v="Single"/>
    <x v="5"/>
    <s v="Logistics Coordinator"/>
    <x v="0"/>
    <x v="5"/>
    <s v="South"/>
    <n v="15"/>
    <n v="65560"/>
    <x v="1"/>
    <n v="3"/>
    <n v="2"/>
    <n v="59"/>
    <n v="1"/>
    <d v="2008-11-24T00:00:00"/>
    <s v="Yes"/>
    <x v="0"/>
    <n v="1"/>
    <x v="2"/>
    <x v="1"/>
    <x v="1"/>
  </r>
  <r>
    <s v="REL02298"/>
    <s v="Female"/>
    <n v="44"/>
    <s v="BTech"/>
    <s v="Married"/>
    <x v="6"/>
    <s v="Sales Executive"/>
    <x v="0"/>
    <x v="6"/>
    <s v="South"/>
    <n v="15"/>
    <n v="77248"/>
    <x v="2"/>
    <n v="1"/>
    <n v="3"/>
    <n v="39"/>
    <n v="2"/>
    <d v="2008-10-30T00:00:00"/>
    <s v="Yes"/>
    <x v="0"/>
    <n v="2"/>
    <x v="2"/>
    <x v="1"/>
    <x v="1"/>
  </r>
  <r>
    <s v="REL02299"/>
    <s v="Female"/>
    <n v="24"/>
    <s v="MBA"/>
    <s v="Divorced"/>
    <x v="5"/>
    <s v="Operations Head"/>
    <x v="2"/>
    <x v="2"/>
    <s v="West"/>
    <n v="3"/>
    <n v="99001"/>
    <x v="2"/>
    <n v="4"/>
    <n v="3"/>
    <n v="51"/>
    <n v="3"/>
    <d v="2020-05-14T00:00:00"/>
    <s v="No"/>
    <x v="1"/>
    <n v="2"/>
    <x v="0"/>
    <x v="0"/>
    <x v="1"/>
  </r>
  <r>
    <s v="REL02300"/>
    <s v="Male"/>
    <n v="43"/>
    <s v="BTech"/>
    <s v="Married"/>
    <x v="7"/>
    <s v="HR Manager"/>
    <x v="0"/>
    <x v="5"/>
    <s v="South"/>
    <n v="12"/>
    <n v="99821"/>
    <x v="2"/>
    <n v="4"/>
    <n v="4"/>
    <n v="16"/>
    <n v="0"/>
    <d v="2011-10-09T00:00:00"/>
    <s v="Yes"/>
    <x v="1"/>
    <n v="2"/>
    <x v="2"/>
    <x v="1"/>
    <x v="1"/>
  </r>
  <r>
    <s v="REL02301"/>
    <s v="Female"/>
    <n v="49"/>
    <s v="HSC"/>
    <s v="Single"/>
    <x v="5"/>
    <s v="Finance Analyst"/>
    <x v="2"/>
    <x v="9"/>
    <s v="West"/>
    <n v="14"/>
    <n v="97299"/>
    <x v="0"/>
    <n v="2"/>
    <n v="4"/>
    <n v="73"/>
    <n v="2"/>
    <d v="2009-02-20T00:00:00"/>
    <s v="No"/>
    <x v="1"/>
    <n v="3"/>
    <x v="2"/>
    <x v="0"/>
    <x v="0"/>
  </r>
  <r>
    <s v="REL02302"/>
    <s v="Male"/>
    <n v="50"/>
    <s v="Graduate"/>
    <s v="Single"/>
    <x v="0"/>
    <s v="Marketing Executive"/>
    <x v="2"/>
    <x v="4"/>
    <s v="North"/>
    <n v="14"/>
    <n v="84941"/>
    <x v="3"/>
    <n v="3"/>
    <n v="1"/>
    <n v="53"/>
    <n v="0"/>
    <d v="2009-08-20T00:00:00"/>
    <s v="No"/>
    <x v="1"/>
    <n v="4"/>
    <x v="2"/>
    <x v="2"/>
    <x v="0"/>
  </r>
  <r>
    <s v="REL02303"/>
    <s v="Female"/>
    <n v="26"/>
    <s v="Post Graduate"/>
    <s v="Divorced"/>
    <x v="4"/>
    <s v="Customer Service Rep"/>
    <x v="2"/>
    <x v="6"/>
    <s v="South"/>
    <n v="10"/>
    <n v="60393"/>
    <x v="1"/>
    <n v="4"/>
    <n v="4"/>
    <n v="41"/>
    <n v="2"/>
    <d v="2013-01-13T00:00:00"/>
    <s v="Yes"/>
    <x v="0"/>
    <n v="1"/>
    <x v="1"/>
    <x v="1"/>
    <x v="1"/>
  </r>
  <r>
    <s v="REL02304"/>
    <s v="Female"/>
    <n v="25"/>
    <s v="BTech"/>
    <s v="Married"/>
    <x v="4"/>
    <s v="HR Manager"/>
    <x v="3"/>
    <x v="6"/>
    <s v="South"/>
    <n v="5"/>
    <n v="89233"/>
    <x v="3"/>
    <n v="2"/>
    <n v="1"/>
    <n v="60"/>
    <n v="1"/>
    <d v="2018-12-22T00:00:00"/>
    <s v="No"/>
    <x v="1"/>
    <n v="4"/>
    <x v="0"/>
    <x v="2"/>
    <x v="0"/>
  </r>
  <r>
    <s v="REL02305"/>
    <s v="Female"/>
    <n v="31"/>
    <s v="BTech"/>
    <s v="Single"/>
    <x v="4"/>
    <s v="Finance Analyst"/>
    <x v="3"/>
    <x v="5"/>
    <s v="South"/>
    <n v="2"/>
    <n v="71222"/>
    <x v="3"/>
    <n v="4"/>
    <n v="3"/>
    <n v="34"/>
    <n v="1"/>
    <d v="2021-09-27T00:00:00"/>
    <s v="No"/>
    <x v="0"/>
    <n v="4"/>
    <x v="3"/>
    <x v="2"/>
    <x v="1"/>
  </r>
  <r>
    <s v="REL02306"/>
    <s v="Male"/>
    <n v="37"/>
    <s v="Post Graduate"/>
    <s v="Divorced"/>
    <x v="0"/>
    <s v="Sales Executive"/>
    <x v="0"/>
    <x v="1"/>
    <s v="North"/>
    <n v="12"/>
    <n v="69760"/>
    <x v="3"/>
    <n v="2"/>
    <n v="1"/>
    <n v="74"/>
    <n v="2"/>
    <d v="2011-06-22T00:00:00"/>
    <s v="Yes"/>
    <x v="0"/>
    <n v="4"/>
    <x v="2"/>
    <x v="1"/>
    <x v="1"/>
  </r>
  <r>
    <s v="REL02307"/>
    <s v="Male"/>
    <n v="23"/>
    <s v="BTech"/>
    <s v="Single"/>
    <x v="4"/>
    <s v="Logistics Coordinator"/>
    <x v="4"/>
    <x v="8"/>
    <s v="South"/>
    <n v="4"/>
    <n v="57086"/>
    <x v="2"/>
    <n v="1"/>
    <n v="2"/>
    <n v="70"/>
    <n v="0"/>
    <d v="2019-01-27T00:00:00"/>
    <s v="Yes"/>
    <x v="0"/>
    <n v="2"/>
    <x v="0"/>
    <x v="1"/>
    <x v="1"/>
  </r>
  <r>
    <s v="REL02308"/>
    <s v="Female"/>
    <n v="51"/>
    <s v="MBA"/>
    <s v="Single"/>
    <x v="2"/>
    <s v="Logistics Coordinator"/>
    <x v="4"/>
    <x v="6"/>
    <s v="South"/>
    <n v="15"/>
    <n v="80909"/>
    <x v="0"/>
    <n v="4"/>
    <n v="3"/>
    <n v="68"/>
    <n v="3"/>
    <d v="2008-04-24T00:00:00"/>
    <s v="No"/>
    <x v="1"/>
    <n v="3"/>
    <x v="2"/>
    <x v="0"/>
    <x v="0"/>
  </r>
  <r>
    <s v="REL02309"/>
    <s v="Male"/>
    <n v="43"/>
    <s v="HSC"/>
    <s v="Single"/>
    <x v="5"/>
    <s v="Store Manager"/>
    <x v="0"/>
    <x v="8"/>
    <s v="South"/>
    <n v="6"/>
    <n v="93816"/>
    <x v="2"/>
    <n v="3"/>
    <n v="1"/>
    <n v="23"/>
    <n v="0"/>
    <d v="2017-04-19T00:00:00"/>
    <s v="No"/>
    <x v="1"/>
    <n v="2"/>
    <x v="1"/>
    <x v="0"/>
    <x v="1"/>
  </r>
  <r>
    <s v="REL02310"/>
    <s v="Male"/>
    <n v="30"/>
    <s v="Post Graduate"/>
    <s v="Divorced"/>
    <x v="6"/>
    <s v="Customer Service Rep"/>
    <x v="1"/>
    <x v="6"/>
    <s v="South"/>
    <n v="10"/>
    <n v="57172"/>
    <x v="0"/>
    <n v="2"/>
    <n v="2"/>
    <n v="20"/>
    <n v="1"/>
    <d v="2013-09-05T00:00:00"/>
    <s v="No"/>
    <x v="0"/>
    <n v="3"/>
    <x v="1"/>
    <x v="0"/>
    <x v="0"/>
  </r>
  <r>
    <s v="REL02311"/>
    <s v="Female"/>
    <n v="38"/>
    <s v="Graduate"/>
    <s v="Married"/>
    <x v="2"/>
    <s v="Store Manager"/>
    <x v="0"/>
    <x v="7"/>
    <s v="East"/>
    <n v="6"/>
    <n v="102221"/>
    <x v="2"/>
    <n v="2"/>
    <n v="4"/>
    <n v="11"/>
    <n v="3"/>
    <d v="2017-10-21T00:00:00"/>
    <s v="Yes"/>
    <x v="1"/>
    <n v="2"/>
    <x v="1"/>
    <x v="1"/>
    <x v="1"/>
  </r>
  <r>
    <s v="REL02312"/>
    <s v="Female"/>
    <n v="49"/>
    <s v="Post Graduate"/>
    <s v="Single"/>
    <x v="4"/>
    <s v="Sales Executive"/>
    <x v="4"/>
    <x v="9"/>
    <s v="West"/>
    <n v="11"/>
    <n v="61730"/>
    <x v="2"/>
    <n v="4"/>
    <n v="3"/>
    <n v="41"/>
    <n v="2"/>
    <d v="2012-04-19T00:00:00"/>
    <s v="No"/>
    <x v="0"/>
    <n v="2"/>
    <x v="2"/>
    <x v="0"/>
    <x v="1"/>
  </r>
  <r>
    <s v="REL02313"/>
    <s v="Female"/>
    <n v="42"/>
    <s v="MBA"/>
    <s v="Single"/>
    <x v="7"/>
    <s v="Store Manager"/>
    <x v="1"/>
    <x v="6"/>
    <s v="South"/>
    <n v="4"/>
    <n v="88710"/>
    <x v="1"/>
    <n v="3"/>
    <n v="2"/>
    <n v="14"/>
    <n v="1"/>
    <d v="2019-12-06T00:00:00"/>
    <s v="Yes"/>
    <x v="1"/>
    <n v="1"/>
    <x v="0"/>
    <x v="1"/>
    <x v="2"/>
  </r>
  <r>
    <s v="REL02314"/>
    <s v="Male"/>
    <n v="38"/>
    <s v="BTech"/>
    <s v="Divorced"/>
    <x v="5"/>
    <s v="Finance Analyst"/>
    <x v="1"/>
    <x v="5"/>
    <s v="South"/>
    <n v="8"/>
    <n v="69658"/>
    <x v="0"/>
    <n v="1"/>
    <n v="3"/>
    <n v="55"/>
    <n v="0"/>
    <d v="2015-06-26T00:00:00"/>
    <s v="No"/>
    <x v="0"/>
    <n v="3"/>
    <x v="1"/>
    <x v="0"/>
    <x v="0"/>
  </r>
  <r>
    <s v="REL02315"/>
    <s v="Female"/>
    <n v="41"/>
    <s v="MBA"/>
    <s v="Married"/>
    <x v="5"/>
    <s v="Operations Head"/>
    <x v="1"/>
    <x v="2"/>
    <s v="West"/>
    <n v="12"/>
    <n v="119274"/>
    <x v="3"/>
    <n v="3"/>
    <n v="2"/>
    <n v="40"/>
    <n v="0"/>
    <d v="2011-02-02T00:00:00"/>
    <s v="No"/>
    <x v="1"/>
    <n v="4"/>
    <x v="2"/>
    <x v="2"/>
    <x v="0"/>
  </r>
  <r>
    <s v="REL02316"/>
    <s v="Female"/>
    <n v="45"/>
    <s v="HSC"/>
    <s v="Married"/>
    <x v="4"/>
    <s v="Operations Head"/>
    <x v="4"/>
    <x v="3"/>
    <s v="West"/>
    <n v="3"/>
    <n v="96118"/>
    <x v="2"/>
    <n v="4"/>
    <n v="1"/>
    <n v="18"/>
    <n v="3"/>
    <d v="2020-06-23T00:00:00"/>
    <s v="No"/>
    <x v="1"/>
    <n v="2"/>
    <x v="0"/>
    <x v="0"/>
    <x v="1"/>
  </r>
  <r>
    <s v="REL02317"/>
    <s v="Male"/>
    <n v="49"/>
    <s v="MBA"/>
    <s v="Single"/>
    <x v="5"/>
    <s v="Operations Head"/>
    <x v="4"/>
    <x v="9"/>
    <s v="West"/>
    <n v="15"/>
    <n v="127312"/>
    <x v="3"/>
    <n v="3"/>
    <n v="1"/>
    <n v="26"/>
    <n v="0"/>
    <d v="2008-12-13T00:00:00"/>
    <s v="No"/>
    <x v="1"/>
    <n v="4"/>
    <x v="2"/>
    <x v="2"/>
    <x v="0"/>
  </r>
  <r>
    <s v="REL02318"/>
    <s v="Female"/>
    <n v="24"/>
    <s v="Post Graduate"/>
    <s v="Single"/>
    <x v="4"/>
    <s v="Store Manager"/>
    <x v="4"/>
    <x v="3"/>
    <s v="West"/>
    <n v="8"/>
    <n v="107229"/>
    <x v="1"/>
    <n v="4"/>
    <n v="1"/>
    <n v="38"/>
    <n v="2"/>
    <d v="2015-01-10T00:00:00"/>
    <s v="Yes"/>
    <x v="1"/>
    <n v="1"/>
    <x v="1"/>
    <x v="1"/>
    <x v="2"/>
  </r>
  <r>
    <s v="REL02319"/>
    <s v="Female"/>
    <n v="42"/>
    <s v="Post Graduate"/>
    <s v="Married"/>
    <x v="7"/>
    <s v="Sales Executive"/>
    <x v="1"/>
    <x v="3"/>
    <s v="West"/>
    <n v="13"/>
    <n v="68626"/>
    <x v="0"/>
    <n v="3"/>
    <n v="3"/>
    <n v="32"/>
    <n v="1"/>
    <d v="2010-07-09T00:00:00"/>
    <s v="No"/>
    <x v="0"/>
    <n v="3"/>
    <x v="2"/>
    <x v="0"/>
    <x v="0"/>
  </r>
  <r>
    <s v="REL02320"/>
    <s v="Female"/>
    <n v="55"/>
    <s v="BTech"/>
    <s v="Single"/>
    <x v="6"/>
    <s v="Sales Executive"/>
    <x v="3"/>
    <x v="6"/>
    <s v="South"/>
    <n v="15"/>
    <n v="71634"/>
    <x v="2"/>
    <n v="3"/>
    <n v="3"/>
    <n v="69"/>
    <n v="0"/>
    <d v="2008-06-02T00:00:00"/>
    <s v="Yes"/>
    <x v="0"/>
    <n v="2"/>
    <x v="2"/>
    <x v="1"/>
    <x v="1"/>
  </r>
  <r>
    <s v="REL02321"/>
    <s v="Male"/>
    <n v="37"/>
    <s v="MBA"/>
    <s v="Divorced"/>
    <x v="5"/>
    <s v="Logistics Coordinator"/>
    <x v="3"/>
    <x v="7"/>
    <s v="East"/>
    <n v="2"/>
    <n v="52585"/>
    <x v="1"/>
    <n v="2"/>
    <n v="4"/>
    <n v="42"/>
    <n v="3"/>
    <d v="2021-07-31T00:00:00"/>
    <s v="No"/>
    <x v="0"/>
    <n v="1"/>
    <x v="3"/>
    <x v="3"/>
    <x v="1"/>
  </r>
  <r>
    <s v="REL02322"/>
    <s v="Male"/>
    <n v="35"/>
    <s v="BTech"/>
    <s v="Married"/>
    <x v="5"/>
    <s v="Sales Executive"/>
    <x v="1"/>
    <x v="3"/>
    <s v="West"/>
    <n v="6"/>
    <n v="55543"/>
    <x v="2"/>
    <n v="4"/>
    <n v="2"/>
    <n v="33"/>
    <n v="1"/>
    <d v="2017-11-27T00:00:00"/>
    <s v="Yes"/>
    <x v="0"/>
    <n v="2"/>
    <x v="1"/>
    <x v="1"/>
    <x v="1"/>
  </r>
  <r>
    <s v="REL02323"/>
    <s v="Male"/>
    <n v="27"/>
    <s v="Post Graduate"/>
    <s v="Divorced"/>
    <x v="5"/>
    <s v="Logistics Coordinator"/>
    <x v="4"/>
    <x v="8"/>
    <s v="South"/>
    <n v="6"/>
    <n v="66889"/>
    <x v="0"/>
    <n v="4"/>
    <n v="4"/>
    <n v="49"/>
    <n v="3"/>
    <d v="2017-11-29T00:00:00"/>
    <s v="No"/>
    <x v="0"/>
    <n v="3"/>
    <x v="1"/>
    <x v="0"/>
    <x v="0"/>
  </r>
  <r>
    <s v="REL02324"/>
    <s v="Female"/>
    <n v="34"/>
    <s v="Graduate"/>
    <s v="Divorced"/>
    <x v="7"/>
    <s v="Finance Analyst"/>
    <x v="1"/>
    <x v="4"/>
    <s v="North"/>
    <n v="9"/>
    <n v="86712"/>
    <x v="2"/>
    <n v="4"/>
    <n v="2"/>
    <n v="17"/>
    <n v="2"/>
    <d v="2014-02-16T00:00:00"/>
    <s v="No"/>
    <x v="1"/>
    <n v="2"/>
    <x v="1"/>
    <x v="0"/>
    <x v="1"/>
  </r>
  <r>
    <s v="REL02325"/>
    <s v="Male"/>
    <n v="44"/>
    <s v="BTech"/>
    <s v="Divorced"/>
    <x v="7"/>
    <s v="Marketing Executive"/>
    <x v="4"/>
    <x v="6"/>
    <s v="South"/>
    <n v="12"/>
    <n v="76736"/>
    <x v="2"/>
    <n v="1"/>
    <n v="4"/>
    <n v="42"/>
    <n v="1"/>
    <d v="2011-10-03T00:00:00"/>
    <s v="No"/>
    <x v="0"/>
    <n v="2"/>
    <x v="2"/>
    <x v="0"/>
    <x v="1"/>
  </r>
  <r>
    <s v="REL02326"/>
    <s v="Male"/>
    <n v="53"/>
    <s v="MBA"/>
    <s v="Single"/>
    <x v="0"/>
    <s v="Operations Head"/>
    <x v="4"/>
    <x v="5"/>
    <s v="South"/>
    <n v="8"/>
    <n v="114283"/>
    <x v="0"/>
    <n v="1"/>
    <n v="1"/>
    <n v="74"/>
    <n v="3"/>
    <d v="2015-12-29T00:00:00"/>
    <s v="No"/>
    <x v="1"/>
    <n v="3"/>
    <x v="1"/>
    <x v="0"/>
    <x v="0"/>
  </r>
  <r>
    <s v="REL02327"/>
    <s v="Female"/>
    <n v="31"/>
    <s v="Post Graduate"/>
    <s v="Single"/>
    <x v="7"/>
    <s v="Customer Service Rep"/>
    <x v="4"/>
    <x v="5"/>
    <s v="South"/>
    <n v="11"/>
    <n v="54412"/>
    <x v="2"/>
    <n v="1"/>
    <n v="4"/>
    <n v="34"/>
    <n v="2"/>
    <d v="2013-01-01T00:00:00"/>
    <s v="No"/>
    <x v="0"/>
    <n v="2"/>
    <x v="2"/>
    <x v="0"/>
    <x v="1"/>
  </r>
  <r>
    <s v="REL02328"/>
    <s v="Female"/>
    <n v="32"/>
    <s v="BTech"/>
    <s v="Divorced"/>
    <x v="7"/>
    <s v="Finance Analyst"/>
    <x v="2"/>
    <x v="2"/>
    <s v="West"/>
    <n v="8"/>
    <n v="78245"/>
    <x v="2"/>
    <n v="3"/>
    <n v="1"/>
    <n v="10"/>
    <n v="2"/>
    <d v="2015-02-20T00:00:00"/>
    <s v="No"/>
    <x v="0"/>
    <n v="2"/>
    <x v="1"/>
    <x v="0"/>
    <x v="1"/>
  </r>
  <r>
    <s v="REL02329"/>
    <s v="Female"/>
    <n v="55"/>
    <s v="Post Graduate"/>
    <s v="Divorced"/>
    <x v="0"/>
    <s v="Marketing Executive"/>
    <x v="2"/>
    <x v="3"/>
    <s v="West"/>
    <n v="8"/>
    <n v="56605"/>
    <x v="0"/>
    <n v="4"/>
    <n v="3"/>
    <n v="58"/>
    <n v="1"/>
    <d v="2015-10-30T00:00:00"/>
    <s v="No"/>
    <x v="0"/>
    <n v="3"/>
    <x v="1"/>
    <x v="0"/>
    <x v="0"/>
  </r>
  <r>
    <s v="REL02330"/>
    <s v="Male"/>
    <n v="22"/>
    <s v="Post Graduate"/>
    <s v="Divorced"/>
    <x v="3"/>
    <s v="Logistics Coordinator"/>
    <x v="2"/>
    <x v="7"/>
    <s v="East"/>
    <n v="14"/>
    <n v="65649"/>
    <x v="2"/>
    <n v="1"/>
    <n v="4"/>
    <n v="52"/>
    <n v="3"/>
    <d v="2009-03-25T00:00:00"/>
    <s v="Yes"/>
    <x v="0"/>
    <n v="2"/>
    <x v="2"/>
    <x v="1"/>
    <x v="1"/>
  </r>
  <r>
    <s v="REL02331"/>
    <s v="Male"/>
    <n v="54"/>
    <s v="Graduate"/>
    <s v="Married"/>
    <x v="2"/>
    <s v="Sales Executive"/>
    <x v="1"/>
    <x v="6"/>
    <s v="South"/>
    <n v="4"/>
    <n v="41374"/>
    <x v="2"/>
    <n v="4"/>
    <n v="1"/>
    <n v="36"/>
    <n v="3"/>
    <d v="2019-02-01T00:00:00"/>
    <s v="Yes"/>
    <x v="2"/>
    <n v="2"/>
    <x v="0"/>
    <x v="1"/>
    <x v="1"/>
  </r>
  <r>
    <s v="REL02332"/>
    <s v="Male"/>
    <n v="37"/>
    <s v="Post Graduate"/>
    <s v="Married"/>
    <x v="6"/>
    <s v="Operations Head"/>
    <x v="3"/>
    <x v="2"/>
    <s v="West"/>
    <n v="7"/>
    <n v="114733"/>
    <x v="0"/>
    <n v="3"/>
    <n v="3"/>
    <n v="53"/>
    <n v="0"/>
    <d v="2016-04-18T00:00:00"/>
    <s v="No"/>
    <x v="1"/>
    <n v="3"/>
    <x v="1"/>
    <x v="0"/>
    <x v="0"/>
  </r>
  <r>
    <s v="REL02333"/>
    <s v="Male"/>
    <n v="53"/>
    <s v="HSC"/>
    <s v="Single"/>
    <x v="1"/>
    <s v="HR Manager"/>
    <x v="3"/>
    <x v="5"/>
    <s v="South"/>
    <n v="12"/>
    <n v="108700"/>
    <x v="3"/>
    <n v="3"/>
    <n v="2"/>
    <n v="23"/>
    <n v="1"/>
    <d v="2011-12-20T00:00:00"/>
    <s v="No"/>
    <x v="1"/>
    <n v="4"/>
    <x v="2"/>
    <x v="2"/>
    <x v="0"/>
  </r>
  <r>
    <s v="REL02334"/>
    <s v="Male"/>
    <n v="43"/>
    <s v="Graduate"/>
    <s v="Divorced"/>
    <x v="4"/>
    <s v="Finance Analyst"/>
    <x v="0"/>
    <x v="6"/>
    <s v="South"/>
    <n v="14"/>
    <n v="88814"/>
    <x v="0"/>
    <n v="2"/>
    <n v="1"/>
    <n v="57"/>
    <n v="3"/>
    <d v="2009-05-18T00:00:00"/>
    <s v="No"/>
    <x v="1"/>
    <n v="3"/>
    <x v="2"/>
    <x v="0"/>
    <x v="0"/>
  </r>
  <r>
    <s v="REL02335"/>
    <s v="Male"/>
    <n v="40"/>
    <s v="BTech"/>
    <s v="Married"/>
    <x v="7"/>
    <s v="Sales Executive"/>
    <x v="1"/>
    <x v="1"/>
    <s v="North"/>
    <n v="8"/>
    <n v="50122"/>
    <x v="3"/>
    <n v="1"/>
    <n v="3"/>
    <n v="30"/>
    <n v="1"/>
    <d v="2015-07-19T00:00:00"/>
    <s v="No"/>
    <x v="0"/>
    <n v="4"/>
    <x v="1"/>
    <x v="2"/>
    <x v="1"/>
  </r>
  <r>
    <s v="REL02336"/>
    <s v="Female"/>
    <n v="53"/>
    <s v="MBA"/>
    <s v="Married"/>
    <x v="3"/>
    <s v="Sales Executive"/>
    <x v="4"/>
    <x v="1"/>
    <s v="North"/>
    <n v="6"/>
    <n v="51061"/>
    <x v="3"/>
    <n v="1"/>
    <n v="2"/>
    <n v="61"/>
    <n v="0"/>
    <d v="2017-05-08T00:00:00"/>
    <s v="No"/>
    <x v="0"/>
    <n v="4"/>
    <x v="1"/>
    <x v="2"/>
    <x v="1"/>
  </r>
  <r>
    <s v="REL02337"/>
    <s v="Female"/>
    <n v="28"/>
    <s v="BTech"/>
    <s v="Divorced"/>
    <x v="5"/>
    <s v="Customer Service Rep"/>
    <x v="3"/>
    <x v="2"/>
    <s v="West"/>
    <n v="14"/>
    <n v="57511"/>
    <x v="1"/>
    <n v="3"/>
    <n v="3"/>
    <n v="13"/>
    <n v="1"/>
    <d v="2009-10-28T00:00:00"/>
    <s v="Yes"/>
    <x v="0"/>
    <n v="1"/>
    <x v="2"/>
    <x v="1"/>
    <x v="1"/>
  </r>
  <r>
    <s v="REL02338"/>
    <s v="Female"/>
    <n v="52"/>
    <s v="MBA"/>
    <s v="Married"/>
    <x v="4"/>
    <s v="Operations Head"/>
    <x v="1"/>
    <x v="4"/>
    <s v="North"/>
    <n v="10"/>
    <n v="111216"/>
    <x v="2"/>
    <n v="1"/>
    <n v="2"/>
    <n v="79"/>
    <n v="3"/>
    <d v="2013-07-24T00:00:00"/>
    <s v="No"/>
    <x v="1"/>
    <n v="2"/>
    <x v="1"/>
    <x v="0"/>
    <x v="1"/>
  </r>
  <r>
    <s v="REL02339"/>
    <s v="Female"/>
    <n v="50"/>
    <s v="BTech"/>
    <s v="Single"/>
    <x v="5"/>
    <s v="Sales Executive"/>
    <x v="4"/>
    <x v="7"/>
    <s v="East"/>
    <n v="12"/>
    <n v="66042"/>
    <x v="3"/>
    <n v="2"/>
    <n v="2"/>
    <n v="56"/>
    <n v="1"/>
    <d v="2011-07-11T00:00:00"/>
    <s v="No"/>
    <x v="0"/>
    <n v="4"/>
    <x v="2"/>
    <x v="2"/>
    <x v="1"/>
  </r>
  <r>
    <s v="REL02340"/>
    <s v="Female"/>
    <n v="28"/>
    <s v="BTech"/>
    <s v="Married"/>
    <x v="0"/>
    <s v="HR Manager"/>
    <x v="4"/>
    <x v="2"/>
    <s v="West"/>
    <n v="2"/>
    <n v="84062"/>
    <x v="2"/>
    <n v="2"/>
    <n v="4"/>
    <n v="14"/>
    <n v="3"/>
    <d v="2021-06-03T00:00:00"/>
    <s v="Yes"/>
    <x v="1"/>
    <n v="2"/>
    <x v="3"/>
    <x v="1"/>
    <x v="1"/>
  </r>
  <r>
    <s v="REL02341"/>
    <s v="Male"/>
    <n v="28"/>
    <s v="Graduate"/>
    <s v="Single"/>
    <x v="0"/>
    <s v="HR Manager"/>
    <x v="3"/>
    <x v="1"/>
    <s v="North"/>
    <n v="1"/>
    <n v="67952"/>
    <x v="0"/>
    <n v="1"/>
    <n v="4"/>
    <n v="60"/>
    <n v="3"/>
    <d v="2022-02-11T00:00:00"/>
    <s v="No"/>
    <x v="0"/>
    <n v="3"/>
    <x v="3"/>
    <x v="0"/>
    <x v="0"/>
  </r>
  <r>
    <s v="REL02342"/>
    <s v="Female"/>
    <n v="54"/>
    <s v="Post Graduate"/>
    <s v="Married"/>
    <x v="1"/>
    <s v="Marketing Executive"/>
    <x v="3"/>
    <x v="2"/>
    <s v="West"/>
    <n v="1"/>
    <n v="56542"/>
    <x v="0"/>
    <n v="3"/>
    <n v="4"/>
    <n v="71"/>
    <n v="0"/>
    <d v="2022-08-03T00:00:00"/>
    <s v="No"/>
    <x v="0"/>
    <n v="3"/>
    <x v="3"/>
    <x v="0"/>
    <x v="0"/>
  </r>
  <r>
    <s v="REL02343"/>
    <s v="Male"/>
    <n v="48"/>
    <s v="MBA"/>
    <s v="Married"/>
    <x v="2"/>
    <s v="Logistics Coordinator"/>
    <x v="1"/>
    <x v="9"/>
    <s v="West"/>
    <n v="6"/>
    <n v="57681"/>
    <x v="3"/>
    <n v="1"/>
    <n v="3"/>
    <n v="43"/>
    <n v="3"/>
    <d v="2017-08-09T00:00:00"/>
    <s v="No"/>
    <x v="0"/>
    <n v="4"/>
    <x v="1"/>
    <x v="2"/>
    <x v="1"/>
  </r>
  <r>
    <s v="REL02344"/>
    <s v="Female"/>
    <n v="39"/>
    <s v="MBA"/>
    <s v="Divorced"/>
    <x v="1"/>
    <s v="Logistics Coordinator"/>
    <x v="1"/>
    <x v="9"/>
    <s v="West"/>
    <n v="2"/>
    <n v="47233"/>
    <x v="0"/>
    <n v="4"/>
    <n v="2"/>
    <n v="16"/>
    <n v="2"/>
    <d v="2021-12-30T00:00:00"/>
    <s v="No"/>
    <x v="2"/>
    <n v="3"/>
    <x v="3"/>
    <x v="0"/>
    <x v="1"/>
  </r>
  <r>
    <s v="REL02345"/>
    <s v="Male"/>
    <n v="33"/>
    <s v="MBA"/>
    <s v="Married"/>
    <x v="6"/>
    <s v="HR Manager"/>
    <x v="1"/>
    <x v="1"/>
    <s v="North"/>
    <n v="1"/>
    <n v="77830"/>
    <x v="3"/>
    <n v="2"/>
    <n v="3"/>
    <n v="44"/>
    <n v="3"/>
    <d v="2022-11-14T00:00:00"/>
    <s v="No"/>
    <x v="0"/>
    <n v="4"/>
    <x v="3"/>
    <x v="2"/>
    <x v="1"/>
  </r>
  <r>
    <s v="REL02346"/>
    <s v="Female"/>
    <n v="46"/>
    <s v="Graduate"/>
    <s v="Married"/>
    <x v="0"/>
    <s v="Store Manager"/>
    <x v="4"/>
    <x v="1"/>
    <s v="North"/>
    <n v="9"/>
    <n v="103022"/>
    <x v="2"/>
    <n v="4"/>
    <n v="1"/>
    <n v="15"/>
    <n v="0"/>
    <d v="2014-11-18T00:00:00"/>
    <s v="Yes"/>
    <x v="1"/>
    <n v="2"/>
    <x v="1"/>
    <x v="1"/>
    <x v="1"/>
  </r>
  <r>
    <s v="REL02347"/>
    <s v="Male"/>
    <n v="41"/>
    <s v="MBA"/>
    <s v="Married"/>
    <x v="0"/>
    <s v="Customer Service Rep"/>
    <x v="4"/>
    <x v="0"/>
    <s v="North"/>
    <n v="4"/>
    <n v="41442"/>
    <x v="1"/>
    <n v="2"/>
    <n v="4"/>
    <n v="39"/>
    <n v="0"/>
    <d v="2019-01-04T00:00:00"/>
    <s v="Yes"/>
    <x v="2"/>
    <n v="1"/>
    <x v="0"/>
    <x v="1"/>
    <x v="1"/>
  </r>
  <r>
    <s v="REL02348"/>
    <s v="Male"/>
    <n v="55"/>
    <s v="Post Graduate"/>
    <s v="Single"/>
    <x v="4"/>
    <s v="Customer Service Rep"/>
    <x v="4"/>
    <x v="1"/>
    <s v="North"/>
    <n v="2"/>
    <n v="47849"/>
    <x v="0"/>
    <n v="1"/>
    <n v="2"/>
    <n v="11"/>
    <n v="2"/>
    <d v="2021-04-22T00:00:00"/>
    <s v="No"/>
    <x v="2"/>
    <n v="3"/>
    <x v="3"/>
    <x v="0"/>
    <x v="1"/>
  </r>
  <r>
    <s v="REL02349"/>
    <s v="Male"/>
    <n v="24"/>
    <s v="Post Graduate"/>
    <s v="Married"/>
    <x v="3"/>
    <s v="HR Manager"/>
    <x v="1"/>
    <x v="8"/>
    <s v="South"/>
    <n v="11"/>
    <n v="98746"/>
    <x v="2"/>
    <n v="3"/>
    <n v="1"/>
    <n v="47"/>
    <n v="1"/>
    <d v="2012-11-11T00:00:00"/>
    <s v="Yes"/>
    <x v="1"/>
    <n v="2"/>
    <x v="2"/>
    <x v="1"/>
    <x v="1"/>
  </r>
  <r>
    <s v="REL02350"/>
    <s v="Male"/>
    <n v="30"/>
    <s v="Post Graduate"/>
    <s v="Divorced"/>
    <x v="4"/>
    <s v="Finance Analyst"/>
    <x v="4"/>
    <x v="4"/>
    <s v="North"/>
    <n v="6"/>
    <n v="81320"/>
    <x v="0"/>
    <n v="4"/>
    <n v="4"/>
    <n v="69"/>
    <n v="3"/>
    <d v="2017-01-18T00:00:00"/>
    <s v="Yes"/>
    <x v="1"/>
    <n v="3"/>
    <x v="1"/>
    <x v="1"/>
    <x v="0"/>
  </r>
  <r>
    <s v="REL02351"/>
    <s v="Male"/>
    <n v="35"/>
    <s v="BTech"/>
    <s v="Divorced"/>
    <x v="0"/>
    <s v="Customer Service Rep"/>
    <x v="3"/>
    <x v="2"/>
    <s v="West"/>
    <n v="14"/>
    <n v="55327"/>
    <x v="0"/>
    <n v="4"/>
    <n v="2"/>
    <n v="78"/>
    <n v="3"/>
    <d v="2009-07-30T00:00:00"/>
    <s v="No"/>
    <x v="0"/>
    <n v="3"/>
    <x v="2"/>
    <x v="0"/>
    <x v="0"/>
  </r>
  <r>
    <s v="REL02352"/>
    <s v="Male"/>
    <n v="32"/>
    <s v="BTech"/>
    <s v="Divorced"/>
    <x v="4"/>
    <s v="Sales Executive"/>
    <x v="2"/>
    <x v="8"/>
    <s v="South"/>
    <n v="9"/>
    <n v="64729"/>
    <x v="3"/>
    <n v="2"/>
    <n v="4"/>
    <n v="11"/>
    <n v="1"/>
    <d v="2014-06-09T00:00:00"/>
    <s v="No"/>
    <x v="0"/>
    <n v="4"/>
    <x v="1"/>
    <x v="2"/>
    <x v="1"/>
  </r>
  <r>
    <s v="REL02353"/>
    <s v="Female"/>
    <n v="27"/>
    <s v="BTech"/>
    <s v="Married"/>
    <x v="6"/>
    <s v="Store Manager"/>
    <x v="2"/>
    <x v="2"/>
    <s v="West"/>
    <n v="15"/>
    <n v="120463"/>
    <x v="0"/>
    <n v="1"/>
    <n v="2"/>
    <n v="38"/>
    <n v="0"/>
    <d v="2008-07-10T00:00:00"/>
    <s v="Yes"/>
    <x v="1"/>
    <n v="3"/>
    <x v="2"/>
    <x v="1"/>
    <x v="0"/>
  </r>
  <r>
    <s v="REL02354"/>
    <s v="Female"/>
    <n v="26"/>
    <s v="BTech"/>
    <s v="Single"/>
    <x v="7"/>
    <s v="Customer Service Rep"/>
    <x v="1"/>
    <x v="0"/>
    <s v="North"/>
    <n v="1"/>
    <n v="41343"/>
    <x v="1"/>
    <n v="2"/>
    <n v="1"/>
    <n v="39"/>
    <n v="0"/>
    <d v="2022-05-15T00:00:00"/>
    <s v="Yes"/>
    <x v="2"/>
    <n v="1"/>
    <x v="3"/>
    <x v="1"/>
    <x v="1"/>
  </r>
  <r>
    <s v="REL02355"/>
    <s v="Male"/>
    <n v="22"/>
    <s v="Post Graduate"/>
    <s v="Married"/>
    <x v="7"/>
    <s v="Store Manager"/>
    <x v="0"/>
    <x v="6"/>
    <s v="South"/>
    <n v="5"/>
    <n v="96715"/>
    <x v="1"/>
    <n v="1"/>
    <n v="4"/>
    <n v="66"/>
    <n v="3"/>
    <d v="2018-09-29T00:00:00"/>
    <s v="No"/>
    <x v="1"/>
    <n v="1"/>
    <x v="0"/>
    <x v="0"/>
    <x v="2"/>
  </r>
  <r>
    <s v="REL02356"/>
    <s v="Female"/>
    <n v="51"/>
    <s v="Graduate"/>
    <s v="Single"/>
    <x v="7"/>
    <s v="Finance Analyst"/>
    <x v="4"/>
    <x v="1"/>
    <s v="North"/>
    <n v="5"/>
    <n v="65733"/>
    <x v="0"/>
    <n v="4"/>
    <n v="3"/>
    <n v="63"/>
    <n v="3"/>
    <d v="2018-07-21T00:00:00"/>
    <s v="No"/>
    <x v="0"/>
    <n v="3"/>
    <x v="0"/>
    <x v="0"/>
    <x v="0"/>
  </r>
  <r>
    <s v="REL02357"/>
    <s v="Female"/>
    <n v="50"/>
    <s v="HSC"/>
    <s v="Married"/>
    <x v="5"/>
    <s v="Marketing Executive"/>
    <x v="4"/>
    <x v="8"/>
    <s v="South"/>
    <n v="6"/>
    <n v="66831"/>
    <x v="2"/>
    <n v="2"/>
    <n v="3"/>
    <n v="27"/>
    <n v="3"/>
    <d v="2017-10-04T00:00:00"/>
    <s v="No"/>
    <x v="0"/>
    <n v="2"/>
    <x v="1"/>
    <x v="0"/>
    <x v="1"/>
  </r>
  <r>
    <s v="REL02358"/>
    <s v="Female"/>
    <n v="37"/>
    <s v="Post Graduate"/>
    <s v="Divorced"/>
    <x v="0"/>
    <s v="Sales Executive"/>
    <x v="4"/>
    <x v="4"/>
    <s v="North"/>
    <n v="2"/>
    <n v="37677"/>
    <x v="2"/>
    <n v="3"/>
    <n v="1"/>
    <n v="50"/>
    <n v="3"/>
    <d v="2021-05-25T00:00:00"/>
    <s v="No"/>
    <x v="2"/>
    <n v="2"/>
    <x v="3"/>
    <x v="0"/>
    <x v="1"/>
  </r>
  <r>
    <s v="REL02359"/>
    <s v="Male"/>
    <n v="54"/>
    <s v="Post Graduate"/>
    <s v="Single"/>
    <x v="4"/>
    <s v="Customer Service Rep"/>
    <x v="3"/>
    <x v="2"/>
    <s v="West"/>
    <n v="1"/>
    <n v="28975"/>
    <x v="1"/>
    <n v="2"/>
    <n v="3"/>
    <n v="65"/>
    <n v="2"/>
    <d v="2022-12-28T00:00:00"/>
    <s v="No"/>
    <x v="3"/>
    <n v="1"/>
    <x v="3"/>
    <x v="3"/>
    <x v="1"/>
  </r>
  <r>
    <s v="REL02360"/>
    <s v="Female"/>
    <n v="44"/>
    <s v="MBA"/>
    <s v="Single"/>
    <x v="3"/>
    <s v="Logistics Coordinator"/>
    <x v="3"/>
    <x v="3"/>
    <s v="West"/>
    <n v="9"/>
    <n v="54691"/>
    <x v="2"/>
    <n v="2"/>
    <n v="2"/>
    <n v="79"/>
    <n v="1"/>
    <d v="2014-02-17T00:00:00"/>
    <s v="No"/>
    <x v="0"/>
    <n v="2"/>
    <x v="1"/>
    <x v="0"/>
    <x v="1"/>
  </r>
  <r>
    <s v="REL02361"/>
    <s v="Female"/>
    <n v="26"/>
    <s v="HSC"/>
    <s v="Married"/>
    <x v="4"/>
    <s v="Operations Head"/>
    <x v="1"/>
    <x v="5"/>
    <s v="South"/>
    <n v="3"/>
    <n v="101519"/>
    <x v="2"/>
    <n v="4"/>
    <n v="2"/>
    <n v="61"/>
    <n v="1"/>
    <d v="2020-12-05T00:00:00"/>
    <s v="No"/>
    <x v="1"/>
    <n v="2"/>
    <x v="0"/>
    <x v="0"/>
    <x v="1"/>
  </r>
  <r>
    <s v="REL02362"/>
    <s v="Male"/>
    <n v="55"/>
    <s v="MBA"/>
    <s v="Single"/>
    <x v="0"/>
    <s v="HR Manager"/>
    <x v="2"/>
    <x v="1"/>
    <s v="North"/>
    <n v="5"/>
    <n v="90203"/>
    <x v="0"/>
    <n v="4"/>
    <n v="4"/>
    <n v="42"/>
    <n v="3"/>
    <d v="2018-06-23T00:00:00"/>
    <s v="Yes"/>
    <x v="1"/>
    <n v="3"/>
    <x v="0"/>
    <x v="1"/>
    <x v="0"/>
  </r>
  <r>
    <s v="REL02363"/>
    <s v="Female"/>
    <n v="50"/>
    <s v="Post Graduate"/>
    <s v="Married"/>
    <x v="3"/>
    <s v="Marketing Executive"/>
    <x v="2"/>
    <x v="2"/>
    <s v="West"/>
    <n v="1"/>
    <n v="60235"/>
    <x v="1"/>
    <n v="1"/>
    <n v="2"/>
    <n v="25"/>
    <n v="1"/>
    <d v="2022-08-12T00:00:00"/>
    <s v="No"/>
    <x v="0"/>
    <n v="1"/>
    <x v="3"/>
    <x v="3"/>
    <x v="1"/>
  </r>
  <r>
    <s v="REL02364"/>
    <s v="Male"/>
    <n v="47"/>
    <s v="Post Graduate"/>
    <s v="Married"/>
    <x v="4"/>
    <s v="Marketing Executive"/>
    <x v="4"/>
    <x v="6"/>
    <s v="South"/>
    <n v="15"/>
    <n v="74571"/>
    <x v="0"/>
    <n v="2"/>
    <n v="3"/>
    <n v="22"/>
    <n v="2"/>
    <d v="2008-01-14T00:00:00"/>
    <s v="No"/>
    <x v="0"/>
    <n v="3"/>
    <x v="2"/>
    <x v="0"/>
    <x v="0"/>
  </r>
  <r>
    <s v="REL02365"/>
    <s v="Male"/>
    <n v="27"/>
    <s v="HSC"/>
    <s v="Single"/>
    <x v="5"/>
    <s v="HR Manager"/>
    <x v="0"/>
    <x v="8"/>
    <s v="South"/>
    <n v="2"/>
    <n v="79429"/>
    <x v="2"/>
    <n v="1"/>
    <n v="2"/>
    <n v="54"/>
    <n v="3"/>
    <d v="2021-04-05T00:00:00"/>
    <s v="No"/>
    <x v="0"/>
    <n v="2"/>
    <x v="3"/>
    <x v="0"/>
    <x v="1"/>
  </r>
  <r>
    <s v="REL02366"/>
    <s v="Female"/>
    <n v="41"/>
    <s v="BTech"/>
    <s v="Single"/>
    <x v="0"/>
    <s v="HR Manager"/>
    <x v="2"/>
    <x v="5"/>
    <s v="South"/>
    <n v="9"/>
    <n v="97126"/>
    <x v="0"/>
    <n v="3"/>
    <n v="4"/>
    <n v="79"/>
    <n v="3"/>
    <d v="2014-09-28T00:00:00"/>
    <s v="No"/>
    <x v="1"/>
    <n v="3"/>
    <x v="1"/>
    <x v="0"/>
    <x v="0"/>
  </r>
  <r>
    <s v="REL02367"/>
    <s v="Female"/>
    <n v="25"/>
    <s v="BTech"/>
    <s v="Married"/>
    <x v="7"/>
    <s v="Logistics Coordinator"/>
    <x v="4"/>
    <x v="7"/>
    <s v="East"/>
    <n v="14"/>
    <n v="67563"/>
    <x v="1"/>
    <n v="2"/>
    <n v="4"/>
    <n v="78"/>
    <n v="2"/>
    <d v="2009-10-21T00:00:00"/>
    <s v="Yes"/>
    <x v="0"/>
    <n v="1"/>
    <x v="2"/>
    <x v="1"/>
    <x v="1"/>
  </r>
  <r>
    <s v="REL02368"/>
    <s v="Male"/>
    <n v="35"/>
    <s v="Graduate"/>
    <s v="Divorced"/>
    <x v="4"/>
    <s v="Logistics Coordinator"/>
    <x v="2"/>
    <x v="2"/>
    <s v="West"/>
    <n v="8"/>
    <n v="52656"/>
    <x v="2"/>
    <n v="2"/>
    <n v="3"/>
    <n v="79"/>
    <n v="3"/>
    <d v="2015-04-03T00:00:00"/>
    <s v="No"/>
    <x v="0"/>
    <n v="2"/>
    <x v="1"/>
    <x v="0"/>
    <x v="1"/>
  </r>
  <r>
    <s v="REL02369"/>
    <s v="Male"/>
    <n v="37"/>
    <s v="Graduate"/>
    <s v="Divorced"/>
    <x v="4"/>
    <s v="Marketing Executive"/>
    <x v="3"/>
    <x v="6"/>
    <s v="South"/>
    <n v="15"/>
    <n v="82875"/>
    <x v="1"/>
    <n v="3"/>
    <n v="4"/>
    <n v="15"/>
    <n v="0"/>
    <d v="2008-06-15T00:00:00"/>
    <s v="Yes"/>
    <x v="1"/>
    <n v="1"/>
    <x v="2"/>
    <x v="1"/>
    <x v="2"/>
  </r>
  <r>
    <s v="REL02370"/>
    <s v="Female"/>
    <n v="41"/>
    <s v="BTech"/>
    <s v="Single"/>
    <x v="3"/>
    <s v="Store Manager"/>
    <x v="3"/>
    <x v="9"/>
    <s v="West"/>
    <n v="9"/>
    <n v="100720"/>
    <x v="0"/>
    <n v="3"/>
    <n v="4"/>
    <n v="46"/>
    <n v="0"/>
    <d v="2014-01-10T00:00:00"/>
    <s v="No"/>
    <x v="1"/>
    <n v="3"/>
    <x v="1"/>
    <x v="0"/>
    <x v="0"/>
  </r>
  <r>
    <s v="REL02371"/>
    <s v="Male"/>
    <n v="28"/>
    <s v="MBA"/>
    <s v="Married"/>
    <x v="6"/>
    <s v="Marketing Executive"/>
    <x v="2"/>
    <x v="0"/>
    <s v="North"/>
    <n v="14"/>
    <n v="69132"/>
    <x v="2"/>
    <n v="2"/>
    <n v="4"/>
    <n v="65"/>
    <n v="1"/>
    <d v="2009-11-17T00:00:00"/>
    <s v="No"/>
    <x v="0"/>
    <n v="2"/>
    <x v="2"/>
    <x v="0"/>
    <x v="1"/>
  </r>
  <r>
    <s v="REL02372"/>
    <s v="Female"/>
    <n v="51"/>
    <s v="BTech"/>
    <s v="Married"/>
    <x v="4"/>
    <s v="Sales Executive"/>
    <x v="0"/>
    <x v="6"/>
    <s v="South"/>
    <n v="5"/>
    <n v="49506"/>
    <x v="2"/>
    <n v="2"/>
    <n v="2"/>
    <n v="55"/>
    <n v="0"/>
    <d v="2018-04-04T00:00:00"/>
    <s v="Yes"/>
    <x v="2"/>
    <n v="2"/>
    <x v="0"/>
    <x v="1"/>
    <x v="1"/>
  </r>
  <r>
    <s v="REL02373"/>
    <s v="Female"/>
    <n v="24"/>
    <s v="Graduate"/>
    <s v="Single"/>
    <x v="0"/>
    <s v="Logistics Coordinator"/>
    <x v="1"/>
    <x v="0"/>
    <s v="North"/>
    <n v="9"/>
    <n v="55614"/>
    <x v="2"/>
    <n v="4"/>
    <n v="1"/>
    <n v="47"/>
    <n v="3"/>
    <d v="2014-06-22T00:00:00"/>
    <s v="Yes"/>
    <x v="0"/>
    <n v="2"/>
    <x v="1"/>
    <x v="1"/>
    <x v="1"/>
  </r>
  <r>
    <s v="REL02374"/>
    <s v="Male"/>
    <n v="46"/>
    <s v="Post Graduate"/>
    <s v="Married"/>
    <x v="0"/>
    <s v="Customer Service Rep"/>
    <x v="4"/>
    <x v="4"/>
    <s v="North"/>
    <n v="5"/>
    <n v="41529"/>
    <x v="1"/>
    <n v="3"/>
    <n v="1"/>
    <n v="13"/>
    <n v="3"/>
    <d v="2018-02-17T00:00:00"/>
    <s v="No"/>
    <x v="2"/>
    <n v="1"/>
    <x v="0"/>
    <x v="0"/>
    <x v="1"/>
  </r>
  <r>
    <s v="REL02375"/>
    <s v="Female"/>
    <n v="44"/>
    <s v="Graduate"/>
    <s v="Single"/>
    <x v="7"/>
    <s v="Finance Analyst"/>
    <x v="1"/>
    <x v="2"/>
    <s v="West"/>
    <n v="6"/>
    <n v="69236"/>
    <x v="2"/>
    <n v="3"/>
    <n v="2"/>
    <n v="37"/>
    <n v="1"/>
    <d v="2017-11-25T00:00:00"/>
    <s v="No"/>
    <x v="0"/>
    <n v="2"/>
    <x v="1"/>
    <x v="0"/>
    <x v="1"/>
  </r>
  <r>
    <s v="REL02376"/>
    <s v="Female"/>
    <n v="32"/>
    <s v="BTech"/>
    <s v="Divorced"/>
    <x v="4"/>
    <s v="Sales Executive"/>
    <x v="0"/>
    <x v="7"/>
    <s v="East"/>
    <n v="8"/>
    <n v="48217"/>
    <x v="3"/>
    <n v="3"/>
    <n v="1"/>
    <n v="31"/>
    <n v="1"/>
    <d v="2015-01-17T00:00:00"/>
    <s v="Yes"/>
    <x v="2"/>
    <n v="4"/>
    <x v="1"/>
    <x v="1"/>
    <x v="1"/>
  </r>
  <r>
    <s v="REL02377"/>
    <s v="Male"/>
    <n v="36"/>
    <s v="Post Graduate"/>
    <s v="Single"/>
    <x v="5"/>
    <s v="Finance Analyst"/>
    <x v="4"/>
    <x v="3"/>
    <s v="West"/>
    <n v="7"/>
    <n v="67089"/>
    <x v="1"/>
    <n v="4"/>
    <n v="1"/>
    <n v="42"/>
    <n v="3"/>
    <d v="2016-07-13T00:00:00"/>
    <s v="No"/>
    <x v="0"/>
    <n v="1"/>
    <x v="1"/>
    <x v="0"/>
    <x v="1"/>
  </r>
  <r>
    <s v="REL02378"/>
    <s v="Male"/>
    <n v="40"/>
    <s v="BTech"/>
    <s v="Single"/>
    <x v="5"/>
    <s v="Sales Executive"/>
    <x v="0"/>
    <x v="4"/>
    <s v="North"/>
    <n v="12"/>
    <n v="59593"/>
    <x v="2"/>
    <n v="2"/>
    <n v="1"/>
    <n v="33"/>
    <n v="0"/>
    <d v="2011-03-28T00:00:00"/>
    <s v="No"/>
    <x v="0"/>
    <n v="2"/>
    <x v="2"/>
    <x v="0"/>
    <x v="1"/>
  </r>
  <r>
    <s v="REL02379"/>
    <s v="Male"/>
    <n v="29"/>
    <s v="Post Graduate"/>
    <s v="Married"/>
    <x v="3"/>
    <s v="Sales Executive"/>
    <x v="4"/>
    <x v="7"/>
    <s v="East"/>
    <n v="3"/>
    <n v="50433"/>
    <x v="2"/>
    <n v="4"/>
    <n v="2"/>
    <n v="52"/>
    <n v="0"/>
    <d v="2020-03-27T00:00:00"/>
    <s v="No"/>
    <x v="0"/>
    <n v="2"/>
    <x v="0"/>
    <x v="0"/>
    <x v="1"/>
  </r>
  <r>
    <s v="REL02380"/>
    <s v="Male"/>
    <n v="40"/>
    <s v="Post Graduate"/>
    <s v="Single"/>
    <x v="0"/>
    <s v="HR Manager"/>
    <x v="3"/>
    <x v="7"/>
    <s v="East"/>
    <n v="12"/>
    <n v="98127"/>
    <x v="0"/>
    <n v="2"/>
    <n v="2"/>
    <n v="56"/>
    <n v="0"/>
    <d v="2011-12-03T00:00:00"/>
    <s v="No"/>
    <x v="1"/>
    <n v="3"/>
    <x v="2"/>
    <x v="0"/>
    <x v="0"/>
  </r>
  <r>
    <s v="REL02381"/>
    <s v="Female"/>
    <n v="40"/>
    <s v="Graduate"/>
    <s v="Divorced"/>
    <x v="7"/>
    <s v="HR Manager"/>
    <x v="0"/>
    <x v="6"/>
    <s v="South"/>
    <n v="14"/>
    <n v="100854"/>
    <x v="1"/>
    <n v="2"/>
    <n v="4"/>
    <n v="60"/>
    <n v="2"/>
    <d v="2009-04-21T00:00:00"/>
    <s v="Yes"/>
    <x v="1"/>
    <n v="1"/>
    <x v="2"/>
    <x v="1"/>
    <x v="2"/>
  </r>
  <r>
    <s v="REL02382"/>
    <s v="Male"/>
    <n v="23"/>
    <s v="BTech"/>
    <s v="Married"/>
    <x v="1"/>
    <s v="Customer Service Rep"/>
    <x v="1"/>
    <x v="8"/>
    <s v="South"/>
    <n v="3"/>
    <n v="48188"/>
    <x v="2"/>
    <n v="3"/>
    <n v="1"/>
    <n v="46"/>
    <n v="3"/>
    <d v="2020-09-26T00:00:00"/>
    <s v="Yes"/>
    <x v="2"/>
    <n v="2"/>
    <x v="0"/>
    <x v="1"/>
    <x v="1"/>
  </r>
  <r>
    <s v="REL02383"/>
    <s v="Female"/>
    <n v="54"/>
    <s v="MBA"/>
    <s v="Divorced"/>
    <x v="3"/>
    <s v="Customer Service Rep"/>
    <x v="1"/>
    <x v="5"/>
    <s v="South"/>
    <n v="9"/>
    <n v="43666"/>
    <x v="3"/>
    <n v="1"/>
    <n v="3"/>
    <n v="13"/>
    <n v="2"/>
    <d v="2014-12-05T00:00:00"/>
    <s v="No"/>
    <x v="2"/>
    <n v="4"/>
    <x v="1"/>
    <x v="2"/>
    <x v="1"/>
  </r>
  <r>
    <s v="REL02384"/>
    <s v="Female"/>
    <n v="38"/>
    <s v="HSC"/>
    <s v="Married"/>
    <x v="3"/>
    <s v="HR Manager"/>
    <x v="2"/>
    <x v="0"/>
    <s v="North"/>
    <n v="8"/>
    <n v="84433"/>
    <x v="1"/>
    <n v="4"/>
    <n v="2"/>
    <n v="23"/>
    <n v="0"/>
    <d v="2015-12-08T00:00:00"/>
    <s v="No"/>
    <x v="1"/>
    <n v="1"/>
    <x v="1"/>
    <x v="0"/>
    <x v="2"/>
  </r>
  <r>
    <s v="REL02385"/>
    <s v="Female"/>
    <n v="44"/>
    <s v="MBA"/>
    <s v="Divorced"/>
    <x v="2"/>
    <s v="Store Manager"/>
    <x v="3"/>
    <x v="9"/>
    <s v="West"/>
    <n v="14"/>
    <n v="103968"/>
    <x v="2"/>
    <n v="3"/>
    <n v="4"/>
    <n v="52"/>
    <n v="3"/>
    <d v="2009-01-06T00:00:00"/>
    <s v="No"/>
    <x v="1"/>
    <n v="2"/>
    <x v="2"/>
    <x v="0"/>
    <x v="1"/>
  </r>
  <r>
    <s v="REL02386"/>
    <s v="Female"/>
    <n v="30"/>
    <s v="Post Graduate"/>
    <s v="Married"/>
    <x v="7"/>
    <s v="Logistics Coordinator"/>
    <x v="0"/>
    <x v="5"/>
    <s v="South"/>
    <n v="10"/>
    <n v="68266"/>
    <x v="2"/>
    <n v="4"/>
    <n v="1"/>
    <n v="47"/>
    <n v="3"/>
    <d v="2014-01-01T00:00:00"/>
    <s v="No"/>
    <x v="0"/>
    <n v="2"/>
    <x v="1"/>
    <x v="0"/>
    <x v="1"/>
  </r>
  <r>
    <s v="REL02387"/>
    <s v="Female"/>
    <n v="55"/>
    <s v="BTech"/>
    <s v="Single"/>
    <x v="2"/>
    <s v="Sales Executive"/>
    <x v="2"/>
    <x v="8"/>
    <s v="South"/>
    <n v="9"/>
    <n v="65800"/>
    <x v="3"/>
    <n v="2"/>
    <n v="3"/>
    <n v="26"/>
    <n v="2"/>
    <d v="2014-09-27T00:00:00"/>
    <s v="Yes"/>
    <x v="0"/>
    <n v="4"/>
    <x v="1"/>
    <x v="1"/>
    <x v="1"/>
  </r>
  <r>
    <s v="REL02388"/>
    <s v="Male"/>
    <n v="47"/>
    <s v="BTech"/>
    <s v="Divorced"/>
    <x v="4"/>
    <s v="Customer Service Rep"/>
    <x v="2"/>
    <x v="3"/>
    <s v="West"/>
    <n v="13"/>
    <n v="54832"/>
    <x v="0"/>
    <n v="3"/>
    <n v="4"/>
    <n v="66"/>
    <n v="2"/>
    <d v="2010-12-26T00:00:00"/>
    <s v="No"/>
    <x v="0"/>
    <n v="3"/>
    <x v="2"/>
    <x v="0"/>
    <x v="0"/>
  </r>
  <r>
    <s v="REL02389"/>
    <s v="Male"/>
    <n v="47"/>
    <s v="MBA"/>
    <s v="Divorced"/>
    <x v="6"/>
    <s v="Store Manager"/>
    <x v="3"/>
    <x v="6"/>
    <s v="South"/>
    <n v="9"/>
    <n v="100111"/>
    <x v="2"/>
    <n v="1"/>
    <n v="4"/>
    <n v="50"/>
    <n v="1"/>
    <d v="2014-05-30T00:00:00"/>
    <s v="Yes"/>
    <x v="1"/>
    <n v="2"/>
    <x v="1"/>
    <x v="1"/>
    <x v="1"/>
  </r>
  <r>
    <s v="REL02390"/>
    <s v="Male"/>
    <n v="36"/>
    <s v="Graduate"/>
    <s v="Single"/>
    <x v="2"/>
    <s v="Finance Analyst"/>
    <x v="2"/>
    <x v="8"/>
    <s v="South"/>
    <n v="4"/>
    <n v="70631"/>
    <x v="2"/>
    <n v="3"/>
    <n v="2"/>
    <n v="56"/>
    <n v="1"/>
    <d v="2019-10-14T00:00:00"/>
    <s v="No"/>
    <x v="0"/>
    <n v="2"/>
    <x v="0"/>
    <x v="0"/>
    <x v="1"/>
  </r>
  <r>
    <s v="REL02391"/>
    <s v="Male"/>
    <n v="40"/>
    <s v="Graduate"/>
    <s v="Single"/>
    <x v="0"/>
    <s v="HR Manager"/>
    <x v="1"/>
    <x v="2"/>
    <s v="West"/>
    <n v="4"/>
    <n v="92663"/>
    <x v="2"/>
    <n v="1"/>
    <n v="3"/>
    <n v="72"/>
    <n v="2"/>
    <d v="2019-05-08T00:00:00"/>
    <s v="No"/>
    <x v="1"/>
    <n v="2"/>
    <x v="0"/>
    <x v="0"/>
    <x v="1"/>
  </r>
  <r>
    <s v="REL02392"/>
    <s v="Male"/>
    <n v="48"/>
    <s v="MBA"/>
    <s v="Divorced"/>
    <x v="5"/>
    <s v="Finance Analyst"/>
    <x v="0"/>
    <x v="9"/>
    <s v="West"/>
    <n v="4"/>
    <n v="73178"/>
    <x v="1"/>
    <n v="1"/>
    <n v="3"/>
    <n v="56"/>
    <n v="3"/>
    <d v="2019-03-07T00:00:00"/>
    <s v="Yes"/>
    <x v="0"/>
    <n v="1"/>
    <x v="0"/>
    <x v="1"/>
    <x v="1"/>
  </r>
  <r>
    <s v="REL02393"/>
    <s v="Male"/>
    <n v="38"/>
    <s v="Graduate"/>
    <s v="Married"/>
    <x v="7"/>
    <s v="Logistics Coordinator"/>
    <x v="3"/>
    <x v="7"/>
    <s v="East"/>
    <n v="10"/>
    <n v="58083"/>
    <x v="0"/>
    <n v="4"/>
    <n v="2"/>
    <n v="61"/>
    <n v="0"/>
    <d v="2013-01-29T00:00:00"/>
    <s v="Yes"/>
    <x v="0"/>
    <n v="3"/>
    <x v="1"/>
    <x v="1"/>
    <x v="0"/>
  </r>
  <r>
    <s v="REL02394"/>
    <s v="Female"/>
    <n v="35"/>
    <s v="Graduate"/>
    <s v="Married"/>
    <x v="0"/>
    <s v="Finance Analyst"/>
    <x v="0"/>
    <x v="3"/>
    <s v="West"/>
    <n v="12"/>
    <n v="84281"/>
    <x v="3"/>
    <n v="2"/>
    <n v="1"/>
    <n v="74"/>
    <n v="3"/>
    <d v="2011-02-19T00:00:00"/>
    <s v="No"/>
    <x v="1"/>
    <n v="4"/>
    <x v="2"/>
    <x v="2"/>
    <x v="0"/>
  </r>
  <r>
    <s v="REL02395"/>
    <s v="Male"/>
    <n v="48"/>
    <s v="Post Graduate"/>
    <s v="Married"/>
    <x v="2"/>
    <s v="Customer Service Rep"/>
    <x v="3"/>
    <x v="9"/>
    <s v="West"/>
    <n v="7"/>
    <n v="55590"/>
    <x v="3"/>
    <n v="1"/>
    <n v="1"/>
    <n v="14"/>
    <n v="2"/>
    <d v="2016-10-02T00:00:00"/>
    <s v="No"/>
    <x v="0"/>
    <n v="4"/>
    <x v="1"/>
    <x v="2"/>
    <x v="1"/>
  </r>
  <r>
    <s v="REL02396"/>
    <s v="Male"/>
    <n v="26"/>
    <s v="BTech"/>
    <s v="Single"/>
    <x v="5"/>
    <s v="Sales Executive"/>
    <x v="3"/>
    <x v="1"/>
    <s v="North"/>
    <n v="8"/>
    <n v="50764"/>
    <x v="1"/>
    <n v="1"/>
    <n v="2"/>
    <n v="72"/>
    <n v="2"/>
    <d v="2015-05-04T00:00:00"/>
    <s v="Yes"/>
    <x v="0"/>
    <n v="1"/>
    <x v="1"/>
    <x v="1"/>
    <x v="1"/>
  </r>
  <r>
    <s v="REL02397"/>
    <s v="Male"/>
    <n v="44"/>
    <s v="BTech"/>
    <s v="Married"/>
    <x v="4"/>
    <s v="Logistics Coordinator"/>
    <x v="1"/>
    <x v="6"/>
    <s v="South"/>
    <n v="10"/>
    <n v="55846"/>
    <x v="3"/>
    <n v="3"/>
    <n v="2"/>
    <n v="69"/>
    <n v="1"/>
    <d v="2013-08-07T00:00:00"/>
    <s v="No"/>
    <x v="0"/>
    <n v="4"/>
    <x v="1"/>
    <x v="2"/>
    <x v="1"/>
  </r>
  <r>
    <s v="REL02398"/>
    <s v="Female"/>
    <n v="47"/>
    <s v="MBA"/>
    <s v="Single"/>
    <x v="4"/>
    <s v="Logistics Coordinator"/>
    <x v="2"/>
    <x v="3"/>
    <s v="West"/>
    <n v="15"/>
    <n v="71658"/>
    <x v="1"/>
    <n v="4"/>
    <n v="1"/>
    <n v="65"/>
    <n v="2"/>
    <d v="2008-07-24T00:00:00"/>
    <s v="No"/>
    <x v="0"/>
    <n v="1"/>
    <x v="2"/>
    <x v="0"/>
    <x v="1"/>
  </r>
  <r>
    <s v="REL02399"/>
    <s v="Female"/>
    <n v="45"/>
    <s v="MBA"/>
    <s v="Single"/>
    <x v="2"/>
    <s v="Store Manager"/>
    <x v="0"/>
    <x v="8"/>
    <s v="South"/>
    <n v="1"/>
    <n v="78936"/>
    <x v="2"/>
    <n v="2"/>
    <n v="2"/>
    <n v="25"/>
    <n v="0"/>
    <d v="2022-12-14T00:00:00"/>
    <s v="No"/>
    <x v="0"/>
    <n v="2"/>
    <x v="3"/>
    <x v="0"/>
    <x v="1"/>
  </r>
  <r>
    <s v="REL02400"/>
    <s v="Male"/>
    <n v="33"/>
    <s v="BTech"/>
    <s v="Divorced"/>
    <x v="4"/>
    <s v="Finance Analyst"/>
    <x v="4"/>
    <x v="2"/>
    <s v="West"/>
    <n v="13"/>
    <n v="81207"/>
    <x v="1"/>
    <n v="3"/>
    <n v="3"/>
    <n v="29"/>
    <n v="3"/>
    <d v="2010-04-11T00:00:00"/>
    <s v="Yes"/>
    <x v="1"/>
    <n v="1"/>
    <x v="2"/>
    <x v="1"/>
    <x v="2"/>
  </r>
  <r>
    <s v="REL02401"/>
    <s v="Female"/>
    <n v="34"/>
    <s v="MBA"/>
    <s v="Married"/>
    <x v="4"/>
    <s v="HR Manager"/>
    <x v="0"/>
    <x v="5"/>
    <s v="South"/>
    <n v="10"/>
    <n v="97282"/>
    <x v="1"/>
    <n v="3"/>
    <n v="3"/>
    <n v="67"/>
    <n v="2"/>
    <d v="2013-03-04T00:00:00"/>
    <s v="No"/>
    <x v="1"/>
    <n v="1"/>
    <x v="1"/>
    <x v="0"/>
    <x v="2"/>
  </r>
  <r>
    <s v="REL02402"/>
    <s v="Female"/>
    <n v="34"/>
    <s v="BTech"/>
    <s v="Divorced"/>
    <x v="7"/>
    <s v="Finance Analyst"/>
    <x v="1"/>
    <x v="1"/>
    <s v="North"/>
    <n v="11"/>
    <n v="74193"/>
    <x v="0"/>
    <n v="2"/>
    <n v="3"/>
    <n v="17"/>
    <n v="3"/>
    <d v="2012-01-11T00:00:00"/>
    <s v="Yes"/>
    <x v="0"/>
    <n v="3"/>
    <x v="2"/>
    <x v="1"/>
    <x v="0"/>
  </r>
  <r>
    <s v="REL02403"/>
    <s v="Female"/>
    <n v="36"/>
    <s v="Graduate"/>
    <s v="Married"/>
    <x v="7"/>
    <s v="Logistics Coordinator"/>
    <x v="4"/>
    <x v="9"/>
    <s v="West"/>
    <n v="4"/>
    <n v="43066"/>
    <x v="2"/>
    <n v="1"/>
    <n v="2"/>
    <n v="54"/>
    <n v="3"/>
    <d v="2019-05-04T00:00:00"/>
    <s v="Yes"/>
    <x v="2"/>
    <n v="2"/>
    <x v="0"/>
    <x v="1"/>
    <x v="1"/>
  </r>
  <r>
    <s v="REL02404"/>
    <s v="Female"/>
    <n v="44"/>
    <s v="Post Graduate"/>
    <s v="Married"/>
    <x v="0"/>
    <s v="Sales Executive"/>
    <x v="0"/>
    <x v="3"/>
    <s v="West"/>
    <n v="4"/>
    <n v="51402"/>
    <x v="3"/>
    <n v="1"/>
    <n v="4"/>
    <n v="24"/>
    <n v="1"/>
    <d v="2019-04-24T00:00:00"/>
    <s v="No"/>
    <x v="0"/>
    <n v="4"/>
    <x v="0"/>
    <x v="2"/>
    <x v="1"/>
  </r>
  <r>
    <s v="REL02405"/>
    <s v="Male"/>
    <n v="51"/>
    <s v="Post Graduate"/>
    <s v="Divorced"/>
    <x v="7"/>
    <s v="Marketing Executive"/>
    <x v="4"/>
    <x v="9"/>
    <s v="West"/>
    <n v="7"/>
    <n v="64675"/>
    <x v="1"/>
    <n v="1"/>
    <n v="3"/>
    <n v="36"/>
    <n v="0"/>
    <d v="2016-08-04T00:00:00"/>
    <s v="Yes"/>
    <x v="0"/>
    <n v="1"/>
    <x v="1"/>
    <x v="1"/>
    <x v="1"/>
  </r>
  <r>
    <s v="REL02406"/>
    <s v="Female"/>
    <n v="37"/>
    <s v="Graduate"/>
    <s v="Married"/>
    <x v="6"/>
    <s v="HR Manager"/>
    <x v="3"/>
    <x v="9"/>
    <s v="West"/>
    <n v="3"/>
    <n v="85365"/>
    <x v="1"/>
    <n v="2"/>
    <n v="1"/>
    <n v="50"/>
    <n v="2"/>
    <d v="2020-07-07T00:00:00"/>
    <s v="Yes"/>
    <x v="1"/>
    <n v="1"/>
    <x v="0"/>
    <x v="1"/>
    <x v="2"/>
  </r>
  <r>
    <s v="REL02407"/>
    <s v="Female"/>
    <n v="54"/>
    <s v="Post Graduate"/>
    <s v="Divorced"/>
    <x v="4"/>
    <s v="Logistics Coordinator"/>
    <x v="3"/>
    <x v="2"/>
    <s v="West"/>
    <n v="6"/>
    <n v="48775"/>
    <x v="0"/>
    <n v="1"/>
    <n v="2"/>
    <n v="65"/>
    <n v="0"/>
    <d v="2017-06-20T00:00:00"/>
    <s v="No"/>
    <x v="2"/>
    <n v="3"/>
    <x v="1"/>
    <x v="0"/>
    <x v="1"/>
  </r>
  <r>
    <s v="REL02408"/>
    <s v="Female"/>
    <n v="23"/>
    <s v="BTech"/>
    <s v="Married"/>
    <x v="2"/>
    <s v="HR Manager"/>
    <x v="0"/>
    <x v="2"/>
    <s v="West"/>
    <n v="1"/>
    <n v="79873"/>
    <x v="2"/>
    <n v="2"/>
    <n v="1"/>
    <n v="27"/>
    <n v="1"/>
    <d v="2022-09-02T00:00:00"/>
    <s v="Yes"/>
    <x v="0"/>
    <n v="2"/>
    <x v="3"/>
    <x v="1"/>
    <x v="1"/>
  </r>
  <r>
    <s v="REL02409"/>
    <s v="Female"/>
    <n v="36"/>
    <s v="Post Graduate"/>
    <s v="Married"/>
    <x v="6"/>
    <s v="Logistics Coordinator"/>
    <x v="3"/>
    <x v="3"/>
    <s v="West"/>
    <n v="7"/>
    <n v="59583"/>
    <x v="1"/>
    <n v="2"/>
    <n v="1"/>
    <n v="62"/>
    <n v="2"/>
    <d v="2016-12-31T00:00:00"/>
    <s v="No"/>
    <x v="0"/>
    <n v="1"/>
    <x v="1"/>
    <x v="0"/>
    <x v="1"/>
  </r>
  <r>
    <s v="REL02410"/>
    <s v="Male"/>
    <n v="45"/>
    <s v="BTech"/>
    <s v="Single"/>
    <x v="5"/>
    <s v="Logistics Coordinator"/>
    <x v="2"/>
    <x v="5"/>
    <s v="South"/>
    <n v="9"/>
    <n v="55401"/>
    <x v="0"/>
    <n v="2"/>
    <n v="1"/>
    <n v="52"/>
    <n v="3"/>
    <d v="2014-03-28T00:00:00"/>
    <s v="No"/>
    <x v="0"/>
    <n v="3"/>
    <x v="1"/>
    <x v="0"/>
    <x v="0"/>
  </r>
  <r>
    <s v="REL02411"/>
    <s v="Female"/>
    <n v="44"/>
    <s v="HSC"/>
    <s v="Married"/>
    <x v="3"/>
    <s v="Finance Analyst"/>
    <x v="4"/>
    <x v="5"/>
    <s v="South"/>
    <n v="7"/>
    <n v="82281"/>
    <x v="0"/>
    <n v="2"/>
    <n v="4"/>
    <n v="24"/>
    <n v="2"/>
    <d v="2016-06-19T00:00:00"/>
    <s v="No"/>
    <x v="1"/>
    <n v="3"/>
    <x v="1"/>
    <x v="0"/>
    <x v="0"/>
  </r>
  <r>
    <s v="REL02412"/>
    <s v="Female"/>
    <n v="32"/>
    <s v="BTech"/>
    <s v="Married"/>
    <x v="0"/>
    <s v="Customer Service Rep"/>
    <x v="3"/>
    <x v="0"/>
    <s v="North"/>
    <n v="12"/>
    <n v="60973"/>
    <x v="3"/>
    <n v="1"/>
    <n v="4"/>
    <n v="78"/>
    <n v="3"/>
    <d v="2011-12-31T00:00:00"/>
    <s v="No"/>
    <x v="0"/>
    <n v="4"/>
    <x v="2"/>
    <x v="2"/>
    <x v="1"/>
  </r>
  <r>
    <s v="REL02413"/>
    <s v="Female"/>
    <n v="33"/>
    <s v="HSC"/>
    <s v="Divorced"/>
    <x v="4"/>
    <s v="Marketing Executive"/>
    <x v="4"/>
    <x v="8"/>
    <s v="South"/>
    <n v="13"/>
    <n v="77261"/>
    <x v="0"/>
    <n v="4"/>
    <n v="2"/>
    <n v="61"/>
    <n v="1"/>
    <d v="2010-03-12T00:00:00"/>
    <s v="No"/>
    <x v="0"/>
    <n v="3"/>
    <x v="2"/>
    <x v="0"/>
    <x v="0"/>
  </r>
  <r>
    <s v="REL02414"/>
    <s v="Female"/>
    <n v="27"/>
    <s v="MBA"/>
    <s v="Divorced"/>
    <x v="6"/>
    <s v="HR Manager"/>
    <x v="4"/>
    <x v="7"/>
    <s v="East"/>
    <n v="7"/>
    <n v="89968"/>
    <x v="3"/>
    <n v="4"/>
    <n v="3"/>
    <n v="19"/>
    <n v="1"/>
    <d v="2016-12-01T00:00:00"/>
    <s v="No"/>
    <x v="1"/>
    <n v="4"/>
    <x v="1"/>
    <x v="2"/>
    <x v="0"/>
  </r>
  <r>
    <s v="REL02415"/>
    <s v="Female"/>
    <n v="38"/>
    <s v="HSC"/>
    <s v="Divorced"/>
    <x v="4"/>
    <s v="Sales Executive"/>
    <x v="1"/>
    <x v="9"/>
    <s v="West"/>
    <n v="4"/>
    <n v="43657"/>
    <x v="2"/>
    <n v="1"/>
    <n v="1"/>
    <n v="73"/>
    <n v="3"/>
    <d v="2019-09-23T00:00:00"/>
    <s v="No"/>
    <x v="2"/>
    <n v="2"/>
    <x v="0"/>
    <x v="0"/>
    <x v="1"/>
  </r>
  <r>
    <s v="REL02416"/>
    <s v="Female"/>
    <n v="26"/>
    <s v="HSC"/>
    <s v="Single"/>
    <x v="2"/>
    <s v="Sales Executive"/>
    <x v="2"/>
    <x v="6"/>
    <s v="South"/>
    <n v="7"/>
    <n v="56999"/>
    <x v="2"/>
    <n v="4"/>
    <n v="3"/>
    <n v="41"/>
    <n v="1"/>
    <d v="2016-01-19T00:00:00"/>
    <s v="No"/>
    <x v="0"/>
    <n v="2"/>
    <x v="1"/>
    <x v="0"/>
    <x v="1"/>
  </r>
  <r>
    <s v="REL02417"/>
    <s v="Male"/>
    <n v="32"/>
    <s v="BTech"/>
    <s v="Divorced"/>
    <x v="3"/>
    <s v="Sales Executive"/>
    <x v="0"/>
    <x v="6"/>
    <s v="South"/>
    <n v="1"/>
    <n v="32079"/>
    <x v="1"/>
    <n v="4"/>
    <n v="1"/>
    <n v="78"/>
    <n v="2"/>
    <d v="2022-04-06T00:00:00"/>
    <s v="Yes"/>
    <x v="3"/>
    <n v="1"/>
    <x v="3"/>
    <x v="1"/>
    <x v="1"/>
  </r>
  <r>
    <s v="REL02418"/>
    <s v="Male"/>
    <n v="53"/>
    <s v="BTech"/>
    <s v="Single"/>
    <x v="4"/>
    <s v="Operations Head"/>
    <x v="2"/>
    <x v="3"/>
    <s v="West"/>
    <n v="13"/>
    <n v="129147"/>
    <x v="1"/>
    <n v="1"/>
    <n v="1"/>
    <n v="76"/>
    <n v="0"/>
    <d v="2010-06-13T00:00:00"/>
    <s v="Yes"/>
    <x v="1"/>
    <n v="1"/>
    <x v="2"/>
    <x v="1"/>
    <x v="2"/>
  </r>
  <r>
    <s v="REL02419"/>
    <s v="Male"/>
    <n v="40"/>
    <s v="Graduate"/>
    <s v="Married"/>
    <x v="0"/>
    <s v="Sales Executive"/>
    <x v="0"/>
    <x v="7"/>
    <s v="East"/>
    <n v="9"/>
    <n v="56774"/>
    <x v="3"/>
    <n v="1"/>
    <n v="1"/>
    <n v="16"/>
    <n v="2"/>
    <d v="2014-09-27T00:00:00"/>
    <s v="Yes"/>
    <x v="0"/>
    <n v="4"/>
    <x v="1"/>
    <x v="1"/>
    <x v="1"/>
  </r>
  <r>
    <s v="REL02420"/>
    <s v="Male"/>
    <n v="48"/>
    <s v="MBA"/>
    <s v="Divorced"/>
    <x v="1"/>
    <s v="Store Manager"/>
    <x v="0"/>
    <x v="2"/>
    <s v="West"/>
    <n v="13"/>
    <n v="107041"/>
    <x v="1"/>
    <n v="3"/>
    <n v="4"/>
    <n v="12"/>
    <n v="1"/>
    <d v="2010-11-30T00:00:00"/>
    <s v="Yes"/>
    <x v="1"/>
    <n v="1"/>
    <x v="2"/>
    <x v="1"/>
    <x v="2"/>
  </r>
  <r>
    <s v="REL02421"/>
    <s v="Male"/>
    <n v="44"/>
    <s v="BTech"/>
    <s v="Divorced"/>
    <x v="3"/>
    <s v="Logistics Coordinator"/>
    <x v="0"/>
    <x v="0"/>
    <s v="North"/>
    <n v="8"/>
    <n v="59463"/>
    <x v="1"/>
    <n v="2"/>
    <n v="4"/>
    <n v="30"/>
    <n v="0"/>
    <d v="2015-11-06T00:00:00"/>
    <s v="No"/>
    <x v="0"/>
    <n v="1"/>
    <x v="1"/>
    <x v="0"/>
    <x v="1"/>
  </r>
  <r>
    <s v="REL02422"/>
    <s v="Female"/>
    <n v="22"/>
    <s v="BTech"/>
    <s v="Single"/>
    <x v="4"/>
    <s v="Customer Service Rep"/>
    <x v="1"/>
    <x v="9"/>
    <s v="West"/>
    <n v="10"/>
    <n v="64622"/>
    <x v="2"/>
    <n v="1"/>
    <n v="2"/>
    <n v="38"/>
    <n v="0"/>
    <d v="2013-10-07T00:00:00"/>
    <s v="Yes"/>
    <x v="0"/>
    <n v="2"/>
    <x v="1"/>
    <x v="1"/>
    <x v="1"/>
  </r>
  <r>
    <s v="REL02423"/>
    <s v="Female"/>
    <n v="53"/>
    <s v="BTech"/>
    <s v="Divorced"/>
    <x v="6"/>
    <s v="Customer Service Rep"/>
    <x v="0"/>
    <x v="8"/>
    <s v="South"/>
    <n v="11"/>
    <n v="63234"/>
    <x v="1"/>
    <n v="1"/>
    <n v="2"/>
    <n v="12"/>
    <n v="2"/>
    <d v="2012-06-17T00:00:00"/>
    <s v="Yes"/>
    <x v="0"/>
    <n v="1"/>
    <x v="2"/>
    <x v="1"/>
    <x v="1"/>
  </r>
  <r>
    <s v="REL02424"/>
    <s v="Female"/>
    <n v="44"/>
    <s v="Graduate"/>
    <s v="Divorced"/>
    <x v="5"/>
    <s v="Logistics Coordinator"/>
    <x v="4"/>
    <x v="4"/>
    <s v="North"/>
    <n v="4"/>
    <n v="52525"/>
    <x v="2"/>
    <n v="4"/>
    <n v="2"/>
    <n v="51"/>
    <n v="1"/>
    <d v="2019-06-13T00:00:00"/>
    <s v="Yes"/>
    <x v="0"/>
    <n v="2"/>
    <x v="0"/>
    <x v="1"/>
    <x v="1"/>
  </r>
  <r>
    <s v="REL02425"/>
    <s v="Female"/>
    <n v="38"/>
    <s v="Graduate"/>
    <s v="Single"/>
    <x v="3"/>
    <s v="HR Manager"/>
    <x v="2"/>
    <x v="6"/>
    <s v="South"/>
    <n v="8"/>
    <n v="89887"/>
    <x v="3"/>
    <n v="4"/>
    <n v="1"/>
    <n v="37"/>
    <n v="2"/>
    <d v="2015-04-28T00:00:00"/>
    <s v="No"/>
    <x v="1"/>
    <n v="4"/>
    <x v="1"/>
    <x v="2"/>
    <x v="0"/>
  </r>
  <r>
    <s v="REL02426"/>
    <s v="Female"/>
    <n v="54"/>
    <s v="Post Graduate"/>
    <s v="Divorced"/>
    <x v="7"/>
    <s v="Logistics Coordinator"/>
    <x v="0"/>
    <x v="7"/>
    <s v="East"/>
    <n v="9"/>
    <n v="56885"/>
    <x v="2"/>
    <n v="2"/>
    <n v="3"/>
    <n v="14"/>
    <n v="1"/>
    <d v="2014-12-28T00:00:00"/>
    <s v="No"/>
    <x v="0"/>
    <n v="2"/>
    <x v="1"/>
    <x v="0"/>
    <x v="1"/>
  </r>
  <r>
    <s v="REL02427"/>
    <s v="Male"/>
    <n v="33"/>
    <s v="Graduate"/>
    <s v="Married"/>
    <x v="4"/>
    <s v="Finance Analyst"/>
    <x v="0"/>
    <x v="7"/>
    <s v="East"/>
    <n v="11"/>
    <n v="88874"/>
    <x v="0"/>
    <n v="4"/>
    <n v="3"/>
    <n v="58"/>
    <n v="1"/>
    <d v="2012-07-07T00:00:00"/>
    <s v="No"/>
    <x v="1"/>
    <n v="3"/>
    <x v="2"/>
    <x v="0"/>
    <x v="0"/>
  </r>
  <r>
    <s v="REL02428"/>
    <s v="Male"/>
    <n v="37"/>
    <s v="MBA"/>
    <s v="Divorced"/>
    <x v="5"/>
    <s v="HR Manager"/>
    <x v="1"/>
    <x v="6"/>
    <s v="South"/>
    <n v="13"/>
    <n v="106023"/>
    <x v="1"/>
    <n v="2"/>
    <n v="1"/>
    <n v="32"/>
    <n v="3"/>
    <d v="2010-10-13T00:00:00"/>
    <s v="No"/>
    <x v="1"/>
    <n v="1"/>
    <x v="2"/>
    <x v="0"/>
    <x v="2"/>
  </r>
  <r>
    <s v="REL02429"/>
    <s v="Female"/>
    <n v="24"/>
    <s v="Post Graduate"/>
    <s v="Single"/>
    <x v="1"/>
    <s v="Marketing Executive"/>
    <x v="0"/>
    <x v="7"/>
    <s v="East"/>
    <n v="9"/>
    <n v="77901"/>
    <x v="3"/>
    <n v="1"/>
    <n v="1"/>
    <n v="68"/>
    <n v="3"/>
    <d v="2014-07-14T00:00:00"/>
    <s v="No"/>
    <x v="0"/>
    <n v="4"/>
    <x v="1"/>
    <x v="2"/>
    <x v="1"/>
  </r>
  <r>
    <s v="REL02430"/>
    <s v="Female"/>
    <n v="40"/>
    <s v="HSC"/>
    <s v="Married"/>
    <x v="0"/>
    <s v="Operations Head"/>
    <x v="3"/>
    <x v="0"/>
    <s v="North"/>
    <n v="10"/>
    <n v="116890"/>
    <x v="0"/>
    <n v="2"/>
    <n v="3"/>
    <n v="37"/>
    <n v="2"/>
    <d v="2013-10-27T00:00:00"/>
    <s v="Yes"/>
    <x v="1"/>
    <n v="3"/>
    <x v="1"/>
    <x v="1"/>
    <x v="0"/>
  </r>
  <r>
    <s v="REL02431"/>
    <s v="Male"/>
    <n v="55"/>
    <s v="MBA"/>
    <s v="Divorced"/>
    <x v="4"/>
    <s v="Marketing Executive"/>
    <x v="2"/>
    <x v="0"/>
    <s v="North"/>
    <n v="1"/>
    <n v="48103"/>
    <x v="3"/>
    <n v="4"/>
    <n v="4"/>
    <n v="16"/>
    <n v="3"/>
    <d v="2022-01-08T00:00:00"/>
    <s v="No"/>
    <x v="2"/>
    <n v="4"/>
    <x v="3"/>
    <x v="2"/>
    <x v="1"/>
  </r>
  <r>
    <s v="REL02432"/>
    <s v="Male"/>
    <n v="40"/>
    <s v="Graduate"/>
    <s v="Divorced"/>
    <x v="7"/>
    <s v="HR Manager"/>
    <x v="0"/>
    <x v="2"/>
    <s v="West"/>
    <n v="8"/>
    <n v="82695"/>
    <x v="1"/>
    <n v="2"/>
    <n v="3"/>
    <n v="41"/>
    <n v="3"/>
    <d v="2015-01-30T00:00:00"/>
    <s v="Yes"/>
    <x v="1"/>
    <n v="1"/>
    <x v="1"/>
    <x v="1"/>
    <x v="2"/>
  </r>
  <r>
    <s v="REL02433"/>
    <s v="Female"/>
    <n v="44"/>
    <s v="Post Graduate"/>
    <s v="Single"/>
    <x v="3"/>
    <s v="Sales Executive"/>
    <x v="3"/>
    <x v="1"/>
    <s v="North"/>
    <n v="13"/>
    <n v="73899"/>
    <x v="3"/>
    <n v="3"/>
    <n v="2"/>
    <n v="27"/>
    <n v="2"/>
    <d v="2010-05-09T00:00:00"/>
    <s v="No"/>
    <x v="0"/>
    <n v="4"/>
    <x v="2"/>
    <x v="2"/>
    <x v="1"/>
  </r>
  <r>
    <s v="REL02434"/>
    <s v="Female"/>
    <n v="50"/>
    <s v="Post Graduate"/>
    <s v="Married"/>
    <x v="1"/>
    <s v="Operations Head"/>
    <x v="1"/>
    <x v="5"/>
    <s v="South"/>
    <n v="3"/>
    <n v="95199"/>
    <x v="0"/>
    <n v="4"/>
    <n v="3"/>
    <n v="56"/>
    <n v="3"/>
    <d v="2020-04-24T00:00:00"/>
    <s v="No"/>
    <x v="1"/>
    <n v="3"/>
    <x v="0"/>
    <x v="0"/>
    <x v="0"/>
  </r>
  <r>
    <s v="REL02435"/>
    <s v="Female"/>
    <n v="55"/>
    <s v="HSC"/>
    <s v="Married"/>
    <x v="0"/>
    <s v="Customer Service Rep"/>
    <x v="2"/>
    <x v="7"/>
    <s v="East"/>
    <n v="11"/>
    <n v="53117"/>
    <x v="3"/>
    <n v="1"/>
    <n v="2"/>
    <n v="58"/>
    <n v="1"/>
    <d v="2012-11-13T00:00:00"/>
    <s v="Yes"/>
    <x v="0"/>
    <n v="4"/>
    <x v="2"/>
    <x v="1"/>
    <x v="1"/>
  </r>
  <r>
    <s v="REL02436"/>
    <s v="Male"/>
    <n v="40"/>
    <s v="MBA"/>
    <s v="Married"/>
    <x v="1"/>
    <s v="Finance Analyst"/>
    <x v="1"/>
    <x v="1"/>
    <s v="North"/>
    <n v="12"/>
    <n v="91760"/>
    <x v="1"/>
    <n v="2"/>
    <n v="3"/>
    <n v="74"/>
    <n v="2"/>
    <d v="2011-10-06T00:00:00"/>
    <s v="Yes"/>
    <x v="1"/>
    <n v="1"/>
    <x v="2"/>
    <x v="1"/>
    <x v="2"/>
  </r>
  <r>
    <s v="REL02437"/>
    <s v="Male"/>
    <n v="30"/>
    <s v="Graduate"/>
    <s v="Single"/>
    <x v="7"/>
    <s v="Marketing Executive"/>
    <x v="4"/>
    <x v="9"/>
    <s v="West"/>
    <n v="10"/>
    <n v="79324"/>
    <x v="1"/>
    <n v="3"/>
    <n v="3"/>
    <n v="62"/>
    <n v="0"/>
    <d v="2013-07-13T00:00:00"/>
    <s v="No"/>
    <x v="0"/>
    <n v="1"/>
    <x v="1"/>
    <x v="0"/>
    <x v="1"/>
  </r>
  <r>
    <s v="REL02438"/>
    <s v="Male"/>
    <n v="55"/>
    <s v="BTech"/>
    <s v="Divorced"/>
    <x v="7"/>
    <s v="Finance Analyst"/>
    <x v="1"/>
    <x v="2"/>
    <s v="West"/>
    <n v="7"/>
    <n v="78819"/>
    <x v="2"/>
    <n v="4"/>
    <n v="2"/>
    <n v="63"/>
    <n v="0"/>
    <d v="2016-01-28T00:00:00"/>
    <s v="No"/>
    <x v="0"/>
    <n v="2"/>
    <x v="1"/>
    <x v="0"/>
    <x v="1"/>
  </r>
  <r>
    <s v="REL02439"/>
    <s v="Male"/>
    <n v="29"/>
    <s v="BTech"/>
    <s v="Married"/>
    <x v="5"/>
    <s v="Customer Service Rep"/>
    <x v="1"/>
    <x v="5"/>
    <s v="South"/>
    <n v="13"/>
    <n v="70194"/>
    <x v="2"/>
    <n v="4"/>
    <n v="2"/>
    <n v="39"/>
    <n v="2"/>
    <d v="2010-01-09T00:00:00"/>
    <s v="No"/>
    <x v="0"/>
    <n v="2"/>
    <x v="2"/>
    <x v="0"/>
    <x v="1"/>
  </r>
  <r>
    <s v="REL02440"/>
    <s v="Female"/>
    <n v="30"/>
    <s v="MBA"/>
    <s v="Divorced"/>
    <x v="2"/>
    <s v="Marketing Executive"/>
    <x v="1"/>
    <x v="3"/>
    <s v="West"/>
    <n v="8"/>
    <n v="72198"/>
    <x v="2"/>
    <n v="2"/>
    <n v="4"/>
    <n v="55"/>
    <n v="2"/>
    <d v="2015-03-17T00:00:00"/>
    <s v="No"/>
    <x v="0"/>
    <n v="2"/>
    <x v="1"/>
    <x v="0"/>
    <x v="1"/>
  </r>
  <r>
    <s v="REL02441"/>
    <s v="Male"/>
    <n v="24"/>
    <s v="BTech"/>
    <s v="Divorced"/>
    <x v="7"/>
    <s v="Finance Analyst"/>
    <x v="3"/>
    <x v="4"/>
    <s v="North"/>
    <n v="12"/>
    <n v="92152"/>
    <x v="3"/>
    <n v="1"/>
    <n v="1"/>
    <n v="13"/>
    <n v="0"/>
    <d v="2011-10-27T00:00:00"/>
    <s v="No"/>
    <x v="1"/>
    <n v="4"/>
    <x v="2"/>
    <x v="2"/>
    <x v="0"/>
  </r>
  <r>
    <s v="REL02442"/>
    <s v="Female"/>
    <n v="27"/>
    <s v="HSC"/>
    <s v="Married"/>
    <x v="3"/>
    <s v="Logistics Coordinator"/>
    <x v="1"/>
    <x v="8"/>
    <s v="South"/>
    <n v="11"/>
    <n v="76534"/>
    <x v="1"/>
    <n v="3"/>
    <n v="3"/>
    <n v="23"/>
    <n v="2"/>
    <d v="2012-10-02T00:00:00"/>
    <s v="Yes"/>
    <x v="0"/>
    <n v="1"/>
    <x v="2"/>
    <x v="1"/>
    <x v="1"/>
  </r>
  <r>
    <s v="REL02443"/>
    <s v="Female"/>
    <n v="44"/>
    <s v="BTech"/>
    <s v="Divorced"/>
    <x v="0"/>
    <s v="Sales Executive"/>
    <x v="1"/>
    <x v="4"/>
    <s v="North"/>
    <n v="8"/>
    <n v="46459"/>
    <x v="1"/>
    <n v="4"/>
    <n v="2"/>
    <n v="44"/>
    <n v="1"/>
    <d v="2016-01-03T00:00:00"/>
    <s v="Yes"/>
    <x v="2"/>
    <n v="1"/>
    <x v="1"/>
    <x v="1"/>
    <x v="1"/>
  </r>
  <r>
    <s v="REL02444"/>
    <s v="Male"/>
    <n v="24"/>
    <s v="HSC"/>
    <s v="Single"/>
    <x v="7"/>
    <s v="Customer Service Rep"/>
    <x v="0"/>
    <x v="6"/>
    <s v="South"/>
    <n v="7"/>
    <n v="43210"/>
    <x v="1"/>
    <n v="4"/>
    <n v="1"/>
    <n v="69"/>
    <n v="1"/>
    <d v="2016-04-13T00:00:00"/>
    <s v="Yes"/>
    <x v="2"/>
    <n v="1"/>
    <x v="1"/>
    <x v="1"/>
    <x v="1"/>
  </r>
  <r>
    <s v="REL02445"/>
    <s v="Male"/>
    <n v="49"/>
    <s v="MBA"/>
    <s v="Married"/>
    <x v="2"/>
    <s v="Operations Head"/>
    <x v="2"/>
    <x v="7"/>
    <s v="East"/>
    <n v="14"/>
    <n v="119739"/>
    <x v="0"/>
    <n v="4"/>
    <n v="4"/>
    <n v="73"/>
    <n v="3"/>
    <d v="2009-07-21T00:00:00"/>
    <s v="No"/>
    <x v="1"/>
    <n v="3"/>
    <x v="2"/>
    <x v="0"/>
    <x v="0"/>
  </r>
  <r>
    <s v="REL02446"/>
    <s v="Male"/>
    <n v="26"/>
    <s v="Graduate"/>
    <s v="Married"/>
    <x v="4"/>
    <s v="Customer Service Rep"/>
    <x v="2"/>
    <x v="5"/>
    <s v="South"/>
    <n v="13"/>
    <n v="68433"/>
    <x v="1"/>
    <n v="4"/>
    <n v="1"/>
    <n v="42"/>
    <n v="0"/>
    <d v="2010-12-11T00:00:00"/>
    <s v="Yes"/>
    <x v="0"/>
    <n v="1"/>
    <x v="2"/>
    <x v="1"/>
    <x v="1"/>
  </r>
  <r>
    <s v="REL02447"/>
    <s v="Male"/>
    <n v="52"/>
    <s v="HSC"/>
    <s v="Married"/>
    <x v="7"/>
    <s v="Store Manager"/>
    <x v="4"/>
    <x v="9"/>
    <s v="West"/>
    <n v="14"/>
    <n v="116531"/>
    <x v="0"/>
    <n v="4"/>
    <n v="4"/>
    <n v="73"/>
    <n v="2"/>
    <d v="2009-01-31T00:00:00"/>
    <s v="Yes"/>
    <x v="1"/>
    <n v="3"/>
    <x v="2"/>
    <x v="1"/>
    <x v="0"/>
  </r>
  <r>
    <s v="REL02448"/>
    <s v="Female"/>
    <n v="54"/>
    <s v="Post Graduate"/>
    <s v="Divorced"/>
    <x v="3"/>
    <s v="HR Manager"/>
    <x v="4"/>
    <x v="9"/>
    <s v="West"/>
    <n v="2"/>
    <n v="78497"/>
    <x v="1"/>
    <n v="1"/>
    <n v="2"/>
    <n v="29"/>
    <n v="2"/>
    <d v="2021-06-16T00:00:00"/>
    <s v="Yes"/>
    <x v="0"/>
    <n v="1"/>
    <x v="3"/>
    <x v="1"/>
    <x v="1"/>
  </r>
  <r>
    <s v="REL02449"/>
    <s v="Female"/>
    <n v="46"/>
    <s v="MBA"/>
    <s v="Single"/>
    <x v="6"/>
    <s v="HR Manager"/>
    <x v="1"/>
    <x v="5"/>
    <s v="South"/>
    <n v="12"/>
    <n v="100875"/>
    <x v="2"/>
    <n v="3"/>
    <n v="1"/>
    <n v="70"/>
    <n v="0"/>
    <d v="2011-04-07T00:00:00"/>
    <s v="No"/>
    <x v="1"/>
    <n v="2"/>
    <x v="2"/>
    <x v="0"/>
    <x v="1"/>
  </r>
  <r>
    <s v="REL02450"/>
    <s v="Female"/>
    <n v="26"/>
    <s v="Post Graduate"/>
    <s v="Divorced"/>
    <x v="7"/>
    <s v="Operations Head"/>
    <x v="2"/>
    <x v="3"/>
    <s v="West"/>
    <n v="11"/>
    <n v="122114"/>
    <x v="0"/>
    <n v="4"/>
    <n v="1"/>
    <n v="43"/>
    <n v="1"/>
    <d v="2012-08-19T00:00:00"/>
    <s v="No"/>
    <x v="1"/>
    <n v="3"/>
    <x v="2"/>
    <x v="0"/>
    <x v="0"/>
  </r>
  <r>
    <s v="REL02451"/>
    <s v="Female"/>
    <n v="36"/>
    <s v="BTech"/>
    <s v="Single"/>
    <x v="1"/>
    <s v="Finance Analyst"/>
    <x v="4"/>
    <x v="2"/>
    <s v="West"/>
    <n v="3"/>
    <n v="66936"/>
    <x v="1"/>
    <n v="3"/>
    <n v="1"/>
    <n v="53"/>
    <n v="3"/>
    <d v="2020-08-02T00:00:00"/>
    <s v="No"/>
    <x v="0"/>
    <n v="1"/>
    <x v="0"/>
    <x v="0"/>
    <x v="1"/>
  </r>
  <r>
    <s v="REL02452"/>
    <s v="Male"/>
    <n v="25"/>
    <s v="HSC"/>
    <s v="Divorced"/>
    <x v="1"/>
    <s v="Logistics Coordinator"/>
    <x v="4"/>
    <x v="2"/>
    <s v="West"/>
    <n v="11"/>
    <n v="63581"/>
    <x v="3"/>
    <n v="1"/>
    <n v="4"/>
    <n v="43"/>
    <n v="0"/>
    <d v="2012-10-21T00:00:00"/>
    <s v="No"/>
    <x v="0"/>
    <n v="4"/>
    <x v="2"/>
    <x v="2"/>
    <x v="1"/>
  </r>
  <r>
    <s v="REL02453"/>
    <s v="Female"/>
    <n v="34"/>
    <s v="MBA"/>
    <s v="Divorced"/>
    <x v="7"/>
    <s v="Sales Executive"/>
    <x v="4"/>
    <x v="9"/>
    <s v="West"/>
    <n v="14"/>
    <n v="60962"/>
    <x v="2"/>
    <n v="2"/>
    <n v="4"/>
    <n v="56"/>
    <n v="1"/>
    <d v="2009-02-04T00:00:00"/>
    <s v="No"/>
    <x v="0"/>
    <n v="2"/>
    <x v="2"/>
    <x v="0"/>
    <x v="1"/>
  </r>
  <r>
    <s v="REL02454"/>
    <s v="Male"/>
    <n v="43"/>
    <s v="HSC"/>
    <s v="Married"/>
    <x v="3"/>
    <s v="Logistics Coordinator"/>
    <x v="1"/>
    <x v="9"/>
    <s v="West"/>
    <n v="10"/>
    <n v="69439"/>
    <x v="2"/>
    <n v="1"/>
    <n v="4"/>
    <n v="21"/>
    <n v="1"/>
    <d v="2013-05-08T00:00:00"/>
    <s v="No"/>
    <x v="0"/>
    <n v="2"/>
    <x v="1"/>
    <x v="0"/>
    <x v="1"/>
  </r>
  <r>
    <s v="REL02455"/>
    <s v="Male"/>
    <n v="25"/>
    <s v="Post Graduate"/>
    <s v="Divorced"/>
    <x v="6"/>
    <s v="Operations Head"/>
    <x v="1"/>
    <x v="4"/>
    <s v="North"/>
    <n v="6"/>
    <n v="114992"/>
    <x v="3"/>
    <n v="2"/>
    <n v="2"/>
    <n v="23"/>
    <n v="1"/>
    <d v="2017-05-03T00:00:00"/>
    <s v="No"/>
    <x v="1"/>
    <n v="4"/>
    <x v="1"/>
    <x v="2"/>
    <x v="0"/>
  </r>
  <r>
    <s v="REL02456"/>
    <s v="Male"/>
    <n v="37"/>
    <s v="MBA"/>
    <s v="Divorced"/>
    <x v="6"/>
    <s v="Operations Head"/>
    <x v="1"/>
    <x v="6"/>
    <s v="South"/>
    <n v="8"/>
    <n v="114785"/>
    <x v="0"/>
    <n v="3"/>
    <n v="1"/>
    <n v="56"/>
    <n v="3"/>
    <d v="2015-10-15T00:00:00"/>
    <s v="Yes"/>
    <x v="1"/>
    <n v="3"/>
    <x v="1"/>
    <x v="1"/>
    <x v="0"/>
  </r>
  <r>
    <s v="REL02457"/>
    <s v="Female"/>
    <n v="48"/>
    <s v="Graduate"/>
    <s v="Married"/>
    <x v="2"/>
    <s v="Operations Head"/>
    <x v="2"/>
    <x v="9"/>
    <s v="West"/>
    <n v="9"/>
    <n v="108661"/>
    <x v="3"/>
    <n v="4"/>
    <n v="3"/>
    <n v="53"/>
    <n v="1"/>
    <d v="2014-12-02T00:00:00"/>
    <s v="No"/>
    <x v="1"/>
    <n v="4"/>
    <x v="1"/>
    <x v="2"/>
    <x v="0"/>
  </r>
  <r>
    <s v="REL02458"/>
    <s v="Female"/>
    <n v="23"/>
    <s v="MBA"/>
    <s v="Single"/>
    <x v="1"/>
    <s v="HR Manager"/>
    <x v="0"/>
    <x v="6"/>
    <s v="South"/>
    <n v="15"/>
    <n v="112917"/>
    <x v="2"/>
    <n v="1"/>
    <n v="2"/>
    <n v="28"/>
    <n v="1"/>
    <d v="2008-03-26T00:00:00"/>
    <s v="No"/>
    <x v="1"/>
    <n v="2"/>
    <x v="2"/>
    <x v="0"/>
    <x v="1"/>
  </r>
  <r>
    <s v="REL02459"/>
    <s v="Male"/>
    <n v="45"/>
    <s v="Post Graduate"/>
    <s v="Married"/>
    <x v="1"/>
    <s v="Finance Analyst"/>
    <x v="2"/>
    <x v="4"/>
    <s v="North"/>
    <n v="3"/>
    <n v="73273"/>
    <x v="2"/>
    <n v="4"/>
    <n v="3"/>
    <n v="72"/>
    <n v="1"/>
    <d v="2020-04-22T00:00:00"/>
    <s v="No"/>
    <x v="0"/>
    <n v="2"/>
    <x v="0"/>
    <x v="0"/>
    <x v="1"/>
  </r>
  <r>
    <s v="REL02460"/>
    <s v="Female"/>
    <n v="31"/>
    <s v="BTech"/>
    <s v="Single"/>
    <x v="4"/>
    <s v="Operations Head"/>
    <x v="3"/>
    <x v="2"/>
    <s v="West"/>
    <n v="7"/>
    <n v="110794"/>
    <x v="2"/>
    <n v="1"/>
    <n v="1"/>
    <n v="25"/>
    <n v="2"/>
    <d v="2016-12-16T00:00:00"/>
    <s v="No"/>
    <x v="1"/>
    <n v="2"/>
    <x v="1"/>
    <x v="0"/>
    <x v="1"/>
  </r>
  <r>
    <s v="REL02461"/>
    <s v="Female"/>
    <n v="29"/>
    <s v="Graduate"/>
    <s v="Married"/>
    <x v="0"/>
    <s v="Logistics Coordinator"/>
    <x v="1"/>
    <x v="3"/>
    <s v="West"/>
    <n v="6"/>
    <n v="57174"/>
    <x v="1"/>
    <n v="1"/>
    <n v="1"/>
    <n v="10"/>
    <n v="3"/>
    <d v="2017-01-21T00:00:00"/>
    <s v="Yes"/>
    <x v="0"/>
    <n v="1"/>
    <x v="1"/>
    <x v="1"/>
    <x v="1"/>
  </r>
  <r>
    <s v="REL02462"/>
    <s v="Female"/>
    <n v="49"/>
    <s v="MBA"/>
    <s v="Single"/>
    <x v="7"/>
    <s v="Logistics Coordinator"/>
    <x v="0"/>
    <x v="9"/>
    <s v="West"/>
    <n v="8"/>
    <n v="53601"/>
    <x v="2"/>
    <n v="4"/>
    <n v="3"/>
    <n v="59"/>
    <n v="2"/>
    <d v="2015-09-17T00:00:00"/>
    <s v="No"/>
    <x v="0"/>
    <n v="2"/>
    <x v="1"/>
    <x v="0"/>
    <x v="1"/>
  </r>
  <r>
    <s v="REL02463"/>
    <s v="Female"/>
    <n v="36"/>
    <s v="Post Graduate"/>
    <s v="Married"/>
    <x v="1"/>
    <s v="Finance Analyst"/>
    <x v="2"/>
    <x v="5"/>
    <s v="South"/>
    <n v="14"/>
    <n v="92505"/>
    <x v="2"/>
    <n v="2"/>
    <n v="2"/>
    <n v="65"/>
    <n v="1"/>
    <d v="2009-03-17T00:00:00"/>
    <s v="No"/>
    <x v="1"/>
    <n v="2"/>
    <x v="2"/>
    <x v="0"/>
    <x v="1"/>
  </r>
  <r>
    <s v="REL02464"/>
    <s v="Female"/>
    <n v="35"/>
    <s v="BTech"/>
    <s v="Divorced"/>
    <x v="2"/>
    <s v="Store Manager"/>
    <x v="1"/>
    <x v="1"/>
    <s v="North"/>
    <n v="6"/>
    <n v="92941"/>
    <x v="3"/>
    <n v="4"/>
    <n v="2"/>
    <n v="46"/>
    <n v="2"/>
    <d v="2017-04-29T00:00:00"/>
    <s v="No"/>
    <x v="1"/>
    <n v="4"/>
    <x v="1"/>
    <x v="2"/>
    <x v="0"/>
  </r>
  <r>
    <s v="REL02465"/>
    <s v="Male"/>
    <n v="38"/>
    <s v="MBA"/>
    <s v="Single"/>
    <x v="5"/>
    <s v="Operations Head"/>
    <x v="2"/>
    <x v="3"/>
    <s v="West"/>
    <n v="10"/>
    <n v="105284"/>
    <x v="3"/>
    <n v="4"/>
    <n v="1"/>
    <n v="71"/>
    <n v="3"/>
    <d v="2013-02-13T00:00:00"/>
    <s v="No"/>
    <x v="1"/>
    <n v="4"/>
    <x v="1"/>
    <x v="2"/>
    <x v="0"/>
  </r>
  <r>
    <s v="REL02466"/>
    <s v="Female"/>
    <n v="23"/>
    <s v="BTech"/>
    <s v="Divorced"/>
    <x v="2"/>
    <s v="Finance Analyst"/>
    <x v="0"/>
    <x v="6"/>
    <s v="South"/>
    <n v="10"/>
    <n v="84774"/>
    <x v="2"/>
    <n v="3"/>
    <n v="1"/>
    <n v="21"/>
    <n v="3"/>
    <d v="2013-06-08T00:00:00"/>
    <s v="No"/>
    <x v="1"/>
    <n v="2"/>
    <x v="1"/>
    <x v="0"/>
    <x v="1"/>
  </r>
  <r>
    <s v="REL02467"/>
    <s v="Female"/>
    <n v="55"/>
    <s v="MBA"/>
    <s v="Married"/>
    <x v="7"/>
    <s v="Customer Service Rep"/>
    <x v="2"/>
    <x v="8"/>
    <s v="South"/>
    <n v="7"/>
    <n v="45716"/>
    <x v="1"/>
    <n v="3"/>
    <n v="3"/>
    <n v="67"/>
    <n v="0"/>
    <d v="2016-02-07T00:00:00"/>
    <s v="Yes"/>
    <x v="2"/>
    <n v="1"/>
    <x v="1"/>
    <x v="1"/>
    <x v="1"/>
  </r>
  <r>
    <s v="REL02468"/>
    <s v="Female"/>
    <n v="37"/>
    <s v="BTech"/>
    <s v="Married"/>
    <x v="2"/>
    <s v="Operations Head"/>
    <x v="1"/>
    <x v="5"/>
    <s v="South"/>
    <n v="5"/>
    <n v="114691"/>
    <x v="2"/>
    <n v="2"/>
    <n v="3"/>
    <n v="71"/>
    <n v="2"/>
    <d v="2018-11-30T00:00:00"/>
    <s v="No"/>
    <x v="1"/>
    <n v="2"/>
    <x v="0"/>
    <x v="0"/>
    <x v="1"/>
  </r>
  <r>
    <s v="REL02469"/>
    <s v="Male"/>
    <n v="54"/>
    <s v="HSC"/>
    <s v="Divorced"/>
    <x v="7"/>
    <s v="Finance Analyst"/>
    <x v="3"/>
    <x v="9"/>
    <s v="West"/>
    <n v="4"/>
    <n v="63171"/>
    <x v="2"/>
    <n v="4"/>
    <n v="4"/>
    <n v="57"/>
    <n v="3"/>
    <d v="2019-10-22T00:00:00"/>
    <s v="Yes"/>
    <x v="0"/>
    <n v="2"/>
    <x v="0"/>
    <x v="1"/>
    <x v="1"/>
  </r>
  <r>
    <s v="REL02470"/>
    <s v="Male"/>
    <n v="30"/>
    <s v="Post Graduate"/>
    <s v="Divorced"/>
    <x v="2"/>
    <s v="Customer Service Rep"/>
    <x v="1"/>
    <x v="0"/>
    <s v="North"/>
    <n v="6"/>
    <n v="53147"/>
    <x v="1"/>
    <n v="1"/>
    <n v="1"/>
    <n v="17"/>
    <n v="2"/>
    <d v="2017-04-02T00:00:00"/>
    <s v="No"/>
    <x v="0"/>
    <n v="1"/>
    <x v="1"/>
    <x v="0"/>
    <x v="1"/>
  </r>
  <r>
    <s v="REL02471"/>
    <s v="Female"/>
    <n v="45"/>
    <s v="HSC"/>
    <s v="Single"/>
    <x v="0"/>
    <s v="Sales Executive"/>
    <x v="0"/>
    <x v="4"/>
    <s v="North"/>
    <n v="6"/>
    <n v="56357"/>
    <x v="2"/>
    <n v="3"/>
    <n v="1"/>
    <n v="38"/>
    <n v="2"/>
    <d v="2017-06-22T00:00:00"/>
    <s v="No"/>
    <x v="0"/>
    <n v="2"/>
    <x v="1"/>
    <x v="0"/>
    <x v="1"/>
  </r>
  <r>
    <s v="REL02472"/>
    <s v="Male"/>
    <n v="37"/>
    <s v="Graduate"/>
    <s v="Married"/>
    <x v="3"/>
    <s v="Finance Analyst"/>
    <x v="0"/>
    <x v="8"/>
    <s v="South"/>
    <n v="3"/>
    <n v="59379"/>
    <x v="1"/>
    <n v="3"/>
    <n v="2"/>
    <n v="35"/>
    <n v="2"/>
    <d v="2020-02-24T00:00:00"/>
    <s v="Yes"/>
    <x v="0"/>
    <n v="1"/>
    <x v="0"/>
    <x v="1"/>
    <x v="1"/>
  </r>
  <r>
    <s v="REL02473"/>
    <s v="Male"/>
    <n v="29"/>
    <s v="BTech"/>
    <s v="Married"/>
    <x v="5"/>
    <s v="Store Manager"/>
    <x v="1"/>
    <x v="5"/>
    <s v="South"/>
    <n v="6"/>
    <n v="105688"/>
    <x v="1"/>
    <n v="1"/>
    <n v="4"/>
    <n v="72"/>
    <n v="2"/>
    <d v="2017-04-20T00:00:00"/>
    <s v="Yes"/>
    <x v="1"/>
    <n v="1"/>
    <x v="1"/>
    <x v="1"/>
    <x v="2"/>
  </r>
  <r>
    <s v="REL02474"/>
    <s v="Female"/>
    <n v="51"/>
    <s v="Post Graduate"/>
    <s v="Divorced"/>
    <x v="3"/>
    <s v="Logistics Coordinator"/>
    <x v="3"/>
    <x v="9"/>
    <s v="West"/>
    <n v="8"/>
    <n v="59111"/>
    <x v="0"/>
    <n v="2"/>
    <n v="4"/>
    <n v="59"/>
    <n v="3"/>
    <d v="2015-03-08T00:00:00"/>
    <s v="Yes"/>
    <x v="0"/>
    <n v="3"/>
    <x v="1"/>
    <x v="1"/>
    <x v="0"/>
  </r>
  <r>
    <s v="REL02475"/>
    <s v="Female"/>
    <n v="39"/>
    <s v="HSC"/>
    <s v="Divorced"/>
    <x v="7"/>
    <s v="Customer Service Rep"/>
    <x v="1"/>
    <x v="3"/>
    <s v="West"/>
    <n v="9"/>
    <n v="53976"/>
    <x v="1"/>
    <n v="1"/>
    <n v="4"/>
    <n v="27"/>
    <n v="3"/>
    <d v="2014-01-17T00:00:00"/>
    <s v="Yes"/>
    <x v="0"/>
    <n v="1"/>
    <x v="1"/>
    <x v="1"/>
    <x v="1"/>
  </r>
  <r>
    <s v="REL02476"/>
    <s v="Male"/>
    <n v="47"/>
    <s v="HSC"/>
    <s v="Single"/>
    <x v="0"/>
    <s v="Finance Analyst"/>
    <x v="4"/>
    <x v="6"/>
    <s v="South"/>
    <n v="15"/>
    <n v="87579"/>
    <x v="3"/>
    <n v="4"/>
    <n v="2"/>
    <n v="54"/>
    <n v="2"/>
    <d v="2008-01-17T00:00:00"/>
    <s v="No"/>
    <x v="1"/>
    <n v="4"/>
    <x v="2"/>
    <x v="2"/>
    <x v="0"/>
  </r>
  <r>
    <s v="REL02477"/>
    <s v="Female"/>
    <n v="29"/>
    <s v="Graduate"/>
    <s v="Married"/>
    <x v="1"/>
    <s v="Operations Head"/>
    <x v="4"/>
    <x v="2"/>
    <s v="West"/>
    <n v="10"/>
    <n v="107569"/>
    <x v="2"/>
    <n v="4"/>
    <n v="3"/>
    <n v="36"/>
    <n v="3"/>
    <d v="2013-05-31T00:00:00"/>
    <s v="No"/>
    <x v="1"/>
    <n v="2"/>
    <x v="1"/>
    <x v="0"/>
    <x v="1"/>
  </r>
  <r>
    <s v="REL02478"/>
    <s v="Female"/>
    <n v="22"/>
    <s v="MBA"/>
    <s v="Married"/>
    <x v="4"/>
    <s v="Finance Analyst"/>
    <x v="0"/>
    <x v="6"/>
    <s v="South"/>
    <n v="12"/>
    <n v="75123"/>
    <x v="3"/>
    <n v="3"/>
    <n v="2"/>
    <n v="80"/>
    <n v="0"/>
    <d v="2011-01-26T00:00:00"/>
    <s v="No"/>
    <x v="0"/>
    <n v="4"/>
    <x v="2"/>
    <x v="2"/>
    <x v="1"/>
  </r>
  <r>
    <s v="REL02479"/>
    <s v="Male"/>
    <n v="45"/>
    <s v="Graduate"/>
    <s v="Married"/>
    <x v="1"/>
    <s v="Finance Analyst"/>
    <x v="3"/>
    <x v="7"/>
    <s v="East"/>
    <n v="10"/>
    <n v="74650"/>
    <x v="2"/>
    <n v="1"/>
    <n v="3"/>
    <n v="20"/>
    <n v="1"/>
    <d v="2013-04-11T00:00:00"/>
    <s v="No"/>
    <x v="0"/>
    <n v="2"/>
    <x v="1"/>
    <x v="0"/>
    <x v="1"/>
  </r>
  <r>
    <s v="REL02480"/>
    <s v="Female"/>
    <n v="46"/>
    <s v="BTech"/>
    <s v="Single"/>
    <x v="6"/>
    <s v="HR Manager"/>
    <x v="1"/>
    <x v="3"/>
    <s v="West"/>
    <n v="8"/>
    <n v="83124"/>
    <x v="1"/>
    <n v="4"/>
    <n v="1"/>
    <n v="33"/>
    <n v="3"/>
    <d v="2015-11-10T00:00:00"/>
    <s v="No"/>
    <x v="1"/>
    <n v="1"/>
    <x v="1"/>
    <x v="0"/>
    <x v="2"/>
  </r>
  <r>
    <s v="REL02481"/>
    <s v="Male"/>
    <n v="41"/>
    <s v="Graduate"/>
    <s v="Single"/>
    <x v="5"/>
    <s v="HR Manager"/>
    <x v="2"/>
    <x v="1"/>
    <s v="North"/>
    <n v="10"/>
    <n v="88658"/>
    <x v="1"/>
    <n v="4"/>
    <n v="1"/>
    <n v="71"/>
    <n v="1"/>
    <d v="2013-03-16T00:00:00"/>
    <s v="No"/>
    <x v="1"/>
    <n v="1"/>
    <x v="1"/>
    <x v="0"/>
    <x v="2"/>
  </r>
  <r>
    <s v="REL02482"/>
    <s v="Female"/>
    <n v="38"/>
    <s v="BTech"/>
    <s v="Single"/>
    <x v="6"/>
    <s v="Customer Service Rep"/>
    <x v="2"/>
    <x v="3"/>
    <s v="West"/>
    <n v="14"/>
    <n v="70389"/>
    <x v="3"/>
    <n v="4"/>
    <n v="1"/>
    <n v="64"/>
    <n v="3"/>
    <d v="2009-12-18T00:00:00"/>
    <s v="No"/>
    <x v="0"/>
    <n v="4"/>
    <x v="2"/>
    <x v="2"/>
    <x v="1"/>
  </r>
  <r>
    <s v="REL02483"/>
    <s v="Female"/>
    <n v="45"/>
    <s v="HSC"/>
    <s v="Divorced"/>
    <x v="1"/>
    <s v="Customer Service Rep"/>
    <x v="1"/>
    <x v="6"/>
    <s v="South"/>
    <n v="7"/>
    <n v="52558"/>
    <x v="1"/>
    <n v="3"/>
    <n v="4"/>
    <n v="41"/>
    <n v="2"/>
    <d v="2016-05-04T00:00:00"/>
    <s v="Yes"/>
    <x v="0"/>
    <n v="1"/>
    <x v="1"/>
    <x v="1"/>
    <x v="1"/>
  </r>
  <r>
    <s v="REL02484"/>
    <s v="Male"/>
    <n v="40"/>
    <s v="Graduate"/>
    <s v="Single"/>
    <x v="2"/>
    <s v="Finance Analyst"/>
    <x v="4"/>
    <x v="8"/>
    <s v="South"/>
    <n v="12"/>
    <n v="89774"/>
    <x v="2"/>
    <n v="3"/>
    <n v="1"/>
    <n v="13"/>
    <n v="2"/>
    <d v="2011-07-07T00:00:00"/>
    <s v="No"/>
    <x v="1"/>
    <n v="2"/>
    <x v="2"/>
    <x v="0"/>
    <x v="1"/>
  </r>
  <r>
    <s v="REL02485"/>
    <s v="Female"/>
    <n v="31"/>
    <s v="Graduate"/>
    <s v="Divorced"/>
    <x v="7"/>
    <s v="Finance Analyst"/>
    <x v="2"/>
    <x v="7"/>
    <s v="East"/>
    <n v="6"/>
    <n v="78510"/>
    <x v="0"/>
    <n v="1"/>
    <n v="2"/>
    <n v="46"/>
    <n v="0"/>
    <d v="2017-07-02T00:00:00"/>
    <s v="No"/>
    <x v="0"/>
    <n v="3"/>
    <x v="1"/>
    <x v="0"/>
    <x v="0"/>
  </r>
  <r>
    <s v="REL02486"/>
    <s v="Male"/>
    <n v="47"/>
    <s v="MBA"/>
    <s v="Single"/>
    <x v="4"/>
    <s v="Finance Analyst"/>
    <x v="4"/>
    <x v="3"/>
    <s v="West"/>
    <n v="1"/>
    <n v="61927"/>
    <x v="2"/>
    <n v="1"/>
    <n v="4"/>
    <n v="24"/>
    <n v="0"/>
    <d v="2022-08-29T00:00:00"/>
    <s v="No"/>
    <x v="0"/>
    <n v="2"/>
    <x v="3"/>
    <x v="0"/>
    <x v="1"/>
  </r>
  <r>
    <s v="REL02487"/>
    <s v="Female"/>
    <n v="44"/>
    <s v="Graduate"/>
    <s v="Single"/>
    <x v="5"/>
    <s v="Marketing Executive"/>
    <x v="3"/>
    <x v="7"/>
    <s v="East"/>
    <n v="2"/>
    <n v="53323"/>
    <x v="1"/>
    <n v="1"/>
    <n v="3"/>
    <n v="52"/>
    <n v="2"/>
    <d v="2021-08-13T00:00:00"/>
    <s v="No"/>
    <x v="0"/>
    <n v="1"/>
    <x v="3"/>
    <x v="3"/>
    <x v="1"/>
  </r>
  <r>
    <s v="REL02488"/>
    <s v="Female"/>
    <n v="41"/>
    <s v="BTech"/>
    <s v="Married"/>
    <x v="3"/>
    <s v="Logistics Coordinator"/>
    <x v="2"/>
    <x v="3"/>
    <s v="West"/>
    <n v="1"/>
    <n v="55700"/>
    <x v="1"/>
    <n v="2"/>
    <n v="3"/>
    <n v="65"/>
    <n v="2"/>
    <d v="2022-12-13T00:00:00"/>
    <s v="No"/>
    <x v="0"/>
    <n v="1"/>
    <x v="3"/>
    <x v="3"/>
    <x v="1"/>
  </r>
  <r>
    <s v="REL02489"/>
    <s v="Male"/>
    <n v="41"/>
    <s v="HSC"/>
    <s v="Married"/>
    <x v="0"/>
    <s v="Marketing Executive"/>
    <x v="2"/>
    <x v="1"/>
    <s v="North"/>
    <n v="4"/>
    <n v="61220"/>
    <x v="1"/>
    <n v="1"/>
    <n v="4"/>
    <n v="14"/>
    <n v="1"/>
    <d v="2019-10-23T00:00:00"/>
    <s v="Yes"/>
    <x v="0"/>
    <n v="1"/>
    <x v="0"/>
    <x v="1"/>
    <x v="1"/>
  </r>
  <r>
    <s v="REL02490"/>
    <s v="Female"/>
    <n v="47"/>
    <s v="Post Graduate"/>
    <s v="Divorced"/>
    <x v="5"/>
    <s v="HR Manager"/>
    <x v="4"/>
    <x v="5"/>
    <s v="South"/>
    <n v="14"/>
    <n v="101540"/>
    <x v="2"/>
    <n v="1"/>
    <n v="1"/>
    <n v="14"/>
    <n v="2"/>
    <d v="2009-02-07T00:00:00"/>
    <s v="No"/>
    <x v="1"/>
    <n v="2"/>
    <x v="2"/>
    <x v="0"/>
    <x v="1"/>
  </r>
  <r>
    <s v="REL02491"/>
    <s v="Male"/>
    <n v="41"/>
    <s v="Graduate"/>
    <s v="Divorced"/>
    <x v="1"/>
    <s v="Logistics Coordinator"/>
    <x v="1"/>
    <x v="7"/>
    <s v="East"/>
    <n v="5"/>
    <n v="61246"/>
    <x v="3"/>
    <n v="4"/>
    <n v="1"/>
    <n v="66"/>
    <n v="0"/>
    <d v="2018-07-25T00:00:00"/>
    <s v="No"/>
    <x v="0"/>
    <n v="4"/>
    <x v="0"/>
    <x v="2"/>
    <x v="1"/>
  </r>
  <r>
    <s v="REL02492"/>
    <s v="Female"/>
    <n v="48"/>
    <s v="BTech"/>
    <s v="Divorced"/>
    <x v="7"/>
    <s v="Store Manager"/>
    <x v="2"/>
    <x v="4"/>
    <s v="North"/>
    <n v="8"/>
    <n v="110332"/>
    <x v="3"/>
    <n v="1"/>
    <n v="2"/>
    <n v="12"/>
    <n v="1"/>
    <d v="2015-11-05T00:00:00"/>
    <s v="No"/>
    <x v="1"/>
    <n v="4"/>
    <x v="1"/>
    <x v="2"/>
    <x v="0"/>
  </r>
  <r>
    <s v="REL02493"/>
    <s v="Male"/>
    <n v="28"/>
    <s v="MBA"/>
    <s v="Married"/>
    <x v="4"/>
    <s v="HR Manager"/>
    <x v="3"/>
    <x v="1"/>
    <s v="North"/>
    <n v="11"/>
    <n v="105006"/>
    <x v="3"/>
    <n v="3"/>
    <n v="3"/>
    <n v="62"/>
    <n v="3"/>
    <d v="2012-07-01T00:00:00"/>
    <s v="Yes"/>
    <x v="1"/>
    <n v="4"/>
    <x v="2"/>
    <x v="1"/>
    <x v="0"/>
  </r>
  <r>
    <s v="REL02494"/>
    <s v="Male"/>
    <n v="30"/>
    <s v="MBA"/>
    <s v="Married"/>
    <x v="5"/>
    <s v="HR Manager"/>
    <x v="3"/>
    <x v="6"/>
    <s v="South"/>
    <n v="2"/>
    <n v="80441"/>
    <x v="0"/>
    <n v="4"/>
    <n v="4"/>
    <n v="32"/>
    <n v="1"/>
    <d v="2021-05-31T00:00:00"/>
    <s v="No"/>
    <x v="1"/>
    <n v="3"/>
    <x v="3"/>
    <x v="0"/>
    <x v="0"/>
  </r>
  <r>
    <s v="REL02495"/>
    <s v="Male"/>
    <n v="54"/>
    <s v="BTech"/>
    <s v="Married"/>
    <x v="5"/>
    <s v="Operations Head"/>
    <x v="3"/>
    <x v="4"/>
    <s v="North"/>
    <n v="8"/>
    <n v="112922"/>
    <x v="2"/>
    <n v="1"/>
    <n v="4"/>
    <n v="39"/>
    <n v="1"/>
    <d v="2015-03-25T00:00:00"/>
    <s v="Yes"/>
    <x v="1"/>
    <n v="2"/>
    <x v="1"/>
    <x v="1"/>
    <x v="1"/>
  </r>
  <r>
    <s v="REL02496"/>
    <s v="Female"/>
    <n v="27"/>
    <s v="HSC"/>
    <s v="Married"/>
    <x v="5"/>
    <s v="Logistics Coordinator"/>
    <x v="3"/>
    <x v="0"/>
    <s v="North"/>
    <n v="15"/>
    <n v="66206"/>
    <x v="3"/>
    <n v="4"/>
    <n v="1"/>
    <n v="63"/>
    <n v="2"/>
    <d v="2008-10-08T00:00:00"/>
    <s v="No"/>
    <x v="0"/>
    <n v="4"/>
    <x v="2"/>
    <x v="2"/>
    <x v="1"/>
  </r>
  <r>
    <s v="REL02497"/>
    <s v="Female"/>
    <n v="54"/>
    <s v="Post Graduate"/>
    <s v="Divorced"/>
    <x v="4"/>
    <s v="HR Manager"/>
    <x v="0"/>
    <x v="3"/>
    <s v="West"/>
    <n v="6"/>
    <n v="91094"/>
    <x v="3"/>
    <n v="4"/>
    <n v="3"/>
    <n v="57"/>
    <n v="2"/>
    <d v="2017-08-10T00:00:00"/>
    <s v="No"/>
    <x v="1"/>
    <n v="4"/>
    <x v="1"/>
    <x v="2"/>
    <x v="0"/>
  </r>
  <r>
    <s v="REL02498"/>
    <s v="Female"/>
    <n v="30"/>
    <s v="Graduate"/>
    <s v="Divorced"/>
    <x v="2"/>
    <s v="Store Manager"/>
    <x v="2"/>
    <x v="0"/>
    <s v="North"/>
    <n v="9"/>
    <n v="101332"/>
    <x v="1"/>
    <n v="2"/>
    <n v="2"/>
    <n v="66"/>
    <n v="1"/>
    <d v="2014-04-30T00:00:00"/>
    <s v="No"/>
    <x v="1"/>
    <n v="1"/>
    <x v="1"/>
    <x v="0"/>
    <x v="2"/>
  </r>
  <r>
    <s v="REL02499"/>
    <s v="Female"/>
    <n v="40"/>
    <s v="Graduate"/>
    <s v="Married"/>
    <x v="6"/>
    <s v="HR Manager"/>
    <x v="0"/>
    <x v="4"/>
    <s v="North"/>
    <n v="5"/>
    <n v="90572"/>
    <x v="0"/>
    <n v="4"/>
    <n v="3"/>
    <n v="44"/>
    <n v="0"/>
    <d v="2019-01-01T00:00:00"/>
    <s v="No"/>
    <x v="1"/>
    <n v="3"/>
    <x v="0"/>
    <x v="0"/>
    <x v="0"/>
  </r>
  <r>
    <s v="REL02500"/>
    <s v="Female"/>
    <n v="43"/>
    <s v="MBA"/>
    <s v="Single"/>
    <x v="6"/>
    <s v="Marketing Executive"/>
    <x v="4"/>
    <x v="6"/>
    <s v="South"/>
    <n v="6"/>
    <n v="61254"/>
    <x v="0"/>
    <n v="2"/>
    <n v="2"/>
    <n v="65"/>
    <n v="1"/>
    <d v="2017-07-20T00:00:00"/>
    <s v="No"/>
    <x v="0"/>
    <n v="3"/>
    <x v="1"/>
    <x v="0"/>
    <x v="0"/>
  </r>
  <r>
    <s v="REL02501"/>
    <s v="Female"/>
    <n v="39"/>
    <s v="Post Graduate"/>
    <s v="Divorced"/>
    <x v="1"/>
    <s v="Customer Service Rep"/>
    <x v="1"/>
    <x v="0"/>
    <s v="North"/>
    <n v="2"/>
    <n v="40294"/>
    <x v="2"/>
    <n v="3"/>
    <n v="2"/>
    <n v="71"/>
    <n v="2"/>
    <d v="2021-12-28T00:00:00"/>
    <s v="Yes"/>
    <x v="2"/>
    <n v="2"/>
    <x v="3"/>
    <x v="1"/>
    <x v="1"/>
  </r>
  <r>
    <s v="REL02502"/>
    <s v="Male"/>
    <n v="50"/>
    <s v="Post Graduate"/>
    <s v="Married"/>
    <x v="5"/>
    <s v="Operations Head"/>
    <x v="3"/>
    <x v="3"/>
    <s v="West"/>
    <n v="9"/>
    <n v="120222"/>
    <x v="3"/>
    <n v="1"/>
    <n v="2"/>
    <n v="60"/>
    <n v="1"/>
    <d v="2014-01-12T00:00:00"/>
    <s v="No"/>
    <x v="1"/>
    <n v="4"/>
    <x v="1"/>
    <x v="2"/>
    <x v="0"/>
  </r>
  <r>
    <s v="REL02503"/>
    <s v="Male"/>
    <n v="31"/>
    <s v="MBA"/>
    <s v="Married"/>
    <x v="4"/>
    <s v="Marketing Executive"/>
    <x v="4"/>
    <x v="5"/>
    <s v="South"/>
    <n v="11"/>
    <n v="78014"/>
    <x v="0"/>
    <n v="2"/>
    <n v="4"/>
    <n v="41"/>
    <n v="1"/>
    <d v="2012-11-11T00:00:00"/>
    <s v="No"/>
    <x v="0"/>
    <n v="3"/>
    <x v="2"/>
    <x v="0"/>
    <x v="0"/>
  </r>
  <r>
    <s v="REL02504"/>
    <s v="Female"/>
    <n v="54"/>
    <s v="BTech"/>
    <s v="Single"/>
    <x v="6"/>
    <s v="Logistics Coordinator"/>
    <x v="2"/>
    <x v="6"/>
    <s v="South"/>
    <n v="8"/>
    <n v="65384"/>
    <x v="1"/>
    <n v="3"/>
    <n v="4"/>
    <n v="78"/>
    <n v="3"/>
    <d v="2015-02-23T00:00:00"/>
    <s v="Yes"/>
    <x v="0"/>
    <n v="1"/>
    <x v="1"/>
    <x v="1"/>
    <x v="1"/>
  </r>
  <r>
    <s v="REL02505"/>
    <s v="Male"/>
    <n v="26"/>
    <s v="Post Graduate"/>
    <s v="Married"/>
    <x v="4"/>
    <s v="Operations Head"/>
    <x v="1"/>
    <x v="9"/>
    <s v="West"/>
    <n v="10"/>
    <n v="113797"/>
    <x v="0"/>
    <n v="4"/>
    <n v="3"/>
    <n v="73"/>
    <n v="1"/>
    <d v="2013-02-25T00:00:00"/>
    <s v="No"/>
    <x v="1"/>
    <n v="3"/>
    <x v="1"/>
    <x v="0"/>
    <x v="0"/>
  </r>
  <r>
    <s v="REL02506"/>
    <s v="Female"/>
    <n v="50"/>
    <s v="BTech"/>
    <s v="Single"/>
    <x v="6"/>
    <s v="Store Manager"/>
    <x v="1"/>
    <x v="2"/>
    <s v="West"/>
    <n v="12"/>
    <n v="109824"/>
    <x v="2"/>
    <n v="2"/>
    <n v="1"/>
    <n v="34"/>
    <n v="0"/>
    <d v="2011-06-11T00:00:00"/>
    <s v="No"/>
    <x v="1"/>
    <n v="2"/>
    <x v="2"/>
    <x v="0"/>
    <x v="1"/>
  </r>
  <r>
    <s v="REL02507"/>
    <s v="Male"/>
    <n v="41"/>
    <s v="Graduate"/>
    <s v="Single"/>
    <x v="2"/>
    <s v="Finance Analyst"/>
    <x v="2"/>
    <x v="2"/>
    <s v="West"/>
    <n v="8"/>
    <n v="85558"/>
    <x v="3"/>
    <n v="2"/>
    <n v="2"/>
    <n v="35"/>
    <n v="0"/>
    <d v="2015-07-13T00:00:00"/>
    <s v="Yes"/>
    <x v="1"/>
    <n v="4"/>
    <x v="1"/>
    <x v="1"/>
    <x v="0"/>
  </r>
  <r>
    <s v="REL02508"/>
    <s v="Male"/>
    <n v="32"/>
    <s v="Post Graduate"/>
    <s v="Married"/>
    <x v="2"/>
    <s v="Logistics Coordinator"/>
    <x v="1"/>
    <x v="7"/>
    <s v="East"/>
    <n v="2"/>
    <n v="52199"/>
    <x v="3"/>
    <n v="2"/>
    <n v="1"/>
    <n v="25"/>
    <n v="1"/>
    <d v="2021-03-31T00:00:00"/>
    <s v="No"/>
    <x v="0"/>
    <n v="4"/>
    <x v="3"/>
    <x v="2"/>
    <x v="1"/>
  </r>
  <r>
    <s v="REL02509"/>
    <s v="Female"/>
    <n v="28"/>
    <s v="HSC"/>
    <s v="Married"/>
    <x v="5"/>
    <s v="Customer Service Rep"/>
    <x v="2"/>
    <x v="1"/>
    <s v="North"/>
    <n v="2"/>
    <n v="38044"/>
    <x v="3"/>
    <n v="2"/>
    <n v="3"/>
    <n v="21"/>
    <n v="2"/>
    <d v="2021-03-19T00:00:00"/>
    <s v="No"/>
    <x v="2"/>
    <n v="4"/>
    <x v="3"/>
    <x v="2"/>
    <x v="1"/>
  </r>
  <r>
    <s v="REL02510"/>
    <s v="Male"/>
    <n v="46"/>
    <s v="HSC"/>
    <s v="Single"/>
    <x v="2"/>
    <s v="Logistics Coordinator"/>
    <x v="4"/>
    <x v="4"/>
    <s v="North"/>
    <n v="13"/>
    <n v="61403"/>
    <x v="1"/>
    <n v="3"/>
    <n v="4"/>
    <n v="14"/>
    <n v="1"/>
    <d v="2010-10-03T00:00:00"/>
    <s v="Yes"/>
    <x v="0"/>
    <n v="1"/>
    <x v="2"/>
    <x v="1"/>
    <x v="1"/>
  </r>
  <r>
    <s v="REL02511"/>
    <s v="Male"/>
    <n v="43"/>
    <s v="Graduate"/>
    <s v="Divorced"/>
    <x v="3"/>
    <s v="Finance Analyst"/>
    <x v="2"/>
    <x v="2"/>
    <s v="West"/>
    <n v="14"/>
    <n v="96094"/>
    <x v="2"/>
    <n v="2"/>
    <n v="4"/>
    <n v="22"/>
    <n v="1"/>
    <d v="2009-10-29T00:00:00"/>
    <s v="No"/>
    <x v="1"/>
    <n v="2"/>
    <x v="2"/>
    <x v="0"/>
    <x v="1"/>
  </r>
  <r>
    <s v="REL02512"/>
    <s v="Male"/>
    <n v="42"/>
    <s v="MBA"/>
    <s v="Divorced"/>
    <x v="0"/>
    <s v="Store Manager"/>
    <x v="3"/>
    <x v="7"/>
    <s v="East"/>
    <n v="2"/>
    <n v="96346"/>
    <x v="0"/>
    <n v="4"/>
    <n v="1"/>
    <n v="60"/>
    <n v="1"/>
    <d v="2021-12-16T00:00:00"/>
    <s v="No"/>
    <x v="1"/>
    <n v="3"/>
    <x v="3"/>
    <x v="0"/>
    <x v="0"/>
  </r>
  <r>
    <s v="REL02513"/>
    <s v="Female"/>
    <n v="45"/>
    <s v="Graduate"/>
    <s v="Divorced"/>
    <x v="2"/>
    <s v="Customer Service Rep"/>
    <x v="4"/>
    <x v="4"/>
    <s v="North"/>
    <n v="11"/>
    <n v="53027"/>
    <x v="1"/>
    <n v="2"/>
    <n v="4"/>
    <n v="80"/>
    <n v="0"/>
    <d v="2012-06-15T00:00:00"/>
    <s v="No"/>
    <x v="0"/>
    <n v="1"/>
    <x v="2"/>
    <x v="0"/>
    <x v="1"/>
  </r>
  <r>
    <s v="REL02514"/>
    <s v="Male"/>
    <n v="55"/>
    <s v="MBA"/>
    <s v="Single"/>
    <x v="3"/>
    <s v="Finance Analyst"/>
    <x v="4"/>
    <x v="2"/>
    <s v="West"/>
    <n v="1"/>
    <n v="59406"/>
    <x v="2"/>
    <n v="3"/>
    <n v="2"/>
    <n v="12"/>
    <n v="1"/>
    <d v="2022-09-23T00:00:00"/>
    <s v="No"/>
    <x v="0"/>
    <n v="2"/>
    <x v="3"/>
    <x v="0"/>
    <x v="1"/>
  </r>
  <r>
    <s v="REL02515"/>
    <s v="Female"/>
    <n v="24"/>
    <s v="MBA"/>
    <s v="Single"/>
    <x v="0"/>
    <s v="Store Manager"/>
    <x v="1"/>
    <x v="4"/>
    <s v="North"/>
    <n v="1"/>
    <n v="88183"/>
    <x v="0"/>
    <n v="2"/>
    <n v="3"/>
    <n v="73"/>
    <n v="2"/>
    <d v="2022-10-03T00:00:00"/>
    <s v="No"/>
    <x v="1"/>
    <n v="3"/>
    <x v="3"/>
    <x v="0"/>
    <x v="0"/>
  </r>
  <r>
    <s v="REL02516"/>
    <s v="Male"/>
    <n v="43"/>
    <s v="Post Graduate"/>
    <s v="Single"/>
    <x v="5"/>
    <s v="Marketing Executive"/>
    <x v="3"/>
    <x v="1"/>
    <s v="North"/>
    <n v="2"/>
    <n v="49512"/>
    <x v="0"/>
    <n v="2"/>
    <n v="2"/>
    <n v="27"/>
    <n v="3"/>
    <d v="2021-09-07T00:00:00"/>
    <s v="No"/>
    <x v="2"/>
    <n v="3"/>
    <x v="3"/>
    <x v="0"/>
    <x v="1"/>
  </r>
  <r>
    <s v="REL02517"/>
    <s v="Female"/>
    <n v="53"/>
    <s v="HSC"/>
    <s v="Married"/>
    <x v="5"/>
    <s v="Operations Head"/>
    <x v="0"/>
    <x v="6"/>
    <s v="South"/>
    <n v="2"/>
    <n v="108420"/>
    <x v="3"/>
    <n v="2"/>
    <n v="1"/>
    <n v="74"/>
    <n v="3"/>
    <d v="2021-03-26T00:00:00"/>
    <s v="No"/>
    <x v="1"/>
    <n v="4"/>
    <x v="3"/>
    <x v="2"/>
    <x v="0"/>
  </r>
  <r>
    <s v="REL02518"/>
    <s v="Male"/>
    <n v="39"/>
    <s v="MBA"/>
    <s v="Single"/>
    <x v="5"/>
    <s v="Store Manager"/>
    <x v="1"/>
    <x v="8"/>
    <s v="South"/>
    <n v="8"/>
    <n v="92881"/>
    <x v="2"/>
    <n v="4"/>
    <n v="4"/>
    <n v="76"/>
    <n v="1"/>
    <d v="2015-02-15T00:00:00"/>
    <s v="No"/>
    <x v="1"/>
    <n v="2"/>
    <x v="1"/>
    <x v="0"/>
    <x v="1"/>
  </r>
  <r>
    <s v="REL02519"/>
    <s v="Male"/>
    <n v="53"/>
    <s v="HSC"/>
    <s v="Single"/>
    <x v="5"/>
    <s v="Store Manager"/>
    <x v="0"/>
    <x v="9"/>
    <s v="West"/>
    <n v="11"/>
    <n v="106179"/>
    <x v="2"/>
    <n v="1"/>
    <n v="4"/>
    <n v="69"/>
    <n v="0"/>
    <d v="2012-03-31T00:00:00"/>
    <s v="No"/>
    <x v="1"/>
    <n v="2"/>
    <x v="2"/>
    <x v="0"/>
    <x v="1"/>
  </r>
  <r>
    <s v="REL02520"/>
    <s v="Female"/>
    <n v="54"/>
    <s v="Graduate"/>
    <s v="Married"/>
    <x v="0"/>
    <s v="HR Manager"/>
    <x v="2"/>
    <x v="4"/>
    <s v="North"/>
    <n v="8"/>
    <n v="84112"/>
    <x v="3"/>
    <n v="2"/>
    <n v="2"/>
    <n v="40"/>
    <n v="0"/>
    <d v="2015-09-09T00:00:00"/>
    <s v="Yes"/>
    <x v="1"/>
    <n v="4"/>
    <x v="1"/>
    <x v="1"/>
    <x v="0"/>
  </r>
  <r>
    <s v="REL02521"/>
    <s v="Female"/>
    <n v="23"/>
    <s v="Graduate"/>
    <s v="Divorced"/>
    <x v="6"/>
    <s v="Store Manager"/>
    <x v="1"/>
    <x v="7"/>
    <s v="East"/>
    <n v="5"/>
    <n v="88785"/>
    <x v="1"/>
    <n v="2"/>
    <n v="2"/>
    <n v="51"/>
    <n v="1"/>
    <d v="2018-07-27T00:00:00"/>
    <s v="Yes"/>
    <x v="1"/>
    <n v="1"/>
    <x v="0"/>
    <x v="1"/>
    <x v="2"/>
  </r>
  <r>
    <s v="REL02522"/>
    <s v="Male"/>
    <n v="46"/>
    <s v="HSC"/>
    <s v="Single"/>
    <x v="6"/>
    <s v="Logistics Coordinator"/>
    <x v="2"/>
    <x v="3"/>
    <s v="West"/>
    <n v="13"/>
    <n v="62787"/>
    <x v="0"/>
    <n v="4"/>
    <n v="4"/>
    <n v="39"/>
    <n v="1"/>
    <d v="2010-09-20T00:00:00"/>
    <s v="No"/>
    <x v="0"/>
    <n v="3"/>
    <x v="2"/>
    <x v="0"/>
    <x v="0"/>
  </r>
  <r>
    <s v="REL02523"/>
    <s v="Male"/>
    <n v="52"/>
    <s v="Graduate"/>
    <s v="Divorced"/>
    <x v="6"/>
    <s v="HR Manager"/>
    <x v="4"/>
    <x v="0"/>
    <s v="North"/>
    <n v="1"/>
    <n v="73235"/>
    <x v="2"/>
    <n v="4"/>
    <n v="1"/>
    <n v="47"/>
    <n v="2"/>
    <d v="2022-12-29T00:00:00"/>
    <s v="Yes"/>
    <x v="0"/>
    <n v="2"/>
    <x v="3"/>
    <x v="1"/>
    <x v="1"/>
  </r>
  <r>
    <s v="REL02524"/>
    <s v="Male"/>
    <n v="26"/>
    <s v="BTech"/>
    <s v="Divorced"/>
    <x v="4"/>
    <s v="Sales Executive"/>
    <x v="4"/>
    <x v="9"/>
    <s v="West"/>
    <n v="13"/>
    <n v="75782"/>
    <x v="2"/>
    <n v="1"/>
    <n v="1"/>
    <n v="52"/>
    <n v="3"/>
    <d v="2010-07-03T00:00:00"/>
    <s v="No"/>
    <x v="0"/>
    <n v="2"/>
    <x v="2"/>
    <x v="0"/>
    <x v="1"/>
  </r>
  <r>
    <s v="REL02525"/>
    <s v="Female"/>
    <n v="27"/>
    <s v="MBA"/>
    <s v="Married"/>
    <x v="1"/>
    <s v="Logistics Coordinator"/>
    <x v="0"/>
    <x v="9"/>
    <s v="West"/>
    <n v="13"/>
    <n v="68400"/>
    <x v="0"/>
    <n v="2"/>
    <n v="3"/>
    <n v="33"/>
    <n v="2"/>
    <d v="2010-03-04T00:00:00"/>
    <s v="No"/>
    <x v="0"/>
    <n v="3"/>
    <x v="2"/>
    <x v="0"/>
    <x v="0"/>
  </r>
  <r>
    <s v="REL02526"/>
    <s v="Male"/>
    <n v="25"/>
    <s v="MBA"/>
    <s v="Married"/>
    <x v="1"/>
    <s v="HR Manager"/>
    <x v="4"/>
    <x v="0"/>
    <s v="North"/>
    <n v="12"/>
    <n v="106277"/>
    <x v="0"/>
    <n v="3"/>
    <n v="4"/>
    <n v="12"/>
    <n v="1"/>
    <d v="2011-05-04T00:00:00"/>
    <s v="No"/>
    <x v="1"/>
    <n v="3"/>
    <x v="2"/>
    <x v="0"/>
    <x v="0"/>
  </r>
  <r>
    <s v="REL02527"/>
    <s v="Male"/>
    <n v="41"/>
    <s v="BTech"/>
    <s v="Single"/>
    <x v="3"/>
    <s v="Finance Analyst"/>
    <x v="2"/>
    <x v="8"/>
    <s v="South"/>
    <n v="15"/>
    <n v="94427"/>
    <x v="2"/>
    <n v="3"/>
    <n v="4"/>
    <n v="20"/>
    <n v="3"/>
    <d v="2008-08-10T00:00:00"/>
    <s v="No"/>
    <x v="1"/>
    <n v="2"/>
    <x v="2"/>
    <x v="0"/>
    <x v="1"/>
  </r>
  <r>
    <s v="REL02528"/>
    <s v="Female"/>
    <n v="29"/>
    <s v="HSC"/>
    <s v="Divorced"/>
    <x v="1"/>
    <s v="Finance Analyst"/>
    <x v="2"/>
    <x v="7"/>
    <s v="East"/>
    <n v="12"/>
    <n v="90161"/>
    <x v="0"/>
    <n v="4"/>
    <n v="1"/>
    <n v="61"/>
    <n v="1"/>
    <d v="2011-10-13T00:00:00"/>
    <s v="No"/>
    <x v="1"/>
    <n v="3"/>
    <x v="2"/>
    <x v="0"/>
    <x v="0"/>
  </r>
  <r>
    <s v="REL02529"/>
    <s v="Male"/>
    <n v="38"/>
    <s v="Graduate"/>
    <s v="Single"/>
    <x v="7"/>
    <s v="Sales Executive"/>
    <x v="4"/>
    <x v="0"/>
    <s v="North"/>
    <n v="14"/>
    <n v="61067"/>
    <x v="2"/>
    <n v="3"/>
    <n v="3"/>
    <n v="56"/>
    <n v="2"/>
    <d v="2009-08-25T00:00:00"/>
    <s v="Yes"/>
    <x v="0"/>
    <n v="2"/>
    <x v="2"/>
    <x v="1"/>
    <x v="1"/>
  </r>
  <r>
    <s v="REL02530"/>
    <s v="Female"/>
    <n v="27"/>
    <s v="BTech"/>
    <s v="Single"/>
    <x v="7"/>
    <s v="Marketing Executive"/>
    <x v="2"/>
    <x v="2"/>
    <s v="West"/>
    <n v="15"/>
    <n v="84538"/>
    <x v="3"/>
    <n v="4"/>
    <n v="4"/>
    <n v="51"/>
    <n v="2"/>
    <d v="2008-05-09T00:00:00"/>
    <s v="Yes"/>
    <x v="1"/>
    <n v="4"/>
    <x v="2"/>
    <x v="1"/>
    <x v="0"/>
  </r>
  <r>
    <s v="REL02531"/>
    <s v="Male"/>
    <n v="27"/>
    <s v="MBA"/>
    <s v="Married"/>
    <x v="0"/>
    <s v="Store Manager"/>
    <x v="1"/>
    <x v="7"/>
    <s v="East"/>
    <n v="8"/>
    <n v="97293"/>
    <x v="2"/>
    <n v="1"/>
    <n v="4"/>
    <n v="13"/>
    <n v="3"/>
    <d v="2015-12-31T00:00:00"/>
    <s v="No"/>
    <x v="1"/>
    <n v="2"/>
    <x v="1"/>
    <x v="0"/>
    <x v="1"/>
  </r>
  <r>
    <s v="REL02532"/>
    <s v="Male"/>
    <n v="27"/>
    <s v="BTech"/>
    <s v="Divorced"/>
    <x v="1"/>
    <s v="HR Manager"/>
    <x v="4"/>
    <x v="0"/>
    <s v="North"/>
    <n v="2"/>
    <n v="83809"/>
    <x v="3"/>
    <n v="1"/>
    <n v="4"/>
    <n v="30"/>
    <n v="0"/>
    <d v="2021-04-04T00:00:00"/>
    <s v="No"/>
    <x v="1"/>
    <n v="4"/>
    <x v="3"/>
    <x v="2"/>
    <x v="0"/>
  </r>
  <r>
    <s v="REL02533"/>
    <s v="Male"/>
    <n v="42"/>
    <s v="HSC"/>
    <s v="Single"/>
    <x v="5"/>
    <s v="Logistics Coordinator"/>
    <x v="3"/>
    <x v="5"/>
    <s v="South"/>
    <n v="6"/>
    <n v="55504"/>
    <x v="1"/>
    <n v="4"/>
    <n v="1"/>
    <n v="66"/>
    <n v="1"/>
    <d v="2017-12-01T00:00:00"/>
    <s v="Yes"/>
    <x v="0"/>
    <n v="1"/>
    <x v="1"/>
    <x v="1"/>
    <x v="1"/>
  </r>
  <r>
    <s v="REL02534"/>
    <s v="Female"/>
    <n v="26"/>
    <s v="Graduate"/>
    <s v="Married"/>
    <x v="2"/>
    <s v="Operations Head"/>
    <x v="4"/>
    <x v="8"/>
    <s v="South"/>
    <n v="14"/>
    <n v="119742"/>
    <x v="1"/>
    <n v="4"/>
    <n v="3"/>
    <n v="47"/>
    <n v="3"/>
    <d v="2009-10-08T00:00:00"/>
    <s v="No"/>
    <x v="1"/>
    <n v="1"/>
    <x v="2"/>
    <x v="0"/>
    <x v="2"/>
  </r>
  <r>
    <s v="REL02535"/>
    <s v="Male"/>
    <n v="26"/>
    <s v="Graduate"/>
    <s v="Married"/>
    <x v="3"/>
    <s v="Marketing Executive"/>
    <x v="0"/>
    <x v="2"/>
    <s v="West"/>
    <n v="3"/>
    <n v="48046"/>
    <x v="0"/>
    <n v="3"/>
    <n v="4"/>
    <n v="17"/>
    <n v="1"/>
    <d v="2020-08-04T00:00:00"/>
    <s v="No"/>
    <x v="2"/>
    <n v="3"/>
    <x v="0"/>
    <x v="0"/>
    <x v="1"/>
  </r>
  <r>
    <s v="REL02536"/>
    <s v="Female"/>
    <n v="47"/>
    <s v="HSC"/>
    <s v="Single"/>
    <x v="5"/>
    <s v="HR Manager"/>
    <x v="4"/>
    <x v="1"/>
    <s v="North"/>
    <n v="10"/>
    <n v="92800"/>
    <x v="2"/>
    <n v="1"/>
    <n v="4"/>
    <n v="46"/>
    <n v="3"/>
    <d v="2013-01-16T00:00:00"/>
    <s v="No"/>
    <x v="1"/>
    <n v="2"/>
    <x v="1"/>
    <x v="0"/>
    <x v="1"/>
  </r>
  <r>
    <s v="REL02537"/>
    <s v="Male"/>
    <n v="49"/>
    <s v="Graduate"/>
    <s v="Married"/>
    <x v="5"/>
    <s v="Logistics Coordinator"/>
    <x v="2"/>
    <x v="8"/>
    <s v="South"/>
    <n v="2"/>
    <n v="47858"/>
    <x v="0"/>
    <n v="3"/>
    <n v="1"/>
    <n v="22"/>
    <n v="1"/>
    <d v="2021-07-24T00:00:00"/>
    <s v="No"/>
    <x v="2"/>
    <n v="3"/>
    <x v="3"/>
    <x v="0"/>
    <x v="1"/>
  </r>
  <r>
    <s v="REL02538"/>
    <s v="Male"/>
    <n v="53"/>
    <s v="BTech"/>
    <s v="Divorced"/>
    <x v="2"/>
    <s v="Logistics Coordinator"/>
    <x v="2"/>
    <x v="9"/>
    <s v="West"/>
    <n v="11"/>
    <n v="64933"/>
    <x v="2"/>
    <n v="1"/>
    <n v="4"/>
    <n v="78"/>
    <n v="3"/>
    <d v="2012-01-19T00:00:00"/>
    <s v="Yes"/>
    <x v="0"/>
    <n v="2"/>
    <x v="2"/>
    <x v="1"/>
    <x v="1"/>
  </r>
  <r>
    <s v="REL02539"/>
    <s v="Female"/>
    <n v="28"/>
    <s v="HSC"/>
    <s v="Divorced"/>
    <x v="5"/>
    <s v="Sales Executive"/>
    <x v="3"/>
    <x v="4"/>
    <s v="North"/>
    <n v="1"/>
    <n v="50265"/>
    <x v="1"/>
    <n v="3"/>
    <n v="3"/>
    <n v="72"/>
    <n v="2"/>
    <d v="2022-12-25T00:00:00"/>
    <s v="Yes"/>
    <x v="0"/>
    <n v="1"/>
    <x v="3"/>
    <x v="1"/>
    <x v="1"/>
  </r>
  <r>
    <s v="REL02540"/>
    <s v="Male"/>
    <n v="49"/>
    <s v="BTech"/>
    <s v="Married"/>
    <x v="1"/>
    <s v="Marketing Executive"/>
    <x v="2"/>
    <x v="9"/>
    <s v="West"/>
    <n v="12"/>
    <n v="76160"/>
    <x v="2"/>
    <n v="1"/>
    <n v="1"/>
    <n v="64"/>
    <n v="2"/>
    <d v="2011-05-09T00:00:00"/>
    <s v="No"/>
    <x v="0"/>
    <n v="2"/>
    <x v="2"/>
    <x v="0"/>
    <x v="1"/>
  </r>
  <r>
    <s v="REL02541"/>
    <s v="Male"/>
    <n v="35"/>
    <s v="MBA"/>
    <s v="Single"/>
    <x v="5"/>
    <s v="Finance Analyst"/>
    <x v="2"/>
    <x v="6"/>
    <s v="South"/>
    <n v="11"/>
    <n v="82478"/>
    <x v="3"/>
    <n v="1"/>
    <n v="1"/>
    <n v="76"/>
    <n v="2"/>
    <d v="2012-08-26T00:00:00"/>
    <s v="Yes"/>
    <x v="1"/>
    <n v="4"/>
    <x v="2"/>
    <x v="1"/>
    <x v="0"/>
  </r>
  <r>
    <s v="REL02542"/>
    <s v="Female"/>
    <n v="44"/>
    <s v="Graduate"/>
    <s v="Divorced"/>
    <x v="6"/>
    <s v="Store Manager"/>
    <x v="1"/>
    <x v="4"/>
    <s v="North"/>
    <n v="5"/>
    <n v="96746"/>
    <x v="1"/>
    <n v="3"/>
    <n v="4"/>
    <n v="29"/>
    <n v="0"/>
    <d v="2018-12-23T00:00:00"/>
    <s v="No"/>
    <x v="1"/>
    <n v="1"/>
    <x v="0"/>
    <x v="0"/>
    <x v="2"/>
  </r>
  <r>
    <s v="REL02543"/>
    <s v="Male"/>
    <n v="33"/>
    <s v="HSC"/>
    <s v="Single"/>
    <x v="4"/>
    <s v="Logistics Coordinator"/>
    <x v="3"/>
    <x v="1"/>
    <s v="North"/>
    <n v="7"/>
    <n v="65558"/>
    <x v="0"/>
    <n v="4"/>
    <n v="1"/>
    <n v="21"/>
    <n v="2"/>
    <d v="2016-06-13T00:00:00"/>
    <s v="Yes"/>
    <x v="0"/>
    <n v="3"/>
    <x v="1"/>
    <x v="1"/>
    <x v="0"/>
  </r>
  <r>
    <s v="REL02544"/>
    <s v="Male"/>
    <n v="47"/>
    <s v="BTech"/>
    <s v="Single"/>
    <x v="0"/>
    <s v="Finance Analyst"/>
    <x v="3"/>
    <x v="8"/>
    <s v="South"/>
    <n v="12"/>
    <n v="90803"/>
    <x v="0"/>
    <n v="1"/>
    <n v="1"/>
    <n v="29"/>
    <n v="0"/>
    <d v="2011-12-22T00:00:00"/>
    <s v="No"/>
    <x v="1"/>
    <n v="3"/>
    <x v="2"/>
    <x v="0"/>
    <x v="0"/>
  </r>
  <r>
    <s v="REL02545"/>
    <s v="Male"/>
    <n v="33"/>
    <s v="HSC"/>
    <s v="Married"/>
    <x v="5"/>
    <s v="HR Manager"/>
    <x v="1"/>
    <x v="9"/>
    <s v="West"/>
    <n v="15"/>
    <n v="100249"/>
    <x v="0"/>
    <n v="4"/>
    <n v="4"/>
    <n v="27"/>
    <n v="2"/>
    <d v="2008-09-03T00:00:00"/>
    <s v="No"/>
    <x v="1"/>
    <n v="3"/>
    <x v="2"/>
    <x v="0"/>
    <x v="0"/>
  </r>
  <r>
    <s v="REL02546"/>
    <s v="Female"/>
    <n v="29"/>
    <s v="HSC"/>
    <s v="Single"/>
    <x v="1"/>
    <s v="Logistics Coordinator"/>
    <x v="1"/>
    <x v="3"/>
    <s v="West"/>
    <n v="13"/>
    <n v="65039"/>
    <x v="2"/>
    <n v="2"/>
    <n v="3"/>
    <n v="32"/>
    <n v="3"/>
    <d v="2010-10-07T00:00:00"/>
    <s v="No"/>
    <x v="0"/>
    <n v="2"/>
    <x v="2"/>
    <x v="0"/>
    <x v="1"/>
  </r>
  <r>
    <s v="REL02547"/>
    <s v="Male"/>
    <n v="28"/>
    <s v="HSC"/>
    <s v="Divorced"/>
    <x v="1"/>
    <s v="Finance Analyst"/>
    <x v="2"/>
    <x v="9"/>
    <s v="West"/>
    <n v="6"/>
    <n v="69619"/>
    <x v="0"/>
    <n v="2"/>
    <n v="1"/>
    <n v="42"/>
    <n v="1"/>
    <d v="2017-08-25T00:00:00"/>
    <s v="No"/>
    <x v="0"/>
    <n v="3"/>
    <x v="1"/>
    <x v="0"/>
    <x v="0"/>
  </r>
  <r>
    <s v="REL02548"/>
    <s v="Female"/>
    <n v="26"/>
    <s v="BTech"/>
    <s v="Divorced"/>
    <x v="7"/>
    <s v="Finance Analyst"/>
    <x v="1"/>
    <x v="3"/>
    <s v="West"/>
    <n v="15"/>
    <n v="88549"/>
    <x v="0"/>
    <n v="3"/>
    <n v="2"/>
    <n v="53"/>
    <n v="0"/>
    <d v="2008-06-29T00:00:00"/>
    <s v="Yes"/>
    <x v="1"/>
    <n v="3"/>
    <x v="2"/>
    <x v="1"/>
    <x v="0"/>
  </r>
  <r>
    <s v="REL02549"/>
    <s v="Female"/>
    <n v="53"/>
    <s v="BTech"/>
    <s v="Divorced"/>
    <x v="3"/>
    <s v="Store Manager"/>
    <x v="0"/>
    <x v="7"/>
    <s v="East"/>
    <n v="14"/>
    <n v="121831"/>
    <x v="0"/>
    <n v="2"/>
    <n v="4"/>
    <n v="47"/>
    <n v="1"/>
    <d v="2009-07-05T00:00:00"/>
    <s v="No"/>
    <x v="1"/>
    <n v="3"/>
    <x v="2"/>
    <x v="0"/>
    <x v="0"/>
  </r>
  <r>
    <s v="REL02550"/>
    <s v="Male"/>
    <n v="49"/>
    <s v="Graduate"/>
    <s v="Single"/>
    <x v="1"/>
    <s v="HR Manager"/>
    <x v="3"/>
    <x v="9"/>
    <s v="West"/>
    <n v="8"/>
    <n v="88291"/>
    <x v="2"/>
    <n v="2"/>
    <n v="1"/>
    <n v="40"/>
    <n v="2"/>
    <d v="2015-02-17T00:00:00"/>
    <s v="No"/>
    <x v="1"/>
    <n v="2"/>
    <x v="1"/>
    <x v="0"/>
    <x v="1"/>
  </r>
  <r>
    <s v="REL02551"/>
    <s v="Female"/>
    <n v="43"/>
    <s v="Post Graduate"/>
    <s v="Married"/>
    <x v="2"/>
    <s v="Marketing Executive"/>
    <x v="4"/>
    <x v="0"/>
    <s v="North"/>
    <n v="11"/>
    <n v="63662"/>
    <x v="0"/>
    <n v="1"/>
    <n v="2"/>
    <n v="43"/>
    <n v="3"/>
    <d v="2012-12-19T00:00:00"/>
    <s v="Yes"/>
    <x v="0"/>
    <n v="3"/>
    <x v="2"/>
    <x v="1"/>
    <x v="0"/>
  </r>
  <r>
    <s v="REL02552"/>
    <s v="Male"/>
    <n v="33"/>
    <s v="Post Graduate"/>
    <s v="Single"/>
    <x v="4"/>
    <s v="Sales Executive"/>
    <x v="1"/>
    <x v="4"/>
    <s v="North"/>
    <n v="12"/>
    <n v="59587"/>
    <x v="2"/>
    <n v="1"/>
    <n v="4"/>
    <n v="41"/>
    <n v="2"/>
    <d v="2011-10-25T00:00:00"/>
    <s v="No"/>
    <x v="0"/>
    <n v="2"/>
    <x v="2"/>
    <x v="0"/>
    <x v="1"/>
  </r>
  <r>
    <s v="REL02553"/>
    <s v="Female"/>
    <n v="50"/>
    <s v="BTech"/>
    <s v="Single"/>
    <x v="0"/>
    <s v="Sales Executive"/>
    <x v="1"/>
    <x v="9"/>
    <s v="West"/>
    <n v="4"/>
    <n v="46144"/>
    <x v="2"/>
    <n v="4"/>
    <n v="2"/>
    <n v="25"/>
    <n v="1"/>
    <d v="2019-12-27T00:00:00"/>
    <s v="No"/>
    <x v="2"/>
    <n v="2"/>
    <x v="0"/>
    <x v="0"/>
    <x v="1"/>
  </r>
  <r>
    <s v="REL02554"/>
    <s v="Male"/>
    <n v="50"/>
    <s v="Graduate"/>
    <s v="Married"/>
    <x v="6"/>
    <s v="Logistics Coordinator"/>
    <x v="1"/>
    <x v="0"/>
    <s v="North"/>
    <n v="3"/>
    <n v="42772"/>
    <x v="0"/>
    <n v="1"/>
    <n v="2"/>
    <n v="19"/>
    <n v="3"/>
    <d v="2020-12-29T00:00:00"/>
    <s v="No"/>
    <x v="2"/>
    <n v="3"/>
    <x v="0"/>
    <x v="0"/>
    <x v="1"/>
  </r>
  <r>
    <s v="REL02555"/>
    <s v="Female"/>
    <n v="50"/>
    <s v="Post Graduate"/>
    <s v="Divorced"/>
    <x v="4"/>
    <s v="Store Manager"/>
    <x v="0"/>
    <x v="1"/>
    <s v="North"/>
    <n v="9"/>
    <n v="99466"/>
    <x v="0"/>
    <n v="1"/>
    <n v="1"/>
    <n v="38"/>
    <n v="1"/>
    <d v="2014-02-11T00:00:00"/>
    <s v="No"/>
    <x v="1"/>
    <n v="3"/>
    <x v="1"/>
    <x v="0"/>
    <x v="0"/>
  </r>
  <r>
    <s v="REL02556"/>
    <s v="Female"/>
    <n v="23"/>
    <s v="MBA"/>
    <s v="Married"/>
    <x v="0"/>
    <s v="HR Manager"/>
    <x v="0"/>
    <x v="9"/>
    <s v="West"/>
    <n v="7"/>
    <n v="89033"/>
    <x v="2"/>
    <n v="1"/>
    <n v="1"/>
    <n v="51"/>
    <n v="1"/>
    <d v="2016-07-26T00:00:00"/>
    <s v="No"/>
    <x v="1"/>
    <n v="2"/>
    <x v="1"/>
    <x v="0"/>
    <x v="1"/>
  </r>
  <r>
    <s v="REL02557"/>
    <s v="Male"/>
    <n v="54"/>
    <s v="Graduate"/>
    <s v="Divorced"/>
    <x v="5"/>
    <s v="Marketing Executive"/>
    <x v="1"/>
    <x v="7"/>
    <s v="East"/>
    <n v="14"/>
    <n v="76644"/>
    <x v="0"/>
    <n v="2"/>
    <n v="2"/>
    <n v="76"/>
    <n v="2"/>
    <d v="2009-11-14T00:00:00"/>
    <s v="No"/>
    <x v="0"/>
    <n v="3"/>
    <x v="2"/>
    <x v="0"/>
    <x v="0"/>
  </r>
  <r>
    <s v="REL02558"/>
    <s v="Female"/>
    <n v="54"/>
    <s v="MBA"/>
    <s v="Divorced"/>
    <x v="3"/>
    <s v="Finance Analyst"/>
    <x v="1"/>
    <x v="3"/>
    <s v="West"/>
    <n v="8"/>
    <n v="85384"/>
    <x v="2"/>
    <n v="3"/>
    <n v="2"/>
    <n v="69"/>
    <n v="0"/>
    <d v="2015-10-11T00:00:00"/>
    <s v="No"/>
    <x v="1"/>
    <n v="2"/>
    <x v="1"/>
    <x v="0"/>
    <x v="1"/>
  </r>
  <r>
    <s v="REL02559"/>
    <s v="Male"/>
    <n v="46"/>
    <s v="MBA"/>
    <s v="Married"/>
    <x v="6"/>
    <s v="Marketing Executive"/>
    <x v="0"/>
    <x v="7"/>
    <s v="East"/>
    <n v="6"/>
    <n v="59089"/>
    <x v="3"/>
    <n v="4"/>
    <n v="1"/>
    <n v="61"/>
    <n v="1"/>
    <d v="2017-05-19T00:00:00"/>
    <s v="Yes"/>
    <x v="0"/>
    <n v="4"/>
    <x v="1"/>
    <x v="1"/>
    <x v="1"/>
  </r>
  <r>
    <s v="REL02560"/>
    <s v="Female"/>
    <n v="43"/>
    <s v="Post Graduate"/>
    <s v="Single"/>
    <x v="2"/>
    <s v="Logistics Coordinator"/>
    <x v="4"/>
    <x v="5"/>
    <s v="South"/>
    <n v="12"/>
    <n v="62057"/>
    <x v="3"/>
    <n v="2"/>
    <n v="4"/>
    <n v="36"/>
    <n v="0"/>
    <d v="2011-03-08T00:00:00"/>
    <s v="Yes"/>
    <x v="0"/>
    <n v="4"/>
    <x v="2"/>
    <x v="1"/>
    <x v="1"/>
  </r>
  <r>
    <s v="REL02561"/>
    <s v="Male"/>
    <n v="53"/>
    <s v="BTech"/>
    <s v="Divorced"/>
    <x v="4"/>
    <s v="Finance Analyst"/>
    <x v="4"/>
    <x v="5"/>
    <s v="South"/>
    <n v="8"/>
    <n v="68528"/>
    <x v="0"/>
    <n v="2"/>
    <n v="1"/>
    <n v="63"/>
    <n v="0"/>
    <d v="2015-12-30T00:00:00"/>
    <s v="No"/>
    <x v="0"/>
    <n v="3"/>
    <x v="1"/>
    <x v="0"/>
    <x v="0"/>
  </r>
  <r>
    <s v="REL02562"/>
    <s v="Female"/>
    <n v="31"/>
    <s v="Graduate"/>
    <s v="Married"/>
    <x v="3"/>
    <s v="Customer Service Rep"/>
    <x v="4"/>
    <x v="1"/>
    <s v="North"/>
    <n v="5"/>
    <n v="51952"/>
    <x v="3"/>
    <n v="2"/>
    <n v="3"/>
    <n v="67"/>
    <n v="2"/>
    <d v="2018-12-10T00:00:00"/>
    <s v="No"/>
    <x v="0"/>
    <n v="4"/>
    <x v="0"/>
    <x v="2"/>
    <x v="1"/>
  </r>
  <r>
    <s v="REL02563"/>
    <s v="Female"/>
    <n v="25"/>
    <s v="MBA"/>
    <s v="Married"/>
    <x v="4"/>
    <s v="Finance Analyst"/>
    <x v="3"/>
    <x v="6"/>
    <s v="South"/>
    <n v="15"/>
    <n v="87989"/>
    <x v="2"/>
    <n v="2"/>
    <n v="1"/>
    <n v="52"/>
    <n v="1"/>
    <d v="2008-07-04T00:00:00"/>
    <s v="No"/>
    <x v="1"/>
    <n v="2"/>
    <x v="2"/>
    <x v="0"/>
    <x v="1"/>
  </r>
  <r>
    <s v="REL02564"/>
    <s v="Female"/>
    <n v="52"/>
    <s v="BTech"/>
    <s v="Divorced"/>
    <x v="7"/>
    <s v="Store Manager"/>
    <x v="1"/>
    <x v="2"/>
    <s v="West"/>
    <n v="3"/>
    <n v="95755"/>
    <x v="3"/>
    <n v="1"/>
    <n v="2"/>
    <n v="50"/>
    <n v="2"/>
    <d v="2020-12-15T00:00:00"/>
    <s v="No"/>
    <x v="1"/>
    <n v="4"/>
    <x v="0"/>
    <x v="2"/>
    <x v="0"/>
  </r>
  <r>
    <s v="REL02565"/>
    <s v="Female"/>
    <n v="27"/>
    <s v="MBA"/>
    <s v="Married"/>
    <x v="2"/>
    <s v="Operations Head"/>
    <x v="1"/>
    <x v="3"/>
    <s v="West"/>
    <n v="9"/>
    <n v="112098"/>
    <x v="1"/>
    <n v="3"/>
    <n v="2"/>
    <n v="14"/>
    <n v="2"/>
    <d v="2014-07-20T00:00:00"/>
    <s v="Yes"/>
    <x v="1"/>
    <n v="1"/>
    <x v="1"/>
    <x v="1"/>
    <x v="2"/>
  </r>
  <r>
    <s v="REL02566"/>
    <s v="Female"/>
    <n v="22"/>
    <s v="BTech"/>
    <s v="Single"/>
    <x v="0"/>
    <s v="Customer Service Rep"/>
    <x v="0"/>
    <x v="8"/>
    <s v="South"/>
    <n v="15"/>
    <n v="65676"/>
    <x v="3"/>
    <n v="1"/>
    <n v="1"/>
    <n v="60"/>
    <n v="3"/>
    <d v="2008-05-02T00:00:00"/>
    <s v="No"/>
    <x v="0"/>
    <n v="4"/>
    <x v="2"/>
    <x v="2"/>
    <x v="1"/>
  </r>
  <r>
    <s v="REL02567"/>
    <s v="Male"/>
    <n v="44"/>
    <s v="BTech"/>
    <s v="Single"/>
    <x v="1"/>
    <s v="Marketing Executive"/>
    <x v="4"/>
    <x v="7"/>
    <s v="East"/>
    <n v="2"/>
    <n v="52437"/>
    <x v="3"/>
    <n v="4"/>
    <n v="4"/>
    <n v="12"/>
    <n v="0"/>
    <d v="2021-07-30T00:00:00"/>
    <s v="Yes"/>
    <x v="0"/>
    <n v="4"/>
    <x v="3"/>
    <x v="1"/>
    <x v="1"/>
  </r>
  <r>
    <s v="REL02568"/>
    <s v="Male"/>
    <n v="40"/>
    <s v="Graduate"/>
    <s v="Single"/>
    <x v="4"/>
    <s v="Operations Head"/>
    <x v="3"/>
    <x v="8"/>
    <s v="South"/>
    <n v="5"/>
    <n v="95182"/>
    <x v="2"/>
    <n v="3"/>
    <n v="4"/>
    <n v="42"/>
    <n v="2"/>
    <d v="2018-12-27T00:00:00"/>
    <s v="Yes"/>
    <x v="1"/>
    <n v="2"/>
    <x v="0"/>
    <x v="1"/>
    <x v="1"/>
  </r>
  <r>
    <s v="REL02569"/>
    <s v="Female"/>
    <n v="23"/>
    <s v="HSC"/>
    <s v="Divorced"/>
    <x v="7"/>
    <s v="Finance Analyst"/>
    <x v="3"/>
    <x v="8"/>
    <s v="South"/>
    <n v="5"/>
    <n v="71501"/>
    <x v="0"/>
    <n v="2"/>
    <n v="3"/>
    <n v="60"/>
    <n v="3"/>
    <d v="2018-07-02T00:00:00"/>
    <s v="No"/>
    <x v="0"/>
    <n v="3"/>
    <x v="0"/>
    <x v="0"/>
    <x v="0"/>
  </r>
  <r>
    <s v="REL02570"/>
    <s v="Female"/>
    <n v="43"/>
    <s v="Graduate"/>
    <s v="Single"/>
    <x v="5"/>
    <s v="Sales Executive"/>
    <x v="3"/>
    <x v="6"/>
    <s v="South"/>
    <n v="1"/>
    <n v="38305"/>
    <x v="1"/>
    <n v="1"/>
    <n v="2"/>
    <n v="23"/>
    <n v="3"/>
    <d v="2022-01-10T00:00:00"/>
    <s v="Yes"/>
    <x v="2"/>
    <n v="1"/>
    <x v="3"/>
    <x v="1"/>
    <x v="1"/>
  </r>
  <r>
    <s v="REL02571"/>
    <s v="Male"/>
    <n v="41"/>
    <s v="Post Graduate"/>
    <s v="Single"/>
    <x v="3"/>
    <s v="Sales Executive"/>
    <x v="0"/>
    <x v="7"/>
    <s v="East"/>
    <n v="9"/>
    <n v="60063"/>
    <x v="3"/>
    <n v="3"/>
    <n v="1"/>
    <n v="66"/>
    <n v="0"/>
    <d v="2014-07-19T00:00:00"/>
    <s v="No"/>
    <x v="0"/>
    <n v="4"/>
    <x v="1"/>
    <x v="2"/>
    <x v="1"/>
  </r>
  <r>
    <s v="REL02572"/>
    <s v="Female"/>
    <n v="34"/>
    <s v="Graduate"/>
    <s v="Divorced"/>
    <x v="4"/>
    <s v="Operations Head"/>
    <x v="4"/>
    <x v="9"/>
    <s v="West"/>
    <n v="11"/>
    <n v="122762"/>
    <x v="1"/>
    <n v="1"/>
    <n v="2"/>
    <n v="30"/>
    <n v="1"/>
    <d v="2012-01-31T00:00:00"/>
    <s v="No"/>
    <x v="1"/>
    <n v="1"/>
    <x v="2"/>
    <x v="0"/>
    <x v="2"/>
  </r>
  <r>
    <s v="REL02573"/>
    <s v="Female"/>
    <n v="54"/>
    <s v="HSC"/>
    <s v="Married"/>
    <x v="7"/>
    <s v="HR Manager"/>
    <x v="3"/>
    <x v="0"/>
    <s v="North"/>
    <n v="1"/>
    <n v="78869"/>
    <x v="1"/>
    <n v="3"/>
    <n v="4"/>
    <n v="63"/>
    <n v="2"/>
    <d v="2022-11-11T00:00:00"/>
    <s v="Yes"/>
    <x v="0"/>
    <n v="1"/>
    <x v="3"/>
    <x v="1"/>
    <x v="1"/>
  </r>
  <r>
    <s v="REL02574"/>
    <s v="Male"/>
    <n v="37"/>
    <s v="MBA"/>
    <s v="Divorced"/>
    <x v="3"/>
    <s v="Marketing Executive"/>
    <x v="0"/>
    <x v="7"/>
    <s v="East"/>
    <n v="2"/>
    <n v="50069"/>
    <x v="2"/>
    <n v="2"/>
    <n v="3"/>
    <n v="45"/>
    <n v="3"/>
    <d v="2021-11-28T00:00:00"/>
    <s v="No"/>
    <x v="0"/>
    <n v="2"/>
    <x v="3"/>
    <x v="0"/>
    <x v="1"/>
  </r>
  <r>
    <s v="REL02575"/>
    <s v="Female"/>
    <n v="55"/>
    <s v="BTech"/>
    <s v="Married"/>
    <x v="3"/>
    <s v="Customer Service Rep"/>
    <x v="1"/>
    <x v="4"/>
    <s v="North"/>
    <n v="12"/>
    <n v="67831"/>
    <x v="1"/>
    <n v="1"/>
    <n v="1"/>
    <n v="49"/>
    <n v="3"/>
    <d v="2011-08-21T00:00:00"/>
    <s v="No"/>
    <x v="0"/>
    <n v="1"/>
    <x v="2"/>
    <x v="0"/>
    <x v="1"/>
  </r>
  <r>
    <s v="REL02576"/>
    <s v="Female"/>
    <n v="23"/>
    <s v="MBA"/>
    <s v="Single"/>
    <x v="4"/>
    <s v="HR Manager"/>
    <x v="3"/>
    <x v="7"/>
    <s v="East"/>
    <n v="15"/>
    <n v="104476"/>
    <x v="0"/>
    <n v="4"/>
    <n v="4"/>
    <n v="71"/>
    <n v="3"/>
    <d v="2008-04-22T00:00:00"/>
    <s v="No"/>
    <x v="1"/>
    <n v="3"/>
    <x v="2"/>
    <x v="0"/>
    <x v="0"/>
  </r>
  <r>
    <s v="REL02577"/>
    <s v="Female"/>
    <n v="29"/>
    <s v="BTech"/>
    <s v="Single"/>
    <x v="7"/>
    <s v="Store Manager"/>
    <x v="2"/>
    <x v="8"/>
    <s v="South"/>
    <n v="9"/>
    <n v="103539"/>
    <x v="1"/>
    <n v="4"/>
    <n v="1"/>
    <n v="64"/>
    <n v="1"/>
    <d v="2014-10-20T00:00:00"/>
    <s v="Yes"/>
    <x v="1"/>
    <n v="1"/>
    <x v="1"/>
    <x v="1"/>
    <x v="2"/>
  </r>
  <r>
    <s v="REL02578"/>
    <s v="Male"/>
    <n v="27"/>
    <s v="BTech"/>
    <s v="Single"/>
    <x v="7"/>
    <s v="Finance Analyst"/>
    <x v="0"/>
    <x v="1"/>
    <s v="North"/>
    <n v="7"/>
    <n v="78173"/>
    <x v="1"/>
    <n v="2"/>
    <n v="3"/>
    <n v="30"/>
    <n v="3"/>
    <d v="2016-06-12T00:00:00"/>
    <s v="No"/>
    <x v="0"/>
    <n v="1"/>
    <x v="1"/>
    <x v="0"/>
    <x v="1"/>
  </r>
  <r>
    <s v="REL02579"/>
    <s v="Male"/>
    <n v="55"/>
    <s v="HSC"/>
    <s v="Married"/>
    <x v="3"/>
    <s v="Finance Analyst"/>
    <x v="0"/>
    <x v="8"/>
    <s v="South"/>
    <n v="2"/>
    <n v="68261"/>
    <x v="0"/>
    <n v="4"/>
    <n v="3"/>
    <n v="24"/>
    <n v="0"/>
    <d v="2021-04-22T00:00:00"/>
    <s v="No"/>
    <x v="0"/>
    <n v="3"/>
    <x v="3"/>
    <x v="0"/>
    <x v="0"/>
  </r>
  <r>
    <s v="REL02580"/>
    <s v="Female"/>
    <n v="29"/>
    <s v="HSC"/>
    <s v="Single"/>
    <x v="6"/>
    <s v="Store Manager"/>
    <x v="2"/>
    <x v="7"/>
    <s v="East"/>
    <n v="8"/>
    <n v="100929"/>
    <x v="1"/>
    <n v="3"/>
    <n v="4"/>
    <n v="69"/>
    <n v="0"/>
    <d v="2015-05-04T00:00:00"/>
    <s v="Yes"/>
    <x v="1"/>
    <n v="1"/>
    <x v="1"/>
    <x v="1"/>
    <x v="2"/>
  </r>
  <r>
    <s v="REL02581"/>
    <s v="Female"/>
    <n v="24"/>
    <s v="BTech"/>
    <s v="Divorced"/>
    <x v="5"/>
    <s v="Customer Service Rep"/>
    <x v="4"/>
    <x v="6"/>
    <s v="South"/>
    <n v="6"/>
    <n v="46243"/>
    <x v="3"/>
    <n v="3"/>
    <n v="4"/>
    <n v="51"/>
    <n v="1"/>
    <d v="2017-02-20T00:00:00"/>
    <s v="No"/>
    <x v="2"/>
    <n v="4"/>
    <x v="1"/>
    <x v="2"/>
    <x v="1"/>
  </r>
  <r>
    <s v="REL02582"/>
    <s v="Female"/>
    <n v="52"/>
    <s v="MBA"/>
    <s v="Divorced"/>
    <x v="6"/>
    <s v="Operations Head"/>
    <x v="2"/>
    <x v="7"/>
    <s v="East"/>
    <n v="5"/>
    <n v="113008"/>
    <x v="1"/>
    <n v="4"/>
    <n v="2"/>
    <n v="40"/>
    <n v="2"/>
    <d v="2018-07-14T00:00:00"/>
    <s v="Yes"/>
    <x v="1"/>
    <n v="1"/>
    <x v="0"/>
    <x v="1"/>
    <x v="2"/>
  </r>
  <r>
    <s v="REL02583"/>
    <s v="Female"/>
    <n v="32"/>
    <s v="MBA"/>
    <s v="Divorced"/>
    <x v="3"/>
    <s v="Customer Service Rep"/>
    <x v="4"/>
    <x v="8"/>
    <s v="South"/>
    <n v="1"/>
    <n v="34071"/>
    <x v="2"/>
    <n v="4"/>
    <n v="2"/>
    <n v="77"/>
    <n v="1"/>
    <d v="2022-01-15T00:00:00"/>
    <s v="Yes"/>
    <x v="3"/>
    <n v="2"/>
    <x v="3"/>
    <x v="1"/>
    <x v="1"/>
  </r>
  <r>
    <s v="REL02584"/>
    <s v="Female"/>
    <n v="32"/>
    <s v="MBA"/>
    <s v="Married"/>
    <x v="6"/>
    <s v="Finance Analyst"/>
    <x v="1"/>
    <x v="9"/>
    <s v="West"/>
    <n v="11"/>
    <n v="73972"/>
    <x v="2"/>
    <n v="1"/>
    <n v="2"/>
    <n v="62"/>
    <n v="3"/>
    <d v="2012-03-12T00:00:00"/>
    <s v="No"/>
    <x v="0"/>
    <n v="2"/>
    <x v="2"/>
    <x v="0"/>
    <x v="1"/>
  </r>
  <r>
    <s v="REL02585"/>
    <s v="Female"/>
    <n v="34"/>
    <s v="HSC"/>
    <s v="Single"/>
    <x v="0"/>
    <s v="Operations Head"/>
    <x v="2"/>
    <x v="4"/>
    <s v="North"/>
    <n v="7"/>
    <n v="107657"/>
    <x v="1"/>
    <n v="1"/>
    <n v="4"/>
    <n v="60"/>
    <n v="0"/>
    <d v="2016-02-09T00:00:00"/>
    <s v="Yes"/>
    <x v="1"/>
    <n v="1"/>
    <x v="1"/>
    <x v="1"/>
    <x v="2"/>
  </r>
  <r>
    <s v="REL02586"/>
    <s v="Female"/>
    <n v="28"/>
    <s v="MBA"/>
    <s v="Married"/>
    <x v="5"/>
    <s v="Finance Analyst"/>
    <x v="2"/>
    <x v="2"/>
    <s v="West"/>
    <n v="8"/>
    <n v="83219"/>
    <x v="1"/>
    <n v="1"/>
    <n v="1"/>
    <n v="59"/>
    <n v="1"/>
    <d v="2015-08-14T00:00:00"/>
    <s v="Yes"/>
    <x v="1"/>
    <n v="1"/>
    <x v="1"/>
    <x v="1"/>
    <x v="2"/>
  </r>
  <r>
    <s v="REL02587"/>
    <s v="Male"/>
    <n v="28"/>
    <s v="MBA"/>
    <s v="Divorced"/>
    <x v="5"/>
    <s v="HR Manager"/>
    <x v="4"/>
    <x v="2"/>
    <s v="West"/>
    <n v="13"/>
    <n v="102242"/>
    <x v="1"/>
    <n v="1"/>
    <n v="3"/>
    <n v="64"/>
    <n v="3"/>
    <d v="2010-07-12T00:00:00"/>
    <s v="Yes"/>
    <x v="1"/>
    <n v="1"/>
    <x v="2"/>
    <x v="1"/>
    <x v="2"/>
  </r>
  <r>
    <s v="REL02588"/>
    <s v="Male"/>
    <n v="34"/>
    <s v="Post Graduate"/>
    <s v="Divorced"/>
    <x v="0"/>
    <s v="Store Manager"/>
    <x v="3"/>
    <x v="1"/>
    <s v="North"/>
    <n v="4"/>
    <n v="98671"/>
    <x v="0"/>
    <n v="3"/>
    <n v="1"/>
    <n v="28"/>
    <n v="1"/>
    <d v="2019-12-23T00:00:00"/>
    <s v="Yes"/>
    <x v="1"/>
    <n v="3"/>
    <x v="0"/>
    <x v="1"/>
    <x v="0"/>
  </r>
  <r>
    <s v="REL02589"/>
    <s v="Female"/>
    <n v="28"/>
    <s v="BTech"/>
    <s v="Single"/>
    <x v="4"/>
    <s v="Logistics Coordinator"/>
    <x v="2"/>
    <x v="9"/>
    <s v="West"/>
    <n v="14"/>
    <n v="81815"/>
    <x v="0"/>
    <n v="1"/>
    <n v="4"/>
    <n v="55"/>
    <n v="0"/>
    <d v="2009-08-15T00:00:00"/>
    <s v="No"/>
    <x v="1"/>
    <n v="3"/>
    <x v="2"/>
    <x v="0"/>
    <x v="0"/>
  </r>
  <r>
    <s v="REL02590"/>
    <s v="Male"/>
    <n v="31"/>
    <s v="BTech"/>
    <s v="Married"/>
    <x v="3"/>
    <s v="Operations Head"/>
    <x v="1"/>
    <x v="0"/>
    <s v="North"/>
    <n v="7"/>
    <n v="100291"/>
    <x v="2"/>
    <n v="1"/>
    <n v="3"/>
    <n v="65"/>
    <n v="2"/>
    <d v="2016-11-29T00:00:00"/>
    <s v="No"/>
    <x v="1"/>
    <n v="2"/>
    <x v="1"/>
    <x v="0"/>
    <x v="1"/>
  </r>
  <r>
    <s v="REL02591"/>
    <s v="Male"/>
    <n v="45"/>
    <s v="BTech"/>
    <s v="Married"/>
    <x v="5"/>
    <s v="HR Manager"/>
    <x v="4"/>
    <x v="4"/>
    <s v="North"/>
    <n v="11"/>
    <n v="87900"/>
    <x v="3"/>
    <n v="4"/>
    <n v="4"/>
    <n v="42"/>
    <n v="1"/>
    <d v="2012-09-07T00:00:00"/>
    <s v="No"/>
    <x v="1"/>
    <n v="4"/>
    <x v="2"/>
    <x v="2"/>
    <x v="0"/>
  </r>
  <r>
    <s v="REL02592"/>
    <s v="Female"/>
    <n v="46"/>
    <s v="Post Graduate"/>
    <s v="Married"/>
    <x v="4"/>
    <s v="Finance Analyst"/>
    <x v="2"/>
    <x v="5"/>
    <s v="South"/>
    <n v="12"/>
    <n v="85706"/>
    <x v="0"/>
    <n v="4"/>
    <n v="2"/>
    <n v="49"/>
    <n v="2"/>
    <d v="2011-10-15T00:00:00"/>
    <s v="No"/>
    <x v="1"/>
    <n v="3"/>
    <x v="2"/>
    <x v="0"/>
    <x v="0"/>
  </r>
  <r>
    <s v="REL02593"/>
    <s v="Male"/>
    <n v="51"/>
    <s v="BTech"/>
    <s v="Single"/>
    <x v="1"/>
    <s v="Finance Analyst"/>
    <x v="4"/>
    <x v="3"/>
    <s v="West"/>
    <n v="14"/>
    <n v="93561"/>
    <x v="0"/>
    <n v="1"/>
    <n v="4"/>
    <n v="30"/>
    <n v="2"/>
    <d v="2009-01-19T00:00:00"/>
    <s v="No"/>
    <x v="1"/>
    <n v="3"/>
    <x v="2"/>
    <x v="0"/>
    <x v="0"/>
  </r>
  <r>
    <s v="REL02594"/>
    <s v="Male"/>
    <n v="39"/>
    <s v="HSC"/>
    <s v="Divorced"/>
    <x v="5"/>
    <s v="Logistics Coordinator"/>
    <x v="0"/>
    <x v="3"/>
    <s v="West"/>
    <n v="3"/>
    <n v="55533"/>
    <x v="0"/>
    <n v="2"/>
    <n v="4"/>
    <n v="28"/>
    <n v="3"/>
    <d v="2020-02-26T00:00:00"/>
    <s v="No"/>
    <x v="0"/>
    <n v="3"/>
    <x v="0"/>
    <x v="0"/>
    <x v="0"/>
  </r>
  <r>
    <s v="REL02595"/>
    <s v="Female"/>
    <n v="50"/>
    <s v="Post Graduate"/>
    <s v="Divorced"/>
    <x v="7"/>
    <s v="Operations Head"/>
    <x v="3"/>
    <x v="1"/>
    <s v="North"/>
    <n v="12"/>
    <n v="128481"/>
    <x v="0"/>
    <n v="4"/>
    <n v="4"/>
    <n v="42"/>
    <n v="3"/>
    <d v="2011-10-09T00:00:00"/>
    <s v="Yes"/>
    <x v="1"/>
    <n v="3"/>
    <x v="2"/>
    <x v="1"/>
    <x v="0"/>
  </r>
  <r>
    <s v="REL02596"/>
    <s v="Male"/>
    <n v="46"/>
    <s v="BTech"/>
    <s v="Married"/>
    <x v="6"/>
    <s v="Operations Head"/>
    <x v="1"/>
    <x v="1"/>
    <s v="North"/>
    <n v="1"/>
    <n v="87590"/>
    <x v="3"/>
    <n v="3"/>
    <n v="2"/>
    <n v="46"/>
    <n v="0"/>
    <d v="2022-06-21T00:00:00"/>
    <s v="No"/>
    <x v="1"/>
    <n v="4"/>
    <x v="3"/>
    <x v="2"/>
    <x v="0"/>
  </r>
  <r>
    <s v="REL02597"/>
    <s v="Male"/>
    <n v="38"/>
    <s v="Graduate"/>
    <s v="Divorced"/>
    <x v="7"/>
    <s v="Store Manager"/>
    <x v="2"/>
    <x v="7"/>
    <s v="East"/>
    <n v="11"/>
    <n v="101611"/>
    <x v="3"/>
    <n v="1"/>
    <n v="4"/>
    <n v="23"/>
    <n v="0"/>
    <d v="2012-08-10T00:00:00"/>
    <s v="Yes"/>
    <x v="1"/>
    <n v="4"/>
    <x v="2"/>
    <x v="1"/>
    <x v="0"/>
  </r>
  <r>
    <s v="REL02598"/>
    <s v="Female"/>
    <n v="55"/>
    <s v="Graduate"/>
    <s v="Married"/>
    <x v="4"/>
    <s v="Store Manager"/>
    <x v="2"/>
    <x v="6"/>
    <s v="South"/>
    <n v="8"/>
    <n v="96899"/>
    <x v="0"/>
    <n v="4"/>
    <n v="2"/>
    <n v="55"/>
    <n v="2"/>
    <d v="2015-07-01T00:00:00"/>
    <s v="No"/>
    <x v="1"/>
    <n v="3"/>
    <x v="1"/>
    <x v="0"/>
    <x v="0"/>
  </r>
  <r>
    <s v="REL02599"/>
    <s v="Male"/>
    <n v="42"/>
    <s v="BTech"/>
    <s v="Married"/>
    <x v="2"/>
    <s v="Marketing Executive"/>
    <x v="1"/>
    <x v="3"/>
    <s v="West"/>
    <n v="6"/>
    <n v="54067"/>
    <x v="0"/>
    <n v="3"/>
    <n v="4"/>
    <n v="66"/>
    <n v="1"/>
    <d v="2017-12-18T00:00:00"/>
    <s v="Yes"/>
    <x v="0"/>
    <n v="3"/>
    <x v="1"/>
    <x v="1"/>
    <x v="0"/>
  </r>
  <r>
    <s v="REL02600"/>
    <s v="Male"/>
    <n v="27"/>
    <s v="MBA"/>
    <s v="Married"/>
    <x v="1"/>
    <s v="Store Manager"/>
    <x v="3"/>
    <x v="0"/>
    <s v="North"/>
    <n v="12"/>
    <n v="101149"/>
    <x v="3"/>
    <n v="4"/>
    <n v="1"/>
    <n v="73"/>
    <n v="1"/>
    <d v="2011-08-17T00:00:00"/>
    <s v="No"/>
    <x v="1"/>
    <n v="4"/>
    <x v="2"/>
    <x v="2"/>
    <x v="0"/>
  </r>
  <r>
    <s v="REL02601"/>
    <s v="Male"/>
    <n v="27"/>
    <s v="Graduate"/>
    <s v="Single"/>
    <x v="3"/>
    <s v="Finance Analyst"/>
    <x v="4"/>
    <x v="3"/>
    <s v="West"/>
    <n v="4"/>
    <n v="64982"/>
    <x v="1"/>
    <n v="3"/>
    <n v="2"/>
    <n v="62"/>
    <n v="1"/>
    <d v="2019-05-01T00:00:00"/>
    <s v="No"/>
    <x v="0"/>
    <n v="1"/>
    <x v="0"/>
    <x v="0"/>
    <x v="1"/>
  </r>
  <r>
    <s v="REL02602"/>
    <s v="Female"/>
    <n v="43"/>
    <s v="HSC"/>
    <s v="Divorced"/>
    <x v="3"/>
    <s v="Store Manager"/>
    <x v="2"/>
    <x v="0"/>
    <s v="North"/>
    <n v="1"/>
    <n v="90629"/>
    <x v="2"/>
    <n v="4"/>
    <n v="4"/>
    <n v="16"/>
    <n v="1"/>
    <d v="2022-09-17T00:00:00"/>
    <s v="Yes"/>
    <x v="1"/>
    <n v="2"/>
    <x v="3"/>
    <x v="1"/>
    <x v="1"/>
  </r>
  <r>
    <s v="REL02603"/>
    <s v="Male"/>
    <n v="23"/>
    <s v="Graduate"/>
    <s v="Married"/>
    <x v="2"/>
    <s v="Store Manager"/>
    <x v="0"/>
    <x v="7"/>
    <s v="East"/>
    <n v="6"/>
    <n v="96068"/>
    <x v="0"/>
    <n v="3"/>
    <n v="1"/>
    <n v="20"/>
    <n v="2"/>
    <d v="2017-11-21T00:00:00"/>
    <s v="No"/>
    <x v="1"/>
    <n v="3"/>
    <x v="1"/>
    <x v="0"/>
    <x v="0"/>
  </r>
  <r>
    <s v="REL02604"/>
    <s v="Female"/>
    <n v="34"/>
    <s v="HSC"/>
    <s v="Married"/>
    <x v="2"/>
    <s v="Logistics Coordinator"/>
    <x v="4"/>
    <x v="5"/>
    <s v="South"/>
    <n v="10"/>
    <n v="56904"/>
    <x v="2"/>
    <n v="4"/>
    <n v="4"/>
    <n v="63"/>
    <n v="0"/>
    <d v="2013-05-02T00:00:00"/>
    <s v="No"/>
    <x v="0"/>
    <n v="2"/>
    <x v="1"/>
    <x v="0"/>
    <x v="1"/>
  </r>
  <r>
    <s v="REL02605"/>
    <s v="Male"/>
    <n v="39"/>
    <s v="Post Graduate"/>
    <s v="Single"/>
    <x v="4"/>
    <s v="HR Manager"/>
    <x v="1"/>
    <x v="7"/>
    <s v="East"/>
    <n v="7"/>
    <n v="89381"/>
    <x v="2"/>
    <n v="3"/>
    <n v="4"/>
    <n v="43"/>
    <n v="0"/>
    <d v="2016-07-07T00:00:00"/>
    <s v="No"/>
    <x v="1"/>
    <n v="2"/>
    <x v="1"/>
    <x v="0"/>
    <x v="1"/>
  </r>
  <r>
    <s v="REL02606"/>
    <s v="Male"/>
    <n v="53"/>
    <s v="MBA"/>
    <s v="Single"/>
    <x v="4"/>
    <s v="Sales Executive"/>
    <x v="1"/>
    <x v="2"/>
    <s v="West"/>
    <n v="13"/>
    <n v="72122"/>
    <x v="1"/>
    <n v="1"/>
    <n v="3"/>
    <n v="22"/>
    <n v="3"/>
    <d v="2010-11-11T00:00:00"/>
    <s v="Yes"/>
    <x v="0"/>
    <n v="1"/>
    <x v="2"/>
    <x v="1"/>
    <x v="1"/>
  </r>
  <r>
    <s v="REL02607"/>
    <s v="Male"/>
    <n v="32"/>
    <s v="MBA"/>
    <s v="Married"/>
    <x v="5"/>
    <s v="Finance Analyst"/>
    <x v="1"/>
    <x v="3"/>
    <s v="West"/>
    <n v="2"/>
    <n v="64823"/>
    <x v="3"/>
    <n v="4"/>
    <n v="3"/>
    <n v="15"/>
    <n v="2"/>
    <d v="2021-04-26T00:00:00"/>
    <s v="No"/>
    <x v="0"/>
    <n v="4"/>
    <x v="3"/>
    <x v="2"/>
    <x v="1"/>
  </r>
  <r>
    <s v="REL02608"/>
    <s v="Male"/>
    <n v="47"/>
    <s v="MBA"/>
    <s v="Divorced"/>
    <x v="4"/>
    <s v="Operations Head"/>
    <x v="4"/>
    <x v="8"/>
    <s v="South"/>
    <n v="15"/>
    <n v="119502"/>
    <x v="2"/>
    <n v="1"/>
    <n v="1"/>
    <n v="54"/>
    <n v="0"/>
    <d v="2008-08-24T00:00:00"/>
    <s v="No"/>
    <x v="1"/>
    <n v="2"/>
    <x v="2"/>
    <x v="0"/>
    <x v="1"/>
  </r>
  <r>
    <s v="REL02609"/>
    <s v="Female"/>
    <n v="50"/>
    <s v="Graduate"/>
    <s v="Married"/>
    <x v="5"/>
    <s v="Logistics Coordinator"/>
    <x v="4"/>
    <x v="0"/>
    <s v="North"/>
    <n v="8"/>
    <n v="56792"/>
    <x v="0"/>
    <n v="2"/>
    <n v="3"/>
    <n v="18"/>
    <n v="3"/>
    <d v="2015-04-17T00:00:00"/>
    <s v="No"/>
    <x v="0"/>
    <n v="3"/>
    <x v="1"/>
    <x v="0"/>
    <x v="0"/>
  </r>
  <r>
    <s v="REL02610"/>
    <s v="Male"/>
    <n v="50"/>
    <s v="Graduate"/>
    <s v="Single"/>
    <x v="2"/>
    <s v="Store Manager"/>
    <x v="0"/>
    <x v="4"/>
    <s v="North"/>
    <n v="14"/>
    <n v="117591"/>
    <x v="0"/>
    <n v="4"/>
    <n v="1"/>
    <n v="43"/>
    <n v="1"/>
    <d v="2009-02-01T00:00:00"/>
    <s v="No"/>
    <x v="1"/>
    <n v="3"/>
    <x v="2"/>
    <x v="0"/>
    <x v="0"/>
  </r>
  <r>
    <s v="REL02611"/>
    <s v="Male"/>
    <n v="25"/>
    <s v="HSC"/>
    <s v="Married"/>
    <x v="5"/>
    <s v="Marketing Executive"/>
    <x v="1"/>
    <x v="2"/>
    <s v="West"/>
    <n v="3"/>
    <n v="65528"/>
    <x v="1"/>
    <n v="1"/>
    <n v="4"/>
    <n v="20"/>
    <n v="2"/>
    <d v="2020-06-05T00:00:00"/>
    <s v="Yes"/>
    <x v="0"/>
    <n v="1"/>
    <x v="0"/>
    <x v="1"/>
    <x v="1"/>
  </r>
  <r>
    <s v="REL02612"/>
    <s v="Male"/>
    <n v="22"/>
    <s v="MBA"/>
    <s v="Married"/>
    <x v="0"/>
    <s v="Sales Executive"/>
    <x v="3"/>
    <x v="3"/>
    <s v="West"/>
    <n v="1"/>
    <n v="46980"/>
    <x v="1"/>
    <n v="3"/>
    <n v="2"/>
    <n v="74"/>
    <n v="2"/>
    <d v="2022-01-03T00:00:00"/>
    <s v="Yes"/>
    <x v="2"/>
    <n v="1"/>
    <x v="3"/>
    <x v="1"/>
    <x v="1"/>
  </r>
  <r>
    <s v="REL02613"/>
    <s v="Female"/>
    <n v="53"/>
    <s v="Post Graduate"/>
    <s v="Divorced"/>
    <x v="5"/>
    <s v="Logistics Coordinator"/>
    <x v="3"/>
    <x v="7"/>
    <s v="East"/>
    <n v="2"/>
    <n v="54833"/>
    <x v="1"/>
    <n v="1"/>
    <n v="2"/>
    <n v="32"/>
    <n v="1"/>
    <d v="2021-05-25T00:00:00"/>
    <s v="Yes"/>
    <x v="0"/>
    <n v="1"/>
    <x v="3"/>
    <x v="1"/>
    <x v="1"/>
  </r>
  <r>
    <s v="REL02614"/>
    <s v="Female"/>
    <n v="33"/>
    <s v="HSC"/>
    <s v="Divorced"/>
    <x v="2"/>
    <s v="HR Manager"/>
    <x v="0"/>
    <x v="8"/>
    <s v="South"/>
    <n v="1"/>
    <n v="70628"/>
    <x v="0"/>
    <n v="4"/>
    <n v="2"/>
    <n v="35"/>
    <n v="3"/>
    <d v="2022-10-12T00:00:00"/>
    <s v="No"/>
    <x v="0"/>
    <n v="3"/>
    <x v="3"/>
    <x v="0"/>
    <x v="0"/>
  </r>
  <r>
    <s v="REL02615"/>
    <s v="Female"/>
    <n v="40"/>
    <s v="MBA"/>
    <s v="Divorced"/>
    <x v="4"/>
    <s v="Store Manager"/>
    <x v="4"/>
    <x v="9"/>
    <s v="West"/>
    <n v="3"/>
    <n v="92314"/>
    <x v="3"/>
    <n v="4"/>
    <n v="1"/>
    <n v="21"/>
    <n v="1"/>
    <d v="2020-03-08T00:00:00"/>
    <s v="No"/>
    <x v="1"/>
    <n v="4"/>
    <x v="0"/>
    <x v="2"/>
    <x v="0"/>
  </r>
  <r>
    <s v="REL02616"/>
    <s v="Male"/>
    <n v="31"/>
    <s v="HSC"/>
    <s v="Married"/>
    <x v="5"/>
    <s v="Marketing Executive"/>
    <x v="3"/>
    <x v="6"/>
    <s v="South"/>
    <n v="1"/>
    <n v="55596"/>
    <x v="0"/>
    <n v="1"/>
    <n v="1"/>
    <n v="61"/>
    <n v="1"/>
    <d v="2022-12-25T00:00:00"/>
    <s v="Yes"/>
    <x v="0"/>
    <n v="3"/>
    <x v="3"/>
    <x v="1"/>
    <x v="0"/>
  </r>
  <r>
    <s v="REL02617"/>
    <s v="Male"/>
    <n v="42"/>
    <s v="Graduate"/>
    <s v="Married"/>
    <x v="6"/>
    <s v="Marketing Executive"/>
    <x v="2"/>
    <x v="3"/>
    <s v="West"/>
    <n v="1"/>
    <n v="54178"/>
    <x v="1"/>
    <n v="4"/>
    <n v="4"/>
    <n v="19"/>
    <n v="3"/>
    <d v="2022-07-05T00:00:00"/>
    <s v="No"/>
    <x v="0"/>
    <n v="1"/>
    <x v="3"/>
    <x v="3"/>
    <x v="1"/>
  </r>
  <r>
    <s v="REL02618"/>
    <s v="Female"/>
    <n v="25"/>
    <s v="Post Graduate"/>
    <s v="Married"/>
    <x v="3"/>
    <s v="Customer Service Rep"/>
    <x v="1"/>
    <x v="2"/>
    <s v="West"/>
    <n v="15"/>
    <n v="72750"/>
    <x v="1"/>
    <n v="2"/>
    <n v="4"/>
    <n v="75"/>
    <n v="3"/>
    <d v="2008-09-28T00:00:00"/>
    <s v="No"/>
    <x v="0"/>
    <n v="1"/>
    <x v="2"/>
    <x v="0"/>
    <x v="1"/>
  </r>
  <r>
    <s v="REL02619"/>
    <s v="Male"/>
    <n v="46"/>
    <s v="BTech"/>
    <s v="Married"/>
    <x v="3"/>
    <s v="Customer Service Rep"/>
    <x v="4"/>
    <x v="5"/>
    <s v="South"/>
    <n v="3"/>
    <n v="40040"/>
    <x v="0"/>
    <n v="1"/>
    <n v="4"/>
    <n v="69"/>
    <n v="1"/>
    <d v="2020-12-09T00:00:00"/>
    <s v="No"/>
    <x v="2"/>
    <n v="3"/>
    <x v="0"/>
    <x v="0"/>
    <x v="1"/>
  </r>
  <r>
    <s v="REL02620"/>
    <s v="Male"/>
    <n v="49"/>
    <s v="MBA"/>
    <s v="Married"/>
    <x v="7"/>
    <s v="Operations Head"/>
    <x v="4"/>
    <x v="1"/>
    <s v="North"/>
    <n v="11"/>
    <n v="110842"/>
    <x v="0"/>
    <n v="3"/>
    <n v="3"/>
    <n v="40"/>
    <n v="1"/>
    <d v="2012-12-08T00:00:00"/>
    <s v="Yes"/>
    <x v="1"/>
    <n v="3"/>
    <x v="2"/>
    <x v="1"/>
    <x v="0"/>
  </r>
  <r>
    <s v="REL02621"/>
    <s v="Female"/>
    <n v="24"/>
    <s v="MBA"/>
    <s v="Married"/>
    <x v="0"/>
    <s v="Marketing Executive"/>
    <x v="0"/>
    <x v="3"/>
    <s v="West"/>
    <n v="1"/>
    <n v="52262"/>
    <x v="1"/>
    <n v="2"/>
    <n v="4"/>
    <n v="57"/>
    <n v="0"/>
    <d v="2022-01-04T00:00:00"/>
    <s v="Yes"/>
    <x v="0"/>
    <n v="1"/>
    <x v="3"/>
    <x v="1"/>
    <x v="1"/>
  </r>
  <r>
    <s v="REL02622"/>
    <s v="Female"/>
    <n v="52"/>
    <s v="Graduate"/>
    <s v="Single"/>
    <x v="4"/>
    <s v="Customer Service Rep"/>
    <x v="3"/>
    <x v="8"/>
    <s v="South"/>
    <n v="11"/>
    <n v="65168"/>
    <x v="3"/>
    <n v="4"/>
    <n v="1"/>
    <n v="30"/>
    <n v="3"/>
    <d v="2012-12-05T00:00:00"/>
    <s v="No"/>
    <x v="0"/>
    <n v="4"/>
    <x v="2"/>
    <x v="2"/>
    <x v="1"/>
  </r>
  <r>
    <s v="REL02623"/>
    <s v="Male"/>
    <n v="29"/>
    <s v="BTech"/>
    <s v="Divorced"/>
    <x v="4"/>
    <s v="Store Manager"/>
    <x v="0"/>
    <x v="2"/>
    <s v="West"/>
    <n v="4"/>
    <n v="84565"/>
    <x v="3"/>
    <n v="3"/>
    <n v="4"/>
    <n v="52"/>
    <n v="2"/>
    <d v="2019-02-14T00:00:00"/>
    <s v="No"/>
    <x v="1"/>
    <n v="4"/>
    <x v="0"/>
    <x v="2"/>
    <x v="0"/>
  </r>
  <r>
    <s v="REL02624"/>
    <s v="Male"/>
    <n v="46"/>
    <s v="Post Graduate"/>
    <s v="Divorced"/>
    <x v="1"/>
    <s v="Operations Head"/>
    <x v="1"/>
    <x v="9"/>
    <s v="West"/>
    <n v="9"/>
    <n v="108896"/>
    <x v="3"/>
    <n v="2"/>
    <n v="3"/>
    <n v="10"/>
    <n v="3"/>
    <d v="2014-07-30T00:00:00"/>
    <s v="No"/>
    <x v="1"/>
    <n v="4"/>
    <x v="1"/>
    <x v="2"/>
    <x v="0"/>
  </r>
  <r>
    <s v="REL02625"/>
    <s v="Female"/>
    <n v="26"/>
    <s v="HSC"/>
    <s v="Married"/>
    <x v="5"/>
    <s v="Store Manager"/>
    <x v="0"/>
    <x v="6"/>
    <s v="South"/>
    <n v="3"/>
    <n v="93138"/>
    <x v="0"/>
    <n v="1"/>
    <n v="1"/>
    <n v="34"/>
    <n v="2"/>
    <d v="2020-04-02T00:00:00"/>
    <s v="No"/>
    <x v="1"/>
    <n v="3"/>
    <x v="0"/>
    <x v="0"/>
    <x v="0"/>
  </r>
  <r>
    <s v="REL02626"/>
    <s v="Female"/>
    <n v="22"/>
    <s v="HSC"/>
    <s v="Single"/>
    <x v="4"/>
    <s v="Finance Analyst"/>
    <x v="3"/>
    <x v="6"/>
    <s v="South"/>
    <n v="2"/>
    <n v="72116"/>
    <x v="3"/>
    <n v="2"/>
    <n v="1"/>
    <n v="77"/>
    <n v="2"/>
    <d v="2021-05-04T00:00:00"/>
    <s v="No"/>
    <x v="0"/>
    <n v="4"/>
    <x v="3"/>
    <x v="2"/>
    <x v="1"/>
  </r>
  <r>
    <s v="REL02627"/>
    <s v="Male"/>
    <n v="53"/>
    <s v="HSC"/>
    <s v="Divorced"/>
    <x v="0"/>
    <s v="Operations Head"/>
    <x v="0"/>
    <x v="0"/>
    <s v="North"/>
    <n v="14"/>
    <n v="116336"/>
    <x v="3"/>
    <n v="1"/>
    <n v="3"/>
    <n v="57"/>
    <n v="0"/>
    <d v="2009-12-24T00:00:00"/>
    <s v="No"/>
    <x v="1"/>
    <n v="4"/>
    <x v="2"/>
    <x v="2"/>
    <x v="0"/>
  </r>
  <r>
    <s v="REL02628"/>
    <s v="Male"/>
    <n v="46"/>
    <s v="BTech"/>
    <s v="Divorced"/>
    <x v="6"/>
    <s v="HR Manager"/>
    <x v="1"/>
    <x v="7"/>
    <s v="East"/>
    <n v="4"/>
    <n v="88493"/>
    <x v="0"/>
    <n v="3"/>
    <n v="4"/>
    <n v="38"/>
    <n v="3"/>
    <d v="2019-01-09T00:00:00"/>
    <s v="No"/>
    <x v="1"/>
    <n v="3"/>
    <x v="0"/>
    <x v="0"/>
    <x v="0"/>
  </r>
  <r>
    <s v="REL02629"/>
    <s v="Male"/>
    <n v="46"/>
    <s v="Graduate"/>
    <s v="Married"/>
    <x v="1"/>
    <s v="Customer Service Rep"/>
    <x v="4"/>
    <x v="4"/>
    <s v="North"/>
    <n v="11"/>
    <n v="52838"/>
    <x v="0"/>
    <n v="4"/>
    <n v="2"/>
    <n v="62"/>
    <n v="0"/>
    <d v="2012-03-01T00:00:00"/>
    <s v="No"/>
    <x v="0"/>
    <n v="3"/>
    <x v="2"/>
    <x v="0"/>
    <x v="0"/>
  </r>
  <r>
    <s v="REL02630"/>
    <s v="Female"/>
    <n v="27"/>
    <s v="Post Graduate"/>
    <s v="Divorced"/>
    <x v="2"/>
    <s v="Sales Executive"/>
    <x v="2"/>
    <x v="9"/>
    <s v="West"/>
    <n v="14"/>
    <n v="64671"/>
    <x v="2"/>
    <n v="3"/>
    <n v="1"/>
    <n v="38"/>
    <n v="3"/>
    <d v="2009-09-21T00:00:00"/>
    <s v="No"/>
    <x v="0"/>
    <n v="2"/>
    <x v="2"/>
    <x v="0"/>
    <x v="1"/>
  </r>
  <r>
    <s v="REL02631"/>
    <s v="Male"/>
    <n v="27"/>
    <s v="HSC"/>
    <s v="Divorced"/>
    <x v="4"/>
    <s v="Marketing Executive"/>
    <x v="2"/>
    <x v="2"/>
    <s v="West"/>
    <n v="5"/>
    <n v="64009"/>
    <x v="1"/>
    <n v="3"/>
    <n v="3"/>
    <n v="57"/>
    <n v="3"/>
    <d v="2018-01-13T00:00:00"/>
    <s v="No"/>
    <x v="0"/>
    <n v="1"/>
    <x v="0"/>
    <x v="0"/>
    <x v="1"/>
  </r>
  <r>
    <s v="REL02632"/>
    <s v="Male"/>
    <n v="28"/>
    <s v="BTech"/>
    <s v="Married"/>
    <x v="2"/>
    <s v="Customer Service Rep"/>
    <x v="0"/>
    <x v="1"/>
    <s v="North"/>
    <n v="13"/>
    <n v="54567"/>
    <x v="3"/>
    <n v="4"/>
    <n v="4"/>
    <n v="39"/>
    <n v="1"/>
    <d v="2010-06-23T00:00:00"/>
    <s v="No"/>
    <x v="0"/>
    <n v="4"/>
    <x v="2"/>
    <x v="2"/>
    <x v="1"/>
  </r>
  <r>
    <s v="REL02633"/>
    <s v="Male"/>
    <n v="28"/>
    <s v="BTech"/>
    <s v="Married"/>
    <x v="3"/>
    <s v="HR Manager"/>
    <x v="2"/>
    <x v="3"/>
    <s v="West"/>
    <n v="5"/>
    <n v="81887"/>
    <x v="3"/>
    <n v="1"/>
    <n v="2"/>
    <n v="51"/>
    <n v="0"/>
    <d v="2018-09-11T00:00:00"/>
    <s v="No"/>
    <x v="1"/>
    <n v="4"/>
    <x v="0"/>
    <x v="2"/>
    <x v="0"/>
  </r>
  <r>
    <s v="REL02634"/>
    <s v="Female"/>
    <n v="46"/>
    <s v="MBA"/>
    <s v="Divorced"/>
    <x v="3"/>
    <s v="Store Manager"/>
    <x v="3"/>
    <x v="4"/>
    <s v="North"/>
    <n v="5"/>
    <n v="85794"/>
    <x v="3"/>
    <n v="3"/>
    <n v="4"/>
    <n v="15"/>
    <n v="3"/>
    <d v="2018-08-30T00:00:00"/>
    <s v="No"/>
    <x v="1"/>
    <n v="4"/>
    <x v="0"/>
    <x v="2"/>
    <x v="0"/>
  </r>
  <r>
    <s v="REL02635"/>
    <s v="Female"/>
    <n v="49"/>
    <s v="Post Graduate"/>
    <s v="Married"/>
    <x v="6"/>
    <s v="Customer Service Rep"/>
    <x v="4"/>
    <x v="6"/>
    <s v="South"/>
    <n v="8"/>
    <n v="56618"/>
    <x v="0"/>
    <n v="1"/>
    <n v="3"/>
    <n v="36"/>
    <n v="3"/>
    <d v="2015-02-27T00:00:00"/>
    <s v="No"/>
    <x v="0"/>
    <n v="3"/>
    <x v="1"/>
    <x v="0"/>
    <x v="0"/>
  </r>
  <r>
    <s v="REL02636"/>
    <s v="Male"/>
    <n v="27"/>
    <s v="BTech"/>
    <s v="Divorced"/>
    <x v="0"/>
    <s v="Marketing Executive"/>
    <x v="1"/>
    <x v="5"/>
    <s v="South"/>
    <n v="4"/>
    <n v="49414"/>
    <x v="0"/>
    <n v="2"/>
    <n v="3"/>
    <n v="69"/>
    <n v="3"/>
    <d v="2019-05-12T00:00:00"/>
    <s v="No"/>
    <x v="2"/>
    <n v="3"/>
    <x v="0"/>
    <x v="0"/>
    <x v="1"/>
  </r>
  <r>
    <s v="REL02637"/>
    <s v="Female"/>
    <n v="34"/>
    <s v="MBA"/>
    <s v="Married"/>
    <x v="7"/>
    <s v="Logistics Coordinator"/>
    <x v="0"/>
    <x v="3"/>
    <s v="West"/>
    <n v="9"/>
    <n v="57541"/>
    <x v="3"/>
    <n v="2"/>
    <n v="1"/>
    <n v="64"/>
    <n v="3"/>
    <d v="2015-01-02T00:00:00"/>
    <s v="Yes"/>
    <x v="0"/>
    <n v="4"/>
    <x v="1"/>
    <x v="1"/>
    <x v="1"/>
  </r>
  <r>
    <s v="REL02638"/>
    <s v="Female"/>
    <n v="32"/>
    <s v="HSC"/>
    <s v="Single"/>
    <x v="0"/>
    <s v="Sales Executive"/>
    <x v="3"/>
    <x v="3"/>
    <s v="West"/>
    <n v="14"/>
    <n v="63230"/>
    <x v="1"/>
    <n v="3"/>
    <n v="4"/>
    <n v="51"/>
    <n v="0"/>
    <d v="2009-12-11T00:00:00"/>
    <s v="No"/>
    <x v="0"/>
    <n v="1"/>
    <x v="2"/>
    <x v="0"/>
    <x v="1"/>
  </r>
  <r>
    <s v="REL02639"/>
    <s v="Female"/>
    <n v="50"/>
    <s v="Graduate"/>
    <s v="Single"/>
    <x v="2"/>
    <s v="Operations Head"/>
    <x v="3"/>
    <x v="2"/>
    <s v="West"/>
    <n v="3"/>
    <n v="94305"/>
    <x v="0"/>
    <n v="1"/>
    <n v="1"/>
    <n v="17"/>
    <n v="1"/>
    <d v="2020-02-24T00:00:00"/>
    <s v="No"/>
    <x v="1"/>
    <n v="3"/>
    <x v="0"/>
    <x v="0"/>
    <x v="0"/>
  </r>
  <r>
    <s v="REL02640"/>
    <s v="Male"/>
    <n v="39"/>
    <s v="BTech"/>
    <s v="Single"/>
    <x v="0"/>
    <s v="Operations Head"/>
    <x v="1"/>
    <x v="8"/>
    <s v="South"/>
    <n v="15"/>
    <n v="123434"/>
    <x v="2"/>
    <n v="2"/>
    <n v="3"/>
    <n v="63"/>
    <n v="2"/>
    <d v="2008-05-16T00:00:00"/>
    <s v="No"/>
    <x v="1"/>
    <n v="2"/>
    <x v="2"/>
    <x v="0"/>
    <x v="1"/>
  </r>
  <r>
    <s v="REL02641"/>
    <s v="Male"/>
    <n v="54"/>
    <s v="Graduate"/>
    <s v="Married"/>
    <x v="6"/>
    <s v="Store Manager"/>
    <x v="3"/>
    <x v="1"/>
    <s v="North"/>
    <n v="7"/>
    <n v="94989"/>
    <x v="0"/>
    <n v="4"/>
    <n v="4"/>
    <n v="48"/>
    <n v="0"/>
    <d v="2016-09-14T00:00:00"/>
    <s v="Yes"/>
    <x v="1"/>
    <n v="3"/>
    <x v="1"/>
    <x v="1"/>
    <x v="0"/>
  </r>
  <r>
    <s v="REL02642"/>
    <s v="Male"/>
    <n v="35"/>
    <s v="MBA"/>
    <s v="Divorced"/>
    <x v="7"/>
    <s v="Store Manager"/>
    <x v="0"/>
    <x v="7"/>
    <s v="East"/>
    <n v="11"/>
    <n v="114406"/>
    <x v="0"/>
    <n v="2"/>
    <n v="3"/>
    <n v="40"/>
    <n v="3"/>
    <d v="2012-03-25T00:00:00"/>
    <s v="No"/>
    <x v="1"/>
    <n v="3"/>
    <x v="2"/>
    <x v="0"/>
    <x v="0"/>
  </r>
  <r>
    <s v="REL02643"/>
    <s v="Male"/>
    <n v="37"/>
    <s v="MBA"/>
    <s v="Single"/>
    <x v="3"/>
    <s v="Operations Head"/>
    <x v="3"/>
    <x v="0"/>
    <s v="North"/>
    <n v="1"/>
    <n v="89631"/>
    <x v="1"/>
    <n v="1"/>
    <n v="3"/>
    <n v="31"/>
    <n v="0"/>
    <d v="2022-04-27T00:00:00"/>
    <s v="Yes"/>
    <x v="1"/>
    <n v="1"/>
    <x v="3"/>
    <x v="1"/>
    <x v="2"/>
  </r>
  <r>
    <s v="REL02644"/>
    <s v="Female"/>
    <n v="37"/>
    <s v="Post Graduate"/>
    <s v="Single"/>
    <x v="5"/>
    <s v="Finance Analyst"/>
    <x v="3"/>
    <x v="9"/>
    <s v="West"/>
    <n v="5"/>
    <n v="79470"/>
    <x v="0"/>
    <n v="4"/>
    <n v="2"/>
    <n v="67"/>
    <n v="1"/>
    <d v="2018-08-14T00:00:00"/>
    <s v="No"/>
    <x v="0"/>
    <n v="3"/>
    <x v="0"/>
    <x v="0"/>
    <x v="0"/>
  </r>
  <r>
    <s v="REL02645"/>
    <s v="Male"/>
    <n v="50"/>
    <s v="BTech"/>
    <s v="Married"/>
    <x v="5"/>
    <s v="Logistics Coordinator"/>
    <x v="1"/>
    <x v="3"/>
    <s v="West"/>
    <n v="7"/>
    <n v="53419"/>
    <x v="1"/>
    <n v="4"/>
    <n v="3"/>
    <n v="11"/>
    <n v="0"/>
    <d v="2016-07-28T00:00:00"/>
    <s v="No"/>
    <x v="0"/>
    <n v="1"/>
    <x v="1"/>
    <x v="0"/>
    <x v="1"/>
  </r>
  <r>
    <s v="REL02646"/>
    <s v="Female"/>
    <n v="54"/>
    <s v="HSC"/>
    <s v="Married"/>
    <x v="7"/>
    <s v="Logistics Coordinator"/>
    <x v="3"/>
    <x v="7"/>
    <s v="East"/>
    <n v="7"/>
    <n v="53551"/>
    <x v="2"/>
    <n v="3"/>
    <n v="2"/>
    <n v="50"/>
    <n v="2"/>
    <d v="2016-03-01T00:00:00"/>
    <s v="Yes"/>
    <x v="0"/>
    <n v="2"/>
    <x v="1"/>
    <x v="1"/>
    <x v="1"/>
  </r>
  <r>
    <s v="REL02647"/>
    <s v="Male"/>
    <n v="25"/>
    <s v="MBA"/>
    <s v="Single"/>
    <x v="3"/>
    <s v="Logistics Coordinator"/>
    <x v="0"/>
    <x v="8"/>
    <s v="South"/>
    <n v="9"/>
    <n v="66169"/>
    <x v="2"/>
    <n v="2"/>
    <n v="4"/>
    <n v="70"/>
    <n v="2"/>
    <d v="2014-10-06T00:00:00"/>
    <s v="No"/>
    <x v="0"/>
    <n v="2"/>
    <x v="1"/>
    <x v="0"/>
    <x v="1"/>
  </r>
  <r>
    <s v="REL02648"/>
    <s v="Male"/>
    <n v="50"/>
    <s v="Post Graduate"/>
    <s v="Divorced"/>
    <x v="6"/>
    <s v="Operations Head"/>
    <x v="4"/>
    <x v="3"/>
    <s v="West"/>
    <n v="6"/>
    <n v="100414"/>
    <x v="3"/>
    <n v="4"/>
    <n v="2"/>
    <n v="40"/>
    <n v="1"/>
    <d v="2017-04-13T00:00:00"/>
    <s v="No"/>
    <x v="1"/>
    <n v="4"/>
    <x v="1"/>
    <x v="2"/>
    <x v="0"/>
  </r>
  <r>
    <s v="REL02649"/>
    <s v="Male"/>
    <n v="48"/>
    <s v="MBA"/>
    <s v="Single"/>
    <x v="6"/>
    <s v="Operations Head"/>
    <x v="2"/>
    <x v="5"/>
    <s v="South"/>
    <n v="6"/>
    <n v="110867"/>
    <x v="0"/>
    <n v="1"/>
    <n v="2"/>
    <n v="56"/>
    <n v="3"/>
    <d v="2017-06-01T00:00:00"/>
    <s v="No"/>
    <x v="1"/>
    <n v="3"/>
    <x v="1"/>
    <x v="0"/>
    <x v="0"/>
  </r>
  <r>
    <s v="REL02650"/>
    <s v="Male"/>
    <n v="41"/>
    <s v="BTech"/>
    <s v="Single"/>
    <x v="7"/>
    <s v="Operations Head"/>
    <x v="0"/>
    <x v="7"/>
    <s v="East"/>
    <n v="9"/>
    <n v="109578"/>
    <x v="3"/>
    <n v="4"/>
    <n v="2"/>
    <n v="71"/>
    <n v="1"/>
    <d v="2014-02-04T00:00:00"/>
    <s v="No"/>
    <x v="1"/>
    <n v="4"/>
    <x v="1"/>
    <x v="2"/>
    <x v="0"/>
  </r>
  <r>
    <s v="REL02651"/>
    <s v="Female"/>
    <n v="46"/>
    <s v="Graduate"/>
    <s v="Divorced"/>
    <x v="0"/>
    <s v="Sales Executive"/>
    <x v="3"/>
    <x v="7"/>
    <s v="East"/>
    <n v="1"/>
    <n v="36870"/>
    <x v="3"/>
    <n v="4"/>
    <n v="1"/>
    <n v="46"/>
    <n v="0"/>
    <d v="2022-06-04T00:00:00"/>
    <s v="No"/>
    <x v="2"/>
    <n v="4"/>
    <x v="3"/>
    <x v="2"/>
    <x v="1"/>
  </r>
  <r>
    <s v="REL02652"/>
    <s v="Female"/>
    <n v="41"/>
    <s v="HSC"/>
    <s v="Married"/>
    <x v="2"/>
    <s v="Sales Executive"/>
    <x v="4"/>
    <x v="4"/>
    <s v="North"/>
    <n v="10"/>
    <n v="64080"/>
    <x v="3"/>
    <n v="2"/>
    <n v="1"/>
    <n v="16"/>
    <n v="0"/>
    <d v="2013-07-05T00:00:00"/>
    <s v="No"/>
    <x v="0"/>
    <n v="4"/>
    <x v="1"/>
    <x v="2"/>
    <x v="1"/>
  </r>
  <r>
    <s v="REL02653"/>
    <s v="Female"/>
    <n v="33"/>
    <s v="Post Graduate"/>
    <s v="Married"/>
    <x v="4"/>
    <s v="Finance Analyst"/>
    <x v="3"/>
    <x v="9"/>
    <s v="West"/>
    <n v="11"/>
    <n v="81768"/>
    <x v="0"/>
    <n v="4"/>
    <n v="2"/>
    <n v="17"/>
    <n v="3"/>
    <d v="2013-01-01T00:00:00"/>
    <s v="No"/>
    <x v="1"/>
    <n v="3"/>
    <x v="2"/>
    <x v="0"/>
    <x v="0"/>
  </r>
  <r>
    <s v="REL02654"/>
    <s v="Female"/>
    <n v="25"/>
    <s v="BTech"/>
    <s v="Divorced"/>
    <x v="3"/>
    <s v="Customer Service Rep"/>
    <x v="4"/>
    <x v="5"/>
    <s v="South"/>
    <n v="7"/>
    <n v="52102"/>
    <x v="1"/>
    <n v="4"/>
    <n v="1"/>
    <n v="25"/>
    <n v="3"/>
    <d v="2016-12-10T00:00:00"/>
    <s v="Yes"/>
    <x v="0"/>
    <n v="1"/>
    <x v="1"/>
    <x v="1"/>
    <x v="1"/>
  </r>
  <r>
    <s v="REL02655"/>
    <s v="Female"/>
    <n v="39"/>
    <s v="Post Graduate"/>
    <s v="Single"/>
    <x v="1"/>
    <s v="HR Manager"/>
    <x v="0"/>
    <x v="0"/>
    <s v="North"/>
    <n v="11"/>
    <n v="98717"/>
    <x v="3"/>
    <n v="4"/>
    <n v="4"/>
    <n v="42"/>
    <n v="1"/>
    <d v="2012-12-23T00:00:00"/>
    <s v="Yes"/>
    <x v="1"/>
    <n v="4"/>
    <x v="2"/>
    <x v="1"/>
    <x v="0"/>
  </r>
  <r>
    <s v="REL02656"/>
    <s v="Male"/>
    <n v="40"/>
    <s v="MBA"/>
    <s v="Married"/>
    <x v="4"/>
    <s v="Logistics Coordinator"/>
    <x v="3"/>
    <x v="8"/>
    <s v="South"/>
    <n v="3"/>
    <n v="52669"/>
    <x v="2"/>
    <n v="3"/>
    <n v="1"/>
    <n v="20"/>
    <n v="3"/>
    <d v="2020-07-22T00:00:00"/>
    <s v="Yes"/>
    <x v="0"/>
    <n v="2"/>
    <x v="0"/>
    <x v="1"/>
    <x v="1"/>
  </r>
  <r>
    <s v="REL02657"/>
    <s v="Female"/>
    <n v="43"/>
    <s v="HSC"/>
    <s v="Divorced"/>
    <x v="3"/>
    <s v="Customer Service Rep"/>
    <x v="1"/>
    <x v="3"/>
    <s v="West"/>
    <n v="12"/>
    <n v="55299"/>
    <x v="2"/>
    <n v="4"/>
    <n v="3"/>
    <n v="33"/>
    <n v="0"/>
    <d v="2011-04-04T00:00:00"/>
    <s v="No"/>
    <x v="0"/>
    <n v="2"/>
    <x v="2"/>
    <x v="0"/>
    <x v="1"/>
  </r>
  <r>
    <s v="REL02658"/>
    <s v="Female"/>
    <n v="39"/>
    <s v="Post Graduate"/>
    <s v="Single"/>
    <x v="2"/>
    <s v="HR Manager"/>
    <x v="0"/>
    <x v="8"/>
    <s v="South"/>
    <n v="3"/>
    <n v="78484"/>
    <x v="2"/>
    <n v="2"/>
    <n v="2"/>
    <n v="73"/>
    <n v="3"/>
    <d v="2020-11-12T00:00:00"/>
    <s v="Yes"/>
    <x v="0"/>
    <n v="2"/>
    <x v="0"/>
    <x v="1"/>
    <x v="1"/>
  </r>
  <r>
    <s v="REL02659"/>
    <s v="Female"/>
    <n v="55"/>
    <s v="MBA"/>
    <s v="Married"/>
    <x v="4"/>
    <s v="HR Manager"/>
    <x v="0"/>
    <x v="8"/>
    <s v="South"/>
    <n v="4"/>
    <n v="92436"/>
    <x v="0"/>
    <n v="3"/>
    <n v="1"/>
    <n v="47"/>
    <n v="3"/>
    <d v="2019-07-10T00:00:00"/>
    <s v="No"/>
    <x v="1"/>
    <n v="3"/>
    <x v="0"/>
    <x v="0"/>
    <x v="0"/>
  </r>
  <r>
    <s v="REL02660"/>
    <s v="Male"/>
    <n v="40"/>
    <s v="Graduate"/>
    <s v="Divorced"/>
    <x v="3"/>
    <s v="Operations Head"/>
    <x v="0"/>
    <x v="9"/>
    <s v="West"/>
    <n v="12"/>
    <n v="124755"/>
    <x v="1"/>
    <n v="1"/>
    <n v="4"/>
    <n v="67"/>
    <n v="0"/>
    <d v="2011-04-18T00:00:00"/>
    <s v="No"/>
    <x v="1"/>
    <n v="1"/>
    <x v="2"/>
    <x v="0"/>
    <x v="2"/>
  </r>
  <r>
    <s v="REL02661"/>
    <s v="Male"/>
    <n v="37"/>
    <s v="Graduate"/>
    <s v="Married"/>
    <x v="0"/>
    <s v="Operations Head"/>
    <x v="1"/>
    <x v="3"/>
    <s v="West"/>
    <n v="9"/>
    <n v="112554"/>
    <x v="1"/>
    <n v="3"/>
    <n v="2"/>
    <n v="25"/>
    <n v="1"/>
    <d v="2014-04-18T00:00:00"/>
    <s v="No"/>
    <x v="1"/>
    <n v="1"/>
    <x v="1"/>
    <x v="0"/>
    <x v="2"/>
  </r>
  <r>
    <s v="REL02662"/>
    <s v="Male"/>
    <n v="40"/>
    <s v="BTech"/>
    <s v="Divorced"/>
    <x v="3"/>
    <s v="Customer Service Rep"/>
    <x v="3"/>
    <x v="1"/>
    <s v="North"/>
    <n v="9"/>
    <n v="62806"/>
    <x v="2"/>
    <n v="1"/>
    <n v="1"/>
    <n v="53"/>
    <n v="2"/>
    <d v="2014-12-09T00:00:00"/>
    <s v="No"/>
    <x v="0"/>
    <n v="2"/>
    <x v="1"/>
    <x v="0"/>
    <x v="1"/>
  </r>
  <r>
    <s v="REL02663"/>
    <s v="Male"/>
    <n v="31"/>
    <s v="Post Graduate"/>
    <s v="Married"/>
    <x v="2"/>
    <s v="Operations Head"/>
    <x v="0"/>
    <x v="9"/>
    <s v="West"/>
    <n v="4"/>
    <n v="104493"/>
    <x v="2"/>
    <n v="2"/>
    <n v="3"/>
    <n v="45"/>
    <n v="0"/>
    <d v="2019-07-07T00:00:00"/>
    <s v="No"/>
    <x v="1"/>
    <n v="2"/>
    <x v="0"/>
    <x v="0"/>
    <x v="1"/>
  </r>
  <r>
    <s v="REL02664"/>
    <s v="Female"/>
    <n v="40"/>
    <s v="Post Graduate"/>
    <s v="Married"/>
    <x v="0"/>
    <s v="Marketing Executive"/>
    <x v="1"/>
    <x v="9"/>
    <s v="West"/>
    <n v="7"/>
    <n v="56330"/>
    <x v="3"/>
    <n v="4"/>
    <n v="3"/>
    <n v="51"/>
    <n v="0"/>
    <d v="2016-03-06T00:00:00"/>
    <s v="No"/>
    <x v="0"/>
    <n v="4"/>
    <x v="1"/>
    <x v="2"/>
    <x v="1"/>
  </r>
  <r>
    <s v="REL02665"/>
    <s v="Male"/>
    <n v="47"/>
    <s v="HSC"/>
    <s v="Divorced"/>
    <x v="1"/>
    <s v="HR Manager"/>
    <x v="4"/>
    <x v="9"/>
    <s v="West"/>
    <n v="9"/>
    <n v="85402"/>
    <x v="0"/>
    <n v="2"/>
    <n v="1"/>
    <n v="75"/>
    <n v="0"/>
    <d v="2014-11-28T00:00:00"/>
    <s v="Yes"/>
    <x v="1"/>
    <n v="3"/>
    <x v="1"/>
    <x v="1"/>
    <x v="0"/>
  </r>
  <r>
    <s v="REL02666"/>
    <s v="Male"/>
    <n v="45"/>
    <s v="Graduate"/>
    <s v="Married"/>
    <x v="4"/>
    <s v="Marketing Executive"/>
    <x v="0"/>
    <x v="7"/>
    <s v="East"/>
    <n v="9"/>
    <n v="73217"/>
    <x v="1"/>
    <n v="1"/>
    <n v="3"/>
    <n v="12"/>
    <n v="3"/>
    <d v="2014-04-29T00:00:00"/>
    <s v="Yes"/>
    <x v="0"/>
    <n v="1"/>
    <x v="1"/>
    <x v="1"/>
    <x v="1"/>
  </r>
  <r>
    <s v="REL02667"/>
    <s v="Male"/>
    <n v="30"/>
    <s v="MBA"/>
    <s v="Married"/>
    <x v="6"/>
    <s v="Logistics Coordinator"/>
    <x v="2"/>
    <x v="6"/>
    <s v="South"/>
    <n v="8"/>
    <n v="56875"/>
    <x v="0"/>
    <n v="4"/>
    <n v="2"/>
    <n v="10"/>
    <n v="3"/>
    <d v="2015-01-03T00:00:00"/>
    <s v="No"/>
    <x v="0"/>
    <n v="3"/>
    <x v="1"/>
    <x v="0"/>
    <x v="0"/>
  </r>
  <r>
    <s v="REL02668"/>
    <s v="Male"/>
    <n v="50"/>
    <s v="BTech"/>
    <s v="Divorced"/>
    <x v="0"/>
    <s v="Finance Analyst"/>
    <x v="0"/>
    <x v="4"/>
    <s v="North"/>
    <n v="1"/>
    <n v="68823"/>
    <x v="1"/>
    <n v="4"/>
    <n v="4"/>
    <n v="52"/>
    <n v="1"/>
    <d v="2022-02-07T00:00:00"/>
    <s v="No"/>
    <x v="0"/>
    <n v="1"/>
    <x v="3"/>
    <x v="3"/>
    <x v="1"/>
  </r>
  <r>
    <s v="REL02669"/>
    <s v="Female"/>
    <n v="28"/>
    <s v="BTech"/>
    <s v="Divorced"/>
    <x v="6"/>
    <s v="Sales Executive"/>
    <x v="2"/>
    <x v="5"/>
    <s v="South"/>
    <n v="10"/>
    <n v="67012"/>
    <x v="1"/>
    <n v="2"/>
    <n v="3"/>
    <n v="67"/>
    <n v="1"/>
    <d v="2013-08-15T00:00:00"/>
    <s v="Yes"/>
    <x v="0"/>
    <n v="1"/>
    <x v="1"/>
    <x v="1"/>
    <x v="1"/>
  </r>
  <r>
    <s v="REL02670"/>
    <s v="Male"/>
    <n v="42"/>
    <s v="BTech"/>
    <s v="Divorced"/>
    <x v="3"/>
    <s v="Store Manager"/>
    <x v="3"/>
    <x v="1"/>
    <s v="North"/>
    <n v="12"/>
    <n v="102296"/>
    <x v="0"/>
    <n v="3"/>
    <n v="2"/>
    <n v="71"/>
    <n v="2"/>
    <d v="2011-07-08T00:00:00"/>
    <s v="No"/>
    <x v="1"/>
    <n v="3"/>
    <x v="2"/>
    <x v="0"/>
    <x v="0"/>
  </r>
  <r>
    <s v="REL02671"/>
    <s v="Male"/>
    <n v="50"/>
    <s v="BTech"/>
    <s v="Single"/>
    <x v="7"/>
    <s v="Customer Service Rep"/>
    <x v="4"/>
    <x v="9"/>
    <s v="West"/>
    <n v="11"/>
    <n v="54336"/>
    <x v="2"/>
    <n v="1"/>
    <n v="2"/>
    <n v="48"/>
    <n v="3"/>
    <d v="2012-09-21T00:00:00"/>
    <s v="No"/>
    <x v="0"/>
    <n v="2"/>
    <x v="2"/>
    <x v="0"/>
    <x v="1"/>
  </r>
  <r>
    <s v="REL02672"/>
    <s v="Male"/>
    <n v="31"/>
    <s v="Graduate"/>
    <s v="Single"/>
    <x v="6"/>
    <s v="Sales Executive"/>
    <x v="4"/>
    <x v="7"/>
    <s v="East"/>
    <n v="12"/>
    <n v="69230"/>
    <x v="1"/>
    <n v="1"/>
    <n v="1"/>
    <n v="31"/>
    <n v="3"/>
    <d v="2011-02-16T00:00:00"/>
    <s v="Yes"/>
    <x v="0"/>
    <n v="1"/>
    <x v="2"/>
    <x v="1"/>
    <x v="1"/>
  </r>
  <r>
    <s v="REL02673"/>
    <s v="Male"/>
    <n v="30"/>
    <s v="HSC"/>
    <s v="Single"/>
    <x v="6"/>
    <s v="Finance Analyst"/>
    <x v="0"/>
    <x v="1"/>
    <s v="North"/>
    <n v="15"/>
    <n v="81848"/>
    <x v="2"/>
    <n v="1"/>
    <n v="4"/>
    <n v="34"/>
    <n v="0"/>
    <d v="2008-07-09T00:00:00"/>
    <s v="Yes"/>
    <x v="1"/>
    <n v="2"/>
    <x v="2"/>
    <x v="1"/>
    <x v="1"/>
  </r>
  <r>
    <s v="REL02674"/>
    <s v="Male"/>
    <n v="51"/>
    <s v="BTech"/>
    <s v="Divorced"/>
    <x v="0"/>
    <s v="Finance Analyst"/>
    <x v="0"/>
    <x v="4"/>
    <s v="North"/>
    <n v="15"/>
    <n v="92552"/>
    <x v="0"/>
    <n v="2"/>
    <n v="4"/>
    <n v="46"/>
    <n v="3"/>
    <d v="2008-09-20T00:00:00"/>
    <s v="No"/>
    <x v="1"/>
    <n v="3"/>
    <x v="2"/>
    <x v="0"/>
    <x v="0"/>
  </r>
  <r>
    <s v="REL02675"/>
    <s v="Male"/>
    <n v="38"/>
    <s v="Post Graduate"/>
    <s v="Divorced"/>
    <x v="3"/>
    <s v="Marketing Executive"/>
    <x v="3"/>
    <x v="6"/>
    <s v="South"/>
    <n v="6"/>
    <n v="54911"/>
    <x v="1"/>
    <n v="4"/>
    <n v="2"/>
    <n v="13"/>
    <n v="3"/>
    <d v="2017-07-08T00:00:00"/>
    <s v="No"/>
    <x v="0"/>
    <n v="1"/>
    <x v="1"/>
    <x v="0"/>
    <x v="1"/>
  </r>
  <r>
    <s v="REL02676"/>
    <s v="Female"/>
    <n v="29"/>
    <s v="BTech"/>
    <s v="Divorced"/>
    <x v="7"/>
    <s v="Sales Executive"/>
    <x v="1"/>
    <x v="7"/>
    <s v="East"/>
    <n v="12"/>
    <n v="64173"/>
    <x v="0"/>
    <n v="4"/>
    <n v="3"/>
    <n v="50"/>
    <n v="3"/>
    <d v="2011-08-29T00:00:00"/>
    <s v="No"/>
    <x v="0"/>
    <n v="3"/>
    <x v="2"/>
    <x v="0"/>
    <x v="0"/>
  </r>
  <r>
    <s v="REL02677"/>
    <s v="Male"/>
    <n v="44"/>
    <s v="MBA"/>
    <s v="Single"/>
    <x v="4"/>
    <s v="HR Manager"/>
    <x v="2"/>
    <x v="6"/>
    <s v="South"/>
    <n v="1"/>
    <n v="83159"/>
    <x v="2"/>
    <n v="4"/>
    <n v="3"/>
    <n v="10"/>
    <n v="3"/>
    <d v="2022-01-26T00:00:00"/>
    <s v="No"/>
    <x v="1"/>
    <n v="2"/>
    <x v="3"/>
    <x v="0"/>
    <x v="1"/>
  </r>
  <r>
    <s v="REL02678"/>
    <s v="Male"/>
    <n v="49"/>
    <s v="MBA"/>
    <s v="Single"/>
    <x v="5"/>
    <s v="Sales Executive"/>
    <x v="4"/>
    <x v="3"/>
    <s v="West"/>
    <n v="6"/>
    <n v="45885"/>
    <x v="0"/>
    <n v="1"/>
    <n v="4"/>
    <n v="55"/>
    <n v="0"/>
    <d v="2017-09-26T00:00:00"/>
    <s v="Yes"/>
    <x v="2"/>
    <n v="3"/>
    <x v="1"/>
    <x v="1"/>
    <x v="1"/>
  </r>
  <r>
    <s v="REL02679"/>
    <s v="Female"/>
    <n v="22"/>
    <s v="Graduate"/>
    <s v="Divorced"/>
    <x v="4"/>
    <s v="Sales Executive"/>
    <x v="0"/>
    <x v="8"/>
    <s v="South"/>
    <n v="7"/>
    <n v="57375"/>
    <x v="1"/>
    <n v="3"/>
    <n v="1"/>
    <n v="44"/>
    <n v="1"/>
    <d v="2016-05-12T00:00:00"/>
    <s v="No"/>
    <x v="0"/>
    <n v="1"/>
    <x v="1"/>
    <x v="0"/>
    <x v="1"/>
  </r>
  <r>
    <s v="REL02680"/>
    <s v="Female"/>
    <n v="41"/>
    <s v="MBA"/>
    <s v="Married"/>
    <x v="0"/>
    <s v="Logistics Coordinator"/>
    <x v="4"/>
    <x v="8"/>
    <s v="South"/>
    <n v="3"/>
    <n v="53190"/>
    <x v="3"/>
    <n v="4"/>
    <n v="4"/>
    <n v="56"/>
    <n v="3"/>
    <d v="2020-05-14T00:00:00"/>
    <s v="No"/>
    <x v="0"/>
    <n v="4"/>
    <x v="0"/>
    <x v="2"/>
    <x v="1"/>
  </r>
  <r>
    <s v="REL02681"/>
    <s v="Female"/>
    <n v="55"/>
    <s v="HSC"/>
    <s v="Divorced"/>
    <x v="3"/>
    <s v="Operations Head"/>
    <x v="1"/>
    <x v="5"/>
    <s v="South"/>
    <n v="8"/>
    <n v="103739"/>
    <x v="1"/>
    <n v="1"/>
    <n v="2"/>
    <n v="40"/>
    <n v="1"/>
    <d v="2016-01-02T00:00:00"/>
    <s v="Yes"/>
    <x v="1"/>
    <n v="1"/>
    <x v="1"/>
    <x v="1"/>
    <x v="2"/>
  </r>
  <r>
    <s v="REL02682"/>
    <s v="Male"/>
    <n v="46"/>
    <s v="HSC"/>
    <s v="Single"/>
    <x v="4"/>
    <s v="Operations Head"/>
    <x v="3"/>
    <x v="3"/>
    <s v="West"/>
    <n v="2"/>
    <n v="104900"/>
    <x v="0"/>
    <n v="4"/>
    <n v="2"/>
    <n v="11"/>
    <n v="2"/>
    <d v="2021-06-01T00:00:00"/>
    <s v="Yes"/>
    <x v="1"/>
    <n v="3"/>
    <x v="3"/>
    <x v="1"/>
    <x v="0"/>
  </r>
  <r>
    <s v="REL02683"/>
    <s v="Male"/>
    <n v="25"/>
    <s v="BTech"/>
    <s v="Divorced"/>
    <x v="4"/>
    <s v="Sales Executive"/>
    <x v="2"/>
    <x v="5"/>
    <s v="South"/>
    <n v="8"/>
    <n v="59692"/>
    <x v="3"/>
    <n v="4"/>
    <n v="1"/>
    <n v="55"/>
    <n v="0"/>
    <d v="2015-03-13T00:00:00"/>
    <s v="No"/>
    <x v="0"/>
    <n v="4"/>
    <x v="1"/>
    <x v="2"/>
    <x v="1"/>
  </r>
  <r>
    <s v="REL02684"/>
    <s v="Female"/>
    <n v="51"/>
    <s v="Graduate"/>
    <s v="Married"/>
    <x v="2"/>
    <s v="Sales Executive"/>
    <x v="4"/>
    <x v="9"/>
    <s v="West"/>
    <n v="7"/>
    <n v="57018"/>
    <x v="1"/>
    <n v="1"/>
    <n v="3"/>
    <n v="25"/>
    <n v="0"/>
    <d v="2016-09-12T00:00:00"/>
    <s v="Yes"/>
    <x v="0"/>
    <n v="1"/>
    <x v="1"/>
    <x v="1"/>
    <x v="1"/>
  </r>
  <r>
    <s v="REL02685"/>
    <s v="Female"/>
    <n v="50"/>
    <s v="Graduate"/>
    <s v="Divorced"/>
    <x v="7"/>
    <s v="Marketing Executive"/>
    <x v="3"/>
    <x v="9"/>
    <s v="West"/>
    <n v="11"/>
    <n v="65404"/>
    <x v="1"/>
    <n v="4"/>
    <n v="1"/>
    <n v="80"/>
    <n v="3"/>
    <d v="2012-08-11T00:00:00"/>
    <s v="No"/>
    <x v="0"/>
    <n v="1"/>
    <x v="2"/>
    <x v="0"/>
    <x v="1"/>
  </r>
  <r>
    <s v="REL02686"/>
    <s v="Female"/>
    <n v="55"/>
    <s v="HSC"/>
    <s v="Divorced"/>
    <x v="6"/>
    <s v="Marketing Executive"/>
    <x v="4"/>
    <x v="8"/>
    <s v="South"/>
    <n v="3"/>
    <n v="46602"/>
    <x v="0"/>
    <n v="4"/>
    <n v="4"/>
    <n v="79"/>
    <n v="1"/>
    <d v="2020-01-25T00:00:00"/>
    <s v="No"/>
    <x v="2"/>
    <n v="3"/>
    <x v="0"/>
    <x v="0"/>
    <x v="1"/>
  </r>
  <r>
    <s v="REL02687"/>
    <s v="Female"/>
    <n v="33"/>
    <s v="MBA"/>
    <s v="Married"/>
    <x v="1"/>
    <s v="Logistics Coordinator"/>
    <x v="3"/>
    <x v="8"/>
    <s v="South"/>
    <n v="10"/>
    <n v="72400"/>
    <x v="2"/>
    <n v="2"/>
    <n v="2"/>
    <n v="11"/>
    <n v="0"/>
    <d v="2013-04-03T00:00:00"/>
    <s v="No"/>
    <x v="0"/>
    <n v="2"/>
    <x v="1"/>
    <x v="0"/>
    <x v="1"/>
  </r>
  <r>
    <s v="REL02688"/>
    <s v="Male"/>
    <n v="29"/>
    <s v="Post Graduate"/>
    <s v="Single"/>
    <x v="7"/>
    <s v="Finance Analyst"/>
    <x v="4"/>
    <x v="4"/>
    <s v="North"/>
    <n v="5"/>
    <n v="70910"/>
    <x v="2"/>
    <n v="4"/>
    <n v="4"/>
    <n v="29"/>
    <n v="0"/>
    <d v="2018-07-05T00:00:00"/>
    <s v="No"/>
    <x v="0"/>
    <n v="2"/>
    <x v="0"/>
    <x v="0"/>
    <x v="1"/>
  </r>
  <r>
    <s v="REL02689"/>
    <s v="Male"/>
    <n v="40"/>
    <s v="MBA"/>
    <s v="Married"/>
    <x v="5"/>
    <s v="Sales Executive"/>
    <x v="3"/>
    <x v="0"/>
    <s v="North"/>
    <n v="13"/>
    <n v="65077"/>
    <x v="1"/>
    <n v="1"/>
    <n v="2"/>
    <n v="67"/>
    <n v="0"/>
    <d v="2010-10-15T00:00:00"/>
    <s v="No"/>
    <x v="0"/>
    <n v="1"/>
    <x v="2"/>
    <x v="0"/>
    <x v="1"/>
  </r>
  <r>
    <s v="REL02690"/>
    <s v="Female"/>
    <n v="37"/>
    <s v="MBA"/>
    <s v="Divorced"/>
    <x v="5"/>
    <s v="HR Manager"/>
    <x v="4"/>
    <x v="2"/>
    <s v="West"/>
    <n v="11"/>
    <n v="94098"/>
    <x v="2"/>
    <n v="1"/>
    <n v="2"/>
    <n v="25"/>
    <n v="0"/>
    <d v="2012-06-26T00:00:00"/>
    <s v="Yes"/>
    <x v="1"/>
    <n v="2"/>
    <x v="2"/>
    <x v="1"/>
    <x v="1"/>
  </r>
  <r>
    <s v="REL02691"/>
    <s v="Male"/>
    <n v="39"/>
    <s v="MBA"/>
    <s v="Divorced"/>
    <x v="2"/>
    <s v="Marketing Executive"/>
    <x v="1"/>
    <x v="7"/>
    <s v="East"/>
    <n v="12"/>
    <n v="76491"/>
    <x v="3"/>
    <n v="1"/>
    <n v="3"/>
    <n v="65"/>
    <n v="2"/>
    <d v="2011-12-24T00:00:00"/>
    <s v="No"/>
    <x v="0"/>
    <n v="4"/>
    <x v="2"/>
    <x v="2"/>
    <x v="1"/>
  </r>
  <r>
    <s v="REL02692"/>
    <s v="Male"/>
    <n v="38"/>
    <s v="Post Graduate"/>
    <s v="Married"/>
    <x v="4"/>
    <s v="Sales Executive"/>
    <x v="4"/>
    <x v="8"/>
    <s v="South"/>
    <n v="11"/>
    <n v="62767"/>
    <x v="2"/>
    <n v="1"/>
    <n v="1"/>
    <n v="30"/>
    <n v="3"/>
    <d v="2012-02-29T00:00:00"/>
    <s v="Yes"/>
    <x v="0"/>
    <n v="2"/>
    <x v="2"/>
    <x v="1"/>
    <x v="1"/>
  </r>
  <r>
    <s v="REL02693"/>
    <s v="Female"/>
    <n v="27"/>
    <s v="MBA"/>
    <s v="Divorced"/>
    <x v="0"/>
    <s v="Store Manager"/>
    <x v="4"/>
    <x v="1"/>
    <s v="North"/>
    <n v="11"/>
    <n v="110852"/>
    <x v="1"/>
    <n v="4"/>
    <n v="4"/>
    <n v="22"/>
    <n v="0"/>
    <d v="2012-08-07T00:00:00"/>
    <s v="Yes"/>
    <x v="1"/>
    <n v="1"/>
    <x v="2"/>
    <x v="1"/>
    <x v="2"/>
  </r>
  <r>
    <s v="REL02694"/>
    <s v="Male"/>
    <n v="43"/>
    <s v="BTech"/>
    <s v="Divorced"/>
    <x v="7"/>
    <s v="Store Manager"/>
    <x v="2"/>
    <x v="9"/>
    <s v="West"/>
    <n v="3"/>
    <n v="94409"/>
    <x v="2"/>
    <n v="3"/>
    <n v="2"/>
    <n v="45"/>
    <n v="0"/>
    <d v="2020-12-07T00:00:00"/>
    <s v="No"/>
    <x v="1"/>
    <n v="2"/>
    <x v="0"/>
    <x v="0"/>
    <x v="1"/>
  </r>
  <r>
    <s v="REL02695"/>
    <s v="Male"/>
    <n v="36"/>
    <s v="Graduate"/>
    <s v="Single"/>
    <x v="7"/>
    <s v="Finance Analyst"/>
    <x v="3"/>
    <x v="8"/>
    <s v="South"/>
    <n v="12"/>
    <n v="79788"/>
    <x v="2"/>
    <n v="1"/>
    <n v="3"/>
    <n v="18"/>
    <n v="3"/>
    <d v="2012-01-01T00:00:00"/>
    <s v="No"/>
    <x v="0"/>
    <n v="2"/>
    <x v="2"/>
    <x v="0"/>
    <x v="1"/>
  </r>
  <r>
    <s v="REL02696"/>
    <s v="Female"/>
    <n v="48"/>
    <s v="HSC"/>
    <s v="Divorced"/>
    <x v="7"/>
    <s v="HR Manager"/>
    <x v="0"/>
    <x v="0"/>
    <s v="North"/>
    <n v="3"/>
    <n v="81161"/>
    <x v="1"/>
    <n v="1"/>
    <n v="3"/>
    <n v="54"/>
    <n v="1"/>
    <d v="2020-02-12T00:00:00"/>
    <s v="Yes"/>
    <x v="1"/>
    <n v="1"/>
    <x v="0"/>
    <x v="1"/>
    <x v="2"/>
  </r>
  <r>
    <s v="REL02697"/>
    <s v="Male"/>
    <n v="38"/>
    <s v="BTech"/>
    <s v="Single"/>
    <x v="5"/>
    <s v="Store Manager"/>
    <x v="4"/>
    <x v="6"/>
    <s v="South"/>
    <n v="2"/>
    <n v="83465"/>
    <x v="3"/>
    <n v="2"/>
    <n v="4"/>
    <n v="72"/>
    <n v="3"/>
    <d v="2021-09-05T00:00:00"/>
    <s v="No"/>
    <x v="1"/>
    <n v="4"/>
    <x v="3"/>
    <x v="2"/>
    <x v="0"/>
  </r>
  <r>
    <s v="REL02698"/>
    <s v="Male"/>
    <n v="45"/>
    <s v="HSC"/>
    <s v="Married"/>
    <x v="5"/>
    <s v="HR Manager"/>
    <x v="1"/>
    <x v="3"/>
    <s v="West"/>
    <n v="14"/>
    <n v="106849"/>
    <x v="2"/>
    <n v="2"/>
    <n v="3"/>
    <n v="42"/>
    <n v="1"/>
    <d v="2009-10-08T00:00:00"/>
    <s v="No"/>
    <x v="1"/>
    <n v="2"/>
    <x v="2"/>
    <x v="0"/>
    <x v="1"/>
  </r>
  <r>
    <s v="REL02699"/>
    <s v="Female"/>
    <n v="39"/>
    <s v="Graduate"/>
    <s v="Divorced"/>
    <x v="1"/>
    <s v="Sales Executive"/>
    <x v="1"/>
    <x v="0"/>
    <s v="North"/>
    <n v="2"/>
    <n v="44267"/>
    <x v="3"/>
    <n v="3"/>
    <n v="1"/>
    <n v="36"/>
    <n v="2"/>
    <d v="2021-05-02T00:00:00"/>
    <s v="No"/>
    <x v="2"/>
    <n v="4"/>
    <x v="3"/>
    <x v="2"/>
    <x v="1"/>
  </r>
  <r>
    <s v="REL02700"/>
    <s v="Female"/>
    <n v="37"/>
    <s v="Graduate"/>
    <s v="Married"/>
    <x v="1"/>
    <s v="Customer Service Rep"/>
    <x v="2"/>
    <x v="7"/>
    <s v="East"/>
    <n v="8"/>
    <n v="41456"/>
    <x v="0"/>
    <n v="3"/>
    <n v="2"/>
    <n v="50"/>
    <n v="1"/>
    <d v="2015-09-15T00:00:00"/>
    <s v="No"/>
    <x v="2"/>
    <n v="3"/>
    <x v="1"/>
    <x v="0"/>
    <x v="1"/>
  </r>
  <r>
    <s v="REL02701"/>
    <s v="Female"/>
    <n v="52"/>
    <s v="BTech"/>
    <s v="Married"/>
    <x v="3"/>
    <s v="HR Manager"/>
    <x v="0"/>
    <x v="5"/>
    <s v="South"/>
    <n v="5"/>
    <n v="78145"/>
    <x v="0"/>
    <n v="3"/>
    <n v="4"/>
    <n v="31"/>
    <n v="0"/>
    <d v="2018-03-17T00:00:00"/>
    <s v="No"/>
    <x v="0"/>
    <n v="3"/>
    <x v="0"/>
    <x v="0"/>
    <x v="0"/>
  </r>
  <r>
    <s v="REL02702"/>
    <s v="Female"/>
    <n v="42"/>
    <s v="BTech"/>
    <s v="Single"/>
    <x v="1"/>
    <s v="Store Manager"/>
    <x v="2"/>
    <x v="9"/>
    <s v="West"/>
    <n v="1"/>
    <n v="90772"/>
    <x v="2"/>
    <n v="3"/>
    <n v="2"/>
    <n v="47"/>
    <n v="0"/>
    <d v="2022-01-13T00:00:00"/>
    <s v="No"/>
    <x v="1"/>
    <n v="2"/>
    <x v="3"/>
    <x v="0"/>
    <x v="1"/>
  </r>
  <r>
    <s v="REL02703"/>
    <s v="Male"/>
    <n v="50"/>
    <s v="Graduate"/>
    <s v="Married"/>
    <x v="3"/>
    <s v="Customer Service Rep"/>
    <x v="1"/>
    <x v="9"/>
    <s v="West"/>
    <n v="3"/>
    <n v="42380"/>
    <x v="1"/>
    <n v="2"/>
    <n v="3"/>
    <n v="74"/>
    <n v="3"/>
    <d v="2020-10-01T00:00:00"/>
    <s v="Yes"/>
    <x v="2"/>
    <n v="1"/>
    <x v="0"/>
    <x v="1"/>
    <x v="1"/>
  </r>
  <r>
    <s v="REL02704"/>
    <s v="Male"/>
    <n v="48"/>
    <s v="Post Graduate"/>
    <s v="Single"/>
    <x v="6"/>
    <s v="Customer Service Rep"/>
    <x v="4"/>
    <x v="5"/>
    <s v="South"/>
    <n v="6"/>
    <n v="54645"/>
    <x v="3"/>
    <n v="1"/>
    <n v="4"/>
    <n v="68"/>
    <n v="2"/>
    <d v="2017-01-21T00:00:00"/>
    <s v="No"/>
    <x v="0"/>
    <n v="4"/>
    <x v="1"/>
    <x v="2"/>
    <x v="1"/>
  </r>
  <r>
    <s v="REL02705"/>
    <s v="Female"/>
    <n v="28"/>
    <s v="HSC"/>
    <s v="Married"/>
    <x v="2"/>
    <s v="HR Manager"/>
    <x v="4"/>
    <x v="3"/>
    <s v="West"/>
    <n v="4"/>
    <n v="87720"/>
    <x v="2"/>
    <n v="4"/>
    <n v="3"/>
    <n v="58"/>
    <n v="3"/>
    <d v="2019-09-14T00:00:00"/>
    <s v="Yes"/>
    <x v="1"/>
    <n v="2"/>
    <x v="0"/>
    <x v="1"/>
    <x v="1"/>
  </r>
  <r>
    <s v="REL02706"/>
    <s v="Female"/>
    <n v="37"/>
    <s v="BTech"/>
    <s v="Single"/>
    <x v="7"/>
    <s v="Finance Analyst"/>
    <x v="4"/>
    <x v="5"/>
    <s v="South"/>
    <n v="8"/>
    <n v="66258"/>
    <x v="0"/>
    <n v="1"/>
    <n v="2"/>
    <n v="29"/>
    <n v="1"/>
    <d v="2015-12-19T00:00:00"/>
    <s v="No"/>
    <x v="0"/>
    <n v="3"/>
    <x v="1"/>
    <x v="0"/>
    <x v="0"/>
  </r>
  <r>
    <s v="REL02707"/>
    <s v="Female"/>
    <n v="43"/>
    <s v="Graduate"/>
    <s v="Single"/>
    <x v="6"/>
    <s v="Customer Service Rep"/>
    <x v="0"/>
    <x v="4"/>
    <s v="North"/>
    <n v="12"/>
    <n v="55398"/>
    <x v="1"/>
    <n v="3"/>
    <n v="4"/>
    <n v="29"/>
    <n v="1"/>
    <d v="2011-08-19T00:00:00"/>
    <s v="Yes"/>
    <x v="0"/>
    <n v="1"/>
    <x v="2"/>
    <x v="1"/>
    <x v="1"/>
  </r>
  <r>
    <s v="REL02708"/>
    <s v="Female"/>
    <n v="30"/>
    <s v="BTech"/>
    <s v="Divorced"/>
    <x v="0"/>
    <s v="Operations Head"/>
    <x v="1"/>
    <x v="6"/>
    <s v="South"/>
    <n v="13"/>
    <n v="124364"/>
    <x v="0"/>
    <n v="4"/>
    <n v="1"/>
    <n v="36"/>
    <n v="0"/>
    <d v="2010-01-23T00:00:00"/>
    <s v="No"/>
    <x v="1"/>
    <n v="3"/>
    <x v="2"/>
    <x v="0"/>
    <x v="0"/>
  </r>
  <r>
    <s v="REL02709"/>
    <s v="Female"/>
    <n v="43"/>
    <s v="Graduate"/>
    <s v="Single"/>
    <x v="2"/>
    <s v="Logistics Coordinator"/>
    <x v="1"/>
    <x v="9"/>
    <s v="West"/>
    <n v="1"/>
    <n v="55687"/>
    <x v="1"/>
    <n v="4"/>
    <n v="2"/>
    <n v="76"/>
    <n v="1"/>
    <d v="2022-09-20T00:00:00"/>
    <s v="No"/>
    <x v="0"/>
    <n v="1"/>
    <x v="3"/>
    <x v="3"/>
    <x v="1"/>
  </r>
  <r>
    <s v="REL02710"/>
    <s v="Female"/>
    <n v="54"/>
    <s v="HSC"/>
    <s v="Divorced"/>
    <x v="3"/>
    <s v="Logistics Coordinator"/>
    <x v="4"/>
    <x v="4"/>
    <s v="North"/>
    <n v="3"/>
    <n v="41482"/>
    <x v="1"/>
    <n v="4"/>
    <n v="1"/>
    <n v="17"/>
    <n v="1"/>
    <d v="2020-09-29T00:00:00"/>
    <s v="No"/>
    <x v="2"/>
    <n v="1"/>
    <x v="0"/>
    <x v="0"/>
    <x v="1"/>
  </r>
  <r>
    <s v="REL02711"/>
    <s v="Male"/>
    <n v="46"/>
    <s v="BTech"/>
    <s v="Married"/>
    <x v="1"/>
    <s v="Customer Service Rep"/>
    <x v="4"/>
    <x v="2"/>
    <s v="West"/>
    <n v="7"/>
    <n v="52604"/>
    <x v="2"/>
    <n v="1"/>
    <n v="2"/>
    <n v="37"/>
    <n v="2"/>
    <d v="2016-07-25T00:00:00"/>
    <s v="No"/>
    <x v="0"/>
    <n v="2"/>
    <x v="1"/>
    <x v="0"/>
    <x v="1"/>
  </r>
  <r>
    <s v="REL02712"/>
    <s v="Female"/>
    <n v="28"/>
    <s v="HSC"/>
    <s v="Divorced"/>
    <x v="0"/>
    <s v="Store Manager"/>
    <x v="1"/>
    <x v="6"/>
    <s v="South"/>
    <n v="13"/>
    <n v="118212"/>
    <x v="1"/>
    <n v="2"/>
    <n v="2"/>
    <n v="61"/>
    <n v="0"/>
    <d v="2011-01-03T00:00:00"/>
    <s v="Yes"/>
    <x v="1"/>
    <n v="1"/>
    <x v="2"/>
    <x v="1"/>
    <x v="2"/>
  </r>
  <r>
    <s v="REL02713"/>
    <s v="Female"/>
    <n v="39"/>
    <s v="Post Graduate"/>
    <s v="Married"/>
    <x v="6"/>
    <s v="Customer Service Rep"/>
    <x v="1"/>
    <x v="5"/>
    <s v="South"/>
    <n v="9"/>
    <n v="61296"/>
    <x v="3"/>
    <n v="2"/>
    <n v="1"/>
    <n v="35"/>
    <n v="1"/>
    <d v="2014-08-10T00:00:00"/>
    <s v="No"/>
    <x v="0"/>
    <n v="4"/>
    <x v="1"/>
    <x v="2"/>
    <x v="1"/>
  </r>
  <r>
    <s v="REL02714"/>
    <s v="Male"/>
    <n v="41"/>
    <s v="Post Graduate"/>
    <s v="Divorced"/>
    <x v="7"/>
    <s v="Marketing Executive"/>
    <x v="3"/>
    <x v="2"/>
    <s v="West"/>
    <n v="4"/>
    <n v="50380"/>
    <x v="1"/>
    <n v="3"/>
    <n v="2"/>
    <n v="15"/>
    <n v="3"/>
    <d v="2019-01-17T00:00:00"/>
    <s v="Yes"/>
    <x v="0"/>
    <n v="1"/>
    <x v="0"/>
    <x v="1"/>
    <x v="1"/>
  </r>
  <r>
    <s v="REL02715"/>
    <s v="Male"/>
    <n v="26"/>
    <s v="BTech"/>
    <s v="Divorced"/>
    <x v="7"/>
    <s v="Operations Head"/>
    <x v="0"/>
    <x v="4"/>
    <s v="North"/>
    <n v="9"/>
    <n v="108786"/>
    <x v="1"/>
    <n v="4"/>
    <n v="3"/>
    <n v="69"/>
    <n v="1"/>
    <d v="2014-11-02T00:00:00"/>
    <s v="No"/>
    <x v="1"/>
    <n v="1"/>
    <x v="1"/>
    <x v="0"/>
    <x v="2"/>
  </r>
  <r>
    <s v="REL02716"/>
    <s v="Female"/>
    <n v="41"/>
    <s v="MBA"/>
    <s v="Single"/>
    <x v="2"/>
    <s v="HR Manager"/>
    <x v="2"/>
    <x v="4"/>
    <s v="North"/>
    <n v="2"/>
    <n v="81663"/>
    <x v="3"/>
    <n v="2"/>
    <n v="1"/>
    <n v="26"/>
    <n v="1"/>
    <d v="2021-02-19T00:00:00"/>
    <s v="No"/>
    <x v="1"/>
    <n v="4"/>
    <x v="3"/>
    <x v="2"/>
    <x v="0"/>
  </r>
  <r>
    <s v="REL02717"/>
    <s v="Male"/>
    <n v="30"/>
    <s v="MBA"/>
    <s v="Married"/>
    <x v="3"/>
    <s v="Sales Executive"/>
    <x v="4"/>
    <x v="0"/>
    <s v="North"/>
    <n v="9"/>
    <n v="62672"/>
    <x v="1"/>
    <n v="1"/>
    <n v="1"/>
    <n v="78"/>
    <n v="2"/>
    <d v="2014-10-05T00:00:00"/>
    <s v="Yes"/>
    <x v="0"/>
    <n v="1"/>
    <x v="1"/>
    <x v="1"/>
    <x v="1"/>
  </r>
  <r>
    <s v="REL02718"/>
    <s v="Male"/>
    <n v="51"/>
    <s v="Post Graduate"/>
    <s v="Married"/>
    <x v="3"/>
    <s v="Store Manager"/>
    <x v="4"/>
    <x v="4"/>
    <s v="North"/>
    <n v="4"/>
    <n v="91575"/>
    <x v="1"/>
    <n v="1"/>
    <n v="1"/>
    <n v="11"/>
    <n v="2"/>
    <d v="2019-07-10T00:00:00"/>
    <s v="Yes"/>
    <x v="1"/>
    <n v="1"/>
    <x v="0"/>
    <x v="1"/>
    <x v="2"/>
  </r>
  <r>
    <s v="REL02719"/>
    <s v="Male"/>
    <n v="42"/>
    <s v="Graduate"/>
    <s v="Single"/>
    <x v="2"/>
    <s v="Sales Executive"/>
    <x v="4"/>
    <x v="5"/>
    <s v="South"/>
    <n v="15"/>
    <n v="75062"/>
    <x v="3"/>
    <n v="4"/>
    <n v="2"/>
    <n v="29"/>
    <n v="1"/>
    <d v="2008-02-02T00:00:00"/>
    <s v="No"/>
    <x v="0"/>
    <n v="4"/>
    <x v="2"/>
    <x v="2"/>
    <x v="1"/>
  </r>
  <r>
    <s v="REL02720"/>
    <s v="Male"/>
    <n v="41"/>
    <s v="Graduate"/>
    <s v="Single"/>
    <x v="0"/>
    <s v="Finance Analyst"/>
    <x v="4"/>
    <x v="1"/>
    <s v="North"/>
    <n v="11"/>
    <n v="73048"/>
    <x v="0"/>
    <n v="3"/>
    <n v="4"/>
    <n v="59"/>
    <n v="0"/>
    <d v="2012-12-19T00:00:00"/>
    <s v="No"/>
    <x v="0"/>
    <n v="3"/>
    <x v="2"/>
    <x v="0"/>
    <x v="0"/>
  </r>
  <r>
    <s v="REL02721"/>
    <s v="Female"/>
    <n v="45"/>
    <s v="Graduate"/>
    <s v="Divorced"/>
    <x v="6"/>
    <s v="HR Manager"/>
    <x v="4"/>
    <x v="5"/>
    <s v="South"/>
    <n v="8"/>
    <n v="97086"/>
    <x v="1"/>
    <n v="1"/>
    <n v="4"/>
    <n v="36"/>
    <n v="2"/>
    <d v="2015-02-14T00:00:00"/>
    <s v="Yes"/>
    <x v="1"/>
    <n v="1"/>
    <x v="1"/>
    <x v="1"/>
    <x v="2"/>
  </r>
  <r>
    <s v="REL02722"/>
    <s v="Male"/>
    <n v="42"/>
    <s v="Graduate"/>
    <s v="Single"/>
    <x v="1"/>
    <s v="Sales Executive"/>
    <x v="2"/>
    <x v="5"/>
    <s v="South"/>
    <n v="1"/>
    <n v="45180"/>
    <x v="2"/>
    <n v="3"/>
    <n v="3"/>
    <n v="58"/>
    <n v="0"/>
    <d v="2022-05-31T00:00:00"/>
    <s v="No"/>
    <x v="2"/>
    <n v="2"/>
    <x v="3"/>
    <x v="0"/>
    <x v="1"/>
  </r>
  <r>
    <s v="REL02723"/>
    <s v="Male"/>
    <n v="30"/>
    <s v="Graduate"/>
    <s v="Divorced"/>
    <x v="1"/>
    <s v="Sales Executive"/>
    <x v="4"/>
    <x v="9"/>
    <s v="West"/>
    <n v="11"/>
    <n v="63073"/>
    <x v="2"/>
    <n v="4"/>
    <n v="4"/>
    <n v="35"/>
    <n v="0"/>
    <d v="2012-09-20T00:00:00"/>
    <s v="Yes"/>
    <x v="0"/>
    <n v="2"/>
    <x v="2"/>
    <x v="1"/>
    <x v="1"/>
  </r>
  <r>
    <s v="REL02724"/>
    <s v="Female"/>
    <n v="48"/>
    <s v="HSC"/>
    <s v="Single"/>
    <x v="3"/>
    <s v="Operations Head"/>
    <x v="0"/>
    <x v="4"/>
    <s v="North"/>
    <n v="8"/>
    <n v="104059"/>
    <x v="3"/>
    <n v="2"/>
    <n v="1"/>
    <n v="38"/>
    <n v="3"/>
    <d v="2015-07-14T00:00:00"/>
    <s v="No"/>
    <x v="1"/>
    <n v="4"/>
    <x v="1"/>
    <x v="2"/>
    <x v="0"/>
  </r>
  <r>
    <s v="REL02725"/>
    <s v="Female"/>
    <n v="54"/>
    <s v="Graduate"/>
    <s v="Divorced"/>
    <x v="5"/>
    <s v="Marketing Executive"/>
    <x v="3"/>
    <x v="5"/>
    <s v="South"/>
    <n v="4"/>
    <n v="67825"/>
    <x v="2"/>
    <n v="1"/>
    <n v="1"/>
    <n v="80"/>
    <n v="2"/>
    <d v="2019-03-07T00:00:00"/>
    <s v="Yes"/>
    <x v="0"/>
    <n v="2"/>
    <x v="0"/>
    <x v="1"/>
    <x v="1"/>
  </r>
  <r>
    <s v="REL02726"/>
    <s v="Female"/>
    <n v="55"/>
    <s v="Post Graduate"/>
    <s v="Divorced"/>
    <x v="6"/>
    <s v="Customer Service Rep"/>
    <x v="2"/>
    <x v="0"/>
    <s v="North"/>
    <n v="8"/>
    <n v="42435"/>
    <x v="1"/>
    <n v="1"/>
    <n v="3"/>
    <n v="60"/>
    <n v="2"/>
    <d v="2015-07-29T00:00:00"/>
    <s v="No"/>
    <x v="2"/>
    <n v="1"/>
    <x v="1"/>
    <x v="0"/>
    <x v="1"/>
  </r>
  <r>
    <s v="REL02727"/>
    <s v="Female"/>
    <n v="46"/>
    <s v="HSC"/>
    <s v="Divorced"/>
    <x v="0"/>
    <s v="Customer Service Rep"/>
    <x v="2"/>
    <x v="3"/>
    <s v="West"/>
    <n v="13"/>
    <n v="62821"/>
    <x v="2"/>
    <n v="2"/>
    <n v="1"/>
    <n v="22"/>
    <n v="0"/>
    <d v="2010-01-24T00:00:00"/>
    <s v="No"/>
    <x v="0"/>
    <n v="2"/>
    <x v="2"/>
    <x v="0"/>
    <x v="1"/>
  </r>
  <r>
    <s v="REL02728"/>
    <s v="Male"/>
    <n v="55"/>
    <s v="BTech"/>
    <s v="Divorced"/>
    <x v="0"/>
    <s v="Store Manager"/>
    <x v="2"/>
    <x v="4"/>
    <s v="North"/>
    <n v="3"/>
    <n v="84110"/>
    <x v="0"/>
    <n v="1"/>
    <n v="4"/>
    <n v="12"/>
    <n v="0"/>
    <d v="2020-07-07T00:00:00"/>
    <s v="No"/>
    <x v="1"/>
    <n v="3"/>
    <x v="0"/>
    <x v="0"/>
    <x v="0"/>
  </r>
  <r>
    <s v="REL02729"/>
    <s v="Female"/>
    <n v="44"/>
    <s v="Graduate"/>
    <s v="Married"/>
    <x v="5"/>
    <s v="Sales Executive"/>
    <x v="4"/>
    <x v="9"/>
    <s v="West"/>
    <n v="6"/>
    <n v="60952"/>
    <x v="1"/>
    <n v="4"/>
    <n v="1"/>
    <n v="60"/>
    <n v="1"/>
    <d v="2017-05-11T00:00:00"/>
    <s v="Yes"/>
    <x v="0"/>
    <n v="1"/>
    <x v="1"/>
    <x v="1"/>
    <x v="1"/>
  </r>
  <r>
    <s v="REL02730"/>
    <s v="Male"/>
    <n v="22"/>
    <s v="Post Graduate"/>
    <s v="Single"/>
    <x v="4"/>
    <s v="Logistics Coordinator"/>
    <x v="2"/>
    <x v="6"/>
    <s v="South"/>
    <n v="6"/>
    <n v="64626"/>
    <x v="1"/>
    <n v="3"/>
    <n v="4"/>
    <n v="20"/>
    <n v="0"/>
    <d v="2017-04-22T00:00:00"/>
    <s v="No"/>
    <x v="0"/>
    <n v="1"/>
    <x v="1"/>
    <x v="0"/>
    <x v="1"/>
  </r>
  <r>
    <s v="REL02731"/>
    <s v="Female"/>
    <n v="40"/>
    <s v="Post Graduate"/>
    <s v="Divorced"/>
    <x v="6"/>
    <s v="Finance Analyst"/>
    <x v="0"/>
    <x v="5"/>
    <s v="South"/>
    <n v="5"/>
    <n v="72340"/>
    <x v="0"/>
    <n v="4"/>
    <n v="1"/>
    <n v="66"/>
    <n v="2"/>
    <d v="2018-11-18T00:00:00"/>
    <s v="No"/>
    <x v="0"/>
    <n v="3"/>
    <x v="0"/>
    <x v="0"/>
    <x v="0"/>
  </r>
  <r>
    <s v="REL02732"/>
    <s v="Male"/>
    <n v="25"/>
    <s v="Post Graduate"/>
    <s v="Divorced"/>
    <x v="1"/>
    <s v="Customer Service Rep"/>
    <x v="4"/>
    <x v="7"/>
    <s v="East"/>
    <n v="6"/>
    <n v="48636"/>
    <x v="2"/>
    <n v="1"/>
    <n v="4"/>
    <n v="54"/>
    <n v="2"/>
    <d v="2017-03-22T00:00:00"/>
    <s v="Yes"/>
    <x v="2"/>
    <n v="2"/>
    <x v="1"/>
    <x v="1"/>
    <x v="1"/>
  </r>
  <r>
    <s v="REL02733"/>
    <s v="Female"/>
    <n v="35"/>
    <s v="MBA"/>
    <s v="Divorced"/>
    <x v="1"/>
    <s v="Operations Head"/>
    <x v="0"/>
    <x v="9"/>
    <s v="West"/>
    <n v="15"/>
    <n v="119431"/>
    <x v="1"/>
    <n v="1"/>
    <n v="1"/>
    <n v="13"/>
    <n v="1"/>
    <d v="2008-10-25T00:00:00"/>
    <s v="No"/>
    <x v="1"/>
    <n v="1"/>
    <x v="2"/>
    <x v="0"/>
    <x v="2"/>
  </r>
  <r>
    <s v="REL02734"/>
    <s v="Male"/>
    <n v="34"/>
    <s v="MBA"/>
    <s v="Single"/>
    <x v="5"/>
    <s v="Logistics Coordinator"/>
    <x v="4"/>
    <x v="8"/>
    <s v="South"/>
    <n v="5"/>
    <n v="54736"/>
    <x v="3"/>
    <n v="4"/>
    <n v="3"/>
    <n v="24"/>
    <n v="3"/>
    <d v="2018-12-12T00:00:00"/>
    <s v="No"/>
    <x v="0"/>
    <n v="4"/>
    <x v="0"/>
    <x v="2"/>
    <x v="1"/>
  </r>
  <r>
    <s v="REL02735"/>
    <s v="Male"/>
    <n v="27"/>
    <s v="Post Graduate"/>
    <s v="Married"/>
    <x v="6"/>
    <s v="Customer Service Rep"/>
    <x v="4"/>
    <x v="3"/>
    <s v="West"/>
    <n v="3"/>
    <n v="36563"/>
    <x v="0"/>
    <n v="1"/>
    <n v="4"/>
    <n v="63"/>
    <n v="1"/>
    <d v="2020-07-20T00:00:00"/>
    <s v="No"/>
    <x v="2"/>
    <n v="3"/>
    <x v="0"/>
    <x v="0"/>
    <x v="1"/>
  </r>
  <r>
    <s v="REL02736"/>
    <s v="Male"/>
    <n v="28"/>
    <s v="MBA"/>
    <s v="Single"/>
    <x v="0"/>
    <s v="Sales Executive"/>
    <x v="1"/>
    <x v="6"/>
    <s v="South"/>
    <n v="5"/>
    <n v="56114"/>
    <x v="2"/>
    <n v="4"/>
    <n v="1"/>
    <n v="54"/>
    <n v="2"/>
    <d v="2018-08-19T00:00:00"/>
    <s v="No"/>
    <x v="0"/>
    <n v="2"/>
    <x v="0"/>
    <x v="0"/>
    <x v="1"/>
  </r>
  <r>
    <s v="REL02737"/>
    <s v="Female"/>
    <n v="28"/>
    <s v="Graduate"/>
    <s v="Divorced"/>
    <x v="3"/>
    <s v="Marketing Executive"/>
    <x v="1"/>
    <x v="1"/>
    <s v="North"/>
    <n v="8"/>
    <n v="62690"/>
    <x v="3"/>
    <n v="2"/>
    <n v="4"/>
    <n v="55"/>
    <n v="3"/>
    <d v="2015-02-25T00:00:00"/>
    <s v="No"/>
    <x v="0"/>
    <n v="4"/>
    <x v="1"/>
    <x v="2"/>
    <x v="1"/>
  </r>
  <r>
    <s v="REL02738"/>
    <s v="Female"/>
    <n v="51"/>
    <s v="BTech"/>
    <s v="Married"/>
    <x v="3"/>
    <s v="Logistics Coordinator"/>
    <x v="4"/>
    <x v="0"/>
    <s v="North"/>
    <n v="5"/>
    <n v="54102"/>
    <x v="1"/>
    <n v="4"/>
    <n v="2"/>
    <n v="52"/>
    <n v="0"/>
    <d v="2018-06-24T00:00:00"/>
    <s v="Yes"/>
    <x v="0"/>
    <n v="1"/>
    <x v="0"/>
    <x v="1"/>
    <x v="1"/>
  </r>
  <r>
    <s v="REL02739"/>
    <s v="Male"/>
    <n v="44"/>
    <s v="MBA"/>
    <s v="Single"/>
    <x v="4"/>
    <s v="Sales Executive"/>
    <x v="0"/>
    <x v="1"/>
    <s v="North"/>
    <n v="12"/>
    <n v="64017"/>
    <x v="3"/>
    <n v="2"/>
    <n v="4"/>
    <n v="25"/>
    <n v="0"/>
    <d v="2011-03-17T00:00:00"/>
    <s v="No"/>
    <x v="0"/>
    <n v="4"/>
    <x v="2"/>
    <x v="2"/>
    <x v="1"/>
  </r>
  <r>
    <s v="REL02740"/>
    <s v="Female"/>
    <n v="31"/>
    <s v="Graduate"/>
    <s v="Single"/>
    <x v="5"/>
    <s v="Marketing Executive"/>
    <x v="0"/>
    <x v="6"/>
    <s v="South"/>
    <n v="5"/>
    <n v="67324"/>
    <x v="3"/>
    <n v="2"/>
    <n v="4"/>
    <n v="53"/>
    <n v="0"/>
    <d v="2018-07-21T00:00:00"/>
    <s v="No"/>
    <x v="0"/>
    <n v="4"/>
    <x v="0"/>
    <x v="2"/>
    <x v="1"/>
  </r>
  <r>
    <s v="REL02741"/>
    <s v="Male"/>
    <n v="43"/>
    <s v="Post Graduate"/>
    <s v="Single"/>
    <x v="2"/>
    <s v="Customer Service Rep"/>
    <x v="1"/>
    <x v="1"/>
    <s v="North"/>
    <n v="13"/>
    <n v="57084"/>
    <x v="3"/>
    <n v="4"/>
    <n v="4"/>
    <n v="38"/>
    <n v="0"/>
    <d v="2010-09-21T00:00:00"/>
    <s v="No"/>
    <x v="0"/>
    <n v="4"/>
    <x v="2"/>
    <x v="2"/>
    <x v="1"/>
  </r>
  <r>
    <s v="REL02742"/>
    <s v="Female"/>
    <n v="51"/>
    <s v="MBA"/>
    <s v="Divorced"/>
    <x v="1"/>
    <s v="Operations Head"/>
    <x v="4"/>
    <x v="1"/>
    <s v="North"/>
    <n v="9"/>
    <n v="103608"/>
    <x v="0"/>
    <n v="2"/>
    <n v="1"/>
    <n v="25"/>
    <n v="0"/>
    <d v="2014-05-28T00:00:00"/>
    <s v="Yes"/>
    <x v="1"/>
    <n v="3"/>
    <x v="1"/>
    <x v="1"/>
    <x v="0"/>
  </r>
  <r>
    <s v="REL02743"/>
    <s v="Female"/>
    <n v="40"/>
    <s v="HSC"/>
    <s v="Married"/>
    <x v="0"/>
    <s v="Finance Analyst"/>
    <x v="3"/>
    <x v="7"/>
    <s v="East"/>
    <n v="10"/>
    <n v="71147"/>
    <x v="3"/>
    <n v="3"/>
    <n v="1"/>
    <n v="65"/>
    <n v="0"/>
    <d v="2013-07-06T00:00:00"/>
    <s v="No"/>
    <x v="0"/>
    <n v="4"/>
    <x v="1"/>
    <x v="2"/>
    <x v="1"/>
  </r>
  <r>
    <s v="REL02744"/>
    <s v="Female"/>
    <n v="37"/>
    <s v="Graduate"/>
    <s v="Divorced"/>
    <x v="1"/>
    <s v="Logistics Coordinator"/>
    <x v="1"/>
    <x v="8"/>
    <s v="South"/>
    <n v="13"/>
    <n v="76427"/>
    <x v="1"/>
    <n v="3"/>
    <n v="3"/>
    <n v="62"/>
    <n v="3"/>
    <d v="2010-02-09T00:00:00"/>
    <s v="No"/>
    <x v="0"/>
    <n v="1"/>
    <x v="2"/>
    <x v="0"/>
    <x v="1"/>
  </r>
  <r>
    <s v="REL02745"/>
    <s v="Male"/>
    <n v="32"/>
    <s v="MBA"/>
    <s v="Single"/>
    <x v="5"/>
    <s v="HR Manager"/>
    <x v="1"/>
    <x v="2"/>
    <s v="West"/>
    <n v="10"/>
    <n v="103454"/>
    <x v="1"/>
    <n v="2"/>
    <n v="3"/>
    <n v="39"/>
    <n v="3"/>
    <d v="2013-06-08T00:00:00"/>
    <s v="Yes"/>
    <x v="1"/>
    <n v="1"/>
    <x v="1"/>
    <x v="1"/>
    <x v="2"/>
  </r>
  <r>
    <s v="REL02746"/>
    <s v="Female"/>
    <n v="28"/>
    <s v="HSC"/>
    <s v="Single"/>
    <x v="1"/>
    <s v="Store Manager"/>
    <x v="1"/>
    <x v="3"/>
    <s v="West"/>
    <n v="10"/>
    <n v="105697"/>
    <x v="3"/>
    <n v="2"/>
    <n v="3"/>
    <n v="34"/>
    <n v="0"/>
    <d v="2013-06-10T00:00:00"/>
    <s v="No"/>
    <x v="1"/>
    <n v="4"/>
    <x v="1"/>
    <x v="2"/>
    <x v="0"/>
  </r>
  <r>
    <s v="REL02747"/>
    <s v="Female"/>
    <n v="24"/>
    <s v="HSC"/>
    <s v="Divorced"/>
    <x v="6"/>
    <s v="Finance Analyst"/>
    <x v="1"/>
    <x v="9"/>
    <s v="West"/>
    <n v="3"/>
    <n v="68604"/>
    <x v="0"/>
    <n v="1"/>
    <n v="1"/>
    <n v="70"/>
    <n v="0"/>
    <d v="2020-11-19T00:00:00"/>
    <s v="No"/>
    <x v="0"/>
    <n v="3"/>
    <x v="0"/>
    <x v="0"/>
    <x v="0"/>
  </r>
  <r>
    <s v="REL02748"/>
    <s v="Male"/>
    <n v="51"/>
    <s v="Post Graduate"/>
    <s v="Divorced"/>
    <x v="4"/>
    <s v="Marketing Executive"/>
    <x v="2"/>
    <x v="6"/>
    <s v="South"/>
    <n v="7"/>
    <n v="68464"/>
    <x v="0"/>
    <n v="1"/>
    <n v="1"/>
    <n v="37"/>
    <n v="0"/>
    <d v="2016-01-30T00:00:00"/>
    <s v="No"/>
    <x v="0"/>
    <n v="3"/>
    <x v="1"/>
    <x v="0"/>
    <x v="0"/>
  </r>
  <r>
    <s v="REL02749"/>
    <s v="Female"/>
    <n v="31"/>
    <s v="MBA"/>
    <s v="Single"/>
    <x v="4"/>
    <s v="Marketing Executive"/>
    <x v="2"/>
    <x v="1"/>
    <s v="North"/>
    <n v="2"/>
    <n v="55287"/>
    <x v="2"/>
    <n v="1"/>
    <n v="1"/>
    <n v="46"/>
    <n v="3"/>
    <d v="2021-11-01T00:00:00"/>
    <s v="No"/>
    <x v="0"/>
    <n v="2"/>
    <x v="3"/>
    <x v="0"/>
    <x v="1"/>
  </r>
  <r>
    <s v="REL02750"/>
    <s v="Female"/>
    <n v="41"/>
    <s v="Graduate"/>
    <s v="Married"/>
    <x v="3"/>
    <s v="Operations Head"/>
    <x v="4"/>
    <x v="2"/>
    <s v="West"/>
    <n v="4"/>
    <n v="108114"/>
    <x v="1"/>
    <n v="3"/>
    <n v="3"/>
    <n v="63"/>
    <n v="2"/>
    <d v="2019-09-07T00:00:00"/>
    <s v="Yes"/>
    <x v="1"/>
    <n v="1"/>
    <x v="0"/>
    <x v="1"/>
    <x v="2"/>
  </r>
  <r>
    <s v="REL02751"/>
    <s v="Male"/>
    <n v="47"/>
    <s v="MBA"/>
    <s v="Single"/>
    <x v="1"/>
    <s v="Logistics Coordinator"/>
    <x v="4"/>
    <x v="9"/>
    <s v="West"/>
    <n v="13"/>
    <n v="77772"/>
    <x v="3"/>
    <n v="4"/>
    <n v="1"/>
    <n v="11"/>
    <n v="2"/>
    <d v="2010-07-21T00:00:00"/>
    <s v="No"/>
    <x v="0"/>
    <n v="4"/>
    <x v="2"/>
    <x v="2"/>
    <x v="1"/>
  </r>
  <r>
    <s v="REL02752"/>
    <s v="Female"/>
    <n v="45"/>
    <s v="MBA"/>
    <s v="Single"/>
    <x v="1"/>
    <s v="Customer Service Rep"/>
    <x v="4"/>
    <x v="5"/>
    <s v="South"/>
    <n v="5"/>
    <n v="50529"/>
    <x v="3"/>
    <n v="1"/>
    <n v="3"/>
    <n v="18"/>
    <n v="0"/>
    <d v="2018-11-10T00:00:00"/>
    <s v="No"/>
    <x v="0"/>
    <n v="4"/>
    <x v="0"/>
    <x v="2"/>
    <x v="1"/>
  </r>
  <r>
    <s v="REL02753"/>
    <s v="Male"/>
    <n v="51"/>
    <s v="Post Graduate"/>
    <s v="Married"/>
    <x v="4"/>
    <s v="HR Manager"/>
    <x v="0"/>
    <x v="6"/>
    <s v="South"/>
    <n v="13"/>
    <n v="109210"/>
    <x v="1"/>
    <n v="4"/>
    <n v="1"/>
    <n v="79"/>
    <n v="3"/>
    <d v="2010-05-28T00:00:00"/>
    <s v="Yes"/>
    <x v="1"/>
    <n v="1"/>
    <x v="2"/>
    <x v="1"/>
    <x v="2"/>
  </r>
  <r>
    <s v="REL02754"/>
    <s v="Male"/>
    <n v="50"/>
    <s v="Post Graduate"/>
    <s v="Single"/>
    <x v="6"/>
    <s v="Marketing Executive"/>
    <x v="2"/>
    <x v="5"/>
    <s v="South"/>
    <n v="5"/>
    <n v="53069"/>
    <x v="3"/>
    <n v="2"/>
    <n v="1"/>
    <n v="49"/>
    <n v="2"/>
    <d v="2018-11-20T00:00:00"/>
    <s v="No"/>
    <x v="0"/>
    <n v="4"/>
    <x v="0"/>
    <x v="2"/>
    <x v="1"/>
  </r>
  <r>
    <s v="REL02755"/>
    <s v="Female"/>
    <n v="48"/>
    <s v="HSC"/>
    <s v="Divorced"/>
    <x v="1"/>
    <s v="Sales Executive"/>
    <x v="4"/>
    <x v="3"/>
    <s v="West"/>
    <n v="5"/>
    <n v="42651"/>
    <x v="0"/>
    <n v="2"/>
    <n v="4"/>
    <n v="35"/>
    <n v="3"/>
    <d v="2018-08-09T00:00:00"/>
    <s v="No"/>
    <x v="2"/>
    <n v="3"/>
    <x v="0"/>
    <x v="0"/>
    <x v="1"/>
  </r>
  <r>
    <s v="REL02756"/>
    <s v="Female"/>
    <n v="28"/>
    <s v="BTech"/>
    <s v="Single"/>
    <x v="2"/>
    <s v="Finance Analyst"/>
    <x v="2"/>
    <x v="1"/>
    <s v="North"/>
    <n v="15"/>
    <n v="84308"/>
    <x v="0"/>
    <n v="3"/>
    <n v="3"/>
    <n v="36"/>
    <n v="1"/>
    <d v="2008-02-14T00:00:00"/>
    <s v="No"/>
    <x v="1"/>
    <n v="3"/>
    <x v="2"/>
    <x v="0"/>
    <x v="0"/>
  </r>
  <r>
    <s v="REL02757"/>
    <s v="Female"/>
    <n v="25"/>
    <s v="Post Graduate"/>
    <s v="Single"/>
    <x v="1"/>
    <s v="Marketing Executive"/>
    <x v="4"/>
    <x v="7"/>
    <s v="East"/>
    <n v="2"/>
    <n v="57026"/>
    <x v="0"/>
    <n v="3"/>
    <n v="1"/>
    <n v="70"/>
    <n v="3"/>
    <d v="2021-11-30T00:00:00"/>
    <s v="No"/>
    <x v="0"/>
    <n v="3"/>
    <x v="3"/>
    <x v="0"/>
    <x v="0"/>
  </r>
  <r>
    <s v="REL02758"/>
    <s v="Female"/>
    <n v="55"/>
    <s v="BTech"/>
    <s v="Single"/>
    <x v="0"/>
    <s v="Store Manager"/>
    <x v="2"/>
    <x v="2"/>
    <s v="West"/>
    <n v="5"/>
    <n v="100469"/>
    <x v="1"/>
    <n v="1"/>
    <n v="3"/>
    <n v="13"/>
    <n v="1"/>
    <d v="2018-01-14T00:00:00"/>
    <s v="Yes"/>
    <x v="1"/>
    <n v="1"/>
    <x v="0"/>
    <x v="1"/>
    <x v="2"/>
  </r>
  <r>
    <s v="REL02759"/>
    <s v="Male"/>
    <n v="50"/>
    <s v="BTech"/>
    <s v="Divorced"/>
    <x v="2"/>
    <s v="Sales Executive"/>
    <x v="3"/>
    <x v="4"/>
    <s v="North"/>
    <n v="9"/>
    <n v="53689"/>
    <x v="1"/>
    <n v="2"/>
    <n v="3"/>
    <n v="38"/>
    <n v="0"/>
    <d v="2014-01-26T00:00:00"/>
    <s v="No"/>
    <x v="0"/>
    <n v="1"/>
    <x v="1"/>
    <x v="0"/>
    <x v="1"/>
  </r>
  <r>
    <s v="REL02760"/>
    <s v="Male"/>
    <n v="42"/>
    <s v="Post Graduate"/>
    <s v="Married"/>
    <x v="3"/>
    <s v="Sales Executive"/>
    <x v="2"/>
    <x v="1"/>
    <s v="North"/>
    <n v="11"/>
    <n v="60974"/>
    <x v="1"/>
    <n v="2"/>
    <n v="2"/>
    <n v="32"/>
    <n v="0"/>
    <d v="2012-07-09T00:00:00"/>
    <s v="No"/>
    <x v="0"/>
    <n v="1"/>
    <x v="2"/>
    <x v="0"/>
    <x v="1"/>
  </r>
  <r>
    <s v="REL02761"/>
    <s v="Male"/>
    <n v="25"/>
    <s v="MBA"/>
    <s v="Married"/>
    <x v="3"/>
    <s v="Sales Executive"/>
    <x v="0"/>
    <x v="9"/>
    <s v="West"/>
    <n v="2"/>
    <n v="45162"/>
    <x v="1"/>
    <n v="1"/>
    <n v="1"/>
    <n v="45"/>
    <n v="3"/>
    <d v="2021-10-12T00:00:00"/>
    <s v="No"/>
    <x v="2"/>
    <n v="1"/>
    <x v="3"/>
    <x v="3"/>
    <x v="1"/>
  </r>
  <r>
    <s v="REL02762"/>
    <s v="Female"/>
    <n v="40"/>
    <s v="MBA"/>
    <s v="Single"/>
    <x v="0"/>
    <s v="Sales Executive"/>
    <x v="4"/>
    <x v="9"/>
    <s v="West"/>
    <n v="12"/>
    <n v="58928"/>
    <x v="2"/>
    <n v="2"/>
    <n v="1"/>
    <n v="35"/>
    <n v="3"/>
    <d v="2012-01-04T00:00:00"/>
    <s v="No"/>
    <x v="0"/>
    <n v="2"/>
    <x v="2"/>
    <x v="0"/>
    <x v="1"/>
  </r>
  <r>
    <s v="REL02763"/>
    <s v="Female"/>
    <n v="26"/>
    <s v="MBA"/>
    <s v="Single"/>
    <x v="4"/>
    <s v="Customer Service Rep"/>
    <x v="1"/>
    <x v="6"/>
    <s v="South"/>
    <n v="5"/>
    <n v="48195"/>
    <x v="1"/>
    <n v="2"/>
    <n v="4"/>
    <n v="68"/>
    <n v="3"/>
    <d v="2018-05-18T00:00:00"/>
    <s v="Yes"/>
    <x v="2"/>
    <n v="1"/>
    <x v="0"/>
    <x v="1"/>
    <x v="1"/>
  </r>
  <r>
    <s v="REL02764"/>
    <s v="Male"/>
    <n v="49"/>
    <s v="HSC"/>
    <s v="Married"/>
    <x v="6"/>
    <s v="Sales Executive"/>
    <x v="2"/>
    <x v="3"/>
    <s v="West"/>
    <n v="11"/>
    <n v="59870"/>
    <x v="2"/>
    <n v="3"/>
    <n v="1"/>
    <n v="62"/>
    <n v="2"/>
    <d v="2012-03-24T00:00:00"/>
    <s v="No"/>
    <x v="0"/>
    <n v="2"/>
    <x v="2"/>
    <x v="0"/>
    <x v="1"/>
  </r>
  <r>
    <s v="REL02765"/>
    <s v="Male"/>
    <n v="54"/>
    <s v="HSC"/>
    <s v="Married"/>
    <x v="6"/>
    <s v="Marketing Executive"/>
    <x v="3"/>
    <x v="5"/>
    <s v="South"/>
    <n v="11"/>
    <n v="77585"/>
    <x v="0"/>
    <n v="2"/>
    <n v="3"/>
    <n v="71"/>
    <n v="3"/>
    <d v="2012-06-04T00:00:00"/>
    <s v="No"/>
    <x v="0"/>
    <n v="3"/>
    <x v="2"/>
    <x v="0"/>
    <x v="0"/>
  </r>
  <r>
    <s v="REL02766"/>
    <s v="Male"/>
    <n v="48"/>
    <s v="Graduate"/>
    <s v="Divorced"/>
    <x v="7"/>
    <s v="HR Manager"/>
    <x v="1"/>
    <x v="9"/>
    <s v="West"/>
    <n v="10"/>
    <n v="104968"/>
    <x v="2"/>
    <n v="2"/>
    <n v="4"/>
    <n v="47"/>
    <n v="2"/>
    <d v="2013-07-14T00:00:00"/>
    <s v="No"/>
    <x v="1"/>
    <n v="2"/>
    <x v="1"/>
    <x v="0"/>
    <x v="1"/>
  </r>
  <r>
    <s v="REL02767"/>
    <s v="Male"/>
    <n v="33"/>
    <s v="HSC"/>
    <s v="Married"/>
    <x v="3"/>
    <s v="Operations Head"/>
    <x v="2"/>
    <x v="1"/>
    <s v="North"/>
    <n v="1"/>
    <n v="91277"/>
    <x v="1"/>
    <n v="4"/>
    <n v="1"/>
    <n v="29"/>
    <n v="0"/>
    <d v="2022-07-19T00:00:00"/>
    <s v="Yes"/>
    <x v="1"/>
    <n v="1"/>
    <x v="3"/>
    <x v="1"/>
    <x v="2"/>
  </r>
  <r>
    <s v="REL02768"/>
    <s v="Male"/>
    <n v="50"/>
    <s v="MBA"/>
    <s v="Single"/>
    <x v="3"/>
    <s v="Sales Executive"/>
    <x v="1"/>
    <x v="9"/>
    <s v="West"/>
    <n v="13"/>
    <n v="69040"/>
    <x v="2"/>
    <n v="2"/>
    <n v="3"/>
    <n v="10"/>
    <n v="1"/>
    <d v="2011-01-03T00:00:00"/>
    <s v="Yes"/>
    <x v="0"/>
    <n v="2"/>
    <x v="2"/>
    <x v="1"/>
    <x v="1"/>
  </r>
  <r>
    <s v="REL02769"/>
    <s v="Male"/>
    <n v="54"/>
    <s v="MBA"/>
    <s v="Married"/>
    <x v="0"/>
    <s v="Operations Head"/>
    <x v="0"/>
    <x v="1"/>
    <s v="North"/>
    <n v="8"/>
    <n v="103950"/>
    <x v="0"/>
    <n v="3"/>
    <n v="1"/>
    <n v="11"/>
    <n v="3"/>
    <d v="2015-05-25T00:00:00"/>
    <s v="No"/>
    <x v="1"/>
    <n v="3"/>
    <x v="1"/>
    <x v="0"/>
    <x v="0"/>
  </r>
  <r>
    <s v="REL02770"/>
    <s v="Female"/>
    <n v="24"/>
    <s v="Post Graduate"/>
    <s v="Divorced"/>
    <x v="7"/>
    <s v="Marketing Executive"/>
    <x v="4"/>
    <x v="0"/>
    <s v="North"/>
    <n v="14"/>
    <n v="74770"/>
    <x v="1"/>
    <n v="4"/>
    <n v="3"/>
    <n v="47"/>
    <n v="1"/>
    <d v="2009-10-31T00:00:00"/>
    <s v="Yes"/>
    <x v="0"/>
    <n v="1"/>
    <x v="2"/>
    <x v="1"/>
    <x v="1"/>
  </r>
  <r>
    <s v="REL02771"/>
    <s v="Female"/>
    <n v="55"/>
    <s v="MBA"/>
    <s v="Single"/>
    <x v="0"/>
    <s v="Finance Analyst"/>
    <x v="4"/>
    <x v="7"/>
    <s v="East"/>
    <n v="6"/>
    <n v="73942"/>
    <x v="1"/>
    <n v="2"/>
    <n v="1"/>
    <n v="11"/>
    <n v="3"/>
    <d v="2017-05-04T00:00:00"/>
    <s v="Yes"/>
    <x v="0"/>
    <n v="1"/>
    <x v="1"/>
    <x v="1"/>
    <x v="1"/>
  </r>
  <r>
    <s v="REL02772"/>
    <s v="Female"/>
    <n v="29"/>
    <s v="Graduate"/>
    <s v="Divorced"/>
    <x v="5"/>
    <s v="Customer Service Rep"/>
    <x v="3"/>
    <x v="3"/>
    <s v="West"/>
    <n v="14"/>
    <n v="63307"/>
    <x v="3"/>
    <n v="4"/>
    <n v="1"/>
    <n v="13"/>
    <n v="3"/>
    <d v="2009-09-19T00:00:00"/>
    <s v="No"/>
    <x v="0"/>
    <n v="4"/>
    <x v="2"/>
    <x v="2"/>
    <x v="1"/>
  </r>
  <r>
    <s v="REL02773"/>
    <s v="Female"/>
    <n v="47"/>
    <s v="Graduate"/>
    <s v="Divorced"/>
    <x v="2"/>
    <s v="Customer Service Rep"/>
    <x v="3"/>
    <x v="2"/>
    <s v="West"/>
    <n v="11"/>
    <n v="53346"/>
    <x v="3"/>
    <n v="2"/>
    <n v="3"/>
    <n v="47"/>
    <n v="2"/>
    <d v="2012-05-23T00:00:00"/>
    <s v="Yes"/>
    <x v="0"/>
    <n v="4"/>
    <x v="2"/>
    <x v="1"/>
    <x v="1"/>
  </r>
  <r>
    <s v="REL02774"/>
    <s v="Female"/>
    <n v="50"/>
    <s v="HSC"/>
    <s v="Married"/>
    <x v="7"/>
    <s v="Sales Executive"/>
    <x v="1"/>
    <x v="2"/>
    <s v="West"/>
    <n v="9"/>
    <n v="57612"/>
    <x v="3"/>
    <n v="3"/>
    <n v="3"/>
    <n v="43"/>
    <n v="3"/>
    <d v="2014-09-08T00:00:00"/>
    <s v="No"/>
    <x v="0"/>
    <n v="4"/>
    <x v="1"/>
    <x v="2"/>
    <x v="1"/>
  </r>
  <r>
    <s v="REL02775"/>
    <s v="Male"/>
    <n v="37"/>
    <s v="BTech"/>
    <s v="Divorced"/>
    <x v="6"/>
    <s v="HR Manager"/>
    <x v="1"/>
    <x v="3"/>
    <s v="West"/>
    <n v="5"/>
    <n v="88694"/>
    <x v="0"/>
    <n v="2"/>
    <n v="3"/>
    <n v="65"/>
    <n v="3"/>
    <d v="2018-06-26T00:00:00"/>
    <s v="Yes"/>
    <x v="1"/>
    <n v="3"/>
    <x v="0"/>
    <x v="1"/>
    <x v="0"/>
  </r>
  <r>
    <s v="REL02776"/>
    <s v="Male"/>
    <n v="40"/>
    <s v="Graduate"/>
    <s v="Married"/>
    <x v="0"/>
    <s v="Finance Analyst"/>
    <x v="1"/>
    <x v="2"/>
    <s v="West"/>
    <n v="9"/>
    <n v="78493"/>
    <x v="3"/>
    <n v="1"/>
    <n v="2"/>
    <n v="63"/>
    <n v="1"/>
    <d v="2014-03-25T00:00:00"/>
    <s v="No"/>
    <x v="0"/>
    <n v="4"/>
    <x v="1"/>
    <x v="2"/>
    <x v="1"/>
  </r>
  <r>
    <s v="REL02777"/>
    <s v="Male"/>
    <n v="50"/>
    <s v="BTech"/>
    <s v="Single"/>
    <x v="7"/>
    <s v="HR Manager"/>
    <x v="0"/>
    <x v="8"/>
    <s v="South"/>
    <n v="2"/>
    <n v="81790"/>
    <x v="2"/>
    <n v="2"/>
    <n v="2"/>
    <n v="36"/>
    <n v="0"/>
    <d v="2021-03-19T00:00:00"/>
    <s v="Yes"/>
    <x v="1"/>
    <n v="2"/>
    <x v="3"/>
    <x v="1"/>
    <x v="1"/>
  </r>
  <r>
    <s v="REL02778"/>
    <s v="Female"/>
    <n v="43"/>
    <s v="MBA"/>
    <s v="Divorced"/>
    <x v="4"/>
    <s v="HR Manager"/>
    <x v="0"/>
    <x v="4"/>
    <s v="North"/>
    <n v="2"/>
    <n v="71777"/>
    <x v="0"/>
    <n v="1"/>
    <n v="1"/>
    <n v="70"/>
    <n v="1"/>
    <d v="2021-08-14T00:00:00"/>
    <s v="No"/>
    <x v="0"/>
    <n v="3"/>
    <x v="3"/>
    <x v="0"/>
    <x v="0"/>
  </r>
  <r>
    <s v="REL02779"/>
    <s v="Female"/>
    <n v="44"/>
    <s v="MBA"/>
    <s v="Divorced"/>
    <x v="6"/>
    <s v="Marketing Executive"/>
    <x v="3"/>
    <x v="7"/>
    <s v="East"/>
    <n v="3"/>
    <n v="47880"/>
    <x v="1"/>
    <n v="2"/>
    <n v="4"/>
    <n v="19"/>
    <n v="2"/>
    <d v="2020-09-16T00:00:00"/>
    <s v="No"/>
    <x v="2"/>
    <n v="1"/>
    <x v="0"/>
    <x v="0"/>
    <x v="1"/>
  </r>
  <r>
    <s v="REL02780"/>
    <s v="Female"/>
    <n v="53"/>
    <s v="BTech"/>
    <s v="Married"/>
    <x v="0"/>
    <s v="Logistics Coordinator"/>
    <x v="0"/>
    <x v="0"/>
    <s v="North"/>
    <n v="4"/>
    <n v="58914"/>
    <x v="3"/>
    <n v="2"/>
    <n v="2"/>
    <n v="26"/>
    <n v="2"/>
    <d v="2019-04-30T00:00:00"/>
    <s v="No"/>
    <x v="0"/>
    <n v="4"/>
    <x v="0"/>
    <x v="2"/>
    <x v="1"/>
  </r>
  <r>
    <s v="REL02781"/>
    <s v="Female"/>
    <n v="43"/>
    <s v="MBA"/>
    <s v="Divorced"/>
    <x v="6"/>
    <s v="Sales Executive"/>
    <x v="3"/>
    <x v="4"/>
    <s v="North"/>
    <n v="8"/>
    <n v="65311"/>
    <x v="0"/>
    <n v="1"/>
    <n v="2"/>
    <n v="13"/>
    <n v="2"/>
    <d v="2015-05-07T00:00:00"/>
    <s v="No"/>
    <x v="0"/>
    <n v="3"/>
    <x v="1"/>
    <x v="0"/>
    <x v="0"/>
  </r>
  <r>
    <s v="REL02782"/>
    <s v="Male"/>
    <n v="46"/>
    <s v="BTech"/>
    <s v="Married"/>
    <x v="4"/>
    <s v="Operations Head"/>
    <x v="4"/>
    <x v="7"/>
    <s v="East"/>
    <n v="9"/>
    <n v="112769"/>
    <x v="0"/>
    <n v="4"/>
    <n v="3"/>
    <n v="25"/>
    <n v="1"/>
    <d v="2014-03-23T00:00:00"/>
    <s v="No"/>
    <x v="1"/>
    <n v="3"/>
    <x v="1"/>
    <x v="0"/>
    <x v="0"/>
  </r>
  <r>
    <s v="REL02783"/>
    <s v="Female"/>
    <n v="22"/>
    <s v="BTech"/>
    <s v="Married"/>
    <x v="6"/>
    <s v="Logistics Coordinator"/>
    <x v="3"/>
    <x v="2"/>
    <s v="West"/>
    <n v="13"/>
    <n v="77587"/>
    <x v="2"/>
    <n v="4"/>
    <n v="2"/>
    <n v="20"/>
    <n v="2"/>
    <d v="2010-03-12T00:00:00"/>
    <s v="No"/>
    <x v="0"/>
    <n v="2"/>
    <x v="2"/>
    <x v="0"/>
    <x v="1"/>
  </r>
  <r>
    <s v="REL02784"/>
    <s v="Female"/>
    <n v="40"/>
    <s v="HSC"/>
    <s v="Married"/>
    <x v="1"/>
    <s v="Operations Head"/>
    <x v="0"/>
    <x v="0"/>
    <s v="North"/>
    <n v="12"/>
    <n v="128985"/>
    <x v="3"/>
    <n v="3"/>
    <n v="2"/>
    <n v="68"/>
    <n v="0"/>
    <d v="2011-01-18T00:00:00"/>
    <s v="Yes"/>
    <x v="1"/>
    <n v="4"/>
    <x v="2"/>
    <x v="1"/>
    <x v="0"/>
  </r>
  <r>
    <s v="REL02785"/>
    <s v="Female"/>
    <n v="26"/>
    <s v="Graduate"/>
    <s v="Divorced"/>
    <x v="3"/>
    <s v="Customer Service Rep"/>
    <x v="0"/>
    <x v="9"/>
    <s v="West"/>
    <n v="5"/>
    <n v="39933"/>
    <x v="2"/>
    <n v="3"/>
    <n v="3"/>
    <n v="68"/>
    <n v="1"/>
    <d v="2018-03-21T00:00:00"/>
    <s v="No"/>
    <x v="2"/>
    <n v="2"/>
    <x v="0"/>
    <x v="0"/>
    <x v="1"/>
  </r>
  <r>
    <s v="REL02786"/>
    <s v="Male"/>
    <n v="38"/>
    <s v="MBA"/>
    <s v="Single"/>
    <x v="7"/>
    <s v="Customer Service Rep"/>
    <x v="0"/>
    <x v="1"/>
    <s v="North"/>
    <n v="8"/>
    <n v="43961"/>
    <x v="3"/>
    <n v="2"/>
    <n v="4"/>
    <n v="79"/>
    <n v="1"/>
    <d v="2015-08-31T00:00:00"/>
    <s v="No"/>
    <x v="2"/>
    <n v="4"/>
    <x v="1"/>
    <x v="2"/>
    <x v="1"/>
  </r>
  <r>
    <s v="REL02787"/>
    <s v="Female"/>
    <n v="53"/>
    <s v="MBA"/>
    <s v="Married"/>
    <x v="0"/>
    <s v="Sales Executive"/>
    <x v="2"/>
    <x v="1"/>
    <s v="North"/>
    <n v="7"/>
    <n v="44609"/>
    <x v="2"/>
    <n v="1"/>
    <n v="4"/>
    <n v="55"/>
    <n v="0"/>
    <d v="2016-02-04T00:00:00"/>
    <s v="No"/>
    <x v="2"/>
    <n v="2"/>
    <x v="1"/>
    <x v="0"/>
    <x v="1"/>
  </r>
  <r>
    <s v="REL02788"/>
    <s v="Female"/>
    <n v="41"/>
    <s v="MBA"/>
    <s v="Single"/>
    <x v="1"/>
    <s v="HR Manager"/>
    <x v="1"/>
    <x v="0"/>
    <s v="North"/>
    <n v="14"/>
    <n v="103561"/>
    <x v="0"/>
    <n v="1"/>
    <n v="4"/>
    <n v="71"/>
    <n v="0"/>
    <d v="2009-05-18T00:00:00"/>
    <s v="No"/>
    <x v="1"/>
    <n v="3"/>
    <x v="2"/>
    <x v="0"/>
    <x v="0"/>
  </r>
  <r>
    <s v="REL02789"/>
    <s v="Male"/>
    <n v="36"/>
    <s v="BTech"/>
    <s v="Married"/>
    <x v="6"/>
    <s v="Finance Analyst"/>
    <x v="2"/>
    <x v="1"/>
    <s v="North"/>
    <n v="7"/>
    <n v="81285"/>
    <x v="1"/>
    <n v="2"/>
    <n v="1"/>
    <n v="40"/>
    <n v="0"/>
    <d v="2016-06-10T00:00:00"/>
    <s v="Yes"/>
    <x v="1"/>
    <n v="1"/>
    <x v="1"/>
    <x v="1"/>
    <x v="2"/>
  </r>
  <r>
    <s v="REL02790"/>
    <s v="Female"/>
    <n v="47"/>
    <s v="MBA"/>
    <s v="Married"/>
    <x v="3"/>
    <s v="Logistics Coordinator"/>
    <x v="3"/>
    <x v="5"/>
    <s v="South"/>
    <n v="5"/>
    <n v="54933"/>
    <x v="0"/>
    <n v="3"/>
    <n v="4"/>
    <n v="67"/>
    <n v="0"/>
    <d v="2018-02-24T00:00:00"/>
    <s v="Yes"/>
    <x v="0"/>
    <n v="3"/>
    <x v="0"/>
    <x v="1"/>
    <x v="0"/>
  </r>
  <r>
    <s v="REL02791"/>
    <s v="Female"/>
    <n v="40"/>
    <s v="Graduate"/>
    <s v="Single"/>
    <x v="1"/>
    <s v="Marketing Executive"/>
    <x v="3"/>
    <x v="7"/>
    <s v="East"/>
    <n v="5"/>
    <n v="58411"/>
    <x v="2"/>
    <n v="1"/>
    <n v="4"/>
    <n v="58"/>
    <n v="1"/>
    <d v="2018-02-04T00:00:00"/>
    <s v="No"/>
    <x v="0"/>
    <n v="2"/>
    <x v="0"/>
    <x v="0"/>
    <x v="1"/>
  </r>
  <r>
    <s v="REL02792"/>
    <s v="Male"/>
    <n v="23"/>
    <s v="BTech"/>
    <s v="Single"/>
    <x v="0"/>
    <s v="Marketing Executive"/>
    <x v="4"/>
    <x v="3"/>
    <s v="West"/>
    <n v="14"/>
    <n v="76344"/>
    <x v="0"/>
    <n v="1"/>
    <n v="3"/>
    <n v="41"/>
    <n v="3"/>
    <d v="2009-10-13T00:00:00"/>
    <s v="No"/>
    <x v="0"/>
    <n v="3"/>
    <x v="2"/>
    <x v="0"/>
    <x v="0"/>
  </r>
  <r>
    <s v="REL02793"/>
    <s v="Male"/>
    <n v="27"/>
    <s v="BTech"/>
    <s v="Single"/>
    <x v="0"/>
    <s v="Logistics Coordinator"/>
    <x v="0"/>
    <x v="7"/>
    <s v="East"/>
    <n v="7"/>
    <n v="62722"/>
    <x v="2"/>
    <n v="2"/>
    <n v="2"/>
    <n v="21"/>
    <n v="2"/>
    <d v="2016-12-13T00:00:00"/>
    <s v="No"/>
    <x v="0"/>
    <n v="2"/>
    <x v="1"/>
    <x v="0"/>
    <x v="1"/>
  </r>
  <r>
    <s v="REL02794"/>
    <s v="Female"/>
    <n v="31"/>
    <s v="MBA"/>
    <s v="Married"/>
    <x v="4"/>
    <s v="Sales Executive"/>
    <x v="4"/>
    <x v="6"/>
    <s v="South"/>
    <n v="15"/>
    <n v="70264"/>
    <x v="2"/>
    <n v="4"/>
    <n v="1"/>
    <n v="32"/>
    <n v="3"/>
    <d v="2008-07-21T00:00:00"/>
    <s v="No"/>
    <x v="0"/>
    <n v="2"/>
    <x v="2"/>
    <x v="0"/>
    <x v="1"/>
  </r>
  <r>
    <s v="REL02795"/>
    <s v="Male"/>
    <n v="23"/>
    <s v="Graduate"/>
    <s v="Divorced"/>
    <x v="1"/>
    <s v="Customer Service Rep"/>
    <x v="2"/>
    <x v="9"/>
    <s v="West"/>
    <n v="4"/>
    <n v="47283"/>
    <x v="0"/>
    <n v="3"/>
    <n v="3"/>
    <n v="51"/>
    <n v="3"/>
    <d v="2019-07-27T00:00:00"/>
    <s v="No"/>
    <x v="2"/>
    <n v="3"/>
    <x v="0"/>
    <x v="0"/>
    <x v="1"/>
  </r>
  <r>
    <s v="REL02796"/>
    <s v="Female"/>
    <n v="26"/>
    <s v="Graduate"/>
    <s v="Single"/>
    <x v="6"/>
    <s v="HR Manager"/>
    <x v="4"/>
    <x v="2"/>
    <s v="West"/>
    <n v="14"/>
    <n v="111850"/>
    <x v="1"/>
    <n v="1"/>
    <n v="3"/>
    <n v="18"/>
    <n v="3"/>
    <d v="2009-06-06T00:00:00"/>
    <s v="Yes"/>
    <x v="1"/>
    <n v="1"/>
    <x v="2"/>
    <x v="1"/>
    <x v="2"/>
  </r>
  <r>
    <s v="REL02797"/>
    <s v="Female"/>
    <n v="45"/>
    <s v="HSC"/>
    <s v="Married"/>
    <x v="3"/>
    <s v="HR Manager"/>
    <x v="3"/>
    <x v="5"/>
    <s v="South"/>
    <n v="14"/>
    <n v="99945"/>
    <x v="2"/>
    <n v="4"/>
    <n v="1"/>
    <n v="26"/>
    <n v="0"/>
    <d v="2009-02-14T00:00:00"/>
    <s v="No"/>
    <x v="1"/>
    <n v="2"/>
    <x v="2"/>
    <x v="0"/>
    <x v="1"/>
  </r>
  <r>
    <s v="REL02798"/>
    <s v="Male"/>
    <n v="26"/>
    <s v="BTech"/>
    <s v="Divorced"/>
    <x v="4"/>
    <s v="HR Manager"/>
    <x v="3"/>
    <x v="5"/>
    <s v="South"/>
    <n v="11"/>
    <n v="101273"/>
    <x v="1"/>
    <n v="2"/>
    <n v="1"/>
    <n v="48"/>
    <n v="1"/>
    <d v="2012-01-24T00:00:00"/>
    <s v="Yes"/>
    <x v="1"/>
    <n v="1"/>
    <x v="2"/>
    <x v="1"/>
    <x v="2"/>
  </r>
  <r>
    <s v="REL02799"/>
    <s v="Female"/>
    <n v="22"/>
    <s v="MBA"/>
    <s v="Divorced"/>
    <x v="1"/>
    <s v="HR Manager"/>
    <x v="0"/>
    <x v="7"/>
    <s v="East"/>
    <n v="14"/>
    <n v="104234"/>
    <x v="2"/>
    <n v="1"/>
    <n v="2"/>
    <n v="74"/>
    <n v="2"/>
    <d v="2009-11-01T00:00:00"/>
    <s v="No"/>
    <x v="1"/>
    <n v="2"/>
    <x v="2"/>
    <x v="0"/>
    <x v="1"/>
  </r>
  <r>
    <s v="REL02800"/>
    <s v="Female"/>
    <n v="27"/>
    <s v="BTech"/>
    <s v="Divorced"/>
    <x v="5"/>
    <s v="Operations Head"/>
    <x v="4"/>
    <x v="9"/>
    <s v="West"/>
    <n v="12"/>
    <n v="110421"/>
    <x v="0"/>
    <n v="3"/>
    <n v="1"/>
    <n v="57"/>
    <n v="1"/>
    <d v="2011-01-25T00:00:00"/>
    <s v="No"/>
    <x v="1"/>
    <n v="3"/>
    <x v="2"/>
    <x v="0"/>
    <x v="0"/>
  </r>
  <r>
    <s v="REL02801"/>
    <s v="Male"/>
    <n v="25"/>
    <s v="MBA"/>
    <s v="Divorced"/>
    <x v="0"/>
    <s v="Operations Head"/>
    <x v="0"/>
    <x v="8"/>
    <s v="South"/>
    <n v="13"/>
    <n v="124686"/>
    <x v="2"/>
    <n v="1"/>
    <n v="4"/>
    <n v="23"/>
    <n v="0"/>
    <d v="2010-11-26T00:00:00"/>
    <s v="No"/>
    <x v="1"/>
    <n v="2"/>
    <x v="2"/>
    <x v="0"/>
    <x v="1"/>
  </r>
  <r>
    <s v="REL02802"/>
    <s v="Male"/>
    <n v="29"/>
    <s v="HSC"/>
    <s v="Divorced"/>
    <x v="5"/>
    <s v="Finance Analyst"/>
    <x v="1"/>
    <x v="4"/>
    <s v="North"/>
    <n v="4"/>
    <n v="63096"/>
    <x v="1"/>
    <n v="3"/>
    <n v="4"/>
    <n v="49"/>
    <n v="1"/>
    <d v="2020-01-02T00:00:00"/>
    <s v="Yes"/>
    <x v="0"/>
    <n v="1"/>
    <x v="0"/>
    <x v="1"/>
    <x v="1"/>
  </r>
  <r>
    <s v="REL02803"/>
    <s v="Male"/>
    <n v="25"/>
    <s v="BTech"/>
    <s v="Single"/>
    <x v="4"/>
    <s v="Store Manager"/>
    <x v="0"/>
    <x v="4"/>
    <s v="North"/>
    <n v="9"/>
    <n v="103499"/>
    <x v="0"/>
    <n v="2"/>
    <n v="1"/>
    <n v="55"/>
    <n v="0"/>
    <d v="2014-01-24T00:00:00"/>
    <s v="No"/>
    <x v="1"/>
    <n v="3"/>
    <x v="1"/>
    <x v="0"/>
    <x v="0"/>
  </r>
  <r>
    <s v="REL02804"/>
    <s v="Male"/>
    <n v="37"/>
    <s v="HSC"/>
    <s v="Divorced"/>
    <x v="7"/>
    <s v="Customer Service Rep"/>
    <x v="2"/>
    <x v="9"/>
    <s v="West"/>
    <n v="15"/>
    <n v="61191"/>
    <x v="3"/>
    <n v="2"/>
    <n v="2"/>
    <n v="30"/>
    <n v="3"/>
    <d v="2008-12-22T00:00:00"/>
    <s v="No"/>
    <x v="0"/>
    <n v="4"/>
    <x v="2"/>
    <x v="2"/>
    <x v="1"/>
  </r>
  <r>
    <s v="REL02805"/>
    <s v="Female"/>
    <n v="53"/>
    <s v="HSC"/>
    <s v="Married"/>
    <x v="0"/>
    <s v="Customer Service Rep"/>
    <x v="0"/>
    <x v="6"/>
    <s v="South"/>
    <n v="13"/>
    <n v="62344"/>
    <x v="2"/>
    <n v="3"/>
    <n v="4"/>
    <n v="79"/>
    <n v="1"/>
    <d v="2010-10-21T00:00:00"/>
    <s v="No"/>
    <x v="0"/>
    <n v="2"/>
    <x v="2"/>
    <x v="0"/>
    <x v="1"/>
  </r>
  <r>
    <s v="REL02806"/>
    <s v="Female"/>
    <n v="27"/>
    <s v="BTech"/>
    <s v="Divorced"/>
    <x v="1"/>
    <s v="Sales Executive"/>
    <x v="1"/>
    <x v="5"/>
    <s v="South"/>
    <n v="4"/>
    <n v="38966"/>
    <x v="2"/>
    <n v="3"/>
    <n v="4"/>
    <n v="80"/>
    <n v="3"/>
    <d v="2019-01-18T00:00:00"/>
    <s v="No"/>
    <x v="2"/>
    <n v="2"/>
    <x v="0"/>
    <x v="0"/>
    <x v="1"/>
  </r>
  <r>
    <s v="REL02807"/>
    <s v="Male"/>
    <n v="50"/>
    <s v="BTech"/>
    <s v="Single"/>
    <x v="3"/>
    <s v="Customer Service Rep"/>
    <x v="1"/>
    <x v="1"/>
    <s v="North"/>
    <n v="11"/>
    <n v="62803"/>
    <x v="3"/>
    <n v="1"/>
    <n v="1"/>
    <n v="65"/>
    <n v="2"/>
    <d v="2012-04-18T00:00:00"/>
    <s v="No"/>
    <x v="0"/>
    <n v="4"/>
    <x v="2"/>
    <x v="2"/>
    <x v="1"/>
  </r>
  <r>
    <s v="REL02808"/>
    <s v="Male"/>
    <n v="42"/>
    <s v="MBA"/>
    <s v="Divorced"/>
    <x v="4"/>
    <s v="Finance Analyst"/>
    <x v="3"/>
    <x v="4"/>
    <s v="North"/>
    <n v="14"/>
    <n v="87579"/>
    <x v="3"/>
    <n v="4"/>
    <n v="1"/>
    <n v="36"/>
    <n v="1"/>
    <d v="2009-06-04T00:00:00"/>
    <s v="No"/>
    <x v="1"/>
    <n v="4"/>
    <x v="2"/>
    <x v="2"/>
    <x v="0"/>
  </r>
  <r>
    <s v="REL02809"/>
    <s v="Male"/>
    <n v="30"/>
    <s v="Graduate"/>
    <s v="Married"/>
    <x v="2"/>
    <s v="Finance Analyst"/>
    <x v="1"/>
    <x v="9"/>
    <s v="West"/>
    <n v="6"/>
    <n v="72754"/>
    <x v="1"/>
    <n v="3"/>
    <n v="2"/>
    <n v="15"/>
    <n v="2"/>
    <d v="2017-03-26T00:00:00"/>
    <s v="No"/>
    <x v="0"/>
    <n v="1"/>
    <x v="1"/>
    <x v="0"/>
    <x v="1"/>
  </r>
  <r>
    <s v="REL02810"/>
    <s v="Female"/>
    <n v="52"/>
    <s v="MBA"/>
    <s v="Single"/>
    <x v="0"/>
    <s v="Store Manager"/>
    <x v="3"/>
    <x v="2"/>
    <s v="West"/>
    <n v="4"/>
    <n v="96071"/>
    <x v="2"/>
    <n v="2"/>
    <n v="1"/>
    <n v="29"/>
    <n v="2"/>
    <d v="2019-04-05T00:00:00"/>
    <s v="No"/>
    <x v="1"/>
    <n v="2"/>
    <x v="0"/>
    <x v="0"/>
    <x v="1"/>
  </r>
  <r>
    <s v="REL02811"/>
    <s v="Male"/>
    <n v="29"/>
    <s v="Graduate"/>
    <s v="Single"/>
    <x v="4"/>
    <s v="Sales Executive"/>
    <x v="4"/>
    <x v="8"/>
    <s v="South"/>
    <n v="4"/>
    <n v="56813"/>
    <x v="1"/>
    <n v="1"/>
    <n v="2"/>
    <n v="60"/>
    <n v="3"/>
    <d v="2019-03-31T00:00:00"/>
    <s v="Yes"/>
    <x v="0"/>
    <n v="1"/>
    <x v="0"/>
    <x v="1"/>
    <x v="1"/>
  </r>
  <r>
    <s v="REL02812"/>
    <s v="Female"/>
    <n v="48"/>
    <s v="MBA"/>
    <s v="Married"/>
    <x v="2"/>
    <s v="HR Manager"/>
    <x v="3"/>
    <x v="6"/>
    <s v="South"/>
    <n v="15"/>
    <n v="109206"/>
    <x v="2"/>
    <n v="4"/>
    <n v="1"/>
    <n v="13"/>
    <n v="3"/>
    <d v="2008-02-13T00:00:00"/>
    <s v="Yes"/>
    <x v="1"/>
    <n v="2"/>
    <x v="2"/>
    <x v="1"/>
    <x v="1"/>
  </r>
  <r>
    <s v="REL02813"/>
    <s v="Male"/>
    <n v="37"/>
    <s v="Graduate"/>
    <s v="Divorced"/>
    <x v="1"/>
    <s v="Customer Service Rep"/>
    <x v="0"/>
    <x v="4"/>
    <s v="North"/>
    <n v="8"/>
    <n v="54772"/>
    <x v="0"/>
    <n v="2"/>
    <n v="1"/>
    <n v="10"/>
    <n v="0"/>
    <d v="2015-10-26T00:00:00"/>
    <s v="No"/>
    <x v="0"/>
    <n v="3"/>
    <x v="1"/>
    <x v="0"/>
    <x v="0"/>
  </r>
  <r>
    <s v="REL02814"/>
    <s v="Male"/>
    <n v="25"/>
    <s v="MBA"/>
    <s v="Married"/>
    <x v="2"/>
    <s v="Sales Executive"/>
    <x v="1"/>
    <x v="2"/>
    <s v="West"/>
    <n v="3"/>
    <n v="46830"/>
    <x v="0"/>
    <n v="1"/>
    <n v="4"/>
    <n v="58"/>
    <n v="2"/>
    <d v="2020-03-16T00:00:00"/>
    <s v="No"/>
    <x v="2"/>
    <n v="3"/>
    <x v="0"/>
    <x v="0"/>
    <x v="1"/>
  </r>
  <r>
    <s v="REL02815"/>
    <s v="Male"/>
    <n v="47"/>
    <s v="MBA"/>
    <s v="Single"/>
    <x v="0"/>
    <s v="Operations Head"/>
    <x v="1"/>
    <x v="5"/>
    <s v="South"/>
    <n v="1"/>
    <n v="91861"/>
    <x v="1"/>
    <n v="2"/>
    <n v="2"/>
    <n v="48"/>
    <n v="3"/>
    <d v="2022-09-03T00:00:00"/>
    <s v="No"/>
    <x v="1"/>
    <n v="1"/>
    <x v="3"/>
    <x v="3"/>
    <x v="2"/>
  </r>
  <r>
    <s v="REL02816"/>
    <s v="Female"/>
    <n v="51"/>
    <s v="Post Graduate"/>
    <s v="Married"/>
    <x v="4"/>
    <s v="Logistics Coordinator"/>
    <x v="3"/>
    <x v="8"/>
    <s v="South"/>
    <n v="1"/>
    <n v="38580"/>
    <x v="3"/>
    <n v="4"/>
    <n v="2"/>
    <n v="19"/>
    <n v="2"/>
    <d v="2022-12-01T00:00:00"/>
    <s v="No"/>
    <x v="2"/>
    <n v="4"/>
    <x v="3"/>
    <x v="2"/>
    <x v="1"/>
  </r>
  <r>
    <s v="REL02817"/>
    <s v="Female"/>
    <n v="52"/>
    <s v="BTech"/>
    <s v="Divorced"/>
    <x v="2"/>
    <s v="HR Manager"/>
    <x v="4"/>
    <x v="0"/>
    <s v="North"/>
    <n v="8"/>
    <n v="100925"/>
    <x v="3"/>
    <n v="1"/>
    <n v="1"/>
    <n v="22"/>
    <n v="3"/>
    <d v="2015-04-21T00:00:00"/>
    <s v="Yes"/>
    <x v="1"/>
    <n v="4"/>
    <x v="1"/>
    <x v="1"/>
    <x v="0"/>
  </r>
  <r>
    <s v="REL02818"/>
    <s v="Female"/>
    <n v="51"/>
    <s v="HSC"/>
    <s v="Married"/>
    <x v="5"/>
    <s v="Logistics Coordinator"/>
    <x v="3"/>
    <x v="3"/>
    <s v="West"/>
    <n v="8"/>
    <n v="61847"/>
    <x v="2"/>
    <n v="1"/>
    <n v="2"/>
    <n v="38"/>
    <n v="3"/>
    <d v="2015-02-15T00:00:00"/>
    <s v="No"/>
    <x v="0"/>
    <n v="2"/>
    <x v="1"/>
    <x v="0"/>
    <x v="1"/>
  </r>
  <r>
    <s v="REL02819"/>
    <s v="Male"/>
    <n v="52"/>
    <s v="BTech"/>
    <s v="Married"/>
    <x v="5"/>
    <s v="Finance Analyst"/>
    <x v="1"/>
    <x v="9"/>
    <s v="West"/>
    <n v="13"/>
    <n v="95765"/>
    <x v="2"/>
    <n v="4"/>
    <n v="3"/>
    <n v="30"/>
    <n v="1"/>
    <d v="2010-12-25T00:00:00"/>
    <s v="Yes"/>
    <x v="1"/>
    <n v="2"/>
    <x v="2"/>
    <x v="1"/>
    <x v="1"/>
  </r>
  <r>
    <s v="REL02820"/>
    <s v="Male"/>
    <n v="38"/>
    <s v="BTech"/>
    <s v="Divorced"/>
    <x v="0"/>
    <s v="Marketing Executive"/>
    <x v="0"/>
    <x v="3"/>
    <s v="West"/>
    <n v="14"/>
    <n v="74343"/>
    <x v="2"/>
    <n v="2"/>
    <n v="1"/>
    <n v="69"/>
    <n v="0"/>
    <d v="2009-09-18T00:00:00"/>
    <s v="No"/>
    <x v="0"/>
    <n v="2"/>
    <x v="2"/>
    <x v="0"/>
    <x v="1"/>
  </r>
  <r>
    <s v="REL02821"/>
    <s v="Female"/>
    <n v="34"/>
    <s v="BTech"/>
    <s v="Married"/>
    <x v="0"/>
    <s v="Finance Analyst"/>
    <x v="2"/>
    <x v="3"/>
    <s v="West"/>
    <n v="13"/>
    <n v="87452"/>
    <x v="1"/>
    <n v="3"/>
    <n v="1"/>
    <n v="64"/>
    <n v="1"/>
    <d v="2010-05-21T00:00:00"/>
    <s v="Yes"/>
    <x v="1"/>
    <n v="1"/>
    <x v="2"/>
    <x v="1"/>
    <x v="2"/>
  </r>
  <r>
    <s v="REL02822"/>
    <s v="Male"/>
    <n v="44"/>
    <s v="BTech"/>
    <s v="Single"/>
    <x v="3"/>
    <s v="Finance Analyst"/>
    <x v="0"/>
    <x v="1"/>
    <s v="North"/>
    <n v="2"/>
    <n v="58622"/>
    <x v="3"/>
    <n v="1"/>
    <n v="4"/>
    <n v="32"/>
    <n v="3"/>
    <d v="2021-12-06T00:00:00"/>
    <s v="No"/>
    <x v="0"/>
    <n v="4"/>
    <x v="3"/>
    <x v="2"/>
    <x v="1"/>
  </r>
  <r>
    <s v="REL02823"/>
    <s v="Female"/>
    <n v="27"/>
    <s v="Graduate"/>
    <s v="Single"/>
    <x v="1"/>
    <s v="Operations Head"/>
    <x v="4"/>
    <x v="5"/>
    <s v="South"/>
    <n v="13"/>
    <n v="129133"/>
    <x v="3"/>
    <n v="3"/>
    <n v="1"/>
    <n v="48"/>
    <n v="2"/>
    <d v="2010-04-05T00:00:00"/>
    <s v="Yes"/>
    <x v="1"/>
    <n v="4"/>
    <x v="2"/>
    <x v="1"/>
    <x v="0"/>
  </r>
  <r>
    <s v="REL02824"/>
    <s v="Male"/>
    <n v="30"/>
    <s v="MBA"/>
    <s v="Single"/>
    <x v="0"/>
    <s v="Finance Analyst"/>
    <x v="3"/>
    <x v="5"/>
    <s v="South"/>
    <n v="11"/>
    <n v="87850"/>
    <x v="2"/>
    <n v="4"/>
    <n v="1"/>
    <n v="10"/>
    <n v="0"/>
    <d v="2012-11-17T00:00:00"/>
    <s v="No"/>
    <x v="1"/>
    <n v="2"/>
    <x v="2"/>
    <x v="0"/>
    <x v="1"/>
  </r>
  <r>
    <s v="REL02825"/>
    <s v="Male"/>
    <n v="48"/>
    <s v="MBA"/>
    <s v="Single"/>
    <x v="6"/>
    <s v="Customer Service Rep"/>
    <x v="3"/>
    <x v="9"/>
    <s v="West"/>
    <n v="15"/>
    <n v="59217"/>
    <x v="0"/>
    <n v="4"/>
    <n v="1"/>
    <n v="19"/>
    <n v="0"/>
    <d v="2008-07-18T00:00:00"/>
    <s v="Yes"/>
    <x v="0"/>
    <n v="3"/>
    <x v="2"/>
    <x v="1"/>
    <x v="0"/>
  </r>
  <r>
    <s v="REL02826"/>
    <s v="Male"/>
    <n v="40"/>
    <s v="MBA"/>
    <s v="Single"/>
    <x v="0"/>
    <s v="Logistics Coordinator"/>
    <x v="3"/>
    <x v="9"/>
    <s v="West"/>
    <n v="9"/>
    <n v="61981"/>
    <x v="1"/>
    <n v="3"/>
    <n v="3"/>
    <n v="64"/>
    <n v="2"/>
    <d v="2014-07-30T00:00:00"/>
    <s v="No"/>
    <x v="0"/>
    <n v="1"/>
    <x v="1"/>
    <x v="0"/>
    <x v="1"/>
  </r>
  <r>
    <s v="REL02827"/>
    <s v="Female"/>
    <n v="53"/>
    <s v="MBA"/>
    <s v="Single"/>
    <x v="7"/>
    <s v="HR Manager"/>
    <x v="0"/>
    <x v="5"/>
    <s v="South"/>
    <n v="6"/>
    <n v="87404"/>
    <x v="0"/>
    <n v="3"/>
    <n v="1"/>
    <n v="59"/>
    <n v="3"/>
    <d v="2017-05-20T00:00:00"/>
    <s v="No"/>
    <x v="1"/>
    <n v="3"/>
    <x v="1"/>
    <x v="0"/>
    <x v="0"/>
  </r>
  <r>
    <s v="REL02828"/>
    <s v="Male"/>
    <n v="44"/>
    <s v="Graduate"/>
    <s v="Divorced"/>
    <x v="1"/>
    <s v="Finance Analyst"/>
    <x v="2"/>
    <x v="3"/>
    <s v="West"/>
    <n v="11"/>
    <n v="72987"/>
    <x v="0"/>
    <n v="4"/>
    <n v="1"/>
    <n v="54"/>
    <n v="0"/>
    <d v="2012-08-21T00:00:00"/>
    <s v="Yes"/>
    <x v="0"/>
    <n v="3"/>
    <x v="2"/>
    <x v="1"/>
    <x v="0"/>
  </r>
  <r>
    <s v="REL02829"/>
    <s v="Male"/>
    <n v="43"/>
    <s v="BTech"/>
    <s v="Married"/>
    <x v="6"/>
    <s v="Store Manager"/>
    <x v="2"/>
    <x v="4"/>
    <s v="North"/>
    <n v="4"/>
    <n v="93058"/>
    <x v="0"/>
    <n v="1"/>
    <n v="1"/>
    <n v="56"/>
    <n v="2"/>
    <d v="2019-04-26T00:00:00"/>
    <s v="No"/>
    <x v="1"/>
    <n v="3"/>
    <x v="0"/>
    <x v="0"/>
    <x v="0"/>
  </r>
  <r>
    <s v="REL02830"/>
    <s v="Male"/>
    <n v="49"/>
    <s v="Post Graduate"/>
    <s v="Divorced"/>
    <x v="1"/>
    <s v="Logistics Coordinator"/>
    <x v="1"/>
    <x v="5"/>
    <s v="South"/>
    <n v="2"/>
    <n v="43119"/>
    <x v="2"/>
    <n v="1"/>
    <n v="3"/>
    <n v="62"/>
    <n v="3"/>
    <d v="2021-01-17T00:00:00"/>
    <s v="No"/>
    <x v="2"/>
    <n v="2"/>
    <x v="3"/>
    <x v="0"/>
    <x v="1"/>
  </r>
  <r>
    <s v="REL02831"/>
    <s v="Male"/>
    <n v="39"/>
    <s v="BTech"/>
    <s v="Single"/>
    <x v="1"/>
    <s v="Sales Executive"/>
    <x v="4"/>
    <x v="3"/>
    <s v="West"/>
    <n v="6"/>
    <n v="59104"/>
    <x v="3"/>
    <n v="4"/>
    <n v="2"/>
    <n v="51"/>
    <n v="3"/>
    <d v="2017-08-21T00:00:00"/>
    <s v="No"/>
    <x v="0"/>
    <n v="4"/>
    <x v="1"/>
    <x v="2"/>
    <x v="1"/>
  </r>
  <r>
    <s v="REL02832"/>
    <s v="Female"/>
    <n v="28"/>
    <s v="MBA"/>
    <s v="Married"/>
    <x v="0"/>
    <s v="Marketing Executive"/>
    <x v="1"/>
    <x v="1"/>
    <s v="North"/>
    <n v="8"/>
    <n v="65318"/>
    <x v="1"/>
    <n v="4"/>
    <n v="2"/>
    <n v="22"/>
    <n v="3"/>
    <d v="2015-08-06T00:00:00"/>
    <s v="Yes"/>
    <x v="0"/>
    <n v="1"/>
    <x v="1"/>
    <x v="1"/>
    <x v="1"/>
  </r>
  <r>
    <s v="REL02833"/>
    <s v="Male"/>
    <n v="30"/>
    <s v="MBA"/>
    <s v="Divorced"/>
    <x v="1"/>
    <s v="Finance Analyst"/>
    <x v="4"/>
    <x v="8"/>
    <s v="South"/>
    <n v="5"/>
    <n v="69876"/>
    <x v="1"/>
    <n v="2"/>
    <n v="3"/>
    <n v="76"/>
    <n v="3"/>
    <d v="2018-02-09T00:00:00"/>
    <s v="No"/>
    <x v="0"/>
    <n v="1"/>
    <x v="0"/>
    <x v="0"/>
    <x v="1"/>
  </r>
  <r>
    <s v="REL02834"/>
    <s v="Male"/>
    <n v="41"/>
    <s v="HSC"/>
    <s v="Married"/>
    <x v="3"/>
    <s v="Logistics Coordinator"/>
    <x v="1"/>
    <x v="3"/>
    <s v="West"/>
    <n v="2"/>
    <n v="44530"/>
    <x v="2"/>
    <n v="2"/>
    <n v="4"/>
    <n v="27"/>
    <n v="3"/>
    <d v="2021-01-03T00:00:00"/>
    <s v="No"/>
    <x v="2"/>
    <n v="2"/>
    <x v="3"/>
    <x v="0"/>
    <x v="1"/>
  </r>
  <r>
    <s v="REL02835"/>
    <s v="Male"/>
    <n v="51"/>
    <s v="MBA"/>
    <s v="Married"/>
    <x v="1"/>
    <s v="HR Manager"/>
    <x v="2"/>
    <x v="9"/>
    <s v="West"/>
    <n v="14"/>
    <n v="104063"/>
    <x v="3"/>
    <n v="2"/>
    <n v="3"/>
    <n v="10"/>
    <n v="2"/>
    <d v="2009-11-16T00:00:00"/>
    <s v="No"/>
    <x v="1"/>
    <n v="4"/>
    <x v="2"/>
    <x v="2"/>
    <x v="0"/>
  </r>
  <r>
    <s v="REL02836"/>
    <s v="Male"/>
    <n v="41"/>
    <s v="MBA"/>
    <s v="Divorced"/>
    <x v="7"/>
    <s v="Finance Analyst"/>
    <x v="0"/>
    <x v="0"/>
    <s v="North"/>
    <n v="15"/>
    <n v="93937"/>
    <x v="2"/>
    <n v="4"/>
    <n v="3"/>
    <n v="24"/>
    <n v="3"/>
    <d v="2008-10-03T00:00:00"/>
    <s v="No"/>
    <x v="1"/>
    <n v="2"/>
    <x v="2"/>
    <x v="0"/>
    <x v="1"/>
  </r>
  <r>
    <s v="REL02837"/>
    <s v="Male"/>
    <n v="41"/>
    <s v="HSC"/>
    <s v="Married"/>
    <x v="3"/>
    <s v="Sales Executive"/>
    <x v="4"/>
    <x v="4"/>
    <s v="North"/>
    <n v="6"/>
    <n v="57118"/>
    <x v="1"/>
    <n v="4"/>
    <n v="1"/>
    <n v="51"/>
    <n v="0"/>
    <d v="2017-06-26T00:00:00"/>
    <s v="Yes"/>
    <x v="0"/>
    <n v="1"/>
    <x v="1"/>
    <x v="1"/>
    <x v="1"/>
  </r>
  <r>
    <s v="REL02838"/>
    <s v="Female"/>
    <n v="48"/>
    <s v="HSC"/>
    <s v="Divorced"/>
    <x v="5"/>
    <s v="Customer Service Rep"/>
    <x v="3"/>
    <x v="3"/>
    <s v="West"/>
    <n v="11"/>
    <n v="64253"/>
    <x v="2"/>
    <n v="4"/>
    <n v="3"/>
    <n v="24"/>
    <n v="1"/>
    <d v="2012-04-30T00:00:00"/>
    <s v="Yes"/>
    <x v="0"/>
    <n v="2"/>
    <x v="2"/>
    <x v="1"/>
    <x v="1"/>
  </r>
  <r>
    <s v="REL02839"/>
    <s v="Male"/>
    <n v="34"/>
    <s v="HSC"/>
    <s v="Divorced"/>
    <x v="1"/>
    <s v="Logistics Coordinator"/>
    <x v="4"/>
    <x v="1"/>
    <s v="North"/>
    <n v="8"/>
    <n v="52522"/>
    <x v="0"/>
    <n v="3"/>
    <n v="2"/>
    <n v="26"/>
    <n v="2"/>
    <d v="2015-04-04T00:00:00"/>
    <s v="No"/>
    <x v="0"/>
    <n v="3"/>
    <x v="1"/>
    <x v="0"/>
    <x v="0"/>
  </r>
  <r>
    <s v="REL02840"/>
    <s v="Female"/>
    <n v="28"/>
    <s v="MBA"/>
    <s v="Married"/>
    <x v="3"/>
    <s v="Store Manager"/>
    <x v="0"/>
    <x v="7"/>
    <s v="East"/>
    <n v="7"/>
    <n v="95193"/>
    <x v="3"/>
    <n v="3"/>
    <n v="3"/>
    <n v="62"/>
    <n v="0"/>
    <d v="2016-08-28T00:00:00"/>
    <s v="No"/>
    <x v="1"/>
    <n v="4"/>
    <x v="1"/>
    <x v="2"/>
    <x v="0"/>
  </r>
  <r>
    <s v="REL02841"/>
    <s v="Male"/>
    <n v="32"/>
    <s v="BTech"/>
    <s v="Divorced"/>
    <x v="2"/>
    <s v="Sales Executive"/>
    <x v="4"/>
    <x v="8"/>
    <s v="South"/>
    <n v="1"/>
    <n v="41597"/>
    <x v="3"/>
    <n v="2"/>
    <n v="3"/>
    <n v="76"/>
    <n v="2"/>
    <d v="2022-09-10T00:00:00"/>
    <s v="No"/>
    <x v="2"/>
    <n v="4"/>
    <x v="3"/>
    <x v="2"/>
    <x v="1"/>
  </r>
  <r>
    <s v="REL02842"/>
    <s v="Female"/>
    <n v="28"/>
    <s v="HSC"/>
    <s v="Married"/>
    <x v="0"/>
    <s v="Finance Analyst"/>
    <x v="4"/>
    <x v="8"/>
    <s v="South"/>
    <n v="8"/>
    <n v="68407"/>
    <x v="0"/>
    <n v="3"/>
    <n v="2"/>
    <n v="10"/>
    <n v="0"/>
    <d v="2015-05-22T00:00:00"/>
    <s v="No"/>
    <x v="0"/>
    <n v="3"/>
    <x v="1"/>
    <x v="0"/>
    <x v="0"/>
  </r>
  <r>
    <s v="REL02843"/>
    <s v="Male"/>
    <n v="23"/>
    <s v="BTech"/>
    <s v="Divorced"/>
    <x v="4"/>
    <s v="Operations Head"/>
    <x v="0"/>
    <x v="9"/>
    <s v="West"/>
    <n v="10"/>
    <n v="105459"/>
    <x v="1"/>
    <n v="2"/>
    <n v="2"/>
    <n v="15"/>
    <n v="3"/>
    <d v="2013-02-01T00:00:00"/>
    <s v="Yes"/>
    <x v="1"/>
    <n v="1"/>
    <x v="1"/>
    <x v="1"/>
    <x v="2"/>
  </r>
  <r>
    <s v="REL02844"/>
    <s v="Male"/>
    <n v="51"/>
    <s v="MBA"/>
    <s v="Married"/>
    <x v="2"/>
    <s v="Operations Head"/>
    <x v="1"/>
    <x v="8"/>
    <s v="South"/>
    <n v="6"/>
    <n v="98079"/>
    <x v="1"/>
    <n v="3"/>
    <n v="2"/>
    <n v="63"/>
    <n v="2"/>
    <d v="2017-03-19T00:00:00"/>
    <s v="No"/>
    <x v="1"/>
    <n v="1"/>
    <x v="1"/>
    <x v="0"/>
    <x v="2"/>
  </r>
  <r>
    <s v="REL02845"/>
    <s v="Female"/>
    <n v="48"/>
    <s v="Post Graduate"/>
    <s v="Married"/>
    <x v="7"/>
    <s v="HR Manager"/>
    <x v="2"/>
    <x v="1"/>
    <s v="North"/>
    <n v="15"/>
    <n v="102798"/>
    <x v="3"/>
    <n v="1"/>
    <n v="1"/>
    <n v="80"/>
    <n v="0"/>
    <d v="2008-06-21T00:00:00"/>
    <s v="No"/>
    <x v="1"/>
    <n v="4"/>
    <x v="2"/>
    <x v="2"/>
    <x v="0"/>
  </r>
  <r>
    <s v="REL02846"/>
    <s v="Male"/>
    <n v="51"/>
    <s v="BTech"/>
    <s v="Single"/>
    <x v="0"/>
    <s v="Marketing Executive"/>
    <x v="4"/>
    <x v="7"/>
    <s v="East"/>
    <n v="1"/>
    <n v="42001"/>
    <x v="3"/>
    <n v="4"/>
    <n v="4"/>
    <n v="30"/>
    <n v="1"/>
    <d v="2022-07-15T00:00:00"/>
    <s v="Yes"/>
    <x v="2"/>
    <n v="4"/>
    <x v="3"/>
    <x v="1"/>
    <x v="1"/>
  </r>
  <r>
    <s v="REL02847"/>
    <s v="Male"/>
    <n v="32"/>
    <s v="Post Graduate"/>
    <s v="Divorced"/>
    <x v="1"/>
    <s v="Store Manager"/>
    <x v="4"/>
    <x v="3"/>
    <s v="West"/>
    <n v="2"/>
    <n v="96773"/>
    <x v="1"/>
    <n v="4"/>
    <n v="4"/>
    <n v="60"/>
    <n v="1"/>
    <d v="2021-03-15T00:00:00"/>
    <s v="Yes"/>
    <x v="1"/>
    <n v="1"/>
    <x v="3"/>
    <x v="1"/>
    <x v="2"/>
  </r>
  <r>
    <s v="REL02848"/>
    <s v="Female"/>
    <n v="22"/>
    <s v="Post Graduate"/>
    <s v="Married"/>
    <x v="5"/>
    <s v="Sales Executive"/>
    <x v="0"/>
    <x v="0"/>
    <s v="North"/>
    <n v="6"/>
    <n v="60954"/>
    <x v="3"/>
    <n v="2"/>
    <n v="2"/>
    <n v="49"/>
    <n v="1"/>
    <d v="2017-12-03T00:00:00"/>
    <s v="No"/>
    <x v="0"/>
    <n v="4"/>
    <x v="1"/>
    <x v="2"/>
    <x v="1"/>
  </r>
  <r>
    <s v="REL02849"/>
    <s v="Female"/>
    <n v="34"/>
    <s v="BTech"/>
    <s v="Divorced"/>
    <x v="6"/>
    <s v="Marketing Executive"/>
    <x v="2"/>
    <x v="1"/>
    <s v="North"/>
    <n v="9"/>
    <n v="68038"/>
    <x v="2"/>
    <n v="4"/>
    <n v="3"/>
    <n v="51"/>
    <n v="2"/>
    <d v="2014-10-10T00:00:00"/>
    <s v="No"/>
    <x v="0"/>
    <n v="2"/>
    <x v="1"/>
    <x v="0"/>
    <x v="1"/>
  </r>
  <r>
    <s v="REL02850"/>
    <s v="Female"/>
    <n v="51"/>
    <s v="Post Graduate"/>
    <s v="Divorced"/>
    <x v="2"/>
    <s v="Marketing Executive"/>
    <x v="4"/>
    <x v="4"/>
    <s v="North"/>
    <n v="13"/>
    <n v="73856"/>
    <x v="0"/>
    <n v="2"/>
    <n v="3"/>
    <n v="61"/>
    <n v="1"/>
    <d v="2010-07-03T00:00:00"/>
    <s v="No"/>
    <x v="0"/>
    <n v="3"/>
    <x v="2"/>
    <x v="0"/>
    <x v="0"/>
  </r>
  <r>
    <s v="REL02851"/>
    <s v="Female"/>
    <n v="45"/>
    <s v="Post Graduate"/>
    <s v="Single"/>
    <x v="2"/>
    <s v="Store Manager"/>
    <x v="3"/>
    <x v="1"/>
    <s v="North"/>
    <n v="11"/>
    <n v="108473"/>
    <x v="3"/>
    <n v="2"/>
    <n v="4"/>
    <n v="21"/>
    <n v="2"/>
    <d v="2012-03-25T00:00:00"/>
    <s v="No"/>
    <x v="1"/>
    <n v="4"/>
    <x v="2"/>
    <x v="2"/>
    <x v="0"/>
  </r>
  <r>
    <s v="REL02852"/>
    <s v="Male"/>
    <n v="24"/>
    <s v="Post Graduate"/>
    <s v="Married"/>
    <x v="0"/>
    <s v="Logistics Coordinator"/>
    <x v="1"/>
    <x v="4"/>
    <s v="North"/>
    <n v="2"/>
    <n v="54335"/>
    <x v="2"/>
    <n v="1"/>
    <n v="3"/>
    <n v="52"/>
    <n v="2"/>
    <d v="2021-07-18T00:00:00"/>
    <s v="No"/>
    <x v="0"/>
    <n v="2"/>
    <x v="3"/>
    <x v="0"/>
    <x v="1"/>
  </r>
  <r>
    <s v="REL02853"/>
    <s v="Female"/>
    <n v="52"/>
    <s v="HSC"/>
    <s v="Divorced"/>
    <x v="2"/>
    <s v="HR Manager"/>
    <x v="4"/>
    <x v="1"/>
    <s v="North"/>
    <n v="8"/>
    <n v="97820"/>
    <x v="3"/>
    <n v="3"/>
    <n v="1"/>
    <n v="15"/>
    <n v="1"/>
    <d v="2015-07-15T00:00:00"/>
    <s v="No"/>
    <x v="1"/>
    <n v="4"/>
    <x v="1"/>
    <x v="2"/>
    <x v="0"/>
  </r>
  <r>
    <s v="REL02854"/>
    <s v="Male"/>
    <n v="44"/>
    <s v="MBA"/>
    <s v="Single"/>
    <x v="3"/>
    <s v="Store Manager"/>
    <x v="1"/>
    <x v="2"/>
    <s v="West"/>
    <n v="6"/>
    <n v="103162"/>
    <x v="1"/>
    <n v="1"/>
    <n v="4"/>
    <n v="46"/>
    <n v="1"/>
    <d v="2017-12-05T00:00:00"/>
    <s v="Yes"/>
    <x v="1"/>
    <n v="1"/>
    <x v="1"/>
    <x v="1"/>
    <x v="2"/>
  </r>
  <r>
    <s v="REL02855"/>
    <s v="Female"/>
    <n v="48"/>
    <s v="BTech"/>
    <s v="Single"/>
    <x v="7"/>
    <s v="HR Manager"/>
    <x v="0"/>
    <x v="7"/>
    <s v="East"/>
    <n v="11"/>
    <n v="97819"/>
    <x v="0"/>
    <n v="3"/>
    <n v="4"/>
    <n v="11"/>
    <n v="0"/>
    <d v="2012-01-12T00:00:00"/>
    <s v="No"/>
    <x v="1"/>
    <n v="3"/>
    <x v="2"/>
    <x v="0"/>
    <x v="0"/>
  </r>
  <r>
    <s v="REL02856"/>
    <s v="Male"/>
    <n v="40"/>
    <s v="BTech"/>
    <s v="Divorced"/>
    <x v="5"/>
    <s v="Marketing Executive"/>
    <x v="1"/>
    <x v="0"/>
    <s v="North"/>
    <n v="3"/>
    <n v="58457"/>
    <x v="3"/>
    <n v="3"/>
    <n v="4"/>
    <n v="14"/>
    <n v="0"/>
    <d v="2020-08-15T00:00:00"/>
    <s v="No"/>
    <x v="0"/>
    <n v="4"/>
    <x v="0"/>
    <x v="2"/>
    <x v="1"/>
  </r>
  <r>
    <s v="REL02857"/>
    <s v="Female"/>
    <n v="49"/>
    <s v="Graduate"/>
    <s v="Divorced"/>
    <x v="5"/>
    <s v="Finance Analyst"/>
    <x v="4"/>
    <x v="6"/>
    <s v="South"/>
    <n v="7"/>
    <n v="68554"/>
    <x v="3"/>
    <n v="3"/>
    <n v="4"/>
    <n v="72"/>
    <n v="1"/>
    <d v="2016-01-13T00:00:00"/>
    <s v="No"/>
    <x v="0"/>
    <n v="4"/>
    <x v="1"/>
    <x v="2"/>
    <x v="1"/>
  </r>
  <r>
    <s v="REL02858"/>
    <s v="Male"/>
    <n v="43"/>
    <s v="MBA"/>
    <s v="Single"/>
    <x v="7"/>
    <s v="Logistics Coordinator"/>
    <x v="3"/>
    <x v="8"/>
    <s v="South"/>
    <n v="8"/>
    <n v="58956"/>
    <x v="2"/>
    <n v="1"/>
    <n v="1"/>
    <n v="17"/>
    <n v="0"/>
    <d v="2015-01-17T00:00:00"/>
    <s v="Yes"/>
    <x v="0"/>
    <n v="2"/>
    <x v="1"/>
    <x v="1"/>
    <x v="1"/>
  </r>
  <r>
    <s v="REL02859"/>
    <s v="Male"/>
    <n v="31"/>
    <s v="Post Graduate"/>
    <s v="Single"/>
    <x v="1"/>
    <s v="Sales Executive"/>
    <x v="0"/>
    <x v="2"/>
    <s v="West"/>
    <n v="5"/>
    <n v="56544"/>
    <x v="1"/>
    <n v="1"/>
    <n v="3"/>
    <n v="71"/>
    <n v="2"/>
    <d v="2018-10-26T00:00:00"/>
    <s v="Yes"/>
    <x v="0"/>
    <n v="1"/>
    <x v="0"/>
    <x v="1"/>
    <x v="1"/>
  </r>
  <r>
    <s v="REL02860"/>
    <s v="Female"/>
    <n v="45"/>
    <s v="HSC"/>
    <s v="Married"/>
    <x v="1"/>
    <s v="HR Manager"/>
    <x v="2"/>
    <x v="9"/>
    <s v="West"/>
    <n v="9"/>
    <n v="99424"/>
    <x v="1"/>
    <n v="2"/>
    <n v="3"/>
    <n v="75"/>
    <n v="3"/>
    <d v="2014-07-11T00:00:00"/>
    <s v="Yes"/>
    <x v="1"/>
    <n v="1"/>
    <x v="1"/>
    <x v="1"/>
    <x v="2"/>
  </r>
  <r>
    <s v="REL02861"/>
    <s v="Female"/>
    <n v="55"/>
    <s v="Post Graduate"/>
    <s v="Divorced"/>
    <x v="5"/>
    <s v="Logistics Coordinator"/>
    <x v="3"/>
    <x v="1"/>
    <s v="North"/>
    <n v="1"/>
    <n v="49599"/>
    <x v="2"/>
    <n v="4"/>
    <n v="3"/>
    <n v="75"/>
    <n v="3"/>
    <d v="2022-04-20T00:00:00"/>
    <s v="No"/>
    <x v="2"/>
    <n v="2"/>
    <x v="3"/>
    <x v="0"/>
    <x v="1"/>
  </r>
  <r>
    <s v="REL02862"/>
    <s v="Female"/>
    <n v="38"/>
    <s v="HSC"/>
    <s v="Single"/>
    <x v="1"/>
    <s v="HR Manager"/>
    <x v="4"/>
    <x v="0"/>
    <s v="North"/>
    <n v="1"/>
    <n v="78252"/>
    <x v="3"/>
    <n v="2"/>
    <n v="3"/>
    <n v="66"/>
    <n v="2"/>
    <d v="2022-08-21T00:00:00"/>
    <s v="No"/>
    <x v="0"/>
    <n v="4"/>
    <x v="3"/>
    <x v="2"/>
    <x v="1"/>
  </r>
  <r>
    <s v="REL02863"/>
    <s v="Female"/>
    <n v="45"/>
    <s v="Graduate"/>
    <s v="Married"/>
    <x v="4"/>
    <s v="Finance Analyst"/>
    <x v="1"/>
    <x v="6"/>
    <s v="South"/>
    <n v="5"/>
    <n v="60198"/>
    <x v="2"/>
    <n v="4"/>
    <n v="2"/>
    <n v="35"/>
    <n v="3"/>
    <d v="2018-11-03T00:00:00"/>
    <s v="No"/>
    <x v="0"/>
    <n v="2"/>
    <x v="0"/>
    <x v="0"/>
    <x v="1"/>
  </r>
  <r>
    <s v="REL02864"/>
    <s v="Female"/>
    <n v="29"/>
    <s v="Post Graduate"/>
    <s v="Divorced"/>
    <x v="6"/>
    <s v="Sales Executive"/>
    <x v="1"/>
    <x v="3"/>
    <s v="West"/>
    <n v="11"/>
    <n v="54151"/>
    <x v="2"/>
    <n v="4"/>
    <n v="3"/>
    <n v="54"/>
    <n v="2"/>
    <d v="2012-11-11T00:00:00"/>
    <s v="No"/>
    <x v="0"/>
    <n v="2"/>
    <x v="2"/>
    <x v="0"/>
    <x v="1"/>
  </r>
  <r>
    <s v="REL02865"/>
    <s v="Male"/>
    <n v="40"/>
    <s v="Graduate"/>
    <s v="Divorced"/>
    <x v="4"/>
    <s v="Sales Executive"/>
    <x v="2"/>
    <x v="4"/>
    <s v="North"/>
    <n v="10"/>
    <n v="56257"/>
    <x v="0"/>
    <n v="4"/>
    <n v="4"/>
    <n v="21"/>
    <n v="0"/>
    <d v="2013-02-06T00:00:00"/>
    <s v="No"/>
    <x v="0"/>
    <n v="3"/>
    <x v="1"/>
    <x v="0"/>
    <x v="0"/>
  </r>
  <r>
    <s v="REL02866"/>
    <s v="Female"/>
    <n v="22"/>
    <s v="BTech"/>
    <s v="Divorced"/>
    <x v="0"/>
    <s v="Finance Analyst"/>
    <x v="4"/>
    <x v="1"/>
    <s v="North"/>
    <n v="8"/>
    <n v="75650"/>
    <x v="1"/>
    <n v="3"/>
    <n v="2"/>
    <n v="66"/>
    <n v="0"/>
    <d v="2015-12-08T00:00:00"/>
    <s v="Yes"/>
    <x v="0"/>
    <n v="1"/>
    <x v="1"/>
    <x v="1"/>
    <x v="1"/>
  </r>
  <r>
    <s v="REL02867"/>
    <s v="Female"/>
    <n v="52"/>
    <s v="MBA"/>
    <s v="Divorced"/>
    <x v="1"/>
    <s v="Operations Head"/>
    <x v="3"/>
    <x v="8"/>
    <s v="South"/>
    <n v="8"/>
    <n v="120806"/>
    <x v="2"/>
    <n v="2"/>
    <n v="4"/>
    <n v="20"/>
    <n v="3"/>
    <d v="2015-02-12T00:00:00"/>
    <s v="No"/>
    <x v="1"/>
    <n v="2"/>
    <x v="1"/>
    <x v="0"/>
    <x v="1"/>
  </r>
  <r>
    <s v="REL02868"/>
    <s v="Male"/>
    <n v="27"/>
    <s v="BTech"/>
    <s v="Married"/>
    <x v="7"/>
    <s v="Customer Service Rep"/>
    <x v="3"/>
    <x v="0"/>
    <s v="North"/>
    <n v="5"/>
    <n v="52154"/>
    <x v="1"/>
    <n v="3"/>
    <n v="2"/>
    <n v="18"/>
    <n v="3"/>
    <d v="2018-08-06T00:00:00"/>
    <s v="No"/>
    <x v="0"/>
    <n v="1"/>
    <x v="0"/>
    <x v="0"/>
    <x v="1"/>
  </r>
  <r>
    <s v="REL02869"/>
    <s v="Female"/>
    <n v="42"/>
    <s v="MBA"/>
    <s v="Married"/>
    <x v="0"/>
    <s v="Sales Executive"/>
    <x v="4"/>
    <x v="4"/>
    <s v="North"/>
    <n v="4"/>
    <n v="42396"/>
    <x v="2"/>
    <n v="1"/>
    <n v="2"/>
    <n v="78"/>
    <n v="2"/>
    <d v="2019-12-23T00:00:00"/>
    <s v="No"/>
    <x v="2"/>
    <n v="2"/>
    <x v="0"/>
    <x v="0"/>
    <x v="1"/>
  </r>
  <r>
    <s v="REL02870"/>
    <s v="Male"/>
    <n v="48"/>
    <s v="BTech"/>
    <s v="Single"/>
    <x v="5"/>
    <s v="Customer Service Rep"/>
    <x v="1"/>
    <x v="7"/>
    <s v="East"/>
    <n v="7"/>
    <n v="51266"/>
    <x v="1"/>
    <n v="2"/>
    <n v="1"/>
    <n v="73"/>
    <n v="1"/>
    <d v="2016-02-10T00:00:00"/>
    <s v="Yes"/>
    <x v="0"/>
    <n v="1"/>
    <x v="1"/>
    <x v="1"/>
    <x v="1"/>
  </r>
  <r>
    <s v="REL02871"/>
    <s v="Female"/>
    <n v="42"/>
    <s v="BTech"/>
    <s v="Divorced"/>
    <x v="1"/>
    <s v="Operations Head"/>
    <x v="4"/>
    <x v="9"/>
    <s v="West"/>
    <n v="6"/>
    <n v="100575"/>
    <x v="0"/>
    <n v="2"/>
    <n v="2"/>
    <n v="32"/>
    <n v="2"/>
    <d v="2017-09-04T00:00:00"/>
    <s v="No"/>
    <x v="1"/>
    <n v="3"/>
    <x v="1"/>
    <x v="0"/>
    <x v="0"/>
  </r>
  <r>
    <s v="REL02872"/>
    <s v="Female"/>
    <n v="33"/>
    <s v="MBA"/>
    <s v="Married"/>
    <x v="0"/>
    <s v="Customer Service Rep"/>
    <x v="2"/>
    <x v="1"/>
    <s v="North"/>
    <n v="6"/>
    <n v="53382"/>
    <x v="2"/>
    <n v="2"/>
    <n v="3"/>
    <n v="23"/>
    <n v="2"/>
    <d v="2017-11-11T00:00:00"/>
    <s v="Yes"/>
    <x v="0"/>
    <n v="2"/>
    <x v="1"/>
    <x v="1"/>
    <x v="1"/>
  </r>
  <r>
    <s v="REL02873"/>
    <s v="Male"/>
    <n v="51"/>
    <s v="HSC"/>
    <s v="Divorced"/>
    <x v="3"/>
    <s v="HR Manager"/>
    <x v="1"/>
    <x v="4"/>
    <s v="North"/>
    <n v="4"/>
    <n v="89246"/>
    <x v="1"/>
    <n v="1"/>
    <n v="2"/>
    <n v="77"/>
    <n v="0"/>
    <d v="2019-09-19T00:00:00"/>
    <s v="Yes"/>
    <x v="1"/>
    <n v="1"/>
    <x v="0"/>
    <x v="1"/>
    <x v="2"/>
  </r>
  <r>
    <s v="REL02874"/>
    <s v="Female"/>
    <n v="48"/>
    <s v="Graduate"/>
    <s v="Single"/>
    <x v="6"/>
    <s v="Marketing Executive"/>
    <x v="4"/>
    <x v="3"/>
    <s v="West"/>
    <n v="7"/>
    <n v="63723"/>
    <x v="1"/>
    <n v="4"/>
    <n v="2"/>
    <n v="41"/>
    <n v="2"/>
    <d v="2016-09-18T00:00:00"/>
    <s v="Yes"/>
    <x v="0"/>
    <n v="1"/>
    <x v="1"/>
    <x v="1"/>
    <x v="1"/>
  </r>
  <r>
    <s v="REL02875"/>
    <s v="Male"/>
    <n v="32"/>
    <s v="HSC"/>
    <s v="Single"/>
    <x v="4"/>
    <s v="HR Manager"/>
    <x v="4"/>
    <x v="2"/>
    <s v="West"/>
    <n v="11"/>
    <n v="106412"/>
    <x v="1"/>
    <n v="1"/>
    <n v="3"/>
    <n v="21"/>
    <n v="2"/>
    <d v="2012-04-25T00:00:00"/>
    <s v="No"/>
    <x v="1"/>
    <n v="1"/>
    <x v="2"/>
    <x v="0"/>
    <x v="2"/>
  </r>
  <r>
    <s v="REL02876"/>
    <s v="Female"/>
    <n v="41"/>
    <s v="BTech"/>
    <s v="Married"/>
    <x v="5"/>
    <s v="Marketing Executive"/>
    <x v="4"/>
    <x v="5"/>
    <s v="South"/>
    <n v="3"/>
    <n v="58495"/>
    <x v="1"/>
    <n v="2"/>
    <n v="4"/>
    <n v="16"/>
    <n v="1"/>
    <d v="2020-12-10T00:00:00"/>
    <s v="Yes"/>
    <x v="0"/>
    <n v="1"/>
    <x v="0"/>
    <x v="1"/>
    <x v="1"/>
  </r>
  <r>
    <s v="REL02877"/>
    <s v="Male"/>
    <n v="24"/>
    <s v="MBA"/>
    <s v="Single"/>
    <x v="5"/>
    <s v="HR Manager"/>
    <x v="0"/>
    <x v="5"/>
    <s v="South"/>
    <n v="3"/>
    <n v="79404"/>
    <x v="1"/>
    <n v="1"/>
    <n v="2"/>
    <n v="12"/>
    <n v="0"/>
    <d v="2020-07-01T00:00:00"/>
    <s v="Yes"/>
    <x v="0"/>
    <n v="1"/>
    <x v="0"/>
    <x v="1"/>
    <x v="1"/>
  </r>
  <r>
    <s v="REL02878"/>
    <s v="Male"/>
    <n v="54"/>
    <s v="MBA"/>
    <s v="Single"/>
    <x v="5"/>
    <s v="Customer Service Rep"/>
    <x v="1"/>
    <x v="8"/>
    <s v="South"/>
    <n v="8"/>
    <n v="46410"/>
    <x v="0"/>
    <n v="3"/>
    <n v="4"/>
    <n v="38"/>
    <n v="1"/>
    <d v="2015-08-19T00:00:00"/>
    <s v="No"/>
    <x v="2"/>
    <n v="3"/>
    <x v="1"/>
    <x v="0"/>
    <x v="1"/>
  </r>
  <r>
    <s v="REL02879"/>
    <s v="Male"/>
    <n v="38"/>
    <s v="Post Graduate"/>
    <s v="Divorced"/>
    <x v="5"/>
    <s v="Customer Service Rep"/>
    <x v="0"/>
    <x v="7"/>
    <s v="East"/>
    <n v="4"/>
    <n v="52335"/>
    <x v="1"/>
    <n v="4"/>
    <n v="3"/>
    <n v="77"/>
    <n v="3"/>
    <d v="2019-04-08T00:00:00"/>
    <s v="Yes"/>
    <x v="0"/>
    <n v="1"/>
    <x v="0"/>
    <x v="1"/>
    <x v="1"/>
  </r>
  <r>
    <s v="REL02880"/>
    <s v="Male"/>
    <n v="51"/>
    <s v="BTech"/>
    <s v="Divorced"/>
    <x v="0"/>
    <s v="Customer Service Rep"/>
    <x v="4"/>
    <x v="4"/>
    <s v="North"/>
    <n v="12"/>
    <n v="65001"/>
    <x v="2"/>
    <n v="2"/>
    <n v="4"/>
    <n v="59"/>
    <n v="0"/>
    <d v="2011-09-23T00:00:00"/>
    <s v="No"/>
    <x v="0"/>
    <n v="2"/>
    <x v="2"/>
    <x v="0"/>
    <x v="1"/>
  </r>
  <r>
    <s v="REL02881"/>
    <s v="Female"/>
    <n v="42"/>
    <s v="Graduate"/>
    <s v="Married"/>
    <x v="4"/>
    <s v="Finance Analyst"/>
    <x v="4"/>
    <x v="4"/>
    <s v="North"/>
    <n v="5"/>
    <n v="72133"/>
    <x v="2"/>
    <n v="4"/>
    <n v="4"/>
    <n v="54"/>
    <n v="2"/>
    <d v="2018-11-11T00:00:00"/>
    <s v="Yes"/>
    <x v="0"/>
    <n v="2"/>
    <x v="0"/>
    <x v="1"/>
    <x v="1"/>
  </r>
  <r>
    <s v="REL02882"/>
    <s v="Male"/>
    <n v="32"/>
    <s v="Post Graduate"/>
    <s v="Single"/>
    <x v="0"/>
    <s v="Logistics Coordinator"/>
    <x v="3"/>
    <x v="1"/>
    <s v="North"/>
    <n v="9"/>
    <n v="72357"/>
    <x v="2"/>
    <n v="3"/>
    <n v="2"/>
    <n v="15"/>
    <n v="2"/>
    <d v="2014-01-04T00:00:00"/>
    <s v="No"/>
    <x v="0"/>
    <n v="2"/>
    <x v="1"/>
    <x v="0"/>
    <x v="1"/>
  </r>
  <r>
    <s v="REL02883"/>
    <s v="Female"/>
    <n v="28"/>
    <s v="Post Graduate"/>
    <s v="Married"/>
    <x v="0"/>
    <s v="Sales Executive"/>
    <x v="4"/>
    <x v="5"/>
    <s v="South"/>
    <n v="4"/>
    <n v="56813"/>
    <x v="1"/>
    <n v="2"/>
    <n v="3"/>
    <n v="20"/>
    <n v="0"/>
    <d v="2019-05-28T00:00:00"/>
    <s v="Yes"/>
    <x v="0"/>
    <n v="1"/>
    <x v="0"/>
    <x v="1"/>
    <x v="1"/>
  </r>
  <r>
    <s v="REL02884"/>
    <s v="Male"/>
    <n v="32"/>
    <s v="BTech"/>
    <s v="Married"/>
    <x v="3"/>
    <s v="Logistics Coordinator"/>
    <x v="4"/>
    <x v="8"/>
    <s v="South"/>
    <n v="9"/>
    <n v="56565"/>
    <x v="0"/>
    <n v="1"/>
    <n v="3"/>
    <n v="10"/>
    <n v="1"/>
    <d v="2014-10-22T00:00:00"/>
    <s v="No"/>
    <x v="0"/>
    <n v="3"/>
    <x v="1"/>
    <x v="0"/>
    <x v="0"/>
  </r>
  <r>
    <s v="REL02885"/>
    <s v="Female"/>
    <n v="37"/>
    <s v="Graduate"/>
    <s v="Single"/>
    <x v="5"/>
    <s v="Operations Head"/>
    <x v="0"/>
    <x v="8"/>
    <s v="South"/>
    <n v="3"/>
    <n v="110484"/>
    <x v="0"/>
    <n v="2"/>
    <n v="2"/>
    <n v="17"/>
    <n v="0"/>
    <d v="2020-10-06T00:00:00"/>
    <s v="No"/>
    <x v="1"/>
    <n v="3"/>
    <x v="0"/>
    <x v="0"/>
    <x v="0"/>
  </r>
  <r>
    <s v="REL02886"/>
    <s v="Male"/>
    <n v="43"/>
    <s v="Graduate"/>
    <s v="Divorced"/>
    <x v="2"/>
    <s v="HR Manager"/>
    <x v="2"/>
    <x v="3"/>
    <s v="West"/>
    <n v="8"/>
    <n v="98844"/>
    <x v="0"/>
    <n v="4"/>
    <n v="1"/>
    <n v="39"/>
    <n v="2"/>
    <d v="2015-08-21T00:00:00"/>
    <s v="No"/>
    <x v="1"/>
    <n v="3"/>
    <x v="1"/>
    <x v="0"/>
    <x v="0"/>
  </r>
  <r>
    <s v="REL02887"/>
    <s v="Female"/>
    <n v="55"/>
    <s v="HSC"/>
    <s v="Married"/>
    <x v="3"/>
    <s v="Sales Executive"/>
    <x v="1"/>
    <x v="5"/>
    <s v="South"/>
    <n v="7"/>
    <n v="59882"/>
    <x v="2"/>
    <n v="4"/>
    <n v="4"/>
    <n v="46"/>
    <n v="0"/>
    <d v="2016-09-30T00:00:00"/>
    <s v="No"/>
    <x v="0"/>
    <n v="2"/>
    <x v="1"/>
    <x v="0"/>
    <x v="1"/>
  </r>
  <r>
    <s v="REL02888"/>
    <s v="Male"/>
    <n v="22"/>
    <s v="MBA"/>
    <s v="Single"/>
    <x v="7"/>
    <s v="Logistics Coordinator"/>
    <x v="3"/>
    <x v="1"/>
    <s v="North"/>
    <n v="4"/>
    <n v="45264"/>
    <x v="2"/>
    <n v="1"/>
    <n v="4"/>
    <n v="41"/>
    <n v="1"/>
    <d v="2020-01-01T00:00:00"/>
    <s v="No"/>
    <x v="2"/>
    <n v="2"/>
    <x v="0"/>
    <x v="0"/>
    <x v="1"/>
  </r>
  <r>
    <s v="REL02889"/>
    <s v="Female"/>
    <n v="26"/>
    <s v="MBA"/>
    <s v="Divorced"/>
    <x v="0"/>
    <s v="Sales Executive"/>
    <x v="2"/>
    <x v="2"/>
    <s v="West"/>
    <n v="4"/>
    <n v="48956"/>
    <x v="1"/>
    <n v="2"/>
    <n v="4"/>
    <n v="33"/>
    <n v="1"/>
    <d v="2019-10-11T00:00:00"/>
    <s v="Yes"/>
    <x v="2"/>
    <n v="1"/>
    <x v="0"/>
    <x v="1"/>
    <x v="1"/>
  </r>
  <r>
    <s v="REL02890"/>
    <s v="Female"/>
    <n v="34"/>
    <s v="BTech"/>
    <s v="Single"/>
    <x v="5"/>
    <s v="Finance Analyst"/>
    <x v="1"/>
    <x v="8"/>
    <s v="South"/>
    <n v="12"/>
    <n v="88905"/>
    <x v="1"/>
    <n v="1"/>
    <n v="3"/>
    <n v="65"/>
    <n v="1"/>
    <d v="2011-10-03T00:00:00"/>
    <s v="No"/>
    <x v="1"/>
    <n v="1"/>
    <x v="2"/>
    <x v="0"/>
    <x v="2"/>
  </r>
  <r>
    <s v="REL02891"/>
    <s v="Male"/>
    <n v="54"/>
    <s v="HSC"/>
    <s v="Single"/>
    <x v="3"/>
    <s v="Marketing Executive"/>
    <x v="2"/>
    <x v="4"/>
    <s v="North"/>
    <n v="3"/>
    <n v="52448"/>
    <x v="0"/>
    <n v="2"/>
    <n v="2"/>
    <n v="53"/>
    <n v="0"/>
    <d v="2020-11-20T00:00:00"/>
    <s v="No"/>
    <x v="0"/>
    <n v="3"/>
    <x v="0"/>
    <x v="0"/>
    <x v="0"/>
  </r>
  <r>
    <s v="REL02892"/>
    <s v="Female"/>
    <n v="26"/>
    <s v="Post Graduate"/>
    <s v="Married"/>
    <x v="3"/>
    <s v="Operations Head"/>
    <x v="3"/>
    <x v="2"/>
    <s v="West"/>
    <n v="13"/>
    <n v="112388"/>
    <x v="3"/>
    <n v="3"/>
    <n v="2"/>
    <n v="33"/>
    <n v="1"/>
    <d v="2010-08-15T00:00:00"/>
    <s v="Yes"/>
    <x v="1"/>
    <n v="4"/>
    <x v="2"/>
    <x v="1"/>
    <x v="0"/>
  </r>
  <r>
    <s v="REL02893"/>
    <s v="Male"/>
    <n v="44"/>
    <s v="Graduate"/>
    <s v="Married"/>
    <x v="5"/>
    <s v="Store Manager"/>
    <x v="3"/>
    <x v="8"/>
    <s v="South"/>
    <n v="11"/>
    <n v="114118"/>
    <x v="1"/>
    <n v="4"/>
    <n v="2"/>
    <n v="34"/>
    <n v="1"/>
    <d v="2012-03-15T00:00:00"/>
    <s v="Yes"/>
    <x v="1"/>
    <n v="1"/>
    <x v="2"/>
    <x v="1"/>
    <x v="2"/>
  </r>
  <r>
    <s v="REL02894"/>
    <s v="Male"/>
    <n v="55"/>
    <s v="MBA"/>
    <s v="Divorced"/>
    <x v="4"/>
    <s v="Marketing Executive"/>
    <x v="4"/>
    <x v="9"/>
    <s v="West"/>
    <n v="15"/>
    <n v="81206"/>
    <x v="2"/>
    <n v="3"/>
    <n v="1"/>
    <n v="12"/>
    <n v="2"/>
    <d v="2008-09-07T00:00:00"/>
    <s v="No"/>
    <x v="1"/>
    <n v="2"/>
    <x v="2"/>
    <x v="0"/>
    <x v="1"/>
  </r>
  <r>
    <s v="REL02895"/>
    <s v="Male"/>
    <n v="54"/>
    <s v="Post Graduate"/>
    <s v="Married"/>
    <x v="0"/>
    <s v="Finance Analyst"/>
    <x v="1"/>
    <x v="5"/>
    <s v="South"/>
    <n v="6"/>
    <n v="73842"/>
    <x v="2"/>
    <n v="4"/>
    <n v="2"/>
    <n v="38"/>
    <n v="1"/>
    <d v="2017-07-10T00:00:00"/>
    <s v="No"/>
    <x v="0"/>
    <n v="2"/>
    <x v="1"/>
    <x v="0"/>
    <x v="1"/>
  </r>
  <r>
    <s v="REL02896"/>
    <s v="Female"/>
    <n v="54"/>
    <s v="HSC"/>
    <s v="Married"/>
    <x v="0"/>
    <s v="Logistics Coordinator"/>
    <x v="4"/>
    <x v="5"/>
    <s v="South"/>
    <n v="1"/>
    <n v="39295"/>
    <x v="1"/>
    <n v="4"/>
    <n v="3"/>
    <n v="69"/>
    <n v="2"/>
    <d v="2022-02-27T00:00:00"/>
    <s v="Yes"/>
    <x v="2"/>
    <n v="1"/>
    <x v="3"/>
    <x v="1"/>
    <x v="1"/>
  </r>
  <r>
    <s v="REL02897"/>
    <s v="Female"/>
    <n v="30"/>
    <s v="Post Graduate"/>
    <s v="Married"/>
    <x v="2"/>
    <s v="Customer Service Rep"/>
    <x v="0"/>
    <x v="6"/>
    <s v="South"/>
    <n v="12"/>
    <n v="61478"/>
    <x v="0"/>
    <n v="1"/>
    <n v="2"/>
    <n v="52"/>
    <n v="1"/>
    <d v="2011-12-14T00:00:00"/>
    <s v="No"/>
    <x v="0"/>
    <n v="3"/>
    <x v="2"/>
    <x v="0"/>
    <x v="0"/>
  </r>
  <r>
    <s v="REL02898"/>
    <s v="Male"/>
    <n v="41"/>
    <s v="Graduate"/>
    <s v="Single"/>
    <x v="4"/>
    <s v="Store Manager"/>
    <x v="4"/>
    <x v="7"/>
    <s v="East"/>
    <n v="12"/>
    <n v="111057"/>
    <x v="3"/>
    <n v="4"/>
    <n v="4"/>
    <n v="67"/>
    <n v="3"/>
    <d v="2011-06-08T00:00:00"/>
    <s v="No"/>
    <x v="1"/>
    <n v="4"/>
    <x v="2"/>
    <x v="2"/>
    <x v="0"/>
  </r>
  <r>
    <s v="REL02899"/>
    <s v="Female"/>
    <n v="24"/>
    <s v="Post Graduate"/>
    <s v="Single"/>
    <x v="0"/>
    <s v="Customer Service Rep"/>
    <x v="1"/>
    <x v="1"/>
    <s v="North"/>
    <n v="1"/>
    <n v="45626"/>
    <x v="2"/>
    <n v="4"/>
    <n v="3"/>
    <n v="31"/>
    <n v="2"/>
    <d v="2022-07-31T00:00:00"/>
    <s v="No"/>
    <x v="2"/>
    <n v="2"/>
    <x v="3"/>
    <x v="0"/>
    <x v="1"/>
  </r>
  <r>
    <s v="REL02900"/>
    <s v="Female"/>
    <n v="26"/>
    <s v="HSC"/>
    <s v="Single"/>
    <x v="1"/>
    <s v="Customer Service Rep"/>
    <x v="2"/>
    <x v="7"/>
    <s v="East"/>
    <n v="7"/>
    <n v="47868"/>
    <x v="3"/>
    <n v="3"/>
    <n v="1"/>
    <n v="36"/>
    <n v="3"/>
    <d v="2016-10-23T00:00:00"/>
    <s v="No"/>
    <x v="2"/>
    <n v="4"/>
    <x v="1"/>
    <x v="2"/>
    <x v="1"/>
  </r>
  <r>
    <s v="REL02901"/>
    <s v="Female"/>
    <n v="48"/>
    <s v="BTech"/>
    <s v="Single"/>
    <x v="5"/>
    <s v="Sales Executive"/>
    <x v="2"/>
    <x v="0"/>
    <s v="North"/>
    <n v="4"/>
    <n v="39409"/>
    <x v="2"/>
    <n v="1"/>
    <n v="3"/>
    <n v="40"/>
    <n v="0"/>
    <d v="2019-11-30T00:00:00"/>
    <s v="No"/>
    <x v="2"/>
    <n v="2"/>
    <x v="0"/>
    <x v="0"/>
    <x v="1"/>
  </r>
  <r>
    <s v="REL02902"/>
    <s v="Female"/>
    <n v="50"/>
    <s v="BTech"/>
    <s v="Married"/>
    <x v="3"/>
    <s v="Logistics Coordinator"/>
    <x v="0"/>
    <x v="6"/>
    <s v="South"/>
    <n v="12"/>
    <n v="68032"/>
    <x v="0"/>
    <n v="1"/>
    <n v="4"/>
    <n v="66"/>
    <n v="3"/>
    <d v="2011-05-22T00:00:00"/>
    <s v="No"/>
    <x v="0"/>
    <n v="3"/>
    <x v="2"/>
    <x v="0"/>
    <x v="0"/>
  </r>
  <r>
    <s v="REL02903"/>
    <s v="Female"/>
    <n v="55"/>
    <s v="Graduate"/>
    <s v="Divorced"/>
    <x v="4"/>
    <s v="Marketing Executive"/>
    <x v="2"/>
    <x v="8"/>
    <s v="South"/>
    <n v="11"/>
    <n v="63212"/>
    <x v="1"/>
    <n v="1"/>
    <n v="1"/>
    <n v="14"/>
    <n v="0"/>
    <d v="2012-12-19T00:00:00"/>
    <s v="No"/>
    <x v="0"/>
    <n v="1"/>
    <x v="2"/>
    <x v="0"/>
    <x v="1"/>
  </r>
  <r>
    <s v="REL02904"/>
    <s v="Male"/>
    <n v="29"/>
    <s v="BTech"/>
    <s v="Married"/>
    <x v="4"/>
    <s v="Logistics Coordinator"/>
    <x v="0"/>
    <x v="6"/>
    <s v="South"/>
    <n v="6"/>
    <n v="66857"/>
    <x v="3"/>
    <n v="3"/>
    <n v="1"/>
    <n v="13"/>
    <n v="2"/>
    <d v="2017-10-29T00:00:00"/>
    <s v="No"/>
    <x v="0"/>
    <n v="4"/>
    <x v="1"/>
    <x v="2"/>
    <x v="1"/>
  </r>
  <r>
    <s v="REL02905"/>
    <s v="Male"/>
    <n v="23"/>
    <s v="HSC"/>
    <s v="Divorced"/>
    <x v="2"/>
    <s v="HR Manager"/>
    <x v="4"/>
    <x v="8"/>
    <s v="South"/>
    <n v="8"/>
    <n v="87302"/>
    <x v="3"/>
    <n v="2"/>
    <n v="1"/>
    <n v="63"/>
    <n v="2"/>
    <d v="2015-08-06T00:00:00"/>
    <s v="Yes"/>
    <x v="1"/>
    <n v="4"/>
    <x v="1"/>
    <x v="1"/>
    <x v="0"/>
  </r>
  <r>
    <s v="REL02906"/>
    <s v="Female"/>
    <n v="35"/>
    <s v="Graduate"/>
    <s v="Single"/>
    <x v="4"/>
    <s v="Store Manager"/>
    <x v="4"/>
    <x v="3"/>
    <s v="West"/>
    <n v="2"/>
    <n v="94021"/>
    <x v="0"/>
    <n v="3"/>
    <n v="3"/>
    <n v="11"/>
    <n v="1"/>
    <d v="2021-01-23T00:00:00"/>
    <s v="Yes"/>
    <x v="1"/>
    <n v="3"/>
    <x v="3"/>
    <x v="1"/>
    <x v="0"/>
  </r>
  <r>
    <s v="REL02907"/>
    <s v="Female"/>
    <n v="50"/>
    <s v="HSC"/>
    <s v="Divorced"/>
    <x v="5"/>
    <s v="Customer Service Rep"/>
    <x v="1"/>
    <x v="0"/>
    <s v="North"/>
    <n v="9"/>
    <n v="44274"/>
    <x v="1"/>
    <n v="1"/>
    <n v="3"/>
    <n v="24"/>
    <n v="2"/>
    <d v="2014-12-27T00:00:00"/>
    <s v="Yes"/>
    <x v="2"/>
    <n v="1"/>
    <x v="1"/>
    <x v="1"/>
    <x v="1"/>
  </r>
  <r>
    <s v="REL02908"/>
    <s v="Male"/>
    <n v="39"/>
    <s v="Post Graduate"/>
    <s v="Married"/>
    <x v="1"/>
    <s v="Logistics Coordinator"/>
    <x v="0"/>
    <x v="1"/>
    <s v="North"/>
    <n v="6"/>
    <n v="47688"/>
    <x v="3"/>
    <n v="4"/>
    <n v="1"/>
    <n v="29"/>
    <n v="0"/>
    <d v="2017-07-07T00:00:00"/>
    <s v="No"/>
    <x v="2"/>
    <n v="4"/>
    <x v="1"/>
    <x v="2"/>
    <x v="1"/>
  </r>
  <r>
    <s v="REL02909"/>
    <s v="Female"/>
    <n v="33"/>
    <s v="MBA"/>
    <s v="Single"/>
    <x v="1"/>
    <s v="Sales Executive"/>
    <x v="1"/>
    <x v="7"/>
    <s v="East"/>
    <n v="2"/>
    <n v="44975"/>
    <x v="1"/>
    <n v="3"/>
    <n v="2"/>
    <n v="57"/>
    <n v="1"/>
    <d v="2021-11-22T00:00:00"/>
    <s v="Yes"/>
    <x v="2"/>
    <n v="1"/>
    <x v="3"/>
    <x v="1"/>
    <x v="1"/>
  </r>
  <r>
    <s v="REL02910"/>
    <s v="Female"/>
    <n v="33"/>
    <s v="HSC"/>
    <s v="Married"/>
    <x v="2"/>
    <s v="Logistics Coordinator"/>
    <x v="4"/>
    <x v="8"/>
    <s v="South"/>
    <n v="2"/>
    <n v="49669"/>
    <x v="1"/>
    <n v="2"/>
    <n v="1"/>
    <n v="14"/>
    <n v="3"/>
    <d v="2021-08-24T00:00:00"/>
    <s v="No"/>
    <x v="2"/>
    <n v="1"/>
    <x v="3"/>
    <x v="3"/>
    <x v="1"/>
  </r>
  <r>
    <s v="REL02911"/>
    <s v="Male"/>
    <n v="41"/>
    <s v="HSC"/>
    <s v="Divorced"/>
    <x v="7"/>
    <s v="Store Manager"/>
    <x v="4"/>
    <x v="5"/>
    <s v="South"/>
    <n v="3"/>
    <n v="95375"/>
    <x v="0"/>
    <n v="2"/>
    <n v="3"/>
    <n v="12"/>
    <n v="3"/>
    <d v="2020-07-21T00:00:00"/>
    <s v="No"/>
    <x v="1"/>
    <n v="3"/>
    <x v="0"/>
    <x v="0"/>
    <x v="0"/>
  </r>
  <r>
    <s v="REL02912"/>
    <s v="Male"/>
    <n v="22"/>
    <s v="BTech"/>
    <s v="Divorced"/>
    <x v="6"/>
    <s v="Marketing Executive"/>
    <x v="1"/>
    <x v="3"/>
    <s v="West"/>
    <n v="6"/>
    <n v="59693"/>
    <x v="0"/>
    <n v="2"/>
    <n v="1"/>
    <n v="22"/>
    <n v="2"/>
    <d v="2017-12-14T00:00:00"/>
    <s v="No"/>
    <x v="0"/>
    <n v="3"/>
    <x v="1"/>
    <x v="0"/>
    <x v="0"/>
  </r>
  <r>
    <s v="REL02913"/>
    <s v="Male"/>
    <n v="55"/>
    <s v="BTech"/>
    <s v="Married"/>
    <x v="0"/>
    <s v="Finance Analyst"/>
    <x v="1"/>
    <x v="3"/>
    <s v="West"/>
    <n v="3"/>
    <n v="59624"/>
    <x v="3"/>
    <n v="3"/>
    <n v="1"/>
    <n v="52"/>
    <n v="2"/>
    <d v="2020-10-24T00:00:00"/>
    <s v="No"/>
    <x v="0"/>
    <n v="4"/>
    <x v="0"/>
    <x v="2"/>
    <x v="1"/>
  </r>
  <r>
    <s v="REL02914"/>
    <s v="Male"/>
    <n v="47"/>
    <s v="MBA"/>
    <s v="Married"/>
    <x v="3"/>
    <s v="Marketing Executive"/>
    <x v="0"/>
    <x v="4"/>
    <s v="North"/>
    <n v="11"/>
    <n v="71760"/>
    <x v="2"/>
    <n v="2"/>
    <n v="4"/>
    <n v="41"/>
    <n v="3"/>
    <d v="2012-12-12T00:00:00"/>
    <s v="No"/>
    <x v="0"/>
    <n v="2"/>
    <x v="2"/>
    <x v="0"/>
    <x v="1"/>
  </r>
  <r>
    <s v="REL02915"/>
    <s v="Male"/>
    <n v="32"/>
    <s v="BTech"/>
    <s v="Divorced"/>
    <x v="6"/>
    <s v="Sales Executive"/>
    <x v="3"/>
    <x v="4"/>
    <s v="North"/>
    <n v="9"/>
    <n v="50720"/>
    <x v="2"/>
    <n v="2"/>
    <n v="4"/>
    <n v="28"/>
    <n v="2"/>
    <d v="2014-07-16T00:00:00"/>
    <s v="Yes"/>
    <x v="0"/>
    <n v="2"/>
    <x v="1"/>
    <x v="1"/>
    <x v="1"/>
  </r>
  <r>
    <s v="REL02916"/>
    <s v="Female"/>
    <n v="51"/>
    <s v="BTech"/>
    <s v="Single"/>
    <x v="0"/>
    <s v="Finance Analyst"/>
    <x v="3"/>
    <x v="5"/>
    <s v="South"/>
    <n v="8"/>
    <n v="82929"/>
    <x v="1"/>
    <n v="1"/>
    <n v="4"/>
    <n v="10"/>
    <n v="1"/>
    <d v="2015-06-20T00:00:00"/>
    <s v="No"/>
    <x v="1"/>
    <n v="1"/>
    <x v="1"/>
    <x v="0"/>
    <x v="2"/>
  </r>
  <r>
    <s v="REL02917"/>
    <s v="Male"/>
    <n v="44"/>
    <s v="MBA"/>
    <s v="Divorced"/>
    <x v="0"/>
    <s v="Customer Service Rep"/>
    <x v="1"/>
    <x v="8"/>
    <s v="South"/>
    <n v="11"/>
    <n v="49727"/>
    <x v="0"/>
    <n v="2"/>
    <n v="1"/>
    <n v="33"/>
    <n v="1"/>
    <d v="2012-09-28T00:00:00"/>
    <s v="No"/>
    <x v="2"/>
    <n v="3"/>
    <x v="2"/>
    <x v="0"/>
    <x v="1"/>
  </r>
  <r>
    <s v="REL02918"/>
    <s v="Female"/>
    <n v="29"/>
    <s v="Post Graduate"/>
    <s v="Married"/>
    <x v="6"/>
    <s v="HR Manager"/>
    <x v="4"/>
    <x v="2"/>
    <s v="West"/>
    <n v="11"/>
    <n v="87529"/>
    <x v="1"/>
    <n v="4"/>
    <n v="1"/>
    <n v="63"/>
    <n v="3"/>
    <d v="2012-10-18T00:00:00"/>
    <s v="Yes"/>
    <x v="1"/>
    <n v="1"/>
    <x v="2"/>
    <x v="1"/>
    <x v="2"/>
  </r>
  <r>
    <s v="REL02919"/>
    <s v="Female"/>
    <n v="47"/>
    <s v="MBA"/>
    <s v="Single"/>
    <x v="2"/>
    <s v="Marketing Executive"/>
    <x v="4"/>
    <x v="0"/>
    <s v="North"/>
    <n v="1"/>
    <n v="42883"/>
    <x v="2"/>
    <n v="4"/>
    <n v="1"/>
    <n v="77"/>
    <n v="3"/>
    <d v="2022-10-01T00:00:00"/>
    <s v="No"/>
    <x v="2"/>
    <n v="2"/>
    <x v="3"/>
    <x v="0"/>
    <x v="1"/>
  </r>
  <r>
    <s v="REL02920"/>
    <s v="Female"/>
    <n v="49"/>
    <s v="Graduate"/>
    <s v="Divorced"/>
    <x v="1"/>
    <s v="Logistics Coordinator"/>
    <x v="2"/>
    <x v="5"/>
    <s v="South"/>
    <n v="1"/>
    <n v="49813"/>
    <x v="2"/>
    <n v="3"/>
    <n v="3"/>
    <n v="12"/>
    <n v="0"/>
    <d v="2022-02-06T00:00:00"/>
    <s v="No"/>
    <x v="2"/>
    <n v="2"/>
    <x v="3"/>
    <x v="0"/>
    <x v="1"/>
  </r>
  <r>
    <s v="REL02921"/>
    <s v="Male"/>
    <n v="45"/>
    <s v="Graduate"/>
    <s v="Divorced"/>
    <x v="5"/>
    <s v="Marketing Executive"/>
    <x v="4"/>
    <x v="3"/>
    <s v="West"/>
    <n v="9"/>
    <n v="59410"/>
    <x v="3"/>
    <n v="1"/>
    <n v="3"/>
    <n v="57"/>
    <n v="3"/>
    <d v="2014-02-17T00:00:00"/>
    <s v="No"/>
    <x v="0"/>
    <n v="4"/>
    <x v="1"/>
    <x v="2"/>
    <x v="1"/>
  </r>
  <r>
    <s v="REL02922"/>
    <s v="Female"/>
    <n v="26"/>
    <s v="MBA"/>
    <s v="Single"/>
    <x v="4"/>
    <s v="Sales Executive"/>
    <x v="4"/>
    <x v="8"/>
    <s v="South"/>
    <n v="13"/>
    <n v="60155"/>
    <x v="2"/>
    <n v="3"/>
    <n v="1"/>
    <n v="33"/>
    <n v="0"/>
    <d v="2010-09-18T00:00:00"/>
    <s v="No"/>
    <x v="0"/>
    <n v="2"/>
    <x v="2"/>
    <x v="0"/>
    <x v="1"/>
  </r>
  <r>
    <s v="REL02923"/>
    <s v="Male"/>
    <n v="48"/>
    <s v="MBA"/>
    <s v="Divorced"/>
    <x v="6"/>
    <s v="Sales Executive"/>
    <x v="4"/>
    <x v="9"/>
    <s v="West"/>
    <n v="13"/>
    <n v="66174"/>
    <x v="3"/>
    <n v="3"/>
    <n v="1"/>
    <n v="40"/>
    <n v="1"/>
    <d v="2010-04-05T00:00:00"/>
    <s v="No"/>
    <x v="0"/>
    <n v="4"/>
    <x v="2"/>
    <x v="2"/>
    <x v="1"/>
  </r>
  <r>
    <s v="REL02924"/>
    <s v="Female"/>
    <n v="43"/>
    <s v="HSC"/>
    <s v="Single"/>
    <x v="7"/>
    <s v="Sales Executive"/>
    <x v="3"/>
    <x v="0"/>
    <s v="North"/>
    <n v="10"/>
    <n v="53896"/>
    <x v="2"/>
    <n v="1"/>
    <n v="3"/>
    <n v="34"/>
    <n v="3"/>
    <d v="2013-05-26T00:00:00"/>
    <s v="No"/>
    <x v="0"/>
    <n v="2"/>
    <x v="1"/>
    <x v="0"/>
    <x v="1"/>
  </r>
  <r>
    <s v="REL02925"/>
    <s v="Female"/>
    <n v="25"/>
    <s v="BTech"/>
    <s v="Single"/>
    <x v="1"/>
    <s v="Finance Analyst"/>
    <x v="4"/>
    <x v="7"/>
    <s v="East"/>
    <n v="14"/>
    <n v="89613"/>
    <x v="2"/>
    <n v="4"/>
    <n v="1"/>
    <n v="35"/>
    <n v="0"/>
    <d v="2009-10-06T00:00:00"/>
    <s v="No"/>
    <x v="1"/>
    <n v="2"/>
    <x v="2"/>
    <x v="0"/>
    <x v="1"/>
  </r>
  <r>
    <s v="REL02926"/>
    <s v="Female"/>
    <n v="45"/>
    <s v="Post Graduate"/>
    <s v="Married"/>
    <x v="6"/>
    <s v="Logistics Coordinator"/>
    <x v="3"/>
    <x v="5"/>
    <s v="South"/>
    <n v="9"/>
    <n v="67486"/>
    <x v="2"/>
    <n v="1"/>
    <n v="3"/>
    <n v="41"/>
    <n v="2"/>
    <d v="2014-06-15T00:00:00"/>
    <s v="No"/>
    <x v="0"/>
    <n v="2"/>
    <x v="1"/>
    <x v="0"/>
    <x v="1"/>
  </r>
  <r>
    <s v="REL02927"/>
    <s v="Male"/>
    <n v="51"/>
    <s v="BTech"/>
    <s v="Single"/>
    <x v="4"/>
    <s v="Store Manager"/>
    <x v="2"/>
    <x v="9"/>
    <s v="West"/>
    <n v="8"/>
    <n v="107977"/>
    <x v="0"/>
    <n v="1"/>
    <n v="2"/>
    <n v="73"/>
    <n v="0"/>
    <d v="2015-10-08T00:00:00"/>
    <s v="Yes"/>
    <x v="1"/>
    <n v="3"/>
    <x v="1"/>
    <x v="1"/>
    <x v="0"/>
  </r>
  <r>
    <s v="REL02928"/>
    <s v="Male"/>
    <n v="38"/>
    <s v="Graduate"/>
    <s v="Married"/>
    <x v="2"/>
    <s v="HR Manager"/>
    <x v="4"/>
    <x v="3"/>
    <s v="West"/>
    <n v="11"/>
    <n v="87180"/>
    <x v="0"/>
    <n v="1"/>
    <n v="1"/>
    <n v="69"/>
    <n v="2"/>
    <d v="2012-10-18T00:00:00"/>
    <s v="No"/>
    <x v="1"/>
    <n v="3"/>
    <x v="2"/>
    <x v="0"/>
    <x v="0"/>
  </r>
  <r>
    <s v="REL02929"/>
    <s v="Female"/>
    <n v="41"/>
    <s v="HSC"/>
    <s v="Divorced"/>
    <x v="5"/>
    <s v="Sales Executive"/>
    <x v="4"/>
    <x v="9"/>
    <s v="West"/>
    <n v="7"/>
    <n v="62432"/>
    <x v="1"/>
    <n v="1"/>
    <n v="3"/>
    <n v="38"/>
    <n v="2"/>
    <d v="2016-06-14T00:00:00"/>
    <s v="Yes"/>
    <x v="0"/>
    <n v="1"/>
    <x v="1"/>
    <x v="1"/>
    <x v="1"/>
  </r>
  <r>
    <s v="REL02930"/>
    <s v="Female"/>
    <n v="28"/>
    <s v="Graduate"/>
    <s v="Married"/>
    <x v="2"/>
    <s v="HR Manager"/>
    <x v="3"/>
    <x v="2"/>
    <s v="West"/>
    <n v="3"/>
    <n v="86277"/>
    <x v="0"/>
    <n v="3"/>
    <n v="1"/>
    <n v="31"/>
    <n v="3"/>
    <d v="2020-10-26T00:00:00"/>
    <s v="No"/>
    <x v="1"/>
    <n v="3"/>
    <x v="0"/>
    <x v="0"/>
    <x v="0"/>
  </r>
  <r>
    <s v="REL02931"/>
    <s v="Male"/>
    <n v="27"/>
    <s v="BTech"/>
    <s v="Divorced"/>
    <x v="3"/>
    <s v="Logistics Coordinator"/>
    <x v="1"/>
    <x v="3"/>
    <s v="West"/>
    <n v="14"/>
    <n v="74655"/>
    <x v="2"/>
    <n v="3"/>
    <n v="4"/>
    <n v="79"/>
    <n v="3"/>
    <d v="2009-03-11T00:00:00"/>
    <s v="No"/>
    <x v="0"/>
    <n v="2"/>
    <x v="2"/>
    <x v="0"/>
    <x v="1"/>
  </r>
  <r>
    <s v="REL02932"/>
    <s v="Male"/>
    <n v="33"/>
    <s v="Post Graduate"/>
    <s v="Divorced"/>
    <x v="1"/>
    <s v="Customer Service Rep"/>
    <x v="2"/>
    <x v="8"/>
    <s v="South"/>
    <n v="5"/>
    <n v="41232"/>
    <x v="1"/>
    <n v="3"/>
    <n v="4"/>
    <n v="62"/>
    <n v="0"/>
    <d v="2018-04-05T00:00:00"/>
    <s v="Yes"/>
    <x v="2"/>
    <n v="1"/>
    <x v="0"/>
    <x v="1"/>
    <x v="1"/>
  </r>
  <r>
    <s v="REL02933"/>
    <s v="Male"/>
    <n v="25"/>
    <s v="BTech"/>
    <s v="Married"/>
    <x v="4"/>
    <s v="Marketing Executive"/>
    <x v="0"/>
    <x v="8"/>
    <s v="South"/>
    <n v="12"/>
    <n v="78456"/>
    <x v="0"/>
    <n v="4"/>
    <n v="3"/>
    <n v="38"/>
    <n v="3"/>
    <d v="2011-06-25T00:00:00"/>
    <s v="No"/>
    <x v="0"/>
    <n v="3"/>
    <x v="2"/>
    <x v="0"/>
    <x v="0"/>
  </r>
  <r>
    <s v="REL02934"/>
    <s v="Female"/>
    <n v="33"/>
    <s v="BTech"/>
    <s v="Single"/>
    <x v="4"/>
    <s v="Marketing Executive"/>
    <x v="3"/>
    <x v="4"/>
    <s v="North"/>
    <n v="13"/>
    <n v="69430"/>
    <x v="1"/>
    <n v="1"/>
    <n v="2"/>
    <n v="46"/>
    <n v="1"/>
    <d v="2010-09-15T00:00:00"/>
    <s v="No"/>
    <x v="0"/>
    <n v="1"/>
    <x v="2"/>
    <x v="0"/>
    <x v="1"/>
  </r>
  <r>
    <s v="REL02935"/>
    <s v="Male"/>
    <n v="29"/>
    <s v="MBA"/>
    <s v="Married"/>
    <x v="5"/>
    <s v="Logistics Coordinator"/>
    <x v="2"/>
    <x v="9"/>
    <s v="West"/>
    <n v="5"/>
    <n v="47569"/>
    <x v="0"/>
    <n v="4"/>
    <n v="1"/>
    <n v="76"/>
    <n v="3"/>
    <d v="2018-11-28T00:00:00"/>
    <s v="No"/>
    <x v="2"/>
    <n v="3"/>
    <x v="0"/>
    <x v="0"/>
    <x v="1"/>
  </r>
  <r>
    <s v="REL02936"/>
    <s v="Male"/>
    <n v="41"/>
    <s v="Post Graduate"/>
    <s v="Divorced"/>
    <x v="2"/>
    <s v="Logistics Coordinator"/>
    <x v="4"/>
    <x v="3"/>
    <s v="West"/>
    <n v="15"/>
    <n v="75398"/>
    <x v="1"/>
    <n v="3"/>
    <n v="4"/>
    <n v="56"/>
    <n v="1"/>
    <d v="2008-05-21T00:00:00"/>
    <s v="No"/>
    <x v="0"/>
    <n v="1"/>
    <x v="2"/>
    <x v="0"/>
    <x v="1"/>
  </r>
  <r>
    <s v="REL02937"/>
    <s v="Female"/>
    <n v="23"/>
    <s v="Post Graduate"/>
    <s v="Divorced"/>
    <x v="1"/>
    <s v="Store Manager"/>
    <x v="1"/>
    <x v="4"/>
    <s v="North"/>
    <n v="5"/>
    <n v="94848"/>
    <x v="2"/>
    <n v="4"/>
    <n v="2"/>
    <n v="77"/>
    <n v="1"/>
    <d v="2018-02-16T00:00:00"/>
    <s v="No"/>
    <x v="1"/>
    <n v="2"/>
    <x v="0"/>
    <x v="0"/>
    <x v="1"/>
  </r>
  <r>
    <s v="REL02938"/>
    <s v="Female"/>
    <n v="24"/>
    <s v="Post Graduate"/>
    <s v="Divorced"/>
    <x v="6"/>
    <s v="Sales Executive"/>
    <x v="3"/>
    <x v="8"/>
    <s v="South"/>
    <n v="9"/>
    <n v="56437"/>
    <x v="3"/>
    <n v="4"/>
    <n v="3"/>
    <n v="38"/>
    <n v="1"/>
    <d v="2014-02-27T00:00:00"/>
    <s v="No"/>
    <x v="0"/>
    <n v="4"/>
    <x v="1"/>
    <x v="2"/>
    <x v="1"/>
  </r>
  <r>
    <s v="REL02939"/>
    <s v="Female"/>
    <n v="28"/>
    <s v="BTech"/>
    <s v="Single"/>
    <x v="1"/>
    <s v="Marketing Executive"/>
    <x v="4"/>
    <x v="1"/>
    <s v="North"/>
    <n v="11"/>
    <n v="62726"/>
    <x v="2"/>
    <n v="3"/>
    <n v="4"/>
    <n v="76"/>
    <n v="3"/>
    <d v="2012-12-26T00:00:00"/>
    <s v="No"/>
    <x v="0"/>
    <n v="2"/>
    <x v="2"/>
    <x v="0"/>
    <x v="1"/>
  </r>
  <r>
    <s v="REL02940"/>
    <s v="Male"/>
    <n v="33"/>
    <s v="BTech"/>
    <s v="Divorced"/>
    <x v="2"/>
    <s v="Marketing Executive"/>
    <x v="0"/>
    <x v="3"/>
    <s v="West"/>
    <n v="9"/>
    <n v="65823"/>
    <x v="3"/>
    <n v="2"/>
    <n v="3"/>
    <n v="54"/>
    <n v="2"/>
    <d v="2014-07-24T00:00:00"/>
    <s v="No"/>
    <x v="0"/>
    <n v="4"/>
    <x v="1"/>
    <x v="2"/>
    <x v="1"/>
  </r>
  <r>
    <s v="REL02941"/>
    <s v="Male"/>
    <n v="44"/>
    <s v="Graduate"/>
    <s v="Married"/>
    <x v="1"/>
    <s v="Sales Executive"/>
    <x v="2"/>
    <x v="0"/>
    <s v="North"/>
    <n v="9"/>
    <n v="57971"/>
    <x v="1"/>
    <n v="3"/>
    <n v="2"/>
    <n v="77"/>
    <n v="1"/>
    <d v="2014-07-30T00:00:00"/>
    <s v="No"/>
    <x v="0"/>
    <n v="1"/>
    <x v="1"/>
    <x v="0"/>
    <x v="1"/>
  </r>
  <r>
    <s v="REL02942"/>
    <s v="Female"/>
    <n v="50"/>
    <s v="MBA"/>
    <s v="Married"/>
    <x v="1"/>
    <s v="Store Manager"/>
    <x v="1"/>
    <x v="3"/>
    <s v="West"/>
    <n v="14"/>
    <n v="104818"/>
    <x v="2"/>
    <n v="3"/>
    <n v="1"/>
    <n v="14"/>
    <n v="2"/>
    <d v="2009-04-19T00:00:00"/>
    <s v="No"/>
    <x v="1"/>
    <n v="2"/>
    <x v="2"/>
    <x v="0"/>
    <x v="1"/>
  </r>
  <r>
    <s v="REL02943"/>
    <s v="Male"/>
    <n v="46"/>
    <s v="Graduate"/>
    <s v="Married"/>
    <x v="5"/>
    <s v="Store Manager"/>
    <x v="3"/>
    <x v="5"/>
    <s v="South"/>
    <n v="12"/>
    <n v="106207"/>
    <x v="1"/>
    <n v="2"/>
    <n v="3"/>
    <n v="70"/>
    <n v="2"/>
    <d v="2011-09-20T00:00:00"/>
    <s v="Yes"/>
    <x v="1"/>
    <n v="1"/>
    <x v="2"/>
    <x v="1"/>
    <x v="2"/>
  </r>
  <r>
    <s v="REL02944"/>
    <s v="Female"/>
    <n v="26"/>
    <s v="HSC"/>
    <s v="Divorced"/>
    <x v="5"/>
    <s v="Marketing Executive"/>
    <x v="4"/>
    <x v="0"/>
    <s v="North"/>
    <n v="12"/>
    <n v="68909"/>
    <x v="1"/>
    <n v="2"/>
    <n v="3"/>
    <n v="40"/>
    <n v="3"/>
    <d v="2011-05-26T00:00:00"/>
    <s v="Yes"/>
    <x v="0"/>
    <n v="1"/>
    <x v="2"/>
    <x v="1"/>
    <x v="1"/>
  </r>
  <r>
    <s v="REL02945"/>
    <s v="Female"/>
    <n v="34"/>
    <s v="Graduate"/>
    <s v="Married"/>
    <x v="5"/>
    <s v="HR Manager"/>
    <x v="4"/>
    <x v="8"/>
    <s v="South"/>
    <n v="9"/>
    <n v="97732"/>
    <x v="1"/>
    <n v="1"/>
    <n v="3"/>
    <n v="60"/>
    <n v="0"/>
    <d v="2014-04-25T00:00:00"/>
    <s v="No"/>
    <x v="1"/>
    <n v="1"/>
    <x v="1"/>
    <x v="0"/>
    <x v="2"/>
  </r>
  <r>
    <s v="REL02946"/>
    <s v="Male"/>
    <n v="31"/>
    <s v="HSC"/>
    <s v="Married"/>
    <x v="7"/>
    <s v="Logistics Coordinator"/>
    <x v="0"/>
    <x v="0"/>
    <s v="North"/>
    <n v="10"/>
    <n v="65045"/>
    <x v="3"/>
    <n v="2"/>
    <n v="3"/>
    <n v="64"/>
    <n v="1"/>
    <d v="2013-12-04T00:00:00"/>
    <s v="Yes"/>
    <x v="0"/>
    <n v="4"/>
    <x v="1"/>
    <x v="1"/>
    <x v="1"/>
  </r>
  <r>
    <s v="REL02947"/>
    <s v="Male"/>
    <n v="36"/>
    <s v="HSC"/>
    <s v="Married"/>
    <x v="1"/>
    <s v="Finance Analyst"/>
    <x v="1"/>
    <x v="9"/>
    <s v="West"/>
    <n v="8"/>
    <n v="78531"/>
    <x v="1"/>
    <n v="1"/>
    <n v="3"/>
    <n v="54"/>
    <n v="0"/>
    <d v="2016-01-03T00:00:00"/>
    <s v="Yes"/>
    <x v="0"/>
    <n v="1"/>
    <x v="1"/>
    <x v="1"/>
    <x v="1"/>
  </r>
  <r>
    <s v="REL02948"/>
    <s v="Female"/>
    <n v="49"/>
    <s v="HSC"/>
    <s v="Single"/>
    <x v="7"/>
    <s v="HR Manager"/>
    <x v="0"/>
    <x v="5"/>
    <s v="South"/>
    <n v="13"/>
    <n v="108422"/>
    <x v="3"/>
    <n v="2"/>
    <n v="4"/>
    <n v="71"/>
    <n v="2"/>
    <d v="2010-06-04T00:00:00"/>
    <s v="No"/>
    <x v="1"/>
    <n v="4"/>
    <x v="2"/>
    <x v="2"/>
    <x v="0"/>
  </r>
  <r>
    <s v="REL02949"/>
    <s v="Male"/>
    <n v="41"/>
    <s v="BTech"/>
    <s v="Divorced"/>
    <x v="3"/>
    <s v="Operations Head"/>
    <x v="3"/>
    <x v="2"/>
    <s v="West"/>
    <n v="13"/>
    <n v="122175"/>
    <x v="2"/>
    <n v="2"/>
    <n v="4"/>
    <n v="56"/>
    <n v="2"/>
    <d v="2010-12-28T00:00:00"/>
    <s v="No"/>
    <x v="1"/>
    <n v="2"/>
    <x v="2"/>
    <x v="0"/>
    <x v="1"/>
  </r>
  <r>
    <s v="REL02950"/>
    <s v="Female"/>
    <n v="50"/>
    <s v="Graduate"/>
    <s v="Married"/>
    <x v="1"/>
    <s v="HR Manager"/>
    <x v="3"/>
    <x v="7"/>
    <s v="East"/>
    <n v="11"/>
    <n v="92937"/>
    <x v="2"/>
    <n v="3"/>
    <n v="3"/>
    <n v="73"/>
    <n v="3"/>
    <d v="2012-03-13T00:00:00"/>
    <s v="Yes"/>
    <x v="1"/>
    <n v="2"/>
    <x v="2"/>
    <x v="1"/>
    <x v="1"/>
  </r>
  <r>
    <s v="REL02951"/>
    <s v="Female"/>
    <n v="25"/>
    <s v="HSC"/>
    <s v="Single"/>
    <x v="1"/>
    <s v="Finance Analyst"/>
    <x v="1"/>
    <x v="7"/>
    <s v="East"/>
    <n v="2"/>
    <n v="66618"/>
    <x v="3"/>
    <n v="3"/>
    <n v="2"/>
    <n v="76"/>
    <n v="3"/>
    <d v="2021-10-09T00:00:00"/>
    <s v="No"/>
    <x v="0"/>
    <n v="4"/>
    <x v="3"/>
    <x v="2"/>
    <x v="1"/>
  </r>
  <r>
    <s v="REL02952"/>
    <s v="Female"/>
    <n v="37"/>
    <s v="BTech"/>
    <s v="Married"/>
    <x v="5"/>
    <s v="Operations Head"/>
    <x v="1"/>
    <x v="0"/>
    <s v="North"/>
    <n v="5"/>
    <n v="102363"/>
    <x v="0"/>
    <n v="3"/>
    <n v="3"/>
    <n v="32"/>
    <n v="2"/>
    <d v="2018-10-27T00:00:00"/>
    <s v="Yes"/>
    <x v="1"/>
    <n v="3"/>
    <x v="0"/>
    <x v="1"/>
    <x v="0"/>
  </r>
  <r>
    <s v="REL02953"/>
    <s v="Female"/>
    <n v="24"/>
    <s v="BTech"/>
    <s v="Divorced"/>
    <x v="3"/>
    <s v="Store Manager"/>
    <x v="1"/>
    <x v="3"/>
    <s v="West"/>
    <n v="14"/>
    <n v="112880"/>
    <x v="2"/>
    <n v="4"/>
    <n v="4"/>
    <n v="35"/>
    <n v="2"/>
    <d v="2009-04-16T00:00:00"/>
    <s v="No"/>
    <x v="1"/>
    <n v="2"/>
    <x v="2"/>
    <x v="0"/>
    <x v="1"/>
  </r>
  <r>
    <s v="REL02954"/>
    <s v="Female"/>
    <n v="51"/>
    <s v="Post Graduate"/>
    <s v="Married"/>
    <x v="7"/>
    <s v="Finance Analyst"/>
    <x v="2"/>
    <x v="6"/>
    <s v="South"/>
    <n v="8"/>
    <n v="69394"/>
    <x v="2"/>
    <n v="1"/>
    <n v="3"/>
    <n v="62"/>
    <n v="0"/>
    <d v="2015-07-08T00:00:00"/>
    <s v="Yes"/>
    <x v="0"/>
    <n v="2"/>
    <x v="1"/>
    <x v="1"/>
    <x v="1"/>
  </r>
  <r>
    <s v="REL02955"/>
    <s v="Female"/>
    <n v="34"/>
    <s v="Graduate"/>
    <s v="Married"/>
    <x v="3"/>
    <s v="Logistics Coordinator"/>
    <x v="4"/>
    <x v="2"/>
    <s v="West"/>
    <n v="4"/>
    <n v="58522"/>
    <x v="1"/>
    <n v="1"/>
    <n v="2"/>
    <n v="19"/>
    <n v="0"/>
    <d v="2019-04-07T00:00:00"/>
    <s v="Yes"/>
    <x v="0"/>
    <n v="1"/>
    <x v="0"/>
    <x v="1"/>
    <x v="1"/>
  </r>
  <r>
    <s v="REL02956"/>
    <s v="Female"/>
    <n v="52"/>
    <s v="MBA"/>
    <s v="Single"/>
    <x v="6"/>
    <s v="HR Manager"/>
    <x v="3"/>
    <x v="2"/>
    <s v="West"/>
    <n v="7"/>
    <n v="89181"/>
    <x v="3"/>
    <n v="1"/>
    <n v="2"/>
    <n v="33"/>
    <n v="2"/>
    <d v="2016-02-21T00:00:00"/>
    <s v="No"/>
    <x v="1"/>
    <n v="4"/>
    <x v="1"/>
    <x v="2"/>
    <x v="0"/>
  </r>
  <r>
    <s v="REL02957"/>
    <s v="Male"/>
    <n v="51"/>
    <s v="Graduate"/>
    <s v="Married"/>
    <x v="3"/>
    <s v="Logistics Coordinator"/>
    <x v="2"/>
    <x v="9"/>
    <s v="West"/>
    <n v="8"/>
    <n v="69089"/>
    <x v="2"/>
    <n v="4"/>
    <n v="1"/>
    <n v="44"/>
    <n v="2"/>
    <d v="2015-05-23T00:00:00"/>
    <s v="No"/>
    <x v="0"/>
    <n v="2"/>
    <x v="1"/>
    <x v="0"/>
    <x v="1"/>
  </r>
  <r>
    <s v="REL02958"/>
    <s v="Male"/>
    <n v="23"/>
    <s v="BTech"/>
    <s v="Single"/>
    <x v="3"/>
    <s v="Customer Service Rep"/>
    <x v="0"/>
    <x v="9"/>
    <s v="West"/>
    <n v="9"/>
    <n v="48653"/>
    <x v="1"/>
    <n v="3"/>
    <n v="1"/>
    <n v="38"/>
    <n v="3"/>
    <d v="2014-10-18T00:00:00"/>
    <s v="Yes"/>
    <x v="2"/>
    <n v="1"/>
    <x v="1"/>
    <x v="1"/>
    <x v="1"/>
  </r>
  <r>
    <s v="REL02959"/>
    <s v="Female"/>
    <n v="42"/>
    <s v="BTech"/>
    <s v="Single"/>
    <x v="4"/>
    <s v="Operations Head"/>
    <x v="0"/>
    <x v="5"/>
    <s v="South"/>
    <n v="3"/>
    <n v="106673"/>
    <x v="2"/>
    <n v="2"/>
    <n v="1"/>
    <n v="24"/>
    <n v="2"/>
    <d v="2020-11-29T00:00:00"/>
    <s v="Yes"/>
    <x v="1"/>
    <n v="2"/>
    <x v="0"/>
    <x v="1"/>
    <x v="1"/>
  </r>
  <r>
    <s v="REL02960"/>
    <s v="Female"/>
    <n v="34"/>
    <s v="Graduate"/>
    <s v="Single"/>
    <x v="7"/>
    <s v="Store Manager"/>
    <x v="4"/>
    <x v="0"/>
    <s v="North"/>
    <n v="8"/>
    <n v="105247"/>
    <x v="3"/>
    <n v="1"/>
    <n v="4"/>
    <n v="48"/>
    <n v="2"/>
    <d v="2015-05-07T00:00:00"/>
    <s v="No"/>
    <x v="1"/>
    <n v="4"/>
    <x v="1"/>
    <x v="2"/>
    <x v="0"/>
  </r>
  <r>
    <s v="REL02961"/>
    <s v="Male"/>
    <n v="45"/>
    <s v="Post Graduate"/>
    <s v="Single"/>
    <x v="1"/>
    <s v="Operations Head"/>
    <x v="2"/>
    <x v="5"/>
    <s v="South"/>
    <n v="15"/>
    <n v="120287"/>
    <x v="1"/>
    <n v="2"/>
    <n v="1"/>
    <n v="14"/>
    <n v="0"/>
    <d v="2008-12-31T00:00:00"/>
    <s v="Yes"/>
    <x v="1"/>
    <n v="1"/>
    <x v="2"/>
    <x v="1"/>
    <x v="2"/>
  </r>
  <r>
    <s v="REL02962"/>
    <s v="Female"/>
    <n v="50"/>
    <s v="MBA"/>
    <s v="Single"/>
    <x v="5"/>
    <s v="Customer Service Rep"/>
    <x v="0"/>
    <x v="6"/>
    <s v="South"/>
    <n v="8"/>
    <n v="60521"/>
    <x v="1"/>
    <n v="2"/>
    <n v="1"/>
    <n v="71"/>
    <n v="0"/>
    <d v="2015-03-13T00:00:00"/>
    <s v="Yes"/>
    <x v="0"/>
    <n v="1"/>
    <x v="1"/>
    <x v="1"/>
    <x v="1"/>
  </r>
  <r>
    <s v="REL02963"/>
    <s v="Female"/>
    <n v="35"/>
    <s v="HSC"/>
    <s v="Married"/>
    <x v="6"/>
    <s v="Marketing Executive"/>
    <x v="1"/>
    <x v="7"/>
    <s v="East"/>
    <n v="6"/>
    <n v="58114"/>
    <x v="0"/>
    <n v="3"/>
    <n v="4"/>
    <n v="34"/>
    <n v="3"/>
    <d v="2017-11-29T00:00:00"/>
    <s v="Yes"/>
    <x v="0"/>
    <n v="3"/>
    <x v="1"/>
    <x v="1"/>
    <x v="0"/>
  </r>
  <r>
    <s v="REL02964"/>
    <s v="Male"/>
    <n v="23"/>
    <s v="MBA"/>
    <s v="Single"/>
    <x v="1"/>
    <s v="Logistics Coordinator"/>
    <x v="3"/>
    <x v="9"/>
    <s v="West"/>
    <n v="4"/>
    <n v="52840"/>
    <x v="1"/>
    <n v="2"/>
    <n v="4"/>
    <n v="67"/>
    <n v="1"/>
    <d v="2019-07-28T00:00:00"/>
    <s v="No"/>
    <x v="0"/>
    <n v="1"/>
    <x v="0"/>
    <x v="0"/>
    <x v="1"/>
  </r>
  <r>
    <s v="REL02965"/>
    <s v="Male"/>
    <n v="30"/>
    <s v="Graduate"/>
    <s v="Single"/>
    <x v="3"/>
    <s v="Store Manager"/>
    <x v="4"/>
    <x v="4"/>
    <s v="North"/>
    <n v="14"/>
    <n v="112003"/>
    <x v="1"/>
    <n v="2"/>
    <n v="3"/>
    <n v="67"/>
    <n v="2"/>
    <d v="2009-08-07T00:00:00"/>
    <s v="No"/>
    <x v="1"/>
    <n v="1"/>
    <x v="2"/>
    <x v="0"/>
    <x v="2"/>
  </r>
  <r>
    <s v="REL02966"/>
    <s v="Male"/>
    <n v="54"/>
    <s v="MBA"/>
    <s v="Single"/>
    <x v="5"/>
    <s v="Finance Analyst"/>
    <x v="4"/>
    <x v="5"/>
    <s v="South"/>
    <n v="10"/>
    <n v="87743"/>
    <x v="1"/>
    <n v="1"/>
    <n v="1"/>
    <n v="27"/>
    <n v="0"/>
    <d v="2013-03-15T00:00:00"/>
    <s v="Yes"/>
    <x v="1"/>
    <n v="1"/>
    <x v="1"/>
    <x v="1"/>
    <x v="2"/>
  </r>
  <r>
    <s v="REL02967"/>
    <s v="Female"/>
    <n v="44"/>
    <s v="HSC"/>
    <s v="Married"/>
    <x v="3"/>
    <s v="Store Manager"/>
    <x v="1"/>
    <x v="5"/>
    <s v="South"/>
    <n v="10"/>
    <n v="98435"/>
    <x v="0"/>
    <n v="4"/>
    <n v="1"/>
    <n v="65"/>
    <n v="0"/>
    <d v="2014-01-02T00:00:00"/>
    <s v="No"/>
    <x v="1"/>
    <n v="3"/>
    <x v="1"/>
    <x v="0"/>
    <x v="0"/>
  </r>
  <r>
    <s v="REL02968"/>
    <s v="Female"/>
    <n v="48"/>
    <s v="BTech"/>
    <s v="Single"/>
    <x v="0"/>
    <s v="Store Manager"/>
    <x v="2"/>
    <x v="2"/>
    <s v="West"/>
    <n v="5"/>
    <n v="85200"/>
    <x v="3"/>
    <n v="1"/>
    <n v="2"/>
    <n v="25"/>
    <n v="2"/>
    <d v="2018-01-18T00:00:00"/>
    <s v="No"/>
    <x v="1"/>
    <n v="4"/>
    <x v="0"/>
    <x v="2"/>
    <x v="0"/>
  </r>
  <r>
    <s v="REL02969"/>
    <s v="Male"/>
    <n v="28"/>
    <s v="Graduate"/>
    <s v="Single"/>
    <x v="1"/>
    <s v="Customer Service Rep"/>
    <x v="3"/>
    <x v="5"/>
    <s v="South"/>
    <n v="15"/>
    <n v="71174"/>
    <x v="3"/>
    <n v="3"/>
    <n v="3"/>
    <n v="52"/>
    <n v="1"/>
    <d v="2008-09-26T00:00:00"/>
    <s v="No"/>
    <x v="0"/>
    <n v="4"/>
    <x v="2"/>
    <x v="2"/>
    <x v="1"/>
  </r>
  <r>
    <s v="REL02970"/>
    <s v="Male"/>
    <n v="46"/>
    <s v="HSC"/>
    <s v="Single"/>
    <x v="2"/>
    <s v="Logistics Coordinator"/>
    <x v="3"/>
    <x v="4"/>
    <s v="North"/>
    <n v="10"/>
    <n v="56546"/>
    <x v="3"/>
    <n v="4"/>
    <n v="4"/>
    <n v="50"/>
    <n v="1"/>
    <d v="2013-11-30T00:00:00"/>
    <s v="No"/>
    <x v="0"/>
    <n v="4"/>
    <x v="1"/>
    <x v="2"/>
    <x v="1"/>
  </r>
  <r>
    <s v="REL02971"/>
    <s v="Male"/>
    <n v="26"/>
    <s v="MBA"/>
    <s v="Divorced"/>
    <x v="5"/>
    <s v="Marketing Executive"/>
    <x v="1"/>
    <x v="3"/>
    <s v="West"/>
    <n v="9"/>
    <n v="71039"/>
    <x v="2"/>
    <n v="1"/>
    <n v="1"/>
    <n v="20"/>
    <n v="2"/>
    <d v="2014-03-18T00:00:00"/>
    <s v="Yes"/>
    <x v="0"/>
    <n v="2"/>
    <x v="1"/>
    <x v="1"/>
    <x v="1"/>
  </r>
  <r>
    <s v="REL02972"/>
    <s v="Male"/>
    <n v="39"/>
    <s v="BTech"/>
    <s v="Married"/>
    <x v="6"/>
    <s v="Marketing Executive"/>
    <x v="4"/>
    <x v="5"/>
    <s v="South"/>
    <n v="5"/>
    <n v="69938"/>
    <x v="1"/>
    <n v="2"/>
    <n v="2"/>
    <n v="17"/>
    <n v="0"/>
    <d v="2018-02-13T00:00:00"/>
    <s v="Yes"/>
    <x v="0"/>
    <n v="1"/>
    <x v="0"/>
    <x v="1"/>
    <x v="1"/>
  </r>
  <r>
    <s v="REL02973"/>
    <s v="Male"/>
    <n v="44"/>
    <s v="Post Graduate"/>
    <s v="Single"/>
    <x v="6"/>
    <s v="Marketing Executive"/>
    <x v="4"/>
    <x v="4"/>
    <s v="North"/>
    <n v="6"/>
    <n v="62969"/>
    <x v="3"/>
    <n v="3"/>
    <n v="4"/>
    <n v="32"/>
    <n v="2"/>
    <d v="2017-02-14T00:00:00"/>
    <s v="No"/>
    <x v="0"/>
    <n v="4"/>
    <x v="1"/>
    <x v="2"/>
    <x v="1"/>
  </r>
  <r>
    <s v="REL02974"/>
    <s v="Female"/>
    <n v="42"/>
    <s v="HSC"/>
    <s v="Single"/>
    <x v="0"/>
    <s v="Operations Head"/>
    <x v="0"/>
    <x v="1"/>
    <s v="North"/>
    <n v="1"/>
    <n v="100493"/>
    <x v="1"/>
    <n v="4"/>
    <n v="2"/>
    <n v="30"/>
    <n v="2"/>
    <d v="2022-01-08T00:00:00"/>
    <s v="No"/>
    <x v="1"/>
    <n v="1"/>
    <x v="3"/>
    <x v="3"/>
    <x v="2"/>
  </r>
  <r>
    <s v="REL02975"/>
    <s v="Male"/>
    <n v="28"/>
    <s v="Graduate"/>
    <s v="Single"/>
    <x v="5"/>
    <s v="Sales Executive"/>
    <x v="3"/>
    <x v="3"/>
    <s v="West"/>
    <n v="2"/>
    <n v="52538"/>
    <x v="2"/>
    <n v="1"/>
    <n v="4"/>
    <n v="61"/>
    <n v="3"/>
    <d v="2021-06-26T00:00:00"/>
    <s v="No"/>
    <x v="0"/>
    <n v="2"/>
    <x v="3"/>
    <x v="0"/>
    <x v="1"/>
  </r>
  <r>
    <s v="REL02976"/>
    <s v="Female"/>
    <n v="55"/>
    <s v="Graduate"/>
    <s v="Married"/>
    <x v="0"/>
    <s v="Sales Executive"/>
    <x v="1"/>
    <x v="9"/>
    <s v="West"/>
    <n v="3"/>
    <n v="52625"/>
    <x v="2"/>
    <n v="2"/>
    <n v="3"/>
    <n v="28"/>
    <n v="0"/>
    <d v="2020-01-21T00:00:00"/>
    <s v="No"/>
    <x v="0"/>
    <n v="2"/>
    <x v="0"/>
    <x v="0"/>
    <x v="1"/>
  </r>
  <r>
    <s v="REL02977"/>
    <s v="Male"/>
    <n v="52"/>
    <s v="Graduate"/>
    <s v="Single"/>
    <x v="3"/>
    <s v="Marketing Executive"/>
    <x v="0"/>
    <x v="3"/>
    <s v="West"/>
    <n v="8"/>
    <n v="75947"/>
    <x v="2"/>
    <n v="4"/>
    <n v="4"/>
    <n v="36"/>
    <n v="0"/>
    <d v="2015-12-11T00:00:00"/>
    <s v="No"/>
    <x v="0"/>
    <n v="2"/>
    <x v="1"/>
    <x v="0"/>
    <x v="1"/>
  </r>
  <r>
    <s v="REL02978"/>
    <s v="Male"/>
    <n v="51"/>
    <s v="HSC"/>
    <s v="Divorced"/>
    <x v="0"/>
    <s v="Operations Head"/>
    <x v="0"/>
    <x v="6"/>
    <s v="South"/>
    <n v="10"/>
    <n v="122018"/>
    <x v="1"/>
    <n v="4"/>
    <n v="1"/>
    <n v="34"/>
    <n v="2"/>
    <d v="2013-01-14T00:00:00"/>
    <s v="Yes"/>
    <x v="1"/>
    <n v="1"/>
    <x v="1"/>
    <x v="1"/>
    <x v="2"/>
  </r>
  <r>
    <s v="REL02979"/>
    <s v="Male"/>
    <n v="37"/>
    <s v="MBA"/>
    <s v="Single"/>
    <x v="5"/>
    <s v="Customer Service Rep"/>
    <x v="4"/>
    <x v="3"/>
    <s v="West"/>
    <n v="1"/>
    <n v="28877"/>
    <x v="2"/>
    <n v="4"/>
    <n v="1"/>
    <n v="10"/>
    <n v="0"/>
    <d v="2022-03-24T00:00:00"/>
    <s v="Yes"/>
    <x v="3"/>
    <n v="2"/>
    <x v="3"/>
    <x v="1"/>
    <x v="1"/>
  </r>
  <r>
    <s v="REL02980"/>
    <s v="Male"/>
    <n v="22"/>
    <s v="BTech"/>
    <s v="Married"/>
    <x v="5"/>
    <s v="HR Manager"/>
    <x v="0"/>
    <x v="8"/>
    <s v="South"/>
    <n v="12"/>
    <n v="95301"/>
    <x v="3"/>
    <n v="3"/>
    <n v="2"/>
    <n v="50"/>
    <n v="2"/>
    <d v="2011-04-20T00:00:00"/>
    <s v="No"/>
    <x v="1"/>
    <n v="4"/>
    <x v="2"/>
    <x v="2"/>
    <x v="0"/>
  </r>
  <r>
    <s v="REL02981"/>
    <s v="Female"/>
    <n v="28"/>
    <s v="Post Graduate"/>
    <s v="Divorced"/>
    <x v="6"/>
    <s v="Customer Service Rep"/>
    <x v="2"/>
    <x v="5"/>
    <s v="South"/>
    <n v="14"/>
    <n v="67134"/>
    <x v="2"/>
    <n v="4"/>
    <n v="1"/>
    <n v="18"/>
    <n v="0"/>
    <d v="2009-08-18T00:00:00"/>
    <s v="Yes"/>
    <x v="0"/>
    <n v="2"/>
    <x v="2"/>
    <x v="1"/>
    <x v="1"/>
  </r>
  <r>
    <s v="REL02982"/>
    <s v="Female"/>
    <n v="49"/>
    <s v="Graduate"/>
    <s v="Single"/>
    <x v="1"/>
    <s v="HR Manager"/>
    <x v="2"/>
    <x v="4"/>
    <s v="North"/>
    <n v="6"/>
    <n v="96294"/>
    <x v="3"/>
    <n v="1"/>
    <n v="3"/>
    <n v="75"/>
    <n v="1"/>
    <d v="2017-11-08T00:00:00"/>
    <s v="No"/>
    <x v="1"/>
    <n v="4"/>
    <x v="1"/>
    <x v="2"/>
    <x v="0"/>
  </r>
  <r>
    <s v="REL02983"/>
    <s v="Male"/>
    <n v="46"/>
    <s v="MBA"/>
    <s v="Divorced"/>
    <x v="4"/>
    <s v="Customer Service Rep"/>
    <x v="4"/>
    <x v="6"/>
    <s v="South"/>
    <n v="12"/>
    <n v="53440"/>
    <x v="1"/>
    <n v="3"/>
    <n v="1"/>
    <n v="17"/>
    <n v="0"/>
    <d v="2011-10-29T00:00:00"/>
    <s v="Yes"/>
    <x v="0"/>
    <n v="1"/>
    <x v="2"/>
    <x v="1"/>
    <x v="1"/>
  </r>
  <r>
    <s v="REL02984"/>
    <s v="Female"/>
    <n v="43"/>
    <s v="HSC"/>
    <s v="Divorced"/>
    <x v="2"/>
    <s v="Store Manager"/>
    <x v="2"/>
    <x v="0"/>
    <s v="North"/>
    <n v="4"/>
    <n v="87016"/>
    <x v="0"/>
    <n v="4"/>
    <n v="4"/>
    <n v="41"/>
    <n v="1"/>
    <d v="2019-05-15T00:00:00"/>
    <s v="No"/>
    <x v="1"/>
    <n v="3"/>
    <x v="0"/>
    <x v="0"/>
    <x v="0"/>
  </r>
  <r>
    <s v="REL02985"/>
    <s v="Female"/>
    <n v="32"/>
    <s v="Post Graduate"/>
    <s v="Divorced"/>
    <x v="1"/>
    <s v="Operations Head"/>
    <x v="3"/>
    <x v="5"/>
    <s v="South"/>
    <n v="2"/>
    <n v="96892"/>
    <x v="2"/>
    <n v="1"/>
    <n v="4"/>
    <n v="43"/>
    <n v="0"/>
    <d v="2021-08-10T00:00:00"/>
    <s v="No"/>
    <x v="1"/>
    <n v="2"/>
    <x v="3"/>
    <x v="0"/>
    <x v="1"/>
  </r>
  <r>
    <s v="REL02986"/>
    <s v="Male"/>
    <n v="55"/>
    <s v="Graduate"/>
    <s v="Married"/>
    <x v="1"/>
    <s v="Customer Service Rep"/>
    <x v="1"/>
    <x v="7"/>
    <s v="East"/>
    <n v="6"/>
    <n v="37242"/>
    <x v="3"/>
    <n v="2"/>
    <n v="4"/>
    <n v="29"/>
    <n v="2"/>
    <d v="2017-08-17T00:00:00"/>
    <s v="No"/>
    <x v="2"/>
    <n v="4"/>
    <x v="1"/>
    <x v="2"/>
    <x v="1"/>
  </r>
  <r>
    <s v="REL02987"/>
    <s v="Male"/>
    <n v="25"/>
    <s v="HSC"/>
    <s v="Divorced"/>
    <x v="7"/>
    <s v="Finance Analyst"/>
    <x v="2"/>
    <x v="9"/>
    <s v="West"/>
    <n v="1"/>
    <n v="58062"/>
    <x v="3"/>
    <n v="1"/>
    <n v="3"/>
    <n v="68"/>
    <n v="0"/>
    <d v="2022-08-08T00:00:00"/>
    <s v="No"/>
    <x v="0"/>
    <n v="4"/>
    <x v="3"/>
    <x v="2"/>
    <x v="1"/>
  </r>
  <r>
    <s v="REL02988"/>
    <s v="Male"/>
    <n v="49"/>
    <s v="HSC"/>
    <s v="Single"/>
    <x v="5"/>
    <s v="Operations Head"/>
    <x v="0"/>
    <x v="7"/>
    <s v="East"/>
    <n v="9"/>
    <n v="122429"/>
    <x v="3"/>
    <n v="3"/>
    <n v="2"/>
    <n v="27"/>
    <n v="0"/>
    <d v="2014-06-29T00:00:00"/>
    <s v="No"/>
    <x v="1"/>
    <n v="4"/>
    <x v="1"/>
    <x v="2"/>
    <x v="0"/>
  </r>
  <r>
    <s v="REL02989"/>
    <s v="Male"/>
    <n v="25"/>
    <s v="Post Graduate"/>
    <s v="Single"/>
    <x v="1"/>
    <s v="Operations Head"/>
    <x v="2"/>
    <x v="9"/>
    <s v="West"/>
    <n v="3"/>
    <n v="108186"/>
    <x v="2"/>
    <n v="2"/>
    <n v="1"/>
    <n v="68"/>
    <n v="1"/>
    <d v="2020-02-07T00:00:00"/>
    <s v="No"/>
    <x v="1"/>
    <n v="2"/>
    <x v="0"/>
    <x v="0"/>
    <x v="1"/>
  </r>
  <r>
    <s v="REL02990"/>
    <s v="Female"/>
    <n v="53"/>
    <s v="BTech"/>
    <s v="Single"/>
    <x v="5"/>
    <s v="Operations Head"/>
    <x v="4"/>
    <x v="2"/>
    <s v="West"/>
    <n v="12"/>
    <n v="113771"/>
    <x v="0"/>
    <n v="2"/>
    <n v="1"/>
    <n v="47"/>
    <n v="2"/>
    <d v="2011-07-29T00:00:00"/>
    <s v="Yes"/>
    <x v="1"/>
    <n v="3"/>
    <x v="2"/>
    <x v="1"/>
    <x v="0"/>
  </r>
  <r>
    <s v="REL02991"/>
    <s v="Male"/>
    <n v="36"/>
    <s v="Graduate"/>
    <s v="Single"/>
    <x v="3"/>
    <s v="Marketing Executive"/>
    <x v="0"/>
    <x v="2"/>
    <s v="West"/>
    <n v="1"/>
    <n v="43981"/>
    <x v="0"/>
    <n v="1"/>
    <n v="1"/>
    <n v="36"/>
    <n v="0"/>
    <d v="2022-08-11T00:00:00"/>
    <s v="No"/>
    <x v="2"/>
    <n v="3"/>
    <x v="3"/>
    <x v="0"/>
    <x v="1"/>
  </r>
  <r>
    <s v="REL02992"/>
    <s v="Female"/>
    <n v="54"/>
    <s v="Graduate"/>
    <s v="Married"/>
    <x v="6"/>
    <s v="Sales Executive"/>
    <x v="0"/>
    <x v="8"/>
    <s v="South"/>
    <n v="3"/>
    <n v="45240"/>
    <x v="2"/>
    <n v="3"/>
    <n v="2"/>
    <n v="27"/>
    <n v="3"/>
    <d v="2020-05-08T00:00:00"/>
    <s v="No"/>
    <x v="2"/>
    <n v="2"/>
    <x v="0"/>
    <x v="0"/>
    <x v="1"/>
  </r>
  <r>
    <s v="REL02993"/>
    <s v="Female"/>
    <n v="55"/>
    <s v="MBA"/>
    <s v="Divorced"/>
    <x v="0"/>
    <s v="Operations Head"/>
    <x v="2"/>
    <x v="9"/>
    <s v="West"/>
    <n v="1"/>
    <n v="105460"/>
    <x v="1"/>
    <n v="2"/>
    <n v="3"/>
    <n v="61"/>
    <n v="3"/>
    <d v="2022-02-17T00:00:00"/>
    <s v="Yes"/>
    <x v="1"/>
    <n v="1"/>
    <x v="3"/>
    <x v="1"/>
    <x v="2"/>
  </r>
  <r>
    <s v="REL02994"/>
    <s v="Female"/>
    <n v="50"/>
    <s v="Post Graduate"/>
    <s v="Divorced"/>
    <x v="2"/>
    <s v="Store Manager"/>
    <x v="4"/>
    <x v="8"/>
    <s v="South"/>
    <n v="6"/>
    <n v="101674"/>
    <x v="0"/>
    <n v="4"/>
    <n v="4"/>
    <n v="34"/>
    <n v="1"/>
    <d v="2017-08-07T00:00:00"/>
    <s v="No"/>
    <x v="1"/>
    <n v="3"/>
    <x v="1"/>
    <x v="0"/>
    <x v="0"/>
  </r>
  <r>
    <s v="REL02995"/>
    <s v="Female"/>
    <n v="53"/>
    <s v="HSC"/>
    <s v="Single"/>
    <x v="6"/>
    <s v="Finance Analyst"/>
    <x v="1"/>
    <x v="4"/>
    <s v="North"/>
    <n v="1"/>
    <n v="55708"/>
    <x v="3"/>
    <n v="3"/>
    <n v="2"/>
    <n v="26"/>
    <n v="0"/>
    <d v="2022-02-20T00:00:00"/>
    <s v="Yes"/>
    <x v="0"/>
    <n v="4"/>
    <x v="3"/>
    <x v="1"/>
    <x v="1"/>
  </r>
  <r>
    <s v="REL02996"/>
    <s v="Female"/>
    <n v="36"/>
    <s v="Post Graduate"/>
    <s v="Divorced"/>
    <x v="2"/>
    <s v="Store Manager"/>
    <x v="2"/>
    <x v="0"/>
    <s v="North"/>
    <n v="14"/>
    <n v="112239"/>
    <x v="1"/>
    <n v="2"/>
    <n v="2"/>
    <n v="80"/>
    <n v="0"/>
    <d v="2009-01-11T00:00:00"/>
    <s v="Yes"/>
    <x v="1"/>
    <n v="1"/>
    <x v="2"/>
    <x v="1"/>
    <x v="2"/>
  </r>
  <r>
    <s v="REL02997"/>
    <s v="Female"/>
    <n v="41"/>
    <s v="HSC"/>
    <s v="Married"/>
    <x v="1"/>
    <s v="Sales Executive"/>
    <x v="2"/>
    <x v="8"/>
    <s v="South"/>
    <n v="7"/>
    <n v="58135"/>
    <x v="3"/>
    <n v="4"/>
    <n v="1"/>
    <n v="72"/>
    <n v="0"/>
    <d v="2016-02-19T00:00:00"/>
    <s v="No"/>
    <x v="0"/>
    <n v="4"/>
    <x v="1"/>
    <x v="2"/>
    <x v="1"/>
  </r>
  <r>
    <s v="REL02998"/>
    <s v="Male"/>
    <n v="37"/>
    <s v="BTech"/>
    <s v="Single"/>
    <x v="5"/>
    <s v="Customer Service Rep"/>
    <x v="4"/>
    <x v="0"/>
    <s v="North"/>
    <n v="2"/>
    <n v="45190"/>
    <x v="3"/>
    <n v="2"/>
    <n v="4"/>
    <n v="25"/>
    <n v="2"/>
    <d v="2021-05-14T00:00:00"/>
    <s v="No"/>
    <x v="2"/>
    <n v="4"/>
    <x v="3"/>
    <x v="2"/>
    <x v="1"/>
  </r>
  <r>
    <s v="REL02999"/>
    <s v="Male"/>
    <n v="41"/>
    <s v="HSC"/>
    <s v="Divorced"/>
    <x v="6"/>
    <s v="Operations Head"/>
    <x v="4"/>
    <x v="7"/>
    <s v="East"/>
    <n v="7"/>
    <n v="103267"/>
    <x v="0"/>
    <n v="3"/>
    <n v="4"/>
    <n v="36"/>
    <n v="3"/>
    <d v="2016-06-10T00:00:00"/>
    <s v="No"/>
    <x v="1"/>
    <n v="3"/>
    <x v="1"/>
    <x v="0"/>
    <x v="0"/>
  </r>
  <r>
    <s v="REL03000"/>
    <s v="Female"/>
    <n v="26"/>
    <s v="Graduate"/>
    <s v="Married"/>
    <x v="4"/>
    <s v="Store Manager"/>
    <x v="3"/>
    <x v="0"/>
    <s v="North"/>
    <n v="6"/>
    <n v="104011"/>
    <x v="1"/>
    <n v="3"/>
    <n v="3"/>
    <n v="45"/>
    <n v="0"/>
    <d v="2017-02-06T00:00:00"/>
    <s v="Yes"/>
    <x v="1"/>
    <n v="1"/>
    <x v="1"/>
    <x v="1"/>
    <x v="2"/>
  </r>
  <r>
    <s v="REL03001"/>
    <s v="Male"/>
    <n v="50"/>
    <s v="BTech"/>
    <s v="Single"/>
    <x v="3"/>
    <s v="Operations Head"/>
    <x v="3"/>
    <x v="3"/>
    <s v="West"/>
    <n v="13"/>
    <n v="116570"/>
    <x v="2"/>
    <n v="4"/>
    <n v="4"/>
    <n v="64"/>
    <n v="0"/>
    <d v="2010-07-31T00:00:00"/>
    <s v="No"/>
    <x v="1"/>
    <n v="2"/>
    <x v="2"/>
    <x v="0"/>
    <x v="1"/>
  </r>
  <r>
    <s v="REL03002"/>
    <s v="Male"/>
    <n v="48"/>
    <s v="Graduate"/>
    <s v="Divorced"/>
    <x v="4"/>
    <s v="Finance Analyst"/>
    <x v="1"/>
    <x v="8"/>
    <s v="South"/>
    <n v="13"/>
    <n v="79824"/>
    <x v="1"/>
    <n v="2"/>
    <n v="4"/>
    <n v="66"/>
    <n v="1"/>
    <d v="2010-04-11T00:00:00"/>
    <s v="No"/>
    <x v="0"/>
    <n v="1"/>
    <x v="2"/>
    <x v="0"/>
    <x v="1"/>
  </r>
  <r>
    <s v="REL03003"/>
    <s v="Female"/>
    <n v="30"/>
    <s v="MBA"/>
    <s v="Single"/>
    <x v="7"/>
    <s v="Logistics Coordinator"/>
    <x v="3"/>
    <x v="8"/>
    <s v="South"/>
    <n v="10"/>
    <n v="69357"/>
    <x v="2"/>
    <n v="2"/>
    <n v="1"/>
    <n v="76"/>
    <n v="0"/>
    <d v="2013-08-07T00:00:00"/>
    <s v="No"/>
    <x v="0"/>
    <n v="2"/>
    <x v="1"/>
    <x v="0"/>
    <x v="1"/>
  </r>
  <r>
    <s v="REL03004"/>
    <s v="Female"/>
    <n v="44"/>
    <s v="HSC"/>
    <s v="Divorced"/>
    <x v="6"/>
    <s v="Operations Head"/>
    <x v="3"/>
    <x v="7"/>
    <s v="East"/>
    <n v="14"/>
    <n v="116961"/>
    <x v="2"/>
    <n v="4"/>
    <n v="4"/>
    <n v="13"/>
    <n v="3"/>
    <d v="2009-07-17T00:00:00"/>
    <s v="No"/>
    <x v="1"/>
    <n v="2"/>
    <x v="2"/>
    <x v="0"/>
    <x v="1"/>
  </r>
  <r>
    <s v="REL03005"/>
    <s v="Male"/>
    <n v="23"/>
    <s v="Graduate"/>
    <s v="Married"/>
    <x v="0"/>
    <s v="Store Manager"/>
    <x v="3"/>
    <x v="4"/>
    <s v="North"/>
    <n v="11"/>
    <n v="107116"/>
    <x v="1"/>
    <n v="2"/>
    <n v="1"/>
    <n v="43"/>
    <n v="0"/>
    <d v="2012-09-18T00:00:00"/>
    <s v="Yes"/>
    <x v="1"/>
    <n v="1"/>
    <x v="2"/>
    <x v="1"/>
    <x v="2"/>
  </r>
  <r>
    <s v="REL03006"/>
    <s v="Female"/>
    <n v="46"/>
    <s v="MBA"/>
    <s v="Divorced"/>
    <x v="7"/>
    <s v="HR Manager"/>
    <x v="2"/>
    <x v="6"/>
    <s v="South"/>
    <n v="10"/>
    <n v="88553"/>
    <x v="2"/>
    <n v="2"/>
    <n v="3"/>
    <n v="16"/>
    <n v="2"/>
    <d v="2013-03-15T00:00:00"/>
    <s v="No"/>
    <x v="1"/>
    <n v="2"/>
    <x v="1"/>
    <x v="0"/>
    <x v="1"/>
  </r>
  <r>
    <s v="REL03007"/>
    <s v="Female"/>
    <n v="49"/>
    <s v="HSC"/>
    <s v="Single"/>
    <x v="5"/>
    <s v="Sales Executive"/>
    <x v="2"/>
    <x v="7"/>
    <s v="East"/>
    <n v="14"/>
    <n v="74320"/>
    <x v="2"/>
    <n v="4"/>
    <n v="3"/>
    <n v="29"/>
    <n v="2"/>
    <d v="2009-08-10T00:00:00"/>
    <s v="No"/>
    <x v="0"/>
    <n v="2"/>
    <x v="2"/>
    <x v="0"/>
    <x v="1"/>
  </r>
  <r>
    <s v="REL03008"/>
    <s v="Male"/>
    <n v="25"/>
    <s v="HSC"/>
    <s v="Single"/>
    <x v="7"/>
    <s v="HR Manager"/>
    <x v="0"/>
    <x v="5"/>
    <s v="South"/>
    <n v="9"/>
    <n v="88043"/>
    <x v="0"/>
    <n v="1"/>
    <n v="4"/>
    <n v="47"/>
    <n v="3"/>
    <d v="2014-10-01T00:00:00"/>
    <s v="Yes"/>
    <x v="1"/>
    <n v="3"/>
    <x v="1"/>
    <x v="1"/>
    <x v="0"/>
  </r>
  <r>
    <s v="REL03009"/>
    <s v="Female"/>
    <n v="48"/>
    <s v="Graduate"/>
    <s v="Divorced"/>
    <x v="7"/>
    <s v="HR Manager"/>
    <x v="2"/>
    <x v="3"/>
    <s v="West"/>
    <n v="6"/>
    <n v="79021"/>
    <x v="1"/>
    <n v="4"/>
    <n v="4"/>
    <n v="39"/>
    <n v="3"/>
    <d v="2017-08-13T00:00:00"/>
    <s v="No"/>
    <x v="0"/>
    <n v="1"/>
    <x v="1"/>
    <x v="0"/>
    <x v="1"/>
  </r>
  <r>
    <s v="REL03010"/>
    <s v="Female"/>
    <n v="46"/>
    <s v="BTech"/>
    <s v="Single"/>
    <x v="5"/>
    <s v="Marketing Executive"/>
    <x v="4"/>
    <x v="6"/>
    <s v="South"/>
    <n v="10"/>
    <n v="65268"/>
    <x v="3"/>
    <n v="2"/>
    <n v="1"/>
    <n v="57"/>
    <n v="0"/>
    <d v="2013-03-16T00:00:00"/>
    <s v="Yes"/>
    <x v="0"/>
    <n v="4"/>
    <x v="1"/>
    <x v="1"/>
    <x v="1"/>
  </r>
  <r>
    <s v="REL03011"/>
    <s v="Female"/>
    <n v="39"/>
    <s v="HSC"/>
    <s v="Single"/>
    <x v="5"/>
    <s v="Logistics Coordinator"/>
    <x v="4"/>
    <x v="2"/>
    <s v="West"/>
    <n v="15"/>
    <n v="68719"/>
    <x v="1"/>
    <n v="2"/>
    <n v="4"/>
    <n v="42"/>
    <n v="2"/>
    <d v="2008-04-13T00:00:00"/>
    <s v="No"/>
    <x v="0"/>
    <n v="1"/>
    <x v="2"/>
    <x v="0"/>
    <x v="1"/>
  </r>
  <r>
    <s v="REL03012"/>
    <s v="Female"/>
    <n v="53"/>
    <s v="MBA"/>
    <s v="Divorced"/>
    <x v="2"/>
    <s v="HR Manager"/>
    <x v="4"/>
    <x v="0"/>
    <s v="North"/>
    <n v="13"/>
    <n v="92087"/>
    <x v="3"/>
    <n v="1"/>
    <n v="3"/>
    <n v="17"/>
    <n v="3"/>
    <d v="2010-03-19T00:00:00"/>
    <s v="No"/>
    <x v="1"/>
    <n v="4"/>
    <x v="2"/>
    <x v="2"/>
    <x v="0"/>
  </r>
  <r>
    <s v="REL03013"/>
    <s v="Male"/>
    <n v="46"/>
    <s v="MBA"/>
    <s v="Divorced"/>
    <x v="1"/>
    <s v="Customer Service Rep"/>
    <x v="2"/>
    <x v="6"/>
    <s v="South"/>
    <n v="14"/>
    <n v="56926"/>
    <x v="3"/>
    <n v="2"/>
    <n v="4"/>
    <n v="13"/>
    <n v="2"/>
    <d v="2009-07-27T00:00:00"/>
    <s v="No"/>
    <x v="0"/>
    <n v="4"/>
    <x v="2"/>
    <x v="2"/>
    <x v="1"/>
  </r>
  <r>
    <s v="REL03014"/>
    <s v="Male"/>
    <n v="24"/>
    <s v="MBA"/>
    <s v="Single"/>
    <x v="6"/>
    <s v="Operations Head"/>
    <x v="0"/>
    <x v="1"/>
    <s v="North"/>
    <n v="2"/>
    <n v="95940"/>
    <x v="0"/>
    <n v="3"/>
    <n v="2"/>
    <n v="20"/>
    <n v="0"/>
    <d v="2021-10-02T00:00:00"/>
    <s v="No"/>
    <x v="1"/>
    <n v="3"/>
    <x v="3"/>
    <x v="0"/>
    <x v="0"/>
  </r>
  <r>
    <s v="REL03015"/>
    <s v="Female"/>
    <n v="54"/>
    <s v="BTech"/>
    <s v="Single"/>
    <x v="7"/>
    <s v="Finance Analyst"/>
    <x v="2"/>
    <x v="9"/>
    <s v="West"/>
    <n v="3"/>
    <n v="64316"/>
    <x v="0"/>
    <n v="4"/>
    <n v="4"/>
    <n v="47"/>
    <n v="1"/>
    <d v="2020-03-02T00:00:00"/>
    <s v="No"/>
    <x v="0"/>
    <n v="3"/>
    <x v="0"/>
    <x v="0"/>
    <x v="0"/>
  </r>
  <r>
    <s v="REL03016"/>
    <s v="Male"/>
    <n v="54"/>
    <s v="BTech"/>
    <s v="Single"/>
    <x v="6"/>
    <s v="Logistics Coordinator"/>
    <x v="4"/>
    <x v="1"/>
    <s v="North"/>
    <n v="8"/>
    <n v="66439"/>
    <x v="3"/>
    <n v="1"/>
    <n v="1"/>
    <n v="18"/>
    <n v="1"/>
    <d v="2015-05-18T00:00:00"/>
    <s v="No"/>
    <x v="0"/>
    <n v="4"/>
    <x v="1"/>
    <x v="2"/>
    <x v="1"/>
  </r>
  <r>
    <s v="REL03017"/>
    <s v="Male"/>
    <n v="51"/>
    <s v="MBA"/>
    <s v="Married"/>
    <x v="5"/>
    <s v="Marketing Executive"/>
    <x v="2"/>
    <x v="3"/>
    <s v="West"/>
    <n v="4"/>
    <n v="59931"/>
    <x v="0"/>
    <n v="1"/>
    <n v="3"/>
    <n v="46"/>
    <n v="0"/>
    <d v="2019-10-19T00:00:00"/>
    <s v="No"/>
    <x v="0"/>
    <n v="3"/>
    <x v="0"/>
    <x v="0"/>
    <x v="0"/>
  </r>
  <r>
    <s v="REL03018"/>
    <s v="Male"/>
    <n v="39"/>
    <s v="Graduate"/>
    <s v="Divorced"/>
    <x v="1"/>
    <s v="Logistics Coordinator"/>
    <x v="2"/>
    <x v="2"/>
    <s v="West"/>
    <n v="5"/>
    <n v="62985"/>
    <x v="2"/>
    <n v="2"/>
    <n v="4"/>
    <n v="23"/>
    <n v="3"/>
    <d v="2018-06-07T00:00:00"/>
    <s v="No"/>
    <x v="0"/>
    <n v="2"/>
    <x v="0"/>
    <x v="0"/>
    <x v="1"/>
  </r>
  <r>
    <s v="REL03019"/>
    <s v="Female"/>
    <n v="25"/>
    <s v="Post Graduate"/>
    <s v="Single"/>
    <x v="5"/>
    <s v="Marketing Executive"/>
    <x v="0"/>
    <x v="7"/>
    <s v="East"/>
    <n v="8"/>
    <n v="62435"/>
    <x v="0"/>
    <n v="3"/>
    <n v="4"/>
    <n v="19"/>
    <n v="3"/>
    <d v="2015-03-17T00:00:00"/>
    <s v="No"/>
    <x v="0"/>
    <n v="3"/>
    <x v="1"/>
    <x v="0"/>
    <x v="0"/>
  </r>
  <r>
    <s v="REL03020"/>
    <s v="Female"/>
    <n v="45"/>
    <s v="HSC"/>
    <s v="Married"/>
    <x v="0"/>
    <s v="Logistics Coordinator"/>
    <x v="0"/>
    <x v="4"/>
    <s v="North"/>
    <n v="11"/>
    <n v="59387"/>
    <x v="1"/>
    <n v="1"/>
    <n v="1"/>
    <n v="43"/>
    <n v="1"/>
    <d v="2012-02-26T00:00:00"/>
    <s v="Yes"/>
    <x v="0"/>
    <n v="1"/>
    <x v="2"/>
    <x v="1"/>
    <x v="1"/>
  </r>
  <r>
    <s v="REL03021"/>
    <s v="Male"/>
    <n v="35"/>
    <s v="HSC"/>
    <s v="Married"/>
    <x v="7"/>
    <s v="Logistics Coordinator"/>
    <x v="4"/>
    <x v="9"/>
    <s v="West"/>
    <n v="10"/>
    <n v="70020"/>
    <x v="0"/>
    <n v="2"/>
    <n v="2"/>
    <n v="67"/>
    <n v="1"/>
    <d v="2013-07-18T00:00:00"/>
    <s v="Yes"/>
    <x v="0"/>
    <n v="3"/>
    <x v="1"/>
    <x v="1"/>
    <x v="0"/>
  </r>
  <r>
    <s v="REL03022"/>
    <s v="Female"/>
    <n v="27"/>
    <s v="Graduate"/>
    <s v="Divorced"/>
    <x v="6"/>
    <s v="Logistics Coordinator"/>
    <x v="0"/>
    <x v="8"/>
    <s v="South"/>
    <n v="13"/>
    <n v="61314"/>
    <x v="2"/>
    <n v="1"/>
    <n v="4"/>
    <n v="50"/>
    <n v="3"/>
    <d v="2010-04-04T00:00:00"/>
    <s v="No"/>
    <x v="0"/>
    <n v="2"/>
    <x v="2"/>
    <x v="0"/>
    <x v="1"/>
  </r>
  <r>
    <s v="REL03023"/>
    <s v="Female"/>
    <n v="29"/>
    <s v="Post Graduate"/>
    <s v="Married"/>
    <x v="3"/>
    <s v="Sales Executive"/>
    <x v="2"/>
    <x v="5"/>
    <s v="South"/>
    <n v="8"/>
    <n v="49780"/>
    <x v="1"/>
    <n v="2"/>
    <n v="4"/>
    <n v="32"/>
    <n v="0"/>
    <d v="2015-04-18T00:00:00"/>
    <s v="Yes"/>
    <x v="2"/>
    <n v="1"/>
    <x v="1"/>
    <x v="1"/>
    <x v="1"/>
  </r>
  <r>
    <s v="REL03024"/>
    <s v="Female"/>
    <n v="26"/>
    <s v="BTech"/>
    <s v="Married"/>
    <x v="4"/>
    <s v="HR Manager"/>
    <x v="2"/>
    <x v="2"/>
    <s v="West"/>
    <n v="3"/>
    <n v="82408"/>
    <x v="0"/>
    <n v="3"/>
    <n v="4"/>
    <n v="59"/>
    <n v="0"/>
    <d v="2020-03-28T00:00:00"/>
    <s v="No"/>
    <x v="1"/>
    <n v="3"/>
    <x v="0"/>
    <x v="0"/>
    <x v="0"/>
  </r>
  <r>
    <s v="REL03025"/>
    <s v="Male"/>
    <n v="49"/>
    <s v="MBA"/>
    <s v="Single"/>
    <x v="6"/>
    <s v="HR Manager"/>
    <x v="0"/>
    <x v="9"/>
    <s v="West"/>
    <n v="3"/>
    <n v="79465"/>
    <x v="1"/>
    <n v="4"/>
    <n v="2"/>
    <n v="40"/>
    <n v="2"/>
    <d v="2020-04-10T00:00:00"/>
    <s v="No"/>
    <x v="0"/>
    <n v="1"/>
    <x v="0"/>
    <x v="0"/>
    <x v="1"/>
  </r>
  <r>
    <s v="REL03026"/>
    <s v="Male"/>
    <n v="46"/>
    <s v="MBA"/>
    <s v="Divorced"/>
    <x v="1"/>
    <s v="Marketing Executive"/>
    <x v="2"/>
    <x v="3"/>
    <s v="West"/>
    <n v="9"/>
    <n v="70857"/>
    <x v="1"/>
    <n v="4"/>
    <n v="4"/>
    <n v="76"/>
    <n v="0"/>
    <d v="2014-02-13T00:00:00"/>
    <s v="Yes"/>
    <x v="0"/>
    <n v="1"/>
    <x v="1"/>
    <x v="1"/>
    <x v="1"/>
  </r>
  <r>
    <s v="REL03027"/>
    <s v="Male"/>
    <n v="33"/>
    <s v="Post Graduate"/>
    <s v="Married"/>
    <x v="0"/>
    <s v="Customer Service Rep"/>
    <x v="3"/>
    <x v="1"/>
    <s v="North"/>
    <n v="7"/>
    <n v="46817"/>
    <x v="2"/>
    <n v="3"/>
    <n v="1"/>
    <n v="35"/>
    <n v="3"/>
    <d v="2016-12-21T00:00:00"/>
    <s v="Yes"/>
    <x v="2"/>
    <n v="2"/>
    <x v="1"/>
    <x v="1"/>
    <x v="1"/>
  </r>
  <r>
    <s v="REL03028"/>
    <s v="Male"/>
    <n v="50"/>
    <s v="Graduate"/>
    <s v="Married"/>
    <x v="4"/>
    <s v="HR Manager"/>
    <x v="3"/>
    <x v="3"/>
    <s v="West"/>
    <n v="10"/>
    <n v="103360"/>
    <x v="3"/>
    <n v="2"/>
    <n v="1"/>
    <n v="37"/>
    <n v="3"/>
    <d v="2013-09-05T00:00:00"/>
    <s v="Yes"/>
    <x v="1"/>
    <n v="4"/>
    <x v="1"/>
    <x v="1"/>
    <x v="0"/>
  </r>
  <r>
    <s v="REL03029"/>
    <s v="Female"/>
    <n v="54"/>
    <s v="BTech"/>
    <s v="Married"/>
    <x v="7"/>
    <s v="Marketing Executive"/>
    <x v="2"/>
    <x v="8"/>
    <s v="South"/>
    <n v="14"/>
    <n v="86965"/>
    <x v="1"/>
    <n v="3"/>
    <n v="3"/>
    <n v="30"/>
    <n v="3"/>
    <d v="2009-10-23T00:00:00"/>
    <s v="No"/>
    <x v="1"/>
    <n v="1"/>
    <x v="2"/>
    <x v="0"/>
    <x v="2"/>
  </r>
  <r>
    <s v="REL03030"/>
    <s v="Male"/>
    <n v="31"/>
    <s v="HSC"/>
    <s v="Single"/>
    <x v="3"/>
    <s v="Marketing Executive"/>
    <x v="1"/>
    <x v="2"/>
    <s v="West"/>
    <n v="12"/>
    <n v="76950"/>
    <x v="0"/>
    <n v="4"/>
    <n v="2"/>
    <n v="75"/>
    <n v="0"/>
    <d v="2011-04-18T00:00:00"/>
    <s v="No"/>
    <x v="0"/>
    <n v="3"/>
    <x v="2"/>
    <x v="0"/>
    <x v="0"/>
  </r>
  <r>
    <s v="REL03031"/>
    <s v="Male"/>
    <n v="25"/>
    <s v="HSC"/>
    <s v="Single"/>
    <x v="5"/>
    <s v="Logistics Coordinator"/>
    <x v="1"/>
    <x v="4"/>
    <s v="North"/>
    <n v="11"/>
    <n v="59467"/>
    <x v="3"/>
    <n v="2"/>
    <n v="2"/>
    <n v="60"/>
    <n v="1"/>
    <d v="2012-12-21T00:00:00"/>
    <s v="No"/>
    <x v="0"/>
    <n v="4"/>
    <x v="2"/>
    <x v="2"/>
    <x v="1"/>
  </r>
  <r>
    <s v="REL03032"/>
    <s v="Female"/>
    <n v="30"/>
    <s v="MBA"/>
    <s v="Married"/>
    <x v="3"/>
    <s v="HR Manager"/>
    <x v="0"/>
    <x v="9"/>
    <s v="West"/>
    <n v="6"/>
    <n v="83084"/>
    <x v="2"/>
    <n v="2"/>
    <n v="2"/>
    <n v="71"/>
    <n v="1"/>
    <d v="2017-07-02T00:00:00"/>
    <s v="No"/>
    <x v="1"/>
    <n v="2"/>
    <x v="1"/>
    <x v="0"/>
    <x v="1"/>
  </r>
  <r>
    <s v="REL03033"/>
    <s v="Male"/>
    <n v="47"/>
    <s v="BTech"/>
    <s v="Divorced"/>
    <x v="3"/>
    <s v="Marketing Executive"/>
    <x v="4"/>
    <x v="6"/>
    <s v="South"/>
    <n v="6"/>
    <n v="56784"/>
    <x v="2"/>
    <n v="2"/>
    <n v="2"/>
    <n v="66"/>
    <n v="2"/>
    <d v="2017-12-08T00:00:00"/>
    <s v="No"/>
    <x v="0"/>
    <n v="2"/>
    <x v="1"/>
    <x v="0"/>
    <x v="1"/>
  </r>
  <r>
    <s v="REL03034"/>
    <s v="Male"/>
    <n v="40"/>
    <s v="BTech"/>
    <s v="Married"/>
    <x v="2"/>
    <s v="Sales Executive"/>
    <x v="4"/>
    <x v="7"/>
    <s v="East"/>
    <n v="6"/>
    <n v="55830"/>
    <x v="1"/>
    <n v="1"/>
    <n v="2"/>
    <n v="35"/>
    <n v="3"/>
    <d v="2017-06-12T00:00:00"/>
    <s v="No"/>
    <x v="0"/>
    <n v="1"/>
    <x v="1"/>
    <x v="0"/>
    <x v="1"/>
  </r>
  <r>
    <s v="REL03035"/>
    <s v="Female"/>
    <n v="26"/>
    <s v="Graduate"/>
    <s v="Divorced"/>
    <x v="0"/>
    <s v="HR Manager"/>
    <x v="0"/>
    <x v="2"/>
    <s v="West"/>
    <n v="6"/>
    <n v="95840"/>
    <x v="1"/>
    <n v="1"/>
    <n v="2"/>
    <n v="27"/>
    <n v="0"/>
    <d v="2017-07-30T00:00:00"/>
    <s v="Yes"/>
    <x v="1"/>
    <n v="1"/>
    <x v="1"/>
    <x v="1"/>
    <x v="2"/>
  </r>
  <r>
    <s v="REL03036"/>
    <s v="Female"/>
    <n v="45"/>
    <s v="Graduate"/>
    <s v="Married"/>
    <x v="3"/>
    <s v="Sales Executive"/>
    <x v="2"/>
    <x v="9"/>
    <s v="West"/>
    <n v="10"/>
    <n v="67607"/>
    <x v="3"/>
    <n v="2"/>
    <n v="4"/>
    <n v="75"/>
    <n v="2"/>
    <d v="2013-06-13T00:00:00"/>
    <s v="No"/>
    <x v="0"/>
    <n v="4"/>
    <x v="1"/>
    <x v="2"/>
    <x v="1"/>
  </r>
  <r>
    <s v="REL03037"/>
    <s v="Male"/>
    <n v="46"/>
    <s v="MBA"/>
    <s v="Divorced"/>
    <x v="6"/>
    <s v="Customer Service Rep"/>
    <x v="3"/>
    <x v="0"/>
    <s v="North"/>
    <n v="11"/>
    <n v="58639"/>
    <x v="1"/>
    <n v="4"/>
    <n v="4"/>
    <n v="17"/>
    <n v="1"/>
    <d v="2012-03-12T00:00:00"/>
    <s v="No"/>
    <x v="0"/>
    <n v="1"/>
    <x v="2"/>
    <x v="0"/>
    <x v="1"/>
  </r>
  <r>
    <s v="REL03038"/>
    <s v="Female"/>
    <n v="22"/>
    <s v="HSC"/>
    <s v="Single"/>
    <x v="1"/>
    <s v="Customer Service Rep"/>
    <x v="3"/>
    <x v="6"/>
    <s v="South"/>
    <n v="5"/>
    <n v="38412"/>
    <x v="2"/>
    <n v="3"/>
    <n v="2"/>
    <n v="47"/>
    <n v="0"/>
    <d v="2018-09-04T00:00:00"/>
    <s v="No"/>
    <x v="2"/>
    <n v="2"/>
    <x v="0"/>
    <x v="0"/>
    <x v="1"/>
  </r>
  <r>
    <s v="REL03039"/>
    <s v="Female"/>
    <n v="31"/>
    <s v="Post Graduate"/>
    <s v="Single"/>
    <x v="3"/>
    <s v="Finance Analyst"/>
    <x v="3"/>
    <x v="2"/>
    <s v="West"/>
    <n v="2"/>
    <n v="69332"/>
    <x v="0"/>
    <n v="1"/>
    <n v="2"/>
    <n v="48"/>
    <n v="1"/>
    <d v="2021-08-15T00:00:00"/>
    <s v="No"/>
    <x v="0"/>
    <n v="3"/>
    <x v="3"/>
    <x v="0"/>
    <x v="0"/>
  </r>
  <r>
    <s v="REL03040"/>
    <s v="Male"/>
    <n v="28"/>
    <s v="MBA"/>
    <s v="Married"/>
    <x v="7"/>
    <s v="Store Manager"/>
    <x v="2"/>
    <x v="0"/>
    <s v="North"/>
    <n v="11"/>
    <n v="104621"/>
    <x v="3"/>
    <n v="1"/>
    <n v="1"/>
    <n v="32"/>
    <n v="2"/>
    <d v="2012-05-21T00:00:00"/>
    <s v="No"/>
    <x v="1"/>
    <n v="4"/>
    <x v="2"/>
    <x v="2"/>
    <x v="0"/>
  </r>
  <r>
    <s v="REL03041"/>
    <s v="Male"/>
    <n v="23"/>
    <s v="HSC"/>
    <s v="Married"/>
    <x v="1"/>
    <s v="Marketing Executive"/>
    <x v="1"/>
    <x v="1"/>
    <s v="North"/>
    <n v="1"/>
    <n v="49705"/>
    <x v="2"/>
    <n v="2"/>
    <n v="3"/>
    <n v="21"/>
    <n v="1"/>
    <d v="2022-05-04T00:00:00"/>
    <s v="No"/>
    <x v="2"/>
    <n v="2"/>
    <x v="3"/>
    <x v="0"/>
    <x v="1"/>
  </r>
  <r>
    <s v="REL03042"/>
    <s v="Male"/>
    <n v="46"/>
    <s v="Post Graduate"/>
    <s v="Single"/>
    <x v="6"/>
    <s v="Sales Executive"/>
    <x v="2"/>
    <x v="7"/>
    <s v="East"/>
    <n v="4"/>
    <n v="52401"/>
    <x v="2"/>
    <n v="3"/>
    <n v="3"/>
    <n v="67"/>
    <n v="0"/>
    <d v="2019-02-27T00:00:00"/>
    <s v="Yes"/>
    <x v="0"/>
    <n v="2"/>
    <x v="0"/>
    <x v="1"/>
    <x v="1"/>
  </r>
  <r>
    <s v="REL03043"/>
    <s v="Female"/>
    <n v="48"/>
    <s v="BTech"/>
    <s v="Divorced"/>
    <x v="4"/>
    <s v="HR Manager"/>
    <x v="2"/>
    <x v="7"/>
    <s v="East"/>
    <n v="15"/>
    <n v="105605"/>
    <x v="0"/>
    <n v="2"/>
    <n v="2"/>
    <n v="14"/>
    <n v="3"/>
    <d v="2008-11-10T00:00:00"/>
    <s v="No"/>
    <x v="1"/>
    <n v="3"/>
    <x v="2"/>
    <x v="0"/>
    <x v="0"/>
  </r>
  <r>
    <s v="REL03044"/>
    <s v="Female"/>
    <n v="51"/>
    <s v="Graduate"/>
    <s v="Divorced"/>
    <x v="3"/>
    <s v="Store Manager"/>
    <x v="1"/>
    <x v="1"/>
    <s v="North"/>
    <n v="6"/>
    <n v="92692"/>
    <x v="2"/>
    <n v="4"/>
    <n v="1"/>
    <n v="75"/>
    <n v="0"/>
    <d v="2017-07-31T00:00:00"/>
    <s v="No"/>
    <x v="1"/>
    <n v="2"/>
    <x v="1"/>
    <x v="0"/>
    <x v="1"/>
  </r>
  <r>
    <s v="REL03045"/>
    <s v="Male"/>
    <n v="48"/>
    <s v="HSC"/>
    <s v="Single"/>
    <x v="3"/>
    <s v="Marketing Executive"/>
    <x v="0"/>
    <x v="2"/>
    <s v="West"/>
    <n v="10"/>
    <n v="63498"/>
    <x v="2"/>
    <n v="2"/>
    <n v="2"/>
    <n v="76"/>
    <n v="3"/>
    <d v="2013-07-23T00:00:00"/>
    <s v="No"/>
    <x v="0"/>
    <n v="2"/>
    <x v="1"/>
    <x v="0"/>
    <x v="1"/>
  </r>
  <r>
    <s v="REL03046"/>
    <s v="Female"/>
    <n v="22"/>
    <s v="HSC"/>
    <s v="Married"/>
    <x v="1"/>
    <s v="Operations Head"/>
    <x v="3"/>
    <x v="0"/>
    <s v="North"/>
    <n v="12"/>
    <n v="121649"/>
    <x v="1"/>
    <n v="2"/>
    <n v="2"/>
    <n v="67"/>
    <n v="0"/>
    <d v="2011-11-14T00:00:00"/>
    <s v="Yes"/>
    <x v="1"/>
    <n v="1"/>
    <x v="2"/>
    <x v="1"/>
    <x v="2"/>
  </r>
  <r>
    <s v="REL03047"/>
    <s v="Female"/>
    <n v="45"/>
    <s v="Post Graduate"/>
    <s v="Single"/>
    <x v="1"/>
    <s v="HR Manager"/>
    <x v="3"/>
    <x v="9"/>
    <s v="West"/>
    <n v="2"/>
    <n v="85323"/>
    <x v="1"/>
    <n v="2"/>
    <n v="1"/>
    <n v="68"/>
    <n v="2"/>
    <d v="2021-12-30T00:00:00"/>
    <s v="Yes"/>
    <x v="1"/>
    <n v="1"/>
    <x v="3"/>
    <x v="1"/>
    <x v="2"/>
  </r>
  <r>
    <s v="REL03048"/>
    <s v="Male"/>
    <n v="49"/>
    <s v="Post Graduate"/>
    <s v="Divorced"/>
    <x v="6"/>
    <s v="Logistics Coordinator"/>
    <x v="1"/>
    <x v="3"/>
    <s v="West"/>
    <n v="3"/>
    <n v="55624"/>
    <x v="1"/>
    <n v="2"/>
    <n v="1"/>
    <n v="23"/>
    <n v="3"/>
    <d v="2020-08-15T00:00:00"/>
    <s v="Yes"/>
    <x v="0"/>
    <n v="1"/>
    <x v="0"/>
    <x v="1"/>
    <x v="1"/>
  </r>
  <r>
    <s v="REL03049"/>
    <s v="Male"/>
    <n v="45"/>
    <s v="HSC"/>
    <s v="Single"/>
    <x v="7"/>
    <s v="Operations Head"/>
    <x v="0"/>
    <x v="9"/>
    <s v="West"/>
    <n v="12"/>
    <n v="125102"/>
    <x v="1"/>
    <n v="1"/>
    <n v="4"/>
    <n v="52"/>
    <n v="2"/>
    <d v="2011-11-06T00:00:00"/>
    <s v="Yes"/>
    <x v="1"/>
    <n v="1"/>
    <x v="2"/>
    <x v="1"/>
    <x v="2"/>
  </r>
  <r>
    <s v="REL03050"/>
    <s v="Female"/>
    <n v="25"/>
    <s v="Post Graduate"/>
    <s v="Divorced"/>
    <x v="4"/>
    <s v="Sales Executive"/>
    <x v="3"/>
    <x v="3"/>
    <s v="West"/>
    <n v="7"/>
    <n v="53665"/>
    <x v="3"/>
    <n v="4"/>
    <n v="2"/>
    <n v="58"/>
    <n v="3"/>
    <d v="2016-03-31T00:00:00"/>
    <s v="No"/>
    <x v="0"/>
    <n v="4"/>
    <x v="1"/>
    <x v="2"/>
    <x v="1"/>
  </r>
  <r>
    <s v="REL03051"/>
    <s v="Male"/>
    <n v="44"/>
    <s v="Graduate"/>
    <s v="Divorced"/>
    <x v="4"/>
    <s v="Store Manager"/>
    <x v="0"/>
    <x v="7"/>
    <s v="East"/>
    <n v="7"/>
    <n v="108066"/>
    <x v="1"/>
    <n v="3"/>
    <n v="4"/>
    <n v="35"/>
    <n v="3"/>
    <d v="2016-08-23T00:00:00"/>
    <s v="Yes"/>
    <x v="1"/>
    <n v="1"/>
    <x v="1"/>
    <x v="1"/>
    <x v="2"/>
  </r>
  <r>
    <s v="REL03052"/>
    <s v="Male"/>
    <n v="34"/>
    <s v="Graduate"/>
    <s v="Single"/>
    <x v="1"/>
    <s v="Customer Service Rep"/>
    <x v="1"/>
    <x v="3"/>
    <s v="West"/>
    <n v="11"/>
    <n v="52258"/>
    <x v="2"/>
    <n v="2"/>
    <n v="4"/>
    <n v="72"/>
    <n v="1"/>
    <d v="2012-04-11T00:00:00"/>
    <s v="No"/>
    <x v="0"/>
    <n v="2"/>
    <x v="2"/>
    <x v="0"/>
    <x v="1"/>
  </r>
  <r>
    <s v="REL03053"/>
    <s v="Female"/>
    <n v="37"/>
    <s v="BTech"/>
    <s v="Married"/>
    <x v="1"/>
    <s v="Sales Executive"/>
    <x v="0"/>
    <x v="8"/>
    <s v="South"/>
    <n v="10"/>
    <n v="69872"/>
    <x v="2"/>
    <n v="4"/>
    <n v="2"/>
    <n v="28"/>
    <n v="2"/>
    <d v="2013-05-10T00:00:00"/>
    <s v="No"/>
    <x v="0"/>
    <n v="2"/>
    <x v="1"/>
    <x v="0"/>
    <x v="1"/>
  </r>
  <r>
    <s v="REL03054"/>
    <s v="Male"/>
    <n v="26"/>
    <s v="MBA"/>
    <s v="Single"/>
    <x v="1"/>
    <s v="Logistics Coordinator"/>
    <x v="3"/>
    <x v="8"/>
    <s v="South"/>
    <n v="4"/>
    <n v="56279"/>
    <x v="1"/>
    <n v="4"/>
    <n v="3"/>
    <n v="37"/>
    <n v="2"/>
    <d v="2019-04-23T00:00:00"/>
    <s v="No"/>
    <x v="0"/>
    <n v="1"/>
    <x v="0"/>
    <x v="0"/>
    <x v="1"/>
  </r>
  <r>
    <s v="REL03055"/>
    <s v="Female"/>
    <n v="54"/>
    <s v="Post Graduate"/>
    <s v="Divorced"/>
    <x v="5"/>
    <s v="Operations Head"/>
    <x v="0"/>
    <x v="4"/>
    <s v="North"/>
    <n v="10"/>
    <n v="117101"/>
    <x v="0"/>
    <n v="3"/>
    <n v="4"/>
    <n v="40"/>
    <n v="0"/>
    <d v="2013-05-31T00:00:00"/>
    <s v="Yes"/>
    <x v="1"/>
    <n v="3"/>
    <x v="1"/>
    <x v="1"/>
    <x v="0"/>
  </r>
  <r>
    <s v="REL03056"/>
    <s v="Male"/>
    <n v="41"/>
    <s v="Post Graduate"/>
    <s v="Single"/>
    <x v="7"/>
    <s v="Operations Head"/>
    <x v="2"/>
    <x v="4"/>
    <s v="North"/>
    <n v="6"/>
    <n v="100978"/>
    <x v="2"/>
    <n v="3"/>
    <n v="1"/>
    <n v="43"/>
    <n v="1"/>
    <d v="2017-03-11T00:00:00"/>
    <s v="No"/>
    <x v="1"/>
    <n v="2"/>
    <x v="1"/>
    <x v="0"/>
    <x v="1"/>
  </r>
  <r>
    <s v="REL03057"/>
    <s v="Female"/>
    <n v="31"/>
    <s v="HSC"/>
    <s v="Single"/>
    <x v="5"/>
    <s v="Store Manager"/>
    <x v="0"/>
    <x v="0"/>
    <s v="North"/>
    <n v="12"/>
    <n v="117998"/>
    <x v="2"/>
    <n v="3"/>
    <n v="4"/>
    <n v="43"/>
    <n v="0"/>
    <d v="2011-05-13T00:00:00"/>
    <s v="No"/>
    <x v="1"/>
    <n v="2"/>
    <x v="2"/>
    <x v="0"/>
    <x v="1"/>
  </r>
  <r>
    <s v="REL03058"/>
    <s v="Female"/>
    <n v="38"/>
    <s v="MBA"/>
    <s v="Married"/>
    <x v="0"/>
    <s v="Finance Analyst"/>
    <x v="0"/>
    <x v="8"/>
    <s v="South"/>
    <n v="12"/>
    <n v="89245"/>
    <x v="0"/>
    <n v="4"/>
    <n v="2"/>
    <n v="16"/>
    <n v="3"/>
    <d v="2011-09-24T00:00:00"/>
    <s v="Yes"/>
    <x v="1"/>
    <n v="3"/>
    <x v="2"/>
    <x v="1"/>
    <x v="0"/>
  </r>
  <r>
    <s v="REL03059"/>
    <s v="Female"/>
    <n v="28"/>
    <s v="BTech"/>
    <s v="Married"/>
    <x v="7"/>
    <s v="Store Manager"/>
    <x v="0"/>
    <x v="9"/>
    <s v="West"/>
    <n v="11"/>
    <n v="116096"/>
    <x v="3"/>
    <n v="1"/>
    <n v="4"/>
    <n v="31"/>
    <n v="1"/>
    <d v="2012-06-15T00:00:00"/>
    <s v="Yes"/>
    <x v="1"/>
    <n v="4"/>
    <x v="2"/>
    <x v="1"/>
    <x v="0"/>
  </r>
  <r>
    <s v="REL03060"/>
    <s v="Male"/>
    <n v="53"/>
    <s v="Graduate"/>
    <s v="Divorced"/>
    <x v="6"/>
    <s v="Store Manager"/>
    <x v="4"/>
    <x v="8"/>
    <s v="South"/>
    <n v="12"/>
    <n v="107911"/>
    <x v="2"/>
    <n v="2"/>
    <n v="2"/>
    <n v="27"/>
    <n v="0"/>
    <d v="2011-01-05T00:00:00"/>
    <s v="Yes"/>
    <x v="1"/>
    <n v="2"/>
    <x v="2"/>
    <x v="1"/>
    <x v="1"/>
  </r>
  <r>
    <s v="REL03061"/>
    <s v="Female"/>
    <n v="24"/>
    <s v="Graduate"/>
    <s v="Divorced"/>
    <x v="3"/>
    <s v="Marketing Executive"/>
    <x v="0"/>
    <x v="4"/>
    <s v="North"/>
    <n v="13"/>
    <n v="66929"/>
    <x v="3"/>
    <n v="1"/>
    <n v="3"/>
    <n v="66"/>
    <n v="2"/>
    <d v="2010-10-05T00:00:00"/>
    <s v="Yes"/>
    <x v="0"/>
    <n v="4"/>
    <x v="2"/>
    <x v="1"/>
    <x v="1"/>
  </r>
  <r>
    <s v="REL03062"/>
    <s v="Male"/>
    <n v="52"/>
    <s v="BTech"/>
    <s v="Single"/>
    <x v="3"/>
    <s v="Customer Service Rep"/>
    <x v="1"/>
    <x v="9"/>
    <s v="West"/>
    <n v="12"/>
    <n v="61128"/>
    <x v="3"/>
    <n v="1"/>
    <n v="3"/>
    <n v="73"/>
    <n v="2"/>
    <d v="2011-11-01T00:00:00"/>
    <s v="No"/>
    <x v="0"/>
    <n v="4"/>
    <x v="2"/>
    <x v="2"/>
    <x v="1"/>
  </r>
  <r>
    <s v="REL03063"/>
    <s v="Male"/>
    <n v="35"/>
    <s v="Post Graduate"/>
    <s v="Divorced"/>
    <x v="4"/>
    <s v="Operations Head"/>
    <x v="0"/>
    <x v="9"/>
    <s v="West"/>
    <n v="15"/>
    <n v="124291"/>
    <x v="1"/>
    <n v="3"/>
    <n v="4"/>
    <n v="53"/>
    <n v="0"/>
    <d v="2008-09-08T00:00:00"/>
    <s v="Yes"/>
    <x v="1"/>
    <n v="1"/>
    <x v="2"/>
    <x v="1"/>
    <x v="2"/>
  </r>
  <r>
    <s v="REL03064"/>
    <s v="Female"/>
    <n v="27"/>
    <s v="Post Graduate"/>
    <s v="Single"/>
    <x v="0"/>
    <s v="Marketing Executive"/>
    <x v="2"/>
    <x v="4"/>
    <s v="North"/>
    <n v="9"/>
    <n v="59738"/>
    <x v="2"/>
    <n v="1"/>
    <n v="4"/>
    <n v="16"/>
    <n v="3"/>
    <d v="2014-10-25T00:00:00"/>
    <s v="No"/>
    <x v="0"/>
    <n v="2"/>
    <x v="1"/>
    <x v="0"/>
    <x v="1"/>
  </r>
  <r>
    <s v="REL03065"/>
    <s v="Male"/>
    <n v="53"/>
    <s v="MBA"/>
    <s v="Divorced"/>
    <x v="4"/>
    <s v="Customer Service Rep"/>
    <x v="1"/>
    <x v="8"/>
    <s v="South"/>
    <n v="4"/>
    <n v="51545"/>
    <x v="3"/>
    <n v="2"/>
    <n v="2"/>
    <n v="46"/>
    <n v="1"/>
    <d v="2019-08-07T00:00:00"/>
    <s v="No"/>
    <x v="0"/>
    <n v="4"/>
    <x v="0"/>
    <x v="2"/>
    <x v="1"/>
  </r>
  <r>
    <s v="REL03066"/>
    <s v="Female"/>
    <n v="23"/>
    <s v="MBA"/>
    <s v="Divorced"/>
    <x v="7"/>
    <s v="Sales Executive"/>
    <x v="4"/>
    <x v="3"/>
    <s v="West"/>
    <n v="14"/>
    <n v="75410"/>
    <x v="0"/>
    <n v="2"/>
    <n v="2"/>
    <n v="38"/>
    <n v="0"/>
    <d v="2009-11-18T00:00:00"/>
    <s v="No"/>
    <x v="0"/>
    <n v="3"/>
    <x v="2"/>
    <x v="0"/>
    <x v="0"/>
  </r>
  <r>
    <s v="REL03067"/>
    <s v="Male"/>
    <n v="37"/>
    <s v="BTech"/>
    <s v="Divorced"/>
    <x v="6"/>
    <s v="Sales Executive"/>
    <x v="3"/>
    <x v="1"/>
    <s v="North"/>
    <n v="11"/>
    <n v="52893"/>
    <x v="3"/>
    <n v="2"/>
    <n v="4"/>
    <n v="71"/>
    <n v="0"/>
    <d v="2012-12-03T00:00:00"/>
    <s v="No"/>
    <x v="0"/>
    <n v="4"/>
    <x v="2"/>
    <x v="2"/>
    <x v="1"/>
  </r>
  <r>
    <s v="REL03068"/>
    <s v="Male"/>
    <n v="26"/>
    <s v="BTech"/>
    <s v="Divorced"/>
    <x v="5"/>
    <s v="Customer Service Rep"/>
    <x v="3"/>
    <x v="6"/>
    <s v="South"/>
    <n v="4"/>
    <n v="46863"/>
    <x v="2"/>
    <n v="2"/>
    <n v="3"/>
    <n v="47"/>
    <n v="3"/>
    <d v="2019-08-17T00:00:00"/>
    <s v="No"/>
    <x v="2"/>
    <n v="2"/>
    <x v="0"/>
    <x v="0"/>
    <x v="1"/>
  </r>
  <r>
    <s v="REL03069"/>
    <s v="Female"/>
    <n v="31"/>
    <s v="Graduate"/>
    <s v="Single"/>
    <x v="6"/>
    <s v="Operations Head"/>
    <x v="2"/>
    <x v="6"/>
    <s v="South"/>
    <n v="3"/>
    <n v="91545"/>
    <x v="1"/>
    <n v="1"/>
    <n v="4"/>
    <n v="54"/>
    <n v="0"/>
    <d v="2020-04-19T00:00:00"/>
    <s v="Yes"/>
    <x v="1"/>
    <n v="1"/>
    <x v="0"/>
    <x v="1"/>
    <x v="2"/>
  </r>
  <r>
    <s v="REL03070"/>
    <s v="Female"/>
    <n v="52"/>
    <s v="Post Graduate"/>
    <s v="Divorced"/>
    <x v="5"/>
    <s v="Store Manager"/>
    <x v="4"/>
    <x v="8"/>
    <s v="South"/>
    <n v="10"/>
    <n v="101266"/>
    <x v="3"/>
    <n v="4"/>
    <n v="2"/>
    <n v="53"/>
    <n v="1"/>
    <d v="2013-01-23T00:00:00"/>
    <s v="No"/>
    <x v="1"/>
    <n v="4"/>
    <x v="1"/>
    <x v="2"/>
    <x v="0"/>
  </r>
  <r>
    <s v="REL03071"/>
    <s v="Male"/>
    <n v="50"/>
    <s v="MBA"/>
    <s v="Married"/>
    <x v="2"/>
    <s v="Finance Analyst"/>
    <x v="4"/>
    <x v="4"/>
    <s v="North"/>
    <n v="14"/>
    <n v="85421"/>
    <x v="1"/>
    <n v="2"/>
    <n v="3"/>
    <n v="79"/>
    <n v="0"/>
    <d v="2009-04-13T00:00:00"/>
    <s v="Yes"/>
    <x v="1"/>
    <n v="1"/>
    <x v="2"/>
    <x v="1"/>
    <x v="2"/>
  </r>
  <r>
    <s v="REL03072"/>
    <s v="Female"/>
    <n v="43"/>
    <s v="Post Graduate"/>
    <s v="Single"/>
    <x v="4"/>
    <s v="HR Manager"/>
    <x v="1"/>
    <x v="6"/>
    <s v="South"/>
    <n v="7"/>
    <n v="86715"/>
    <x v="1"/>
    <n v="1"/>
    <n v="1"/>
    <n v="24"/>
    <n v="2"/>
    <d v="2016-03-28T00:00:00"/>
    <s v="Yes"/>
    <x v="1"/>
    <n v="1"/>
    <x v="1"/>
    <x v="1"/>
    <x v="2"/>
  </r>
  <r>
    <s v="REL03073"/>
    <s v="Male"/>
    <n v="45"/>
    <s v="Graduate"/>
    <s v="Divorced"/>
    <x v="4"/>
    <s v="HR Manager"/>
    <x v="0"/>
    <x v="8"/>
    <s v="South"/>
    <n v="8"/>
    <n v="81128"/>
    <x v="2"/>
    <n v="4"/>
    <n v="1"/>
    <n v="34"/>
    <n v="1"/>
    <d v="2015-08-18T00:00:00"/>
    <s v="No"/>
    <x v="1"/>
    <n v="2"/>
    <x v="1"/>
    <x v="0"/>
    <x v="1"/>
  </r>
  <r>
    <s v="REL03074"/>
    <s v="Male"/>
    <n v="26"/>
    <s v="Graduate"/>
    <s v="Single"/>
    <x v="2"/>
    <s v="Store Manager"/>
    <x v="3"/>
    <x v="6"/>
    <s v="South"/>
    <n v="6"/>
    <n v="91389"/>
    <x v="1"/>
    <n v="2"/>
    <n v="1"/>
    <n v="45"/>
    <n v="0"/>
    <d v="2017-02-15T00:00:00"/>
    <s v="Yes"/>
    <x v="1"/>
    <n v="1"/>
    <x v="1"/>
    <x v="1"/>
    <x v="2"/>
  </r>
  <r>
    <s v="REL03075"/>
    <s v="Female"/>
    <n v="33"/>
    <s v="BTech"/>
    <s v="Married"/>
    <x v="1"/>
    <s v="Sales Executive"/>
    <x v="3"/>
    <x v="3"/>
    <s v="West"/>
    <n v="9"/>
    <n v="49795"/>
    <x v="0"/>
    <n v="4"/>
    <n v="3"/>
    <n v="55"/>
    <n v="0"/>
    <d v="2014-03-04T00:00:00"/>
    <s v="No"/>
    <x v="2"/>
    <n v="3"/>
    <x v="1"/>
    <x v="0"/>
    <x v="1"/>
  </r>
  <r>
    <s v="REL03076"/>
    <s v="Male"/>
    <n v="35"/>
    <s v="Graduate"/>
    <s v="Single"/>
    <x v="6"/>
    <s v="Store Manager"/>
    <x v="2"/>
    <x v="6"/>
    <s v="South"/>
    <n v="1"/>
    <n v="93183"/>
    <x v="1"/>
    <n v="2"/>
    <n v="3"/>
    <n v="23"/>
    <n v="3"/>
    <d v="2022-01-31T00:00:00"/>
    <s v="Yes"/>
    <x v="1"/>
    <n v="1"/>
    <x v="3"/>
    <x v="1"/>
    <x v="2"/>
  </r>
  <r>
    <s v="REL03077"/>
    <s v="Male"/>
    <n v="28"/>
    <s v="Post Graduate"/>
    <s v="Single"/>
    <x v="6"/>
    <s v="HR Manager"/>
    <x v="3"/>
    <x v="2"/>
    <s v="West"/>
    <n v="2"/>
    <n v="85026"/>
    <x v="0"/>
    <n v="3"/>
    <n v="3"/>
    <n v="54"/>
    <n v="1"/>
    <d v="2021-06-02T00:00:00"/>
    <s v="No"/>
    <x v="1"/>
    <n v="3"/>
    <x v="3"/>
    <x v="0"/>
    <x v="0"/>
  </r>
  <r>
    <s v="REL03078"/>
    <s v="Female"/>
    <n v="24"/>
    <s v="BTech"/>
    <s v="Divorced"/>
    <x v="5"/>
    <s v="HR Manager"/>
    <x v="3"/>
    <x v="4"/>
    <s v="North"/>
    <n v="7"/>
    <n v="81094"/>
    <x v="2"/>
    <n v="3"/>
    <n v="3"/>
    <n v="19"/>
    <n v="2"/>
    <d v="2016-10-07T00:00:00"/>
    <s v="No"/>
    <x v="1"/>
    <n v="2"/>
    <x v="1"/>
    <x v="0"/>
    <x v="1"/>
  </r>
  <r>
    <s v="REL03079"/>
    <s v="Female"/>
    <n v="48"/>
    <s v="HSC"/>
    <s v="Divorced"/>
    <x v="5"/>
    <s v="Marketing Executive"/>
    <x v="2"/>
    <x v="9"/>
    <s v="West"/>
    <n v="7"/>
    <n v="68806"/>
    <x v="1"/>
    <n v="3"/>
    <n v="4"/>
    <n v="49"/>
    <n v="3"/>
    <d v="2016-10-05T00:00:00"/>
    <s v="No"/>
    <x v="0"/>
    <n v="1"/>
    <x v="1"/>
    <x v="0"/>
    <x v="1"/>
  </r>
  <r>
    <s v="REL03080"/>
    <s v="Female"/>
    <n v="29"/>
    <s v="BTech"/>
    <s v="Married"/>
    <x v="6"/>
    <s v="Customer Service Rep"/>
    <x v="1"/>
    <x v="2"/>
    <s v="West"/>
    <n v="15"/>
    <n v="71274"/>
    <x v="2"/>
    <n v="3"/>
    <n v="1"/>
    <n v="60"/>
    <n v="3"/>
    <d v="2009-01-02T00:00:00"/>
    <s v="No"/>
    <x v="0"/>
    <n v="2"/>
    <x v="2"/>
    <x v="0"/>
    <x v="1"/>
  </r>
  <r>
    <s v="REL03081"/>
    <s v="Male"/>
    <n v="42"/>
    <s v="BTech"/>
    <s v="Single"/>
    <x v="6"/>
    <s v="Sales Executive"/>
    <x v="0"/>
    <x v="4"/>
    <s v="North"/>
    <n v="2"/>
    <n v="46257"/>
    <x v="2"/>
    <n v="3"/>
    <n v="4"/>
    <n v="74"/>
    <n v="3"/>
    <d v="2021-02-07T00:00:00"/>
    <s v="No"/>
    <x v="2"/>
    <n v="2"/>
    <x v="3"/>
    <x v="0"/>
    <x v="1"/>
  </r>
  <r>
    <s v="REL03082"/>
    <s v="Male"/>
    <n v="25"/>
    <s v="HSC"/>
    <s v="Divorced"/>
    <x v="4"/>
    <s v="Logistics Coordinator"/>
    <x v="2"/>
    <x v="3"/>
    <s v="West"/>
    <n v="5"/>
    <n v="65000"/>
    <x v="1"/>
    <n v="4"/>
    <n v="4"/>
    <n v="10"/>
    <n v="3"/>
    <d v="2018-07-04T00:00:00"/>
    <s v="No"/>
    <x v="0"/>
    <n v="1"/>
    <x v="0"/>
    <x v="0"/>
    <x v="1"/>
  </r>
  <r>
    <s v="REL03083"/>
    <s v="Female"/>
    <n v="43"/>
    <s v="Graduate"/>
    <s v="Divorced"/>
    <x v="3"/>
    <s v="Operations Head"/>
    <x v="1"/>
    <x v="5"/>
    <s v="South"/>
    <n v="1"/>
    <n v="90349"/>
    <x v="2"/>
    <n v="2"/>
    <n v="1"/>
    <n v="30"/>
    <n v="1"/>
    <d v="2022-10-21T00:00:00"/>
    <s v="No"/>
    <x v="1"/>
    <n v="2"/>
    <x v="3"/>
    <x v="0"/>
    <x v="1"/>
  </r>
  <r>
    <s v="REL03084"/>
    <s v="Female"/>
    <n v="38"/>
    <s v="MBA"/>
    <s v="Single"/>
    <x v="3"/>
    <s v="Marketing Executive"/>
    <x v="4"/>
    <x v="7"/>
    <s v="East"/>
    <n v="13"/>
    <n v="84385"/>
    <x v="0"/>
    <n v="4"/>
    <n v="4"/>
    <n v="41"/>
    <n v="2"/>
    <d v="2010-10-07T00:00:00"/>
    <s v="Yes"/>
    <x v="1"/>
    <n v="3"/>
    <x v="2"/>
    <x v="1"/>
    <x v="0"/>
  </r>
  <r>
    <s v="REL03085"/>
    <s v="Male"/>
    <n v="43"/>
    <s v="HSC"/>
    <s v="Married"/>
    <x v="4"/>
    <s v="Finance Analyst"/>
    <x v="1"/>
    <x v="0"/>
    <s v="North"/>
    <n v="5"/>
    <n v="63001"/>
    <x v="1"/>
    <n v="2"/>
    <n v="3"/>
    <n v="38"/>
    <n v="1"/>
    <d v="2018-11-14T00:00:00"/>
    <s v="No"/>
    <x v="0"/>
    <n v="1"/>
    <x v="0"/>
    <x v="0"/>
    <x v="1"/>
  </r>
  <r>
    <s v="REL03086"/>
    <s v="Female"/>
    <n v="31"/>
    <s v="Post Graduate"/>
    <s v="Divorced"/>
    <x v="4"/>
    <s v="Customer Service Rep"/>
    <x v="1"/>
    <x v="7"/>
    <s v="East"/>
    <n v="7"/>
    <n v="46302"/>
    <x v="3"/>
    <n v="4"/>
    <n v="3"/>
    <n v="20"/>
    <n v="1"/>
    <d v="2016-02-07T00:00:00"/>
    <s v="No"/>
    <x v="2"/>
    <n v="4"/>
    <x v="1"/>
    <x v="2"/>
    <x v="1"/>
  </r>
  <r>
    <s v="REL03087"/>
    <s v="Male"/>
    <n v="29"/>
    <s v="Graduate"/>
    <s v="Married"/>
    <x v="0"/>
    <s v="Operations Head"/>
    <x v="4"/>
    <x v="3"/>
    <s v="West"/>
    <n v="8"/>
    <n v="119847"/>
    <x v="3"/>
    <n v="4"/>
    <n v="2"/>
    <n v="36"/>
    <n v="3"/>
    <d v="2015-08-29T00:00:00"/>
    <s v="No"/>
    <x v="1"/>
    <n v="4"/>
    <x v="1"/>
    <x v="2"/>
    <x v="0"/>
  </r>
  <r>
    <s v="REL03088"/>
    <s v="Female"/>
    <n v="28"/>
    <s v="BTech"/>
    <s v="Divorced"/>
    <x v="2"/>
    <s v="Store Manager"/>
    <x v="4"/>
    <x v="3"/>
    <s v="West"/>
    <n v="11"/>
    <n v="106235"/>
    <x v="2"/>
    <n v="4"/>
    <n v="3"/>
    <n v="17"/>
    <n v="0"/>
    <d v="2012-02-29T00:00:00"/>
    <s v="No"/>
    <x v="1"/>
    <n v="2"/>
    <x v="2"/>
    <x v="0"/>
    <x v="1"/>
  </r>
  <r>
    <s v="REL03089"/>
    <s v="Male"/>
    <n v="27"/>
    <s v="Graduate"/>
    <s v="Divorced"/>
    <x v="7"/>
    <s v="Operations Head"/>
    <x v="0"/>
    <x v="7"/>
    <s v="East"/>
    <n v="5"/>
    <n v="106718"/>
    <x v="0"/>
    <n v="3"/>
    <n v="2"/>
    <n v="12"/>
    <n v="2"/>
    <d v="2018-08-16T00:00:00"/>
    <s v="No"/>
    <x v="1"/>
    <n v="3"/>
    <x v="0"/>
    <x v="0"/>
    <x v="0"/>
  </r>
  <r>
    <s v="REL03090"/>
    <s v="Female"/>
    <n v="33"/>
    <s v="HSC"/>
    <s v="Married"/>
    <x v="3"/>
    <s v="Operations Head"/>
    <x v="1"/>
    <x v="0"/>
    <s v="North"/>
    <n v="6"/>
    <n v="115686"/>
    <x v="1"/>
    <n v="1"/>
    <n v="3"/>
    <n v="49"/>
    <n v="0"/>
    <d v="2017-03-28T00:00:00"/>
    <s v="Yes"/>
    <x v="1"/>
    <n v="1"/>
    <x v="1"/>
    <x v="1"/>
    <x v="2"/>
  </r>
  <r>
    <s v="REL03091"/>
    <s v="Female"/>
    <n v="22"/>
    <s v="MBA"/>
    <s v="Divorced"/>
    <x v="2"/>
    <s v="Marketing Executive"/>
    <x v="1"/>
    <x v="7"/>
    <s v="East"/>
    <n v="10"/>
    <n v="75007"/>
    <x v="3"/>
    <n v="4"/>
    <n v="1"/>
    <n v="61"/>
    <n v="0"/>
    <d v="2013-05-19T00:00:00"/>
    <s v="No"/>
    <x v="0"/>
    <n v="4"/>
    <x v="1"/>
    <x v="2"/>
    <x v="1"/>
  </r>
  <r>
    <s v="REL03092"/>
    <s v="Female"/>
    <n v="35"/>
    <s v="MBA"/>
    <s v="Divorced"/>
    <x v="4"/>
    <s v="Customer Service Rep"/>
    <x v="4"/>
    <x v="2"/>
    <s v="West"/>
    <n v="13"/>
    <n v="54295"/>
    <x v="0"/>
    <n v="3"/>
    <n v="3"/>
    <n v="56"/>
    <n v="1"/>
    <d v="2010-04-02T00:00:00"/>
    <s v="No"/>
    <x v="0"/>
    <n v="3"/>
    <x v="2"/>
    <x v="0"/>
    <x v="0"/>
  </r>
  <r>
    <s v="REL03093"/>
    <s v="Male"/>
    <n v="45"/>
    <s v="MBA"/>
    <s v="Divorced"/>
    <x v="7"/>
    <s v="HR Manager"/>
    <x v="4"/>
    <x v="9"/>
    <s v="West"/>
    <n v="10"/>
    <n v="89471"/>
    <x v="1"/>
    <n v="3"/>
    <n v="1"/>
    <n v="65"/>
    <n v="0"/>
    <d v="2013-02-01T00:00:00"/>
    <s v="No"/>
    <x v="1"/>
    <n v="1"/>
    <x v="1"/>
    <x v="0"/>
    <x v="2"/>
  </r>
  <r>
    <s v="REL03094"/>
    <s v="Female"/>
    <n v="26"/>
    <s v="Post Graduate"/>
    <s v="Single"/>
    <x v="3"/>
    <s v="Store Manager"/>
    <x v="3"/>
    <x v="1"/>
    <s v="North"/>
    <n v="2"/>
    <n v="79352"/>
    <x v="1"/>
    <n v="3"/>
    <n v="3"/>
    <n v="59"/>
    <n v="0"/>
    <d v="2021-09-08T00:00:00"/>
    <s v="No"/>
    <x v="0"/>
    <n v="1"/>
    <x v="3"/>
    <x v="3"/>
    <x v="1"/>
  </r>
  <r>
    <s v="REL03095"/>
    <s v="Female"/>
    <n v="34"/>
    <s v="Post Graduate"/>
    <s v="Married"/>
    <x v="7"/>
    <s v="Operations Head"/>
    <x v="2"/>
    <x v="7"/>
    <s v="East"/>
    <n v="10"/>
    <n v="111379"/>
    <x v="2"/>
    <n v="3"/>
    <n v="3"/>
    <n v="20"/>
    <n v="1"/>
    <d v="2013-07-10T00:00:00"/>
    <s v="No"/>
    <x v="1"/>
    <n v="2"/>
    <x v="1"/>
    <x v="0"/>
    <x v="1"/>
  </r>
  <r>
    <s v="REL03096"/>
    <s v="Male"/>
    <n v="29"/>
    <s v="Post Graduate"/>
    <s v="Single"/>
    <x v="7"/>
    <s v="Store Manager"/>
    <x v="1"/>
    <x v="1"/>
    <s v="North"/>
    <n v="14"/>
    <n v="106702"/>
    <x v="1"/>
    <n v="4"/>
    <n v="3"/>
    <n v="30"/>
    <n v="1"/>
    <d v="2009-11-20T00:00:00"/>
    <s v="No"/>
    <x v="1"/>
    <n v="1"/>
    <x v="2"/>
    <x v="0"/>
    <x v="2"/>
  </r>
  <r>
    <s v="REL03097"/>
    <s v="Female"/>
    <n v="28"/>
    <s v="Post Graduate"/>
    <s v="Married"/>
    <x v="2"/>
    <s v="Operations Head"/>
    <x v="0"/>
    <x v="5"/>
    <s v="South"/>
    <n v="3"/>
    <n v="93671"/>
    <x v="0"/>
    <n v="4"/>
    <n v="4"/>
    <n v="40"/>
    <n v="1"/>
    <d v="2020-12-26T00:00:00"/>
    <s v="No"/>
    <x v="1"/>
    <n v="3"/>
    <x v="0"/>
    <x v="0"/>
    <x v="0"/>
  </r>
  <r>
    <s v="REL03098"/>
    <s v="Male"/>
    <n v="54"/>
    <s v="Post Graduate"/>
    <s v="Single"/>
    <x v="7"/>
    <s v="Sales Executive"/>
    <x v="1"/>
    <x v="1"/>
    <s v="North"/>
    <n v="14"/>
    <n v="64290"/>
    <x v="3"/>
    <n v="1"/>
    <n v="3"/>
    <n v="46"/>
    <n v="2"/>
    <d v="2009-10-08T00:00:00"/>
    <s v="No"/>
    <x v="0"/>
    <n v="4"/>
    <x v="2"/>
    <x v="2"/>
    <x v="1"/>
  </r>
  <r>
    <s v="REL03099"/>
    <s v="Female"/>
    <n v="29"/>
    <s v="Graduate"/>
    <s v="Married"/>
    <x v="5"/>
    <s v="Sales Executive"/>
    <x v="4"/>
    <x v="5"/>
    <s v="South"/>
    <n v="9"/>
    <n v="61611"/>
    <x v="1"/>
    <n v="2"/>
    <n v="3"/>
    <n v="12"/>
    <n v="0"/>
    <d v="2014-07-07T00:00:00"/>
    <s v="No"/>
    <x v="0"/>
    <n v="1"/>
    <x v="1"/>
    <x v="0"/>
    <x v="1"/>
  </r>
  <r>
    <s v="REL03100"/>
    <s v="Male"/>
    <n v="36"/>
    <s v="Graduate"/>
    <s v="Single"/>
    <x v="4"/>
    <s v="Sales Executive"/>
    <x v="2"/>
    <x v="6"/>
    <s v="South"/>
    <n v="5"/>
    <n v="56336"/>
    <x v="0"/>
    <n v="4"/>
    <n v="4"/>
    <n v="45"/>
    <n v="1"/>
    <d v="2018-01-06T00:00:00"/>
    <s v="Yes"/>
    <x v="0"/>
    <n v="3"/>
    <x v="0"/>
    <x v="1"/>
    <x v="0"/>
  </r>
  <r>
    <s v="REL03101"/>
    <s v="Female"/>
    <n v="27"/>
    <s v="MBA"/>
    <s v="Single"/>
    <x v="0"/>
    <s v="Customer Service Rep"/>
    <x v="2"/>
    <x v="8"/>
    <s v="South"/>
    <n v="14"/>
    <n v="68499"/>
    <x v="3"/>
    <n v="2"/>
    <n v="2"/>
    <n v="54"/>
    <n v="0"/>
    <d v="2009-10-09T00:00:00"/>
    <s v="No"/>
    <x v="0"/>
    <n v="4"/>
    <x v="2"/>
    <x v="2"/>
    <x v="1"/>
  </r>
  <r>
    <s v="REL03102"/>
    <s v="Female"/>
    <n v="31"/>
    <s v="BTech"/>
    <s v="Divorced"/>
    <x v="6"/>
    <s v="HR Manager"/>
    <x v="1"/>
    <x v="5"/>
    <s v="South"/>
    <n v="13"/>
    <n v="92536"/>
    <x v="0"/>
    <n v="4"/>
    <n v="4"/>
    <n v="80"/>
    <n v="2"/>
    <d v="2010-02-17T00:00:00"/>
    <s v="Yes"/>
    <x v="1"/>
    <n v="3"/>
    <x v="2"/>
    <x v="1"/>
    <x v="0"/>
  </r>
  <r>
    <s v="REL03103"/>
    <s v="Male"/>
    <n v="48"/>
    <s v="Post Graduate"/>
    <s v="Single"/>
    <x v="6"/>
    <s v="Logistics Coordinator"/>
    <x v="2"/>
    <x v="8"/>
    <s v="South"/>
    <n v="2"/>
    <n v="53800"/>
    <x v="3"/>
    <n v="2"/>
    <n v="1"/>
    <n v="26"/>
    <n v="2"/>
    <d v="2021-02-11T00:00:00"/>
    <s v="Yes"/>
    <x v="0"/>
    <n v="4"/>
    <x v="3"/>
    <x v="1"/>
    <x v="1"/>
  </r>
  <r>
    <s v="REL03104"/>
    <s v="Male"/>
    <n v="29"/>
    <s v="Post Graduate"/>
    <s v="Divorced"/>
    <x v="7"/>
    <s v="Customer Service Rep"/>
    <x v="3"/>
    <x v="3"/>
    <s v="West"/>
    <n v="5"/>
    <n v="41982"/>
    <x v="1"/>
    <n v="3"/>
    <n v="1"/>
    <n v="22"/>
    <n v="0"/>
    <d v="2018-03-14T00:00:00"/>
    <s v="Yes"/>
    <x v="2"/>
    <n v="1"/>
    <x v="0"/>
    <x v="1"/>
    <x v="1"/>
  </r>
  <r>
    <s v="REL03105"/>
    <s v="Male"/>
    <n v="55"/>
    <s v="HSC"/>
    <s v="Divorced"/>
    <x v="4"/>
    <s v="Customer Service Rep"/>
    <x v="0"/>
    <x v="5"/>
    <s v="South"/>
    <n v="9"/>
    <n v="43886"/>
    <x v="1"/>
    <n v="3"/>
    <n v="3"/>
    <n v="44"/>
    <n v="2"/>
    <d v="2014-03-21T00:00:00"/>
    <s v="Yes"/>
    <x v="2"/>
    <n v="1"/>
    <x v="1"/>
    <x v="1"/>
    <x v="1"/>
  </r>
  <r>
    <s v="REL03106"/>
    <s v="Female"/>
    <n v="38"/>
    <s v="HSC"/>
    <s v="Single"/>
    <x v="7"/>
    <s v="Finance Analyst"/>
    <x v="2"/>
    <x v="4"/>
    <s v="North"/>
    <n v="5"/>
    <n v="64807"/>
    <x v="2"/>
    <n v="1"/>
    <n v="4"/>
    <n v="56"/>
    <n v="3"/>
    <d v="2018-08-08T00:00:00"/>
    <s v="Yes"/>
    <x v="0"/>
    <n v="2"/>
    <x v="0"/>
    <x v="1"/>
    <x v="1"/>
  </r>
  <r>
    <s v="REL03107"/>
    <s v="Female"/>
    <n v="38"/>
    <s v="HSC"/>
    <s v="Married"/>
    <x v="4"/>
    <s v="Logistics Coordinator"/>
    <x v="1"/>
    <x v="5"/>
    <s v="South"/>
    <n v="5"/>
    <n v="55668"/>
    <x v="3"/>
    <n v="3"/>
    <n v="4"/>
    <n v="49"/>
    <n v="0"/>
    <d v="2018-08-10T00:00:00"/>
    <s v="Yes"/>
    <x v="0"/>
    <n v="4"/>
    <x v="0"/>
    <x v="1"/>
    <x v="1"/>
  </r>
  <r>
    <s v="REL03108"/>
    <s v="Male"/>
    <n v="36"/>
    <s v="Graduate"/>
    <s v="Married"/>
    <x v="5"/>
    <s v="Logistics Coordinator"/>
    <x v="2"/>
    <x v="8"/>
    <s v="South"/>
    <n v="3"/>
    <n v="50764"/>
    <x v="2"/>
    <n v="2"/>
    <n v="1"/>
    <n v="70"/>
    <n v="2"/>
    <d v="2020-07-23T00:00:00"/>
    <s v="No"/>
    <x v="0"/>
    <n v="2"/>
    <x v="0"/>
    <x v="0"/>
    <x v="1"/>
  </r>
  <r>
    <s v="REL03109"/>
    <s v="Female"/>
    <n v="38"/>
    <s v="BTech"/>
    <s v="Single"/>
    <x v="2"/>
    <s v="Logistics Coordinator"/>
    <x v="2"/>
    <x v="6"/>
    <s v="South"/>
    <n v="4"/>
    <n v="62967"/>
    <x v="3"/>
    <n v="2"/>
    <n v="4"/>
    <n v="72"/>
    <n v="3"/>
    <d v="2019-04-22T00:00:00"/>
    <s v="No"/>
    <x v="0"/>
    <n v="4"/>
    <x v="0"/>
    <x v="2"/>
    <x v="1"/>
  </r>
  <r>
    <s v="REL03110"/>
    <s v="Male"/>
    <n v="42"/>
    <s v="Graduate"/>
    <s v="Divorced"/>
    <x v="7"/>
    <s v="HR Manager"/>
    <x v="4"/>
    <x v="6"/>
    <s v="South"/>
    <n v="5"/>
    <n v="80348"/>
    <x v="2"/>
    <n v="2"/>
    <n v="2"/>
    <n v="45"/>
    <n v="0"/>
    <d v="2018-11-04T00:00:00"/>
    <s v="No"/>
    <x v="1"/>
    <n v="2"/>
    <x v="0"/>
    <x v="0"/>
    <x v="1"/>
  </r>
  <r>
    <s v="REL03111"/>
    <s v="Female"/>
    <n v="41"/>
    <s v="Graduate"/>
    <s v="Divorced"/>
    <x v="4"/>
    <s v="Marketing Executive"/>
    <x v="3"/>
    <x v="6"/>
    <s v="South"/>
    <n v="3"/>
    <n v="60919"/>
    <x v="0"/>
    <n v="4"/>
    <n v="3"/>
    <n v="37"/>
    <n v="3"/>
    <d v="2020-12-10T00:00:00"/>
    <s v="No"/>
    <x v="0"/>
    <n v="3"/>
    <x v="0"/>
    <x v="0"/>
    <x v="0"/>
  </r>
  <r>
    <s v="REL03112"/>
    <s v="Female"/>
    <n v="51"/>
    <s v="Post Graduate"/>
    <s v="Single"/>
    <x v="0"/>
    <s v="Marketing Executive"/>
    <x v="3"/>
    <x v="3"/>
    <s v="West"/>
    <n v="3"/>
    <n v="65521"/>
    <x v="0"/>
    <n v="3"/>
    <n v="2"/>
    <n v="22"/>
    <n v="0"/>
    <d v="2020-03-22T00:00:00"/>
    <s v="No"/>
    <x v="0"/>
    <n v="3"/>
    <x v="0"/>
    <x v="0"/>
    <x v="0"/>
  </r>
  <r>
    <s v="REL03113"/>
    <s v="Male"/>
    <n v="48"/>
    <s v="Post Graduate"/>
    <s v="Single"/>
    <x v="5"/>
    <s v="Finance Analyst"/>
    <x v="1"/>
    <x v="1"/>
    <s v="North"/>
    <n v="11"/>
    <n v="83983"/>
    <x v="0"/>
    <n v="1"/>
    <n v="3"/>
    <n v="57"/>
    <n v="0"/>
    <d v="2012-01-20T00:00:00"/>
    <s v="No"/>
    <x v="1"/>
    <n v="3"/>
    <x v="2"/>
    <x v="0"/>
    <x v="0"/>
  </r>
  <r>
    <s v="REL03114"/>
    <s v="Female"/>
    <n v="33"/>
    <s v="BTech"/>
    <s v="Single"/>
    <x v="5"/>
    <s v="Sales Executive"/>
    <x v="1"/>
    <x v="3"/>
    <s v="West"/>
    <n v="9"/>
    <n v="51267"/>
    <x v="3"/>
    <n v="4"/>
    <n v="2"/>
    <n v="46"/>
    <n v="1"/>
    <d v="2014-02-20T00:00:00"/>
    <s v="No"/>
    <x v="0"/>
    <n v="4"/>
    <x v="1"/>
    <x v="2"/>
    <x v="1"/>
  </r>
  <r>
    <s v="REL03115"/>
    <s v="Male"/>
    <n v="34"/>
    <s v="HSC"/>
    <s v="Divorced"/>
    <x v="6"/>
    <s v="Customer Service Rep"/>
    <x v="0"/>
    <x v="3"/>
    <s v="West"/>
    <n v="4"/>
    <n v="44121"/>
    <x v="0"/>
    <n v="4"/>
    <n v="1"/>
    <n v="66"/>
    <n v="1"/>
    <d v="2019-07-28T00:00:00"/>
    <s v="No"/>
    <x v="2"/>
    <n v="3"/>
    <x v="0"/>
    <x v="0"/>
    <x v="1"/>
  </r>
  <r>
    <s v="REL03116"/>
    <s v="Male"/>
    <n v="23"/>
    <s v="BTech"/>
    <s v="Divorced"/>
    <x v="4"/>
    <s v="Operations Head"/>
    <x v="4"/>
    <x v="3"/>
    <s v="West"/>
    <n v="3"/>
    <n v="95860"/>
    <x v="0"/>
    <n v="1"/>
    <n v="4"/>
    <n v="38"/>
    <n v="0"/>
    <d v="2020-09-23T00:00:00"/>
    <s v="No"/>
    <x v="1"/>
    <n v="3"/>
    <x v="0"/>
    <x v="0"/>
    <x v="0"/>
  </r>
  <r>
    <s v="REL03117"/>
    <s v="Female"/>
    <n v="32"/>
    <s v="HSC"/>
    <s v="Married"/>
    <x v="1"/>
    <s v="Marketing Executive"/>
    <x v="2"/>
    <x v="2"/>
    <s v="West"/>
    <n v="5"/>
    <n v="50124"/>
    <x v="0"/>
    <n v="4"/>
    <n v="2"/>
    <n v="13"/>
    <n v="3"/>
    <d v="2018-02-01T00:00:00"/>
    <s v="No"/>
    <x v="0"/>
    <n v="3"/>
    <x v="0"/>
    <x v="0"/>
    <x v="0"/>
  </r>
  <r>
    <s v="REL03118"/>
    <s v="Male"/>
    <n v="25"/>
    <s v="Post Graduate"/>
    <s v="Married"/>
    <x v="3"/>
    <s v="Finance Analyst"/>
    <x v="4"/>
    <x v="0"/>
    <s v="North"/>
    <n v="6"/>
    <n v="79684"/>
    <x v="0"/>
    <n v="1"/>
    <n v="2"/>
    <n v="70"/>
    <n v="1"/>
    <d v="2017-05-26T00:00:00"/>
    <s v="No"/>
    <x v="0"/>
    <n v="3"/>
    <x v="1"/>
    <x v="0"/>
    <x v="0"/>
  </r>
  <r>
    <s v="REL03119"/>
    <s v="Male"/>
    <n v="44"/>
    <s v="Post Graduate"/>
    <s v="Divorced"/>
    <x v="4"/>
    <s v="Store Manager"/>
    <x v="1"/>
    <x v="8"/>
    <s v="South"/>
    <n v="3"/>
    <n v="95439"/>
    <x v="2"/>
    <n v="2"/>
    <n v="1"/>
    <n v="21"/>
    <n v="3"/>
    <d v="2020-03-15T00:00:00"/>
    <s v="No"/>
    <x v="1"/>
    <n v="2"/>
    <x v="0"/>
    <x v="0"/>
    <x v="1"/>
  </r>
  <r>
    <s v="REL03120"/>
    <s v="Male"/>
    <n v="45"/>
    <s v="HSC"/>
    <s v="Married"/>
    <x v="5"/>
    <s v="Customer Service Rep"/>
    <x v="4"/>
    <x v="9"/>
    <s v="West"/>
    <n v="7"/>
    <n v="40846"/>
    <x v="1"/>
    <n v="1"/>
    <n v="2"/>
    <n v="69"/>
    <n v="3"/>
    <d v="2016-12-09T00:00:00"/>
    <s v="No"/>
    <x v="2"/>
    <n v="1"/>
    <x v="1"/>
    <x v="0"/>
    <x v="1"/>
  </r>
  <r>
    <s v="REL03121"/>
    <s v="Female"/>
    <n v="45"/>
    <s v="Graduate"/>
    <s v="Single"/>
    <x v="0"/>
    <s v="Sales Executive"/>
    <x v="4"/>
    <x v="2"/>
    <s v="West"/>
    <n v="4"/>
    <n v="50745"/>
    <x v="0"/>
    <n v="1"/>
    <n v="1"/>
    <n v="37"/>
    <n v="3"/>
    <d v="2019-07-13T00:00:00"/>
    <s v="No"/>
    <x v="0"/>
    <n v="3"/>
    <x v="0"/>
    <x v="0"/>
    <x v="0"/>
  </r>
  <r>
    <s v="REL03122"/>
    <s v="Female"/>
    <n v="27"/>
    <s v="BTech"/>
    <s v="Married"/>
    <x v="5"/>
    <s v="Finance Analyst"/>
    <x v="3"/>
    <x v="2"/>
    <s v="West"/>
    <n v="4"/>
    <n v="65758"/>
    <x v="2"/>
    <n v="3"/>
    <n v="1"/>
    <n v="59"/>
    <n v="1"/>
    <d v="2019-08-17T00:00:00"/>
    <s v="No"/>
    <x v="0"/>
    <n v="2"/>
    <x v="0"/>
    <x v="0"/>
    <x v="1"/>
  </r>
  <r>
    <s v="REL03123"/>
    <s v="Female"/>
    <n v="34"/>
    <s v="MBA"/>
    <s v="Single"/>
    <x v="3"/>
    <s v="Sales Executive"/>
    <x v="4"/>
    <x v="3"/>
    <s v="West"/>
    <n v="10"/>
    <n v="67562"/>
    <x v="0"/>
    <n v="3"/>
    <n v="1"/>
    <n v="21"/>
    <n v="1"/>
    <d v="2013-09-27T00:00:00"/>
    <s v="No"/>
    <x v="0"/>
    <n v="3"/>
    <x v="1"/>
    <x v="0"/>
    <x v="0"/>
  </r>
  <r>
    <s v="REL03124"/>
    <s v="Female"/>
    <n v="23"/>
    <s v="HSC"/>
    <s v="Single"/>
    <x v="0"/>
    <s v="HR Manager"/>
    <x v="2"/>
    <x v="4"/>
    <s v="North"/>
    <n v="1"/>
    <n v="79473"/>
    <x v="3"/>
    <n v="4"/>
    <n v="4"/>
    <n v="47"/>
    <n v="1"/>
    <d v="2022-09-04T00:00:00"/>
    <s v="No"/>
    <x v="0"/>
    <n v="4"/>
    <x v="3"/>
    <x v="2"/>
    <x v="1"/>
  </r>
  <r>
    <s v="REL03125"/>
    <s v="Female"/>
    <n v="53"/>
    <s v="MBA"/>
    <s v="Single"/>
    <x v="3"/>
    <s v="Operations Head"/>
    <x v="2"/>
    <x v="7"/>
    <s v="East"/>
    <n v="6"/>
    <n v="109888"/>
    <x v="0"/>
    <n v="1"/>
    <n v="4"/>
    <n v="21"/>
    <n v="2"/>
    <d v="2017-01-07T00:00:00"/>
    <s v="No"/>
    <x v="1"/>
    <n v="3"/>
    <x v="1"/>
    <x v="0"/>
    <x v="0"/>
  </r>
  <r>
    <s v="REL03126"/>
    <s v="Female"/>
    <n v="32"/>
    <s v="Post Graduate"/>
    <s v="Married"/>
    <x v="5"/>
    <s v="Logistics Coordinator"/>
    <x v="1"/>
    <x v="7"/>
    <s v="East"/>
    <n v="4"/>
    <n v="54086"/>
    <x v="3"/>
    <n v="2"/>
    <n v="3"/>
    <n v="65"/>
    <n v="3"/>
    <d v="2019-07-05T00:00:00"/>
    <s v="No"/>
    <x v="0"/>
    <n v="4"/>
    <x v="0"/>
    <x v="2"/>
    <x v="1"/>
  </r>
  <r>
    <s v="REL03127"/>
    <s v="Female"/>
    <n v="50"/>
    <s v="BTech"/>
    <s v="Single"/>
    <x v="6"/>
    <s v="Finance Analyst"/>
    <x v="2"/>
    <x v="9"/>
    <s v="West"/>
    <n v="7"/>
    <n v="76774"/>
    <x v="0"/>
    <n v="3"/>
    <n v="3"/>
    <n v="52"/>
    <n v="1"/>
    <d v="2016-04-25T00:00:00"/>
    <s v="Yes"/>
    <x v="0"/>
    <n v="3"/>
    <x v="1"/>
    <x v="1"/>
    <x v="0"/>
  </r>
  <r>
    <s v="REL03128"/>
    <s v="Female"/>
    <n v="50"/>
    <s v="BTech"/>
    <s v="Single"/>
    <x v="4"/>
    <s v="Logistics Coordinator"/>
    <x v="2"/>
    <x v="6"/>
    <s v="South"/>
    <n v="6"/>
    <n v="55543"/>
    <x v="3"/>
    <n v="4"/>
    <n v="3"/>
    <n v="39"/>
    <n v="3"/>
    <d v="2017-06-29T00:00:00"/>
    <s v="No"/>
    <x v="0"/>
    <n v="4"/>
    <x v="1"/>
    <x v="2"/>
    <x v="1"/>
  </r>
  <r>
    <s v="REL03129"/>
    <s v="Female"/>
    <n v="24"/>
    <s v="Graduate"/>
    <s v="Married"/>
    <x v="6"/>
    <s v="Finance Analyst"/>
    <x v="4"/>
    <x v="0"/>
    <s v="North"/>
    <n v="5"/>
    <n v="67278"/>
    <x v="0"/>
    <n v="4"/>
    <n v="3"/>
    <n v="40"/>
    <n v="2"/>
    <d v="2018-11-08T00:00:00"/>
    <s v="Yes"/>
    <x v="0"/>
    <n v="3"/>
    <x v="0"/>
    <x v="1"/>
    <x v="0"/>
  </r>
  <r>
    <s v="REL03130"/>
    <s v="Female"/>
    <n v="23"/>
    <s v="HSC"/>
    <s v="Single"/>
    <x v="2"/>
    <s v="HR Manager"/>
    <x v="4"/>
    <x v="6"/>
    <s v="South"/>
    <n v="5"/>
    <n v="83358"/>
    <x v="2"/>
    <n v="4"/>
    <n v="1"/>
    <n v="77"/>
    <n v="3"/>
    <d v="2018-11-16T00:00:00"/>
    <s v="Yes"/>
    <x v="1"/>
    <n v="2"/>
    <x v="0"/>
    <x v="1"/>
    <x v="1"/>
  </r>
  <r>
    <s v="REL03131"/>
    <s v="Male"/>
    <n v="49"/>
    <s v="HSC"/>
    <s v="Married"/>
    <x v="0"/>
    <s v="Customer Service Rep"/>
    <x v="1"/>
    <x v="1"/>
    <s v="North"/>
    <n v="6"/>
    <n v="48543"/>
    <x v="0"/>
    <n v="3"/>
    <n v="4"/>
    <n v="57"/>
    <n v="3"/>
    <d v="2017-02-06T00:00:00"/>
    <s v="No"/>
    <x v="2"/>
    <n v="3"/>
    <x v="1"/>
    <x v="0"/>
    <x v="1"/>
  </r>
  <r>
    <s v="REL03132"/>
    <s v="Male"/>
    <n v="41"/>
    <s v="Post Graduate"/>
    <s v="Married"/>
    <x v="7"/>
    <s v="Operations Head"/>
    <x v="0"/>
    <x v="4"/>
    <s v="North"/>
    <n v="6"/>
    <n v="102309"/>
    <x v="0"/>
    <n v="2"/>
    <n v="4"/>
    <n v="51"/>
    <n v="3"/>
    <d v="2017-02-05T00:00:00"/>
    <s v="No"/>
    <x v="1"/>
    <n v="3"/>
    <x v="1"/>
    <x v="0"/>
    <x v="0"/>
  </r>
  <r>
    <s v="REL03133"/>
    <s v="Female"/>
    <n v="52"/>
    <s v="Post Graduate"/>
    <s v="Married"/>
    <x v="4"/>
    <s v="Customer Service Rep"/>
    <x v="1"/>
    <x v="1"/>
    <s v="North"/>
    <n v="15"/>
    <n v="57022"/>
    <x v="1"/>
    <n v="2"/>
    <n v="1"/>
    <n v="75"/>
    <n v="0"/>
    <d v="2008-02-11T00:00:00"/>
    <s v="No"/>
    <x v="0"/>
    <n v="1"/>
    <x v="2"/>
    <x v="0"/>
    <x v="1"/>
  </r>
  <r>
    <s v="REL03134"/>
    <s v="Male"/>
    <n v="32"/>
    <s v="HSC"/>
    <s v="Married"/>
    <x v="0"/>
    <s v="Operations Head"/>
    <x v="1"/>
    <x v="7"/>
    <s v="East"/>
    <n v="8"/>
    <n v="113226"/>
    <x v="1"/>
    <n v="4"/>
    <n v="1"/>
    <n v="29"/>
    <n v="3"/>
    <d v="2015-03-01T00:00:00"/>
    <s v="Yes"/>
    <x v="1"/>
    <n v="1"/>
    <x v="1"/>
    <x v="1"/>
    <x v="2"/>
  </r>
  <r>
    <s v="REL03135"/>
    <s v="Female"/>
    <n v="46"/>
    <s v="Post Graduate"/>
    <s v="Married"/>
    <x v="3"/>
    <s v="Sales Executive"/>
    <x v="2"/>
    <x v="7"/>
    <s v="East"/>
    <n v="15"/>
    <n v="60664"/>
    <x v="1"/>
    <n v="1"/>
    <n v="4"/>
    <n v="54"/>
    <n v="3"/>
    <d v="2008-10-21T00:00:00"/>
    <s v="No"/>
    <x v="0"/>
    <n v="1"/>
    <x v="2"/>
    <x v="0"/>
    <x v="1"/>
  </r>
  <r>
    <s v="REL03136"/>
    <s v="Male"/>
    <n v="26"/>
    <s v="HSC"/>
    <s v="Married"/>
    <x v="5"/>
    <s v="Marketing Executive"/>
    <x v="2"/>
    <x v="3"/>
    <s v="West"/>
    <n v="1"/>
    <n v="54329"/>
    <x v="0"/>
    <n v="4"/>
    <n v="3"/>
    <n v="23"/>
    <n v="3"/>
    <d v="2022-09-10T00:00:00"/>
    <s v="Yes"/>
    <x v="0"/>
    <n v="3"/>
    <x v="3"/>
    <x v="1"/>
    <x v="0"/>
  </r>
  <r>
    <s v="REL03137"/>
    <s v="Male"/>
    <n v="46"/>
    <s v="BTech"/>
    <s v="Divorced"/>
    <x v="4"/>
    <s v="Logistics Coordinator"/>
    <x v="4"/>
    <x v="6"/>
    <s v="South"/>
    <n v="4"/>
    <n v="59156"/>
    <x v="3"/>
    <n v="2"/>
    <n v="2"/>
    <n v="77"/>
    <n v="2"/>
    <d v="2019-04-06T00:00:00"/>
    <s v="No"/>
    <x v="0"/>
    <n v="4"/>
    <x v="0"/>
    <x v="2"/>
    <x v="1"/>
  </r>
  <r>
    <s v="REL03138"/>
    <s v="Male"/>
    <n v="51"/>
    <s v="Graduate"/>
    <s v="Divorced"/>
    <x v="2"/>
    <s v="Marketing Executive"/>
    <x v="4"/>
    <x v="3"/>
    <s v="West"/>
    <n v="2"/>
    <n v="45109"/>
    <x v="1"/>
    <n v="3"/>
    <n v="4"/>
    <n v="68"/>
    <n v="0"/>
    <d v="2021-04-28T00:00:00"/>
    <s v="No"/>
    <x v="2"/>
    <n v="1"/>
    <x v="3"/>
    <x v="3"/>
    <x v="1"/>
  </r>
  <r>
    <s v="REL03139"/>
    <s v="Male"/>
    <n v="50"/>
    <s v="HSC"/>
    <s v="Divorced"/>
    <x v="7"/>
    <s v="Marketing Executive"/>
    <x v="3"/>
    <x v="1"/>
    <s v="North"/>
    <n v="8"/>
    <n v="59459"/>
    <x v="0"/>
    <n v="2"/>
    <n v="4"/>
    <n v="49"/>
    <n v="3"/>
    <d v="2015-03-17T00:00:00"/>
    <s v="No"/>
    <x v="0"/>
    <n v="3"/>
    <x v="1"/>
    <x v="0"/>
    <x v="0"/>
  </r>
  <r>
    <s v="REL03140"/>
    <s v="Male"/>
    <n v="51"/>
    <s v="Graduate"/>
    <s v="Single"/>
    <x v="2"/>
    <s v="Finance Analyst"/>
    <x v="4"/>
    <x v="3"/>
    <s v="West"/>
    <n v="7"/>
    <n v="79422"/>
    <x v="3"/>
    <n v="2"/>
    <n v="2"/>
    <n v="57"/>
    <n v="3"/>
    <d v="2016-12-07T00:00:00"/>
    <s v="No"/>
    <x v="0"/>
    <n v="4"/>
    <x v="1"/>
    <x v="2"/>
    <x v="1"/>
  </r>
  <r>
    <s v="REL03141"/>
    <s v="Male"/>
    <n v="51"/>
    <s v="Graduate"/>
    <s v="Single"/>
    <x v="2"/>
    <s v="Sales Executive"/>
    <x v="1"/>
    <x v="2"/>
    <s v="West"/>
    <n v="7"/>
    <n v="44105"/>
    <x v="3"/>
    <n v="4"/>
    <n v="1"/>
    <n v="12"/>
    <n v="0"/>
    <d v="2016-07-13T00:00:00"/>
    <s v="No"/>
    <x v="2"/>
    <n v="4"/>
    <x v="1"/>
    <x v="2"/>
    <x v="1"/>
  </r>
  <r>
    <s v="REL03142"/>
    <s v="Male"/>
    <n v="24"/>
    <s v="HSC"/>
    <s v="Single"/>
    <x v="3"/>
    <s v="Sales Executive"/>
    <x v="2"/>
    <x v="3"/>
    <s v="West"/>
    <n v="12"/>
    <n v="59546"/>
    <x v="0"/>
    <n v="1"/>
    <n v="1"/>
    <n v="19"/>
    <n v="0"/>
    <d v="2011-03-24T00:00:00"/>
    <s v="No"/>
    <x v="0"/>
    <n v="3"/>
    <x v="2"/>
    <x v="0"/>
    <x v="0"/>
  </r>
  <r>
    <s v="REL03143"/>
    <s v="Female"/>
    <n v="26"/>
    <s v="Graduate"/>
    <s v="Single"/>
    <x v="1"/>
    <s v="Logistics Coordinator"/>
    <x v="0"/>
    <x v="2"/>
    <s v="West"/>
    <n v="1"/>
    <n v="52178"/>
    <x v="3"/>
    <n v="3"/>
    <n v="3"/>
    <n v="20"/>
    <n v="0"/>
    <d v="2022-02-20T00:00:00"/>
    <s v="No"/>
    <x v="0"/>
    <n v="4"/>
    <x v="3"/>
    <x v="2"/>
    <x v="1"/>
  </r>
  <r>
    <s v="REL03144"/>
    <s v="Female"/>
    <n v="38"/>
    <s v="Post Graduate"/>
    <s v="Divorced"/>
    <x v="1"/>
    <s v="HR Manager"/>
    <x v="2"/>
    <x v="2"/>
    <s v="West"/>
    <n v="12"/>
    <n v="100888"/>
    <x v="0"/>
    <n v="3"/>
    <n v="4"/>
    <n v="25"/>
    <n v="3"/>
    <d v="2011-03-20T00:00:00"/>
    <s v="Yes"/>
    <x v="1"/>
    <n v="3"/>
    <x v="2"/>
    <x v="1"/>
    <x v="0"/>
  </r>
  <r>
    <s v="REL03145"/>
    <s v="Female"/>
    <n v="41"/>
    <s v="BTech"/>
    <s v="Married"/>
    <x v="3"/>
    <s v="Finance Analyst"/>
    <x v="4"/>
    <x v="9"/>
    <s v="West"/>
    <n v="15"/>
    <n v="80647"/>
    <x v="3"/>
    <n v="3"/>
    <n v="3"/>
    <n v="14"/>
    <n v="1"/>
    <d v="2008-07-21T00:00:00"/>
    <s v="No"/>
    <x v="1"/>
    <n v="4"/>
    <x v="2"/>
    <x v="2"/>
    <x v="0"/>
  </r>
  <r>
    <s v="REL03146"/>
    <s v="Female"/>
    <n v="51"/>
    <s v="HSC"/>
    <s v="Divorced"/>
    <x v="3"/>
    <s v="Customer Service Rep"/>
    <x v="4"/>
    <x v="8"/>
    <s v="South"/>
    <n v="15"/>
    <n v="63630"/>
    <x v="0"/>
    <n v="3"/>
    <n v="1"/>
    <n v="31"/>
    <n v="2"/>
    <d v="2008-12-10T00:00:00"/>
    <s v="No"/>
    <x v="0"/>
    <n v="3"/>
    <x v="2"/>
    <x v="0"/>
    <x v="0"/>
  </r>
  <r>
    <s v="REL03147"/>
    <s v="Female"/>
    <n v="42"/>
    <s v="HSC"/>
    <s v="Divorced"/>
    <x v="4"/>
    <s v="Marketing Executive"/>
    <x v="2"/>
    <x v="6"/>
    <s v="South"/>
    <n v="4"/>
    <n v="60281"/>
    <x v="1"/>
    <n v="4"/>
    <n v="4"/>
    <n v="25"/>
    <n v="1"/>
    <d v="2019-11-04T00:00:00"/>
    <s v="Yes"/>
    <x v="0"/>
    <n v="1"/>
    <x v="0"/>
    <x v="1"/>
    <x v="1"/>
  </r>
  <r>
    <s v="REL03148"/>
    <s v="Male"/>
    <n v="22"/>
    <s v="Post Graduate"/>
    <s v="Single"/>
    <x v="0"/>
    <s v="Sales Executive"/>
    <x v="2"/>
    <x v="6"/>
    <s v="South"/>
    <n v="7"/>
    <n v="50761"/>
    <x v="3"/>
    <n v="4"/>
    <n v="4"/>
    <n v="64"/>
    <n v="3"/>
    <d v="2016-02-11T00:00:00"/>
    <s v="No"/>
    <x v="0"/>
    <n v="4"/>
    <x v="1"/>
    <x v="2"/>
    <x v="1"/>
  </r>
  <r>
    <s v="REL03149"/>
    <s v="Male"/>
    <n v="25"/>
    <s v="Graduate"/>
    <s v="Married"/>
    <x v="4"/>
    <s v="Finance Analyst"/>
    <x v="1"/>
    <x v="8"/>
    <s v="South"/>
    <n v="3"/>
    <n v="74174"/>
    <x v="0"/>
    <n v="4"/>
    <n v="2"/>
    <n v="14"/>
    <n v="3"/>
    <d v="2020-04-21T00:00:00"/>
    <s v="Yes"/>
    <x v="0"/>
    <n v="3"/>
    <x v="0"/>
    <x v="1"/>
    <x v="0"/>
  </r>
  <r>
    <s v="REL03150"/>
    <s v="Female"/>
    <n v="41"/>
    <s v="BTech"/>
    <s v="Divorced"/>
    <x v="6"/>
    <s v="Logistics Coordinator"/>
    <x v="3"/>
    <x v="2"/>
    <s v="West"/>
    <n v="3"/>
    <n v="42036"/>
    <x v="1"/>
    <n v="1"/>
    <n v="1"/>
    <n v="42"/>
    <n v="3"/>
    <d v="2020-02-25T00:00:00"/>
    <s v="No"/>
    <x v="2"/>
    <n v="1"/>
    <x v="0"/>
    <x v="0"/>
    <x v="1"/>
  </r>
  <r>
    <s v="REL03151"/>
    <s v="Female"/>
    <n v="48"/>
    <s v="HSC"/>
    <s v="Married"/>
    <x v="6"/>
    <s v="Operations Head"/>
    <x v="0"/>
    <x v="0"/>
    <s v="North"/>
    <n v="14"/>
    <n v="123509"/>
    <x v="2"/>
    <n v="4"/>
    <n v="1"/>
    <n v="41"/>
    <n v="3"/>
    <d v="2009-08-22T00:00:00"/>
    <s v="No"/>
    <x v="1"/>
    <n v="2"/>
    <x v="2"/>
    <x v="0"/>
    <x v="1"/>
  </r>
  <r>
    <s v="REL03152"/>
    <s v="Male"/>
    <n v="55"/>
    <s v="MBA"/>
    <s v="Single"/>
    <x v="5"/>
    <s v="Finance Analyst"/>
    <x v="2"/>
    <x v="0"/>
    <s v="North"/>
    <n v="3"/>
    <n v="72449"/>
    <x v="2"/>
    <n v="2"/>
    <n v="2"/>
    <n v="69"/>
    <n v="3"/>
    <d v="2020-09-15T00:00:00"/>
    <s v="No"/>
    <x v="0"/>
    <n v="2"/>
    <x v="0"/>
    <x v="0"/>
    <x v="1"/>
  </r>
  <r>
    <s v="REL03153"/>
    <s v="Female"/>
    <n v="41"/>
    <s v="HSC"/>
    <s v="Divorced"/>
    <x v="5"/>
    <s v="Finance Analyst"/>
    <x v="0"/>
    <x v="2"/>
    <s v="West"/>
    <n v="3"/>
    <n v="65998"/>
    <x v="2"/>
    <n v="3"/>
    <n v="1"/>
    <n v="34"/>
    <n v="0"/>
    <d v="2020-08-06T00:00:00"/>
    <s v="No"/>
    <x v="0"/>
    <n v="2"/>
    <x v="0"/>
    <x v="0"/>
    <x v="1"/>
  </r>
  <r>
    <s v="REL03154"/>
    <s v="Female"/>
    <n v="44"/>
    <s v="Post Graduate"/>
    <s v="Divorced"/>
    <x v="3"/>
    <s v="Logistics Coordinator"/>
    <x v="4"/>
    <x v="3"/>
    <s v="West"/>
    <n v="4"/>
    <n v="56622"/>
    <x v="2"/>
    <n v="2"/>
    <n v="2"/>
    <n v="27"/>
    <n v="1"/>
    <d v="2019-03-20T00:00:00"/>
    <s v="No"/>
    <x v="0"/>
    <n v="2"/>
    <x v="0"/>
    <x v="0"/>
    <x v="1"/>
  </r>
  <r>
    <s v="REL03155"/>
    <s v="Male"/>
    <n v="55"/>
    <s v="BTech"/>
    <s v="Divorced"/>
    <x v="5"/>
    <s v="Logistics Coordinator"/>
    <x v="2"/>
    <x v="8"/>
    <s v="South"/>
    <n v="6"/>
    <n v="60671"/>
    <x v="0"/>
    <n v="4"/>
    <n v="3"/>
    <n v="71"/>
    <n v="2"/>
    <d v="2017-10-12T00:00:00"/>
    <s v="No"/>
    <x v="0"/>
    <n v="3"/>
    <x v="1"/>
    <x v="0"/>
    <x v="0"/>
  </r>
  <r>
    <s v="REL03156"/>
    <s v="Female"/>
    <n v="47"/>
    <s v="Graduate"/>
    <s v="Divorced"/>
    <x v="3"/>
    <s v="Store Manager"/>
    <x v="4"/>
    <x v="8"/>
    <s v="South"/>
    <n v="14"/>
    <n v="106704"/>
    <x v="0"/>
    <n v="1"/>
    <n v="3"/>
    <n v="68"/>
    <n v="3"/>
    <d v="2009-09-07T00:00:00"/>
    <s v="No"/>
    <x v="1"/>
    <n v="3"/>
    <x v="2"/>
    <x v="0"/>
    <x v="0"/>
  </r>
  <r>
    <s v="REL03157"/>
    <s v="Female"/>
    <n v="31"/>
    <s v="Post Graduate"/>
    <s v="Single"/>
    <x v="2"/>
    <s v="Sales Executive"/>
    <x v="0"/>
    <x v="3"/>
    <s v="West"/>
    <n v="2"/>
    <n v="45669"/>
    <x v="3"/>
    <n v="3"/>
    <n v="2"/>
    <n v="44"/>
    <n v="1"/>
    <d v="2021-11-07T00:00:00"/>
    <s v="No"/>
    <x v="2"/>
    <n v="4"/>
    <x v="3"/>
    <x v="2"/>
    <x v="1"/>
  </r>
  <r>
    <s v="REL03158"/>
    <s v="Male"/>
    <n v="46"/>
    <s v="Post Graduate"/>
    <s v="Divorced"/>
    <x v="2"/>
    <s v="Finance Analyst"/>
    <x v="4"/>
    <x v="1"/>
    <s v="North"/>
    <n v="9"/>
    <n v="81271"/>
    <x v="2"/>
    <n v="4"/>
    <n v="3"/>
    <n v="12"/>
    <n v="2"/>
    <d v="2014-12-15T00:00:00"/>
    <s v="No"/>
    <x v="1"/>
    <n v="2"/>
    <x v="1"/>
    <x v="0"/>
    <x v="1"/>
  </r>
  <r>
    <s v="REL03159"/>
    <s v="Male"/>
    <n v="23"/>
    <s v="BTech"/>
    <s v="Married"/>
    <x v="3"/>
    <s v="Store Manager"/>
    <x v="4"/>
    <x v="9"/>
    <s v="West"/>
    <n v="2"/>
    <n v="98778"/>
    <x v="2"/>
    <n v="3"/>
    <n v="2"/>
    <n v="11"/>
    <n v="0"/>
    <d v="2021-11-15T00:00:00"/>
    <s v="No"/>
    <x v="1"/>
    <n v="2"/>
    <x v="3"/>
    <x v="0"/>
    <x v="1"/>
  </r>
  <r>
    <s v="REL03160"/>
    <s v="Female"/>
    <n v="31"/>
    <s v="MBA"/>
    <s v="Divorced"/>
    <x v="7"/>
    <s v="Store Manager"/>
    <x v="3"/>
    <x v="6"/>
    <s v="South"/>
    <n v="3"/>
    <n v="93290"/>
    <x v="0"/>
    <n v="4"/>
    <n v="2"/>
    <n v="80"/>
    <n v="0"/>
    <d v="2020-06-12T00:00:00"/>
    <s v="No"/>
    <x v="1"/>
    <n v="3"/>
    <x v="0"/>
    <x v="0"/>
    <x v="0"/>
  </r>
  <r>
    <s v="REL03161"/>
    <s v="Male"/>
    <n v="28"/>
    <s v="Graduate"/>
    <s v="Married"/>
    <x v="3"/>
    <s v="HR Manager"/>
    <x v="3"/>
    <x v="1"/>
    <s v="North"/>
    <n v="15"/>
    <n v="107896"/>
    <x v="0"/>
    <n v="2"/>
    <n v="1"/>
    <n v="17"/>
    <n v="3"/>
    <d v="2008-06-05T00:00:00"/>
    <s v="No"/>
    <x v="1"/>
    <n v="3"/>
    <x v="2"/>
    <x v="0"/>
    <x v="0"/>
  </r>
  <r>
    <s v="REL03162"/>
    <s v="Female"/>
    <n v="30"/>
    <s v="BTech"/>
    <s v="Single"/>
    <x v="1"/>
    <s v="Operations Head"/>
    <x v="1"/>
    <x v="7"/>
    <s v="East"/>
    <n v="2"/>
    <n v="92564"/>
    <x v="1"/>
    <n v="1"/>
    <n v="4"/>
    <n v="42"/>
    <n v="3"/>
    <d v="2021-05-25T00:00:00"/>
    <s v="Yes"/>
    <x v="1"/>
    <n v="1"/>
    <x v="3"/>
    <x v="1"/>
    <x v="2"/>
  </r>
  <r>
    <s v="REL03163"/>
    <s v="Male"/>
    <n v="42"/>
    <s v="HSC"/>
    <s v="Single"/>
    <x v="4"/>
    <s v="Sales Executive"/>
    <x v="2"/>
    <x v="0"/>
    <s v="North"/>
    <n v="14"/>
    <n v="71534"/>
    <x v="0"/>
    <n v="3"/>
    <n v="3"/>
    <n v="70"/>
    <n v="2"/>
    <d v="2009-08-04T00:00:00"/>
    <s v="No"/>
    <x v="0"/>
    <n v="3"/>
    <x v="2"/>
    <x v="0"/>
    <x v="0"/>
  </r>
  <r>
    <s v="REL03164"/>
    <s v="Female"/>
    <n v="33"/>
    <s v="Post Graduate"/>
    <s v="Married"/>
    <x v="4"/>
    <s v="Finance Analyst"/>
    <x v="3"/>
    <x v="5"/>
    <s v="South"/>
    <n v="3"/>
    <n v="61306"/>
    <x v="2"/>
    <n v="3"/>
    <n v="3"/>
    <n v="47"/>
    <n v="0"/>
    <d v="2020-07-15T00:00:00"/>
    <s v="No"/>
    <x v="0"/>
    <n v="2"/>
    <x v="0"/>
    <x v="0"/>
    <x v="1"/>
  </r>
  <r>
    <s v="REL03165"/>
    <s v="Female"/>
    <n v="29"/>
    <s v="Graduate"/>
    <s v="Married"/>
    <x v="3"/>
    <s v="Sales Executive"/>
    <x v="4"/>
    <x v="8"/>
    <s v="South"/>
    <n v="1"/>
    <n v="41837"/>
    <x v="3"/>
    <n v="4"/>
    <n v="3"/>
    <n v="45"/>
    <n v="2"/>
    <d v="2022-02-23T00:00:00"/>
    <s v="No"/>
    <x v="2"/>
    <n v="4"/>
    <x v="3"/>
    <x v="2"/>
    <x v="1"/>
  </r>
  <r>
    <s v="REL03166"/>
    <s v="Male"/>
    <n v="35"/>
    <s v="Post Graduate"/>
    <s v="Divorced"/>
    <x v="0"/>
    <s v="Logistics Coordinator"/>
    <x v="0"/>
    <x v="5"/>
    <s v="South"/>
    <n v="12"/>
    <n v="71593"/>
    <x v="1"/>
    <n v="3"/>
    <n v="2"/>
    <n v="11"/>
    <n v="0"/>
    <d v="2011-05-29T00:00:00"/>
    <s v="No"/>
    <x v="0"/>
    <n v="1"/>
    <x v="2"/>
    <x v="0"/>
    <x v="1"/>
  </r>
  <r>
    <s v="REL03167"/>
    <s v="Male"/>
    <n v="51"/>
    <s v="MBA"/>
    <s v="Divorced"/>
    <x v="5"/>
    <s v="Customer Service Rep"/>
    <x v="0"/>
    <x v="6"/>
    <s v="South"/>
    <n v="10"/>
    <n v="51006"/>
    <x v="0"/>
    <n v="2"/>
    <n v="1"/>
    <n v="32"/>
    <n v="2"/>
    <d v="2013-06-13T00:00:00"/>
    <s v="No"/>
    <x v="0"/>
    <n v="3"/>
    <x v="1"/>
    <x v="0"/>
    <x v="0"/>
  </r>
  <r>
    <s v="REL03168"/>
    <s v="Male"/>
    <n v="50"/>
    <s v="HSC"/>
    <s v="Single"/>
    <x v="4"/>
    <s v="Store Manager"/>
    <x v="0"/>
    <x v="6"/>
    <s v="South"/>
    <n v="13"/>
    <n v="105030"/>
    <x v="1"/>
    <n v="4"/>
    <n v="2"/>
    <n v="36"/>
    <n v="2"/>
    <d v="2010-11-06T00:00:00"/>
    <s v="Yes"/>
    <x v="1"/>
    <n v="1"/>
    <x v="2"/>
    <x v="1"/>
    <x v="2"/>
  </r>
  <r>
    <s v="REL03169"/>
    <s v="Female"/>
    <n v="27"/>
    <s v="HSC"/>
    <s v="Married"/>
    <x v="1"/>
    <s v="Operations Head"/>
    <x v="3"/>
    <x v="1"/>
    <s v="North"/>
    <n v="15"/>
    <n v="133452"/>
    <x v="0"/>
    <n v="3"/>
    <n v="3"/>
    <n v="38"/>
    <n v="3"/>
    <d v="2008-11-02T00:00:00"/>
    <s v="No"/>
    <x v="1"/>
    <n v="3"/>
    <x v="2"/>
    <x v="0"/>
    <x v="0"/>
  </r>
  <r>
    <s v="REL03170"/>
    <s v="Male"/>
    <n v="44"/>
    <s v="BTech"/>
    <s v="Divorced"/>
    <x v="7"/>
    <s v="Sales Executive"/>
    <x v="4"/>
    <x v="1"/>
    <s v="North"/>
    <n v="15"/>
    <n v="67568"/>
    <x v="1"/>
    <n v="1"/>
    <n v="1"/>
    <n v="54"/>
    <n v="2"/>
    <d v="2008-02-28T00:00:00"/>
    <s v="No"/>
    <x v="0"/>
    <n v="1"/>
    <x v="2"/>
    <x v="0"/>
    <x v="1"/>
  </r>
  <r>
    <s v="REL03171"/>
    <s v="Male"/>
    <n v="34"/>
    <s v="Graduate"/>
    <s v="Married"/>
    <x v="3"/>
    <s v="Finance Analyst"/>
    <x v="0"/>
    <x v="1"/>
    <s v="North"/>
    <n v="3"/>
    <n v="62977"/>
    <x v="1"/>
    <n v="1"/>
    <n v="2"/>
    <n v="10"/>
    <n v="1"/>
    <d v="2020-08-11T00:00:00"/>
    <s v="Yes"/>
    <x v="0"/>
    <n v="1"/>
    <x v="0"/>
    <x v="1"/>
    <x v="1"/>
  </r>
  <r>
    <s v="REL03172"/>
    <s v="Male"/>
    <n v="42"/>
    <s v="Post Graduate"/>
    <s v="Married"/>
    <x v="6"/>
    <s v="Operations Head"/>
    <x v="1"/>
    <x v="1"/>
    <s v="North"/>
    <n v="9"/>
    <n v="108019"/>
    <x v="1"/>
    <n v="4"/>
    <n v="2"/>
    <n v="16"/>
    <n v="3"/>
    <d v="2014-07-18T00:00:00"/>
    <s v="Yes"/>
    <x v="1"/>
    <n v="1"/>
    <x v="1"/>
    <x v="1"/>
    <x v="2"/>
  </r>
  <r>
    <s v="REL03173"/>
    <s v="Female"/>
    <n v="39"/>
    <s v="HSC"/>
    <s v="Single"/>
    <x v="0"/>
    <s v="Sales Executive"/>
    <x v="3"/>
    <x v="7"/>
    <s v="East"/>
    <n v="10"/>
    <n v="54208"/>
    <x v="1"/>
    <n v="4"/>
    <n v="3"/>
    <n v="40"/>
    <n v="1"/>
    <d v="2013-06-15T00:00:00"/>
    <s v="Yes"/>
    <x v="0"/>
    <n v="1"/>
    <x v="1"/>
    <x v="1"/>
    <x v="1"/>
  </r>
  <r>
    <s v="REL03174"/>
    <s v="Female"/>
    <n v="30"/>
    <s v="Graduate"/>
    <s v="Divorced"/>
    <x v="2"/>
    <s v="Customer Service Rep"/>
    <x v="4"/>
    <x v="0"/>
    <s v="North"/>
    <n v="7"/>
    <n v="49229"/>
    <x v="2"/>
    <n v="1"/>
    <n v="4"/>
    <n v="11"/>
    <n v="1"/>
    <d v="2016-10-07T00:00:00"/>
    <s v="Yes"/>
    <x v="2"/>
    <n v="2"/>
    <x v="1"/>
    <x v="1"/>
    <x v="1"/>
  </r>
  <r>
    <s v="REL03175"/>
    <s v="Male"/>
    <n v="31"/>
    <s v="BTech"/>
    <s v="Divorced"/>
    <x v="1"/>
    <s v="Customer Service Rep"/>
    <x v="2"/>
    <x v="2"/>
    <s v="West"/>
    <n v="11"/>
    <n v="51010"/>
    <x v="0"/>
    <n v="1"/>
    <n v="4"/>
    <n v="55"/>
    <n v="3"/>
    <d v="2012-07-21T00:00:00"/>
    <s v="No"/>
    <x v="0"/>
    <n v="3"/>
    <x v="2"/>
    <x v="0"/>
    <x v="0"/>
  </r>
  <r>
    <s v="REL03176"/>
    <s v="Female"/>
    <n v="54"/>
    <s v="HSC"/>
    <s v="Divorced"/>
    <x v="1"/>
    <s v="Marketing Executive"/>
    <x v="4"/>
    <x v="0"/>
    <s v="North"/>
    <n v="12"/>
    <n v="80893"/>
    <x v="1"/>
    <n v="3"/>
    <n v="3"/>
    <n v="49"/>
    <n v="1"/>
    <d v="2011-02-07T00:00:00"/>
    <s v="Yes"/>
    <x v="1"/>
    <n v="1"/>
    <x v="2"/>
    <x v="1"/>
    <x v="2"/>
  </r>
  <r>
    <s v="REL03177"/>
    <s v="Female"/>
    <n v="29"/>
    <s v="HSC"/>
    <s v="Married"/>
    <x v="0"/>
    <s v="Customer Service Rep"/>
    <x v="3"/>
    <x v="3"/>
    <s v="West"/>
    <n v="13"/>
    <n v="65769"/>
    <x v="2"/>
    <n v="3"/>
    <n v="1"/>
    <n v="74"/>
    <n v="1"/>
    <d v="2010-05-09T00:00:00"/>
    <s v="No"/>
    <x v="0"/>
    <n v="2"/>
    <x v="2"/>
    <x v="0"/>
    <x v="1"/>
  </r>
  <r>
    <s v="REL03178"/>
    <s v="Female"/>
    <n v="34"/>
    <s v="Graduate"/>
    <s v="Married"/>
    <x v="6"/>
    <s v="HR Manager"/>
    <x v="2"/>
    <x v="0"/>
    <s v="North"/>
    <n v="13"/>
    <n v="103022"/>
    <x v="0"/>
    <n v="4"/>
    <n v="3"/>
    <n v="69"/>
    <n v="3"/>
    <d v="2010-09-02T00:00:00"/>
    <s v="No"/>
    <x v="1"/>
    <n v="3"/>
    <x v="2"/>
    <x v="0"/>
    <x v="0"/>
  </r>
  <r>
    <s v="REL03179"/>
    <s v="Female"/>
    <n v="49"/>
    <s v="Graduate"/>
    <s v="Married"/>
    <x v="0"/>
    <s v="Customer Service Rep"/>
    <x v="3"/>
    <x v="2"/>
    <s v="West"/>
    <n v="3"/>
    <n v="31761"/>
    <x v="3"/>
    <n v="3"/>
    <n v="1"/>
    <n v="75"/>
    <n v="2"/>
    <d v="2020-06-20T00:00:00"/>
    <s v="No"/>
    <x v="3"/>
    <n v="4"/>
    <x v="0"/>
    <x v="2"/>
    <x v="3"/>
  </r>
  <r>
    <s v="REL03180"/>
    <s v="Male"/>
    <n v="46"/>
    <s v="HSC"/>
    <s v="Married"/>
    <x v="6"/>
    <s v="Logistics Coordinator"/>
    <x v="4"/>
    <x v="6"/>
    <s v="South"/>
    <n v="7"/>
    <n v="61204"/>
    <x v="3"/>
    <n v="3"/>
    <n v="1"/>
    <n v="43"/>
    <n v="0"/>
    <d v="2016-09-17T00:00:00"/>
    <s v="No"/>
    <x v="0"/>
    <n v="4"/>
    <x v="1"/>
    <x v="2"/>
    <x v="1"/>
  </r>
  <r>
    <s v="REL03181"/>
    <s v="Male"/>
    <n v="42"/>
    <s v="BTech"/>
    <s v="Married"/>
    <x v="4"/>
    <s v="Logistics Coordinator"/>
    <x v="4"/>
    <x v="6"/>
    <s v="South"/>
    <n v="4"/>
    <n v="60052"/>
    <x v="2"/>
    <n v="1"/>
    <n v="1"/>
    <n v="10"/>
    <n v="0"/>
    <d v="2019-04-14T00:00:00"/>
    <s v="No"/>
    <x v="0"/>
    <n v="2"/>
    <x v="0"/>
    <x v="0"/>
    <x v="1"/>
  </r>
  <r>
    <s v="REL03182"/>
    <s v="Male"/>
    <n v="31"/>
    <s v="MBA"/>
    <s v="Single"/>
    <x v="3"/>
    <s v="Logistics Coordinator"/>
    <x v="4"/>
    <x v="1"/>
    <s v="North"/>
    <n v="2"/>
    <n v="46101"/>
    <x v="1"/>
    <n v="1"/>
    <n v="2"/>
    <n v="23"/>
    <n v="3"/>
    <d v="2021-10-31T00:00:00"/>
    <s v="No"/>
    <x v="2"/>
    <n v="1"/>
    <x v="3"/>
    <x v="3"/>
    <x v="1"/>
  </r>
  <r>
    <s v="REL03183"/>
    <s v="Female"/>
    <n v="51"/>
    <s v="MBA"/>
    <s v="Divorced"/>
    <x v="3"/>
    <s v="Store Manager"/>
    <x v="4"/>
    <x v="4"/>
    <s v="North"/>
    <n v="6"/>
    <n v="90189"/>
    <x v="1"/>
    <n v="1"/>
    <n v="1"/>
    <n v="75"/>
    <n v="0"/>
    <d v="2017-05-09T00:00:00"/>
    <s v="Yes"/>
    <x v="1"/>
    <n v="1"/>
    <x v="1"/>
    <x v="1"/>
    <x v="2"/>
  </r>
  <r>
    <s v="REL03184"/>
    <s v="Female"/>
    <n v="27"/>
    <s v="HSC"/>
    <s v="Single"/>
    <x v="6"/>
    <s v="HR Manager"/>
    <x v="3"/>
    <x v="1"/>
    <s v="North"/>
    <n v="12"/>
    <n v="93133"/>
    <x v="2"/>
    <n v="2"/>
    <n v="2"/>
    <n v="75"/>
    <n v="0"/>
    <d v="2011-10-29T00:00:00"/>
    <s v="No"/>
    <x v="1"/>
    <n v="2"/>
    <x v="2"/>
    <x v="0"/>
    <x v="1"/>
  </r>
  <r>
    <s v="REL03185"/>
    <s v="Male"/>
    <n v="51"/>
    <s v="HSC"/>
    <s v="Divorced"/>
    <x v="6"/>
    <s v="Finance Analyst"/>
    <x v="0"/>
    <x v="2"/>
    <s v="West"/>
    <n v="8"/>
    <n v="72583"/>
    <x v="3"/>
    <n v="2"/>
    <n v="1"/>
    <n v="40"/>
    <n v="2"/>
    <d v="2015-09-20T00:00:00"/>
    <s v="Yes"/>
    <x v="0"/>
    <n v="4"/>
    <x v="1"/>
    <x v="1"/>
    <x v="1"/>
  </r>
  <r>
    <s v="REL03186"/>
    <s v="Female"/>
    <n v="49"/>
    <s v="HSC"/>
    <s v="Single"/>
    <x v="7"/>
    <s v="Customer Service Rep"/>
    <x v="3"/>
    <x v="6"/>
    <s v="South"/>
    <n v="13"/>
    <n v="62229"/>
    <x v="0"/>
    <n v="1"/>
    <n v="2"/>
    <n v="51"/>
    <n v="3"/>
    <d v="2010-08-31T00:00:00"/>
    <s v="No"/>
    <x v="0"/>
    <n v="3"/>
    <x v="2"/>
    <x v="0"/>
    <x v="0"/>
  </r>
  <r>
    <s v="REL03187"/>
    <s v="Female"/>
    <n v="38"/>
    <s v="BTech"/>
    <s v="Divorced"/>
    <x v="5"/>
    <s v="Sales Executive"/>
    <x v="4"/>
    <x v="2"/>
    <s v="West"/>
    <n v="4"/>
    <n v="52934"/>
    <x v="1"/>
    <n v="2"/>
    <n v="4"/>
    <n v="32"/>
    <n v="0"/>
    <d v="2019-11-15T00:00:00"/>
    <s v="Yes"/>
    <x v="0"/>
    <n v="1"/>
    <x v="0"/>
    <x v="1"/>
    <x v="1"/>
  </r>
  <r>
    <s v="REL03188"/>
    <s v="Female"/>
    <n v="47"/>
    <s v="Graduate"/>
    <s v="Divorced"/>
    <x v="4"/>
    <s v="Customer Service Rep"/>
    <x v="4"/>
    <x v="5"/>
    <s v="South"/>
    <n v="13"/>
    <n v="51769"/>
    <x v="0"/>
    <n v="4"/>
    <n v="3"/>
    <n v="63"/>
    <n v="3"/>
    <d v="2010-09-23T00:00:00"/>
    <s v="No"/>
    <x v="0"/>
    <n v="3"/>
    <x v="2"/>
    <x v="0"/>
    <x v="0"/>
  </r>
  <r>
    <s v="REL03189"/>
    <s v="Male"/>
    <n v="29"/>
    <s v="BTech"/>
    <s v="Married"/>
    <x v="7"/>
    <s v="Customer Service Rep"/>
    <x v="0"/>
    <x v="7"/>
    <s v="East"/>
    <n v="7"/>
    <n v="48980"/>
    <x v="2"/>
    <n v="2"/>
    <n v="2"/>
    <n v="23"/>
    <n v="1"/>
    <d v="2016-04-02T00:00:00"/>
    <s v="No"/>
    <x v="2"/>
    <n v="2"/>
    <x v="1"/>
    <x v="0"/>
    <x v="1"/>
  </r>
  <r>
    <s v="REL03190"/>
    <s v="Male"/>
    <n v="43"/>
    <s v="Graduate"/>
    <s v="Single"/>
    <x v="5"/>
    <s v="Operations Head"/>
    <x v="1"/>
    <x v="7"/>
    <s v="East"/>
    <n v="8"/>
    <n v="102310"/>
    <x v="1"/>
    <n v="3"/>
    <n v="4"/>
    <n v="57"/>
    <n v="0"/>
    <d v="2015-09-14T00:00:00"/>
    <s v="Yes"/>
    <x v="1"/>
    <n v="1"/>
    <x v="1"/>
    <x v="1"/>
    <x v="2"/>
  </r>
  <r>
    <s v="REL03191"/>
    <s v="Female"/>
    <n v="52"/>
    <s v="MBA"/>
    <s v="Single"/>
    <x v="6"/>
    <s v="Logistics Coordinator"/>
    <x v="0"/>
    <x v="1"/>
    <s v="North"/>
    <n v="10"/>
    <n v="62180"/>
    <x v="1"/>
    <n v="2"/>
    <n v="3"/>
    <n v="21"/>
    <n v="1"/>
    <d v="2013-08-20T00:00:00"/>
    <s v="Yes"/>
    <x v="0"/>
    <n v="1"/>
    <x v="1"/>
    <x v="1"/>
    <x v="1"/>
  </r>
  <r>
    <s v="REL03192"/>
    <s v="Female"/>
    <n v="30"/>
    <s v="BTech"/>
    <s v="Divorced"/>
    <x v="1"/>
    <s v="Sales Executive"/>
    <x v="1"/>
    <x v="7"/>
    <s v="East"/>
    <n v="5"/>
    <n v="40835"/>
    <x v="0"/>
    <n v="4"/>
    <n v="4"/>
    <n v="58"/>
    <n v="2"/>
    <d v="2018-06-28T00:00:00"/>
    <s v="No"/>
    <x v="2"/>
    <n v="3"/>
    <x v="0"/>
    <x v="0"/>
    <x v="1"/>
  </r>
  <r>
    <s v="REL03193"/>
    <s v="Male"/>
    <n v="46"/>
    <s v="MBA"/>
    <s v="Divorced"/>
    <x v="3"/>
    <s v="Finance Analyst"/>
    <x v="4"/>
    <x v="2"/>
    <s v="West"/>
    <n v="14"/>
    <n v="79614"/>
    <x v="1"/>
    <n v="4"/>
    <n v="4"/>
    <n v="42"/>
    <n v="2"/>
    <d v="2009-09-07T00:00:00"/>
    <s v="No"/>
    <x v="0"/>
    <n v="1"/>
    <x v="2"/>
    <x v="0"/>
    <x v="1"/>
  </r>
  <r>
    <s v="REL03194"/>
    <s v="Male"/>
    <n v="25"/>
    <s v="Graduate"/>
    <s v="Single"/>
    <x v="0"/>
    <s v="Finance Analyst"/>
    <x v="1"/>
    <x v="0"/>
    <s v="North"/>
    <n v="4"/>
    <n v="61997"/>
    <x v="2"/>
    <n v="3"/>
    <n v="1"/>
    <n v="41"/>
    <n v="2"/>
    <d v="2019-04-11T00:00:00"/>
    <s v="Yes"/>
    <x v="0"/>
    <n v="2"/>
    <x v="0"/>
    <x v="1"/>
    <x v="1"/>
  </r>
  <r>
    <s v="REL03195"/>
    <s v="Male"/>
    <n v="27"/>
    <s v="Graduate"/>
    <s v="Married"/>
    <x v="3"/>
    <s v="Finance Analyst"/>
    <x v="3"/>
    <x v="1"/>
    <s v="North"/>
    <n v="15"/>
    <n v="86491"/>
    <x v="3"/>
    <n v="4"/>
    <n v="4"/>
    <n v="46"/>
    <n v="3"/>
    <d v="2008-12-08T00:00:00"/>
    <s v="No"/>
    <x v="1"/>
    <n v="4"/>
    <x v="2"/>
    <x v="2"/>
    <x v="0"/>
  </r>
  <r>
    <s v="REL03196"/>
    <s v="Female"/>
    <n v="44"/>
    <s v="BTech"/>
    <s v="Divorced"/>
    <x v="2"/>
    <s v="Finance Analyst"/>
    <x v="1"/>
    <x v="7"/>
    <s v="East"/>
    <n v="8"/>
    <n v="81302"/>
    <x v="2"/>
    <n v="4"/>
    <n v="3"/>
    <n v="69"/>
    <n v="3"/>
    <d v="2015-03-28T00:00:00"/>
    <s v="No"/>
    <x v="1"/>
    <n v="2"/>
    <x v="1"/>
    <x v="0"/>
    <x v="1"/>
  </r>
  <r>
    <s v="REL03197"/>
    <s v="Male"/>
    <n v="46"/>
    <s v="BTech"/>
    <s v="Divorced"/>
    <x v="2"/>
    <s v="Operations Head"/>
    <x v="0"/>
    <x v="0"/>
    <s v="North"/>
    <n v="8"/>
    <n v="114655"/>
    <x v="3"/>
    <n v="2"/>
    <n v="2"/>
    <n v="55"/>
    <n v="0"/>
    <d v="2015-02-06T00:00:00"/>
    <s v="Yes"/>
    <x v="1"/>
    <n v="4"/>
    <x v="1"/>
    <x v="1"/>
    <x v="0"/>
  </r>
  <r>
    <s v="REL03198"/>
    <s v="Female"/>
    <n v="31"/>
    <s v="Graduate"/>
    <s v="Single"/>
    <x v="1"/>
    <s v="Logistics Coordinator"/>
    <x v="2"/>
    <x v="3"/>
    <s v="West"/>
    <n v="11"/>
    <n v="69860"/>
    <x v="1"/>
    <n v="2"/>
    <n v="2"/>
    <n v="59"/>
    <n v="2"/>
    <d v="2012-04-01T00:00:00"/>
    <s v="Yes"/>
    <x v="0"/>
    <n v="1"/>
    <x v="2"/>
    <x v="1"/>
    <x v="1"/>
  </r>
  <r>
    <s v="REL03199"/>
    <s v="Female"/>
    <n v="32"/>
    <s v="Graduate"/>
    <s v="Divorced"/>
    <x v="1"/>
    <s v="HR Manager"/>
    <x v="4"/>
    <x v="3"/>
    <s v="West"/>
    <n v="15"/>
    <n v="103569"/>
    <x v="2"/>
    <n v="4"/>
    <n v="4"/>
    <n v="57"/>
    <n v="0"/>
    <d v="2008-11-16T00:00:00"/>
    <s v="Yes"/>
    <x v="1"/>
    <n v="2"/>
    <x v="2"/>
    <x v="1"/>
    <x v="1"/>
  </r>
  <r>
    <s v="REL03200"/>
    <s v="Female"/>
    <n v="25"/>
    <s v="Post Graduate"/>
    <s v="Divorced"/>
    <x v="1"/>
    <s v="Operations Head"/>
    <x v="0"/>
    <x v="5"/>
    <s v="South"/>
    <n v="14"/>
    <n v="132666"/>
    <x v="0"/>
    <n v="4"/>
    <n v="1"/>
    <n v="13"/>
    <n v="2"/>
    <d v="2009-05-06T00:00:00"/>
    <s v="No"/>
    <x v="1"/>
    <n v="3"/>
    <x v="2"/>
    <x v="0"/>
    <x v="0"/>
  </r>
  <r>
    <s v="REL03201"/>
    <s v="Female"/>
    <n v="47"/>
    <s v="Graduate"/>
    <s v="Single"/>
    <x v="3"/>
    <s v="Operations Head"/>
    <x v="1"/>
    <x v="4"/>
    <s v="North"/>
    <n v="1"/>
    <n v="97398"/>
    <x v="1"/>
    <n v="4"/>
    <n v="4"/>
    <n v="72"/>
    <n v="3"/>
    <d v="2022-05-29T00:00:00"/>
    <s v="No"/>
    <x v="1"/>
    <n v="1"/>
    <x v="3"/>
    <x v="3"/>
    <x v="2"/>
  </r>
  <r>
    <s v="REL03202"/>
    <s v="Male"/>
    <n v="29"/>
    <s v="HSC"/>
    <s v="Divorced"/>
    <x v="2"/>
    <s v="Customer Service Rep"/>
    <x v="2"/>
    <x v="6"/>
    <s v="South"/>
    <n v="5"/>
    <n v="48239"/>
    <x v="2"/>
    <n v="2"/>
    <n v="2"/>
    <n v="48"/>
    <n v="2"/>
    <d v="2018-08-12T00:00:00"/>
    <s v="Yes"/>
    <x v="2"/>
    <n v="2"/>
    <x v="0"/>
    <x v="1"/>
    <x v="1"/>
  </r>
  <r>
    <s v="REL03203"/>
    <s v="Male"/>
    <n v="23"/>
    <s v="Post Graduate"/>
    <s v="Married"/>
    <x v="2"/>
    <s v="Customer Service Rep"/>
    <x v="2"/>
    <x v="5"/>
    <s v="South"/>
    <n v="1"/>
    <n v="45906"/>
    <x v="3"/>
    <n v="1"/>
    <n v="4"/>
    <n v="14"/>
    <n v="1"/>
    <d v="2022-07-26T00:00:00"/>
    <s v="Yes"/>
    <x v="2"/>
    <n v="4"/>
    <x v="3"/>
    <x v="1"/>
    <x v="1"/>
  </r>
  <r>
    <s v="REL03204"/>
    <s v="Male"/>
    <n v="41"/>
    <s v="Post Graduate"/>
    <s v="Married"/>
    <x v="4"/>
    <s v="Finance Analyst"/>
    <x v="2"/>
    <x v="2"/>
    <s v="West"/>
    <n v="13"/>
    <n v="84134"/>
    <x v="0"/>
    <n v="1"/>
    <n v="3"/>
    <n v="66"/>
    <n v="0"/>
    <d v="2010-11-26T00:00:00"/>
    <s v="No"/>
    <x v="1"/>
    <n v="3"/>
    <x v="2"/>
    <x v="0"/>
    <x v="0"/>
  </r>
  <r>
    <s v="REL03205"/>
    <s v="Female"/>
    <n v="31"/>
    <s v="BTech"/>
    <s v="Single"/>
    <x v="7"/>
    <s v="Sales Executive"/>
    <x v="3"/>
    <x v="1"/>
    <s v="North"/>
    <n v="14"/>
    <n v="73739"/>
    <x v="0"/>
    <n v="1"/>
    <n v="1"/>
    <n v="23"/>
    <n v="3"/>
    <d v="2009-02-28T00:00:00"/>
    <s v="No"/>
    <x v="0"/>
    <n v="3"/>
    <x v="2"/>
    <x v="0"/>
    <x v="0"/>
  </r>
  <r>
    <s v="REL03206"/>
    <s v="Male"/>
    <n v="53"/>
    <s v="BTech"/>
    <s v="Married"/>
    <x v="7"/>
    <s v="Customer Service Rep"/>
    <x v="0"/>
    <x v="6"/>
    <s v="South"/>
    <n v="2"/>
    <n v="31847"/>
    <x v="0"/>
    <n v="2"/>
    <n v="1"/>
    <n v="38"/>
    <n v="1"/>
    <d v="2021-07-13T00:00:00"/>
    <s v="No"/>
    <x v="3"/>
    <n v="3"/>
    <x v="3"/>
    <x v="0"/>
    <x v="1"/>
  </r>
  <r>
    <s v="REL03207"/>
    <s v="Female"/>
    <n v="47"/>
    <s v="Post Graduate"/>
    <s v="Married"/>
    <x v="0"/>
    <s v="Sales Executive"/>
    <x v="0"/>
    <x v="8"/>
    <s v="South"/>
    <n v="14"/>
    <n v="71754"/>
    <x v="1"/>
    <n v="1"/>
    <n v="3"/>
    <n v="54"/>
    <n v="3"/>
    <d v="2009-02-26T00:00:00"/>
    <s v="Yes"/>
    <x v="0"/>
    <n v="1"/>
    <x v="2"/>
    <x v="1"/>
    <x v="1"/>
  </r>
  <r>
    <s v="REL03208"/>
    <s v="Female"/>
    <n v="50"/>
    <s v="MBA"/>
    <s v="Single"/>
    <x v="6"/>
    <s v="Logistics Coordinator"/>
    <x v="0"/>
    <x v="3"/>
    <s v="West"/>
    <n v="13"/>
    <n v="66338"/>
    <x v="1"/>
    <n v="4"/>
    <n v="1"/>
    <n v="32"/>
    <n v="0"/>
    <d v="2010-04-18T00:00:00"/>
    <s v="Yes"/>
    <x v="0"/>
    <n v="1"/>
    <x v="2"/>
    <x v="1"/>
    <x v="1"/>
  </r>
  <r>
    <s v="REL03209"/>
    <s v="Female"/>
    <n v="22"/>
    <s v="Graduate"/>
    <s v="Single"/>
    <x v="1"/>
    <s v="Logistics Coordinator"/>
    <x v="1"/>
    <x v="4"/>
    <s v="North"/>
    <n v="8"/>
    <n v="66672"/>
    <x v="3"/>
    <n v="2"/>
    <n v="4"/>
    <n v="64"/>
    <n v="1"/>
    <d v="2015-01-28T00:00:00"/>
    <s v="Yes"/>
    <x v="0"/>
    <n v="4"/>
    <x v="1"/>
    <x v="1"/>
    <x v="1"/>
  </r>
  <r>
    <s v="REL03210"/>
    <s v="Male"/>
    <n v="36"/>
    <s v="BTech"/>
    <s v="Divorced"/>
    <x v="4"/>
    <s v="Operations Head"/>
    <x v="0"/>
    <x v="8"/>
    <s v="South"/>
    <n v="8"/>
    <n v="107421"/>
    <x v="0"/>
    <n v="4"/>
    <n v="1"/>
    <n v="63"/>
    <n v="2"/>
    <d v="2015-01-10T00:00:00"/>
    <s v="Yes"/>
    <x v="1"/>
    <n v="3"/>
    <x v="1"/>
    <x v="1"/>
    <x v="0"/>
  </r>
  <r>
    <s v="REL03211"/>
    <s v="Female"/>
    <n v="54"/>
    <s v="MBA"/>
    <s v="Divorced"/>
    <x v="5"/>
    <s v="Sales Executive"/>
    <x v="1"/>
    <x v="2"/>
    <s v="West"/>
    <n v="12"/>
    <n v="71711"/>
    <x v="2"/>
    <n v="3"/>
    <n v="2"/>
    <n v="32"/>
    <n v="0"/>
    <d v="2011-04-02T00:00:00"/>
    <s v="No"/>
    <x v="0"/>
    <n v="2"/>
    <x v="2"/>
    <x v="0"/>
    <x v="1"/>
  </r>
  <r>
    <s v="REL03212"/>
    <s v="Male"/>
    <n v="52"/>
    <s v="HSC"/>
    <s v="Married"/>
    <x v="3"/>
    <s v="Logistics Coordinator"/>
    <x v="2"/>
    <x v="5"/>
    <s v="South"/>
    <n v="9"/>
    <n v="69423"/>
    <x v="1"/>
    <n v="4"/>
    <n v="3"/>
    <n v="46"/>
    <n v="2"/>
    <d v="2014-02-06T00:00:00"/>
    <s v="Yes"/>
    <x v="0"/>
    <n v="1"/>
    <x v="1"/>
    <x v="1"/>
    <x v="1"/>
  </r>
  <r>
    <s v="REL03213"/>
    <s v="Male"/>
    <n v="23"/>
    <s v="BTech"/>
    <s v="Single"/>
    <x v="6"/>
    <s v="HR Manager"/>
    <x v="0"/>
    <x v="9"/>
    <s v="West"/>
    <n v="1"/>
    <n v="75541"/>
    <x v="0"/>
    <n v="2"/>
    <n v="2"/>
    <n v="29"/>
    <n v="1"/>
    <d v="2022-08-07T00:00:00"/>
    <s v="No"/>
    <x v="0"/>
    <n v="3"/>
    <x v="3"/>
    <x v="0"/>
    <x v="0"/>
  </r>
  <r>
    <s v="REL03214"/>
    <s v="Female"/>
    <n v="41"/>
    <s v="Post Graduate"/>
    <s v="Divorced"/>
    <x v="7"/>
    <s v="Sales Executive"/>
    <x v="0"/>
    <x v="7"/>
    <s v="East"/>
    <n v="5"/>
    <n v="44526"/>
    <x v="3"/>
    <n v="3"/>
    <n v="1"/>
    <n v="45"/>
    <n v="2"/>
    <d v="2018-06-01T00:00:00"/>
    <s v="No"/>
    <x v="2"/>
    <n v="4"/>
    <x v="0"/>
    <x v="2"/>
    <x v="1"/>
  </r>
  <r>
    <s v="REL03215"/>
    <s v="Male"/>
    <n v="38"/>
    <s v="MBA"/>
    <s v="Married"/>
    <x v="7"/>
    <s v="HR Manager"/>
    <x v="2"/>
    <x v="7"/>
    <s v="East"/>
    <n v="5"/>
    <n v="88891"/>
    <x v="3"/>
    <n v="4"/>
    <n v="1"/>
    <n v="35"/>
    <n v="1"/>
    <d v="2018-10-04T00:00:00"/>
    <s v="No"/>
    <x v="1"/>
    <n v="4"/>
    <x v="0"/>
    <x v="2"/>
    <x v="0"/>
  </r>
  <r>
    <s v="REL03216"/>
    <s v="Female"/>
    <n v="39"/>
    <s v="Graduate"/>
    <s v="Divorced"/>
    <x v="0"/>
    <s v="Store Manager"/>
    <x v="3"/>
    <x v="1"/>
    <s v="North"/>
    <n v="1"/>
    <n v="81734"/>
    <x v="3"/>
    <n v="4"/>
    <n v="2"/>
    <n v="59"/>
    <n v="3"/>
    <d v="2022-07-24T00:00:00"/>
    <s v="No"/>
    <x v="1"/>
    <n v="4"/>
    <x v="3"/>
    <x v="2"/>
    <x v="0"/>
  </r>
  <r>
    <s v="REL03217"/>
    <s v="Female"/>
    <n v="54"/>
    <s v="Post Graduate"/>
    <s v="Divorced"/>
    <x v="1"/>
    <s v="Marketing Executive"/>
    <x v="2"/>
    <x v="4"/>
    <s v="North"/>
    <n v="4"/>
    <n v="54419"/>
    <x v="0"/>
    <n v="4"/>
    <n v="2"/>
    <n v="54"/>
    <n v="0"/>
    <d v="2019-05-19T00:00:00"/>
    <s v="No"/>
    <x v="0"/>
    <n v="3"/>
    <x v="0"/>
    <x v="0"/>
    <x v="0"/>
  </r>
  <r>
    <s v="REL03218"/>
    <s v="Male"/>
    <n v="43"/>
    <s v="Graduate"/>
    <s v="Married"/>
    <x v="1"/>
    <s v="Sales Executive"/>
    <x v="1"/>
    <x v="9"/>
    <s v="West"/>
    <n v="9"/>
    <n v="60415"/>
    <x v="1"/>
    <n v="2"/>
    <n v="4"/>
    <n v="79"/>
    <n v="3"/>
    <d v="2014-10-23T00:00:00"/>
    <s v="Yes"/>
    <x v="0"/>
    <n v="1"/>
    <x v="1"/>
    <x v="1"/>
    <x v="1"/>
  </r>
  <r>
    <s v="REL03219"/>
    <s v="Female"/>
    <n v="23"/>
    <s v="Post Graduate"/>
    <s v="Single"/>
    <x v="5"/>
    <s v="Store Manager"/>
    <x v="2"/>
    <x v="5"/>
    <s v="South"/>
    <n v="10"/>
    <n v="107350"/>
    <x v="3"/>
    <n v="3"/>
    <n v="2"/>
    <n v="54"/>
    <n v="0"/>
    <d v="2013-08-26T00:00:00"/>
    <s v="No"/>
    <x v="1"/>
    <n v="4"/>
    <x v="1"/>
    <x v="2"/>
    <x v="0"/>
  </r>
  <r>
    <s v="REL03220"/>
    <s v="Male"/>
    <n v="25"/>
    <s v="MBA"/>
    <s v="Married"/>
    <x v="6"/>
    <s v="HR Manager"/>
    <x v="3"/>
    <x v="1"/>
    <s v="North"/>
    <n v="12"/>
    <n v="102380"/>
    <x v="0"/>
    <n v="4"/>
    <n v="4"/>
    <n v="66"/>
    <n v="3"/>
    <d v="2011-10-02T00:00:00"/>
    <s v="No"/>
    <x v="1"/>
    <n v="3"/>
    <x v="2"/>
    <x v="0"/>
    <x v="0"/>
  </r>
  <r>
    <s v="REL03221"/>
    <s v="Female"/>
    <n v="38"/>
    <s v="MBA"/>
    <s v="Divorced"/>
    <x v="1"/>
    <s v="Sales Executive"/>
    <x v="1"/>
    <x v="9"/>
    <s v="West"/>
    <n v="2"/>
    <n v="53949"/>
    <x v="1"/>
    <n v="2"/>
    <n v="2"/>
    <n v="14"/>
    <n v="2"/>
    <d v="2021-02-02T00:00:00"/>
    <s v="Yes"/>
    <x v="0"/>
    <n v="1"/>
    <x v="3"/>
    <x v="1"/>
    <x v="1"/>
  </r>
  <r>
    <s v="REL03222"/>
    <s v="Female"/>
    <n v="29"/>
    <s v="Graduate"/>
    <s v="Divorced"/>
    <x v="7"/>
    <s v="Logistics Coordinator"/>
    <x v="0"/>
    <x v="5"/>
    <s v="South"/>
    <n v="11"/>
    <n v="62171"/>
    <x v="3"/>
    <n v="2"/>
    <n v="2"/>
    <n v="29"/>
    <n v="2"/>
    <d v="2012-10-24T00:00:00"/>
    <s v="No"/>
    <x v="0"/>
    <n v="4"/>
    <x v="2"/>
    <x v="2"/>
    <x v="1"/>
  </r>
  <r>
    <s v="REL03223"/>
    <s v="Female"/>
    <n v="29"/>
    <s v="BTech"/>
    <s v="Divorced"/>
    <x v="7"/>
    <s v="Customer Service Rep"/>
    <x v="3"/>
    <x v="1"/>
    <s v="North"/>
    <n v="7"/>
    <n v="42561"/>
    <x v="0"/>
    <n v="4"/>
    <n v="4"/>
    <n v="20"/>
    <n v="1"/>
    <d v="2016-04-03T00:00:00"/>
    <s v="No"/>
    <x v="2"/>
    <n v="3"/>
    <x v="1"/>
    <x v="0"/>
    <x v="1"/>
  </r>
  <r>
    <s v="REL03224"/>
    <s v="Female"/>
    <n v="35"/>
    <s v="BTech"/>
    <s v="Divorced"/>
    <x v="4"/>
    <s v="Customer Service Rep"/>
    <x v="4"/>
    <x v="6"/>
    <s v="South"/>
    <n v="4"/>
    <n v="48484"/>
    <x v="1"/>
    <n v="3"/>
    <n v="4"/>
    <n v="28"/>
    <n v="3"/>
    <d v="2019-05-08T00:00:00"/>
    <s v="Yes"/>
    <x v="2"/>
    <n v="1"/>
    <x v="0"/>
    <x v="1"/>
    <x v="1"/>
  </r>
  <r>
    <s v="REL03225"/>
    <s v="Female"/>
    <n v="55"/>
    <s v="Graduate"/>
    <s v="Single"/>
    <x v="5"/>
    <s v="HR Manager"/>
    <x v="4"/>
    <x v="1"/>
    <s v="North"/>
    <n v="8"/>
    <n v="99112"/>
    <x v="3"/>
    <n v="4"/>
    <n v="4"/>
    <n v="30"/>
    <n v="2"/>
    <d v="2015-09-09T00:00:00"/>
    <s v="No"/>
    <x v="1"/>
    <n v="4"/>
    <x v="1"/>
    <x v="2"/>
    <x v="0"/>
  </r>
  <r>
    <s v="REL03226"/>
    <s v="Female"/>
    <n v="36"/>
    <s v="HSC"/>
    <s v="Divorced"/>
    <x v="0"/>
    <s v="Operations Head"/>
    <x v="0"/>
    <x v="7"/>
    <s v="East"/>
    <n v="14"/>
    <n v="113940"/>
    <x v="3"/>
    <n v="4"/>
    <n v="3"/>
    <n v="44"/>
    <n v="1"/>
    <d v="2009-04-22T00:00:00"/>
    <s v="No"/>
    <x v="1"/>
    <n v="4"/>
    <x v="2"/>
    <x v="2"/>
    <x v="0"/>
  </r>
  <r>
    <s v="REL03227"/>
    <s v="Female"/>
    <n v="53"/>
    <s v="BTech"/>
    <s v="Divorced"/>
    <x v="5"/>
    <s v="Operations Head"/>
    <x v="2"/>
    <x v="8"/>
    <s v="South"/>
    <n v="14"/>
    <n v="131524"/>
    <x v="1"/>
    <n v="4"/>
    <n v="4"/>
    <n v="28"/>
    <n v="1"/>
    <d v="2009-12-04T00:00:00"/>
    <s v="Yes"/>
    <x v="1"/>
    <n v="1"/>
    <x v="2"/>
    <x v="1"/>
    <x v="2"/>
  </r>
  <r>
    <s v="REL03228"/>
    <s v="Male"/>
    <n v="24"/>
    <s v="Graduate"/>
    <s v="Single"/>
    <x v="3"/>
    <s v="Logistics Coordinator"/>
    <x v="3"/>
    <x v="6"/>
    <s v="South"/>
    <n v="14"/>
    <n v="65771"/>
    <x v="2"/>
    <n v="4"/>
    <n v="1"/>
    <n v="27"/>
    <n v="3"/>
    <d v="2009-09-03T00:00:00"/>
    <s v="No"/>
    <x v="0"/>
    <n v="2"/>
    <x v="2"/>
    <x v="0"/>
    <x v="1"/>
  </r>
  <r>
    <s v="REL03229"/>
    <s v="Male"/>
    <n v="42"/>
    <s v="Graduate"/>
    <s v="Married"/>
    <x v="0"/>
    <s v="Finance Analyst"/>
    <x v="3"/>
    <x v="7"/>
    <s v="East"/>
    <n v="13"/>
    <n v="90316"/>
    <x v="1"/>
    <n v="3"/>
    <n v="2"/>
    <n v="80"/>
    <n v="3"/>
    <d v="2010-04-04T00:00:00"/>
    <s v="Yes"/>
    <x v="1"/>
    <n v="1"/>
    <x v="2"/>
    <x v="1"/>
    <x v="2"/>
  </r>
  <r>
    <s v="REL03230"/>
    <s v="Male"/>
    <n v="25"/>
    <s v="Graduate"/>
    <s v="Married"/>
    <x v="0"/>
    <s v="Sales Executive"/>
    <x v="4"/>
    <x v="4"/>
    <s v="North"/>
    <n v="9"/>
    <n v="53077"/>
    <x v="1"/>
    <n v="1"/>
    <n v="3"/>
    <n v="56"/>
    <n v="2"/>
    <d v="2014-07-12T00:00:00"/>
    <s v="Yes"/>
    <x v="0"/>
    <n v="1"/>
    <x v="1"/>
    <x v="1"/>
    <x v="1"/>
  </r>
  <r>
    <s v="REL03231"/>
    <s v="Female"/>
    <n v="49"/>
    <s v="HSC"/>
    <s v="Single"/>
    <x v="1"/>
    <s v="HR Manager"/>
    <x v="1"/>
    <x v="4"/>
    <s v="North"/>
    <n v="14"/>
    <n v="101466"/>
    <x v="0"/>
    <n v="2"/>
    <n v="2"/>
    <n v="26"/>
    <n v="0"/>
    <d v="2009-07-25T00:00:00"/>
    <s v="No"/>
    <x v="1"/>
    <n v="3"/>
    <x v="2"/>
    <x v="0"/>
    <x v="0"/>
  </r>
  <r>
    <s v="REL03232"/>
    <s v="Male"/>
    <n v="35"/>
    <s v="Graduate"/>
    <s v="Single"/>
    <x v="4"/>
    <s v="Customer Service Rep"/>
    <x v="0"/>
    <x v="8"/>
    <s v="South"/>
    <n v="4"/>
    <n v="35798"/>
    <x v="3"/>
    <n v="1"/>
    <n v="3"/>
    <n v="65"/>
    <n v="2"/>
    <d v="2019-06-11T00:00:00"/>
    <s v="No"/>
    <x v="2"/>
    <n v="4"/>
    <x v="0"/>
    <x v="2"/>
    <x v="1"/>
  </r>
  <r>
    <s v="REL03233"/>
    <s v="Male"/>
    <n v="22"/>
    <s v="MBA"/>
    <s v="Single"/>
    <x v="0"/>
    <s v="Logistics Coordinator"/>
    <x v="3"/>
    <x v="4"/>
    <s v="North"/>
    <n v="6"/>
    <n v="66586"/>
    <x v="3"/>
    <n v="4"/>
    <n v="1"/>
    <n v="18"/>
    <n v="1"/>
    <d v="2017-01-05T00:00:00"/>
    <s v="No"/>
    <x v="0"/>
    <n v="4"/>
    <x v="1"/>
    <x v="2"/>
    <x v="1"/>
  </r>
  <r>
    <s v="REL03234"/>
    <s v="Male"/>
    <n v="46"/>
    <s v="BTech"/>
    <s v="Divorced"/>
    <x v="7"/>
    <s v="Sales Executive"/>
    <x v="0"/>
    <x v="1"/>
    <s v="North"/>
    <n v="12"/>
    <n v="56092"/>
    <x v="3"/>
    <n v="2"/>
    <n v="2"/>
    <n v="18"/>
    <n v="2"/>
    <d v="2011-09-29T00:00:00"/>
    <s v="No"/>
    <x v="0"/>
    <n v="4"/>
    <x v="2"/>
    <x v="2"/>
    <x v="1"/>
  </r>
  <r>
    <s v="REL03235"/>
    <s v="Male"/>
    <n v="33"/>
    <s v="BTech"/>
    <s v="Married"/>
    <x v="3"/>
    <s v="Logistics Coordinator"/>
    <x v="1"/>
    <x v="7"/>
    <s v="East"/>
    <n v="15"/>
    <n v="69422"/>
    <x v="1"/>
    <n v="1"/>
    <n v="3"/>
    <n v="28"/>
    <n v="0"/>
    <d v="2008-09-06T00:00:00"/>
    <s v="No"/>
    <x v="0"/>
    <n v="1"/>
    <x v="2"/>
    <x v="0"/>
    <x v="1"/>
  </r>
  <r>
    <s v="REL03236"/>
    <s v="Male"/>
    <n v="31"/>
    <s v="MBA"/>
    <s v="Single"/>
    <x v="5"/>
    <s v="Store Manager"/>
    <x v="4"/>
    <x v="1"/>
    <s v="North"/>
    <n v="7"/>
    <n v="107338"/>
    <x v="2"/>
    <n v="3"/>
    <n v="3"/>
    <n v="77"/>
    <n v="3"/>
    <d v="2016-11-09T00:00:00"/>
    <s v="No"/>
    <x v="1"/>
    <n v="2"/>
    <x v="1"/>
    <x v="0"/>
    <x v="1"/>
  </r>
  <r>
    <s v="REL03237"/>
    <s v="Male"/>
    <n v="49"/>
    <s v="HSC"/>
    <s v="Married"/>
    <x v="4"/>
    <s v="Operations Head"/>
    <x v="1"/>
    <x v="7"/>
    <s v="East"/>
    <n v="9"/>
    <n v="111924"/>
    <x v="3"/>
    <n v="4"/>
    <n v="1"/>
    <n v="33"/>
    <n v="3"/>
    <d v="2014-03-05T00:00:00"/>
    <s v="Yes"/>
    <x v="1"/>
    <n v="4"/>
    <x v="1"/>
    <x v="1"/>
    <x v="0"/>
  </r>
  <r>
    <s v="REL03238"/>
    <s v="Male"/>
    <n v="36"/>
    <s v="Graduate"/>
    <s v="Divorced"/>
    <x v="5"/>
    <s v="Finance Analyst"/>
    <x v="0"/>
    <x v="3"/>
    <s v="West"/>
    <n v="5"/>
    <n v="61210"/>
    <x v="1"/>
    <n v="1"/>
    <n v="3"/>
    <n v="60"/>
    <n v="0"/>
    <d v="2018-06-22T00:00:00"/>
    <s v="Yes"/>
    <x v="0"/>
    <n v="1"/>
    <x v="0"/>
    <x v="1"/>
    <x v="1"/>
  </r>
  <r>
    <s v="REL03239"/>
    <s v="Male"/>
    <n v="43"/>
    <s v="Graduate"/>
    <s v="Married"/>
    <x v="4"/>
    <s v="Sales Executive"/>
    <x v="0"/>
    <x v="4"/>
    <s v="North"/>
    <n v="14"/>
    <n v="69819"/>
    <x v="1"/>
    <n v="4"/>
    <n v="3"/>
    <n v="58"/>
    <n v="3"/>
    <d v="2009-10-26T00:00:00"/>
    <s v="Yes"/>
    <x v="0"/>
    <n v="1"/>
    <x v="2"/>
    <x v="1"/>
    <x v="1"/>
  </r>
  <r>
    <s v="REL03240"/>
    <s v="Female"/>
    <n v="51"/>
    <s v="MBA"/>
    <s v="Married"/>
    <x v="5"/>
    <s v="Store Manager"/>
    <x v="4"/>
    <x v="3"/>
    <s v="West"/>
    <n v="10"/>
    <n v="111755"/>
    <x v="2"/>
    <n v="4"/>
    <n v="2"/>
    <n v="70"/>
    <n v="1"/>
    <d v="2013-02-08T00:00:00"/>
    <s v="No"/>
    <x v="1"/>
    <n v="2"/>
    <x v="1"/>
    <x v="0"/>
    <x v="1"/>
  </r>
  <r>
    <s v="REL03241"/>
    <s v="Male"/>
    <n v="34"/>
    <s v="HSC"/>
    <s v="Single"/>
    <x v="2"/>
    <s v="Operations Head"/>
    <x v="1"/>
    <x v="4"/>
    <s v="North"/>
    <n v="8"/>
    <n v="108397"/>
    <x v="2"/>
    <n v="1"/>
    <n v="4"/>
    <n v="12"/>
    <n v="0"/>
    <d v="2015-10-18T00:00:00"/>
    <s v="No"/>
    <x v="1"/>
    <n v="2"/>
    <x v="1"/>
    <x v="0"/>
    <x v="1"/>
  </r>
  <r>
    <s v="REL03242"/>
    <s v="Female"/>
    <n v="36"/>
    <s v="Post Graduate"/>
    <s v="Single"/>
    <x v="3"/>
    <s v="Operations Head"/>
    <x v="3"/>
    <x v="3"/>
    <s v="West"/>
    <n v="15"/>
    <n v="131288"/>
    <x v="1"/>
    <n v="1"/>
    <n v="1"/>
    <n v="16"/>
    <n v="1"/>
    <d v="2008-10-01T00:00:00"/>
    <s v="Yes"/>
    <x v="1"/>
    <n v="1"/>
    <x v="2"/>
    <x v="1"/>
    <x v="2"/>
  </r>
  <r>
    <s v="REL03243"/>
    <s v="Male"/>
    <n v="37"/>
    <s v="Graduate"/>
    <s v="Divorced"/>
    <x v="6"/>
    <s v="Finance Analyst"/>
    <x v="2"/>
    <x v="2"/>
    <s v="West"/>
    <n v="8"/>
    <n v="72296"/>
    <x v="0"/>
    <n v="2"/>
    <n v="1"/>
    <n v="43"/>
    <n v="2"/>
    <d v="2015-11-09T00:00:00"/>
    <s v="No"/>
    <x v="0"/>
    <n v="3"/>
    <x v="1"/>
    <x v="0"/>
    <x v="0"/>
  </r>
  <r>
    <s v="REL03244"/>
    <s v="Male"/>
    <n v="54"/>
    <s v="MBA"/>
    <s v="Married"/>
    <x v="1"/>
    <s v="Operations Head"/>
    <x v="3"/>
    <x v="6"/>
    <s v="South"/>
    <n v="4"/>
    <n v="105644"/>
    <x v="3"/>
    <n v="2"/>
    <n v="3"/>
    <n v="63"/>
    <n v="2"/>
    <d v="2019-09-24T00:00:00"/>
    <s v="No"/>
    <x v="1"/>
    <n v="4"/>
    <x v="0"/>
    <x v="2"/>
    <x v="0"/>
  </r>
  <r>
    <s v="REL03245"/>
    <s v="Male"/>
    <n v="45"/>
    <s v="BTech"/>
    <s v="Divorced"/>
    <x v="6"/>
    <s v="Customer Service Rep"/>
    <x v="3"/>
    <x v="2"/>
    <s v="West"/>
    <n v="12"/>
    <n v="67146"/>
    <x v="3"/>
    <n v="3"/>
    <n v="2"/>
    <n v="79"/>
    <n v="0"/>
    <d v="2011-12-19T00:00:00"/>
    <s v="Yes"/>
    <x v="0"/>
    <n v="4"/>
    <x v="2"/>
    <x v="1"/>
    <x v="1"/>
  </r>
  <r>
    <s v="REL03246"/>
    <s v="Female"/>
    <n v="51"/>
    <s v="BTech"/>
    <s v="Single"/>
    <x v="7"/>
    <s v="Sales Executive"/>
    <x v="0"/>
    <x v="7"/>
    <s v="East"/>
    <n v="15"/>
    <n v="70288"/>
    <x v="3"/>
    <n v="1"/>
    <n v="4"/>
    <n v="68"/>
    <n v="2"/>
    <d v="2008-09-13T00:00:00"/>
    <s v="No"/>
    <x v="0"/>
    <n v="4"/>
    <x v="2"/>
    <x v="2"/>
    <x v="1"/>
  </r>
  <r>
    <s v="REL03247"/>
    <s v="Female"/>
    <n v="27"/>
    <s v="BTech"/>
    <s v="Divorced"/>
    <x v="2"/>
    <s v="Sales Executive"/>
    <x v="0"/>
    <x v="4"/>
    <s v="North"/>
    <n v="6"/>
    <n v="51665"/>
    <x v="3"/>
    <n v="3"/>
    <n v="3"/>
    <n v="24"/>
    <n v="3"/>
    <d v="2017-05-29T00:00:00"/>
    <s v="No"/>
    <x v="0"/>
    <n v="4"/>
    <x v="1"/>
    <x v="2"/>
    <x v="1"/>
  </r>
  <r>
    <s v="REL03248"/>
    <s v="Female"/>
    <n v="45"/>
    <s v="HSC"/>
    <s v="Married"/>
    <x v="0"/>
    <s v="Customer Service Rep"/>
    <x v="4"/>
    <x v="0"/>
    <s v="North"/>
    <n v="15"/>
    <n v="68599"/>
    <x v="1"/>
    <n v="3"/>
    <n v="2"/>
    <n v="61"/>
    <n v="1"/>
    <d v="2008-06-18T00:00:00"/>
    <s v="Yes"/>
    <x v="0"/>
    <n v="1"/>
    <x v="2"/>
    <x v="1"/>
    <x v="1"/>
  </r>
  <r>
    <s v="REL03249"/>
    <s v="Male"/>
    <n v="39"/>
    <s v="HSC"/>
    <s v="Single"/>
    <x v="7"/>
    <s v="Customer Service Rep"/>
    <x v="3"/>
    <x v="9"/>
    <s v="West"/>
    <n v="6"/>
    <n v="56645"/>
    <x v="1"/>
    <n v="2"/>
    <n v="1"/>
    <n v="64"/>
    <n v="1"/>
    <d v="2017-01-28T00:00:00"/>
    <s v="Yes"/>
    <x v="0"/>
    <n v="1"/>
    <x v="1"/>
    <x v="1"/>
    <x v="1"/>
  </r>
  <r>
    <s v="REL03250"/>
    <s v="Female"/>
    <n v="28"/>
    <s v="HSC"/>
    <s v="Married"/>
    <x v="6"/>
    <s v="Operations Head"/>
    <x v="3"/>
    <x v="6"/>
    <s v="South"/>
    <n v="9"/>
    <n v="106529"/>
    <x v="2"/>
    <n v="2"/>
    <n v="2"/>
    <n v="61"/>
    <n v="1"/>
    <d v="2014-02-06T00:00:00"/>
    <s v="No"/>
    <x v="1"/>
    <n v="2"/>
    <x v="1"/>
    <x v="0"/>
    <x v="1"/>
  </r>
  <r>
    <s v="REL03251"/>
    <s v="Male"/>
    <n v="26"/>
    <s v="Post Graduate"/>
    <s v="Married"/>
    <x v="0"/>
    <s v="Sales Executive"/>
    <x v="0"/>
    <x v="7"/>
    <s v="East"/>
    <n v="4"/>
    <n v="49821"/>
    <x v="0"/>
    <n v="4"/>
    <n v="1"/>
    <n v="23"/>
    <n v="3"/>
    <d v="2019-02-14T00:00:00"/>
    <s v="Yes"/>
    <x v="2"/>
    <n v="3"/>
    <x v="0"/>
    <x v="1"/>
    <x v="1"/>
  </r>
  <r>
    <s v="REL03252"/>
    <s v="Male"/>
    <n v="50"/>
    <s v="Post Graduate"/>
    <s v="Divorced"/>
    <x v="3"/>
    <s v="Marketing Executive"/>
    <x v="3"/>
    <x v="3"/>
    <s v="West"/>
    <n v="8"/>
    <n v="65735"/>
    <x v="2"/>
    <n v="2"/>
    <n v="2"/>
    <n v="24"/>
    <n v="3"/>
    <d v="2015-05-15T00:00:00"/>
    <s v="No"/>
    <x v="0"/>
    <n v="2"/>
    <x v="1"/>
    <x v="0"/>
    <x v="1"/>
  </r>
  <r>
    <s v="REL03253"/>
    <s v="Female"/>
    <n v="55"/>
    <s v="HSC"/>
    <s v="Divorced"/>
    <x v="2"/>
    <s v="HR Manager"/>
    <x v="1"/>
    <x v="2"/>
    <s v="West"/>
    <n v="9"/>
    <n v="88575"/>
    <x v="1"/>
    <n v="2"/>
    <n v="1"/>
    <n v="37"/>
    <n v="2"/>
    <d v="2014-03-30T00:00:00"/>
    <s v="No"/>
    <x v="1"/>
    <n v="1"/>
    <x v="1"/>
    <x v="0"/>
    <x v="2"/>
  </r>
  <r>
    <s v="REL03254"/>
    <s v="Female"/>
    <n v="31"/>
    <s v="BTech"/>
    <s v="Divorced"/>
    <x v="4"/>
    <s v="Finance Analyst"/>
    <x v="4"/>
    <x v="9"/>
    <s v="West"/>
    <n v="5"/>
    <n v="68974"/>
    <x v="1"/>
    <n v="4"/>
    <n v="1"/>
    <n v="72"/>
    <n v="2"/>
    <d v="2018-09-25T00:00:00"/>
    <s v="Yes"/>
    <x v="0"/>
    <n v="1"/>
    <x v="0"/>
    <x v="1"/>
    <x v="1"/>
  </r>
  <r>
    <s v="REL03255"/>
    <s v="Female"/>
    <n v="38"/>
    <s v="Post Graduate"/>
    <s v="Married"/>
    <x v="5"/>
    <s v="Store Manager"/>
    <x v="3"/>
    <x v="2"/>
    <s v="West"/>
    <n v="10"/>
    <n v="107611"/>
    <x v="1"/>
    <n v="1"/>
    <n v="1"/>
    <n v="74"/>
    <n v="0"/>
    <d v="2013-09-01T00:00:00"/>
    <s v="No"/>
    <x v="1"/>
    <n v="1"/>
    <x v="1"/>
    <x v="0"/>
    <x v="2"/>
  </r>
  <r>
    <s v="REL03256"/>
    <s v="Male"/>
    <n v="45"/>
    <s v="Post Graduate"/>
    <s v="Divorced"/>
    <x v="5"/>
    <s v="Sales Executive"/>
    <x v="0"/>
    <x v="4"/>
    <s v="North"/>
    <n v="6"/>
    <n v="61170"/>
    <x v="2"/>
    <n v="4"/>
    <n v="2"/>
    <n v="49"/>
    <n v="2"/>
    <d v="2017-08-07T00:00:00"/>
    <s v="No"/>
    <x v="0"/>
    <n v="2"/>
    <x v="1"/>
    <x v="0"/>
    <x v="1"/>
  </r>
  <r>
    <s v="REL03257"/>
    <s v="Male"/>
    <n v="41"/>
    <s v="HSC"/>
    <s v="Married"/>
    <x v="2"/>
    <s v="Finance Analyst"/>
    <x v="3"/>
    <x v="3"/>
    <s v="West"/>
    <n v="11"/>
    <n v="73571"/>
    <x v="3"/>
    <n v="2"/>
    <n v="2"/>
    <n v="73"/>
    <n v="2"/>
    <d v="2012-08-28T00:00:00"/>
    <s v="No"/>
    <x v="0"/>
    <n v="4"/>
    <x v="2"/>
    <x v="2"/>
    <x v="1"/>
  </r>
  <r>
    <s v="REL03258"/>
    <s v="Male"/>
    <n v="46"/>
    <s v="HSC"/>
    <s v="Single"/>
    <x v="0"/>
    <s v="Sales Executive"/>
    <x v="4"/>
    <x v="6"/>
    <s v="South"/>
    <n v="7"/>
    <n v="53046"/>
    <x v="2"/>
    <n v="3"/>
    <n v="4"/>
    <n v="39"/>
    <n v="1"/>
    <d v="2016-01-24T00:00:00"/>
    <s v="No"/>
    <x v="0"/>
    <n v="2"/>
    <x v="1"/>
    <x v="0"/>
    <x v="1"/>
  </r>
  <r>
    <s v="REL03259"/>
    <s v="Female"/>
    <n v="54"/>
    <s v="Graduate"/>
    <s v="Single"/>
    <x v="6"/>
    <s v="Sales Executive"/>
    <x v="1"/>
    <x v="9"/>
    <s v="West"/>
    <n v="1"/>
    <n v="38606"/>
    <x v="2"/>
    <n v="1"/>
    <n v="4"/>
    <n v="24"/>
    <n v="2"/>
    <d v="2022-11-26T00:00:00"/>
    <s v="No"/>
    <x v="2"/>
    <n v="2"/>
    <x v="3"/>
    <x v="0"/>
    <x v="1"/>
  </r>
  <r>
    <s v="REL03260"/>
    <s v="Female"/>
    <n v="44"/>
    <s v="HSC"/>
    <s v="Divorced"/>
    <x v="2"/>
    <s v="Operations Head"/>
    <x v="0"/>
    <x v="9"/>
    <s v="West"/>
    <n v="2"/>
    <n v="108099"/>
    <x v="2"/>
    <n v="2"/>
    <n v="4"/>
    <n v="37"/>
    <n v="3"/>
    <d v="2021-11-12T00:00:00"/>
    <s v="No"/>
    <x v="1"/>
    <n v="2"/>
    <x v="3"/>
    <x v="0"/>
    <x v="1"/>
  </r>
  <r>
    <s v="REL03261"/>
    <s v="Male"/>
    <n v="38"/>
    <s v="Post Graduate"/>
    <s v="Divorced"/>
    <x v="0"/>
    <s v="Logistics Coordinator"/>
    <x v="3"/>
    <x v="1"/>
    <s v="North"/>
    <n v="10"/>
    <n v="68970"/>
    <x v="0"/>
    <n v="1"/>
    <n v="4"/>
    <n v="79"/>
    <n v="2"/>
    <d v="2013-04-14T00:00:00"/>
    <s v="Yes"/>
    <x v="0"/>
    <n v="3"/>
    <x v="1"/>
    <x v="1"/>
    <x v="0"/>
  </r>
  <r>
    <s v="REL03262"/>
    <s v="Female"/>
    <n v="23"/>
    <s v="HSC"/>
    <s v="Divorced"/>
    <x v="3"/>
    <s v="Store Manager"/>
    <x v="3"/>
    <x v="1"/>
    <s v="North"/>
    <n v="4"/>
    <n v="102481"/>
    <x v="0"/>
    <n v="4"/>
    <n v="3"/>
    <n v="42"/>
    <n v="2"/>
    <d v="2019-12-17T00:00:00"/>
    <s v="No"/>
    <x v="1"/>
    <n v="3"/>
    <x v="0"/>
    <x v="0"/>
    <x v="0"/>
  </r>
  <r>
    <s v="REL03263"/>
    <s v="Male"/>
    <n v="25"/>
    <s v="BTech"/>
    <s v="Single"/>
    <x v="1"/>
    <s v="Store Manager"/>
    <x v="4"/>
    <x v="3"/>
    <s v="West"/>
    <n v="7"/>
    <n v="97575"/>
    <x v="3"/>
    <n v="4"/>
    <n v="2"/>
    <n v="37"/>
    <n v="0"/>
    <d v="2016-01-03T00:00:00"/>
    <s v="No"/>
    <x v="1"/>
    <n v="4"/>
    <x v="1"/>
    <x v="2"/>
    <x v="0"/>
  </r>
  <r>
    <s v="REL03264"/>
    <s v="Female"/>
    <n v="36"/>
    <s v="MBA"/>
    <s v="Divorced"/>
    <x v="3"/>
    <s v="HR Manager"/>
    <x v="3"/>
    <x v="3"/>
    <s v="West"/>
    <n v="4"/>
    <n v="87974"/>
    <x v="1"/>
    <n v="3"/>
    <n v="1"/>
    <n v="43"/>
    <n v="1"/>
    <d v="2019-09-19T00:00:00"/>
    <s v="Yes"/>
    <x v="1"/>
    <n v="1"/>
    <x v="0"/>
    <x v="1"/>
    <x v="2"/>
  </r>
  <r>
    <s v="REL03265"/>
    <s v="Female"/>
    <n v="35"/>
    <s v="HSC"/>
    <s v="Single"/>
    <x v="6"/>
    <s v="Store Manager"/>
    <x v="4"/>
    <x v="6"/>
    <s v="South"/>
    <n v="10"/>
    <n v="103531"/>
    <x v="2"/>
    <n v="2"/>
    <n v="4"/>
    <n v="56"/>
    <n v="2"/>
    <d v="2013-09-06T00:00:00"/>
    <s v="No"/>
    <x v="1"/>
    <n v="2"/>
    <x v="1"/>
    <x v="0"/>
    <x v="1"/>
  </r>
  <r>
    <s v="REL03266"/>
    <s v="Female"/>
    <n v="45"/>
    <s v="Graduate"/>
    <s v="Single"/>
    <x v="1"/>
    <s v="Marketing Executive"/>
    <x v="4"/>
    <x v="4"/>
    <s v="North"/>
    <n v="14"/>
    <n v="86459"/>
    <x v="2"/>
    <n v="3"/>
    <n v="4"/>
    <n v="47"/>
    <n v="1"/>
    <d v="2009-09-29T00:00:00"/>
    <s v="No"/>
    <x v="1"/>
    <n v="2"/>
    <x v="2"/>
    <x v="0"/>
    <x v="1"/>
  </r>
  <r>
    <s v="REL03267"/>
    <s v="Female"/>
    <n v="32"/>
    <s v="MBA"/>
    <s v="Married"/>
    <x v="0"/>
    <s v="Store Manager"/>
    <x v="3"/>
    <x v="2"/>
    <s v="West"/>
    <n v="12"/>
    <n v="118990"/>
    <x v="3"/>
    <n v="1"/>
    <n v="3"/>
    <n v="21"/>
    <n v="2"/>
    <d v="2011-02-20T00:00:00"/>
    <s v="No"/>
    <x v="1"/>
    <n v="4"/>
    <x v="2"/>
    <x v="2"/>
    <x v="0"/>
  </r>
  <r>
    <s v="REL03268"/>
    <s v="Male"/>
    <n v="49"/>
    <s v="HSC"/>
    <s v="Married"/>
    <x v="2"/>
    <s v="Sales Executive"/>
    <x v="3"/>
    <x v="5"/>
    <s v="South"/>
    <n v="2"/>
    <n v="53923"/>
    <x v="2"/>
    <n v="3"/>
    <n v="1"/>
    <n v="30"/>
    <n v="2"/>
    <d v="2021-11-17T00:00:00"/>
    <s v="No"/>
    <x v="0"/>
    <n v="2"/>
    <x v="3"/>
    <x v="0"/>
    <x v="1"/>
  </r>
  <r>
    <s v="REL03269"/>
    <s v="Male"/>
    <n v="32"/>
    <s v="Post Graduate"/>
    <s v="Divorced"/>
    <x v="3"/>
    <s v="Logistics Coordinator"/>
    <x v="3"/>
    <x v="8"/>
    <s v="South"/>
    <n v="1"/>
    <n v="41166"/>
    <x v="3"/>
    <n v="3"/>
    <n v="2"/>
    <n v="56"/>
    <n v="3"/>
    <d v="2022-02-05T00:00:00"/>
    <s v="No"/>
    <x v="2"/>
    <n v="4"/>
    <x v="3"/>
    <x v="2"/>
    <x v="1"/>
  </r>
  <r>
    <s v="REL03270"/>
    <s v="Male"/>
    <n v="31"/>
    <s v="HSC"/>
    <s v="Single"/>
    <x v="1"/>
    <s v="Operations Head"/>
    <x v="1"/>
    <x v="4"/>
    <s v="North"/>
    <n v="15"/>
    <n v="127035"/>
    <x v="2"/>
    <n v="4"/>
    <n v="3"/>
    <n v="72"/>
    <n v="2"/>
    <d v="2008-03-21T00:00:00"/>
    <s v="No"/>
    <x v="1"/>
    <n v="2"/>
    <x v="2"/>
    <x v="0"/>
    <x v="1"/>
  </r>
  <r>
    <s v="REL03271"/>
    <s v="Male"/>
    <n v="54"/>
    <s v="BTech"/>
    <s v="Divorced"/>
    <x v="4"/>
    <s v="Customer Service Rep"/>
    <x v="1"/>
    <x v="6"/>
    <s v="South"/>
    <n v="8"/>
    <n v="54046"/>
    <x v="1"/>
    <n v="3"/>
    <n v="4"/>
    <n v="35"/>
    <n v="1"/>
    <d v="2015-11-12T00:00:00"/>
    <s v="Yes"/>
    <x v="0"/>
    <n v="1"/>
    <x v="1"/>
    <x v="1"/>
    <x v="1"/>
  </r>
  <r>
    <s v="REL03272"/>
    <s v="Male"/>
    <n v="32"/>
    <s v="Post Graduate"/>
    <s v="Divorced"/>
    <x v="7"/>
    <s v="Finance Analyst"/>
    <x v="3"/>
    <x v="2"/>
    <s v="West"/>
    <n v="6"/>
    <n v="63908"/>
    <x v="1"/>
    <n v="1"/>
    <n v="2"/>
    <n v="38"/>
    <n v="3"/>
    <d v="2018-01-01T00:00:00"/>
    <s v="Yes"/>
    <x v="0"/>
    <n v="1"/>
    <x v="1"/>
    <x v="1"/>
    <x v="1"/>
  </r>
  <r>
    <s v="REL03273"/>
    <s v="Female"/>
    <n v="40"/>
    <s v="HSC"/>
    <s v="Married"/>
    <x v="1"/>
    <s v="Operations Head"/>
    <x v="0"/>
    <x v="7"/>
    <s v="East"/>
    <n v="2"/>
    <n v="98412"/>
    <x v="0"/>
    <n v="3"/>
    <n v="2"/>
    <n v="64"/>
    <n v="1"/>
    <d v="2021-09-14T00:00:00"/>
    <s v="No"/>
    <x v="1"/>
    <n v="3"/>
    <x v="3"/>
    <x v="0"/>
    <x v="0"/>
  </r>
  <r>
    <s v="REL03274"/>
    <s v="Male"/>
    <n v="43"/>
    <s v="Post Graduate"/>
    <s v="Married"/>
    <x v="3"/>
    <s v="Operations Head"/>
    <x v="0"/>
    <x v="1"/>
    <s v="North"/>
    <n v="6"/>
    <n v="104049"/>
    <x v="0"/>
    <n v="2"/>
    <n v="1"/>
    <n v="55"/>
    <n v="0"/>
    <d v="2017-02-17T00:00:00"/>
    <s v="Yes"/>
    <x v="1"/>
    <n v="3"/>
    <x v="1"/>
    <x v="1"/>
    <x v="0"/>
  </r>
  <r>
    <s v="REL03275"/>
    <s v="Male"/>
    <n v="38"/>
    <s v="MBA"/>
    <s v="Single"/>
    <x v="1"/>
    <s v="Store Manager"/>
    <x v="0"/>
    <x v="9"/>
    <s v="West"/>
    <n v="7"/>
    <n v="103173"/>
    <x v="1"/>
    <n v="3"/>
    <n v="4"/>
    <n v="51"/>
    <n v="3"/>
    <d v="2016-03-15T00:00:00"/>
    <s v="No"/>
    <x v="1"/>
    <n v="1"/>
    <x v="1"/>
    <x v="0"/>
    <x v="2"/>
  </r>
  <r>
    <s v="REL03276"/>
    <s v="Male"/>
    <n v="33"/>
    <s v="Graduate"/>
    <s v="Divorced"/>
    <x v="0"/>
    <s v="Sales Executive"/>
    <x v="1"/>
    <x v="0"/>
    <s v="North"/>
    <n v="11"/>
    <n v="53274"/>
    <x v="3"/>
    <n v="2"/>
    <n v="2"/>
    <n v="53"/>
    <n v="2"/>
    <d v="2012-12-24T00:00:00"/>
    <s v="No"/>
    <x v="0"/>
    <n v="4"/>
    <x v="2"/>
    <x v="2"/>
    <x v="1"/>
  </r>
  <r>
    <s v="REL03277"/>
    <s v="Female"/>
    <n v="38"/>
    <s v="Graduate"/>
    <s v="Married"/>
    <x v="3"/>
    <s v="Marketing Executive"/>
    <x v="4"/>
    <x v="0"/>
    <s v="North"/>
    <n v="10"/>
    <n v="64469"/>
    <x v="1"/>
    <n v="2"/>
    <n v="2"/>
    <n v="62"/>
    <n v="1"/>
    <d v="2013-03-25T00:00:00"/>
    <s v="Yes"/>
    <x v="0"/>
    <n v="1"/>
    <x v="1"/>
    <x v="1"/>
    <x v="1"/>
  </r>
  <r>
    <s v="REL03278"/>
    <s v="Male"/>
    <n v="43"/>
    <s v="Graduate"/>
    <s v="Married"/>
    <x v="6"/>
    <s v="Operations Head"/>
    <x v="2"/>
    <x v="6"/>
    <s v="South"/>
    <n v="5"/>
    <n v="105467"/>
    <x v="3"/>
    <n v="3"/>
    <n v="1"/>
    <n v="60"/>
    <n v="3"/>
    <d v="2018-05-04T00:00:00"/>
    <s v="No"/>
    <x v="1"/>
    <n v="4"/>
    <x v="0"/>
    <x v="2"/>
    <x v="0"/>
  </r>
  <r>
    <s v="REL03279"/>
    <s v="Male"/>
    <n v="35"/>
    <s v="Post Graduate"/>
    <s v="Married"/>
    <x v="7"/>
    <s v="Sales Executive"/>
    <x v="3"/>
    <x v="1"/>
    <s v="North"/>
    <n v="13"/>
    <n v="60084"/>
    <x v="3"/>
    <n v="3"/>
    <n v="2"/>
    <n v="35"/>
    <n v="1"/>
    <d v="2010-02-28T00:00:00"/>
    <s v="No"/>
    <x v="0"/>
    <n v="4"/>
    <x v="2"/>
    <x v="2"/>
    <x v="1"/>
  </r>
  <r>
    <s v="REL03280"/>
    <s v="Male"/>
    <n v="35"/>
    <s v="Post Graduate"/>
    <s v="Divorced"/>
    <x v="1"/>
    <s v="Operations Head"/>
    <x v="0"/>
    <x v="2"/>
    <s v="West"/>
    <n v="13"/>
    <n v="124583"/>
    <x v="2"/>
    <n v="4"/>
    <n v="2"/>
    <n v="21"/>
    <n v="0"/>
    <d v="2010-01-21T00:00:00"/>
    <s v="No"/>
    <x v="1"/>
    <n v="2"/>
    <x v="2"/>
    <x v="0"/>
    <x v="1"/>
  </r>
  <r>
    <s v="REL03281"/>
    <s v="Female"/>
    <n v="43"/>
    <s v="HSC"/>
    <s v="Single"/>
    <x v="7"/>
    <s v="HR Manager"/>
    <x v="4"/>
    <x v="7"/>
    <s v="East"/>
    <n v="4"/>
    <n v="79561"/>
    <x v="1"/>
    <n v="4"/>
    <n v="4"/>
    <n v="65"/>
    <n v="1"/>
    <d v="2019-07-05T00:00:00"/>
    <s v="Yes"/>
    <x v="0"/>
    <n v="1"/>
    <x v="0"/>
    <x v="1"/>
    <x v="1"/>
  </r>
  <r>
    <s v="REL03282"/>
    <s v="Male"/>
    <n v="22"/>
    <s v="BTech"/>
    <s v="Divorced"/>
    <x v="0"/>
    <s v="Logistics Coordinator"/>
    <x v="2"/>
    <x v="2"/>
    <s v="West"/>
    <n v="6"/>
    <n v="56312"/>
    <x v="0"/>
    <n v="4"/>
    <n v="1"/>
    <n v="57"/>
    <n v="0"/>
    <d v="2017-01-21T00:00:00"/>
    <s v="Yes"/>
    <x v="0"/>
    <n v="3"/>
    <x v="1"/>
    <x v="1"/>
    <x v="0"/>
  </r>
  <r>
    <s v="REL03283"/>
    <s v="Male"/>
    <n v="40"/>
    <s v="BTech"/>
    <s v="Divorced"/>
    <x v="6"/>
    <s v="Marketing Executive"/>
    <x v="3"/>
    <x v="9"/>
    <s v="West"/>
    <n v="10"/>
    <n v="77190"/>
    <x v="1"/>
    <n v="4"/>
    <n v="3"/>
    <n v="59"/>
    <n v="0"/>
    <d v="2013-02-07T00:00:00"/>
    <s v="No"/>
    <x v="0"/>
    <n v="1"/>
    <x v="1"/>
    <x v="0"/>
    <x v="1"/>
  </r>
  <r>
    <s v="REL03284"/>
    <s v="Female"/>
    <n v="29"/>
    <s v="MBA"/>
    <s v="Married"/>
    <x v="1"/>
    <s v="HR Manager"/>
    <x v="4"/>
    <x v="6"/>
    <s v="South"/>
    <n v="1"/>
    <n v="76472"/>
    <x v="3"/>
    <n v="4"/>
    <n v="2"/>
    <n v="67"/>
    <n v="1"/>
    <d v="2022-06-30T00:00:00"/>
    <s v="Yes"/>
    <x v="0"/>
    <n v="4"/>
    <x v="3"/>
    <x v="1"/>
    <x v="1"/>
  </r>
  <r>
    <s v="REL03285"/>
    <s v="Female"/>
    <n v="48"/>
    <s v="MBA"/>
    <s v="Divorced"/>
    <x v="1"/>
    <s v="Finance Analyst"/>
    <x v="2"/>
    <x v="7"/>
    <s v="East"/>
    <n v="15"/>
    <n v="81122"/>
    <x v="0"/>
    <n v="4"/>
    <n v="3"/>
    <n v="79"/>
    <n v="2"/>
    <d v="2008-04-21T00:00:00"/>
    <s v="No"/>
    <x v="1"/>
    <n v="3"/>
    <x v="2"/>
    <x v="0"/>
    <x v="0"/>
  </r>
  <r>
    <s v="REL03286"/>
    <s v="Female"/>
    <n v="38"/>
    <s v="MBA"/>
    <s v="Single"/>
    <x v="2"/>
    <s v="Sales Executive"/>
    <x v="4"/>
    <x v="5"/>
    <s v="South"/>
    <n v="3"/>
    <n v="37945"/>
    <x v="1"/>
    <n v="4"/>
    <n v="3"/>
    <n v="47"/>
    <n v="1"/>
    <d v="2020-11-19T00:00:00"/>
    <s v="Yes"/>
    <x v="2"/>
    <n v="1"/>
    <x v="0"/>
    <x v="1"/>
    <x v="1"/>
  </r>
  <r>
    <s v="REL03287"/>
    <s v="Male"/>
    <n v="31"/>
    <s v="MBA"/>
    <s v="Married"/>
    <x v="0"/>
    <s v="Finance Analyst"/>
    <x v="0"/>
    <x v="0"/>
    <s v="North"/>
    <n v="8"/>
    <n v="68175"/>
    <x v="2"/>
    <n v="4"/>
    <n v="1"/>
    <n v="79"/>
    <n v="2"/>
    <d v="2015-09-21T00:00:00"/>
    <s v="Yes"/>
    <x v="0"/>
    <n v="2"/>
    <x v="1"/>
    <x v="1"/>
    <x v="1"/>
  </r>
  <r>
    <s v="REL03288"/>
    <s v="Female"/>
    <n v="32"/>
    <s v="Post Graduate"/>
    <s v="Single"/>
    <x v="6"/>
    <s v="Marketing Executive"/>
    <x v="1"/>
    <x v="1"/>
    <s v="North"/>
    <n v="10"/>
    <n v="70870"/>
    <x v="1"/>
    <n v="3"/>
    <n v="3"/>
    <n v="52"/>
    <n v="1"/>
    <d v="2013-09-21T00:00:00"/>
    <s v="Yes"/>
    <x v="0"/>
    <n v="1"/>
    <x v="1"/>
    <x v="1"/>
    <x v="1"/>
  </r>
  <r>
    <s v="REL03289"/>
    <s v="Male"/>
    <n v="24"/>
    <s v="HSC"/>
    <s v="Single"/>
    <x v="3"/>
    <s v="Logistics Coordinator"/>
    <x v="0"/>
    <x v="0"/>
    <s v="North"/>
    <n v="1"/>
    <n v="41553"/>
    <x v="1"/>
    <n v="1"/>
    <n v="3"/>
    <n v="25"/>
    <n v="2"/>
    <d v="2022-04-14T00:00:00"/>
    <s v="No"/>
    <x v="2"/>
    <n v="1"/>
    <x v="3"/>
    <x v="3"/>
    <x v="1"/>
  </r>
  <r>
    <s v="REL03290"/>
    <s v="Male"/>
    <n v="37"/>
    <s v="HSC"/>
    <s v="Married"/>
    <x v="4"/>
    <s v="Store Manager"/>
    <x v="4"/>
    <x v="0"/>
    <s v="North"/>
    <n v="13"/>
    <n v="119296"/>
    <x v="2"/>
    <n v="3"/>
    <n v="2"/>
    <n v="61"/>
    <n v="1"/>
    <d v="2010-12-28T00:00:00"/>
    <s v="No"/>
    <x v="1"/>
    <n v="2"/>
    <x v="2"/>
    <x v="0"/>
    <x v="1"/>
  </r>
  <r>
    <s v="REL03291"/>
    <s v="Female"/>
    <n v="39"/>
    <s v="Post Graduate"/>
    <s v="Divorced"/>
    <x v="4"/>
    <s v="Logistics Coordinator"/>
    <x v="4"/>
    <x v="2"/>
    <s v="West"/>
    <n v="3"/>
    <n v="50935"/>
    <x v="0"/>
    <n v="2"/>
    <n v="3"/>
    <n v="53"/>
    <n v="1"/>
    <d v="2020-10-24T00:00:00"/>
    <s v="No"/>
    <x v="0"/>
    <n v="3"/>
    <x v="0"/>
    <x v="0"/>
    <x v="0"/>
  </r>
  <r>
    <s v="REL03292"/>
    <s v="Female"/>
    <n v="40"/>
    <s v="HSC"/>
    <s v="Single"/>
    <x v="6"/>
    <s v="Operations Head"/>
    <x v="4"/>
    <x v="4"/>
    <s v="North"/>
    <n v="3"/>
    <n v="91857"/>
    <x v="2"/>
    <n v="3"/>
    <n v="2"/>
    <n v="61"/>
    <n v="2"/>
    <d v="2020-11-20T00:00:00"/>
    <s v="No"/>
    <x v="1"/>
    <n v="2"/>
    <x v="0"/>
    <x v="0"/>
    <x v="1"/>
  </r>
  <r>
    <s v="REL03293"/>
    <s v="Male"/>
    <n v="31"/>
    <s v="HSC"/>
    <s v="Married"/>
    <x v="7"/>
    <s v="Sales Executive"/>
    <x v="3"/>
    <x v="6"/>
    <s v="South"/>
    <n v="1"/>
    <n v="49959"/>
    <x v="0"/>
    <n v="4"/>
    <n v="1"/>
    <n v="43"/>
    <n v="1"/>
    <d v="2022-11-10T00:00:00"/>
    <s v="No"/>
    <x v="2"/>
    <n v="3"/>
    <x v="3"/>
    <x v="0"/>
    <x v="1"/>
  </r>
  <r>
    <s v="REL03294"/>
    <s v="Male"/>
    <n v="49"/>
    <s v="Post Graduate"/>
    <s v="Married"/>
    <x v="0"/>
    <s v="HR Manager"/>
    <x v="1"/>
    <x v="1"/>
    <s v="North"/>
    <n v="1"/>
    <n v="67262"/>
    <x v="1"/>
    <n v="1"/>
    <n v="3"/>
    <n v="19"/>
    <n v="0"/>
    <d v="2022-03-07T00:00:00"/>
    <s v="Yes"/>
    <x v="0"/>
    <n v="1"/>
    <x v="3"/>
    <x v="1"/>
    <x v="1"/>
  </r>
  <r>
    <s v="REL03295"/>
    <s v="Female"/>
    <n v="35"/>
    <s v="Post Graduate"/>
    <s v="Married"/>
    <x v="5"/>
    <s v="Finance Analyst"/>
    <x v="2"/>
    <x v="9"/>
    <s v="West"/>
    <n v="2"/>
    <n v="55798"/>
    <x v="0"/>
    <n v="4"/>
    <n v="1"/>
    <n v="78"/>
    <n v="3"/>
    <d v="2021-01-23T00:00:00"/>
    <s v="No"/>
    <x v="0"/>
    <n v="3"/>
    <x v="3"/>
    <x v="0"/>
    <x v="0"/>
  </r>
  <r>
    <s v="REL03296"/>
    <s v="Female"/>
    <n v="34"/>
    <s v="MBA"/>
    <s v="Single"/>
    <x v="4"/>
    <s v="Finance Analyst"/>
    <x v="2"/>
    <x v="3"/>
    <s v="West"/>
    <n v="13"/>
    <n v="87324"/>
    <x v="1"/>
    <n v="4"/>
    <n v="2"/>
    <n v="14"/>
    <n v="0"/>
    <d v="2010-10-04T00:00:00"/>
    <s v="Yes"/>
    <x v="1"/>
    <n v="1"/>
    <x v="2"/>
    <x v="1"/>
    <x v="2"/>
  </r>
  <r>
    <s v="REL03297"/>
    <s v="Female"/>
    <n v="48"/>
    <s v="HSC"/>
    <s v="Married"/>
    <x v="1"/>
    <s v="Store Manager"/>
    <x v="2"/>
    <x v="7"/>
    <s v="East"/>
    <n v="1"/>
    <n v="83543"/>
    <x v="0"/>
    <n v="3"/>
    <n v="1"/>
    <n v="34"/>
    <n v="1"/>
    <d v="2022-07-13T00:00:00"/>
    <s v="No"/>
    <x v="1"/>
    <n v="3"/>
    <x v="3"/>
    <x v="0"/>
    <x v="0"/>
  </r>
  <r>
    <s v="REL03298"/>
    <s v="Female"/>
    <n v="41"/>
    <s v="Post Graduate"/>
    <s v="Single"/>
    <x v="2"/>
    <s v="Logistics Coordinator"/>
    <x v="0"/>
    <x v="0"/>
    <s v="North"/>
    <n v="10"/>
    <n v="71487"/>
    <x v="3"/>
    <n v="4"/>
    <n v="4"/>
    <n v="35"/>
    <n v="0"/>
    <d v="2013-02-25T00:00:00"/>
    <s v="No"/>
    <x v="0"/>
    <n v="4"/>
    <x v="1"/>
    <x v="2"/>
    <x v="1"/>
  </r>
  <r>
    <s v="REL03299"/>
    <s v="Male"/>
    <n v="37"/>
    <s v="Graduate"/>
    <s v="Married"/>
    <x v="4"/>
    <s v="Store Manager"/>
    <x v="2"/>
    <x v="7"/>
    <s v="East"/>
    <n v="10"/>
    <n v="101761"/>
    <x v="3"/>
    <n v="4"/>
    <n v="3"/>
    <n v="35"/>
    <n v="3"/>
    <d v="2013-01-14T00:00:00"/>
    <s v="No"/>
    <x v="1"/>
    <n v="4"/>
    <x v="1"/>
    <x v="2"/>
    <x v="0"/>
  </r>
  <r>
    <s v="REL03300"/>
    <s v="Male"/>
    <n v="41"/>
    <s v="HSC"/>
    <s v="Single"/>
    <x v="7"/>
    <s v="Operations Head"/>
    <x v="4"/>
    <x v="2"/>
    <s v="West"/>
    <n v="7"/>
    <n v="112720"/>
    <x v="0"/>
    <n v="2"/>
    <n v="2"/>
    <n v="37"/>
    <n v="1"/>
    <d v="2016-07-18T00:00:00"/>
    <s v="No"/>
    <x v="1"/>
    <n v="3"/>
    <x v="1"/>
    <x v="0"/>
    <x v="0"/>
  </r>
  <r>
    <s v="REL03301"/>
    <s v="Male"/>
    <n v="38"/>
    <s v="BTech"/>
    <s v="Married"/>
    <x v="1"/>
    <s v="HR Manager"/>
    <x v="0"/>
    <x v="7"/>
    <s v="East"/>
    <n v="12"/>
    <n v="108516"/>
    <x v="2"/>
    <n v="3"/>
    <n v="4"/>
    <n v="68"/>
    <n v="2"/>
    <d v="2011-02-25T00:00:00"/>
    <s v="No"/>
    <x v="1"/>
    <n v="2"/>
    <x v="2"/>
    <x v="0"/>
    <x v="1"/>
  </r>
  <r>
    <s v="REL03302"/>
    <s v="Female"/>
    <n v="40"/>
    <s v="Graduate"/>
    <s v="Married"/>
    <x v="1"/>
    <s v="Sales Executive"/>
    <x v="2"/>
    <x v="1"/>
    <s v="North"/>
    <n v="3"/>
    <n v="55904"/>
    <x v="2"/>
    <n v="3"/>
    <n v="1"/>
    <n v="28"/>
    <n v="1"/>
    <d v="2021-01-01T00:00:00"/>
    <s v="No"/>
    <x v="0"/>
    <n v="2"/>
    <x v="0"/>
    <x v="0"/>
    <x v="1"/>
  </r>
  <r>
    <s v="REL03303"/>
    <s v="Male"/>
    <n v="22"/>
    <s v="MBA"/>
    <s v="Married"/>
    <x v="5"/>
    <s v="Operations Head"/>
    <x v="0"/>
    <x v="0"/>
    <s v="North"/>
    <n v="3"/>
    <n v="99561"/>
    <x v="3"/>
    <n v="1"/>
    <n v="1"/>
    <n v="61"/>
    <n v="1"/>
    <d v="2020-04-19T00:00:00"/>
    <s v="No"/>
    <x v="1"/>
    <n v="4"/>
    <x v="0"/>
    <x v="2"/>
    <x v="0"/>
  </r>
  <r>
    <s v="REL03304"/>
    <s v="Male"/>
    <n v="23"/>
    <s v="HSC"/>
    <s v="Single"/>
    <x v="7"/>
    <s v="Operations Head"/>
    <x v="4"/>
    <x v="6"/>
    <s v="South"/>
    <n v="11"/>
    <n v="125714"/>
    <x v="0"/>
    <n v="4"/>
    <n v="4"/>
    <n v="35"/>
    <n v="3"/>
    <d v="2012-08-27T00:00:00"/>
    <s v="Yes"/>
    <x v="1"/>
    <n v="3"/>
    <x v="2"/>
    <x v="1"/>
    <x v="0"/>
  </r>
  <r>
    <s v="REL03305"/>
    <s v="Female"/>
    <n v="40"/>
    <s v="Post Graduate"/>
    <s v="Married"/>
    <x v="3"/>
    <s v="Sales Executive"/>
    <x v="3"/>
    <x v="8"/>
    <s v="South"/>
    <n v="12"/>
    <n v="60143"/>
    <x v="0"/>
    <n v="4"/>
    <n v="4"/>
    <n v="75"/>
    <n v="3"/>
    <d v="2011-08-24T00:00:00"/>
    <s v="No"/>
    <x v="0"/>
    <n v="3"/>
    <x v="2"/>
    <x v="0"/>
    <x v="0"/>
  </r>
  <r>
    <s v="REL03306"/>
    <s v="Female"/>
    <n v="34"/>
    <s v="Graduate"/>
    <s v="Single"/>
    <x v="6"/>
    <s v="Finance Analyst"/>
    <x v="3"/>
    <x v="4"/>
    <s v="North"/>
    <n v="7"/>
    <n v="70092"/>
    <x v="2"/>
    <n v="2"/>
    <n v="2"/>
    <n v="38"/>
    <n v="1"/>
    <d v="2016-03-03T00:00:00"/>
    <s v="No"/>
    <x v="0"/>
    <n v="2"/>
    <x v="1"/>
    <x v="0"/>
    <x v="1"/>
  </r>
  <r>
    <s v="REL03307"/>
    <s v="Female"/>
    <n v="26"/>
    <s v="HSC"/>
    <s v="Divorced"/>
    <x v="3"/>
    <s v="HR Manager"/>
    <x v="4"/>
    <x v="9"/>
    <s v="West"/>
    <n v="1"/>
    <n v="80665"/>
    <x v="1"/>
    <n v="3"/>
    <n v="1"/>
    <n v="79"/>
    <n v="2"/>
    <d v="2022-02-27T00:00:00"/>
    <s v="Yes"/>
    <x v="1"/>
    <n v="1"/>
    <x v="3"/>
    <x v="1"/>
    <x v="2"/>
  </r>
  <r>
    <s v="REL03308"/>
    <s v="Female"/>
    <n v="42"/>
    <s v="Post Graduate"/>
    <s v="Married"/>
    <x v="4"/>
    <s v="Sales Executive"/>
    <x v="3"/>
    <x v="0"/>
    <s v="North"/>
    <n v="7"/>
    <n v="57625"/>
    <x v="2"/>
    <n v="1"/>
    <n v="4"/>
    <n v="75"/>
    <n v="1"/>
    <d v="2016-09-18T00:00:00"/>
    <s v="Yes"/>
    <x v="0"/>
    <n v="2"/>
    <x v="1"/>
    <x v="1"/>
    <x v="1"/>
  </r>
  <r>
    <s v="REL03309"/>
    <s v="Male"/>
    <n v="46"/>
    <s v="MBA"/>
    <s v="Single"/>
    <x v="7"/>
    <s v="Logistics Coordinator"/>
    <x v="1"/>
    <x v="6"/>
    <s v="South"/>
    <n v="12"/>
    <n v="61347"/>
    <x v="2"/>
    <n v="3"/>
    <n v="2"/>
    <n v="34"/>
    <n v="1"/>
    <d v="2011-11-22T00:00:00"/>
    <s v="No"/>
    <x v="0"/>
    <n v="2"/>
    <x v="2"/>
    <x v="0"/>
    <x v="1"/>
  </r>
  <r>
    <s v="REL03310"/>
    <s v="Male"/>
    <n v="34"/>
    <s v="Graduate"/>
    <s v="Divorced"/>
    <x v="7"/>
    <s v="Customer Service Rep"/>
    <x v="1"/>
    <x v="7"/>
    <s v="East"/>
    <n v="15"/>
    <n v="56418"/>
    <x v="3"/>
    <n v="2"/>
    <n v="3"/>
    <n v="71"/>
    <n v="0"/>
    <d v="2008-03-19T00:00:00"/>
    <s v="No"/>
    <x v="0"/>
    <n v="4"/>
    <x v="2"/>
    <x v="2"/>
    <x v="1"/>
  </r>
  <r>
    <s v="REL03311"/>
    <s v="Female"/>
    <n v="43"/>
    <s v="Graduate"/>
    <s v="Divorced"/>
    <x v="3"/>
    <s v="Marketing Executive"/>
    <x v="4"/>
    <x v="0"/>
    <s v="North"/>
    <n v="8"/>
    <n v="56803"/>
    <x v="0"/>
    <n v="2"/>
    <n v="2"/>
    <n v="14"/>
    <n v="3"/>
    <d v="2015-09-06T00:00:00"/>
    <s v="No"/>
    <x v="0"/>
    <n v="3"/>
    <x v="1"/>
    <x v="0"/>
    <x v="0"/>
  </r>
  <r>
    <s v="REL03312"/>
    <s v="Male"/>
    <n v="36"/>
    <s v="Post Graduate"/>
    <s v="Divorced"/>
    <x v="3"/>
    <s v="Marketing Executive"/>
    <x v="2"/>
    <x v="6"/>
    <s v="South"/>
    <n v="13"/>
    <n v="73946"/>
    <x v="3"/>
    <n v="3"/>
    <n v="1"/>
    <n v="23"/>
    <n v="0"/>
    <d v="2010-03-27T00:00:00"/>
    <s v="No"/>
    <x v="0"/>
    <n v="4"/>
    <x v="2"/>
    <x v="2"/>
    <x v="1"/>
  </r>
  <r>
    <s v="REL03313"/>
    <s v="Female"/>
    <n v="46"/>
    <s v="MBA"/>
    <s v="Divorced"/>
    <x v="7"/>
    <s v="Finance Analyst"/>
    <x v="3"/>
    <x v="5"/>
    <s v="South"/>
    <n v="9"/>
    <n v="87713"/>
    <x v="0"/>
    <n v="2"/>
    <n v="2"/>
    <n v="60"/>
    <n v="0"/>
    <d v="2014-05-24T00:00:00"/>
    <s v="No"/>
    <x v="1"/>
    <n v="3"/>
    <x v="1"/>
    <x v="0"/>
    <x v="0"/>
  </r>
  <r>
    <s v="REL03314"/>
    <s v="Female"/>
    <n v="38"/>
    <s v="HSC"/>
    <s v="Divorced"/>
    <x v="4"/>
    <s v="Logistics Coordinator"/>
    <x v="2"/>
    <x v="1"/>
    <s v="North"/>
    <n v="10"/>
    <n v="68372"/>
    <x v="0"/>
    <n v="4"/>
    <n v="3"/>
    <n v="68"/>
    <n v="2"/>
    <d v="2013-11-11T00:00:00"/>
    <s v="No"/>
    <x v="0"/>
    <n v="3"/>
    <x v="1"/>
    <x v="0"/>
    <x v="0"/>
  </r>
  <r>
    <s v="REL03315"/>
    <s v="Female"/>
    <n v="41"/>
    <s v="BTech"/>
    <s v="Divorced"/>
    <x v="0"/>
    <s v="Store Manager"/>
    <x v="3"/>
    <x v="5"/>
    <s v="South"/>
    <n v="14"/>
    <n v="115521"/>
    <x v="0"/>
    <n v="1"/>
    <n v="4"/>
    <n v="28"/>
    <n v="0"/>
    <d v="2009-12-02T00:00:00"/>
    <s v="No"/>
    <x v="1"/>
    <n v="3"/>
    <x v="2"/>
    <x v="0"/>
    <x v="0"/>
  </r>
  <r>
    <s v="REL03316"/>
    <s v="Male"/>
    <n v="29"/>
    <s v="HSC"/>
    <s v="Single"/>
    <x v="2"/>
    <s v="Store Manager"/>
    <x v="4"/>
    <x v="6"/>
    <s v="South"/>
    <n v="1"/>
    <n v="93964"/>
    <x v="0"/>
    <n v="1"/>
    <n v="1"/>
    <n v="66"/>
    <n v="3"/>
    <d v="2022-09-02T00:00:00"/>
    <s v="No"/>
    <x v="1"/>
    <n v="3"/>
    <x v="3"/>
    <x v="0"/>
    <x v="0"/>
  </r>
  <r>
    <s v="REL03317"/>
    <s v="Male"/>
    <n v="40"/>
    <s v="HSC"/>
    <s v="Single"/>
    <x v="1"/>
    <s v="Finance Analyst"/>
    <x v="4"/>
    <x v="5"/>
    <s v="South"/>
    <n v="1"/>
    <n v="61160"/>
    <x v="2"/>
    <n v="2"/>
    <n v="4"/>
    <n v="22"/>
    <n v="1"/>
    <d v="2022-07-12T00:00:00"/>
    <s v="No"/>
    <x v="0"/>
    <n v="2"/>
    <x v="3"/>
    <x v="0"/>
    <x v="1"/>
  </r>
  <r>
    <s v="REL03318"/>
    <s v="Female"/>
    <n v="35"/>
    <s v="MBA"/>
    <s v="Single"/>
    <x v="0"/>
    <s v="Operations Head"/>
    <x v="2"/>
    <x v="4"/>
    <s v="North"/>
    <n v="11"/>
    <n v="110652"/>
    <x v="2"/>
    <n v="3"/>
    <n v="1"/>
    <n v="76"/>
    <n v="2"/>
    <d v="2012-11-20T00:00:00"/>
    <s v="No"/>
    <x v="1"/>
    <n v="2"/>
    <x v="2"/>
    <x v="0"/>
    <x v="1"/>
  </r>
  <r>
    <s v="REL03319"/>
    <s v="Female"/>
    <n v="52"/>
    <s v="HSC"/>
    <s v="Single"/>
    <x v="6"/>
    <s v="Sales Executive"/>
    <x v="2"/>
    <x v="0"/>
    <s v="North"/>
    <n v="4"/>
    <n v="44416"/>
    <x v="0"/>
    <n v="1"/>
    <n v="2"/>
    <n v="70"/>
    <n v="3"/>
    <d v="2019-12-26T00:00:00"/>
    <s v="No"/>
    <x v="2"/>
    <n v="3"/>
    <x v="0"/>
    <x v="0"/>
    <x v="1"/>
  </r>
  <r>
    <s v="REL03320"/>
    <s v="Female"/>
    <n v="35"/>
    <s v="BTech"/>
    <s v="Married"/>
    <x v="3"/>
    <s v="Operations Head"/>
    <x v="3"/>
    <x v="6"/>
    <s v="South"/>
    <n v="10"/>
    <n v="109003"/>
    <x v="2"/>
    <n v="1"/>
    <n v="4"/>
    <n v="39"/>
    <n v="2"/>
    <d v="2013-10-30T00:00:00"/>
    <s v="No"/>
    <x v="1"/>
    <n v="2"/>
    <x v="1"/>
    <x v="0"/>
    <x v="1"/>
  </r>
  <r>
    <s v="REL03321"/>
    <s v="Female"/>
    <n v="28"/>
    <s v="Post Graduate"/>
    <s v="Single"/>
    <x v="2"/>
    <s v="Operations Head"/>
    <x v="4"/>
    <x v="9"/>
    <s v="West"/>
    <n v="5"/>
    <n v="109212"/>
    <x v="1"/>
    <n v="1"/>
    <n v="1"/>
    <n v="17"/>
    <n v="1"/>
    <d v="2018-08-15T00:00:00"/>
    <s v="No"/>
    <x v="1"/>
    <n v="1"/>
    <x v="0"/>
    <x v="0"/>
    <x v="2"/>
  </r>
  <r>
    <s v="REL03322"/>
    <s v="Male"/>
    <n v="29"/>
    <s v="Graduate"/>
    <s v="Single"/>
    <x v="2"/>
    <s v="Sales Executive"/>
    <x v="0"/>
    <x v="4"/>
    <s v="North"/>
    <n v="11"/>
    <n v="55225"/>
    <x v="2"/>
    <n v="3"/>
    <n v="4"/>
    <n v="15"/>
    <n v="1"/>
    <d v="2012-06-29T00:00:00"/>
    <s v="No"/>
    <x v="0"/>
    <n v="2"/>
    <x v="2"/>
    <x v="0"/>
    <x v="1"/>
  </r>
  <r>
    <s v="REL03323"/>
    <s v="Male"/>
    <n v="28"/>
    <s v="HSC"/>
    <s v="Single"/>
    <x v="5"/>
    <s v="Logistics Coordinator"/>
    <x v="2"/>
    <x v="5"/>
    <s v="South"/>
    <n v="11"/>
    <n v="73691"/>
    <x v="2"/>
    <n v="1"/>
    <n v="2"/>
    <n v="41"/>
    <n v="2"/>
    <d v="2012-04-17T00:00:00"/>
    <s v="No"/>
    <x v="0"/>
    <n v="2"/>
    <x v="2"/>
    <x v="0"/>
    <x v="1"/>
  </r>
  <r>
    <s v="REL03324"/>
    <s v="Male"/>
    <n v="47"/>
    <s v="BTech"/>
    <s v="Divorced"/>
    <x v="1"/>
    <s v="Logistics Coordinator"/>
    <x v="4"/>
    <x v="2"/>
    <s v="West"/>
    <n v="8"/>
    <n v="63950"/>
    <x v="1"/>
    <n v="2"/>
    <n v="4"/>
    <n v="77"/>
    <n v="2"/>
    <d v="2015-05-17T00:00:00"/>
    <s v="Yes"/>
    <x v="0"/>
    <n v="1"/>
    <x v="1"/>
    <x v="1"/>
    <x v="1"/>
  </r>
  <r>
    <s v="REL03325"/>
    <s v="Female"/>
    <n v="50"/>
    <s v="Graduate"/>
    <s v="Married"/>
    <x v="7"/>
    <s v="Marketing Executive"/>
    <x v="4"/>
    <x v="9"/>
    <s v="West"/>
    <n v="14"/>
    <n v="85425"/>
    <x v="3"/>
    <n v="1"/>
    <n v="1"/>
    <n v="42"/>
    <n v="3"/>
    <d v="2009-07-31T00:00:00"/>
    <s v="No"/>
    <x v="1"/>
    <n v="4"/>
    <x v="2"/>
    <x v="2"/>
    <x v="0"/>
  </r>
  <r>
    <s v="REL03326"/>
    <s v="Male"/>
    <n v="41"/>
    <s v="BTech"/>
    <s v="Single"/>
    <x v="0"/>
    <s v="HR Manager"/>
    <x v="1"/>
    <x v="5"/>
    <s v="South"/>
    <n v="3"/>
    <n v="74092"/>
    <x v="3"/>
    <n v="3"/>
    <n v="1"/>
    <n v="48"/>
    <n v="1"/>
    <d v="2020-11-04T00:00:00"/>
    <s v="No"/>
    <x v="0"/>
    <n v="4"/>
    <x v="0"/>
    <x v="2"/>
    <x v="1"/>
  </r>
  <r>
    <s v="REL03327"/>
    <s v="Male"/>
    <n v="42"/>
    <s v="BTech"/>
    <s v="Married"/>
    <x v="4"/>
    <s v="Finance Analyst"/>
    <x v="0"/>
    <x v="3"/>
    <s v="West"/>
    <n v="7"/>
    <n v="81449"/>
    <x v="2"/>
    <n v="2"/>
    <n v="3"/>
    <n v="12"/>
    <n v="0"/>
    <d v="2016-08-04T00:00:00"/>
    <s v="No"/>
    <x v="1"/>
    <n v="2"/>
    <x v="1"/>
    <x v="0"/>
    <x v="1"/>
  </r>
  <r>
    <s v="REL03328"/>
    <s v="Female"/>
    <n v="28"/>
    <s v="BTech"/>
    <s v="Married"/>
    <x v="7"/>
    <s v="Operations Head"/>
    <x v="3"/>
    <x v="0"/>
    <s v="North"/>
    <n v="4"/>
    <n v="104786"/>
    <x v="0"/>
    <n v="1"/>
    <n v="1"/>
    <n v="35"/>
    <n v="0"/>
    <d v="2019-12-02T00:00:00"/>
    <s v="Yes"/>
    <x v="1"/>
    <n v="3"/>
    <x v="0"/>
    <x v="1"/>
    <x v="0"/>
  </r>
  <r>
    <s v="REL03329"/>
    <s v="Male"/>
    <n v="46"/>
    <s v="MBA"/>
    <s v="Divorced"/>
    <x v="0"/>
    <s v="Logistics Coordinator"/>
    <x v="3"/>
    <x v="5"/>
    <s v="South"/>
    <n v="14"/>
    <n v="65311"/>
    <x v="1"/>
    <n v="3"/>
    <n v="4"/>
    <n v="49"/>
    <n v="1"/>
    <d v="2009-06-20T00:00:00"/>
    <s v="Yes"/>
    <x v="0"/>
    <n v="1"/>
    <x v="2"/>
    <x v="1"/>
    <x v="1"/>
  </r>
  <r>
    <s v="REL03330"/>
    <s v="Female"/>
    <n v="47"/>
    <s v="BTech"/>
    <s v="Single"/>
    <x v="7"/>
    <s v="Sales Executive"/>
    <x v="2"/>
    <x v="3"/>
    <s v="West"/>
    <n v="13"/>
    <n v="72773"/>
    <x v="2"/>
    <n v="2"/>
    <n v="3"/>
    <n v="42"/>
    <n v="2"/>
    <d v="2010-04-06T00:00:00"/>
    <s v="Yes"/>
    <x v="0"/>
    <n v="2"/>
    <x v="2"/>
    <x v="1"/>
    <x v="1"/>
  </r>
  <r>
    <s v="REL03331"/>
    <s v="Male"/>
    <n v="48"/>
    <s v="Post Graduate"/>
    <s v="Divorced"/>
    <x v="5"/>
    <s v="Operations Head"/>
    <x v="0"/>
    <x v="3"/>
    <s v="West"/>
    <n v="3"/>
    <n v="107333"/>
    <x v="1"/>
    <n v="4"/>
    <n v="2"/>
    <n v="13"/>
    <n v="0"/>
    <d v="2020-11-20T00:00:00"/>
    <s v="Yes"/>
    <x v="1"/>
    <n v="1"/>
    <x v="0"/>
    <x v="1"/>
    <x v="2"/>
  </r>
  <r>
    <s v="REL03332"/>
    <s v="Male"/>
    <n v="26"/>
    <s v="MBA"/>
    <s v="Single"/>
    <x v="0"/>
    <s v="Finance Analyst"/>
    <x v="0"/>
    <x v="2"/>
    <s v="West"/>
    <n v="2"/>
    <n v="59163"/>
    <x v="2"/>
    <n v="4"/>
    <n v="4"/>
    <n v="77"/>
    <n v="3"/>
    <d v="2021-11-28T00:00:00"/>
    <s v="No"/>
    <x v="0"/>
    <n v="2"/>
    <x v="3"/>
    <x v="0"/>
    <x v="1"/>
  </r>
  <r>
    <s v="REL03333"/>
    <s v="Female"/>
    <n v="54"/>
    <s v="HSC"/>
    <s v="Divorced"/>
    <x v="7"/>
    <s v="Customer Service Rep"/>
    <x v="2"/>
    <x v="5"/>
    <s v="South"/>
    <n v="12"/>
    <n v="67178"/>
    <x v="3"/>
    <n v="1"/>
    <n v="3"/>
    <n v="71"/>
    <n v="0"/>
    <d v="2011-09-16T00:00:00"/>
    <s v="No"/>
    <x v="0"/>
    <n v="4"/>
    <x v="2"/>
    <x v="2"/>
    <x v="1"/>
  </r>
  <r>
    <s v="REL03334"/>
    <s v="Female"/>
    <n v="39"/>
    <s v="Graduate"/>
    <s v="Divorced"/>
    <x v="7"/>
    <s v="Logistics Coordinator"/>
    <x v="4"/>
    <x v="7"/>
    <s v="East"/>
    <n v="14"/>
    <n v="73408"/>
    <x v="0"/>
    <n v="4"/>
    <n v="3"/>
    <n v="60"/>
    <n v="3"/>
    <d v="2009-07-11T00:00:00"/>
    <s v="No"/>
    <x v="0"/>
    <n v="3"/>
    <x v="2"/>
    <x v="0"/>
    <x v="0"/>
  </r>
  <r>
    <s v="REL03335"/>
    <s v="Male"/>
    <n v="53"/>
    <s v="Graduate"/>
    <s v="Single"/>
    <x v="7"/>
    <s v="Sales Executive"/>
    <x v="4"/>
    <x v="2"/>
    <s v="West"/>
    <n v="8"/>
    <n v="48724"/>
    <x v="2"/>
    <n v="1"/>
    <n v="3"/>
    <n v="77"/>
    <n v="1"/>
    <d v="2015-10-24T00:00:00"/>
    <s v="Yes"/>
    <x v="2"/>
    <n v="2"/>
    <x v="1"/>
    <x v="1"/>
    <x v="1"/>
  </r>
  <r>
    <s v="REL03336"/>
    <s v="Male"/>
    <n v="44"/>
    <s v="MBA"/>
    <s v="Married"/>
    <x v="6"/>
    <s v="Logistics Coordinator"/>
    <x v="3"/>
    <x v="7"/>
    <s v="East"/>
    <n v="13"/>
    <n v="66977"/>
    <x v="0"/>
    <n v="1"/>
    <n v="3"/>
    <n v="13"/>
    <n v="1"/>
    <d v="2010-07-15T00:00:00"/>
    <s v="No"/>
    <x v="0"/>
    <n v="3"/>
    <x v="2"/>
    <x v="0"/>
    <x v="0"/>
  </r>
  <r>
    <s v="REL03337"/>
    <s v="Female"/>
    <n v="55"/>
    <s v="Post Graduate"/>
    <s v="Single"/>
    <x v="5"/>
    <s v="Store Manager"/>
    <x v="1"/>
    <x v="5"/>
    <s v="South"/>
    <n v="9"/>
    <n v="109899"/>
    <x v="2"/>
    <n v="3"/>
    <n v="2"/>
    <n v="45"/>
    <n v="1"/>
    <d v="2014-12-01T00:00:00"/>
    <s v="No"/>
    <x v="1"/>
    <n v="2"/>
    <x v="1"/>
    <x v="0"/>
    <x v="1"/>
  </r>
  <r>
    <s v="REL03338"/>
    <s v="Male"/>
    <n v="36"/>
    <s v="BTech"/>
    <s v="Divorced"/>
    <x v="7"/>
    <s v="HR Manager"/>
    <x v="1"/>
    <x v="6"/>
    <s v="South"/>
    <n v="4"/>
    <n v="77059"/>
    <x v="2"/>
    <n v="2"/>
    <n v="1"/>
    <n v="11"/>
    <n v="2"/>
    <d v="2019-11-30T00:00:00"/>
    <s v="Yes"/>
    <x v="0"/>
    <n v="2"/>
    <x v="0"/>
    <x v="1"/>
    <x v="1"/>
  </r>
  <r>
    <s v="REL03339"/>
    <s v="Male"/>
    <n v="28"/>
    <s v="HSC"/>
    <s v="Single"/>
    <x v="0"/>
    <s v="Logistics Coordinator"/>
    <x v="2"/>
    <x v="3"/>
    <s v="West"/>
    <n v="15"/>
    <n v="76294"/>
    <x v="1"/>
    <n v="3"/>
    <n v="4"/>
    <n v="52"/>
    <n v="0"/>
    <d v="2008-02-03T00:00:00"/>
    <s v="Yes"/>
    <x v="0"/>
    <n v="1"/>
    <x v="2"/>
    <x v="1"/>
    <x v="1"/>
  </r>
  <r>
    <s v="REL03340"/>
    <s v="Female"/>
    <n v="22"/>
    <s v="HSC"/>
    <s v="Married"/>
    <x v="5"/>
    <s v="Store Manager"/>
    <x v="3"/>
    <x v="6"/>
    <s v="South"/>
    <n v="1"/>
    <n v="87646"/>
    <x v="1"/>
    <n v="2"/>
    <n v="4"/>
    <n v="18"/>
    <n v="0"/>
    <d v="2022-10-20T00:00:00"/>
    <s v="Yes"/>
    <x v="1"/>
    <n v="1"/>
    <x v="3"/>
    <x v="1"/>
    <x v="2"/>
  </r>
  <r>
    <s v="REL03341"/>
    <s v="Male"/>
    <n v="48"/>
    <s v="BTech"/>
    <s v="Married"/>
    <x v="1"/>
    <s v="Operations Head"/>
    <x v="1"/>
    <x v="1"/>
    <s v="North"/>
    <n v="15"/>
    <n v="132387"/>
    <x v="1"/>
    <n v="1"/>
    <n v="4"/>
    <n v="34"/>
    <n v="3"/>
    <d v="2008-06-24T00:00:00"/>
    <s v="Yes"/>
    <x v="1"/>
    <n v="1"/>
    <x v="2"/>
    <x v="1"/>
    <x v="2"/>
  </r>
  <r>
    <s v="REL03342"/>
    <s v="Female"/>
    <n v="33"/>
    <s v="MBA"/>
    <s v="Divorced"/>
    <x v="7"/>
    <s v="Finance Analyst"/>
    <x v="4"/>
    <x v="9"/>
    <s v="West"/>
    <n v="15"/>
    <n v="90429"/>
    <x v="1"/>
    <n v="1"/>
    <n v="3"/>
    <n v="44"/>
    <n v="3"/>
    <d v="2008-06-08T00:00:00"/>
    <s v="No"/>
    <x v="1"/>
    <n v="1"/>
    <x v="2"/>
    <x v="0"/>
    <x v="2"/>
  </r>
  <r>
    <s v="REL03343"/>
    <s v="Female"/>
    <n v="52"/>
    <s v="Graduate"/>
    <s v="Married"/>
    <x v="2"/>
    <s v="HR Manager"/>
    <x v="0"/>
    <x v="1"/>
    <s v="North"/>
    <n v="12"/>
    <n v="97448"/>
    <x v="3"/>
    <n v="1"/>
    <n v="4"/>
    <n v="53"/>
    <n v="2"/>
    <d v="2011-10-13T00:00:00"/>
    <s v="No"/>
    <x v="1"/>
    <n v="4"/>
    <x v="2"/>
    <x v="2"/>
    <x v="0"/>
  </r>
  <r>
    <s v="REL03344"/>
    <s v="Female"/>
    <n v="50"/>
    <s v="BTech"/>
    <s v="Divorced"/>
    <x v="5"/>
    <s v="Operations Head"/>
    <x v="3"/>
    <x v="3"/>
    <s v="West"/>
    <n v="5"/>
    <n v="112507"/>
    <x v="0"/>
    <n v="3"/>
    <n v="1"/>
    <n v="22"/>
    <n v="1"/>
    <d v="2018-03-30T00:00:00"/>
    <s v="Yes"/>
    <x v="1"/>
    <n v="3"/>
    <x v="0"/>
    <x v="1"/>
    <x v="0"/>
  </r>
  <r>
    <s v="REL03345"/>
    <s v="Male"/>
    <n v="41"/>
    <s v="Post Graduate"/>
    <s v="Single"/>
    <x v="2"/>
    <s v="Finance Analyst"/>
    <x v="1"/>
    <x v="4"/>
    <s v="North"/>
    <n v="9"/>
    <n v="70039"/>
    <x v="0"/>
    <n v="1"/>
    <n v="2"/>
    <n v="45"/>
    <n v="2"/>
    <d v="2014-08-14T00:00:00"/>
    <s v="No"/>
    <x v="0"/>
    <n v="3"/>
    <x v="1"/>
    <x v="0"/>
    <x v="0"/>
  </r>
  <r>
    <s v="REL03346"/>
    <s v="Male"/>
    <n v="41"/>
    <s v="MBA"/>
    <s v="Divorced"/>
    <x v="3"/>
    <s v="Operations Head"/>
    <x v="1"/>
    <x v="5"/>
    <s v="South"/>
    <n v="15"/>
    <n v="115545"/>
    <x v="3"/>
    <n v="4"/>
    <n v="2"/>
    <n v="55"/>
    <n v="3"/>
    <d v="2008-06-19T00:00:00"/>
    <s v="No"/>
    <x v="1"/>
    <n v="4"/>
    <x v="2"/>
    <x v="2"/>
    <x v="0"/>
  </r>
  <r>
    <s v="REL03347"/>
    <s v="Male"/>
    <n v="37"/>
    <s v="HSC"/>
    <s v="Married"/>
    <x v="1"/>
    <s v="Marketing Executive"/>
    <x v="3"/>
    <x v="6"/>
    <s v="South"/>
    <n v="8"/>
    <n v="63621"/>
    <x v="0"/>
    <n v="3"/>
    <n v="3"/>
    <n v="60"/>
    <n v="2"/>
    <d v="2015-04-22T00:00:00"/>
    <s v="Yes"/>
    <x v="0"/>
    <n v="3"/>
    <x v="1"/>
    <x v="1"/>
    <x v="0"/>
  </r>
  <r>
    <s v="REL03348"/>
    <s v="Female"/>
    <n v="28"/>
    <s v="MBA"/>
    <s v="Married"/>
    <x v="3"/>
    <s v="Customer Service Rep"/>
    <x v="4"/>
    <x v="5"/>
    <s v="South"/>
    <n v="14"/>
    <n v="62696"/>
    <x v="3"/>
    <n v="2"/>
    <n v="1"/>
    <n v="70"/>
    <n v="0"/>
    <d v="2009-06-20T00:00:00"/>
    <s v="No"/>
    <x v="0"/>
    <n v="4"/>
    <x v="2"/>
    <x v="2"/>
    <x v="1"/>
  </r>
  <r>
    <s v="REL03349"/>
    <s v="Male"/>
    <n v="45"/>
    <s v="Graduate"/>
    <s v="Single"/>
    <x v="2"/>
    <s v="Finance Analyst"/>
    <x v="1"/>
    <x v="4"/>
    <s v="North"/>
    <n v="7"/>
    <n v="77741"/>
    <x v="2"/>
    <n v="1"/>
    <n v="2"/>
    <n v="54"/>
    <n v="3"/>
    <d v="2016-05-09T00:00:00"/>
    <s v="Yes"/>
    <x v="0"/>
    <n v="2"/>
    <x v="1"/>
    <x v="1"/>
    <x v="1"/>
  </r>
  <r>
    <s v="REL03350"/>
    <s v="Male"/>
    <n v="44"/>
    <s v="MBA"/>
    <s v="Divorced"/>
    <x v="5"/>
    <s v="Sales Executive"/>
    <x v="3"/>
    <x v="6"/>
    <s v="South"/>
    <n v="3"/>
    <n v="37859"/>
    <x v="1"/>
    <n v="3"/>
    <n v="3"/>
    <n v="12"/>
    <n v="0"/>
    <d v="2020-10-21T00:00:00"/>
    <s v="Yes"/>
    <x v="2"/>
    <n v="1"/>
    <x v="0"/>
    <x v="1"/>
    <x v="1"/>
  </r>
  <r>
    <s v="REL03351"/>
    <s v="Male"/>
    <n v="24"/>
    <s v="HSC"/>
    <s v="Divorced"/>
    <x v="4"/>
    <s v="Customer Service Rep"/>
    <x v="0"/>
    <x v="3"/>
    <s v="West"/>
    <n v="2"/>
    <n v="42973"/>
    <x v="2"/>
    <n v="4"/>
    <n v="2"/>
    <n v="73"/>
    <n v="2"/>
    <d v="2021-01-18T00:00:00"/>
    <s v="No"/>
    <x v="2"/>
    <n v="2"/>
    <x v="3"/>
    <x v="0"/>
    <x v="1"/>
  </r>
  <r>
    <s v="REL03352"/>
    <s v="Male"/>
    <n v="35"/>
    <s v="BTech"/>
    <s v="Divorced"/>
    <x v="3"/>
    <s v="Sales Executive"/>
    <x v="2"/>
    <x v="2"/>
    <s v="West"/>
    <n v="3"/>
    <n v="50778"/>
    <x v="3"/>
    <n v="1"/>
    <n v="3"/>
    <n v="34"/>
    <n v="3"/>
    <d v="2020-03-31T00:00:00"/>
    <s v="No"/>
    <x v="0"/>
    <n v="4"/>
    <x v="0"/>
    <x v="2"/>
    <x v="1"/>
  </r>
  <r>
    <s v="REL03353"/>
    <s v="Male"/>
    <n v="31"/>
    <s v="HSC"/>
    <s v="Divorced"/>
    <x v="2"/>
    <s v="Logistics Coordinator"/>
    <x v="2"/>
    <x v="3"/>
    <s v="West"/>
    <n v="12"/>
    <n v="59946"/>
    <x v="1"/>
    <n v="2"/>
    <n v="2"/>
    <n v="39"/>
    <n v="3"/>
    <d v="2012-01-02T00:00:00"/>
    <s v="Yes"/>
    <x v="0"/>
    <n v="1"/>
    <x v="2"/>
    <x v="1"/>
    <x v="1"/>
  </r>
  <r>
    <s v="REL03354"/>
    <s v="Male"/>
    <n v="33"/>
    <s v="HSC"/>
    <s v="Single"/>
    <x v="5"/>
    <s v="Operations Head"/>
    <x v="3"/>
    <x v="9"/>
    <s v="West"/>
    <n v="8"/>
    <n v="113317"/>
    <x v="1"/>
    <n v="3"/>
    <n v="3"/>
    <n v="29"/>
    <n v="3"/>
    <d v="2015-07-21T00:00:00"/>
    <s v="No"/>
    <x v="1"/>
    <n v="1"/>
    <x v="1"/>
    <x v="0"/>
    <x v="2"/>
  </r>
  <r>
    <s v="REL03355"/>
    <s v="Female"/>
    <n v="50"/>
    <s v="BTech"/>
    <s v="Married"/>
    <x v="0"/>
    <s v="Finance Analyst"/>
    <x v="3"/>
    <x v="1"/>
    <s v="North"/>
    <n v="6"/>
    <n v="71364"/>
    <x v="1"/>
    <n v="4"/>
    <n v="3"/>
    <n v="56"/>
    <n v="0"/>
    <d v="2017-04-06T00:00:00"/>
    <s v="Yes"/>
    <x v="0"/>
    <n v="1"/>
    <x v="1"/>
    <x v="1"/>
    <x v="1"/>
  </r>
  <r>
    <s v="REL03356"/>
    <s v="Male"/>
    <n v="45"/>
    <s v="Graduate"/>
    <s v="Married"/>
    <x v="3"/>
    <s v="Marketing Executive"/>
    <x v="0"/>
    <x v="4"/>
    <s v="North"/>
    <n v="8"/>
    <n v="64695"/>
    <x v="0"/>
    <n v="3"/>
    <n v="2"/>
    <n v="33"/>
    <n v="3"/>
    <d v="2015-04-03T00:00:00"/>
    <s v="No"/>
    <x v="0"/>
    <n v="3"/>
    <x v="1"/>
    <x v="0"/>
    <x v="0"/>
  </r>
  <r>
    <s v="REL03357"/>
    <s v="Male"/>
    <n v="38"/>
    <s v="Graduate"/>
    <s v="Married"/>
    <x v="5"/>
    <s v="Finance Analyst"/>
    <x v="4"/>
    <x v="5"/>
    <s v="South"/>
    <n v="9"/>
    <n v="83746"/>
    <x v="3"/>
    <n v="3"/>
    <n v="4"/>
    <n v="72"/>
    <n v="3"/>
    <d v="2014-06-16T00:00:00"/>
    <s v="No"/>
    <x v="1"/>
    <n v="4"/>
    <x v="1"/>
    <x v="2"/>
    <x v="0"/>
  </r>
  <r>
    <s v="REL03358"/>
    <s v="Male"/>
    <n v="55"/>
    <s v="BTech"/>
    <s v="Married"/>
    <x v="7"/>
    <s v="Finance Analyst"/>
    <x v="3"/>
    <x v="8"/>
    <s v="South"/>
    <n v="10"/>
    <n v="72534"/>
    <x v="0"/>
    <n v="2"/>
    <n v="4"/>
    <n v="72"/>
    <n v="3"/>
    <d v="2013-09-27T00:00:00"/>
    <s v="Yes"/>
    <x v="0"/>
    <n v="3"/>
    <x v="1"/>
    <x v="1"/>
    <x v="0"/>
  </r>
  <r>
    <s v="REL03359"/>
    <s v="Male"/>
    <n v="42"/>
    <s v="MBA"/>
    <s v="Divorced"/>
    <x v="6"/>
    <s v="Operations Head"/>
    <x v="1"/>
    <x v="3"/>
    <s v="West"/>
    <n v="8"/>
    <n v="106725"/>
    <x v="1"/>
    <n v="3"/>
    <n v="4"/>
    <n v="32"/>
    <n v="1"/>
    <d v="2015-01-17T00:00:00"/>
    <s v="Yes"/>
    <x v="1"/>
    <n v="1"/>
    <x v="1"/>
    <x v="1"/>
    <x v="2"/>
  </r>
  <r>
    <s v="REL03360"/>
    <s v="Female"/>
    <n v="42"/>
    <s v="Graduate"/>
    <s v="Married"/>
    <x v="6"/>
    <s v="Logistics Coordinator"/>
    <x v="2"/>
    <x v="0"/>
    <s v="North"/>
    <n v="13"/>
    <n v="71828"/>
    <x v="2"/>
    <n v="2"/>
    <n v="1"/>
    <n v="26"/>
    <n v="0"/>
    <d v="2010-04-07T00:00:00"/>
    <s v="Yes"/>
    <x v="0"/>
    <n v="2"/>
    <x v="2"/>
    <x v="1"/>
    <x v="1"/>
  </r>
  <r>
    <s v="REL03361"/>
    <s v="Female"/>
    <n v="42"/>
    <s v="Graduate"/>
    <s v="Divorced"/>
    <x v="2"/>
    <s v="Finance Analyst"/>
    <x v="2"/>
    <x v="8"/>
    <s v="South"/>
    <n v="11"/>
    <n v="73536"/>
    <x v="0"/>
    <n v="3"/>
    <n v="4"/>
    <n v="62"/>
    <n v="0"/>
    <d v="2012-05-28T00:00:00"/>
    <s v="No"/>
    <x v="0"/>
    <n v="3"/>
    <x v="2"/>
    <x v="0"/>
    <x v="0"/>
  </r>
  <r>
    <s v="REL03362"/>
    <s v="Male"/>
    <n v="43"/>
    <s v="HSC"/>
    <s v="Divorced"/>
    <x v="7"/>
    <s v="Marketing Executive"/>
    <x v="4"/>
    <x v="0"/>
    <s v="North"/>
    <n v="10"/>
    <n v="73591"/>
    <x v="2"/>
    <n v="2"/>
    <n v="2"/>
    <n v="59"/>
    <n v="2"/>
    <d v="2013-12-16T00:00:00"/>
    <s v="No"/>
    <x v="0"/>
    <n v="2"/>
    <x v="1"/>
    <x v="0"/>
    <x v="1"/>
  </r>
  <r>
    <s v="REL03363"/>
    <s v="Female"/>
    <n v="53"/>
    <s v="BTech"/>
    <s v="Married"/>
    <x v="3"/>
    <s v="Customer Service Rep"/>
    <x v="0"/>
    <x v="0"/>
    <s v="North"/>
    <n v="15"/>
    <n v="65972"/>
    <x v="1"/>
    <n v="2"/>
    <n v="3"/>
    <n v="24"/>
    <n v="3"/>
    <d v="2008-02-03T00:00:00"/>
    <s v="No"/>
    <x v="0"/>
    <n v="1"/>
    <x v="2"/>
    <x v="0"/>
    <x v="1"/>
  </r>
  <r>
    <s v="REL03364"/>
    <s v="Male"/>
    <n v="35"/>
    <s v="Graduate"/>
    <s v="Divorced"/>
    <x v="1"/>
    <s v="HR Manager"/>
    <x v="2"/>
    <x v="1"/>
    <s v="North"/>
    <n v="14"/>
    <n v="98213"/>
    <x v="3"/>
    <n v="1"/>
    <n v="1"/>
    <n v="28"/>
    <n v="0"/>
    <d v="2009-11-02T00:00:00"/>
    <s v="No"/>
    <x v="1"/>
    <n v="4"/>
    <x v="2"/>
    <x v="2"/>
    <x v="0"/>
  </r>
  <r>
    <s v="REL03365"/>
    <s v="Female"/>
    <n v="37"/>
    <s v="HSC"/>
    <s v="Divorced"/>
    <x v="0"/>
    <s v="Customer Service Rep"/>
    <x v="4"/>
    <x v="8"/>
    <s v="South"/>
    <n v="8"/>
    <n v="51907"/>
    <x v="2"/>
    <n v="2"/>
    <n v="2"/>
    <n v="33"/>
    <n v="1"/>
    <d v="2015-05-20T00:00:00"/>
    <s v="No"/>
    <x v="0"/>
    <n v="2"/>
    <x v="1"/>
    <x v="0"/>
    <x v="1"/>
  </r>
  <r>
    <s v="REL03366"/>
    <s v="Female"/>
    <n v="38"/>
    <s v="BTech"/>
    <s v="Divorced"/>
    <x v="2"/>
    <s v="Sales Executive"/>
    <x v="2"/>
    <x v="4"/>
    <s v="North"/>
    <n v="11"/>
    <n v="70015"/>
    <x v="0"/>
    <n v="2"/>
    <n v="3"/>
    <n v="75"/>
    <n v="0"/>
    <d v="2012-06-05T00:00:00"/>
    <s v="No"/>
    <x v="0"/>
    <n v="3"/>
    <x v="2"/>
    <x v="0"/>
    <x v="0"/>
  </r>
  <r>
    <s v="REL03367"/>
    <s v="Female"/>
    <n v="43"/>
    <s v="MBA"/>
    <s v="Single"/>
    <x v="4"/>
    <s v="HR Manager"/>
    <x v="3"/>
    <x v="1"/>
    <s v="North"/>
    <n v="4"/>
    <n v="91927"/>
    <x v="1"/>
    <n v="4"/>
    <n v="1"/>
    <n v="34"/>
    <n v="3"/>
    <d v="2019-04-16T00:00:00"/>
    <s v="Yes"/>
    <x v="1"/>
    <n v="1"/>
    <x v="0"/>
    <x v="1"/>
    <x v="2"/>
  </r>
  <r>
    <s v="REL03368"/>
    <s v="Male"/>
    <n v="25"/>
    <s v="MBA"/>
    <s v="Married"/>
    <x v="3"/>
    <s v="Operations Head"/>
    <x v="0"/>
    <x v="3"/>
    <s v="West"/>
    <n v="7"/>
    <n v="110393"/>
    <x v="2"/>
    <n v="1"/>
    <n v="3"/>
    <n v="69"/>
    <n v="1"/>
    <d v="2016-03-31T00:00:00"/>
    <s v="No"/>
    <x v="1"/>
    <n v="2"/>
    <x v="1"/>
    <x v="0"/>
    <x v="1"/>
  </r>
  <r>
    <s v="REL03369"/>
    <s v="Female"/>
    <n v="33"/>
    <s v="HSC"/>
    <s v="Married"/>
    <x v="6"/>
    <s v="Logistics Coordinator"/>
    <x v="2"/>
    <x v="3"/>
    <s v="West"/>
    <n v="5"/>
    <n v="55865"/>
    <x v="1"/>
    <n v="3"/>
    <n v="4"/>
    <n v="41"/>
    <n v="0"/>
    <d v="2018-03-19T00:00:00"/>
    <s v="No"/>
    <x v="0"/>
    <n v="1"/>
    <x v="0"/>
    <x v="0"/>
    <x v="1"/>
  </r>
  <r>
    <s v="REL03370"/>
    <s v="Male"/>
    <n v="24"/>
    <s v="BTech"/>
    <s v="Divorced"/>
    <x v="4"/>
    <s v="HR Manager"/>
    <x v="2"/>
    <x v="6"/>
    <s v="South"/>
    <n v="10"/>
    <n v="100025"/>
    <x v="3"/>
    <n v="1"/>
    <n v="1"/>
    <n v="28"/>
    <n v="1"/>
    <d v="2013-03-10T00:00:00"/>
    <s v="No"/>
    <x v="1"/>
    <n v="4"/>
    <x v="1"/>
    <x v="2"/>
    <x v="0"/>
  </r>
  <r>
    <s v="REL03371"/>
    <s v="Male"/>
    <n v="35"/>
    <s v="MBA"/>
    <s v="Divorced"/>
    <x v="3"/>
    <s v="Sales Executive"/>
    <x v="4"/>
    <x v="3"/>
    <s v="West"/>
    <n v="11"/>
    <n v="56537"/>
    <x v="2"/>
    <n v="3"/>
    <n v="1"/>
    <n v="51"/>
    <n v="2"/>
    <d v="2012-07-06T00:00:00"/>
    <s v="No"/>
    <x v="0"/>
    <n v="2"/>
    <x v="2"/>
    <x v="0"/>
    <x v="1"/>
  </r>
  <r>
    <s v="REL03372"/>
    <s v="Female"/>
    <n v="53"/>
    <s v="MBA"/>
    <s v="Married"/>
    <x v="6"/>
    <s v="Finance Analyst"/>
    <x v="0"/>
    <x v="0"/>
    <s v="North"/>
    <n v="4"/>
    <n v="58257"/>
    <x v="0"/>
    <n v="1"/>
    <n v="1"/>
    <n v="15"/>
    <n v="1"/>
    <d v="2019-04-02T00:00:00"/>
    <s v="Yes"/>
    <x v="0"/>
    <n v="3"/>
    <x v="0"/>
    <x v="1"/>
    <x v="0"/>
  </r>
  <r>
    <s v="REL03373"/>
    <s v="Female"/>
    <n v="37"/>
    <s v="Post Graduate"/>
    <s v="Married"/>
    <x v="3"/>
    <s v="Marketing Executive"/>
    <x v="3"/>
    <x v="6"/>
    <s v="South"/>
    <n v="8"/>
    <n v="65402"/>
    <x v="3"/>
    <n v="4"/>
    <n v="3"/>
    <n v="78"/>
    <n v="2"/>
    <d v="2015-04-18T00:00:00"/>
    <s v="No"/>
    <x v="0"/>
    <n v="4"/>
    <x v="1"/>
    <x v="2"/>
    <x v="1"/>
  </r>
  <r>
    <s v="REL03374"/>
    <s v="Male"/>
    <n v="44"/>
    <s v="HSC"/>
    <s v="Single"/>
    <x v="4"/>
    <s v="Store Manager"/>
    <x v="2"/>
    <x v="2"/>
    <s v="West"/>
    <n v="13"/>
    <n v="107843"/>
    <x v="3"/>
    <n v="4"/>
    <n v="4"/>
    <n v="71"/>
    <n v="1"/>
    <d v="2010-09-15T00:00:00"/>
    <s v="No"/>
    <x v="1"/>
    <n v="4"/>
    <x v="2"/>
    <x v="2"/>
    <x v="0"/>
  </r>
  <r>
    <s v="REL03375"/>
    <s v="Female"/>
    <n v="43"/>
    <s v="BTech"/>
    <s v="Divorced"/>
    <x v="5"/>
    <s v="HR Manager"/>
    <x v="1"/>
    <x v="3"/>
    <s v="West"/>
    <n v="9"/>
    <n v="85528"/>
    <x v="2"/>
    <n v="4"/>
    <n v="2"/>
    <n v="27"/>
    <n v="2"/>
    <d v="2014-06-01T00:00:00"/>
    <s v="No"/>
    <x v="1"/>
    <n v="2"/>
    <x v="1"/>
    <x v="0"/>
    <x v="1"/>
  </r>
  <r>
    <s v="REL03376"/>
    <s v="Male"/>
    <n v="32"/>
    <s v="Post Graduate"/>
    <s v="Single"/>
    <x v="2"/>
    <s v="Customer Service Rep"/>
    <x v="2"/>
    <x v="5"/>
    <s v="South"/>
    <n v="3"/>
    <n v="42982"/>
    <x v="3"/>
    <n v="4"/>
    <n v="1"/>
    <n v="44"/>
    <n v="0"/>
    <d v="2020-04-20T00:00:00"/>
    <s v="No"/>
    <x v="2"/>
    <n v="4"/>
    <x v="0"/>
    <x v="2"/>
    <x v="1"/>
  </r>
  <r>
    <s v="REL03377"/>
    <s v="Female"/>
    <n v="33"/>
    <s v="HSC"/>
    <s v="Married"/>
    <x v="5"/>
    <s v="Logistics Coordinator"/>
    <x v="3"/>
    <x v="6"/>
    <s v="South"/>
    <n v="11"/>
    <n v="71763"/>
    <x v="3"/>
    <n v="3"/>
    <n v="3"/>
    <n v="70"/>
    <n v="2"/>
    <d v="2012-05-14T00:00:00"/>
    <s v="Yes"/>
    <x v="0"/>
    <n v="4"/>
    <x v="2"/>
    <x v="1"/>
    <x v="1"/>
  </r>
  <r>
    <s v="REL03378"/>
    <s v="Female"/>
    <n v="35"/>
    <s v="Graduate"/>
    <s v="Divorced"/>
    <x v="7"/>
    <s v="Sales Executive"/>
    <x v="4"/>
    <x v="4"/>
    <s v="North"/>
    <n v="4"/>
    <n v="50250"/>
    <x v="3"/>
    <n v="1"/>
    <n v="2"/>
    <n v="48"/>
    <n v="1"/>
    <d v="2019-04-08T00:00:00"/>
    <s v="No"/>
    <x v="0"/>
    <n v="4"/>
    <x v="0"/>
    <x v="2"/>
    <x v="1"/>
  </r>
  <r>
    <s v="REL03379"/>
    <s v="Female"/>
    <n v="45"/>
    <s v="BTech"/>
    <s v="Single"/>
    <x v="4"/>
    <s v="Marketing Executive"/>
    <x v="0"/>
    <x v="2"/>
    <s v="West"/>
    <n v="15"/>
    <n v="88739"/>
    <x v="1"/>
    <n v="1"/>
    <n v="1"/>
    <n v="11"/>
    <n v="1"/>
    <d v="2008-04-09T00:00:00"/>
    <s v="Yes"/>
    <x v="1"/>
    <n v="1"/>
    <x v="2"/>
    <x v="1"/>
    <x v="2"/>
  </r>
  <r>
    <s v="REL03380"/>
    <s v="Female"/>
    <n v="24"/>
    <s v="Post Graduate"/>
    <s v="Married"/>
    <x v="5"/>
    <s v="Logistics Coordinator"/>
    <x v="1"/>
    <x v="7"/>
    <s v="East"/>
    <n v="3"/>
    <n v="47239"/>
    <x v="1"/>
    <n v="1"/>
    <n v="2"/>
    <n v="59"/>
    <n v="2"/>
    <d v="2020-05-04T00:00:00"/>
    <s v="No"/>
    <x v="2"/>
    <n v="1"/>
    <x v="0"/>
    <x v="0"/>
    <x v="1"/>
  </r>
  <r>
    <s v="REL03381"/>
    <s v="Male"/>
    <n v="53"/>
    <s v="Post Graduate"/>
    <s v="Married"/>
    <x v="2"/>
    <s v="Finance Analyst"/>
    <x v="4"/>
    <x v="6"/>
    <s v="South"/>
    <n v="4"/>
    <n v="63320"/>
    <x v="0"/>
    <n v="4"/>
    <n v="3"/>
    <n v="73"/>
    <n v="0"/>
    <d v="2019-03-28T00:00:00"/>
    <s v="No"/>
    <x v="0"/>
    <n v="3"/>
    <x v="0"/>
    <x v="0"/>
    <x v="0"/>
  </r>
  <r>
    <s v="REL03382"/>
    <s v="Female"/>
    <n v="36"/>
    <s v="Post Graduate"/>
    <s v="Married"/>
    <x v="5"/>
    <s v="Sales Executive"/>
    <x v="1"/>
    <x v="2"/>
    <s v="West"/>
    <n v="12"/>
    <n v="72454"/>
    <x v="3"/>
    <n v="4"/>
    <n v="2"/>
    <n v="34"/>
    <n v="2"/>
    <d v="2011-01-30T00:00:00"/>
    <s v="No"/>
    <x v="0"/>
    <n v="4"/>
    <x v="2"/>
    <x v="2"/>
    <x v="1"/>
  </r>
  <r>
    <s v="REL03383"/>
    <s v="Male"/>
    <n v="22"/>
    <s v="Graduate"/>
    <s v="Divorced"/>
    <x v="3"/>
    <s v="Sales Executive"/>
    <x v="4"/>
    <x v="3"/>
    <s v="West"/>
    <n v="14"/>
    <n v="74671"/>
    <x v="3"/>
    <n v="2"/>
    <n v="2"/>
    <n v="26"/>
    <n v="0"/>
    <d v="2010-01-02T00:00:00"/>
    <s v="No"/>
    <x v="0"/>
    <n v="4"/>
    <x v="2"/>
    <x v="2"/>
    <x v="1"/>
  </r>
  <r>
    <s v="REL03384"/>
    <s v="Male"/>
    <n v="55"/>
    <s v="BTech"/>
    <s v="Divorced"/>
    <x v="1"/>
    <s v="Marketing Executive"/>
    <x v="2"/>
    <x v="7"/>
    <s v="East"/>
    <n v="1"/>
    <n v="60869"/>
    <x v="0"/>
    <n v="1"/>
    <n v="3"/>
    <n v="64"/>
    <n v="3"/>
    <d v="2022-06-19T00:00:00"/>
    <s v="No"/>
    <x v="0"/>
    <n v="3"/>
    <x v="3"/>
    <x v="0"/>
    <x v="0"/>
  </r>
  <r>
    <s v="REL03385"/>
    <s v="Male"/>
    <n v="38"/>
    <s v="MBA"/>
    <s v="Married"/>
    <x v="7"/>
    <s v="Sales Executive"/>
    <x v="4"/>
    <x v="0"/>
    <s v="North"/>
    <n v="14"/>
    <n v="67371"/>
    <x v="3"/>
    <n v="1"/>
    <n v="1"/>
    <n v="72"/>
    <n v="1"/>
    <d v="2009-04-05T00:00:00"/>
    <s v="No"/>
    <x v="0"/>
    <n v="4"/>
    <x v="2"/>
    <x v="2"/>
    <x v="1"/>
  </r>
  <r>
    <s v="REL03386"/>
    <s v="Female"/>
    <n v="51"/>
    <s v="MBA"/>
    <s v="Single"/>
    <x v="0"/>
    <s v="Store Manager"/>
    <x v="3"/>
    <x v="4"/>
    <s v="North"/>
    <n v="6"/>
    <n v="100201"/>
    <x v="1"/>
    <n v="2"/>
    <n v="4"/>
    <n v="35"/>
    <n v="0"/>
    <d v="2017-02-14T00:00:00"/>
    <s v="No"/>
    <x v="1"/>
    <n v="1"/>
    <x v="1"/>
    <x v="0"/>
    <x v="2"/>
  </r>
  <r>
    <s v="REL03387"/>
    <s v="Female"/>
    <n v="34"/>
    <s v="Post Graduate"/>
    <s v="Divorced"/>
    <x v="0"/>
    <s v="HR Manager"/>
    <x v="2"/>
    <x v="2"/>
    <s v="West"/>
    <n v="1"/>
    <n v="77006"/>
    <x v="2"/>
    <n v="4"/>
    <n v="1"/>
    <n v="54"/>
    <n v="1"/>
    <d v="2022-12-25T00:00:00"/>
    <s v="No"/>
    <x v="0"/>
    <n v="2"/>
    <x v="3"/>
    <x v="0"/>
    <x v="1"/>
  </r>
  <r>
    <s v="REL03388"/>
    <s v="Female"/>
    <n v="46"/>
    <s v="MBA"/>
    <s v="Married"/>
    <x v="2"/>
    <s v="Customer Service Rep"/>
    <x v="3"/>
    <x v="8"/>
    <s v="South"/>
    <n v="13"/>
    <n v="65131"/>
    <x v="2"/>
    <n v="3"/>
    <n v="4"/>
    <n v="25"/>
    <n v="2"/>
    <d v="2010-06-23T00:00:00"/>
    <s v="No"/>
    <x v="0"/>
    <n v="2"/>
    <x v="2"/>
    <x v="0"/>
    <x v="1"/>
  </r>
  <r>
    <s v="REL03389"/>
    <s v="Female"/>
    <n v="34"/>
    <s v="MBA"/>
    <s v="Divorced"/>
    <x v="4"/>
    <s v="Store Manager"/>
    <x v="4"/>
    <x v="6"/>
    <s v="South"/>
    <n v="1"/>
    <n v="80595"/>
    <x v="3"/>
    <n v="3"/>
    <n v="4"/>
    <n v="22"/>
    <n v="0"/>
    <d v="2022-05-19T00:00:00"/>
    <s v="No"/>
    <x v="1"/>
    <n v="4"/>
    <x v="3"/>
    <x v="2"/>
    <x v="0"/>
  </r>
  <r>
    <s v="REL03390"/>
    <s v="Male"/>
    <n v="36"/>
    <s v="MBA"/>
    <s v="Married"/>
    <x v="1"/>
    <s v="HR Manager"/>
    <x v="1"/>
    <x v="9"/>
    <s v="West"/>
    <n v="4"/>
    <n v="77825"/>
    <x v="0"/>
    <n v="2"/>
    <n v="2"/>
    <n v="36"/>
    <n v="1"/>
    <d v="2019-01-28T00:00:00"/>
    <s v="No"/>
    <x v="0"/>
    <n v="3"/>
    <x v="0"/>
    <x v="0"/>
    <x v="0"/>
  </r>
  <r>
    <s v="REL03391"/>
    <s v="Female"/>
    <n v="45"/>
    <s v="MBA"/>
    <s v="Divorced"/>
    <x v="5"/>
    <s v="Operations Head"/>
    <x v="4"/>
    <x v="8"/>
    <s v="South"/>
    <n v="6"/>
    <n v="100886"/>
    <x v="3"/>
    <n v="4"/>
    <n v="4"/>
    <n v="20"/>
    <n v="0"/>
    <d v="2017-04-25T00:00:00"/>
    <s v="No"/>
    <x v="1"/>
    <n v="4"/>
    <x v="1"/>
    <x v="2"/>
    <x v="0"/>
  </r>
  <r>
    <s v="REL03392"/>
    <s v="Male"/>
    <n v="39"/>
    <s v="MBA"/>
    <s v="Divorced"/>
    <x v="0"/>
    <s v="Sales Executive"/>
    <x v="4"/>
    <x v="3"/>
    <s v="West"/>
    <n v="10"/>
    <n v="54016"/>
    <x v="2"/>
    <n v="2"/>
    <n v="2"/>
    <n v="36"/>
    <n v="2"/>
    <d v="2013-06-22T00:00:00"/>
    <s v="No"/>
    <x v="0"/>
    <n v="2"/>
    <x v="1"/>
    <x v="0"/>
    <x v="1"/>
  </r>
  <r>
    <s v="REL03393"/>
    <s v="Male"/>
    <n v="42"/>
    <s v="HSC"/>
    <s v="Divorced"/>
    <x v="2"/>
    <s v="Logistics Coordinator"/>
    <x v="0"/>
    <x v="1"/>
    <s v="North"/>
    <n v="3"/>
    <n v="60295"/>
    <x v="3"/>
    <n v="3"/>
    <n v="1"/>
    <n v="12"/>
    <n v="3"/>
    <d v="2020-09-08T00:00:00"/>
    <s v="No"/>
    <x v="0"/>
    <n v="4"/>
    <x v="0"/>
    <x v="2"/>
    <x v="1"/>
  </r>
  <r>
    <s v="REL03394"/>
    <s v="Male"/>
    <n v="34"/>
    <s v="MBA"/>
    <s v="Single"/>
    <x v="7"/>
    <s v="Sales Executive"/>
    <x v="0"/>
    <x v="7"/>
    <s v="East"/>
    <n v="6"/>
    <n v="48946"/>
    <x v="1"/>
    <n v="3"/>
    <n v="3"/>
    <n v="42"/>
    <n v="3"/>
    <d v="2017-09-10T00:00:00"/>
    <s v="No"/>
    <x v="2"/>
    <n v="1"/>
    <x v="1"/>
    <x v="0"/>
    <x v="1"/>
  </r>
  <r>
    <s v="REL03395"/>
    <s v="Female"/>
    <n v="41"/>
    <s v="Graduate"/>
    <s v="Divorced"/>
    <x v="5"/>
    <s v="Marketing Executive"/>
    <x v="4"/>
    <x v="1"/>
    <s v="North"/>
    <n v="11"/>
    <n v="79749"/>
    <x v="3"/>
    <n v="3"/>
    <n v="2"/>
    <n v="38"/>
    <n v="1"/>
    <d v="2012-08-31T00:00:00"/>
    <s v="Yes"/>
    <x v="0"/>
    <n v="4"/>
    <x v="2"/>
    <x v="1"/>
    <x v="1"/>
  </r>
  <r>
    <s v="REL03396"/>
    <s v="Female"/>
    <n v="24"/>
    <s v="Graduate"/>
    <s v="Single"/>
    <x v="4"/>
    <s v="Sales Executive"/>
    <x v="0"/>
    <x v="2"/>
    <s v="West"/>
    <n v="1"/>
    <n v="47398"/>
    <x v="1"/>
    <n v="4"/>
    <n v="3"/>
    <n v="34"/>
    <n v="3"/>
    <d v="2022-09-06T00:00:00"/>
    <s v="Yes"/>
    <x v="2"/>
    <n v="1"/>
    <x v="3"/>
    <x v="1"/>
    <x v="1"/>
  </r>
  <r>
    <s v="REL03397"/>
    <s v="Male"/>
    <n v="31"/>
    <s v="MBA"/>
    <s v="Single"/>
    <x v="5"/>
    <s v="HR Manager"/>
    <x v="0"/>
    <x v="3"/>
    <s v="West"/>
    <n v="2"/>
    <n v="84498"/>
    <x v="1"/>
    <n v="4"/>
    <n v="4"/>
    <n v="50"/>
    <n v="3"/>
    <d v="2021-11-22T00:00:00"/>
    <s v="Yes"/>
    <x v="1"/>
    <n v="1"/>
    <x v="3"/>
    <x v="1"/>
    <x v="2"/>
  </r>
  <r>
    <s v="REL03398"/>
    <s v="Female"/>
    <n v="22"/>
    <s v="BTech"/>
    <s v="Married"/>
    <x v="0"/>
    <s v="Sales Executive"/>
    <x v="3"/>
    <x v="4"/>
    <s v="North"/>
    <n v="5"/>
    <n v="56562"/>
    <x v="3"/>
    <n v="4"/>
    <n v="4"/>
    <n v="22"/>
    <n v="0"/>
    <d v="2018-02-21T00:00:00"/>
    <s v="No"/>
    <x v="0"/>
    <n v="4"/>
    <x v="0"/>
    <x v="2"/>
    <x v="1"/>
  </r>
  <r>
    <s v="REL03399"/>
    <s v="Female"/>
    <n v="41"/>
    <s v="Post Graduate"/>
    <s v="Married"/>
    <x v="3"/>
    <s v="Sales Executive"/>
    <x v="1"/>
    <x v="1"/>
    <s v="North"/>
    <n v="14"/>
    <n v="58570"/>
    <x v="0"/>
    <n v="2"/>
    <n v="1"/>
    <n v="73"/>
    <n v="2"/>
    <d v="2009-07-28T00:00:00"/>
    <s v="No"/>
    <x v="0"/>
    <n v="3"/>
    <x v="2"/>
    <x v="0"/>
    <x v="0"/>
  </r>
  <r>
    <s v="REL03400"/>
    <s v="Female"/>
    <n v="28"/>
    <s v="BTech"/>
    <s v="Divorced"/>
    <x v="1"/>
    <s v="Operations Head"/>
    <x v="3"/>
    <x v="5"/>
    <s v="South"/>
    <n v="2"/>
    <n v="107948"/>
    <x v="0"/>
    <n v="4"/>
    <n v="1"/>
    <n v="70"/>
    <n v="2"/>
    <d v="2021-04-20T00:00:00"/>
    <s v="No"/>
    <x v="1"/>
    <n v="3"/>
    <x v="3"/>
    <x v="0"/>
    <x v="0"/>
  </r>
  <r>
    <s v="REL03401"/>
    <s v="Female"/>
    <n v="32"/>
    <s v="Post Graduate"/>
    <s v="Single"/>
    <x v="6"/>
    <s v="Customer Service Rep"/>
    <x v="2"/>
    <x v="2"/>
    <s v="West"/>
    <n v="15"/>
    <n v="64006"/>
    <x v="2"/>
    <n v="4"/>
    <n v="2"/>
    <n v="53"/>
    <n v="2"/>
    <d v="2008-06-23T00:00:00"/>
    <s v="No"/>
    <x v="0"/>
    <n v="2"/>
    <x v="2"/>
    <x v="0"/>
    <x v="1"/>
  </r>
  <r>
    <s v="REL03402"/>
    <s v="Female"/>
    <n v="45"/>
    <s v="MBA"/>
    <s v="Divorced"/>
    <x v="1"/>
    <s v="Customer Service Rep"/>
    <x v="4"/>
    <x v="1"/>
    <s v="North"/>
    <n v="4"/>
    <n v="50521"/>
    <x v="3"/>
    <n v="2"/>
    <n v="3"/>
    <n v="47"/>
    <n v="0"/>
    <d v="2019-01-28T00:00:00"/>
    <s v="Yes"/>
    <x v="0"/>
    <n v="4"/>
    <x v="0"/>
    <x v="1"/>
    <x v="1"/>
  </r>
  <r>
    <s v="REL03403"/>
    <s v="Female"/>
    <n v="32"/>
    <s v="MBA"/>
    <s v="Married"/>
    <x v="5"/>
    <s v="Marketing Executive"/>
    <x v="2"/>
    <x v="3"/>
    <s v="West"/>
    <n v="9"/>
    <n v="60799"/>
    <x v="2"/>
    <n v="2"/>
    <n v="3"/>
    <n v="16"/>
    <n v="3"/>
    <d v="2014-09-30T00:00:00"/>
    <s v="No"/>
    <x v="0"/>
    <n v="2"/>
    <x v="1"/>
    <x v="0"/>
    <x v="1"/>
  </r>
  <r>
    <s v="REL03404"/>
    <s v="Female"/>
    <n v="50"/>
    <s v="Graduate"/>
    <s v="Single"/>
    <x v="1"/>
    <s v="Sales Executive"/>
    <x v="2"/>
    <x v="4"/>
    <s v="North"/>
    <n v="9"/>
    <n v="60652"/>
    <x v="3"/>
    <n v="1"/>
    <n v="2"/>
    <n v="46"/>
    <n v="0"/>
    <d v="2014-11-20T00:00:00"/>
    <s v="No"/>
    <x v="0"/>
    <n v="4"/>
    <x v="1"/>
    <x v="2"/>
    <x v="1"/>
  </r>
  <r>
    <s v="REL03405"/>
    <s v="Female"/>
    <n v="38"/>
    <s v="Graduate"/>
    <s v="Married"/>
    <x v="0"/>
    <s v="Sales Executive"/>
    <x v="3"/>
    <x v="6"/>
    <s v="South"/>
    <n v="7"/>
    <n v="60321"/>
    <x v="0"/>
    <n v="1"/>
    <n v="3"/>
    <n v="77"/>
    <n v="0"/>
    <d v="2016-07-23T00:00:00"/>
    <s v="No"/>
    <x v="0"/>
    <n v="3"/>
    <x v="1"/>
    <x v="0"/>
    <x v="0"/>
  </r>
  <r>
    <s v="REL03406"/>
    <s v="Male"/>
    <n v="29"/>
    <s v="HSC"/>
    <s v="Divorced"/>
    <x v="0"/>
    <s v="Sales Executive"/>
    <x v="4"/>
    <x v="3"/>
    <s v="West"/>
    <n v="15"/>
    <n v="67460"/>
    <x v="3"/>
    <n v="1"/>
    <n v="3"/>
    <n v="11"/>
    <n v="0"/>
    <d v="2008-12-05T00:00:00"/>
    <s v="No"/>
    <x v="0"/>
    <n v="4"/>
    <x v="2"/>
    <x v="2"/>
    <x v="1"/>
  </r>
  <r>
    <s v="REL03407"/>
    <s v="Male"/>
    <n v="51"/>
    <s v="MBA"/>
    <s v="Single"/>
    <x v="1"/>
    <s v="Customer Service Rep"/>
    <x v="1"/>
    <x v="0"/>
    <s v="North"/>
    <n v="2"/>
    <n v="47303"/>
    <x v="0"/>
    <n v="3"/>
    <n v="3"/>
    <n v="41"/>
    <n v="3"/>
    <d v="2021-03-10T00:00:00"/>
    <s v="Yes"/>
    <x v="2"/>
    <n v="3"/>
    <x v="3"/>
    <x v="1"/>
    <x v="1"/>
  </r>
  <r>
    <s v="REL03408"/>
    <s v="Female"/>
    <n v="34"/>
    <s v="Post Graduate"/>
    <s v="Married"/>
    <x v="4"/>
    <s v="Operations Head"/>
    <x v="0"/>
    <x v="2"/>
    <s v="West"/>
    <n v="2"/>
    <n v="102968"/>
    <x v="1"/>
    <n v="3"/>
    <n v="4"/>
    <n v="49"/>
    <n v="3"/>
    <d v="2021-11-12T00:00:00"/>
    <s v="No"/>
    <x v="1"/>
    <n v="1"/>
    <x v="3"/>
    <x v="3"/>
    <x v="2"/>
  </r>
  <r>
    <s v="REL03409"/>
    <s v="Male"/>
    <n v="54"/>
    <s v="Post Graduate"/>
    <s v="Single"/>
    <x v="2"/>
    <s v="Sales Executive"/>
    <x v="0"/>
    <x v="3"/>
    <s v="West"/>
    <n v="12"/>
    <n v="73767"/>
    <x v="1"/>
    <n v="2"/>
    <n v="4"/>
    <n v="54"/>
    <n v="3"/>
    <d v="2011-01-25T00:00:00"/>
    <s v="No"/>
    <x v="0"/>
    <n v="1"/>
    <x v="2"/>
    <x v="0"/>
    <x v="1"/>
  </r>
  <r>
    <s v="REL03410"/>
    <s v="Male"/>
    <n v="46"/>
    <s v="BTech"/>
    <s v="Divorced"/>
    <x v="7"/>
    <s v="Sales Executive"/>
    <x v="1"/>
    <x v="0"/>
    <s v="North"/>
    <n v="9"/>
    <n v="52443"/>
    <x v="1"/>
    <n v="2"/>
    <n v="4"/>
    <n v="67"/>
    <n v="0"/>
    <d v="2014-06-07T00:00:00"/>
    <s v="Yes"/>
    <x v="0"/>
    <n v="1"/>
    <x v="1"/>
    <x v="1"/>
    <x v="1"/>
  </r>
  <r>
    <s v="REL03411"/>
    <s v="Female"/>
    <n v="50"/>
    <s v="HSC"/>
    <s v="Divorced"/>
    <x v="6"/>
    <s v="Operations Head"/>
    <x v="3"/>
    <x v="1"/>
    <s v="North"/>
    <n v="8"/>
    <n v="118662"/>
    <x v="2"/>
    <n v="4"/>
    <n v="4"/>
    <n v="65"/>
    <n v="3"/>
    <d v="2015-06-27T00:00:00"/>
    <s v="No"/>
    <x v="1"/>
    <n v="2"/>
    <x v="1"/>
    <x v="0"/>
    <x v="1"/>
  </r>
  <r>
    <s v="REL03412"/>
    <s v="Male"/>
    <n v="52"/>
    <s v="Post Graduate"/>
    <s v="Single"/>
    <x v="0"/>
    <s v="Store Manager"/>
    <x v="4"/>
    <x v="5"/>
    <s v="South"/>
    <n v="6"/>
    <n v="100483"/>
    <x v="1"/>
    <n v="2"/>
    <n v="3"/>
    <n v="69"/>
    <n v="2"/>
    <d v="2017-09-26T00:00:00"/>
    <s v="Yes"/>
    <x v="1"/>
    <n v="1"/>
    <x v="1"/>
    <x v="1"/>
    <x v="2"/>
  </r>
  <r>
    <s v="REL03413"/>
    <s v="Male"/>
    <n v="45"/>
    <s v="HSC"/>
    <s v="Married"/>
    <x v="3"/>
    <s v="Logistics Coordinator"/>
    <x v="3"/>
    <x v="0"/>
    <s v="North"/>
    <n v="9"/>
    <n v="64070"/>
    <x v="1"/>
    <n v="1"/>
    <n v="3"/>
    <n v="29"/>
    <n v="0"/>
    <d v="2014-05-20T00:00:00"/>
    <s v="Yes"/>
    <x v="0"/>
    <n v="1"/>
    <x v="1"/>
    <x v="1"/>
    <x v="1"/>
  </r>
  <r>
    <s v="REL03414"/>
    <s v="Female"/>
    <n v="32"/>
    <s v="BTech"/>
    <s v="Divorced"/>
    <x v="1"/>
    <s v="Marketing Executive"/>
    <x v="2"/>
    <x v="9"/>
    <s v="West"/>
    <n v="4"/>
    <n v="48099"/>
    <x v="3"/>
    <n v="1"/>
    <n v="2"/>
    <n v="30"/>
    <n v="2"/>
    <d v="2019-04-14T00:00:00"/>
    <s v="No"/>
    <x v="2"/>
    <n v="4"/>
    <x v="0"/>
    <x v="2"/>
    <x v="1"/>
  </r>
  <r>
    <s v="REL03415"/>
    <s v="Male"/>
    <n v="22"/>
    <s v="MBA"/>
    <s v="Single"/>
    <x v="7"/>
    <s v="Marketing Executive"/>
    <x v="3"/>
    <x v="7"/>
    <s v="East"/>
    <n v="1"/>
    <n v="58323"/>
    <x v="0"/>
    <n v="2"/>
    <n v="1"/>
    <n v="54"/>
    <n v="2"/>
    <d v="2022-05-22T00:00:00"/>
    <s v="Yes"/>
    <x v="0"/>
    <n v="3"/>
    <x v="3"/>
    <x v="1"/>
    <x v="0"/>
  </r>
  <r>
    <s v="REL03416"/>
    <s v="Female"/>
    <n v="47"/>
    <s v="MBA"/>
    <s v="Single"/>
    <x v="4"/>
    <s v="Finance Analyst"/>
    <x v="0"/>
    <x v="5"/>
    <s v="South"/>
    <n v="10"/>
    <n v="80167"/>
    <x v="3"/>
    <n v="1"/>
    <n v="4"/>
    <n v="30"/>
    <n v="2"/>
    <d v="2014-01-02T00:00:00"/>
    <s v="No"/>
    <x v="1"/>
    <n v="4"/>
    <x v="1"/>
    <x v="2"/>
    <x v="0"/>
  </r>
  <r>
    <s v="REL03417"/>
    <s v="Female"/>
    <n v="28"/>
    <s v="MBA"/>
    <s v="Single"/>
    <x v="5"/>
    <s v="Operations Head"/>
    <x v="1"/>
    <x v="4"/>
    <s v="North"/>
    <n v="4"/>
    <n v="99620"/>
    <x v="1"/>
    <n v="4"/>
    <n v="4"/>
    <n v="32"/>
    <n v="2"/>
    <d v="2019-12-09T00:00:00"/>
    <s v="Yes"/>
    <x v="1"/>
    <n v="1"/>
    <x v="0"/>
    <x v="1"/>
    <x v="2"/>
  </r>
  <r>
    <s v="REL03418"/>
    <s v="Female"/>
    <n v="49"/>
    <s v="MBA"/>
    <s v="Single"/>
    <x v="6"/>
    <s v="Sales Executive"/>
    <x v="2"/>
    <x v="3"/>
    <s v="West"/>
    <n v="1"/>
    <n v="40080"/>
    <x v="1"/>
    <n v="1"/>
    <n v="1"/>
    <n v="75"/>
    <n v="3"/>
    <d v="2022-06-25T00:00:00"/>
    <s v="Yes"/>
    <x v="2"/>
    <n v="1"/>
    <x v="3"/>
    <x v="1"/>
    <x v="1"/>
  </r>
  <r>
    <s v="REL03419"/>
    <s v="Male"/>
    <n v="24"/>
    <s v="MBA"/>
    <s v="Single"/>
    <x v="7"/>
    <s v="Customer Service Rep"/>
    <x v="4"/>
    <x v="0"/>
    <s v="North"/>
    <n v="5"/>
    <n v="54992"/>
    <x v="3"/>
    <n v="1"/>
    <n v="2"/>
    <n v="32"/>
    <n v="0"/>
    <d v="2018-03-02T00:00:00"/>
    <s v="No"/>
    <x v="0"/>
    <n v="4"/>
    <x v="0"/>
    <x v="2"/>
    <x v="1"/>
  </r>
  <r>
    <s v="REL03420"/>
    <s v="Male"/>
    <n v="27"/>
    <s v="MBA"/>
    <s v="Single"/>
    <x v="2"/>
    <s v="Customer Service Rep"/>
    <x v="1"/>
    <x v="5"/>
    <s v="South"/>
    <n v="1"/>
    <n v="28145"/>
    <x v="1"/>
    <n v="3"/>
    <n v="1"/>
    <n v="71"/>
    <n v="2"/>
    <d v="2022-06-18T00:00:00"/>
    <s v="Yes"/>
    <x v="3"/>
    <n v="1"/>
    <x v="3"/>
    <x v="1"/>
    <x v="1"/>
  </r>
  <r>
    <s v="REL03421"/>
    <s v="Male"/>
    <n v="35"/>
    <s v="HSC"/>
    <s v="Married"/>
    <x v="4"/>
    <s v="Operations Head"/>
    <x v="3"/>
    <x v="0"/>
    <s v="North"/>
    <n v="6"/>
    <n v="107736"/>
    <x v="2"/>
    <n v="1"/>
    <n v="4"/>
    <n v="48"/>
    <n v="0"/>
    <d v="2017-10-01T00:00:00"/>
    <s v="Yes"/>
    <x v="1"/>
    <n v="2"/>
    <x v="1"/>
    <x v="1"/>
    <x v="1"/>
  </r>
  <r>
    <s v="REL03422"/>
    <s v="Female"/>
    <n v="41"/>
    <s v="BTech"/>
    <s v="Married"/>
    <x v="6"/>
    <s v="Marketing Executive"/>
    <x v="3"/>
    <x v="7"/>
    <s v="East"/>
    <n v="1"/>
    <n v="54512"/>
    <x v="0"/>
    <n v="3"/>
    <n v="1"/>
    <n v="16"/>
    <n v="3"/>
    <d v="2022-09-04T00:00:00"/>
    <s v="No"/>
    <x v="0"/>
    <n v="3"/>
    <x v="3"/>
    <x v="0"/>
    <x v="0"/>
  </r>
  <r>
    <s v="REL03423"/>
    <s v="Male"/>
    <n v="48"/>
    <s v="HSC"/>
    <s v="Single"/>
    <x v="4"/>
    <s v="Customer Service Rep"/>
    <x v="2"/>
    <x v="8"/>
    <s v="South"/>
    <n v="3"/>
    <n v="31047"/>
    <x v="2"/>
    <n v="4"/>
    <n v="3"/>
    <n v="69"/>
    <n v="0"/>
    <d v="2020-03-17T00:00:00"/>
    <s v="Yes"/>
    <x v="3"/>
    <n v="2"/>
    <x v="0"/>
    <x v="1"/>
    <x v="1"/>
  </r>
  <r>
    <s v="REL03424"/>
    <s v="Male"/>
    <n v="38"/>
    <s v="Graduate"/>
    <s v="Married"/>
    <x v="6"/>
    <s v="Finance Analyst"/>
    <x v="1"/>
    <x v="2"/>
    <s v="West"/>
    <n v="14"/>
    <n v="93907"/>
    <x v="1"/>
    <n v="3"/>
    <n v="2"/>
    <n v="45"/>
    <n v="2"/>
    <d v="2009-11-15T00:00:00"/>
    <s v="No"/>
    <x v="1"/>
    <n v="1"/>
    <x v="2"/>
    <x v="0"/>
    <x v="2"/>
  </r>
  <r>
    <s v="REL03425"/>
    <s v="Male"/>
    <n v="38"/>
    <s v="Post Graduate"/>
    <s v="Married"/>
    <x v="6"/>
    <s v="Customer Service Rep"/>
    <x v="0"/>
    <x v="1"/>
    <s v="North"/>
    <n v="11"/>
    <n v="54080"/>
    <x v="3"/>
    <n v="1"/>
    <n v="3"/>
    <n v="15"/>
    <n v="3"/>
    <d v="2012-12-22T00:00:00"/>
    <s v="No"/>
    <x v="0"/>
    <n v="4"/>
    <x v="2"/>
    <x v="2"/>
    <x v="1"/>
  </r>
  <r>
    <s v="REL03426"/>
    <s v="Male"/>
    <n v="51"/>
    <s v="Graduate"/>
    <s v="Single"/>
    <x v="3"/>
    <s v="Logistics Coordinator"/>
    <x v="1"/>
    <x v="5"/>
    <s v="South"/>
    <n v="11"/>
    <n v="68927"/>
    <x v="2"/>
    <n v="1"/>
    <n v="3"/>
    <n v="23"/>
    <n v="1"/>
    <d v="2012-09-21T00:00:00"/>
    <s v="Yes"/>
    <x v="0"/>
    <n v="2"/>
    <x v="2"/>
    <x v="1"/>
    <x v="1"/>
  </r>
  <r>
    <s v="REL03427"/>
    <s v="Male"/>
    <n v="32"/>
    <s v="Graduate"/>
    <s v="Married"/>
    <x v="4"/>
    <s v="Finance Analyst"/>
    <x v="2"/>
    <x v="2"/>
    <s v="West"/>
    <n v="13"/>
    <n v="76847"/>
    <x v="2"/>
    <n v="1"/>
    <n v="1"/>
    <n v="59"/>
    <n v="1"/>
    <d v="2010-03-23T00:00:00"/>
    <s v="No"/>
    <x v="0"/>
    <n v="2"/>
    <x v="2"/>
    <x v="0"/>
    <x v="1"/>
  </r>
  <r>
    <s v="REL03428"/>
    <s v="Female"/>
    <n v="45"/>
    <s v="MBA"/>
    <s v="Divorced"/>
    <x v="3"/>
    <s v="Customer Service Rep"/>
    <x v="2"/>
    <x v="5"/>
    <s v="South"/>
    <n v="3"/>
    <n v="50088"/>
    <x v="1"/>
    <n v="1"/>
    <n v="1"/>
    <n v="31"/>
    <n v="2"/>
    <d v="2020-03-25T00:00:00"/>
    <s v="Yes"/>
    <x v="0"/>
    <n v="1"/>
    <x v="0"/>
    <x v="1"/>
    <x v="1"/>
  </r>
  <r>
    <s v="REL03429"/>
    <s v="Male"/>
    <n v="54"/>
    <s v="Post Graduate"/>
    <s v="Divorced"/>
    <x v="2"/>
    <s v="Store Manager"/>
    <x v="2"/>
    <x v="4"/>
    <s v="North"/>
    <n v="1"/>
    <n v="91011"/>
    <x v="0"/>
    <n v="2"/>
    <n v="3"/>
    <n v="56"/>
    <n v="0"/>
    <d v="2022-09-01T00:00:00"/>
    <s v="No"/>
    <x v="1"/>
    <n v="3"/>
    <x v="3"/>
    <x v="0"/>
    <x v="0"/>
  </r>
  <r>
    <s v="REL03430"/>
    <s v="Female"/>
    <n v="22"/>
    <s v="MBA"/>
    <s v="Divorced"/>
    <x v="7"/>
    <s v="Finance Analyst"/>
    <x v="1"/>
    <x v="2"/>
    <s v="West"/>
    <n v="8"/>
    <n v="79106"/>
    <x v="3"/>
    <n v="1"/>
    <n v="1"/>
    <n v="70"/>
    <n v="1"/>
    <d v="2015-01-19T00:00:00"/>
    <s v="Yes"/>
    <x v="0"/>
    <n v="4"/>
    <x v="1"/>
    <x v="1"/>
    <x v="1"/>
  </r>
  <r>
    <s v="REL03431"/>
    <s v="Male"/>
    <n v="45"/>
    <s v="Post Graduate"/>
    <s v="Single"/>
    <x v="3"/>
    <s v="Customer Service Rep"/>
    <x v="2"/>
    <x v="4"/>
    <s v="North"/>
    <n v="12"/>
    <n v="67513"/>
    <x v="0"/>
    <n v="3"/>
    <n v="2"/>
    <n v="55"/>
    <n v="3"/>
    <d v="2011-08-30T00:00:00"/>
    <s v="Yes"/>
    <x v="0"/>
    <n v="3"/>
    <x v="2"/>
    <x v="1"/>
    <x v="0"/>
  </r>
  <r>
    <s v="REL03432"/>
    <s v="Female"/>
    <n v="28"/>
    <s v="HSC"/>
    <s v="Married"/>
    <x v="7"/>
    <s v="Store Manager"/>
    <x v="2"/>
    <x v="6"/>
    <s v="South"/>
    <n v="6"/>
    <n v="95934"/>
    <x v="2"/>
    <n v="4"/>
    <n v="1"/>
    <n v="64"/>
    <n v="1"/>
    <d v="2017-03-14T00:00:00"/>
    <s v="Yes"/>
    <x v="1"/>
    <n v="2"/>
    <x v="1"/>
    <x v="1"/>
    <x v="1"/>
  </r>
  <r>
    <s v="REL03433"/>
    <s v="Male"/>
    <n v="47"/>
    <s v="Post Graduate"/>
    <s v="Married"/>
    <x v="3"/>
    <s v="Operations Head"/>
    <x v="4"/>
    <x v="1"/>
    <s v="North"/>
    <n v="5"/>
    <n v="107653"/>
    <x v="0"/>
    <n v="2"/>
    <n v="4"/>
    <n v="10"/>
    <n v="1"/>
    <d v="2018-10-12T00:00:00"/>
    <s v="No"/>
    <x v="1"/>
    <n v="3"/>
    <x v="0"/>
    <x v="0"/>
    <x v="0"/>
  </r>
  <r>
    <s v="REL03434"/>
    <s v="Male"/>
    <n v="38"/>
    <s v="Post Graduate"/>
    <s v="Married"/>
    <x v="6"/>
    <s v="Marketing Executive"/>
    <x v="0"/>
    <x v="1"/>
    <s v="North"/>
    <n v="15"/>
    <n v="74637"/>
    <x v="1"/>
    <n v="2"/>
    <n v="4"/>
    <n v="37"/>
    <n v="3"/>
    <d v="2008-10-25T00:00:00"/>
    <s v="Yes"/>
    <x v="0"/>
    <n v="1"/>
    <x v="2"/>
    <x v="1"/>
    <x v="1"/>
  </r>
  <r>
    <s v="REL03435"/>
    <s v="Female"/>
    <n v="39"/>
    <s v="MBA"/>
    <s v="Married"/>
    <x v="2"/>
    <s v="Sales Executive"/>
    <x v="2"/>
    <x v="1"/>
    <s v="North"/>
    <n v="5"/>
    <n v="49620"/>
    <x v="2"/>
    <n v="1"/>
    <n v="3"/>
    <n v="43"/>
    <n v="3"/>
    <d v="2018-10-25T00:00:00"/>
    <s v="No"/>
    <x v="2"/>
    <n v="2"/>
    <x v="0"/>
    <x v="0"/>
    <x v="1"/>
  </r>
  <r>
    <s v="REL03436"/>
    <s v="Female"/>
    <n v="51"/>
    <s v="BTech"/>
    <s v="Married"/>
    <x v="2"/>
    <s v="Marketing Executive"/>
    <x v="3"/>
    <x v="8"/>
    <s v="South"/>
    <n v="5"/>
    <n v="58948"/>
    <x v="1"/>
    <n v="1"/>
    <n v="4"/>
    <n v="51"/>
    <n v="1"/>
    <d v="2019-01-01T00:00:00"/>
    <s v="Yes"/>
    <x v="0"/>
    <n v="1"/>
    <x v="0"/>
    <x v="1"/>
    <x v="1"/>
  </r>
  <r>
    <s v="REL03437"/>
    <s v="Male"/>
    <n v="39"/>
    <s v="HSC"/>
    <s v="Single"/>
    <x v="1"/>
    <s v="HR Manager"/>
    <x v="2"/>
    <x v="7"/>
    <s v="East"/>
    <n v="11"/>
    <n v="95784"/>
    <x v="0"/>
    <n v="3"/>
    <n v="3"/>
    <n v="10"/>
    <n v="3"/>
    <d v="2012-08-19T00:00:00"/>
    <s v="No"/>
    <x v="1"/>
    <n v="3"/>
    <x v="2"/>
    <x v="0"/>
    <x v="0"/>
  </r>
  <r>
    <s v="REL03438"/>
    <s v="Female"/>
    <n v="33"/>
    <s v="HSC"/>
    <s v="Divorced"/>
    <x v="5"/>
    <s v="Sales Executive"/>
    <x v="0"/>
    <x v="9"/>
    <s v="West"/>
    <n v="3"/>
    <n v="46559"/>
    <x v="1"/>
    <n v="1"/>
    <n v="1"/>
    <n v="64"/>
    <n v="1"/>
    <d v="2020-05-27T00:00:00"/>
    <s v="Yes"/>
    <x v="2"/>
    <n v="1"/>
    <x v="0"/>
    <x v="1"/>
    <x v="1"/>
  </r>
  <r>
    <s v="REL03439"/>
    <s v="Female"/>
    <n v="52"/>
    <s v="Post Graduate"/>
    <s v="Married"/>
    <x v="0"/>
    <s v="Finance Analyst"/>
    <x v="0"/>
    <x v="6"/>
    <s v="South"/>
    <n v="11"/>
    <n v="86534"/>
    <x v="0"/>
    <n v="3"/>
    <n v="2"/>
    <n v="64"/>
    <n v="0"/>
    <d v="2012-08-24T00:00:00"/>
    <s v="Yes"/>
    <x v="1"/>
    <n v="3"/>
    <x v="2"/>
    <x v="1"/>
    <x v="0"/>
  </r>
  <r>
    <s v="REL03440"/>
    <s v="Male"/>
    <n v="25"/>
    <s v="BTech"/>
    <s v="Single"/>
    <x v="3"/>
    <s v="Customer Service Rep"/>
    <x v="1"/>
    <x v="7"/>
    <s v="East"/>
    <n v="1"/>
    <n v="40925"/>
    <x v="0"/>
    <n v="1"/>
    <n v="4"/>
    <n v="74"/>
    <n v="0"/>
    <d v="2022-10-25T00:00:00"/>
    <s v="No"/>
    <x v="2"/>
    <n v="3"/>
    <x v="3"/>
    <x v="0"/>
    <x v="1"/>
  </r>
  <r>
    <s v="REL03441"/>
    <s v="Male"/>
    <n v="22"/>
    <s v="BTech"/>
    <s v="Married"/>
    <x v="3"/>
    <s v="HR Manager"/>
    <x v="2"/>
    <x v="4"/>
    <s v="North"/>
    <n v="10"/>
    <n v="96679"/>
    <x v="3"/>
    <n v="2"/>
    <n v="2"/>
    <n v="54"/>
    <n v="2"/>
    <d v="2013-02-17T00:00:00"/>
    <s v="No"/>
    <x v="1"/>
    <n v="4"/>
    <x v="1"/>
    <x v="2"/>
    <x v="0"/>
  </r>
  <r>
    <s v="REL03442"/>
    <s v="Male"/>
    <n v="32"/>
    <s v="HSC"/>
    <s v="Single"/>
    <x v="2"/>
    <s v="HR Manager"/>
    <x v="2"/>
    <x v="9"/>
    <s v="West"/>
    <n v="12"/>
    <n v="105052"/>
    <x v="3"/>
    <n v="1"/>
    <n v="1"/>
    <n v="31"/>
    <n v="1"/>
    <d v="2011-10-30T00:00:00"/>
    <s v="No"/>
    <x v="1"/>
    <n v="4"/>
    <x v="2"/>
    <x v="2"/>
    <x v="0"/>
  </r>
  <r>
    <s v="REL03443"/>
    <s v="Female"/>
    <n v="35"/>
    <s v="Post Graduate"/>
    <s v="Married"/>
    <x v="3"/>
    <s v="Marketing Executive"/>
    <x v="0"/>
    <x v="9"/>
    <s v="West"/>
    <n v="10"/>
    <n v="70910"/>
    <x v="1"/>
    <n v="1"/>
    <n v="2"/>
    <n v="32"/>
    <n v="1"/>
    <d v="2013-01-27T00:00:00"/>
    <s v="No"/>
    <x v="0"/>
    <n v="1"/>
    <x v="1"/>
    <x v="0"/>
    <x v="1"/>
  </r>
  <r>
    <s v="REL03444"/>
    <s v="Male"/>
    <n v="52"/>
    <s v="BTech"/>
    <s v="Single"/>
    <x v="0"/>
    <s v="Finance Analyst"/>
    <x v="1"/>
    <x v="8"/>
    <s v="South"/>
    <n v="14"/>
    <n v="93519"/>
    <x v="3"/>
    <n v="4"/>
    <n v="1"/>
    <n v="54"/>
    <n v="0"/>
    <d v="2009-12-29T00:00:00"/>
    <s v="Yes"/>
    <x v="1"/>
    <n v="4"/>
    <x v="2"/>
    <x v="1"/>
    <x v="0"/>
  </r>
  <r>
    <s v="REL03445"/>
    <s v="Female"/>
    <n v="32"/>
    <s v="Graduate"/>
    <s v="Divorced"/>
    <x v="5"/>
    <s v="Store Manager"/>
    <x v="2"/>
    <x v="2"/>
    <s v="West"/>
    <n v="7"/>
    <n v="105588"/>
    <x v="2"/>
    <n v="3"/>
    <n v="1"/>
    <n v="55"/>
    <n v="0"/>
    <d v="2016-03-21T00:00:00"/>
    <s v="No"/>
    <x v="1"/>
    <n v="2"/>
    <x v="1"/>
    <x v="0"/>
    <x v="1"/>
  </r>
  <r>
    <s v="REL03446"/>
    <s v="Female"/>
    <n v="40"/>
    <s v="BTech"/>
    <s v="Married"/>
    <x v="3"/>
    <s v="Logistics Coordinator"/>
    <x v="1"/>
    <x v="6"/>
    <s v="South"/>
    <n v="15"/>
    <n v="66488"/>
    <x v="1"/>
    <n v="1"/>
    <n v="1"/>
    <n v="66"/>
    <n v="0"/>
    <d v="2008-03-12T00:00:00"/>
    <s v="No"/>
    <x v="0"/>
    <n v="1"/>
    <x v="2"/>
    <x v="0"/>
    <x v="1"/>
  </r>
  <r>
    <s v="REL03447"/>
    <s v="Female"/>
    <n v="23"/>
    <s v="Graduate"/>
    <s v="Single"/>
    <x v="0"/>
    <s v="Finance Analyst"/>
    <x v="2"/>
    <x v="7"/>
    <s v="East"/>
    <n v="5"/>
    <n v="68129"/>
    <x v="1"/>
    <n v="3"/>
    <n v="4"/>
    <n v="74"/>
    <n v="2"/>
    <d v="2018-01-11T00:00:00"/>
    <s v="Yes"/>
    <x v="0"/>
    <n v="1"/>
    <x v="0"/>
    <x v="1"/>
    <x v="1"/>
  </r>
  <r>
    <s v="REL03448"/>
    <s v="Female"/>
    <n v="53"/>
    <s v="Graduate"/>
    <s v="Married"/>
    <x v="1"/>
    <s v="HR Manager"/>
    <x v="0"/>
    <x v="1"/>
    <s v="North"/>
    <n v="12"/>
    <n v="107493"/>
    <x v="0"/>
    <n v="3"/>
    <n v="2"/>
    <n v="53"/>
    <n v="2"/>
    <d v="2011-04-03T00:00:00"/>
    <s v="No"/>
    <x v="1"/>
    <n v="3"/>
    <x v="2"/>
    <x v="0"/>
    <x v="0"/>
  </r>
  <r>
    <s v="REL03449"/>
    <s v="Male"/>
    <n v="27"/>
    <s v="Graduate"/>
    <s v="Single"/>
    <x v="2"/>
    <s v="Finance Analyst"/>
    <x v="1"/>
    <x v="9"/>
    <s v="West"/>
    <n v="8"/>
    <n v="67691"/>
    <x v="2"/>
    <n v="3"/>
    <n v="2"/>
    <n v="38"/>
    <n v="3"/>
    <d v="2015-05-09T00:00:00"/>
    <s v="Yes"/>
    <x v="0"/>
    <n v="2"/>
    <x v="1"/>
    <x v="1"/>
    <x v="1"/>
  </r>
  <r>
    <s v="REL03450"/>
    <s v="Male"/>
    <n v="43"/>
    <s v="Graduate"/>
    <s v="Married"/>
    <x v="5"/>
    <s v="Finance Analyst"/>
    <x v="1"/>
    <x v="5"/>
    <s v="South"/>
    <n v="2"/>
    <n v="59883"/>
    <x v="0"/>
    <n v="3"/>
    <n v="4"/>
    <n v="63"/>
    <n v="1"/>
    <d v="2021-08-18T00:00:00"/>
    <s v="No"/>
    <x v="0"/>
    <n v="3"/>
    <x v="3"/>
    <x v="0"/>
    <x v="0"/>
  </r>
  <r>
    <s v="REL03451"/>
    <s v="Male"/>
    <n v="29"/>
    <s v="Graduate"/>
    <s v="Divorced"/>
    <x v="4"/>
    <s v="Logistics Coordinator"/>
    <x v="2"/>
    <x v="0"/>
    <s v="North"/>
    <n v="1"/>
    <n v="40601"/>
    <x v="1"/>
    <n v="3"/>
    <n v="3"/>
    <n v="24"/>
    <n v="1"/>
    <d v="2022-07-30T00:00:00"/>
    <s v="Yes"/>
    <x v="2"/>
    <n v="1"/>
    <x v="3"/>
    <x v="1"/>
    <x v="1"/>
  </r>
  <r>
    <s v="REL03452"/>
    <s v="Female"/>
    <n v="49"/>
    <s v="HSC"/>
    <s v="Divorced"/>
    <x v="5"/>
    <s v="Finance Analyst"/>
    <x v="1"/>
    <x v="2"/>
    <s v="West"/>
    <n v="2"/>
    <n v="60726"/>
    <x v="2"/>
    <n v="1"/>
    <n v="3"/>
    <n v="38"/>
    <n v="0"/>
    <d v="2021-06-14T00:00:00"/>
    <s v="No"/>
    <x v="0"/>
    <n v="2"/>
    <x v="3"/>
    <x v="0"/>
    <x v="1"/>
  </r>
  <r>
    <s v="REL03453"/>
    <s v="Male"/>
    <n v="29"/>
    <s v="Graduate"/>
    <s v="Single"/>
    <x v="7"/>
    <s v="Store Manager"/>
    <x v="0"/>
    <x v="5"/>
    <s v="South"/>
    <n v="13"/>
    <n v="104042"/>
    <x v="3"/>
    <n v="4"/>
    <n v="2"/>
    <n v="31"/>
    <n v="1"/>
    <d v="2010-03-31T00:00:00"/>
    <s v="No"/>
    <x v="1"/>
    <n v="4"/>
    <x v="2"/>
    <x v="2"/>
    <x v="0"/>
  </r>
  <r>
    <s v="REL03454"/>
    <s v="Male"/>
    <n v="54"/>
    <s v="BTech"/>
    <s v="Divorced"/>
    <x v="4"/>
    <s v="Customer Service Rep"/>
    <x v="2"/>
    <x v="8"/>
    <s v="South"/>
    <n v="7"/>
    <n v="47700"/>
    <x v="0"/>
    <n v="1"/>
    <n v="4"/>
    <n v="74"/>
    <n v="2"/>
    <d v="2016-07-26T00:00:00"/>
    <s v="No"/>
    <x v="2"/>
    <n v="3"/>
    <x v="1"/>
    <x v="0"/>
    <x v="1"/>
  </r>
  <r>
    <s v="REL03455"/>
    <s v="Male"/>
    <n v="35"/>
    <s v="HSC"/>
    <s v="Married"/>
    <x v="2"/>
    <s v="Operations Head"/>
    <x v="3"/>
    <x v="7"/>
    <s v="East"/>
    <n v="6"/>
    <n v="104813"/>
    <x v="3"/>
    <n v="3"/>
    <n v="2"/>
    <n v="13"/>
    <n v="2"/>
    <d v="2017-03-12T00:00:00"/>
    <s v="No"/>
    <x v="1"/>
    <n v="4"/>
    <x v="1"/>
    <x v="2"/>
    <x v="0"/>
  </r>
  <r>
    <s v="REL03456"/>
    <s v="Female"/>
    <n v="47"/>
    <s v="BTech"/>
    <s v="Divorced"/>
    <x v="4"/>
    <s v="Sales Executive"/>
    <x v="4"/>
    <x v="4"/>
    <s v="North"/>
    <n v="10"/>
    <n v="51096"/>
    <x v="3"/>
    <n v="1"/>
    <n v="2"/>
    <n v="34"/>
    <n v="1"/>
    <d v="2013-06-04T00:00:00"/>
    <s v="Yes"/>
    <x v="0"/>
    <n v="4"/>
    <x v="1"/>
    <x v="1"/>
    <x v="1"/>
  </r>
  <r>
    <s v="REL03457"/>
    <s v="Male"/>
    <n v="25"/>
    <s v="MBA"/>
    <s v="Married"/>
    <x v="6"/>
    <s v="Logistics Coordinator"/>
    <x v="3"/>
    <x v="0"/>
    <s v="North"/>
    <n v="7"/>
    <n v="58439"/>
    <x v="0"/>
    <n v="1"/>
    <n v="3"/>
    <n v="13"/>
    <n v="3"/>
    <d v="2016-01-10T00:00:00"/>
    <s v="Yes"/>
    <x v="0"/>
    <n v="3"/>
    <x v="1"/>
    <x v="1"/>
    <x v="0"/>
  </r>
  <r>
    <s v="REL03458"/>
    <s v="Male"/>
    <n v="50"/>
    <s v="BTech"/>
    <s v="Married"/>
    <x v="0"/>
    <s v="Logistics Coordinator"/>
    <x v="1"/>
    <x v="8"/>
    <s v="South"/>
    <n v="1"/>
    <n v="51660"/>
    <x v="3"/>
    <n v="3"/>
    <n v="1"/>
    <n v="12"/>
    <n v="2"/>
    <d v="2022-12-03T00:00:00"/>
    <s v="Yes"/>
    <x v="0"/>
    <n v="4"/>
    <x v="3"/>
    <x v="1"/>
    <x v="1"/>
  </r>
  <r>
    <s v="REL03459"/>
    <s v="Female"/>
    <n v="44"/>
    <s v="BTech"/>
    <s v="Single"/>
    <x v="3"/>
    <s v="Marketing Executive"/>
    <x v="4"/>
    <x v="4"/>
    <s v="North"/>
    <n v="6"/>
    <n v="68344"/>
    <x v="1"/>
    <n v="2"/>
    <n v="1"/>
    <n v="77"/>
    <n v="2"/>
    <d v="2017-08-16T00:00:00"/>
    <s v="No"/>
    <x v="0"/>
    <n v="1"/>
    <x v="1"/>
    <x v="0"/>
    <x v="1"/>
  </r>
  <r>
    <s v="REL03460"/>
    <s v="Male"/>
    <n v="31"/>
    <s v="MBA"/>
    <s v="Divorced"/>
    <x v="6"/>
    <s v="Marketing Executive"/>
    <x v="0"/>
    <x v="2"/>
    <s v="West"/>
    <n v="15"/>
    <n v="78380"/>
    <x v="2"/>
    <n v="1"/>
    <n v="1"/>
    <n v="70"/>
    <n v="3"/>
    <d v="2008-04-18T00:00:00"/>
    <s v="No"/>
    <x v="0"/>
    <n v="2"/>
    <x v="2"/>
    <x v="0"/>
    <x v="1"/>
  </r>
  <r>
    <s v="REL03461"/>
    <s v="Female"/>
    <n v="55"/>
    <s v="Graduate"/>
    <s v="Married"/>
    <x v="3"/>
    <s v="Finance Analyst"/>
    <x v="4"/>
    <x v="5"/>
    <s v="South"/>
    <n v="10"/>
    <n v="71304"/>
    <x v="3"/>
    <n v="4"/>
    <n v="2"/>
    <n v="41"/>
    <n v="1"/>
    <d v="2013-12-23T00:00:00"/>
    <s v="No"/>
    <x v="0"/>
    <n v="4"/>
    <x v="1"/>
    <x v="2"/>
    <x v="1"/>
  </r>
  <r>
    <s v="REL03462"/>
    <s v="Female"/>
    <n v="28"/>
    <s v="HSC"/>
    <s v="Single"/>
    <x v="5"/>
    <s v="Sales Executive"/>
    <x v="1"/>
    <x v="7"/>
    <s v="East"/>
    <n v="2"/>
    <n v="39420"/>
    <x v="3"/>
    <n v="1"/>
    <n v="4"/>
    <n v="74"/>
    <n v="2"/>
    <d v="2021-05-09T00:00:00"/>
    <s v="No"/>
    <x v="2"/>
    <n v="4"/>
    <x v="3"/>
    <x v="2"/>
    <x v="1"/>
  </r>
  <r>
    <s v="REL03463"/>
    <s v="Male"/>
    <n v="44"/>
    <s v="BTech"/>
    <s v="Married"/>
    <x v="3"/>
    <s v="Logistics Coordinator"/>
    <x v="0"/>
    <x v="8"/>
    <s v="South"/>
    <n v="8"/>
    <n v="51636"/>
    <x v="1"/>
    <n v="4"/>
    <n v="3"/>
    <n v="73"/>
    <n v="0"/>
    <d v="2015-01-31T00:00:00"/>
    <s v="Yes"/>
    <x v="0"/>
    <n v="1"/>
    <x v="1"/>
    <x v="1"/>
    <x v="1"/>
  </r>
  <r>
    <s v="REL03464"/>
    <s v="Female"/>
    <n v="27"/>
    <s v="BTech"/>
    <s v="Married"/>
    <x v="5"/>
    <s v="Customer Service Rep"/>
    <x v="0"/>
    <x v="6"/>
    <s v="South"/>
    <n v="14"/>
    <n v="70860"/>
    <x v="2"/>
    <n v="1"/>
    <n v="3"/>
    <n v="12"/>
    <n v="0"/>
    <d v="2009-05-24T00:00:00"/>
    <s v="No"/>
    <x v="0"/>
    <n v="2"/>
    <x v="2"/>
    <x v="0"/>
    <x v="1"/>
  </r>
  <r>
    <s v="REL03465"/>
    <s v="Female"/>
    <n v="32"/>
    <s v="HSC"/>
    <s v="Single"/>
    <x v="0"/>
    <s v="Operations Head"/>
    <x v="1"/>
    <x v="8"/>
    <s v="South"/>
    <n v="6"/>
    <n v="106853"/>
    <x v="3"/>
    <n v="1"/>
    <n v="4"/>
    <n v="54"/>
    <n v="1"/>
    <d v="2017-03-16T00:00:00"/>
    <s v="No"/>
    <x v="1"/>
    <n v="4"/>
    <x v="1"/>
    <x v="2"/>
    <x v="0"/>
  </r>
  <r>
    <s v="REL03466"/>
    <s v="Female"/>
    <n v="31"/>
    <s v="HSC"/>
    <s v="Divorced"/>
    <x v="7"/>
    <s v="Logistics Coordinator"/>
    <x v="2"/>
    <x v="1"/>
    <s v="North"/>
    <n v="8"/>
    <n v="63791"/>
    <x v="3"/>
    <n v="3"/>
    <n v="2"/>
    <n v="11"/>
    <n v="1"/>
    <d v="2015-04-30T00:00:00"/>
    <s v="No"/>
    <x v="0"/>
    <n v="4"/>
    <x v="1"/>
    <x v="2"/>
    <x v="1"/>
  </r>
  <r>
    <s v="REL03467"/>
    <s v="Male"/>
    <n v="39"/>
    <s v="HSC"/>
    <s v="Single"/>
    <x v="5"/>
    <s v="Logistics Coordinator"/>
    <x v="3"/>
    <x v="0"/>
    <s v="North"/>
    <n v="1"/>
    <n v="48375"/>
    <x v="1"/>
    <n v="4"/>
    <n v="4"/>
    <n v="80"/>
    <n v="1"/>
    <d v="2022-11-10T00:00:00"/>
    <s v="Yes"/>
    <x v="2"/>
    <n v="1"/>
    <x v="3"/>
    <x v="1"/>
    <x v="1"/>
  </r>
  <r>
    <s v="REL03468"/>
    <s v="Male"/>
    <n v="31"/>
    <s v="MBA"/>
    <s v="Single"/>
    <x v="1"/>
    <s v="Logistics Coordinator"/>
    <x v="0"/>
    <x v="2"/>
    <s v="West"/>
    <n v="11"/>
    <n v="73763"/>
    <x v="3"/>
    <n v="4"/>
    <n v="4"/>
    <n v="31"/>
    <n v="1"/>
    <d v="2012-11-12T00:00:00"/>
    <s v="Yes"/>
    <x v="0"/>
    <n v="4"/>
    <x v="2"/>
    <x v="1"/>
    <x v="1"/>
  </r>
  <r>
    <s v="REL03469"/>
    <s v="Female"/>
    <n v="33"/>
    <s v="MBA"/>
    <s v="Married"/>
    <x v="1"/>
    <s v="Logistics Coordinator"/>
    <x v="0"/>
    <x v="4"/>
    <s v="North"/>
    <n v="15"/>
    <n v="65040"/>
    <x v="0"/>
    <n v="3"/>
    <n v="1"/>
    <n v="36"/>
    <n v="1"/>
    <d v="2008-05-13T00:00:00"/>
    <s v="Yes"/>
    <x v="0"/>
    <n v="3"/>
    <x v="2"/>
    <x v="1"/>
    <x v="0"/>
  </r>
  <r>
    <s v="REL03470"/>
    <s v="Male"/>
    <n v="30"/>
    <s v="Post Graduate"/>
    <s v="Single"/>
    <x v="2"/>
    <s v="Operations Head"/>
    <x v="2"/>
    <x v="2"/>
    <s v="West"/>
    <n v="11"/>
    <n v="111474"/>
    <x v="2"/>
    <n v="2"/>
    <n v="1"/>
    <n v="16"/>
    <n v="1"/>
    <d v="2013-01-01T00:00:00"/>
    <s v="No"/>
    <x v="1"/>
    <n v="2"/>
    <x v="2"/>
    <x v="0"/>
    <x v="1"/>
  </r>
  <r>
    <s v="REL03471"/>
    <s v="Female"/>
    <n v="28"/>
    <s v="BTech"/>
    <s v="Divorced"/>
    <x v="1"/>
    <s v="Logistics Coordinator"/>
    <x v="4"/>
    <x v="7"/>
    <s v="East"/>
    <n v="14"/>
    <n v="78435"/>
    <x v="2"/>
    <n v="3"/>
    <n v="2"/>
    <n v="39"/>
    <n v="0"/>
    <d v="2009-12-27T00:00:00"/>
    <s v="No"/>
    <x v="0"/>
    <n v="2"/>
    <x v="2"/>
    <x v="0"/>
    <x v="1"/>
  </r>
  <r>
    <s v="REL03472"/>
    <s v="Female"/>
    <n v="43"/>
    <s v="Post Graduate"/>
    <s v="Divorced"/>
    <x v="5"/>
    <s v="Marketing Executive"/>
    <x v="3"/>
    <x v="0"/>
    <s v="North"/>
    <n v="12"/>
    <n v="74608"/>
    <x v="2"/>
    <n v="1"/>
    <n v="3"/>
    <n v="79"/>
    <n v="1"/>
    <d v="2011-10-06T00:00:00"/>
    <s v="No"/>
    <x v="0"/>
    <n v="2"/>
    <x v="2"/>
    <x v="0"/>
    <x v="1"/>
  </r>
  <r>
    <s v="REL03473"/>
    <s v="Female"/>
    <n v="45"/>
    <s v="BTech"/>
    <s v="Married"/>
    <x v="6"/>
    <s v="Customer Service Rep"/>
    <x v="0"/>
    <x v="5"/>
    <s v="South"/>
    <n v="2"/>
    <n v="33918"/>
    <x v="0"/>
    <n v="1"/>
    <n v="4"/>
    <n v="59"/>
    <n v="1"/>
    <d v="2021-06-03T00:00:00"/>
    <s v="No"/>
    <x v="3"/>
    <n v="3"/>
    <x v="3"/>
    <x v="0"/>
    <x v="1"/>
  </r>
  <r>
    <s v="REL03474"/>
    <s v="Male"/>
    <n v="51"/>
    <s v="Graduate"/>
    <s v="Single"/>
    <x v="1"/>
    <s v="HR Manager"/>
    <x v="4"/>
    <x v="4"/>
    <s v="North"/>
    <n v="3"/>
    <n v="74148"/>
    <x v="0"/>
    <n v="2"/>
    <n v="1"/>
    <n v="52"/>
    <n v="2"/>
    <d v="2020-03-25T00:00:00"/>
    <s v="No"/>
    <x v="0"/>
    <n v="3"/>
    <x v="0"/>
    <x v="0"/>
    <x v="0"/>
  </r>
  <r>
    <s v="REL03475"/>
    <s v="Male"/>
    <n v="34"/>
    <s v="HSC"/>
    <s v="Single"/>
    <x v="4"/>
    <s v="Customer Service Rep"/>
    <x v="4"/>
    <x v="9"/>
    <s v="West"/>
    <n v="13"/>
    <n v="54290"/>
    <x v="0"/>
    <n v="1"/>
    <n v="4"/>
    <n v="19"/>
    <n v="2"/>
    <d v="2010-11-12T00:00:00"/>
    <s v="No"/>
    <x v="0"/>
    <n v="3"/>
    <x v="2"/>
    <x v="0"/>
    <x v="0"/>
  </r>
  <r>
    <s v="REL03476"/>
    <s v="Male"/>
    <n v="44"/>
    <s v="Post Graduate"/>
    <s v="Married"/>
    <x v="5"/>
    <s v="Logistics Coordinator"/>
    <x v="0"/>
    <x v="8"/>
    <s v="South"/>
    <n v="15"/>
    <n v="77721"/>
    <x v="1"/>
    <n v="4"/>
    <n v="1"/>
    <n v="23"/>
    <n v="3"/>
    <d v="2008-06-26T00:00:00"/>
    <s v="No"/>
    <x v="0"/>
    <n v="1"/>
    <x v="2"/>
    <x v="0"/>
    <x v="1"/>
  </r>
  <r>
    <s v="REL03477"/>
    <s v="Female"/>
    <n v="43"/>
    <s v="MBA"/>
    <s v="Married"/>
    <x v="3"/>
    <s v="Customer Service Rep"/>
    <x v="4"/>
    <x v="0"/>
    <s v="North"/>
    <n v="5"/>
    <n v="50714"/>
    <x v="0"/>
    <n v="2"/>
    <n v="2"/>
    <n v="10"/>
    <n v="0"/>
    <d v="2018-11-01T00:00:00"/>
    <s v="No"/>
    <x v="0"/>
    <n v="3"/>
    <x v="0"/>
    <x v="0"/>
    <x v="0"/>
  </r>
  <r>
    <s v="REL03478"/>
    <s v="Female"/>
    <n v="41"/>
    <s v="Post Graduate"/>
    <s v="Single"/>
    <x v="3"/>
    <s v="Marketing Executive"/>
    <x v="0"/>
    <x v="6"/>
    <s v="South"/>
    <n v="3"/>
    <n v="60748"/>
    <x v="0"/>
    <n v="2"/>
    <n v="3"/>
    <n v="20"/>
    <n v="3"/>
    <d v="2020-06-09T00:00:00"/>
    <s v="Yes"/>
    <x v="0"/>
    <n v="3"/>
    <x v="0"/>
    <x v="1"/>
    <x v="0"/>
  </r>
  <r>
    <s v="REL03479"/>
    <s v="Male"/>
    <n v="25"/>
    <s v="MBA"/>
    <s v="Married"/>
    <x v="2"/>
    <s v="HR Manager"/>
    <x v="4"/>
    <x v="6"/>
    <s v="South"/>
    <n v="6"/>
    <n v="82298"/>
    <x v="3"/>
    <n v="4"/>
    <n v="3"/>
    <n v="26"/>
    <n v="0"/>
    <d v="2017-12-29T00:00:00"/>
    <s v="No"/>
    <x v="1"/>
    <n v="4"/>
    <x v="1"/>
    <x v="2"/>
    <x v="0"/>
  </r>
  <r>
    <s v="REL03480"/>
    <s v="Male"/>
    <n v="23"/>
    <s v="HSC"/>
    <s v="Married"/>
    <x v="2"/>
    <s v="Store Manager"/>
    <x v="3"/>
    <x v="0"/>
    <s v="North"/>
    <n v="2"/>
    <n v="81549"/>
    <x v="0"/>
    <n v="1"/>
    <n v="1"/>
    <n v="52"/>
    <n v="1"/>
    <d v="2021-02-22T00:00:00"/>
    <s v="Yes"/>
    <x v="1"/>
    <n v="3"/>
    <x v="3"/>
    <x v="1"/>
    <x v="0"/>
  </r>
  <r>
    <s v="REL03481"/>
    <s v="Female"/>
    <n v="27"/>
    <s v="Graduate"/>
    <s v="Single"/>
    <x v="4"/>
    <s v="Logistics Coordinator"/>
    <x v="1"/>
    <x v="3"/>
    <s v="West"/>
    <n v="14"/>
    <n v="76683"/>
    <x v="2"/>
    <n v="3"/>
    <n v="2"/>
    <n v="70"/>
    <n v="1"/>
    <d v="2009-06-13T00:00:00"/>
    <s v="No"/>
    <x v="0"/>
    <n v="2"/>
    <x v="2"/>
    <x v="0"/>
    <x v="1"/>
  </r>
  <r>
    <s v="REL03482"/>
    <s v="Female"/>
    <n v="35"/>
    <s v="Post Graduate"/>
    <s v="Married"/>
    <x v="7"/>
    <s v="HR Manager"/>
    <x v="1"/>
    <x v="6"/>
    <s v="South"/>
    <n v="14"/>
    <n v="112674"/>
    <x v="0"/>
    <n v="3"/>
    <n v="1"/>
    <n v="72"/>
    <n v="3"/>
    <d v="2009-10-11T00:00:00"/>
    <s v="Yes"/>
    <x v="1"/>
    <n v="3"/>
    <x v="2"/>
    <x v="1"/>
    <x v="0"/>
  </r>
  <r>
    <s v="REL03483"/>
    <s v="Female"/>
    <n v="32"/>
    <s v="BTech"/>
    <s v="Divorced"/>
    <x v="6"/>
    <s v="Logistics Coordinator"/>
    <x v="0"/>
    <x v="4"/>
    <s v="North"/>
    <n v="8"/>
    <n v="61304"/>
    <x v="1"/>
    <n v="1"/>
    <n v="3"/>
    <n v="64"/>
    <n v="1"/>
    <d v="2015-03-17T00:00:00"/>
    <s v="Yes"/>
    <x v="0"/>
    <n v="1"/>
    <x v="1"/>
    <x v="1"/>
    <x v="1"/>
  </r>
  <r>
    <s v="REL03484"/>
    <s v="Male"/>
    <n v="26"/>
    <s v="MBA"/>
    <s v="Single"/>
    <x v="3"/>
    <s v="Marketing Executive"/>
    <x v="0"/>
    <x v="0"/>
    <s v="North"/>
    <n v="11"/>
    <n v="70492"/>
    <x v="2"/>
    <n v="3"/>
    <n v="4"/>
    <n v="79"/>
    <n v="0"/>
    <d v="2012-08-23T00:00:00"/>
    <s v="No"/>
    <x v="0"/>
    <n v="2"/>
    <x v="2"/>
    <x v="0"/>
    <x v="1"/>
  </r>
  <r>
    <s v="REL03485"/>
    <s v="Female"/>
    <n v="51"/>
    <s v="HSC"/>
    <s v="Divorced"/>
    <x v="3"/>
    <s v="Operations Head"/>
    <x v="2"/>
    <x v="1"/>
    <s v="North"/>
    <n v="4"/>
    <n v="101880"/>
    <x v="0"/>
    <n v="3"/>
    <n v="3"/>
    <n v="60"/>
    <n v="2"/>
    <d v="2019-08-07T00:00:00"/>
    <s v="No"/>
    <x v="1"/>
    <n v="3"/>
    <x v="0"/>
    <x v="0"/>
    <x v="0"/>
  </r>
  <r>
    <s v="REL03486"/>
    <s v="Male"/>
    <n v="38"/>
    <s v="Post Graduate"/>
    <s v="Married"/>
    <x v="5"/>
    <s v="Sales Executive"/>
    <x v="4"/>
    <x v="8"/>
    <s v="South"/>
    <n v="3"/>
    <n v="48057"/>
    <x v="2"/>
    <n v="1"/>
    <n v="4"/>
    <n v="18"/>
    <n v="1"/>
    <d v="2020-10-22T00:00:00"/>
    <s v="No"/>
    <x v="2"/>
    <n v="2"/>
    <x v="0"/>
    <x v="0"/>
    <x v="1"/>
  </r>
  <r>
    <s v="REL03487"/>
    <s v="Female"/>
    <n v="29"/>
    <s v="Post Graduate"/>
    <s v="Single"/>
    <x v="2"/>
    <s v="HR Manager"/>
    <x v="0"/>
    <x v="5"/>
    <s v="South"/>
    <n v="15"/>
    <n v="109440"/>
    <x v="0"/>
    <n v="3"/>
    <n v="3"/>
    <n v="43"/>
    <n v="2"/>
    <d v="2008-08-13T00:00:00"/>
    <s v="No"/>
    <x v="1"/>
    <n v="3"/>
    <x v="2"/>
    <x v="0"/>
    <x v="0"/>
  </r>
  <r>
    <s v="REL03488"/>
    <s v="Female"/>
    <n v="51"/>
    <s v="MBA"/>
    <s v="Divorced"/>
    <x v="5"/>
    <s v="Marketing Executive"/>
    <x v="1"/>
    <x v="6"/>
    <s v="South"/>
    <n v="14"/>
    <n v="82466"/>
    <x v="3"/>
    <n v="2"/>
    <n v="1"/>
    <n v="68"/>
    <n v="0"/>
    <d v="2009-12-30T00:00:00"/>
    <s v="No"/>
    <x v="1"/>
    <n v="4"/>
    <x v="2"/>
    <x v="2"/>
    <x v="0"/>
  </r>
  <r>
    <s v="REL03489"/>
    <s v="Female"/>
    <n v="35"/>
    <s v="BTech"/>
    <s v="Single"/>
    <x v="1"/>
    <s v="Logistics Coordinator"/>
    <x v="0"/>
    <x v="5"/>
    <s v="South"/>
    <n v="9"/>
    <n v="58272"/>
    <x v="1"/>
    <n v="1"/>
    <n v="2"/>
    <n v="80"/>
    <n v="1"/>
    <d v="2014-05-03T00:00:00"/>
    <s v="No"/>
    <x v="0"/>
    <n v="1"/>
    <x v="1"/>
    <x v="0"/>
    <x v="1"/>
  </r>
  <r>
    <s v="REL03490"/>
    <s v="Female"/>
    <n v="42"/>
    <s v="HSC"/>
    <s v="Single"/>
    <x v="2"/>
    <s v="Customer Service Rep"/>
    <x v="1"/>
    <x v="1"/>
    <s v="North"/>
    <n v="15"/>
    <n v="55431"/>
    <x v="0"/>
    <n v="3"/>
    <n v="1"/>
    <n v="60"/>
    <n v="0"/>
    <d v="2008-09-06T00:00:00"/>
    <s v="No"/>
    <x v="0"/>
    <n v="3"/>
    <x v="2"/>
    <x v="0"/>
    <x v="0"/>
  </r>
  <r>
    <s v="REL03491"/>
    <s v="Female"/>
    <n v="48"/>
    <s v="Post Graduate"/>
    <s v="Single"/>
    <x v="2"/>
    <s v="HR Manager"/>
    <x v="4"/>
    <x v="7"/>
    <s v="East"/>
    <n v="7"/>
    <n v="94093"/>
    <x v="2"/>
    <n v="4"/>
    <n v="4"/>
    <n v="30"/>
    <n v="3"/>
    <d v="2016-07-16T00:00:00"/>
    <s v="No"/>
    <x v="1"/>
    <n v="2"/>
    <x v="1"/>
    <x v="0"/>
    <x v="1"/>
  </r>
  <r>
    <s v="REL03492"/>
    <s v="Female"/>
    <n v="27"/>
    <s v="HSC"/>
    <s v="Divorced"/>
    <x v="4"/>
    <s v="Operations Head"/>
    <x v="2"/>
    <x v="6"/>
    <s v="South"/>
    <n v="15"/>
    <n v="123818"/>
    <x v="3"/>
    <n v="4"/>
    <n v="3"/>
    <n v="36"/>
    <n v="0"/>
    <d v="2008-06-09T00:00:00"/>
    <s v="No"/>
    <x v="1"/>
    <n v="4"/>
    <x v="2"/>
    <x v="2"/>
    <x v="0"/>
  </r>
  <r>
    <s v="REL03493"/>
    <s v="Female"/>
    <n v="40"/>
    <s v="HSC"/>
    <s v="Single"/>
    <x v="4"/>
    <s v="Marketing Executive"/>
    <x v="0"/>
    <x v="0"/>
    <s v="North"/>
    <n v="12"/>
    <n v="71999"/>
    <x v="1"/>
    <n v="1"/>
    <n v="2"/>
    <n v="28"/>
    <n v="1"/>
    <d v="2011-07-24T00:00:00"/>
    <s v="Yes"/>
    <x v="0"/>
    <n v="1"/>
    <x v="2"/>
    <x v="1"/>
    <x v="1"/>
  </r>
  <r>
    <s v="REL03494"/>
    <s v="Male"/>
    <n v="25"/>
    <s v="BTech"/>
    <s v="Divorced"/>
    <x v="4"/>
    <s v="Sales Executive"/>
    <x v="1"/>
    <x v="0"/>
    <s v="North"/>
    <n v="4"/>
    <n v="42198"/>
    <x v="3"/>
    <n v="2"/>
    <n v="1"/>
    <n v="29"/>
    <n v="1"/>
    <d v="2019-07-03T00:00:00"/>
    <s v="Yes"/>
    <x v="2"/>
    <n v="4"/>
    <x v="0"/>
    <x v="1"/>
    <x v="1"/>
  </r>
  <r>
    <s v="REL03495"/>
    <s v="Female"/>
    <n v="24"/>
    <s v="MBA"/>
    <s v="Divorced"/>
    <x v="0"/>
    <s v="Sales Executive"/>
    <x v="2"/>
    <x v="6"/>
    <s v="South"/>
    <n v="15"/>
    <n v="76377"/>
    <x v="2"/>
    <n v="2"/>
    <n v="2"/>
    <n v="80"/>
    <n v="1"/>
    <d v="2008-06-10T00:00:00"/>
    <s v="No"/>
    <x v="0"/>
    <n v="2"/>
    <x v="2"/>
    <x v="0"/>
    <x v="1"/>
  </r>
  <r>
    <s v="REL03496"/>
    <s v="Female"/>
    <n v="53"/>
    <s v="Post Graduate"/>
    <s v="Married"/>
    <x v="6"/>
    <s v="Store Manager"/>
    <x v="3"/>
    <x v="2"/>
    <s v="West"/>
    <n v="1"/>
    <n v="77234"/>
    <x v="2"/>
    <n v="3"/>
    <n v="4"/>
    <n v="33"/>
    <n v="2"/>
    <d v="2022-01-27T00:00:00"/>
    <s v="No"/>
    <x v="0"/>
    <n v="2"/>
    <x v="3"/>
    <x v="0"/>
    <x v="1"/>
  </r>
  <r>
    <s v="REL03497"/>
    <s v="Female"/>
    <n v="43"/>
    <s v="Post Graduate"/>
    <s v="Single"/>
    <x v="5"/>
    <s v="Sales Executive"/>
    <x v="1"/>
    <x v="4"/>
    <s v="North"/>
    <n v="12"/>
    <n v="58624"/>
    <x v="3"/>
    <n v="1"/>
    <n v="2"/>
    <n v="53"/>
    <n v="1"/>
    <d v="2011-09-15T00:00:00"/>
    <s v="Yes"/>
    <x v="0"/>
    <n v="4"/>
    <x v="2"/>
    <x v="1"/>
    <x v="1"/>
  </r>
  <r>
    <s v="REL03498"/>
    <s v="Male"/>
    <n v="49"/>
    <s v="MBA"/>
    <s v="Divorced"/>
    <x v="1"/>
    <s v="Logistics Coordinator"/>
    <x v="3"/>
    <x v="8"/>
    <s v="South"/>
    <n v="7"/>
    <n v="68054"/>
    <x v="2"/>
    <n v="3"/>
    <n v="4"/>
    <n v="48"/>
    <n v="2"/>
    <d v="2016-05-09T00:00:00"/>
    <s v="No"/>
    <x v="0"/>
    <n v="2"/>
    <x v="1"/>
    <x v="0"/>
    <x v="1"/>
  </r>
  <r>
    <s v="REL03499"/>
    <s v="Female"/>
    <n v="43"/>
    <s v="MBA"/>
    <s v="Single"/>
    <x v="1"/>
    <s v="HR Manager"/>
    <x v="4"/>
    <x v="3"/>
    <s v="West"/>
    <n v="9"/>
    <n v="89012"/>
    <x v="2"/>
    <n v="1"/>
    <n v="3"/>
    <n v="57"/>
    <n v="2"/>
    <d v="2014-11-27T00:00:00"/>
    <s v="Yes"/>
    <x v="1"/>
    <n v="2"/>
    <x v="1"/>
    <x v="1"/>
    <x v="1"/>
  </r>
  <r>
    <s v="REL03500"/>
    <s v="Female"/>
    <n v="40"/>
    <s v="HSC"/>
    <s v="Single"/>
    <x v="3"/>
    <s v="Customer Service Rep"/>
    <x v="4"/>
    <x v="5"/>
    <s v="South"/>
    <n v="13"/>
    <n v="62527"/>
    <x v="1"/>
    <n v="3"/>
    <n v="2"/>
    <n v="60"/>
    <n v="0"/>
    <d v="2010-10-18T00:00:00"/>
    <s v="Yes"/>
    <x v="0"/>
    <n v="1"/>
    <x v="2"/>
    <x v="1"/>
    <x v="1"/>
  </r>
  <r>
    <s v="REL03501"/>
    <s v="Female"/>
    <n v="46"/>
    <s v="BTech"/>
    <s v="Divorced"/>
    <x v="3"/>
    <s v="Marketing Executive"/>
    <x v="2"/>
    <x v="9"/>
    <s v="West"/>
    <n v="13"/>
    <n v="85004"/>
    <x v="2"/>
    <n v="1"/>
    <n v="1"/>
    <n v="13"/>
    <n v="3"/>
    <d v="2010-04-07T00:00:00"/>
    <s v="No"/>
    <x v="1"/>
    <n v="2"/>
    <x v="2"/>
    <x v="0"/>
    <x v="1"/>
  </r>
  <r>
    <s v="REL03502"/>
    <s v="Male"/>
    <n v="35"/>
    <s v="MBA"/>
    <s v="Single"/>
    <x v="3"/>
    <s v="Operations Head"/>
    <x v="1"/>
    <x v="7"/>
    <s v="East"/>
    <n v="5"/>
    <n v="101411"/>
    <x v="2"/>
    <n v="3"/>
    <n v="1"/>
    <n v="65"/>
    <n v="1"/>
    <d v="2018-07-26T00:00:00"/>
    <s v="Yes"/>
    <x v="1"/>
    <n v="2"/>
    <x v="0"/>
    <x v="1"/>
    <x v="1"/>
  </r>
  <r>
    <s v="REL03503"/>
    <s v="Female"/>
    <n v="25"/>
    <s v="Post Graduate"/>
    <s v="Divorced"/>
    <x v="0"/>
    <s v="Operations Head"/>
    <x v="3"/>
    <x v="9"/>
    <s v="West"/>
    <n v="8"/>
    <n v="105564"/>
    <x v="0"/>
    <n v="3"/>
    <n v="1"/>
    <n v="66"/>
    <n v="1"/>
    <d v="2015-12-11T00:00:00"/>
    <s v="Yes"/>
    <x v="1"/>
    <n v="3"/>
    <x v="1"/>
    <x v="1"/>
    <x v="0"/>
  </r>
  <r>
    <s v="REL03504"/>
    <s v="Male"/>
    <n v="44"/>
    <s v="BTech"/>
    <s v="Single"/>
    <x v="7"/>
    <s v="Operations Head"/>
    <x v="3"/>
    <x v="4"/>
    <s v="North"/>
    <n v="1"/>
    <n v="103640"/>
    <x v="3"/>
    <n v="3"/>
    <n v="3"/>
    <n v="31"/>
    <n v="2"/>
    <d v="2022-03-08T00:00:00"/>
    <s v="No"/>
    <x v="1"/>
    <n v="4"/>
    <x v="3"/>
    <x v="2"/>
    <x v="0"/>
  </r>
  <r>
    <s v="REL03505"/>
    <s v="Female"/>
    <n v="28"/>
    <s v="HSC"/>
    <s v="Single"/>
    <x v="7"/>
    <s v="Store Manager"/>
    <x v="1"/>
    <x v="1"/>
    <s v="North"/>
    <n v="11"/>
    <n v="107102"/>
    <x v="2"/>
    <n v="4"/>
    <n v="4"/>
    <n v="54"/>
    <n v="0"/>
    <d v="2012-07-30T00:00:00"/>
    <s v="Yes"/>
    <x v="1"/>
    <n v="2"/>
    <x v="2"/>
    <x v="1"/>
    <x v="1"/>
  </r>
  <r>
    <s v="REL03506"/>
    <s v="Male"/>
    <n v="26"/>
    <s v="MBA"/>
    <s v="Divorced"/>
    <x v="6"/>
    <s v="Sales Executive"/>
    <x v="1"/>
    <x v="7"/>
    <s v="East"/>
    <n v="3"/>
    <n v="42538"/>
    <x v="0"/>
    <n v="3"/>
    <n v="1"/>
    <n v="49"/>
    <n v="3"/>
    <d v="2020-02-13T00:00:00"/>
    <s v="No"/>
    <x v="2"/>
    <n v="3"/>
    <x v="0"/>
    <x v="0"/>
    <x v="1"/>
  </r>
  <r>
    <s v="REL03507"/>
    <s v="Female"/>
    <n v="28"/>
    <s v="HSC"/>
    <s v="Divorced"/>
    <x v="1"/>
    <s v="Operations Head"/>
    <x v="2"/>
    <x v="2"/>
    <s v="West"/>
    <n v="13"/>
    <n v="126431"/>
    <x v="3"/>
    <n v="2"/>
    <n v="3"/>
    <n v="27"/>
    <n v="3"/>
    <d v="2010-11-14T00:00:00"/>
    <s v="No"/>
    <x v="1"/>
    <n v="4"/>
    <x v="2"/>
    <x v="2"/>
    <x v="0"/>
  </r>
  <r>
    <s v="REL03508"/>
    <s v="Female"/>
    <n v="48"/>
    <s v="MBA"/>
    <s v="Married"/>
    <x v="7"/>
    <s v="Logistics Coordinator"/>
    <x v="3"/>
    <x v="2"/>
    <s v="West"/>
    <n v="2"/>
    <n v="50014"/>
    <x v="2"/>
    <n v="3"/>
    <n v="4"/>
    <n v="36"/>
    <n v="3"/>
    <d v="2021-05-19T00:00:00"/>
    <s v="No"/>
    <x v="0"/>
    <n v="2"/>
    <x v="3"/>
    <x v="0"/>
    <x v="1"/>
  </r>
  <r>
    <s v="REL03509"/>
    <s v="Female"/>
    <n v="45"/>
    <s v="Post Graduate"/>
    <s v="Married"/>
    <x v="6"/>
    <s v="Sales Executive"/>
    <x v="0"/>
    <x v="0"/>
    <s v="North"/>
    <n v="7"/>
    <n v="47720"/>
    <x v="0"/>
    <n v="1"/>
    <n v="4"/>
    <n v="25"/>
    <n v="3"/>
    <d v="2016-06-09T00:00:00"/>
    <s v="Yes"/>
    <x v="2"/>
    <n v="3"/>
    <x v="1"/>
    <x v="1"/>
    <x v="1"/>
  </r>
  <r>
    <s v="REL03510"/>
    <s v="Female"/>
    <n v="35"/>
    <s v="Post Graduate"/>
    <s v="Married"/>
    <x v="7"/>
    <s v="HR Manager"/>
    <x v="0"/>
    <x v="1"/>
    <s v="North"/>
    <n v="9"/>
    <n v="93305"/>
    <x v="1"/>
    <n v="1"/>
    <n v="1"/>
    <n v="25"/>
    <n v="0"/>
    <d v="2014-08-30T00:00:00"/>
    <s v="No"/>
    <x v="1"/>
    <n v="1"/>
    <x v="1"/>
    <x v="0"/>
    <x v="2"/>
  </r>
  <r>
    <s v="REL03511"/>
    <s v="Male"/>
    <n v="39"/>
    <s v="Graduate"/>
    <s v="Single"/>
    <x v="3"/>
    <s v="Sales Executive"/>
    <x v="1"/>
    <x v="3"/>
    <s v="West"/>
    <n v="12"/>
    <n v="62779"/>
    <x v="0"/>
    <n v="1"/>
    <n v="1"/>
    <n v="26"/>
    <n v="0"/>
    <d v="2011-01-28T00:00:00"/>
    <s v="No"/>
    <x v="0"/>
    <n v="3"/>
    <x v="2"/>
    <x v="0"/>
    <x v="0"/>
  </r>
  <r>
    <s v="REL03512"/>
    <s v="Male"/>
    <n v="39"/>
    <s v="Post Graduate"/>
    <s v="Single"/>
    <x v="7"/>
    <s v="Sales Executive"/>
    <x v="0"/>
    <x v="0"/>
    <s v="North"/>
    <n v="5"/>
    <n v="50266"/>
    <x v="1"/>
    <n v="1"/>
    <n v="2"/>
    <n v="18"/>
    <n v="1"/>
    <d v="2018-05-24T00:00:00"/>
    <s v="No"/>
    <x v="0"/>
    <n v="1"/>
    <x v="0"/>
    <x v="0"/>
    <x v="1"/>
  </r>
  <r>
    <s v="REL03513"/>
    <s v="Female"/>
    <n v="24"/>
    <s v="BTech"/>
    <s v="Single"/>
    <x v="5"/>
    <s v="Finance Analyst"/>
    <x v="1"/>
    <x v="8"/>
    <s v="South"/>
    <n v="5"/>
    <n v="60286"/>
    <x v="0"/>
    <n v="4"/>
    <n v="3"/>
    <n v="67"/>
    <n v="2"/>
    <d v="2018-12-21T00:00:00"/>
    <s v="No"/>
    <x v="0"/>
    <n v="3"/>
    <x v="0"/>
    <x v="0"/>
    <x v="0"/>
  </r>
  <r>
    <s v="REL03514"/>
    <s v="Female"/>
    <n v="25"/>
    <s v="Post Graduate"/>
    <s v="Married"/>
    <x v="6"/>
    <s v="Operations Head"/>
    <x v="0"/>
    <x v="5"/>
    <s v="South"/>
    <n v="6"/>
    <n v="102847"/>
    <x v="0"/>
    <n v="1"/>
    <n v="3"/>
    <n v="47"/>
    <n v="3"/>
    <d v="2017-01-20T00:00:00"/>
    <s v="No"/>
    <x v="1"/>
    <n v="3"/>
    <x v="1"/>
    <x v="0"/>
    <x v="0"/>
  </r>
  <r>
    <s v="REL03515"/>
    <s v="Female"/>
    <n v="31"/>
    <s v="Post Graduate"/>
    <s v="Single"/>
    <x v="6"/>
    <s v="Store Manager"/>
    <x v="1"/>
    <x v="2"/>
    <s v="West"/>
    <n v="15"/>
    <n v="120852"/>
    <x v="0"/>
    <n v="1"/>
    <n v="4"/>
    <n v="13"/>
    <n v="3"/>
    <d v="2008-03-18T00:00:00"/>
    <s v="No"/>
    <x v="1"/>
    <n v="3"/>
    <x v="2"/>
    <x v="0"/>
    <x v="0"/>
  </r>
  <r>
    <s v="REL03516"/>
    <s v="Male"/>
    <n v="33"/>
    <s v="BTech"/>
    <s v="Divorced"/>
    <x v="1"/>
    <s v="Marketing Executive"/>
    <x v="0"/>
    <x v="5"/>
    <s v="South"/>
    <n v="6"/>
    <n v="71076"/>
    <x v="2"/>
    <n v="1"/>
    <n v="2"/>
    <n v="75"/>
    <n v="2"/>
    <d v="2017-07-02T00:00:00"/>
    <s v="No"/>
    <x v="0"/>
    <n v="2"/>
    <x v="1"/>
    <x v="0"/>
    <x v="1"/>
  </r>
  <r>
    <s v="REL03517"/>
    <s v="Male"/>
    <n v="48"/>
    <s v="Post Graduate"/>
    <s v="Divorced"/>
    <x v="0"/>
    <s v="Store Manager"/>
    <x v="2"/>
    <x v="2"/>
    <s v="West"/>
    <n v="5"/>
    <n v="90034"/>
    <x v="2"/>
    <n v="4"/>
    <n v="3"/>
    <n v="47"/>
    <n v="0"/>
    <d v="2018-04-13T00:00:00"/>
    <s v="No"/>
    <x v="1"/>
    <n v="2"/>
    <x v="0"/>
    <x v="0"/>
    <x v="1"/>
  </r>
  <r>
    <s v="REL03518"/>
    <s v="Female"/>
    <n v="37"/>
    <s v="MBA"/>
    <s v="Divorced"/>
    <x v="7"/>
    <s v="Operations Head"/>
    <x v="1"/>
    <x v="8"/>
    <s v="South"/>
    <n v="5"/>
    <n v="109932"/>
    <x v="3"/>
    <n v="2"/>
    <n v="4"/>
    <n v="12"/>
    <n v="3"/>
    <d v="2018-11-22T00:00:00"/>
    <s v="No"/>
    <x v="1"/>
    <n v="4"/>
    <x v="0"/>
    <x v="2"/>
    <x v="0"/>
  </r>
  <r>
    <s v="REL03519"/>
    <s v="Female"/>
    <n v="22"/>
    <s v="MBA"/>
    <s v="Divorced"/>
    <x v="3"/>
    <s v="Store Manager"/>
    <x v="2"/>
    <x v="3"/>
    <s v="West"/>
    <n v="1"/>
    <n v="77451"/>
    <x v="0"/>
    <n v="4"/>
    <n v="2"/>
    <n v="44"/>
    <n v="3"/>
    <d v="2022-03-03T00:00:00"/>
    <s v="No"/>
    <x v="0"/>
    <n v="3"/>
    <x v="3"/>
    <x v="0"/>
    <x v="0"/>
  </r>
  <r>
    <s v="REL03520"/>
    <s v="Male"/>
    <n v="30"/>
    <s v="BTech"/>
    <s v="Divorced"/>
    <x v="5"/>
    <s v="HR Manager"/>
    <x v="2"/>
    <x v="7"/>
    <s v="East"/>
    <n v="10"/>
    <n v="89890"/>
    <x v="3"/>
    <n v="1"/>
    <n v="4"/>
    <n v="12"/>
    <n v="1"/>
    <d v="2013-10-08T00:00:00"/>
    <s v="No"/>
    <x v="1"/>
    <n v="4"/>
    <x v="1"/>
    <x v="2"/>
    <x v="0"/>
  </r>
  <r>
    <s v="REL03521"/>
    <s v="Female"/>
    <n v="38"/>
    <s v="Post Graduate"/>
    <s v="Married"/>
    <x v="1"/>
    <s v="HR Manager"/>
    <x v="2"/>
    <x v="7"/>
    <s v="East"/>
    <n v="4"/>
    <n v="89216"/>
    <x v="0"/>
    <n v="1"/>
    <n v="4"/>
    <n v="17"/>
    <n v="1"/>
    <d v="2019-09-09T00:00:00"/>
    <s v="No"/>
    <x v="1"/>
    <n v="3"/>
    <x v="0"/>
    <x v="0"/>
    <x v="0"/>
  </r>
  <r>
    <s v="REL03522"/>
    <s v="Male"/>
    <n v="30"/>
    <s v="Post Graduate"/>
    <s v="Divorced"/>
    <x v="2"/>
    <s v="HR Manager"/>
    <x v="0"/>
    <x v="1"/>
    <s v="North"/>
    <n v="9"/>
    <n v="88376"/>
    <x v="2"/>
    <n v="3"/>
    <n v="4"/>
    <n v="60"/>
    <n v="0"/>
    <d v="2014-01-17T00:00:00"/>
    <s v="No"/>
    <x v="1"/>
    <n v="2"/>
    <x v="1"/>
    <x v="0"/>
    <x v="1"/>
  </r>
  <r>
    <s v="REL03523"/>
    <s v="Male"/>
    <n v="29"/>
    <s v="Post Graduate"/>
    <s v="Divorced"/>
    <x v="7"/>
    <s v="Sales Executive"/>
    <x v="4"/>
    <x v="4"/>
    <s v="North"/>
    <n v="9"/>
    <n v="64679"/>
    <x v="3"/>
    <n v="2"/>
    <n v="4"/>
    <n v="50"/>
    <n v="1"/>
    <d v="2014-09-25T00:00:00"/>
    <s v="No"/>
    <x v="0"/>
    <n v="4"/>
    <x v="1"/>
    <x v="2"/>
    <x v="1"/>
  </r>
  <r>
    <s v="REL03524"/>
    <s v="Male"/>
    <n v="52"/>
    <s v="Graduate"/>
    <s v="Divorced"/>
    <x v="4"/>
    <s v="Operations Head"/>
    <x v="0"/>
    <x v="0"/>
    <s v="North"/>
    <n v="14"/>
    <n v="121433"/>
    <x v="2"/>
    <n v="1"/>
    <n v="3"/>
    <n v="76"/>
    <n v="3"/>
    <d v="2009-10-29T00:00:00"/>
    <s v="No"/>
    <x v="1"/>
    <n v="2"/>
    <x v="2"/>
    <x v="0"/>
    <x v="1"/>
  </r>
  <r>
    <s v="REL03525"/>
    <s v="Male"/>
    <n v="53"/>
    <s v="HSC"/>
    <s v="Divorced"/>
    <x v="4"/>
    <s v="Customer Service Rep"/>
    <x v="2"/>
    <x v="8"/>
    <s v="South"/>
    <n v="11"/>
    <n v="61825"/>
    <x v="0"/>
    <n v="3"/>
    <n v="1"/>
    <n v="77"/>
    <n v="1"/>
    <d v="2012-12-18T00:00:00"/>
    <s v="No"/>
    <x v="0"/>
    <n v="3"/>
    <x v="2"/>
    <x v="0"/>
    <x v="0"/>
  </r>
  <r>
    <s v="REL03526"/>
    <s v="Male"/>
    <n v="37"/>
    <s v="Graduate"/>
    <s v="Divorced"/>
    <x v="4"/>
    <s v="Store Manager"/>
    <x v="2"/>
    <x v="9"/>
    <s v="West"/>
    <n v="12"/>
    <n v="100710"/>
    <x v="0"/>
    <n v="4"/>
    <n v="4"/>
    <n v="41"/>
    <n v="3"/>
    <d v="2011-02-01T00:00:00"/>
    <s v="No"/>
    <x v="1"/>
    <n v="3"/>
    <x v="2"/>
    <x v="0"/>
    <x v="0"/>
  </r>
  <r>
    <s v="REL03527"/>
    <s v="Female"/>
    <n v="36"/>
    <s v="Post Graduate"/>
    <s v="Single"/>
    <x v="7"/>
    <s v="Finance Analyst"/>
    <x v="0"/>
    <x v="2"/>
    <s v="West"/>
    <n v="10"/>
    <n v="85942"/>
    <x v="2"/>
    <n v="3"/>
    <n v="2"/>
    <n v="74"/>
    <n v="1"/>
    <d v="2013-07-25T00:00:00"/>
    <s v="Yes"/>
    <x v="1"/>
    <n v="2"/>
    <x v="1"/>
    <x v="1"/>
    <x v="1"/>
  </r>
  <r>
    <s v="REL03528"/>
    <s v="Female"/>
    <n v="51"/>
    <s v="MBA"/>
    <s v="Single"/>
    <x v="0"/>
    <s v="Operations Head"/>
    <x v="2"/>
    <x v="9"/>
    <s v="West"/>
    <n v="9"/>
    <n v="104835"/>
    <x v="0"/>
    <n v="2"/>
    <n v="4"/>
    <n v="77"/>
    <n v="0"/>
    <d v="2014-05-25T00:00:00"/>
    <s v="No"/>
    <x v="1"/>
    <n v="3"/>
    <x v="1"/>
    <x v="0"/>
    <x v="0"/>
  </r>
  <r>
    <s v="REL03529"/>
    <s v="Female"/>
    <n v="32"/>
    <s v="Post Graduate"/>
    <s v="Married"/>
    <x v="0"/>
    <s v="Operations Head"/>
    <x v="3"/>
    <x v="6"/>
    <s v="South"/>
    <n v="3"/>
    <n v="108726"/>
    <x v="1"/>
    <n v="2"/>
    <n v="4"/>
    <n v="51"/>
    <n v="3"/>
    <d v="2020-02-22T00:00:00"/>
    <s v="No"/>
    <x v="1"/>
    <n v="1"/>
    <x v="0"/>
    <x v="0"/>
    <x v="2"/>
  </r>
  <r>
    <s v="REL03530"/>
    <s v="Male"/>
    <n v="26"/>
    <s v="Graduate"/>
    <s v="Married"/>
    <x v="7"/>
    <s v="Store Manager"/>
    <x v="2"/>
    <x v="0"/>
    <s v="North"/>
    <n v="3"/>
    <n v="83584"/>
    <x v="1"/>
    <n v="3"/>
    <n v="3"/>
    <n v="52"/>
    <n v="3"/>
    <d v="2020-01-13T00:00:00"/>
    <s v="No"/>
    <x v="1"/>
    <n v="1"/>
    <x v="0"/>
    <x v="0"/>
    <x v="2"/>
  </r>
  <r>
    <s v="REL03531"/>
    <s v="Female"/>
    <n v="41"/>
    <s v="HSC"/>
    <s v="Divorced"/>
    <x v="7"/>
    <s v="Customer Service Rep"/>
    <x v="0"/>
    <x v="9"/>
    <s v="West"/>
    <n v="4"/>
    <n v="36666"/>
    <x v="1"/>
    <n v="1"/>
    <n v="4"/>
    <n v="25"/>
    <n v="3"/>
    <d v="2019-05-15T00:00:00"/>
    <s v="Yes"/>
    <x v="2"/>
    <n v="1"/>
    <x v="0"/>
    <x v="1"/>
    <x v="1"/>
  </r>
  <r>
    <s v="REL03532"/>
    <s v="Male"/>
    <n v="36"/>
    <s v="Graduate"/>
    <s v="Single"/>
    <x v="7"/>
    <s v="Store Manager"/>
    <x v="1"/>
    <x v="9"/>
    <s v="West"/>
    <n v="4"/>
    <n v="88429"/>
    <x v="3"/>
    <n v="2"/>
    <n v="2"/>
    <n v="48"/>
    <n v="0"/>
    <d v="2019-03-14T00:00:00"/>
    <s v="No"/>
    <x v="1"/>
    <n v="4"/>
    <x v="0"/>
    <x v="2"/>
    <x v="0"/>
  </r>
  <r>
    <s v="REL03533"/>
    <s v="Male"/>
    <n v="25"/>
    <s v="Post Graduate"/>
    <s v="Divorced"/>
    <x v="7"/>
    <s v="Customer Service Rep"/>
    <x v="4"/>
    <x v="1"/>
    <s v="North"/>
    <n v="12"/>
    <n v="49598"/>
    <x v="2"/>
    <n v="1"/>
    <n v="2"/>
    <n v="57"/>
    <n v="2"/>
    <d v="2011-02-23T00:00:00"/>
    <s v="No"/>
    <x v="2"/>
    <n v="2"/>
    <x v="2"/>
    <x v="0"/>
    <x v="1"/>
  </r>
  <r>
    <s v="REL03534"/>
    <s v="Female"/>
    <n v="23"/>
    <s v="HSC"/>
    <s v="Divorced"/>
    <x v="2"/>
    <s v="Marketing Executive"/>
    <x v="2"/>
    <x v="5"/>
    <s v="South"/>
    <n v="12"/>
    <n v="67582"/>
    <x v="1"/>
    <n v="1"/>
    <n v="4"/>
    <n v="56"/>
    <n v="3"/>
    <d v="2011-03-18T00:00:00"/>
    <s v="No"/>
    <x v="0"/>
    <n v="1"/>
    <x v="2"/>
    <x v="0"/>
    <x v="1"/>
  </r>
  <r>
    <s v="REL03535"/>
    <s v="Male"/>
    <n v="55"/>
    <s v="Post Graduate"/>
    <s v="Divorced"/>
    <x v="3"/>
    <s v="Finance Analyst"/>
    <x v="2"/>
    <x v="5"/>
    <s v="South"/>
    <n v="14"/>
    <n v="95209"/>
    <x v="0"/>
    <n v="4"/>
    <n v="2"/>
    <n v="22"/>
    <n v="0"/>
    <d v="2009-02-20T00:00:00"/>
    <s v="Yes"/>
    <x v="1"/>
    <n v="3"/>
    <x v="2"/>
    <x v="1"/>
    <x v="0"/>
  </r>
  <r>
    <s v="REL03536"/>
    <s v="Male"/>
    <n v="36"/>
    <s v="BTech"/>
    <s v="Single"/>
    <x v="3"/>
    <s v="Finance Analyst"/>
    <x v="4"/>
    <x v="2"/>
    <s v="West"/>
    <n v="7"/>
    <n v="82408"/>
    <x v="2"/>
    <n v="4"/>
    <n v="1"/>
    <n v="42"/>
    <n v="3"/>
    <d v="2016-09-24T00:00:00"/>
    <s v="No"/>
    <x v="1"/>
    <n v="2"/>
    <x v="1"/>
    <x v="0"/>
    <x v="1"/>
  </r>
  <r>
    <s v="REL03537"/>
    <s v="Male"/>
    <n v="29"/>
    <s v="BTech"/>
    <s v="Married"/>
    <x v="0"/>
    <s v="Logistics Coordinator"/>
    <x v="3"/>
    <x v="9"/>
    <s v="West"/>
    <n v="12"/>
    <n v="67401"/>
    <x v="1"/>
    <n v="1"/>
    <n v="1"/>
    <n v="23"/>
    <n v="2"/>
    <d v="2011-03-10T00:00:00"/>
    <s v="Yes"/>
    <x v="0"/>
    <n v="1"/>
    <x v="2"/>
    <x v="1"/>
    <x v="1"/>
  </r>
  <r>
    <s v="REL03538"/>
    <s v="Male"/>
    <n v="54"/>
    <s v="Graduate"/>
    <s v="Divorced"/>
    <x v="3"/>
    <s v="Customer Service Rep"/>
    <x v="3"/>
    <x v="8"/>
    <s v="South"/>
    <n v="6"/>
    <n v="52052"/>
    <x v="0"/>
    <n v="4"/>
    <n v="2"/>
    <n v="53"/>
    <n v="2"/>
    <d v="2017-12-26T00:00:00"/>
    <s v="No"/>
    <x v="0"/>
    <n v="3"/>
    <x v="1"/>
    <x v="0"/>
    <x v="0"/>
  </r>
  <r>
    <s v="REL03539"/>
    <s v="Female"/>
    <n v="32"/>
    <s v="Graduate"/>
    <s v="Divorced"/>
    <x v="1"/>
    <s v="Finance Analyst"/>
    <x v="4"/>
    <x v="6"/>
    <s v="South"/>
    <n v="3"/>
    <n v="61888"/>
    <x v="0"/>
    <n v="3"/>
    <n v="2"/>
    <n v="72"/>
    <n v="1"/>
    <d v="2020-01-14T00:00:00"/>
    <s v="No"/>
    <x v="0"/>
    <n v="3"/>
    <x v="0"/>
    <x v="0"/>
    <x v="0"/>
  </r>
  <r>
    <s v="REL03540"/>
    <s v="Male"/>
    <n v="32"/>
    <s v="MBA"/>
    <s v="Married"/>
    <x v="2"/>
    <s v="Operations Head"/>
    <x v="4"/>
    <x v="5"/>
    <s v="South"/>
    <n v="4"/>
    <n v="95221"/>
    <x v="2"/>
    <n v="4"/>
    <n v="3"/>
    <n v="66"/>
    <n v="1"/>
    <d v="2019-06-20T00:00:00"/>
    <s v="No"/>
    <x v="1"/>
    <n v="2"/>
    <x v="0"/>
    <x v="0"/>
    <x v="1"/>
  </r>
  <r>
    <s v="REL03541"/>
    <s v="Male"/>
    <n v="41"/>
    <s v="MBA"/>
    <s v="Divorced"/>
    <x v="7"/>
    <s v="Operations Head"/>
    <x v="3"/>
    <x v="9"/>
    <s v="West"/>
    <n v="11"/>
    <n v="120349"/>
    <x v="3"/>
    <n v="3"/>
    <n v="4"/>
    <n v="46"/>
    <n v="0"/>
    <d v="2012-07-07T00:00:00"/>
    <s v="Yes"/>
    <x v="1"/>
    <n v="4"/>
    <x v="2"/>
    <x v="1"/>
    <x v="0"/>
  </r>
  <r>
    <s v="REL03542"/>
    <s v="Male"/>
    <n v="49"/>
    <s v="HSC"/>
    <s v="Married"/>
    <x v="6"/>
    <s v="Logistics Coordinator"/>
    <x v="1"/>
    <x v="4"/>
    <s v="North"/>
    <n v="5"/>
    <n v="64512"/>
    <x v="0"/>
    <n v="2"/>
    <n v="2"/>
    <n v="21"/>
    <n v="3"/>
    <d v="2018-04-27T00:00:00"/>
    <s v="No"/>
    <x v="0"/>
    <n v="3"/>
    <x v="0"/>
    <x v="0"/>
    <x v="0"/>
  </r>
  <r>
    <s v="REL03543"/>
    <s v="Male"/>
    <n v="27"/>
    <s v="Graduate"/>
    <s v="Single"/>
    <x v="1"/>
    <s v="Marketing Executive"/>
    <x v="3"/>
    <x v="9"/>
    <s v="West"/>
    <n v="6"/>
    <n v="71563"/>
    <x v="3"/>
    <n v="1"/>
    <n v="4"/>
    <n v="70"/>
    <n v="1"/>
    <d v="2017-03-30T00:00:00"/>
    <s v="Yes"/>
    <x v="0"/>
    <n v="4"/>
    <x v="1"/>
    <x v="1"/>
    <x v="1"/>
  </r>
  <r>
    <s v="REL03544"/>
    <s v="Female"/>
    <n v="25"/>
    <s v="Post Graduate"/>
    <s v="Single"/>
    <x v="3"/>
    <s v="Operations Head"/>
    <x v="3"/>
    <x v="0"/>
    <s v="North"/>
    <n v="8"/>
    <n v="103316"/>
    <x v="0"/>
    <n v="2"/>
    <n v="3"/>
    <n v="17"/>
    <n v="0"/>
    <d v="2015-04-02T00:00:00"/>
    <s v="No"/>
    <x v="1"/>
    <n v="3"/>
    <x v="1"/>
    <x v="0"/>
    <x v="0"/>
  </r>
  <r>
    <s v="REL03545"/>
    <s v="Female"/>
    <n v="44"/>
    <s v="HSC"/>
    <s v="Married"/>
    <x v="1"/>
    <s v="Finance Analyst"/>
    <x v="2"/>
    <x v="4"/>
    <s v="North"/>
    <n v="3"/>
    <n v="64460"/>
    <x v="0"/>
    <n v="4"/>
    <n v="2"/>
    <n v="66"/>
    <n v="3"/>
    <d v="2020-06-26T00:00:00"/>
    <s v="No"/>
    <x v="0"/>
    <n v="3"/>
    <x v="0"/>
    <x v="0"/>
    <x v="0"/>
  </r>
  <r>
    <s v="REL03546"/>
    <s v="Female"/>
    <n v="23"/>
    <s v="MBA"/>
    <s v="Married"/>
    <x v="3"/>
    <s v="Finance Analyst"/>
    <x v="0"/>
    <x v="4"/>
    <s v="North"/>
    <n v="13"/>
    <n v="91063"/>
    <x v="2"/>
    <n v="4"/>
    <n v="4"/>
    <n v="43"/>
    <n v="1"/>
    <d v="2010-05-16T00:00:00"/>
    <s v="Yes"/>
    <x v="1"/>
    <n v="2"/>
    <x v="2"/>
    <x v="1"/>
    <x v="1"/>
  </r>
  <r>
    <s v="REL03547"/>
    <s v="Male"/>
    <n v="50"/>
    <s v="MBA"/>
    <s v="Single"/>
    <x v="6"/>
    <s v="Logistics Coordinator"/>
    <x v="4"/>
    <x v="3"/>
    <s v="West"/>
    <n v="8"/>
    <n v="70964"/>
    <x v="0"/>
    <n v="2"/>
    <n v="3"/>
    <n v="36"/>
    <n v="0"/>
    <d v="2015-10-11T00:00:00"/>
    <s v="No"/>
    <x v="0"/>
    <n v="3"/>
    <x v="1"/>
    <x v="0"/>
    <x v="0"/>
  </r>
  <r>
    <s v="REL03548"/>
    <s v="Male"/>
    <n v="33"/>
    <s v="Graduate"/>
    <s v="Single"/>
    <x v="7"/>
    <s v="Store Manager"/>
    <x v="1"/>
    <x v="1"/>
    <s v="North"/>
    <n v="10"/>
    <n v="114664"/>
    <x v="1"/>
    <n v="4"/>
    <n v="2"/>
    <n v="50"/>
    <n v="0"/>
    <d v="2013-04-22T00:00:00"/>
    <s v="Yes"/>
    <x v="1"/>
    <n v="1"/>
    <x v="1"/>
    <x v="1"/>
    <x v="2"/>
  </r>
  <r>
    <s v="REL03549"/>
    <s v="Female"/>
    <n v="28"/>
    <s v="BTech"/>
    <s v="Single"/>
    <x v="6"/>
    <s v="HR Manager"/>
    <x v="3"/>
    <x v="7"/>
    <s v="East"/>
    <n v="1"/>
    <n v="79739"/>
    <x v="3"/>
    <n v="2"/>
    <n v="3"/>
    <n v="63"/>
    <n v="1"/>
    <d v="2022-10-06T00:00:00"/>
    <s v="No"/>
    <x v="0"/>
    <n v="4"/>
    <x v="3"/>
    <x v="2"/>
    <x v="1"/>
  </r>
  <r>
    <s v="REL03550"/>
    <s v="Female"/>
    <n v="23"/>
    <s v="Graduate"/>
    <s v="Single"/>
    <x v="4"/>
    <s v="HR Manager"/>
    <x v="0"/>
    <x v="1"/>
    <s v="North"/>
    <n v="8"/>
    <n v="98731"/>
    <x v="0"/>
    <n v="3"/>
    <n v="2"/>
    <n v="17"/>
    <n v="0"/>
    <d v="2015-04-22T00:00:00"/>
    <s v="No"/>
    <x v="1"/>
    <n v="3"/>
    <x v="1"/>
    <x v="0"/>
    <x v="0"/>
  </r>
  <r>
    <s v="REL03551"/>
    <s v="Male"/>
    <n v="31"/>
    <s v="HSC"/>
    <s v="Married"/>
    <x v="1"/>
    <s v="Sales Executive"/>
    <x v="2"/>
    <x v="8"/>
    <s v="South"/>
    <n v="10"/>
    <n v="67722"/>
    <x v="3"/>
    <n v="4"/>
    <n v="4"/>
    <n v="65"/>
    <n v="3"/>
    <d v="2013-04-22T00:00:00"/>
    <s v="No"/>
    <x v="0"/>
    <n v="4"/>
    <x v="1"/>
    <x v="2"/>
    <x v="1"/>
  </r>
  <r>
    <s v="REL03552"/>
    <s v="Male"/>
    <n v="35"/>
    <s v="MBA"/>
    <s v="Married"/>
    <x v="1"/>
    <s v="Finance Analyst"/>
    <x v="4"/>
    <x v="1"/>
    <s v="North"/>
    <n v="2"/>
    <n v="59553"/>
    <x v="0"/>
    <n v="1"/>
    <n v="2"/>
    <n v="72"/>
    <n v="3"/>
    <d v="2021-08-18T00:00:00"/>
    <s v="No"/>
    <x v="0"/>
    <n v="3"/>
    <x v="3"/>
    <x v="0"/>
    <x v="0"/>
  </r>
  <r>
    <s v="REL03553"/>
    <s v="Male"/>
    <n v="40"/>
    <s v="HSC"/>
    <s v="Single"/>
    <x v="4"/>
    <s v="Sales Executive"/>
    <x v="1"/>
    <x v="1"/>
    <s v="North"/>
    <n v="5"/>
    <n v="59512"/>
    <x v="3"/>
    <n v="2"/>
    <n v="1"/>
    <n v="75"/>
    <n v="2"/>
    <d v="2018-04-24T00:00:00"/>
    <s v="No"/>
    <x v="0"/>
    <n v="4"/>
    <x v="0"/>
    <x v="2"/>
    <x v="1"/>
  </r>
  <r>
    <s v="REL03554"/>
    <s v="Male"/>
    <n v="45"/>
    <s v="MBA"/>
    <s v="Divorced"/>
    <x v="6"/>
    <s v="Customer Service Rep"/>
    <x v="0"/>
    <x v="4"/>
    <s v="North"/>
    <n v="13"/>
    <n v="53987"/>
    <x v="0"/>
    <n v="3"/>
    <n v="3"/>
    <n v="37"/>
    <n v="2"/>
    <d v="2010-08-23T00:00:00"/>
    <s v="No"/>
    <x v="0"/>
    <n v="3"/>
    <x v="2"/>
    <x v="0"/>
    <x v="0"/>
  </r>
  <r>
    <s v="REL03555"/>
    <s v="Female"/>
    <n v="32"/>
    <s v="Post Graduate"/>
    <s v="Married"/>
    <x v="2"/>
    <s v="HR Manager"/>
    <x v="4"/>
    <x v="3"/>
    <s v="West"/>
    <n v="6"/>
    <n v="94983"/>
    <x v="1"/>
    <n v="4"/>
    <n v="3"/>
    <n v="16"/>
    <n v="1"/>
    <d v="2017-02-25T00:00:00"/>
    <s v="No"/>
    <x v="1"/>
    <n v="1"/>
    <x v="1"/>
    <x v="0"/>
    <x v="2"/>
  </r>
  <r>
    <s v="REL03556"/>
    <s v="Male"/>
    <n v="45"/>
    <s v="HSC"/>
    <s v="Married"/>
    <x v="5"/>
    <s v="Sales Executive"/>
    <x v="1"/>
    <x v="6"/>
    <s v="South"/>
    <n v="15"/>
    <n v="65128"/>
    <x v="0"/>
    <n v="3"/>
    <n v="3"/>
    <n v="11"/>
    <n v="1"/>
    <d v="2008-05-06T00:00:00"/>
    <s v="No"/>
    <x v="0"/>
    <n v="3"/>
    <x v="2"/>
    <x v="0"/>
    <x v="0"/>
  </r>
  <r>
    <s v="REL03557"/>
    <s v="Female"/>
    <n v="50"/>
    <s v="Post Graduate"/>
    <s v="Single"/>
    <x v="7"/>
    <s v="HR Manager"/>
    <x v="1"/>
    <x v="3"/>
    <s v="West"/>
    <n v="9"/>
    <n v="93822"/>
    <x v="2"/>
    <n v="4"/>
    <n v="4"/>
    <n v="72"/>
    <n v="1"/>
    <d v="2014-05-29T00:00:00"/>
    <s v="No"/>
    <x v="1"/>
    <n v="2"/>
    <x v="1"/>
    <x v="0"/>
    <x v="1"/>
  </r>
  <r>
    <s v="REL03558"/>
    <s v="Male"/>
    <n v="47"/>
    <s v="MBA"/>
    <s v="Single"/>
    <x v="0"/>
    <s v="Sales Executive"/>
    <x v="3"/>
    <x v="4"/>
    <s v="North"/>
    <n v="15"/>
    <n v="73340"/>
    <x v="2"/>
    <n v="4"/>
    <n v="4"/>
    <n v="48"/>
    <n v="0"/>
    <d v="2008-04-01T00:00:00"/>
    <s v="No"/>
    <x v="0"/>
    <n v="2"/>
    <x v="2"/>
    <x v="0"/>
    <x v="1"/>
  </r>
  <r>
    <s v="REL03559"/>
    <s v="Female"/>
    <n v="46"/>
    <s v="HSC"/>
    <s v="Divorced"/>
    <x v="0"/>
    <s v="HR Manager"/>
    <x v="3"/>
    <x v="4"/>
    <s v="North"/>
    <n v="8"/>
    <n v="86564"/>
    <x v="0"/>
    <n v="1"/>
    <n v="2"/>
    <n v="61"/>
    <n v="0"/>
    <d v="2015-11-07T00:00:00"/>
    <s v="No"/>
    <x v="1"/>
    <n v="3"/>
    <x v="1"/>
    <x v="0"/>
    <x v="0"/>
  </r>
  <r>
    <s v="REL03560"/>
    <s v="Female"/>
    <n v="46"/>
    <s v="HSC"/>
    <s v="Single"/>
    <x v="5"/>
    <s v="HR Manager"/>
    <x v="0"/>
    <x v="8"/>
    <s v="South"/>
    <n v="1"/>
    <n v="86500"/>
    <x v="2"/>
    <n v="3"/>
    <n v="3"/>
    <n v="48"/>
    <n v="0"/>
    <d v="2022-02-22T00:00:00"/>
    <s v="Yes"/>
    <x v="1"/>
    <n v="2"/>
    <x v="3"/>
    <x v="1"/>
    <x v="1"/>
  </r>
  <r>
    <s v="REL03561"/>
    <s v="Male"/>
    <n v="30"/>
    <s v="BTech"/>
    <s v="Single"/>
    <x v="3"/>
    <s v="Customer Service Rep"/>
    <x v="2"/>
    <x v="8"/>
    <s v="South"/>
    <n v="14"/>
    <n v="66157"/>
    <x v="0"/>
    <n v="3"/>
    <n v="1"/>
    <n v="20"/>
    <n v="3"/>
    <d v="2009-01-06T00:00:00"/>
    <s v="Yes"/>
    <x v="0"/>
    <n v="3"/>
    <x v="2"/>
    <x v="1"/>
    <x v="0"/>
  </r>
  <r>
    <s v="REL03562"/>
    <s v="Female"/>
    <n v="47"/>
    <s v="Graduate"/>
    <s v="Married"/>
    <x v="6"/>
    <s v="Marketing Executive"/>
    <x v="2"/>
    <x v="8"/>
    <s v="South"/>
    <n v="10"/>
    <n v="77705"/>
    <x v="1"/>
    <n v="1"/>
    <n v="3"/>
    <n v="39"/>
    <n v="2"/>
    <d v="2013-04-03T00:00:00"/>
    <s v="Yes"/>
    <x v="0"/>
    <n v="1"/>
    <x v="1"/>
    <x v="1"/>
    <x v="1"/>
  </r>
  <r>
    <s v="REL03563"/>
    <s v="Male"/>
    <n v="38"/>
    <s v="HSC"/>
    <s v="Married"/>
    <x v="7"/>
    <s v="Finance Analyst"/>
    <x v="0"/>
    <x v="0"/>
    <s v="North"/>
    <n v="2"/>
    <n v="59259"/>
    <x v="0"/>
    <n v="2"/>
    <n v="1"/>
    <n v="42"/>
    <n v="3"/>
    <d v="2021-11-29T00:00:00"/>
    <s v="No"/>
    <x v="0"/>
    <n v="3"/>
    <x v="3"/>
    <x v="0"/>
    <x v="0"/>
  </r>
  <r>
    <s v="REL03564"/>
    <s v="Female"/>
    <n v="45"/>
    <s v="HSC"/>
    <s v="Divorced"/>
    <x v="6"/>
    <s v="Customer Service Rep"/>
    <x v="4"/>
    <x v="4"/>
    <s v="North"/>
    <n v="7"/>
    <n v="40643"/>
    <x v="0"/>
    <n v="3"/>
    <n v="2"/>
    <n v="70"/>
    <n v="3"/>
    <d v="2016-04-03T00:00:00"/>
    <s v="No"/>
    <x v="2"/>
    <n v="3"/>
    <x v="1"/>
    <x v="0"/>
    <x v="1"/>
  </r>
  <r>
    <s v="REL03565"/>
    <s v="Female"/>
    <n v="40"/>
    <s v="HSC"/>
    <s v="Divorced"/>
    <x v="2"/>
    <s v="Store Manager"/>
    <x v="3"/>
    <x v="1"/>
    <s v="North"/>
    <n v="9"/>
    <n v="106259"/>
    <x v="1"/>
    <n v="4"/>
    <n v="2"/>
    <n v="33"/>
    <n v="0"/>
    <d v="2014-11-11T00:00:00"/>
    <s v="Yes"/>
    <x v="1"/>
    <n v="1"/>
    <x v="1"/>
    <x v="1"/>
    <x v="2"/>
  </r>
  <r>
    <s v="REL03566"/>
    <s v="Female"/>
    <n v="23"/>
    <s v="MBA"/>
    <s v="Single"/>
    <x v="7"/>
    <s v="Customer Service Rep"/>
    <x v="1"/>
    <x v="9"/>
    <s v="West"/>
    <n v="5"/>
    <n v="50118"/>
    <x v="2"/>
    <n v="3"/>
    <n v="3"/>
    <n v="80"/>
    <n v="1"/>
    <d v="2018-05-03T00:00:00"/>
    <s v="No"/>
    <x v="0"/>
    <n v="2"/>
    <x v="0"/>
    <x v="0"/>
    <x v="1"/>
  </r>
  <r>
    <s v="REL03567"/>
    <s v="Female"/>
    <n v="41"/>
    <s v="Graduate"/>
    <s v="Single"/>
    <x v="5"/>
    <s v="Marketing Executive"/>
    <x v="3"/>
    <x v="8"/>
    <s v="South"/>
    <n v="13"/>
    <n v="71460"/>
    <x v="2"/>
    <n v="3"/>
    <n v="4"/>
    <n v="56"/>
    <n v="1"/>
    <d v="2010-01-08T00:00:00"/>
    <s v="No"/>
    <x v="0"/>
    <n v="2"/>
    <x v="2"/>
    <x v="0"/>
    <x v="1"/>
  </r>
  <r>
    <s v="REL03568"/>
    <s v="Female"/>
    <n v="27"/>
    <s v="BTech"/>
    <s v="Single"/>
    <x v="7"/>
    <s v="Customer Service Rep"/>
    <x v="4"/>
    <x v="9"/>
    <s v="West"/>
    <n v="15"/>
    <n v="67544"/>
    <x v="3"/>
    <n v="3"/>
    <n v="2"/>
    <n v="67"/>
    <n v="1"/>
    <d v="2008-06-19T00:00:00"/>
    <s v="No"/>
    <x v="0"/>
    <n v="4"/>
    <x v="2"/>
    <x v="2"/>
    <x v="1"/>
  </r>
  <r>
    <s v="REL03569"/>
    <s v="Female"/>
    <n v="48"/>
    <s v="Graduate"/>
    <s v="Married"/>
    <x v="0"/>
    <s v="Logistics Coordinator"/>
    <x v="1"/>
    <x v="3"/>
    <s v="West"/>
    <n v="5"/>
    <n v="52804"/>
    <x v="2"/>
    <n v="4"/>
    <n v="3"/>
    <n v="35"/>
    <n v="1"/>
    <d v="2018-05-31T00:00:00"/>
    <s v="Yes"/>
    <x v="0"/>
    <n v="2"/>
    <x v="0"/>
    <x v="1"/>
    <x v="1"/>
  </r>
  <r>
    <s v="REL03570"/>
    <s v="Male"/>
    <n v="36"/>
    <s v="Graduate"/>
    <s v="Married"/>
    <x v="7"/>
    <s v="Marketing Executive"/>
    <x v="0"/>
    <x v="5"/>
    <s v="South"/>
    <n v="12"/>
    <n v="80883"/>
    <x v="2"/>
    <n v="2"/>
    <n v="2"/>
    <n v="55"/>
    <n v="2"/>
    <d v="2011-09-23T00:00:00"/>
    <s v="No"/>
    <x v="1"/>
    <n v="2"/>
    <x v="2"/>
    <x v="0"/>
    <x v="1"/>
  </r>
  <r>
    <s v="REL03571"/>
    <s v="Female"/>
    <n v="42"/>
    <s v="Post Graduate"/>
    <s v="Married"/>
    <x v="5"/>
    <s v="HR Manager"/>
    <x v="1"/>
    <x v="1"/>
    <s v="North"/>
    <n v="9"/>
    <n v="83261"/>
    <x v="0"/>
    <n v="4"/>
    <n v="4"/>
    <n v="21"/>
    <n v="0"/>
    <d v="2014-05-29T00:00:00"/>
    <s v="No"/>
    <x v="1"/>
    <n v="3"/>
    <x v="1"/>
    <x v="0"/>
    <x v="0"/>
  </r>
  <r>
    <s v="REL03572"/>
    <s v="Male"/>
    <n v="32"/>
    <s v="MBA"/>
    <s v="Married"/>
    <x v="0"/>
    <s v="Sales Executive"/>
    <x v="4"/>
    <x v="4"/>
    <s v="North"/>
    <n v="14"/>
    <n v="58003"/>
    <x v="0"/>
    <n v="4"/>
    <n v="1"/>
    <n v="69"/>
    <n v="0"/>
    <d v="2009-12-25T00:00:00"/>
    <s v="Yes"/>
    <x v="0"/>
    <n v="3"/>
    <x v="2"/>
    <x v="1"/>
    <x v="0"/>
  </r>
  <r>
    <s v="REL03573"/>
    <s v="Female"/>
    <n v="48"/>
    <s v="HSC"/>
    <s v="Single"/>
    <x v="6"/>
    <s v="Sales Executive"/>
    <x v="0"/>
    <x v="1"/>
    <s v="North"/>
    <n v="12"/>
    <n v="66828"/>
    <x v="2"/>
    <n v="2"/>
    <n v="3"/>
    <n v="30"/>
    <n v="2"/>
    <d v="2011-04-26T00:00:00"/>
    <s v="No"/>
    <x v="0"/>
    <n v="2"/>
    <x v="2"/>
    <x v="0"/>
    <x v="1"/>
  </r>
  <r>
    <s v="REL03574"/>
    <s v="Male"/>
    <n v="51"/>
    <s v="HSC"/>
    <s v="Divorced"/>
    <x v="2"/>
    <s v="Sales Executive"/>
    <x v="2"/>
    <x v="3"/>
    <s v="West"/>
    <n v="14"/>
    <n v="69847"/>
    <x v="0"/>
    <n v="2"/>
    <n v="4"/>
    <n v="19"/>
    <n v="3"/>
    <d v="2009-06-30T00:00:00"/>
    <s v="No"/>
    <x v="0"/>
    <n v="3"/>
    <x v="2"/>
    <x v="0"/>
    <x v="0"/>
  </r>
  <r>
    <s v="REL03575"/>
    <s v="Male"/>
    <n v="29"/>
    <s v="Graduate"/>
    <s v="Married"/>
    <x v="6"/>
    <s v="Operations Head"/>
    <x v="4"/>
    <x v="2"/>
    <s v="West"/>
    <n v="3"/>
    <n v="95466"/>
    <x v="1"/>
    <n v="1"/>
    <n v="1"/>
    <n v="66"/>
    <n v="3"/>
    <d v="2020-09-15T00:00:00"/>
    <s v="Yes"/>
    <x v="1"/>
    <n v="1"/>
    <x v="0"/>
    <x v="1"/>
    <x v="2"/>
  </r>
  <r>
    <s v="REL03576"/>
    <s v="Female"/>
    <n v="29"/>
    <s v="MBA"/>
    <s v="Divorced"/>
    <x v="4"/>
    <s v="Marketing Executive"/>
    <x v="3"/>
    <x v="8"/>
    <s v="South"/>
    <n v="9"/>
    <n v="67699"/>
    <x v="3"/>
    <n v="3"/>
    <n v="1"/>
    <n v="68"/>
    <n v="1"/>
    <d v="2014-06-25T00:00:00"/>
    <s v="No"/>
    <x v="0"/>
    <n v="4"/>
    <x v="1"/>
    <x v="2"/>
    <x v="1"/>
  </r>
  <r>
    <s v="REL03577"/>
    <s v="Female"/>
    <n v="46"/>
    <s v="Post Graduate"/>
    <s v="Single"/>
    <x v="3"/>
    <s v="Customer Service Rep"/>
    <x v="2"/>
    <x v="0"/>
    <s v="North"/>
    <n v="2"/>
    <n v="36414"/>
    <x v="0"/>
    <n v="4"/>
    <n v="3"/>
    <n v="19"/>
    <n v="0"/>
    <d v="2021-03-01T00:00:00"/>
    <s v="No"/>
    <x v="2"/>
    <n v="3"/>
    <x v="3"/>
    <x v="0"/>
    <x v="1"/>
  </r>
  <r>
    <s v="REL03578"/>
    <s v="Female"/>
    <n v="46"/>
    <s v="BTech"/>
    <s v="Divorced"/>
    <x v="7"/>
    <s v="Sales Executive"/>
    <x v="0"/>
    <x v="5"/>
    <s v="South"/>
    <n v="5"/>
    <n v="52444"/>
    <x v="3"/>
    <n v="2"/>
    <n v="2"/>
    <n v="68"/>
    <n v="1"/>
    <d v="2018-03-21T00:00:00"/>
    <s v="No"/>
    <x v="0"/>
    <n v="4"/>
    <x v="0"/>
    <x v="2"/>
    <x v="1"/>
  </r>
  <r>
    <s v="REL03579"/>
    <s v="Female"/>
    <n v="35"/>
    <s v="HSC"/>
    <s v="Married"/>
    <x v="7"/>
    <s v="HR Manager"/>
    <x v="1"/>
    <x v="6"/>
    <s v="South"/>
    <n v="1"/>
    <n v="84227"/>
    <x v="1"/>
    <n v="3"/>
    <n v="1"/>
    <n v="18"/>
    <n v="1"/>
    <d v="2022-02-16T00:00:00"/>
    <s v="No"/>
    <x v="1"/>
    <n v="1"/>
    <x v="3"/>
    <x v="3"/>
    <x v="2"/>
  </r>
  <r>
    <s v="REL03580"/>
    <s v="Female"/>
    <n v="37"/>
    <s v="Graduate"/>
    <s v="Single"/>
    <x v="2"/>
    <s v="Customer Service Rep"/>
    <x v="0"/>
    <x v="0"/>
    <s v="North"/>
    <n v="3"/>
    <n v="37269"/>
    <x v="2"/>
    <n v="4"/>
    <n v="3"/>
    <n v="44"/>
    <n v="3"/>
    <d v="2020-03-12T00:00:00"/>
    <s v="No"/>
    <x v="2"/>
    <n v="2"/>
    <x v="0"/>
    <x v="0"/>
    <x v="1"/>
  </r>
  <r>
    <s v="REL03581"/>
    <s v="Female"/>
    <n v="42"/>
    <s v="Post Graduate"/>
    <s v="Single"/>
    <x v="5"/>
    <s v="Customer Service Rep"/>
    <x v="1"/>
    <x v="3"/>
    <s v="West"/>
    <n v="5"/>
    <n v="54248"/>
    <x v="2"/>
    <n v="1"/>
    <n v="2"/>
    <n v="14"/>
    <n v="1"/>
    <d v="2018-11-12T00:00:00"/>
    <s v="No"/>
    <x v="0"/>
    <n v="2"/>
    <x v="0"/>
    <x v="0"/>
    <x v="1"/>
  </r>
  <r>
    <s v="REL03582"/>
    <s v="Male"/>
    <n v="31"/>
    <s v="Graduate"/>
    <s v="Single"/>
    <x v="7"/>
    <s v="Marketing Executive"/>
    <x v="4"/>
    <x v="1"/>
    <s v="North"/>
    <n v="2"/>
    <n v="58074"/>
    <x v="1"/>
    <n v="1"/>
    <n v="3"/>
    <n v="62"/>
    <n v="3"/>
    <d v="2021-10-26T00:00:00"/>
    <s v="Yes"/>
    <x v="0"/>
    <n v="1"/>
    <x v="3"/>
    <x v="1"/>
    <x v="1"/>
  </r>
  <r>
    <s v="REL03583"/>
    <s v="Female"/>
    <n v="42"/>
    <s v="HSC"/>
    <s v="Single"/>
    <x v="7"/>
    <s v="Store Manager"/>
    <x v="0"/>
    <x v="4"/>
    <s v="North"/>
    <n v="2"/>
    <n v="80981"/>
    <x v="0"/>
    <n v="3"/>
    <n v="3"/>
    <n v="65"/>
    <n v="3"/>
    <d v="2021-08-09T00:00:00"/>
    <s v="No"/>
    <x v="1"/>
    <n v="3"/>
    <x v="3"/>
    <x v="0"/>
    <x v="0"/>
  </r>
  <r>
    <s v="REL03584"/>
    <s v="Female"/>
    <n v="27"/>
    <s v="Graduate"/>
    <s v="Married"/>
    <x v="3"/>
    <s v="Customer Service Rep"/>
    <x v="2"/>
    <x v="6"/>
    <s v="South"/>
    <n v="12"/>
    <n v="57725"/>
    <x v="3"/>
    <n v="4"/>
    <n v="4"/>
    <n v="37"/>
    <n v="1"/>
    <d v="2011-11-17T00:00:00"/>
    <s v="No"/>
    <x v="0"/>
    <n v="4"/>
    <x v="2"/>
    <x v="2"/>
    <x v="1"/>
  </r>
  <r>
    <s v="REL03585"/>
    <s v="Female"/>
    <n v="31"/>
    <s v="Post Graduate"/>
    <s v="Married"/>
    <x v="1"/>
    <s v="Store Manager"/>
    <x v="3"/>
    <x v="4"/>
    <s v="North"/>
    <n v="8"/>
    <n v="103448"/>
    <x v="3"/>
    <n v="2"/>
    <n v="3"/>
    <n v="20"/>
    <n v="3"/>
    <d v="2015-01-21T00:00:00"/>
    <s v="No"/>
    <x v="1"/>
    <n v="4"/>
    <x v="1"/>
    <x v="2"/>
    <x v="0"/>
  </r>
  <r>
    <s v="REL03586"/>
    <s v="Male"/>
    <n v="22"/>
    <s v="MBA"/>
    <s v="Married"/>
    <x v="3"/>
    <s v="Finance Analyst"/>
    <x v="4"/>
    <x v="7"/>
    <s v="East"/>
    <n v="8"/>
    <n v="66760"/>
    <x v="2"/>
    <n v="2"/>
    <n v="4"/>
    <n v="41"/>
    <n v="1"/>
    <d v="2015-07-31T00:00:00"/>
    <s v="Yes"/>
    <x v="0"/>
    <n v="2"/>
    <x v="1"/>
    <x v="1"/>
    <x v="1"/>
  </r>
  <r>
    <s v="REL03587"/>
    <s v="Male"/>
    <n v="47"/>
    <s v="Post Graduate"/>
    <s v="Single"/>
    <x v="5"/>
    <s v="Operations Head"/>
    <x v="2"/>
    <x v="7"/>
    <s v="East"/>
    <n v="8"/>
    <n v="108077"/>
    <x v="0"/>
    <n v="3"/>
    <n v="1"/>
    <n v="64"/>
    <n v="1"/>
    <d v="2015-09-06T00:00:00"/>
    <s v="No"/>
    <x v="1"/>
    <n v="3"/>
    <x v="1"/>
    <x v="0"/>
    <x v="0"/>
  </r>
  <r>
    <s v="REL03588"/>
    <s v="Female"/>
    <n v="48"/>
    <s v="HSC"/>
    <s v="Married"/>
    <x v="1"/>
    <s v="HR Manager"/>
    <x v="3"/>
    <x v="8"/>
    <s v="South"/>
    <n v="15"/>
    <n v="102598"/>
    <x v="0"/>
    <n v="4"/>
    <n v="3"/>
    <n v="13"/>
    <n v="1"/>
    <d v="2008-11-29T00:00:00"/>
    <s v="Yes"/>
    <x v="1"/>
    <n v="3"/>
    <x v="2"/>
    <x v="1"/>
    <x v="0"/>
  </r>
  <r>
    <s v="REL03589"/>
    <s v="Male"/>
    <n v="25"/>
    <s v="Post Graduate"/>
    <s v="Divorced"/>
    <x v="0"/>
    <s v="Operations Head"/>
    <x v="1"/>
    <x v="1"/>
    <s v="North"/>
    <n v="12"/>
    <n v="111788"/>
    <x v="2"/>
    <n v="4"/>
    <n v="1"/>
    <n v="15"/>
    <n v="0"/>
    <d v="2011-07-27T00:00:00"/>
    <s v="No"/>
    <x v="1"/>
    <n v="2"/>
    <x v="2"/>
    <x v="0"/>
    <x v="1"/>
  </r>
  <r>
    <s v="REL03590"/>
    <s v="Male"/>
    <n v="37"/>
    <s v="HSC"/>
    <s v="Single"/>
    <x v="4"/>
    <s v="Store Manager"/>
    <x v="0"/>
    <x v="3"/>
    <s v="West"/>
    <n v="4"/>
    <n v="94913"/>
    <x v="0"/>
    <n v="4"/>
    <n v="1"/>
    <n v="17"/>
    <n v="3"/>
    <d v="2019-03-10T00:00:00"/>
    <s v="Yes"/>
    <x v="1"/>
    <n v="3"/>
    <x v="0"/>
    <x v="1"/>
    <x v="0"/>
  </r>
  <r>
    <s v="REL03591"/>
    <s v="Female"/>
    <n v="33"/>
    <s v="MBA"/>
    <s v="Married"/>
    <x v="4"/>
    <s v="Customer Service Rep"/>
    <x v="1"/>
    <x v="2"/>
    <s v="West"/>
    <n v="6"/>
    <n v="54085"/>
    <x v="1"/>
    <n v="4"/>
    <n v="3"/>
    <n v="69"/>
    <n v="2"/>
    <d v="2017-10-11T00:00:00"/>
    <s v="Yes"/>
    <x v="0"/>
    <n v="1"/>
    <x v="1"/>
    <x v="1"/>
    <x v="1"/>
  </r>
  <r>
    <s v="REL03592"/>
    <s v="Male"/>
    <n v="27"/>
    <s v="BTech"/>
    <s v="Single"/>
    <x v="6"/>
    <s v="HR Manager"/>
    <x v="0"/>
    <x v="7"/>
    <s v="East"/>
    <n v="3"/>
    <n v="87195"/>
    <x v="2"/>
    <n v="2"/>
    <n v="3"/>
    <n v="26"/>
    <n v="3"/>
    <d v="2020-07-11T00:00:00"/>
    <s v="No"/>
    <x v="1"/>
    <n v="2"/>
    <x v="0"/>
    <x v="0"/>
    <x v="1"/>
  </r>
  <r>
    <s v="REL03593"/>
    <s v="Female"/>
    <n v="25"/>
    <s v="BTech"/>
    <s v="Married"/>
    <x v="4"/>
    <s v="HR Manager"/>
    <x v="1"/>
    <x v="9"/>
    <s v="West"/>
    <n v="3"/>
    <n v="76671"/>
    <x v="2"/>
    <n v="2"/>
    <n v="2"/>
    <n v="75"/>
    <n v="0"/>
    <d v="2020-05-29T00:00:00"/>
    <s v="Yes"/>
    <x v="0"/>
    <n v="2"/>
    <x v="0"/>
    <x v="1"/>
    <x v="1"/>
  </r>
  <r>
    <s v="REL03594"/>
    <s v="Female"/>
    <n v="50"/>
    <s v="BTech"/>
    <s v="Single"/>
    <x v="7"/>
    <s v="Store Manager"/>
    <x v="4"/>
    <x v="8"/>
    <s v="South"/>
    <n v="3"/>
    <n v="88287"/>
    <x v="2"/>
    <n v="1"/>
    <n v="2"/>
    <n v="42"/>
    <n v="0"/>
    <d v="2020-05-13T00:00:00"/>
    <s v="No"/>
    <x v="1"/>
    <n v="2"/>
    <x v="0"/>
    <x v="0"/>
    <x v="1"/>
  </r>
  <r>
    <s v="REL03595"/>
    <s v="Female"/>
    <n v="43"/>
    <s v="HSC"/>
    <s v="Single"/>
    <x v="1"/>
    <s v="Marketing Executive"/>
    <x v="1"/>
    <x v="8"/>
    <s v="South"/>
    <n v="12"/>
    <n v="76288"/>
    <x v="1"/>
    <n v="2"/>
    <n v="4"/>
    <n v="35"/>
    <n v="2"/>
    <d v="2011-12-01T00:00:00"/>
    <s v="Yes"/>
    <x v="0"/>
    <n v="1"/>
    <x v="2"/>
    <x v="1"/>
    <x v="1"/>
  </r>
  <r>
    <s v="REL03596"/>
    <s v="Male"/>
    <n v="51"/>
    <s v="MBA"/>
    <s v="Married"/>
    <x v="7"/>
    <s v="Logistics Coordinator"/>
    <x v="3"/>
    <x v="9"/>
    <s v="West"/>
    <n v="1"/>
    <n v="47494"/>
    <x v="0"/>
    <n v="3"/>
    <n v="4"/>
    <n v="18"/>
    <n v="2"/>
    <d v="2022-07-03T00:00:00"/>
    <s v="No"/>
    <x v="2"/>
    <n v="3"/>
    <x v="3"/>
    <x v="0"/>
    <x v="1"/>
  </r>
  <r>
    <s v="REL03597"/>
    <s v="Male"/>
    <n v="39"/>
    <s v="HSC"/>
    <s v="Divorced"/>
    <x v="7"/>
    <s v="Marketing Executive"/>
    <x v="2"/>
    <x v="1"/>
    <s v="North"/>
    <n v="11"/>
    <n v="78109"/>
    <x v="3"/>
    <n v="2"/>
    <n v="2"/>
    <n v="62"/>
    <n v="3"/>
    <d v="2012-07-23T00:00:00"/>
    <s v="No"/>
    <x v="0"/>
    <n v="4"/>
    <x v="2"/>
    <x v="2"/>
    <x v="1"/>
  </r>
  <r>
    <s v="REL03598"/>
    <s v="Male"/>
    <n v="28"/>
    <s v="HSC"/>
    <s v="Married"/>
    <x v="2"/>
    <s v="Customer Service Rep"/>
    <x v="1"/>
    <x v="2"/>
    <s v="West"/>
    <n v="8"/>
    <n v="41772"/>
    <x v="3"/>
    <n v="3"/>
    <n v="1"/>
    <n v="15"/>
    <n v="3"/>
    <d v="2015-06-15T00:00:00"/>
    <s v="No"/>
    <x v="2"/>
    <n v="4"/>
    <x v="1"/>
    <x v="2"/>
    <x v="1"/>
  </r>
  <r>
    <s v="REL03599"/>
    <s v="Male"/>
    <n v="26"/>
    <s v="MBA"/>
    <s v="Single"/>
    <x v="2"/>
    <s v="Logistics Coordinator"/>
    <x v="1"/>
    <x v="8"/>
    <s v="South"/>
    <n v="13"/>
    <n v="64421"/>
    <x v="1"/>
    <n v="4"/>
    <n v="2"/>
    <n v="68"/>
    <n v="0"/>
    <d v="2010-03-26T00:00:00"/>
    <s v="Yes"/>
    <x v="0"/>
    <n v="1"/>
    <x v="2"/>
    <x v="1"/>
    <x v="1"/>
  </r>
  <r>
    <s v="REL03600"/>
    <s v="Female"/>
    <n v="33"/>
    <s v="Graduate"/>
    <s v="Married"/>
    <x v="3"/>
    <s v="Sales Executive"/>
    <x v="3"/>
    <x v="0"/>
    <s v="North"/>
    <n v="11"/>
    <n v="63669"/>
    <x v="0"/>
    <n v="1"/>
    <n v="3"/>
    <n v="18"/>
    <n v="0"/>
    <d v="2012-10-09T00:00:00"/>
    <s v="No"/>
    <x v="0"/>
    <n v="3"/>
    <x v="2"/>
    <x v="0"/>
    <x v="0"/>
  </r>
  <r>
    <s v="REL03601"/>
    <s v="Female"/>
    <n v="30"/>
    <s v="Graduate"/>
    <s v="Divorced"/>
    <x v="7"/>
    <s v="Operations Head"/>
    <x v="3"/>
    <x v="2"/>
    <s v="West"/>
    <n v="6"/>
    <n v="105086"/>
    <x v="3"/>
    <n v="3"/>
    <n v="4"/>
    <n v="20"/>
    <n v="0"/>
    <d v="2017-10-17T00:00:00"/>
    <s v="No"/>
    <x v="1"/>
    <n v="4"/>
    <x v="1"/>
    <x v="2"/>
    <x v="0"/>
  </r>
  <r>
    <s v="REL03602"/>
    <s v="Female"/>
    <n v="50"/>
    <s v="HSC"/>
    <s v="Divorced"/>
    <x v="1"/>
    <s v="Sales Executive"/>
    <x v="2"/>
    <x v="6"/>
    <s v="South"/>
    <n v="12"/>
    <n v="55054"/>
    <x v="1"/>
    <n v="2"/>
    <n v="1"/>
    <n v="33"/>
    <n v="1"/>
    <d v="2011-11-01T00:00:00"/>
    <s v="Yes"/>
    <x v="0"/>
    <n v="1"/>
    <x v="2"/>
    <x v="1"/>
    <x v="1"/>
  </r>
  <r>
    <s v="REL03603"/>
    <s v="Female"/>
    <n v="30"/>
    <s v="Graduate"/>
    <s v="Divorced"/>
    <x v="1"/>
    <s v="Logistics Coordinator"/>
    <x v="0"/>
    <x v="3"/>
    <s v="West"/>
    <n v="6"/>
    <n v="55233"/>
    <x v="3"/>
    <n v="1"/>
    <n v="3"/>
    <n v="60"/>
    <n v="1"/>
    <d v="2017-11-22T00:00:00"/>
    <s v="No"/>
    <x v="0"/>
    <n v="4"/>
    <x v="1"/>
    <x v="2"/>
    <x v="1"/>
  </r>
  <r>
    <s v="REL03604"/>
    <s v="Female"/>
    <n v="35"/>
    <s v="HSC"/>
    <s v="Single"/>
    <x v="2"/>
    <s v="Finance Analyst"/>
    <x v="1"/>
    <x v="0"/>
    <s v="North"/>
    <n v="13"/>
    <n v="76529"/>
    <x v="1"/>
    <n v="3"/>
    <n v="3"/>
    <n v="47"/>
    <n v="2"/>
    <d v="2010-04-04T00:00:00"/>
    <s v="No"/>
    <x v="0"/>
    <n v="1"/>
    <x v="2"/>
    <x v="0"/>
    <x v="1"/>
  </r>
  <r>
    <s v="REL03605"/>
    <s v="Female"/>
    <n v="22"/>
    <s v="BTech"/>
    <s v="Divorced"/>
    <x v="1"/>
    <s v="Sales Executive"/>
    <x v="4"/>
    <x v="4"/>
    <s v="North"/>
    <n v="4"/>
    <n v="42870"/>
    <x v="3"/>
    <n v="4"/>
    <n v="2"/>
    <n v="42"/>
    <n v="0"/>
    <d v="2019-08-06T00:00:00"/>
    <s v="No"/>
    <x v="2"/>
    <n v="4"/>
    <x v="0"/>
    <x v="2"/>
    <x v="1"/>
  </r>
  <r>
    <s v="REL03606"/>
    <s v="Female"/>
    <n v="29"/>
    <s v="BTech"/>
    <s v="Divorced"/>
    <x v="5"/>
    <s v="Store Manager"/>
    <x v="4"/>
    <x v="5"/>
    <s v="South"/>
    <n v="5"/>
    <n v="99731"/>
    <x v="2"/>
    <n v="4"/>
    <n v="2"/>
    <n v="44"/>
    <n v="1"/>
    <d v="2018-08-25T00:00:00"/>
    <s v="No"/>
    <x v="1"/>
    <n v="2"/>
    <x v="0"/>
    <x v="0"/>
    <x v="1"/>
  </r>
  <r>
    <s v="REL03607"/>
    <s v="Male"/>
    <n v="51"/>
    <s v="Post Graduate"/>
    <s v="Single"/>
    <x v="2"/>
    <s v="Customer Service Rep"/>
    <x v="2"/>
    <x v="2"/>
    <s v="West"/>
    <n v="5"/>
    <n v="42664"/>
    <x v="3"/>
    <n v="4"/>
    <n v="3"/>
    <n v="54"/>
    <n v="2"/>
    <d v="2018-08-11T00:00:00"/>
    <s v="No"/>
    <x v="2"/>
    <n v="4"/>
    <x v="0"/>
    <x v="2"/>
    <x v="1"/>
  </r>
  <r>
    <s v="REL03608"/>
    <s v="Male"/>
    <n v="30"/>
    <s v="Graduate"/>
    <s v="Divorced"/>
    <x v="4"/>
    <s v="HR Manager"/>
    <x v="4"/>
    <x v="7"/>
    <s v="East"/>
    <n v="3"/>
    <n v="85532"/>
    <x v="0"/>
    <n v="1"/>
    <n v="4"/>
    <n v="65"/>
    <n v="3"/>
    <d v="2020-06-22T00:00:00"/>
    <s v="No"/>
    <x v="1"/>
    <n v="3"/>
    <x v="0"/>
    <x v="0"/>
    <x v="0"/>
  </r>
  <r>
    <s v="REL03609"/>
    <s v="Male"/>
    <n v="24"/>
    <s v="MBA"/>
    <s v="Married"/>
    <x v="5"/>
    <s v="Marketing Executive"/>
    <x v="2"/>
    <x v="6"/>
    <s v="South"/>
    <n v="10"/>
    <n v="69297"/>
    <x v="1"/>
    <n v="4"/>
    <n v="3"/>
    <n v="28"/>
    <n v="0"/>
    <d v="2013-07-08T00:00:00"/>
    <s v="Yes"/>
    <x v="0"/>
    <n v="1"/>
    <x v="1"/>
    <x v="1"/>
    <x v="1"/>
  </r>
  <r>
    <s v="REL03610"/>
    <s v="Male"/>
    <n v="23"/>
    <s v="BTech"/>
    <s v="Married"/>
    <x v="1"/>
    <s v="Operations Head"/>
    <x v="4"/>
    <x v="3"/>
    <s v="West"/>
    <n v="4"/>
    <n v="102674"/>
    <x v="1"/>
    <n v="2"/>
    <n v="3"/>
    <n v="66"/>
    <n v="2"/>
    <d v="2019-04-27T00:00:00"/>
    <s v="No"/>
    <x v="1"/>
    <n v="1"/>
    <x v="0"/>
    <x v="0"/>
    <x v="2"/>
  </r>
  <r>
    <s v="REL03611"/>
    <s v="Male"/>
    <n v="41"/>
    <s v="BTech"/>
    <s v="Married"/>
    <x v="3"/>
    <s v="Customer Service Rep"/>
    <x v="2"/>
    <x v="8"/>
    <s v="South"/>
    <n v="4"/>
    <n v="39905"/>
    <x v="1"/>
    <n v="2"/>
    <n v="2"/>
    <n v="30"/>
    <n v="2"/>
    <d v="2019-05-14T00:00:00"/>
    <s v="No"/>
    <x v="2"/>
    <n v="1"/>
    <x v="0"/>
    <x v="0"/>
    <x v="1"/>
  </r>
  <r>
    <s v="REL03612"/>
    <s v="Female"/>
    <n v="22"/>
    <s v="Post Graduate"/>
    <s v="Single"/>
    <x v="5"/>
    <s v="Finance Analyst"/>
    <x v="4"/>
    <x v="5"/>
    <s v="South"/>
    <n v="3"/>
    <n v="70612"/>
    <x v="0"/>
    <n v="3"/>
    <n v="4"/>
    <n v="24"/>
    <n v="1"/>
    <d v="2020-02-03T00:00:00"/>
    <s v="No"/>
    <x v="0"/>
    <n v="3"/>
    <x v="0"/>
    <x v="0"/>
    <x v="0"/>
  </r>
  <r>
    <s v="REL03613"/>
    <s v="Male"/>
    <n v="32"/>
    <s v="Graduate"/>
    <s v="Single"/>
    <x v="0"/>
    <s v="Finance Analyst"/>
    <x v="0"/>
    <x v="9"/>
    <s v="West"/>
    <n v="15"/>
    <n v="90976"/>
    <x v="1"/>
    <n v="3"/>
    <n v="1"/>
    <n v="29"/>
    <n v="1"/>
    <d v="2008-10-03T00:00:00"/>
    <s v="Yes"/>
    <x v="1"/>
    <n v="1"/>
    <x v="2"/>
    <x v="1"/>
    <x v="2"/>
  </r>
  <r>
    <s v="REL03614"/>
    <s v="Female"/>
    <n v="35"/>
    <s v="HSC"/>
    <s v="Single"/>
    <x v="3"/>
    <s v="Finance Analyst"/>
    <x v="4"/>
    <x v="8"/>
    <s v="South"/>
    <n v="4"/>
    <n v="64907"/>
    <x v="0"/>
    <n v="1"/>
    <n v="2"/>
    <n v="22"/>
    <n v="2"/>
    <d v="2019-08-01T00:00:00"/>
    <s v="No"/>
    <x v="0"/>
    <n v="3"/>
    <x v="0"/>
    <x v="0"/>
    <x v="0"/>
  </r>
  <r>
    <s v="REL03615"/>
    <s v="Male"/>
    <n v="48"/>
    <s v="HSC"/>
    <s v="Divorced"/>
    <x v="1"/>
    <s v="Logistics Coordinator"/>
    <x v="1"/>
    <x v="2"/>
    <s v="West"/>
    <n v="7"/>
    <n v="62615"/>
    <x v="0"/>
    <n v="4"/>
    <n v="3"/>
    <n v="19"/>
    <n v="3"/>
    <d v="2016-08-12T00:00:00"/>
    <s v="No"/>
    <x v="0"/>
    <n v="3"/>
    <x v="1"/>
    <x v="0"/>
    <x v="0"/>
  </r>
  <r>
    <s v="REL03616"/>
    <s v="Male"/>
    <n v="32"/>
    <s v="BTech"/>
    <s v="Married"/>
    <x v="5"/>
    <s v="Operations Head"/>
    <x v="4"/>
    <x v="1"/>
    <s v="North"/>
    <n v="12"/>
    <n v="118625"/>
    <x v="0"/>
    <n v="4"/>
    <n v="4"/>
    <n v="34"/>
    <n v="3"/>
    <d v="2011-07-24T00:00:00"/>
    <s v="No"/>
    <x v="1"/>
    <n v="3"/>
    <x v="2"/>
    <x v="0"/>
    <x v="0"/>
  </r>
  <r>
    <s v="REL03617"/>
    <s v="Female"/>
    <n v="36"/>
    <s v="Post Graduate"/>
    <s v="Married"/>
    <x v="4"/>
    <s v="Logistics Coordinator"/>
    <x v="2"/>
    <x v="7"/>
    <s v="East"/>
    <n v="2"/>
    <n v="42564"/>
    <x v="0"/>
    <n v="2"/>
    <n v="1"/>
    <n v="20"/>
    <n v="0"/>
    <d v="2021-06-01T00:00:00"/>
    <s v="No"/>
    <x v="2"/>
    <n v="3"/>
    <x v="3"/>
    <x v="0"/>
    <x v="1"/>
  </r>
  <r>
    <s v="REL03618"/>
    <s v="Male"/>
    <n v="44"/>
    <s v="HSC"/>
    <s v="Divorced"/>
    <x v="4"/>
    <s v="HR Manager"/>
    <x v="4"/>
    <x v="7"/>
    <s v="East"/>
    <n v="9"/>
    <n v="92677"/>
    <x v="1"/>
    <n v="1"/>
    <n v="1"/>
    <n v="43"/>
    <n v="0"/>
    <d v="2014-05-15T00:00:00"/>
    <s v="Yes"/>
    <x v="1"/>
    <n v="1"/>
    <x v="1"/>
    <x v="1"/>
    <x v="2"/>
  </r>
  <r>
    <s v="REL03619"/>
    <s v="Female"/>
    <n v="23"/>
    <s v="MBA"/>
    <s v="Married"/>
    <x v="5"/>
    <s v="Customer Service Rep"/>
    <x v="0"/>
    <x v="2"/>
    <s v="West"/>
    <n v="7"/>
    <n v="42133"/>
    <x v="1"/>
    <n v="2"/>
    <n v="3"/>
    <n v="22"/>
    <n v="1"/>
    <d v="2016-04-30T00:00:00"/>
    <s v="Yes"/>
    <x v="2"/>
    <n v="1"/>
    <x v="1"/>
    <x v="1"/>
    <x v="1"/>
  </r>
  <r>
    <s v="REL03620"/>
    <s v="Female"/>
    <n v="42"/>
    <s v="MBA"/>
    <s v="Married"/>
    <x v="1"/>
    <s v="HR Manager"/>
    <x v="0"/>
    <x v="1"/>
    <s v="North"/>
    <n v="7"/>
    <n v="97522"/>
    <x v="2"/>
    <n v="1"/>
    <n v="3"/>
    <n v="78"/>
    <n v="1"/>
    <d v="2016-09-11T00:00:00"/>
    <s v="No"/>
    <x v="1"/>
    <n v="2"/>
    <x v="1"/>
    <x v="0"/>
    <x v="1"/>
  </r>
  <r>
    <s v="REL03621"/>
    <s v="Female"/>
    <n v="50"/>
    <s v="MBA"/>
    <s v="Divorced"/>
    <x v="1"/>
    <s v="Logistics Coordinator"/>
    <x v="4"/>
    <x v="6"/>
    <s v="South"/>
    <n v="8"/>
    <n v="52190"/>
    <x v="2"/>
    <n v="3"/>
    <n v="4"/>
    <n v="20"/>
    <n v="1"/>
    <d v="2015-03-19T00:00:00"/>
    <s v="No"/>
    <x v="0"/>
    <n v="2"/>
    <x v="1"/>
    <x v="0"/>
    <x v="1"/>
  </r>
  <r>
    <s v="REL03622"/>
    <s v="Female"/>
    <n v="35"/>
    <s v="BTech"/>
    <s v="Divorced"/>
    <x v="1"/>
    <s v="Sales Executive"/>
    <x v="2"/>
    <x v="8"/>
    <s v="South"/>
    <n v="5"/>
    <n v="50232"/>
    <x v="2"/>
    <n v="2"/>
    <n v="3"/>
    <n v="31"/>
    <n v="0"/>
    <d v="2018-04-29T00:00:00"/>
    <s v="No"/>
    <x v="0"/>
    <n v="2"/>
    <x v="0"/>
    <x v="0"/>
    <x v="1"/>
  </r>
  <r>
    <s v="REL03623"/>
    <s v="Male"/>
    <n v="27"/>
    <s v="Graduate"/>
    <s v="Divorced"/>
    <x v="1"/>
    <s v="Customer Service Rep"/>
    <x v="3"/>
    <x v="8"/>
    <s v="South"/>
    <n v="13"/>
    <n v="56228"/>
    <x v="0"/>
    <n v="4"/>
    <n v="4"/>
    <n v="67"/>
    <n v="2"/>
    <d v="2010-12-11T00:00:00"/>
    <s v="No"/>
    <x v="0"/>
    <n v="3"/>
    <x v="2"/>
    <x v="0"/>
    <x v="0"/>
  </r>
  <r>
    <s v="REL03624"/>
    <s v="Male"/>
    <n v="27"/>
    <s v="Graduate"/>
    <s v="Married"/>
    <x v="7"/>
    <s v="Finance Analyst"/>
    <x v="1"/>
    <x v="8"/>
    <s v="South"/>
    <n v="14"/>
    <n v="84534"/>
    <x v="1"/>
    <n v="3"/>
    <n v="3"/>
    <n v="24"/>
    <n v="1"/>
    <d v="2009-05-15T00:00:00"/>
    <s v="Yes"/>
    <x v="1"/>
    <n v="1"/>
    <x v="2"/>
    <x v="1"/>
    <x v="2"/>
  </r>
  <r>
    <s v="REL03625"/>
    <s v="Female"/>
    <n v="39"/>
    <s v="Graduate"/>
    <s v="Married"/>
    <x v="7"/>
    <s v="Store Manager"/>
    <x v="4"/>
    <x v="2"/>
    <s v="West"/>
    <n v="11"/>
    <n v="100732"/>
    <x v="1"/>
    <n v="3"/>
    <n v="1"/>
    <n v="18"/>
    <n v="2"/>
    <d v="2012-03-17T00:00:00"/>
    <s v="Yes"/>
    <x v="1"/>
    <n v="1"/>
    <x v="2"/>
    <x v="1"/>
    <x v="2"/>
  </r>
  <r>
    <s v="REL03626"/>
    <s v="Male"/>
    <n v="41"/>
    <s v="Post Graduate"/>
    <s v="Single"/>
    <x v="5"/>
    <s v="Finance Analyst"/>
    <x v="4"/>
    <x v="4"/>
    <s v="North"/>
    <n v="15"/>
    <n v="89458"/>
    <x v="3"/>
    <n v="4"/>
    <n v="3"/>
    <n v="13"/>
    <n v="2"/>
    <d v="2008-06-19T00:00:00"/>
    <s v="No"/>
    <x v="1"/>
    <n v="4"/>
    <x v="2"/>
    <x v="2"/>
    <x v="0"/>
  </r>
  <r>
    <s v="REL03627"/>
    <s v="Male"/>
    <n v="51"/>
    <s v="Graduate"/>
    <s v="Divorced"/>
    <x v="2"/>
    <s v="Customer Service Rep"/>
    <x v="2"/>
    <x v="7"/>
    <s v="East"/>
    <n v="9"/>
    <n v="59431"/>
    <x v="0"/>
    <n v="1"/>
    <n v="1"/>
    <n v="40"/>
    <n v="2"/>
    <d v="2014-02-08T00:00:00"/>
    <s v="No"/>
    <x v="0"/>
    <n v="3"/>
    <x v="1"/>
    <x v="0"/>
    <x v="0"/>
  </r>
  <r>
    <s v="REL03628"/>
    <s v="Male"/>
    <n v="38"/>
    <s v="MBA"/>
    <s v="Single"/>
    <x v="4"/>
    <s v="Sales Executive"/>
    <x v="2"/>
    <x v="9"/>
    <s v="West"/>
    <n v="9"/>
    <n v="49213"/>
    <x v="3"/>
    <n v="1"/>
    <n v="2"/>
    <n v="79"/>
    <n v="2"/>
    <d v="2014-07-28T00:00:00"/>
    <s v="Yes"/>
    <x v="2"/>
    <n v="4"/>
    <x v="1"/>
    <x v="1"/>
    <x v="1"/>
  </r>
  <r>
    <s v="REL03629"/>
    <s v="Male"/>
    <n v="22"/>
    <s v="BTech"/>
    <s v="Married"/>
    <x v="7"/>
    <s v="Marketing Executive"/>
    <x v="2"/>
    <x v="8"/>
    <s v="South"/>
    <n v="13"/>
    <n v="69283"/>
    <x v="1"/>
    <n v="4"/>
    <n v="4"/>
    <n v="16"/>
    <n v="2"/>
    <d v="2010-04-17T00:00:00"/>
    <s v="Yes"/>
    <x v="0"/>
    <n v="1"/>
    <x v="2"/>
    <x v="1"/>
    <x v="1"/>
  </r>
  <r>
    <s v="REL03630"/>
    <s v="Female"/>
    <n v="31"/>
    <s v="BTech"/>
    <s v="Single"/>
    <x v="5"/>
    <s v="Customer Service Rep"/>
    <x v="3"/>
    <x v="6"/>
    <s v="South"/>
    <n v="4"/>
    <n v="42132"/>
    <x v="3"/>
    <n v="2"/>
    <n v="3"/>
    <n v="74"/>
    <n v="2"/>
    <d v="2019-06-18T00:00:00"/>
    <s v="Yes"/>
    <x v="2"/>
    <n v="4"/>
    <x v="0"/>
    <x v="1"/>
    <x v="1"/>
  </r>
  <r>
    <s v="REL03631"/>
    <s v="Female"/>
    <n v="26"/>
    <s v="Post Graduate"/>
    <s v="Single"/>
    <x v="7"/>
    <s v="Logistics Coordinator"/>
    <x v="3"/>
    <x v="1"/>
    <s v="North"/>
    <n v="9"/>
    <n v="62259"/>
    <x v="3"/>
    <n v="2"/>
    <n v="2"/>
    <n v="46"/>
    <n v="3"/>
    <d v="2014-01-13T00:00:00"/>
    <s v="No"/>
    <x v="0"/>
    <n v="4"/>
    <x v="1"/>
    <x v="2"/>
    <x v="1"/>
  </r>
  <r>
    <s v="REL03632"/>
    <s v="Female"/>
    <n v="31"/>
    <s v="Post Graduate"/>
    <s v="Married"/>
    <x v="5"/>
    <s v="Finance Analyst"/>
    <x v="1"/>
    <x v="3"/>
    <s v="West"/>
    <n v="13"/>
    <n v="77387"/>
    <x v="0"/>
    <n v="2"/>
    <n v="4"/>
    <n v="44"/>
    <n v="1"/>
    <d v="2010-10-22T00:00:00"/>
    <s v="No"/>
    <x v="0"/>
    <n v="3"/>
    <x v="2"/>
    <x v="0"/>
    <x v="0"/>
  </r>
  <r>
    <s v="REL03633"/>
    <s v="Male"/>
    <n v="49"/>
    <s v="Post Graduate"/>
    <s v="Divorced"/>
    <x v="2"/>
    <s v="Finance Analyst"/>
    <x v="4"/>
    <x v="2"/>
    <s v="West"/>
    <n v="14"/>
    <n v="79893"/>
    <x v="0"/>
    <n v="3"/>
    <n v="4"/>
    <n v="57"/>
    <n v="2"/>
    <d v="2009-05-09T00:00:00"/>
    <s v="No"/>
    <x v="0"/>
    <n v="3"/>
    <x v="2"/>
    <x v="0"/>
    <x v="0"/>
  </r>
  <r>
    <s v="REL03634"/>
    <s v="Female"/>
    <n v="46"/>
    <s v="BTech"/>
    <s v="Divorced"/>
    <x v="7"/>
    <s v="Logistics Coordinator"/>
    <x v="4"/>
    <x v="1"/>
    <s v="North"/>
    <n v="10"/>
    <n v="63354"/>
    <x v="3"/>
    <n v="3"/>
    <n v="2"/>
    <n v="75"/>
    <n v="2"/>
    <d v="2013-11-04T00:00:00"/>
    <s v="No"/>
    <x v="0"/>
    <n v="4"/>
    <x v="1"/>
    <x v="2"/>
    <x v="1"/>
  </r>
  <r>
    <s v="REL03635"/>
    <s v="Female"/>
    <n v="50"/>
    <s v="BTech"/>
    <s v="Divorced"/>
    <x v="0"/>
    <s v="Logistics Coordinator"/>
    <x v="4"/>
    <x v="2"/>
    <s v="West"/>
    <n v="13"/>
    <n v="77484"/>
    <x v="1"/>
    <n v="3"/>
    <n v="2"/>
    <n v="27"/>
    <n v="2"/>
    <d v="2010-06-07T00:00:00"/>
    <s v="No"/>
    <x v="0"/>
    <n v="1"/>
    <x v="2"/>
    <x v="0"/>
    <x v="1"/>
  </r>
  <r>
    <s v="REL03636"/>
    <s v="Female"/>
    <n v="26"/>
    <s v="BTech"/>
    <s v="Divorced"/>
    <x v="7"/>
    <s v="Marketing Executive"/>
    <x v="0"/>
    <x v="4"/>
    <s v="North"/>
    <n v="10"/>
    <n v="61350"/>
    <x v="0"/>
    <n v="2"/>
    <n v="2"/>
    <n v="58"/>
    <n v="0"/>
    <d v="2013-02-09T00:00:00"/>
    <s v="No"/>
    <x v="0"/>
    <n v="3"/>
    <x v="1"/>
    <x v="0"/>
    <x v="0"/>
  </r>
  <r>
    <s v="REL03637"/>
    <s v="Female"/>
    <n v="34"/>
    <s v="MBA"/>
    <s v="Divorced"/>
    <x v="6"/>
    <s v="Finance Analyst"/>
    <x v="4"/>
    <x v="5"/>
    <s v="South"/>
    <n v="12"/>
    <n v="83351"/>
    <x v="2"/>
    <n v="1"/>
    <n v="2"/>
    <n v="67"/>
    <n v="0"/>
    <d v="2011-09-30T00:00:00"/>
    <s v="No"/>
    <x v="1"/>
    <n v="2"/>
    <x v="2"/>
    <x v="0"/>
    <x v="1"/>
  </r>
  <r>
    <s v="REL03638"/>
    <s v="Male"/>
    <n v="24"/>
    <s v="HSC"/>
    <s v="Married"/>
    <x v="2"/>
    <s v="Store Manager"/>
    <x v="1"/>
    <x v="9"/>
    <s v="West"/>
    <n v="6"/>
    <n v="101945"/>
    <x v="1"/>
    <n v="3"/>
    <n v="3"/>
    <n v="51"/>
    <n v="3"/>
    <d v="2017-11-04T00:00:00"/>
    <s v="Yes"/>
    <x v="1"/>
    <n v="1"/>
    <x v="1"/>
    <x v="1"/>
    <x v="2"/>
  </r>
  <r>
    <s v="REL03639"/>
    <s v="Male"/>
    <n v="35"/>
    <s v="BTech"/>
    <s v="Single"/>
    <x v="6"/>
    <s v="Logistics Coordinator"/>
    <x v="3"/>
    <x v="7"/>
    <s v="East"/>
    <n v="12"/>
    <n v="65873"/>
    <x v="0"/>
    <n v="2"/>
    <n v="2"/>
    <n v="36"/>
    <n v="0"/>
    <d v="2011-09-27T00:00:00"/>
    <s v="No"/>
    <x v="0"/>
    <n v="3"/>
    <x v="2"/>
    <x v="0"/>
    <x v="0"/>
  </r>
  <r>
    <s v="REL03640"/>
    <s v="Male"/>
    <n v="23"/>
    <s v="HSC"/>
    <s v="Divorced"/>
    <x v="3"/>
    <s v="Finance Analyst"/>
    <x v="4"/>
    <x v="8"/>
    <s v="South"/>
    <n v="4"/>
    <n v="77479"/>
    <x v="3"/>
    <n v="4"/>
    <n v="2"/>
    <n v="73"/>
    <n v="0"/>
    <d v="2019-03-27T00:00:00"/>
    <s v="No"/>
    <x v="0"/>
    <n v="4"/>
    <x v="0"/>
    <x v="2"/>
    <x v="1"/>
  </r>
  <r>
    <s v="REL03641"/>
    <s v="Female"/>
    <n v="44"/>
    <s v="BTech"/>
    <s v="Single"/>
    <x v="3"/>
    <s v="Finance Analyst"/>
    <x v="2"/>
    <x v="0"/>
    <s v="North"/>
    <n v="6"/>
    <n v="80640"/>
    <x v="0"/>
    <n v="1"/>
    <n v="2"/>
    <n v="26"/>
    <n v="1"/>
    <d v="2017-04-24T00:00:00"/>
    <s v="No"/>
    <x v="1"/>
    <n v="3"/>
    <x v="1"/>
    <x v="0"/>
    <x v="0"/>
  </r>
  <r>
    <s v="REL03642"/>
    <s v="Female"/>
    <n v="52"/>
    <s v="HSC"/>
    <s v="Divorced"/>
    <x v="3"/>
    <s v="Marketing Executive"/>
    <x v="4"/>
    <x v="4"/>
    <s v="North"/>
    <n v="4"/>
    <n v="62547"/>
    <x v="3"/>
    <n v="1"/>
    <n v="3"/>
    <n v="16"/>
    <n v="3"/>
    <d v="2019-08-09T00:00:00"/>
    <s v="Yes"/>
    <x v="0"/>
    <n v="4"/>
    <x v="0"/>
    <x v="1"/>
    <x v="1"/>
  </r>
  <r>
    <s v="REL03643"/>
    <s v="Female"/>
    <n v="49"/>
    <s v="HSC"/>
    <s v="Divorced"/>
    <x v="2"/>
    <s v="HR Manager"/>
    <x v="4"/>
    <x v="8"/>
    <s v="South"/>
    <n v="10"/>
    <n v="102647"/>
    <x v="0"/>
    <n v="2"/>
    <n v="2"/>
    <n v="65"/>
    <n v="1"/>
    <d v="2013-09-25T00:00:00"/>
    <s v="No"/>
    <x v="1"/>
    <n v="3"/>
    <x v="1"/>
    <x v="0"/>
    <x v="0"/>
  </r>
  <r>
    <s v="REL03644"/>
    <s v="Male"/>
    <n v="37"/>
    <s v="MBA"/>
    <s v="Divorced"/>
    <x v="1"/>
    <s v="Store Manager"/>
    <x v="1"/>
    <x v="0"/>
    <s v="North"/>
    <n v="12"/>
    <n v="106146"/>
    <x v="3"/>
    <n v="4"/>
    <n v="2"/>
    <n v="61"/>
    <n v="0"/>
    <d v="2011-03-23T00:00:00"/>
    <s v="No"/>
    <x v="1"/>
    <n v="4"/>
    <x v="2"/>
    <x v="2"/>
    <x v="0"/>
  </r>
  <r>
    <s v="REL03645"/>
    <s v="Female"/>
    <n v="27"/>
    <s v="HSC"/>
    <s v="Divorced"/>
    <x v="0"/>
    <s v="Logistics Coordinator"/>
    <x v="0"/>
    <x v="8"/>
    <s v="South"/>
    <n v="11"/>
    <n v="59508"/>
    <x v="1"/>
    <n v="1"/>
    <n v="1"/>
    <n v="19"/>
    <n v="0"/>
    <d v="2012-07-01T00:00:00"/>
    <s v="Yes"/>
    <x v="0"/>
    <n v="1"/>
    <x v="2"/>
    <x v="1"/>
    <x v="1"/>
  </r>
  <r>
    <s v="REL03646"/>
    <s v="Female"/>
    <n v="55"/>
    <s v="BTech"/>
    <s v="Single"/>
    <x v="4"/>
    <s v="Marketing Executive"/>
    <x v="2"/>
    <x v="2"/>
    <s v="West"/>
    <n v="3"/>
    <n v="48080"/>
    <x v="0"/>
    <n v="2"/>
    <n v="1"/>
    <n v="18"/>
    <n v="0"/>
    <d v="2020-04-25T00:00:00"/>
    <s v="No"/>
    <x v="2"/>
    <n v="3"/>
    <x v="0"/>
    <x v="0"/>
    <x v="1"/>
  </r>
  <r>
    <s v="REL03647"/>
    <s v="Female"/>
    <n v="41"/>
    <s v="MBA"/>
    <s v="Divorced"/>
    <x v="2"/>
    <s v="Marketing Executive"/>
    <x v="4"/>
    <x v="1"/>
    <s v="North"/>
    <n v="3"/>
    <n v="50847"/>
    <x v="1"/>
    <n v="2"/>
    <n v="1"/>
    <n v="21"/>
    <n v="2"/>
    <d v="2020-01-23T00:00:00"/>
    <s v="No"/>
    <x v="0"/>
    <n v="1"/>
    <x v="0"/>
    <x v="0"/>
    <x v="1"/>
  </r>
  <r>
    <s v="REL03648"/>
    <s v="Male"/>
    <n v="53"/>
    <s v="HSC"/>
    <s v="Single"/>
    <x v="2"/>
    <s v="Operations Head"/>
    <x v="4"/>
    <x v="8"/>
    <s v="South"/>
    <n v="5"/>
    <n v="103204"/>
    <x v="0"/>
    <n v="3"/>
    <n v="3"/>
    <n v="21"/>
    <n v="3"/>
    <d v="2018-07-13T00:00:00"/>
    <s v="No"/>
    <x v="1"/>
    <n v="3"/>
    <x v="0"/>
    <x v="0"/>
    <x v="0"/>
  </r>
  <r>
    <s v="REL03649"/>
    <s v="Male"/>
    <n v="54"/>
    <s v="Post Graduate"/>
    <s v="Single"/>
    <x v="5"/>
    <s v="Finance Analyst"/>
    <x v="1"/>
    <x v="1"/>
    <s v="North"/>
    <n v="8"/>
    <n v="67419"/>
    <x v="2"/>
    <n v="1"/>
    <n v="1"/>
    <n v="57"/>
    <n v="3"/>
    <d v="2015-09-15T00:00:00"/>
    <s v="No"/>
    <x v="0"/>
    <n v="2"/>
    <x v="1"/>
    <x v="0"/>
    <x v="1"/>
  </r>
  <r>
    <s v="REL03650"/>
    <s v="Male"/>
    <n v="37"/>
    <s v="HSC"/>
    <s v="Single"/>
    <x v="2"/>
    <s v="Marketing Executive"/>
    <x v="4"/>
    <x v="0"/>
    <s v="North"/>
    <n v="11"/>
    <n v="81423"/>
    <x v="2"/>
    <n v="1"/>
    <n v="2"/>
    <n v="48"/>
    <n v="1"/>
    <d v="2012-03-14T00:00:00"/>
    <s v="No"/>
    <x v="1"/>
    <n v="2"/>
    <x v="2"/>
    <x v="0"/>
    <x v="1"/>
  </r>
  <r>
    <s v="REL03651"/>
    <s v="Female"/>
    <n v="40"/>
    <s v="Graduate"/>
    <s v="Divorced"/>
    <x v="0"/>
    <s v="Sales Executive"/>
    <x v="0"/>
    <x v="7"/>
    <s v="East"/>
    <n v="4"/>
    <n v="39834"/>
    <x v="1"/>
    <n v="4"/>
    <n v="4"/>
    <n v="65"/>
    <n v="3"/>
    <d v="2019-05-31T00:00:00"/>
    <s v="Yes"/>
    <x v="2"/>
    <n v="1"/>
    <x v="0"/>
    <x v="1"/>
    <x v="1"/>
  </r>
  <r>
    <s v="REL03652"/>
    <s v="Female"/>
    <n v="32"/>
    <s v="BTech"/>
    <s v="Married"/>
    <x v="7"/>
    <s v="HR Manager"/>
    <x v="3"/>
    <x v="0"/>
    <s v="North"/>
    <n v="12"/>
    <n v="107448"/>
    <x v="1"/>
    <n v="3"/>
    <n v="1"/>
    <n v="17"/>
    <n v="0"/>
    <d v="2011-12-25T00:00:00"/>
    <s v="Yes"/>
    <x v="1"/>
    <n v="1"/>
    <x v="2"/>
    <x v="1"/>
    <x v="2"/>
  </r>
  <r>
    <s v="REL03653"/>
    <s v="Male"/>
    <n v="35"/>
    <s v="Graduate"/>
    <s v="Married"/>
    <x v="2"/>
    <s v="HR Manager"/>
    <x v="4"/>
    <x v="8"/>
    <s v="South"/>
    <n v="9"/>
    <n v="94275"/>
    <x v="3"/>
    <n v="3"/>
    <n v="1"/>
    <n v="24"/>
    <n v="3"/>
    <d v="2014-02-12T00:00:00"/>
    <s v="No"/>
    <x v="1"/>
    <n v="4"/>
    <x v="1"/>
    <x v="2"/>
    <x v="0"/>
  </r>
  <r>
    <s v="REL03654"/>
    <s v="Male"/>
    <n v="41"/>
    <s v="BTech"/>
    <s v="Married"/>
    <x v="3"/>
    <s v="HR Manager"/>
    <x v="0"/>
    <x v="2"/>
    <s v="West"/>
    <n v="6"/>
    <n v="93548"/>
    <x v="3"/>
    <n v="1"/>
    <n v="3"/>
    <n v="45"/>
    <n v="3"/>
    <d v="2017-12-20T00:00:00"/>
    <s v="No"/>
    <x v="1"/>
    <n v="4"/>
    <x v="1"/>
    <x v="2"/>
    <x v="0"/>
  </r>
  <r>
    <s v="REL03655"/>
    <s v="Male"/>
    <n v="52"/>
    <s v="Graduate"/>
    <s v="Married"/>
    <x v="0"/>
    <s v="Operations Head"/>
    <x v="0"/>
    <x v="4"/>
    <s v="North"/>
    <n v="9"/>
    <n v="122230"/>
    <x v="3"/>
    <n v="2"/>
    <n v="1"/>
    <n v="46"/>
    <n v="3"/>
    <d v="2014-02-01T00:00:00"/>
    <s v="No"/>
    <x v="1"/>
    <n v="4"/>
    <x v="1"/>
    <x v="2"/>
    <x v="0"/>
  </r>
  <r>
    <s v="REL03656"/>
    <s v="Male"/>
    <n v="32"/>
    <s v="BTech"/>
    <s v="Married"/>
    <x v="0"/>
    <s v="Finance Analyst"/>
    <x v="1"/>
    <x v="5"/>
    <s v="South"/>
    <n v="9"/>
    <n v="78861"/>
    <x v="1"/>
    <n v="3"/>
    <n v="1"/>
    <n v="39"/>
    <n v="1"/>
    <d v="2014-09-11T00:00:00"/>
    <s v="Yes"/>
    <x v="0"/>
    <n v="1"/>
    <x v="1"/>
    <x v="1"/>
    <x v="1"/>
  </r>
  <r>
    <s v="REL03657"/>
    <s v="Female"/>
    <n v="52"/>
    <s v="Graduate"/>
    <s v="Single"/>
    <x v="5"/>
    <s v="HR Manager"/>
    <x v="1"/>
    <x v="5"/>
    <s v="South"/>
    <n v="14"/>
    <n v="95421"/>
    <x v="3"/>
    <n v="2"/>
    <n v="2"/>
    <n v="37"/>
    <n v="2"/>
    <d v="2009-09-16T00:00:00"/>
    <s v="Yes"/>
    <x v="1"/>
    <n v="4"/>
    <x v="2"/>
    <x v="1"/>
    <x v="0"/>
  </r>
  <r>
    <s v="REL03658"/>
    <s v="Female"/>
    <n v="27"/>
    <s v="HSC"/>
    <s v="Married"/>
    <x v="3"/>
    <s v="Store Manager"/>
    <x v="2"/>
    <x v="1"/>
    <s v="North"/>
    <n v="13"/>
    <n v="115307"/>
    <x v="2"/>
    <n v="1"/>
    <n v="2"/>
    <n v="31"/>
    <n v="3"/>
    <d v="2010-05-10T00:00:00"/>
    <s v="No"/>
    <x v="1"/>
    <n v="2"/>
    <x v="2"/>
    <x v="0"/>
    <x v="1"/>
  </r>
  <r>
    <s v="REL03659"/>
    <s v="Female"/>
    <n v="29"/>
    <s v="BTech"/>
    <s v="Divorced"/>
    <x v="4"/>
    <s v="Operations Head"/>
    <x v="4"/>
    <x v="3"/>
    <s v="West"/>
    <n v="2"/>
    <n v="96364"/>
    <x v="1"/>
    <n v="2"/>
    <n v="3"/>
    <n v="54"/>
    <n v="2"/>
    <d v="2021-09-11T00:00:00"/>
    <s v="Yes"/>
    <x v="1"/>
    <n v="1"/>
    <x v="3"/>
    <x v="1"/>
    <x v="2"/>
  </r>
  <r>
    <s v="REL03660"/>
    <s v="Female"/>
    <n v="23"/>
    <s v="Post Graduate"/>
    <s v="Single"/>
    <x v="4"/>
    <s v="Marketing Executive"/>
    <x v="3"/>
    <x v="9"/>
    <s v="West"/>
    <n v="12"/>
    <n v="70417"/>
    <x v="2"/>
    <n v="3"/>
    <n v="1"/>
    <n v="74"/>
    <n v="0"/>
    <d v="2011-12-07T00:00:00"/>
    <s v="No"/>
    <x v="0"/>
    <n v="2"/>
    <x v="2"/>
    <x v="0"/>
    <x v="1"/>
  </r>
  <r>
    <s v="REL03661"/>
    <s v="Female"/>
    <n v="24"/>
    <s v="BTech"/>
    <s v="Divorced"/>
    <x v="5"/>
    <s v="Logistics Coordinator"/>
    <x v="2"/>
    <x v="7"/>
    <s v="East"/>
    <n v="1"/>
    <n v="41110"/>
    <x v="2"/>
    <n v="3"/>
    <n v="1"/>
    <n v="42"/>
    <n v="1"/>
    <d v="2022-10-16T00:00:00"/>
    <s v="No"/>
    <x v="2"/>
    <n v="2"/>
    <x v="3"/>
    <x v="0"/>
    <x v="1"/>
  </r>
  <r>
    <s v="REL03662"/>
    <s v="Female"/>
    <n v="43"/>
    <s v="MBA"/>
    <s v="Divorced"/>
    <x v="1"/>
    <s v="HR Manager"/>
    <x v="2"/>
    <x v="9"/>
    <s v="West"/>
    <n v="2"/>
    <n v="75707"/>
    <x v="0"/>
    <n v="3"/>
    <n v="1"/>
    <n v="30"/>
    <n v="1"/>
    <d v="2021-06-20T00:00:00"/>
    <s v="No"/>
    <x v="0"/>
    <n v="3"/>
    <x v="3"/>
    <x v="0"/>
    <x v="0"/>
  </r>
  <r>
    <s v="REL03663"/>
    <s v="Male"/>
    <n v="50"/>
    <s v="BTech"/>
    <s v="Married"/>
    <x v="0"/>
    <s v="Operations Head"/>
    <x v="0"/>
    <x v="3"/>
    <s v="West"/>
    <n v="9"/>
    <n v="119250"/>
    <x v="0"/>
    <n v="1"/>
    <n v="2"/>
    <n v="33"/>
    <n v="2"/>
    <d v="2014-01-12T00:00:00"/>
    <s v="No"/>
    <x v="1"/>
    <n v="3"/>
    <x v="1"/>
    <x v="0"/>
    <x v="0"/>
  </r>
  <r>
    <s v="REL03664"/>
    <s v="Female"/>
    <n v="29"/>
    <s v="Post Graduate"/>
    <s v="Single"/>
    <x v="5"/>
    <s v="Customer Service Rep"/>
    <x v="4"/>
    <x v="2"/>
    <s v="West"/>
    <n v="11"/>
    <n v="66469"/>
    <x v="0"/>
    <n v="1"/>
    <n v="3"/>
    <n v="15"/>
    <n v="3"/>
    <d v="2012-08-26T00:00:00"/>
    <s v="Yes"/>
    <x v="0"/>
    <n v="3"/>
    <x v="2"/>
    <x v="1"/>
    <x v="0"/>
  </r>
  <r>
    <s v="REL03665"/>
    <s v="Female"/>
    <n v="25"/>
    <s v="Graduate"/>
    <s v="Divorced"/>
    <x v="1"/>
    <s v="Finance Analyst"/>
    <x v="0"/>
    <x v="4"/>
    <s v="North"/>
    <n v="1"/>
    <n v="66575"/>
    <x v="3"/>
    <n v="1"/>
    <n v="2"/>
    <n v="24"/>
    <n v="3"/>
    <d v="2022-01-15T00:00:00"/>
    <s v="Yes"/>
    <x v="0"/>
    <n v="4"/>
    <x v="3"/>
    <x v="1"/>
    <x v="1"/>
  </r>
  <r>
    <s v="REL03666"/>
    <s v="Male"/>
    <n v="51"/>
    <s v="HSC"/>
    <s v="Single"/>
    <x v="4"/>
    <s v="HR Manager"/>
    <x v="1"/>
    <x v="5"/>
    <s v="South"/>
    <n v="4"/>
    <n v="76123"/>
    <x v="1"/>
    <n v="1"/>
    <n v="4"/>
    <n v="51"/>
    <n v="1"/>
    <d v="2019-09-11T00:00:00"/>
    <s v="Yes"/>
    <x v="0"/>
    <n v="1"/>
    <x v="0"/>
    <x v="1"/>
    <x v="1"/>
  </r>
  <r>
    <s v="REL03667"/>
    <s v="Male"/>
    <n v="24"/>
    <s v="Post Graduate"/>
    <s v="Married"/>
    <x v="6"/>
    <s v="HR Manager"/>
    <x v="4"/>
    <x v="1"/>
    <s v="North"/>
    <n v="15"/>
    <n v="103368"/>
    <x v="0"/>
    <n v="2"/>
    <n v="4"/>
    <n v="52"/>
    <n v="0"/>
    <d v="2008-02-11T00:00:00"/>
    <s v="Yes"/>
    <x v="1"/>
    <n v="3"/>
    <x v="2"/>
    <x v="1"/>
    <x v="0"/>
  </r>
  <r>
    <s v="REL03668"/>
    <s v="Female"/>
    <n v="39"/>
    <s v="Graduate"/>
    <s v="Divorced"/>
    <x v="1"/>
    <s v="Store Manager"/>
    <x v="0"/>
    <x v="1"/>
    <s v="North"/>
    <n v="11"/>
    <n v="103063"/>
    <x v="3"/>
    <n v="4"/>
    <n v="3"/>
    <n v="72"/>
    <n v="2"/>
    <d v="2012-03-22T00:00:00"/>
    <s v="No"/>
    <x v="1"/>
    <n v="4"/>
    <x v="2"/>
    <x v="2"/>
    <x v="0"/>
  </r>
  <r>
    <s v="REL03669"/>
    <s v="Male"/>
    <n v="29"/>
    <s v="HSC"/>
    <s v="Divorced"/>
    <x v="1"/>
    <s v="Store Manager"/>
    <x v="0"/>
    <x v="6"/>
    <s v="South"/>
    <n v="11"/>
    <n v="102245"/>
    <x v="3"/>
    <n v="2"/>
    <n v="3"/>
    <n v="19"/>
    <n v="3"/>
    <d v="2012-07-28T00:00:00"/>
    <s v="No"/>
    <x v="1"/>
    <n v="4"/>
    <x v="2"/>
    <x v="2"/>
    <x v="0"/>
  </r>
  <r>
    <s v="REL03670"/>
    <s v="Male"/>
    <n v="31"/>
    <s v="Graduate"/>
    <s v="Married"/>
    <x v="4"/>
    <s v="HR Manager"/>
    <x v="0"/>
    <x v="5"/>
    <s v="South"/>
    <n v="8"/>
    <n v="96889"/>
    <x v="1"/>
    <n v="3"/>
    <n v="1"/>
    <n v="56"/>
    <n v="3"/>
    <d v="2015-02-24T00:00:00"/>
    <s v="Yes"/>
    <x v="1"/>
    <n v="1"/>
    <x v="1"/>
    <x v="1"/>
    <x v="2"/>
  </r>
  <r>
    <s v="REL03671"/>
    <s v="Female"/>
    <n v="39"/>
    <s v="BTech"/>
    <s v="Single"/>
    <x v="4"/>
    <s v="Marketing Executive"/>
    <x v="0"/>
    <x v="3"/>
    <s v="West"/>
    <n v="12"/>
    <n v="64363"/>
    <x v="0"/>
    <n v="3"/>
    <n v="2"/>
    <n v="59"/>
    <n v="3"/>
    <d v="2011-09-14T00:00:00"/>
    <s v="No"/>
    <x v="0"/>
    <n v="3"/>
    <x v="2"/>
    <x v="0"/>
    <x v="0"/>
  </r>
  <r>
    <s v="REL03672"/>
    <s v="Male"/>
    <n v="31"/>
    <s v="BTech"/>
    <s v="Single"/>
    <x v="4"/>
    <s v="Finance Analyst"/>
    <x v="2"/>
    <x v="8"/>
    <s v="South"/>
    <n v="11"/>
    <n v="78759"/>
    <x v="0"/>
    <n v="2"/>
    <n v="1"/>
    <n v="16"/>
    <n v="0"/>
    <d v="2012-08-22T00:00:00"/>
    <s v="Yes"/>
    <x v="0"/>
    <n v="3"/>
    <x v="2"/>
    <x v="1"/>
    <x v="0"/>
  </r>
  <r>
    <s v="REL03673"/>
    <s v="Female"/>
    <n v="45"/>
    <s v="BTech"/>
    <s v="Married"/>
    <x v="1"/>
    <s v="Sales Executive"/>
    <x v="1"/>
    <x v="3"/>
    <s v="West"/>
    <n v="2"/>
    <n v="43819"/>
    <x v="3"/>
    <n v="4"/>
    <n v="2"/>
    <n v="19"/>
    <n v="3"/>
    <d v="2021-04-25T00:00:00"/>
    <s v="Yes"/>
    <x v="2"/>
    <n v="4"/>
    <x v="3"/>
    <x v="1"/>
    <x v="1"/>
  </r>
  <r>
    <s v="REL03674"/>
    <s v="Male"/>
    <n v="41"/>
    <s v="HSC"/>
    <s v="Divorced"/>
    <x v="4"/>
    <s v="Operations Head"/>
    <x v="1"/>
    <x v="5"/>
    <s v="South"/>
    <n v="12"/>
    <n v="116676"/>
    <x v="2"/>
    <n v="4"/>
    <n v="3"/>
    <n v="55"/>
    <n v="0"/>
    <d v="2011-07-18T00:00:00"/>
    <s v="Yes"/>
    <x v="1"/>
    <n v="2"/>
    <x v="2"/>
    <x v="1"/>
    <x v="1"/>
  </r>
  <r>
    <s v="REL03675"/>
    <s v="Female"/>
    <n v="27"/>
    <s v="BTech"/>
    <s v="Married"/>
    <x v="3"/>
    <s v="Sales Executive"/>
    <x v="2"/>
    <x v="1"/>
    <s v="North"/>
    <n v="9"/>
    <n v="60915"/>
    <x v="0"/>
    <n v="1"/>
    <n v="4"/>
    <n v="38"/>
    <n v="1"/>
    <d v="2014-09-06T00:00:00"/>
    <s v="Yes"/>
    <x v="0"/>
    <n v="3"/>
    <x v="1"/>
    <x v="1"/>
    <x v="0"/>
  </r>
  <r>
    <s v="REL03676"/>
    <s v="Female"/>
    <n v="49"/>
    <s v="BTech"/>
    <s v="Married"/>
    <x v="2"/>
    <s v="Customer Service Rep"/>
    <x v="0"/>
    <x v="9"/>
    <s v="West"/>
    <n v="4"/>
    <n v="44246"/>
    <x v="1"/>
    <n v="2"/>
    <n v="4"/>
    <n v="32"/>
    <n v="0"/>
    <d v="2019-04-04T00:00:00"/>
    <s v="Yes"/>
    <x v="2"/>
    <n v="1"/>
    <x v="0"/>
    <x v="1"/>
    <x v="1"/>
  </r>
  <r>
    <s v="REL03677"/>
    <s v="Female"/>
    <n v="38"/>
    <s v="Post Graduate"/>
    <s v="Single"/>
    <x v="3"/>
    <s v="HR Manager"/>
    <x v="2"/>
    <x v="5"/>
    <s v="South"/>
    <n v="13"/>
    <n v="95155"/>
    <x v="0"/>
    <n v="4"/>
    <n v="3"/>
    <n v="13"/>
    <n v="1"/>
    <d v="2010-12-04T00:00:00"/>
    <s v="No"/>
    <x v="1"/>
    <n v="3"/>
    <x v="2"/>
    <x v="0"/>
    <x v="0"/>
  </r>
  <r>
    <s v="REL03678"/>
    <s v="Male"/>
    <n v="32"/>
    <s v="Post Graduate"/>
    <s v="Divorced"/>
    <x v="5"/>
    <s v="HR Manager"/>
    <x v="0"/>
    <x v="2"/>
    <s v="West"/>
    <n v="10"/>
    <n v="93595"/>
    <x v="2"/>
    <n v="2"/>
    <n v="1"/>
    <n v="13"/>
    <n v="0"/>
    <d v="2013-03-23T00:00:00"/>
    <s v="No"/>
    <x v="1"/>
    <n v="2"/>
    <x v="1"/>
    <x v="0"/>
    <x v="1"/>
  </r>
  <r>
    <s v="REL03679"/>
    <s v="Male"/>
    <n v="52"/>
    <s v="Post Graduate"/>
    <s v="Married"/>
    <x v="5"/>
    <s v="Customer Service Rep"/>
    <x v="0"/>
    <x v="1"/>
    <s v="North"/>
    <n v="14"/>
    <n v="56044"/>
    <x v="3"/>
    <n v="3"/>
    <n v="1"/>
    <n v="43"/>
    <n v="2"/>
    <d v="2009-09-06T00:00:00"/>
    <s v="No"/>
    <x v="0"/>
    <n v="4"/>
    <x v="2"/>
    <x v="2"/>
    <x v="1"/>
  </r>
  <r>
    <s v="REL03680"/>
    <s v="Female"/>
    <n v="31"/>
    <s v="Graduate"/>
    <s v="Divorced"/>
    <x v="2"/>
    <s v="Marketing Executive"/>
    <x v="1"/>
    <x v="9"/>
    <s v="West"/>
    <n v="12"/>
    <n v="68726"/>
    <x v="3"/>
    <n v="3"/>
    <n v="4"/>
    <n v="22"/>
    <n v="1"/>
    <d v="2011-12-16T00:00:00"/>
    <s v="No"/>
    <x v="0"/>
    <n v="4"/>
    <x v="2"/>
    <x v="2"/>
    <x v="1"/>
  </r>
  <r>
    <s v="REL03681"/>
    <s v="Female"/>
    <n v="44"/>
    <s v="MBA"/>
    <s v="Single"/>
    <x v="5"/>
    <s v="Marketing Executive"/>
    <x v="0"/>
    <x v="5"/>
    <s v="South"/>
    <n v="4"/>
    <n v="63469"/>
    <x v="1"/>
    <n v="3"/>
    <n v="1"/>
    <n v="43"/>
    <n v="0"/>
    <d v="2019-07-22T00:00:00"/>
    <s v="Yes"/>
    <x v="0"/>
    <n v="1"/>
    <x v="0"/>
    <x v="1"/>
    <x v="1"/>
  </r>
  <r>
    <s v="REL03682"/>
    <s v="Male"/>
    <n v="31"/>
    <s v="Post Graduate"/>
    <s v="Divorced"/>
    <x v="7"/>
    <s v="Store Manager"/>
    <x v="3"/>
    <x v="7"/>
    <s v="East"/>
    <n v="9"/>
    <n v="107748"/>
    <x v="3"/>
    <n v="4"/>
    <n v="4"/>
    <n v="56"/>
    <n v="1"/>
    <d v="2014-03-20T00:00:00"/>
    <s v="No"/>
    <x v="1"/>
    <n v="4"/>
    <x v="1"/>
    <x v="2"/>
    <x v="0"/>
  </r>
  <r>
    <s v="REL03683"/>
    <s v="Female"/>
    <n v="42"/>
    <s v="MBA"/>
    <s v="Married"/>
    <x v="5"/>
    <s v="Store Manager"/>
    <x v="4"/>
    <x v="1"/>
    <s v="North"/>
    <n v="2"/>
    <n v="95793"/>
    <x v="2"/>
    <n v="3"/>
    <n v="4"/>
    <n v="54"/>
    <n v="1"/>
    <d v="2021-05-17T00:00:00"/>
    <s v="No"/>
    <x v="1"/>
    <n v="2"/>
    <x v="3"/>
    <x v="0"/>
    <x v="1"/>
  </r>
  <r>
    <s v="REL03684"/>
    <s v="Female"/>
    <n v="40"/>
    <s v="Post Graduate"/>
    <s v="Married"/>
    <x v="0"/>
    <s v="Marketing Executive"/>
    <x v="3"/>
    <x v="7"/>
    <s v="East"/>
    <n v="14"/>
    <n v="75435"/>
    <x v="1"/>
    <n v="2"/>
    <n v="4"/>
    <n v="24"/>
    <n v="1"/>
    <d v="2009-09-08T00:00:00"/>
    <s v="No"/>
    <x v="0"/>
    <n v="1"/>
    <x v="2"/>
    <x v="0"/>
    <x v="1"/>
  </r>
  <r>
    <s v="REL03685"/>
    <s v="Female"/>
    <n v="55"/>
    <s v="Post Graduate"/>
    <s v="Single"/>
    <x v="4"/>
    <s v="Finance Analyst"/>
    <x v="3"/>
    <x v="0"/>
    <s v="North"/>
    <n v="1"/>
    <n v="53967"/>
    <x v="0"/>
    <n v="3"/>
    <n v="2"/>
    <n v="79"/>
    <n v="3"/>
    <d v="2022-02-24T00:00:00"/>
    <s v="Yes"/>
    <x v="0"/>
    <n v="3"/>
    <x v="3"/>
    <x v="1"/>
    <x v="0"/>
  </r>
  <r>
    <s v="REL03686"/>
    <s v="Female"/>
    <n v="53"/>
    <s v="HSC"/>
    <s v="Married"/>
    <x v="3"/>
    <s v="HR Manager"/>
    <x v="2"/>
    <x v="5"/>
    <s v="South"/>
    <n v="1"/>
    <n v="80224"/>
    <x v="3"/>
    <n v="3"/>
    <n v="3"/>
    <n v="35"/>
    <n v="3"/>
    <d v="2022-01-14T00:00:00"/>
    <s v="No"/>
    <x v="1"/>
    <n v="4"/>
    <x v="3"/>
    <x v="2"/>
    <x v="0"/>
  </r>
  <r>
    <s v="REL03687"/>
    <s v="Male"/>
    <n v="41"/>
    <s v="Graduate"/>
    <s v="Single"/>
    <x v="7"/>
    <s v="Sales Executive"/>
    <x v="2"/>
    <x v="2"/>
    <s v="West"/>
    <n v="3"/>
    <n v="49108"/>
    <x v="2"/>
    <n v="4"/>
    <n v="3"/>
    <n v="10"/>
    <n v="1"/>
    <d v="2020-04-10T00:00:00"/>
    <s v="Yes"/>
    <x v="2"/>
    <n v="2"/>
    <x v="0"/>
    <x v="1"/>
    <x v="1"/>
  </r>
  <r>
    <s v="REL03688"/>
    <s v="Female"/>
    <n v="46"/>
    <s v="Post Graduate"/>
    <s v="Single"/>
    <x v="1"/>
    <s v="Finance Analyst"/>
    <x v="0"/>
    <x v="4"/>
    <s v="North"/>
    <n v="5"/>
    <n v="79642"/>
    <x v="1"/>
    <n v="3"/>
    <n v="3"/>
    <n v="29"/>
    <n v="3"/>
    <d v="2018-09-12T00:00:00"/>
    <s v="Yes"/>
    <x v="0"/>
    <n v="1"/>
    <x v="0"/>
    <x v="1"/>
    <x v="1"/>
  </r>
  <r>
    <s v="REL03689"/>
    <s v="Male"/>
    <n v="35"/>
    <s v="MBA"/>
    <s v="Single"/>
    <x v="6"/>
    <s v="HR Manager"/>
    <x v="3"/>
    <x v="6"/>
    <s v="South"/>
    <n v="9"/>
    <n v="96418"/>
    <x v="3"/>
    <n v="1"/>
    <n v="4"/>
    <n v="59"/>
    <n v="3"/>
    <d v="2014-12-03T00:00:00"/>
    <s v="No"/>
    <x v="1"/>
    <n v="4"/>
    <x v="1"/>
    <x v="2"/>
    <x v="0"/>
  </r>
  <r>
    <s v="REL03690"/>
    <s v="Female"/>
    <n v="26"/>
    <s v="HSC"/>
    <s v="Married"/>
    <x v="3"/>
    <s v="Finance Analyst"/>
    <x v="2"/>
    <x v="5"/>
    <s v="South"/>
    <n v="12"/>
    <n v="88674"/>
    <x v="3"/>
    <n v="4"/>
    <n v="4"/>
    <n v="32"/>
    <n v="0"/>
    <d v="2011-03-09T00:00:00"/>
    <s v="No"/>
    <x v="1"/>
    <n v="4"/>
    <x v="2"/>
    <x v="2"/>
    <x v="0"/>
  </r>
  <r>
    <s v="REL03691"/>
    <s v="Male"/>
    <n v="49"/>
    <s v="Post Graduate"/>
    <s v="Married"/>
    <x v="5"/>
    <s v="Logistics Coordinator"/>
    <x v="2"/>
    <x v="8"/>
    <s v="South"/>
    <n v="8"/>
    <n v="70293"/>
    <x v="0"/>
    <n v="4"/>
    <n v="2"/>
    <n v="44"/>
    <n v="1"/>
    <d v="2015-03-03T00:00:00"/>
    <s v="No"/>
    <x v="0"/>
    <n v="3"/>
    <x v="1"/>
    <x v="0"/>
    <x v="0"/>
  </r>
  <r>
    <s v="REL03692"/>
    <s v="Male"/>
    <n v="35"/>
    <s v="Post Graduate"/>
    <s v="Divorced"/>
    <x v="6"/>
    <s v="Store Manager"/>
    <x v="4"/>
    <x v="4"/>
    <s v="North"/>
    <n v="4"/>
    <n v="84265"/>
    <x v="1"/>
    <n v="1"/>
    <n v="4"/>
    <n v="74"/>
    <n v="3"/>
    <d v="2019-04-06T00:00:00"/>
    <s v="No"/>
    <x v="1"/>
    <n v="1"/>
    <x v="0"/>
    <x v="0"/>
    <x v="2"/>
  </r>
  <r>
    <s v="REL03693"/>
    <s v="Female"/>
    <n v="28"/>
    <s v="MBA"/>
    <s v="Single"/>
    <x v="5"/>
    <s v="HR Manager"/>
    <x v="3"/>
    <x v="5"/>
    <s v="South"/>
    <n v="10"/>
    <n v="87433"/>
    <x v="0"/>
    <n v="4"/>
    <n v="4"/>
    <n v="66"/>
    <n v="1"/>
    <d v="2013-04-21T00:00:00"/>
    <s v="Yes"/>
    <x v="1"/>
    <n v="3"/>
    <x v="1"/>
    <x v="1"/>
    <x v="0"/>
  </r>
  <r>
    <s v="REL03694"/>
    <s v="Female"/>
    <n v="55"/>
    <s v="HSC"/>
    <s v="Single"/>
    <x v="2"/>
    <s v="Finance Analyst"/>
    <x v="4"/>
    <x v="7"/>
    <s v="East"/>
    <n v="14"/>
    <n v="84953"/>
    <x v="2"/>
    <n v="1"/>
    <n v="3"/>
    <n v="67"/>
    <n v="2"/>
    <d v="2009-08-04T00:00:00"/>
    <s v="No"/>
    <x v="1"/>
    <n v="2"/>
    <x v="2"/>
    <x v="0"/>
    <x v="1"/>
  </r>
  <r>
    <s v="REL03695"/>
    <s v="Male"/>
    <n v="24"/>
    <s v="BTech"/>
    <s v="Married"/>
    <x v="3"/>
    <s v="Logistics Coordinator"/>
    <x v="1"/>
    <x v="9"/>
    <s v="West"/>
    <n v="14"/>
    <n v="66249"/>
    <x v="0"/>
    <n v="2"/>
    <n v="4"/>
    <n v="79"/>
    <n v="3"/>
    <d v="2009-06-08T00:00:00"/>
    <s v="No"/>
    <x v="0"/>
    <n v="3"/>
    <x v="2"/>
    <x v="0"/>
    <x v="0"/>
  </r>
  <r>
    <s v="REL03696"/>
    <s v="Male"/>
    <n v="45"/>
    <s v="Post Graduate"/>
    <s v="Married"/>
    <x v="6"/>
    <s v="Logistics Coordinator"/>
    <x v="3"/>
    <x v="5"/>
    <s v="South"/>
    <n v="14"/>
    <n v="70558"/>
    <x v="1"/>
    <n v="2"/>
    <n v="4"/>
    <n v="11"/>
    <n v="0"/>
    <d v="2009-06-21T00:00:00"/>
    <s v="Yes"/>
    <x v="0"/>
    <n v="1"/>
    <x v="2"/>
    <x v="1"/>
    <x v="1"/>
  </r>
  <r>
    <s v="REL03697"/>
    <s v="Male"/>
    <n v="54"/>
    <s v="Post Graduate"/>
    <s v="Divorced"/>
    <x v="5"/>
    <s v="Store Manager"/>
    <x v="0"/>
    <x v="9"/>
    <s v="West"/>
    <n v="5"/>
    <n v="103313"/>
    <x v="3"/>
    <n v="1"/>
    <n v="1"/>
    <n v="18"/>
    <n v="3"/>
    <d v="2018-11-05T00:00:00"/>
    <s v="No"/>
    <x v="1"/>
    <n v="4"/>
    <x v="0"/>
    <x v="2"/>
    <x v="0"/>
  </r>
  <r>
    <s v="REL03698"/>
    <s v="Female"/>
    <n v="54"/>
    <s v="BTech"/>
    <s v="Divorced"/>
    <x v="3"/>
    <s v="Finance Analyst"/>
    <x v="1"/>
    <x v="7"/>
    <s v="East"/>
    <n v="1"/>
    <n v="71570"/>
    <x v="0"/>
    <n v="4"/>
    <n v="1"/>
    <n v="76"/>
    <n v="1"/>
    <d v="2022-04-22T00:00:00"/>
    <s v="Yes"/>
    <x v="0"/>
    <n v="3"/>
    <x v="3"/>
    <x v="1"/>
    <x v="0"/>
  </r>
  <r>
    <s v="REL03699"/>
    <s v="Male"/>
    <n v="30"/>
    <s v="BTech"/>
    <s v="Single"/>
    <x v="6"/>
    <s v="Operations Head"/>
    <x v="4"/>
    <x v="7"/>
    <s v="East"/>
    <n v="7"/>
    <n v="100315"/>
    <x v="1"/>
    <n v="2"/>
    <n v="2"/>
    <n v="32"/>
    <n v="2"/>
    <d v="2016-02-09T00:00:00"/>
    <s v="No"/>
    <x v="1"/>
    <n v="1"/>
    <x v="1"/>
    <x v="0"/>
    <x v="2"/>
  </r>
  <r>
    <s v="REL03700"/>
    <s v="Female"/>
    <n v="49"/>
    <s v="MBA"/>
    <s v="Married"/>
    <x v="6"/>
    <s v="Logistics Coordinator"/>
    <x v="3"/>
    <x v="8"/>
    <s v="South"/>
    <n v="12"/>
    <n v="69674"/>
    <x v="3"/>
    <n v="2"/>
    <n v="4"/>
    <n v="55"/>
    <n v="3"/>
    <d v="2011-05-07T00:00:00"/>
    <s v="Yes"/>
    <x v="0"/>
    <n v="4"/>
    <x v="2"/>
    <x v="1"/>
    <x v="1"/>
  </r>
  <r>
    <s v="REL03701"/>
    <s v="Male"/>
    <n v="29"/>
    <s v="Post Graduate"/>
    <s v="Married"/>
    <x v="4"/>
    <s v="HR Manager"/>
    <x v="2"/>
    <x v="3"/>
    <s v="West"/>
    <n v="4"/>
    <n v="79478"/>
    <x v="0"/>
    <n v="1"/>
    <n v="4"/>
    <n v="61"/>
    <n v="2"/>
    <d v="2019-08-20T00:00:00"/>
    <s v="No"/>
    <x v="0"/>
    <n v="3"/>
    <x v="0"/>
    <x v="0"/>
    <x v="0"/>
  </r>
  <r>
    <s v="REL03702"/>
    <s v="Female"/>
    <n v="25"/>
    <s v="MBA"/>
    <s v="Single"/>
    <x v="5"/>
    <s v="Operations Head"/>
    <x v="3"/>
    <x v="4"/>
    <s v="North"/>
    <n v="15"/>
    <n v="120488"/>
    <x v="1"/>
    <n v="3"/>
    <n v="3"/>
    <n v="69"/>
    <n v="1"/>
    <d v="2008-07-27T00:00:00"/>
    <s v="Yes"/>
    <x v="1"/>
    <n v="1"/>
    <x v="2"/>
    <x v="1"/>
    <x v="2"/>
  </r>
  <r>
    <s v="REL03703"/>
    <s v="Female"/>
    <n v="51"/>
    <s v="BTech"/>
    <s v="Married"/>
    <x v="3"/>
    <s v="Logistics Coordinator"/>
    <x v="3"/>
    <x v="3"/>
    <s v="West"/>
    <n v="14"/>
    <n v="73727"/>
    <x v="2"/>
    <n v="4"/>
    <n v="1"/>
    <n v="74"/>
    <n v="0"/>
    <d v="2009-03-10T00:00:00"/>
    <s v="No"/>
    <x v="0"/>
    <n v="2"/>
    <x v="2"/>
    <x v="0"/>
    <x v="1"/>
  </r>
  <r>
    <s v="REL03704"/>
    <s v="Male"/>
    <n v="50"/>
    <s v="BTech"/>
    <s v="Married"/>
    <x v="6"/>
    <s v="Marketing Executive"/>
    <x v="1"/>
    <x v="2"/>
    <s v="West"/>
    <n v="8"/>
    <n v="59751"/>
    <x v="3"/>
    <n v="4"/>
    <n v="4"/>
    <n v="59"/>
    <n v="0"/>
    <d v="2015-12-20T00:00:00"/>
    <s v="Yes"/>
    <x v="0"/>
    <n v="4"/>
    <x v="1"/>
    <x v="1"/>
    <x v="1"/>
  </r>
  <r>
    <s v="REL03705"/>
    <s v="Male"/>
    <n v="54"/>
    <s v="Post Graduate"/>
    <s v="Single"/>
    <x v="3"/>
    <s v="Marketing Executive"/>
    <x v="2"/>
    <x v="3"/>
    <s v="West"/>
    <n v="1"/>
    <n v="56093"/>
    <x v="3"/>
    <n v="2"/>
    <n v="3"/>
    <n v="50"/>
    <n v="1"/>
    <d v="2022-10-27T00:00:00"/>
    <s v="No"/>
    <x v="0"/>
    <n v="4"/>
    <x v="3"/>
    <x v="2"/>
    <x v="1"/>
  </r>
  <r>
    <s v="REL03706"/>
    <s v="Female"/>
    <n v="33"/>
    <s v="Graduate"/>
    <s v="Single"/>
    <x v="0"/>
    <s v="HR Manager"/>
    <x v="1"/>
    <x v="6"/>
    <s v="South"/>
    <n v="2"/>
    <n v="77517"/>
    <x v="2"/>
    <n v="1"/>
    <n v="2"/>
    <n v="56"/>
    <n v="2"/>
    <d v="2021-01-31T00:00:00"/>
    <s v="No"/>
    <x v="0"/>
    <n v="2"/>
    <x v="3"/>
    <x v="0"/>
    <x v="1"/>
  </r>
  <r>
    <s v="REL03707"/>
    <s v="Female"/>
    <n v="44"/>
    <s v="Post Graduate"/>
    <s v="Married"/>
    <x v="4"/>
    <s v="Marketing Executive"/>
    <x v="4"/>
    <x v="3"/>
    <s v="West"/>
    <n v="15"/>
    <n v="88651"/>
    <x v="3"/>
    <n v="3"/>
    <n v="1"/>
    <n v="66"/>
    <n v="3"/>
    <d v="2008-07-18T00:00:00"/>
    <s v="No"/>
    <x v="1"/>
    <n v="4"/>
    <x v="2"/>
    <x v="2"/>
    <x v="0"/>
  </r>
  <r>
    <s v="REL03708"/>
    <s v="Male"/>
    <n v="48"/>
    <s v="Post Graduate"/>
    <s v="Divorced"/>
    <x v="6"/>
    <s v="Operations Head"/>
    <x v="1"/>
    <x v="7"/>
    <s v="East"/>
    <n v="7"/>
    <n v="118725"/>
    <x v="0"/>
    <n v="4"/>
    <n v="3"/>
    <n v="72"/>
    <n v="1"/>
    <d v="2016-12-20T00:00:00"/>
    <s v="No"/>
    <x v="1"/>
    <n v="3"/>
    <x v="1"/>
    <x v="0"/>
    <x v="0"/>
  </r>
  <r>
    <s v="REL03709"/>
    <s v="Female"/>
    <n v="37"/>
    <s v="Post Graduate"/>
    <s v="Divorced"/>
    <x v="1"/>
    <s v="Marketing Executive"/>
    <x v="4"/>
    <x v="3"/>
    <s v="West"/>
    <n v="12"/>
    <n v="64328"/>
    <x v="2"/>
    <n v="3"/>
    <n v="3"/>
    <n v="67"/>
    <n v="0"/>
    <d v="2011-11-14T00:00:00"/>
    <s v="No"/>
    <x v="0"/>
    <n v="2"/>
    <x v="2"/>
    <x v="0"/>
    <x v="1"/>
  </r>
  <r>
    <s v="REL03710"/>
    <s v="Male"/>
    <n v="38"/>
    <s v="HSC"/>
    <s v="Divorced"/>
    <x v="0"/>
    <s v="HR Manager"/>
    <x v="3"/>
    <x v="4"/>
    <s v="North"/>
    <n v="9"/>
    <n v="90308"/>
    <x v="3"/>
    <n v="1"/>
    <n v="4"/>
    <n v="22"/>
    <n v="0"/>
    <d v="2014-11-28T00:00:00"/>
    <s v="No"/>
    <x v="1"/>
    <n v="4"/>
    <x v="1"/>
    <x v="2"/>
    <x v="0"/>
  </r>
  <r>
    <s v="REL03711"/>
    <s v="Female"/>
    <n v="23"/>
    <s v="Post Graduate"/>
    <s v="Divorced"/>
    <x v="6"/>
    <s v="Store Manager"/>
    <x v="0"/>
    <x v="5"/>
    <s v="South"/>
    <n v="9"/>
    <n v="105615"/>
    <x v="1"/>
    <n v="1"/>
    <n v="2"/>
    <n v="68"/>
    <n v="3"/>
    <d v="2014-05-09T00:00:00"/>
    <s v="No"/>
    <x v="1"/>
    <n v="1"/>
    <x v="1"/>
    <x v="0"/>
    <x v="2"/>
  </r>
  <r>
    <s v="REL03712"/>
    <s v="Female"/>
    <n v="35"/>
    <s v="HSC"/>
    <s v="Single"/>
    <x v="0"/>
    <s v="Finance Analyst"/>
    <x v="0"/>
    <x v="4"/>
    <s v="North"/>
    <n v="11"/>
    <n v="82907"/>
    <x v="0"/>
    <n v="4"/>
    <n v="1"/>
    <n v="39"/>
    <n v="3"/>
    <d v="2012-01-15T00:00:00"/>
    <s v="Yes"/>
    <x v="1"/>
    <n v="3"/>
    <x v="2"/>
    <x v="1"/>
    <x v="0"/>
  </r>
  <r>
    <s v="REL03713"/>
    <s v="Male"/>
    <n v="32"/>
    <s v="MBA"/>
    <s v="Divorced"/>
    <x v="1"/>
    <s v="Store Manager"/>
    <x v="2"/>
    <x v="9"/>
    <s v="West"/>
    <n v="14"/>
    <n v="111283"/>
    <x v="3"/>
    <n v="3"/>
    <n v="3"/>
    <n v="25"/>
    <n v="0"/>
    <d v="2009-08-26T00:00:00"/>
    <s v="Yes"/>
    <x v="1"/>
    <n v="4"/>
    <x v="2"/>
    <x v="1"/>
    <x v="0"/>
  </r>
  <r>
    <s v="REL03714"/>
    <s v="Female"/>
    <n v="46"/>
    <s v="Post Graduate"/>
    <s v="Divorced"/>
    <x v="3"/>
    <s v="Store Manager"/>
    <x v="2"/>
    <x v="8"/>
    <s v="South"/>
    <n v="15"/>
    <n v="106099"/>
    <x v="0"/>
    <n v="2"/>
    <n v="2"/>
    <n v="43"/>
    <n v="3"/>
    <d v="2008-06-20T00:00:00"/>
    <s v="No"/>
    <x v="1"/>
    <n v="3"/>
    <x v="2"/>
    <x v="0"/>
    <x v="0"/>
  </r>
  <r>
    <s v="REL03715"/>
    <s v="Female"/>
    <n v="40"/>
    <s v="MBA"/>
    <s v="Married"/>
    <x v="2"/>
    <s v="HR Manager"/>
    <x v="1"/>
    <x v="1"/>
    <s v="North"/>
    <n v="5"/>
    <n v="78055"/>
    <x v="0"/>
    <n v="3"/>
    <n v="4"/>
    <n v="38"/>
    <n v="1"/>
    <d v="2018-08-10T00:00:00"/>
    <s v="Yes"/>
    <x v="0"/>
    <n v="3"/>
    <x v="0"/>
    <x v="1"/>
    <x v="0"/>
  </r>
  <r>
    <s v="REL03716"/>
    <s v="Male"/>
    <n v="33"/>
    <s v="HSC"/>
    <s v="Single"/>
    <x v="2"/>
    <s v="Logistics Coordinator"/>
    <x v="0"/>
    <x v="7"/>
    <s v="East"/>
    <n v="6"/>
    <n v="49293"/>
    <x v="3"/>
    <n v="2"/>
    <n v="1"/>
    <n v="68"/>
    <n v="1"/>
    <d v="2017-09-27T00:00:00"/>
    <s v="No"/>
    <x v="2"/>
    <n v="4"/>
    <x v="1"/>
    <x v="2"/>
    <x v="1"/>
  </r>
  <r>
    <s v="REL03717"/>
    <s v="Male"/>
    <n v="24"/>
    <s v="Graduate"/>
    <s v="Married"/>
    <x v="7"/>
    <s v="Operations Head"/>
    <x v="3"/>
    <x v="8"/>
    <s v="South"/>
    <n v="8"/>
    <n v="102589"/>
    <x v="3"/>
    <n v="4"/>
    <n v="3"/>
    <n v="25"/>
    <n v="3"/>
    <d v="2015-07-20T00:00:00"/>
    <s v="No"/>
    <x v="1"/>
    <n v="4"/>
    <x v="1"/>
    <x v="2"/>
    <x v="0"/>
  </r>
  <r>
    <s v="REL03718"/>
    <s v="Female"/>
    <n v="29"/>
    <s v="Post Graduate"/>
    <s v="Single"/>
    <x v="7"/>
    <s v="Logistics Coordinator"/>
    <x v="2"/>
    <x v="6"/>
    <s v="South"/>
    <n v="1"/>
    <n v="55512"/>
    <x v="2"/>
    <n v="4"/>
    <n v="2"/>
    <n v="10"/>
    <n v="0"/>
    <d v="2022-07-17T00:00:00"/>
    <s v="No"/>
    <x v="0"/>
    <n v="2"/>
    <x v="3"/>
    <x v="0"/>
    <x v="1"/>
  </r>
  <r>
    <s v="REL03719"/>
    <s v="Male"/>
    <n v="26"/>
    <s v="Post Graduate"/>
    <s v="Single"/>
    <x v="0"/>
    <s v="Marketing Executive"/>
    <x v="1"/>
    <x v="7"/>
    <s v="East"/>
    <n v="3"/>
    <n v="47468"/>
    <x v="0"/>
    <n v="4"/>
    <n v="1"/>
    <n v="42"/>
    <n v="2"/>
    <d v="2020-10-16T00:00:00"/>
    <s v="No"/>
    <x v="2"/>
    <n v="3"/>
    <x v="0"/>
    <x v="0"/>
    <x v="1"/>
  </r>
  <r>
    <s v="REL03720"/>
    <s v="Male"/>
    <n v="48"/>
    <s v="Post Graduate"/>
    <s v="Divorced"/>
    <x v="1"/>
    <s v="Finance Analyst"/>
    <x v="1"/>
    <x v="3"/>
    <s v="West"/>
    <n v="1"/>
    <n v="57385"/>
    <x v="1"/>
    <n v="4"/>
    <n v="2"/>
    <n v="45"/>
    <n v="2"/>
    <d v="2022-09-24T00:00:00"/>
    <s v="Yes"/>
    <x v="0"/>
    <n v="1"/>
    <x v="3"/>
    <x v="1"/>
    <x v="1"/>
  </r>
  <r>
    <s v="REL03721"/>
    <s v="Female"/>
    <n v="43"/>
    <s v="BTech"/>
    <s v="Married"/>
    <x v="3"/>
    <s v="Sales Executive"/>
    <x v="1"/>
    <x v="0"/>
    <s v="North"/>
    <n v="14"/>
    <n v="72471"/>
    <x v="2"/>
    <n v="4"/>
    <n v="2"/>
    <n v="25"/>
    <n v="3"/>
    <d v="2009-04-05T00:00:00"/>
    <s v="No"/>
    <x v="0"/>
    <n v="2"/>
    <x v="2"/>
    <x v="0"/>
    <x v="1"/>
  </r>
  <r>
    <s v="REL03722"/>
    <s v="Female"/>
    <n v="28"/>
    <s v="Post Graduate"/>
    <s v="Divorced"/>
    <x v="3"/>
    <s v="Operations Head"/>
    <x v="3"/>
    <x v="3"/>
    <s v="West"/>
    <n v="4"/>
    <n v="110524"/>
    <x v="1"/>
    <n v="1"/>
    <n v="4"/>
    <n v="54"/>
    <n v="2"/>
    <d v="2019-07-01T00:00:00"/>
    <s v="Yes"/>
    <x v="1"/>
    <n v="1"/>
    <x v="0"/>
    <x v="1"/>
    <x v="2"/>
  </r>
  <r>
    <s v="REL03723"/>
    <s v="Male"/>
    <n v="43"/>
    <s v="MBA"/>
    <s v="Married"/>
    <x v="2"/>
    <s v="Customer Service Rep"/>
    <x v="4"/>
    <x v="6"/>
    <s v="South"/>
    <n v="12"/>
    <n v="55948"/>
    <x v="3"/>
    <n v="4"/>
    <n v="3"/>
    <n v="66"/>
    <n v="0"/>
    <d v="2011-06-15T00:00:00"/>
    <s v="Yes"/>
    <x v="0"/>
    <n v="4"/>
    <x v="2"/>
    <x v="1"/>
    <x v="1"/>
  </r>
  <r>
    <s v="REL03724"/>
    <s v="Male"/>
    <n v="22"/>
    <s v="HSC"/>
    <s v="Single"/>
    <x v="4"/>
    <s v="HR Manager"/>
    <x v="4"/>
    <x v="5"/>
    <s v="South"/>
    <n v="14"/>
    <n v="112909"/>
    <x v="3"/>
    <n v="2"/>
    <n v="3"/>
    <n v="33"/>
    <n v="2"/>
    <d v="2009-02-15T00:00:00"/>
    <s v="No"/>
    <x v="1"/>
    <n v="4"/>
    <x v="2"/>
    <x v="2"/>
    <x v="0"/>
  </r>
  <r>
    <s v="REL03725"/>
    <s v="Female"/>
    <n v="38"/>
    <s v="BTech"/>
    <s v="Divorced"/>
    <x v="6"/>
    <s v="Customer Service Rep"/>
    <x v="0"/>
    <x v="9"/>
    <s v="West"/>
    <n v="5"/>
    <n v="36411"/>
    <x v="2"/>
    <n v="3"/>
    <n v="1"/>
    <n v="59"/>
    <n v="0"/>
    <d v="2018-07-21T00:00:00"/>
    <s v="No"/>
    <x v="2"/>
    <n v="2"/>
    <x v="0"/>
    <x v="0"/>
    <x v="1"/>
  </r>
  <r>
    <s v="REL03726"/>
    <s v="Female"/>
    <n v="24"/>
    <s v="Post Graduate"/>
    <s v="Married"/>
    <x v="1"/>
    <s v="Operations Head"/>
    <x v="1"/>
    <x v="8"/>
    <s v="South"/>
    <n v="9"/>
    <n v="120849"/>
    <x v="1"/>
    <n v="1"/>
    <n v="3"/>
    <n v="49"/>
    <n v="0"/>
    <d v="2015-01-03T00:00:00"/>
    <s v="Yes"/>
    <x v="1"/>
    <n v="1"/>
    <x v="1"/>
    <x v="1"/>
    <x v="2"/>
  </r>
  <r>
    <s v="REL03727"/>
    <s v="Male"/>
    <n v="25"/>
    <s v="BTech"/>
    <s v="Divorced"/>
    <x v="3"/>
    <s v="Store Manager"/>
    <x v="4"/>
    <x v="7"/>
    <s v="East"/>
    <n v="3"/>
    <n v="97287"/>
    <x v="3"/>
    <n v="1"/>
    <n v="3"/>
    <n v="39"/>
    <n v="0"/>
    <d v="2020-04-21T00:00:00"/>
    <s v="No"/>
    <x v="1"/>
    <n v="4"/>
    <x v="0"/>
    <x v="2"/>
    <x v="0"/>
  </r>
  <r>
    <s v="REL03728"/>
    <s v="Male"/>
    <n v="53"/>
    <s v="BTech"/>
    <s v="Single"/>
    <x v="1"/>
    <s v="Finance Analyst"/>
    <x v="2"/>
    <x v="6"/>
    <s v="South"/>
    <n v="7"/>
    <n v="78706"/>
    <x v="0"/>
    <n v="3"/>
    <n v="2"/>
    <n v="79"/>
    <n v="2"/>
    <d v="2016-07-10T00:00:00"/>
    <s v="Yes"/>
    <x v="0"/>
    <n v="3"/>
    <x v="1"/>
    <x v="1"/>
    <x v="0"/>
  </r>
  <r>
    <s v="REL03729"/>
    <s v="Male"/>
    <n v="30"/>
    <s v="HSC"/>
    <s v="Divorced"/>
    <x v="3"/>
    <s v="Marketing Executive"/>
    <x v="3"/>
    <x v="0"/>
    <s v="North"/>
    <n v="13"/>
    <n v="70700"/>
    <x v="3"/>
    <n v="3"/>
    <n v="1"/>
    <n v="48"/>
    <n v="0"/>
    <d v="2010-09-14T00:00:00"/>
    <s v="No"/>
    <x v="0"/>
    <n v="4"/>
    <x v="2"/>
    <x v="2"/>
    <x v="1"/>
  </r>
  <r>
    <s v="REL03730"/>
    <s v="Male"/>
    <n v="27"/>
    <s v="HSC"/>
    <s v="Married"/>
    <x v="3"/>
    <s v="HR Manager"/>
    <x v="3"/>
    <x v="2"/>
    <s v="West"/>
    <n v="3"/>
    <n v="74184"/>
    <x v="2"/>
    <n v="3"/>
    <n v="3"/>
    <n v="75"/>
    <n v="2"/>
    <d v="2020-01-24T00:00:00"/>
    <s v="No"/>
    <x v="0"/>
    <n v="2"/>
    <x v="0"/>
    <x v="0"/>
    <x v="1"/>
  </r>
  <r>
    <s v="REL03731"/>
    <s v="Male"/>
    <n v="22"/>
    <s v="MBA"/>
    <s v="Single"/>
    <x v="3"/>
    <s v="Sales Executive"/>
    <x v="0"/>
    <x v="3"/>
    <s v="West"/>
    <n v="12"/>
    <n v="54599"/>
    <x v="1"/>
    <n v="2"/>
    <n v="4"/>
    <n v="72"/>
    <n v="3"/>
    <d v="2011-04-06T00:00:00"/>
    <s v="Yes"/>
    <x v="0"/>
    <n v="1"/>
    <x v="2"/>
    <x v="1"/>
    <x v="1"/>
  </r>
  <r>
    <s v="REL03732"/>
    <s v="Male"/>
    <n v="53"/>
    <s v="Post Graduate"/>
    <s v="Single"/>
    <x v="0"/>
    <s v="Operations Head"/>
    <x v="1"/>
    <x v="5"/>
    <s v="South"/>
    <n v="2"/>
    <n v="101902"/>
    <x v="2"/>
    <n v="3"/>
    <n v="1"/>
    <n v="41"/>
    <n v="1"/>
    <d v="2021-05-18T00:00:00"/>
    <s v="Yes"/>
    <x v="1"/>
    <n v="2"/>
    <x v="3"/>
    <x v="1"/>
    <x v="1"/>
  </r>
  <r>
    <s v="REL03733"/>
    <s v="Female"/>
    <n v="43"/>
    <s v="MBA"/>
    <s v="Divorced"/>
    <x v="0"/>
    <s v="Store Manager"/>
    <x v="0"/>
    <x v="8"/>
    <s v="South"/>
    <n v="15"/>
    <n v="108361"/>
    <x v="2"/>
    <n v="2"/>
    <n v="3"/>
    <n v="35"/>
    <n v="3"/>
    <d v="2008-11-27T00:00:00"/>
    <s v="No"/>
    <x v="1"/>
    <n v="2"/>
    <x v="2"/>
    <x v="0"/>
    <x v="1"/>
  </r>
  <r>
    <s v="REL03734"/>
    <s v="Male"/>
    <n v="38"/>
    <s v="Post Graduate"/>
    <s v="Single"/>
    <x v="4"/>
    <s v="Store Manager"/>
    <x v="0"/>
    <x v="0"/>
    <s v="North"/>
    <n v="14"/>
    <n v="105778"/>
    <x v="2"/>
    <n v="2"/>
    <n v="4"/>
    <n v="78"/>
    <n v="3"/>
    <d v="2009-03-03T00:00:00"/>
    <s v="No"/>
    <x v="1"/>
    <n v="2"/>
    <x v="2"/>
    <x v="0"/>
    <x v="1"/>
  </r>
  <r>
    <s v="REL03735"/>
    <s v="Male"/>
    <n v="46"/>
    <s v="Post Graduate"/>
    <s v="Single"/>
    <x v="7"/>
    <s v="Operations Head"/>
    <x v="3"/>
    <x v="2"/>
    <s v="West"/>
    <n v="7"/>
    <n v="112086"/>
    <x v="2"/>
    <n v="2"/>
    <n v="1"/>
    <n v="46"/>
    <n v="0"/>
    <d v="2016-04-21T00:00:00"/>
    <s v="No"/>
    <x v="1"/>
    <n v="2"/>
    <x v="1"/>
    <x v="0"/>
    <x v="1"/>
  </r>
  <r>
    <s v="REL03736"/>
    <s v="Male"/>
    <n v="41"/>
    <s v="MBA"/>
    <s v="Single"/>
    <x v="5"/>
    <s v="Store Manager"/>
    <x v="2"/>
    <x v="2"/>
    <s v="West"/>
    <n v="15"/>
    <n v="122207"/>
    <x v="3"/>
    <n v="4"/>
    <n v="1"/>
    <n v="30"/>
    <n v="3"/>
    <d v="2008-12-18T00:00:00"/>
    <s v="No"/>
    <x v="1"/>
    <n v="4"/>
    <x v="2"/>
    <x v="2"/>
    <x v="0"/>
  </r>
  <r>
    <s v="REL03737"/>
    <s v="Female"/>
    <n v="32"/>
    <s v="HSC"/>
    <s v="Single"/>
    <x v="3"/>
    <s v="Marketing Executive"/>
    <x v="0"/>
    <x v="5"/>
    <s v="South"/>
    <n v="8"/>
    <n v="58921"/>
    <x v="1"/>
    <n v="2"/>
    <n v="2"/>
    <n v="28"/>
    <n v="2"/>
    <d v="2015-06-19T00:00:00"/>
    <s v="No"/>
    <x v="0"/>
    <n v="1"/>
    <x v="1"/>
    <x v="0"/>
    <x v="1"/>
  </r>
  <r>
    <s v="REL03738"/>
    <s v="Male"/>
    <n v="53"/>
    <s v="Post Graduate"/>
    <s v="Married"/>
    <x v="6"/>
    <s v="Operations Head"/>
    <x v="1"/>
    <x v="5"/>
    <s v="South"/>
    <n v="14"/>
    <n v="127673"/>
    <x v="1"/>
    <n v="2"/>
    <n v="2"/>
    <n v="21"/>
    <n v="1"/>
    <d v="2009-10-20T00:00:00"/>
    <s v="Yes"/>
    <x v="1"/>
    <n v="1"/>
    <x v="2"/>
    <x v="1"/>
    <x v="2"/>
  </r>
  <r>
    <s v="REL03739"/>
    <s v="Female"/>
    <n v="47"/>
    <s v="Graduate"/>
    <s v="Married"/>
    <x v="3"/>
    <s v="Logistics Coordinator"/>
    <x v="0"/>
    <x v="5"/>
    <s v="South"/>
    <n v="15"/>
    <n v="67356"/>
    <x v="3"/>
    <n v="4"/>
    <n v="2"/>
    <n v="67"/>
    <n v="2"/>
    <d v="2008-06-12T00:00:00"/>
    <s v="No"/>
    <x v="0"/>
    <n v="4"/>
    <x v="2"/>
    <x v="2"/>
    <x v="1"/>
  </r>
  <r>
    <s v="REL03740"/>
    <s v="Female"/>
    <n v="28"/>
    <s v="Post Graduate"/>
    <s v="Married"/>
    <x v="0"/>
    <s v="Customer Service Rep"/>
    <x v="0"/>
    <x v="7"/>
    <s v="East"/>
    <n v="10"/>
    <n v="62165"/>
    <x v="1"/>
    <n v="2"/>
    <n v="1"/>
    <n v="29"/>
    <n v="2"/>
    <d v="2013-11-22T00:00:00"/>
    <s v="Yes"/>
    <x v="0"/>
    <n v="1"/>
    <x v="1"/>
    <x v="1"/>
    <x v="1"/>
  </r>
  <r>
    <s v="REL03741"/>
    <s v="Female"/>
    <n v="39"/>
    <s v="MBA"/>
    <s v="Married"/>
    <x v="0"/>
    <s v="Logistics Coordinator"/>
    <x v="2"/>
    <x v="1"/>
    <s v="North"/>
    <n v="14"/>
    <n v="68545"/>
    <x v="2"/>
    <n v="1"/>
    <n v="3"/>
    <n v="48"/>
    <n v="0"/>
    <d v="2009-03-04T00:00:00"/>
    <s v="Yes"/>
    <x v="0"/>
    <n v="2"/>
    <x v="2"/>
    <x v="1"/>
    <x v="1"/>
  </r>
  <r>
    <s v="REL03742"/>
    <s v="Male"/>
    <n v="49"/>
    <s v="Graduate"/>
    <s v="Married"/>
    <x v="3"/>
    <s v="HR Manager"/>
    <x v="0"/>
    <x v="8"/>
    <s v="South"/>
    <n v="5"/>
    <n v="88647"/>
    <x v="3"/>
    <n v="1"/>
    <n v="3"/>
    <n v="61"/>
    <n v="2"/>
    <d v="2018-06-24T00:00:00"/>
    <s v="No"/>
    <x v="1"/>
    <n v="4"/>
    <x v="0"/>
    <x v="2"/>
    <x v="0"/>
  </r>
  <r>
    <s v="REL03743"/>
    <s v="Male"/>
    <n v="44"/>
    <s v="Post Graduate"/>
    <s v="Single"/>
    <x v="0"/>
    <s v="Operations Head"/>
    <x v="4"/>
    <x v="5"/>
    <s v="South"/>
    <n v="3"/>
    <n v="106172"/>
    <x v="1"/>
    <n v="2"/>
    <n v="4"/>
    <n v="77"/>
    <n v="1"/>
    <d v="2020-01-14T00:00:00"/>
    <s v="Yes"/>
    <x v="1"/>
    <n v="1"/>
    <x v="0"/>
    <x v="1"/>
    <x v="2"/>
  </r>
  <r>
    <s v="REL03744"/>
    <s v="Male"/>
    <n v="41"/>
    <s v="Post Graduate"/>
    <s v="Married"/>
    <x v="4"/>
    <s v="Marketing Executive"/>
    <x v="3"/>
    <x v="9"/>
    <s v="West"/>
    <n v="7"/>
    <n v="70153"/>
    <x v="1"/>
    <n v="2"/>
    <n v="4"/>
    <n v="75"/>
    <n v="2"/>
    <d v="2016-05-01T00:00:00"/>
    <s v="No"/>
    <x v="0"/>
    <n v="1"/>
    <x v="1"/>
    <x v="0"/>
    <x v="1"/>
  </r>
  <r>
    <s v="REL03745"/>
    <s v="Male"/>
    <n v="49"/>
    <s v="Graduate"/>
    <s v="Single"/>
    <x v="3"/>
    <s v="Logistics Coordinator"/>
    <x v="1"/>
    <x v="0"/>
    <s v="North"/>
    <n v="11"/>
    <n v="60472"/>
    <x v="1"/>
    <n v="3"/>
    <n v="4"/>
    <n v="67"/>
    <n v="2"/>
    <d v="2012-04-20T00:00:00"/>
    <s v="No"/>
    <x v="0"/>
    <n v="1"/>
    <x v="2"/>
    <x v="0"/>
    <x v="1"/>
  </r>
  <r>
    <s v="REL03746"/>
    <s v="Male"/>
    <n v="51"/>
    <s v="HSC"/>
    <s v="Married"/>
    <x v="2"/>
    <s v="Store Manager"/>
    <x v="1"/>
    <x v="1"/>
    <s v="North"/>
    <n v="12"/>
    <n v="112338"/>
    <x v="2"/>
    <n v="1"/>
    <n v="1"/>
    <n v="47"/>
    <n v="0"/>
    <d v="2011-11-03T00:00:00"/>
    <s v="No"/>
    <x v="1"/>
    <n v="2"/>
    <x v="2"/>
    <x v="0"/>
    <x v="1"/>
  </r>
  <r>
    <s v="REL03747"/>
    <s v="Female"/>
    <n v="55"/>
    <s v="Graduate"/>
    <s v="Single"/>
    <x v="6"/>
    <s v="Customer Service Rep"/>
    <x v="3"/>
    <x v="1"/>
    <s v="North"/>
    <n v="3"/>
    <n v="48078"/>
    <x v="0"/>
    <n v="4"/>
    <n v="2"/>
    <n v="45"/>
    <n v="3"/>
    <d v="2020-04-19T00:00:00"/>
    <s v="No"/>
    <x v="2"/>
    <n v="3"/>
    <x v="0"/>
    <x v="0"/>
    <x v="1"/>
  </r>
  <r>
    <s v="REL03748"/>
    <s v="Male"/>
    <n v="23"/>
    <s v="HSC"/>
    <s v="Married"/>
    <x v="6"/>
    <s v="Marketing Executive"/>
    <x v="0"/>
    <x v="0"/>
    <s v="North"/>
    <n v="10"/>
    <n v="77546"/>
    <x v="1"/>
    <n v="1"/>
    <n v="3"/>
    <n v="26"/>
    <n v="0"/>
    <d v="2013-11-29T00:00:00"/>
    <s v="Yes"/>
    <x v="0"/>
    <n v="1"/>
    <x v="1"/>
    <x v="1"/>
    <x v="1"/>
  </r>
  <r>
    <s v="REL03749"/>
    <s v="Female"/>
    <n v="30"/>
    <s v="Graduate"/>
    <s v="Divorced"/>
    <x v="6"/>
    <s v="Finance Analyst"/>
    <x v="0"/>
    <x v="9"/>
    <s v="West"/>
    <n v="13"/>
    <n v="76254"/>
    <x v="1"/>
    <n v="2"/>
    <n v="2"/>
    <n v="34"/>
    <n v="3"/>
    <d v="2010-03-13T00:00:00"/>
    <s v="Yes"/>
    <x v="0"/>
    <n v="1"/>
    <x v="2"/>
    <x v="1"/>
    <x v="1"/>
  </r>
  <r>
    <s v="REL03750"/>
    <s v="Female"/>
    <n v="46"/>
    <s v="Post Graduate"/>
    <s v="Single"/>
    <x v="7"/>
    <s v="Marketing Executive"/>
    <x v="4"/>
    <x v="6"/>
    <s v="South"/>
    <n v="6"/>
    <n v="70343"/>
    <x v="1"/>
    <n v="3"/>
    <n v="3"/>
    <n v="38"/>
    <n v="2"/>
    <d v="2017-05-06T00:00:00"/>
    <s v="Yes"/>
    <x v="0"/>
    <n v="1"/>
    <x v="1"/>
    <x v="1"/>
    <x v="1"/>
  </r>
  <r>
    <s v="REL03751"/>
    <s v="Male"/>
    <n v="44"/>
    <s v="BTech"/>
    <s v="Married"/>
    <x v="3"/>
    <s v="Customer Service Rep"/>
    <x v="1"/>
    <x v="0"/>
    <s v="North"/>
    <n v="5"/>
    <n v="52856"/>
    <x v="3"/>
    <n v="2"/>
    <n v="3"/>
    <n v="16"/>
    <n v="2"/>
    <d v="2018-06-04T00:00:00"/>
    <s v="No"/>
    <x v="0"/>
    <n v="4"/>
    <x v="0"/>
    <x v="2"/>
    <x v="1"/>
  </r>
  <r>
    <s v="REL03752"/>
    <s v="Female"/>
    <n v="48"/>
    <s v="Graduate"/>
    <s v="Married"/>
    <x v="0"/>
    <s v="Sales Executive"/>
    <x v="0"/>
    <x v="3"/>
    <s v="West"/>
    <n v="13"/>
    <n v="56718"/>
    <x v="2"/>
    <n v="1"/>
    <n v="3"/>
    <n v="30"/>
    <n v="2"/>
    <d v="2010-02-09T00:00:00"/>
    <s v="No"/>
    <x v="0"/>
    <n v="2"/>
    <x v="2"/>
    <x v="0"/>
    <x v="1"/>
  </r>
  <r>
    <s v="REL03753"/>
    <s v="Male"/>
    <n v="29"/>
    <s v="Graduate"/>
    <s v="Married"/>
    <x v="2"/>
    <s v="HR Manager"/>
    <x v="0"/>
    <x v="5"/>
    <s v="South"/>
    <n v="3"/>
    <n v="83276"/>
    <x v="0"/>
    <n v="4"/>
    <n v="4"/>
    <n v="15"/>
    <n v="1"/>
    <d v="2020-12-04T00:00:00"/>
    <s v="No"/>
    <x v="1"/>
    <n v="3"/>
    <x v="0"/>
    <x v="0"/>
    <x v="0"/>
  </r>
  <r>
    <s v="REL03754"/>
    <s v="Male"/>
    <n v="52"/>
    <s v="BTech"/>
    <s v="Single"/>
    <x v="3"/>
    <s v="Logistics Coordinator"/>
    <x v="1"/>
    <x v="1"/>
    <s v="North"/>
    <n v="5"/>
    <n v="56464"/>
    <x v="3"/>
    <n v="3"/>
    <n v="3"/>
    <n v="80"/>
    <n v="1"/>
    <d v="2018-01-31T00:00:00"/>
    <s v="No"/>
    <x v="0"/>
    <n v="4"/>
    <x v="0"/>
    <x v="2"/>
    <x v="1"/>
  </r>
  <r>
    <s v="REL03755"/>
    <s v="Female"/>
    <n v="40"/>
    <s v="BTech"/>
    <s v="Single"/>
    <x v="2"/>
    <s v="Marketing Executive"/>
    <x v="4"/>
    <x v="2"/>
    <s v="West"/>
    <n v="4"/>
    <n v="55292"/>
    <x v="2"/>
    <n v="3"/>
    <n v="4"/>
    <n v="46"/>
    <n v="1"/>
    <d v="2019-06-18T00:00:00"/>
    <s v="No"/>
    <x v="0"/>
    <n v="2"/>
    <x v="0"/>
    <x v="0"/>
    <x v="1"/>
  </r>
  <r>
    <s v="REL03756"/>
    <s v="Female"/>
    <n v="49"/>
    <s v="Graduate"/>
    <s v="Single"/>
    <x v="1"/>
    <s v="Finance Analyst"/>
    <x v="0"/>
    <x v="3"/>
    <s v="West"/>
    <n v="7"/>
    <n v="81932"/>
    <x v="0"/>
    <n v="3"/>
    <n v="3"/>
    <n v="61"/>
    <n v="0"/>
    <d v="2016-07-12T00:00:00"/>
    <s v="No"/>
    <x v="1"/>
    <n v="3"/>
    <x v="1"/>
    <x v="0"/>
    <x v="0"/>
  </r>
  <r>
    <s v="REL03757"/>
    <s v="Female"/>
    <n v="48"/>
    <s v="Graduate"/>
    <s v="Divorced"/>
    <x v="0"/>
    <s v="Store Manager"/>
    <x v="1"/>
    <x v="2"/>
    <s v="West"/>
    <n v="5"/>
    <n v="97126"/>
    <x v="1"/>
    <n v="1"/>
    <n v="4"/>
    <n v="79"/>
    <n v="1"/>
    <d v="2018-04-25T00:00:00"/>
    <s v="No"/>
    <x v="1"/>
    <n v="1"/>
    <x v="0"/>
    <x v="0"/>
    <x v="2"/>
  </r>
  <r>
    <s v="REL03758"/>
    <s v="Female"/>
    <n v="23"/>
    <s v="Post Graduate"/>
    <s v="Married"/>
    <x v="6"/>
    <s v="Finance Analyst"/>
    <x v="4"/>
    <x v="4"/>
    <s v="North"/>
    <n v="12"/>
    <n v="81455"/>
    <x v="2"/>
    <n v="4"/>
    <n v="2"/>
    <n v="73"/>
    <n v="1"/>
    <d v="2011-05-18T00:00:00"/>
    <s v="Yes"/>
    <x v="1"/>
    <n v="2"/>
    <x v="2"/>
    <x v="1"/>
    <x v="1"/>
  </r>
  <r>
    <s v="REL03759"/>
    <s v="Female"/>
    <n v="40"/>
    <s v="HSC"/>
    <s v="Divorced"/>
    <x v="2"/>
    <s v="Operations Head"/>
    <x v="1"/>
    <x v="3"/>
    <s v="West"/>
    <n v="10"/>
    <n v="117952"/>
    <x v="1"/>
    <n v="4"/>
    <n v="3"/>
    <n v="79"/>
    <n v="2"/>
    <d v="2013-11-10T00:00:00"/>
    <s v="Yes"/>
    <x v="1"/>
    <n v="1"/>
    <x v="1"/>
    <x v="1"/>
    <x v="2"/>
  </r>
  <r>
    <s v="REL03760"/>
    <s v="Female"/>
    <n v="55"/>
    <s v="HSC"/>
    <s v="Single"/>
    <x v="6"/>
    <s v="Operations Head"/>
    <x v="1"/>
    <x v="5"/>
    <s v="South"/>
    <n v="14"/>
    <n v="120416"/>
    <x v="2"/>
    <n v="3"/>
    <n v="3"/>
    <n v="69"/>
    <n v="2"/>
    <d v="2009-12-24T00:00:00"/>
    <s v="No"/>
    <x v="1"/>
    <n v="2"/>
    <x v="2"/>
    <x v="0"/>
    <x v="1"/>
  </r>
  <r>
    <s v="REL03761"/>
    <s v="Female"/>
    <n v="30"/>
    <s v="BTech"/>
    <s v="Single"/>
    <x v="7"/>
    <s v="Logistics Coordinator"/>
    <x v="2"/>
    <x v="7"/>
    <s v="East"/>
    <n v="6"/>
    <n v="61810"/>
    <x v="3"/>
    <n v="3"/>
    <n v="4"/>
    <n v="20"/>
    <n v="1"/>
    <d v="2017-03-04T00:00:00"/>
    <s v="No"/>
    <x v="0"/>
    <n v="4"/>
    <x v="1"/>
    <x v="2"/>
    <x v="1"/>
  </r>
  <r>
    <s v="REL03762"/>
    <s v="Male"/>
    <n v="47"/>
    <s v="BTech"/>
    <s v="Married"/>
    <x v="3"/>
    <s v="Finance Analyst"/>
    <x v="2"/>
    <x v="3"/>
    <s v="West"/>
    <n v="13"/>
    <n v="89195"/>
    <x v="0"/>
    <n v="4"/>
    <n v="2"/>
    <n v="67"/>
    <n v="3"/>
    <d v="2010-03-06T00:00:00"/>
    <s v="No"/>
    <x v="1"/>
    <n v="3"/>
    <x v="2"/>
    <x v="0"/>
    <x v="0"/>
  </r>
  <r>
    <s v="REL03763"/>
    <s v="Male"/>
    <n v="52"/>
    <s v="HSC"/>
    <s v="Single"/>
    <x v="7"/>
    <s v="Logistics Coordinator"/>
    <x v="3"/>
    <x v="1"/>
    <s v="North"/>
    <n v="10"/>
    <n v="64682"/>
    <x v="2"/>
    <n v="3"/>
    <n v="1"/>
    <n v="65"/>
    <n v="0"/>
    <d v="2013-11-09T00:00:00"/>
    <s v="No"/>
    <x v="0"/>
    <n v="2"/>
    <x v="1"/>
    <x v="0"/>
    <x v="1"/>
  </r>
  <r>
    <s v="REL03764"/>
    <s v="Female"/>
    <n v="39"/>
    <s v="Graduate"/>
    <s v="Married"/>
    <x v="7"/>
    <s v="Finance Analyst"/>
    <x v="0"/>
    <x v="4"/>
    <s v="North"/>
    <n v="2"/>
    <n v="64356"/>
    <x v="3"/>
    <n v="1"/>
    <n v="2"/>
    <n v="25"/>
    <n v="0"/>
    <d v="2021-09-12T00:00:00"/>
    <s v="No"/>
    <x v="0"/>
    <n v="4"/>
    <x v="3"/>
    <x v="2"/>
    <x v="1"/>
  </r>
  <r>
    <s v="REL03765"/>
    <s v="Female"/>
    <n v="54"/>
    <s v="Post Graduate"/>
    <s v="Single"/>
    <x v="2"/>
    <s v="Logistics Coordinator"/>
    <x v="3"/>
    <x v="4"/>
    <s v="North"/>
    <n v="7"/>
    <n v="62752"/>
    <x v="0"/>
    <n v="2"/>
    <n v="2"/>
    <n v="58"/>
    <n v="1"/>
    <d v="2016-10-11T00:00:00"/>
    <s v="No"/>
    <x v="0"/>
    <n v="3"/>
    <x v="1"/>
    <x v="0"/>
    <x v="0"/>
  </r>
  <r>
    <s v="REL03766"/>
    <s v="Male"/>
    <n v="30"/>
    <s v="Graduate"/>
    <s v="Single"/>
    <x v="1"/>
    <s v="HR Manager"/>
    <x v="4"/>
    <x v="9"/>
    <s v="West"/>
    <n v="13"/>
    <n v="100980"/>
    <x v="1"/>
    <n v="4"/>
    <n v="4"/>
    <n v="67"/>
    <n v="1"/>
    <d v="2010-03-13T00:00:00"/>
    <s v="Yes"/>
    <x v="1"/>
    <n v="1"/>
    <x v="2"/>
    <x v="1"/>
    <x v="2"/>
  </r>
  <r>
    <s v="REL03767"/>
    <s v="Male"/>
    <n v="32"/>
    <s v="BTech"/>
    <s v="Divorced"/>
    <x v="7"/>
    <s v="Sales Executive"/>
    <x v="4"/>
    <x v="2"/>
    <s v="West"/>
    <n v="7"/>
    <n v="53886"/>
    <x v="2"/>
    <n v="2"/>
    <n v="3"/>
    <n v="55"/>
    <n v="2"/>
    <d v="2016-12-26T00:00:00"/>
    <s v="No"/>
    <x v="0"/>
    <n v="2"/>
    <x v="1"/>
    <x v="0"/>
    <x v="1"/>
  </r>
  <r>
    <s v="REL03768"/>
    <s v="Female"/>
    <n v="47"/>
    <s v="HSC"/>
    <s v="Single"/>
    <x v="6"/>
    <s v="Finance Analyst"/>
    <x v="0"/>
    <x v="0"/>
    <s v="North"/>
    <n v="1"/>
    <n v="55522"/>
    <x v="1"/>
    <n v="3"/>
    <n v="2"/>
    <n v="16"/>
    <n v="0"/>
    <d v="2023-01-01T00:00:00"/>
    <s v="Yes"/>
    <x v="0"/>
    <n v="1"/>
    <x v="3"/>
    <x v="1"/>
    <x v="1"/>
  </r>
  <r>
    <s v="REL03769"/>
    <s v="Male"/>
    <n v="31"/>
    <s v="Post Graduate"/>
    <s v="Divorced"/>
    <x v="5"/>
    <s v="Logistics Coordinator"/>
    <x v="0"/>
    <x v="8"/>
    <s v="South"/>
    <n v="12"/>
    <n v="76497"/>
    <x v="1"/>
    <n v="1"/>
    <n v="1"/>
    <n v="59"/>
    <n v="2"/>
    <d v="2011-10-03T00:00:00"/>
    <s v="No"/>
    <x v="0"/>
    <n v="1"/>
    <x v="2"/>
    <x v="0"/>
    <x v="1"/>
  </r>
  <r>
    <s v="REL03770"/>
    <s v="Male"/>
    <n v="27"/>
    <s v="BTech"/>
    <s v="Divorced"/>
    <x v="7"/>
    <s v="Sales Executive"/>
    <x v="3"/>
    <x v="4"/>
    <s v="North"/>
    <n v="11"/>
    <n v="61728"/>
    <x v="2"/>
    <n v="1"/>
    <n v="2"/>
    <n v="46"/>
    <n v="1"/>
    <d v="2012-10-26T00:00:00"/>
    <s v="No"/>
    <x v="0"/>
    <n v="2"/>
    <x v="2"/>
    <x v="0"/>
    <x v="1"/>
  </r>
  <r>
    <s v="REL03771"/>
    <s v="Female"/>
    <n v="48"/>
    <s v="BTech"/>
    <s v="Married"/>
    <x v="6"/>
    <s v="HR Manager"/>
    <x v="1"/>
    <x v="3"/>
    <s v="West"/>
    <n v="14"/>
    <n v="95217"/>
    <x v="1"/>
    <n v="1"/>
    <n v="1"/>
    <n v="72"/>
    <n v="3"/>
    <d v="2009-08-14T00:00:00"/>
    <s v="Yes"/>
    <x v="1"/>
    <n v="1"/>
    <x v="2"/>
    <x v="1"/>
    <x v="2"/>
  </r>
  <r>
    <s v="REL03772"/>
    <s v="Female"/>
    <n v="43"/>
    <s v="BTech"/>
    <s v="Single"/>
    <x v="2"/>
    <s v="Sales Executive"/>
    <x v="4"/>
    <x v="6"/>
    <s v="South"/>
    <n v="8"/>
    <n v="50811"/>
    <x v="1"/>
    <n v="4"/>
    <n v="3"/>
    <n v="79"/>
    <n v="0"/>
    <d v="2015-08-21T00:00:00"/>
    <s v="Yes"/>
    <x v="0"/>
    <n v="1"/>
    <x v="1"/>
    <x v="1"/>
    <x v="1"/>
  </r>
  <r>
    <s v="REL03773"/>
    <s v="Male"/>
    <n v="32"/>
    <s v="Post Graduate"/>
    <s v="Single"/>
    <x v="6"/>
    <s v="Sales Executive"/>
    <x v="3"/>
    <x v="0"/>
    <s v="North"/>
    <n v="9"/>
    <n v="55361"/>
    <x v="2"/>
    <n v="4"/>
    <n v="1"/>
    <n v="13"/>
    <n v="1"/>
    <d v="2014-06-09T00:00:00"/>
    <s v="No"/>
    <x v="0"/>
    <n v="2"/>
    <x v="1"/>
    <x v="0"/>
    <x v="1"/>
  </r>
  <r>
    <s v="REL03774"/>
    <s v="Female"/>
    <n v="53"/>
    <s v="BTech"/>
    <s v="Single"/>
    <x v="1"/>
    <s v="Logistics Coordinator"/>
    <x v="4"/>
    <x v="0"/>
    <s v="North"/>
    <n v="1"/>
    <n v="44740"/>
    <x v="2"/>
    <n v="3"/>
    <n v="1"/>
    <n v="44"/>
    <n v="3"/>
    <d v="2022-03-14T00:00:00"/>
    <s v="No"/>
    <x v="2"/>
    <n v="2"/>
    <x v="3"/>
    <x v="0"/>
    <x v="1"/>
  </r>
  <r>
    <s v="REL03775"/>
    <s v="Male"/>
    <n v="41"/>
    <s v="HSC"/>
    <s v="Married"/>
    <x v="3"/>
    <s v="Store Manager"/>
    <x v="0"/>
    <x v="3"/>
    <s v="West"/>
    <n v="5"/>
    <n v="100349"/>
    <x v="1"/>
    <n v="1"/>
    <n v="4"/>
    <n v="57"/>
    <n v="3"/>
    <d v="2018-08-01T00:00:00"/>
    <s v="No"/>
    <x v="1"/>
    <n v="1"/>
    <x v="0"/>
    <x v="0"/>
    <x v="2"/>
  </r>
  <r>
    <s v="REL03776"/>
    <s v="Male"/>
    <n v="45"/>
    <s v="Graduate"/>
    <s v="Single"/>
    <x v="6"/>
    <s v="Sales Executive"/>
    <x v="4"/>
    <x v="2"/>
    <s v="West"/>
    <n v="3"/>
    <n v="43291"/>
    <x v="1"/>
    <n v="4"/>
    <n v="4"/>
    <n v="20"/>
    <n v="0"/>
    <d v="2020-03-09T00:00:00"/>
    <s v="Yes"/>
    <x v="2"/>
    <n v="1"/>
    <x v="0"/>
    <x v="1"/>
    <x v="1"/>
  </r>
  <r>
    <s v="REL03777"/>
    <s v="Female"/>
    <n v="24"/>
    <s v="HSC"/>
    <s v="Divorced"/>
    <x v="3"/>
    <s v="Store Manager"/>
    <x v="4"/>
    <x v="5"/>
    <s v="South"/>
    <n v="6"/>
    <n v="105226"/>
    <x v="1"/>
    <n v="1"/>
    <n v="1"/>
    <n v="38"/>
    <n v="1"/>
    <d v="2017-06-23T00:00:00"/>
    <s v="Yes"/>
    <x v="1"/>
    <n v="1"/>
    <x v="1"/>
    <x v="1"/>
    <x v="2"/>
  </r>
  <r>
    <s v="REL03778"/>
    <s v="Male"/>
    <n v="37"/>
    <s v="Graduate"/>
    <s v="Married"/>
    <x v="0"/>
    <s v="Sales Executive"/>
    <x v="0"/>
    <x v="3"/>
    <s v="West"/>
    <n v="11"/>
    <n v="64932"/>
    <x v="2"/>
    <n v="2"/>
    <n v="1"/>
    <n v="21"/>
    <n v="2"/>
    <d v="2012-09-30T00:00:00"/>
    <s v="No"/>
    <x v="0"/>
    <n v="2"/>
    <x v="2"/>
    <x v="0"/>
    <x v="1"/>
  </r>
  <r>
    <s v="REL03779"/>
    <s v="Female"/>
    <n v="47"/>
    <s v="HSC"/>
    <s v="Married"/>
    <x v="0"/>
    <s v="Marketing Executive"/>
    <x v="0"/>
    <x v="4"/>
    <s v="North"/>
    <n v="8"/>
    <n v="59639"/>
    <x v="0"/>
    <n v="4"/>
    <n v="2"/>
    <n v="33"/>
    <n v="2"/>
    <d v="2015-03-28T00:00:00"/>
    <s v="Yes"/>
    <x v="0"/>
    <n v="3"/>
    <x v="1"/>
    <x v="1"/>
    <x v="0"/>
  </r>
  <r>
    <s v="REL03780"/>
    <s v="Male"/>
    <n v="25"/>
    <s v="Graduate"/>
    <s v="Divorced"/>
    <x v="3"/>
    <s v="Customer Service Rep"/>
    <x v="1"/>
    <x v="0"/>
    <s v="North"/>
    <n v="15"/>
    <n v="55775"/>
    <x v="1"/>
    <n v="3"/>
    <n v="2"/>
    <n v="30"/>
    <n v="1"/>
    <d v="2008-07-29T00:00:00"/>
    <s v="No"/>
    <x v="0"/>
    <n v="1"/>
    <x v="2"/>
    <x v="0"/>
    <x v="1"/>
  </r>
  <r>
    <s v="REL03781"/>
    <s v="Male"/>
    <n v="44"/>
    <s v="BTech"/>
    <s v="Divorced"/>
    <x v="3"/>
    <s v="Operations Head"/>
    <x v="0"/>
    <x v="8"/>
    <s v="South"/>
    <n v="13"/>
    <n v="111897"/>
    <x v="2"/>
    <n v="2"/>
    <n v="2"/>
    <n v="27"/>
    <n v="0"/>
    <d v="2010-05-28T00:00:00"/>
    <s v="No"/>
    <x v="1"/>
    <n v="2"/>
    <x v="2"/>
    <x v="0"/>
    <x v="1"/>
  </r>
  <r>
    <s v="REL03782"/>
    <s v="Male"/>
    <n v="44"/>
    <s v="HSC"/>
    <s v="Divorced"/>
    <x v="7"/>
    <s v="Logistics Coordinator"/>
    <x v="3"/>
    <x v="4"/>
    <s v="North"/>
    <n v="14"/>
    <n v="65158"/>
    <x v="2"/>
    <n v="1"/>
    <n v="3"/>
    <n v="38"/>
    <n v="1"/>
    <d v="2009-09-30T00:00:00"/>
    <s v="No"/>
    <x v="0"/>
    <n v="2"/>
    <x v="2"/>
    <x v="0"/>
    <x v="1"/>
  </r>
  <r>
    <s v="REL03783"/>
    <s v="Male"/>
    <n v="54"/>
    <s v="Post Graduate"/>
    <s v="Single"/>
    <x v="2"/>
    <s v="Customer Service Rep"/>
    <x v="3"/>
    <x v="0"/>
    <s v="North"/>
    <n v="5"/>
    <n v="47368"/>
    <x v="0"/>
    <n v="1"/>
    <n v="4"/>
    <n v="24"/>
    <n v="3"/>
    <d v="2018-07-10T00:00:00"/>
    <s v="Yes"/>
    <x v="2"/>
    <n v="3"/>
    <x v="0"/>
    <x v="1"/>
    <x v="1"/>
  </r>
  <r>
    <s v="REL03784"/>
    <s v="Female"/>
    <n v="50"/>
    <s v="Post Graduate"/>
    <s v="Single"/>
    <x v="0"/>
    <s v="Sales Executive"/>
    <x v="1"/>
    <x v="1"/>
    <s v="North"/>
    <n v="15"/>
    <n v="66544"/>
    <x v="1"/>
    <n v="3"/>
    <n v="2"/>
    <n v="17"/>
    <n v="2"/>
    <d v="2008-04-14T00:00:00"/>
    <s v="Yes"/>
    <x v="0"/>
    <n v="1"/>
    <x v="2"/>
    <x v="1"/>
    <x v="1"/>
  </r>
  <r>
    <s v="REL03785"/>
    <s v="Male"/>
    <n v="53"/>
    <s v="Post Graduate"/>
    <s v="Married"/>
    <x v="0"/>
    <s v="Customer Service Rep"/>
    <x v="2"/>
    <x v="9"/>
    <s v="West"/>
    <n v="6"/>
    <n v="56020"/>
    <x v="1"/>
    <n v="2"/>
    <n v="1"/>
    <n v="43"/>
    <n v="3"/>
    <d v="2017-05-03T00:00:00"/>
    <s v="Yes"/>
    <x v="0"/>
    <n v="1"/>
    <x v="1"/>
    <x v="1"/>
    <x v="1"/>
  </r>
  <r>
    <s v="REL03786"/>
    <s v="Female"/>
    <n v="26"/>
    <s v="MBA"/>
    <s v="Married"/>
    <x v="2"/>
    <s v="Sales Executive"/>
    <x v="4"/>
    <x v="4"/>
    <s v="North"/>
    <n v="3"/>
    <n v="43468"/>
    <x v="1"/>
    <n v="1"/>
    <n v="4"/>
    <n v="70"/>
    <n v="1"/>
    <d v="2020-10-01T00:00:00"/>
    <s v="Yes"/>
    <x v="2"/>
    <n v="1"/>
    <x v="0"/>
    <x v="1"/>
    <x v="1"/>
  </r>
  <r>
    <s v="REL03787"/>
    <s v="Female"/>
    <n v="32"/>
    <s v="Graduate"/>
    <s v="Single"/>
    <x v="0"/>
    <s v="Operations Head"/>
    <x v="2"/>
    <x v="9"/>
    <s v="West"/>
    <n v="12"/>
    <n v="111597"/>
    <x v="0"/>
    <n v="2"/>
    <n v="1"/>
    <n v="80"/>
    <n v="1"/>
    <d v="2011-10-12T00:00:00"/>
    <s v="Yes"/>
    <x v="1"/>
    <n v="3"/>
    <x v="2"/>
    <x v="1"/>
    <x v="0"/>
  </r>
  <r>
    <s v="REL03788"/>
    <s v="Female"/>
    <n v="26"/>
    <s v="HSC"/>
    <s v="Single"/>
    <x v="0"/>
    <s v="Marketing Executive"/>
    <x v="1"/>
    <x v="6"/>
    <s v="South"/>
    <n v="5"/>
    <n v="54001"/>
    <x v="3"/>
    <n v="1"/>
    <n v="1"/>
    <n v="76"/>
    <n v="1"/>
    <d v="2018-09-03T00:00:00"/>
    <s v="No"/>
    <x v="0"/>
    <n v="4"/>
    <x v="0"/>
    <x v="2"/>
    <x v="1"/>
  </r>
  <r>
    <s v="REL03789"/>
    <s v="Female"/>
    <n v="33"/>
    <s v="BTech"/>
    <s v="Married"/>
    <x v="0"/>
    <s v="Marketing Executive"/>
    <x v="3"/>
    <x v="5"/>
    <s v="South"/>
    <n v="2"/>
    <n v="63271"/>
    <x v="0"/>
    <n v="4"/>
    <n v="1"/>
    <n v="36"/>
    <n v="0"/>
    <d v="2021-10-20T00:00:00"/>
    <s v="No"/>
    <x v="0"/>
    <n v="3"/>
    <x v="3"/>
    <x v="0"/>
    <x v="0"/>
  </r>
  <r>
    <s v="REL03790"/>
    <s v="Male"/>
    <n v="22"/>
    <s v="MBA"/>
    <s v="Divorced"/>
    <x v="3"/>
    <s v="Logistics Coordinator"/>
    <x v="2"/>
    <x v="8"/>
    <s v="South"/>
    <n v="11"/>
    <n v="73525"/>
    <x v="1"/>
    <n v="4"/>
    <n v="4"/>
    <n v="46"/>
    <n v="1"/>
    <d v="2012-03-09T00:00:00"/>
    <s v="No"/>
    <x v="0"/>
    <n v="1"/>
    <x v="2"/>
    <x v="0"/>
    <x v="1"/>
  </r>
  <r>
    <s v="REL03791"/>
    <s v="Male"/>
    <n v="34"/>
    <s v="BTech"/>
    <s v="Married"/>
    <x v="7"/>
    <s v="Customer Service Rep"/>
    <x v="4"/>
    <x v="9"/>
    <s v="West"/>
    <n v="9"/>
    <n v="47888"/>
    <x v="1"/>
    <n v="3"/>
    <n v="1"/>
    <n v="38"/>
    <n v="0"/>
    <d v="2014-03-09T00:00:00"/>
    <s v="Yes"/>
    <x v="2"/>
    <n v="1"/>
    <x v="1"/>
    <x v="1"/>
    <x v="1"/>
  </r>
  <r>
    <s v="REL03792"/>
    <s v="Female"/>
    <n v="32"/>
    <s v="Post Graduate"/>
    <s v="Single"/>
    <x v="4"/>
    <s v="Sales Executive"/>
    <x v="0"/>
    <x v="9"/>
    <s v="West"/>
    <n v="13"/>
    <n v="75084"/>
    <x v="2"/>
    <n v="3"/>
    <n v="3"/>
    <n v="15"/>
    <n v="1"/>
    <d v="2010-08-28T00:00:00"/>
    <s v="No"/>
    <x v="0"/>
    <n v="2"/>
    <x v="2"/>
    <x v="0"/>
    <x v="1"/>
  </r>
  <r>
    <s v="REL03793"/>
    <s v="Male"/>
    <n v="55"/>
    <s v="MBA"/>
    <s v="Married"/>
    <x v="5"/>
    <s v="HR Manager"/>
    <x v="0"/>
    <x v="7"/>
    <s v="East"/>
    <n v="1"/>
    <n v="70389"/>
    <x v="3"/>
    <n v="3"/>
    <n v="2"/>
    <n v="20"/>
    <n v="2"/>
    <d v="2022-11-13T00:00:00"/>
    <s v="No"/>
    <x v="0"/>
    <n v="4"/>
    <x v="3"/>
    <x v="2"/>
    <x v="1"/>
  </r>
  <r>
    <s v="REL03794"/>
    <s v="Female"/>
    <n v="38"/>
    <s v="MBA"/>
    <s v="Married"/>
    <x v="6"/>
    <s v="Store Manager"/>
    <x v="0"/>
    <x v="4"/>
    <s v="North"/>
    <n v="12"/>
    <n v="117321"/>
    <x v="1"/>
    <n v="4"/>
    <n v="3"/>
    <n v="40"/>
    <n v="0"/>
    <d v="2011-10-28T00:00:00"/>
    <s v="No"/>
    <x v="1"/>
    <n v="1"/>
    <x v="2"/>
    <x v="0"/>
    <x v="2"/>
  </r>
  <r>
    <s v="REL03795"/>
    <s v="Male"/>
    <n v="29"/>
    <s v="Graduate"/>
    <s v="Divorced"/>
    <x v="6"/>
    <s v="Marketing Executive"/>
    <x v="1"/>
    <x v="9"/>
    <s v="West"/>
    <n v="6"/>
    <n v="56239"/>
    <x v="0"/>
    <n v="1"/>
    <n v="4"/>
    <n v="29"/>
    <n v="0"/>
    <d v="2017-05-06T00:00:00"/>
    <s v="No"/>
    <x v="0"/>
    <n v="3"/>
    <x v="1"/>
    <x v="0"/>
    <x v="0"/>
  </r>
  <r>
    <s v="REL03796"/>
    <s v="Male"/>
    <n v="44"/>
    <s v="Graduate"/>
    <s v="Married"/>
    <x v="7"/>
    <s v="Marketing Executive"/>
    <x v="0"/>
    <x v="4"/>
    <s v="North"/>
    <n v="7"/>
    <n v="56949"/>
    <x v="2"/>
    <n v="3"/>
    <n v="1"/>
    <n v="12"/>
    <n v="3"/>
    <d v="2016-03-22T00:00:00"/>
    <s v="No"/>
    <x v="0"/>
    <n v="2"/>
    <x v="1"/>
    <x v="0"/>
    <x v="1"/>
  </r>
  <r>
    <s v="REL03797"/>
    <s v="Male"/>
    <n v="23"/>
    <s v="MBA"/>
    <s v="Divorced"/>
    <x v="4"/>
    <s v="Logistics Coordinator"/>
    <x v="0"/>
    <x v="3"/>
    <s v="West"/>
    <n v="2"/>
    <n v="48456"/>
    <x v="2"/>
    <n v="4"/>
    <n v="1"/>
    <n v="11"/>
    <n v="0"/>
    <d v="2021-10-01T00:00:00"/>
    <s v="No"/>
    <x v="2"/>
    <n v="2"/>
    <x v="3"/>
    <x v="0"/>
    <x v="1"/>
  </r>
  <r>
    <s v="REL03798"/>
    <s v="Female"/>
    <n v="29"/>
    <s v="BTech"/>
    <s v="Single"/>
    <x v="4"/>
    <s v="Customer Service Rep"/>
    <x v="1"/>
    <x v="9"/>
    <s v="West"/>
    <n v="3"/>
    <n v="36289"/>
    <x v="2"/>
    <n v="1"/>
    <n v="4"/>
    <n v="47"/>
    <n v="3"/>
    <d v="2020-06-06T00:00:00"/>
    <s v="No"/>
    <x v="2"/>
    <n v="2"/>
    <x v="0"/>
    <x v="0"/>
    <x v="1"/>
  </r>
  <r>
    <s v="REL03799"/>
    <s v="Male"/>
    <n v="32"/>
    <s v="HSC"/>
    <s v="Single"/>
    <x v="0"/>
    <s v="Marketing Executive"/>
    <x v="1"/>
    <x v="5"/>
    <s v="South"/>
    <n v="6"/>
    <n v="63147"/>
    <x v="1"/>
    <n v="3"/>
    <n v="3"/>
    <n v="24"/>
    <n v="1"/>
    <d v="2017-03-20T00:00:00"/>
    <s v="No"/>
    <x v="0"/>
    <n v="1"/>
    <x v="1"/>
    <x v="0"/>
    <x v="1"/>
  </r>
  <r>
    <s v="REL03800"/>
    <s v="Male"/>
    <n v="39"/>
    <s v="MBA"/>
    <s v="Divorced"/>
    <x v="1"/>
    <s v="Customer Service Rep"/>
    <x v="4"/>
    <x v="5"/>
    <s v="South"/>
    <n v="12"/>
    <n v="57795"/>
    <x v="1"/>
    <n v="2"/>
    <n v="3"/>
    <n v="55"/>
    <n v="0"/>
    <d v="2011-09-01T00:00:00"/>
    <s v="Yes"/>
    <x v="0"/>
    <n v="1"/>
    <x v="2"/>
    <x v="1"/>
    <x v="1"/>
  </r>
  <r>
    <s v="REL03801"/>
    <s v="Male"/>
    <n v="41"/>
    <s v="Post Graduate"/>
    <s v="Divorced"/>
    <x v="7"/>
    <s v="Finance Analyst"/>
    <x v="1"/>
    <x v="2"/>
    <s v="West"/>
    <n v="11"/>
    <n v="87517"/>
    <x v="0"/>
    <n v="4"/>
    <n v="1"/>
    <n v="74"/>
    <n v="2"/>
    <d v="2012-10-15T00:00:00"/>
    <s v="No"/>
    <x v="1"/>
    <n v="3"/>
    <x v="2"/>
    <x v="0"/>
    <x v="0"/>
  </r>
  <r>
    <s v="REL03802"/>
    <s v="Female"/>
    <n v="35"/>
    <s v="BTech"/>
    <s v="Single"/>
    <x v="7"/>
    <s v="Logistics Coordinator"/>
    <x v="4"/>
    <x v="6"/>
    <s v="South"/>
    <n v="12"/>
    <n v="69365"/>
    <x v="1"/>
    <n v="3"/>
    <n v="1"/>
    <n v="36"/>
    <n v="2"/>
    <d v="2011-07-07T00:00:00"/>
    <s v="Yes"/>
    <x v="0"/>
    <n v="1"/>
    <x v="2"/>
    <x v="1"/>
    <x v="1"/>
  </r>
  <r>
    <s v="REL03803"/>
    <s v="Female"/>
    <n v="55"/>
    <s v="BTech"/>
    <s v="Divorced"/>
    <x v="6"/>
    <s v="Customer Service Rep"/>
    <x v="1"/>
    <x v="9"/>
    <s v="West"/>
    <n v="5"/>
    <n v="43728"/>
    <x v="1"/>
    <n v="3"/>
    <n v="2"/>
    <n v="53"/>
    <n v="1"/>
    <d v="2018-06-03T00:00:00"/>
    <s v="Yes"/>
    <x v="2"/>
    <n v="1"/>
    <x v="0"/>
    <x v="1"/>
    <x v="1"/>
  </r>
  <r>
    <s v="REL03804"/>
    <s v="Female"/>
    <n v="33"/>
    <s v="Graduate"/>
    <s v="Divorced"/>
    <x v="1"/>
    <s v="Store Manager"/>
    <x v="3"/>
    <x v="6"/>
    <s v="South"/>
    <n v="1"/>
    <n v="79406"/>
    <x v="0"/>
    <n v="2"/>
    <n v="2"/>
    <n v="12"/>
    <n v="1"/>
    <d v="2022-02-04T00:00:00"/>
    <s v="Yes"/>
    <x v="0"/>
    <n v="3"/>
    <x v="3"/>
    <x v="1"/>
    <x v="0"/>
  </r>
  <r>
    <s v="REL03805"/>
    <s v="Female"/>
    <n v="29"/>
    <s v="MBA"/>
    <s v="Divorced"/>
    <x v="0"/>
    <s v="Customer Service Rep"/>
    <x v="0"/>
    <x v="3"/>
    <s v="West"/>
    <n v="11"/>
    <n v="61661"/>
    <x v="1"/>
    <n v="1"/>
    <n v="1"/>
    <n v="79"/>
    <n v="3"/>
    <d v="2012-09-22T00:00:00"/>
    <s v="No"/>
    <x v="0"/>
    <n v="1"/>
    <x v="2"/>
    <x v="0"/>
    <x v="1"/>
  </r>
  <r>
    <s v="REL03806"/>
    <s v="Male"/>
    <n v="45"/>
    <s v="Graduate"/>
    <s v="Divorced"/>
    <x v="2"/>
    <s v="Operations Head"/>
    <x v="2"/>
    <x v="0"/>
    <s v="North"/>
    <n v="11"/>
    <n v="108940"/>
    <x v="1"/>
    <n v="3"/>
    <n v="1"/>
    <n v="47"/>
    <n v="3"/>
    <d v="2012-07-17T00:00:00"/>
    <s v="No"/>
    <x v="1"/>
    <n v="1"/>
    <x v="2"/>
    <x v="0"/>
    <x v="2"/>
  </r>
  <r>
    <s v="REL03807"/>
    <s v="Female"/>
    <n v="40"/>
    <s v="Graduate"/>
    <s v="Married"/>
    <x v="1"/>
    <s v="Sales Executive"/>
    <x v="0"/>
    <x v="9"/>
    <s v="West"/>
    <n v="4"/>
    <n v="54796"/>
    <x v="3"/>
    <n v="2"/>
    <n v="2"/>
    <n v="31"/>
    <n v="2"/>
    <d v="2019-08-01T00:00:00"/>
    <s v="No"/>
    <x v="0"/>
    <n v="4"/>
    <x v="0"/>
    <x v="2"/>
    <x v="1"/>
  </r>
  <r>
    <s v="REL03808"/>
    <s v="Female"/>
    <n v="31"/>
    <s v="Graduate"/>
    <s v="Married"/>
    <x v="6"/>
    <s v="Logistics Coordinator"/>
    <x v="2"/>
    <x v="7"/>
    <s v="East"/>
    <n v="7"/>
    <n v="49160"/>
    <x v="0"/>
    <n v="2"/>
    <n v="1"/>
    <n v="25"/>
    <n v="1"/>
    <d v="2016-09-10T00:00:00"/>
    <s v="No"/>
    <x v="2"/>
    <n v="3"/>
    <x v="1"/>
    <x v="0"/>
    <x v="1"/>
  </r>
  <r>
    <s v="REL03809"/>
    <s v="Female"/>
    <n v="27"/>
    <s v="BTech"/>
    <s v="Single"/>
    <x v="2"/>
    <s v="Customer Service Rep"/>
    <x v="2"/>
    <x v="1"/>
    <s v="North"/>
    <n v="14"/>
    <n v="55431"/>
    <x v="3"/>
    <n v="3"/>
    <n v="1"/>
    <n v="43"/>
    <n v="3"/>
    <d v="2009-10-17T00:00:00"/>
    <s v="Yes"/>
    <x v="0"/>
    <n v="4"/>
    <x v="2"/>
    <x v="1"/>
    <x v="1"/>
  </r>
  <r>
    <s v="REL03810"/>
    <s v="Female"/>
    <n v="51"/>
    <s v="BTech"/>
    <s v="Divorced"/>
    <x v="6"/>
    <s v="HR Manager"/>
    <x v="4"/>
    <x v="4"/>
    <s v="North"/>
    <n v="7"/>
    <n v="86969"/>
    <x v="2"/>
    <n v="4"/>
    <n v="4"/>
    <n v="75"/>
    <n v="2"/>
    <d v="2016-12-15T00:00:00"/>
    <s v="No"/>
    <x v="1"/>
    <n v="2"/>
    <x v="1"/>
    <x v="0"/>
    <x v="1"/>
  </r>
  <r>
    <s v="REL03811"/>
    <s v="Female"/>
    <n v="38"/>
    <s v="MBA"/>
    <s v="Single"/>
    <x v="1"/>
    <s v="Operations Head"/>
    <x v="0"/>
    <x v="8"/>
    <s v="South"/>
    <n v="13"/>
    <n v="121644"/>
    <x v="1"/>
    <n v="4"/>
    <n v="2"/>
    <n v="41"/>
    <n v="1"/>
    <d v="2010-02-26T00:00:00"/>
    <s v="Yes"/>
    <x v="1"/>
    <n v="1"/>
    <x v="2"/>
    <x v="1"/>
    <x v="2"/>
  </r>
  <r>
    <s v="REL03812"/>
    <s v="Female"/>
    <n v="31"/>
    <s v="Post Graduate"/>
    <s v="Married"/>
    <x v="0"/>
    <s v="Finance Analyst"/>
    <x v="2"/>
    <x v="3"/>
    <s v="West"/>
    <n v="5"/>
    <n v="63247"/>
    <x v="3"/>
    <n v="2"/>
    <n v="3"/>
    <n v="41"/>
    <n v="0"/>
    <d v="2018-01-26T00:00:00"/>
    <s v="No"/>
    <x v="0"/>
    <n v="4"/>
    <x v="0"/>
    <x v="2"/>
    <x v="1"/>
  </r>
  <r>
    <s v="REL03813"/>
    <s v="Male"/>
    <n v="30"/>
    <s v="BTech"/>
    <s v="Married"/>
    <x v="3"/>
    <s v="Operations Head"/>
    <x v="1"/>
    <x v="0"/>
    <s v="North"/>
    <n v="10"/>
    <n v="105391"/>
    <x v="3"/>
    <n v="2"/>
    <n v="1"/>
    <n v="72"/>
    <n v="0"/>
    <d v="2013-11-09T00:00:00"/>
    <s v="Yes"/>
    <x v="1"/>
    <n v="4"/>
    <x v="1"/>
    <x v="1"/>
    <x v="0"/>
  </r>
  <r>
    <s v="REL03814"/>
    <s v="Male"/>
    <n v="50"/>
    <s v="Graduate"/>
    <s v="Married"/>
    <x v="7"/>
    <s v="Logistics Coordinator"/>
    <x v="0"/>
    <x v="1"/>
    <s v="North"/>
    <n v="5"/>
    <n v="56401"/>
    <x v="3"/>
    <n v="1"/>
    <n v="3"/>
    <n v="40"/>
    <n v="3"/>
    <d v="2018-06-03T00:00:00"/>
    <s v="No"/>
    <x v="0"/>
    <n v="4"/>
    <x v="0"/>
    <x v="2"/>
    <x v="1"/>
  </r>
  <r>
    <s v="REL03815"/>
    <s v="Female"/>
    <n v="38"/>
    <s v="MBA"/>
    <s v="Divorced"/>
    <x v="7"/>
    <s v="Marketing Executive"/>
    <x v="0"/>
    <x v="5"/>
    <s v="South"/>
    <n v="5"/>
    <n v="62246"/>
    <x v="3"/>
    <n v="2"/>
    <n v="2"/>
    <n v="29"/>
    <n v="2"/>
    <d v="2018-07-22T00:00:00"/>
    <s v="No"/>
    <x v="0"/>
    <n v="4"/>
    <x v="0"/>
    <x v="2"/>
    <x v="1"/>
  </r>
  <r>
    <s v="REL03816"/>
    <s v="Male"/>
    <n v="31"/>
    <s v="MBA"/>
    <s v="Single"/>
    <x v="6"/>
    <s v="Finance Analyst"/>
    <x v="3"/>
    <x v="9"/>
    <s v="West"/>
    <n v="1"/>
    <n v="62055"/>
    <x v="3"/>
    <n v="2"/>
    <n v="3"/>
    <n v="22"/>
    <n v="2"/>
    <d v="2023-01-01T00:00:00"/>
    <s v="No"/>
    <x v="0"/>
    <n v="4"/>
    <x v="3"/>
    <x v="2"/>
    <x v="1"/>
  </r>
  <r>
    <s v="REL03817"/>
    <s v="Female"/>
    <n v="43"/>
    <s v="MBA"/>
    <s v="Single"/>
    <x v="4"/>
    <s v="Operations Head"/>
    <x v="4"/>
    <x v="0"/>
    <s v="North"/>
    <n v="10"/>
    <n v="106858"/>
    <x v="2"/>
    <n v="3"/>
    <n v="4"/>
    <n v="57"/>
    <n v="2"/>
    <d v="2013-07-28T00:00:00"/>
    <s v="Yes"/>
    <x v="1"/>
    <n v="2"/>
    <x v="1"/>
    <x v="1"/>
    <x v="1"/>
  </r>
  <r>
    <s v="REL03818"/>
    <s v="Male"/>
    <n v="40"/>
    <s v="Graduate"/>
    <s v="Single"/>
    <x v="5"/>
    <s v="Customer Service Rep"/>
    <x v="3"/>
    <x v="8"/>
    <s v="South"/>
    <n v="8"/>
    <n v="53077"/>
    <x v="1"/>
    <n v="1"/>
    <n v="3"/>
    <n v="27"/>
    <n v="1"/>
    <d v="2015-10-13T00:00:00"/>
    <s v="Yes"/>
    <x v="0"/>
    <n v="1"/>
    <x v="1"/>
    <x v="1"/>
    <x v="1"/>
  </r>
  <r>
    <s v="REL03819"/>
    <s v="Female"/>
    <n v="32"/>
    <s v="BTech"/>
    <s v="Divorced"/>
    <x v="0"/>
    <s v="Sales Executive"/>
    <x v="0"/>
    <x v="4"/>
    <s v="North"/>
    <n v="11"/>
    <n v="63708"/>
    <x v="3"/>
    <n v="3"/>
    <n v="2"/>
    <n v="12"/>
    <n v="0"/>
    <d v="2012-05-01T00:00:00"/>
    <s v="Yes"/>
    <x v="0"/>
    <n v="4"/>
    <x v="2"/>
    <x v="1"/>
    <x v="1"/>
  </r>
  <r>
    <s v="REL03820"/>
    <s v="Male"/>
    <n v="38"/>
    <s v="Post Graduate"/>
    <s v="Single"/>
    <x v="2"/>
    <s v="HR Manager"/>
    <x v="3"/>
    <x v="6"/>
    <s v="South"/>
    <n v="13"/>
    <n v="92380"/>
    <x v="0"/>
    <n v="1"/>
    <n v="2"/>
    <n v="48"/>
    <n v="0"/>
    <d v="2010-08-04T00:00:00"/>
    <s v="No"/>
    <x v="1"/>
    <n v="3"/>
    <x v="2"/>
    <x v="0"/>
    <x v="0"/>
  </r>
  <r>
    <s v="REL03821"/>
    <s v="Male"/>
    <n v="50"/>
    <s v="Post Graduate"/>
    <s v="Single"/>
    <x v="5"/>
    <s v="Finance Analyst"/>
    <x v="3"/>
    <x v="4"/>
    <s v="North"/>
    <n v="12"/>
    <n v="80914"/>
    <x v="1"/>
    <n v="1"/>
    <n v="4"/>
    <n v="38"/>
    <n v="2"/>
    <d v="2011-01-27T00:00:00"/>
    <s v="Yes"/>
    <x v="1"/>
    <n v="1"/>
    <x v="2"/>
    <x v="1"/>
    <x v="2"/>
  </r>
  <r>
    <s v="REL03822"/>
    <s v="Female"/>
    <n v="54"/>
    <s v="BTech"/>
    <s v="Married"/>
    <x v="2"/>
    <s v="Sales Executive"/>
    <x v="2"/>
    <x v="9"/>
    <s v="West"/>
    <n v="12"/>
    <n v="70421"/>
    <x v="1"/>
    <n v="2"/>
    <n v="3"/>
    <n v="30"/>
    <n v="2"/>
    <d v="2011-08-27T00:00:00"/>
    <s v="Yes"/>
    <x v="0"/>
    <n v="1"/>
    <x v="2"/>
    <x v="1"/>
    <x v="1"/>
  </r>
  <r>
    <s v="REL03823"/>
    <s v="Male"/>
    <n v="40"/>
    <s v="Post Graduate"/>
    <s v="Married"/>
    <x v="5"/>
    <s v="Customer Service Rep"/>
    <x v="2"/>
    <x v="1"/>
    <s v="North"/>
    <n v="6"/>
    <n v="40929"/>
    <x v="2"/>
    <n v="1"/>
    <n v="3"/>
    <n v="40"/>
    <n v="3"/>
    <d v="2017-08-17T00:00:00"/>
    <s v="No"/>
    <x v="2"/>
    <n v="2"/>
    <x v="1"/>
    <x v="0"/>
    <x v="1"/>
  </r>
  <r>
    <s v="REL03824"/>
    <s v="Female"/>
    <n v="38"/>
    <s v="Graduate"/>
    <s v="Married"/>
    <x v="4"/>
    <s v="Operations Head"/>
    <x v="2"/>
    <x v="6"/>
    <s v="South"/>
    <n v="9"/>
    <n v="121297"/>
    <x v="3"/>
    <n v="3"/>
    <n v="2"/>
    <n v="56"/>
    <n v="0"/>
    <d v="2014-12-18T00:00:00"/>
    <s v="No"/>
    <x v="1"/>
    <n v="4"/>
    <x v="1"/>
    <x v="2"/>
    <x v="0"/>
  </r>
  <r>
    <s v="REL03825"/>
    <s v="Male"/>
    <n v="28"/>
    <s v="HSC"/>
    <s v="Married"/>
    <x v="6"/>
    <s v="Finance Analyst"/>
    <x v="1"/>
    <x v="4"/>
    <s v="North"/>
    <n v="4"/>
    <n v="68877"/>
    <x v="0"/>
    <n v="1"/>
    <n v="1"/>
    <n v="64"/>
    <n v="1"/>
    <d v="2019-03-15T00:00:00"/>
    <s v="No"/>
    <x v="0"/>
    <n v="3"/>
    <x v="0"/>
    <x v="0"/>
    <x v="0"/>
  </r>
  <r>
    <s v="REL03826"/>
    <s v="Female"/>
    <n v="33"/>
    <s v="BTech"/>
    <s v="Married"/>
    <x v="5"/>
    <s v="Operations Head"/>
    <x v="1"/>
    <x v="4"/>
    <s v="North"/>
    <n v="6"/>
    <n v="108377"/>
    <x v="2"/>
    <n v="3"/>
    <n v="2"/>
    <n v="71"/>
    <n v="0"/>
    <d v="2017-02-15T00:00:00"/>
    <s v="Yes"/>
    <x v="1"/>
    <n v="2"/>
    <x v="1"/>
    <x v="1"/>
    <x v="1"/>
  </r>
  <r>
    <s v="REL03827"/>
    <s v="Female"/>
    <n v="25"/>
    <s v="HSC"/>
    <s v="Single"/>
    <x v="7"/>
    <s v="Customer Service Rep"/>
    <x v="3"/>
    <x v="8"/>
    <s v="South"/>
    <n v="10"/>
    <n v="57988"/>
    <x v="3"/>
    <n v="2"/>
    <n v="3"/>
    <n v="49"/>
    <n v="0"/>
    <d v="2013-09-05T00:00:00"/>
    <s v="No"/>
    <x v="0"/>
    <n v="4"/>
    <x v="1"/>
    <x v="2"/>
    <x v="1"/>
  </r>
  <r>
    <s v="REL03828"/>
    <s v="Male"/>
    <n v="43"/>
    <s v="Graduate"/>
    <s v="Single"/>
    <x v="7"/>
    <s v="Finance Analyst"/>
    <x v="0"/>
    <x v="6"/>
    <s v="South"/>
    <n v="5"/>
    <n v="61733"/>
    <x v="2"/>
    <n v="2"/>
    <n v="4"/>
    <n v="41"/>
    <n v="3"/>
    <d v="2018-08-14T00:00:00"/>
    <s v="Yes"/>
    <x v="0"/>
    <n v="2"/>
    <x v="0"/>
    <x v="1"/>
    <x v="1"/>
  </r>
  <r>
    <s v="REL03829"/>
    <s v="Female"/>
    <n v="41"/>
    <s v="BTech"/>
    <s v="Divorced"/>
    <x v="1"/>
    <s v="Sales Executive"/>
    <x v="0"/>
    <x v="1"/>
    <s v="North"/>
    <n v="3"/>
    <n v="40037"/>
    <x v="3"/>
    <n v="1"/>
    <n v="3"/>
    <n v="59"/>
    <n v="0"/>
    <d v="2020-08-17T00:00:00"/>
    <s v="Yes"/>
    <x v="2"/>
    <n v="4"/>
    <x v="0"/>
    <x v="1"/>
    <x v="1"/>
  </r>
  <r>
    <s v="REL03830"/>
    <s v="Female"/>
    <n v="49"/>
    <s v="Post Graduate"/>
    <s v="Married"/>
    <x v="5"/>
    <s v="Marketing Executive"/>
    <x v="2"/>
    <x v="2"/>
    <s v="West"/>
    <n v="11"/>
    <n v="62674"/>
    <x v="2"/>
    <n v="1"/>
    <n v="4"/>
    <n v="58"/>
    <n v="0"/>
    <d v="2012-06-01T00:00:00"/>
    <s v="No"/>
    <x v="0"/>
    <n v="2"/>
    <x v="2"/>
    <x v="0"/>
    <x v="1"/>
  </r>
  <r>
    <s v="REL03831"/>
    <s v="Female"/>
    <n v="34"/>
    <s v="MBA"/>
    <s v="Single"/>
    <x v="5"/>
    <s v="Store Manager"/>
    <x v="3"/>
    <x v="7"/>
    <s v="East"/>
    <n v="4"/>
    <n v="91550"/>
    <x v="1"/>
    <n v="2"/>
    <n v="2"/>
    <n v="20"/>
    <n v="1"/>
    <d v="2019-02-10T00:00:00"/>
    <s v="Yes"/>
    <x v="1"/>
    <n v="1"/>
    <x v="0"/>
    <x v="1"/>
    <x v="2"/>
  </r>
  <r>
    <s v="REL03832"/>
    <s v="Female"/>
    <n v="52"/>
    <s v="Post Graduate"/>
    <s v="Divorced"/>
    <x v="3"/>
    <s v="Sales Executive"/>
    <x v="4"/>
    <x v="0"/>
    <s v="North"/>
    <n v="9"/>
    <n v="51851"/>
    <x v="3"/>
    <n v="1"/>
    <n v="1"/>
    <n v="67"/>
    <n v="3"/>
    <d v="2014-09-14T00:00:00"/>
    <s v="Yes"/>
    <x v="0"/>
    <n v="4"/>
    <x v="1"/>
    <x v="1"/>
    <x v="1"/>
  </r>
  <r>
    <s v="REL03833"/>
    <s v="Female"/>
    <n v="34"/>
    <s v="Post Graduate"/>
    <s v="Single"/>
    <x v="2"/>
    <s v="Finance Analyst"/>
    <x v="1"/>
    <x v="1"/>
    <s v="North"/>
    <n v="9"/>
    <n v="68355"/>
    <x v="1"/>
    <n v="4"/>
    <n v="3"/>
    <n v="14"/>
    <n v="1"/>
    <d v="2014-05-28T00:00:00"/>
    <s v="Yes"/>
    <x v="0"/>
    <n v="1"/>
    <x v="1"/>
    <x v="1"/>
    <x v="1"/>
  </r>
  <r>
    <s v="REL03834"/>
    <s v="Male"/>
    <n v="45"/>
    <s v="HSC"/>
    <s v="Single"/>
    <x v="2"/>
    <s v="Operations Head"/>
    <x v="2"/>
    <x v="5"/>
    <s v="South"/>
    <n v="3"/>
    <n v="110869"/>
    <x v="1"/>
    <n v="2"/>
    <n v="3"/>
    <n v="58"/>
    <n v="2"/>
    <d v="2020-08-17T00:00:00"/>
    <s v="Yes"/>
    <x v="1"/>
    <n v="1"/>
    <x v="0"/>
    <x v="1"/>
    <x v="2"/>
  </r>
  <r>
    <s v="REL03835"/>
    <s v="Female"/>
    <n v="55"/>
    <s v="Graduate"/>
    <s v="Single"/>
    <x v="1"/>
    <s v="Customer Service Rep"/>
    <x v="1"/>
    <x v="9"/>
    <s v="West"/>
    <n v="4"/>
    <n v="40034"/>
    <x v="2"/>
    <n v="3"/>
    <n v="2"/>
    <n v="57"/>
    <n v="2"/>
    <d v="2019-10-03T00:00:00"/>
    <s v="No"/>
    <x v="2"/>
    <n v="2"/>
    <x v="0"/>
    <x v="0"/>
    <x v="1"/>
  </r>
  <r>
    <s v="REL03836"/>
    <s v="Male"/>
    <n v="22"/>
    <s v="Graduate"/>
    <s v="Divorced"/>
    <x v="6"/>
    <s v="Marketing Executive"/>
    <x v="2"/>
    <x v="4"/>
    <s v="North"/>
    <n v="1"/>
    <n v="47979"/>
    <x v="3"/>
    <n v="2"/>
    <n v="4"/>
    <n v="78"/>
    <n v="3"/>
    <d v="2022-12-14T00:00:00"/>
    <s v="No"/>
    <x v="2"/>
    <n v="4"/>
    <x v="3"/>
    <x v="2"/>
    <x v="1"/>
  </r>
  <r>
    <s v="REL03837"/>
    <s v="Female"/>
    <n v="25"/>
    <s v="HSC"/>
    <s v="Single"/>
    <x v="2"/>
    <s v="Customer Service Rep"/>
    <x v="3"/>
    <x v="3"/>
    <s v="West"/>
    <n v="9"/>
    <n v="53593"/>
    <x v="0"/>
    <n v="1"/>
    <n v="4"/>
    <n v="58"/>
    <n v="0"/>
    <d v="2014-07-01T00:00:00"/>
    <s v="No"/>
    <x v="0"/>
    <n v="3"/>
    <x v="1"/>
    <x v="0"/>
    <x v="0"/>
  </r>
  <r>
    <s v="REL03838"/>
    <s v="Female"/>
    <n v="22"/>
    <s v="HSC"/>
    <s v="Divorced"/>
    <x v="3"/>
    <s v="Operations Head"/>
    <x v="3"/>
    <x v="8"/>
    <s v="South"/>
    <n v="3"/>
    <n v="101016"/>
    <x v="1"/>
    <n v="1"/>
    <n v="1"/>
    <n v="12"/>
    <n v="0"/>
    <d v="2020-04-23T00:00:00"/>
    <s v="Yes"/>
    <x v="1"/>
    <n v="1"/>
    <x v="0"/>
    <x v="1"/>
    <x v="2"/>
  </r>
  <r>
    <s v="REL03839"/>
    <s v="Female"/>
    <n v="38"/>
    <s v="BTech"/>
    <s v="Divorced"/>
    <x v="3"/>
    <s v="Sales Executive"/>
    <x v="3"/>
    <x v="3"/>
    <s v="West"/>
    <n v="10"/>
    <n v="56648"/>
    <x v="2"/>
    <n v="3"/>
    <n v="4"/>
    <n v="44"/>
    <n v="1"/>
    <d v="2013-02-01T00:00:00"/>
    <s v="No"/>
    <x v="0"/>
    <n v="2"/>
    <x v="1"/>
    <x v="0"/>
    <x v="1"/>
  </r>
  <r>
    <s v="REL03840"/>
    <s v="Male"/>
    <n v="22"/>
    <s v="HSC"/>
    <s v="Single"/>
    <x v="3"/>
    <s v="Marketing Executive"/>
    <x v="3"/>
    <x v="7"/>
    <s v="East"/>
    <n v="12"/>
    <n v="66956"/>
    <x v="2"/>
    <n v="4"/>
    <n v="2"/>
    <n v="55"/>
    <n v="3"/>
    <d v="2011-04-29T00:00:00"/>
    <s v="No"/>
    <x v="0"/>
    <n v="2"/>
    <x v="2"/>
    <x v="0"/>
    <x v="1"/>
  </r>
  <r>
    <s v="REL03841"/>
    <s v="Male"/>
    <n v="25"/>
    <s v="Graduate"/>
    <s v="Single"/>
    <x v="6"/>
    <s v="Marketing Executive"/>
    <x v="2"/>
    <x v="7"/>
    <s v="East"/>
    <n v="8"/>
    <n v="64432"/>
    <x v="0"/>
    <n v="1"/>
    <n v="2"/>
    <n v="42"/>
    <n v="1"/>
    <d v="2015-07-30T00:00:00"/>
    <s v="No"/>
    <x v="0"/>
    <n v="3"/>
    <x v="1"/>
    <x v="0"/>
    <x v="0"/>
  </r>
  <r>
    <s v="REL03842"/>
    <s v="Female"/>
    <n v="45"/>
    <s v="MBA"/>
    <s v="Divorced"/>
    <x v="2"/>
    <s v="Logistics Coordinator"/>
    <x v="2"/>
    <x v="3"/>
    <s v="West"/>
    <n v="8"/>
    <n v="51920"/>
    <x v="1"/>
    <n v="4"/>
    <n v="3"/>
    <n v="48"/>
    <n v="0"/>
    <d v="2015-10-27T00:00:00"/>
    <s v="Yes"/>
    <x v="0"/>
    <n v="1"/>
    <x v="1"/>
    <x v="1"/>
    <x v="1"/>
  </r>
  <r>
    <s v="REL03843"/>
    <s v="Male"/>
    <n v="53"/>
    <s v="HSC"/>
    <s v="Divorced"/>
    <x v="3"/>
    <s v="Operations Head"/>
    <x v="1"/>
    <x v="0"/>
    <s v="North"/>
    <n v="9"/>
    <n v="108722"/>
    <x v="2"/>
    <n v="2"/>
    <n v="1"/>
    <n v="42"/>
    <n v="0"/>
    <d v="2014-05-01T00:00:00"/>
    <s v="Yes"/>
    <x v="1"/>
    <n v="2"/>
    <x v="1"/>
    <x v="1"/>
    <x v="1"/>
  </r>
  <r>
    <s v="REL03844"/>
    <s v="Male"/>
    <n v="48"/>
    <s v="BTech"/>
    <s v="Married"/>
    <x v="7"/>
    <s v="Logistics Coordinator"/>
    <x v="1"/>
    <x v="8"/>
    <s v="South"/>
    <n v="4"/>
    <n v="58724"/>
    <x v="3"/>
    <n v="1"/>
    <n v="2"/>
    <n v="59"/>
    <n v="1"/>
    <d v="2019-05-24T00:00:00"/>
    <s v="Yes"/>
    <x v="0"/>
    <n v="4"/>
    <x v="0"/>
    <x v="1"/>
    <x v="1"/>
  </r>
  <r>
    <s v="REL03845"/>
    <s v="Female"/>
    <n v="37"/>
    <s v="Post Graduate"/>
    <s v="Single"/>
    <x v="3"/>
    <s v="Operations Head"/>
    <x v="3"/>
    <x v="1"/>
    <s v="North"/>
    <n v="2"/>
    <n v="100482"/>
    <x v="2"/>
    <n v="1"/>
    <n v="4"/>
    <n v="15"/>
    <n v="1"/>
    <d v="2021-12-31T00:00:00"/>
    <s v="No"/>
    <x v="1"/>
    <n v="2"/>
    <x v="3"/>
    <x v="0"/>
    <x v="1"/>
  </r>
  <r>
    <s v="REL03846"/>
    <s v="Female"/>
    <n v="50"/>
    <s v="Post Graduate"/>
    <s v="Married"/>
    <x v="3"/>
    <s v="Customer Service Rep"/>
    <x v="0"/>
    <x v="1"/>
    <s v="North"/>
    <n v="15"/>
    <n v="60107"/>
    <x v="0"/>
    <n v="3"/>
    <n v="3"/>
    <n v="59"/>
    <n v="1"/>
    <d v="2008-12-05T00:00:00"/>
    <s v="No"/>
    <x v="0"/>
    <n v="3"/>
    <x v="2"/>
    <x v="0"/>
    <x v="0"/>
  </r>
  <r>
    <s v="REL03847"/>
    <s v="Male"/>
    <n v="27"/>
    <s v="Graduate"/>
    <s v="Single"/>
    <x v="6"/>
    <s v="Logistics Coordinator"/>
    <x v="0"/>
    <x v="8"/>
    <s v="South"/>
    <n v="5"/>
    <n v="56083"/>
    <x v="1"/>
    <n v="3"/>
    <n v="2"/>
    <n v="31"/>
    <n v="0"/>
    <d v="2018-08-28T00:00:00"/>
    <s v="Yes"/>
    <x v="0"/>
    <n v="1"/>
    <x v="0"/>
    <x v="1"/>
    <x v="1"/>
  </r>
  <r>
    <s v="REL03848"/>
    <s v="Female"/>
    <n v="46"/>
    <s v="Graduate"/>
    <s v="Divorced"/>
    <x v="2"/>
    <s v="Sales Executive"/>
    <x v="0"/>
    <x v="1"/>
    <s v="North"/>
    <n v="9"/>
    <n v="53372"/>
    <x v="2"/>
    <n v="2"/>
    <n v="2"/>
    <n v="28"/>
    <n v="1"/>
    <d v="2014-05-31T00:00:00"/>
    <s v="No"/>
    <x v="0"/>
    <n v="2"/>
    <x v="1"/>
    <x v="0"/>
    <x v="1"/>
  </r>
  <r>
    <s v="REL03849"/>
    <s v="Female"/>
    <n v="40"/>
    <s v="HSC"/>
    <s v="Married"/>
    <x v="2"/>
    <s v="Customer Service Rep"/>
    <x v="4"/>
    <x v="7"/>
    <s v="East"/>
    <n v="11"/>
    <n v="52408"/>
    <x v="0"/>
    <n v="1"/>
    <n v="2"/>
    <n v="20"/>
    <n v="3"/>
    <d v="2012-07-22T00:00:00"/>
    <s v="No"/>
    <x v="0"/>
    <n v="3"/>
    <x v="2"/>
    <x v="0"/>
    <x v="0"/>
  </r>
  <r>
    <s v="REL03850"/>
    <s v="Male"/>
    <n v="52"/>
    <s v="Post Graduate"/>
    <s v="Single"/>
    <x v="2"/>
    <s v="Marketing Executive"/>
    <x v="4"/>
    <x v="2"/>
    <s v="West"/>
    <n v="13"/>
    <n v="71188"/>
    <x v="3"/>
    <n v="1"/>
    <n v="3"/>
    <n v="20"/>
    <n v="2"/>
    <d v="2010-05-09T00:00:00"/>
    <s v="No"/>
    <x v="0"/>
    <n v="4"/>
    <x v="2"/>
    <x v="2"/>
    <x v="1"/>
  </r>
  <r>
    <s v="REL03851"/>
    <s v="Male"/>
    <n v="50"/>
    <s v="Post Graduate"/>
    <s v="Divorced"/>
    <x v="1"/>
    <s v="Operations Head"/>
    <x v="3"/>
    <x v="6"/>
    <s v="South"/>
    <n v="8"/>
    <n v="112250"/>
    <x v="2"/>
    <n v="2"/>
    <n v="1"/>
    <n v="18"/>
    <n v="3"/>
    <d v="2015-06-26T00:00:00"/>
    <s v="No"/>
    <x v="1"/>
    <n v="2"/>
    <x v="1"/>
    <x v="0"/>
    <x v="1"/>
  </r>
  <r>
    <s v="REL03852"/>
    <s v="Male"/>
    <n v="48"/>
    <s v="MBA"/>
    <s v="Married"/>
    <x v="4"/>
    <s v="Customer Service Rep"/>
    <x v="1"/>
    <x v="7"/>
    <s v="East"/>
    <n v="7"/>
    <n v="53703"/>
    <x v="1"/>
    <n v="3"/>
    <n v="1"/>
    <n v="66"/>
    <n v="1"/>
    <d v="2016-06-26T00:00:00"/>
    <s v="Yes"/>
    <x v="0"/>
    <n v="1"/>
    <x v="1"/>
    <x v="1"/>
    <x v="1"/>
  </r>
  <r>
    <s v="REL03853"/>
    <s v="Female"/>
    <n v="27"/>
    <s v="HSC"/>
    <s v="Married"/>
    <x v="6"/>
    <s v="Marketing Executive"/>
    <x v="0"/>
    <x v="1"/>
    <s v="North"/>
    <n v="2"/>
    <n v="58226"/>
    <x v="0"/>
    <n v="2"/>
    <n v="2"/>
    <n v="26"/>
    <n v="2"/>
    <d v="2021-11-04T00:00:00"/>
    <s v="Yes"/>
    <x v="0"/>
    <n v="3"/>
    <x v="3"/>
    <x v="1"/>
    <x v="0"/>
  </r>
  <r>
    <s v="REL03854"/>
    <s v="Male"/>
    <n v="22"/>
    <s v="HSC"/>
    <s v="Married"/>
    <x v="1"/>
    <s v="Customer Service Rep"/>
    <x v="4"/>
    <x v="7"/>
    <s v="East"/>
    <n v="12"/>
    <n v="51665"/>
    <x v="1"/>
    <n v="1"/>
    <n v="1"/>
    <n v="76"/>
    <n v="2"/>
    <d v="2011-08-09T00:00:00"/>
    <s v="Yes"/>
    <x v="0"/>
    <n v="1"/>
    <x v="2"/>
    <x v="1"/>
    <x v="1"/>
  </r>
  <r>
    <s v="REL03855"/>
    <s v="Female"/>
    <n v="28"/>
    <s v="BTech"/>
    <s v="Divorced"/>
    <x v="0"/>
    <s v="HR Manager"/>
    <x v="1"/>
    <x v="5"/>
    <s v="South"/>
    <n v="13"/>
    <n v="91622"/>
    <x v="2"/>
    <n v="1"/>
    <n v="4"/>
    <n v="79"/>
    <n v="3"/>
    <d v="2010-02-23T00:00:00"/>
    <s v="No"/>
    <x v="1"/>
    <n v="2"/>
    <x v="2"/>
    <x v="0"/>
    <x v="1"/>
  </r>
  <r>
    <s v="REL03856"/>
    <s v="Male"/>
    <n v="43"/>
    <s v="MBA"/>
    <s v="Married"/>
    <x v="2"/>
    <s v="Finance Analyst"/>
    <x v="2"/>
    <x v="7"/>
    <s v="East"/>
    <n v="2"/>
    <n v="54722"/>
    <x v="3"/>
    <n v="1"/>
    <n v="4"/>
    <n v="72"/>
    <n v="0"/>
    <d v="2021-05-11T00:00:00"/>
    <s v="No"/>
    <x v="0"/>
    <n v="4"/>
    <x v="3"/>
    <x v="2"/>
    <x v="1"/>
  </r>
  <r>
    <s v="REL03857"/>
    <s v="Female"/>
    <n v="29"/>
    <s v="MBA"/>
    <s v="Divorced"/>
    <x v="5"/>
    <s v="Logistics Coordinator"/>
    <x v="3"/>
    <x v="2"/>
    <s v="West"/>
    <n v="1"/>
    <n v="51103"/>
    <x v="1"/>
    <n v="2"/>
    <n v="1"/>
    <n v="35"/>
    <n v="2"/>
    <d v="2022-04-03T00:00:00"/>
    <s v="No"/>
    <x v="0"/>
    <n v="1"/>
    <x v="3"/>
    <x v="3"/>
    <x v="1"/>
  </r>
  <r>
    <s v="REL03858"/>
    <s v="Male"/>
    <n v="45"/>
    <s v="Graduate"/>
    <s v="Married"/>
    <x v="5"/>
    <s v="Store Manager"/>
    <x v="3"/>
    <x v="6"/>
    <s v="South"/>
    <n v="13"/>
    <n v="103162"/>
    <x v="2"/>
    <n v="3"/>
    <n v="1"/>
    <n v="23"/>
    <n v="0"/>
    <d v="2010-08-10T00:00:00"/>
    <s v="No"/>
    <x v="1"/>
    <n v="2"/>
    <x v="2"/>
    <x v="0"/>
    <x v="1"/>
  </r>
  <r>
    <s v="REL03859"/>
    <s v="Male"/>
    <n v="38"/>
    <s v="BTech"/>
    <s v="Married"/>
    <x v="6"/>
    <s v="Operations Head"/>
    <x v="3"/>
    <x v="0"/>
    <s v="North"/>
    <n v="4"/>
    <n v="109755"/>
    <x v="1"/>
    <n v="4"/>
    <n v="4"/>
    <n v="57"/>
    <n v="3"/>
    <d v="2019-07-22T00:00:00"/>
    <s v="No"/>
    <x v="1"/>
    <n v="1"/>
    <x v="0"/>
    <x v="0"/>
    <x v="2"/>
  </r>
  <r>
    <s v="REL03860"/>
    <s v="Male"/>
    <n v="40"/>
    <s v="Post Graduate"/>
    <s v="Divorced"/>
    <x v="6"/>
    <s v="Store Manager"/>
    <x v="1"/>
    <x v="0"/>
    <s v="North"/>
    <n v="5"/>
    <n v="89607"/>
    <x v="2"/>
    <n v="4"/>
    <n v="2"/>
    <n v="58"/>
    <n v="2"/>
    <d v="2018-11-15T00:00:00"/>
    <s v="No"/>
    <x v="1"/>
    <n v="2"/>
    <x v="0"/>
    <x v="0"/>
    <x v="1"/>
  </r>
  <r>
    <s v="REL03861"/>
    <s v="Female"/>
    <n v="44"/>
    <s v="Graduate"/>
    <s v="Divorced"/>
    <x v="2"/>
    <s v="Store Manager"/>
    <x v="2"/>
    <x v="9"/>
    <s v="West"/>
    <n v="8"/>
    <n v="92488"/>
    <x v="2"/>
    <n v="2"/>
    <n v="2"/>
    <n v="44"/>
    <n v="0"/>
    <d v="2015-06-01T00:00:00"/>
    <s v="Yes"/>
    <x v="1"/>
    <n v="2"/>
    <x v="1"/>
    <x v="1"/>
    <x v="1"/>
  </r>
  <r>
    <s v="REL03862"/>
    <s v="Female"/>
    <n v="51"/>
    <s v="MBA"/>
    <s v="Single"/>
    <x v="1"/>
    <s v="Marketing Executive"/>
    <x v="1"/>
    <x v="6"/>
    <s v="South"/>
    <n v="13"/>
    <n v="67449"/>
    <x v="1"/>
    <n v="3"/>
    <n v="1"/>
    <n v="60"/>
    <n v="1"/>
    <d v="2010-11-06T00:00:00"/>
    <s v="No"/>
    <x v="0"/>
    <n v="1"/>
    <x v="2"/>
    <x v="0"/>
    <x v="1"/>
  </r>
  <r>
    <s v="REL03863"/>
    <s v="Female"/>
    <n v="49"/>
    <s v="Post Graduate"/>
    <s v="Single"/>
    <x v="3"/>
    <s v="Customer Service Rep"/>
    <x v="1"/>
    <x v="2"/>
    <s v="West"/>
    <n v="3"/>
    <n v="49606"/>
    <x v="0"/>
    <n v="1"/>
    <n v="3"/>
    <n v="35"/>
    <n v="1"/>
    <d v="2020-09-20T00:00:00"/>
    <s v="No"/>
    <x v="2"/>
    <n v="3"/>
    <x v="0"/>
    <x v="0"/>
    <x v="1"/>
  </r>
  <r>
    <s v="REL03864"/>
    <s v="Female"/>
    <n v="39"/>
    <s v="BTech"/>
    <s v="Divorced"/>
    <x v="3"/>
    <s v="Store Manager"/>
    <x v="3"/>
    <x v="9"/>
    <s v="West"/>
    <n v="13"/>
    <n v="115171"/>
    <x v="0"/>
    <n v="1"/>
    <n v="3"/>
    <n v="73"/>
    <n v="1"/>
    <d v="2010-05-12T00:00:00"/>
    <s v="No"/>
    <x v="1"/>
    <n v="3"/>
    <x v="2"/>
    <x v="0"/>
    <x v="0"/>
  </r>
  <r>
    <s v="REL03865"/>
    <s v="Male"/>
    <n v="54"/>
    <s v="BTech"/>
    <s v="Single"/>
    <x v="1"/>
    <s v="Marketing Executive"/>
    <x v="3"/>
    <x v="3"/>
    <s v="West"/>
    <n v="11"/>
    <n v="77487"/>
    <x v="2"/>
    <n v="1"/>
    <n v="4"/>
    <n v="27"/>
    <n v="2"/>
    <d v="2012-06-26T00:00:00"/>
    <s v="No"/>
    <x v="0"/>
    <n v="2"/>
    <x v="2"/>
    <x v="0"/>
    <x v="1"/>
  </r>
  <r>
    <s v="REL03866"/>
    <s v="Female"/>
    <n v="30"/>
    <s v="MBA"/>
    <s v="Divorced"/>
    <x v="2"/>
    <s v="Logistics Coordinator"/>
    <x v="3"/>
    <x v="1"/>
    <s v="North"/>
    <n v="5"/>
    <n v="60994"/>
    <x v="3"/>
    <n v="1"/>
    <n v="1"/>
    <n v="64"/>
    <n v="1"/>
    <d v="2018-03-10T00:00:00"/>
    <s v="No"/>
    <x v="0"/>
    <n v="4"/>
    <x v="0"/>
    <x v="2"/>
    <x v="1"/>
  </r>
  <r>
    <s v="REL03867"/>
    <s v="Male"/>
    <n v="35"/>
    <s v="BTech"/>
    <s v="Married"/>
    <x v="0"/>
    <s v="Finance Analyst"/>
    <x v="4"/>
    <x v="9"/>
    <s v="West"/>
    <n v="13"/>
    <n v="80789"/>
    <x v="2"/>
    <n v="4"/>
    <n v="1"/>
    <n v="66"/>
    <n v="3"/>
    <d v="2010-10-11T00:00:00"/>
    <s v="Yes"/>
    <x v="1"/>
    <n v="2"/>
    <x v="2"/>
    <x v="1"/>
    <x v="1"/>
  </r>
  <r>
    <s v="REL03868"/>
    <s v="Male"/>
    <n v="27"/>
    <s v="Graduate"/>
    <s v="Single"/>
    <x v="2"/>
    <s v="Operations Head"/>
    <x v="0"/>
    <x v="3"/>
    <s v="West"/>
    <n v="15"/>
    <n v="120665"/>
    <x v="0"/>
    <n v="2"/>
    <n v="2"/>
    <n v="22"/>
    <n v="0"/>
    <d v="2008-08-12T00:00:00"/>
    <s v="No"/>
    <x v="1"/>
    <n v="3"/>
    <x v="2"/>
    <x v="0"/>
    <x v="0"/>
  </r>
  <r>
    <s v="REL03869"/>
    <s v="Female"/>
    <n v="38"/>
    <s v="Post Graduate"/>
    <s v="Married"/>
    <x v="6"/>
    <s v="Store Manager"/>
    <x v="3"/>
    <x v="5"/>
    <s v="South"/>
    <n v="14"/>
    <n v="104164"/>
    <x v="2"/>
    <n v="1"/>
    <n v="2"/>
    <n v="23"/>
    <n v="0"/>
    <d v="2009-10-02T00:00:00"/>
    <s v="No"/>
    <x v="1"/>
    <n v="2"/>
    <x v="2"/>
    <x v="0"/>
    <x v="1"/>
  </r>
  <r>
    <s v="REL03870"/>
    <s v="Male"/>
    <n v="24"/>
    <s v="HSC"/>
    <s v="Divorced"/>
    <x v="0"/>
    <s v="Store Manager"/>
    <x v="2"/>
    <x v="1"/>
    <s v="North"/>
    <n v="4"/>
    <n v="97972"/>
    <x v="2"/>
    <n v="3"/>
    <n v="3"/>
    <n v="13"/>
    <n v="1"/>
    <d v="2019-08-01T00:00:00"/>
    <s v="Yes"/>
    <x v="1"/>
    <n v="2"/>
    <x v="0"/>
    <x v="1"/>
    <x v="1"/>
  </r>
  <r>
    <s v="REL03871"/>
    <s v="Female"/>
    <n v="54"/>
    <s v="BTech"/>
    <s v="Divorced"/>
    <x v="5"/>
    <s v="Customer Service Rep"/>
    <x v="1"/>
    <x v="9"/>
    <s v="West"/>
    <n v="9"/>
    <n v="61165"/>
    <x v="1"/>
    <n v="3"/>
    <n v="4"/>
    <n v="66"/>
    <n v="2"/>
    <d v="2014-04-26T00:00:00"/>
    <s v="No"/>
    <x v="0"/>
    <n v="1"/>
    <x v="1"/>
    <x v="0"/>
    <x v="1"/>
  </r>
  <r>
    <s v="REL03872"/>
    <s v="Male"/>
    <n v="41"/>
    <s v="MBA"/>
    <s v="Married"/>
    <x v="3"/>
    <s v="Logistics Coordinator"/>
    <x v="2"/>
    <x v="1"/>
    <s v="North"/>
    <n v="3"/>
    <n v="49322"/>
    <x v="0"/>
    <n v="4"/>
    <n v="1"/>
    <n v="72"/>
    <n v="2"/>
    <d v="2020-07-14T00:00:00"/>
    <s v="No"/>
    <x v="2"/>
    <n v="3"/>
    <x v="0"/>
    <x v="0"/>
    <x v="1"/>
  </r>
  <r>
    <s v="REL03873"/>
    <s v="Male"/>
    <n v="39"/>
    <s v="HSC"/>
    <s v="Single"/>
    <x v="6"/>
    <s v="Store Manager"/>
    <x v="0"/>
    <x v="6"/>
    <s v="South"/>
    <n v="15"/>
    <n v="118344"/>
    <x v="2"/>
    <n v="1"/>
    <n v="1"/>
    <n v="65"/>
    <n v="0"/>
    <d v="2008-11-22T00:00:00"/>
    <s v="No"/>
    <x v="1"/>
    <n v="2"/>
    <x v="2"/>
    <x v="0"/>
    <x v="1"/>
  </r>
  <r>
    <s v="REL03874"/>
    <s v="Female"/>
    <n v="47"/>
    <s v="Post Graduate"/>
    <s v="Divorced"/>
    <x v="3"/>
    <s v="Sales Executive"/>
    <x v="0"/>
    <x v="0"/>
    <s v="North"/>
    <n v="14"/>
    <n v="61317"/>
    <x v="3"/>
    <n v="1"/>
    <n v="1"/>
    <n v="61"/>
    <n v="1"/>
    <d v="2009-12-08T00:00:00"/>
    <s v="No"/>
    <x v="0"/>
    <n v="4"/>
    <x v="2"/>
    <x v="2"/>
    <x v="1"/>
  </r>
  <r>
    <s v="REL03875"/>
    <s v="Male"/>
    <n v="25"/>
    <s v="MBA"/>
    <s v="Single"/>
    <x v="3"/>
    <s v="Operations Head"/>
    <x v="4"/>
    <x v="2"/>
    <s v="West"/>
    <n v="9"/>
    <n v="118367"/>
    <x v="1"/>
    <n v="1"/>
    <n v="3"/>
    <n v="18"/>
    <n v="0"/>
    <d v="2014-12-25T00:00:00"/>
    <s v="No"/>
    <x v="1"/>
    <n v="1"/>
    <x v="1"/>
    <x v="0"/>
    <x v="2"/>
  </r>
  <r>
    <s v="REL03876"/>
    <s v="Male"/>
    <n v="44"/>
    <s v="MBA"/>
    <s v="Divorced"/>
    <x v="3"/>
    <s v="HR Manager"/>
    <x v="0"/>
    <x v="4"/>
    <s v="North"/>
    <n v="4"/>
    <n v="92173"/>
    <x v="2"/>
    <n v="4"/>
    <n v="3"/>
    <n v="28"/>
    <n v="3"/>
    <d v="2019-08-03T00:00:00"/>
    <s v="No"/>
    <x v="1"/>
    <n v="2"/>
    <x v="0"/>
    <x v="0"/>
    <x v="1"/>
  </r>
  <r>
    <s v="REL03877"/>
    <s v="Male"/>
    <n v="26"/>
    <s v="BTech"/>
    <s v="Divorced"/>
    <x v="7"/>
    <s v="Finance Analyst"/>
    <x v="2"/>
    <x v="0"/>
    <s v="North"/>
    <n v="13"/>
    <n v="80505"/>
    <x v="2"/>
    <n v="4"/>
    <n v="1"/>
    <n v="65"/>
    <n v="0"/>
    <d v="2010-01-24T00:00:00"/>
    <s v="No"/>
    <x v="1"/>
    <n v="2"/>
    <x v="2"/>
    <x v="0"/>
    <x v="1"/>
  </r>
  <r>
    <s v="REL03878"/>
    <s v="Female"/>
    <n v="52"/>
    <s v="Graduate"/>
    <s v="Divorced"/>
    <x v="4"/>
    <s v="Marketing Executive"/>
    <x v="3"/>
    <x v="8"/>
    <s v="South"/>
    <n v="1"/>
    <n v="56513"/>
    <x v="0"/>
    <n v="1"/>
    <n v="4"/>
    <n v="71"/>
    <n v="1"/>
    <d v="2022-08-07T00:00:00"/>
    <s v="No"/>
    <x v="0"/>
    <n v="3"/>
    <x v="3"/>
    <x v="0"/>
    <x v="0"/>
  </r>
  <r>
    <s v="REL03879"/>
    <s v="Female"/>
    <n v="26"/>
    <s v="Post Graduate"/>
    <s v="Married"/>
    <x v="3"/>
    <s v="Sales Executive"/>
    <x v="4"/>
    <x v="8"/>
    <s v="South"/>
    <n v="3"/>
    <n v="39252"/>
    <x v="2"/>
    <n v="4"/>
    <n v="3"/>
    <n v="26"/>
    <n v="0"/>
    <d v="2020-12-20T00:00:00"/>
    <s v="No"/>
    <x v="2"/>
    <n v="2"/>
    <x v="0"/>
    <x v="0"/>
    <x v="1"/>
  </r>
  <r>
    <s v="REL03880"/>
    <s v="Male"/>
    <n v="38"/>
    <s v="Post Graduate"/>
    <s v="Married"/>
    <x v="0"/>
    <s v="Operations Head"/>
    <x v="2"/>
    <x v="9"/>
    <s v="West"/>
    <n v="14"/>
    <n v="118667"/>
    <x v="0"/>
    <n v="4"/>
    <n v="1"/>
    <n v="63"/>
    <n v="2"/>
    <d v="2009-11-07T00:00:00"/>
    <s v="No"/>
    <x v="1"/>
    <n v="3"/>
    <x v="2"/>
    <x v="0"/>
    <x v="0"/>
  </r>
  <r>
    <s v="REL03881"/>
    <s v="Male"/>
    <n v="23"/>
    <s v="HSC"/>
    <s v="Divorced"/>
    <x v="3"/>
    <s v="Finance Analyst"/>
    <x v="2"/>
    <x v="4"/>
    <s v="North"/>
    <n v="6"/>
    <n v="65187"/>
    <x v="0"/>
    <n v="3"/>
    <n v="2"/>
    <n v="43"/>
    <n v="0"/>
    <d v="2017-08-07T00:00:00"/>
    <s v="No"/>
    <x v="0"/>
    <n v="3"/>
    <x v="1"/>
    <x v="0"/>
    <x v="0"/>
  </r>
  <r>
    <s v="REL03882"/>
    <s v="Female"/>
    <n v="27"/>
    <s v="BTech"/>
    <s v="Single"/>
    <x v="1"/>
    <s v="Operations Head"/>
    <x v="0"/>
    <x v="8"/>
    <s v="South"/>
    <n v="7"/>
    <n v="112377"/>
    <x v="2"/>
    <n v="1"/>
    <n v="2"/>
    <n v="15"/>
    <n v="3"/>
    <d v="2016-09-13T00:00:00"/>
    <s v="No"/>
    <x v="1"/>
    <n v="2"/>
    <x v="1"/>
    <x v="0"/>
    <x v="1"/>
  </r>
  <r>
    <s v="REL03883"/>
    <s v="Female"/>
    <n v="51"/>
    <s v="HSC"/>
    <s v="Married"/>
    <x v="1"/>
    <s v="Finance Analyst"/>
    <x v="0"/>
    <x v="5"/>
    <s v="South"/>
    <n v="6"/>
    <n v="70951"/>
    <x v="1"/>
    <n v="3"/>
    <n v="4"/>
    <n v="64"/>
    <n v="3"/>
    <d v="2017-07-25T00:00:00"/>
    <s v="Yes"/>
    <x v="0"/>
    <n v="1"/>
    <x v="1"/>
    <x v="1"/>
    <x v="1"/>
  </r>
  <r>
    <s v="REL03884"/>
    <s v="Male"/>
    <n v="47"/>
    <s v="BTech"/>
    <s v="Divorced"/>
    <x v="6"/>
    <s v="Sales Executive"/>
    <x v="3"/>
    <x v="2"/>
    <s v="West"/>
    <n v="10"/>
    <n v="57200"/>
    <x v="2"/>
    <n v="3"/>
    <n v="1"/>
    <n v="37"/>
    <n v="1"/>
    <d v="2013-01-09T00:00:00"/>
    <s v="No"/>
    <x v="0"/>
    <n v="2"/>
    <x v="1"/>
    <x v="0"/>
    <x v="1"/>
  </r>
  <r>
    <s v="REL03885"/>
    <s v="Male"/>
    <n v="40"/>
    <s v="HSC"/>
    <s v="Divorced"/>
    <x v="3"/>
    <s v="Operations Head"/>
    <x v="2"/>
    <x v="8"/>
    <s v="South"/>
    <n v="7"/>
    <n v="110571"/>
    <x v="3"/>
    <n v="2"/>
    <n v="1"/>
    <n v="49"/>
    <n v="3"/>
    <d v="2016-01-09T00:00:00"/>
    <s v="No"/>
    <x v="1"/>
    <n v="4"/>
    <x v="1"/>
    <x v="2"/>
    <x v="0"/>
  </r>
  <r>
    <s v="REL03886"/>
    <s v="Male"/>
    <n v="43"/>
    <s v="BTech"/>
    <s v="Single"/>
    <x v="0"/>
    <s v="Marketing Executive"/>
    <x v="4"/>
    <x v="0"/>
    <s v="North"/>
    <n v="10"/>
    <n v="70334"/>
    <x v="2"/>
    <n v="2"/>
    <n v="4"/>
    <n v="56"/>
    <n v="0"/>
    <d v="2013-12-13T00:00:00"/>
    <s v="No"/>
    <x v="0"/>
    <n v="2"/>
    <x v="1"/>
    <x v="0"/>
    <x v="1"/>
  </r>
  <r>
    <s v="REL03887"/>
    <s v="Female"/>
    <n v="44"/>
    <s v="Post Graduate"/>
    <s v="Divorced"/>
    <x v="6"/>
    <s v="Sales Executive"/>
    <x v="1"/>
    <x v="8"/>
    <s v="South"/>
    <n v="6"/>
    <n v="59594"/>
    <x v="3"/>
    <n v="4"/>
    <n v="1"/>
    <n v="14"/>
    <n v="2"/>
    <d v="2017-05-01T00:00:00"/>
    <s v="No"/>
    <x v="0"/>
    <n v="4"/>
    <x v="1"/>
    <x v="2"/>
    <x v="1"/>
  </r>
  <r>
    <s v="REL03888"/>
    <s v="Female"/>
    <n v="25"/>
    <s v="Post Graduate"/>
    <s v="Married"/>
    <x v="1"/>
    <s v="Store Manager"/>
    <x v="0"/>
    <x v="9"/>
    <s v="West"/>
    <n v="1"/>
    <n v="93316"/>
    <x v="3"/>
    <n v="3"/>
    <n v="3"/>
    <n v="24"/>
    <n v="1"/>
    <d v="2022-12-14T00:00:00"/>
    <s v="No"/>
    <x v="1"/>
    <n v="4"/>
    <x v="3"/>
    <x v="2"/>
    <x v="0"/>
  </r>
  <r>
    <s v="REL03889"/>
    <s v="Male"/>
    <n v="43"/>
    <s v="BTech"/>
    <s v="Married"/>
    <x v="4"/>
    <s v="Operations Head"/>
    <x v="4"/>
    <x v="2"/>
    <s v="West"/>
    <n v="12"/>
    <n v="114742"/>
    <x v="0"/>
    <n v="1"/>
    <n v="2"/>
    <n v="22"/>
    <n v="1"/>
    <d v="2011-01-17T00:00:00"/>
    <s v="No"/>
    <x v="1"/>
    <n v="3"/>
    <x v="2"/>
    <x v="0"/>
    <x v="0"/>
  </r>
  <r>
    <s v="REL03890"/>
    <s v="Male"/>
    <n v="50"/>
    <s v="Graduate"/>
    <s v="Married"/>
    <x v="5"/>
    <s v="Customer Service Rep"/>
    <x v="0"/>
    <x v="0"/>
    <s v="North"/>
    <n v="10"/>
    <n v="63694"/>
    <x v="2"/>
    <n v="4"/>
    <n v="3"/>
    <n v="51"/>
    <n v="1"/>
    <d v="2013-08-19T00:00:00"/>
    <s v="No"/>
    <x v="0"/>
    <n v="2"/>
    <x v="1"/>
    <x v="0"/>
    <x v="1"/>
  </r>
  <r>
    <s v="REL03891"/>
    <s v="Male"/>
    <n v="37"/>
    <s v="Post Graduate"/>
    <s v="Divorced"/>
    <x v="0"/>
    <s v="Finance Analyst"/>
    <x v="4"/>
    <x v="2"/>
    <s v="West"/>
    <n v="2"/>
    <n v="54009"/>
    <x v="3"/>
    <n v="3"/>
    <n v="2"/>
    <n v="78"/>
    <n v="1"/>
    <d v="2021-10-27T00:00:00"/>
    <s v="No"/>
    <x v="0"/>
    <n v="4"/>
    <x v="3"/>
    <x v="2"/>
    <x v="1"/>
  </r>
  <r>
    <s v="REL03892"/>
    <s v="Male"/>
    <n v="48"/>
    <s v="HSC"/>
    <s v="Single"/>
    <x v="2"/>
    <s v="Sales Executive"/>
    <x v="0"/>
    <x v="2"/>
    <s v="West"/>
    <n v="14"/>
    <n v="73392"/>
    <x v="2"/>
    <n v="3"/>
    <n v="1"/>
    <n v="18"/>
    <n v="0"/>
    <d v="2009-10-17T00:00:00"/>
    <s v="No"/>
    <x v="0"/>
    <n v="2"/>
    <x v="2"/>
    <x v="0"/>
    <x v="1"/>
  </r>
  <r>
    <s v="REL03893"/>
    <s v="Female"/>
    <n v="22"/>
    <s v="Post Graduate"/>
    <s v="Single"/>
    <x v="6"/>
    <s v="Logistics Coordinator"/>
    <x v="1"/>
    <x v="8"/>
    <s v="South"/>
    <n v="3"/>
    <n v="44784"/>
    <x v="1"/>
    <n v="3"/>
    <n v="2"/>
    <n v="79"/>
    <n v="2"/>
    <d v="2020-09-03T00:00:00"/>
    <s v="Yes"/>
    <x v="2"/>
    <n v="1"/>
    <x v="0"/>
    <x v="1"/>
    <x v="1"/>
  </r>
  <r>
    <s v="REL03894"/>
    <s v="Male"/>
    <n v="28"/>
    <s v="Post Graduate"/>
    <s v="Single"/>
    <x v="0"/>
    <s v="Logistics Coordinator"/>
    <x v="2"/>
    <x v="7"/>
    <s v="East"/>
    <n v="6"/>
    <n v="62118"/>
    <x v="2"/>
    <n v="2"/>
    <n v="1"/>
    <n v="33"/>
    <n v="2"/>
    <d v="2017-11-18T00:00:00"/>
    <s v="No"/>
    <x v="0"/>
    <n v="2"/>
    <x v="1"/>
    <x v="0"/>
    <x v="1"/>
  </r>
  <r>
    <s v="REL03895"/>
    <s v="Female"/>
    <n v="33"/>
    <s v="Graduate"/>
    <s v="Married"/>
    <x v="4"/>
    <s v="Logistics Coordinator"/>
    <x v="3"/>
    <x v="5"/>
    <s v="South"/>
    <n v="12"/>
    <n v="63198"/>
    <x v="1"/>
    <n v="2"/>
    <n v="3"/>
    <n v="43"/>
    <n v="0"/>
    <d v="2011-09-23T00:00:00"/>
    <s v="Yes"/>
    <x v="0"/>
    <n v="1"/>
    <x v="2"/>
    <x v="1"/>
    <x v="1"/>
  </r>
  <r>
    <s v="REL03896"/>
    <s v="Female"/>
    <n v="40"/>
    <s v="HSC"/>
    <s v="Married"/>
    <x v="0"/>
    <s v="Sales Executive"/>
    <x v="4"/>
    <x v="2"/>
    <s v="West"/>
    <n v="7"/>
    <n v="48296"/>
    <x v="2"/>
    <n v="3"/>
    <n v="2"/>
    <n v="35"/>
    <n v="3"/>
    <d v="2016-07-11T00:00:00"/>
    <s v="Yes"/>
    <x v="2"/>
    <n v="2"/>
    <x v="1"/>
    <x v="1"/>
    <x v="1"/>
  </r>
  <r>
    <s v="REL03897"/>
    <s v="Male"/>
    <n v="35"/>
    <s v="Post Graduate"/>
    <s v="Married"/>
    <x v="0"/>
    <s v="Sales Executive"/>
    <x v="3"/>
    <x v="3"/>
    <s v="West"/>
    <n v="9"/>
    <n v="54621"/>
    <x v="2"/>
    <n v="3"/>
    <n v="1"/>
    <n v="66"/>
    <n v="2"/>
    <d v="2014-06-28T00:00:00"/>
    <s v="No"/>
    <x v="0"/>
    <n v="2"/>
    <x v="1"/>
    <x v="0"/>
    <x v="1"/>
  </r>
  <r>
    <s v="REL03898"/>
    <s v="Female"/>
    <n v="42"/>
    <s v="HSC"/>
    <s v="Divorced"/>
    <x v="0"/>
    <s v="Customer Service Rep"/>
    <x v="4"/>
    <x v="0"/>
    <s v="North"/>
    <n v="11"/>
    <n v="59665"/>
    <x v="1"/>
    <n v="2"/>
    <n v="4"/>
    <n v="58"/>
    <n v="0"/>
    <d v="2012-10-23T00:00:00"/>
    <s v="No"/>
    <x v="0"/>
    <n v="1"/>
    <x v="2"/>
    <x v="0"/>
    <x v="1"/>
  </r>
  <r>
    <s v="REL03899"/>
    <s v="Male"/>
    <n v="25"/>
    <s v="MBA"/>
    <s v="Single"/>
    <x v="1"/>
    <s v="Store Manager"/>
    <x v="0"/>
    <x v="6"/>
    <s v="South"/>
    <n v="10"/>
    <n v="106077"/>
    <x v="1"/>
    <n v="3"/>
    <n v="3"/>
    <n v="59"/>
    <n v="1"/>
    <d v="2013-09-20T00:00:00"/>
    <s v="Yes"/>
    <x v="1"/>
    <n v="1"/>
    <x v="1"/>
    <x v="1"/>
    <x v="2"/>
  </r>
  <r>
    <s v="REL03900"/>
    <s v="Male"/>
    <n v="55"/>
    <s v="MBA"/>
    <s v="Single"/>
    <x v="6"/>
    <s v="Sales Executive"/>
    <x v="3"/>
    <x v="2"/>
    <s v="West"/>
    <n v="4"/>
    <n v="45002"/>
    <x v="1"/>
    <n v="2"/>
    <n v="4"/>
    <n v="52"/>
    <n v="2"/>
    <d v="2019-06-09T00:00:00"/>
    <s v="No"/>
    <x v="2"/>
    <n v="1"/>
    <x v="0"/>
    <x v="0"/>
    <x v="1"/>
  </r>
  <r>
    <s v="REL03901"/>
    <s v="Female"/>
    <n v="34"/>
    <s v="BTech"/>
    <s v="Single"/>
    <x v="0"/>
    <s v="Sales Executive"/>
    <x v="4"/>
    <x v="9"/>
    <s v="West"/>
    <n v="3"/>
    <n v="45415"/>
    <x v="3"/>
    <n v="3"/>
    <n v="2"/>
    <n v="66"/>
    <n v="1"/>
    <d v="2020-01-04T00:00:00"/>
    <s v="No"/>
    <x v="2"/>
    <n v="4"/>
    <x v="0"/>
    <x v="2"/>
    <x v="1"/>
  </r>
  <r>
    <s v="REL03902"/>
    <s v="Female"/>
    <n v="22"/>
    <s v="HSC"/>
    <s v="Single"/>
    <x v="3"/>
    <s v="Customer Service Rep"/>
    <x v="1"/>
    <x v="1"/>
    <s v="North"/>
    <n v="13"/>
    <n v="64653"/>
    <x v="3"/>
    <n v="2"/>
    <n v="4"/>
    <n v="46"/>
    <n v="2"/>
    <d v="2010-02-19T00:00:00"/>
    <s v="No"/>
    <x v="0"/>
    <n v="4"/>
    <x v="2"/>
    <x v="2"/>
    <x v="1"/>
  </r>
  <r>
    <s v="REL03903"/>
    <s v="Male"/>
    <n v="31"/>
    <s v="HSC"/>
    <s v="Divorced"/>
    <x v="7"/>
    <s v="Sales Executive"/>
    <x v="4"/>
    <x v="9"/>
    <s v="West"/>
    <n v="5"/>
    <n v="46738"/>
    <x v="1"/>
    <n v="3"/>
    <n v="2"/>
    <n v="39"/>
    <n v="2"/>
    <d v="2018-04-22T00:00:00"/>
    <s v="Yes"/>
    <x v="2"/>
    <n v="1"/>
    <x v="0"/>
    <x v="1"/>
    <x v="1"/>
  </r>
  <r>
    <s v="REL03904"/>
    <s v="Female"/>
    <n v="23"/>
    <s v="MBA"/>
    <s v="Divorced"/>
    <x v="6"/>
    <s v="Marketing Executive"/>
    <x v="1"/>
    <x v="3"/>
    <s v="West"/>
    <n v="4"/>
    <n v="67350"/>
    <x v="2"/>
    <n v="2"/>
    <n v="4"/>
    <n v="35"/>
    <n v="1"/>
    <d v="2019-01-26T00:00:00"/>
    <s v="No"/>
    <x v="0"/>
    <n v="2"/>
    <x v="0"/>
    <x v="0"/>
    <x v="1"/>
  </r>
  <r>
    <s v="REL03905"/>
    <s v="Female"/>
    <n v="39"/>
    <s v="HSC"/>
    <s v="Married"/>
    <x v="2"/>
    <s v="Operations Head"/>
    <x v="1"/>
    <x v="5"/>
    <s v="South"/>
    <n v="10"/>
    <n v="120409"/>
    <x v="0"/>
    <n v="3"/>
    <n v="4"/>
    <n v="11"/>
    <n v="1"/>
    <d v="2013-01-17T00:00:00"/>
    <s v="No"/>
    <x v="1"/>
    <n v="3"/>
    <x v="1"/>
    <x v="0"/>
    <x v="0"/>
  </r>
  <r>
    <s v="REL03906"/>
    <s v="Male"/>
    <n v="33"/>
    <s v="BTech"/>
    <s v="Divorced"/>
    <x v="6"/>
    <s v="HR Manager"/>
    <x v="1"/>
    <x v="0"/>
    <s v="North"/>
    <n v="6"/>
    <n v="92558"/>
    <x v="1"/>
    <n v="4"/>
    <n v="3"/>
    <n v="51"/>
    <n v="2"/>
    <d v="2017-07-27T00:00:00"/>
    <s v="No"/>
    <x v="1"/>
    <n v="1"/>
    <x v="1"/>
    <x v="0"/>
    <x v="2"/>
  </r>
  <r>
    <s v="REL03907"/>
    <s v="Female"/>
    <n v="29"/>
    <s v="Post Graduate"/>
    <s v="Married"/>
    <x v="3"/>
    <s v="Customer Service Rep"/>
    <x v="3"/>
    <x v="1"/>
    <s v="North"/>
    <n v="2"/>
    <n v="48801"/>
    <x v="1"/>
    <n v="3"/>
    <n v="3"/>
    <n v="67"/>
    <n v="3"/>
    <d v="2021-10-31T00:00:00"/>
    <s v="No"/>
    <x v="2"/>
    <n v="1"/>
    <x v="3"/>
    <x v="3"/>
    <x v="1"/>
  </r>
  <r>
    <s v="REL03908"/>
    <s v="Female"/>
    <n v="22"/>
    <s v="BTech"/>
    <s v="Single"/>
    <x v="2"/>
    <s v="Operations Head"/>
    <x v="4"/>
    <x v="6"/>
    <s v="South"/>
    <n v="14"/>
    <n v="114421"/>
    <x v="2"/>
    <n v="2"/>
    <n v="1"/>
    <n v="58"/>
    <n v="0"/>
    <d v="2009-08-27T00:00:00"/>
    <s v="Yes"/>
    <x v="1"/>
    <n v="2"/>
    <x v="2"/>
    <x v="1"/>
    <x v="1"/>
  </r>
  <r>
    <s v="REL03909"/>
    <s v="Male"/>
    <n v="54"/>
    <s v="Graduate"/>
    <s v="Married"/>
    <x v="3"/>
    <s v="Operations Head"/>
    <x v="0"/>
    <x v="9"/>
    <s v="West"/>
    <n v="11"/>
    <n v="115597"/>
    <x v="0"/>
    <n v="3"/>
    <n v="3"/>
    <n v="21"/>
    <n v="1"/>
    <d v="2012-05-22T00:00:00"/>
    <s v="No"/>
    <x v="1"/>
    <n v="3"/>
    <x v="2"/>
    <x v="0"/>
    <x v="0"/>
  </r>
  <r>
    <s v="REL03910"/>
    <s v="Female"/>
    <n v="49"/>
    <s v="Post Graduate"/>
    <s v="Married"/>
    <x v="5"/>
    <s v="Finance Analyst"/>
    <x v="4"/>
    <x v="1"/>
    <s v="North"/>
    <n v="2"/>
    <n v="64020"/>
    <x v="0"/>
    <n v="3"/>
    <n v="1"/>
    <n v="74"/>
    <n v="1"/>
    <d v="2021-05-19T00:00:00"/>
    <s v="No"/>
    <x v="0"/>
    <n v="3"/>
    <x v="3"/>
    <x v="0"/>
    <x v="0"/>
  </r>
  <r>
    <s v="REL03911"/>
    <s v="Male"/>
    <n v="45"/>
    <s v="Graduate"/>
    <s v="Married"/>
    <x v="0"/>
    <s v="HR Manager"/>
    <x v="0"/>
    <x v="9"/>
    <s v="West"/>
    <n v="1"/>
    <n v="73319"/>
    <x v="1"/>
    <n v="2"/>
    <n v="1"/>
    <n v="27"/>
    <n v="0"/>
    <d v="2022-01-31T00:00:00"/>
    <s v="Yes"/>
    <x v="0"/>
    <n v="1"/>
    <x v="3"/>
    <x v="1"/>
    <x v="1"/>
  </r>
  <r>
    <s v="REL03912"/>
    <s v="Female"/>
    <n v="27"/>
    <s v="BTech"/>
    <s v="Divorced"/>
    <x v="5"/>
    <s v="Marketing Executive"/>
    <x v="1"/>
    <x v="5"/>
    <s v="South"/>
    <n v="13"/>
    <n v="80566"/>
    <x v="3"/>
    <n v="4"/>
    <n v="2"/>
    <n v="43"/>
    <n v="2"/>
    <d v="2010-01-31T00:00:00"/>
    <s v="No"/>
    <x v="1"/>
    <n v="4"/>
    <x v="2"/>
    <x v="2"/>
    <x v="0"/>
  </r>
  <r>
    <s v="REL03913"/>
    <s v="Male"/>
    <n v="54"/>
    <s v="BTech"/>
    <s v="Married"/>
    <x v="4"/>
    <s v="Finance Analyst"/>
    <x v="4"/>
    <x v="6"/>
    <s v="South"/>
    <n v="6"/>
    <n v="67693"/>
    <x v="2"/>
    <n v="3"/>
    <n v="2"/>
    <n v="31"/>
    <n v="1"/>
    <d v="2017-07-01T00:00:00"/>
    <s v="No"/>
    <x v="0"/>
    <n v="2"/>
    <x v="1"/>
    <x v="0"/>
    <x v="1"/>
  </r>
  <r>
    <s v="REL03914"/>
    <s v="Female"/>
    <n v="42"/>
    <s v="HSC"/>
    <s v="Married"/>
    <x v="7"/>
    <s v="Customer Service Rep"/>
    <x v="3"/>
    <x v="4"/>
    <s v="North"/>
    <n v="3"/>
    <n v="50178"/>
    <x v="3"/>
    <n v="2"/>
    <n v="2"/>
    <n v="14"/>
    <n v="2"/>
    <d v="2020-08-09T00:00:00"/>
    <s v="No"/>
    <x v="0"/>
    <n v="4"/>
    <x v="0"/>
    <x v="2"/>
    <x v="1"/>
  </r>
  <r>
    <s v="REL03915"/>
    <s v="Female"/>
    <n v="37"/>
    <s v="MBA"/>
    <s v="Single"/>
    <x v="7"/>
    <s v="Logistics Coordinator"/>
    <x v="2"/>
    <x v="8"/>
    <s v="South"/>
    <n v="3"/>
    <n v="55677"/>
    <x v="3"/>
    <n v="4"/>
    <n v="2"/>
    <n v="28"/>
    <n v="1"/>
    <d v="2020-08-27T00:00:00"/>
    <s v="No"/>
    <x v="0"/>
    <n v="4"/>
    <x v="0"/>
    <x v="2"/>
    <x v="1"/>
  </r>
  <r>
    <s v="REL03916"/>
    <s v="Male"/>
    <n v="45"/>
    <s v="Graduate"/>
    <s v="Married"/>
    <x v="0"/>
    <s v="Customer Service Rep"/>
    <x v="4"/>
    <x v="3"/>
    <s v="West"/>
    <n v="2"/>
    <n v="40667"/>
    <x v="1"/>
    <n v="4"/>
    <n v="2"/>
    <n v="19"/>
    <n v="2"/>
    <d v="2021-09-27T00:00:00"/>
    <s v="Yes"/>
    <x v="2"/>
    <n v="1"/>
    <x v="3"/>
    <x v="1"/>
    <x v="1"/>
  </r>
  <r>
    <s v="REL03917"/>
    <s v="Male"/>
    <n v="35"/>
    <s v="MBA"/>
    <s v="Married"/>
    <x v="7"/>
    <s v="Finance Analyst"/>
    <x v="0"/>
    <x v="2"/>
    <s v="West"/>
    <n v="4"/>
    <n v="67262"/>
    <x v="1"/>
    <n v="2"/>
    <n v="4"/>
    <n v="16"/>
    <n v="1"/>
    <d v="2019-09-03T00:00:00"/>
    <s v="Yes"/>
    <x v="0"/>
    <n v="1"/>
    <x v="0"/>
    <x v="1"/>
    <x v="1"/>
  </r>
  <r>
    <s v="REL03918"/>
    <s v="Female"/>
    <n v="43"/>
    <s v="BTech"/>
    <s v="Married"/>
    <x v="7"/>
    <s v="Operations Head"/>
    <x v="4"/>
    <x v="2"/>
    <s v="West"/>
    <n v="6"/>
    <n v="97650"/>
    <x v="1"/>
    <n v="2"/>
    <n v="2"/>
    <n v="74"/>
    <n v="3"/>
    <d v="2017-11-29T00:00:00"/>
    <s v="Yes"/>
    <x v="1"/>
    <n v="1"/>
    <x v="1"/>
    <x v="1"/>
    <x v="2"/>
  </r>
  <r>
    <s v="REL03919"/>
    <s v="Male"/>
    <n v="40"/>
    <s v="Graduate"/>
    <s v="Single"/>
    <x v="2"/>
    <s v="Operations Head"/>
    <x v="3"/>
    <x v="2"/>
    <s v="West"/>
    <n v="8"/>
    <n v="114674"/>
    <x v="0"/>
    <n v="3"/>
    <n v="2"/>
    <n v="77"/>
    <n v="3"/>
    <d v="2015-12-29T00:00:00"/>
    <s v="Yes"/>
    <x v="1"/>
    <n v="3"/>
    <x v="1"/>
    <x v="1"/>
    <x v="0"/>
  </r>
  <r>
    <s v="REL03920"/>
    <s v="Female"/>
    <n v="38"/>
    <s v="HSC"/>
    <s v="Single"/>
    <x v="1"/>
    <s v="Sales Executive"/>
    <x v="0"/>
    <x v="3"/>
    <s v="West"/>
    <n v="8"/>
    <n v="65296"/>
    <x v="3"/>
    <n v="1"/>
    <n v="4"/>
    <n v="16"/>
    <n v="3"/>
    <d v="2015-08-19T00:00:00"/>
    <s v="No"/>
    <x v="0"/>
    <n v="4"/>
    <x v="1"/>
    <x v="2"/>
    <x v="1"/>
  </r>
  <r>
    <s v="REL03921"/>
    <s v="Female"/>
    <n v="28"/>
    <s v="Graduate"/>
    <s v="Married"/>
    <x v="4"/>
    <s v="Sales Executive"/>
    <x v="4"/>
    <x v="8"/>
    <s v="South"/>
    <n v="11"/>
    <n v="57689"/>
    <x v="1"/>
    <n v="3"/>
    <n v="3"/>
    <n v="33"/>
    <n v="2"/>
    <d v="2012-08-09T00:00:00"/>
    <s v="Yes"/>
    <x v="0"/>
    <n v="1"/>
    <x v="2"/>
    <x v="1"/>
    <x v="1"/>
  </r>
  <r>
    <s v="REL03922"/>
    <s v="Male"/>
    <n v="36"/>
    <s v="Graduate"/>
    <s v="Divorced"/>
    <x v="3"/>
    <s v="Sales Executive"/>
    <x v="3"/>
    <x v="3"/>
    <s v="West"/>
    <n v="1"/>
    <n v="43858"/>
    <x v="0"/>
    <n v="2"/>
    <n v="3"/>
    <n v="34"/>
    <n v="0"/>
    <d v="2022-11-30T00:00:00"/>
    <s v="No"/>
    <x v="2"/>
    <n v="3"/>
    <x v="3"/>
    <x v="0"/>
    <x v="1"/>
  </r>
  <r>
    <s v="REL03923"/>
    <s v="Male"/>
    <n v="38"/>
    <s v="HSC"/>
    <s v="Single"/>
    <x v="6"/>
    <s v="Sales Executive"/>
    <x v="1"/>
    <x v="0"/>
    <s v="North"/>
    <n v="11"/>
    <n v="63546"/>
    <x v="2"/>
    <n v="4"/>
    <n v="1"/>
    <n v="71"/>
    <n v="0"/>
    <d v="2012-10-20T00:00:00"/>
    <s v="No"/>
    <x v="0"/>
    <n v="2"/>
    <x v="2"/>
    <x v="0"/>
    <x v="1"/>
  </r>
  <r>
    <s v="REL03924"/>
    <s v="Male"/>
    <n v="49"/>
    <s v="Graduate"/>
    <s v="Married"/>
    <x v="7"/>
    <s v="Finance Analyst"/>
    <x v="3"/>
    <x v="5"/>
    <s v="South"/>
    <n v="13"/>
    <n v="76396"/>
    <x v="1"/>
    <n v="1"/>
    <n v="4"/>
    <n v="47"/>
    <n v="0"/>
    <d v="2010-06-22T00:00:00"/>
    <s v="Yes"/>
    <x v="0"/>
    <n v="1"/>
    <x v="2"/>
    <x v="1"/>
    <x v="1"/>
  </r>
  <r>
    <s v="REL03925"/>
    <s v="Female"/>
    <n v="39"/>
    <s v="Graduate"/>
    <s v="Married"/>
    <x v="2"/>
    <s v="Operations Head"/>
    <x v="4"/>
    <x v="7"/>
    <s v="East"/>
    <n v="3"/>
    <n v="91720"/>
    <x v="0"/>
    <n v="1"/>
    <n v="3"/>
    <n v="35"/>
    <n v="1"/>
    <d v="2020-01-30T00:00:00"/>
    <s v="Yes"/>
    <x v="1"/>
    <n v="3"/>
    <x v="0"/>
    <x v="1"/>
    <x v="0"/>
  </r>
  <r>
    <s v="REL03926"/>
    <s v="Female"/>
    <n v="32"/>
    <s v="Post Graduate"/>
    <s v="Married"/>
    <x v="1"/>
    <s v="HR Manager"/>
    <x v="4"/>
    <x v="7"/>
    <s v="East"/>
    <n v="4"/>
    <n v="82528"/>
    <x v="1"/>
    <n v="1"/>
    <n v="1"/>
    <n v="41"/>
    <n v="2"/>
    <d v="2019-07-07T00:00:00"/>
    <s v="Yes"/>
    <x v="1"/>
    <n v="1"/>
    <x v="0"/>
    <x v="1"/>
    <x v="2"/>
  </r>
  <r>
    <s v="REL03927"/>
    <s v="Female"/>
    <n v="45"/>
    <s v="BTech"/>
    <s v="Divorced"/>
    <x v="4"/>
    <s v="Logistics Coordinator"/>
    <x v="1"/>
    <x v="0"/>
    <s v="North"/>
    <n v="3"/>
    <n v="58995"/>
    <x v="3"/>
    <n v="2"/>
    <n v="3"/>
    <n v="32"/>
    <n v="3"/>
    <d v="2020-10-25T00:00:00"/>
    <s v="No"/>
    <x v="0"/>
    <n v="4"/>
    <x v="0"/>
    <x v="2"/>
    <x v="1"/>
  </r>
  <r>
    <s v="REL03928"/>
    <s v="Female"/>
    <n v="42"/>
    <s v="MBA"/>
    <s v="Divorced"/>
    <x v="1"/>
    <s v="Customer Service Rep"/>
    <x v="1"/>
    <x v="5"/>
    <s v="South"/>
    <n v="13"/>
    <n v="64365"/>
    <x v="1"/>
    <n v="3"/>
    <n v="4"/>
    <n v="16"/>
    <n v="1"/>
    <d v="2010-06-09T00:00:00"/>
    <s v="No"/>
    <x v="0"/>
    <n v="1"/>
    <x v="2"/>
    <x v="0"/>
    <x v="1"/>
  </r>
  <r>
    <s v="REL03929"/>
    <s v="Female"/>
    <n v="38"/>
    <s v="BTech"/>
    <s v="Single"/>
    <x v="5"/>
    <s v="Sales Executive"/>
    <x v="3"/>
    <x v="0"/>
    <s v="North"/>
    <n v="6"/>
    <n v="47912"/>
    <x v="1"/>
    <n v="1"/>
    <n v="4"/>
    <n v="80"/>
    <n v="2"/>
    <d v="2017-08-26T00:00:00"/>
    <s v="No"/>
    <x v="2"/>
    <n v="1"/>
    <x v="1"/>
    <x v="0"/>
    <x v="1"/>
  </r>
  <r>
    <s v="REL03930"/>
    <s v="Female"/>
    <n v="52"/>
    <s v="Graduate"/>
    <s v="Married"/>
    <x v="7"/>
    <s v="Store Manager"/>
    <x v="1"/>
    <x v="7"/>
    <s v="East"/>
    <n v="5"/>
    <n v="90525"/>
    <x v="2"/>
    <n v="4"/>
    <n v="3"/>
    <n v="14"/>
    <n v="1"/>
    <d v="2018-12-04T00:00:00"/>
    <s v="No"/>
    <x v="1"/>
    <n v="2"/>
    <x v="0"/>
    <x v="0"/>
    <x v="1"/>
  </r>
  <r>
    <s v="REL03931"/>
    <s v="Male"/>
    <n v="24"/>
    <s v="BTech"/>
    <s v="Single"/>
    <x v="6"/>
    <s v="Marketing Executive"/>
    <x v="4"/>
    <x v="1"/>
    <s v="North"/>
    <n v="2"/>
    <n v="58567"/>
    <x v="3"/>
    <n v="1"/>
    <n v="2"/>
    <n v="70"/>
    <n v="0"/>
    <d v="2021-02-20T00:00:00"/>
    <s v="No"/>
    <x v="0"/>
    <n v="4"/>
    <x v="3"/>
    <x v="2"/>
    <x v="1"/>
  </r>
  <r>
    <s v="REL03932"/>
    <s v="Female"/>
    <n v="38"/>
    <s v="HSC"/>
    <s v="Single"/>
    <x v="2"/>
    <s v="Store Manager"/>
    <x v="4"/>
    <x v="0"/>
    <s v="North"/>
    <n v="8"/>
    <n v="107667"/>
    <x v="2"/>
    <n v="2"/>
    <n v="3"/>
    <n v="61"/>
    <n v="3"/>
    <d v="2015-08-15T00:00:00"/>
    <s v="No"/>
    <x v="1"/>
    <n v="2"/>
    <x v="1"/>
    <x v="0"/>
    <x v="1"/>
  </r>
  <r>
    <s v="REL03933"/>
    <s v="Female"/>
    <n v="30"/>
    <s v="MBA"/>
    <s v="Married"/>
    <x v="2"/>
    <s v="Sales Executive"/>
    <x v="4"/>
    <x v="6"/>
    <s v="South"/>
    <n v="2"/>
    <n v="34248"/>
    <x v="2"/>
    <n v="2"/>
    <n v="1"/>
    <n v="62"/>
    <n v="2"/>
    <d v="2021-08-15T00:00:00"/>
    <s v="No"/>
    <x v="3"/>
    <n v="2"/>
    <x v="3"/>
    <x v="0"/>
    <x v="1"/>
  </r>
  <r>
    <s v="REL03934"/>
    <s v="Female"/>
    <n v="48"/>
    <s v="HSC"/>
    <s v="Divorced"/>
    <x v="2"/>
    <s v="Store Manager"/>
    <x v="0"/>
    <x v="7"/>
    <s v="East"/>
    <n v="3"/>
    <n v="81005"/>
    <x v="1"/>
    <n v="1"/>
    <n v="3"/>
    <n v="40"/>
    <n v="3"/>
    <d v="2020-04-14T00:00:00"/>
    <s v="No"/>
    <x v="1"/>
    <n v="1"/>
    <x v="0"/>
    <x v="0"/>
    <x v="2"/>
  </r>
  <r>
    <s v="REL03935"/>
    <s v="Male"/>
    <n v="27"/>
    <s v="HSC"/>
    <s v="Divorced"/>
    <x v="3"/>
    <s v="Customer Service Rep"/>
    <x v="2"/>
    <x v="9"/>
    <s v="West"/>
    <n v="9"/>
    <n v="53680"/>
    <x v="0"/>
    <n v="2"/>
    <n v="3"/>
    <n v="46"/>
    <n v="0"/>
    <d v="2014-03-13T00:00:00"/>
    <s v="No"/>
    <x v="0"/>
    <n v="3"/>
    <x v="1"/>
    <x v="0"/>
    <x v="0"/>
  </r>
  <r>
    <s v="REL03936"/>
    <s v="Male"/>
    <n v="37"/>
    <s v="MBA"/>
    <s v="Married"/>
    <x v="7"/>
    <s v="Logistics Coordinator"/>
    <x v="2"/>
    <x v="3"/>
    <s v="West"/>
    <n v="8"/>
    <n v="53363"/>
    <x v="0"/>
    <n v="4"/>
    <n v="2"/>
    <n v="21"/>
    <n v="0"/>
    <d v="2015-01-23T00:00:00"/>
    <s v="No"/>
    <x v="0"/>
    <n v="3"/>
    <x v="1"/>
    <x v="0"/>
    <x v="0"/>
  </r>
  <r>
    <s v="REL03937"/>
    <s v="Male"/>
    <n v="43"/>
    <s v="BTech"/>
    <s v="Married"/>
    <x v="3"/>
    <s v="Finance Analyst"/>
    <x v="0"/>
    <x v="3"/>
    <s v="West"/>
    <n v="13"/>
    <n v="86433"/>
    <x v="0"/>
    <n v="1"/>
    <n v="3"/>
    <n v="18"/>
    <n v="2"/>
    <d v="2010-09-14T00:00:00"/>
    <s v="No"/>
    <x v="1"/>
    <n v="3"/>
    <x v="2"/>
    <x v="0"/>
    <x v="0"/>
  </r>
  <r>
    <s v="REL03938"/>
    <s v="Male"/>
    <n v="51"/>
    <s v="BTech"/>
    <s v="Divorced"/>
    <x v="4"/>
    <s v="Operations Head"/>
    <x v="4"/>
    <x v="4"/>
    <s v="North"/>
    <n v="8"/>
    <n v="115142"/>
    <x v="3"/>
    <n v="1"/>
    <n v="1"/>
    <n v="77"/>
    <n v="1"/>
    <d v="2015-10-27T00:00:00"/>
    <s v="No"/>
    <x v="1"/>
    <n v="4"/>
    <x v="1"/>
    <x v="2"/>
    <x v="0"/>
  </r>
  <r>
    <s v="REL03939"/>
    <s v="Female"/>
    <n v="24"/>
    <s v="HSC"/>
    <s v="Single"/>
    <x v="0"/>
    <s v="Store Manager"/>
    <x v="3"/>
    <x v="0"/>
    <s v="North"/>
    <n v="14"/>
    <n v="113622"/>
    <x v="1"/>
    <n v="3"/>
    <n v="2"/>
    <n v="66"/>
    <n v="3"/>
    <d v="2009-07-26T00:00:00"/>
    <s v="Yes"/>
    <x v="1"/>
    <n v="1"/>
    <x v="2"/>
    <x v="1"/>
    <x v="2"/>
  </r>
  <r>
    <s v="REL03940"/>
    <s v="Female"/>
    <n v="23"/>
    <s v="MBA"/>
    <s v="Single"/>
    <x v="6"/>
    <s v="Customer Service Rep"/>
    <x v="3"/>
    <x v="2"/>
    <s v="West"/>
    <n v="3"/>
    <n v="39887"/>
    <x v="0"/>
    <n v="2"/>
    <n v="4"/>
    <n v="37"/>
    <n v="3"/>
    <d v="2020-06-15T00:00:00"/>
    <s v="No"/>
    <x v="2"/>
    <n v="3"/>
    <x v="0"/>
    <x v="0"/>
    <x v="1"/>
  </r>
  <r>
    <s v="REL03941"/>
    <s v="Female"/>
    <n v="49"/>
    <s v="Post Graduate"/>
    <s v="Divorced"/>
    <x v="1"/>
    <s v="Finance Analyst"/>
    <x v="1"/>
    <x v="6"/>
    <s v="South"/>
    <n v="6"/>
    <n v="65826"/>
    <x v="3"/>
    <n v="4"/>
    <n v="4"/>
    <n v="76"/>
    <n v="1"/>
    <d v="2017-11-04T00:00:00"/>
    <s v="No"/>
    <x v="0"/>
    <n v="4"/>
    <x v="1"/>
    <x v="2"/>
    <x v="1"/>
  </r>
  <r>
    <s v="REL03942"/>
    <s v="Female"/>
    <n v="40"/>
    <s v="HSC"/>
    <s v="Married"/>
    <x v="1"/>
    <s v="Store Manager"/>
    <x v="0"/>
    <x v="9"/>
    <s v="West"/>
    <n v="9"/>
    <n v="101701"/>
    <x v="0"/>
    <n v="1"/>
    <n v="4"/>
    <n v="74"/>
    <n v="2"/>
    <d v="2014-06-14T00:00:00"/>
    <s v="No"/>
    <x v="1"/>
    <n v="3"/>
    <x v="1"/>
    <x v="0"/>
    <x v="0"/>
  </r>
  <r>
    <s v="REL03943"/>
    <s v="Female"/>
    <n v="41"/>
    <s v="Post Graduate"/>
    <s v="Single"/>
    <x v="1"/>
    <s v="Sales Executive"/>
    <x v="2"/>
    <x v="1"/>
    <s v="North"/>
    <n v="10"/>
    <n v="57518"/>
    <x v="3"/>
    <n v="4"/>
    <n v="3"/>
    <n v="36"/>
    <n v="2"/>
    <d v="2013-12-18T00:00:00"/>
    <s v="No"/>
    <x v="0"/>
    <n v="4"/>
    <x v="1"/>
    <x v="2"/>
    <x v="1"/>
  </r>
  <r>
    <s v="REL03944"/>
    <s v="Female"/>
    <n v="32"/>
    <s v="HSC"/>
    <s v="Single"/>
    <x v="5"/>
    <s v="Customer Service Rep"/>
    <x v="3"/>
    <x v="1"/>
    <s v="North"/>
    <n v="14"/>
    <n v="53463"/>
    <x v="2"/>
    <n v="3"/>
    <n v="3"/>
    <n v="22"/>
    <n v="3"/>
    <d v="2009-07-29T00:00:00"/>
    <s v="No"/>
    <x v="0"/>
    <n v="2"/>
    <x v="2"/>
    <x v="0"/>
    <x v="1"/>
  </r>
  <r>
    <s v="REL03945"/>
    <s v="Male"/>
    <n v="36"/>
    <s v="Post Graduate"/>
    <s v="Married"/>
    <x v="2"/>
    <s v="Operations Head"/>
    <x v="3"/>
    <x v="5"/>
    <s v="South"/>
    <n v="13"/>
    <n v="114120"/>
    <x v="1"/>
    <n v="1"/>
    <n v="3"/>
    <n v="66"/>
    <n v="2"/>
    <d v="2010-12-08T00:00:00"/>
    <s v="Yes"/>
    <x v="1"/>
    <n v="1"/>
    <x v="2"/>
    <x v="1"/>
    <x v="2"/>
  </r>
  <r>
    <s v="REL03946"/>
    <s v="Male"/>
    <n v="42"/>
    <s v="MBA"/>
    <s v="Divorced"/>
    <x v="2"/>
    <s v="Logistics Coordinator"/>
    <x v="2"/>
    <x v="6"/>
    <s v="South"/>
    <n v="7"/>
    <n v="49703"/>
    <x v="3"/>
    <n v="1"/>
    <n v="2"/>
    <n v="22"/>
    <n v="3"/>
    <d v="2016-01-23T00:00:00"/>
    <s v="No"/>
    <x v="2"/>
    <n v="4"/>
    <x v="1"/>
    <x v="2"/>
    <x v="1"/>
  </r>
  <r>
    <s v="REL03947"/>
    <s v="Male"/>
    <n v="23"/>
    <s v="BTech"/>
    <s v="Divorced"/>
    <x v="0"/>
    <s v="HR Manager"/>
    <x v="3"/>
    <x v="3"/>
    <s v="West"/>
    <n v="5"/>
    <n v="77032"/>
    <x v="0"/>
    <n v="4"/>
    <n v="4"/>
    <n v="28"/>
    <n v="1"/>
    <d v="2018-07-18T00:00:00"/>
    <s v="No"/>
    <x v="0"/>
    <n v="3"/>
    <x v="0"/>
    <x v="0"/>
    <x v="0"/>
  </r>
  <r>
    <s v="REL03948"/>
    <s v="Male"/>
    <n v="27"/>
    <s v="HSC"/>
    <s v="Divorced"/>
    <x v="6"/>
    <s v="Operations Head"/>
    <x v="3"/>
    <x v="2"/>
    <s v="West"/>
    <n v="4"/>
    <n v="103325"/>
    <x v="1"/>
    <n v="1"/>
    <n v="1"/>
    <n v="77"/>
    <n v="2"/>
    <d v="2019-05-24T00:00:00"/>
    <s v="No"/>
    <x v="1"/>
    <n v="1"/>
    <x v="0"/>
    <x v="0"/>
    <x v="2"/>
  </r>
  <r>
    <s v="REL03949"/>
    <s v="Female"/>
    <n v="53"/>
    <s v="BTech"/>
    <s v="Single"/>
    <x v="5"/>
    <s v="Operations Head"/>
    <x v="0"/>
    <x v="1"/>
    <s v="North"/>
    <n v="12"/>
    <n v="121742"/>
    <x v="3"/>
    <n v="1"/>
    <n v="2"/>
    <n v="66"/>
    <n v="0"/>
    <d v="2011-12-01T00:00:00"/>
    <s v="No"/>
    <x v="1"/>
    <n v="4"/>
    <x v="2"/>
    <x v="2"/>
    <x v="0"/>
  </r>
  <r>
    <s v="REL03950"/>
    <s v="Male"/>
    <n v="49"/>
    <s v="BTech"/>
    <s v="Single"/>
    <x v="5"/>
    <s v="Finance Analyst"/>
    <x v="2"/>
    <x v="4"/>
    <s v="North"/>
    <n v="2"/>
    <n v="58016"/>
    <x v="1"/>
    <n v="4"/>
    <n v="2"/>
    <n v="13"/>
    <n v="0"/>
    <d v="2021-05-06T00:00:00"/>
    <s v="Yes"/>
    <x v="0"/>
    <n v="1"/>
    <x v="3"/>
    <x v="1"/>
    <x v="1"/>
  </r>
  <r>
    <s v="REL03951"/>
    <s v="Male"/>
    <n v="42"/>
    <s v="BTech"/>
    <s v="Single"/>
    <x v="4"/>
    <s v="Finance Analyst"/>
    <x v="1"/>
    <x v="2"/>
    <s v="West"/>
    <n v="5"/>
    <n v="62563"/>
    <x v="2"/>
    <n v="4"/>
    <n v="2"/>
    <n v="42"/>
    <n v="0"/>
    <d v="2018-09-12T00:00:00"/>
    <s v="No"/>
    <x v="0"/>
    <n v="2"/>
    <x v="0"/>
    <x v="0"/>
    <x v="1"/>
  </r>
  <r>
    <s v="REL03952"/>
    <s v="Female"/>
    <n v="29"/>
    <s v="HSC"/>
    <s v="Single"/>
    <x v="0"/>
    <s v="Marketing Executive"/>
    <x v="4"/>
    <x v="5"/>
    <s v="South"/>
    <n v="11"/>
    <n v="74580"/>
    <x v="2"/>
    <n v="2"/>
    <n v="1"/>
    <n v="53"/>
    <n v="0"/>
    <d v="2012-06-27T00:00:00"/>
    <s v="No"/>
    <x v="0"/>
    <n v="2"/>
    <x v="2"/>
    <x v="0"/>
    <x v="1"/>
  </r>
  <r>
    <s v="REL03953"/>
    <s v="Female"/>
    <n v="27"/>
    <s v="Graduate"/>
    <s v="Single"/>
    <x v="7"/>
    <s v="Operations Head"/>
    <x v="3"/>
    <x v="1"/>
    <s v="North"/>
    <n v="15"/>
    <n v="115108"/>
    <x v="0"/>
    <n v="1"/>
    <n v="4"/>
    <n v="18"/>
    <n v="2"/>
    <d v="2008-05-30T00:00:00"/>
    <s v="No"/>
    <x v="1"/>
    <n v="3"/>
    <x v="2"/>
    <x v="0"/>
    <x v="0"/>
  </r>
  <r>
    <s v="REL03954"/>
    <s v="Female"/>
    <n v="42"/>
    <s v="Post Graduate"/>
    <s v="Married"/>
    <x v="2"/>
    <s v="Marketing Executive"/>
    <x v="3"/>
    <x v="1"/>
    <s v="North"/>
    <n v="9"/>
    <n v="62866"/>
    <x v="3"/>
    <n v="4"/>
    <n v="1"/>
    <n v="48"/>
    <n v="2"/>
    <d v="2014-01-12T00:00:00"/>
    <s v="No"/>
    <x v="0"/>
    <n v="4"/>
    <x v="1"/>
    <x v="2"/>
    <x v="1"/>
  </r>
  <r>
    <s v="REL03955"/>
    <s v="Male"/>
    <n v="51"/>
    <s v="HSC"/>
    <s v="Divorced"/>
    <x v="2"/>
    <s v="Finance Analyst"/>
    <x v="1"/>
    <x v="3"/>
    <s v="West"/>
    <n v="9"/>
    <n v="86320"/>
    <x v="3"/>
    <n v="2"/>
    <n v="4"/>
    <n v="19"/>
    <n v="1"/>
    <d v="2014-12-05T00:00:00"/>
    <s v="No"/>
    <x v="1"/>
    <n v="4"/>
    <x v="1"/>
    <x v="2"/>
    <x v="0"/>
  </r>
  <r>
    <s v="REL03956"/>
    <s v="Male"/>
    <n v="30"/>
    <s v="HSC"/>
    <s v="Single"/>
    <x v="2"/>
    <s v="Logistics Coordinator"/>
    <x v="0"/>
    <x v="7"/>
    <s v="East"/>
    <n v="13"/>
    <n v="64195"/>
    <x v="0"/>
    <n v="3"/>
    <n v="2"/>
    <n v="18"/>
    <n v="1"/>
    <d v="2010-03-02T00:00:00"/>
    <s v="No"/>
    <x v="0"/>
    <n v="3"/>
    <x v="2"/>
    <x v="0"/>
    <x v="0"/>
  </r>
  <r>
    <s v="REL03957"/>
    <s v="Male"/>
    <n v="54"/>
    <s v="BTech"/>
    <s v="Married"/>
    <x v="1"/>
    <s v="Store Manager"/>
    <x v="2"/>
    <x v="0"/>
    <s v="North"/>
    <n v="4"/>
    <n v="84478"/>
    <x v="1"/>
    <n v="3"/>
    <n v="4"/>
    <n v="39"/>
    <n v="3"/>
    <d v="2019-09-04T00:00:00"/>
    <s v="Yes"/>
    <x v="1"/>
    <n v="1"/>
    <x v="0"/>
    <x v="1"/>
    <x v="2"/>
  </r>
  <r>
    <s v="REL03958"/>
    <s v="Female"/>
    <n v="45"/>
    <s v="Post Graduate"/>
    <s v="Single"/>
    <x v="5"/>
    <s v="Sales Executive"/>
    <x v="3"/>
    <x v="9"/>
    <s v="West"/>
    <n v="11"/>
    <n v="52708"/>
    <x v="2"/>
    <n v="4"/>
    <n v="2"/>
    <n v="53"/>
    <n v="2"/>
    <d v="2012-03-07T00:00:00"/>
    <s v="No"/>
    <x v="0"/>
    <n v="2"/>
    <x v="2"/>
    <x v="0"/>
    <x v="1"/>
  </r>
  <r>
    <s v="REL03959"/>
    <s v="Female"/>
    <n v="42"/>
    <s v="HSC"/>
    <s v="Single"/>
    <x v="1"/>
    <s v="Operations Head"/>
    <x v="3"/>
    <x v="3"/>
    <s v="West"/>
    <n v="5"/>
    <n v="97608"/>
    <x v="1"/>
    <n v="2"/>
    <n v="3"/>
    <n v="51"/>
    <n v="2"/>
    <d v="2018-12-22T00:00:00"/>
    <s v="Yes"/>
    <x v="1"/>
    <n v="1"/>
    <x v="0"/>
    <x v="1"/>
    <x v="2"/>
  </r>
  <r>
    <s v="REL03960"/>
    <s v="Male"/>
    <n v="47"/>
    <s v="Post Graduate"/>
    <s v="Single"/>
    <x v="4"/>
    <s v="Customer Service Rep"/>
    <x v="2"/>
    <x v="4"/>
    <s v="North"/>
    <n v="9"/>
    <n v="45329"/>
    <x v="0"/>
    <n v="3"/>
    <n v="3"/>
    <n v="77"/>
    <n v="3"/>
    <d v="2014-11-18T00:00:00"/>
    <s v="No"/>
    <x v="2"/>
    <n v="3"/>
    <x v="1"/>
    <x v="0"/>
    <x v="1"/>
  </r>
  <r>
    <s v="REL03961"/>
    <s v="Male"/>
    <n v="36"/>
    <s v="Graduate"/>
    <s v="Single"/>
    <x v="1"/>
    <s v="Marketing Executive"/>
    <x v="2"/>
    <x v="0"/>
    <s v="North"/>
    <n v="15"/>
    <n v="70353"/>
    <x v="0"/>
    <n v="1"/>
    <n v="2"/>
    <n v="73"/>
    <n v="1"/>
    <d v="2008-05-31T00:00:00"/>
    <s v="No"/>
    <x v="0"/>
    <n v="3"/>
    <x v="2"/>
    <x v="0"/>
    <x v="0"/>
  </r>
  <r>
    <s v="REL03962"/>
    <s v="Male"/>
    <n v="31"/>
    <s v="Graduate"/>
    <s v="Single"/>
    <x v="6"/>
    <s v="HR Manager"/>
    <x v="3"/>
    <x v="5"/>
    <s v="South"/>
    <n v="9"/>
    <n v="87086"/>
    <x v="3"/>
    <n v="1"/>
    <n v="1"/>
    <n v="76"/>
    <n v="0"/>
    <d v="2014-06-28T00:00:00"/>
    <s v="No"/>
    <x v="1"/>
    <n v="4"/>
    <x v="1"/>
    <x v="2"/>
    <x v="0"/>
  </r>
  <r>
    <s v="REL03963"/>
    <s v="Male"/>
    <n v="34"/>
    <s v="BTech"/>
    <s v="Divorced"/>
    <x v="1"/>
    <s v="Marketing Executive"/>
    <x v="4"/>
    <x v="4"/>
    <s v="North"/>
    <n v="10"/>
    <n v="67174"/>
    <x v="1"/>
    <n v="1"/>
    <n v="4"/>
    <n v="12"/>
    <n v="1"/>
    <d v="2013-03-02T00:00:00"/>
    <s v="Yes"/>
    <x v="0"/>
    <n v="1"/>
    <x v="1"/>
    <x v="1"/>
    <x v="1"/>
  </r>
  <r>
    <s v="REL03964"/>
    <s v="Male"/>
    <n v="42"/>
    <s v="BTech"/>
    <s v="Married"/>
    <x v="3"/>
    <s v="Sales Executive"/>
    <x v="1"/>
    <x v="3"/>
    <s v="West"/>
    <n v="11"/>
    <n v="69878"/>
    <x v="1"/>
    <n v="2"/>
    <n v="2"/>
    <n v="57"/>
    <n v="0"/>
    <d v="2012-09-05T00:00:00"/>
    <s v="Yes"/>
    <x v="0"/>
    <n v="1"/>
    <x v="2"/>
    <x v="1"/>
    <x v="1"/>
  </r>
  <r>
    <s v="REL03965"/>
    <s v="Male"/>
    <n v="33"/>
    <s v="HSC"/>
    <s v="Married"/>
    <x v="7"/>
    <s v="Store Manager"/>
    <x v="3"/>
    <x v="7"/>
    <s v="East"/>
    <n v="9"/>
    <n v="107984"/>
    <x v="1"/>
    <n v="4"/>
    <n v="3"/>
    <n v="44"/>
    <n v="1"/>
    <d v="2014-04-25T00:00:00"/>
    <s v="No"/>
    <x v="1"/>
    <n v="1"/>
    <x v="1"/>
    <x v="0"/>
    <x v="2"/>
  </r>
  <r>
    <s v="REL03966"/>
    <s v="Female"/>
    <n v="23"/>
    <s v="Post Graduate"/>
    <s v="Divorced"/>
    <x v="5"/>
    <s v="Operations Head"/>
    <x v="1"/>
    <x v="5"/>
    <s v="South"/>
    <n v="5"/>
    <n v="95925"/>
    <x v="1"/>
    <n v="1"/>
    <n v="4"/>
    <n v="57"/>
    <n v="2"/>
    <d v="2018-01-16T00:00:00"/>
    <s v="Yes"/>
    <x v="1"/>
    <n v="1"/>
    <x v="0"/>
    <x v="1"/>
    <x v="2"/>
  </r>
  <r>
    <s v="REL03967"/>
    <s v="Male"/>
    <n v="47"/>
    <s v="Post Graduate"/>
    <s v="Divorced"/>
    <x v="3"/>
    <s v="Operations Head"/>
    <x v="0"/>
    <x v="6"/>
    <s v="South"/>
    <n v="2"/>
    <n v="104192"/>
    <x v="3"/>
    <n v="1"/>
    <n v="3"/>
    <n v="60"/>
    <n v="2"/>
    <d v="2021-03-31T00:00:00"/>
    <s v="No"/>
    <x v="1"/>
    <n v="4"/>
    <x v="3"/>
    <x v="2"/>
    <x v="0"/>
  </r>
  <r>
    <s v="REL03968"/>
    <s v="Female"/>
    <n v="43"/>
    <s v="HSC"/>
    <s v="Married"/>
    <x v="6"/>
    <s v="Store Manager"/>
    <x v="3"/>
    <x v="1"/>
    <s v="North"/>
    <n v="5"/>
    <n v="93076"/>
    <x v="3"/>
    <n v="2"/>
    <n v="4"/>
    <n v="68"/>
    <n v="1"/>
    <d v="2018-04-02T00:00:00"/>
    <s v="No"/>
    <x v="1"/>
    <n v="4"/>
    <x v="0"/>
    <x v="2"/>
    <x v="0"/>
  </r>
  <r>
    <s v="REL03969"/>
    <s v="Male"/>
    <n v="26"/>
    <s v="MBA"/>
    <s v="Married"/>
    <x v="6"/>
    <s v="Customer Service Rep"/>
    <x v="2"/>
    <x v="6"/>
    <s v="South"/>
    <n v="5"/>
    <n v="49579"/>
    <x v="0"/>
    <n v="4"/>
    <n v="4"/>
    <n v="21"/>
    <n v="2"/>
    <d v="2018-04-18T00:00:00"/>
    <s v="Yes"/>
    <x v="2"/>
    <n v="3"/>
    <x v="0"/>
    <x v="1"/>
    <x v="1"/>
  </r>
  <r>
    <s v="REL03970"/>
    <s v="Female"/>
    <n v="52"/>
    <s v="Graduate"/>
    <s v="Single"/>
    <x v="6"/>
    <s v="Operations Head"/>
    <x v="3"/>
    <x v="8"/>
    <s v="South"/>
    <n v="9"/>
    <n v="122179"/>
    <x v="2"/>
    <n v="4"/>
    <n v="1"/>
    <n v="59"/>
    <n v="0"/>
    <d v="2014-04-10T00:00:00"/>
    <s v="Yes"/>
    <x v="1"/>
    <n v="2"/>
    <x v="1"/>
    <x v="1"/>
    <x v="1"/>
  </r>
  <r>
    <s v="REL03971"/>
    <s v="Male"/>
    <n v="46"/>
    <s v="HSC"/>
    <s v="Divorced"/>
    <x v="4"/>
    <s v="Marketing Executive"/>
    <x v="4"/>
    <x v="0"/>
    <s v="North"/>
    <n v="3"/>
    <n v="57121"/>
    <x v="0"/>
    <n v="3"/>
    <n v="3"/>
    <n v="32"/>
    <n v="1"/>
    <d v="2020-06-02T00:00:00"/>
    <s v="No"/>
    <x v="0"/>
    <n v="3"/>
    <x v="0"/>
    <x v="0"/>
    <x v="0"/>
  </r>
  <r>
    <s v="REL03972"/>
    <s v="Female"/>
    <n v="47"/>
    <s v="Graduate"/>
    <s v="Divorced"/>
    <x v="5"/>
    <s v="Marketing Executive"/>
    <x v="4"/>
    <x v="4"/>
    <s v="North"/>
    <n v="5"/>
    <n v="64251"/>
    <x v="2"/>
    <n v="1"/>
    <n v="4"/>
    <n v="46"/>
    <n v="2"/>
    <d v="2018-08-17T00:00:00"/>
    <s v="Yes"/>
    <x v="0"/>
    <n v="2"/>
    <x v="0"/>
    <x v="1"/>
    <x v="1"/>
  </r>
  <r>
    <s v="REL03973"/>
    <s v="Male"/>
    <n v="24"/>
    <s v="BTech"/>
    <s v="Divorced"/>
    <x v="5"/>
    <s v="HR Manager"/>
    <x v="3"/>
    <x v="9"/>
    <s v="West"/>
    <n v="9"/>
    <n v="97164"/>
    <x v="1"/>
    <n v="4"/>
    <n v="2"/>
    <n v="16"/>
    <n v="1"/>
    <d v="2014-03-03T00:00:00"/>
    <s v="Yes"/>
    <x v="1"/>
    <n v="1"/>
    <x v="1"/>
    <x v="1"/>
    <x v="2"/>
  </r>
  <r>
    <s v="REL03974"/>
    <s v="Female"/>
    <n v="35"/>
    <s v="Post Graduate"/>
    <s v="Married"/>
    <x v="5"/>
    <s v="Finance Analyst"/>
    <x v="1"/>
    <x v="2"/>
    <s v="West"/>
    <n v="8"/>
    <n v="75010"/>
    <x v="3"/>
    <n v="1"/>
    <n v="4"/>
    <n v="16"/>
    <n v="2"/>
    <d v="2015-05-24T00:00:00"/>
    <s v="No"/>
    <x v="0"/>
    <n v="4"/>
    <x v="1"/>
    <x v="2"/>
    <x v="1"/>
  </r>
  <r>
    <s v="REL03975"/>
    <s v="Male"/>
    <n v="27"/>
    <s v="MBA"/>
    <s v="Divorced"/>
    <x v="5"/>
    <s v="Marketing Executive"/>
    <x v="4"/>
    <x v="7"/>
    <s v="East"/>
    <n v="12"/>
    <n v="70769"/>
    <x v="3"/>
    <n v="2"/>
    <n v="4"/>
    <n v="46"/>
    <n v="3"/>
    <d v="2011-08-09T00:00:00"/>
    <s v="No"/>
    <x v="0"/>
    <n v="4"/>
    <x v="2"/>
    <x v="2"/>
    <x v="1"/>
  </r>
  <r>
    <s v="REL03976"/>
    <s v="Male"/>
    <n v="25"/>
    <s v="Graduate"/>
    <s v="Married"/>
    <x v="2"/>
    <s v="Operations Head"/>
    <x v="1"/>
    <x v="5"/>
    <s v="South"/>
    <n v="4"/>
    <n v="93663"/>
    <x v="2"/>
    <n v="3"/>
    <n v="2"/>
    <n v="58"/>
    <n v="1"/>
    <d v="2019-06-16T00:00:00"/>
    <s v="No"/>
    <x v="1"/>
    <n v="2"/>
    <x v="0"/>
    <x v="0"/>
    <x v="1"/>
  </r>
  <r>
    <s v="REL03977"/>
    <s v="Female"/>
    <n v="48"/>
    <s v="Post Graduate"/>
    <s v="Single"/>
    <x v="1"/>
    <s v="Customer Service Rep"/>
    <x v="4"/>
    <x v="6"/>
    <s v="South"/>
    <n v="8"/>
    <n v="56390"/>
    <x v="3"/>
    <n v="3"/>
    <n v="3"/>
    <n v="27"/>
    <n v="0"/>
    <d v="2015-04-15T00:00:00"/>
    <s v="No"/>
    <x v="0"/>
    <n v="4"/>
    <x v="1"/>
    <x v="2"/>
    <x v="1"/>
  </r>
  <r>
    <s v="REL03978"/>
    <s v="Female"/>
    <n v="24"/>
    <s v="Graduate"/>
    <s v="Divorced"/>
    <x v="2"/>
    <s v="HR Manager"/>
    <x v="1"/>
    <x v="0"/>
    <s v="North"/>
    <n v="7"/>
    <n v="94397"/>
    <x v="1"/>
    <n v="1"/>
    <n v="3"/>
    <n v="66"/>
    <n v="3"/>
    <d v="2016-09-08T00:00:00"/>
    <s v="Yes"/>
    <x v="1"/>
    <n v="1"/>
    <x v="1"/>
    <x v="1"/>
    <x v="2"/>
  </r>
  <r>
    <s v="REL03979"/>
    <s v="Female"/>
    <n v="28"/>
    <s v="Post Graduate"/>
    <s v="Single"/>
    <x v="2"/>
    <s v="HR Manager"/>
    <x v="1"/>
    <x v="8"/>
    <s v="South"/>
    <n v="14"/>
    <n v="108177"/>
    <x v="3"/>
    <n v="3"/>
    <n v="2"/>
    <n v="78"/>
    <n v="1"/>
    <d v="2009-02-07T00:00:00"/>
    <s v="Yes"/>
    <x v="1"/>
    <n v="4"/>
    <x v="2"/>
    <x v="1"/>
    <x v="0"/>
  </r>
  <r>
    <s v="REL03980"/>
    <s v="Female"/>
    <n v="28"/>
    <s v="BTech"/>
    <s v="Divorced"/>
    <x v="6"/>
    <s v="Operations Head"/>
    <x v="2"/>
    <x v="9"/>
    <s v="West"/>
    <n v="4"/>
    <n v="107161"/>
    <x v="2"/>
    <n v="4"/>
    <n v="2"/>
    <n v="50"/>
    <n v="2"/>
    <d v="2019-06-26T00:00:00"/>
    <s v="No"/>
    <x v="1"/>
    <n v="2"/>
    <x v="0"/>
    <x v="0"/>
    <x v="1"/>
  </r>
  <r>
    <s v="REL03981"/>
    <s v="Female"/>
    <n v="33"/>
    <s v="MBA"/>
    <s v="Married"/>
    <x v="1"/>
    <s v="Finance Analyst"/>
    <x v="3"/>
    <x v="9"/>
    <s v="West"/>
    <n v="6"/>
    <n v="65638"/>
    <x v="2"/>
    <n v="4"/>
    <n v="2"/>
    <n v="25"/>
    <n v="0"/>
    <d v="2017-01-13T00:00:00"/>
    <s v="No"/>
    <x v="0"/>
    <n v="2"/>
    <x v="1"/>
    <x v="0"/>
    <x v="1"/>
  </r>
  <r>
    <s v="REL03982"/>
    <s v="Male"/>
    <n v="28"/>
    <s v="HSC"/>
    <s v="Married"/>
    <x v="2"/>
    <s v="Logistics Coordinator"/>
    <x v="2"/>
    <x v="9"/>
    <s v="West"/>
    <n v="4"/>
    <n v="57523"/>
    <x v="0"/>
    <n v="3"/>
    <n v="2"/>
    <n v="38"/>
    <n v="3"/>
    <d v="2019-11-11T00:00:00"/>
    <s v="No"/>
    <x v="0"/>
    <n v="3"/>
    <x v="0"/>
    <x v="0"/>
    <x v="0"/>
  </r>
  <r>
    <s v="REL03983"/>
    <s v="Female"/>
    <n v="27"/>
    <s v="Post Graduate"/>
    <s v="Married"/>
    <x v="7"/>
    <s v="Sales Executive"/>
    <x v="3"/>
    <x v="5"/>
    <s v="South"/>
    <n v="5"/>
    <n v="48207"/>
    <x v="3"/>
    <n v="3"/>
    <n v="2"/>
    <n v="29"/>
    <n v="1"/>
    <d v="2018-04-01T00:00:00"/>
    <s v="No"/>
    <x v="2"/>
    <n v="4"/>
    <x v="0"/>
    <x v="2"/>
    <x v="1"/>
  </r>
  <r>
    <s v="REL03984"/>
    <s v="Female"/>
    <n v="54"/>
    <s v="HSC"/>
    <s v="Single"/>
    <x v="0"/>
    <s v="Finance Analyst"/>
    <x v="3"/>
    <x v="7"/>
    <s v="East"/>
    <n v="3"/>
    <n v="70803"/>
    <x v="0"/>
    <n v="1"/>
    <n v="3"/>
    <n v="29"/>
    <n v="0"/>
    <d v="2020-07-12T00:00:00"/>
    <s v="No"/>
    <x v="0"/>
    <n v="3"/>
    <x v="0"/>
    <x v="0"/>
    <x v="0"/>
  </r>
  <r>
    <s v="REL03985"/>
    <s v="Female"/>
    <n v="48"/>
    <s v="MBA"/>
    <s v="Divorced"/>
    <x v="7"/>
    <s v="Logistics Coordinator"/>
    <x v="1"/>
    <x v="3"/>
    <s v="West"/>
    <n v="8"/>
    <n v="51149"/>
    <x v="2"/>
    <n v="4"/>
    <n v="2"/>
    <n v="33"/>
    <n v="3"/>
    <d v="2015-01-21T00:00:00"/>
    <s v="Yes"/>
    <x v="0"/>
    <n v="2"/>
    <x v="1"/>
    <x v="1"/>
    <x v="1"/>
  </r>
  <r>
    <s v="REL03986"/>
    <s v="Male"/>
    <n v="53"/>
    <s v="BTech"/>
    <s v="Divorced"/>
    <x v="1"/>
    <s v="Finance Analyst"/>
    <x v="3"/>
    <x v="1"/>
    <s v="North"/>
    <n v="14"/>
    <n v="97056"/>
    <x v="3"/>
    <n v="2"/>
    <n v="1"/>
    <n v="73"/>
    <n v="1"/>
    <d v="2009-03-05T00:00:00"/>
    <s v="No"/>
    <x v="1"/>
    <n v="4"/>
    <x v="2"/>
    <x v="2"/>
    <x v="0"/>
  </r>
  <r>
    <s v="REL03987"/>
    <s v="Male"/>
    <n v="54"/>
    <s v="Post Graduate"/>
    <s v="Single"/>
    <x v="2"/>
    <s v="Marketing Executive"/>
    <x v="4"/>
    <x v="5"/>
    <s v="South"/>
    <n v="15"/>
    <n v="83232"/>
    <x v="3"/>
    <n v="3"/>
    <n v="2"/>
    <n v="58"/>
    <n v="2"/>
    <d v="2008-08-14T00:00:00"/>
    <s v="No"/>
    <x v="1"/>
    <n v="4"/>
    <x v="2"/>
    <x v="2"/>
    <x v="0"/>
  </r>
  <r>
    <s v="REL03988"/>
    <s v="Male"/>
    <n v="43"/>
    <s v="Graduate"/>
    <s v="Married"/>
    <x v="7"/>
    <s v="Customer Service Rep"/>
    <x v="0"/>
    <x v="2"/>
    <s v="West"/>
    <n v="15"/>
    <n v="68473"/>
    <x v="2"/>
    <n v="3"/>
    <n v="4"/>
    <n v="69"/>
    <n v="2"/>
    <d v="2008-10-05T00:00:00"/>
    <s v="No"/>
    <x v="0"/>
    <n v="2"/>
    <x v="2"/>
    <x v="0"/>
    <x v="1"/>
  </r>
  <r>
    <s v="REL03989"/>
    <s v="Male"/>
    <n v="30"/>
    <s v="BTech"/>
    <s v="Divorced"/>
    <x v="0"/>
    <s v="Finance Analyst"/>
    <x v="0"/>
    <x v="1"/>
    <s v="North"/>
    <n v="5"/>
    <n v="69399"/>
    <x v="2"/>
    <n v="2"/>
    <n v="2"/>
    <n v="48"/>
    <n v="1"/>
    <d v="2018-12-30T00:00:00"/>
    <s v="No"/>
    <x v="0"/>
    <n v="2"/>
    <x v="0"/>
    <x v="0"/>
    <x v="1"/>
  </r>
  <r>
    <s v="REL03990"/>
    <s v="Male"/>
    <n v="29"/>
    <s v="Post Graduate"/>
    <s v="Divorced"/>
    <x v="2"/>
    <s v="Operations Head"/>
    <x v="0"/>
    <x v="9"/>
    <s v="West"/>
    <n v="14"/>
    <n v="119308"/>
    <x v="0"/>
    <n v="4"/>
    <n v="2"/>
    <n v="44"/>
    <n v="1"/>
    <d v="2009-02-01T00:00:00"/>
    <s v="No"/>
    <x v="1"/>
    <n v="3"/>
    <x v="2"/>
    <x v="0"/>
    <x v="0"/>
  </r>
  <r>
    <s v="REL03991"/>
    <s v="Female"/>
    <n v="36"/>
    <s v="MBA"/>
    <s v="Married"/>
    <x v="4"/>
    <s v="Logistics Coordinator"/>
    <x v="4"/>
    <x v="1"/>
    <s v="North"/>
    <n v="10"/>
    <n v="65371"/>
    <x v="1"/>
    <n v="1"/>
    <n v="2"/>
    <n v="29"/>
    <n v="0"/>
    <d v="2013-04-08T00:00:00"/>
    <s v="Yes"/>
    <x v="0"/>
    <n v="1"/>
    <x v="1"/>
    <x v="1"/>
    <x v="1"/>
  </r>
  <r>
    <s v="REL03992"/>
    <s v="Male"/>
    <n v="33"/>
    <s v="Post Graduate"/>
    <s v="Married"/>
    <x v="3"/>
    <s v="Store Manager"/>
    <x v="4"/>
    <x v="9"/>
    <s v="West"/>
    <n v="13"/>
    <n v="111812"/>
    <x v="2"/>
    <n v="4"/>
    <n v="1"/>
    <n v="39"/>
    <n v="1"/>
    <d v="2011-01-02T00:00:00"/>
    <s v="No"/>
    <x v="1"/>
    <n v="2"/>
    <x v="2"/>
    <x v="0"/>
    <x v="1"/>
  </r>
  <r>
    <s v="REL03993"/>
    <s v="Male"/>
    <n v="48"/>
    <s v="HSC"/>
    <s v="Single"/>
    <x v="1"/>
    <s v="Store Manager"/>
    <x v="2"/>
    <x v="0"/>
    <s v="North"/>
    <n v="9"/>
    <n v="94951"/>
    <x v="1"/>
    <n v="2"/>
    <n v="3"/>
    <n v="51"/>
    <n v="2"/>
    <d v="2014-07-29T00:00:00"/>
    <s v="No"/>
    <x v="1"/>
    <n v="1"/>
    <x v="1"/>
    <x v="0"/>
    <x v="2"/>
  </r>
  <r>
    <s v="REL03994"/>
    <s v="Male"/>
    <n v="41"/>
    <s v="HSC"/>
    <s v="Divorced"/>
    <x v="7"/>
    <s v="Store Manager"/>
    <x v="1"/>
    <x v="3"/>
    <s v="West"/>
    <n v="3"/>
    <n v="82243"/>
    <x v="0"/>
    <n v="1"/>
    <n v="2"/>
    <n v="15"/>
    <n v="3"/>
    <d v="2020-10-25T00:00:00"/>
    <s v="No"/>
    <x v="1"/>
    <n v="3"/>
    <x v="0"/>
    <x v="0"/>
    <x v="0"/>
  </r>
  <r>
    <s v="REL03995"/>
    <s v="Male"/>
    <n v="48"/>
    <s v="HSC"/>
    <s v="Single"/>
    <x v="0"/>
    <s v="Finance Analyst"/>
    <x v="1"/>
    <x v="0"/>
    <s v="North"/>
    <n v="6"/>
    <n v="63793"/>
    <x v="2"/>
    <n v="4"/>
    <n v="3"/>
    <n v="22"/>
    <n v="2"/>
    <d v="2017-11-01T00:00:00"/>
    <s v="No"/>
    <x v="0"/>
    <n v="2"/>
    <x v="1"/>
    <x v="0"/>
    <x v="1"/>
  </r>
  <r>
    <s v="REL03996"/>
    <s v="Male"/>
    <n v="45"/>
    <s v="Graduate"/>
    <s v="Single"/>
    <x v="2"/>
    <s v="HR Manager"/>
    <x v="1"/>
    <x v="0"/>
    <s v="North"/>
    <n v="3"/>
    <n v="80420"/>
    <x v="0"/>
    <n v="1"/>
    <n v="2"/>
    <n v="41"/>
    <n v="1"/>
    <d v="2020-09-09T00:00:00"/>
    <s v="Yes"/>
    <x v="1"/>
    <n v="3"/>
    <x v="0"/>
    <x v="1"/>
    <x v="0"/>
  </r>
  <r>
    <s v="REL03997"/>
    <s v="Male"/>
    <n v="40"/>
    <s v="Post Graduate"/>
    <s v="Married"/>
    <x v="3"/>
    <s v="HR Manager"/>
    <x v="4"/>
    <x v="5"/>
    <s v="South"/>
    <n v="10"/>
    <n v="102702"/>
    <x v="0"/>
    <n v="2"/>
    <n v="3"/>
    <n v="14"/>
    <n v="1"/>
    <d v="2013-04-19T00:00:00"/>
    <s v="No"/>
    <x v="1"/>
    <n v="3"/>
    <x v="1"/>
    <x v="0"/>
    <x v="0"/>
  </r>
  <r>
    <s v="REL03998"/>
    <s v="Female"/>
    <n v="36"/>
    <s v="Post Graduate"/>
    <s v="Single"/>
    <x v="2"/>
    <s v="Sales Executive"/>
    <x v="0"/>
    <x v="6"/>
    <s v="South"/>
    <n v="7"/>
    <n v="45717"/>
    <x v="3"/>
    <n v="1"/>
    <n v="3"/>
    <n v="71"/>
    <n v="2"/>
    <d v="2016-03-01T00:00:00"/>
    <s v="Yes"/>
    <x v="2"/>
    <n v="4"/>
    <x v="1"/>
    <x v="1"/>
    <x v="1"/>
  </r>
  <r>
    <s v="REL03999"/>
    <s v="Female"/>
    <n v="29"/>
    <s v="BTech"/>
    <s v="Divorced"/>
    <x v="2"/>
    <s v="Customer Service Rep"/>
    <x v="0"/>
    <x v="6"/>
    <s v="South"/>
    <n v="11"/>
    <n v="50951"/>
    <x v="0"/>
    <n v="4"/>
    <n v="1"/>
    <n v="72"/>
    <n v="3"/>
    <d v="2012-02-07T00:00:00"/>
    <s v="No"/>
    <x v="0"/>
    <n v="3"/>
    <x v="2"/>
    <x v="0"/>
    <x v="0"/>
  </r>
  <r>
    <s v="REL04000"/>
    <s v="Female"/>
    <n v="50"/>
    <s v="Graduate"/>
    <s v="Single"/>
    <x v="0"/>
    <s v="Customer Service Rep"/>
    <x v="4"/>
    <x v="5"/>
    <s v="South"/>
    <n v="2"/>
    <n v="38055"/>
    <x v="3"/>
    <n v="3"/>
    <n v="1"/>
    <n v="10"/>
    <n v="2"/>
    <d v="2021-11-04T00:00:00"/>
    <s v="No"/>
    <x v="2"/>
    <n v="4"/>
    <x v="3"/>
    <x v="2"/>
    <x v="1"/>
  </r>
  <r>
    <s v="REL04001"/>
    <s v="Male"/>
    <n v="23"/>
    <s v="BTech"/>
    <s v="Divorced"/>
    <x v="3"/>
    <s v="Customer Service Rep"/>
    <x v="4"/>
    <x v="1"/>
    <s v="North"/>
    <n v="5"/>
    <n v="47466"/>
    <x v="1"/>
    <n v="2"/>
    <n v="2"/>
    <n v="73"/>
    <n v="1"/>
    <d v="2018-02-16T00:00:00"/>
    <s v="No"/>
    <x v="2"/>
    <n v="1"/>
    <x v="0"/>
    <x v="0"/>
    <x v="1"/>
  </r>
  <r>
    <s v="REL04002"/>
    <s v="Male"/>
    <n v="25"/>
    <s v="HSC"/>
    <s v="Married"/>
    <x v="5"/>
    <s v="Finance Analyst"/>
    <x v="2"/>
    <x v="2"/>
    <s v="West"/>
    <n v="10"/>
    <n v="74286"/>
    <x v="0"/>
    <n v="3"/>
    <n v="4"/>
    <n v="69"/>
    <n v="0"/>
    <d v="2013-02-11T00:00:00"/>
    <s v="No"/>
    <x v="0"/>
    <n v="3"/>
    <x v="1"/>
    <x v="0"/>
    <x v="0"/>
  </r>
  <r>
    <s v="REL04003"/>
    <s v="Male"/>
    <n v="23"/>
    <s v="HSC"/>
    <s v="Divorced"/>
    <x v="7"/>
    <s v="Operations Head"/>
    <x v="4"/>
    <x v="2"/>
    <s v="West"/>
    <n v="8"/>
    <n v="109881"/>
    <x v="0"/>
    <n v="4"/>
    <n v="2"/>
    <n v="51"/>
    <n v="1"/>
    <d v="2015-11-15T00:00:00"/>
    <s v="Yes"/>
    <x v="1"/>
    <n v="3"/>
    <x v="1"/>
    <x v="1"/>
    <x v="0"/>
  </r>
  <r>
    <s v="REL04004"/>
    <s v="Female"/>
    <n v="54"/>
    <s v="MBA"/>
    <s v="Divorced"/>
    <x v="3"/>
    <s v="Store Manager"/>
    <x v="0"/>
    <x v="5"/>
    <s v="South"/>
    <n v="13"/>
    <n v="116013"/>
    <x v="1"/>
    <n v="4"/>
    <n v="1"/>
    <n v="33"/>
    <n v="0"/>
    <d v="2010-06-16T00:00:00"/>
    <s v="Yes"/>
    <x v="1"/>
    <n v="1"/>
    <x v="2"/>
    <x v="1"/>
    <x v="2"/>
  </r>
  <r>
    <s v="REL04005"/>
    <s v="Female"/>
    <n v="27"/>
    <s v="MBA"/>
    <s v="Married"/>
    <x v="3"/>
    <s v="Store Manager"/>
    <x v="1"/>
    <x v="6"/>
    <s v="South"/>
    <n v="5"/>
    <n v="93785"/>
    <x v="2"/>
    <n v="3"/>
    <n v="3"/>
    <n v="17"/>
    <n v="0"/>
    <d v="2018-10-22T00:00:00"/>
    <s v="Yes"/>
    <x v="1"/>
    <n v="2"/>
    <x v="0"/>
    <x v="1"/>
    <x v="1"/>
  </r>
  <r>
    <s v="REL04006"/>
    <s v="Male"/>
    <n v="48"/>
    <s v="Graduate"/>
    <s v="Married"/>
    <x v="6"/>
    <s v="Operations Head"/>
    <x v="2"/>
    <x v="7"/>
    <s v="East"/>
    <n v="6"/>
    <n v="113985"/>
    <x v="0"/>
    <n v="3"/>
    <n v="2"/>
    <n v="66"/>
    <n v="0"/>
    <d v="2017-02-18T00:00:00"/>
    <s v="Yes"/>
    <x v="1"/>
    <n v="3"/>
    <x v="1"/>
    <x v="1"/>
    <x v="0"/>
  </r>
  <r>
    <s v="REL04007"/>
    <s v="Male"/>
    <n v="52"/>
    <s v="Post Graduate"/>
    <s v="Divorced"/>
    <x v="7"/>
    <s v="Logistics Coordinator"/>
    <x v="4"/>
    <x v="8"/>
    <s v="South"/>
    <n v="11"/>
    <n v="66866"/>
    <x v="2"/>
    <n v="1"/>
    <n v="2"/>
    <n v="61"/>
    <n v="0"/>
    <d v="2012-05-12T00:00:00"/>
    <s v="No"/>
    <x v="0"/>
    <n v="2"/>
    <x v="2"/>
    <x v="0"/>
    <x v="1"/>
  </r>
  <r>
    <s v="REL04008"/>
    <s v="Male"/>
    <n v="23"/>
    <s v="BTech"/>
    <s v="Divorced"/>
    <x v="1"/>
    <s v="Marketing Executive"/>
    <x v="2"/>
    <x v="7"/>
    <s v="East"/>
    <n v="6"/>
    <n v="58289"/>
    <x v="2"/>
    <n v="2"/>
    <n v="4"/>
    <n v="68"/>
    <n v="1"/>
    <d v="2017-08-03T00:00:00"/>
    <s v="No"/>
    <x v="0"/>
    <n v="2"/>
    <x v="1"/>
    <x v="0"/>
    <x v="1"/>
  </r>
  <r>
    <s v="REL04009"/>
    <s v="Male"/>
    <n v="24"/>
    <s v="HSC"/>
    <s v="Married"/>
    <x v="2"/>
    <s v="Store Manager"/>
    <x v="4"/>
    <x v="5"/>
    <s v="South"/>
    <n v="15"/>
    <n v="121494"/>
    <x v="0"/>
    <n v="3"/>
    <n v="3"/>
    <n v="77"/>
    <n v="0"/>
    <d v="2008-01-18T00:00:00"/>
    <s v="No"/>
    <x v="1"/>
    <n v="3"/>
    <x v="2"/>
    <x v="0"/>
    <x v="0"/>
  </r>
  <r>
    <s v="REL04010"/>
    <s v="Female"/>
    <n v="27"/>
    <s v="BTech"/>
    <s v="Married"/>
    <x v="4"/>
    <s v="Customer Service Rep"/>
    <x v="0"/>
    <x v="5"/>
    <s v="South"/>
    <n v="6"/>
    <n v="51323"/>
    <x v="3"/>
    <n v="3"/>
    <n v="2"/>
    <n v="54"/>
    <n v="0"/>
    <d v="2017-02-21T00:00:00"/>
    <s v="No"/>
    <x v="0"/>
    <n v="4"/>
    <x v="1"/>
    <x v="2"/>
    <x v="1"/>
  </r>
  <r>
    <s v="REL04011"/>
    <s v="Female"/>
    <n v="45"/>
    <s v="HSC"/>
    <s v="Divorced"/>
    <x v="4"/>
    <s v="Store Manager"/>
    <x v="0"/>
    <x v="8"/>
    <s v="South"/>
    <n v="13"/>
    <n v="120429"/>
    <x v="0"/>
    <n v="1"/>
    <n v="2"/>
    <n v="77"/>
    <n v="1"/>
    <d v="2010-08-14T00:00:00"/>
    <s v="No"/>
    <x v="1"/>
    <n v="3"/>
    <x v="2"/>
    <x v="0"/>
    <x v="0"/>
  </r>
  <r>
    <s v="REL04012"/>
    <s v="Male"/>
    <n v="31"/>
    <s v="BTech"/>
    <s v="Divorced"/>
    <x v="2"/>
    <s v="Operations Head"/>
    <x v="3"/>
    <x v="0"/>
    <s v="North"/>
    <n v="15"/>
    <n v="123843"/>
    <x v="2"/>
    <n v="3"/>
    <n v="4"/>
    <n v="47"/>
    <n v="1"/>
    <d v="2008-10-02T00:00:00"/>
    <s v="No"/>
    <x v="1"/>
    <n v="2"/>
    <x v="2"/>
    <x v="0"/>
    <x v="1"/>
  </r>
  <r>
    <s v="REL04013"/>
    <s v="Female"/>
    <n v="50"/>
    <s v="BTech"/>
    <s v="Divorced"/>
    <x v="6"/>
    <s v="Operations Head"/>
    <x v="2"/>
    <x v="9"/>
    <s v="West"/>
    <n v="14"/>
    <n v="123511"/>
    <x v="3"/>
    <n v="4"/>
    <n v="3"/>
    <n v="18"/>
    <n v="3"/>
    <d v="2009-12-24T00:00:00"/>
    <s v="No"/>
    <x v="1"/>
    <n v="4"/>
    <x v="2"/>
    <x v="2"/>
    <x v="0"/>
  </r>
  <r>
    <s v="REL04014"/>
    <s v="Male"/>
    <n v="32"/>
    <s v="Graduate"/>
    <s v="Single"/>
    <x v="3"/>
    <s v="Customer Service Rep"/>
    <x v="1"/>
    <x v="5"/>
    <s v="South"/>
    <n v="1"/>
    <n v="45471"/>
    <x v="3"/>
    <n v="3"/>
    <n v="4"/>
    <n v="30"/>
    <n v="1"/>
    <d v="2022-07-07T00:00:00"/>
    <s v="No"/>
    <x v="2"/>
    <n v="4"/>
    <x v="3"/>
    <x v="2"/>
    <x v="1"/>
  </r>
  <r>
    <s v="REL04015"/>
    <s v="Male"/>
    <n v="22"/>
    <s v="Graduate"/>
    <s v="Divorced"/>
    <x v="2"/>
    <s v="Customer Service Rep"/>
    <x v="3"/>
    <x v="0"/>
    <s v="North"/>
    <n v="6"/>
    <n v="49785"/>
    <x v="1"/>
    <n v="3"/>
    <n v="2"/>
    <n v="35"/>
    <n v="2"/>
    <d v="2017-05-29T00:00:00"/>
    <s v="No"/>
    <x v="2"/>
    <n v="1"/>
    <x v="1"/>
    <x v="0"/>
    <x v="1"/>
  </r>
  <r>
    <s v="REL04016"/>
    <s v="Female"/>
    <n v="43"/>
    <s v="MBA"/>
    <s v="Divorced"/>
    <x v="0"/>
    <s v="Operations Head"/>
    <x v="4"/>
    <x v="4"/>
    <s v="North"/>
    <n v="7"/>
    <n v="99416"/>
    <x v="2"/>
    <n v="3"/>
    <n v="1"/>
    <n v="43"/>
    <n v="3"/>
    <d v="2016-01-27T00:00:00"/>
    <s v="No"/>
    <x v="1"/>
    <n v="2"/>
    <x v="1"/>
    <x v="0"/>
    <x v="1"/>
  </r>
  <r>
    <s v="REL04017"/>
    <s v="Female"/>
    <n v="51"/>
    <s v="HSC"/>
    <s v="Divorced"/>
    <x v="1"/>
    <s v="Marketing Executive"/>
    <x v="0"/>
    <x v="9"/>
    <s v="West"/>
    <n v="12"/>
    <n v="76553"/>
    <x v="0"/>
    <n v="1"/>
    <n v="4"/>
    <n v="25"/>
    <n v="3"/>
    <d v="2011-06-30T00:00:00"/>
    <s v="No"/>
    <x v="0"/>
    <n v="3"/>
    <x v="2"/>
    <x v="0"/>
    <x v="0"/>
  </r>
  <r>
    <s v="REL04018"/>
    <s v="Female"/>
    <n v="35"/>
    <s v="Post Graduate"/>
    <s v="Married"/>
    <x v="6"/>
    <s v="Finance Analyst"/>
    <x v="3"/>
    <x v="7"/>
    <s v="East"/>
    <n v="15"/>
    <n v="93172"/>
    <x v="2"/>
    <n v="3"/>
    <n v="3"/>
    <n v="75"/>
    <n v="3"/>
    <d v="2008-12-29T00:00:00"/>
    <s v="No"/>
    <x v="1"/>
    <n v="2"/>
    <x v="2"/>
    <x v="0"/>
    <x v="1"/>
  </r>
  <r>
    <s v="REL04019"/>
    <s v="Female"/>
    <n v="36"/>
    <s v="BTech"/>
    <s v="Single"/>
    <x v="7"/>
    <s v="Logistics Coordinator"/>
    <x v="4"/>
    <x v="0"/>
    <s v="North"/>
    <n v="1"/>
    <n v="55689"/>
    <x v="3"/>
    <n v="3"/>
    <n v="4"/>
    <n v="29"/>
    <n v="1"/>
    <d v="2022-05-11T00:00:00"/>
    <s v="No"/>
    <x v="0"/>
    <n v="4"/>
    <x v="3"/>
    <x v="2"/>
    <x v="1"/>
  </r>
  <r>
    <s v="REL04020"/>
    <s v="Female"/>
    <n v="33"/>
    <s v="BTech"/>
    <s v="Single"/>
    <x v="4"/>
    <s v="HR Manager"/>
    <x v="2"/>
    <x v="8"/>
    <s v="South"/>
    <n v="10"/>
    <n v="101490"/>
    <x v="1"/>
    <n v="4"/>
    <n v="3"/>
    <n v="66"/>
    <n v="3"/>
    <d v="2013-07-11T00:00:00"/>
    <s v="Yes"/>
    <x v="1"/>
    <n v="1"/>
    <x v="1"/>
    <x v="1"/>
    <x v="2"/>
  </r>
  <r>
    <s v="REL04021"/>
    <s v="Male"/>
    <n v="52"/>
    <s v="BTech"/>
    <s v="Married"/>
    <x v="2"/>
    <s v="Marketing Executive"/>
    <x v="3"/>
    <x v="8"/>
    <s v="South"/>
    <n v="4"/>
    <n v="61589"/>
    <x v="0"/>
    <n v="4"/>
    <n v="4"/>
    <n v="15"/>
    <n v="2"/>
    <d v="2019-11-04T00:00:00"/>
    <s v="Yes"/>
    <x v="0"/>
    <n v="3"/>
    <x v="0"/>
    <x v="1"/>
    <x v="0"/>
  </r>
  <r>
    <s v="REL04022"/>
    <s v="Female"/>
    <n v="41"/>
    <s v="BTech"/>
    <s v="Divorced"/>
    <x v="4"/>
    <s v="Customer Service Rep"/>
    <x v="0"/>
    <x v="5"/>
    <s v="South"/>
    <n v="4"/>
    <n v="50944"/>
    <x v="3"/>
    <n v="1"/>
    <n v="4"/>
    <n v="23"/>
    <n v="2"/>
    <d v="2019-05-28T00:00:00"/>
    <s v="Yes"/>
    <x v="0"/>
    <n v="4"/>
    <x v="0"/>
    <x v="1"/>
    <x v="1"/>
  </r>
  <r>
    <s v="REL04023"/>
    <s v="Female"/>
    <n v="49"/>
    <s v="Graduate"/>
    <s v="Single"/>
    <x v="4"/>
    <s v="Store Manager"/>
    <x v="1"/>
    <x v="2"/>
    <s v="West"/>
    <n v="7"/>
    <n v="106138"/>
    <x v="1"/>
    <n v="4"/>
    <n v="2"/>
    <n v="31"/>
    <n v="2"/>
    <d v="2016-06-16T00:00:00"/>
    <s v="Yes"/>
    <x v="1"/>
    <n v="1"/>
    <x v="1"/>
    <x v="1"/>
    <x v="2"/>
  </r>
  <r>
    <s v="REL04024"/>
    <s v="Male"/>
    <n v="27"/>
    <s v="MBA"/>
    <s v="Single"/>
    <x v="6"/>
    <s v="Finance Analyst"/>
    <x v="3"/>
    <x v="6"/>
    <s v="South"/>
    <n v="3"/>
    <n v="59227"/>
    <x v="0"/>
    <n v="4"/>
    <n v="4"/>
    <n v="53"/>
    <n v="3"/>
    <d v="2020-02-15T00:00:00"/>
    <s v="No"/>
    <x v="0"/>
    <n v="3"/>
    <x v="0"/>
    <x v="0"/>
    <x v="0"/>
  </r>
  <r>
    <s v="REL04025"/>
    <s v="Female"/>
    <n v="32"/>
    <s v="Post Graduate"/>
    <s v="Married"/>
    <x v="7"/>
    <s v="Store Manager"/>
    <x v="2"/>
    <x v="2"/>
    <s v="West"/>
    <n v="7"/>
    <n v="105009"/>
    <x v="3"/>
    <n v="3"/>
    <n v="4"/>
    <n v="62"/>
    <n v="0"/>
    <d v="2016-04-23T00:00:00"/>
    <s v="No"/>
    <x v="1"/>
    <n v="4"/>
    <x v="1"/>
    <x v="2"/>
    <x v="0"/>
  </r>
  <r>
    <s v="REL04026"/>
    <s v="Male"/>
    <n v="32"/>
    <s v="MBA"/>
    <s v="Single"/>
    <x v="7"/>
    <s v="Finance Analyst"/>
    <x v="3"/>
    <x v="8"/>
    <s v="South"/>
    <n v="6"/>
    <n v="65873"/>
    <x v="1"/>
    <n v="2"/>
    <n v="2"/>
    <n v="42"/>
    <n v="2"/>
    <d v="2017-12-19T00:00:00"/>
    <s v="Yes"/>
    <x v="0"/>
    <n v="1"/>
    <x v="1"/>
    <x v="1"/>
    <x v="1"/>
  </r>
  <r>
    <s v="REL04027"/>
    <s v="Female"/>
    <n v="39"/>
    <s v="BTech"/>
    <s v="Divorced"/>
    <x v="7"/>
    <s v="Operations Head"/>
    <x v="2"/>
    <x v="7"/>
    <s v="East"/>
    <n v="12"/>
    <n v="128485"/>
    <x v="2"/>
    <n v="2"/>
    <n v="4"/>
    <n v="22"/>
    <n v="2"/>
    <d v="2011-05-16T00:00:00"/>
    <s v="Yes"/>
    <x v="1"/>
    <n v="2"/>
    <x v="2"/>
    <x v="1"/>
    <x v="1"/>
  </r>
  <r>
    <s v="REL04028"/>
    <s v="Male"/>
    <n v="35"/>
    <s v="BTech"/>
    <s v="Divorced"/>
    <x v="2"/>
    <s v="Finance Analyst"/>
    <x v="4"/>
    <x v="1"/>
    <s v="North"/>
    <n v="15"/>
    <n v="96804"/>
    <x v="2"/>
    <n v="1"/>
    <n v="4"/>
    <n v="11"/>
    <n v="1"/>
    <d v="2008-03-23T00:00:00"/>
    <s v="Yes"/>
    <x v="1"/>
    <n v="2"/>
    <x v="2"/>
    <x v="1"/>
    <x v="1"/>
  </r>
  <r>
    <s v="REL04029"/>
    <s v="Male"/>
    <n v="24"/>
    <s v="BTech"/>
    <s v="Married"/>
    <x v="2"/>
    <s v="Logistics Coordinator"/>
    <x v="0"/>
    <x v="5"/>
    <s v="South"/>
    <n v="13"/>
    <n v="76836"/>
    <x v="1"/>
    <n v="1"/>
    <n v="2"/>
    <n v="79"/>
    <n v="3"/>
    <d v="2010-09-28T00:00:00"/>
    <s v="Yes"/>
    <x v="0"/>
    <n v="1"/>
    <x v="2"/>
    <x v="1"/>
    <x v="1"/>
  </r>
  <r>
    <s v="REL04030"/>
    <s v="Female"/>
    <n v="48"/>
    <s v="BTech"/>
    <s v="Single"/>
    <x v="6"/>
    <s v="HR Manager"/>
    <x v="1"/>
    <x v="3"/>
    <s v="West"/>
    <n v="12"/>
    <n v="99078"/>
    <x v="1"/>
    <n v="1"/>
    <n v="1"/>
    <n v="34"/>
    <n v="0"/>
    <d v="2011-03-01T00:00:00"/>
    <s v="No"/>
    <x v="1"/>
    <n v="1"/>
    <x v="2"/>
    <x v="0"/>
    <x v="2"/>
  </r>
  <r>
    <s v="REL04031"/>
    <s v="Male"/>
    <n v="46"/>
    <s v="Graduate"/>
    <s v="Married"/>
    <x v="7"/>
    <s v="Store Manager"/>
    <x v="0"/>
    <x v="1"/>
    <s v="North"/>
    <n v="4"/>
    <n v="91472"/>
    <x v="1"/>
    <n v="4"/>
    <n v="1"/>
    <n v="35"/>
    <n v="0"/>
    <d v="2019-08-18T00:00:00"/>
    <s v="Yes"/>
    <x v="1"/>
    <n v="1"/>
    <x v="0"/>
    <x v="1"/>
    <x v="2"/>
  </r>
  <r>
    <s v="REL04032"/>
    <s v="Male"/>
    <n v="22"/>
    <s v="HSC"/>
    <s v="Divorced"/>
    <x v="1"/>
    <s v="Customer Service Rep"/>
    <x v="0"/>
    <x v="2"/>
    <s v="West"/>
    <n v="9"/>
    <n v="49351"/>
    <x v="2"/>
    <n v="1"/>
    <n v="1"/>
    <n v="50"/>
    <n v="3"/>
    <d v="2014-06-03T00:00:00"/>
    <s v="No"/>
    <x v="2"/>
    <n v="2"/>
    <x v="1"/>
    <x v="0"/>
    <x v="1"/>
  </r>
  <r>
    <s v="REL04033"/>
    <s v="Male"/>
    <n v="54"/>
    <s v="MBA"/>
    <s v="Single"/>
    <x v="7"/>
    <s v="Store Manager"/>
    <x v="0"/>
    <x v="8"/>
    <s v="South"/>
    <n v="13"/>
    <n v="106546"/>
    <x v="2"/>
    <n v="2"/>
    <n v="2"/>
    <n v="68"/>
    <n v="1"/>
    <d v="2010-03-08T00:00:00"/>
    <s v="No"/>
    <x v="1"/>
    <n v="2"/>
    <x v="2"/>
    <x v="0"/>
    <x v="1"/>
  </r>
  <r>
    <s v="REL04034"/>
    <s v="Male"/>
    <n v="29"/>
    <s v="BTech"/>
    <s v="Divorced"/>
    <x v="4"/>
    <s v="Store Manager"/>
    <x v="0"/>
    <x v="7"/>
    <s v="East"/>
    <n v="6"/>
    <n v="98204"/>
    <x v="2"/>
    <n v="3"/>
    <n v="2"/>
    <n v="60"/>
    <n v="0"/>
    <d v="2017-09-21T00:00:00"/>
    <s v="No"/>
    <x v="1"/>
    <n v="2"/>
    <x v="1"/>
    <x v="0"/>
    <x v="1"/>
  </r>
  <r>
    <s v="REL04035"/>
    <s v="Male"/>
    <n v="49"/>
    <s v="Post Graduate"/>
    <s v="Single"/>
    <x v="5"/>
    <s v="Operations Head"/>
    <x v="3"/>
    <x v="8"/>
    <s v="South"/>
    <n v="14"/>
    <n v="125050"/>
    <x v="0"/>
    <n v="3"/>
    <n v="1"/>
    <n v="27"/>
    <n v="0"/>
    <d v="2009-06-01T00:00:00"/>
    <s v="No"/>
    <x v="1"/>
    <n v="3"/>
    <x v="2"/>
    <x v="0"/>
    <x v="0"/>
  </r>
  <r>
    <s v="REL04036"/>
    <s v="Female"/>
    <n v="47"/>
    <s v="BTech"/>
    <s v="Divorced"/>
    <x v="1"/>
    <s v="Sales Executive"/>
    <x v="3"/>
    <x v="2"/>
    <s v="West"/>
    <n v="4"/>
    <n v="53094"/>
    <x v="1"/>
    <n v="2"/>
    <n v="4"/>
    <n v="52"/>
    <n v="3"/>
    <d v="2019-09-23T00:00:00"/>
    <s v="Yes"/>
    <x v="0"/>
    <n v="1"/>
    <x v="0"/>
    <x v="1"/>
    <x v="1"/>
  </r>
  <r>
    <s v="REL04037"/>
    <s v="Male"/>
    <n v="49"/>
    <s v="Post Graduate"/>
    <s v="Divorced"/>
    <x v="0"/>
    <s v="Store Manager"/>
    <x v="4"/>
    <x v="3"/>
    <s v="West"/>
    <n v="11"/>
    <n v="104943"/>
    <x v="2"/>
    <n v="2"/>
    <n v="2"/>
    <n v="51"/>
    <n v="3"/>
    <d v="2012-09-21T00:00:00"/>
    <s v="No"/>
    <x v="1"/>
    <n v="2"/>
    <x v="2"/>
    <x v="0"/>
    <x v="1"/>
  </r>
  <r>
    <s v="REL04038"/>
    <s v="Male"/>
    <n v="33"/>
    <s v="Graduate"/>
    <s v="Married"/>
    <x v="2"/>
    <s v="Marketing Executive"/>
    <x v="2"/>
    <x v="6"/>
    <s v="South"/>
    <n v="14"/>
    <n v="75841"/>
    <x v="2"/>
    <n v="4"/>
    <n v="3"/>
    <n v="26"/>
    <n v="0"/>
    <d v="2009-05-21T00:00:00"/>
    <s v="No"/>
    <x v="0"/>
    <n v="2"/>
    <x v="2"/>
    <x v="0"/>
    <x v="1"/>
  </r>
  <r>
    <s v="REL04039"/>
    <s v="Female"/>
    <n v="24"/>
    <s v="Post Graduate"/>
    <s v="Married"/>
    <x v="6"/>
    <s v="HR Manager"/>
    <x v="4"/>
    <x v="5"/>
    <s v="South"/>
    <n v="9"/>
    <n v="100391"/>
    <x v="1"/>
    <n v="3"/>
    <n v="4"/>
    <n v="49"/>
    <n v="2"/>
    <d v="2014-10-27T00:00:00"/>
    <s v="Yes"/>
    <x v="1"/>
    <n v="1"/>
    <x v="1"/>
    <x v="1"/>
    <x v="2"/>
  </r>
  <r>
    <s v="REL04040"/>
    <s v="Female"/>
    <n v="24"/>
    <s v="BTech"/>
    <s v="Divorced"/>
    <x v="2"/>
    <s v="Store Manager"/>
    <x v="4"/>
    <x v="5"/>
    <s v="South"/>
    <n v="7"/>
    <n v="104650"/>
    <x v="1"/>
    <n v="4"/>
    <n v="4"/>
    <n v="49"/>
    <n v="2"/>
    <d v="2016-01-24T00:00:00"/>
    <s v="Yes"/>
    <x v="1"/>
    <n v="1"/>
    <x v="1"/>
    <x v="1"/>
    <x v="2"/>
  </r>
  <r>
    <s v="REL04041"/>
    <s v="Male"/>
    <n v="45"/>
    <s v="MBA"/>
    <s v="Single"/>
    <x v="5"/>
    <s v="Customer Service Rep"/>
    <x v="1"/>
    <x v="5"/>
    <s v="South"/>
    <n v="5"/>
    <n v="51148"/>
    <x v="0"/>
    <n v="2"/>
    <n v="4"/>
    <n v="12"/>
    <n v="3"/>
    <d v="2018-06-08T00:00:00"/>
    <s v="Yes"/>
    <x v="0"/>
    <n v="3"/>
    <x v="0"/>
    <x v="1"/>
    <x v="0"/>
  </r>
  <r>
    <s v="REL04042"/>
    <s v="Male"/>
    <n v="23"/>
    <s v="Post Graduate"/>
    <s v="Married"/>
    <x v="0"/>
    <s v="HR Manager"/>
    <x v="4"/>
    <x v="0"/>
    <s v="North"/>
    <n v="11"/>
    <n v="93981"/>
    <x v="0"/>
    <n v="4"/>
    <n v="2"/>
    <n v="64"/>
    <n v="2"/>
    <d v="2012-10-03T00:00:00"/>
    <s v="Yes"/>
    <x v="1"/>
    <n v="3"/>
    <x v="2"/>
    <x v="1"/>
    <x v="0"/>
  </r>
  <r>
    <s v="REL04043"/>
    <s v="Male"/>
    <n v="39"/>
    <s v="Post Graduate"/>
    <s v="Single"/>
    <x v="1"/>
    <s v="Store Manager"/>
    <x v="4"/>
    <x v="9"/>
    <s v="West"/>
    <n v="7"/>
    <n v="95479"/>
    <x v="3"/>
    <n v="4"/>
    <n v="2"/>
    <n v="74"/>
    <n v="2"/>
    <d v="2016-12-19T00:00:00"/>
    <s v="No"/>
    <x v="1"/>
    <n v="4"/>
    <x v="1"/>
    <x v="2"/>
    <x v="0"/>
  </r>
  <r>
    <s v="REL04044"/>
    <s v="Female"/>
    <n v="55"/>
    <s v="BTech"/>
    <s v="Divorced"/>
    <x v="0"/>
    <s v="Customer Service Rep"/>
    <x v="0"/>
    <x v="1"/>
    <s v="North"/>
    <n v="5"/>
    <n v="38266"/>
    <x v="0"/>
    <n v="2"/>
    <n v="2"/>
    <n v="19"/>
    <n v="0"/>
    <d v="2018-01-30T00:00:00"/>
    <s v="Yes"/>
    <x v="2"/>
    <n v="3"/>
    <x v="0"/>
    <x v="1"/>
    <x v="1"/>
  </r>
  <r>
    <s v="REL04045"/>
    <s v="Female"/>
    <n v="46"/>
    <s v="MBA"/>
    <s v="Married"/>
    <x v="1"/>
    <s v="Customer Service Rep"/>
    <x v="3"/>
    <x v="8"/>
    <s v="South"/>
    <n v="9"/>
    <n v="60304"/>
    <x v="1"/>
    <n v="4"/>
    <n v="4"/>
    <n v="77"/>
    <n v="1"/>
    <d v="2014-09-26T00:00:00"/>
    <s v="Yes"/>
    <x v="0"/>
    <n v="1"/>
    <x v="1"/>
    <x v="1"/>
    <x v="1"/>
  </r>
  <r>
    <s v="REL04046"/>
    <s v="Male"/>
    <n v="54"/>
    <s v="MBA"/>
    <s v="Married"/>
    <x v="1"/>
    <s v="Finance Analyst"/>
    <x v="4"/>
    <x v="4"/>
    <s v="North"/>
    <n v="12"/>
    <n v="80840"/>
    <x v="3"/>
    <n v="3"/>
    <n v="4"/>
    <n v="44"/>
    <n v="1"/>
    <d v="2011-12-28T00:00:00"/>
    <s v="No"/>
    <x v="1"/>
    <n v="4"/>
    <x v="2"/>
    <x v="2"/>
    <x v="0"/>
  </r>
  <r>
    <s v="REL04047"/>
    <s v="Female"/>
    <n v="44"/>
    <s v="HSC"/>
    <s v="Single"/>
    <x v="5"/>
    <s v="Finance Analyst"/>
    <x v="4"/>
    <x v="1"/>
    <s v="North"/>
    <n v="6"/>
    <n v="63003"/>
    <x v="0"/>
    <n v="2"/>
    <n v="3"/>
    <n v="75"/>
    <n v="3"/>
    <d v="2017-08-19T00:00:00"/>
    <s v="No"/>
    <x v="0"/>
    <n v="3"/>
    <x v="1"/>
    <x v="0"/>
    <x v="0"/>
  </r>
  <r>
    <s v="REL04048"/>
    <s v="Female"/>
    <n v="40"/>
    <s v="MBA"/>
    <s v="Divorced"/>
    <x v="3"/>
    <s v="Operations Head"/>
    <x v="4"/>
    <x v="8"/>
    <s v="South"/>
    <n v="10"/>
    <n v="112648"/>
    <x v="3"/>
    <n v="3"/>
    <n v="2"/>
    <n v="10"/>
    <n v="0"/>
    <d v="2013-12-12T00:00:00"/>
    <s v="No"/>
    <x v="1"/>
    <n v="4"/>
    <x v="1"/>
    <x v="2"/>
    <x v="0"/>
  </r>
  <r>
    <s v="REL04049"/>
    <s v="Male"/>
    <n v="45"/>
    <s v="MBA"/>
    <s v="Married"/>
    <x v="6"/>
    <s v="Finance Analyst"/>
    <x v="4"/>
    <x v="1"/>
    <s v="North"/>
    <n v="13"/>
    <n v="88045"/>
    <x v="3"/>
    <n v="4"/>
    <n v="1"/>
    <n v="13"/>
    <n v="2"/>
    <d v="2010-03-17T00:00:00"/>
    <s v="No"/>
    <x v="1"/>
    <n v="4"/>
    <x v="2"/>
    <x v="2"/>
    <x v="0"/>
  </r>
  <r>
    <s v="REL04050"/>
    <s v="Female"/>
    <n v="34"/>
    <s v="Post Graduate"/>
    <s v="Divorced"/>
    <x v="7"/>
    <s v="Logistics Coordinator"/>
    <x v="4"/>
    <x v="6"/>
    <s v="South"/>
    <n v="10"/>
    <n v="65994"/>
    <x v="0"/>
    <n v="1"/>
    <n v="3"/>
    <n v="37"/>
    <n v="3"/>
    <d v="2013-04-09T00:00:00"/>
    <s v="No"/>
    <x v="0"/>
    <n v="3"/>
    <x v="1"/>
    <x v="0"/>
    <x v="0"/>
  </r>
  <r>
    <s v="REL04051"/>
    <s v="Female"/>
    <n v="50"/>
    <s v="BTech"/>
    <s v="Single"/>
    <x v="4"/>
    <s v="Logistics Coordinator"/>
    <x v="3"/>
    <x v="5"/>
    <s v="South"/>
    <n v="15"/>
    <n v="81233"/>
    <x v="3"/>
    <n v="3"/>
    <n v="3"/>
    <n v="42"/>
    <n v="2"/>
    <d v="2008-12-15T00:00:00"/>
    <s v="No"/>
    <x v="1"/>
    <n v="4"/>
    <x v="2"/>
    <x v="2"/>
    <x v="0"/>
  </r>
  <r>
    <s v="REL04052"/>
    <s v="Female"/>
    <n v="38"/>
    <s v="HSC"/>
    <s v="Divorced"/>
    <x v="3"/>
    <s v="Sales Executive"/>
    <x v="0"/>
    <x v="6"/>
    <s v="South"/>
    <n v="5"/>
    <n v="49404"/>
    <x v="0"/>
    <n v="2"/>
    <n v="1"/>
    <n v="74"/>
    <n v="1"/>
    <d v="2018-12-30T00:00:00"/>
    <s v="No"/>
    <x v="2"/>
    <n v="3"/>
    <x v="0"/>
    <x v="0"/>
    <x v="1"/>
  </r>
  <r>
    <s v="REL04053"/>
    <s v="Female"/>
    <n v="27"/>
    <s v="MBA"/>
    <s v="Married"/>
    <x v="0"/>
    <s v="Logistics Coordinator"/>
    <x v="0"/>
    <x v="0"/>
    <s v="North"/>
    <n v="7"/>
    <n v="68706"/>
    <x v="1"/>
    <n v="4"/>
    <n v="1"/>
    <n v="43"/>
    <n v="0"/>
    <d v="2016-11-30T00:00:00"/>
    <s v="Yes"/>
    <x v="0"/>
    <n v="1"/>
    <x v="1"/>
    <x v="1"/>
    <x v="1"/>
  </r>
  <r>
    <s v="REL04054"/>
    <s v="Male"/>
    <n v="48"/>
    <s v="Post Graduate"/>
    <s v="Married"/>
    <x v="7"/>
    <s v="Customer Service Rep"/>
    <x v="0"/>
    <x v="9"/>
    <s v="West"/>
    <n v="1"/>
    <n v="40145"/>
    <x v="3"/>
    <n v="4"/>
    <n v="2"/>
    <n v="14"/>
    <n v="1"/>
    <d v="2022-09-24T00:00:00"/>
    <s v="No"/>
    <x v="2"/>
    <n v="4"/>
    <x v="3"/>
    <x v="2"/>
    <x v="1"/>
  </r>
  <r>
    <s v="REL04055"/>
    <s v="Female"/>
    <n v="47"/>
    <s v="MBA"/>
    <s v="Single"/>
    <x v="7"/>
    <s v="Marketing Executive"/>
    <x v="1"/>
    <x v="7"/>
    <s v="East"/>
    <n v="6"/>
    <n v="62984"/>
    <x v="1"/>
    <n v="4"/>
    <n v="1"/>
    <n v="38"/>
    <n v="1"/>
    <d v="2017-06-20T00:00:00"/>
    <s v="No"/>
    <x v="0"/>
    <n v="1"/>
    <x v="1"/>
    <x v="0"/>
    <x v="1"/>
  </r>
  <r>
    <s v="REL04056"/>
    <s v="Female"/>
    <n v="54"/>
    <s v="HSC"/>
    <s v="Married"/>
    <x v="2"/>
    <s v="Logistics Coordinator"/>
    <x v="2"/>
    <x v="0"/>
    <s v="North"/>
    <n v="6"/>
    <n v="49688"/>
    <x v="2"/>
    <n v="1"/>
    <n v="3"/>
    <n v="18"/>
    <n v="3"/>
    <d v="2017-08-15T00:00:00"/>
    <s v="No"/>
    <x v="2"/>
    <n v="2"/>
    <x v="1"/>
    <x v="0"/>
    <x v="1"/>
  </r>
  <r>
    <s v="REL04057"/>
    <s v="Male"/>
    <n v="54"/>
    <s v="Post Graduate"/>
    <s v="Single"/>
    <x v="1"/>
    <s v="Logistics Coordinator"/>
    <x v="2"/>
    <x v="1"/>
    <s v="North"/>
    <n v="12"/>
    <n v="63624"/>
    <x v="1"/>
    <n v="4"/>
    <n v="1"/>
    <n v="13"/>
    <n v="2"/>
    <d v="2011-02-15T00:00:00"/>
    <s v="No"/>
    <x v="0"/>
    <n v="1"/>
    <x v="2"/>
    <x v="0"/>
    <x v="1"/>
  </r>
  <r>
    <s v="REL04058"/>
    <s v="Female"/>
    <n v="50"/>
    <s v="Post Graduate"/>
    <s v="Single"/>
    <x v="6"/>
    <s v="Marketing Executive"/>
    <x v="4"/>
    <x v="4"/>
    <s v="North"/>
    <n v="4"/>
    <n v="67893"/>
    <x v="0"/>
    <n v="4"/>
    <n v="2"/>
    <n v="26"/>
    <n v="2"/>
    <d v="2019-12-23T00:00:00"/>
    <s v="No"/>
    <x v="0"/>
    <n v="3"/>
    <x v="0"/>
    <x v="0"/>
    <x v="0"/>
  </r>
  <r>
    <s v="REL04059"/>
    <s v="Female"/>
    <n v="50"/>
    <s v="Graduate"/>
    <s v="Divorced"/>
    <x v="7"/>
    <s v="Logistics Coordinator"/>
    <x v="0"/>
    <x v="5"/>
    <s v="South"/>
    <n v="2"/>
    <n v="43390"/>
    <x v="3"/>
    <n v="3"/>
    <n v="1"/>
    <n v="25"/>
    <n v="2"/>
    <d v="2021-03-14T00:00:00"/>
    <s v="No"/>
    <x v="2"/>
    <n v="4"/>
    <x v="3"/>
    <x v="2"/>
    <x v="1"/>
  </r>
  <r>
    <s v="REL04060"/>
    <s v="Male"/>
    <n v="55"/>
    <s v="Graduate"/>
    <s v="Divorced"/>
    <x v="7"/>
    <s v="Marketing Executive"/>
    <x v="3"/>
    <x v="9"/>
    <s v="West"/>
    <n v="7"/>
    <n v="57810"/>
    <x v="3"/>
    <n v="4"/>
    <n v="2"/>
    <n v="69"/>
    <n v="3"/>
    <d v="2016-02-22T00:00:00"/>
    <s v="No"/>
    <x v="0"/>
    <n v="4"/>
    <x v="1"/>
    <x v="2"/>
    <x v="1"/>
  </r>
  <r>
    <s v="REL04061"/>
    <s v="Female"/>
    <n v="39"/>
    <s v="Graduate"/>
    <s v="Single"/>
    <x v="2"/>
    <s v="HR Manager"/>
    <x v="1"/>
    <x v="0"/>
    <s v="North"/>
    <n v="10"/>
    <n v="103302"/>
    <x v="3"/>
    <n v="4"/>
    <n v="1"/>
    <n v="75"/>
    <n v="1"/>
    <d v="2013-01-17T00:00:00"/>
    <s v="No"/>
    <x v="1"/>
    <n v="4"/>
    <x v="1"/>
    <x v="2"/>
    <x v="0"/>
  </r>
  <r>
    <s v="REL04062"/>
    <s v="Female"/>
    <n v="32"/>
    <s v="Graduate"/>
    <s v="Married"/>
    <x v="7"/>
    <s v="Operations Head"/>
    <x v="0"/>
    <x v="7"/>
    <s v="East"/>
    <n v="6"/>
    <n v="98991"/>
    <x v="0"/>
    <n v="3"/>
    <n v="3"/>
    <n v="32"/>
    <n v="3"/>
    <d v="2017-07-25T00:00:00"/>
    <s v="No"/>
    <x v="1"/>
    <n v="3"/>
    <x v="1"/>
    <x v="0"/>
    <x v="0"/>
  </r>
  <r>
    <s v="REL04063"/>
    <s v="Male"/>
    <n v="41"/>
    <s v="HSC"/>
    <s v="Divorced"/>
    <x v="7"/>
    <s v="Customer Service Rep"/>
    <x v="0"/>
    <x v="2"/>
    <s v="West"/>
    <n v="8"/>
    <n v="48454"/>
    <x v="1"/>
    <n v="2"/>
    <n v="2"/>
    <n v="49"/>
    <n v="0"/>
    <d v="2015-06-08T00:00:00"/>
    <s v="Yes"/>
    <x v="2"/>
    <n v="1"/>
    <x v="1"/>
    <x v="1"/>
    <x v="1"/>
  </r>
  <r>
    <s v="REL04064"/>
    <s v="Male"/>
    <n v="41"/>
    <s v="HSC"/>
    <s v="Married"/>
    <x v="1"/>
    <s v="HR Manager"/>
    <x v="3"/>
    <x v="5"/>
    <s v="South"/>
    <n v="4"/>
    <n v="85951"/>
    <x v="0"/>
    <n v="1"/>
    <n v="2"/>
    <n v="13"/>
    <n v="2"/>
    <d v="2019-12-07T00:00:00"/>
    <s v="No"/>
    <x v="1"/>
    <n v="3"/>
    <x v="0"/>
    <x v="0"/>
    <x v="0"/>
  </r>
  <r>
    <s v="REL04065"/>
    <s v="Female"/>
    <n v="52"/>
    <s v="BTech"/>
    <s v="Married"/>
    <x v="7"/>
    <s v="Sales Executive"/>
    <x v="2"/>
    <x v="6"/>
    <s v="South"/>
    <n v="10"/>
    <n v="68733"/>
    <x v="2"/>
    <n v="3"/>
    <n v="3"/>
    <n v="77"/>
    <n v="1"/>
    <d v="2013-11-17T00:00:00"/>
    <s v="No"/>
    <x v="0"/>
    <n v="2"/>
    <x v="1"/>
    <x v="0"/>
    <x v="1"/>
  </r>
  <r>
    <s v="REL04066"/>
    <s v="Male"/>
    <n v="24"/>
    <s v="Graduate"/>
    <s v="Divorced"/>
    <x v="6"/>
    <s v="Customer Service Rep"/>
    <x v="4"/>
    <x v="4"/>
    <s v="North"/>
    <n v="1"/>
    <n v="31856"/>
    <x v="0"/>
    <n v="1"/>
    <n v="4"/>
    <n v="30"/>
    <n v="2"/>
    <d v="2022-05-17T00:00:00"/>
    <s v="No"/>
    <x v="3"/>
    <n v="3"/>
    <x v="3"/>
    <x v="0"/>
    <x v="1"/>
  </r>
  <r>
    <s v="REL04067"/>
    <s v="Male"/>
    <n v="38"/>
    <s v="HSC"/>
    <s v="Single"/>
    <x v="5"/>
    <s v="HR Manager"/>
    <x v="2"/>
    <x v="2"/>
    <s v="West"/>
    <n v="11"/>
    <n v="91960"/>
    <x v="3"/>
    <n v="4"/>
    <n v="4"/>
    <n v="29"/>
    <n v="1"/>
    <d v="2012-06-10T00:00:00"/>
    <s v="No"/>
    <x v="1"/>
    <n v="4"/>
    <x v="2"/>
    <x v="2"/>
    <x v="0"/>
  </r>
  <r>
    <s v="REL04068"/>
    <s v="Male"/>
    <n v="34"/>
    <s v="MBA"/>
    <s v="Single"/>
    <x v="6"/>
    <s v="Customer Service Rep"/>
    <x v="3"/>
    <x v="3"/>
    <s v="West"/>
    <n v="5"/>
    <n v="48584"/>
    <x v="2"/>
    <n v="4"/>
    <n v="1"/>
    <n v="18"/>
    <n v="0"/>
    <d v="2018-04-24T00:00:00"/>
    <s v="No"/>
    <x v="2"/>
    <n v="2"/>
    <x v="0"/>
    <x v="0"/>
    <x v="1"/>
  </r>
  <r>
    <s v="REL04069"/>
    <s v="Female"/>
    <n v="50"/>
    <s v="BTech"/>
    <s v="Married"/>
    <x v="5"/>
    <s v="Customer Service Rep"/>
    <x v="0"/>
    <x v="4"/>
    <s v="North"/>
    <n v="13"/>
    <n v="58655"/>
    <x v="1"/>
    <n v="2"/>
    <n v="4"/>
    <n v="21"/>
    <n v="0"/>
    <d v="2010-10-30T00:00:00"/>
    <s v="No"/>
    <x v="0"/>
    <n v="1"/>
    <x v="2"/>
    <x v="0"/>
    <x v="1"/>
  </r>
  <r>
    <s v="REL04070"/>
    <s v="Male"/>
    <n v="54"/>
    <s v="BTech"/>
    <s v="Married"/>
    <x v="2"/>
    <s v="Logistics Coordinator"/>
    <x v="1"/>
    <x v="9"/>
    <s v="West"/>
    <n v="14"/>
    <n v="66502"/>
    <x v="2"/>
    <n v="3"/>
    <n v="1"/>
    <n v="56"/>
    <n v="0"/>
    <d v="2009-05-08T00:00:00"/>
    <s v="Yes"/>
    <x v="0"/>
    <n v="2"/>
    <x v="2"/>
    <x v="1"/>
    <x v="1"/>
  </r>
  <r>
    <s v="REL04071"/>
    <s v="Male"/>
    <n v="54"/>
    <s v="MBA"/>
    <s v="Single"/>
    <x v="6"/>
    <s v="Marketing Executive"/>
    <x v="2"/>
    <x v="1"/>
    <s v="North"/>
    <n v="10"/>
    <n v="75286"/>
    <x v="0"/>
    <n v="3"/>
    <n v="4"/>
    <n v="20"/>
    <n v="2"/>
    <d v="2013-08-20T00:00:00"/>
    <s v="No"/>
    <x v="0"/>
    <n v="3"/>
    <x v="1"/>
    <x v="0"/>
    <x v="0"/>
  </r>
  <r>
    <s v="REL04072"/>
    <s v="Male"/>
    <n v="40"/>
    <s v="Graduate"/>
    <s v="Married"/>
    <x v="3"/>
    <s v="Store Manager"/>
    <x v="4"/>
    <x v="2"/>
    <s v="West"/>
    <n v="1"/>
    <n v="85465"/>
    <x v="3"/>
    <n v="3"/>
    <n v="4"/>
    <n v="76"/>
    <n v="2"/>
    <d v="2022-01-05T00:00:00"/>
    <s v="No"/>
    <x v="1"/>
    <n v="4"/>
    <x v="3"/>
    <x v="2"/>
    <x v="0"/>
  </r>
  <r>
    <s v="REL04073"/>
    <s v="Male"/>
    <n v="41"/>
    <s v="MBA"/>
    <s v="Single"/>
    <x v="0"/>
    <s v="Finance Analyst"/>
    <x v="4"/>
    <x v="4"/>
    <s v="North"/>
    <n v="15"/>
    <n v="80135"/>
    <x v="0"/>
    <n v="1"/>
    <n v="1"/>
    <n v="28"/>
    <n v="3"/>
    <d v="2008-06-05T00:00:00"/>
    <s v="No"/>
    <x v="1"/>
    <n v="3"/>
    <x v="2"/>
    <x v="0"/>
    <x v="0"/>
  </r>
  <r>
    <s v="REL04074"/>
    <s v="Male"/>
    <n v="39"/>
    <s v="MBA"/>
    <s v="Single"/>
    <x v="3"/>
    <s v="Marketing Executive"/>
    <x v="2"/>
    <x v="8"/>
    <s v="South"/>
    <n v="13"/>
    <n v="80618"/>
    <x v="1"/>
    <n v="1"/>
    <n v="2"/>
    <n v="60"/>
    <n v="0"/>
    <d v="2010-09-05T00:00:00"/>
    <s v="Yes"/>
    <x v="1"/>
    <n v="1"/>
    <x v="2"/>
    <x v="1"/>
    <x v="2"/>
  </r>
  <r>
    <s v="REL04075"/>
    <s v="Female"/>
    <n v="30"/>
    <s v="Graduate"/>
    <s v="Single"/>
    <x v="6"/>
    <s v="Logistics Coordinator"/>
    <x v="2"/>
    <x v="7"/>
    <s v="East"/>
    <n v="7"/>
    <n v="68267"/>
    <x v="0"/>
    <n v="2"/>
    <n v="3"/>
    <n v="28"/>
    <n v="0"/>
    <d v="2016-09-05T00:00:00"/>
    <s v="No"/>
    <x v="0"/>
    <n v="3"/>
    <x v="1"/>
    <x v="0"/>
    <x v="0"/>
  </r>
  <r>
    <s v="REL04076"/>
    <s v="Male"/>
    <n v="54"/>
    <s v="Graduate"/>
    <s v="Single"/>
    <x v="7"/>
    <s v="HR Manager"/>
    <x v="3"/>
    <x v="8"/>
    <s v="South"/>
    <n v="1"/>
    <n v="86403"/>
    <x v="0"/>
    <n v="1"/>
    <n v="2"/>
    <n v="25"/>
    <n v="3"/>
    <d v="2022-06-14T00:00:00"/>
    <s v="No"/>
    <x v="1"/>
    <n v="3"/>
    <x v="3"/>
    <x v="0"/>
    <x v="0"/>
  </r>
  <r>
    <s v="REL04077"/>
    <s v="Male"/>
    <n v="49"/>
    <s v="Post Graduate"/>
    <s v="Married"/>
    <x v="5"/>
    <s v="Sales Executive"/>
    <x v="2"/>
    <x v="1"/>
    <s v="North"/>
    <n v="10"/>
    <n v="56286"/>
    <x v="2"/>
    <n v="3"/>
    <n v="4"/>
    <n v="77"/>
    <n v="1"/>
    <d v="2013-04-20T00:00:00"/>
    <s v="No"/>
    <x v="0"/>
    <n v="2"/>
    <x v="1"/>
    <x v="0"/>
    <x v="1"/>
  </r>
  <r>
    <s v="REL04078"/>
    <s v="Male"/>
    <n v="29"/>
    <s v="MBA"/>
    <s v="Single"/>
    <x v="5"/>
    <s v="Finance Analyst"/>
    <x v="1"/>
    <x v="8"/>
    <s v="South"/>
    <n v="10"/>
    <n v="87490"/>
    <x v="3"/>
    <n v="2"/>
    <n v="2"/>
    <n v="80"/>
    <n v="1"/>
    <d v="2013-09-15T00:00:00"/>
    <s v="Yes"/>
    <x v="1"/>
    <n v="4"/>
    <x v="1"/>
    <x v="1"/>
    <x v="0"/>
  </r>
  <r>
    <s v="REL04079"/>
    <s v="Male"/>
    <n v="45"/>
    <s v="HSC"/>
    <s v="Married"/>
    <x v="3"/>
    <s v="Sales Executive"/>
    <x v="3"/>
    <x v="5"/>
    <s v="South"/>
    <n v="5"/>
    <n v="46665"/>
    <x v="2"/>
    <n v="3"/>
    <n v="1"/>
    <n v="52"/>
    <n v="2"/>
    <d v="2018-05-06T00:00:00"/>
    <s v="No"/>
    <x v="2"/>
    <n v="2"/>
    <x v="0"/>
    <x v="0"/>
    <x v="1"/>
  </r>
  <r>
    <s v="REL04080"/>
    <s v="Male"/>
    <n v="52"/>
    <s v="Graduate"/>
    <s v="Single"/>
    <x v="5"/>
    <s v="Operations Head"/>
    <x v="0"/>
    <x v="9"/>
    <s v="West"/>
    <n v="3"/>
    <n v="94695"/>
    <x v="0"/>
    <n v="3"/>
    <n v="1"/>
    <n v="45"/>
    <n v="0"/>
    <d v="2020-05-31T00:00:00"/>
    <s v="No"/>
    <x v="1"/>
    <n v="3"/>
    <x v="0"/>
    <x v="0"/>
    <x v="0"/>
  </r>
  <r>
    <s v="REL04081"/>
    <s v="Female"/>
    <n v="35"/>
    <s v="MBA"/>
    <s v="Single"/>
    <x v="7"/>
    <s v="Finance Analyst"/>
    <x v="4"/>
    <x v="3"/>
    <s v="West"/>
    <n v="14"/>
    <n v="94849"/>
    <x v="1"/>
    <n v="1"/>
    <n v="3"/>
    <n v="50"/>
    <n v="2"/>
    <d v="2009-04-26T00:00:00"/>
    <s v="Yes"/>
    <x v="1"/>
    <n v="1"/>
    <x v="2"/>
    <x v="1"/>
    <x v="2"/>
  </r>
  <r>
    <s v="REL04082"/>
    <s v="Male"/>
    <n v="51"/>
    <s v="Post Graduate"/>
    <s v="Single"/>
    <x v="7"/>
    <s v="Finance Analyst"/>
    <x v="1"/>
    <x v="7"/>
    <s v="East"/>
    <n v="3"/>
    <n v="68115"/>
    <x v="2"/>
    <n v="4"/>
    <n v="3"/>
    <n v="35"/>
    <n v="3"/>
    <d v="2020-05-08T00:00:00"/>
    <s v="No"/>
    <x v="0"/>
    <n v="2"/>
    <x v="0"/>
    <x v="0"/>
    <x v="1"/>
  </r>
  <r>
    <s v="REL04083"/>
    <s v="Female"/>
    <n v="42"/>
    <s v="Graduate"/>
    <s v="Married"/>
    <x v="4"/>
    <s v="Finance Analyst"/>
    <x v="0"/>
    <x v="6"/>
    <s v="South"/>
    <n v="10"/>
    <n v="73945"/>
    <x v="2"/>
    <n v="2"/>
    <n v="4"/>
    <n v="30"/>
    <n v="0"/>
    <d v="2013-10-14T00:00:00"/>
    <s v="No"/>
    <x v="0"/>
    <n v="2"/>
    <x v="1"/>
    <x v="0"/>
    <x v="1"/>
  </r>
  <r>
    <s v="REL04084"/>
    <s v="Male"/>
    <n v="53"/>
    <s v="Graduate"/>
    <s v="Divorced"/>
    <x v="2"/>
    <s v="Customer Service Rep"/>
    <x v="2"/>
    <x v="3"/>
    <s v="West"/>
    <n v="12"/>
    <n v="56724"/>
    <x v="2"/>
    <n v="3"/>
    <n v="2"/>
    <n v="74"/>
    <n v="3"/>
    <d v="2011-12-09T00:00:00"/>
    <s v="No"/>
    <x v="0"/>
    <n v="2"/>
    <x v="2"/>
    <x v="0"/>
    <x v="1"/>
  </r>
  <r>
    <s v="REL04085"/>
    <s v="Female"/>
    <n v="53"/>
    <s v="BTech"/>
    <s v="Single"/>
    <x v="6"/>
    <s v="Marketing Executive"/>
    <x v="0"/>
    <x v="3"/>
    <s v="West"/>
    <n v="2"/>
    <n v="60189"/>
    <x v="3"/>
    <n v="4"/>
    <n v="2"/>
    <n v="72"/>
    <n v="3"/>
    <d v="2021-03-24T00:00:00"/>
    <s v="No"/>
    <x v="0"/>
    <n v="4"/>
    <x v="3"/>
    <x v="2"/>
    <x v="1"/>
  </r>
  <r>
    <s v="REL04086"/>
    <s v="Male"/>
    <n v="29"/>
    <s v="BTech"/>
    <s v="Single"/>
    <x v="3"/>
    <s v="Store Manager"/>
    <x v="0"/>
    <x v="4"/>
    <s v="North"/>
    <n v="2"/>
    <n v="89843"/>
    <x v="1"/>
    <n v="3"/>
    <n v="3"/>
    <n v="72"/>
    <n v="2"/>
    <d v="2021-02-28T00:00:00"/>
    <s v="No"/>
    <x v="1"/>
    <n v="1"/>
    <x v="3"/>
    <x v="3"/>
    <x v="2"/>
  </r>
  <r>
    <s v="REL04087"/>
    <s v="Male"/>
    <n v="48"/>
    <s v="Graduate"/>
    <s v="Single"/>
    <x v="5"/>
    <s v="Sales Executive"/>
    <x v="4"/>
    <x v="3"/>
    <s v="West"/>
    <n v="13"/>
    <n v="66926"/>
    <x v="2"/>
    <n v="3"/>
    <n v="4"/>
    <n v="30"/>
    <n v="3"/>
    <d v="2010-08-18T00:00:00"/>
    <s v="No"/>
    <x v="0"/>
    <n v="2"/>
    <x v="2"/>
    <x v="0"/>
    <x v="1"/>
  </r>
  <r>
    <s v="REL04088"/>
    <s v="Male"/>
    <n v="53"/>
    <s v="Graduate"/>
    <s v="Divorced"/>
    <x v="6"/>
    <s v="Customer Service Rep"/>
    <x v="4"/>
    <x v="3"/>
    <s v="West"/>
    <n v="11"/>
    <n v="48297"/>
    <x v="3"/>
    <n v="3"/>
    <n v="2"/>
    <n v="66"/>
    <n v="1"/>
    <d v="2012-03-03T00:00:00"/>
    <s v="Yes"/>
    <x v="2"/>
    <n v="4"/>
    <x v="2"/>
    <x v="1"/>
    <x v="1"/>
  </r>
  <r>
    <s v="REL04089"/>
    <s v="Female"/>
    <n v="52"/>
    <s v="BTech"/>
    <s v="Married"/>
    <x v="2"/>
    <s v="Operations Head"/>
    <x v="3"/>
    <x v="1"/>
    <s v="North"/>
    <n v="12"/>
    <n v="109199"/>
    <x v="1"/>
    <n v="3"/>
    <n v="2"/>
    <n v="19"/>
    <n v="0"/>
    <d v="2011-03-25T00:00:00"/>
    <s v="No"/>
    <x v="1"/>
    <n v="1"/>
    <x v="2"/>
    <x v="0"/>
    <x v="2"/>
  </r>
  <r>
    <s v="REL04090"/>
    <s v="Male"/>
    <n v="55"/>
    <s v="BTech"/>
    <s v="Single"/>
    <x v="4"/>
    <s v="Operations Head"/>
    <x v="0"/>
    <x v="7"/>
    <s v="East"/>
    <n v="7"/>
    <n v="106030"/>
    <x v="3"/>
    <n v="4"/>
    <n v="4"/>
    <n v="10"/>
    <n v="0"/>
    <d v="2016-01-15T00:00:00"/>
    <s v="No"/>
    <x v="1"/>
    <n v="4"/>
    <x v="1"/>
    <x v="2"/>
    <x v="0"/>
  </r>
  <r>
    <s v="REL04091"/>
    <s v="Female"/>
    <n v="44"/>
    <s v="MBA"/>
    <s v="Single"/>
    <x v="7"/>
    <s v="Logistics Coordinator"/>
    <x v="0"/>
    <x v="4"/>
    <s v="North"/>
    <n v="14"/>
    <n v="81069"/>
    <x v="3"/>
    <n v="4"/>
    <n v="2"/>
    <n v="34"/>
    <n v="0"/>
    <d v="2009-03-28T00:00:00"/>
    <s v="No"/>
    <x v="1"/>
    <n v="4"/>
    <x v="2"/>
    <x v="2"/>
    <x v="0"/>
  </r>
  <r>
    <s v="REL04092"/>
    <s v="Female"/>
    <n v="28"/>
    <s v="Post Graduate"/>
    <s v="Single"/>
    <x v="5"/>
    <s v="Logistics Coordinator"/>
    <x v="0"/>
    <x v="9"/>
    <s v="West"/>
    <n v="14"/>
    <n v="66084"/>
    <x v="1"/>
    <n v="1"/>
    <n v="2"/>
    <n v="30"/>
    <n v="1"/>
    <d v="2009-03-27T00:00:00"/>
    <s v="Yes"/>
    <x v="0"/>
    <n v="1"/>
    <x v="2"/>
    <x v="1"/>
    <x v="1"/>
  </r>
  <r>
    <s v="REL04093"/>
    <s v="Male"/>
    <n v="48"/>
    <s v="Graduate"/>
    <s v="Divorced"/>
    <x v="6"/>
    <s v="Store Manager"/>
    <x v="0"/>
    <x v="3"/>
    <s v="West"/>
    <n v="3"/>
    <n v="94764"/>
    <x v="1"/>
    <n v="3"/>
    <n v="1"/>
    <n v="13"/>
    <n v="1"/>
    <d v="2020-10-05T00:00:00"/>
    <s v="Yes"/>
    <x v="1"/>
    <n v="1"/>
    <x v="0"/>
    <x v="1"/>
    <x v="2"/>
  </r>
  <r>
    <s v="REL04094"/>
    <s v="Male"/>
    <n v="25"/>
    <s v="Post Graduate"/>
    <s v="Single"/>
    <x v="3"/>
    <s v="Store Manager"/>
    <x v="1"/>
    <x v="1"/>
    <s v="North"/>
    <n v="4"/>
    <n v="88788"/>
    <x v="1"/>
    <n v="3"/>
    <n v="1"/>
    <n v="30"/>
    <n v="1"/>
    <d v="2019-03-03T00:00:00"/>
    <s v="Yes"/>
    <x v="1"/>
    <n v="1"/>
    <x v="0"/>
    <x v="1"/>
    <x v="2"/>
  </r>
  <r>
    <s v="REL04095"/>
    <s v="Male"/>
    <n v="44"/>
    <s v="MBA"/>
    <s v="Divorced"/>
    <x v="5"/>
    <s v="Finance Analyst"/>
    <x v="1"/>
    <x v="2"/>
    <s v="West"/>
    <n v="12"/>
    <n v="89163"/>
    <x v="3"/>
    <n v="2"/>
    <n v="4"/>
    <n v="39"/>
    <n v="3"/>
    <d v="2011-03-13T00:00:00"/>
    <s v="No"/>
    <x v="1"/>
    <n v="4"/>
    <x v="2"/>
    <x v="2"/>
    <x v="0"/>
  </r>
  <r>
    <s v="REL04096"/>
    <s v="Male"/>
    <n v="49"/>
    <s v="Graduate"/>
    <s v="Single"/>
    <x v="2"/>
    <s v="Customer Service Rep"/>
    <x v="2"/>
    <x v="1"/>
    <s v="North"/>
    <n v="1"/>
    <n v="34215"/>
    <x v="0"/>
    <n v="1"/>
    <n v="1"/>
    <n v="79"/>
    <n v="0"/>
    <d v="2022-07-18T00:00:00"/>
    <s v="No"/>
    <x v="3"/>
    <n v="3"/>
    <x v="3"/>
    <x v="0"/>
    <x v="1"/>
  </r>
  <r>
    <s v="REL04097"/>
    <s v="Male"/>
    <n v="38"/>
    <s v="Post Graduate"/>
    <s v="Divorced"/>
    <x v="1"/>
    <s v="Store Manager"/>
    <x v="4"/>
    <x v="6"/>
    <s v="South"/>
    <n v="4"/>
    <n v="85505"/>
    <x v="1"/>
    <n v="4"/>
    <n v="3"/>
    <n v="26"/>
    <n v="0"/>
    <d v="2019-11-19T00:00:00"/>
    <s v="Yes"/>
    <x v="1"/>
    <n v="1"/>
    <x v="0"/>
    <x v="1"/>
    <x v="2"/>
  </r>
  <r>
    <s v="REL04098"/>
    <s v="Male"/>
    <n v="24"/>
    <s v="BTech"/>
    <s v="Divorced"/>
    <x v="2"/>
    <s v="Operations Head"/>
    <x v="4"/>
    <x v="3"/>
    <s v="West"/>
    <n v="13"/>
    <n v="121898"/>
    <x v="1"/>
    <n v="1"/>
    <n v="1"/>
    <n v="69"/>
    <n v="0"/>
    <d v="2010-07-10T00:00:00"/>
    <s v="Yes"/>
    <x v="1"/>
    <n v="1"/>
    <x v="2"/>
    <x v="1"/>
    <x v="2"/>
  </r>
  <r>
    <s v="REL04099"/>
    <s v="Male"/>
    <n v="41"/>
    <s v="Graduate"/>
    <s v="Single"/>
    <x v="0"/>
    <s v="Sales Executive"/>
    <x v="1"/>
    <x v="7"/>
    <s v="East"/>
    <n v="11"/>
    <n v="54729"/>
    <x v="2"/>
    <n v="2"/>
    <n v="3"/>
    <n v="17"/>
    <n v="0"/>
    <d v="2012-07-22T00:00:00"/>
    <s v="Yes"/>
    <x v="0"/>
    <n v="2"/>
    <x v="2"/>
    <x v="1"/>
    <x v="1"/>
  </r>
  <r>
    <s v="REL04100"/>
    <s v="Female"/>
    <n v="24"/>
    <s v="Post Graduate"/>
    <s v="Divorced"/>
    <x v="3"/>
    <s v="Customer Service Rep"/>
    <x v="1"/>
    <x v="0"/>
    <s v="North"/>
    <n v="13"/>
    <n v="52965"/>
    <x v="1"/>
    <n v="1"/>
    <n v="4"/>
    <n v="41"/>
    <n v="0"/>
    <d v="2010-06-16T00:00:00"/>
    <s v="Yes"/>
    <x v="0"/>
    <n v="1"/>
    <x v="2"/>
    <x v="1"/>
    <x v="1"/>
  </r>
  <r>
    <s v="REL04101"/>
    <s v="Female"/>
    <n v="45"/>
    <s v="Graduate"/>
    <s v="Married"/>
    <x v="2"/>
    <s v="Sales Executive"/>
    <x v="0"/>
    <x v="9"/>
    <s v="West"/>
    <n v="8"/>
    <n v="65671"/>
    <x v="0"/>
    <n v="1"/>
    <n v="3"/>
    <n v="58"/>
    <n v="0"/>
    <d v="2015-12-18T00:00:00"/>
    <s v="Yes"/>
    <x v="0"/>
    <n v="3"/>
    <x v="1"/>
    <x v="1"/>
    <x v="0"/>
  </r>
  <r>
    <s v="REL04102"/>
    <s v="Male"/>
    <n v="43"/>
    <s v="BTech"/>
    <s v="Single"/>
    <x v="5"/>
    <s v="Customer Service Rep"/>
    <x v="3"/>
    <x v="9"/>
    <s v="West"/>
    <n v="1"/>
    <n v="45203"/>
    <x v="3"/>
    <n v="2"/>
    <n v="4"/>
    <n v="52"/>
    <n v="1"/>
    <d v="2022-08-03T00:00:00"/>
    <s v="No"/>
    <x v="2"/>
    <n v="4"/>
    <x v="3"/>
    <x v="2"/>
    <x v="1"/>
  </r>
  <r>
    <s v="REL04103"/>
    <s v="Male"/>
    <n v="41"/>
    <s v="MBA"/>
    <s v="Married"/>
    <x v="3"/>
    <s v="Store Manager"/>
    <x v="0"/>
    <x v="2"/>
    <s v="West"/>
    <n v="10"/>
    <n v="106598"/>
    <x v="1"/>
    <n v="1"/>
    <n v="1"/>
    <n v="71"/>
    <n v="1"/>
    <d v="2013-01-19T00:00:00"/>
    <s v="Yes"/>
    <x v="1"/>
    <n v="1"/>
    <x v="1"/>
    <x v="1"/>
    <x v="2"/>
  </r>
  <r>
    <s v="REL04104"/>
    <s v="Male"/>
    <n v="28"/>
    <s v="BTech"/>
    <s v="Married"/>
    <x v="6"/>
    <s v="Operations Head"/>
    <x v="2"/>
    <x v="7"/>
    <s v="East"/>
    <n v="15"/>
    <n v="116149"/>
    <x v="1"/>
    <n v="3"/>
    <n v="4"/>
    <n v="70"/>
    <n v="0"/>
    <d v="2008-07-19T00:00:00"/>
    <s v="No"/>
    <x v="1"/>
    <n v="1"/>
    <x v="2"/>
    <x v="0"/>
    <x v="2"/>
  </r>
  <r>
    <s v="REL04105"/>
    <s v="Male"/>
    <n v="25"/>
    <s v="MBA"/>
    <s v="Single"/>
    <x v="0"/>
    <s v="Finance Analyst"/>
    <x v="3"/>
    <x v="9"/>
    <s v="West"/>
    <n v="6"/>
    <n v="75966"/>
    <x v="1"/>
    <n v="1"/>
    <n v="3"/>
    <n v="32"/>
    <n v="0"/>
    <d v="2017-05-11T00:00:00"/>
    <s v="Yes"/>
    <x v="0"/>
    <n v="1"/>
    <x v="1"/>
    <x v="1"/>
    <x v="1"/>
  </r>
  <r>
    <s v="REL04106"/>
    <s v="Male"/>
    <n v="54"/>
    <s v="Graduate"/>
    <s v="Married"/>
    <x v="0"/>
    <s v="Customer Service Rep"/>
    <x v="3"/>
    <x v="5"/>
    <s v="South"/>
    <n v="15"/>
    <n v="62668"/>
    <x v="0"/>
    <n v="4"/>
    <n v="1"/>
    <n v="11"/>
    <n v="3"/>
    <d v="2008-06-19T00:00:00"/>
    <s v="No"/>
    <x v="0"/>
    <n v="3"/>
    <x v="2"/>
    <x v="0"/>
    <x v="0"/>
  </r>
  <r>
    <s v="REL04107"/>
    <s v="Female"/>
    <n v="51"/>
    <s v="HSC"/>
    <s v="Married"/>
    <x v="6"/>
    <s v="Store Manager"/>
    <x v="4"/>
    <x v="1"/>
    <s v="North"/>
    <n v="10"/>
    <n v="97034"/>
    <x v="1"/>
    <n v="1"/>
    <n v="4"/>
    <n v="48"/>
    <n v="0"/>
    <d v="2013-08-31T00:00:00"/>
    <s v="Yes"/>
    <x v="1"/>
    <n v="1"/>
    <x v="1"/>
    <x v="1"/>
    <x v="2"/>
  </r>
  <r>
    <s v="REL04108"/>
    <s v="Male"/>
    <n v="47"/>
    <s v="MBA"/>
    <s v="Single"/>
    <x v="4"/>
    <s v="Operations Head"/>
    <x v="0"/>
    <x v="8"/>
    <s v="South"/>
    <n v="13"/>
    <n v="120198"/>
    <x v="0"/>
    <n v="4"/>
    <n v="2"/>
    <n v="54"/>
    <n v="0"/>
    <d v="2010-03-02T00:00:00"/>
    <s v="No"/>
    <x v="1"/>
    <n v="3"/>
    <x v="2"/>
    <x v="0"/>
    <x v="0"/>
  </r>
  <r>
    <s v="REL04109"/>
    <s v="Female"/>
    <n v="33"/>
    <s v="BTech"/>
    <s v="Divorced"/>
    <x v="2"/>
    <s v="Operations Head"/>
    <x v="2"/>
    <x v="4"/>
    <s v="North"/>
    <n v="4"/>
    <n v="102969"/>
    <x v="0"/>
    <n v="2"/>
    <n v="4"/>
    <n v="69"/>
    <n v="3"/>
    <d v="2019-07-23T00:00:00"/>
    <s v="Yes"/>
    <x v="1"/>
    <n v="3"/>
    <x v="0"/>
    <x v="1"/>
    <x v="0"/>
  </r>
  <r>
    <s v="REL04110"/>
    <s v="Male"/>
    <n v="27"/>
    <s v="Post Graduate"/>
    <s v="Single"/>
    <x v="2"/>
    <s v="Logistics Coordinator"/>
    <x v="2"/>
    <x v="9"/>
    <s v="West"/>
    <n v="9"/>
    <n v="56846"/>
    <x v="2"/>
    <n v="1"/>
    <n v="2"/>
    <n v="73"/>
    <n v="3"/>
    <d v="2014-12-23T00:00:00"/>
    <s v="No"/>
    <x v="0"/>
    <n v="2"/>
    <x v="1"/>
    <x v="0"/>
    <x v="1"/>
  </r>
  <r>
    <s v="REL04111"/>
    <s v="Male"/>
    <n v="50"/>
    <s v="MBA"/>
    <s v="Single"/>
    <x v="7"/>
    <s v="HR Manager"/>
    <x v="1"/>
    <x v="0"/>
    <s v="North"/>
    <n v="11"/>
    <n v="105730"/>
    <x v="1"/>
    <n v="3"/>
    <n v="3"/>
    <n v="16"/>
    <n v="0"/>
    <d v="2012-03-15T00:00:00"/>
    <s v="Yes"/>
    <x v="1"/>
    <n v="1"/>
    <x v="2"/>
    <x v="1"/>
    <x v="2"/>
  </r>
  <r>
    <s v="REL04112"/>
    <s v="Female"/>
    <n v="46"/>
    <s v="MBA"/>
    <s v="Single"/>
    <x v="0"/>
    <s v="Customer Service Rep"/>
    <x v="3"/>
    <x v="4"/>
    <s v="North"/>
    <n v="11"/>
    <n v="47850"/>
    <x v="0"/>
    <n v="3"/>
    <n v="1"/>
    <n v="63"/>
    <n v="0"/>
    <d v="2012-08-17T00:00:00"/>
    <s v="No"/>
    <x v="2"/>
    <n v="3"/>
    <x v="2"/>
    <x v="0"/>
    <x v="1"/>
  </r>
  <r>
    <s v="REL04113"/>
    <s v="Female"/>
    <n v="23"/>
    <s v="MBA"/>
    <s v="Divorced"/>
    <x v="5"/>
    <s v="Finance Analyst"/>
    <x v="0"/>
    <x v="6"/>
    <s v="South"/>
    <n v="14"/>
    <n v="84475"/>
    <x v="0"/>
    <n v="1"/>
    <n v="3"/>
    <n v="24"/>
    <n v="0"/>
    <d v="2009-02-12T00:00:00"/>
    <s v="No"/>
    <x v="1"/>
    <n v="3"/>
    <x v="2"/>
    <x v="0"/>
    <x v="0"/>
  </r>
  <r>
    <s v="REL04114"/>
    <s v="Female"/>
    <n v="50"/>
    <s v="Post Graduate"/>
    <s v="Single"/>
    <x v="4"/>
    <s v="Sales Executive"/>
    <x v="4"/>
    <x v="6"/>
    <s v="South"/>
    <n v="11"/>
    <n v="68246"/>
    <x v="1"/>
    <n v="1"/>
    <n v="3"/>
    <n v="38"/>
    <n v="1"/>
    <d v="2012-09-28T00:00:00"/>
    <s v="Yes"/>
    <x v="0"/>
    <n v="1"/>
    <x v="2"/>
    <x v="1"/>
    <x v="1"/>
  </r>
  <r>
    <s v="REL04115"/>
    <s v="Female"/>
    <n v="23"/>
    <s v="HSC"/>
    <s v="Divorced"/>
    <x v="2"/>
    <s v="Sales Executive"/>
    <x v="1"/>
    <x v="3"/>
    <s v="West"/>
    <n v="6"/>
    <n v="59264"/>
    <x v="0"/>
    <n v="3"/>
    <n v="3"/>
    <n v="15"/>
    <n v="1"/>
    <d v="2017-08-11T00:00:00"/>
    <s v="No"/>
    <x v="0"/>
    <n v="3"/>
    <x v="1"/>
    <x v="0"/>
    <x v="0"/>
  </r>
  <r>
    <s v="REL04116"/>
    <s v="Female"/>
    <n v="44"/>
    <s v="Graduate"/>
    <s v="Single"/>
    <x v="2"/>
    <s v="Operations Head"/>
    <x v="2"/>
    <x v="5"/>
    <s v="South"/>
    <n v="15"/>
    <n v="123870"/>
    <x v="1"/>
    <n v="4"/>
    <n v="1"/>
    <n v="51"/>
    <n v="0"/>
    <d v="2008-07-12T00:00:00"/>
    <s v="Yes"/>
    <x v="1"/>
    <n v="1"/>
    <x v="2"/>
    <x v="1"/>
    <x v="2"/>
  </r>
  <r>
    <s v="REL04117"/>
    <s v="Male"/>
    <n v="27"/>
    <s v="Post Graduate"/>
    <s v="Single"/>
    <x v="7"/>
    <s v="HR Manager"/>
    <x v="0"/>
    <x v="3"/>
    <s v="West"/>
    <n v="15"/>
    <n v="109293"/>
    <x v="0"/>
    <n v="2"/>
    <n v="1"/>
    <n v="50"/>
    <n v="1"/>
    <d v="2008-10-22T00:00:00"/>
    <s v="No"/>
    <x v="1"/>
    <n v="3"/>
    <x v="2"/>
    <x v="0"/>
    <x v="0"/>
  </r>
  <r>
    <s v="REL04118"/>
    <s v="Female"/>
    <n v="42"/>
    <s v="MBA"/>
    <s v="Single"/>
    <x v="3"/>
    <s v="Logistics Coordinator"/>
    <x v="4"/>
    <x v="2"/>
    <s v="West"/>
    <n v="11"/>
    <n v="72460"/>
    <x v="1"/>
    <n v="4"/>
    <n v="4"/>
    <n v="28"/>
    <n v="2"/>
    <d v="2012-01-05T00:00:00"/>
    <s v="Yes"/>
    <x v="0"/>
    <n v="1"/>
    <x v="2"/>
    <x v="1"/>
    <x v="1"/>
  </r>
  <r>
    <s v="REL04119"/>
    <s v="Female"/>
    <n v="31"/>
    <s v="Post Graduate"/>
    <s v="Single"/>
    <x v="0"/>
    <s v="Logistics Coordinator"/>
    <x v="3"/>
    <x v="3"/>
    <s v="West"/>
    <n v="4"/>
    <n v="54230"/>
    <x v="1"/>
    <n v="3"/>
    <n v="1"/>
    <n v="24"/>
    <n v="0"/>
    <d v="2019-02-07T00:00:00"/>
    <s v="Yes"/>
    <x v="0"/>
    <n v="1"/>
    <x v="0"/>
    <x v="1"/>
    <x v="1"/>
  </r>
  <r>
    <s v="REL04120"/>
    <s v="Male"/>
    <n v="34"/>
    <s v="MBA"/>
    <s v="Married"/>
    <x v="2"/>
    <s v="Marketing Executive"/>
    <x v="3"/>
    <x v="1"/>
    <s v="North"/>
    <n v="2"/>
    <n v="54812"/>
    <x v="0"/>
    <n v="1"/>
    <n v="4"/>
    <n v="62"/>
    <n v="2"/>
    <d v="2021-11-26T00:00:00"/>
    <s v="No"/>
    <x v="0"/>
    <n v="3"/>
    <x v="3"/>
    <x v="0"/>
    <x v="0"/>
  </r>
  <r>
    <s v="REL04121"/>
    <s v="Male"/>
    <n v="50"/>
    <s v="Graduate"/>
    <s v="Single"/>
    <x v="2"/>
    <s v="Finance Analyst"/>
    <x v="1"/>
    <x v="1"/>
    <s v="North"/>
    <n v="13"/>
    <n v="88376"/>
    <x v="0"/>
    <n v="3"/>
    <n v="3"/>
    <n v="17"/>
    <n v="3"/>
    <d v="2010-06-03T00:00:00"/>
    <s v="Yes"/>
    <x v="1"/>
    <n v="3"/>
    <x v="2"/>
    <x v="1"/>
    <x v="0"/>
  </r>
  <r>
    <s v="REL04122"/>
    <s v="Female"/>
    <n v="39"/>
    <s v="Graduate"/>
    <s v="Divorced"/>
    <x v="4"/>
    <s v="Sales Executive"/>
    <x v="1"/>
    <x v="7"/>
    <s v="East"/>
    <n v="10"/>
    <n v="65684"/>
    <x v="0"/>
    <n v="2"/>
    <n v="3"/>
    <n v="44"/>
    <n v="2"/>
    <d v="2013-10-14T00:00:00"/>
    <s v="No"/>
    <x v="0"/>
    <n v="3"/>
    <x v="1"/>
    <x v="0"/>
    <x v="0"/>
  </r>
  <r>
    <s v="REL04123"/>
    <s v="Male"/>
    <n v="25"/>
    <s v="BTech"/>
    <s v="Married"/>
    <x v="4"/>
    <s v="Customer Service Rep"/>
    <x v="4"/>
    <x v="5"/>
    <s v="South"/>
    <n v="15"/>
    <n v="65249"/>
    <x v="0"/>
    <n v="4"/>
    <n v="1"/>
    <n v="72"/>
    <n v="2"/>
    <d v="2008-03-06T00:00:00"/>
    <s v="No"/>
    <x v="0"/>
    <n v="3"/>
    <x v="2"/>
    <x v="0"/>
    <x v="0"/>
  </r>
  <r>
    <s v="REL04124"/>
    <s v="Female"/>
    <n v="55"/>
    <s v="Post Graduate"/>
    <s v="Single"/>
    <x v="6"/>
    <s v="Store Manager"/>
    <x v="2"/>
    <x v="2"/>
    <s v="West"/>
    <n v="8"/>
    <n v="97379"/>
    <x v="2"/>
    <n v="1"/>
    <n v="1"/>
    <n v="69"/>
    <n v="1"/>
    <d v="2015-11-29T00:00:00"/>
    <s v="No"/>
    <x v="1"/>
    <n v="2"/>
    <x v="1"/>
    <x v="0"/>
    <x v="1"/>
  </r>
  <r>
    <s v="REL04125"/>
    <s v="Male"/>
    <n v="47"/>
    <s v="BTech"/>
    <s v="Divorced"/>
    <x v="6"/>
    <s v="Finance Analyst"/>
    <x v="0"/>
    <x v="1"/>
    <s v="North"/>
    <n v="4"/>
    <n v="58109"/>
    <x v="2"/>
    <n v="2"/>
    <n v="4"/>
    <n v="27"/>
    <n v="1"/>
    <d v="2019-11-01T00:00:00"/>
    <s v="Yes"/>
    <x v="0"/>
    <n v="2"/>
    <x v="0"/>
    <x v="1"/>
    <x v="1"/>
  </r>
  <r>
    <s v="REL04126"/>
    <s v="Female"/>
    <n v="46"/>
    <s v="Graduate"/>
    <s v="Single"/>
    <x v="7"/>
    <s v="Marketing Executive"/>
    <x v="3"/>
    <x v="8"/>
    <s v="South"/>
    <n v="10"/>
    <n v="70167"/>
    <x v="3"/>
    <n v="2"/>
    <n v="1"/>
    <n v="12"/>
    <n v="3"/>
    <d v="2013-04-25T00:00:00"/>
    <s v="No"/>
    <x v="0"/>
    <n v="4"/>
    <x v="1"/>
    <x v="2"/>
    <x v="1"/>
  </r>
  <r>
    <s v="REL04127"/>
    <s v="Male"/>
    <n v="46"/>
    <s v="HSC"/>
    <s v="Single"/>
    <x v="4"/>
    <s v="Sales Executive"/>
    <x v="0"/>
    <x v="6"/>
    <s v="South"/>
    <n v="2"/>
    <n v="44290"/>
    <x v="0"/>
    <n v="2"/>
    <n v="4"/>
    <n v="24"/>
    <n v="0"/>
    <d v="2021-11-08T00:00:00"/>
    <s v="No"/>
    <x v="2"/>
    <n v="3"/>
    <x v="3"/>
    <x v="0"/>
    <x v="1"/>
  </r>
  <r>
    <s v="REL04128"/>
    <s v="Female"/>
    <n v="24"/>
    <s v="HSC"/>
    <s v="Single"/>
    <x v="4"/>
    <s v="Logistics Coordinator"/>
    <x v="3"/>
    <x v="2"/>
    <s v="West"/>
    <n v="14"/>
    <n v="74709"/>
    <x v="1"/>
    <n v="1"/>
    <n v="1"/>
    <n v="37"/>
    <n v="3"/>
    <d v="2009-04-02T00:00:00"/>
    <s v="Yes"/>
    <x v="0"/>
    <n v="1"/>
    <x v="2"/>
    <x v="1"/>
    <x v="1"/>
  </r>
  <r>
    <s v="REL04129"/>
    <s v="Male"/>
    <n v="32"/>
    <s v="HSC"/>
    <s v="Divorced"/>
    <x v="7"/>
    <s v="Customer Service Rep"/>
    <x v="2"/>
    <x v="8"/>
    <s v="South"/>
    <n v="5"/>
    <n v="48599"/>
    <x v="1"/>
    <n v="4"/>
    <n v="4"/>
    <n v="48"/>
    <n v="0"/>
    <d v="2018-10-13T00:00:00"/>
    <s v="Yes"/>
    <x v="2"/>
    <n v="1"/>
    <x v="0"/>
    <x v="1"/>
    <x v="1"/>
  </r>
  <r>
    <s v="REL04130"/>
    <s v="Male"/>
    <n v="46"/>
    <s v="BTech"/>
    <s v="Single"/>
    <x v="5"/>
    <s v="Marketing Executive"/>
    <x v="3"/>
    <x v="7"/>
    <s v="East"/>
    <n v="2"/>
    <n v="46141"/>
    <x v="0"/>
    <n v="1"/>
    <n v="2"/>
    <n v="74"/>
    <n v="1"/>
    <d v="2021-11-20T00:00:00"/>
    <s v="No"/>
    <x v="2"/>
    <n v="3"/>
    <x v="3"/>
    <x v="0"/>
    <x v="1"/>
  </r>
  <r>
    <s v="REL04131"/>
    <s v="Male"/>
    <n v="35"/>
    <s v="HSC"/>
    <s v="Single"/>
    <x v="7"/>
    <s v="HR Manager"/>
    <x v="3"/>
    <x v="4"/>
    <s v="North"/>
    <n v="12"/>
    <n v="94855"/>
    <x v="1"/>
    <n v="2"/>
    <n v="2"/>
    <n v="62"/>
    <n v="3"/>
    <d v="2011-11-22T00:00:00"/>
    <s v="Yes"/>
    <x v="1"/>
    <n v="1"/>
    <x v="2"/>
    <x v="1"/>
    <x v="2"/>
  </r>
  <r>
    <s v="REL04132"/>
    <s v="Female"/>
    <n v="52"/>
    <s v="MBA"/>
    <s v="Married"/>
    <x v="4"/>
    <s v="HR Manager"/>
    <x v="1"/>
    <x v="1"/>
    <s v="North"/>
    <n v="10"/>
    <n v="101206"/>
    <x v="2"/>
    <n v="3"/>
    <n v="4"/>
    <n v="34"/>
    <n v="1"/>
    <d v="2013-09-20T00:00:00"/>
    <s v="No"/>
    <x v="1"/>
    <n v="2"/>
    <x v="1"/>
    <x v="0"/>
    <x v="1"/>
  </r>
  <r>
    <s v="REL04133"/>
    <s v="Female"/>
    <n v="38"/>
    <s v="MBA"/>
    <s v="Single"/>
    <x v="5"/>
    <s v="Customer Service Rep"/>
    <x v="3"/>
    <x v="8"/>
    <s v="South"/>
    <n v="15"/>
    <n v="66979"/>
    <x v="3"/>
    <n v="4"/>
    <n v="4"/>
    <n v="15"/>
    <n v="2"/>
    <d v="2008-03-21T00:00:00"/>
    <s v="No"/>
    <x v="0"/>
    <n v="4"/>
    <x v="2"/>
    <x v="2"/>
    <x v="1"/>
  </r>
  <r>
    <s v="REL04134"/>
    <s v="Female"/>
    <n v="40"/>
    <s v="HSC"/>
    <s v="Married"/>
    <x v="3"/>
    <s v="Finance Analyst"/>
    <x v="1"/>
    <x v="0"/>
    <s v="North"/>
    <n v="8"/>
    <n v="69616"/>
    <x v="3"/>
    <n v="2"/>
    <n v="2"/>
    <n v="58"/>
    <n v="1"/>
    <d v="2015-11-18T00:00:00"/>
    <s v="No"/>
    <x v="0"/>
    <n v="4"/>
    <x v="1"/>
    <x v="2"/>
    <x v="1"/>
  </r>
  <r>
    <s v="REL04135"/>
    <s v="Female"/>
    <n v="42"/>
    <s v="HSC"/>
    <s v="Married"/>
    <x v="4"/>
    <s v="Store Manager"/>
    <x v="3"/>
    <x v="6"/>
    <s v="South"/>
    <n v="15"/>
    <n v="115167"/>
    <x v="3"/>
    <n v="1"/>
    <n v="2"/>
    <n v="16"/>
    <n v="0"/>
    <d v="2008-03-11T00:00:00"/>
    <s v="No"/>
    <x v="1"/>
    <n v="4"/>
    <x v="2"/>
    <x v="2"/>
    <x v="0"/>
  </r>
  <r>
    <s v="REL04136"/>
    <s v="Male"/>
    <n v="39"/>
    <s v="Post Graduate"/>
    <s v="Single"/>
    <x v="1"/>
    <s v="Store Manager"/>
    <x v="4"/>
    <x v="9"/>
    <s v="West"/>
    <n v="9"/>
    <n v="110589"/>
    <x v="1"/>
    <n v="4"/>
    <n v="4"/>
    <n v="60"/>
    <n v="3"/>
    <d v="2014-03-22T00:00:00"/>
    <s v="Yes"/>
    <x v="1"/>
    <n v="1"/>
    <x v="1"/>
    <x v="1"/>
    <x v="2"/>
  </r>
  <r>
    <s v="REL04137"/>
    <s v="Female"/>
    <n v="25"/>
    <s v="HSC"/>
    <s v="Divorced"/>
    <x v="1"/>
    <s v="Sales Executive"/>
    <x v="2"/>
    <x v="7"/>
    <s v="East"/>
    <n v="10"/>
    <n v="68054"/>
    <x v="0"/>
    <n v="3"/>
    <n v="1"/>
    <n v="49"/>
    <n v="1"/>
    <d v="2013-01-09T00:00:00"/>
    <s v="No"/>
    <x v="0"/>
    <n v="3"/>
    <x v="1"/>
    <x v="0"/>
    <x v="0"/>
  </r>
  <r>
    <s v="REL04138"/>
    <s v="Female"/>
    <n v="24"/>
    <s v="Graduate"/>
    <s v="Married"/>
    <x v="6"/>
    <s v="Store Manager"/>
    <x v="0"/>
    <x v="8"/>
    <s v="South"/>
    <n v="2"/>
    <n v="86612"/>
    <x v="3"/>
    <n v="1"/>
    <n v="4"/>
    <n v="37"/>
    <n v="2"/>
    <d v="2021-06-10T00:00:00"/>
    <s v="No"/>
    <x v="1"/>
    <n v="4"/>
    <x v="3"/>
    <x v="2"/>
    <x v="0"/>
  </r>
  <r>
    <s v="REL04139"/>
    <s v="Female"/>
    <n v="32"/>
    <s v="Graduate"/>
    <s v="Divorced"/>
    <x v="1"/>
    <s v="Logistics Coordinator"/>
    <x v="1"/>
    <x v="9"/>
    <s v="West"/>
    <n v="1"/>
    <n v="45039"/>
    <x v="3"/>
    <n v="3"/>
    <n v="1"/>
    <n v="26"/>
    <n v="1"/>
    <d v="2022-12-30T00:00:00"/>
    <s v="No"/>
    <x v="2"/>
    <n v="4"/>
    <x v="3"/>
    <x v="2"/>
    <x v="1"/>
  </r>
  <r>
    <s v="REL04140"/>
    <s v="Female"/>
    <n v="54"/>
    <s v="HSC"/>
    <s v="Divorced"/>
    <x v="2"/>
    <s v="Store Manager"/>
    <x v="3"/>
    <x v="2"/>
    <s v="West"/>
    <n v="5"/>
    <n v="96261"/>
    <x v="0"/>
    <n v="1"/>
    <n v="1"/>
    <n v="70"/>
    <n v="2"/>
    <d v="2018-06-17T00:00:00"/>
    <s v="No"/>
    <x v="1"/>
    <n v="3"/>
    <x v="0"/>
    <x v="0"/>
    <x v="0"/>
  </r>
  <r>
    <s v="REL04141"/>
    <s v="Female"/>
    <n v="37"/>
    <s v="HSC"/>
    <s v="Married"/>
    <x v="4"/>
    <s v="Finance Analyst"/>
    <x v="4"/>
    <x v="6"/>
    <s v="South"/>
    <n v="2"/>
    <n v="65996"/>
    <x v="3"/>
    <n v="1"/>
    <n v="3"/>
    <n v="21"/>
    <n v="1"/>
    <d v="2021-12-20T00:00:00"/>
    <s v="No"/>
    <x v="0"/>
    <n v="4"/>
    <x v="3"/>
    <x v="2"/>
    <x v="1"/>
  </r>
  <r>
    <s v="REL04142"/>
    <s v="Female"/>
    <n v="30"/>
    <s v="BTech"/>
    <s v="Single"/>
    <x v="7"/>
    <s v="Customer Service Rep"/>
    <x v="4"/>
    <x v="9"/>
    <s v="West"/>
    <n v="14"/>
    <n v="60855"/>
    <x v="3"/>
    <n v="2"/>
    <n v="1"/>
    <n v="29"/>
    <n v="1"/>
    <d v="2009-04-13T00:00:00"/>
    <s v="No"/>
    <x v="0"/>
    <n v="4"/>
    <x v="2"/>
    <x v="2"/>
    <x v="1"/>
  </r>
  <r>
    <s v="REL04143"/>
    <s v="Male"/>
    <n v="46"/>
    <s v="Post Graduate"/>
    <s v="Divorced"/>
    <x v="2"/>
    <s v="Store Manager"/>
    <x v="4"/>
    <x v="1"/>
    <s v="North"/>
    <n v="5"/>
    <n v="86813"/>
    <x v="1"/>
    <n v="3"/>
    <n v="2"/>
    <n v="31"/>
    <n v="1"/>
    <d v="2018-09-10T00:00:00"/>
    <s v="Yes"/>
    <x v="1"/>
    <n v="1"/>
    <x v="0"/>
    <x v="1"/>
    <x v="2"/>
  </r>
  <r>
    <s v="REL04144"/>
    <s v="Female"/>
    <n v="39"/>
    <s v="Post Graduate"/>
    <s v="Married"/>
    <x v="6"/>
    <s v="Logistics Coordinator"/>
    <x v="4"/>
    <x v="9"/>
    <s v="West"/>
    <n v="6"/>
    <n v="62528"/>
    <x v="0"/>
    <n v="4"/>
    <n v="2"/>
    <n v="27"/>
    <n v="1"/>
    <d v="2017-03-05T00:00:00"/>
    <s v="No"/>
    <x v="0"/>
    <n v="3"/>
    <x v="1"/>
    <x v="0"/>
    <x v="0"/>
  </r>
  <r>
    <s v="REL04145"/>
    <s v="Male"/>
    <n v="32"/>
    <s v="MBA"/>
    <s v="Single"/>
    <x v="4"/>
    <s v="Marketing Executive"/>
    <x v="3"/>
    <x v="2"/>
    <s v="West"/>
    <n v="9"/>
    <n v="66027"/>
    <x v="0"/>
    <n v="2"/>
    <n v="2"/>
    <n v="27"/>
    <n v="1"/>
    <d v="2014-07-31T00:00:00"/>
    <s v="No"/>
    <x v="0"/>
    <n v="3"/>
    <x v="1"/>
    <x v="0"/>
    <x v="0"/>
  </r>
  <r>
    <s v="REL04146"/>
    <s v="Female"/>
    <n v="26"/>
    <s v="MBA"/>
    <s v="Single"/>
    <x v="5"/>
    <s v="Customer Service Rep"/>
    <x v="3"/>
    <x v="9"/>
    <s v="West"/>
    <n v="8"/>
    <n v="58290"/>
    <x v="3"/>
    <n v="1"/>
    <n v="1"/>
    <n v="75"/>
    <n v="0"/>
    <d v="2015-07-31T00:00:00"/>
    <s v="No"/>
    <x v="0"/>
    <n v="4"/>
    <x v="1"/>
    <x v="2"/>
    <x v="1"/>
  </r>
  <r>
    <s v="REL04147"/>
    <s v="Male"/>
    <n v="44"/>
    <s v="BTech"/>
    <s v="Married"/>
    <x v="3"/>
    <s v="Sales Executive"/>
    <x v="0"/>
    <x v="4"/>
    <s v="North"/>
    <n v="5"/>
    <n v="45588"/>
    <x v="0"/>
    <n v="3"/>
    <n v="2"/>
    <n v="27"/>
    <n v="1"/>
    <d v="2018-05-24T00:00:00"/>
    <s v="No"/>
    <x v="2"/>
    <n v="3"/>
    <x v="0"/>
    <x v="0"/>
    <x v="1"/>
  </r>
  <r>
    <s v="REL04148"/>
    <s v="Male"/>
    <n v="23"/>
    <s v="BTech"/>
    <s v="Single"/>
    <x v="0"/>
    <s v="Finance Analyst"/>
    <x v="1"/>
    <x v="6"/>
    <s v="South"/>
    <n v="10"/>
    <n v="78576"/>
    <x v="0"/>
    <n v="2"/>
    <n v="4"/>
    <n v="66"/>
    <n v="3"/>
    <d v="2013-03-29T00:00:00"/>
    <s v="No"/>
    <x v="0"/>
    <n v="3"/>
    <x v="1"/>
    <x v="0"/>
    <x v="0"/>
  </r>
  <r>
    <s v="REL04149"/>
    <s v="Female"/>
    <n v="39"/>
    <s v="HSC"/>
    <s v="Single"/>
    <x v="5"/>
    <s v="Customer Service Rep"/>
    <x v="4"/>
    <x v="1"/>
    <s v="North"/>
    <n v="6"/>
    <n v="45835"/>
    <x v="2"/>
    <n v="4"/>
    <n v="2"/>
    <n v="72"/>
    <n v="1"/>
    <d v="2017-07-27T00:00:00"/>
    <s v="No"/>
    <x v="2"/>
    <n v="2"/>
    <x v="1"/>
    <x v="0"/>
    <x v="1"/>
  </r>
  <r>
    <s v="REL04150"/>
    <s v="Female"/>
    <n v="44"/>
    <s v="HSC"/>
    <s v="Divorced"/>
    <x v="1"/>
    <s v="Operations Head"/>
    <x v="2"/>
    <x v="2"/>
    <s v="West"/>
    <n v="4"/>
    <n v="110464"/>
    <x v="0"/>
    <n v="4"/>
    <n v="2"/>
    <n v="73"/>
    <n v="2"/>
    <d v="2019-09-21T00:00:00"/>
    <s v="No"/>
    <x v="1"/>
    <n v="3"/>
    <x v="0"/>
    <x v="0"/>
    <x v="0"/>
  </r>
  <r>
    <s v="REL04151"/>
    <s v="Male"/>
    <n v="29"/>
    <s v="Post Graduate"/>
    <s v="Married"/>
    <x v="1"/>
    <s v="Sales Executive"/>
    <x v="1"/>
    <x v="0"/>
    <s v="North"/>
    <n v="15"/>
    <n v="63509"/>
    <x v="0"/>
    <n v="3"/>
    <n v="3"/>
    <n v="58"/>
    <n v="3"/>
    <d v="2008-07-20T00:00:00"/>
    <s v="No"/>
    <x v="0"/>
    <n v="3"/>
    <x v="2"/>
    <x v="0"/>
    <x v="0"/>
  </r>
  <r>
    <s v="REL04152"/>
    <s v="Female"/>
    <n v="27"/>
    <s v="BTech"/>
    <s v="Single"/>
    <x v="5"/>
    <s v="Finance Analyst"/>
    <x v="3"/>
    <x v="9"/>
    <s v="West"/>
    <n v="6"/>
    <n v="65508"/>
    <x v="3"/>
    <n v="2"/>
    <n v="2"/>
    <n v="39"/>
    <n v="2"/>
    <d v="2017-11-16T00:00:00"/>
    <s v="No"/>
    <x v="0"/>
    <n v="4"/>
    <x v="1"/>
    <x v="2"/>
    <x v="1"/>
  </r>
  <r>
    <s v="REL04153"/>
    <s v="Female"/>
    <n v="29"/>
    <s v="Graduate"/>
    <s v="Divorced"/>
    <x v="3"/>
    <s v="Sales Executive"/>
    <x v="0"/>
    <x v="2"/>
    <s v="West"/>
    <n v="1"/>
    <n v="38744"/>
    <x v="2"/>
    <n v="2"/>
    <n v="3"/>
    <n v="20"/>
    <n v="0"/>
    <d v="2022-03-25T00:00:00"/>
    <s v="No"/>
    <x v="2"/>
    <n v="2"/>
    <x v="3"/>
    <x v="0"/>
    <x v="1"/>
  </r>
  <r>
    <s v="REL04154"/>
    <s v="Female"/>
    <n v="36"/>
    <s v="BTech"/>
    <s v="Single"/>
    <x v="7"/>
    <s v="HR Manager"/>
    <x v="2"/>
    <x v="5"/>
    <s v="South"/>
    <n v="1"/>
    <n v="71335"/>
    <x v="0"/>
    <n v="2"/>
    <n v="4"/>
    <n v="15"/>
    <n v="3"/>
    <d v="2022-11-20T00:00:00"/>
    <s v="Yes"/>
    <x v="0"/>
    <n v="3"/>
    <x v="3"/>
    <x v="1"/>
    <x v="0"/>
  </r>
  <r>
    <s v="REL04155"/>
    <s v="Female"/>
    <n v="40"/>
    <s v="BTech"/>
    <s v="Divorced"/>
    <x v="6"/>
    <s v="Marketing Executive"/>
    <x v="1"/>
    <x v="1"/>
    <s v="North"/>
    <n v="7"/>
    <n v="54024"/>
    <x v="1"/>
    <n v="4"/>
    <n v="2"/>
    <n v="75"/>
    <n v="3"/>
    <d v="2016-02-18T00:00:00"/>
    <s v="Yes"/>
    <x v="0"/>
    <n v="1"/>
    <x v="1"/>
    <x v="1"/>
    <x v="1"/>
  </r>
  <r>
    <s v="REL04156"/>
    <s v="Male"/>
    <n v="27"/>
    <s v="Graduate"/>
    <s v="Single"/>
    <x v="6"/>
    <s v="HR Manager"/>
    <x v="1"/>
    <x v="7"/>
    <s v="East"/>
    <n v="10"/>
    <n v="103654"/>
    <x v="3"/>
    <n v="3"/>
    <n v="2"/>
    <n v="77"/>
    <n v="1"/>
    <d v="2013-03-16T00:00:00"/>
    <s v="No"/>
    <x v="1"/>
    <n v="4"/>
    <x v="1"/>
    <x v="2"/>
    <x v="0"/>
  </r>
  <r>
    <s v="REL04157"/>
    <s v="Female"/>
    <n v="40"/>
    <s v="BTech"/>
    <s v="Divorced"/>
    <x v="0"/>
    <s v="Finance Analyst"/>
    <x v="1"/>
    <x v="7"/>
    <s v="East"/>
    <n v="3"/>
    <n v="68094"/>
    <x v="0"/>
    <n v="4"/>
    <n v="2"/>
    <n v="26"/>
    <n v="0"/>
    <d v="2020-10-28T00:00:00"/>
    <s v="No"/>
    <x v="0"/>
    <n v="3"/>
    <x v="0"/>
    <x v="0"/>
    <x v="0"/>
  </r>
  <r>
    <s v="REL04158"/>
    <s v="Female"/>
    <n v="26"/>
    <s v="Graduate"/>
    <s v="Divorced"/>
    <x v="1"/>
    <s v="Customer Service Rep"/>
    <x v="4"/>
    <x v="0"/>
    <s v="North"/>
    <n v="14"/>
    <n v="59461"/>
    <x v="1"/>
    <n v="4"/>
    <n v="4"/>
    <n v="49"/>
    <n v="0"/>
    <d v="2009-09-05T00:00:00"/>
    <s v="Yes"/>
    <x v="0"/>
    <n v="1"/>
    <x v="2"/>
    <x v="1"/>
    <x v="1"/>
  </r>
  <r>
    <s v="REL04159"/>
    <s v="Male"/>
    <n v="48"/>
    <s v="HSC"/>
    <s v="Divorced"/>
    <x v="5"/>
    <s v="Operations Head"/>
    <x v="4"/>
    <x v="0"/>
    <s v="North"/>
    <n v="5"/>
    <n v="108528"/>
    <x v="1"/>
    <n v="4"/>
    <n v="2"/>
    <n v="65"/>
    <n v="0"/>
    <d v="2018-10-19T00:00:00"/>
    <s v="No"/>
    <x v="1"/>
    <n v="1"/>
    <x v="0"/>
    <x v="0"/>
    <x v="2"/>
  </r>
  <r>
    <s v="REL04160"/>
    <s v="Female"/>
    <n v="24"/>
    <s v="Graduate"/>
    <s v="Divorced"/>
    <x v="0"/>
    <s v="Store Manager"/>
    <x v="4"/>
    <x v="3"/>
    <s v="West"/>
    <n v="8"/>
    <n v="97524"/>
    <x v="2"/>
    <n v="3"/>
    <n v="2"/>
    <n v="20"/>
    <n v="1"/>
    <d v="2015-10-13T00:00:00"/>
    <s v="No"/>
    <x v="1"/>
    <n v="2"/>
    <x v="1"/>
    <x v="0"/>
    <x v="1"/>
  </r>
  <r>
    <s v="REL04161"/>
    <s v="Male"/>
    <n v="28"/>
    <s v="Post Graduate"/>
    <s v="Divorced"/>
    <x v="7"/>
    <s v="Store Manager"/>
    <x v="2"/>
    <x v="8"/>
    <s v="South"/>
    <n v="15"/>
    <n v="116964"/>
    <x v="3"/>
    <n v="1"/>
    <n v="3"/>
    <n v="44"/>
    <n v="1"/>
    <d v="2008-03-23T00:00:00"/>
    <s v="No"/>
    <x v="1"/>
    <n v="4"/>
    <x v="2"/>
    <x v="2"/>
    <x v="0"/>
  </r>
  <r>
    <s v="REL04162"/>
    <s v="Female"/>
    <n v="31"/>
    <s v="BTech"/>
    <s v="Divorced"/>
    <x v="3"/>
    <s v="Logistics Coordinator"/>
    <x v="2"/>
    <x v="1"/>
    <s v="North"/>
    <n v="2"/>
    <n v="40089"/>
    <x v="1"/>
    <n v="2"/>
    <n v="2"/>
    <n v="18"/>
    <n v="1"/>
    <d v="2021-01-27T00:00:00"/>
    <s v="Yes"/>
    <x v="2"/>
    <n v="1"/>
    <x v="3"/>
    <x v="1"/>
    <x v="1"/>
  </r>
  <r>
    <s v="REL04163"/>
    <s v="Female"/>
    <n v="54"/>
    <s v="HSC"/>
    <s v="Divorced"/>
    <x v="0"/>
    <s v="Sales Executive"/>
    <x v="4"/>
    <x v="0"/>
    <s v="North"/>
    <n v="13"/>
    <n v="56186"/>
    <x v="2"/>
    <n v="4"/>
    <n v="1"/>
    <n v="46"/>
    <n v="1"/>
    <d v="2010-12-11T00:00:00"/>
    <s v="No"/>
    <x v="0"/>
    <n v="2"/>
    <x v="2"/>
    <x v="0"/>
    <x v="1"/>
  </r>
  <r>
    <s v="REL04164"/>
    <s v="Female"/>
    <n v="43"/>
    <s v="Post Graduate"/>
    <s v="Single"/>
    <x v="7"/>
    <s v="Logistics Coordinator"/>
    <x v="3"/>
    <x v="3"/>
    <s v="West"/>
    <n v="14"/>
    <n v="70899"/>
    <x v="1"/>
    <n v="3"/>
    <n v="2"/>
    <n v="27"/>
    <n v="1"/>
    <d v="2009-12-10T00:00:00"/>
    <s v="Yes"/>
    <x v="0"/>
    <n v="1"/>
    <x v="2"/>
    <x v="1"/>
    <x v="1"/>
  </r>
  <r>
    <s v="REL04165"/>
    <s v="Male"/>
    <n v="44"/>
    <s v="Graduate"/>
    <s v="Married"/>
    <x v="5"/>
    <s v="Sales Executive"/>
    <x v="2"/>
    <x v="2"/>
    <s v="West"/>
    <n v="8"/>
    <n v="54471"/>
    <x v="0"/>
    <n v="4"/>
    <n v="2"/>
    <n v="35"/>
    <n v="1"/>
    <d v="2015-01-13T00:00:00"/>
    <s v="No"/>
    <x v="0"/>
    <n v="3"/>
    <x v="1"/>
    <x v="0"/>
    <x v="0"/>
  </r>
  <r>
    <s v="REL04166"/>
    <s v="Male"/>
    <n v="27"/>
    <s v="MBA"/>
    <s v="Divorced"/>
    <x v="7"/>
    <s v="Operations Head"/>
    <x v="0"/>
    <x v="6"/>
    <s v="South"/>
    <n v="10"/>
    <n v="115113"/>
    <x v="3"/>
    <n v="3"/>
    <n v="2"/>
    <n v="63"/>
    <n v="0"/>
    <d v="2013-04-15T00:00:00"/>
    <s v="No"/>
    <x v="1"/>
    <n v="4"/>
    <x v="1"/>
    <x v="2"/>
    <x v="0"/>
  </r>
  <r>
    <s v="REL04167"/>
    <s v="Female"/>
    <n v="34"/>
    <s v="MBA"/>
    <s v="Single"/>
    <x v="6"/>
    <s v="Finance Analyst"/>
    <x v="4"/>
    <x v="0"/>
    <s v="North"/>
    <n v="12"/>
    <n v="86565"/>
    <x v="1"/>
    <n v="2"/>
    <n v="3"/>
    <n v="71"/>
    <n v="2"/>
    <d v="2011-12-20T00:00:00"/>
    <s v="No"/>
    <x v="1"/>
    <n v="1"/>
    <x v="2"/>
    <x v="0"/>
    <x v="2"/>
  </r>
  <r>
    <s v="REL04168"/>
    <s v="Male"/>
    <n v="28"/>
    <s v="Post Graduate"/>
    <s v="Divorced"/>
    <x v="4"/>
    <s v="Marketing Executive"/>
    <x v="1"/>
    <x v="1"/>
    <s v="North"/>
    <n v="7"/>
    <n v="73651"/>
    <x v="0"/>
    <n v="1"/>
    <n v="1"/>
    <n v="28"/>
    <n v="2"/>
    <d v="2016-05-20T00:00:00"/>
    <s v="Yes"/>
    <x v="0"/>
    <n v="3"/>
    <x v="1"/>
    <x v="1"/>
    <x v="0"/>
  </r>
  <r>
    <s v="REL04169"/>
    <s v="Male"/>
    <n v="35"/>
    <s v="HSC"/>
    <s v="Single"/>
    <x v="3"/>
    <s v="Marketing Executive"/>
    <x v="2"/>
    <x v="9"/>
    <s v="West"/>
    <n v="15"/>
    <n v="81033"/>
    <x v="0"/>
    <n v="2"/>
    <n v="2"/>
    <n v="47"/>
    <n v="1"/>
    <d v="2008-05-30T00:00:00"/>
    <s v="No"/>
    <x v="1"/>
    <n v="3"/>
    <x v="2"/>
    <x v="0"/>
    <x v="0"/>
  </r>
  <r>
    <s v="REL04170"/>
    <s v="Male"/>
    <n v="22"/>
    <s v="HSC"/>
    <s v="Married"/>
    <x v="6"/>
    <s v="Sales Executive"/>
    <x v="0"/>
    <x v="6"/>
    <s v="South"/>
    <n v="1"/>
    <n v="40471"/>
    <x v="3"/>
    <n v="4"/>
    <n v="3"/>
    <n v="66"/>
    <n v="3"/>
    <d v="2022-10-21T00:00:00"/>
    <s v="No"/>
    <x v="2"/>
    <n v="4"/>
    <x v="3"/>
    <x v="2"/>
    <x v="1"/>
  </r>
  <r>
    <s v="REL04171"/>
    <s v="Female"/>
    <n v="37"/>
    <s v="HSC"/>
    <s v="Single"/>
    <x v="0"/>
    <s v="HR Manager"/>
    <x v="3"/>
    <x v="2"/>
    <s v="West"/>
    <n v="11"/>
    <n v="98703"/>
    <x v="3"/>
    <n v="1"/>
    <n v="1"/>
    <n v="79"/>
    <n v="2"/>
    <d v="2012-04-30T00:00:00"/>
    <s v="Yes"/>
    <x v="1"/>
    <n v="4"/>
    <x v="2"/>
    <x v="1"/>
    <x v="0"/>
  </r>
  <r>
    <s v="REL04172"/>
    <s v="Female"/>
    <n v="46"/>
    <s v="MBA"/>
    <s v="Divorced"/>
    <x v="1"/>
    <s v="Sales Executive"/>
    <x v="1"/>
    <x v="5"/>
    <s v="South"/>
    <n v="4"/>
    <n v="52262"/>
    <x v="3"/>
    <n v="1"/>
    <n v="2"/>
    <n v="60"/>
    <n v="3"/>
    <d v="2019-06-06T00:00:00"/>
    <s v="No"/>
    <x v="0"/>
    <n v="4"/>
    <x v="0"/>
    <x v="2"/>
    <x v="1"/>
  </r>
  <r>
    <s v="REL04173"/>
    <s v="Female"/>
    <n v="53"/>
    <s v="MBA"/>
    <s v="Divorced"/>
    <x v="5"/>
    <s v="Logistics Coordinator"/>
    <x v="4"/>
    <x v="8"/>
    <s v="South"/>
    <n v="8"/>
    <n v="64992"/>
    <x v="3"/>
    <n v="3"/>
    <n v="4"/>
    <n v="58"/>
    <n v="3"/>
    <d v="2015-10-20T00:00:00"/>
    <s v="Yes"/>
    <x v="0"/>
    <n v="4"/>
    <x v="1"/>
    <x v="1"/>
    <x v="1"/>
  </r>
  <r>
    <s v="REL04174"/>
    <s v="Male"/>
    <n v="33"/>
    <s v="BTech"/>
    <s v="Single"/>
    <x v="6"/>
    <s v="Logistics Coordinator"/>
    <x v="1"/>
    <x v="8"/>
    <s v="South"/>
    <n v="15"/>
    <n v="77045"/>
    <x v="0"/>
    <n v="4"/>
    <n v="4"/>
    <n v="48"/>
    <n v="3"/>
    <d v="2008-01-24T00:00:00"/>
    <s v="No"/>
    <x v="0"/>
    <n v="3"/>
    <x v="2"/>
    <x v="0"/>
    <x v="0"/>
  </r>
  <r>
    <s v="REL04175"/>
    <s v="Male"/>
    <n v="40"/>
    <s v="HSC"/>
    <s v="Married"/>
    <x v="4"/>
    <s v="Operations Head"/>
    <x v="1"/>
    <x v="4"/>
    <s v="North"/>
    <n v="6"/>
    <n v="107270"/>
    <x v="0"/>
    <n v="2"/>
    <n v="1"/>
    <n v="16"/>
    <n v="0"/>
    <d v="2017-06-22T00:00:00"/>
    <s v="No"/>
    <x v="1"/>
    <n v="3"/>
    <x v="1"/>
    <x v="0"/>
    <x v="0"/>
  </r>
  <r>
    <s v="REL04176"/>
    <s v="Female"/>
    <n v="30"/>
    <s v="HSC"/>
    <s v="Single"/>
    <x v="7"/>
    <s v="HR Manager"/>
    <x v="3"/>
    <x v="5"/>
    <s v="South"/>
    <n v="6"/>
    <n v="94112"/>
    <x v="0"/>
    <n v="1"/>
    <n v="3"/>
    <n v="63"/>
    <n v="2"/>
    <d v="2017-09-04T00:00:00"/>
    <s v="Yes"/>
    <x v="1"/>
    <n v="3"/>
    <x v="1"/>
    <x v="1"/>
    <x v="0"/>
  </r>
  <r>
    <s v="REL04177"/>
    <s v="Male"/>
    <n v="46"/>
    <s v="MBA"/>
    <s v="Married"/>
    <x v="5"/>
    <s v="Finance Analyst"/>
    <x v="2"/>
    <x v="5"/>
    <s v="South"/>
    <n v="11"/>
    <n v="74024"/>
    <x v="3"/>
    <n v="2"/>
    <n v="1"/>
    <n v="16"/>
    <n v="1"/>
    <d v="2012-05-05T00:00:00"/>
    <s v="No"/>
    <x v="0"/>
    <n v="4"/>
    <x v="2"/>
    <x v="2"/>
    <x v="1"/>
  </r>
  <r>
    <s v="REL04178"/>
    <s v="Male"/>
    <n v="23"/>
    <s v="Graduate"/>
    <s v="Single"/>
    <x v="1"/>
    <s v="Marketing Executive"/>
    <x v="4"/>
    <x v="3"/>
    <s v="West"/>
    <n v="4"/>
    <n v="49597"/>
    <x v="2"/>
    <n v="1"/>
    <n v="3"/>
    <n v="34"/>
    <n v="1"/>
    <d v="2019-05-10T00:00:00"/>
    <s v="No"/>
    <x v="2"/>
    <n v="2"/>
    <x v="0"/>
    <x v="0"/>
    <x v="1"/>
  </r>
  <r>
    <s v="REL04179"/>
    <s v="Female"/>
    <n v="29"/>
    <s v="BTech"/>
    <s v="Single"/>
    <x v="4"/>
    <s v="Customer Service Rep"/>
    <x v="4"/>
    <x v="5"/>
    <s v="South"/>
    <n v="6"/>
    <n v="37321"/>
    <x v="2"/>
    <n v="1"/>
    <n v="4"/>
    <n v="35"/>
    <n v="0"/>
    <d v="2017-10-12T00:00:00"/>
    <s v="No"/>
    <x v="2"/>
    <n v="2"/>
    <x v="1"/>
    <x v="0"/>
    <x v="1"/>
  </r>
  <r>
    <s v="REL04180"/>
    <s v="Female"/>
    <n v="39"/>
    <s v="MBA"/>
    <s v="Single"/>
    <x v="5"/>
    <s v="Store Manager"/>
    <x v="0"/>
    <x v="4"/>
    <s v="North"/>
    <n v="12"/>
    <n v="113152"/>
    <x v="2"/>
    <n v="1"/>
    <n v="4"/>
    <n v="51"/>
    <n v="0"/>
    <d v="2011-05-19T00:00:00"/>
    <s v="No"/>
    <x v="1"/>
    <n v="2"/>
    <x v="2"/>
    <x v="0"/>
    <x v="1"/>
  </r>
  <r>
    <s v="REL04181"/>
    <s v="Female"/>
    <n v="24"/>
    <s v="HSC"/>
    <s v="Single"/>
    <x v="5"/>
    <s v="Customer Service Rep"/>
    <x v="4"/>
    <x v="2"/>
    <s v="West"/>
    <n v="7"/>
    <n v="47194"/>
    <x v="0"/>
    <n v="1"/>
    <n v="3"/>
    <n v="25"/>
    <n v="2"/>
    <d v="2016-09-24T00:00:00"/>
    <s v="No"/>
    <x v="2"/>
    <n v="3"/>
    <x v="1"/>
    <x v="0"/>
    <x v="1"/>
  </r>
  <r>
    <s v="REL04182"/>
    <s v="Female"/>
    <n v="39"/>
    <s v="HSC"/>
    <s v="Single"/>
    <x v="1"/>
    <s v="Finance Analyst"/>
    <x v="1"/>
    <x v="6"/>
    <s v="South"/>
    <n v="8"/>
    <n v="67948"/>
    <x v="1"/>
    <n v="4"/>
    <n v="2"/>
    <n v="53"/>
    <n v="3"/>
    <d v="2015-03-19T00:00:00"/>
    <s v="Yes"/>
    <x v="0"/>
    <n v="1"/>
    <x v="1"/>
    <x v="1"/>
    <x v="1"/>
  </r>
  <r>
    <s v="REL04183"/>
    <s v="Male"/>
    <n v="35"/>
    <s v="MBA"/>
    <s v="Single"/>
    <x v="1"/>
    <s v="Marketing Executive"/>
    <x v="2"/>
    <x v="2"/>
    <s v="West"/>
    <n v="3"/>
    <n v="56615"/>
    <x v="3"/>
    <n v="4"/>
    <n v="2"/>
    <n v="10"/>
    <n v="1"/>
    <d v="2020-02-06T00:00:00"/>
    <s v="No"/>
    <x v="0"/>
    <n v="4"/>
    <x v="0"/>
    <x v="2"/>
    <x v="1"/>
  </r>
  <r>
    <s v="REL04184"/>
    <s v="Male"/>
    <n v="52"/>
    <s v="Post Graduate"/>
    <s v="Married"/>
    <x v="6"/>
    <s v="Store Manager"/>
    <x v="4"/>
    <x v="9"/>
    <s v="West"/>
    <n v="11"/>
    <n v="113321"/>
    <x v="0"/>
    <n v="4"/>
    <n v="1"/>
    <n v="40"/>
    <n v="0"/>
    <d v="2012-05-20T00:00:00"/>
    <s v="Yes"/>
    <x v="1"/>
    <n v="3"/>
    <x v="2"/>
    <x v="1"/>
    <x v="0"/>
  </r>
  <r>
    <s v="REL04185"/>
    <s v="Female"/>
    <n v="23"/>
    <s v="Graduate"/>
    <s v="Married"/>
    <x v="7"/>
    <s v="Store Manager"/>
    <x v="3"/>
    <x v="2"/>
    <s v="West"/>
    <n v="8"/>
    <n v="99800"/>
    <x v="3"/>
    <n v="3"/>
    <n v="2"/>
    <n v="18"/>
    <n v="2"/>
    <d v="2015-02-08T00:00:00"/>
    <s v="No"/>
    <x v="1"/>
    <n v="4"/>
    <x v="1"/>
    <x v="2"/>
    <x v="0"/>
  </r>
  <r>
    <s v="REL04186"/>
    <s v="Male"/>
    <n v="33"/>
    <s v="BTech"/>
    <s v="Married"/>
    <x v="1"/>
    <s v="Sales Executive"/>
    <x v="0"/>
    <x v="4"/>
    <s v="North"/>
    <n v="10"/>
    <n v="62738"/>
    <x v="2"/>
    <n v="2"/>
    <n v="4"/>
    <n v="32"/>
    <n v="1"/>
    <d v="2013-07-01T00:00:00"/>
    <s v="Yes"/>
    <x v="0"/>
    <n v="2"/>
    <x v="1"/>
    <x v="1"/>
    <x v="1"/>
  </r>
  <r>
    <s v="REL04187"/>
    <s v="Male"/>
    <n v="55"/>
    <s v="BTech"/>
    <s v="Single"/>
    <x v="5"/>
    <s v="Operations Head"/>
    <x v="0"/>
    <x v="7"/>
    <s v="East"/>
    <n v="15"/>
    <n v="118516"/>
    <x v="1"/>
    <n v="4"/>
    <n v="4"/>
    <n v="13"/>
    <n v="1"/>
    <d v="2008-07-12T00:00:00"/>
    <s v="Yes"/>
    <x v="1"/>
    <n v="1"/>
    <x v="2"/>
    <x v="1"/>
    <x v="2"/>
  </r>
  <r>
    <s v="REL04188"/>
    <s v="Male"/>
    <n v="29"/>
    <s v="Post Graduate"/>
    <s v="Single"/>
    <x v="1"/>
    <s v="Sales Executive"/>
    <x v="0"/>
    <x v="2"/>
    <s v="West"/>
    <n v="10"/>
    <n v="62474"/>
    <x v="3"/>
    <n v="2"/>
    <n v="4"/>
    <n v="35"/>
    <n v="2"/>
    <d v="2013-06-04T00:00:00"/>
    <s v="Yes"/>
    <x v="0"/>
    <n v="4"/>
    <x v="1"/>
    <x v="1"/>
    <x v="1"/>
  </r>
  <r>
    <s v="REL04189"/>
    <s v="Female"/>
    <n v="39"/>
    <s v="HSC"/>
    <s v="Married"/>
    <x v="3"/>
    <s v="Marketing Executive"/>
    <x v="1"/>
    <x v="7"/>
    <s v="East"/>
    <n v="5"/>
    <n v="56188"/>
    <x v="3"/>
    <n v="1"/>
    <n v="4"/>
    <n v="48"/>
    <n v="2"/>
    <d v="2018-06-19T00:00:00"/>
    <s v="No"/>
    <x v="0"/>
    <n v="4"/>
    <x v="0"/>
    <x v="2"/>
    <x v="1"/>
  </r>
  <r>
    <s v="REL04190"/>
    <s v="Male"/>
    <n v="45"/>
    <s v="MBA"/>
    <s v="Married"/>
    <x v="2"/>
    <s v="Logistics Coordinator"/>
    <x v="0"/>
    <x v="2"/>
    <s v="West"/>
    <n v="11"/>
    <n v="75074"/>
    <x v="0"/>
    <n v="3"/>
    <n v="1"/>
    <n v="72"/>
    <n v="2"/>
    <d v="2012-07-20T00:00:00"/>
    <s v="Yes"/>
    <x v="0"/>
    <n v="3"/>
    <x v="2"/>
    <x v="1"/>
    <x v="0"/>
  </r>
  <r>
    <s v="REL04191"/>
    <s v="Female"/>
    <n v="50"/>
    <s v="Graduate"/>
    <s v="Married"/>
    <x v="2"/>
    <s v="Store Manager"/>
    <x v="3"/>
    <x v="4"/>
    <s v="North"/>
    <n v="7"/>
    <n v="106783"/>
    <x v="3"/>
    <n v="1"/>
    <n v="2"/>
    <n v="77"/>
    <n v="1"/>
    <d v="2016-10-23T00:00:00"/>
    <s v="Yes"/>
    <x v="1"/>
    <n v="4"/>
    <x v="1"/>
    <x v="1"/>
    <x v="0"/>
  </r>
  <r>
    <s v="REL04192"/>
    <s v="Female"/>
    <n v="47"/>
    <s v="HSC"/>
    <s v="Single"/>
    <x v="4"/>
    <s v="Operations Head"/>
    <x v="1"/>
    <x v="6"/>
    <s v="South"/>
    <n v="2"/>
    <n v="104596"/>
    <x v="1"/>
    <n v="1"/>
    <n v="1"/>
    <n v="33"/>
    <n v="0"/>
    <d v="2021-04-27T00:00:00"/>
    <s v="Yes"/>
    <x v="1"/>
    <n v="1"/>
    <x v="3"/>
    <x v="1"/>
    <x v="2"/>
  </r>
  <r>
    <s v="REL04193"/>
    <s v="Female"/>
    <n v="48"/>
    <s v="Graduate"/>
    <s v="Single"/>
    <x v="7"/>
    <s v="Logistics Coordinator"/>
    <x v="1"/>
    <x v="4"/>
    <s v="North"/>
    <n v="15"/>
    <n v="74942"/>
    <x v="1"/>
    <n v="4"/>
    <n v="3"/>
    <n v="60"/>
    <n v="0"/>
    <d v="2008-02-06T00:00:00"/>
    <s v="Yes"/>
    <x v="0"/>
    <n v="1"/>
    <x v="2"/>
    <x v="1"/>
    <x v="1"/>
  </r>
  <r>
    <s v="REL04194"/>
    <s v="Male"/>
    <n v="45"/>
    <s v="Graduate"/>
    <s v="Married"/>
    <x v="4"/>
    <s v="Customer Service Rep"/>
    <x v="3"/>
    <x v="6"/>
    <s v="South"/>
    <n v="3"/>
    <n v="44507"/>
    <x v="1"/>
    <n v="2"/>
    <n v="1"/>
    <n v="32"/>
    <n v="3"/>
    <d v="2020-11-30T00:00:00"/>
    <s v="Yes"/>
    <x v="2"/>
    <n v="1"/>
    <x v="0"/>
    <x v="1"/>
    <x v="1"/>
  </r>
  <r>
    <s v="REL04195"/>
    <s v="Female"/>
    <n v="55"/>
    <s v="HSC"/>
    <s v="Single"/>
    <x v="4"/>
    <s v="Operations Head"/>
    <x v="2"/>
    <x v="0"/>
    <s v="North"/>
    <n v="14"/>
    <n v="129355"/>
    <x v="0"/>
    <n v="2"/>
    <n v="4"/>
    <n v="77"/>
    <n v="0"/>
    <d v="2009-06-22T00:00:00"/>
    <s v="No"/>
    <x v="1"/>
    <n v="3"/>
    <x v="2"/>
    <x v="0"/>
    <x v="0"/>
  </r>
  <r>
    <s v="REL04196"/>
    <s v="Female"/>
    <n v="24"/>
    <s v="Graduate"/>
    <s v="Divorced"/>
    <x v="4"/>
    <s v="Operations Head"/>
    <x v="1"/>
    <x v="4"/>
    <s v="North"/>
    <n v="11"/>
    <n v="115735"/>
    <x v="3"/>
    <n v="2"/>
    <n v="4"/>
    <n v="27"/>
    <n v="0"/>
    <d v="2012-09-07T00:00:00"/>
    <s v="No"/>
    <x v="1"/>
    <n v="4"/>
    <x v="2"/>
    <x v="2"/>
    <x v="0"/>
  </r>
  <r>
    <s v="REL04197"/>
    <s v="Male"/>
    <n v="44"/>
    <s v="BTech"/>
    <s v="Divorced"/>
    <x v="2"/>
    <s v="HR Manager"/>
    <x v="0"/>
    <x v="9"/>
    <s v="West"/>
    <n v="2"/>
    <n v="72579"/>
    <x v="3"/>
    <n v="3"/>
    <n v="1"/>
    <n v="35"/>
    <n v="3"/>
    <d v="2021-02-23T00:00:00"/>
    <s v="No"/>
    <x v="0"/>
    <n v="4"/>
    <x v="3"/>
    <x v="2"/>
    <x v="1"/>
  </r>
  <r>
    <s v="REL04198"/>
    <s v="Female"/>
    <n v="23"/>
    <s v="MBA"/>
    <s v="Divorced"/>
    <x v="6"/>
    <s v="Marketing Executive"/>
    <x v="2"/>
    <x v="6"/>
    <s v="South"/>
    <n v="13"/>
    <n v="75876"/>
    <x v="3"/>
    <n v="1"/>
    <n v="2"/>
    <n v="53"/>
    <n v="1"/>
    <d v="2010-08-27T00:00:00"/>
    <s v="No"/>
    <x v="0"/>
    <n v="4"/>
    <x v="2"/>
    <x v="2"/>
    <x v="1"/>
  </r>
  <r>
    <s v="REL04199"/>
    <s v="Male"/>
    <n v="26"/>
    <s v="HSC"/>
    <s v="Single"/>
    <x v="1"/>
    <s v="HR Manager"/>
    <x v="1"/>
    <x v="0"/>
    <s v="North"/>
    <n v="3"/>
    <n v="76443"/>
    <x v="2"/>
    <n v="2"/>
    <n v="1"/>
    <n v="20"/>
    <n v="2"/>
    <d v="2020-09-12T00:00:00"/>
    <s v="No"/>
    <x v="0"/>
    <n v="2"/>
    <x v="0"/>
    <x v="0"/>
    <x v="1"/>
  </r>
  <r>
    <s v="REL04200"/>
    <s v="Male"/>
    <n v="27"/>
    <s v="Post Graduate"/>
    <s v="Single"/>
    <x v="7"/>
    <s v="Store Manager"/>
    <x v="1"/>
    <x v="8"/>
    <s v="South"/>
    <n v="11"/>
    <n v="105440"/>
    <x v="1"/>
    <n v="4"/>
    <n v="1"/>
    <n v="50"/>
    <n v="1"/>
    <d v="2012-02-18T00:00:00"/>
    <s v="No"/>
    <x v="1"/>
    <n v="1"/>
    <x v="2"/>
    <x v="0"/>
    <x v="2"/>
  </r>
  <r>
    <s v="REL04201"/>
    <s v="Male"/>
    <n v="30"/>
    <s v="BTech"/>
    <s v="Divorced"/>
    <x v="5"/>
    <s v="HR Manager"/>
    <x v="0"/>
    <x v="4"/>
    <s v="North"/>
    <n v="13"/>
    <n v="107854"/>
    <x v="0"/>
    <n v="2"/>
    <n v="4"/>
    <n v="76"/>
    <n v="2"/>
    <d v="2010-07-11T00:00:00"/>
    <s v="No"/>
    <x v="1"/>
    <n v="3"/>
    <x v="2"/>
    <x v="0"/>
    <x v="0"/>
  </r>
  <r>
    <s v="REL04202"/>
    <s v="Female"/>
    <n v="33"/>
    <s v="MBA"/>
    <s v="Single"/>
    <x v="2"/>
    <s v="Sales Executive"/>
    <x v="4"/>
    <x v="5"/>
    <s v="South"/>
    <n v="5"/>
    <n v="48610"/>
    <x v="1"/>
    <n v="1"/>
    <n v="1"/>
    <n v="31"/>
    <n v="0"/>
    <d v="2018-06-04T00:00:00"/>
    <s v="Yes"/>
    <x v="2"/>
    <n v="1"/>
    <x v="0"/>
    <x v="1"/>
    <x v="1"/>
  </r>
  <r>
    <s v="REL04203"/>
    <s v="Male"/>
    <n v="27"/>
    <s v="Graduate"/>
    <s v="Married"/>
    <x v="7"/>
    <s v="Marketing Executive"/>
    <x v="4"/>
    <x v="0"/>
    <s v="North"/>
    <n v="11"/>
    <n v="66842"/>
    <x v="1"/>
    <n v="2"/>
    <n v="1"/>
    <n v="21"/>
    <n v="3"/>
    <d v="2012-08-17T00:00:00"/>
    <s v="Yes"/>
    <x v="0"/>
    <n v="1"/>
    <x v="2"/>
    <x v="1"/>
    <x v="1"/>
  </r>
  <r>
    <s v="REL04204"/>
    <s v="Male"/>
    <n v="51"/>
    <s v="MBA"/>
    <s v="Single"/>
    <x v="0"/>
    <s v="Sales Executive"/>
    <x v="3"/>
    <x v="1"/>
    <s v="North"/>
    <n v="3"/>
    <n v="54816"/>
    <x v="0"/>
    <n v="1"/>
    <n v="1"/>
    <n v="65"/>
    <n v="3"/>
    <d v="2020-06-28T00:00:00"/>
    <s v="No"/>
    <x v="0"/>
    <n v="3"/>
    <x v="0"/>
    <x v="0"/>
    <x v="0"/>
  </r>
  <r>
    <s v="REL04205"/>
    <s v="Male"/>
    <n v="49"/>
    <s v="MBA"/>
    <s v="Single"/>
    <x v="0"/>
    <s v="Customer Service Rep"/>
    <x v="0"/>
    <x v="7"/>
    <s v="East"/>
    <n v="6"/>
    <n v="44646"/>
    <x v="1"/>
    <n v="4"/>
    <n v="1"/>
    <n v="68"/>
    <n v="1"/>
    <d v="2017-12-08T00:00:00"/>
    <s v="Yes"/>
    <x v="2"/>
    <n v="1"/>
    <x v="1"/>
    <x v="1"/>
    <x v="1"/>
  </r>
  <r>
    <s v="REL04206"/>
    <s v="Male"/>
    <n v="49"/>
    <s v="Graduate"/>
    <s v="Single"/>
    <x v="7"/>
    <s v="Customer Service Rep"/>
    <x v="0"/>
    <x v="9"/>
    <s v="West"/>
    <n v="11"/>
    <n v="55489"/>
    <x v="0"/>
    <n v="4"/>
    <n v="1"/>
    <n v="45"/>
    <n v="1"/>
    <d v="2012-01-22T00:00:00"/>
    <s v="No"/>
    <x v="0"/>
    <n v="3"/>
    <x v="2"/>
    <x v="0"/>
    <x v="0"/>
  </r>
  <r>
    <s v="REL04207"/>
    <s v="Female"/>
    <n v="31"/>
    <s v="Post Graduate"/>
    <s v="Divorced"/>
    <x v="5"/>
    <s v="Marketing Executive"/>
    <x v="1"/>
    <x v="0"/>
    <s v="North"/>
    <n v="10"/>
    <n v="61689"/>
    <x v="0"/>
    <n v="3"/>
    <n v="4"/>
    <n v="80"/>
    <n v="3"/>
    <d v="2013-08-05T00:00:00"/>
    <s v="Yes"/>
    <x v="0"/>
    <n v="3"/>
    <x v="1"/>
    <x v="1"/>
    <x v="0"/>
  </r>
  <r>
    <s v="REL04208"/>
    <s v="Male"/>
    <n v="25"/>
    <s v="Graduate"/>
    <s v="Single"/>
    <x v="2"/>
    <s v="Sales Executive"/>
    <x v="3"/>
    <x v="2"/>
    <s v="West"/>
    <n v="13"/>
    <n v="59817"/>
    <x v="1"/>
    <n v="2"/>
    <n v="1"/>
    <n v="70"/>
    <n v="1"/>
    <d v="2010-05-12T00:00:00"/>
    <s v="Yes"/>
    <x v="0"/>
    <n v="1"/>
    <x v="2"/>
    <x v="1"/>
    <x v="1"/>
  </r>
  <r>
    <s v="REL04209"/>
    <s v="Female"/>
    <n v="52"/>
    <s v="Post Graduate"/>
    <s v="Divorced"/>
    <x v="6"/>
    <s v="Finance Analyst"/>
    <x v="3"/>
    <x v="9"/>
    <s v="West"/>
    <n v="6"/>
    <n v="65777"/>
    <x v="2"/>
    <n v="1"/>
    <n v="2"/>
    <n v="43"/>
    <n v="0"/>
    <d v="2017-07-14T00:00:00"/>
    <s v="No"/>
    <x v="0"/>
    <n v="2"/>
    <x v="1"/>
    <x v="0"/>
    <x v="1"/>
  </r>
  <r>
    <s v="REL04210"/>
    <s v="Female"/>
    <n v="31"/>
    <s v="MBA"/>
    <s v="Single"/>
    <x v="6"/>
    <s v="Logistics Coordinator"/>
    <x v="0"/>
    <x v="5"/>
    <s v="South"/>
    <n v="8"/>
    <n v="67269"/>
    <x v="3"/>
    <n v="3"/>
    <n v="1"/>
    <n v="60"/>
    <n v="1"/>
    <d v="2015-02-05T00:00:00"/>
    <s v="No"/>
    <x v="0"/>
    <n v="4"/>
    <x v="1"/>
    <x v="2"/>
    <x v="1"/>
  </r>
  <r>
    <s v="REL04211"/>
    <s v="Male"/>
    <n v="23"/>
    <s v="BTech"/>
    <s v="Divorced"/>
    <x v="1"/>
    <s v="Sales Executive"/>
    <x v="4"/>
    <x v="7"/>
    <s v="East"/>
    <n v="13"/>
    <n v="67791"/>
    <x v="0"/>
    <n v="1"/>
    <n v="2"/>
    <n v="77"/>
    <n v="1"/>
    <d v="2010-01-30T00:00:00"/>
    <s v="Yes"/>
    <x v="0"/>
    <n v="3"/>
    <x v="2"/>
    <x v="1"/>
    <x v="0"/>
  </r>
  <r>
    <s v="REL04212"/>
    <s v="Female"/>
    <n v="55"/>
    <s v="Graduate"/>
    <s v="Married"/>
    <x v="6"/>
    <s v="Sales Executive"/>
    <x v="4"/>
    <x v="8"/>
    <s v="South"/>
    <n v="11"/>
    <n v="55176"/>
    <x v="0"/>
    <n v="4"/>
    <n v="1"/>
    <n v="17"/>
    <n v="0"/>
    <d v="2012-09-28T00:00:00"/>
    <s v="Yes"/>
    <x v="0"/>
    <n v="3"/>
    <x v="2"/>
    <x v="1"/>
    <x v="0"/>
  </r>
  <r>
    <s v="REL04213"/>
    <s v="Female"/>
    <n v="46"/>
    <s v="Post Graduate"/>
    <s v="Divorced"/>
    <x v="0"/>
    <s v="Marketing Executive"/>
    <x v="0"/>
    <x v="6"/>
    <s v="South"/>
    <n v="14"/>
    <n v="84757"/>
    <x v="2"/>
    <n v="3"/>
    <n v="3"/>
    <n v="41"/>
    <n v="2"/>
    <d v="2009-02-27T00:00:00"/>
    <s v="No"/>
    <x v="1"/>
    <n v="2"/>
    <x v="2"/>
    <x v="0"/>
    <x v="1"/>
  </r>
  <r>
    <s v="REL04214"/>
    <s v="Male"/>
    <n v="22"/>
    <s v="Post Graduate"/>
    <s v="Married"/>
    <x v="6"/>
    <s v="Logistics Coordinator"/>
    <x v="1"/>
    <x v="8"/>
    <s v="South"/>
    <n v="10"/>
    <n v="67591"/>
    <x v="3"/>
    <n v="2"/>
    <n v="4"/>
    <n v="35"/>
    <n v="3"/>
    <d v="2013-09-27T00:00:00"/>
    <s v="No"/>
    <x v="0"/>
    <n v="4"/>
    <x v="1"/>
    <x v="2"/>
    <x v="1"/>
  </r>
  <r>
    <s v="REL04215"/>
    <s v="Female"/>
    <n v="36"/>
    <s v="Post Graduate"/>
    <s v="Married"/>
    <x v="7"/>
    <s v="Sales Executive"/>
    <x v="4"/>
    <x v="7"/>
    <s v="East"/>
    <n v="6"/>
    <n v="59632"/>
    <x v="3"/>
    <n v="2"/>
    <n v="4"/>
    <n v="18"/>
    <n v="2"/>
    <d v="2017-05-14T00:00:00"/>
    <s v="Yes"/>
    <x v="0"/>
    <n v="4"/>
    <x v="1"/>
    <x v="1"/>
    <x v="1"/>
  </r>
  <r>
    <s v="REL04216"/>
    <s v="Male"/>
    <n v="24"/>
    <s v="Post Graduate"/>
    <s v="Married"/>
    <x v="6"/>
    <s v="Finance Analyst"/>
    <x v="0"/>
    <x v="8"/>
    <s v="South"/>
    <n v="6"/>
    <n v="73486"/>
    <x v="2"/>
    <n v="4"/>
    <n v="4"/>
    <n v="49"/>
    <n v="1"/>
    <d v="2017-11-29T00:00:00"/>
    <s v="No"/>
    <x v="0"/>
    <n v="2"/>
    <x v="1"/>
    <x v="0"/>
    <x v="1"/>
  </r>
  <r>
    <s v="REL04217"/>
    <s v="Male"/>
    <n v="28"/>
    <s v="MBA"/>
    <s v="Married"/>
    <x v="5"/>
    <s v="Sales Executive"/>
    <x v="3"/>
    <x v="9"/>
    <s v="West"/>
    <n v="5"/>
    <n v="45764"/>
    <x v="3"/>
    <n v="2"/>
    <n v="4"/>
    <n v="42"/>
    <n v="2"/>
    <d v="2018-07-07T00:00:00"/>
    <s v="No"/>
    <x v="2"/>
    <n v="4"/>
    <x v="0"/>
    <x v="2"/>
    <x v="1"/>
  </r>
  <r>
    <s v="REL04218"/>
    <s v="Female"/>
    <n v="32"/>
    <s v="MBA"/>
    <s v="Single"/>
    <x v="4"/>
    <s v="Customer Service Rep"/>
    <x v="4"/>
    <x v="9"/>
    <s v="West"/>
    <n v="11"/>
    <n v="65065"/>
    <x v="3"/>
    <n v="3"/>
    <n v="3"/>
    <n v="52"/>
    <n v="1"/>
    <d v="2012-06-04T00:00:00"/>
    <s v="No"/>
    <x v="0"/>
    <n v="4"/>
    <x v="2"/>
    <x v="2"/>
    <x v="1"/>
  </r>
  <r>
    <s v="REL04219"/>
    <s v="Male"/>
    <n v="30"/>
    <s v="Post Graduate"/>
    <s v="Divorced"/>
    <x v="1"/>
    <s v="HR Manager"/>
    <x v="2"/>
    <x v="1"/>
    <s v="North"/>
    <n v="1"/>
    <n v="73170"/>
    <x v="2"/>
    <n v="3"/>
    <n v="2"/>
    <n v="66"/>
    <n v="0"/>
    <d v="2022-04-10T00:00:00"/>
    <s v="Yes"/>
    <x v="0"/>
    <n v="2"/>
    <x v="3"/>
    <x v="1"/>
    <x v="1"/>
  </r>
  <r>
    <s v="REL04220"/>
    <s v="Female"/>
    <n v="30"/>
    <s v="BTech"/>
    <s v="Single"/>
    <x v="0"/>
    <s v="Marketing Executive"/>
    <x v="4"/>
    <x v="7"/>
    <s v="East"/>
    <n v="3"/>
    <n v="64729"/>
    <x v="3"/>
    <n v="1"/>
    <n v="3"/>
    <n v="15"/>
    <n v="0"/>
    <d v="2020-11-03T00:00:00"/>
    <s v="No"/>
    <x v="0"/>
    <n v="4"/>
    <x v="0"/>
    <x v="2"/>
    <x v="1"/>
  </r>
  <r>
    <s v="REL04221"/>
    <s v="Female"/>
    <n v="45"/>
    <s v="Graduate"/>
    <s v="Single"/>
    <x v="7"/>
    <s v="HR Manager"/>
    <x v="0"/>
    <x v="9"/>
    <s v="West"/>
    <n v="10"/>
    <n v="101692"/>
    <x v="3"/>
    <n v="1"/>
    <n v="4"/>
    <n v="67"/>
    <n v="0"/>
    <d v="2013-10-24T00:00:00"/>
    <s v="No"/>
    <x v="1"/>
    <n v="4"/>
    <x v="1"/>
    <x v="2"/>
    <x v="0"/>
  </r>
  <r>
    <s v="REL04222"/>
    <s v="Female"/>
    <n v="51"/>
    <s v="BTech"/>
    <s v="Married"/>
    <x v="4"/>
    <s v="Logistics Coordinator"/>
    <x v="1"/>
    <x v="6"/>
    <s v="South"/>
    <n v="2"/>
    <n v="57931"/>
    <x v="3"/>
    <n v="4"/>
    <n v="4"/>
    <n v="28"/>
    <n v="3"/>
    <d v="2021-09-09T00:00:00"/>
    <s v="No"/>
    <x v="0"/>
    <n v="4"/>
    <x v="3"/>
    <x v="2"/>
    <x v="1"/>
  </r>
  <r>
    <s v="REL04223"/>
    <s v="Female"/>
    <n v="33"/>
    <s v="Graduate"/>
    <s v="Divorced"/>
    <x v="6"/>
    <s v="Store Manager"/>
    <x v="3"/>
    <x v="8"/>
    <s v="South"/>
    <n v="15"/>
    <n v="120132"/>
    <x v="0"/>
    <n v="2"/>
    <n v="4"/>
    <n v="13"/>
    <n v="0"/>
    <d v="2008-11-05T00:00:00"/>
    <s v="No"/>
    <x v="1"/>
    <n v="3"/>
    <x v="2"/>
    <x v="0"/>
    <x v="0"/>
  </r>
  <r>
    <s v="REL04224"/>
    <s v="Female"/>
    <n v="46"/>
    <s v="Post Graduate"/>
    <s v="Divorced"/>
    <x v="4"/>
    <s v="Finance Analyst"/>
    <x v="3"/>
    <x v="2"/>
    <s v="West"/>
    <n v="3"/>
    <n v="64126"/>
    <x v="2"/>
    <n v="3"/>
    <n v="4"/>
    <n v="34"/>
    <n v="0"/>
    <d v="2020-06-28T00:00:00"/>
    <s v="No"/>
    <x v="0"/>
    <n v="2"/>
    <x v="0"/>
    <x v="0"/>
    <x v="1"/>
  </r>
  <r>
    <s v="REL04225"/>
    <s v="Female"/>
    <n v="39"/>
    <s v="HSC"/>
    <s v="Married"/>
    <x v="2"/>
    <s v="HR Manager"/>
    <x v="2"/>
    <x v="0"/>
    <s v="North"/>
    <n v="5"/>
    <n v="85272"/>
    <x v="2"/>
    <n v="3"/>
    <n v="3"/>
    <n v="38"/>
    <n v="0"/>
    <d v="2018-06-21T00:00:00"/>
    <s v="No"/>
    <x v="1"/>
    <n v="2"/>
    <x v="0"/>
    <x v="0"/>
    <x v="1"/>
  </r>
  <r>
    <s v="REL04226"/>
    <s v="Female"/>
    <n v="54"/>
    <s v="Post Graduate"/>
    <s v="Single"/>
    <x v="3"/>
    <s v="Customer Service Rep"/>
    <x v="1"/>
    <x v="5"/>
    <s v="South"/>
    <n v="14"/>
    <n v="65655"/>
    <x v="3"/>
    <n v="2"/>
    <n v="2"/>
    <n v="14"/>
    <n v="2"/>
    <d v="2009-09-23T00:00:00"/>
    <s v="Yes"/>
    <x v="0"/>
    <n v="4"/>
    <x v="2"/>
    <x v="1"/>
    <x v="1"/>
  </r>
  <r>
    <s v="REL04227"/>
    <s v="Male"/>
    <n v="40"/>
    <s v="BTech"/>
    <s v="Single"/>
    <x v="0"/>
    <s v="Finance Analyst"/>
    <x v="1"/>
    <x v="2"/>
    <s v="West"/>
    <n v="7"/>
    <n v="73745"/>
    <x v="2"/>
    <n v="1"/>
    <n v="4"/>
    <n v="71"/>
    <n v="0"/>
    <d v="2016-05-07T00:00:00"/>
    <s v="Yes"/>
    <x v="0"/>
    <n v="2"/>
    <x v="1"/>
    <x v="1"/>
    <x v="1"/>
  </r>
  <r>
    <s v="REL04228"/>
    <s v="Female"/>
    <n v="28"/>
    <s v="Graduate"/>
    <s v="Married"/>
    <x v="0"/>
    <s v="Sales Executive"/>
    <x v="1"/>
    <x v="9"/>
    <s v="West"/>
    <n v="9"/>
    <n v="58442"/>
    <x v="2"/>
    <n v="2"/>
    <n v="4"/>
    <n v="51"/>
    <n v="0"/>
    <d v="2014-04-28T00:00:00"/>
    <s v="No"/>
    <x v="0"/>
    <n v="2"/>
    <x v="1"/>
    <x v="0"/>
    <x v="1"/>
  </r>
  <r>
    <s v="REL04229"/>
    <s v="Male"/>
    <n v="47"/>
    <s v="Post Graduate"/>
    <s v="Single"/>
    <x v="1"/>
    <s v="Marketing Executive"/>
    <x v="3"/>
    <x v="9"/>
    <s v="West"/>
    <n v="14"/>
    <n v="74138"/>
    <x v="3"/>
    <n v="2"/>
    <n v="2"/>
    <n v="59"/>
    <n v="1"/>
    <d v="2009-08-02T00:00:00"/>
    <s v="Yes"/>
    <x v="0"/>
    <n v="4"/>
    <x v="2"/>
    <x v="1"/>
    <x v="1"/>
  </r>
  <r>
    <s v="REL04230"/>
    <s v="Female"/>
    <n v="36"/>
    <s v="MBA"/>
    <s v="Married"/>
    <x v="2"/>
    <s v="Sales Executive"/>
    <x v="1"/>
    <x v="1"/>
    <s v="North"/>
    <n v="10"/>
    <n v="53421"/>
    <x v="1"/>
    <n v="1"/>
    <n v="4"/>
    <n v="68"/>
    <n v="0"/>
    <d v="2013-12-21T00:00:00"/>
    <s v="Yes"/>
    <x v="0"/>
    <n v="1"/>
    <x v="1"/>
    <x v="1"/>
    <x v="1"/>
  </r>
  <r>
    <s v="REL04231"/>
    <s v="Female"/>
    <n v="46"/>
    <s v="MBA"/>
    <s v="Single"/>
    <x v="7"/>
    <s v="Finance Analyst"/>
    <x v="1"/>
    <x v="4"/>
    <s v="North"/>
    <n v="13"/>
    <n v="93179"/>
    <x v="1"/>
    <n v="3"/>
    <n v="1"/>
    <n v="65"/>
    <n v="1"/>
    <d v="2010-10-08T00:00:00"/>
    <s v="Yes"/>
    <x v="1"/>
    <n v="1"/>
    <x v="2"/>
    <x v="1"/>
    <x v="2"/>
  </r>
  <r>
    <s v="REL04232"/>
    <s v="Male"/>
    <n v="50"/>
    <s v="Graduate"/>
    <s v="Divorced"/>
    <x v="5"/>
    <s v="Store Manager"/>
    <x v="1"/>
    <x v="2"/>
    <s v="West"/>
    <n v="1"/>
    <n v="91587"/>
    <x v="1"/>
    <n v="2"/>
    <n v="1"/>
    <n v="55"/>
    <n v="0"/>
    <d v="2022-11-06T00:00:00"/>
    <s v="Yes"/>
    <x v="1"/>
    <n v="1"/>
    <x v="3"/>
    <x v="1"/>
    <x v="2"/>
  </r>
  <r>
    <s v="REL04233"/>
    <s v="Female"/>
    <n v="35"/>
    <s v="HSC"/>
    <s v="Divorced"/>
    <x v="7"/>
    <s v="HR Manager"/>
    <x v="4"/>
    <x v="4"/>
    <s v="North"/>
    <n v="13"/>
    <n v="106030"/>
    <x v="1"/>
    <n v="2"/>
    <n v="3"/>
    <n v="28"/>
    <n v="3"/>
    <d v="2010-05-30T00:00:00"/>
    <s v="Yes"/>
    <x v="1"/>
    <n v="1"/>
    <x v="2"/>
    <x v="1"/>
    <x v="2"/>
  </r>
  <r>
    <s v="REL04234"/>
    <s v="Female"/>
    <n v="29"/>
    <s v="Post Graduate"/>
    <s v="Single"/>
    <x v="6"/>
    <s v="Operations Head"/>
    <x v="4"/>
    <x v="9"/>
    <s v="West"/>
    <n v="9"/>
    <n v="103306"/>
    <x v="1"/>
    <n v="4"/>
    <n v="1"/>
    <n v="26"/>
    <n v="3"/>
    <d v="2014-04-01T00:00:00"/>
    <s v="Yes"/>
    <x v="1"/>
    <n v="1"/>
    <x v="1"/>
    <x v="1"/>
    <x v="2"/>
  </r>
  <r>
    <s v="REL04235"/>
    <s v="Female"/>
    <n v="52"/>
    <s v="Graduate"/>
    <s v="Divorced"/>
    <x v="7"/>
    <s v="Sales Executive"/>
    <x v="2"/>
    <x v="1"/>
    <s v="North"/>
    <n v="1"/>
    <n v="40863"/>
    <x v="1"/>
    <n v="3"/>
    <n v="2"/>
    <n v="73"/>
    <n v="0"/>
    <d v="2022-01-20T00:00:00"/>
    <s v="No"/>
    <x v="2"/>
    <n v="1"/>
    <x v="3"/>
    <x v="3"/>
    <x v="1"/>
  </r>
  <r>
    <s v="REL04236"/>
    <s v="Male"/>
    <n v="48"/>
    <s v="BTech"/>
    <s v="Married"/>
    <x v="5"/>
    <s v="Sales Executive"/>
    <x v="1"/>
    <x v="6"/>
    <s v="South"/>
    <n v="4"/>
    <n v="57360"/>
    <x v="0"/>
    <n v="3"/>
    <n v="2"/>
    <n v="25"/>
    <n v="2"/>
    <d v="2019-01-27T00:00:00"/>
    <s v="No"/>
    <x v="0"/>
    <n v="3"/>
    <x v="0"/>
    <x v="0"/>
    <x v="0"/>
  </r>
  <r>
    <s v="REL04237"/>
    <s v="Male"/>
    <n v="52"/>
    <s v="MBA"/>
    <s v="Married"/>
    <x v="2"/>
    <s v="Store Manager"/>
    <x v="2"/>
    <x v="0"/>
    <s v="North"/>
    <n v="2"/>
    <n v="98258"/>
    <x v="1"/>
    <n v="4"/>
    <n v="3"/>
    <n v="34"/>
    <n v="1"/>
    <d v="2021-10-24T00:00:00"/>
    <s v="No"/>
    <x v="1"/>
    <n v="1"/>
    <x v="3"/>
    <x v="3"/>
    <x v="2"/>
  </r>
  <r>
    <s v="REL04238"/>
    <s v="Female"/>
    <n v="48"/>
    <s v="MBA"/>
    <s v="Married"/>
    <x v="6"/>
    <s v="HR Manager"/>
    <x v="3"/>
    <x v="9"/>
    <s v="West"/>
    <n v="13"/>
    <n v="104813"/>
    <x v="0"/>
    <n v="2"/>
    <n v="1"/>
    <n v="21"/>
    <n v="2"/>
    <d v="2010-10-14T00:00:00"/>
    <s v="No"/>
    <x v="1"/>
    <n v="3"/>
    <x v="2"/>
    <x v="0"/>
    <x v="0"/>
  </r>
  <r>
    <s v="REL04239"/>
    <s v="Female"/>
    <n v="26"/>
    <s v="MBA"/>
    <s v="Single"/>
    <x v="1"/>
    <s v="Operations Head"/>
    <x v="0"/>
    <x v="6"/>
    <s v="South"/>
    <n v="8"/>
    <n v="108843"/>
    <x v="0"/>
    <n v="4"/>
    <n v="4"/>
    <n v="65"/>
    <n v="2"/>
    <d v="2015-12-15T00:00:00"/>
    <s v="No"/>
    <x v="1"/>
    <n v="3"/>
    <x v="1"/>
    <x v="0"/>
    <x v="0"/>
  </r>
  <r>
    <s v="REL04240"/>
    <s v="Male"/>
    <n v="23"/>
    <s v="MBA"/>
    <s v="Married"/>
    <x v="4"/>
    <s v="Customer Service Rep"/>
    <x v="1"/>
    <x v="9"/>
    <s v="West"/>
    <n v="1"/>
    <n v="39579"/>
    <x v="1"/>
    <n v="4"/>
    <n v="1"/>
    <n v="29"/>
    <n v="3"/>
    <d v="2022-09-06T00:00:00"/>
    <s v="Yes"/>
    <x v="2"/>
    <n v="1"/>
    <x v="3"/>
    <x v="1"/>
    <x v="1"/>
  </r>
  <r>
    <s v="REL04241"/>
    <s v="Male"/>
    <n v="26"/>
    <s v="HSC"/>
    <s v="Divorced"/>
    <x v="4"/>
    <s v="Customer Service Rep"/>
    <x v="0"/>
    <x v="6"/>
    <s v="South"/>
    <n v="4"/>
    <n v="46456"/>
    <x v="3"/>
    <n v="1"/>
    <n v="4"/>
    <n v="80"/>
    <n v="0"/>
    <d v="2019-03-01T00:00:00"/>
    <s v="Yes"/>
    <x v="2"/>
    <n v="4"/>
    <x v="0"/>
    <x v="1"/>
    <x v="1"/>
  </r>
  <r>
    <s v="REL04242"/>
    <s v="Male"/>
    <n v="49"/>
    <s v="Post Graduate"/>
    <s v="Single"/>
    <x v="6"/>
    <s v="Store Manager"/>
    <x v="0"/>
    <x v="3"/>
    <s v="West"/>
    <n v="11"/>
    <n v="103684"/>
    <x v="2"/>
    <n v="4"/>
    <n v="3"/>
    <n v="12"/>
    <n v="2"/>
    <d v="2012-09-14T00:00:00"/>
    <s v="No"/>
    <x v="1"/>
    <n v="2"/>
    <x v="2"/>
    <x v="0"/>
    <x v="1"/>
  </r>
  <r>
    <s v="REL04243"/>
    <s v="Female"/>
    <n v="46"/>
    <s v="Post Graduate"/>
    <s v="Married"/>
    <x v="1"/>
    <s v="Logistics Coordinator"/>
    <x v="2"/>
    <x v="8"/>
    <s v="South"/>
    <n v="12"/>
    <n v="59329"/>
    <x v="0"/>
    <n v="1"/>
    <n v="4"/>
    <n v="76"/>
    <n v="1"/>
    <d v="2011-05-03T00:00:00"/>
    <s v="No"/>
    <x v="0"/>
    <n v="3"/>
    <x v="2"/>
    <x v="0"/>
    <x v="0"/>
  </r>
  <r>
    <s v="REL04244"/>
    <s v="Male"/>
    <n v="31"/>
    <s v="Post Graduate"/>
    <s v="Single"/>
    <x v="5"/>
    <s v="Customer Service Rep"/>
    <x v="1"/>
    <x v="9"/>
    <s v="West"/>
    <n v="12"/>
    <n v="66213"/>
    <x v="2"/>
    <n v="4"/>
    <n v="1"/>
    <n v="15"/>
    <n v="2"/>
    <d v="2011-01-12T00:00:00"/>
    <s v="No"/>
    <x v="0"/>
    <n v="2"/>
    <x v="2"/>
    <x v="0"/>
    <x v="1"/>
  </r>
  <r>
    <s v="REL04245"/>
    <s v="Female"/>
    <n v="53"/>
    <s v="BTech"/>
    <s v="Married"/>
    <x v="4"/>
    <s v="Finance Analyst"/>
    <x v="4"/>
    <x v="2"/>
    <s v="West"/>
    <n v="7"/>
    <n v="74010"/>
    <x v="3"/>
    <n v="2"/>
    <n v="3"/>
    <n v="12"/>
    <n v="3"/>
    <d v="2016-06-26T00:00:00"/>
    <s v="Yes"/>
    <x v="0"/>
    <n v="4"/>
    <x v="1"/>
    <x v="1"/>
    <x v="1"/>
  </r>
  <r>
    <s v="REL04246"/>
    <s v="Female"/>
    <n v="38"/>
    <s v="HSC"/>
    <s v="Divorced"/>
    <x v="2"/>
    <s v="Store Manager"/>
    <x v="0"/>
    <x v="8"/>
    <s v="South"/>
    <n v="15"/>
    <n v="119871"/>
    <x v="2"/>
    <n v="4"/>
    <n v="2"/>
    <n v="33"/>
    <n v="0"/>
    <d v="2008-04-28T00:00:00"/>
    <s v="No"/>
    <x v="1"/>
    <n v="2"/>
    <x v="2"/>
    <x v="0"/>
    <x v="1"/>
  </r>
  <r>
    <s v="REL04247"/>
    <s v="Female"/>
    <n v="45"/>
    <s v="HSC"/>
    <s v="Divorced"/>
    <x v="2"/>
    <s v="HR Manager"/>
    <x v="1"/>
    <x v="8"/>
    <s v="South"/>
    <n v="5"/>
    <n v="84026"/>
    <x v="1"/>
    <n v="3"/>
    <n v="1"/>
    <n v="19"/>
    <n v="3"/>
    <d v="2018-09-24T00:00:00"/>
    <s v="Yes"/>
    <x v="1"/>
    <n v="1"/>
    <x v="0"/>
    <x v="1"/>
    <x v="2"/>
  </r>
  <r>
    <s v="REL04248"/>
    <s v="Male"/>
    <n v="48"/>
    <s v="MBA"/>
    <s v="Single"/>
    <x v="0"/>
    <s v="Logistics Coordinator"/>
    <x v="2"/>
    <x v="3"/>
    <s v="West"/>
    <n v="3"/>
    <n v="51843"/>
    <x v="0"/>
    <n v="3"/>
    <n v="2"/>
    <n v="45"/>
    <n v="0"/>
    <d v="2020-04-24T00:00:00"/>
    <s v="No"/>
    <x v="0"/>
    <n v="3"/>
    <x v="0"/>
    <x v="0"/>
    <x v="0"/>
  </r>
  <r>
    <s v="REL04249"/>
    <s v="Male"/>
    <n v="41"/>
    <s v="MBA"/>
    <s v="Divorced"/>
    <x v="2"/>
    <s v="Logistics Coordinator"/>
    <x v="0"/>
    <x v="9"/>
    <s v="West"/>
    <n v="9"/>
    <n v="64815"/>
    <x v="3"/>
    <n v="2"/>
    <n v="1"/>
    <n v="19"/>
    <n v="1"/>
    <d v="2014-06-22T00:00:00"/>
    <s v="No"/>
    <x v="0"/>
    <n v="4"/>
    <x v="1"/>
    <x v="2"/>
    <x v="1"/>
  </r>
  <r>
    <s v="REL04250"/>
    <s v="Female"/>
    <n v="49"/>
    <s v="MBA"/>
    <s v="Single"/>
    <x v="7"/>
    <s v="Sales Executive"/>
    <x v="0"/>
    <x v="2"/>
    <s v="West"/>
    <n v="5"/>
    <n v="45584"/>
    <x v="1"/>
    <n v="3"/>
    <n v="3"/>
    <n v="49"/>
    <n v="3"/>
    <d v="2018-04-17T00:00:00"/>
    <s v="No"/>
    <x v="2"/>
    <n v="1"/>
    <x v="0"/>
    <x v="0"/>
    <x v="1"/>
  </r>
  <r>
    <s v="REL04251"/>
    <s v="Female"/>
    <n v="24"/>
    <s v="BTech"/>
    <s v="Single"/>
    <x v="6"/>
    <s v="Sales Executive"/>
    <x v="1"/>
    <x v="0"/>
    <s v="North"/>
    <n v="11"/>
    <n v="59453"/>
    <x v="2"/>
    <n v="4"/>
    <n v="2"/>
    <n v="76"/>
    <n v="1"/>
    <d v="2012-12-08T00:00:00"/>
    <s v="No"/>
    <x v="0"/>
    <n v="2"/>
    <x v="2"/>
    <x v="0"/>
    <x v="1"/>
  </r>
  <r>
    <s v="REL04252"/>
    <s v="Male"/>
    <n v="27"/>
    <s v="BTech"/>
    <s v="Single"/>
    <x v="5"/>
    <s v="HR Manager"/>
    <x v="3"/>
    <x v="7"/>
    <s v="East"/>
    <n v="5"/>
    <n v="90299"/>
    <x v="3"/>
    <n v="2"/>
    <n v="1"/>
    <n v="29"/>
    <n v="2"/>
    <d v="2018-03-08T00:00:00"/>
    <s v="Yes"/>
    <x v="1"/>
    <n v="4"/>
    <x v="0"/>
    <x v="1"/>
    <x v="0"/>
  </r>
  <r>
    <s v="REL04253"/>
    <s v="Female"/>
    <n v="48"/>
    <s v="MBA"/>
    <s v="Divorced"/>
    <x v="5"/>
    <s v="HR Manager"/>
    <x v="2"/>
    <x v="4"/>
    <s v="North"/>
    <n v="4"/>
    <n v="82443"/>
    <x v="2"/>
    <n v="2"/>
    <n v="1"/>
    <n v="64"/>
    <n v="2"/>
    <d v="2019-10-10T00:00:00"/>
    <s v="Yes"/>
    <x v="1"/>
    <n v="2"/>
    <x v="0"/>
    <x v="1"/>
    <x v="1"/>
  </r>
  <r>
    <s v="REL04254"/>
    <s v="Female"/>
    <n v="26"/>
    <s v="Graduate"/>
    <s v="Single"/>
    <x v="6"/>
    <s v="HR Manager"/>
    <x v="4"/>
    <x v="2"/>
    <s v="West"/>
    <n v="12"/>
    <n v="105876"/>
    <x v="3"/>
    <n v="1"/>
    <n v="2"/>
    <n v="13"/>
    <n v="0"/>
    <d v="2011-07-19T00:00:00"/>
    <s v="No"/>
    <x v="1"/>
    <n v="4"/>
    <x v="2"/>
    <x v="2"/>
    <x v="0"/>
  </r>
  <r>
    <s v="REL04255"/>
    <s v="Female"/>
    <n v="50"/>
    <s v="Graduate"/>
    <s v="Divorced"/>
    <x v="0"/>
    <s v="Sales Executive"/>
    <x v="2"/>
    <x v="7"/>
    <s v="East"/>
    <n v="15"/>
    <n v="70986"/>
    <x v="1"/>
    <n v="3"/>
    <n v="1"/>
    <n v="16"/>
    <n v="2"/>
    <d v="2008-10-19T00:00:00"/>
    <s v="Yes"/>
    <x v="0"/>
    <n v="1"/>
    <x v="2"/>
    <x v="1"/>
    <x v="1"/>
  </r>
  <r>
    <s v="REL04256"/>
    <s v="Male"/>
    <n v="38"/>
    <s v="BTech"/>
    <s v="Divorced"/>
    <x v="3"/>
    <s v="Operations Head"/>
    <x v="1"/>
    <x v="7"/>
    <s v="East"/>
    <n v="7"/>
    <n v="113148"/>
    <x v="1"/>
    <n v="3"/>
    <n v="2"/>
    <n v="58"/>
    <n v="0"/>
    <d v="2016-12-23T00:00:00"/>
    <s v="No"/>
    <x v="1"/>
    <n v="1"/>
    <x v="1"/>
    <x v="0"/>
    <x v="2"/>
  </r>
  <r>
    <s v="REL04257"/>
    <s v="Male"/>
    <n v="53"/>
    <s v="Post Graduate"/>
    <s v="Divorced"/>
    <x v="2"/>
    <s v="Operations Head"/>
    <x v="1"/>
    <x v="7"/>
    <s v="East"/>
    <n v="14"/>
    <n v="125598"/>
    <x v="2"/>
    <n v="1"/>
    <n v="1"/>
    <n v="26"/>
    <n v="1"/>
    <d v="2009-11-17T00:00:00"/>
    <s v="No"/>
    <x v="1"/>
    <n v="2"/>
    <x v="2"/>
    <x v="0"/>
    <x v="1"/>
  </r>
  <r>
    <s v="REL04258"/>
    <s v="Male"/>
    <n v="33"/>
    <s v="BTech"/>
    <s v="Married"/>
    <x v="2"/>
    <s v="Logistics Coordinator"/>
    <x v="0"/>
    <x v="5"/>
    <s v="South"/>
    <n v="9"/>
    <n v="60503"/>
    <x v="2"/>
    <n v="3"/>
    <n v="3"/>
    <n v="79"/>
    <n v="2"/>
    <d v="2014-06-01T00:00:00"/>
    <s v="No"/>
    <x v="0"/>
    <n v="2"/>
    <x v="1"/>
    <x v="0"/>
    <x v="1"/>
  </r>
  <r>
    <s v="REL04259"/>
    <s v="Male"/>
    <n v="44"/>
    <s v="MBA"/>
    <s v="Single"/>
    <x v="7"/>
    <s v="Logistics Coordinator"/>
    <x v="0"/>
    <x v="4"/>
    <s v="North"/>
    <n v="14"/>
    <n v="74359"/>
    <x v="0"/>
    <n v="3"/>
    <n v="3"/>
    <n v="34"/>
    <n v="1"/>
    <d v="2009-12-16T00:00:00"/>
    <s v="No"/>
    <x v="0"/>
    <n v="3"/>
    <x v="2"/>
    <x v="0"/>
    <x v="0"/>
  </r>
  <r>
    <s v="REL04260"/>
    <s v="Female"/>
    <n v="33"/>
    <s v="BTech"/>
    <s v="Divorced"/>
    <x v="0"/>
    <s v="Sales Executive"/>
    <x v="1"/>
    <x v="4"/>
    <s v="North"/>
    <n v="12"/>
    <n v="67962"/>
    <x v="3"/>
    <n v="2"/>
    <n v="3"/>
    <n v="65"/>
    <n v="0"/>
    <d v="2011-01-04T00:00:00"/>
    <s v="Yes"/>
    <x v="0"/>
    <n v="4"/>
    <x v="2"/>
    <x v="1"/>
    <x v="1"/>
  </r>
  <r>
    <s v="REL04261"/>
    <s v="Female"/>
    <n v="38"/>
    <s v="BTech"/>
    <s v="Divorced"/>
    <x v="6"/>
    <s v="Sales Executive"/>
    <x v="4"/>
    <x v="5"/>
    <s v="South"/>
    <n v="13"/>
    <n v="56276"/>
    <x v="2"/>
    <n v="2"/>
    <n v="1"/>
    <n v="29"/>
    <n v="0"/>
    <d v="2010-09-22T00:00:00"/>
    <s v="Yes"/>
    <x v="0"/>
    <n v="2"/>
    <x v="2"/>
    <x v="1"/>
    <x v="1"/>
  </r>
  <r>
    <s v="REL04262"/>
    <s v="Female"/>
    <n v="27"/>
    <s v="HSC"/>
    <s v="Married"/>
    <x v="6"/>
    <s v="Store Manager"/>
    <x v="1"/>
    <x v="4"/>
    <s v="North"/>
    <n v="1"/>
    <n v="93257"/>
    <x v="1"/>
    <n v="3"/>
    <n v="4"/>
    <n v="27"/>
    <n v="1"/>
    <d v="2022-07-18T00:00:00"/>
    <s v="No"/>
    <x v="1"/>
    <n v="1"/>
    <x v="3"/>
    <x v="3"/>
    <x v="2"/>
  </r>
  <r>
    <s v="REL04263"/>
    <s v="Female"/>
    <n v="22"/>
    <s v="BTech"/>
    <s v="Married"/>
    <x v="4"/>
    <s v="Logistics Coordinator"/>
    <x v="3"/>
    <x v="4"/>
    <s v="North"/>
    <n v="5"/>
    <n v="47062"/>
    <x v="1"/>
    <n v="1"/>
    <n v="1"/>
    <n v="50"/>
    <n v="0"/>
    <d v="2018-05-14T00:00:00"/>
    <s v="Yes"/>
    <x v="2"/>
    <n v="1"/>
    <x v="0"/>
    <x v="1"/>
    <x v="1"/>
  </r>
  <r>
    <s v="REL04264"/>
    <s v="Female"/>
    <n v="28"/>
    <s v="Graduate"/>
    <s v="Single"/>
    <x v="6"/>
    <s v="HR Manager"/>
    <x v="4"/>
    <x v="7"/>
    <s v="East"/>
    <n v="14"/>
    <n v="105771"/>
    <x v="0"/>
    <n v="1"/>
    <n v="3"/>
    <n v="41"/>
    <n v="0"/>
    <d v="2009-10-28T00:00:00"/>
    <s v="No"/>
    <x v="1"/>
    <n v="3"/>
    <x v="2"/>
    <x v="0"/>
    <x v="0"/>
  </r>
  <r>
    <s v="REL04265"/>
    <s v="Female"/>
    <n v="52"/>
    <s v="MBA"/>
    <s v="Divorced"/>
    <x v="7"/>
    <s v="Store Manager"/>
    <x v="4"/>
    <x v="1"/>
    <s v="North"/>
    <n v="4"/>
    <n v="88315"/>
    <x v="0"/>
    <n v="4"/>
    <n v="4"/>
    <n v="10"/>
    <n v="3"/>
    <d v="2019-06-06T00:00:00"/>
    <s v="No"/>
    <x v="1"/>
    <n v="3"/>
    <x v="0"/>
    <x v="0"/>
    <x v="0"/>
  </r>
  <r>
    <s v="REL04266"/>
    <s v="Male"/>
    <n v="49"/>
    <s v="MBA"/>
    <s v="Single"/>
    <x v="2"/>
    <s v="Sales Executive"/>
    <x v="4"/>
    <x v="8"/>
    <s v="South"/>
    <n v="10"/>
    <n v="50251"/>
    <x v="3"/>
    <n v="2"/>
    <n v="3"/>
    <n v="77"/>
    <n v="2"/>
    <d v="2013-02-02T00:00:00"/>
    <s v="No"/>
    <x v="0"/>
    <n v="4"/>
    <x v="1"/>
    <x v="2"/>
    <x v="1"/>
  </r>
  <r>
    <s v="REL04267"/>
    <s v="Male"/>
    <n v="50"/>
    <s v="Graduate"/>
    <s v="Divorced"/>
    <x v="2"/>
    <s v="Marketing Executive"/>
    <x v="0"/>
    <x v="7"/>
    <s v="East"/>
    <n v="1"/>
    <n v="50461"/>
    <x v="1"/>
    <n v="1"/>
    <n v="1"/>
    <n v="39"/>
    <n v="2"/>
    <d v="2022-03-14T00:00:00"/>
    <s v="Yes"/>
    <x v="0"/>
    <n v="1"/>
    <x v="3"/>
    <x v="1"/>
    <x v="1"/>
  </r>
  <r>
    <s v="REL04268"/>
    <s v="Male"/>
    <n v="53"/>
    <s v="HSC"/>
    <s v="Married"/>
    <x v="0"/>
    <s v="Marketing Executive"/>
    <x v="0"/>
    <x v="9"/>
    <s v="West"/>
    <n v="11"/>
    <n v="72094"/>
    <x v="0"/>
    <n v="3"/>
    <n v="1"/>
    <n v="64"/>
    <n v="1"/>
    <d v="2012-08-13T00:00:00"/>
    <s v="No"/>
    <x v="0"/>
    <n v="3"/>
    <x v="2"/>
    <x v="0"/>
    <x v="0"/>
  </r>
  <r>
    <s v="REL04269"/>
    <s v="Male"/>
    <n v="38"/>
    <s v="Graduate"/>
    <s v="Single"/>
    <x v="5"/>
    <s v="Logistics Coordinator"/>
    <x v="2"/>
    <x v="2"/>
    <s v="West"/>
    <n v="9"/>
    <n v="59717"/>
    <x v="0"/>
    <n v="3"/>
    <n v="2"/>
    <n v="55"/>
    <n v="3"/>
    <d v="2014-03-11T00:00:00"/>
    <s v="No"/>
    <x v="0"/>
    <n v="3"/>
    <x v="1"/>
    <x v="0"/>
    <x v="0"/>
  </r>
  <r>
    <s v="REL04270"/>
    <s v="Male"/>
    <n v="23"/>
    <s v="HSC"/>
    <s v="Married"/>
    <x v="2"/>
    <s v="Logistics Coordinator"/>
    <x v="3"/>
    <x v="8"/>
    <s v="South"/>
    <n v="1"/>
    <n v="46727"/>
    <x v="2"/>
    <n v="1"/>
    <n v="4"/>
    <n v="64"/>
    <n v="2"/>
    <d v="2022-01-05T00:00:00"/>
    <s v="No"/>
    <x v="2"/>
    <n v="2"/>
    <x v="3"/>
    <x v="0"/>
    <x v="1"/>
  </r>
  <r>
    <s v="REL04271"/>
    <s v="Female"/>
    <n v="37"/>
    <s v="BTech"/>
    <s v="Single"/>
    <x v="4"/>
    <s v="HR Manager"/>
    <x v="1"/>
    <x v="0"/>
    <s v="North"/>
    <n v="7"/>
    <n v="93945"/>
    <x v="0"/>
    <n v="1"/>
    <n v="1"/>
    <n v="28"/>
    <n v="1"/>
    <d v="2016-07-13T00:00:00"/>
    <s v="No"/>
    <x v="1"/>
    <n v="3"/>
    <x v="1"/>
    <x v="0"/>
    <x v="0"/>
  </r>
  <r>
    <s v="REL04272"/>
    <s v="Female"/>
    <n v="53"/>
    <s v="Post Graduate"/>
    <s v="Single"/>
    <x v="2"/>
    <s v="Sales Executive"/>
    <x v="4"/>
    <x v="8"/>
    <s v="South"/>
    <n v="8"/>
    <n v="58047"/>
    <x v="1"/>
    <n v="4"/>
    <n v="3"/>
    <n v="30"/>
    <n v="0"/>
    <d v="2015-09-27T00:00:00"/>
    <s v="No"/>
    <x v="0"/>
    <n v="1"/>
    <x v="1"/>
    <x v="0"/>
    <x v="1"/>
  </r>
  <r>
    <s v="REL04273"/>
    <s v="Female"/>
    <n v="22"/>
    <s v="BTech"/>
    <s v="Divorced"/>
    <x v="5"/>
    <s v="HR Manager"/>
    <x v="2"/>
    <x v="0"/>
    <s v="North"/>
    <n v="13"/>
    <n v="105200"/>
    <x v="3"/>
    <n v="4"/>
    <n v="1"/>
    <n v="70"/>
    <n v="1"/>
    <d v="2010-09-05T00:00:00"/>
    <s v="No"/>
    <x v="1"/>
    <n v="4"/>
    <x v="2"/>
    <x v="2"/>
    <x v="0"/>
  </r>
  <r>
    <s v="REL04274"/>
    <s v="Female"/>
    <n v="55"/>
    <s v="MBA"/>
    <s v="Single"/>
    <x v="5"/>
    <s v="Sales Executive"/>
    <x v="0"/>
    <x v="4"/>
    <s v="North"/>
    <n v="4"/>
    <n v="38770"/>
    <x v="3"/>
    <n v="3"/>
    <n v="3"/>
    <n v="22"/>
    <n v="1"/>
    <d v="2019-02-14T00:00:00"/>
    <s v="No"/>
    <x v="2"/>
    <n v="4"/>
    <x v="0"/>
    <x v="2"/>
    <x v="1"/>
  </r>
  <r>
    <s v="REL04275"/>
    <s v="Female"/>
    <n v="53"/>
    <s v="Graduate"/>
    <s v="Divorced"/>
    <x v="0"/>
    <s v="Finance Analyst"/>
    <x v="3"/>
    <x v="5"/>
    <s v="South"/>
    <n v="7"/>
    <n v="73886"/>
    <x v="2"/>
    <n v="4"/>
    <n v="3"/>
    <n v="29"/>
    <n v="1"/>
    <d v="2016-08-28T00:00:00"/>
    <s v="No"/>
    <x v="0"/>
    <n v="2"/>
    <x v="1"/>
    <x v="0"/>
    <x v="1"/>
  </r>
  <r>
    <s v="REL04276"/>
    <s v="Male"/>
    <n v="26"/>
    <s v="BTech"/>
    <s v="Single"/>
    <x v="6"/>
    <s v="Logistics Coordinator"/>
    <x v="2"/>
    <x v="7"/>
    <s v="East"/>
    <n v="2"/>
    <n v="39935"/>
    <x v="2"/>
    <n v="3"/>
    <n v="3"/>
    <n v="26"/>
    <n v="1"/>
    <d v="2021-11-06T00:00:00"/>
    <s v="No"/>
    <x v="2"/>
    <n v="2"/>
    <x v="3"/>
    <x v="0"/>
    <x v="1"/>
  </r>
  <r>
    <s v="REL04277"/>
    <s v="Female"/>
    <n v="39"/>
    <s v="Graduate"/>
    <s v="Married"/>
    <x v="2"/>
    <s v="Operations Head"/>
    <x v="0"/>
    <x v="1"/>
    <s v="North"/>
    <n v="14"/>
    <n v="114858"/>
    <x v="2"/>
    <n v="3"/>
    <n v="4"/>
    <n v="42"/>
    <n v="1"/>
    <d v="2009-10-26T00:00:00"/>
    <s v="No"/>
    <x v="1"/>
    <n v="2"/>
    <x v="2"/>
    <x v="0"/>
    <x v="1"/>
  </r>
  <r>
    <s v="REL04278"/>
    <s v="Male"/>
    <n v="22"/>
    <s v="MBA"/>
    <s v="Married"/>
    <x v="5"/>
    <s v="HR Manager"/>
    <x v="0"/>
    <x v="6"/>
    <s v="South"/>
    <n v="14"/>
    <n v="109363"/>
    <x v="0"/>
    <n v="3"/>
    <n v="1"/>
    <n v="23"/>
    <n v="2"/>
    <d v="2009-02-19T00:00:00"/>
    <s v="Yes"/>
    <x v="1"/>
    <n v="3"/>
    <x v="2"/>
    <x v="1"/>
    <x v="0"/>
  </r>
  <r>
    <s v="REL04279"/>
    <s v="Male"/>
    <n v="55"/>
    <s v="Graduate"/>
    <s v="Single"/>
    <x v="6"/>
    <s v="Marketing Executive"/>
    <x v="2"/>
    <x v="1"/>
    <s v="North"/>
    <n v="9"/>
    <n v="62297"/>
    <x v="1"/>
    <n v="1"/>
    <n v="4"/>
    <n v="65"/>
    <n v="0"/>
    <d v="2014-07-22T00:00:00"/>
    <s v="Yes"/>
    <x v="0"/>
    <n v="1"/>
    <x v="1"/>
    <x v="1"/>
    <x v="1"/>
  </r>
  <r>
    <s v="REL04280"/>
    <s v="Male"/>
    <n v="52"/>
    <s v="Post Graduate"/>
    <s v="Single"/>
    <x v="0"/>
    <s v="Logistics Coordinator"/>
    <x v="4"/>
    <x v="8"/>
    <s v="South"/>
    <n v="12"/>
    <n v="76760"/>
    <x v="0"/>
    <n v="3"/>
    <n v="1"/>
    <n v="78"/>
    <n v="2"/>
    <d v="2011-12-14T00:00:00"/>
    <s v="No"/>
    <x v="0"/>
    <n v="3"/>
    <x v="2"/>
    <x v="0"/>
    <x v="0"/>
  </r>
  <r>
    <s v="REL04281"/>
    <s v="Male"/>
    <n v="27"/>
    <s v="Post Graduate"/>
    <s v="Single"/>
    <x v="4"/>
    <s v="Store Manager"/>
    <x v="0"/>
    <x v="9"/>
    <s v="West"/>
    <n v="1"/>
    <n v="87411"/>
    <x v="3"/>
    <n v="2"/>
    <n v="4"/>
    <n v="48"/>
    <n v="1"/>
    <d v="2022-01-15T00:00:00"/>
    <s v="No"/>
    <x v="1"/>
    <n v="4"/>
    <x v="3"/>
    <x v="2"/>
    <x v="0"/>
  </r>
  <r>
    <s v="REL04282"/>
    <s v="Male"/>
    <n v="41"/>
    <s v="MBA"/>
    <s v="Married"/>
    <x v="3"/>
    <s v="Operations Head"/>
    <x v="3"/>
    <x v="5"/>
    <s v="South"/>
    <n v="5"/>
    <n v="106763"/>
    <x v="0"/>
    <n v="3"/>
    <n v="3"/>
    <n v="33"/>
    <n v="1"/>
    <d v="2018-09-11T00:00:00"/>
    <s v="Yes"/>
    <x v="1"/>
    <n v="3"/>
    <x v="0"/>
    <x v="1"/>
    <x v="0"/>
  </r>
  <r>
    <s v="REL04283"/>
    <s v="Female"/>
    <n v="26"/>
    <s v="MBA"/>
    <s v="Married"/>
    <x v="5"/>
    <s v="Operations Head"/>
    <x v="2"/>
    <x v="6"/>
    <s v="South"/>
    <n v="8"/>
    <n v="106918"/>
    <x v="1"/>
    <n v="3"/>
    <n v="2"/>
    <n v="54"/>
    <n v="0"/>
    <d v="2015-06-07T00:00:00"/>
    <s v="No"/>
    <x v="1"/>
    <n v="1"/>
    <x v="1"/>
    <x v="0"/>
    <x v="2"/>
  </r>
  <r>
    <s v="REL04284"/>
    <s v="Female"/>
    <n v="44"/>
    <s v="HSC"/>
    <s v="Divorced"/>
    <x v="5"/>
    <s v="Logistics Coordinator"/>
    <x v="0"/>
    <x v="8"/>
    <s v="South"/>
    <n v="3"/>
    <n v="42309"/>
    <x v="1"/>
    <n v="3"/>
    <n v="1"/>
    <n v="77"/>
    <n v="0"/>
    <d v="2020-09-06T00:00:00"/>
    <s v="Yes"/>
    <x v="2"/>
    <n v="1"/>
    <x v="0"/>
    <x v="1"/>
    <x v="1"/>
  </r>
  <r>
    <s v="REL04285"/>
    <s v="Female"/>
    <n v="35"/>
    <s v="BTech"/>
    <s v="Single"/>
    <x v="4"/>
    <s v="Operations Head"/>
    <x v="3"/>
    <x v="5"/>
    <s v="South"/>
    <n v="11"/>
    <n v="115962"/>
    <x v="1"/>
    <n v="1"/>
    <n v="1"/>
    <n v="38"/>
    <n v="0"/>
    <d v="2012-07-09T00:00:00"/>
    <s v="No"/>
    <x v="1"/>
    <n v="1"/>
    <x v="2"/>
    <x v="0"/>
    <x v="2"/>
  </r>
  <r>
    <s v="REL04286"/>
    <s v="Female"/>
    <n v="48"/>
    <s v="Post Graduate"/>
    <s v="Married"/>
    <x v="1"/>
    <s v="HR Manager"/>
    <x v="2"/>
    <x v="1"/>
    <s v="North"/>
    <n v="15"/>
    <n v="98430"/>
    <x v="3"/>
    <n v="1"/>
    <n v="4"/>
    <n v="36"/>
    <n v="0"/>
    <d v="2008-11-14T00:00:00"/>
    <s v="No"/>
    <x v="1"/>
    <n v="4"/>
    <x v="2"/>
    <x v="2"/>
    <x v="0"/>
  </r>
  <r>
    <s v="REL04287"/>
    <s v="Male"/>
    <n v="54"/>
    <s v="Graduate"/>
    <s v="Single"/>
    <x v="3"/>
    <s v="Sales Executive"/>
    <x v="1"/>
    <x v="3"/>
    <s v="West"/>
    <n v="4"/>
    <n v="42701"/>
    <x v="0"/>
    <n v="1"/>
    <n v="4"/>
    <n v="46"/>
    <n v="3"/>
    <d v="2019-07-20T00:00:00"/>
    <s v="No"/>
    <x v="2"/>
    <n v="3"/>
    <x v="0"/>
    <x v="0"/>
    <x v="1"/>
  </r>
  <r>
    <s v="REL04288"/>
    <s v="Male"/>
    <n v="25"/>
    <s v="BTech"/>
    <s v="Married"/>
    <x v="0"/>
    <s v="Operations Head"/>
    <x v="0"/>
    <x v="0"/>
    <s v="North"/>
    <n v="9"/>
    <n v="104215"/>
    <x v="2"/>
    <n v="4"/>
    <n v="4"/>
    <n v="52"/>
    <n v="0"/>
    <d v="2014-08-31T00:00:00"/>
    <s v="No"/>
    <x v="1"/>
    <n v="2"/>
    <x v="1"/>
    <x v="0"/>
    <x v="1"/>
  </r>
  <r>
    <s v="REL04289"/>
    <s v="Male"/>
    <n v="46"/>
    <s v="HSC"/>
    <s v="Married"/>
    <x v="1"/>
    <s v="HR Manager"/>
    <x v="1"/>
    <x v="7"/>
    <s v="East"/>
    <n v="7"/>
    <n v="83784"/>
    <x v="0"/>
    <n v="3"/>
    <n v="3"/>
    <n v="49"/>
    <n v="3"/>
    <d v="2016-09-01T00:00:00"/>
    <s v="No"/>
    <x v="1"/>
    <n v="3"/>
    <x v="1"/>
    <x v="0"/>
    <x v="0"/>
  </r>
  <r>
    <s v="REL04290"/>
    <s v="Male"/>
    <n v="45"/>
    <s v="MBA"/>
    <s v="Divorced"/>
    <x v="3"/>
    <s v="Customer Service Rep"/>
    <x v="4"/>
    <x v="7"/>
    <s v="East"/>
    <n v="5"/>
    <n v="36684"/>
    <x v="2"/>
    <n v="1"/>
    <n v="4"/>
    <n v="33"/>
    <n v="0"/>
    <d v="2018-09-16T00:00:00"/>
    <s v="No"/>
    <x v="2"/>
    <n v="2"/>
    <x v="0"/>
    <x v="0"/>
    <x v="1"/>
  </r>
  <r>
    <s v="REL04291"/>
    <s v="Male"/>
    <n v="47"/>
    <s v="MBA"/>
    <s v="Single"/>
    <x v="7"/>
    <s v="HR Manager"/>
    <x v="2"/>
    <x v="9"/>
    <s v="West"/>
    <n v="10"/>
    <n v="96942"/>
    <x v="1"/>
    <n v="4"/>
    <n v="2"/>
    <n v="53"/>
    <n v="0"/>
    <d v="2013-10-29T00:00:00"/>
    <s v="Yes"/>
    <x v="1"/>
    <n v="1"/>
    <x v="1"/>
    <x v="1"/>
    <x v="2"/>
  </r>
  <r>
    <s v="REL04292"/>
    <s v="Male"/>
    <n v="52"/>
    <s v="HSC"/>
    <s v="Divorced"/>
    <x v="0"/>
    <s v="Store Manager"/>
    <x v="4"/>
    <x v="9"/>
    <s v="West"/>
    <n v="13"/>
    <n v="101409"/>
    <x v="0"/>
    <n v="2"/>
    <n v="2"/>
    <n v="28"/>
    <n v="3"/>
    <d v="2010-08-12T00:00:00"/>
    <s v="No"/>
    <x v="1"/>
    <n v="3"/>
    <x v="2"/>
    <x v="0"/>
    <x v="0"/>
  </r>
  <r>
    <s v="REL04293"/>
    <s v="Female"/>
    <n v="54"/>
    <s v="MBA"/>
    <s v="Divorced"/>
    <x v="4"/>
    <s v="Marketing Executive"/>
    <x v="1"/>
    <x v="6"/>
    <s v="South"/>
    <n v="10"/>
    <n v="62074"/>
    <x v="2"/>
    <n v="4"/>
    <n v="2"/>
    <n v="44"/>
    <n v="0"/>
    <d v="2013-04-15T00:00:00"/>
    <s v="No"/>
    <x v="0"/>
    <n v="2"/>
    <x v="1"/>
    <x v="0"/>
    <x v="1"/>
  </r>
  <r>
    <s v="REL04294"/>
    <s v="Male"/>
    <n v="52"/>
    <s v="Post Graduate"/>
    <s v="Married"/>
    <x v="1"/>
    <s v="Finance Analyst"/>
    <x v="1"/>
    <x v="7"/>
    <s v="East"/>
    <n v="15"/>
    <n v="93246"/>
    <x v="1"/>
    <n v="4"/>
    <n v="4"/>
    <n v="28"/>
    <n v="0"/>
    <d v="2008-12-29T00:00:00"/>
    <s v="Yes"/>
    <x v="1"/>
    <n v="1"/>
    <x v="2"/>
    <x v="1"/>
    <x v="2"/>
  </r>
  <r>
    <s v="REL04295"/>
    <s v="Male"/>
    <n v="33"/>
    <s v="Post Graduate"/>
    <s v="Married"/>
    <x v="6"/>
    <s v="Operations Head"/>
    <x v="3"/>
    <x v="5"/>
    <s v="South"/>
    <n v="12"/>
    <n v="122243"/>
    <x v="3"/>
    <n v="4"/>
    <n v="2"/>
    <n v="32"/>
    <n v="1"/>
    <d v="2011-12-19T00:00:00"/>
    <s v="No"/>
    <x v="1"/>
    <n v="4"/>
    <x v="2"/>
    <x v="2"/>
    <x v="0"/>
  </r>
  <r>
    <s v="REL04296"/>
    <s v="Female"/>
    <n v="31"/>
    <s v="MBA"/>
    <s v="Single"/>
    <x v="4"/>
    <s v="Store Manager"/>
    <x v="1"/>
    <x v="4"/>
    <s v="North"/>
    <n v="15"/>
    <n v="122765"/>
    <x v="1"/>
    <n v="3"/>
    <n v="2"/>
    <n v="60"/>
    <n v="2"/>
    <d v="2008-12-11T00:00:00"/>
    <s v="Yes"/>
    <x v="1"/>
    <n v="1"/>
    <x v="2"/>
    <x v="1"/>
    <x v="2"/>
  </r>
  <r>
    <s v="REL04297"/>
    <s v="Female"/>
    <n v="29"/>
    <s v="BTech"/>
    <s v="Divorced"/>
    <x v="2"/>
    <s v="Finance Analyst"/>
    <x v="0"/>
    <x v="8"/>
    <s v="South"/>
    <n v="13"/>
    <n v="90423"/>
    <x v="1"/>
    <n v="2"/>
    <n v="4"/>
    <n v="75"/>
    <n v="0"/>
    <d v="2010-03-19T00:00:00"/>
    <s v="Yes"/>
    <x v="1"/>
    <n v="1"/>
    <x v="2"/>
    <x v="1"/>
    <x v="2"/>
  </r>
  <r>
    <s v="REL04298"/>
    <s v="Female"/>
    <n v="40"/>
    <s v="BTech"/>
    <s v="Single"/>
    <x v="0"/>
    <s v="Store Manager"/>
    <x v="1"/>
    <x v="1"/>
    <s v="North"/>
    <n v="3"/>
    <n v="95380"/>
    <x v="0"/>
    <n v="4"/>
    <n v="3"/>
    <n v="55"/>
    <n v="1"/>
    <d v="2020-06-16T00:00:00"/>
    <s v="No"/>
    <x v="1"/>
    <n v="3"/>
    <x v="0"/>
    <x v="0"/>
    <x v="0"/>
  </r>
  <r>
    <s v="REL04299"/>
    <s v="Female"/>
    <n v="23"/>
    <s v="Graduate"/>
    <s v="Single"/>
    <x v="1"/>
    <s v="HR Manager"/>
    <x v="1"/>
    <x v="7"/>
    <s v="East"/>
    <n v="11"/>
    <n v="98511"/>
    <x v="3"/>
    <n v="1"/>
    <n v="4"/>
    <n v="35"/>
    <n v="3"/>
    <d v="2012-10-25T00:00:00"/>
    <s v="No"/>
    <x v="1"/>
    <n v="4"/>
    <x v="2"/>
    <x v="2"/>
    <x v="0"/>
  </r>
  <r>
    <s v="REL04300"/>
    <s v="Male"/>
    <n v="43"/>
    <s v="BTech"/>
    <s v="Single"/>
    <x v="0"/>
    <s v="Finance Analyst"/>
    <x v="2"/>
    <x v="2"/>
    <s v="West"/>
    <n v="9"/>
    <n v="69838"/>
    <x v="1"/>
    <n v="4"/>
    <n v="2"/>
    <n v="15"/>
    <n v="1"/>
    <d v="2014-10-27T00:00:00"/>
    <s v="Yes"/>
    <x v="0"/>
    <n v="1"/>
    <x v="1"/>
    <x v="1"/>
    <x v="1"/>
  </r>
  <r>
    <s v="REL04301"/>
    <s v="Female"/>
    <n v="23"/>
    <s v="HSC"/>
    <s v="Divorced"/>
    <x v="3"/>
    <s v="Logistics Coordinator"/>
    <x v="1"/>
    <x v="4"/>
    <s v="North"/>
    <n v="9"/>
    <n v="68251"/>
    <x v="2"/>
    <n v="2"/>
    <n v="2"/>
    <n v="60"/>
    <n v="1"/>
    <d v="2014-09-11T00:00:00"/>
    <s v="No"/>
    <x v="0"/>
    <n v="2"/>
    <x v="1"/>
    <x v="0"/>
    <x v="1"/>
  </r>
  <r>
    <s v="REL04302"/>
    <s v="Female"/>
    <n v="26"/>
    <s v="BTech"/>
    <s v="Divorced"/>
    <x v="2"/>
    <s v="Logistics Coordinator"/>
    <x v="3"/>
    <x v="1"/>
    <s v="North"/>
    <n v="1"/>
    <n v="38302"/>
    <x v="2"/>
    <n v="1"/>
    <n v="4"/>
    <n v="54"/>
    <n v="0"/>
    <d v="2022-08-04T00:00:00"/>
    <s v="No"/>
    <x v="2"/>
    <n v="2"/>
    <x v="3"/>
    <x v="0"/>
    <x v="1"/>
  </r>
  <r>
    <s v="REL04303"/>
    <s v="Female"/>
    <n v="34"/>
    <s v="Graduate"/>
    <s v="Married"/>
    <x v="2"/>
    <s v="Operations Head"/>
    <x v="1"/>
    <x v="5"/>
    <s v="South"/>
    <n v="15"/>
    <n v="120353"/>
    <x v="3"/>
    <n v="3"/>
    <n v="4"/>
    <n v="80"/>
    <n v="3"/>
    <d v="2008-06-10T00:00:00"/>
    <s v="No"/>
    <x v="1"/>
    <n v="4"/>
    <x v="2"/>
    <x v="2"/>
    <x v="0"/>
  </r>
  <r>
    <s v="REL04304"/>
    <s v="Male"/>
    <n v="32"/>
    <s v="MBA"/>
    <s v="Married"/>
    <x v="6"/>
    <s v="Sales Executive"/>
    <x v="0"/>
    <x v="5"/>
    <s v="South"/>
    <n v="14"/>
    <n v="59992"/>
    <x v="1"/>
    <n v="3"/>
    <n v="1"/>
    <n v="70"/>
    <n v="3"/>
    <d v="2009-01-16T00:00:00"/>
    <s v="No"/>
    <x v="0"/>
    <n v="1"/>
    <x v="2"/>
    <x v="0"/>
    <x v="1"/>
  </r>
  <r>
    <s v="REL04305"/>
    <s v="Male"/>
    <n v="40"/>
    <s v="BTech"/>
    <s v="Single"/>
    <x v="5"/>
    <s v="Sales Executive"/>
    <x v="1"/>
    <x v="7"/>
    <s v="East"/>
    <n v="4"/>
    <n v="51412"/>
    <x v="0"/>
    <n v="3"/>
    <n v="1"/>
    <n v="76"/>
    <n v="2"/>
    <d v="2019-04-30T00:00:00"/>
    <s v="No"/>
    <x v="0"/>
    <n v="3"/>
    <x v="0"/>
    <x v="0"/>
    <x v="0"/>
  </r>
  <r>
    <s v="REL04306"/>
    <s v="Female"/>
    <n v="53"/>
    <s v="Post Graduate"/>
    <s v="Divorced"/>
    <x v="3"/>
    <s v="Marketing Executive"/>
    <x v="2"/>
    <x v="2"/>
    <s v="West"/>
    <n v="15"/>
    <n v="87428"/>
    <x v="0"/>
    <n v="1"/>
    <n v="1"/>
    <n v="40"/>
    <n v="3"/>
    <d v="2008-11-09T00:00:00"/>
    <s v="No"/>
    <x v="1"/>
    <n v="3"/>
    <x v="2"/>
    <x v="0"/>
    <x v="0"/>
  </r>
  <r>
    <s v="REL04307"/>
    <s v="Male"/>
    <n v="34"/>
    <s v="Graduate"/>
    <s v="Married"/>
    <x v="4"/>
    <s v="Operations Head"/>
    <x v="3"/>
    <x v="6"/>
    <s v="South"/>
    <n v="12"/>
    <n v="112902"/>
    <x v="3"/>
    <n v="3"/>
    <n v="3"/>
    <n v="56"/>
    <n v="1"/>
    <d v="2011-07-05T00:00:00"/>
    <s v="No"/>
    <x v="1"/>
    <n v="4"/>
    <x v="2"/>
    <x v="2"/>
    <x v="0"/>
  </r>
  <r>
    <s v="REL04308"/>
    <s v="Male"/>
    <n v="34"/>
    <s v="BTech"/>
    <s v="Divorced"/>
    <x v="0"/>
    <s v="HR Manager"/>
    <x v="4"/>
    <x v="4"/>
    <s v="North"/>
    <n v="6"/>
    <n v="77660"/>
    <x v="0"/>
    <n v="2"/>
    <n v="2"/>
    <n v="63"/>
    <n v="1"/>
    <d v="2017-05-03T00:00:00"/>
    <s v="No"/>
    <x v="0"/>
    <n v="3"/>
    <x v="1"/>
    <x v="0"/>
    <x v="0"/>
  </r>
  <r>
    <s v="REL04309"/>
    <s v="Female"/>
    <n v="31"/>
    <s v="BTech"/>
    <s v="Married"/>
    <x v="1"/>
    <s v="Marketing Executive"/>
    <x v="4"/>
    <x v="3"/>
    <s v="West"/>
    <n v="9"/>
    <n v="74285"/>
    <x v="1"/>
    <n v="4"/>
    <n v="1"/>
    <n v="28"/>
    <n v="2"/>
    <d v="2014-06-08T00:00:00"/>
    <s v="No"/>
    <x v="0"/>
    <n v="1"/>
    <x v="1"/>
    <x v="0"/>
    <x v="1"/>
  </r>
  <r>
    <s v="REL04310"/>
    <s v="Male"/>
    <n v="33"/>
    <s v="HSC"/>
    <s v="Married"/>
    <x v="2"/>
    <s v="Sales Executive"/>
    <x v="2"/>
    <x v="9"/>
    <s v="West"/>
    <n v="4"/>
    <n v="51818"/>
    <x v="0"/>
    <n v="2"/>
    <n v="1"/>
    <n v="21"/>
    <n v="2"/>
    <d v="2019-09-23T00:00:00"/>
    <s v="Yes"/>
    <x v="0"/>
    <n v="3"/>
    <x v="0"/>
    <x v="1"/>
    <x v="0"/>
  </r>
  <r>
    <s v="REL04311"/>
    <s v="Male"/>
    <n v="32"/>
    <s v="MBA"/>
    <s v="Married"/>
    <x v="3"/>
    <s v="Store Manager"/>
    <x v="4"/>
    <x v="3"/>
    <s v="West"/>
    <n v="4"/>
    <n v="99674"/>
    <x v="2"/>
    <n v="1"/>
    <n v="4"/>
    <n v="72"/>
    <n v="0"/>
    <d v="2019-08-11T00:00:00"/>
    <s v="Yes"/>
    <x v="1"/>
    <n v="2"/>
    <x v="0"/>
    <x v="1"/>
    <x v="1"/>
  </r>
  <r>
    <s v="REL04312"/>
    <s v="Male"/>
    <n v="35"/>
    <s v="Graduate"/>
    <s v="Divorced"/>
    <x v="1"/>
    <s v="Operations Head"/>
    <x v="2"/>
    <x v="6"/>
    <s v="South"/>
    <n v="4"/>
    <n v="105224"/>
    <x v="0"/>
    <n v="4"/>
    <n v="4"/>
    <n v="76"/>
    <n v="0"/>
    <d v="2019-10-24T00:00:00"/>
    <s v="No"/>
    <x v="1"/>
    <n v="3"/>
    <x v="0"/>
    <x v="0"/>
    <x v="0"/>
  </r>
  <r>
    <s v="REL04313"/>
    <s v="Female"/>
    <n v="43"/>
    <s v="MBA"/>
    <s v="Single"/>
    <x v="3"/>
    <s v="Finance Analyst"/>
    <x v="4"/>
    <x v="2"/>
    <s v="West"/>
    <n v="3"/>
    <n v="69603"/>
    <x v="2"/>
    <n v="4"/>
    <n v="4"/>
    <n v="29"/>
    <n v="0"/>
    <d v="2020-02-03T00:00:00"/>
    <s v="No"/>
    <x v="0"/>
    <n v="2"/>
    <x v="0"/>
    <x v="0"/>
    <x v="1"/>
  </r>
  <r>
    <s v="REL04314"/>
    <s v="Female"/>
    <n v="33"/>
    <s v="Graduate"/>
    <s v="Single"/>
    <x v="2"/>
    <s v="Customer Service Rep"/>
    <x v="3"/>
    <x v="8"/>
    <s v="South"/>
    <n v="14"/>
    <n v="54802"/>
    <x v="0"/>
    <n v="4"/>
    <n v="1"/>
    <n v="25"/>
    <n v="2"/>
    <d v="2009-12-03T00:00:00"/>
    <s v="No"/>
    <x v="0"/>
    <n v="3"/>
    <x v="2"/>
    <x v="0"/>
    <x v="0"/>
  </r>
  <r>
    <s v="REL04315"/>
    <s v="Male"/>
    <n v="38"/>
    <s v="Graduate"/>
    <s v="Divorced"/>
    <x v="0"/>
    <s v="Customer Service Rep"/>
    <x v="3"/>
    <x v="0"/>
    <s v="North"/>
    <n v="6"/>
    <n v="53494"/>
    <x v="2"/>
    <n v="2"/>
    <n v="3"/>
    <n v="42"/>
    <n v="2"/>
    <d v="2017-12-30T00:00:00"/>
    <s v="No"/>
    <x v="0"/>
    <n v="2"/>
    <x v="1"/>
    <x v="0"/>
    <x v="1"/>
  </r>
  <r>
    <s v="REL04316"/>
    <s v="Male"/>
    <n v="31"/>
    <s v="Post Graduate"/>
    <s v="Divorced"/>
    <x v="6"/>
    <s v="Logistics Coordinator"/>
    <x v="4"/>
    <x v="0"/>
    <s v="North"/>
    <n v="14"/>
    <n v="73899"/>
    <x v="2"/>
    <n v="4"/>
    <n v="2"/>
    <n v="33"/>
    <n v="1"/>
    <d v="2009-05-12T00:00:00"/>
    <s v="No"/>
    <x v="0"/>
    <n v="2"/>
    <x v="2"/>
    <x v="0"/>
    <x v="1"/>
  </r>
  <r>
    <s v="REL04317"/>
    <s v="Male"/>
    <n v="41"/>
    <s v="Post Graduate"/>
    <s v="Married"/>
    <x v="1"/>
    <s v="Store Manager"/>
    <x v="3"/>
    <x v="6"/>
    <s v="South"/>
    <n v="8"/>
    <n v="110580"/>
    <x v="1"/>
    <n v="1"/>
    <n v="4"/>
    <n v="17"/>
    <n v="0"/>
    <d v="2015-06-28T00:00:00"/>
    <s v="No"/>
    <x v="1"/>
    <n v="1"/>
    <x v="1"/>
    <x v="0"/>
    <x v="2"/>
  </r>
  <r>
    <s v="REL04318"/>
    <s v="Female"/>
    <n v="30"/>
    <s v="HSC"/>
    <s v="Divorced"/>
    <x v="5"/>
    <s v="HR Manager"/>
    <x v="1"/>
    <x v="5"/>
    <s v="South"/>
    <n v="11"/>
    <n v="90956"/>
    <x v="3"/>
    <n v="2"/>
    <n v="1"/>
    <n v="74"/>
    <n v="3"/>
    <d v="2012-06-26T00:00:00"/>
    <s v="No"/>
    <x v="1"/>
    <n v="4"/>
    <x v="2"/>
    <x v="2"/>
    <x v="0"/>
  </r>
  <r>
    <s v="REL04319"/>
    <s v="Female"/>
    <n v="26"/>
    <s v="Graduate"/>
    <s v="Divorced"/>
    <x v="1"/>
    <s v="Sales Executive"/>
    <x v="4"/>
    <x v="0"/>
    <s v="North"/>
    <n v="7"/>
    <n v="62210"/>
    <x v="3"/>
    <n v="2"/>
    <n v="1"/>
    <n v="26"/>
    <n v="3"/>
    <d v="2016-12-20T00:00:00"/>
    <s v="No"/>
    <x v="0"/>
    <n v="4"/>
    <x v="1"/>
    <x v="2"/>
    <x v="1"/>
  </r>
  <r>
    <s v="REL04320"/>
    <s v="Female"/>
    <n v="52"/>
    <s v="HSC"/>
    <s v="Married"/>
    <x v="0"/>
    <s v="Sales Executive"/>
    <x v="1"/>
    <x v="0"/>
    <s v="North"/>
    <n v="7"/>
    <n v="45590"/>
    <x v="3"/>
    <n v="4"/>
    <n v="4"/>
    <n v="75"/>
    <n v="0"/>
    <d v="2016-03-16T00:00:00"/>
    <s v="No"/>
    <x v="2"/>
    <n v="4"/>
    <x v="1"/>
    <x v="2"/>
    <x v="1"/>
  </r>
  <r>
    <s v="REL04321"/>
    <s v="Female"/>
    <n v="37"/>
    <s v="HSC"/>
    <s v="Married"/>
    <x v="4"/>
    <s v="Logistics Coordinator"/>
    <x v="1"/>
    <x v="5"/>
    <s v="South"/>
    <n v="2"/>
    <n v="46630"/>
    <x v="0"/>
    <n v="4"/>
    <n v="3"/>
    <n v="13"/>
    <n v="2"/>
    <d v="2021-09-13T00:00:00"/>
    <s v="No"/>
    <x v="2"/>
    <n v="3"/>
    <x v="3"/>
    <x v="0"/>
    <x v="1"/>
  </r>
  <r>
    <s v="REL04322"/>
    <s v="Female"/>
    <n v="40"/>
    <s v="BTech"/>
    <s v="Divorced"/>
    <x v="4"/>
    <s v="Finance Analyst"/>
    <x v="3"/>
    <x v="9"/>
    <s v="West"/>
    <n v="8"/>
    <n v="69513"/>
    <x v="3"/>
    <n v="4"/>
    <n v="3"/>
    <n v="40"/>
    <n v="1"/>
    <d v="2015-07-16T00:00:00"/>
    <s v="No"/>
    <x v="0"/>
    <n v="4"/>
    <x v="1"/>
    <x v="2"/>
    <x v="1"/>
  </r>
  <r>
    <s v="REL04323"/>
    <s v="Female"/>
    <n v="22"/>
    <s v="BTech"/>
    <s v="Divorced"/>
    <x v="4"/>
    <s v="Sales Executive"/>
    <x v="3"/>
    <x v="6"/>
    <s v="South"/>
    <n v="4"/>
    <n v="55503"/>
    <x v="1"/>
    <n v="2"/>
    <n v="2"/>
    <n v="59"/>
    <n v="1"/>
    <d v="2019-04-05T00:00:00"/>
    <s v="Yes"/>
    <x v="0"/>
    <n v="1"/>
    <x v="0"/>
    <x v="1"/>
    <x v="1"/>
  </r>
  <r>
    <s v="REL04324"/>
    <s v="Male"/>
    <n v="38"/>
    <s v="Graduate"/>
    <s v="Single"/>
    <x v="1"/>
    <s v="HR Manager"/>
    <x v="4"/>
    <x v="8"/>
    <s v="South"/>
    <n v="7"/>
    <n v="79638"/>
    <x v="0"/>
    <n v="3"/>
    <n v="2"/>
    <n v="18"/>
    <n v="3"/>
    <d v="2016-04-15T00:00:00"/>
    <s v="No"/>
    <x v="0"/>
    <n v="3"/>
    <x v="1"/>
    <x v="0"/>
    <x v="0"/>
  </r>
  <r>
    <s v="REL04325"/>
    <s v="Male"/>
    <n v="40"/>
    <s v="MBA"/>
    <s v="Single"/>
    <x v="2"/>
    <s v="Finance Analyst"/>
    <x v="4"/>
    <x v="5"/>
    <s v="South"/>
    <n v="11"/>
    <n v="79813"/>
    <x v="3"/>
    <n v="3"/>
    <n v="2"/>
    <n v="53"/>
    <n v="3"/>
    <d v="2012-01-14T00:00:00"/>
    <s v="No"/>
    <x v="0"/>
    <n v="4"/>
    <x v="2"/>
    <x v="2"/>
    <x v="1"/>
  </r>
  <r>
    <s v="REL04326"/>
    <s v="Male"/>
    <n v="55"/>
    <s v="Graduate"/>
    <s v="Divorced"/>
    <x v="1"/>
    <s v="Sales Executive"/>
    <x v="1"/>
    <x v="9"/>
    <s v="West"/>
    <n v="4"/>
    <n v="50704"/>
    <x v="3"/>
    <n v="3"/>
    <n v="3"/>
    <n v="14"/>
    <n v="3"/>
    <d v="2019-05-19T00:00:00"/>
    <s v="No"/>
    <x v="0"/>
    <n v="4"/>
    <x v="0"/>
    <x v="2"/>
    <x v="1"/>
  </r>
  <r>
    <s v="REL04327"/>
    <s v="Female"/>
    <n v="35"/>
    <s v="HSC"/>
    <s v="Married"/>
    <x v="4"/>
    <s v="Store Manager"/>
    <x v="2"/>
    <x v="5"/>
    <s v="South"/>
    <n v="10"/>
    <n v="112988"/>
    <x v="3"/>
    <n v="4"/>
    <n v="4"/>
    <n v="53"/>
    <n v="3"/>
    <d v="2013-02-16T00:00:00"/>
    <s v="No"/>
    <x v="1"/>
    <n v="4"/>
    <x v="1"/>
    <x v="2"/>
    <x v="0"/>
  </r>
  <r>
    <s v="REL04328"/>
    <s v="Female"/>
    <n v="45"/>
    <s v="MBA"/>
    <s v="Married"/>
    <x v="2"/>
    <s v="HR Manager"/>
    <x v="0"/>
    <x v="3"/>
    <s v="West"/>
    <n v="15"/>
    <n v="99365"/>
    <x v="2"/>
    <n v="2"/>
    <n v="1"/>
    <n v="16"/>
    <n v="2"/>
    <d v="2008-12-15T00:00:00"/>
    <s v="No"/>
    <x v="1"/>
    <n v="2"/>
    <x v="2"/>
    <x v="0"/>
    <x v="1"/>
  </r>
  <r>
    <s v="REL04329"/>
    <s v="Male"/>
    <n v="33"/>
    <s v="Graduate"/>
    <s v="Single"/>
    <x v="6"/>
    <s v="Logistics Coordinator"/>
    <x v="1"/>
    <x v="5"/>
    <s v="South"/>
    <n v="9"/>
    <n v="61958"/>
    <x v="3"/>
    <n v="4"/>
    <n v="4"/>
    <n v="62"/>
    <n v="3"/>
    <d v="2014-07-27T00:00:00"/>
    <s v="No"/>
    <x v="0"/>
    <n v="4"/>
    <x v="1"/>
    <x v="2"/>
    <x v="1"/>
  </r>
  <r>
    <s v="REL04330"/>
    <s v="Male"/>
    <n v="22"/>
    <s v="BTech"/>
    <s v="Single"/>
    <x v="3"/>
    <s v="Operations Head"/>
    <x v="1"/>
    <x v="0"/>
    <s v="North"/>
    <n v="15"/>
    <n v="117524"/>
    <x v="2"/>
    <n v="2"/>
    <n v="4"/>
    <n v="17"/>
    <n v="3"/>
    <d v="2008-06-29T00:00:00"/>
    <s v="Yes"/>
    <x v="1"/>
    <n v="2"/>
    <x v="2"/>
    <x v="1"/>
    <x v="1"/>
  </r>
  <r>
    <s v="REL04331"/>
    <s v="Female"/>
    <n v="39"/>
    <s v="MBA"/>
    <s v="Single"/>
    <x v="6"/>
    <s v="Logistics Coordinator"/>
    <x v="3"/>
    <x v="5"/>
    <s v="South"/>
    <n v="1"/>
    <n v="41959"/>
    <x v="0"/>
    <n v="4"/>
    <n v="4"/>
    <n v="43"/>
    <n v="2"/>
    <d v="2022-10-29T00:00:00"/>
    <s v="No"/>
    <x v="2"/>
    <n v="3"/>
    <x v="3"/>
    <x v="0"/>
    <x v="1"/>
  </r>
  <r>
    <s v="REL04332"/>
    <s v="Female"/>
    <n v="44"/>
    <s v="HSC"/>
    <s v="Married"/>
    <x v="7"/>
    <s v="Marketing Executive"/>
    <x v="4"/>
    <x v="3"/>
    <s v="West"/>
    <n v="3"/>
    <n v="65360"/>
    <x v="1"/>
    <n v="4"/>
    <n v="3"/>
    <n v="66"/>
    <n v="3"/>
    <d v="2020-10-25T00:00:00"/>
    <s v="Yes"/>
    <x v="0"/>
    <n v="1"/>
    <x v="0"/>
    <x v="1"/>
    <x v="1"/>
  </r>
  <r>
    <s v="REL04333"/>
    <s v="Female"/>
    <n v="42"/>
    <s v="HSC"/>
    <s v="Single"/>
    <x v="2"/>
    <s v="Store Manager"/>
    <x v="4"/>
    <x v="1"/>
    <s v="North"/>
    <n v="14"/>
    <n v="104188"/>
    <x v="0"/>
    <n v="1"/>
    <n v="3"/>
    <n v="12"/>
    <n v="3"/>
    <d v="2009-06-04T00:00:00"/>
    <s v="No"/>
    <x v="1"/>
    <n v="3"/>
    <x v="2"/>
    <x v="0"/>
    <x v="0"/>
  </r>
  <r>
    <s v="REL04334"/>
    <s v="Female"/>
    <n v="45"/>
    <s v="BTech"/>
    <s v="Divorced"/>
    <x v="1"/>
    <s v="Finance Analyst"/>
    <x v="1"/>
    <x v="8"/>
    <s v="South"/>
    <n v="9"/>
    <n v="73173"/>
    <x v="0"/>
    <n v="2"/>
    <n v="2"/>
    <n v="55"/>
    <n v="1"/>
    <d v="2014-12-30T00:00:00"/>
    <s v="No"/>
    <x v="0"/>
    <n v="3"/>
    <x v="1"/>
    <x v="0"/>
    <x v="0"/>
  </r>
  <r>
    <s v="REL04335"/>
    <s v="Male"/>
    <n v="28"/>
    <s v="MBA"/>
    <s v="Single"/>
    <x v="3"/>
    <s v="HR Manager"/>
    <x v="2"/>
    <x v="8"/>
    <s v="South"/>
    <n v="5"/>
    <n v="83090"/>
    <x v="2"/>
    <n v="1"/>
    <n v="4"/>
    <n v="35"/>
    <n v="3"/>
    <d v="2018-03-30T00:00:00"/>
    <s v="No"/>
    <x v="1"/>
    <n v="2"/>
    <x v="0"/>
    <x v="0"/>
    <x v="1"/>
  </r>
  <r>
    <s v="REL04336"/>
    <s v="Female"/>
    <n v="38"/>
    <s v="Post Graduate"/>
    <s v="Married"/>
    <x v="2"/>
    <s v="Marketing Executive"/>
    <x v="4"/>
    <x v="1"/>
    <s v="North"/>
    <n v="9"/>
    <n v="75811"/>
    <x v="1"/>
    <n v="3"/>
    <n v="4"/>
    <n v="19"/>
    <n v="1"/>
    <d v="2014-01-18T00:00:00"/>
    <s v="No"/>
    <x v="0"/>
    <n v="1"/>
    <x v="1"/>
    <x v="0"/>
    <x v="1"/>
  </r>
  <r>
    <s v="REL04337"/>
    <s v="Female"/>
    <n v="22"/>
    <s v="HSC"/>
    <s v="Divorced"/>
    <x v="4"/>
    <s v="Operations Head"/>
    <x v="4"/>
    <x v="1"/>
    <s v="North"/>
    <n v="13"/>
    <n v="113034"/>
    <x v="0"/>
    <n v="1"/>
    <n v="2"/>
    <n v="24"/>
    <n v="3"/>
    <d v="2010-03-28T00:00:00"/>
    <s v="No"/>
    <x v="1"/>
    <n v="3"/>
    <x v="2"/>
    <x v="0"/>
    <x v="0"/>
  </r>
  <r>
    <s v="REL04338"/>
    <s v="Female"/>
    <n v="30"/>
    <s v="Post Graduate"/>
    <s v="Single"/>
    <x v="3"/>
    <s v="Sales Executive"/>
    <x v="2"/>
    <x v="5"/>
    <s v="South"/>
    <n v="6"/>
    <n v="60579"/>
    <x v="0"/>
    <n v="3"/>
    <n v="3"/>
    <n v="13"/>
    <n v="2"/>
    <d v="2017-12-07T00:00:00"/>
    <s v="No"/>
    <x v="0"/>
    <n v="3"/>
    <x v="1"/>
    <x v="0"/>
    <x v="0"/>
  </r>
  <r>
    <s v="REL04339"/>
    <s v="Female"/>
    <n v="35"/>
    <s v="Post Graduate"/>
    <s v="Married"/>
    <x v="1"/>
    <s v="Marketing Executive"/>
    <x v="1"/>
    <x v="4"/>
    <s v="North"/>
    <n v="4"/>
    <n v="54882"/>
    <x v="0"/>
    <n v="1"/>
    <n v="3"/>
    <n v="80"/>
    <n v="1"/>
    <d v="2019-01-20T00:00:00"/>
    <s v="No"/>
    <x v="0"/>
    <n v="3"/>
    <x v="0"/>
    <x v="0"/>
    <x v="0"/>
  </r>
  <r>
    <s v="REL04340"/>
    <s v="Male"/>
    <n v="44"/>
    <s v="HSC"/>
    <s v="Married"/>
    <x v="5"/>
    <s v="Store Manager"/>
    <x v="1"/>
    <x v="4"/>
    <s v="North"/>
    <n v="5"/>
    <n v="95599"/>
    <x v="3"/>
    <n v="4"/>
    <n v="3"/>
    <n v="61"/>
    <n v="2"/>
    <d v="2018-07-15T00:00:00"/>
    <s v="No"/>
    <x v="1"/>
    <n v="4"/>
    <x v="0"/>
    <x v="2"/>
    <x v="0"/>
  </r>
  <r>
    <s v="REL04341"/>
    <s v="Female"/>
    <n v="51"/>
    <s v="Graduate"/>
    <s v="Married"/>
    <x v="3"/>
    <s v="Store Manager"/>
    <x v="3"/>
    <x v="6"/>
    <s v="South"/>
    <n v="1"/>
    <n v="90601"/>
    <x v="0"/>
    <n v="4"/>
    <n v="1"/>
    <n v="47"/>
    <n v="1"/>
    <d v="2022-06-15T00:00:00"/>
    <s v="No"/>
    <x v="1"/>
    <n v="3"/>
    <x v="3"/>
    <x v="0"/>
    <x v="0"/>
  </r>
  <r>
    <s v="REL04342"/>
    <s v="Female"/>
    <n v="35"/>
    <s v="Post Graduate"/>
    <s v="Divorced"/>
    <x v="0"/>
    <s v="HR Manager"/>
    <x v="0"/>
    <x v="1"/>
    <s v="North"/>
    <n v="10"/>
    <n v="94552"/>
    <x v="3"/>
    <n v="4"/>
    <n v="4"/>
    <n v="40"/>
    <n v="0"/>
    <d v="2013-05-22T00:00:00"/>
    <s v="No"/>
    <x v="1"/>
    <n v="4"/>
    <x v="1"/>
    <x v="2"/>
    <x v="0"/>
  </r>
  <r>
    <s v="REL04343"/>
    <s v="Male"/>
    <n v="39"/>
    <s v="BTech"/>
    <s v="Single"/>
    <x v="7"/>
    <s v="Store Manager"/>
    <x v="4"/>
    <x v="8"/>
    <s v="South"/>
    <n v="4"/>
    <n v="89527"/>
    <x v="3"/>
    <n v="1"/>
    <n v="4"/>
    <n v="69"/>
    <n v="0"/>
    <d v="2019-05-27T00:00:00"/>
    <s v="No"/>
    <x v="1"/>
    <n v="4"/>
    <x v="0"/>
    <x v="2"/>
    <x v="0"/>
  </r>
  <r>
    <s v="REL04344"/>
    <s v="Female"/>
    <n v="26"/>
    <s v="Post Graduate"/>
    <s v="Married"/>
    <x v="7"/>
    <s v="Sales Executive"/>
    <x v="1"/>
    <x v="7"/>
    <s v="East"/>
    <n v="4"/>
    <n v="38670"/>
    <x v="1"/>
    <n v="2"/>
    <n v="2"/>
    <n v="50"/>
    <n v="2"/>
    <d v="2019-10-06T00:00:00"/>
    <s v="Yes"/>
    <x v="2"/>
    <n v="1"/>
    <x v="0"/>
    <x v="1"/>
    <x v="1"/>
  </r>
  <r>
    <s v="REL04345"/>
    <s v="Male"/>
    <n v="36"/>
    <s v="BTech"/>
    <s v="Divorced"/>
    <x v="4"/>
    <s v="HR Manager"/>
    <x v="4"/>
    <x v="9"/>
    <s v="West"/>
    <n v="4"/>
    <n v="77206"/>
    <x v="3"/>
    <n v="4"/>
    <n v="1"/>
    <n v="61"/>
    <n v="3"/>
    <d v="2019-11-26T00:00:00"/>
    <s v="No"/>
    <x v="0"/>
    <n v="4"/>
    <x v="0"/>
    <x v="2"/>
    <x v="1"/>
  </r>
  <r>
    <s v="REL04346"/>
    <s v="Male"/>
    <n v="48"/>
    <s v="BTech"/>
    <s v="Married"/>
    <x v="7"/>
    <s v="Customer Service Rep"/>
    <x v="4"/>
    <x v="3"/>
    <s v="West"/>
    <n v="2"/>
    <n v="45250"/>
    <x v="2"/>
    <n v="3"/>
    <n v="3"/>
    <n v="36"/>
    <n v="3"/>
    <d v="2021-08-25T00:00:00"/>
    <s v="No"/>
    <x v="2"/>
    <n v="2"/>
    <x v="3"/>
    <x v="0"/>
    <x v="1"/>
  </r>
  <r>
    <s v="REL04347"/>
    <s v="Female"/>
    <n v="53"/>
    <s v="HSC"/>
    <s v="Divorced"/>
    <x v="2"/>
    <s v="Operations Head"/>
    <x v="4"/>
    <x v="4"/>
    <s v="North"/>
    <n v="4"/>
    <n v="93306"/>
    <x v="2"/>
    <n v="2"/>
    <n v="2"/>
    <n v="15"/>
    <n v="0"/>
    <d v="2019-09-11T00:00:00"/>
    <s v="No"/>
    <x v="1"/>
    <n v="2"/>
    <x v="0"/>
    <x v="0"/>
    <x v="1"/>
  </r>
  <r>
    <s v="REL04348"/>
    <s v="Male"/>
    <n v="23"/>
    <s v="MBA"/>
    <s v="Divorced"/>
    <x v="7"/>
    <s v="Customer Service Rep"/>
    <x v="1"/>
    <x v="3"/>
    <s v="West"/>
    <n v="5"/>
    <n v="48308"/>
    <x v="0"/>
    <n v="2"/>
    <n v="4"/>
    <n v="68"/>
    <n v="2"/>
    <d v="2018-11-27T00:00:00"/>
    <s v="No"/>
    <x v="2"/>
    <n v="3"/>
    <x v="0"/>
    <x v="0"/>
    <x v="1"/>
  </r>
  <r>
    <s v="REL04349"/>
    <s v="Female"/>
    <n v="23"/>
    <s v="Post Graduate"/>
    <s v="Married"/>
    <x v="1"/>
    <s v="Customer Service Rep"/>
    <x v="2"/>
    <x v="7"/>
    <s v="East"/>
    <n v="3"/>
    <n v="49803"/>
    <x v="1"/>
    <n v="1"/>
    <n v="3"/>
    <n v="33"/>
    <n v="1"/>
    <d v="2020-11-22T00:00:00"/>
    <s v="No"/>
    <x v="2"/>
    <n v="1"/>
    <x v="0"/>
    <x v="0"/>
    <x v="1"/>
  </r>
  <r>
    <s v="REL04350"/>
    <s v="Female"/>
    <n v="29"/>
    <s v="MBA"/>
    <s v="Single"/>
    <x v="1"/>
    <s v="HR Manager"/>
    <x v="3"/>
    <x v="9"/>
    <s v="West"/>
    <n v="12"/>
    <n v="102552"/>
    <x v="0"/>
    <n v="4"/>
    <n v="1"/>
    <n v="34"/>
    <n v="1"/>
    <d v="2011-04-09T00:00:00"/>
    <s v="No"/>
    <x v="1"/>
    <n v="3"/>
    <x v="2"/>
    <x v="0"/>
    <x v="0"/>
  </r>
  <r>
    <s v="REL04351"/>
    <s v="Female"/>
    <n v="22"/>
    <s v="Post Graduate"/>
    <s v="Married"/>
    <x v="2"/>
    <s v="Customer Service Rep"/>
    <x v="3"/>
    <x v="7"/>
    <s v="East"/>
    <n v="1"/>
    <n v="32025"/>
    <x v="3"/>
    <n v="4"/>
    <n v="2"/>
    <n v="56"/>
    <n v="2"/>
    <d v="2022-02-06T00:00:00"/>
    <s v="No"/>
    <x v="3"/>
    <n v="4"/>
    <x v="3"/>
    <x v="2"/>
    <x v="3"/>
  </r>
  <r>
    <s v="REL04352"/>
    <s v="Male"/>
    <n v="41"/>
    <s v="HSC"/>
    <s v="Married"/>
    <x v="2"/>
    <s v="Customer Service Rep"/>
    <x v="4"/>
    <x v="6"/>
    <s v="South"/>
    <n v="15"/>
    <n v="70513"/>
    <x v="0"/>
    <n v="1"/>
    <n v="1"/>
    <n v="52"/>
    <n v="3"/>
    <d v="2008-06-16T00:00:00"/>
    <s v="No"/>
    <x v="0"/>
    <n v="3"/>
    <x v="2"/>
    <x v="0"/>
    <x v="0"/>
  </r>
  <r>
    <s v="REL04353"/>
    <s v="Female"/>
    <n v="27"/>
    <s v="Graduate"/>
    <s v="Single"/>
    <x v="7"/>
    <s v="Sales Executive"/>
    <x v="1"/>
    <x v="4"/>
    <s v="North"/>
    <n v="4"/>
    <n v="49172"/>
    <x v="2"/>
    <n v="4"/>
    <n v="3"/>
    <n v="65"/>
    <n v="2"/>
    <d v="2019-10-11T00:00:00"/>
    <s v="No"/>
    <x v="2"/>
    <n v="2"/>
    <x v="0"/>
    <x v="0"/>
    <x v="1"/>
  </r>
  <r>
    <s v="REL04354"/>
    <s v="Male"/>
    <n v="23"/>
    <s v="MBA"/>
    <s v="Divorced"/>
    <x v="0"/>
    <s v="Marketing Executive"/>
    <x v="3"/>
    <x v="7"/>
    <s v="East"/>
    <n v="13"/>
    <n v="66317"/>
    <x v="2"/>
    <n v="4"/>
    <n v="3"/>
    <n v="30"/>
    <n v="1"/>
    <d v="2010-02-04T00:00:00"/>
    <s v="No"/>
    <x v="0"/>
    <n v="2"/>
    <x v="2"/>
    <x v="0"/>
    <x v="1"/>
  </r>
  <r>
    <s v="REL04355"/>
    <s v="Female"/>
    <n v="51"/>
    <s v="Graduate"/>
    <s v="Married"/>
    <x v="0"/>
    <s v="Store Manager"/>
    <x v="0"/>
    <x v="6"/>
    <s v="South"/>
    <n v="14"/>
    <n v="112471"/>
    <x v="0"/>
    <n v="2"/>
    <n v="3"/>
    <n v="74"/>
    <n v="2"/>
    <d v="2009-10-21T00:00:00"/>
    <s v="No"/>
    <x v="1"/>
    <n v="3"/>
    <x v="2"/>
    <x v="0"/>
    <x v="0"/>
  </r>
  <r>
    <s v="REL04356"/>
    <s v="Male"/>
    <n v="31"/>
    <s v="Graduate"/>
    <s v="Single"/>
    <x v="2"/>
    <s v="HR Manager"/>
    <x v="2"/>
    <x v="3"/>
    <s v="West"/>
    <n v="8"/>
    <n v="90689"/>
    <x v="1"/>
    <n v="3"/>
    <n v="4"/>
    <n v="51"/>
    <n v="1"/>
    <d v="2015-03-22T00:00:00"/>
    <s v="Yes"/>
    <x v="1"/>
    <n v="1"/>
    <x v="1"/>
    <x v="1"/>
    <x v="2"/>
  </r>
  <r>
    <s v="REL04357"/>
    <s v="Male"/>
    <n v="23"/>
    <s v="Post Graduate"/>
    <s v="Divorced"/>
    <x v="1"/>
    <s v="Operations Head"/>
    <x v="2"/>
    <x v="0"/>
    <s v="North"/>
    <n v="10"/>
    <n v="114068"/>
    <x v="1"/>
    <n v="1"/>
    <n v="2"/>
    <n v="13"/>
    <n v="3"/>
    <d v="2013-09-13T00:00:00"/>
    <s v="Yes"/>
    <x v="1"/>
    <n v="1"/>
    <x v="1"/>
    <x v="1"/>
    <x v="2"/>
  </r>
  <r>
    <s v="REL04358"/>
    <s v="Female"/>
    <n v="55"/>
    <s v="MBA"/>
    <s v="Single"/>
    <x v="5"/>
    <s v="Customer Service Rep"/>
    <x v="1"/>
    <x v="2"/>
    <s v="West"/>
    <n v="11"/>
    <n v="63152"/>
    <x v="0"/>
    <n v="1"/>
    <n v="2"/>
    <n v="68"/>
    <n v="3"/>
    <d v="2012-02-09T00:00:00"/>
    <s v="Yes"/>
    <x v="0"/>
    <n v="3"/>
    <x v="2"/>
    <x v="1"/>
    <x v="0"/>
  </r>
  <r>
    <s v="REL04359"/>
    <s v="Female"/>
    <n v="31"/>
    <s v="MBA"/>
    <s v="Divorced"/>
    <x v="1"/>
    <s v="Operations Head"/>
    <x v="0"/>
    <x v="4"/>
    <s v="North"/>
    <n v="3"/>
    <n v="108027"/>
    <x v="0"/>
    <n v="1"/>
    <n v="1"/>
    <n v="67"/>
    <n v="2"/>
    <d v="2020-04-24T00:00:00"/>
    <s v="Yes"/>
    <x v="1"/>
    <n v="3"/>
    <x v="0"/>
    <x v="1"/>
    <x v="0"/>
  </r>
  <r>
    <s v="REL04360"/>
    <s v="Male"/>
    <n v="48"/>
    <s v="BTech"/>
    <s v="Single"/>
    <x v="2"/>
    <s v="Operations Head"/>
    <x v="3"/>
    <x v="3"/>
    <s v="West"/>
    <n v="6"/>
    <n v="111792"/>
    <x v="1"/>
    <n v="3"/>
    <n v="4"/>
    <n v="34"/>
    <n v="3"/>
    <d v="2017-09-12T00:00:00"/>
    <s v="Yes"/>
    <x v="1"/>
    <n v="1"/>
    <x v="1"/>
    <x v="1"/>
    <x v="2"/>
  </r>
  <r>
    <s v="REL04361"/>
    <s v="Male"/>
    <n v="23"/>
    <s v="BTech"/>
    <s v="Divorced"/>
    <x v="4"/>
    <s v="Store Manager"/>
    <x v="4"/>
    <x v="2"/>
    <s v="West"/>
    <n v="9"/>
    <n v="96792"/>
    <x v="1"/>
    <n v="1"/>
    <n v="4"/>
    <n v="17"/>
    <n v="2"/>
    <d v="2014-12-25T00:00:00"/>
    <s v="Yes"/>
    <x v="1"/>
    <n v="1"/>
    <x v="1"/>
    <x v="1"/>
    <x v="2"/>
  </r>
  <r>
    <s v="REL04362"/>
    <s v="Female"/>
    <n v="22"/>
    <s v="Post Graduate"/>
    <s v="Married"/>
    <x v="6"/>
    <s v="Operations Head"/>
    <x v="0"/>
    <x v="9"/>
    <s v="West"/>
    <n v="5"/>
    <n v="96236"/>
    <x v="2"/>
    <n v="2"/>
    <n v="1"/>
    <n v="36"/>
    <n v="0"/>
    <d v="2018-04-01T00:00:00"/>
    <s v="No"/>
    <x v="1"/>
    <n v="2"/>
    <x v="0"/>
    <x v="0"/>
    <x v="1"/>
  </r>
  <r>
    <s v="REL04363"/>
    <s v="Female"/>
    <n v="23"/>
    <s v="HSC"/>
    <s v="Married"/>
    <x v="2"/>
    <s v="Operations Head"/>
    <x v="1"/>
    <x v="8"/>
    <s v="South"/>
    <n v="9"/>
    <n v="121269"/>
    <x v="3"/>
    <n v="2"/>
    <n v="1"/>
    <n v="80"/>
    <n v="3"/>
    <d v="2014-03-09T00:00:00"/>
    <s v="No"/>
    <x v="1"/>
    <n v="4"/>
    <x v="1"/>
    <x v="2"/>
    <x v="0"/>
  </r>
  <r>
    <s v="REL04364"/>
    <s v="Female"/>
    <n v="34"/>
    <s v="BTech"/>
    <s v="Divorced"/>
    <x v="4"/>
    <s v="Sales Executive"/>
    <x v="2"/>
    <x v="5"/>
    <s v="South"/>
    <n v="3"/>
    <n v="48001"/>
    <x v="0"/>
    <n v="4"/>
    <n v="4"/>
    <n v="74"/>
    <n v="1"/>
    <d v="2020-09-05T00:00:00"/>
    <s v="No"/>
    <x v="2"/>
    <n v="3"/>
    <x v="0"/>
    <x v="0"/>
    <x v="1"/>
  </r>
  <r>
    <s v="REL04365"/>
    <s v="Male"/>
    <n v="44"/>
    <s v="HSC"/>
    <s v="Married"/>
    <x v="3"/>
    <s v="Operations Head"/>
    <x v="2"/>
    <x v="7"/>
    <s v="East"/>
    <n v="6"/>
    <n v="112508"/>
    <x v="3"/>
    <n v="3"/>
    <n v="3"/>
    <n v="40"/>
    <n v="1"/>
    <d v="2017-09-17T00:00:00"/>
    <s v="No"/>
    <x v="1"/>
    <n v="4"/>
    <x v="1"/>
    <x v="2"/>
    <x v="0"/>
  </r>
  <r>
    <s v="REL04366"/>
    <s v="Male"/>
    <n v="52"/>
    <s v="HSC"/>
    <s v="Married"/>
    <x v="0"/>
    <s v="Operations Head"/>
    <x v="3"/>
    <x v="7"/>
    <s v="East"/>
    <n v="12"/>
    <n v="111356"/>
    <x v="2"/>
    <n v="2"/>
    <n v="2"/>
    <n v="72"/>
    <n v="1"/>
    <d v="2011-03-16T00:00:00"/>
    <s v="No"/>
    <x v="1"/>
    <n v="2"/>
    <x v="2"/>
    <x v="0"/>
    <x v="1"/>
  </r>
  <r>
    <s v="REL04367"/>
    <s v="Male"/>
    <n v="36"/>
    <s v="Post Graduate"/>
    <s v="Divorced"/>
    <x v="3"/>
    <s v="HR Manager"/>
    <x v="2"/>
    <x v="3"/>
    <s v="West"/>
    <n v="2"/>
    <n v="76698"/>
    <x v="0"/>
    <n v="2"/>
    <n v="4"/>
    <n v="17"/>
    <n v="1"/>
    <d v="2021-01-30T00:00:00"/>
    <s v="No"/>
    <x v="0"/>
    <n v="3"/>
    <x v="3"/>
    <x v="0"/>
    <x v="0"/>
  </r>
  <r>
    <s v="REL04368"/>
    <s v="Female"/>
    <n v="28"/>
    <s v="Graduate"/>
    <s v="Married"/>
    <x v="0"/>
    <s v="Store Manager"/>
    <x v="4"/>
    <x v="2"/>
    <s v="West"/>
    <n v="3"/>
    <n v="94876"/>
    <x v="2"/>
    <n v="4"/>
    <n v="4"/>
    <n v="69"/>
    <n v="2"/>
    <d v="2020-12-17T00:00:00"/>
    <s v="Yes"/>
    <x v="1"/>
    <n v="2"/>
    <x v="0"/>
    <x v="1"/>
    <x v="1"/>
  </r>
  <r>
    <s v="REL04369"/>
    <s v="Male"/>
    <n v="29"/>
    <s v="MBA"/>
    <s v="Divorced"/>
    <x v="3"/>
    <s v="Finance Analyst"/>
    <x v="2"/>
    <x v="5"/>
    <s v="South"/>
    <n v="4"/>
    <n v="73418"/>
    <x v="1"/>
    <n v="3"/>
    <n v="4"/>
    <n v="30"/>
    <n v="1"/>
    <d v="2019-08-04T00:00:00"/>
    <s v="Yes"/>
    <x v="0"/>
    <n v="1"/>
    <x v="0"/>
    <x v="1"/>
    <x v="1"/>
  </r>
  <r>
    <s v="REL04370"/>
    <s v="Male"/>
    <n v="25"/>
    <s v="BTech"/>
    <s v="Married"/>
    <x v="0"/>
    <s v="Sales Executive"/>
    <x v="0"/>
    <x v="1"/>
    <s v="North"/>
    <n v="7"/>
    <n v="58385"/>
    <x v="0"/>
    <n v="1"/>
    <n v="1"/>
    <n v="76"/>
    <n v="0"/>
    <d v="2016-09-29T00:00:00"/>
    <s v="No"/>
    <x v="0"/>
    <n v="3"/>
    <x v="1"/>
    <x v="0"/>
    <x v="0"/>
  </r>
  <r>
    <s v="REL04371"/>
    <s v="Male"/>
    <n v="53"/>
    <s v="Graduate"/>
    <s v="Single"/>
    <x v="2"/>
    <s v="Customer Service Rep"/>
    <x v="3"/>
    <x v="4"/>
    <s v="North"/>
    <n v="6"/>
    <n v="41290"/>
    <x v="2"/>
    <n v="3"/>
    <n v="1"/>
    <n v="14"/>
    <n v="1"/>
    <d v="2017-07-23T00:00:00"/>
    <s v="No"/>
    <x v="2"/>
    <n v="2"/>
    <x v="1"/>
    <x v="0"/>
    <x v="1"/>
  </r>
  <r>
    <s v="REL04372"/>
    <s v="Female"/>
    <n v="30"/>
    <s v="MBA"/>
    <s v="Married"/>
    <x v="1"/>
    <s v="Logistics Coordinator"/>
    <x v="3"/>
    <x v="5"/>
    <s v="South"/>
    <n v="9"/>
    <n v="62385"/>
    <x v="0"/>
    <n v="1"/>
    <n v="2"/>
    <n v="80"/>
    <n v="1"/>
    <d v="2014-11-29T00:00:00"/>
    <s v="Yes"/>
    <x v="0"/>
    <n v="3"/>
    <x v="1"/>
    <x v="1"/>
    <x v="0"/>
  </r>
  <r>
    <s v="REL04373"/>
    <s v="Female"/>
    <n v="50"/>
    <s v="Graduate"/>
    <s v="Married"/>
    <x v="1"/>
    <s v="Store Manager"/>
    <x v="3"/>
    <x v="0"/>
    <s v="North"/>
    <n v="10"/>
    <n v="102991"/>
    <x v="2"/>
    <n v="4"/>
    <n v="2"/>
    <n v="38"/>
    <n v="0"/>
    <d v="2013-01-04T00:00:00"/>
    <s v="No"/>
    <x v="1"/>
    <n v="2"/>
    <x v="1"/>
    <x v="0"/>
    <x v="1"/>
  </r>
  <r>
    <s v="REL04374"/>
    <s v="Female"/>
    <n v="22"/>
    <s v="HSC"/>
    <s v="Married"/>
    <x v="0"/>
    <s v="Sales Executive"/>
    <x v="4"/>
    <x v="4"/>
    <s v="North"/>
    <n v="15"/>
    <n v="77766"/>
    <x v="3"/>
    <n v="3"/>
    <n v="3"/>
    <n v="76"/>
    <n v="3"/>
    <d v="2008-07-08T00:00:00"/>
    <s v="No"/>
    <x v="0"/>
    <n v="4"/>
    <x v="2"/>
    <x v="2"/>
    <x v="1"/>
  </r>
  <r>
    <s v="REL04375"/>
    <s v="Female"/>
    <n v="40"/>
    <s v="BTech"/>
    <s v="Single"/>
    <x v="1"/>
    <s v="Finance Analyst"/>
    <x v="1"/>
    <x v="3"/>
    <s v="West"/>
    <n v="12"/>
    <n v="77195"/>
    <x v="3"/>
    <n v="4"/>
    <n v="2"/>
    <n v="41"/>
    <n v="1"/>
    <d v="2011-08-20T00:00:00"/>
    <s v="No"/>
    <x v="0"/>
    <n v="4"/>
    <x v="2"/>
    <x v="2"/>
    <x v="1"/>
  </r>
  <r>
    <s v="REL04376"/>
    <s v="Male"/>
    <n v="23"/>
    <s v="HSC"/>
    <s v="Married"/>
    <x v="5"/>
    <s v="Finance Analyst"/>
    <x v="2"/>
    <x v="1"/>
    <s v="North"/>
    <n v="15"/>
    <n v="88140"/>
    <x v="0"/>
    <n v="4"/>
    <n v="2"/>
    <n v="16"/>
    <n v="3"/>
    <d v="2008-10-22T00:00:00"/>
    <s v="No"/>
    <x v="1"/>
    <n v="3"/>
    <x v="2"/>
    <x v="0"/>
    <x v="0"/>
  </r>
  <r>
    <s v="REL04377"/>
    <s v="Male"/>
    <n v="55"/>
    <s v="MBA"/>
    <s v="Single"/>
    <x v="6"/>
    <s v="Customer Service Rep"/>
    <x v="3"/>
    <x v="6"/>
    <s v="South"/>
    <n v="2"/>
    <n v="45407"/>
    <x v="0"/>
    <n v="3"/>
    <n v="2"/>
    <n v="55"/>
    <n v="3"/>
    <d v="2021-10-05T00:00:00"/>
    <s v="No"/>
    <x v="2"/>
    <n v="3"/>
    <x v="3"/>
    <x v="0"/>
    <x v="1"/>
  </r>
  <r>
    <s v="REL04378"/>
    <s v="Male"/>
    <n v="34"/>
    <s v="HSC"/>
    <s v="Single"/>
    <x v="4"/>
    <s v="HR Manager"/>
    <x v="1"/>
    <x v="5"/>
    <s v="South"/>
    <n v="5"/>
    <n v="79383"/>
    <x v="1"/>
    <n v="4"/>
    <n v="2"/>
    <n v="62"/>
    <n v="1"/>
    <d v="2018-08-06T00:00:00"/>
    <s v="Yes"/>
    <x v="0"/>
    <n v="1"/>
    <x v="0"/>
    <x v="1"/>
    <x v="1"/>
  </r>
  <r>
    <s v="REL04379"/>
    <s v="Female"/>
    <n v="43"/>
    <s v="BTech"/>
    <s v="Divorced"/>
    <x v="4"/>
    <s v="Operations Head"/>
    <x v="0"/>
    <x v="8"/>
    <s v="South"/>
    <n v="1"/>
    <n v="90653"/>
    <x v="0"/>
    <n v="4"/>
    <n v="1"/>
    <n v="18"/>
    <n v="1"/>
    <d v="2022-06-26T00:00:00"/>
    <s v="Yes"/>
    <x v="1"/>
    <n v="3"/>
    <x v="3"/>
    <x v="1"/>
    <x v="0"/>
  </r>
  <r>
    <s v="REL04380"/>
    <s v="Male"/>
    <n v="53"/>
    <s v="Post Graduate"/>
    <s v="Married"/>
    <x v="7"/>
    <s v="Customer Service Rep"/>
    <x v="2"/>
    <x v="9"/>
    <s v="West"/>
    <n v="8"/>
    <n v="55221"/>
    <x v="1"/>
    <n v="3"/>
    <n v="4"/>
    <n v="25"/>
    <n v="0"/>
    <d v="2015-04-03T00:00:00"/>
    <s v="No"/>
    <x v="0"/>
    <n v="1"/>
    <x v="1"/>
    <x v="0"/>
    <x v="1"/>
  </r>
  <r>
    <s v="REL04381"/>
    <s v="Female"/>
    <n v="41"/>
    <s v="MBA"/>
    <s v="Single"/>
    <x v="2"/>
    <s v="Customer Service Rep"/>
    <x v="3"/>
    <x v="9"/>
    <s v="West"/>
    <n v="7"/>
    <n v="49607"/>
    <x v="3"/>
    <n v="2"/>
    <n v="2"/>
    <n v="19"/>
    <n v="2"/>
    <d v="2016-10-06T00:00:00"/>
    <s v="Yes"/>
    <x v="2"/>
    <n v="4"/>
    <x v="1"/>
    <x v="1"/>
    <x v="1"/>
  </r>
  <r>
    <s v="REL04382"/>
    <s v="Female"/>
    <n v="49"/>
    <s v="MBA"/>
    <s v="Married"/>
    <x v="4"/>
    <s v="Store Manager"/>
    <x v="2"/>
    <x v="2"/>
    <s v="West"/>
    <n v="3"/>
    <n v="95614"/>
    <x v="3"/>
    <n v="3"/>
    <n v="1"/>
    <n v="36"/>
    <n v="2"/>
    <d v="2020-07-02T00:00:00"/>
    <s v="No"/>
    <x v="1"/>
    <n v="4"/>
    <x v="0"/>
    <x v="2"/>
    <x v="0"/>
  </r>
  <r>
    <s v="REL04383"/>
    <s v="Female"/>
    <n v="48"/>
    <s v="Post Graduate"/>
    <s v="Married"/>
    <x v="4"/>
    <s v="Finance Analyst"/>
    <x v="0"/>
    <x v="5"/>
    <s v="South"/>
    <n v="14"/>
    <n v="90456"/>
    <x v="1"/>
    <n v="4"/>
    <n v="1"/>
    <n v="33"/>
    <n v="0"/>
    <d v="2009-06-15T00:00:00"/>
    <s v="Yes"/>
    <x v="1"/>
    <n v="1"/>
    <x v="2"/>
    <x v="1"/>
    <x v="2"/>
  </r>
  <r>
    <s v="REL04384"/>
    <s v="Female"/>
    <n v="23"/>
    <s v="MBA"/>
    <s v="Divorced"/>
    <x v="5"/>
    <s v="Logistics Coordinator"/>
    <x v="1"/>
    <x v="8"/>
    <s v="South"/>
    <n v="8"/>
    <n v="66791"/>
    <x v="1"/>
    <n v="2"/>
    <n v="3"/>
    <n v="20"/>
    <n v="0"/>
    <d v="2015-08-27T00:00:00"/>
    <s v="Yes"/>
    <x v="0"/>
    <n v="1"/>
    <x v="1"/>
    <x v="1"/>
    <x v="1"/>
  </r>
  <r>
    <s v="REL04385"/>
    <s v="Male"/>
    <n v="34"/>
    <s v="MBA"/>
    <s v="Single"/>
    <x v="5"/>
    <s v="HR Manager"/>
    <x v="0"/>
    <x v="0"/>
    <s v="North"/>
    <n v="6"/>
    <n v="81612"/>
    <x v="1"/>
    <n v="3"/>
    <n v="1"/>
    <n v="44"/>
    <n v="3"/>
    <d v="2017-03-24T00:00:00"/>
    <s v="No"/>
    <x v="1"/>
    <n v="1"/>
    <x v="1"/>
    <x v="0"/>
    <x v="2"/>
  </r>
  <r>
    <s v="REL04386"/>
    <s v="Female"/>
    <n v="25"/>
    <s v="Post Graduate"/>
    <s v="Divorced"/>
    <x v="7"/>
    <s v="Marketing Executive"/>
    <x v="1"/>
    <x v="9"/>
    <s v="West"/>
    <n v="15"/>
    <n v="88223"/>
    <x v="0"/>
    <n v="4"/>
    <n v="4"/>
    <n v="30"/>
    <n v="3"/>
    <d v="2008-03-12T00:00:00"/>
    <s v="No"/>
    <x v="1"/>
    <n v="3"/>
    <x v="2"/>
    <x v="0"/>
    <x v="0"/>
  </r>
  <r>
    <s v="REL04387"/>
    <s v="Female"/>
    <n v="55"/>
    <s v="HSC"/>
    <s v="Single"/>
    <x v="2"/>
    <s v="Customer Service Rep"/>
    <x v="0"/>
    <x v="5"/>
    <s v="South"/>
    <n v="4"/>
    <n v="34115"/>
    <x v="3"/>
    <n v="3"/>
    <n v="1"/>
    <n v="32"/>
    <n v="0"/>
    <d v="2019-01-15T00:00:00"/>
    <s v="No"/>
    <x v="3"/>
    <n v="4"/>
    <x v="0"/>
    <x v="2"/>
    <x v="3"/>
  </r>
  <r>
    <s v="REL04388"/>
    <s v="Female"/>
    <n v="33"/>
    <s v="Post Graduate"/>
    <s v="Married"/>
    <x v="2"/>
    <s v="Finance Analyst"/>
    <x v="1"/>
    <x v="0"/>
    <s v="North"/>
    <n v="7"/>
    <n v="79940"/>
    <x v="3"/>
    <n v="3"/>
    <n v="4"/>
    <n v="63"/>
    <n v="0"/>
    <d v="2016-06-03T00:00:00"/>
    <s v="No"/>
    <x v="0"/>
    <n v="4"/>
    <x v="1"/>
    <x v="2"/>
    <x v="1"/>
  </r>
  <r>
    <s v="REL04389"/>
    <s v="Male"/>
    <n v="22"/>
    <s v="BTech"/>
    <s v="Single"/>
    <x v="5"/>
    <s v="Finance Analyst"/>
    <x v="0"/>
    <x v="0"/>
    <s v="North"/>
    <n v="10"/>
    <n v="76254"/>
    <x v="2"/>
    <n v="1"/>
    <n v="1"/>
    <n v="55"/>
    <n v="1"/>
    <d v="2013-08-01T00:00:00"/>
    <s v="No"/>
    <x v="0"/>
    <n v="2"/>
    <x v="1"/>
    <x v="0"/>
    <x v="1"/>
  </r>
  <r>
    <s v="REL04390"/>
    <s v="Female"/>
    <n v="28"/>
    <s v="BTech"/>
    <s v="Divorced"/>
    <x v="3"/>
    <s v="Finance Analyst"/>
    <x v="0"/>
    <x v="0"/>
    <s v="North"/>
    <n v="11"/>
    <n v="85864"/>
    <x v="3"/>
    <n v="4"/>
    <n v="4"/>
    <n v="47"/>
    <n v="2"/>
    <d v="2012-05-02T00:00:00"/>
    <s v="No"/>
    <x v="1"/>
    <n v="4"/>
    <x v="2"/>
    <x v="2"/>
    <x v="0"/>
  </r>
  <r>
    <s v="REL04391"/>
    <s v="Female"/>
    <n v="41"/>
    <s v="MBA"/>
    <s v="Married"/>
    <x v="1"/>
    <s v="Marketing Executive"/>
    <x v="1"/>
    <x v="5"/>
    <s v="South"/>
    <n v="8"/>
    <n v="62686"/>
    <x v="0"/>
    <n v="1"/>
    <n v="2"/>
    <n v="21"/>
    <n v="0"/>
    <d v="2015-12-11T00:00:00"/>
    <s v="Yes"/>
    <x v="0"/>
    <n v="3"/>
    <x v="1"/>
    <x v="1"/>
    <x v="0"/>
  </r>
  <r>
    <s v="REL04392"/>
    <s v="Female"/>
    <n v="38"/>
    <s v="Graduate"/>
    <s v="Married"/>
    <x v="7"/>
    <s v="Customer Service Rep"/>
    <x v="3"/>
    <x v="9"/>
    <s v="West"/>
    <n v="11"/>
    <n v="55078"/>
    <x v="0"/>
    <n v="3"/>
    <n v="1"/>
    <n v="31"/>
    <n v="3"/>
    <d v="2012-03-14T00:00:00"/>
    <s v="No"/>
    <x v="0"/>
    <n v="3"/>
    <x v="2"/>
    <x v="0"/>
    <x v="0"/>
  </r>
  <r>
    <s v="REL04393"/>
    <s v="Male"/>
    <n v="43"/>
    <s v="Post Graduate"/>
    <s v="Married"/>
    <x v="7"/>
    <s v="Finance Analyst"/>
    <x v="1"/>
    <x v="7"/>
    <s v="East"/>
    <n v="3"/>
    <n v="60577"/>
    <x v="3"/>
    <n v="1"/>
    <n v="2"/>
    <n v="10"/>
    <n v="3"/>
    <d v="2020-02-22T00:00:00"/>
    <s v="Yes"/>
    <x v="0"/>
    <n v="4"/>
    <x v="0"/>
    <x v="1"/>
    <x v="1"/>
  </r>
  <r>
    <s v="REL04394"/>
    <s v="Female"/>
    <n v="24"/>
    <s v="Graduate"/>
    <s v="Single"/>
    <x v="5"/>
    <s v="Store Manager"/>
    <x v="0"/>
    <x v="7"/>
    <s v="East"/>
    <n v="8"/>
    <n v="91343"/>
    <x v="1"/>
    <n v="1"/>
    <n v="4"/>
    <n v="14"/>
    <n v="1"/>
    <d v="2015-07-06T00:00:00"/>
    <s v="Yes"/>
    <x v="1"/>
    <n v="1"/>
    <x v="1"/>
    <x v="1"/>
    <x v="2"/>
  </r>
  <r>
    <s v="REL04395"/>
    <s v="Male"/>
    <n v="25"/>
    <s v="Graduate"/>
    <s v="Married"/>
    <x v="2"/>
    <s v="Logistics Coordinator"/>
    <x v="4"/>
    <x v="8"/>
    <s v="South"/>
    <n v="4"/>
    <n v="45421"/>
    <x v="1"/>
    <n v="2"/>
    <n v="3"/>
    <n v="27"/>
    <n v="3"/>
    <d v="2019-12-29T00:00:00"/>
    <s v="Yes"/>
    <x v="2"/>
    <n v="1"/>
    <x v="0"/>
    <x v="1"/>
    <x v="1"/>
  </r>
  <r>
    <s v="REL04396"/>
    <s v="Male"/>
    <n v="40"/>
    <s v="Graduate"/>
    <s v="Divorced"/>
    <x v="0"/>
    <s v="Store Manager"/>
    <x v="4"/>
    <x v="1"/>
    <s v="North"/>
    <n v="7"/>
    <n v="105672"/>
    <x v="2"/>
    <n v="4"/>
    <n v="2"/>
    <n v="79"/>
    <n v="2"/>
    <d v="2016-06-08T00:00:00"/>
    <s v="No"/>
    <x v="1"/>
    <n v="2"/>
    <x v="1"/>
    <x v="0"/>
    <x v="1"/>
  </r>
  <r>
    <s v="REL04397"/>
    <s v="Male"/>
    <n v="37"/>
    <s v="Post Graduate"/>
    <s v="Divorced"/>
    <x v="4"/>
    <s v="Logistics Coordinator"/>
    <x v="0"/>
    <x v="0"/>
    <s v="North"/>
    <n v="5"/>
    <n v="45949"/>
    <x v="1"/>
    <n v="1"/>
    <n v="2"/>
    <n v="51"/>
    <n v="3"/>
    <d v="2018-03-12T00:00:00"/>
    <s v="Yes"/>
    <x v="2"/>
    <n v="1"/>
    <x v="0"/>
    <x v="1"/>
    <x v="1"/>
  </r>
  <r>
    <s v="REL04398"/>
    <s v="Female"/>
    <n v="29"/>
    <s v="BTech"/>
    <s v="Married"/>
    <x v="5"/>
    <s v="Customer Service Rep"/>
    <x v="2"/>
    <x v="2"/>
    <s v="West"/>
    <n v="4"/>
    <n v="45293"/>
    <x v="0"/>
    <n v="1"/>
    <n v="4"/>
    <n v="61"/>
    <n v="1"/>
    <d v="2019-01-09T00:00:00"/>
    <s v="No"/>
    <x v="2"/>
    <n v="3"/>
    <x v="0"/>
    <x v="0"/>
    <x v="1"/>
  </r>
  <r>
    <s v="REL04399"/>
    <s v="Female"/>
    <n v="51"/>
    <s v="Post Graduate"/>
    <s v="Married"/>
    <x v="3"/>
    <s v="Customer Service Rep"/>
    <x v="3"/>
    <x v="0"/>
    <s v="North"/>
    <n v="10"/>
    <n v="58513"/>
    <x v="1"/>
    <n v="3"/>
    <n v="4"/>
    <n v="78"/>
    <n v="0"/>
    <d v="2013-03-18T00:00:00"/>
    <s v="Yes"/>
    <x v="0"/>
    <n v="1"/>
    <x v="1"/>
    <x v="1"/>
    <x v="1"/>
  </r>
  <r>
    <s v="REL04400"/>
    <s v="Female"/>
    <n v="55"/>
    <s v="MBA"/>
    <s v="Divorced"/>
    <x v="5"/>
    <s v="Customer Service Rep"/>
    <x v="1"/>
    <x v="1"/>
    <s v="North"/>
    <n v="7"/>
    <n v="43687"/>
    <x v="1"/>
    <n v="4"/>
    <n v="3"/>
    <n v="76"/>
    <n v="0"/>
    <d v="2016-09-13T00:00:00"/>
    <s v="Yes"/>
    <x v="2"/>
    <n v="1"/>
    <x v="1"/>
    <x v="1"/>
    <x v="1"/>
  </r>
  <r>
    <s v="REL04401"/>
    <s v="Female"/>
    <n v="41"/>
    <s v="Graduate"/>
    <s v="Divorced"/>
    <x v="0"/>
    <s v="Sales Executive"/>
    <x v="0"/>
    <x v="0"/>
    <s v="North"/>
    <n v="11"/>
    <n v="68569"/>
    <x v="3"/>
    <n v="1"/>
    <n v="2"/>
    <n v="28"/>
    <n v="0"/>
    <d v="2012-10-24T00:00:00"/>
    <s v="No"/>
    <x v="0"/>
    <n v="4"/>
    <x v="2"/>
    <x v="2"/>
    <x v="1"/>
  </r>
  <r>
    <s v="REL04402"/>
    <s v="Male"/>
    <n v="44"/>
    <s v="Post Graduate"/>
    <s v="Married"/>
    <x v="1"/>
    <s v="Finance Analyst"/>
    <x v="0"/>
    <x v="7"/>
    <s v="East"/>
    <n v="11"/>
    <n v="90115"/>
    <x v="2"/>
    <n v="2"/>
    <n v="4"/>
    <n v="41"/>
    <n v="1"/>
    <d v="2012-12-24T00:00:00"/>
    <s v="No"/>
    <x v="1"/>
    <n v="2"/>
    <x v="2"/>
    <x v="0"/>
    <x v="1"/>
  </r>
  <r>
    <s v="REL04403"/>
    <s v="Male"/>
    <n v="27"/>
    <s v="MBA"/>
    <s v="Divorced"/>
    <x v="6"/>
    <s v="Finance Analyst"/>
    <x v="4"/>
    <x v="9"/>
    <s v="West"/>
    <n v="12"/>
    <n v="75180"/>
    <x v="1"/>
    <n v="2"/>
    <n v="4"/>
    <n v="22"/>
    <n v="0"/>
    <d v="2011-07-01T00:00:00"/>
    <s v="Yes"/>
    <x v="0"/>
    <n v="1"/>
    <x v="2"/>
    <x v="1"/>
    <x v="1"/>
  </r>
  <r>
    <s v="REL04404"/>
    <s v="Male"/>
    <n v="33"/>
    <s v="Post Graduate"/>
    <s v="Single"/>
    <x v="0"/>
    <s v="Logistics Coordinator"/>
    <x v="1"/>
    <x v="4"/>
    <s v="North"/>
    <n v="15"/>
    <n v="66968"/>
    <x v="2"/>
    <n v="2"/>
    <n v="4"/>
    <n v="72"/>
    <n v="1"/>
    <d v="2008-02-08T00:00:00"/>
    <s v="No"/>
    <x v="0"/>
    <n v="2"/>
    <x v="2"/>
    <x v="0"/>
    <x v="1"/>
  </r>
  <r>
    <s v="REL04405"/>
    <s v="Male"/>
    <n v="32"/>
    <s v="Graduate"/>
    <s v="Divorced"/>
    <x v="5"/>
    <s v="Finance Analyst"/>
    <x v="0"/>
    <x v="2"/>
    <s v="West"/>
    <n v="2"/>
    <n v="61013"/>
    <x v="3"/>
    <n v="2"/>
    <n v="4"/>
    <n v="31"/>
    <n v="1"/>
    <d v="2021-11-27T00:00:00"/>
    <s v="Yes"/>
    <x v="0"/>
    <n v="4"/>
    <x v="3"/>
    <x v="1"/>
    <x v="1"/>
  </r>
  <r>
    <s v="REL04406"/>
    <s v="Male"/>
    <n v="30"/>
    <s v="MBA"/>
    <s v="Single"/>
    <x v="6"/>
    <s v="Operations Head"/>
    <x v="2"/>
    <x v="0"/>
    <s v="North"/>
    <n v="8"/>
    <n v="104130"/>
    <x v="3"/>
    <n v="2"/>
    <n v="3"/>
    <n v="12"/>
    <n v="2"/>
    <d v="2015-03-05T00:00:00"/>
    <s v="No"/>
    <x v="1"/>
    <n v="4"/>
    <x v="1"/>
    <x v="2"/>
    <x v="0"/>
  </r>
  <r>
    <s v="REL04407"/>
    <s v="Male"/>
    <n v="46"/>
    <s v="MBA"/>
    <s v="Single"/>
    <x v="6"/>
    <s v="Logistics Coordinator"/>
    <x v="2"/>
    <x v="1"/>
    <s v="North"/>
    <n v="5"/>
    <n v="64184"/>
    <x v="2"/>
    <n v="3"/>
    <n v="2"/>
    <n v="64"/>
    <n v="3"/>
    <d v="2018-08-28T00:00:00"/>
    <s v="No"/>
    <x v="0"/>
    <n v="2"/>
    <x v="0"/>
    <x v="0"/>
    <x v="1"/>
  </r>
  <r>
    <s v="REL04408"/>
    <s v="Male"/>
    <n v="33"/>
    <s v="Post Graduate"/>
    <s v="Divorced"/>
    <x v="0"/>
    <s v="Logistics Coordinator"/>
    <x v="3"/>
    <x v="5"/>
    <s v="South"/>
    <n v="3"/>
    <n v="54865"/>
    <x v="2"/>
    <n v="1"/>
    <n v="1"/>
    <n v="33"/>
    <n v="1"/>
    <d v="2020-09-16T00:00:00"/>
    <s v="No"/>
    <x v="0"/>
    <n v="2"/>
    <x v="0"/>
    <x v="0"/>
    <x v="1"/>
  </r>
  <r>
    <s v="REL04409"/>
    <s v="Female"/>
    <n v="37"/>
    <s v="Post Graduate"/>
    <s v="Married"/>
    <x v="0"/>
    <s v="Marketing Executive"/>
    <x v="3"/>
    <x v="9"/>
    <s v="West"/>
    <n v="10"/>
    <n v="62337"/>
    <x v="3"/>
    <n v="1"/>
    <n v="2"/>
    <n v="39"/>
    <n v="1"/>
    <d v="2013-12-01T00:00:00"/>
    <s v="No"/>
    <x v="0"/>
    <n v="4"/>
    <x v="1"/>
    <x v="2"/>
    <x v="1"/>
  </r>
  <r>
    <s v="REL04410"/>
    <s v="Male"/>
    <n v="43"/>
    <s v="Post Graduate"/>
    <s v="Single"/>
    <x v="2"/>
    <s v="Operations Head"/>
    <x v="1"/>
    <x v="5"/>
    <s v="South"/>
    <n v="6"/>
    <n v="116107"/>
    <x v="2"/>
    <n v="3"/>
    <n v="4"/>
    <n v="29"/>
    <n v="2"/>
    <d v="2017-07-07T00:00:00"/>
    <s v="No"/>
    <x v="1"/>
    <n v="2"/>
    <x v="1"/>
    <x v="0"/>
    <x v="1"/>
  </r>
  <r>
    <s v="REL04411"/>
    <s v="Male"/>
    <n v="23"/>
    <s v="Post Graduate"/>
    <s v="Single"/>
    <x v="6"/>
    <s v="HR Manager"/>
    <x v="3"/>
    <x v="3"/>
    <s v="West"/>
    <n v="4"/>
    <n v="77357"/>
    <x v="3"/>
    <n v="2"/>
    <n v="3"/>
    <n v="60"/>
    <n v="2"/>
    <d v="2019-05-17T00:00:00"/>
    <s v="No"/>
    <x v="0"/>
    <n v="4"/>
    <x v="0"/>
    <x v="2"/>
    <x v="1"/>
  </r>
  <r>
    <s v="REL04412"/>
    <s v="Female"/>
    <n v="36"/>
    <s v="Post Graduate"/>
    <s v="Divorced"/>
    <x v="1"/>
    <s v="Sales Executive"/>
    <x v="1"/>
    <x v="8"/>
    <s v="South"/>
    <n v="12"/>
    <n v="64781"/>
    <x v="3"/>
    <n v="2"/>
    <n v="4"/>
    <n v="56"/>
    <n v="0"/>
    <d v="2011-09-13T00:00:00"/>
    <s v="No"/>
    <x v="0"/>
    <n v="4"/>
    <x v="2"/>
    <x v="2"/>
    <x v="1"/>
  </r>
  <r>
    <s v="REL04413"/>
    <s v="Male"/>
    <n v="46"/>
    <s v="HSC"/>
    <s v="Married"/>
    <x v="0"/>
    <s v="Sales Executive"/>
    <x v="4"/>
    <x v="4"/>
    <s v="North"/>
    <n v="9"/>
    <n v="64557"/>
    <x v="0"/>
    <n v="1"/>
    <n v="2"/>
    <n v="16"/>
    <n v="0"/>
    <d v="2014-02-04T00:00:00"/>
    <s v="No"/>
    <x v="0"/>
    <n v="3"/>
    <x v="1"/>
    <x v="0"/>
    <x v="0"/>
  </r>
  <r>
    <s v="REL04414"/>
    <s v="Male"/>
    <n v="46"/>
    <s v="Graduate"/>
    <s v="Married"/>
    <x v="7"/>
    <s v="Marketing Executive"/>
    <x v="1"/>
    <x v="2"/>
    <s v="West"/>
    <n v="11"/>
    <n v="71306"/>
    <x v="3"/>
    <n v="3"/>
    <n v="4"/>
    <n v="18"/>
    <n v="1"/>
    <d v="2012-03-23T00:00:00"/>
    <s v="No"/>
    <x v="0"/>
    <n v="4"/>
    <x v="2"/>
    <x v="2"/>
    <x v="1"/>
  </r>
  <r>
    <s v="REL04415"/>
    <s v="Male"/>
    <n v="49"/>
    <s v="BTech"/>
    <s v="Divorced"/>
    <x v="7"/>
    <s v="Logistics Coordinator"/>
    <x v="0"/>
    <x v="0"/>
    <s v="North"/>
    <n v="3"/>
    <n v="56892"/>
    <x v="1"/>
    <n v="4"/>
    <n v="4"/>
    <n v="29"/>
    <n v="3"/>
    <d v="2020-07-30T00:00:00"/>
    <s v="Yes"/>
    <x v="0"/>
    <n v="1"/>
    <x v="0"/>
    <x v="1"/>
    <x v="1"/>
  </r>
  <r>
    <s v="REL04416"/>
    <s v="Male"/>
    <n v="28"/>
    <s v="BTech"/>
    <s v="Single"/>
    <x v="1"/>
    <s v="Finance Analyst"/>
    <x v="1"/>
    <x v="7"/>
    <s v="East"/>
    <n v="7"/>
    <n v="65812"/>
    <x v="1"/>
    <n v="2"/>
    <n v="1"/>
    <n v="60"/>
    <n v="1"/>
    <d v="2016-08-02T00:00:00"/>
    <s v="Yes"/>
    <x v="0"/>
    <n v="1"/>
    <x v="1"/>
    <x v="1"/>
    <x v="1"/>
  </r>
  <r>
    <s v="REL04417"/>
    <s v="Female"/>
    <n v="47"/>
    <s v="BTech"/>
    <s v="Single"/>
    <x v="7"/>
    <s v="Operations Head"/>
    <x v="1"/>
    <x v="5"/>
    <s v="South"/>
    <n v="4"/>
    <n v="97383"/>
    <x v="2"/>
    <n v="4"/>
    <n v="2"/>
    <n v="55"/>
    <n v="1"/>
    <d v="2019-07-18T00:00:00"/>
    <s v="Yes"/>
    <x v="1"/>
    <n v="2"/>
    <x v="0"/>
    <x v="1"/>
    <x v="1"/>
  </r>
  <r>
    <s v="REL04418"/>
    <s v="Male"/>
    <n v="34"/>
    <s v="MBA"/>
    <s v="Single"/>
    <x v="7"/>
    <s v="HR Manager"/>
    <x v="0"/>
    <x v="2"/>
    <s v="West"/>
    <n v="6"/>
    <n v="94665"/>
    <x v="1"/>
    <n v="1"/>
    <n v="1"/>
    <n v="44"/>
    <n v="3"/>
    <d v="2017-08-31T00:00:00"/>
    <s v="Yes"/>
    <x v="1"/>
    <n v="1"/>
    <x v="1"/>
    <x v="1"/>
    <x v="2"/>
  </r>
  <r>
    <s v="REL04419"/>
    <s v="Male"/>
    <n v="24"/>
    <s v="BTech"/>
    <s v="Divorced"/>
    <x v="5"/>
    <s v="Sales Executive"/>
    <x v="4"/>
    <x v="3"/>
    <s v="West"/>
    <n v="1"/>
    <n v="50478"/>
    <x v="3"/>
    <n v="4"/>
    <n v="2"/>
    <n v="60"/>
    <n v="2"/>
    <d v="2022-07-11T00:00:00"/>
    <s v="No"/>
    <x v="0"/>
    <n v="4"/>
    <x v="3"/>
    <x v="2"/>
    <x v="1"/>
  </r>
  <r>
    <s v="REL04420"/>
    <s v="Female"/>
    <n v="37"/>
    <s v="HSC"/>
    <s v="Married"/>
    <x v="3"/>
    <s v="Finance Analyst"/>
    <x v="3"/>
    <x v="2"/>
    <s v="West"/>
    <n v="7"/>
    <n v="75501"/>
    <x v="3"/>
    <n v="1"/>
    <n v="3"/>
    <n v="73"/>
    <n v="1"/>
    <d v="2016-12-29T00:00:00"/>
    <s v="No"/>
    <x v="0"/>
    <n v="4"/>
    <x v="1"/>
    <x v="2"/>
    <x v="1"/>
  </r>
  <r>
    <s v="REL04421"/>
    <s v="Female"/>
    <n v="28"/>
    <s v="BTech"/>
    <s v="Divorced"/>
    <x v="7"/>
    <s v="Finance Analyst"/>
    <x v="0"/>
    <x v="5"/>
    <s v="South"/>
    <n v="5"/>
    <n v="69275"/>
    <x v="0"/>
    <n v="3"/>
    <n v="4"/>
    <n v="49"/>
    <n v="3"/>
    <d v="2018-02-04T00:00:00"/>
    <s v="No"/>
    <x v="0"/>
    <n v="3"/>
    <x v="0"/>
    <x v="0"/>
    <x v="0"/>
  </r>
  <r>
    <s v="REL04422"/>
    <s v="Female"/>
    <n v="23"/>
    <s v="Post Graduate"/>
    <s v="Single"/>
    <x v="2"/>
    <s v="Customer Service Rep"/>
    <x v="1"/>
    <x v="7"/>
    <s v="East"/>
    <n v="7"/>
    <n v="51408"/>
    <x v="2"/>
    <n v="3"/>
    <n v="4"/>
    <n v="48"/>
    <n v="0"/>
    <d v="2016-11-07T00:00:00"/>
    <s v="No"/>
    <x v="0"/>
    <n v="2"/>
    <x v="1"/>
    <x v="0"/>
    <x v="1"/>
  </r>
  <r>
    <s v="REL04423"/>
    <s v="Male"/>
    <n v="54"/>
    <s v="Graduate"/>
    <s v="Divorced"/>
    <x v="3"/>
    <s v="Customer Service Rep"/>
    <x v="3"/>
    <x v="9"/>
    <s v="West"/>
    <n v="12"/>
    <n v="53376"/>
    <x v="0"/>
    <n v="2"/>
    <n v="2"/>
    <n v="22"/>
    <n v="2"/>
    <d v="2011-03-28T00:00:00"/>
    <s v="No"/>
    <x v="0"/>
    <n v="3"/>
    <x v="2"/>
    <x v="0"/>
    <x v="0"/>
  </r>
  <r>
    <s v="REL04424"/>
    <s v="Male"/>
    <n v="40"/>
    <s v="Post Graduate"/>
    <s v="Divorced"/>
    <x v="0"/>
    <s v="Store Manager"/>
    <x v="2"/>
    <x v="5"/>
    <s v="South"/>
    <n v="3"/>
    <n v="81379"/>
    <x v="2"/>
    <n v="4"/>
    <n v="1"/>
    <n v="79"/>
    <n v="3"/>
    <d v="2020-03-13T00:00:00"/>
    <s v="No"/>
    <x v="1"/>
    <n v="2"/>
    <x v="0"/>
    <x v="0"/>
    <x v="1"/>
  </r>
  <r>
    <s v="REL04425"/>
    <s v="Female"/>
    <n v="54"/>
    <s v="HSC"/>
    <s v="Divorced"/>
    <x v="3"/>
    <s v="Logistics Coordinator"/>
    <x v="0"/>
    <x v="1"/>
    <s v="North"/>
    <n v="5"/>
    <n v="61224"/>
    <x v="0"/>
    <n v="1"/>
    <n v="4"/>
    <n v="19"/>
    <n v="3"/>
    <d v="2018-03-08T00:00:00"/>
    <s v="Yes"/>
    <x v="0"/>
    <n v="3"/>
    <x v="0"/>
    <x v="1"/>
    <x v="0"/>
  </r>
  <r>
    <s v="REL04426"/>
    <s v="Male"/>
    <n v="49"/>
    <s v="Post Graduate"/>
    <s v="Married"/>
    <x v="1"/>
    <s v="Finance Analyst"/>
    <x v="4"/>
    <x v="0"/>
    <s v="North"/>
    <n v="2"/>
    <n v="71290"/>
    <x v="0"/>
    <n v="4"/>
    <n v="4"/>
    <n v="75"/>
    <n v="3"/>
    <d v="2021-01-27T00:00:00"/>
    <s v="No"/>
    <x v="0"/>
    <n v="3"/>
    <x v="3"/>
    <x v="0"/>
    <x v="0"/>
  </r>
  <r>
    <s v="REL04427"/>
    <s v="Female"/>
    <n v="47"/>
    <s v="Graduate"/>
    <s v="Single"/>
    <x v="3"/>
    <s v="Marketing Executive"/>
    <x v="2"/>
    <x v="8"/>
    <s v="South"/>
    <n v="15"/>
    <n v="87371"/>
    <x v="0"/>
    <n v="4"/>
    <n v="3"/>
    <n v="48"/>
    <n v="2"/>
    <d v="2008-08-02T00:00:00"/>
    <s v="No"/>
    <x v="1"/>
    <n v="3"/>
    <x v="2"/>
    <x v="0"/>
    <x v="0"/>
  </r>
  <r>
    <s v="REL04428"/>
    <s v="Female"/>
    <n v="26"/>
    <s v="HSC"/>
    <s v="Single"/>
    <x v="2"/>
    <s v="Store Manager"/>
    <x v="4"/>
    <x v="9"/>
    <s v="West"/>
    <n v="13"/>
    <n v="110651"/>
    <x v="1"/>
    <n v="4"/>
    <n v="1"/>
    <n v="42"/>
    <n v="2"/>
    <d v="2010-02-09T00:00:00"/>
    <s v="Yes"/>
    <x v="1"/>
    <n v="1"/>
    <x v="2"/>
    <x v="1"/>
    <x v="2"/>
  </r>
  <r>
    <s v="REL04429"/>
    <s v="Female"/>
    <n v="52"/>
    <s v="Graduate"/>
    <s v="Married"/>
    <x v="1"/>
    <s v="Sales Executive"/>
    <x v="4"/>
    <x v="0"/>
    <s v="North"/>
    <n v="3"/>
    <n v="53257"/>
    <x v="0"/>
    <n v="1"/>
    <n v="3"/>
    <n v="60"/>
    <n v="0"/>
    <d v="2020-01-09T00:00:00"/>
    <s v="Yes"/>
    <x v="0"/>
    <n v="3"/>
    <x v="0"/>
    <x v="1"/>
    <x v="0"/>
  </r>
  <r>
    <s v="REL04430"/>
    <s v="Female"/>
    <n v="26"/>
    <s v="MBA"/>
    <s v="Married"/>
    <x v="0"/>
    <s v="Store Manager"/>
    <x v="3"/>
    <x v="3"/>
    <s v="West"/>
    <n v="7"/>
    <n v="104281"/>
    <x v="0"/>
    <n v="1"/>
    <n v="4"/>
    <n v="46"/>
    <n v="0"/>
    <d v="2016-04-15T00:00:00"/>
    <s v="No"/>
    <x v="1"/>
    <n v="3"/>
    <x v="1"/>
    <x v="0"/>
    <x v="0"/>
  </r>
  <r>
    <s v="REL04431"/>
    <s v="Male"/>
    <n v="52"/>
    <s v="Post Graduate"/>
    <s v="Divorced"/>
    <x v="5"/>
    <s v="Customer Service Rep"/>
    <x v="1"/>
    <x v="3"/>
    <s v="West"/>
    <n v="5"/>
    <n v="38376"/>
    <x v="2"/>
    <n v="3"/>
    <n v="2"/>
    <n v="78"/>
    <n v="0"/>
    <d v="2018-04-20T00:00:00"/>
    <s v="No"/>
    <x v="2"/>
    <n v="2"/>
    <x v="0"/>
    <x v="0"/>
    <x v="1"/>
  </r>
  <r>
    <s v="REL04432"/>
    <s v="Male"/>
    <n v="31"/>
    <s v="HSC"/>
    <s v="Divorced"/>
    <x v="6"/>
    <s v="Finance Analyst"/>
    <x v="3"/>
    <x v="0"/>
    <s v="North"/>
    <n v="13"/>
    <n v="81317"/>
    <x v="2"/>
    <n v="3"/>
    <n v="4"/>
    <n v="48"/>
    <n v="2"/>
    <d v="2010-04-11T00:00:00"/>
    <s v="No"/>
    <x v="1"/>
    <n v="2"/>
    <x v="2"/>
    <x v="0"/>
    <x v="1"/>
  </r>
  <r>
    <s v="REL04433"/>
    <s v="Male"/>
    <n v="36"/>
    <s v="HSC"/>
    <s v="Married"/>
    <x v="2"/>
    <s v="Finance Analyst"/>
    <x v="2"/>
    <x v="4"/>
    <s v="North"/>
    <n v="15"/>
    <n v="91524"/>
    <x v="0"/>
    <n v="2"/>
    <n v="2"/>
    <n v="80"/>
    <n v="0"/>
    <d v="2008-03-14T00:00:00"/>
    <s v="No"/>
    <x v="1"/>
    <n v="3"/>
    <x v="2"/>
    <x v="0"/>
    <x v="0"/>
  </r>
  <r>
    <s v="REL04434"/>
    <s v="Male"/>
    <n v="33"/>
    <s v="HSC"/>
    <s v="Divorced"/>
    <x v="7"/>
    <s v="Operations Head"/>
    <x v="4"/>
    <x v="1"/>
    <s v="North"/>
    <n v="10"/>
    <n v="117557"/>
    <x v="1"/>
    <n v="4"/>
    <n v="4"/>
    <n v="76"/>
    <n v="0"/>
    <d v="2013-05-27T00:00:00"/>
    <s v="Yes"/>
    <x v="1"/>
    <n v="1"/>
    <x v="1"/>
    <x v="1"/>
    <x v="2"/>
  </r>
  <r>
    <s v="REL04435"/>
    <s v="Female"/>
    <n v="39"/>
    <s v="MBA"/>
    <s v="Single"/>
    <x v="3"/>
    <s v="Finance Analyst"/>
    <x v="0"/>
    <x v="9"/>
    <s v="West"/>
    <n v="11"/>
    <n v="83680"/>
    <x v="1"/>
    <n v="4"/>
    <n v="4"/>
    <n v="64"/>
    <n v="1"/>
    <d v="2012-11-17T00:00:00"/>
    <s v="Yes"/>
    <x v="1"/>
    <n v="1"/>
    <x v="2"/>
    <x v="1"/>
    <x v="2"/>
  </r>
  <r>
    <s v="REL04436"/>
    <s v="Female"/>
    <n v="51"/>
    <s v="Post Graduate"/>
    <s v="Married"/>
    <x v="1"/>
    <s v="HR Manager"/>
    <x v="3"/>
    <x v="0"/>
    <s v="North"/>
    <n v="7"/>
    <n v="88343"/>
    <x v="3"/>
    <n v="2"/>
    <n v="3"/>
    <n v="55"/>
    <n v="2"/>
    <d v="2016-08-14T00:00:00"/>
    <s v="No"/>
    <x v="1"/>
    <n v="4"/>
    <x v="1"/>
    <x v="2"/>
    <x v="0"/>
  </r>
  <r>
    <s v="REL04437"/>
    <s v="Male"/>
    <n v="34"/>
    <s v="Post Graduate"/>
    <s v="Married"/>
    <x v="6"/>
    <s v="Sales Executive"/>
    <x v="1"/>
    <x v="9"/>
    <s v="West"/>
    <n v="6"/>
    <n v="45430"/>
    <x v="1"/>
    <n v="2"/>
    <n v="4"/>
    <n v="13"/>
    <n v="0"/>
    <d v="2017-04-07T00:00:00"/>
    <s v="Yes"/>
    <x v="2"/>
    <n v="1"/>
    <x v="1"/>
    <x v="1"/>
    <x v="1"/>
  </r>
  <r>
    <s v="REL04438"/>
    <s v="Female"/>
    <n v="39"/>
    <s v="HSC"/>
    <s v="Divorced"/>
    <x v="4"/>
    <s v="Finance Analyst"/>
    <x v="3"/>
    <x v="8"/>
    <s v="South"/>
    <n v="6"/>
    <n v="78243"/>
    <x v="3"/>
    <n v="3"/>
    <n v="4"/>
    <n v="20"/>
    <n v="2"/>
    <d v="2017-03-14T00:00:00"/>
    <s v="Yes"/>
    <x v="0"/>
    <n v="4"/>
    <x v="1"/>
    <x v="1"/>
    <x v="1"/>
  </r>
  <r>
    <s v="REL04439"/>
    <s v="Female"/>
    <n v="23"/>
    <s v="HSC"/>
    <s v="Single"/>
    <x v="7"/>
    <s v="Operations Head"/>
    <x v="3"/>
    <x v="3"/>
    <s v="West"/>
    <n v="2"/>
    <n v="92378"/>
    <x v="2"/>
    <n v="3"/>
    <n v="2"/>
    <n v="38"/>
    <n v="1"/>
    <d v="2021-06-21T00:00:00"/>
    <s v="No"/>
    <x v="1"/>
    <n v="2"/>
    <x v="3"/>
    <x v="0"/>
    <x v="1"/>
  </r>
  <r>
    <s v="REL04440"/>
    <s v="Female"/>
    <n v="39"/>
    <s v="HSC"/>
    <s v="Divorced"/>
    <x v="7"/>
    <s v="Store Manager"/>
    <x v="3"/>
    <x v="6"/>
    <s v="South"/>
    <n v="4"/>
    <n v="93668"/>
    <x v="1"/>
    <n v="2"/>
    <n v="2"/>
    <n v="65"/>
    <n v="0"/>
    <d v="2019-11-02T00:00:00"/>
    <s v="Yes"/>
    <x v="1"/>
    <n v="1"/>
    <x v="0"/>
    <x v="1"/>
    <x v="2"/>
  </r>
  <r>
    <s v="REL04441"/>
    <s v="Male"/>
    <n v="32"/>
    <s v="MBA"/>
    <s v="Divorced"/>
    <x v="2"/>
    <s v="Marketing Executive"/>
    <x v="3"/>
    <x v="2"/>
    <s v="West"/>
    <n v="10"/>
    <n v="79985"/>
    <x v="2"/>
    <n v="1"/>
    <n v="1"/>
    <n v="55"/>
    <n v="2"/>
    <d v="2013-07-11T00:00:00"/>
    <s v="No"/>
    <x v="0"/>
    <n v="2"/>
    <x v="1"/>
    <x v="0"/>
    <x v="1"/>
  </r>
  <r>
    <s v="REL04442"/>
    <s v="Male"/>
    <n v="22"/>
    <s v="Post Graduate"/>
    <s v="Divorced"/>
    <x v="7"/>
    <s v="Logistics Coordinator"/>
    <x v="4"/>
    <x v="8"/>
    <s v="South"/>
    <n v="12"/>
    <n v="77308"/>
    <x v="3"/>
    <n v="4"/>
    <n v="2"/>
    <n v="13"/>
    <n v="2"/>
    <d v="2011-05-01T00:00:00"/>
    <s v="No"/>
    <x v="0"/>
    <n v="4"/>
    <x v="2"/>
    <x v="2"/>
    <x v="1"/>
  </r>
  <r>
    <s v="REL04443"/>
    <s v="Male"/>
    <n v="32"/>
    <s v="MBA"/>
    <s v="Single"/>
    <x v="1"/>
    <s v="Operations Head"/>
    <x v="2"/>
    <x v="2"/>
    <s v="West"/>
    <n v="14"/>
    <n v="114570"/>
    <x v="1"/>
    <n v="2"/>
    <n v="2"/>
    <n v="62"/>
    <n v="1"/>
    <d v="2009-06-10T00:00:00"/>
    <s v="Yes"/>
    <x v="1"/>
    <n v="1"/>
    <x v="2"/>
    <x v="1"/>
    <x v="2"/>
  </r>
  <r>
    <s v="REL04444"/>
    <s v="Female"/>
    <n v="53"/>
    <s v="HSC"/>
    <s v="Divorced"/>
    <x v="0"/>
    <s v="Finance Analyst"/>
    <x v="1"/>
    <x v="0"/>
    <s v="North"/>
    <n v="13"/>
    <n v="81649"/>
    <x v="1"/>
    <n v="1"/>
    <n v="4"/>
    <n v="74"/>
    <n v="1"/>
    <d v="2010-12-12T00:00:00"/>
    <s v="Yes"/>
    <x v="1"/>
    <n v="1"/>
    <x v="2"/>
    <x v="1"/>
    <x v="2"/>
  </r>
  <r>
    <s v="REL04445"/>
    <s v="Male"/>
    <n v="29"/>
    <s v="MBA"/>
    <s v="Married"/>
    <x v="4"/>
    <s v="Sales Executive"/>
    <x v="2"/>
    <x v="3"/>
    <s v="West"/>
    <n v="14"/>
    <n v="62423"/>
    <x v="0"/>
    <n v="3"/>
    <n v="2"/>
    <n v="71"/>
    <n v="2"/>
    <d v="2009-05-01T00:00:00"/>
    <s v="No"/>
    <x v="0"/>
    <n v="3"/>
    <x v="2"/>
    <x v="0"/>
    <x v="0"/>
  </r>
  <r>
    <s v="REL04446"/>
    <s v="Male"/>
    <n v="39"/>
    <s v="Graduate"/>
    <s v="Divorced"/>
    <x v="7"/>
    <s v="Operations Head"/>
    <x v="1"/>
    <x v="5"/>
    <s v="South"/>
    <n v="3"/>
    <n v="95540"/>
    <x v="1"/>
    <n v="4"/>
    <n v="3"/>
    <n v="17"/>
    <n v="2"/>
    <d v="2020-04-20T00:00:00"/>
    <s v="Yes"/>
    <x v="1"/>
    <n v="1"/>
    <x v="0"/>
    <x v="1"/>
    <x v="2"/>
  </r>
  <r>
    <s v="REL04447"/>
    <s v="Male"/>
    <n v="45"/>
    <s v="BTech"/>
    <s v="Divorced"/>
    <x v="0"/>
    <s v="Sales Executive"/>
    <x v="1"/>
    <x v="1"/>
    <s v="North"/>
    <n v="4"/>
    <n v="52012"/>
    <x v="2"/>
    <n v="3"/>
    <n v="4"/>
    <n v="53"/>
    <n v="1"/>
    <d v="2019-05-22T00:00:00"/>
    <s v="No"/>
    <x v="0"/>
    <n v="2"/>
    <x v="0"/>
    <x v="0"/>
    <x v="1"/>
  </r>
  <r>
    <s v="REL04448"/>
    <s v="Male"/>
    <n v="31"/>
    <s v="Post Graduate"/>
    <s v="Divorced"/>
    <x v="0"/>
    <s v="Operations Head"/>
    <x v="3"/>
    <x v="8"/>
    <s v="South"/>
    <n v="3"/>
    <n v="102301"/>
    <x v="0"/>
    <n v="1"/>
    <n v="4"/>
    <n v="21"/>
    <n v="0"/>
    <d v="2020-03-29T00:00:00"/>
    <s v="No"/>
    <x v="1"/>
    <n v="3"/>
    <x v="0"/>
    <x v="0"/>
    <x v="0"/>
  </r>
  <r>
    <s v="REL04449"/>
    <s v="Female"/>
    <n v="52"/>
    <s v="MBA"/>
    <s v="Married"/>
    <x v="3"/>
    <s v="Operations Head"/>
    <x v="2"/>
    <x v="1"/>
    <s v="North"/>
    <n v="10"/>
    <n v="106838"/>
    <x v="3"/>
    <n v="2"/>
    <n v="2"/>
    <n v="59"/>
    <n v="3"/>
    <d v="2013-09-22T00:00:00"/>
    <s v="No"/>
    <x v="1"/>
    <n v="4"/>
    <x v="1"/>
    <x v="2"/>
    <x v="0"/>
  </r>
  <r>
    <s v="REL04450"/>
    <s v="Female"/>
    <n v="53"/>
    <s v="BTech"/>
    <s v="Single"/>
    <x v="1"/>
    <s v="Operations Head"/>
    <x v="0"/>
    <x v="1"/>
    <s v="North"/>
    <n v="6"/>
    <n v="116043"/>
    <x v="2"/>
    <n v="2"/>
    <n v="2"/>
    <n v="39"/>
    <n v="0"/>
    <d v="2017-01-23T00:00:00"/>
    <s v="Yes"/>
    <x v="1"/>
    <n v="2"/>
    <x v="1"/>
    <x v="1"/>
    <x v="1"/>
  </r>
  <r>
    <s v="REL04451"/>
    <s v="Male"/>
    <n v="37"/>
    <s v="HSC"/>
    <s v="Married"/>
    <x v="6"/>
    <s v="Operations Head"/>
    <x v="3"/>
    <x v="0"/>
    <s v="North"/>
    <n v="11"/>
    <n v="121811"/>
    <x v="1"/>
    <n v="4"/>
    <n v="2"/>
    <n v="76"/>
    <n v="1"/>
    <d v="2012-04-12T00:00:00"/>
    <s v="No"/>
    <x v="1"/>
    <n v="1"/>
    <x v="2"/>
    <x v="0"/>
    <x v="2"/>
  </r>
  <r>
    <s v="REL04452"/>
    <s v="Female"/>
    <n v="37"/>
    <s v="Graduate"/>
    <s v="Divorced"/>
    <x v="3"/>
    <s v="Logistics Coordinator"/>
    <x v="2"/>
    <x v="1"/>
    <s v="North"/>
    <n v="1"/>
    <n v="56020"/>
    <x v="1"/>
    <n v="3"/>
    <n v="2"/>
    <n v="74"/>
    <n v="2"/>
    <d v="2022-05-13T00:00:00"/>
    <s v="Yes"/>
    <x v="0"/>
    <n v="1"/>
    <x v="3"/>
    <x v="1"/>
    <x v="1"/>
  </r>
  <r>
    <s v="REL04453"/>
    <s v="Male"/>
    <n v="25"/>
    <s v="HSC"/>
    <s v="Married"/>
    <x v="7"/>
    <s v="HR Manager"/>
    <x v="3"/>
    <x v="3"/>
    <s v="West"/>
    <n v="11"/>
    <n v="93955"/>
    <x v="3"/>
    <n v="2"/>
    <n v="4"/>
    <n v="41"/>
    <n v="1"/>
    <d v="2012-04-02T00:00:00"/>
    <s v="No"/>
    <x v="1"/>
    <n v="4"/>
    <x v="2"/>
    <x v="2"/>
    <x v="0"/>
  </r>
  <r>
    <s v="REL04454"/>
    <s v="Male"/>
    <n v="33"/>
    <s v="Post Graduate"/>
    <s v="Divorced"/>
    <x v="2"/>
    <s v="Sales Executive"/>
    <x v="0"/>
    <x v="3"/>
    <s v="West"/>
    <n v="7"/>
    <n v="48280"/>
    <x v="2"/>
    <n v="4"/>
    <n v="4"/>
    <n v="34"/>
    <n v="0"/>
    <d v="2016-08-24T00:00:00"/>
    <s v="Yes"/>
    <x v="2"/>
    <n v="2"/>
    <x v="1"/>
    <x v="1"/>
    <x v="1"/>
  </r>
  <r>
    <s v="REL04455"/>
    <s v="Male"/>
    <n v="29"/>
    <s v="BTech"/>
    <s v="Married"/>
    <x v="4"/>
    <s v="HR Manager"/>
    <x v="4"/>
    <x v="4"/>
    <s v="North"/>
    <n v="14"/>
    <n v="106608"/>
    <x v="2"/>
    <n v="1"/>
    <n v="2"/>
    <n v="10"/>
    <n v="1"/>
    <d v="2009-01-22T00:00:00"/>
    <s v="No"/>
    <x v="1"/>
    <n v="2"/>
    <x v="2"/>
    <x v="0"/>
    <x v="1"/>
  </r>
  <r>
    <s v="REL04456"/>
    <s v="Male"/>
    <n v="41"/>
    <s v="BTech"/>
    <s v="Single"/>
    <x v="2"/>
    <s v="Store Manager"/>
    <x v="0"/>
    <x v="5"/>
    <s v="South"/>
    <n v="2"/>
    <n v="97657"/>
    <x v="0"/>
    <n v="1"/>
    <n v="1"/>
    <n v="80"/>
    <n v="2"/>
    <d v="2021-11-27T00:00:00"/>
    <s v="No"/>
    <x v="1"/>
    <n v="3"/>
    <x v="3"/>
    <x v="0"/>
    <x v="0"/>
  </r>
  <r>
    <s v="REL04457"/>
    <s v="Female"/>
    <n v="42"/>
    <s v="MBA"/>
    <s v="Single"/>
    <x v="5"/>
    <s v="Marketing Executive"/>
    <x v="1"/>
    <x v="5"/>
    <s v="South"/>
    <n v="13"/>
    <n v="66393"/>
    <x v="1"/>
    <n v="4"/>
    <n v="2"/>
    <n v="76"/>
    <n v="0"/>
    <d v="2010-12-08T00:00:00"/>
    <s v="No"/>
    <x v="0"/>
    <n v="1"/>
    <x v="2"/>
    <x v="0"/>
    <x v="1"/>
  </r>
  <r>
    <s v="REL04458"/>
    <s v="Female"/>
    <n v="44"/>
    <s v="HSC"/>
    <s v="Divorced"/>
    <x v="6"/>
    <s v="Customer Service Rep"/>
    <x v="0"/>
    <x v="0"/>
    <s v="North"/>
    <n v="14"/>
    <n v="66712"/>
    <x v="2"/>
    <n v="1"/>
    <n v="3"/>
    <n v="38"/>
    <n v="3"/>
    <d v="2009-10-03T00:00:00"/>
    <s v="No"/>
    <x v="0"/>
    <n v="2"/>
    <x v="2"/>
    <x v="0"/>
    <x v="1"/>
  </r>
  <r>
    <s v="REL04459"/>
    <s v="Female"/>
    <n v="32"/>
    <s v="Graduate"/>
    <s v="Married"/>
    <x v="6"/>
    <s v="Sales Executive"/>
    <x v="0"/>
    <x v="3"/>
    <s v="West"/>
    <n v="9"/>
    <n v="58514"/>
    <x v="1"/>
    <n v="4"/>
    <n v="2"/>
    <n v="65"/>
    <n v="1"/>
    <d v="2014-12-30T00:00:00"/>
    <s v="No"/>
    <x v="0"/>
    <n v="1"/>
    <x v="1"/>
    <x v="0"/>
    <x v="1"/>
  </r>
  <r>
    <s v="REL04460"/>
    <s v="Female"/>
    <n v="39"/>
    <s v="MBA"/>
    <s v="Single"/>
    <x v="3"/>
    <s v="Logistics Coordinator"/>
    <x v="2"/>
    <x v="6"/>
    <s v="South"/>
    <n v="12"/>
    <n v="74749"/>
    <x v="2"/>
    <n v="4"/>
    <n v="2"/>
    <n v="27"/>
    <n v="3"/>
    <d v="2011-04-03T00:00:00"/>
    <s v="Yes"/>
    <x v="0"/>
    <n v="2"/>
    <x v="2"/>
    <x v="1"/>
    <x v="1"/>
  </r>
  <r>
    <s v="REL04461"/>
    <s v="Male"/>
    <n v="28"/>
    <s v="BTech"/>
    <s v="Divorced"/>
    <x v="1"/>
    <s v="Logistics Coordinator"/>
    <x v="4"/>
    <x v="8"/>
    <s v="South"/>
    <n v="7"/>
    <n v="63618"/>
    <x v="1"/>
    <n v="3"/>
    <n v="4"/>
    <n v="64"/>
    <n v="3"/>
    <d v="2016-12-31T00:00:00"/>
    <s v="No"/>
    <x v="0"/>
    <n v="1"/>
    <x v="1"/>
    <x v="0"/>
    <x v="1"/>
  </r>
  <r>
    <s v="REL04462"/>
    <s v="Male"/>
    <n v="39"/>
    <s v="Graduate"/>
    <s v="Divorced"/>
    <x v="5"/>
    <s v="Logistics Coordinator"/>
    <x v="2"/>
    <x v="4"/>
    <s v="North"/>
    <n v="10"/>
    <n v="55769"/>
    <x v="2"/>
    <n v="3"/>
    <n v="4"/>
    <n v="58"/>
    <n v="2"/>
    <d v="2013-11-20T00:00:00"/>
    <s v="No"/>
    <x v="0"/>
    <n v="2"/>
    <x v="1"/>
    <x v="0"/>
    <x v="1"/>
  </r>
  <r>
    <s v="REL04463"/>
    <s v="Male"/>
    <n v="34"/>
    <s v="BTech"/>
    <s v="Divorced"/>
    <x v="0"/>
    <s v="HR Manager"/>
    <x v="0"/>
    <x v="6"/>
    <s v="South"/>
    <n v="3"/>
    <n v="80759"/>
    <x v="1"/>
    <n v="1"/>
    <n v="3"/>
    <n v="40"/>
    <n v="3"/>
    <d v="2020-04-04T00:00:00"/>
    <s v="Yes"/>
    <x v="1"/>
    <n v="1"/>
    <x v="0"/>
    <x v="1"/>
    <x v="2"/>
  </r>
  <r>
    <s v="REL04464"/>
    <s v="Female"/>
    <n v="24"/>
    <s v="Graduate"/>
    <s v="Divorced"/>
    <x v="0"/>
    <s v="HR Manager"/>
    <x v="0"/>
    <x v="0"/>
    <s v="North"/>
    <n v="11"/>
    <n v="99446"/>
    <x v="2"/>
    <n v="4"/>
    <n v="3"/>
    <n v="17"/>
    <n v="3"/>
    <d v="2012-03-07T00:00:00"/>
    <s v="Yes"/>
    <x v="1"/>
    <n v="2"/>
    <x v="2"/>
    <x v="1"/>
    <x v="1"/>
  </r>
  <r>
    <s v="REL04465"/>
    <s v="Female"/>
    <n v="48"/>
    <s v="MBA"/>
    <s v="Married"/>
    <x v="7"/>
    <s v="Sales Executive"/>
    <x v="0"/>
    <x v="4"/>
    <s v="North"/>
    <n v="3"/>
    <n v="50932"/>
    <x v="0"/>
    <n v="3"/>
    <n v="1"/>
    <n v="75"/>
    <n v="1"/>
    <d v="2020-12-28T00:00:00"/>
    <s v="No"/>
    <x v="0"/>
    <n v="3"/>
    <x v="0"/>
    <x v="0"/>
    <x v="0"/>
  </r>
  <r>
    <s v="REL04466"/>
    <s v="Female"/>
    <n v="37"/>
    <s v="Post Graduate"/>
    <s v="Married"/>
    <x v="2"/>
    <s v="Logistics Coordinator"/>
    <x v="3"/>
    <x v="3"/>
    <s v="West"/>
    <n v="12"/>
    <n v="75459"/>
    <x v="0"/>
    <n v="1"/>
    <n v="1"/>
    <n v="40"/>
    <n v="2"/>
    <d v="2011-11-01T00:00:00"/>
    <s v="No"/>
    <x v="0"/>
    <n v="3"/>
    <x v="2"/>
    <x v="0"/>
    <x v="0"/>
  </r>
  <r>
    <s v="REL04467"/>
    <s v="Male"/>
    <n v="54"/>
    <s v="HSC"/>
    <s v="Divorced"/>
    <x v="6"/>
    <s v="Finance Analyst"/>
    <x v="0"/>
    <x v="7"/>
    <s v="East"/>
    <n v="3"/>
    <n v="60742"/>
    <x v="1"/>
    <n v="1"/>
    <n v="3"/>
    <n v="69"/>
    <n v="3"/>
    <d v="2020-03-25T00:00:00"/>
    <s v="Yes"/>
    <x v="0"/>
    <n v="1"/>
    <x v="0"/>
    <x v="1"/>
    <x v="1"/>
  </r>
  <r>
    <s v="REL04468"/>
    <s v="Female"/>
    <n v="48"/>
    <s v="Graduate"/>
    <s v="Divorced"/>
    <x v="1"/>
    <s v="Logistics Coordinator"/>
    <x v="1"/>
    <x v="6"/>
    <s v="South"/>
    <n v="3"/>
    <n v="57000"/>
    <x v="3"/>
    <n v="4"/>
    <n v="4"/>
    <n v="71"/>
    <n v="0"/>
    <d v="2020-03-03T00:00:00"/>
    <s v="Yes"/>
    <x v="0"/>
    <n v="4"/>
    <x v="0"/>
    <x v="1"/>
    <x v="1"/>
  </r>
  <r>
    <s v="REL04469"/>
    <s v="Male"/>
    <n v="31"/>
    <s v="BTech"/>
    <s v="Divorced"/>
    <x v="4"/>
    <s v="Logistics Coordinator"/>
    <x v="4"/>
    <x v="2"/>
    <s v="West"/>
    <n v="5"/>
    <n v="46702"/>
    <x v="3"/>
    <n v="2"/>
    <n v="4"/>
    <n v="35"/>
    <n v="1"/>
    <d v="2018-01-29T00:00:00"/>
    <s v="No"/>
    <x v="2"/>
    <n v="4"/>
    <x v="0"/>
    <x v="2"/>
    <x v="1"/>
  </r>
  <r>
    <s v="REL04470"/>
    <s v="Male"/>
    <n v="24"/>
    <s v="BTech"/>
    <s v="Married"/>
    <x v="0"/>
    <s v="Store Manager"/>
    <x v="2"/>
    <x v="6"/>
    <s v="South"/>
    <n v="10"/>
    <n v="97394"/>
    <x v="1"/>
    <n v="4"/>
    <n v="2"/>
    <n v="78"/>
    <n v="3"/>
    <d v="2013-04-30T00:00:00"/>
    <s v="Yes"/>
    <x v="1"/>
    <n v="1"/>
    <x v="1"/>
    <x v="1"/>
    <x v="2"/>
  </r>
  <r>
    <s v="REL04471"/>
    <s v="Female"/>
    <n v="51"/>
    <s v="Graduate"/>
    <s v="Single"/>
    <x v="7"/>
    <s v="Logistics Coordinator"/>
    <x v="0"/>
    <x v="2"/>
    <s v="West"/>
    <n v="10"/>
    <n v="67267"/>
    <x v="3"/>
    <n v="2"/>
    <n v="4"/>
    <n v="48"/>
    <n v="0"/>
    <d v="2013-05-21T00:00:00"/>
    <s v="No"/>
    <x v="0"/>
    <n v="4"/>
    <x v="1"/>
    <x v="2"/>
    <x v="1"/>
  </r>
  <r>
    <s v="REL04472"/>
    <s v="Male"/>
    <n v="22"/>
    <s v="BTech"/>
    <s v="Divorced"/>
    <x v="1"/>
    <s v="Finance Analyst"/>
    <x v="1"/>
    <x v="8"/>
    <s v="South"/>
    <n v="10"/>
    <n v="80461"/>
    <x v="0"/>
    <n v="2"/>
    <n v="2"/>
    <n v="58"/>
    <n v="0"/>
    <d v="2013-07-12T00:00:00"/>
    <s v="Yes"/>
    <x v="1"/>
    <n v="3"/>
    <x v="1"/>
    <x v="1"/>
    <x v="0"/>
  </r>
  <r>
    <s v="REL04473"/>
    <s v="Male"/>
    <n v="53"/>
    <s v="Graduate"/>
    <s v="Single"/>
    <x v="4"/>
    <s v="Sales Executive"/>
    <x v="3"/>
    <x v="0"/>
    <s v="North"/>
    <n v="15"/>
    <n v="71483"/>
    <x v="1"/>
    <n v="2"/>
    <n v="2"/>
    <n v="47"/>
    <n v="0"/>
    <d v="2008-02-14T00:00:00"/>
    <s v="Yes"/>
    <x v="0"/>
    <n v="1"/>
    <x v="2"/>
    <x v="1"/>
    <x v="1"/>
  </r>
  <r>
    <s v="REL04474"/>
    <s v="Female"/>
    <n v="50"/>
    <s v="MBA"/>
    <s v="Married"/>
    <x v="6"/>
    <s v="Marketing Executive"/>
    <x v="4"/>
    <x v="5"/>
    <s v="South"/>
    <n v="15"/>
    <n v="84717"/>
    <x v="2"/>
    <n v="2"/>
    <n v="3"/>
    <n v="12"/>
    <n v="0"/>
    <d v="2008-07-12T00:00:00"/>
    <s v="No"/>
    <x v="1"/>
    <n v="2"/>
    <x v="2"/>
    <x v="0"/>
    <x v="1"/>
  </r>
  <r>
    <s v="REL04475"/>
    <s v="Female"/>
    <n v="45"/>
    <s v="BTech"/>
    <s v="Married"/>
    <x v="3"/>
    <s v="Operations Head"/>
    <x v="3"/>
    <x v="4"/>
    <s v="North"/>
    <n v="9"/>
    <n v="120071"/>
    <x v="2"/>
    <n v="4"/>
    <n v="2"/>
    <n v="31"/>
    <n v="3"/>
    <d v="2014-04-28T00:00:00"/>
    <s v="No"/>
    <x v="1"/>
    <n v="2"/>
    <x v="1"/>
    <x v="0"/>
    <x v="1"/>
  </r>
  <r>
    <s v="REL04476"/>
    <s v="Female"/>
    <n v="52"/>
    <s v="BTech"/>
    <s v="Divorced"/>
    <x v="2"/>
    <s v="Logistics Coordinator"/>
    <x v="1"/>
    <x v="3"/>
    <s v="West"/>
    <n v="5"/>
    <n v="60181"/>
    <x v="0"/>
    <n v="4"/>
    <n v="2"/>
    <n v="41"/>
    <n v="3"/>
    <d v="2018-02-23T00:00:00"/>
    <s v="No"/>
    <x v="0"/>
    <n v="3"/>
    <x v="0"/>
    <x v="0"/>
    <x v="0"/>
  </r>
  <r>
    <s v="REL04477"/>
    <s v="Female"/>
    <n v="29"/>
    <s v="MBA"/>
    <s v="Married"/>
    <x v="2"/>
    <s v="Sales Executive"/>
    <x v="1"/>
    <x v="0"/>
    <s v="North"/>
    <n v="6"/>
    <n v="57197"/>
    <x v="0"/>
    <n v="1"/>
    <n v="1"/>
    <n v="69"/>
    <n v="0"/>
    <d v="2017-03-26T00:00:00"/>
    <s v="Yes"/>
    <x v="0"/>
    <n v="3"/>
    <x v="1"/>
    <x v="1"/>
    <x v="0"/>
  </r>
  <r>
    <s v="REL04478"/>
    <s v="Male"/>
    <n v="49"/>
    <s v="BTech"/>
    <s v="Married"/>
    <x v="7"/>
    <s v="Customer Service Rep"/>
    <x v="3"/>
    <x v="5"/>
    <s v="South"/>
    <n v="4"/>
    <n v="38343"/>
    <x v="3"/>
    <n v="3"/>
    <n v="2"/>
    <n v="79"/>
    <n v="2"/>
    <d v="2019-10-16T00:00:00"/>
    <s v="No"/>
    <x v="2"/>
    <n v="4"/>
    <x v="0"/>
    <x v="2"/>
    <x v="1"/>
  </r>
  <r>
    <s v="REL04479"/>
    <s v="Female"/>
    <n v="44"/>
    <s v="Post Graduate"/>
    <s v="Divorced"/>
    <x v="5"/>
    <s v="Finance Analyst"/>
    <x v="0"/>
    <x v="7"/>
    <s v="East"/>
    <n v="11"/>
    <n v="76375"/>
    <x v="0"/>
    <n v="4"/>
    <n v="2"/>
    <n v="14"/>
    <n v="0"/>
    <d v="2012-08-17T00:00:00"/>
    <s v="No"/>
    <x v="0"/>
    <n v="3"/>
    <x v="2"/>
    <x v="0"/>
    <x v="0"/>
  </r>
  <r>
    <s v="REL04480"/>
    <s v="Female"/>
    <n v="48"/>
    <s v="HSC"/>
    <s v="Single"/>
    <x v="3"/>
    <s v="Finance Analyst"/>
    <x v="1"/>
    <x v="8"/>
    <s v="South"/>
    <n v="4"/>
    <n v="78000"/>
    <x v="0"/>
    <n v="4"/>
    <n v="4"/>
    <n v="13"/>
    <n v="0"/>
    <d v="2019-06-29T00:00:00"/>
    <s v="No"/>
    <x v="0"/>
    <n v="3"/>
    <x v="0"/>
    <x v="0"/>
    <x v="0"/>
  </r>
  <r>
    <s v="REL04481"/>
    <s v="Female"/>
    <n v="23"/>
    <s v="Post Graduate"/>
    <s v="Married"/>
    <x v="6"/>
    <s v="Logistics Coordinator"/>
    <x v="0"/>
    <x v="0"/>
    <s v="North"/>
    <n v="9"/>
    <n v="64594"/>
    <x v="2"/>
    <n v="3"/>
    <n v="3"/>
    <n v="80"/>
    <n v="0"/>
    <d v="2014-11-23T00:00:00"/>
    <s v="Yes"/>
    <x v="0"/>
    <n v="2"/>
    <x v="1"/>
    <x v="1"/>
    <x v="1"/>
  </r>
  <r>
    <s v="REL04482"/>
    <s v="Female"/>
    <n v="33"/>
    <s v="Graduate"/>
    <s v="Single"/>
    <x v="0"/>
    <s v="Store Manager"/>
    <x v="4"/>
    <x v="1"/>
    <s v="North"/>
    <n v="7"/>
    <n v="100648"/>
    <x v="1"/>
    <n v="4"/>
    <n v="1"/>
    <n v="15"/>
    <n v="2"/>
    <d v="2016-04-30T00:00:00"/>
    <s v="No"/>
    <x v="1"/>
    <n v="1"/>
    <x v="1"/>
    <x v="0"/>
    <x v="2"/>
  </r>
  <r>
    <s v="REL04483"/>
    <s v="Female"/>
    <n v="29"/>
    <s v="Graduate"/>
    <s v="Divorced"/>
    <x v="0"/>
    <s v="Marketing Executive"/>
    <x v="4"/>
    <x v="5"/>
    <s v="South"/>
    <n v="4"/>
    <n v="64188"/>
    <x v="1"/>
    <n v="4"/>
    <n v="4"/>
    <n v="31"/>
    <n v="0"/>
    <d v="2019-08-31T00:00:00"/>
    <s v="Yes"/>
    <x v="0"/>
    <n v="1"/>
    <x v="0"/>
    <x v="1"/>
    <x v="1"/>
  </r>
  <r>
    <s v="REL04484"/>
    <s v="Male"/>
    <n v="48"/>
    <s v="BTech"/>
    <s v="Single"/>
    <x v="2"/>
    <s v="Store Manager"/>
    <x v="3"/>
    <x v="4"/>
    <s v="North"/>
    <n v="11"/>
    <n v="100608"/>
    <x v="0"/>
    <n v="1"/>
    <n v="3"/>
    <n v="71"/>
    <n v="1"/>
    <d v="2012-07-18T00:00:00"/>
    <s v="No"/>
    <x v="1"/>
    <n v="3"/>
    <x v="2"/>
    <x v="0"/>
    <x v="0"/>
  </r>
  <r>
    <s v="REL04485"/>
    <s v="Female"/>
    <n v="54"/>
    <s v="MBA"/>
    <s v="Single"/>
    <x v="5"/>
    <s v="Store Manager"/>
    <x v="2"/>
    <x v="0"/>
    <s v="North"/>
    <n v="8"/>
    <n v="91668"/>
    <x v="2"/>
    <n v="4"/>
    <n v="1"/>
    <n v="33"/>
    <n v="0"/>
    <d v="2015-09-19T00:00:00"/>
    <s v="No"/>
    <x v="1"/>
    <n v="2"/>
    <x v="1"/>
    <x v="0"/>
    <x v="1"/>
  </r>
  <r>
    <s v="REL04486"/>
    <s v="Male"/>
    <n v="25"/>
    <s v="HSC"/>
    <s v="Single"/>
    <x v="5"/>
    <s v="Sales Executive"/>
    <x v="0"/>
    <x v="3"/>
    <s v="West"/>
    <n v="1"/>
    <n v="49811"/>
    <x v="2"/>
    <n v="3"/>
    <n v="2"/>
    <n v="38"/>
    <n v="1"/>
    <d v="2022-04-06T00:00:00"/>
    <s v="No"/>
    <x v="2"/>
    <n v="2"/>
    <x v="3"/>
    <x v="0"/>
    <x v="1"/>
  </r>
  <r>
    <s v="REL04487"/>
    <s v="Male"/>
    <n v="33"/>
    <s v="Graduate"/>
    <s v="Single"/>
    <x v="5"/>
    <s v="Marketing Executive"/>
    <x v="0"/>
    <x v="7"/>
    <s v="East"/>
    <n v="11"/>
    <n v="70443"/>
    <x v="0"/>
    <n v="3"/>
    <n v="2"/>
    <n v="10"/>
    <n v="1"/>
    <d v="2012-10-08T00:00:00"/>
    <s v="No"/>
    <x v="0"/>
    <n v="3"/>
    <x v="2"/>
    <x v="0"/>
    <x v="0"/>
  </r>
  <r>
    <s v="REL04488"/>
    <s v="Male"/>
    <n v="53"/>
    <s v="MBA"/>
    <s v="Divorced"/>
    <x v="1"/>
    <s v="Logistics Coordinator"/>
    <x v="2"/>
    <x v="7"/>
    <s v="East"/>
    <n v="4"/>
    <n v="45392"/>
    <x v="3"/>
    <n v="1"/>
    <n v="3"/>
    <n v="71"/>
    <n v="2"/>
    <d v="2019-10-25T00:00:00"/>
    <s v="No"/>
    <x v="2"/>
    <n v="4"/>
    <x v="0"/>
    <x v="2"/>
    <x v="1"/>
  </r>
  <r>
    <s v="REL04489"/>
    <s v="Male"/>
    <n v="53"/>
    <s v="MBA"/>
    <s v="Married"/>
    <x v="7"/>
    <s v="Sales Executive"/>
    <x v="2"/>
    <x v="8"/>
    <s v="South"/>
    <n v="10"/>
    <n v="53965"/>
    <x v="3"/>
    <n v="4"/>
    <n v="3"/>
    <n v="53"/>
    <n v="1"/>
    <d v="2013-05-21T00:00:00"/>
    <s v="Yes"/>
    <x v="0"/>
    <n v="4"/>
    <x v="1"/>
    <x v="1"/>
    <x v="1"/>
  </r>
  <r>
    <s v="REL04490"/>
    <s v="Female"/>
    <n v="24"/>
    <s v="Graduate"/>
    <s v="Divorced"/>
    <x v="4"/>
    <s v="Finance Analyst"/>
    <x v="2"/>
    <x v="5"/>
    <s v="South"/>
    <n v="6"/>
    <n v="78788"/>
    <x v="0"/>
    <n v="1"/>
    <n v="1"/>
    <n v="35"/>
    <n v="1"/>
    <d v="2017-09-12T00:00:00"/>
    <s v="No"/>
    <x v="0"/>
    <n v="3"/>
    <x v="1"/>
    <x v="0"/>
    <x v="0"/>
  </r>
  <r>
    <s v="REL04491"/>
    <s v="Female"/>
    <n v="25"/>
    <s v="Post Graduate"/>
    <s v="Single"/>
    <x v="2"/>
    <s v="Finance Analyst"/>
    <x v="2"/>
    <x v="2"/>
    <s v="West"/>
    <n v="4"/>
    <n v="68688"/>
    <x v="1"/>
    <n v="3"/>
    <n v="1"/>
    <n v="24"/>
    <n v="3"/>
    <d v="2019-12-22T00:00:00"/>
    <s v="Yes"/>
    <x v="0"/>
    <n v="1"/>
    <x v="0"/>
    <x v="1"/>
    <x v="1"/>
  </r>
  <r>
    <s v="REL04492"/>
    <s v="Male"/>
    <n v="44"/>
    <s v="Post Graduate"/>
    <s v="Single"/>
    <x v="7"/>
    <s v="Customer Service Rep"/>
    <x v="1"/>
    <x v="5"/>
    <s v="South"/>
    <n v="14"/>
    <n v="67778"/>
    <x v="2"/>
    <n v="2"/>
    <n v="3"/>
    <n v="26"/>
    <n v="3"/>
    <d v="2009-06-07T00:00:00"/>
    <s v="No"/>
    <x v="0"/>
    <n v="2"/>
    <x v="2"/>
    <x v="0"/>
    <x v="1"/>
  </r>
  <r>
    <s v="REL04493"/>
    <s v="Male"/>
    <n v="50"/>
    <s v="Post Graduate"/>
    <s v="Divorced"/>
    <x v="3"/>
    <s v="HR Manager"/>
    <x v="3"/>
    <x v="3"/>
    <s v="West"/>
    <n v="3"/>
    <n v="84154"/>
    <x v="0"/>
    <n v="4"/>
    <n v="1"/>
    <n v="26"/>
    <n v="1"/>
    <d v="2020-02-25T00:00:00"/>
    <s v="No"/>
    <x v="1"/>
    <n v="3"/>
    <x v="0"/>
    <x v="0"/>
    <x v="0"/>
  </r>
  <r>
    <s v="REL04494"/>
    <s v="Male"/>
    <n v="33"/>
    <s v="BTech"/>
    <s v="Single"/>
    <x v="4"/>
    <s v="Finance Analyst"/>
    <x v="4"/>
    <x v="4"/>
    <s v="North"/>
    <n v="10"/>
    <n v="80823"/>
    <x v="3"/>
    <n v="3"/>
    <n v="1"/>
    <n v="62"/>
    <n v="2"/>
    <d v="2013-11-29T00:00:00"/>
    <s v="Yes"/>
    <x v="1"/>
    <n v="4"/>
    <x v="1"/>
    <x v="1"/>
    <x v="0"/>
  </r>
  <r>
    <s v="REL04495"/>
    <s v="Male"/>
    <n v="50"/>
    <s v="Graduate"/>
    <s v="Single"/>
    <x v="7"/>
    <s v="Logistics Coordinator"/>
    <x v="1"/>
    <x v="2"/>
    <s v="West"/>
    <n v="11"/>
    <n v="65998"/>
    <x v="2"/>
    <n v="1"/>
    <n v="2"/>
    <n v="30"/>
    <n v="1"/>
    <d v="2012-02-28T00:00:00"/>
    <s v="No"/>
    <x v="0"/>
    <n v="2"/>
    <x v="2"/>
    <x v="0"/>
    <x v="1"/>
  </r>
  <r>
    <s v="REL04496"/>
    <s v="Female"/>
    <n v="35"/>
    <s v="Post Graduate"/>
    <s v="Single"/>
    <x v="4"/>
    <s v="HR Manager"/>
    <x v="0"/>
    <x v="1"/>
    <s v="North"/>
    <n v="12"/>
    <n v="92516"/>
    <x v="0"/>
    <n v="1"/>
    <n v="2"/>
    <n v="39"/>
    <n v="0"/>
    <d v="2011-04-01T00:00:00"/>
    <s v="No"/>
    <x v="1"/>
    <n v="3"/>
    <x v="2"/>
    <x v="0"/>
    <x v="0"/>
  </r>
  <r>
    <s v="REL04497"/>
    <s v="Male"/>
    <n v="30"/>
    <s v="BTech"/>
    <s v="Single"/>
    <x v="0"/>
    <s v="Customer Service Rep"/>
    <x v="0"/>
    <x v="3"/>
    <s v="West"/>
    <n v="10"/>
    <n v="57300"/>
    <x v="0"/>
    <n v="1"/>
    <n v="3"/>
    <n v="74"/>
    <n v="3"/>
    <d v="2013-09-28T00:00:00"/>
    <s v="Yes"/>
    <x v="0"/>
    <n v="3"/>
    <x v="1"/>
    <x v="1"/>
    <x v="0"/>
  </r>
  <r>
    <s v="REL04498"/>
    <s v="Male"/>
    <n v="33"/>
    <s v="HSC"/>
    <s v="Married"/>
    <x v="0"/>
    <s v="Finance Analyst"/>
    <x v="2"/>
    <x v="6"/>
    <s v="South"/>
    <n v="13"/>
    <n v="87650"/>
    <x v="3"/>
    <n v="4"/>
    <n v="2"/>
    <n v="20"/>
    <n v="3"/>
    <d v="2010-12-10T00:00:00"/>
    <s v="No"/>
    <x v="1"/>
    <n v="4"/>
    <x v="2"/>
    <x v="2"/>
    <x v="0"/>
  </r>
  <r>
    <s v="REL04499"/>
    <s v="Female"/>
    <n v="40"/>
    <s v="HSC"/>
    <s v="Single"/>
    <x v="6"/>
    <s v="Sales Executive"/>
    <x v="2"/>
    <x v="3"/>
    <s v="West"/>
    <n v="14"/>
    <n v="66705"/>
    <x v="0"/>
    <n v="4"/>
    <n v="2"/>
    <n v="10"/>
    <n v="2"/>
    <d v="2009-04-10T00:00:00"/>
    <s v="No"/>
    <x v="0"/>
    <n v="3"/>
    <x v="2"/>
    <x v="0"/>
    <x v="0"/>
  </r>
  <r>
    <s v="REL04500"/>
    <s v="Female"/>
    <n v="46"/>
    <s v="Post Graduate"/>
    <s v="Divorced"/>
    <x v="5"/>
    <s v="Finance Analyst"/>
    <x v="1"/>
    <x v="5"/>
    <s v="South"/>
    <n v="3"/>
    <n v="69554"/>
    <x v="1"/>
    <n v="2"/>
    <n v="3"/>
    <n v="27"/>
    <n v="3"/>
    <d v="2020-12-15T00:00:00"/>
    <s v="Yes"/>
    <x v="0"/>
    <n v="1"/>
    <x v="0"/>
    <x v="1"/>
    <x v="1"/>
  </r>
  <r>
    <s v="REL04501"/>
    <s v="Male"/>
    <n v="39"/>
    <s v="Post Graduate"/>
    <s v="Single"/>
    <x v="7"/>
    <s v="Operations Head"/>
    <x v="3"/>
    <x v="5"/>
    <s v="South"/>
    <n v="13"/>
    <n v="129000"/>
    <x v="1"/>
    <n v="2"/>
    <n v="4"/>
    <n v="56"/>
    <n v="3"/>
    <d v="2010-09-08T00:00:00"/>
    <s v="Yes"/>
    <x v="1"/>
    <n v="1"/>
    <x v="2"/>
    <x v="1"/>
    <x v="2"/>
  </r>
  <r>
    <s v="REL04502"/>
    <s v="Male"/>
    <n v="55"/>
    <s v="BTech"/>
    <s v="Married"/>
    <x v="4"/>
    <s v="Sales Executive"/>
    <x v="4"/>
    <x v="4"/>
    <s v="North"/>
    <n v="4"/>
    <n v="47741"/>
    <x v="2"/>
    <n v="3"/>
    <n v="2"/>
    <n v="57"/>
    <n v="1"/>
    <d v="2019-11-11T00:00:00"/>
    <s v="Yes"/>
    <x v="2"/>
    <n v="2"/>
    <x v="0"/>
    <x v="1"/>
    <x v="1"/>
  </r>
  <r>
    <s v="REL04503"/>
    <s v="Female"/>
    <n v="48"/>
    <s v="Post Graduate"/>
    <s v="Divorced"/>
    <x v="7"/>
    <s v="HR Manager"/>
    <x v="4"/>
    <x v="5"/>
    <s v="South"/>
    <n v="15"/>
    <n v="112553"/>
    <x v="2"/>
    <n v="1"/>
    <n v="2"/>
    <n v="79"/>
    <n v="2"/>
    <d v="2008-12-29T00:00:00"/>
    <s v="No"/>
    <x v="1"/>
    <n v="2"/>
    <x v="2"/>
    <x v="0"/>
    <x v="1"/>
  </r>
  <r>
    <s v="REL04504"/>
    <s v="Female"/>
    <n v="27"/>
    <s v="HSC"/>
    <s v="Married"/>
    <x v="2"/>
    <s v="Operations Head"/>
    <x v="2"/>
    <x v="6"/>
    <s v="South"/>
    <n v="1"/>
    <n v="89970"/>
    <x v="3"/>
    <n v="4"/>
    <n v="3"/>
    <n v="79"/>
    <n v="3"/>
    <d v="2022-08-18T00:00:00"/>
    <s v="No"/>
    <x v="1"/>
    <n v="4"/>
    <x v="3"/>
    <x v="2"/>
    <x v="0"/>
  </r>
  <r>
    <s v="REL04505"/>
    <s v="Female"/>
    <n v="24"/>
    <s v="BTech"/>
    <s v="Divorced"/>
    <x v="1"/>
    <s v="Finance Analyst"/>
    <x v="2"/>
    <x v="3"/>
    <s v="West"/>
    <n v="9"/>
    <n v="68489"/>
    <x v="3"/>
    <n v="3"/>
    <n v="2"/>
    <n v="39"/>
    <n v="2"/>
    <d v="2014-02-23T00:00:00"/>
    <s v="No"/>
    <x v="0"/>
    <n v="4"/>
    <x v="1"/>
    <x v="2"/>
    <x v="1"/>
  </r>
  <r>
    <s v="REL04506"/>
    <s v="Male"/>
    <n v="49"/>
    <s v="BTech"/>
    <s v="Single"/>
    <x v="4"/>
    <s v="Sales Executive"/>
    <x v="4"/>
    <x v="4"/>
    <s v="North"/>
    <n v="12"/>
    <n v="67494"/>
    <x v="0"/>
    <n v="2"/>
    <n v="3"/>
    <n v="59"/>
    <n v="1"/>
    <d v="2011-04-03T00:00:00"/>
    <s v="No"/>
    <x v="0"/>
    <n v="3"/>
    <x v="2"/>
    <x v="0"/>
    <x v="0"/>
  </r>
  <r>
    <s v="REL04507"/>
    <s v="Female"/>
    <n v="45"/>
    <s v="MBA"/>
    <s v="Single"/>
    <x v="3"/>
    <s v="Operations Head"/>
    <x v="2"/>
    <x v="2"/>
    <s v="West"/>
    <n v="11"/>
    <n v="121179"/>
    <x v="2"/>
    <n v="3"/>
    <n v="4"/>
    <n v="67"/>
    <n v="1"/>
    <d v="2012-05-29T00:00:00"/>
    <s v="No"/>
    <x v="1"/>
    <n v="2"/>
    <x v="2"/>
    <x v="0"/>
    <x v="1"/>
  </r>
  <r>
    <s v="REL04508"/>
    <s v="Female"/>
    <n v="51"/>
    <s v="BTech"/>
    <s v="Divorced"/>
    <x v="5"/>
    <s v="HR Manager"/>
    <x v="0"/>
    <x v="5"/>
    <s v="South"/>
    <n v="8"/>
    <n v="96118"/>
    <x v="3"/>
    <n v="2"/>
    <n v="4"/>
    <n v="15"/>
    <n v="2"/>
    <d v="2015-01-16T00:00:00"/>
    <s v="No"/>
    <x v="1"/>
    <n v="4"/>
    <x v="1"/>
    <x v="2"/>
    <x v="0"/>
  </r>
  <r>
    <s v="REL04509"/>
    <s v="Male"/>
    <n v="48"/>
    <s v="BTech"/>
    <s v="Married"/>
    <x v="4"/>
    <s v="Finance Analyst"/>
    <x v="0"/>
    <x v="4"/>
    <s v="North"/>
    <n v="2"/>
    <n v="61330"/>
    <x v="1"/>
    <n v="3"/>
    <n v="4"/>
    <n v="10"/>
    <n v="3"/>
    <d v="2021-06-10T00:00:00"/>
    <s v="Yes"/>
    <x v="0"/>
    <n v="1"/>
    <x v="3"/>
    <x v="1"/>
    <x v="1"/>
  </r>
  <r>
    <s v="REL04510"/>
    <s v="Female"/>
    <n v="25"/>
    <s v="Graduate"/>
    <s v="Divorced"/>
    <x v="4"/>
    <s v="HR Manager"/>
    <x v="4"/>
    <x v="9"/>
    <s v="West"/>
    <n v="11"/>
    <n v="99635"/>
    <x v="3"/>
    <n v="4"/>
    <n v="1"/>
    <n v="23"/>
    <n v="0"/>
    <d v="2012-10-17T00:00:00"/>
    <s v="Yes"/>
    <x v="1"/>
    <n v="4"/>
    <x v="2"/>
    <x v="1"/>
    <x v="0"/>
  </r>
  <r>
    <s v="REL04511"/>
    <s v="Female"/>
    <n v="54"/>
    <s v="Graduate"/>
    <s v="Single"/>
    <x v="4"/>
    <s v="HR Manager"/>
    <x v="1"/>
    <x v="2"/>
    <s v="West"/>
    <n v="15"/>
    <n v="101368"/>
    <x v="3"/>
    <n v="1"/>
    <n v="3"/>
    <n v="77"/>
    <n v="2"/>
    <d v="2008-07-06T00:00:00"/>
    <s v="No"/>
    <x v="1"/>
    <n v="4"/>
    <x v="2"/>
    <x v="2"/>
    <x v="0"/>
  </r>
  <r>
    <s v="REL04512"/>
    <s v="Male"/>
    <n v="31"/>
    <s v="BTech"/>
    <s v="Married"/>
    <x v="4"/>
    <s v="Sales Executive"/>
    <x v="3"/>
    <x v="1"/>
    <s v="North"/>
    <n v="5"/>
    <n v="42231"/>
    <x v="2"/>
    <n v="1"/>
    <n v="4"/>
    <n v="20"/>
    <n v="1"/>
    <d v="2018-08-14T00:00:00"/>
    <s v="No"/>
    <x v="2"/>
    <n v="2"/>
    <x v="0"/>
    <x v="0"/>
    <x v="1"/>
  </r>
  <r>
    <s v="REL04513"/>
    <s v="Female"/>
    <n v="49"/>
    <s v="MBA"/>
    <s v="Divorced"/>
    <x v="3"/>
    <s v="HR Manager"/>
    <x v="4"/>
    <x v="1"/>
    <s v="North"/>
    <n v="12"/>
    <n v="99251"/>
    <x v="1"/>
    <n v="2"/>
    <n v="2"/>
    <n v="62"/>
    <n v="3"/>
    <d v="2011-11-26T00:00:00"/>
    <s v="No"/>
    <x v="1"/>
    <n v="1"/>
    <x v="2"/>
    <x v="0"/>
    <x v="2"/>
  </r>
  <r>
    <s v="REL04514"/>
    <s v="Female"/>
    <n v="36"/>
    <s v="MBA"/>
    <s v="Divorced"/>
    <x v="6"/>
    <s v="Customer Service Rep"/>
    <x v="3"/>
    <x v="7"/>
    <s v="East"/>
    <n v="12"/>
    <n v="68162"/>
    <x v="1"/>
    <n v="4"/>
    <n v="3"/>
    <n v="52"/>
    <n v="3"/>
    <d v="2011-03-26T00:00:00"/>
    <s v="No"/>
    <x v="0"/>
    <n v="1"/>
    <x v="2"/>
    <x v="0"/>
    <x v="1"/>
  </r>
  <r>
    <s v="REL04515"/>
    <s v="Female"/>
    <n v="23"/>
    <s v="MBA"/>
    <s v="Single"/>
    <x v="2"/>
    <s v="HR Manager"/>
    <x v="1"/>
    <x v="0"/>
    <s v="North"/>
    <n v="12"/>
    <n v="98248"/>
    <x v="1"/>
    <n v="2"/>
    <n v="4"/>
    <n v="78"/>
    <n v="3"/>
    <d v="2011-04-08T00:00:00"/>
    <s v="Yes"/>
    <x v="1"/>
    <n v="1"/>
    <x v="2"/>
    <x v="1"/>
    <x v="2"/>
  </r>
  <r>
    <s v="REL04516"/>
    <s v="Male"/>
    <n v="36"/>
    <s v="MBA"/>
    <s v="Single"/>
    <x v="7"/>
    <s v="Finance Analyst"/>
    <x v="2"/>
    <x v="8"/>
    <s v="South"/>
    <n v="13"/>
    <n v="82936"/>
    <x v="1"/>
    <n v="3"/>
    <n v="2"/>
    <n v="61"/>
    <n v="2"/>
    <d v="2010-04-14T00:00:00"/>
    <s v="Yes"/>
    <x v="1"/>
    <n v="1"/>
    <x v="2"/>
    <x v="1"/>
    <x v="2"/>
  </r>
  <r>
    <s v="REL04517"/>
    <s v="Male"/>
    <n v="52"/>
    <s v="HSC"/>
    <s v="Divorced"/>
    <x v="7"/>
    <s v="HR Manager"/>
    <x v="3"/>
    <x v="3"/>
    <s v="West"/>
    <n v="1"/>
    <n v="84648"/>
    <x v="0"/>
    <n v="3"/>
    <n v="4"/>
    <n v="33"/>
    <n v="2"/>
    <d v="2022-01-02T00:00:00"/>
    <s v="No"/>
    <x v="1"/>
    <n v="3"/>
    <x v="3"/>
    <x v="0"/>
    <x v="0"/>
  </r>
  <r>
    <s v="REL04518"/>
    <s v="Male"/>
    <n v="40"/>
    <s v="Graduate"/>
    <s v="Married"/>
    <x v="1"/>
    <s v="Sales Executive"/>
    <x v="2"/>
    <x v="0"/>
    <s v="North"/>
    <n v="6"/>
    <n v="46227"/>
    <x v="2"/>
    <n v="2"/>
    <n v="1"/>
    <n v="54"/>
    <n v="1"/>
    <d v="2017-01-21T00:00:00"/>
    <s v="No"/>
    <x v="2"/>
    <n v="2"/>
    <x v="1"/>
    <x v="0"/>
    <x v="1"/>
  </r>
  <r>
    <s v="REL04519"/>
    <s v="Male"/>
    <n v="44"/>
    <s v="Graduate"/>
    <s v="Single"/>
    <x v="4"/>
    <s v="Marketing Executive"/>
    <x v="0"/>
    <x v="7"/>
    <s v="East"/>
    <n v="5"/>
    <n v="60025"/>
    <x v="3"/>
    <n v="4"/>
    <n v="2"/>
    <n v="14"/>
    <n v="2"/>
    <d v="2018-03-31T00:00:00"/>
    <s v="No"/>
    <x v="0"/>
    <n v="4"/>
    <x v="0"/>
    <x v="2"/>
    <x v="1"/>
  </r>
  <r>
    <s v="REL04520"/>
    <s v="Male"/>
    <n v="34"/>
    <s v="HSC"/>
    <s v="Divorced"/>
    <x v="0"/>
    <s v="Sales Executive"/>
    <x v="2"/>
    <x v="0"/>
    <s v="North"/>
    <n v="12"/>
    <n v="65790"/>
    <x v="2"/>
    <n v="3"/>
    <n v="2"/>
    <n v="76"/>
    <n v="1"/>
    <d v="2011-08-02T00:00:00"/>
    <s v="No"/>
    <x v="0"/>
    <n v="2"/>
    <x v="2"/>
    <x v="0"/>
    <x v="1"/>
  </r>
  <r>
    <s v="REL04521"/>
    <s v="Male"/>
    <n v="39"/>
    <s v="BTech"/>
    <s v="Married"/>
    <x v="3"/>
    <s v="Store Manager"/>
    <x v="3"/>
    <x v="7"/>
    <s v="East"/>
    <n v="7"/>
    <n v="103616"/>
    <x v="3"/>
    <n v="4"/>
    <n v="3"/>
    <n v="28"/>
    <n v="1"/>
    <d v="2016-02-06T00:00:00"/>
    <s v="No"/>
    <x v="1"/>
    <n v="4"/>
    <x v="1"/>
    <x v="2"/>
    <x v="0"/>
  </r>
  <r>
    <s v="REL04522"/>
    <s v="Male"/>
    <n v="40"/>
    <s v="Graduate"/>
    <s v="Married"/>
    <x v="2"/>
    <s v="HR Manager"/>
    <x v="3"/>
    <x v="2"/>
    <s v="West"/>
    <n v="4"/>
    <n v="83239"/>
    <x v="3"/>
    <n v="4"/>
    <n v="2"/>
    <n v="20"/>
    <n v="0"/>
    <d v="2019-10-01T00:00:00"/>
    <s v="No"/>
    <x v="1"/>
    <n v="4"/>
    <x v="0"/>
    <x v="2"/>
    <x v="0"/>
  </r>
  <r>
    <s v="REL04523"/>
    <s v="Male"/>
    <n v="23"/>
    <s v="Graduate"/>
    <s v="Single"/>
    <x v="0"/>
    <s v="Operations Head"/>
    <x v="4"/>
    <x v="9"/>
    <s v="West"/>
    <n v="3"/>
    <n v="101296"/>
    <x v="2"/>
    <n v="4"/>
    <n v="1"/>
    <n v="71"/>
    <n v="1"/>
    <d v="2020-06-14T00:00:00"/>
    <s v="No"/>
    <x v="1"/>
    <n v="2"/>
    <x v="0"/>
    <x v="0"/>
    <x v="1"/>
  </r>
  <r>
    <s v="REL04524"/>
    <s v="Male"/>
    <n v="44"/>
    <s v="Post Graduate"/>
    <s v="Single"/>
    <x v="4"/>
    <s v="Store Manager"/>
    <x v="4"/>
    <x v="3"/>
    <s v="West"/>
    <n v="8"/>
    <n v="109840"/>
    <x v="0"/>
    <n v="1"/>
    <n v="4"/>
    <n v="25"/>
    <n v="3"/>
    <d v="2015-09-25T00:00:00"/>
    <s v="No"/>
    <x v="1"/>
    <n v="3"/>
    <x v="1"/>
    <x v="0"/>
    <x v="0"/>
  </r>
  <r>
    <s v="REL04525"/>
    <s v="Male"/>
    <n v="49"/>
    <s v="BTech"/>
    <s v="Divorced"/>
    <x v="6"/>
    <s v="Logistics Coordinator"/>
    <x v="2"/>
    <x v="1"/>
    <s v="North"/>
    <n v="15"/>
    <n v="67964"/>
    <x v="2"/>
    <n v="4"/>
    <n v="3"/>
    <n v="59"/>
    <n v="2"/>
    <d v="2008-06-10T00:00:00"/>
    <s v="No"/>
    <x v="0"/>
    <n v="2"/>
    <x v="2"/>
    <x v="0"/>
    <x v="1"/>
  </r>
  <r>
    <s v="REL04526"/>
    <s v="Female"/>
    <n v="36"/>
    <s v="MBA"/>
    <s v="Divorced"/>
    <x v="4"/>
    <s v="Logistics Coordinator"/>
    <x v="0"/>
    <x v="3"/>
    <s v="West"/>
    <n v="10"/>
    <n v="55172"/>
    <x v="1"/>
    <n v="4"/>
    <n v="3"/>
    <n v="31"/>
    <n v="0"/>
    <d v="2013-04-13T00:00:00"/>
    <s v="Yes"/>
    <x v="0"/>
    <n v="1"/>
    <x v="1"/>
    <x v="1"/>
    <x v="1"/>
  </r>
  <r>
    <s v="REL04527"/>
    <s v="Female"/>
    <n v="34"/>
    <s v="Graduate"/>
    <s v="Single"/>
    <x v="7"/>
    <s v="Marketing Executive"/>
    <x v="4"/>
    <x v="1"/>
    <s v="North"/>
    <n v="14"/>
    <n v="81462"/>
    <x v="3"/>
    <n v="2"/>
    <n v="1"/>
    <n v="21"/>
    <n v="1"/>
    <d v="2009-07-09T00:00:00"/>
    <s v="No"/>
    <x v="1"/>
    <n v="4"/>
    <x v="2"/>
    <x v="2"/>
    <x v="0"/>
  </r>
  <r>
    <s v="REL04528"/>
    <s v="Male"/>
    <n v="39"/>
    <s v="BTech"/>
    <s v="Married"/>
    <x v="0"/>
    <s v="Operations Head"/>
    <x v="3"/>
    <x v="9"/>
    <s v="West"/>
    <n v="6"/>
    <n v="112732"/>
    <x v="2"/>
    <n v="1"/>
    <n v="1"/>
    <n v="40"/>
    <n v="0"/>
    <d v="2017-09-20T00:00:00"/>
    <s v="No"/>
    <x v="1"/>
    <n v="2"/>
    <x v="1"/>
    <x v="0"/>
    <x v="1"/>
  </r>
  <r>
    <s v="REL04529"/>
    <s v="Male"/>
    <n v="51"/>
    <s v="MBA"/>
    <s v="Married"/>
    <x v="1"/>
    <s v="Sales Executive"/>
    <x v="3"/>
    <x v="5"/>
    <s v="South"/>
    <n v="7"/>
    <n v="60822"/>
    <x v="3"/>
    <n v="1"/>
    <n v="4"/>
    <n v="42"/>
    <n v="2"/>
    <d v="2017-01-02T00:00:00"/>
    <s v="No"/>
    <x v="0"/>
    <n v="4"/>
    <x v="1"/>
    <x v="2"/>
    <x v="1"/>
  </r>
  <r>
    <s v="REL04530"/>
    <s v="Male"/>
    <n v="46"/>
    <s v="BTech"/>
    <s v="Divorced"/>
    <x v="1"/>
    <s v="Finance Analyst"/>
    <x v="4"/>
    <x v="3"/>
    <s v="West"/>
    <n v="8"/>
    <n v="79948"/>
    <x v="2"/>
    <n v="2"/>
    <n v="4"/>
    <n v="12"/>
    <n v="0"/>
    <d v="2015-08-08T00:00:00"/>
    <s v="Yes"/>
    <x v="0"/>
    <n v="2"/>
    <x v="1"/>
    <x v="1"/>
    <x v="1"/>
  </r>
  <r>
    <s v="REL04531"/>
    <s v="Female"/>
    <n v="28"/>
    <s v="MBA"/>
    <s v="Married"/>
    <x v="4"/>
    <s v="Customer Service Rep"/>
    <x v="2"/>
    <x v="7"/>
    <s v="East"/>
    <n v="4"/>
    <n v="49007"/>
    <x v="1"/>
    <n v="3"/>
    <n v="3"/>
    <n v="47"/>
    <n v="0"/>
    <d v="2019-03-23T00:00:00"/>
    <s v="Yes"/>
    <x v="2"/>
    <n v="1"/>
    <x v="0"/>
    <x v="1"/>
    <x v="1"/>
  </r>
  <r>
    <s v="REL04532"/>
    <s v="Female"/>
    <n v="36"/>
    <s v="MBA"/>
    <s v="Single"/>
    <x v="3"/>
    <s v="Marketing Executive"/>
    <x v="0"/>
    <x v="5"/>
    <s v="South"/>
    <n v="12"/>
    <n v="75514"/>
    <x v="0"/>
    <n v="2"/>
    <n v="1"/>
    <n v="59"/>
    <n v="0"/>
    <d v="2011-10-22T00:00:00"/>
    <s v="No"/>
    <x v="0"/>
    <n v="3"/>
    <x v="2"/>
    <x v="0"/>
    <x v="0"/>
  </r>
  <r>
    <s v="REL04533"/>
    <s v="Male"/>
    <n v="47"/>
    <s v="Post Graduate"/>
    <s v="Single"/>
    <x v="7"/>
    <s v="Marketing Executive"/>
    <x v="1"/>
    <x v="9"/>
    <s v="West"/>
    <n v="5"/>
    <n v="67507"/>
    <x v="3"/>
    <n v="1"/>
    <n v="3"/>
    <n v="55"/>
    <n v="0"/>
    <d v="2018-12-06T00:00:00"/>
    <s v="Yes"/>
    <x v="0"/>
    <n v="4"/>
    <x v="0"/>
    <x v="1"/>
    <x v="1"/>
  </r>
  <r>
    <s v="REL04534"/>
    <s v="Female"/>
    <n v="29"/>
    <s v="MBA"/>
    <s v="Divorced"/>
    <x v="6"/>
    <s v="Operations Head"/>
    <x v="4"/>
    <x v="9"/>
    <s v="West"/>
    <n v="1"/>
    <n v="103863"/>
    <x v="2"/>
    <n v="1"/>
    <n v="4"/>
    <n v="40"/>
    <n v="1"/>
    <d v="2022-04-17T00:00:00"/>
    <s v="No"/>
    <x v="1"/>
    <n v="2"/>
    <x v="3"/>
    <x v="0"/>
    <x v="1"/>
  </r>
  <r>
    <s v="REL04535"/>
    <s v="Male"/>
    <n v="29"/>
    <s v="HSC"/>
    <s v="Divorced"/>
    <x v="3"/>
    <s v="HR Manager"/>
    <x v="4"/>
    <x v="1"/>
    <s v="North"/>
    <n v="10"/>
    <n v="86747"/>
    <x v="3"/>
    <n v="2"/>
    <n v="1"/>
    <n v="58"/>
    <n v="2"/>
    <d v="2013-02-19T00:00:00"/>
    <s v="Yes"/>
    <x v="1"/>
    <n v="4"/>
    <x v="1"/>
    <x v="1"/>
    <x v="0"/>
  </r>
  <r>
    <s v="REL04536"/>
    <s v="Male"/>
    <n v="48"/>
    <s v="Graduate"/>
    <s v="Single"/>
    <x v="4"/>
    <s v="Marketing Executive"/>
    <x v="3"/>
    <x v="3"/>
    <s v="West"/>
    <n v="10"/>
    <n v="72614"/>
    <x v="0"/>
    <n v="4"/>
    <n v="1"/>
    <n v="38"/>
    <n v="1"/>
    <d v="2013-06-17T00:00:00"/>
    <s v="No"/>
    <x v="0"/>
    <n v="3"/>
    <x v="1"/>
    <x v="0"/>
    <x v="0"/>
  </r>
  <r>
    <s v="REL04537"/>
    <s v="Male"/>
    <n v="51"/>
    <s v="HSC"/>
    <s v="Married"/>
    <x v="3"/>
    <s v="HR Manager"/>
    <x v="2"/>
    <x v="1"/>
    <s v="North"/>
    <n v="9"/>
    <n v="88987"/>
    <x v="0"/>
    <n v="4"/>
    <n v="2"/>
    <n v="69"/>
    <n v="0"/>
    <d v="2014-06-26T00:00:00"/>
    <s v="No"/>
    <x v="1"/>
    <n v="3"/>
    <x v="1"/>
    <x v="0"/>
    <x v="0"/>
  </r>
  <r>
    <s v="REL04538"/>
    <s v="Male"/>
    <n v="24"/>
    <s v="MBA"/>
    <s v="Divorced"/>
    <x v="3"/>
    <s v="Sales Executive"/>
    <x v="0"/>
    <x v="7"/>
    <s v="East"/>
    <n v="11"/>
    <n v="69813"/>
    <x v="3"/>
    <n v="4"/>
    <n v="3"/>
    <n v="66"/>
    <n v="3"/>
    <d v="2012-05-21T00:00:00"/>
    <s v="No"/>
    <x v="0"/>
    <n v="4"/>
    <x v="2"/>
    <x v="2"/>
    <x v="1"/>
  </r>
  <r>
    <s v="REL04539"/>
    <s v="Male"/>
    <n v="53"/>
    <s v="Post Graduate"/>
    <s v="Single"/>
    <x v="7"/>
    <s v="Marketing Executive"/>
    <x v="3"/>
    <x v="2"/>
    <s v="West"/>
    <n v="2"/>
    <n v="44325"/>
    <x v="1"/>
    <n v="1"/>
    <n v="4"/>
    <n v="64"/>
    <n v="1"/>
    <d v="2021-08-24T00:00:00"/>
    <s v="No"/>
    <x v="2"/>
    <n v="1"/>
    <x v="3"/>
    <x v="3"/>
    <x v="1"/>
  </r>
  <r>
    <s v="REL04540"/>
    <s v="Female"/>
    <n v="51"/>
    <s v="Graduate"/>
    <s v="Married"/>
    <x v="5"/>
    <s v="Finance Analyst"/>
    <x v="3"/>
    <x v="6"/>
    <s v="South"/>
    <n v="6"/>
    <n v="72160"/>
    <x v="1"/>
    <n v="1"/>
    <n v="4"/>
    <n v="55"/>
    <n v="0"/>
    <d v="2017-08-31T00:00:00"/>
    <s v="No"/>
    <x v="0"/>
    <n v="1"/>
    <x v="1"/>
    <x v="0"/>
    <x v="1"/>
  </r>
  <r>
    <s v="REL04541"/>
    <s v="Male"/>
    <n v="27"/>
    <s v="HSC"/>
    <s v="Single"/>
    <x v="1"/>
    <s v="Operations Head"/>
    <x v="1"/>
    <x v="3"/>
    <s v="West"/>
    <n v="13"/>
    <n v="112834"/>
    <x v="3"/>
    <n v="1"/>
    <n v="3"/>
    <n v="10"/>
    <n v="0"/>
    <d v="2010-09-22T00:00:00"/>
    <s v="No"/>
    <x v="1"/>
    <n v="4"/>
    <x v="2"/>
    <x v="2"/>
    <x v="0"/>
  </r>
  <r>
    <s v="REL04542"/>
    <s v="Female"/>
    <n v="43"/>
    <s v="MBA"/>
    <s v="Single"/>
    <x v="1"/>
    <s v="Customer Service Rep"/>
    <x v="0"/>
    <x v="7"/>
    <s v="East"/>
    <n v="5"/>
    <n v="53177"/>
    <x v="0"/>
    <n v="3"/>
    <n v="1"/>
    <n v="66"/>
    <n v="2"/>
    <d v="2018-09-30T00:00:00"/>
    <s v="No"/>
    <x v="0"/>
    <n v="3"/>
    <x v="0"/>
    <x v="0"/>
    <x v="0"/>
  </r>
  <r>
    <s v="REL04543"/>
    <s v="Male"/>
    <n v="46"/>
    <s v="BTech"/>
    <s v="Married"/>
    <x v="7"/>
    <s v="Marketing Executive"/>
    <x v="3"/>
    <x v="5"/>
    <s v="South"/>
    <n v="2"/>
    <n v="50124"/>
    <x v="3"/>
    <n v="2"/>
    <n v="3"/>
    <n v="29"/>
    <n v="2"/>
    <d v="2021-05-02T00:00:00"/>
    <s v="No"/>
    <x v="0"/>
    <n v="4"/>
    <x v="3"/>
    <x v="2"/>
    <x v="1"/>
  </r>
  <r>
    <s v="REL04544"/>
    <s v="Male"/>
    <n v="38"/>
    <s v="Graduate"/>
    <s v="Single"/>
    <x v="1"/>
    <s v="HR Manager"/>
    <x v="3"/>
    <x v="2"/>
    <s v="West"/>
    <n v="5"/>
    <n v="85749"/>
    <x v="3"/>
    <n v="2"/>
    <n v="3"/>
    <n v="75"/>
    <n v="0"/>
    <d v="2018-03-11T00:00:00"/>
    <s v="No"/>
    <x v="1"/>
    <n v="4"/>
    <x v="0"/>
    <x v="2"/>
    <x v="0"/>
  </r>
  <r>
    <s v="REL04545"/>
    <s v="Female"/>
    <n v="36"/>
    <s v="HSC"/>
    <s v="Divorced"/>
    <x v="4"/>
    <s v="Operations Head"/>
    <x v="2"/>
    <x v="1"/>
    <s v="North"/>
    <n v="5"/>
    <n v="106863"/>
    <x v="0"/>
    <n v="2"/>
    <n v="3"/>
    <n v="55"/>
    <n v="0"/>
    <d v="2018-01-03T00:00:00"/>
    <s v="No"/>
    <x v="1"/>
    <n v="3"/>
    <x v="0"/>
    <x v="0"/>
    <x v="0"/>
  </r>
  <r>
    <s v="REL04546"/>
    <s v="Male"/>
    <n v="28"/>
    <s v="Graduate"/>
    <s v="Married"/>
    <x v="3"/>
    <s v="Customer Service Rep"/>
    <x v="1"/>
    <x v="6"/>
    <s v="South"/>
    <n v="13"/>
    <n v="55665"/>
    <x v="1"/>
    <n v="2"/>
    <n v="4"/>
    <n v="80"/>
    <n v="2"/>
    <d v="2010-09-13T00:00:00"/>
    <s v="No"/>
    <x v="0"/>
    <n v="1"/>
    <x v="2"/>
    <x v="0"/>
    <x v="1"/>
  </r>
  <r>
    <s v="REL04547"/>
    <s v="Male"/>
    <n v="26"/>
    <s v="Post Graduate"/>
    <s v="Single"/>
    <x v="2"/>
    <s v="Finance Analyst"/>
    <x v="4"/>
    <x v="6"/>
    <s v="South"/>
    <n v="12"/>
    <n v="81341"/>
    <x v="3"/>
    <n v="3"/>
    <n v="4"/>
    <n v="12"/>
    <n v="2"/>
    <d v="2011-03-05T00:00:00"/>
    <s v="No"/>
    <x v="1"/>
    <n v="4"/>
    <x v="2"/>
    <x v="2"/>
    <x v="0"/>
  </r>
  <r>
    <s v="REL04548"/>
    <s v="Female"/>
    <n v="42"/>
    <s v="BTech"/>
    <s v="Divorced"/>
    <x v="2"/>
    <s v="Operations Head"/>
    <x v="0"/>
    <x v="8"/>
    <s v="South"/>
    <n v="3"/>
    <n v="97862"/>
    <x v="0"/>
    <n v="3"/>
    <n v="3"/>
    <n v="66"/>
    <n v="1"/>
    <d v="2020-09-30T00:00:00"/>
    <s v="Yes"/>
    <x v="1"/>
    <n v="3"/>
    <x v="0"/>
    <x v="1"/>
    <x v="0"/>
  </r>
  <r>
    <s v="REL04549"/>
    <s v="Female"/>
    <n v="24"/>
    <s v="Post Graduate"/>
    <s v="Divorced"/>
    <x v="1"/>
    <s v="HR Manager"/>
    <x v="1"/>
    <x v="4"/>
    <s v="North"/>
    <n v="5"/>
    <n v="88063"/>
    <x v="1"/>
    <n v="4"/>
    <n v="2"/>
    <n v="57"/>
    <n v="0"/>
    <d v="2018-07-03T00:00:00"/>
    <s v="No"/>
    <x v="1"/>
    <n v="1"/>
    <x v="0"/>
    <x v="0"/>
    <x v="2"/>
  </r>
  <r>
    <s v="REL04550"/>
    <s v="Male"/>
    <n v="51"/>
    <s v="Post Graduate"/>
    <s v="Single"/>
    <x v="1"/>
    <s v="Customer Service Rep"/>
    <x v="0"/>
    <x v="8"/>
    <s v="South"/>
    <n v="13"/>
    <n v="70506"/>
    <x v="0"/>
    <n v="4"/>
    <n v="1"/>
    <n v="41"/>
    <n v="3"/>
    <d v="2010-06-10T00:00:00"/>
    <s v="No"/>
    <x v="0"/>
    <n v="3"/>
    <x v="2"/>
    <x v="0"/>
    <x v="0"/>
  </r>
  <r>
    <s v="REL04551"/>
    <s v="Male"/>
    <n v="52"/>
    <s v="MBA"/>
    <s v="Single"/>
    <x v="1"/>
    <s v="Marketing Executive"/>
    <x v="3"/>
    <x v="9"/>
    <s v="West"/>
    <n v="7"/>
    <n v="55573"/>
    <x v="0"/>
    <n v="4"/>
    <n v="3"/>
    <n v="79"/>
    <n v="0"/>
    <d v="2016-07-10T00:00:00"/>
    <s v="Yes"/>
    <x v="0"/>
    <n v="3"/>
    <x v="1"/>
    <x v="1"/>
    <x v="0"/>
  </r>
  <r>
    <s v="REL04552"/>
    <s v="Female"/>
    <n v="40"/>
    <s v="Graduate"/>
    <s v="Divorced"/>
    <x v="4"/>
    <s v="Store Manager"/>
    <x v="0"/>
    <x v="0"/>
    <s v="North"/>
    <n v="9"/>
    <n v="104710"/>
    <x v="1"/>
    <n v="1"/>
    <n v="1"/>
    <n v="31"/>
    <n v="2"/>
    <d v="2014-11-13T00:00:00"/>
    <s v="No"/>
    <x v="1"/>
    <n v="1"/>
    <x v="1"/>
    <x v="0"/>
    <x v="2"/>
  </r>
  <r>
    <s v="REL04553"/>
    <s v="Male"/>
    <n v="33"/>
    <s v="Post Graduate"/>
    <s v="Single"/>
    <x v="7"/>
    <s v="Finance Analyst"/>
    <x v="1"/>
    <x v="7"/>
    <s v="East"/>
    <n v="6"/>
    <n v="68522"/>
    <x v="0"/>
    <n v="2"/>
    <n v="4"/>
    <n v="41"/>
    <n v="2"/>
    <d v="2017-09-16T00:00:00"/>
    <s v="Yes"/>
    <x v="0"/>
    <n v="3"/>
    <x v="1"/>
    <x v="1"/>
    <x v="0"/>
  </r>
  <r>
    <s v="REL04554"/>
    <s v="Female"/>
    <n v="51"/>
    <s v="BTech"/>
    <s v="Divorced"/>
    <x v="0"/>
    <s v="Operations Head"/>
    <x v="0"/>
    <x v="8"/>
    <s v="South"/>
    <n v="4"/>
    <n v="93005"/>
    <x v="0"/>
    <n v="3"/>
    <n v="1"/>
    <n v="63"/>
    <n v="0"/>
    <d v="2019-06-03T00:00:00"/>
    <s v="Yes"/>
    <x v="1"/>
    <n v="3"/>
    <x v="0"/>
    <x v="1"/>
    <x v="0"/>
  </r>
  <r>
    <s v="REL04555"/>
    <s v="Male"/>
    <n v="30"/>
    <s v="Graduate"/>
    <s v="Divorced"/>
    <x v="1"/>
    <s v="Logistics Coordinator"/>
    <x v="2"/>
    <x v="4"/>
    <s v="North"/>
    <n v="2"/>
    <n v="50569"/>
    <x v="1"/>
    <n v="3"/>
    <n v="4"/>
    <n v="51"/>
    <n v="2"/>
    <d v="2021-11-26T00:00:00"/>
    <s v="Yes"/>
    <x v="0"/>
    <n v="1"/>
    <x v="3"/>
    <x v="1"/>
    <x v="1"/>
  </r>
  <r>
    <s v="REL04556"/>
    <s v="Female"/>
    <n v="32"/>
    <s v="HSC"/>
    <s v="Single"/>
    <x v="2"/>
    <s v="HR Manager"/>
    <x v="1"/>
    <x v="1"/>
    <s v="North"/>
    <n v="3"/>
    <n v="71724"/>
    <x v="0"/>
    <n v="1"/>
    <n v="1"/>
    <n v="66"/>
    <n v="3"/>
    <d v="2020-11-28T00:00:00"/>
    <s v="No"/>
    <x v="0"/>
    <n v="3"/>
    <x v="0"/>
    <x v="0"/>
    <x v="0"/>
  </r>
  <r>
    <s v="REL04557"/>
    <s v="Female"/>
    <n v="33"/>
    <s v="Post Graduate"/>
    <s v="Married"/>
    <x v="7"/>
    <s v="Operations Head"/>
    <x v="1"/>
    <x v="4"/>
    <s v="North"/>
    <n v="1"/>
    <n v="102272"/>
    <x v="2"/>
    <n v="1"/>
    <n v="1"/>
    <n v="67"/>
    <n v="3"/>
    <d v="2022-12-27T00:00:00"/>
    <s v="Yes"/>
    <x v="1"/>
    <n v="2"/>
    <x v="3"/>
    <x v="1"/>
    <x v="1"/>
  </r>
  <r>
    <s v="REL04558"/>
    <s v="Male"/>
    <n v="48"/>
    <s v="Graduate"/>
    <s v="Divorced"/>
    <x v="2"/>
    <s v="Store Manager"/>
    <x v="3"/>
    <x v="7"/>
    <s v="East"/>
    <n v="13"/>
    <n v="120664"/>
    <x v="2"/>
    <n v="3"/>
    <n v="3"/>
    <n v="72"/>
    <n v="0"/>
    <d v="2010-09-25T00:00:00"/>
    <s v="No"/>
    <x v="1"/>
    <n v="2"/>
    <x v="2"/>
    <x v="0"/>
    <x v="1"/>
  </r>
  <r>
    <s v="REL04559"/>
    <s v="Male"/>
    <n v="52"/>
    <s v="Post Graduate"/>
    <s v="Divorced"/>
    <x v="0"/>
    <s v="Customer Service Rep"/>
    <x v="3"/>
    <x v="9"/>
    <s v="West"/>
    <n v="1"/>
    <n v="43155"/>
    <x v="1"/>
    <n v="2"/>
    <n v="1"/>
    <n v="22"/>
    <n v="1"/>
    <d v="2022-07-21T00:00:00"/>
    <s v="Yes"/>
    <x v="2"/>
    <n v="1"/>
    <x v="3"/>
    <x v="1"/>
    <x v="1"/>
  </r>
  <r>
    <s v="REL04560"/>
    <s v="Male"/>
    <n v="40"/>
    <s v="HSC"/>
    <s v="Married"/>
    <x v="3"/>
    <s v="Finance Analyst"/>
    <x v="2"/>
    <x v="7"/>
    <s v="East"/>
    <n v="9"/>
    <n v="68278"/>
    <x v="3"/>
    <n v="3"/>
    <n v="1"/>
    <n v="60"/>
    <n v="3"/>
    <d v="2014-05-27T00:00:00"/>
    <s v="Yes"/>
    <x v="0"/>
    <n v="4"/>
    <x v="1"/>
    <x v="1"/>
    <x v="1"/>
  </r>
  <r>
    <s v="REL04561"/>
    <s v="Female"/>
    <n v="52"/>
    <s v="BTech"/>
    <s v="Married"/>
    <x v="1"/>
    <s v="Operations Head"/>
    <x v="3"/>
    <x v="0"/>
    <s v="North"/>
    <n v="4"/>
    <n v="93969"/>
    <x v="3"/>
    <n v="2"/>
    <n v="1"/>
    <n v="50"/>
    <n v="0"/>
    <d v="2019-01-25T00:00:00"/>
    <s v="No"/>
    <x v="1"/>
    <n v="4"/>
    <x v="0"/>
    <x v="2"/>
    <x v="0"/>
  </r>
  <r>
    <s v="REL04562"/>
    <s v="Male"/>
    <n v="46"/>
    <s v="HSC"/>
    <s v="Married"/>
    <x v="7"/>
    <s v="Marketing Executive"/>
    <x v="0"/>
    <x v="6"/>
    <s v="South"/>
    <n v="10"/>
    <n v="79846"/>
    <x v="0"/>
    <n v="3"/>
    <n v="3"/>
    <n v="79"/>
    <n v="0"/>
    <d v="2013-03-21T00:00:00"/>
    <s v="Yes"/>
    <x v="0"/>
    <n v="3"/>
    <x v="1"/>
    <x v="1"/>
    <x v="0"/>
  </r>
  <r>
    <s v="REL04563"/>
    <s v="Female"/>
    <n v="25"/>
    <s v="MBA"/>
    <s v="Single"/>
    <x v="3"/>
    <s v="HR Manager"/>
    <x v="4"/>
    <x v="2"/>
    <s v="West"/>
    <n v="13"/>
    <n v="107209"/>
    <x v="2"/>
    <n v="3"/>
    <n v="1"/>
    <n v="34"/>
    <n v="1"/>
    <d v="2010-07-17T00:00:00"/>
    <s v="No"/>
    <x v="1"/>
    <n v="2"/>
    <x v="2"/>
    <x v="0"/>
    <x v="1"/>
  </r>
  <r>
    <s v="REL04564"/>
    <s v="Male"/>
    <n v="42"/>
    <s v="Post Graduate"/>
    <s v="Divorced"/>
    <x v="0"/>
    <s v="Logistics Coordinator"/>
    <x v="2"/>
    <x v="5"/>
    <s v="South"/>
    <n v="13"/>
    <n v="78921"/>
    <x v="3"/>
    <n v="3"/>
    <n v="3"/>
    <n v="30"/>
    <n v="0"/>
    <d v="2010-10-24T00:00:00"/>
    <s v="No"/>
    <x v="0"/>
    <n v="4"/>
    <x v="2"/>
    <x v="2"/>
    <x v="1"/>
  </r>
  <r>
    <s v="REL04565"/>
    <s v="Male"/>
    <n v="46"/>
    <s v="MBA"/>
    <s v="Single"/>
    <x v="4"/>
    <s v="Customer Service Rep"/>
    <x v="1"/>
    <x v="5"/>
    <s v="South"/>
    <n v="9"/>
    <n v="57645"/>
    <x v="1"/>
    <n v="1"/>
    <n v="2"/>
    <n v="80"/>
    <n v="1"/>
    <d v="2014-09-11T00:00:00"/>
    <s v="Yes"/>
    <x v="0"/>
    <n v="1"/>
    <x v="1"/>
    <x v="1"/>
    <x v="1"/>
  </r>
  <r>
    <s v="REL04566"/>
    <s v="Female"/>
    <n v="42"/>
    <s v="Graduate"/>
    <s v="Single"/>
    <x v="2"/>
    <s v="Store Manager"/>
    <x v="1"/>
    <x v="0"/>
    <s v="North"/>
    <n v="3"/>
    <n v="91470"/>
    <x v="1"/>
    <n v="1"/>
    <n v="4"/>
    <n v="32"/>
    <n v="2"/>
    <d v="2020-10-28T00:00:00"/>
    <s v="No"/>
    <x v="1"/>
    <n v="1"/>
    <x v="0"/>
    <x v="0"/>
    <x v="2"/>
  </r>
  <r>
    <s v="REL04567"/>
    <s v="Female"/>
    <n v="43"/>
    <s v="MBA"/>
    <s v="Single"/>
    <x v="6"/>
    <s v="Finance Analyst"/>
    <x v="0"/>
    <x v="6"/>
    <s v="South"/>
    <n v="13"/>
    <n v="76542"/>
    <x v="1"/>
    <n v="1"/>
    <n v="3"/>
    <n v="55"/>
    <n v="2"/>
    <d v="2010-09-15T00:00:00"/>
    <s v="Yes"/>
    <x v="0"/>
    <n v="1"/>
    <x v="2"/>
    <x v="1"/>
    <x v="1"/>
  </r>
  <r>
    <s v="REL04568"/>
    <s v="Female"/>
    <n v="53"/>
    <s v="HSC"/>
    <s v="Divorced"/>
    <x v="7"/>
    <s v="Sales Executive"/>
    <x v="0"/>
    <x v="6"/>
    <s v="South"/>
    <n v="14"/>
    <n v="71087"/>
    <x v="0"/>
    <n v="3"/>
    <n v="1"/>
    <n v="11"/>
    <n v="2"/>
    <d v="2009-11-13T00:00:00"/>
    <s v="No"/>
    <x v="0"/>
    <n v="3"/>
    <x v="2"/>
    <x v="0"/>
    <x v="0"/>
  </r>
  <r>
    <s v="REL04569"/>
    <s v="Male"/>
    <n v="31"/>
    <s v="HSC"/>
    <s v="Single"/>
    <x v="4"/>
    <s v="Customer Service Rep"/>
    <x v="1"/>
    <x v="7"/>
    <s v="East"/>
    <n v="7"/>
    <n v="48865"/>
    <x v="3"/>
    <n v="4"/>
    <n v="4"/>
    <n v="61"/>
    <n v="0"/>
    <d v="2016-04-08T00:00:00"/>
    <s v="No"/>
    <x v="2"/>
    <n v="4"/>
    <x v="1"/>
    <x v="2"/>
    <x v="1"/>
  </r>
  <r>
    <s v="REL04570"/>
    <s v="Male"/>
    <n v="48"/>
    <s v="Graduate"/>
    <s v="Divorced"/>
    <x v="7"/>
    <s v="Operations Head"/>
    <x v="4"/>
    <x v="0"/>
    <s v="North"/>
    <n v="8"/>
    <n v="119163"/>
    <x v="3"/>
    <n v="1"/>
    <n v="2"/>
    <n v="14"/>
    <n v="1"/>
    <d v="2015-12-28T00:00:00"/>
    <s v="No"/>
    <x v="1"/>
    <n v="4"/>
    <x v="1"/>
    <x v="2"/>
    <x v="0"/>
  </r>
  <r>
    <s v="REL04571"/>
    <s v="Female"/>
    <n v="34"/>
    <s v="HSC"/>
    <s v="Divorced"/>
    <x v="5"/>
    <s v="Finance Analyst"/>
    <x v="0"/>
    <x v="0"/>
    <s v="North"/>
    <n v="15"/>
    <n v="95134"/>
    <x v="1"/>
    <n v="2"/>
    <n v="3"/>
    <n v="45"/>
    <n v="2"/>
    <d v="2008-11-07T00:00:00"/>
    <s v="Yes"/>
    <x v="1"/>
    <n v="1"/>
    <x v="2"/>
    <x v="1"/>
    <x v="2"/>
  </r>
  <r>
    <s v="REL04572"/>
    <s v="Male"/>
    <n v="42"/>
    <s v="HSC"/>
    <s v="Divorced"/>
    <x v="0"/>
    <s v="Operations Head"/>
    <x v="3"/>
    <x v="7"/>
    <s v="East"/>
    <n v="6"/>
    <n v="111958"/>
    <x v="1"/>
    <n v="2"/>
    <n v="4"/>
    <n v="72"/>
    <n v="2"/>
    <d v="2017-03-13T00:00:00"/>
    <s v="No"/>
    <x v="1"/>
    <n v="1"/>
    <x v="1"/>
    <x v="0"/>
    <x v="2"/>
  </r>
  <r>
    <s v="REL04573"/>
    <s v="Male"/>
    <n v="29"/>
    <s v="Post Graduate"/>
    <s v="Single"/>
    <x v="4"/>
    <s v="Store Manager"/>
    <x v="2"/>
    <x v="0"/>
    <s v="North"/>
    <n v="15"/>
    <n v="121292"/>
    <x v="2"/>
    <n v="2"/>
    <n v="4"/>
    <n v="37"/>
    <n v="3"/>
    <d v="2008-10-22T00:00:00"/>
    <s v="No"/>
    <x v="1"/>
    <n v="2"/>
    <x v="2"/>
    <x v="0"/>
    <x v="1"/>
  </r>
  <r>
    <s v="REL04574"/>
    <s v="Male"/>
    <n v="28"/>
    <s v="HSC"/>
    <s v="Single"/>
    <x v="0"/>
    <s v="HR Manager"/>
    <x v="4"/>
    <x v="3"/>
    <s v="West"/>
    <n v="6"/>
    <n v="84928"/>
    <x v="2"/>
    <n v="1"/>
    <n v="3"/>
    <n v="22"/>
    <n v="3"/>
    <d v="2017-08-30T00:00:00"/>
    <s v="No"/>
    <x v="1"/>
    <n v="2"/>
    <x v="1"/>
    <x v="0"/>
    <x v="1"/>
  </r>
  <r>
    <s v="REL04575"/>
    <s v="Male"/>
    <n v="54"/>
    <s v="HSC"/>
    <s v="Married"/>
    <x v="1"/>
    <s v="Operations Head"/>
    <x v="1"/>
    <x v="4"/>
    <s v="North"/>
    <n v="4"/>
    <n v="99298"/>
    <x v="2"/>
    <n v="4"/>
    <n v="1"/>
    <n v="13"/>
    <n v="1"/>
    <d v="2019-04-30T00:00:00"/>
    <s v="Yes"/>
    <x v="1"/>
    <n v="2"/>
    <x v="0"/>
    <x v="1"/>
    <x v="1"/>
  </r>
  <r>
    <s v="REL04576"/>
    <s v="Male"/>
    <n v="34"/>
    <s v="MBA"/>
    <s v="Divorced"/>
    <x v="2"/>
    <s v="Marketing Executive"/>
    <x v="0"/>
    <x v="7"/>
    <s v="East"/>
    <n v="11"/>
    <n v="69156"/>
    <x v="3"/>
    <n v="1"/>
    <n v="3"/>
    <n v="70"/>
    <n v="1"/>
    <d v="2012-11-15T00:00:00"/>
    <s v="No"/>
    <x v="0"/>
    <n v="4"/>
    <x v="2"/>
    <x v="2"/>
    <x v="1"/>
  </r>
  <r>
    <s v="REL04577"/>
    <s v="Male"/>
    <n v="37"/>
    <s v="BTech"/>
    <s v="Married"/>
    <x v="7"/>
    <s v="Customer Service Rep"/>
    <x v="2"/>
    <x v="3"/>
    <s v="West"/>
    <n v="2"/>
    <n v="42526"/>
    <x v="3"/>
    <n v="3"/>
    <n v="2"/>
    <n v="61"/>
    <n v="1"/>
    <d v="2021-06-04T00:00:00"/>
    <s v="No"/>
    <x v="2"/>
    <n v="4"/>
    <x v="3"/>
    <x v="2"/>
    <x v="1"/>
  </r>
  <r>
    <s v="REL04578"/>
    <s v="Male"/>
    <n v="55"/>
    <s v="MBA"/>
    <s v="Divorced"/>
    <x v="2"/>
    <s v="Store Manager"/>
    <x v="3"/>
    <x v="3"/>
    <s v="West"/>
    <n v="9"/>
    <n v="99190"/>
    <x v="3"/>
    <n v="3"/>
    <n v="2"/>
    <n v="60"/>
    <n v="1"/>
    <d v="2014-01-25T00:00:00"/>
    <s v="Yes"/>
    <x v="1"/>
    <n v="4"/>
    <x v="1"/>
    <x v="1"/>
    <x v="0"/>
  </r>
  <r>
    <s v="REL04579"/>
    <s v="Female"/>
    <n v="47"/>
    <s v="BTech"/>
    <s v="Divorced"/>
    <x v="0"/>
    <s v="Finance Analyst"/>
    <x v="0"/>
    <x v="8"/>
    <s v="South"/>
    <n v="13"/>
    <n v="87722"/>
    <x v="2"/>
    <n v="2"/>
    <n v="2"/>
    <n v="33"/>
    <n v="0"/>
    <d v="2010-11-28T00:00:00"/>
    <s v="No"/>
    <x v="1"/>
    <n v="2"/>
    <x v="2"/>
    <x v="0"/>
    <x v="1"/>
  </r>
  <r>
    <s v="REL04580"/>
    <s v="Female"/>
    <n v="23"/>
    <s v="Graduate"/>
    <s v="Divorced"/>
    <x v="2"/>
    <s v="Sales Executive"/>
    <x v="2"/>
    <x v="1"/>
    <s v="North"/>
    <n v="10"/>
    <n v="68467"/>
    <x v="3"/>
    <n v="2"/>
    <n v="4"/>
    <n v="69"/>
    <n v="0"/>
    <d v="2013-05-09T00:00:00"/>
    <s v="Yes"/>
    <x v="0"/>
    <n v="4"/>
    <x v="1"/>
    <x v="1"/>
    <x v="1"/>
  </r>
  <r>
    <s v="REL04581"/>
    <s v="Male"/>
    <n v="31"/>
    <s v="Graduate"/>
    <s v="Divorced"/>
    <x v="5"/>
    <s v="Customer Service Rep"/>
    <x v="3"/>
    <x v="9"/>
    <s v="West"/>
    <n v="9"/>
    <n v="61382"/>
    <x v="1"/>
    <n v="4"/>
    <n v="4"/>
    <n v="46"/>
    <n v="2"/>
    <d v="2014-05-25T00:00:00"/>
    <s v="Yes"/>
    <x v="0"/>
    <n v="1"/>
    <x v="1"/>
    <x v="1"/>
    <x v="1"/>
  </r>
  <r>
    <s v="REL04582"/>
    <s v="Male"/>
    <n v="40"/>
    <s v="BTech"/>
    <s v="Single"/>
    <x v="2"/>
    <s v="Finance Analyst"/>
    <x v="0"/>
    <x v="8"/>
    <s v="South"/>
    <n v="6"/>
    <n v="71370"/>
    <x v="1"/>
    <n v="2"/>
    <n v="2"/>
    <n v="78"/>
    <n v="0"/>
    <d v="2017-07-15T00:00:00"/>
    <s v="Yes"/>
    <x v="0"/>
    <n v="1"/>
    <x v="1"/>
    <x v="1"/>
    <x v="1"/>
  </r>
  <r>
    <s v="REL04583"/>
    <s v="Female"/>
    <n v="42"/>
    <s v="MBA"/>
    <s v="Single"/>
    <x v="0"/>
    <s v="Customer Service Rep"/>
    <x v="4"/>
    <x v="1"/>
    <s v="North"/>
    <n v="10"/>
    <n v="56526"/>
    <x v="0"/>
    <n v="3"/>
    <n v="2"/>
    <n v="59"/>
    <n v="2"/>
    <d v="2013-08-17T00:00:00"/>
    <s v="No"/>
    <x v="0"/>
    <n v="3"/>
    <x v="1"/>
    <x v="0"/>
    <x v="0"/>
  </r>
  <r>
    <s v="REL04584"/>
    <s v="Female"/>
    <n v="49"/>
    <s v="HSC"/>
    <s v="Single"/>
    <x v="7"/>
    <s v="Sales Executive"/>
    <x v="4"/>
    <x v="3"/>
    <s v="West"/>
    <n v="14"/>
    <n v="64476"/>
    <x v="2"/>
    <n v="4"/>
    <n v="3"/>
    <n v="17"/>
    <n v="2"/>
    <d v="2009-12-14T00:00:00"/>
    <s v="Yes"/>
    <x v="0"/>
    <n v="2"/>
    <x v="2"/>
    <x v="1"/>
    <x v="1"/>
  </r>
  <r>
    <s v="REL04585"/>
    <s v="Male"/>
    <n v="37"/>
    <s v="BTech"/>
    <s v="Single"/>
    <x v="6"/>
    <s v="Marketing Executive"/>
    <x v="0"/>
    <x v="7"/>
    <s v="East"/>
    <n v="5"/>
    <n v="52202"/>
    <x v="2"/>
    <n v="4"/>
    <n v="3"/>
    <n v="22"/>
    <n v="1"/>
    <d v="2018-03-14T00:00:00"/>
    <s v="No"/>
    <x v="0"/>
    <n v="2"/>
    <x v="0"/>
    <x v="0"/>
    <x v="1"/>
  </r>
  <r>
    <s v="REL04586"/>
    <s v="Female"/>
    <n v="24"/>
    <s v="Graduate"/>
    <s v="Divorced"/>
    <x v="4"/>
    <s v="HR Manager"/>
    <x v="3"/>
    <x v="4"/>
    <s v="North"/>
    <n v="10"/>
    <n v="98283"/>
    <x v="0"/>
    <n v="3"/>
    <n v="1"/>
    <n v="18"/>
    <n v="1"/>
    <d v="2013-09-26T00:00:00"/>
    <s v="No"/>
    <x v="1"/>
    <n v="3"/>
    <x v="1"/>
    <x v="0"/>
    <x v="0"/>
  </r>
  <r>
    <s v="REL04587"/>
    <s v="Female"/>
    <n v="31"/>
    <s v="HSC"/>
    <s v="Divorced"/>
    <x v="2"/>
    <s v="Finance Analyst"/>
    <x v="2"/>
    <x v="4"/>
    <s v="North"/>
    <n v="3"/>
    <n v="70193"/>
    <x v="0"/>
    <n v="1"/>
    <n v="1"/>
    <n v="79"/>
    <n v="3"/>
    <d v="2020-07-06T00:00:00"/>
    <s v="Yes"/>
    <x v="0"/>
    <n v="3"/>
    <x v="0"/>
    <x v="1"/>
    <x v="0"/>
  </r>
  <r>
    <s v="REL04588"/>
    <s v="Male"/>
    <n v="32"/>
    <s v="BTech"/>
    <s v="Married"/>
    <x v="3"/>
    <s v="Customer Service Rep"/>
    <x v="2"/>
    <x v="8"/>
    <s v="South"/>
    <n v="2"/>
    <n v="45622"/>
    <x v="0"/>
    <n v="3"/>
    <n v="4"/>
    <n v="13"/>
    <n v="1"/>
    <d v="2021-11-18T00:00:00"/>
    <s v="No"/>
    <x v="2"/>
    <n v="3"/>
    <x v="3"/>
    <x v="0"/>
    <x v="1"/>
  </r>
  <r>
    <s v="REL04589"/>
    <s v="Female"/>
    <n v="41"/>
    <s v="Post Graduate"/>
    <s v="Married"/>
    <x v="0"/>
    <s v="Sales Executive"/>
    <x v="1"/>
    <x v="8"/>
    <s v="South"/>
    <n v="14"/>
    <n v="75545"/>
    <x v="1"/>
    <n v="2"/>
    <n v="4"/>
    <n v="44"/>
    <n v="0"/>
    <d v="2009-04-06T00:00:00"/>
    <s v="Yes"/>
    <x v="0"/>
    <n v="1"/>
    <x v="2"/>
    <x v="1"/>
    <x v="1"/>
  </r>
  <r>
    <s v="REL04590"/>
    <s v="Female"/>
    <n v="40"/>
    <s v="Post Graduate"/>
    <s v="Divorced"/>
    <x v="7"/>
    <s v="Customer Service Rep"/>
    <x v="2"/>
    <x v="1"/>
    <s v="North"/>
    <n v="8"/>
    <n v="45418"/>
    <x v="3"/>
    <n v="3"/>
    <n v="4"/>
    <n v="80"/>
    <n v="2"/>
    <d v="2015-05-03T00:00:00"/>
    <s v="No"/>
    <x v="2"/>
    <n v="4"/>
    <x v="1"/>
    <x v="2"/>
    <x v="1"/>
  </r>
  <r>
    <s v="REL04591"/>
    <s v="Male"/>
    <n v="50"/>
    <s v="HSC"/>
    <s v="Single"/>
    <x v="3"/>
    <s v="Customer Service Rep"/>
    <x v="3"/>
    <x v="0"/>
    <s v="North"/>
    <n v="8"/>
    <n v="58690"/>
    <x v="3"/>
    <n v="1"/>
    <n v="1"/>
    <n v="38"/>
    <n v="0"/>
    <d v="2015-03-02T00:00:00"/>
    <s v="No"/>
    <x v="0"/>
    <n v="4"/>
    <x v="1"/>
    <x v="2"/>
    <x v="1"/>
  </r>
  <r>
    <s v="REL04592"/>
    <s v="Female"/>
    <n v="24"/>
    <s v="HSC"/>
    <s v="Single"/>
    <x v="2"/>
    <s v="Sales Executive"/>
    <x v="4"/>
    <x v="2"/>
    <s v="West"/>
    <n v="9"/>
    <n v="51548"/>
    <x v="0"/>
    <n v="3"/>
    <n v="4"/>
    <n v="79"/>
    <n v="3"/>
    <d v="2014-11-13T00:00:00"/>
    <s v="Yes"/>
    <x v="0"/>
    <n v="3"/>
    <x v="1"/>
    <x v="1"/>
    <x v="0"/>
  </r>
  <r>
    <s v="REL04593"/>
    <s v="Male"/>
    <n v="24"/>
    <s v="MBA"/>
    <s v="Single"/>
    <x v="7"/>
    <s v="HR Manager"/>
    <x v="0"/>
    <x v="5"/>
    <s v="South"/>
    <n v="6"/>
    <n v="80867"/>
    <x v="3"/>
    <n v="4"/>
    <n v="1"/>
    <n v="20"/>
    <n v="3"/>
    <d v="2018-01-01T00:00:00"/>
    <s v="No"/>
    <x v="1"/>
    <n v="4"/>
    <x v="1"/>
    <x v="2"/>
    <x v="0"/>
  </r>
  <r>
    <s v="REL04594"/>
    <s v="Female"/>
    <n v="52"/>
    <s v="Graduate"/>
    <s v="Divorced"/>
    <x v="2"/>
    <s v="Customer Service Rep"/>
    <x v="3"/>
    <x v="5"/>
    <s v="South"/>
    <n v="10"/>
    <n v="61857"/>
    <x v="0"/>
    <n v="4"/>
    <n v="4"/>
    <n v="65"/>
    <n v="3"/>
    <d v="2013-12-08T00:00:00"/>
    <s v="Yes"/>
    <x v="0"/>
    <n v="3"/>
    <x v="1"/>
    <x v="1"/>
    <x v="0"/>
  </r>
  <r>
    <s v="REL04595"/>
    <s v="Female"/>
    <n v="41"/>
    <s v="HSC"/>
    <s v="Divorced"/>
    <x v="2"/>
    <s v="Store Manager"/>
    <x v="3"/>
    <x v="8"/>
    <s v="South"/>
    <n v="14"/>
    <n v="116274"/>
    <x v="1"/>
    <n v="2"/>
    <n v="3"/>
    <n v="53"/>
    <n v="0"/>
    <d v="2009-07-15T00:00:00"/>
    <s v="No"/>
    <x v="1"/>
    <n v="1"/>
    <x v="2"/>
    <x v="0"/>
    <x v="2"/>
  </r>
  <r>
    <s v="REL04596"/>
    <s v="Male"/>
    <n v="33"/>
    <s v="MBA"/>
    <s v="Married"/>
    <x v="6"/>
    <s v="Logistics Coordinator"/>
    <x v="0"/>
    <x v="8"/>
    <s v="South"/>
    <n v="4"/>
    <n v="61317"/>
    <x v="2"/>
    <n v="2"/>
    <n v="4"/>
    <n v="63"/>
    <n v="3"/>
    <d v="2019-07-25T00:00:00"/>
    <s v="No"/>
    <x v="0"/>
    <n v="2"/>
    <x v="0"/>
    <x v="0"/>
    <x v="1"/>
  </r>
  <r>
    <s v="REL04597"/>
    <s v="Female"/>
    <n v="35"/>
    <s v="Post Graduate"/>
    <s v="Single"/>
    <x v="1"/>
    <s v="HR Manager"/>
    <x v="4"/>
    <x v="9"/>
    <s v="West"/>
    <n v="6"/>
    <n v="87355"/>
    <x v="2"/>
    <n v="1"/>
    <n v="2"/>
    <n v="58"/>
    <n v="0"/>
    <d v="2017-11-16T00:00:00"/>
    <s v="No"/>
    <x v="1"/>
    <n v="2"/>
    <x v="1"/>
    <x v="0"/>
    <x v="1"/>
  </r>
  <r>
    <s v="REL04598"/>
    <s v="Female"/>
    <n v="48"/>
    <s v="BTech"/>
    <s v="Married"/>
    <x v="6"/>
    <s v="Logistics Coordinator"/>
    <x v="1"/>
    <x v="1"/>
    <s v="North"/>
    <n v="1"/>
    <n v="44031"/>
    <x v="2"/>
    <n v="4"/>
    <n v="1"/>
    <n v="10"/>
    <n v="2"/>
    <d v="2022-07-19T00:00:00"/>
    <s v="No"/>
    <x v="2"/>
    <n v="2"/>
    <x v="3"/>
    <x v="0"/>
    <x v="1"/>
  </r>
  <r>
    <s v="REL04599"/>
    <s v="Male"/>
    <n v="35"/>
    <s v="HSC"/>
    <s v="Divorced"/>
    <x v="6"/>
    <s v="Marketing Executive"/>
    <x v="1"/>
    <x v="7"/>
    <s v="East"/>
    <n v="7"/>
    <n v="63919"/>
    <x v="0"/>
    <n v="2"/>
    <n v="4"/>
    <n v="11"/>
    <n v="0"/>
    <d v="2016-07-31T00:00:00"/>
    <s v="No"/>
    <x v="0"/>
    <n v="3"/>
    <x v="1"/>
    <x v="0"/>
    <x v="0"/>
  </r>
  <r>
    <s v="REL04600"/>
    <s v="Male"/>
    <n v="42"/>
    <s v="BTech"/>
    <s v="Married"/>
    <x v="3"/>
    <s v="Marketing Executive"/>
    <x v="0"/>
    <x v="7"/>
    <s v="East"/>
    <n v="13"/>
    <n v="78921"/>
    <x v="3"/>
    <n v="1"/>
    <n v="2"/>
    <n v="22"/>
    <n v="0"/>
    <d v="2010-05-06T00:00:00"/>
    <s v="No"/>
    <x v="0"/>
    <n v="4"/>
    <x v="2"/>
    <x v="2"/>
    <x v="1"/>
  </r>
  <r>
    <s v="REL04601"/>
    <s v="Male"/>
    <n v="44"/>
    <s v="HSC"/>
    <s v="Married"/>
    <x v="0"/>
    <s v="Finance Analyst"/>
    <x v="1"/>
    <x v="8"/>
    <s v="South"/>
    <n v="12"/>
    <n v="82476"/>
    <x v="2"/>
    <n v="1"/>
    <n v="2"/>
    <n v="18"/>
    <n v="3"/>
    <d v="2011-06-07T00:00:00"/>
    <s v="No"/>
    <x v="1"/>
    <n v="2"/>
    <x v="2"/>
    <x v="0"/>
    <x v="1"/>
  </r>
  <r>
    <s v="REL04602"/>
    <s v="Female"/>
    <n v="28"/>
    <s v="Graduate"/>
    <s v="Divorced"/>
    <x v="7"/>
    <s v="Marketing Executive"/>
    <x v="0"/>
    <x v="6"/>
    <s v="South"/>
    <n v="11"/>
    <n v="69900"/>
    <x v="1"/>
    <n v="2"/>
    <n v="4"/>
    <n v="80"/>
    <n v="2"/>
    <d v="2012-12-22T00:00:00"/>
    <s v="Yes"/>
    <x v="0"/>
    <n v="1"/>
    <x v="2"/>
    <x v="1"/>
    <x v="1"/>
  </r>
  <r>
    <s v="REL04603"/>
    <s v="Male"/>
    <n v="42"/>
    <s v="BTech"/>
    <s v="Divorced"/>
    <x v="7"/>
    <s v="Marketing Executive"/>
    <x v="0"/>
    <x v="6"/>
    <s v="South"/>
    <n v="3"/>
    <n v="53569"/>
    <x v="3"/>
    <n v="3"/>
    <n v="3"/>
    <n v="65"/>
    <n v="1"/>
    <d v="2020-10-12T00:00:00"/>
    <s v="No"/>
    <x v="0"/>
    <n v="4"/>
    <x v="0"/>
    <x v="2"/>
    <x v="1"/>
  </r>
  <r>
    <s v="REL04604"/>
    <s v="Male"/>
    <n v="47"/>
    <s v="BTech"/>
    <s v="Divorced"/>
    <x v="1"/>
    <s v="Store Manager"/>
    <x v="1"/>
    <x v="1"/>
    <s v="North"/>
    <n v="7"/>
    <n v="103758"/>
    <x v="2"/>
    <n v="1"/>
    <n v="3"/>
    <n v="51"/>
    <n v="2"/>
    <d v="2016-03-10T00:00:00"/>
    <s v="No"/>
    <x v="1"/>
    <n v="2"/>
    <x v="1"/>
    <x v="0"/>
    <x v="1"/>
  </r>
  <r>
    <s v="REL04605"/>
    <s v="Male"/>
    <n v="22"/>
    <s v="HSC"/>
    <s v="Single"/>
    <x v="2"/>
    <s v="Store Manager"/>
    <x v="2"/>
    <x v="2"/>
    <s v="West"/>
    <n v="13"/>
    <n v="111185"/>
    <x v="1"/>
    <n v="3"/>
    <n v="2"/>
    <n v="51"/>
    <n v="2"/>
    <d v="2010-07-23T00:00:00"/>
    <s v="No"/>
    <x v="1"/>
    <n v="1"/>
    <x v="2"/>
    <x v="0"/>
    <x v="2"/>
  </r>
  <r>
    <s v="REL04606"/>
    <s v="Female"/>
    <n v="49"/>
    <s v="BTech"/>
    <s v="Divorced"/>
    <x v="5"/>
    <s v="Marketing Executive"/>
    <x v="1"/>
    <x v="2"/>
    <s v="West"/>
    <n v="4"/>
    <n v="59102"/>
    <x v="0"/>
    <n v="3"/>
    <n v="2"/>
    <n v="74"/>
    <n v="2"/>
    <d v="2019-11-16T00:00:00"/>
    <s v="No"/>
    <x v="0"/>
    <n v="3"/>
    <x v="0"/>
    <x v="0"/>
    <x v="0"/>
  </r>
  <r>
    <s v="REL04607"/>
    <s v="Female"/>
    <n v="31"/>
    <s v="BTech"/>
    <s v="Single"/>
    <x v="4"/>
    <s v="Finance Analyst"/>
    <x v="4"/>
    <x v="4"/>
    <s v="North"/>
    <n v="12"/>
    <n v="89224"/>
    <x v="2"/>
    <n v="2"/>
    <n v="4"/>
    <n v="68"/>
    <n v="0"/>
    <d v="2011-05-09T00:00:00"/>
    <s v="No"/>
    <x v="1"/>
    <n v="2"/>
    <x v="2"/>
    <x v="0"/>
    <x v="1"/>
  </r>
  <r>
    <s v="REL04608"/>
    <s v="Female"/>
    <n v="28"/>
    <s v="MBA"/>
    <s v="Single"/>
    <x v="0"/>
    <s v="Logistics Coordinator"/>
    <x v="4"/>
    <x v="8"/>
    <s v="South"/>
    <n v="13"/>
    <n v="69407"/>
    <x v="2"/>
    <n v="4"/>
    <n v="1"/>
    <n v="75"/>
    <n v="2"/>
    <d v="2010-04-09T00:00:00"/>
    <s v="Yes"/>
    <x v="0"/>
    <n v="2"/>
    <x v="2"/>
    <x v="1"/>
    <x v="1"/>
  </r>
  <r>
    <s v="REL04609"/>
    <s v="Female"/>
    <n v="32"/>
    <s v="Graduate"/>
    <s v="Divorced"/>
    <x v="5"/>
    <s v="Customer Service Rep"/>
    <x v="2"/>
    <x v="9"/>
    <s v="West"/>
    <n v="15"/>
    <n v="60286"/>
    <x v="2"/>
    <n v="1"/>
    <n v="1"/>
    <n v="76"/>
    <n v="0"/>
    <d v="2008-06-19T00:00:00"/>
    <s v="Yes"/>
    <x v="0"/>
    <n v="2"/>
    <x v="2"/>
    <x v="1"/>
    <x v="1"/>
  </r>
  <r>
    <s v="REL04610"/>
    <s v="Male"/>
    <n v="29"/>
    <s v="HSC"/>
    <s v="Divorced"/>
    <x v="3"/>
    <s v="Customer Service Rep"/>
    <x v="1"/>
    <x v="1"/>
    <s v="North"/>
    <n v="5"/>
    <n v="39378"/>
    <x v="2"/>
    <n v="3"/>
    <n v="4"/>
    <n v="41"/>
    <n v="1"/>
    <d v="2018-11-22T00:00:00"/>
    <s v="Yes"/>
    <x v="2"/>
    <n v="2"/>
    <x v="0"/>
    <x v="1"/>
    <x v="1"/>
  </r>
  <r>
    <s v="REL04611"/>
    <s v="Male"/>
    <n v="51"/>
    <s v="MBA"/>
    <s v="Single"/>
    <x v="2"/>
    <s v="Finance Analyst"/>
    <x v="3"/>
    <x v="5"/>
    <s v="South"/>
    <n v="3"/>
    <n v="69766"/>
    <x v="2"/>
    <n v="4"/>
    <n v="1"/>
    <n v="52"/>
    <n v="1"/>
    <d v="2020-12-09T00:00:00"/>
    <s v="No"/>
    <x v="0"/>
    <n v="2"/>
    <x v="0"/>
    <x v="0"/>
    <x v="1"/>
  </r>
  <r>
    <s v="REL04612"/>
    <s v="Female"/>
    <n v="43"/>
    <s v="Graduate"/>
    <s v="Married"/>
    <x v="7"/>
    <s v="Marketing Executive"/>
    <x v="4"/>
    <x v="5"/>
    <s v="South"/>
    <n v="10"/>
    <n v="72424"/>
    <x v="3"/>
    <n v="2"/>
    <n v="4"/>
    <n v="42"/>
    <n v="3"/>
    <d v="2013-03-01T00:00:00"/>
    <s v="No"/>
    <x v="0"/>
    <n v="4"/>
    <x v="1"/>
    <x v="2"/>
    <x v="1"/>
  </r>
  <r>
    <s v="REL04613"/>
    <s v="Male"/>
    <n v="32"/>
    <s v="MBA"/>
    <s v="Married"/>
    <x v="6"/>
    <s v="Operations Head"/>
    <x v="1"/>
    <x v="6"/>
    <s v="South"/>
    <n v="6"/>
    <n v="108161"/>
    <x v="3"/>
    <n v="1"/>
    <n v="2"/>
    <n v="50"/>
    <n v="2"/>
    <d v="2017-11-25T00:00:00"/>
    <s v="No"/>
    <x v="1"/>
    <n v="4"/>
    <x v="1"/>
    <x v="2"/>
    <x v="0"/>
  </r>
  <r>
    <s v="REL04614"/>
    <s v="Female"/>
    <n v="37"/>
    <s v="HSC"/>
    <s v="Married"/>
    <x v="4"/>
    <s v="Store Manager"/>
    <x v="3"/>
    <x v="3"/>
    <s v="West"/>
    <n v="13"/>
    <n v="117623"/>
    <x v="1"/>
    <n v="4"/>
    <n v="1"/>
    <n v="11"/>
    <n v="3"/>
    <d v="2010-12-22T00:00:00"/>
    <s v="No"/>
    <x v="1"/>
    <n v="1"/>
    <x v="2"/>
    <x v="0"/>
    <x v="2"/>
  </r>
  <r>
    <s v="REL04615"/>
    <s v="Female"/>
    <n v="39"/>
    <s v="HSC"/>
    <s v="Divorced"/>
    <x v="7"/>
    <s v="Finance Analyst"/>
    <x v="0"/>
    <x v="4"/>
    <s v="North"/>
    <n v="11"/>
    <n v="86321"/>
    <x v="3"/>
    <n v="2"/>
    <n v="3"/>
    <n v="53"/>
    <n v="1"/>
    <d v="2012-07-08T00:00:00"/>
    <s v="No"/>
    <x v="1"/>
    <n v="4"/>
    <x v="2"/>
    <x v="2"/>
    <x v="0"/>
  </r>
  <r>
    <s v="REL04616"/>
    <s v="Male"/>
    <n v="30"/>
    <s v="Post Graduate"/>
    <s v="Single"/>
    <x v="4"/>
    <s v="Customer Service Rep"/>
    <x v="1"/>
    <x v="5"/>
    <s v="South"/>
    <n v="10"/>
    <n v="55102"/>
    <x v="1"/>
    <n v="4"/>
    <n v="4"/>
    <n v="45"/>
    <n v="3"/>
    <d v="2013-12-04T00:00:00"/>
    <s v="No"/>
    <x v="0"/>
    <n v="1"/>
    <x v="1"/>
    <x v="0"/>
    <x v="1"/>
  </r>
  <r>
    <s v="REL04617"/>
    <s v="Female"/>
    <n v="38"/>
    <s v="Post Graduate"/>
    <s v="Single"/>
    <x v="1"/>
    <s v="Customer Service Rep"/>
    <x v="4"/>
    <x v="7"/>
    <s v="East"/>
    <n v="15"/>
    <n v="66076"/>
    <x v="1"/>
    <n v="2"/>
    <n v="3"/>
    <n v="25"/>
    <n v="1"/>
    <d v="2008-10-28T00:00:00"/>
    <s v="Yes"/>
    <x v="0"/>
    <n v="1"/>
    <x v="2"/>
    <x v="1"/>
    <x v="1"/>
  </r>
  <r>
    <s v="REL04618"/>
    <s v="Female"/>
    <n v="33"/>
    <s v="MBA"/>
    <s v="Divorced"/>
    <x v="1"/>
    <s v="Finance Analyst"/>
    <x v="0"/>
    <x v="1"/>
    <s v="North"/>
    <n v="11"/>
    <n v="72767"/>
    <x v="0"/>
    <n v="4"/>
    <n v="3"/>
    <n v="71"/>
    <n v="2"/>
    <d v="2012-05-12T00:00:00"/>
    <s v="No"/>
    <x v="0"/>
    <n v="3"/>
    <x v="2"/>
    <x v="0"/>
    <x v="0"/>
  </r>
  <r>
    <s v="REL04619"/>
    <s v="Male"/>
    <n v="37"/>
    <s v="Post Graduate"/>
    <s v="Married"/>
    <x v="2"/>
    <s v="Operations Head"/>
    <x v="3"/>
    <x v="5"/>
    <s v="South"/>
    <n v="4"/>
    <n v="105445"/>
    <x v="3"/>
    <n v="4"/>
    <n v="4"/>
    <n v="21"/>
    <n v="3"/>
    <d v="2019-02-25T00:00:00"/>
    <s v="No"/>
    <x v="1"/>
    <n v="4"/>
    <x v="0"/>
    <x v="2"/>
    <x v="0"/>
  </r>
  <r>
    <s v="REL04620"/>
    <s v="Female"/>
    <n v="29"/>
    <s v="Post Graduate"/>
    <s v="Married"/>
    <x v="4"/>
    <s v="Sales Executive"/>
    <x v="1"/>
    <x v="5"/>
    <s v="South"/>
    <n v="13"/>
    <n v="71025"/>
    <x v="3"/>
    <n v="4"/>
    <n v="3"/>
    <n v="76"/>
    <n v="0"/>
    <d v="2010-10-20T00:00:00"/>
    <s v="No"/>
    <x v="0"/>
    <n v="4"/>
    <x v="2"/>
    <x v="2"/>
    <x v="1"/>
  </r>
  <r>
    <s v="REL04621"/>
    <s v="Male"/>
    <n v="55"/>
    <s v="Graduate"/>
    <s v="Divorced"/>
    <x v="1"/>
    <s v="Store Manager"/>
    <x v="2"/>
    <x v="7"/>
    <s v="East"/>
    <n v="7"/>
    <n v="101352"/>
    <x v="2"/>
    <n v="3"/>
    <n v="3"/>
    <n v="44"/>
    <n v="1"/>
    <d v="2016-02-28T00:00:00"/>
    <s v="No"/>
    <x v="1"/>
    <n v="2"/>
    <x v="1"/>
    <x v="0"/>
    <x v="1"/>
  </r>
  <r>
    <s v="REL04622"/>
    <s v="Female"/>
    <n v="38"/>
    <s v="BTech"/>
    <s v="Single"/>
    <x v="6"/>
    <s v="Logistics Coordinator"/>
    <x v="4"/>
    <x v="3"/>
    <s v="West"/>
    <n v="10"/>
    <n v="56743"/>
    <x v="0"/>
    <n v="3"/>
    <n v="1"/>
    <n v="61"/>
    <n v="0"/>
    <d v="2013-01-07T00:00:00"/>
    <s v="Yes"/>
    <x v="0"/>
    <n v="3"/>
    <x v="1"/>
    <x v="1"/>
    <x v="0"/>
  </r>
  <r>
    <s v="REL04623"/>
    <s v="Male"/>
    <n v="29"/>
    <s v="Post Graduate"/>
    <s v="Married"/>
    <x v="7"/>
    <s v="HR Manager"/>
    <x v="2"/>
    <x v="9"/>
    <s v="West"/>
    <n v="15"/>
    <n v="96038"/>
    <x v="0"/>
    <n v="4"/>
    <n v="3"/>
    <n v="67"/>
    <n v="3"/>
    <d v="2008-07-09T00:00:00"/>
    <s v="No"/>
    <x v="1"/>
    <n v="3"/>
    <x v="2"/>
    <x v="0"/>
    <x v="0"/>
  </r>
  <r>
    <s v="REL04624"/>
    <s v="Male"/>
    <n v="28"/>
    <s v="MBA"/>
    <s v="Single"/>
    <x v="2"/>
    <s v="Store Manager"/>
    <x v="4"/>
    <x v="1"/>
    <s v="North"/>
    <n v="3"/>
    <n v="85501"/>
    <x v="0"/>
    <n v="2"/>
    <n v="1"/>
    <n v="50"/>
    <n v="2"/>
    <d v="2020-08-22T00:00:00"/>
    <s v="No"/>
    <x v="1"/>
    <n v="3"/>
    <x v="0"/>
    <x v="0"/>
    <x v="0"/>
  </r>
  <r>
    <s v="REL04625"/>
    <s v="Male"/>
    <n v="40"/>
    <s v="Graduate"/>
    <s v="Married"/>
    <x v="1"/>
    <s v="Logistics Coordinator"/>
    <x v="4"/>
    <x v="8"/>
    <s v="South"/>
    <n v="5"/>
    <n v="61007"/>
    <x v="0"/>
    <n v="2"/>
    <n v="4"/>
    <n v="80"/>
    <n v="0"/>
    <d v="2018-12-29T00:00:00"/>
    <s v="No"/>
    <x v="0"/>
    <n v="3"/>
    <x v="0"/>
    <x v="0"/>
    <x v="0"/>
  </r>
  <r>
    <s v="REL04626"/>
    <s v="Female"/>
    <n v="36"/>
    <s v="HSC"/>
    <s v="Single"/>
    <x v="2"/>
    <s v="Finance Analyst"/>
    <x v="4"/>
    <x v="8"/>
    <s v="South"/>
    <n v="9"/>
    <n v="75346"/>
    <x v="2"/>
    <n v="3"/>
    <n v="1"/>
    <n v="35"/>
    <n v="0"/>
    <d v="2014-12-09T00:00:00"/>
    <s v="No"/>
    <x v="0"/>
    <n v="2"/>
    <x v="1"/>
    <x v="0"/>
    <x v="1"/>
  </r>
  <r>
    <s v="REL04627"/>
    <s v="Male"/>
    <n v="54"/>
    <s v="Post Graduate"/>
    <s v="Single"/>
    <x v="5"/>
    <s v="Customer Service Rep"/>
    <x v="3"/>
    <x v="3"/>
    <s v="West"/>
    <n v="4"/>
    <n v="39751"/>
    <x v="0"/>
    <n v="2"/>
    <n v="1"/>
    <n v="62"/>
    <n v="3"/>
    <d v="2019-05-16T00:00:00"/>
    <s v="No"/>
    <x v="2"/>
    <n v="3"/>
    <x v="0"/>
    <x v="0"/>
    <x v="1"/>
  </r>
  <r>
    <s v="REL04628"/>
    <s v="Male"/>
    <n v="40"/>
    <s v="HSC"/>
    <s v="Single"/>
    <x v="6"/>
    <s v="Sales Executive"/>
    <x v="2"/>
    <x v="0"/>
    <s v="North"/>
    <n v="12"/>
    <n v="69328"/>
    <x v="1"/>
    <n v="2"/>
    <n v="2"/>
    <n v="54"/>
    <n v="1"/>
    <d v="2011-03-26T00:00:00"/>
    <s v="Yes"/>
    <x v="0"/>
    <n v="1"/>
    <x v="2"/>
    <x v="1"/>
    <x v="1"/>
  </r>
  <r>
    <s v="REL04629"/>
    <s v="Female"/>
    <n v="47"/>
    <s v="BTech"/>
    <s v="Married"/>
    <x v="5"/>
    <s v="Marketing Executive"/>
    <x v="3"/>
    <x v="0"/>
    <s v="North"/>
    <n v="3"/>
    <n v="51504"/>
    <x v="3"/>
    <n v="2"/>
    <n v="4"/>
    <n v="20"/>
    <n v="2"/>
    <d v="2020-04-23T00:00:00"/>
    <s v="No"/>
    <x v="0"/>
    <n v="4"/>
    <x v="0"/>
    <x v="2"/>
    <x v="1"/>
  </r>
  <r>
    <s v="REL04630"/>
    <s v="Female"/>
    <n v="23"/>
    <s v="BTech"/>
    <s v="Married"/>
    <x v="2"/>
    <s v="Marketing Executive"/>
    <x v="2"/>
    <x v="7"/>
    <s v="East"/>
    <n v="1"/>
    <n v="53516"/>
    <x v="1"/>
    <n v="3"/>
    <n v="1"/>
    <n v="68"/>
    <n v="3"/>
    <d v="2022-03-01T00:00:00"/>
    <s v="Yes"/>
    <x v="0"/>
    <n v="1"/>
    <x v="3"/>
    <x v="1"/>
    <x v="1"/>
  </r>
  <r>
    <s v="REL04631"/>
    <s v="Female"/>
    <n v="53"/>
    <s v="Post Graduate"/>
    <s v="Single"/>
    <x v="1"/>
    <s v="Marketing Executive"/>
    <x v="1"/>
    <x v="9"/>
    <s v="West"/>
    <n v="7"/>
    <n v="72712"/>
    <x v="0"/>
    <n v="2"/>
    <n v="1"/>
    <n v="36"/>
    <n v="2"/>
    <d v="2016-03-04T00:00:00"/>
    <s v="No"/>
    <x v="0"/>
    <n v="3"/>
    <x v="1"/>
    <x v="0"/>
    <x v="0"/>
  </r>
  <r>
    <s v="REL04632"/>
    <s v="Male"/>
    <n v="37"/>
    <s v="BTech"/>
    <s v="Divorced"/>
    <x v="2"/>
    <s v="Sales Executive"/>
    <x v="4"/>
    <x v="6"/>
    <s v="South"/>
    <n v="9"/>
    <n v="51886"/>
    <x v="2"/>
    <n v="2"/>
    <n v="2"/>
    <n v="19"/>
    <n v="1"/>
    <d v="2014-06-04T00:00:00"/>
    <s v="No"/>
    <x v="0"/>
    <n v="2"/>
    <x v="1"/>
    <x v="0"/>
    <x v="1"/>
  </r>
  <r>
    <s v="REL04633"/>
    <s v="Male"/>
    <n v="39"/>
    <s v="BTech"/>
    <s v="Single"/>
    <x v="6"/>
    <s v="HR Manager"/>
    <x v="2"/>
    <x v="1"/>
    <s v="North"/>
    <n v="10"/>
    <n v="92051"/>
    <x v="2"/>
    <n v="4"/>
    <n v="1"/>
    <n v="15"/>
    <n v="2"/>
    <d v="2013-01-13T00:00:00"/>
    <s v="No"/>
    <x v="1"/>
    <n v="2"/>
    <x v="1"/>
    <x v="0"/>
    <x v="1"/>
  </r>
  <r>
    <s v="REL04634"/>
    <s v="Male"/>
    <n v="26"/>
    <s v="MBA"/>
    <s v="Married"/>
    <x v="7"/>
    <s v="Customer Service Rep"/>
    <x v="3"/>
    <x v="0"/>
    <s v="North"/>
    <n v="13"/>
    <n v="54447"/>
    <x v="0"/>
    <n v="1"/>
    <n v="3"/>
    <n v="13"/>
    <n v="1"/>
    <d v="2010-08-30T00:00:00"/>
    <s v="Yes"/>
    <x v="0"/>
    <n v="3"/>
    <x v="2"/>
    <x v="1"/>
    <x v="0"/>
  </r>
  <r>
    <s v="REL04635"/>
    <s v="Female"/>
    <n v="24"/>
    <s v="HSC"/>
    <s v="Single"/>
    <x v="7"/>
    <s v="Sales Executive"/>
    <x v="3"/>
    <x v="4"/>
    <s v="North"/>
    <n v="2"/>
    <n v="51311"/>
    <x v="0"/>
    <n v="1"/>
    <n v="1"/>
    <n v="48"/>
    <n v="1"/>
    <d v="2021-12-22T00:00:00"/>
    <s v="No"/>
    <x v="0"/>
    <n v="3"/>
    <x v="3"/>
    <x v="0"/>
    <x v="0"/>
  </r>
  <r>
    <s v="REL04636"/>
    <s v="Female"/>
    <n v="23"/>
    <s v="Graduate"/>
    <s v="Divorced"/>
    <x v="2"/>
    <s v="HR Manager"/>
    <x v="2"/>
    <x v="0"/>
    <s v="North"/>
    <n v="7"/>
    <n v="87315"/>
    <x v="3"/>
    <n v="4"/>
    <n v="4"/>
    <n v="47"/>
    <n v="0"/>
    <d v="2016-12-01T00:00:00"/>
    <s v="No"/>
    <x v="1"/>
    <n v="4"/>
    <x v="1"/>
    <x v="2"/>
    <x v="0"/>
  </r>
  <r>
    <s v="REL04637"/>
    <s v="Male"/>
    <n v="36"/>
    <s v="HSC"/>
    <s v="Single"/>
    <x v="0"/>
    <s v="Customer Service Rep"/>
    <x v="1"/>
    <x v="7"/>
    <s v="East"/>
    <n v="8"/>
    <n v="53643"/>
    <x v="2"/>
    <n v="1"/>
    <n v="3"/>
    <n v="38"/>
    <n v="1"/>
    <d v="2015-11-20T00:00:00"/>
    <s v="No"/>
    <x v="0"/>
    <n v="2"/>
    <x v="1"/>
    <x v="0"/>
    <x v="1"/>
  </r>
  <r>
    <s v="REL04638"/>
    <s v="Male"/>
    <n v="32"/>
    <s v="Post Graduate"/>
    <s v="Married"/>
    <x v="1"/>
    <s v="Marketing Executive"/>
    <x v="4"/>
    <x v="4"/>
    <s v="North"/>
    <n v="10"/>
    <n v="79808"/>
    <x v="2"/>
    <n v="4"/>
    <n v="2"/>
    <n v="45"/>
    <n v="3"/>
    <d v="2013-04-14T00:00:00"/>
    <s v="No"/>
    <x v="0"/>
    <n v="2"/>
    <x v="1"/>
    <x v="0"/>
    <x v="1"/>
  </r>
  <r>
    <s v="REL04639"/>
    <s v="Male"/>
    <n v="48"/>
    <s v="HSC"/>
    <s v="Single"/>
    <x v="6"/>
    <s v="Finance Analyst"/>
    <x v="2"/>
    <x v="6"/>
    <s v="South"/>
    <n v="14"/>
    <n v="81412"/>
    <x v="2"/>
    <n v="4"/>
    <n v="4"/>
    <n v="35"/>
    <n v="0"/>
    <d v="2009-09-07T00:00:00"/>
    <s v="No"/>
    <x v="1"/>
    <n v="2"/>
    <x v="2"/>
    <x v="0"/>
    <x v="1"/>
  </r>
  <r>
    <s v="REL04640"/>
    <s v="Male"/>
    <n v="22"/>
    <s v="Post Graduate"/>
    <s v="Divorced"/>
    <x v="7"/>
    <s v="Store Manager"/>
    <x v="2"/>
    <x v="1"/>
    <s v="North"/>
    <n v="15"/>
    <n v="112659"/>
    <x v="2"/>
    <n v="3"/>
    <n v="3"/>
    <n v="11"/>
    <n v="3"/>
    <d v="2008-08-11T00:00:00"/>
    <s v="No"/>
    <x v="1"/>
    <n v="2"/>
    <x v="2"/>
    <x v="0"/>
    <x v="1"/>
  </r>
  <r>
    <s v="REL04641"/>
    <s v="Female"/>
    <n v="36"/>
    <s v="Post Graduate"/>
    <s v="Divorced"/>
    <x v="6"/>
    <s v="Sales Executive"/>
    <x v="3"/>
    <x v="8"/>
    <s v="South"/>
    <n v="6"/>
    <n v="58121"/>
    <x v="1"/>
    <n v="1"/>
    <n v="2"/>
    <n v="36"/>
    <n v="3"/>
    <d v="2017-04-22T00:00:00"/>
    <s v="Yes"/>
    <x v="0"/>
    <n v="1"/>
    <x v="1"/>
    <x v="1"/>
    <x v="1"/>
  </r>
  <r>
    <s v="REL04642"/>
    <s v="Male"/>
    <n v="23"/>
    <s v="Graduate"/>
    <s v="Divorced"/>
    <x v="5"/>
    <s v="Sales Executive"/>
    <x v="3"/>
    <x v="7"/>
    <s v="East"/>
    <n v="5"/>
    <n v="48533"/>
    <x v="2"/>
    <n v="3"/>
    <n v="1"/>
    <n v="37"/>
    <n v="1"/>
    <d v="2018-09-24T00:00:00"/>
    <s v="No"/>
    <x v="2"/>
    <n v="2"/>
    <x v="0"/>
    <x v="0"/>
    <x v="1"/>
  </r>
  <r>
    <s v="REL04643"/>
    <s v="Female"/>
    <n v="34"/>
    <s v="MBA"/>
    <s v="Married"/>
    <x v="0"/>
    <s v="HR Manager"/>
    <x v="2"/>
    <x v="8"/>
    <s v="South"/>
    <n v="10"/>
    <n v="89526"/>
    <x v="3"/>
    <n v="3"/>
    <n v="3"/>
    <n v="59"/>
    <n v="3"/>
    <d v="2013-09-11T00:00:00"/>
    <s v="No"/>
    <x v="1"/>
    <n v="4"/>
    <x v="1"/>
    <x v="2"/>
    <x v="0"/>
  </r>
  <r>
    <s v="REL04644"/>
    <s v="Male"/>
    <n v="40"/>
    <s v="BTech"/>
    <s v="Married"/>
    <x v="0"/>
    <s v="Logistics Coordinator"/>
    <x v="1"/>
    <x v="5"/>
    <s v="South"/>
    <n v="7"/>
    <n v="67706"/>
    <x v="3"/>
    <n v="1"/>
    <n v="4"/>
    <n v="62"/>
    <n v="2"/>
    <d v="2016-03-27T00:00:00"/>
    <s v="No"/>
    <x v="0"/>
    <n v="4"/>
    <x v="1"/>
    <x v="2"/>
    <x v="1"/>
  </r>
  <r>
    <s v="REL04645"/>
    <s v="Male"/>
    <n v="36"/>
    <s v="Graduate"/>
    <s v="Single"/>
    <x v="6"/>
    <s v="Finance Analyst"/>
    <x v="0"/>
    <x v="8"/>
    <s v="South"/>
    <n v="6"/>
    <n v="65080"/>
    <x v="3"/>
    <n v="2"/>
    <n v="2"/>
    <n v="45"/>
    <n v="1"/>
    <d v="2017-01-28T00:00:00"/>
    <s v="No"/>
    <x v="0"/>
    <n v="4"/>
    <x v="1"/>
    <x v="2"/>
    <x v="1"/>
  </r>
  <r>
    <s v="REL04646"/>
    <s v="Male"/>
    <n v="54"/>
    <s v="Post Graduate"/>
    <s v="Divorced"/>
    <x v="4"/>
    <s v="Store Manager"/>
    <x v="0"/>
    <x v="1"/>
    <s v="North"/>
    <n v="6"/>
    <n v="102574"/>
    <x v="2"/>
    <n v="1"/>
    <n v="2"/>
    <n v="72"/>
    <n v="2"/>
    <d v="2017-02-06T00:00:00"/>
    <s v="No"/>
    <x v="1"/>
    <n v="2"/>
    <x v="1"/>
    <x v="0"/>
    <x v="1"/>
  </r>
  <r>
    <s v="REL04647"/>
    <s v="Female"/>
    <n v="52"/>
    <s v="BTech"/>
    <s v="Single"/>
    <x v="0"/>
    <s v="Store Manager"/>
    <x v="4"/>
    <x v="8"/>
    <s v="South"/>
    <n v="2"/>
    <n v="89779"/>
    <x v="3"/>
    <n v="2"/>
    <n v="4"/>
    <n v="42"/>
    <n v="3"/>
    <d v="2021-04-05T00:00:00"/>
    <s v="No"/>
    <x v="1"/>
    <n v="4"/>
    <x v="3"/>
    <x v="2"/>
    <x v="0"/>
  </r>
  <r>
    <s v="REL04648"/>
    <s v="Male"/>
    <n v="54"/>
    <s v="MBA"/>
    <s v="Divorced"/>
    <x v="4"/>
    <s v="Sales Executive"/>
    <x v="2"/>
    <x v="8"/>
    <s v="South"/>
    <n v="14"/>
    <n v="71198"/>
    <x v="0"/>
    <n v="4"/>
    <n v="4"/>
    <n v="39"/>
    <n v="2"/>
    <d v="2009-06-10T00:00:00"/>
    <s v="No"/>
    <x v="0"/>
    <n v="3"/>
    <x v="2"/>
    <x v="0"/>
    <x v="0"/>
  </r>
  <r>
    <s v="REL04649"/>
    <s v="Male"/>
    <n v="27"/>
    <s v="HSC"/>
    <s v="Single"/>
    <x v="5"/>
    <s v="Marketing Executive"/>
    <x v="1"/>
    <x v="1"/>
    <s v="North"/>
    <n v="15"/>
    <n v="81824"/>
    <x v="1"/>
    <n v="4"/>
    <n v="1"/>
    <n v="56"/>
    <n v="3"/>
    <d v="2008-10-31T00:00:00"/>
    <s v="Yes"/>
    <x v="1"/>
    <n v="1"/>
    <x v="2"/>
    <x v="1"/>
    <x v="2"/>
  </r>
  <r>
    <s v="REL04650"/>
    <s v="Male"/>
    <n v="24"/>
    <s v="Graduate"/>
    <s v="Divorced"/>
    <x v="4"/>
    <s v="Finance Analyst"/>
    <x v="1"/>
    <x v="4"/>
    <s v="North"/>
    <n v="6"/>
    <n v="72452"/>
    <x v="3"/>
    <n v="3"/>
    <n v="3"/>
    <n v="49"/>
    <n v="3"/>
    <d v="2017-11-02T00:00:00"/>
    <s v="No"/>
    <x v="0"/>
    <n v="4"/>
    <x v="1"/>
    <x v="2"/>
    <x v="1"/>
  </r>
  <r>
    <s v="REL04651"/>
    <s v="Female"/>
    <n v="54"/>
    <s v="Graduate"/>
    <s v="Divorced"/>
    <x v="2"/>
    <s v="Finance Analyst"/>
    <x v="2"/>
    <x v="7"/>
    <s v="East"/>
    <n v="6"/>
    <n v="69703"/>
    <x v="2"/>
    <n v="1"/>
    <n v="2"/>
    <n v="10"/>
    <n v="1"/>
    <d v="2017-01-20T00:00:00"/>
    <s v="No"/>
    <x v="0"/>
    <n v="2"/>
    <x v="1"/>
    <x v="0"/>
    <x v="1"/>
  </r>
  <r>
    <s v="REL04652"/>
    <s v="Male"/>
    <n v="30"/>
    <s v="HSC"/>
    <s v="Divorced"/>
    <x v="7"/>
    <s v="Logistics Coordinator"/>
    <x v="4"/>
    <x v="6"/>
    <s v="South"/>
    <n v="9"/>
    <n v="55223"/>
    <x v="1"/>
    <n v="1"/>
    <n v="1"/>
    <n v="57"/>
    <n v="2"/>
    <d v="2014-09-05T00:00:00"/>
    <s v="No"/>
    <x v="0"/>
    <n v="1"/>
    <x v="1"/>
    <x v="0"/>
    <x v="1"/>
  </r>
  <r>
    <s v="REL04653"/>
    <s v="Male"/>
    <n v="27"/>
    <s v="MBA"/>
    <s v="Married"/>
    <x v="1"/>
    <s v="HR Manager"/>
    <x v="2"/>
    <x v="9"/>
    <s v="West"/>
    <n v="3"/>
    <n v="78945"/>
    <x v="0"/>
    <n v="3"/>
    <n v="2"/>
    <n v="60"/>
    <n v="1"/>
    <d v="2020-06-10T00:00:00"/>
    <s v="No"/>
    <x v="0"/>
    <n v="3"/>
    <x v="0"/>
    <x v="0"/>
    <x v="0"/>
  </r>
  <r>
    <s v="REL04654"/>
    <s v="Male"/>
    <n v="24"/>
    <s v="MBA"/>
    <s v="Single"/>
    <x v="0"/>
    <s v="Operations Head"/>
    <x v="1"/>
    <x v="6"/>
    <s v="South"/>
    <n v="3"/>
    <n v="95885"/>
    <x v="3"/>
    <n v="3"/>
    <n v="3"/>
    <n v="61"/>
    <n v="3"/>
    <d v="2020-07-26T00:00:00"/>
    <s v="No"/>
    <x v="1"/>
    <n v="4"/>
    <x v="0"/>
    <x v="2"/>
    <x v="0"/>
  </r>
  <r>
    <s v="REL04655"/>
    <s v="Male"/>
    <n v="40"/>
    <s v="BTech"/>
    <s v="Married"/>
    <x v="7"/>
    <s v="Marketing Executive"/>
    <x v="1"/>
    <x v="6"/>
    <s v="South"/>
    <n v="8"/>
    <n v="56758"/>
    <x v="2"/>
    <n v="4"/>
    <n v="4"/>
    <n v="20"/>
    <n v="2"/>
    <d v="2015-01-06T00:00:00"/>
    <s v="No"/>
    <x v="0"/>
    <n v="2"/>
    <x v="1"/>
    <x v="0"/>
    <x v="1"/>
  </r>
  <r>
    <s v="REL04656"/>
    <s v="Female"/>
    <n v="24"/>
    <s v="Graduate"/>
    <s v="Divorced"/>
    <x v="7"/>
    <s v="Store Manager"/>
    <x v="2"/>
    <x v="2"/>
    <s v="West"/>
    <n v="11"/>
    <n v="102043"/>
    <x v="0"/>
    <n v="2"/>
    <n v="2"/>
    <n v="72"/>
    <n v="2"/>
    <d v="2012-09-01T00:00:00"/>
    <s v="Yes"/>
    <x v="1"/>
    <n v="3"/>
    <x v="2"/>
    <x v="1"/>
    <x v="0"/>
  </r>
  <r>
    <s v="REL04657"/>
    <s v="Male"/>
    <n v="55"/>
    <s v="Graduate"/>
    <s v="Married"/>
    <x v="1"/>
    <s v="Operations Head"/>
    <x v="4"/>
    <x v="3"/>
    <s v="West"/>
    <n v="10"/>
    <n v="120657"/>
    <x v="1"/>
    <n v="4"/>
    <n v="4"/>
    <n v="57"/>
    <n v="0"/>
    <d v="2013-08-23T00:00:00"/>
    <s v="Yes"/>
    <x v="1"/>
    <n v="1"/>
    <x v="1"/>
    <x v="1"/>
    <x v="2"/>
  </r>
  <r>
    <s v="REL04658"/>
    <s v="Male"/>
    <n v="27"/>
    <s v="BTech"/>
    <s v="Married"/>
    <x v="0"/>
    <s v="Logistics Coordinator"/>
    <x v="2"/>
    <x v="7"/>
    <s v="East"/>
    <n v="9"/>
    <n v="61543"/>
    <x v="3"/>
    <n v="1"/>
    <n v="3"/>
    <n v="20"/>
    <n v="3"/>
    <d v="2014-02-26T00:00:00"/>
    <s v="No"/>
    <x v="0"/>
    <n v="4"/>
    <x v="1"/>
    <x v="2"/>
    <x v="1"/>
  </r>
  <r>
    <s v="REL04659"/>
    <s v="Male"/>
    <n v="25"/>
    <s v="Post Graduate"/>
    <s v="Single"/>
    <x v="1"/>
    <s v="Store Manager"/>
    <x v="1"/>
    <x v="2"/>
    <s v="West"/>
    <n v="2"/>
    <n v="96978"/>
    <x v="1"/>
    <n v="3"/>
    <n v="2"/>
    <n v="57"/>
    <n v="2"/>
    <d v="2021-12-28T00:00:00"/>
    <s v="Yes"/>
    <x v="1"/>
    <n v="1"/>
    <x v="3"/>
    <x v="1"/>
    <x v="2"/>
  </r>
  <r>
    <s v="REL04660"/>
    <s v="Female"/>
    <n v="40"/>
    <s v="Post Graduate"/>
    <s v="Single"/>
    <x v="5"/>
    <s v="Store Manager"/>
    <x v="2"/>
    <x v="7"/>
    <s v="East"/>
    <n v="3"/>
    <n v="91633"/>
    <x v="1"/>
    <n v="2"/>
    <n v="2"/>
    <n v="56"/>
    <n v="3"/>
    <d v="2020-12-31T00:00:00"/>
    <s v="Yes"/>
    <x v="1"/>
    <n v="1"/>
    <x v="0"/>
    <x v="1"/>
    <x v="2"/>
  </r>
  <r>
    <s v="REL04661"/>
    <s v="Male"/>
    <n v="28"/>
    <s v="Graduate"/>
    <s v="Divorced"/>
    <x v="6"/>
    <s v="Sales Executive"/>
    <x v="3"/>
    <x v="5"/>
    <s v="South"/>
    <n v="8"/>
    <n v="47399"/>
    <x v="3"/>
    <n v="2"/>
    <n v="1"/>
    <n v="38"/>
    <n v="1"/>
    <d v="2015-01-07T00:00:00"/>
    <s v="No"/>
    <x v="2"/>
    <n v="4"/>
    <x v="1"/>
    <x v="2"/>
    <x v="1"/>
  </r>
  <r>
    <s v="REL04662"/>
    <s v="Female"/>
    <n v="38"/>
    <s v="HSC"/>
    <s v="Single"/>
    <x v="1"/>
    <s v="Operations Head"/>
    <x v="2"/>
    <x v="6"/>
    <s v="South"/>
    <n v="6"/>
    <n v="104332"/>
    <x v="0"/>
    <n v="4"/>
    <n v="3"/>
    <n v="61"/>
    <n v="0"/>
    <d v="2017-01-15T00:00:00"/>
    <s v="No"/>
    <x v="1"/>
    <n v="3"/>
    <x v="1"/>
    <x v="0"/>
    <x v="0"/>
  </r>
  <r>
    <s v="REL04663"/>
    <s v="Male"/>
    <n v="54"/>
    <s v="Post Graduate"/>
    <s v="Married"/>
    <x v="6"/>
    <s v="Sales Executive"/>
    <x v="3"/>
    <x v="6"/>
    <s v="South"/>
    <n v="15"/>
    <n v="65642"/>
    <x v="2"/>
    <n v="3"/>
    <n v="4"/>
    <n v="33"/>
    <n v="1"/>
    <d v="2008-06-16T00:00:00"/>
    <s v="Yes"/>
    <x v="0"/>
    <n v="2"/>
    <x v="2"/>
    <x v="1"/>
    <x v="1"/>
  </r>
  <r>
    <s v="REL04664"/>
    <s v="Male"/>
    <n v="46"/>
    <s v="Graduate"/>
    <s v="Married"/>
    <x v="7"/>
    <s v="Operations Head"/>
    <x v="2"/>
    <x v="5"/>
    <s v="South"/>
    <n v="12"/>
    <n v="116136"/>
    <x v="2"/>
    <n v="2"/>
    <n v="1"/>
    <n v="10"/>
    <n v="2"/>
    <d v="2011-05-31T00:00:00"/>
    <s v="No"/>
    <x v="1"/>
    <n v="2"/>
    <x v="2"/>
    <x v="0"/>
    <x v="1"/>
  </r>
  <r>
    <s v="REL04665"/>
    <s v="Male"/>
    <n v="43"/>
    <s v="BTech"/>
    <s v="Divorced"/>
    <x v="5"/>
    <s v="Store Manager"/>
    <x v="4"/>
    <x v="0"/>
    <s v="North"/>
    <n v="2"/>
    <n v="96393"/>
    <x v="1"/>
    <n v="3"/>
    <n v="1"/>
    <n v="56"/>
    <n v="1"/>
    <d v="2021-06-26T00:00:00"/>
    <s v="Yes"/>
    <x v="1"/>
    <n v="1"/>
    <x v="3"/>
    <x v="1"/>
    <x v="2"/>
  </r>
  <r>
    <s v="REL04666"/>
    <s v="Male"/>
    <n v="39"/>
    <s v="BTech"/>
    <s v="Married"/>
    <x v="0"/>
    <s v="Marketing Executive"/>
    <x v="1"/>
    <x v="6"/>
    <s v="South"/>
    <n v="9"/>
    <n v="70192"/>
    <x v="0"/>
    <n v="1"/>
    <n v="1"/>
    <n v="50"/>
    <n v="1"/>
    <d v="2014-08-17T00:00:00"/>
    <s v="No"/>
    <x v="0"/>
    <n v="3"/>
    <x v="1"/>
    <x v="0"/>
    <x v="0"/>
  </r>
  <r>
    <s v="REL04667"/>
    <s v="Female"/>
    <n v="35"/>
    <s v="Post Graduate"/>
    <s v="Married"/>
    <x v="0"/>
    <s v="Logistics Coordinator"/>
    <x v="4"/>
    <x v="1"/>
    <s v="North"/>
    <n v="5"/>
    <n v="49002"/>
    <x v="1"/>
    <n v="4"/>
    <n v="4"/>
    <n v="44"/>
    <n v="1"/>
    <d v="2018-01-31T00:00:00"/>
    <s v="Yes"/>
    <x v="2"/>
    <n v="1"/>
    <x v="0"/>
    <x v="1"/>
    <x v="1"/>
  </r>
  <r>
    <s v="REL04668"/>
    <s v="Female"/>
    <n v="34"/>
    <s v="Graduate"/>
    <s v="Single"/>
    <x v="6"/>
    <s v="Store Manager"/>
    <x v="2"/>
    <x v="1"/>
    <s v="North"/>
    <n v="9"/>
    <n v="96385"/>
    <x v="1"/>
    <n v="3"/>
    <n v="3"/>
    <n v="67"/>
    <n v="3"/>
    <d v="2014-06-02T00:00:00"/>
    <s v="No"/>
    <x v="1"/>
    <n v="1"/>
    <x v="1"/>
    <x v="0"/>
    <x v="2"/>
  </r>
  <r>
    <s v="REL04669"/>
    <s v="Male"/>
    <n v="54"/>
    <s v="Post Graduate"/>
    <s v="Single"/>
    <x v="3"/>
    <s v="HR Manager"/>
    <x v="0"/>
    <x v="8"/>
    <s v="South"/>
    <n v="5"/>
    <n v="93427"/>
    <x v="2"/>
    <n v="3"/>
    <n v="3"/>
    <n v="20"/>
    <n v="1"/>
    <d v="2018-04-01T00:00:00"/>
    <s v="No"/>
    <x v="1"/>
    <n v="2"/>
    <x v="0"/>
    <x v="0"/>
    <x v="1"/>
  </r>
  <r>
    <s v="REL04670"/>
    <s v="Female"/>
    <n v="33"/>
    <s v="Graduate"/>
    <s v="Single"/>
    <x v="6"/>
    <s v="HR Manager"/>
    <x v="1"/>
    <x v="2"/>
    <s v="West"/>
    <n v="8"/>
    <n v="95383"/>
    <x v="3"/>
    <n v="4"/>
    <n v="1"/>
    <n v="60"/>
    <n v="3"/>
    <d v="2015-02-27T00:00:00"/>
    <s v="No"/>
    <x v="1"/>
    <n v="4"/>
    <x v="1"/>
    <x v="2"/>
    <x v="0"/>
  </r>
  <r>
    <s v="REL04671"/>
    <s v="Male"/>
    <n v="39"/>
    <s v="Graduate"/>
    <s v="Married"/>
    <x v="3"/>
    <s v="Sales Executive"/>
    <x v="2"/>
    <x v="3"/>
    <s v="West"/>
    <n v="4"/>
    <n v="51448"/>
    <x v="1"/>
    <n v="1"/>
    <n v="2"/>
    <n v="49"/>
    <n v="0"/>
    <d v="2019-11-04T00:00:00"/>
    <s v="Yes"/>
    <x v="0"/>
    <n v="1"/>
    <x v="0"/>
    <x v="1"/>
    <x v="1"/>
  </r>
  <r>
    <s v="REL04672"/>
    <s v="Male"/>
    <n v="55"/>
    <s v="MBA"/>
    <s v="Married"/>
    <x v="6"/>
    <s v="Marketing Executive"/>
    <x v="4"/>
    <x v="9"/>
    <s v="West"/>
    <n v="2"/>
    <n v="60383"/>
    <x v="1"/>
    <n v="1"/>
    <n v="3"/>
    <n v="69"/>
    <n v="0"/>
    <d v="2021-02-16T00:00:00"/>
    <s v="Yes"/>
    <x v="0"/>
    <n v="1"/>
    <x v="3"/>
    <x v="1"/>
    <x v="1"/>
  </r>
  <r>
    <s v="REL04673"/>
    <s v="Female"/>
    <n v="34"/>
    <s v="HSC"/>
    <s v="Divorced"/>
    <x v="3"/>
    <s v="Logistics Coordinator"/>
    <x v="4"/>
    <x v="8"/>
    <s v="South"/>
    <n v="13"/>
    <n v="70735"/>
    <x v="1"/>
    <n v="3"/>
    <n v="2"/>
    <n v="11"/>
    <n v="0"/>
    <d v="2010-04-08T00:00:00"/>
    <s v="No"/>
    <x v="0"/>
    <n v="1"/>
    <x v="2"/>
    <x v="0"/>
    <x v="1"/>
  </r>
  <r>
    <s v="REL04674"/>
    <s v="Male"/>
    <n v="29"/>
    <s v="BTech"/>
    <s v="Married"/>
    <x v="3"/>
    <s v="Customer Service Rep"/>
    <x v="3"/>
    <x v="6"/>
    <s v="South"/>
    <n v="2"/>
    <n v="36995"/>
    <x v="2"/>
    <n v="1"/>
    <n v="3"/>
    <n v="15"/>
    <n v="1"/>
    <d v="2021-08-26T00:00:00"/>
    <s v="No"/>
    <x v="2"/>
    <n v="2"/>
    <x v="3"/>
    <x v="0"/>
    <x v="1"/>
  </r>
  <r>
    <s v="REL04675"/>
    <s v="Female"/>
    <n v="22"/>
    <s v="BTech"/>
    <s v="Married"/>
    <x v="2"/>
    <s v="Customer Service Rep"/>
    <x v="3"/>
    <x v="6"/>
    <s v="South"/>
    <n v="12"/>
    <n v="56274"/>
    <x v="0"/>
    <n v="1"/>
    <n v="4"/>
    <n v="47"/>
    <n v="1"/>
    <d v="2011-10-04T00:00:00"/>
    <s v="No"/>
    <x v="0"/>
    <n v="3"/>
    <x v="2"/>
    <x v="0"/>
    <x v="0"/>
  </r>
  <r>
    <s v="REL04676"/>
    <s v="Male"/>
    <n v="54"/>
    <s v="MBA"/>
    <s v="Married"/>
    <x v="1"/>
    <s v="HR Manager"/>
    <x v="0"/>
    <x v="1"/>
    <s v="North"/>
    <n v="7"/>
    <n v="86944"/>
    <x v="3"/>
    <n v="3"/>
    <n v="1"/>
    <n v="27"/>
    <n v="0"/>
    <d v="2016-07-22T00:00:00"/>
    <s v="No"/>
    <x v="1"/>
    <n v="4"/>
    <x v="1"/>
    <x v="2"/>
    <x v="0"/>
  </r>
  <r>
    <s v="REL04677"/>
    <s v="Male"/>
    <n v="29"/>
    <s v="BTech"/>
    <s v="Single"/>
    <x v="1"/>
    <s v="Logistics Coordinator"/>
    <x v="2"/>
    <x v="5"/>
    <s v="South"/>
    <n v="8"/>
    <n v="51670"/>
    <x v="0"/>
    <n v="4"/>
    <n v="3"/>
    <n v="74"/>
    <n v="0"/>
    <d v="2015-03-09T00:00:00"/>
    <s v="No"/>
    <x v="0"/>
    <n v="3"/>
    <x v="1"/>
    <x v="0"/>
    <x v="0"/>
  </r>
  <r>
    <s v="REL04678"/>
    <s v="Female"/>
    <n v="47"/>
    <s v="Post Graduate"/>
    <s v="Single"/>
    <x v="4"/>
    <s v="Customer Service Rep"/>
    <x v="2"/>
    <x v="2"/>
    <s v="West"/>
    <n v="13"/>
    <n v="53066"/>
    <x v="2"/>
    <n v="1"/>
    <n v="3"/>
    <n v="75"/>
    <n v="1"/>
    <d v="2010-02-24T00:00:00"/>
    <s v="No"/>
    <x v="0"/>
    <n v="2"/>
    <x v="2"/>
    <x v="0"/>
    <x v="1"/>
  </r>
  <r>
    <s v="REL04679"/>
    <s v="Male"/>
    <n v="53"/>
    <s v="MBA"/>
    <s v="Single"/>
    <x v="7"/>
    <s v="Operations Head"/>
    <x v="3"/>
    <x v="3"/>
    <s v="West"/>
    <n v="13"/>
    <n v="123309"/>
    <x v="3"/>
    <n v="1"/>
    <n v="3"/>
    <n v="40"/>
    <n v="3"/>
    <d v="2010-07-27T00:00:00"/>
    <s v="No"/>
    <x v="1"/>
    <n v="4"/>
    <x v="2"/>
    <x v="2"/>
    <x v="0"/>
  </r>
  <r>
    <s v="REL04680"/>
    <s v="Male"/>
    <n v="34"/>
    <s v="Post Graduate"/>
    <s v="Divorced"/>
    <x v="5"/>
    <s v="Operations Head"/>
    <x v="2"/>
    <x v="9"/>
    <s v="West"/>
    <n v="6"/>
    <n v="98458"/>
    <x v="0"/>
    <n v="3"/>
    <n v="2"/>
    <n v="35"/>
    <n v="2"/>
    <d v="2017-07-25T00:00:00"/>
    <s v="No"/>
    <x v="1"/>
    <n v="3"/>
    <x v="1"/>
    <x v="0"/>
    <x v="0"/>
  </r>
  <r>
    <s v="REL04681"/>
    <s v="Male"/>
    <n v="32"/>
    <s v="HSC"/>
    <s v="Married"/>
    <x v="6"/>
    <s v="Operations Head"/>
    <x v="1"/>
    <x v="3"/>
    <s v="West"/>
    <n v="14"/>
    <n v="120970"/>
    <x v="2"/>
    <n v="4"/>
    <n v="1"/>
    <n v="32"/>
    <n v="3"/>
    <d v="2009-04-15T00:00:00"/>
    <s v="No"/>
    <x v="1"/>
    <n v="2"/>
    <x v="2"/>
    <x v="0"/>
    <x v="1"/>
  </r>
  <r>
    <s v="REL04682"/>
    <s v="Female"/>
    <n v="46"/>
    <s v="BTech"/>
    <s v="Divorced"/>
    <x v="0"/>
    <s v="Operations Head"/>
    <x v="3"/>
    <x v="1"/>
    <s v="North"/>
    <n v="5"/>
    <n v="113084"/>
    <x v="1"/>
    <n v="2"/>
    <n v="4"/>
    <n v="74"/>
    <n v="2"/>
    <d v="2018-06-08T00:00:00"/>
    <s v="No"/>
    <x v="1"/>
    <n v="1"/>
    <x v="0"/>
    <x v="0"/>
    <x v="2"/>
  </r>
  <r>
    <s v="REL04683"/>
    <s v="Female"/>
    <n v="25"/>
    <s v="MBA"/>
    <s v="Single"/>
    <x v="2"/>
    <s v="Store Manager"/>
    <x v="2"/>
    <x v="7"/>
    <s v="East"/>
    <n v="13"/>
    <n v="104123"/>
    <x v="1"/>
    <n v="4"/>
    <n v="1"/>
    <n v="51"/>
    <n v="2"/>
    <d v="2010-09-22T00:00:00"/>
    <s v="No"/>
    <x v="1"/>
    <n v="1"/>
    <x v="2"/>
    <x v="0"/>
    <x v="2"/>
  </r>
  <r>
    <s v="REL04684"/>
    <s v="Male"/>
    <n v="36"/>
    <s v="BTech"/>
    <s v="Married"/>
    <x v="5"/>
    <s v="Customer Service Rep"/>
    <x v="3"/>
    <x v="8"/>
    <s v="South"/>
    <n v="2"/>
    <n v="37942"/>
    <x v="2"/>
    <n v="1"/>
    <n v="3"/>
    <n v="50"/>
    <n v="0"/>
    <d v="2021-08-12T00:00:00"/>
    <s v="Yes"/>
    <x v="2"/>
    <n v="2"/>
    <x v="3"/>
    <x v="1"/>
    <x v="1"/>
  </r>
  <r>
    <s v="REL04685"/>
    <s v="Male"/>
    <n v="39"/>
    <s v="Graduate"/>
    <s v="Single"/>
    <x v="4"/>
    <s v="HR Manager"/>
    <x v="4"/>
    <x v="4"/>
    <s v="North"/>
    <n v="11"/>
    <n v="92092"/>
    <x v="0"/>
    <n v="1"/>
    <n v="1"/>
    <n v="25"/>
    <n v="0"/>
    <d v="2012-04-15T00:00:00"/>
    <s v="No"/>
    <x v="1"/>
    <n v="3"/>
    <x v="2"/>
    <x v="0"/>
    <x v="0"/>
  </r>
  <r>
    <s v="REL04686"/>
    <s v="Female"/>
    <n v="42"/>
    <s v="BTech"/>
    <s v="Divorced"/>
    <x v="0"/>
    <s v="HR Manager"/>
    <x v="0"/>
    <x v="7"/>
    <s v="East"/>
    <n v="12"/>
    <n v="106785"/>
    <x v="2"/>
    <n v="1"/>
    <n v="1"/>
    <n v="14"/>
    <n v="3"/>
    <d v="2011-06-04T00:00:00"/>
    <s v="Yes"/>
    <x v="1"/>
    <n v="2"/>
    <x v="2"/>
    <x v="1"/>
    <x v="1"/>
  </r>
  <r>
    <s v="REL04687"/>
    <s v="Female"/>
    <n v="39"/>
    <s v="HSC"/>
    <s v="Married"/>
    <x v="5"/>
    <s v="Finance Analyst"/>
    <x v="0"/>
    <x v="5"/>
    <s v="South"/>
    <n v="10"/>
    <n v="74692"/>
    <x v="3"/>
    <n v="4"/>
    <n v="3"/>
    <n v="80"/>
    <n v="1"/>
    <d v="2013-09-28T00:00:00"/>
    <s v="No"/>
    <x v="0"/>
    <n v="4"/>
    <x v="1"/>
    <x v="2"/>
    <x v="1"/>
  </r>
  <r>
    <s v="REL04688"/>
    <s v="Female"/>
    <n v="30"/>
    <s v="Post Graduate"/>
    <s v="Single"/>
    <x v="7"/>
    <s v="Customer Service Rep"/>
    <x v="3"/>
    <x v="8"/>
    <s v="South"/>
    <n v="12"/>
    <n v="66513"/>
    <x v="0"/>
    <n v="3"/>
    <n v="1"/>
    <n v="25"/>
    <n v="0"/>
    <d v="2011-07-06T00:00:00"/>
    <s v="No"/>
    <x v="0"/>
    <n v="3"/>
    <x v="2"/>
    <x v="0"/>
    <x v="0"/>
  </r>
  <r>
    <s v="REL04689"/>
    <s v="Female"/>
    <n v="53"/>
    <s v="MBA"/>
    <s v="Divorced"/>
    <x v="0"/>
    <s v="Operations Head"/>
    <x v="4"/>
    <x v="2"/>
    <s v="West"/>
    <n v="7"/>
    <n v="118165"/>
    <x v="0"/>
    <n v="1"/>
    <n v="2"/>
    <n v="16"/>
    <n v="1"/>
    <d v="2016-05-04T00:00:00"/>
    <s v="No"/>
    <x v="1"/>
    <n v="3"/>
    <x v="1"/>
    <x v="0"/>
    <x v="0"/>
  </r>
  <r>
    <s v="REL04690"/>
    <s v="Female"/>
    <n v="41"/>
    <s v="Post Graduate"/>
    <s v="Single"/>
    <x v="7"/>
    <s v="Finance Analyst"/>
    <x v="3"/>
    <x v="4"/>
    <s v="North"/>
    <n v="8"/>
    <n v="77187"/>
    <x v="0"/>
    <n v="2"/>
    <n v="4"/>
    <n v="58"/>
    <n v="3"/>
    <d v="2015-07-03T00:00:00"/>
    <s v="No"/>
    <x v="0"/>
    <n v="3"/>
    <x v="1"/>
    <x v="0"/>
    <x v="0"/>
  </r>
  <r>
    <s v="REL04691"/>
    <s v="Male"/>
    <n v="36"/>
    <s v="BTech"/>
    <s v="Married"/>
    <x v="2"/>
    <s v="Customer Service Rep"/>
    <x v="3"/>
    <x v="0"/>
    <s v="North"/>
    <n v="13"/>
    <n v="57646"/>
    <x v="0"/>
    <n v="2"/>
    <n v="1"/>
    <n v="78"/>
    <n v="3"/>
    <d v="2010-10-05T00:00:00"/>
    <s v="No"/>
    <x v="0"/>
    <n v="3"/>
    <x v="2"/>
    <x v="0"/>
    <x v="0"/>
  </r>
  <r>
    <s v="REL04692"/>
    <s v="Female"/>
    <n v="28"/>
    <s v="Post Graduate"/>
    <s v="Single"/>
    <x v="1"/>
    <s v="Marketing Executive"/>
    <x v="3"/>
    <x v="4"/>
    <s v="North"/>
    <n v="10"/>
    <n v="74878"/>
    <x v="2"/>
    <n v="3"/>
    <n v="4"/>
    <n v="28"/>
    <n v="0"/>
    <d v="2013-05-04T00:00:00"/>
    <s v="No"/>
    <x v="0"/>
    <n v="2"/>
    <x v="1"/>
    <x v="0"/>
    <x v="1"/>
  </r>
  <r>
    <s v="REL04693"/>
    <s v="Male"/>
    <n v="50"/>
    <s v="BTech"/>
    <s v="Married"/>
    <x v="2"/>
    <s v="Finance Analyst"/>
    <x v="2"/>
    <x v="9"/>
    <s v="West"/>
    <n v="8"/>
    <n v="84149"/>
    <x v="2"/>
    <n v="3"/>
    <n v="2"/>
    <n v="37"/>
    <n v="2"/>
    <d v="2015-08-03T00:00:00"/>
    <s v="No"/>
    <x v="1"/>
    <n v="2"/>
    <x v="1"/>
    <x v="0"/>
    <x v="1"/>
  </r>
  <r>
    <s v="REL04694"/>
    <s v="Male"/>
    <n v="42"/>
    <s v="Graduate"/>
    <s v="Married"/>
    <x v="2"/>
    <s v="Logistics Coordinator"/>
    <x v="2"/>
    <x v="0"/>
    <s v="North"/>
    <n v="15"/>
    <n v="74822"/>
    <x v="0"/>
    <n v="4"/>
    <n v="4"/>
    <n v="29"/>
    <n v="0"/>
    <d v="2008-01-16T00:00:00"/>
    <s v="No"/>
    <x v="0"/>
    <n v="3"/>
    <x v="2"/>
    <x v="0"/>
    <x v="0"/>
  </r>
  <r>
    <s v="REL04695"/>
    <s v="Female"/>
    <n v="42"/>
    <s v="Graduate"/>
    <s v="Single"/>
    <x v="4"/>
    <s v="Customer Service Rep"/>
    <x v="3"/>
    <x v="2"/>
    <s v="West"/>
    <n v="1"/>
    <n v="39142"/>
    <x v="2"/>
    <n v="4"/>
    <n v="1"/>
    <n v="51"/>
    <n v="2"/>
    <d v="2022-09-09T00:00:00"/>
    <s v="Yes"/>
    <x v="2"/>
    <n v="2"/>
    <x v="3"/>
    <x v="1"/>
    <x v="1"/>
  </r>
  <r>
    <s v="REL04696"/>
    <s v="Male"/>
    <n v="52"/>
    <s v="Post Graduate"/>
    <s v="Married"/>
    <x v="0"/>
    <s v="Finance Analyst"/>
    <x v="0"/>
    <x v="9"/>
    <s v="West"/>
    <n v="9"/>
    <n v="70064"/>
    <x v="1"/>
    <n v="4"/>
    <n v="4"/>
    <n v="76"/>
    <n v="2"/>
    <d v="2014-05-03T00:00:00"/>
    <s v="Yes"/>
    <x v="0"/>
    <n v="1"/>
    <x v="1"/>
    <x v="1"/>
    <x v="1"/>
  </r>
  <r>
    <s v="REL04697"/>
    <s v="Female"/>
    <n v="40"/>
    <s v="MBA"/>
    <s v="Single"/>
    <x v="4"/>
    <s v="Marketing Executive"/>
    <x v="2"/>
    <x v="2"/>
    <s v="West"/>
    <n v="6"/>
    <n v="70995"/>
    <x v="1"/>
    <n v="4"/>
    <n v="4"/>
    <n v="42"/>
    <n v="0"/>
    <d v="2017-02-19T00:00:00"/>
    <s v="Yes"/>
    <x v="0"/>
    <n v="1"/>
    <x v="1"/>
    <x v="1"/>
    <x v="1"/>
  </r>
  <r>
    <s v="REL04698"/>
    <s v="Female"/>
    <n v="29"/>
    <s v="HSC"/>
    <s v="Single"/>
    <x v="6"/>
    <s v="Operations Head"/>
    <x v="3"/>
    <x v="2"/>
    <s v="West"/>
    <n v="12"/>
    <n v="126219"/>
    <x v="2"/>
    <n v="4"/>
    <n v="1"/>
    <n v="12"/>
    <n v="0"/>
    <d v="2011-02-21T00:00:00"/>
    <s v="No"/>
    <x v="1"/>
    <n v="2"/>
    <x v="2"/>
    <x v="0"/>
    <x v="1"/>
  </r>
  <r>
    <s v="REL04699"/>
    <s v="Male"/>
    <n v="48"/>
    <s v="MBA"/>
    <s v="Single"/>
    <x v="4"/>
    <s v="Marketing Executive"/>
    <x v="2"/>
    <x v="8"/>
    <s v="South"/>
    <n v="12"/>
    <n v="75251"/>
    <x v="2"/>
    <n v="4"/>
    <n v="4"/>
    <n v="13"/>
    <n v="1"/>
    <d v="2012-01-04T00:00:00"/>
    <s v="Yes"/>
    <x v="0"/>
    <n v="2"/>
    <x v="2"/>
    <x v="1"/>
    <x v="1"/>
  </r>
  <r>
    <s v="REL04700"/>
    <s v="Female"/>
    <n v="31"/>
    <s v="MBA"/>
    <s v="Married"/>
    <x v="5"/>
    <s v="Finance Analyst"/>
    <x v="2"/>
    <x v="8"/>
    <s v="South"/>
    <n v="1"/>
    <n v="58202"/>
    <x v="3"/>
    <n v="2"/>
    <n v="1"/>
    <n v="28"/>
    <n v="0"/>
    <d v="2022-11-18T00:00:00"/>
    <s v="No"/>
    <x v="0"/>
    <n v="4"/>
    <x v="3"/>
    <x v="2"/>
    <x v="1"/>
  </r>
  <r>
    <s v="REL04701"/>
    <s v="Female"/>
    <n v="44"/>
    <s v="Post Graduate"/>
    <s v="Married"/>
    <x v="1"/>
    <s v="Store Manager"/>
    <x v="4"/>
    <x v="5"/>
    <s v="South"/>
    <n v="4"/>
    <n v="86924"/>
    <x v="2"/>
    <n v="3"/>
    <n v="1"/>
    <n v="32"/>
    <n v="3"/>
    <d v="2019-12-05T00:00:00"/>
    <s v="No"/>
    <x v="1"/>
    <n v="2"/>
    <x v="0"/>
    <x v="0"/>
    <x v="1"/>
  </r>
  <r>
    <s v="REL04702"/>
    <s v="Female"/>
    <n v="26"/>
    <s v="BTech"/>
    <s v="Divorced"/>
    <x v="0"/>
    <s v="Finance Analyst"/>
    <x v="2"/>
    <x v="3"/>
    <s v="West"/>
    <n v="11"/>
    <n v="80732"/>
    <x v="1"/>
    <n v="3"/>
    <n v="2"/>
    <n v="13"/>
    <n v="3"/>
    <d v="2012-04-16T00:00:00"/>
    <s v="No"/>
    <x v="1"/>
    <n v="1"/>
    <x v="2"/>
    <x v="0"/>
    <x v="2"/>
  </r>
  <r>
    <s v="REL04703"/>
    <s v="Female"/>
    <n v="34"/>
    <s v="MBA"/>
    <s v="Married"/>
    <x v="4"/>
    <s v="HR Manager"/>
    <x v="1"/>
    <x v="6"/>
    <s v="South"/>
    <n v="9"/>
    <n v="84012"/>
    <x v="1"/>
    <n v="3"/>
    <n v="2"/>
    <n v="29"/>
    <n v="0"/>
    <d v="2014-10-22T00:00:00"/>
    <s v="No"/>
    <x v="1"/>
    <n v="1"/>
    <x v="1"/>
    <x v="0"/>
    <x v="2"/>
  </r>
  <r>
    <s v="REL04704"/>
    <s v="Female"/>
    <n v="28"/>
    <s v="HSC"/>
    <s v="Married"/>
    <x v="1"/>
    <s v="Store Manager"/>
    <x v="1"/>
    <x v="7"/>
    <s v="East"/>
    <n v="14"/>
    <n v="110655"/>
    <x v="2"/>
    <n v="1"/>
    <n v="4"/>
    <n v="18"/>
    <n v="2"/>
    <d v="2009-10-07T00:00:00"/>
    <s v="Yes"/>
    <x v="1"/>
    <n v="2"/>
    <x v="2"/>
    <x v="1"/>
    <x v="1"/>
  </r>
  <r>
    <s v="REL04705"/>
    <s v="Female"/>
    <n v="24"/>
    <s v="MBA"/>
    <s v="Single"/>
    <x v="6"/>
    <s v="Store Manager"/>
    <x v="3"/>
    <x v="8"/>
    <s v="South"/>
    <n v="4"/>
    <n v="92461"/>
    <x v="0"/>
    <n v="1"/>
    <n v="2"/>
    <n v="74"/>
    <n v="1"/>
    <d v="2019-11-09T00:00:00"/>
    <s v="No"/>
    <x v="1"/>
    <n v="3"/>
    <x v="0"/>
    <x v="0"/>
    <x v="0"/>
  </r>
  <r>
    <s v="REL04706"/>
    <s v="Female"/>
    <n v="42"/>
    <s v="HSC"/>
    <s v="Divorced"/>
    <x v="2"/>
    <s v="Customer Service Rep"/>
    <x v="0"/>
    <x v="7"/>
    <s v="East"/>
    <n v="4"/>
    <n v="42522"/>
    <x v="1"/>
    <n v="4"/>
    <n v="4"/>
    <n v="32"/>
    <n v="0"/>
    <d v="2019-06-28T00:00:00"/>
    <s v="Yes"/>
    <x v="2"/>
    <n v="1"/>
    <x v="0"/>
    <x v="1"/>
    <x v="1"/>
  </r>
  <r>
    <s v="REL04707"/>
    <s v="Male"/>
    <n v="28"/>
    <s v="BTech"/>
    <s v="Married"/>
    <x v="1"/>
    <s v="Finance Analyst"/>
    <x v="0"/>
    <x v="2"/>
    <s v="West"/>
    <n v="15"/>
    <n v="86944"/>
    <x v="1"/>
    <n v="4"/>
    <n v="1"/>
    <n v="71"/>
    <n v="2"/>
    <d v="2008-01-23T00:00:00"/>
    <s v="Yes"/>
    <x v="1"/>
    <n v="1"/>
    <x v="2"/>
    <x v="1"/>
    <x v="2"/>
  </r>
  <r>
    <s v="REL04708"/>
    <s v="Male"/>
    <n v="45"/>
    <s v="HSC"/>
    <s v="Single"/>
    <x v="3"/>
    <s v="Sales Executive"/>
    <x v="3"/>
    <x v="5"/>
    <s v="South"/>
    <n v="12"/>
    <n v="69749"/>
    <x v="2"/>
    <n v="3"/>
    <n v="3"/>
    <n v="80"/>
    <n v="2"/>
    <d v="2011-01-25T00:00:00"/>
    <s v="No"/>
    <x v="0"/>
    <n v="2"/>
    <x v="2"/>
    <x v="0"/>
    <x v="1"/>
  </r>
  <r>
    <s v="REL04709"/>
    <s v="Male"/>
    <n v="32"/>
    <s v="MBA"/>
    <s v="Single"/>
    <x v="2"/>
    <s v="Store Manager"/>
    <x v="1"/>
    <x v="3"/>
    <s v="West"/>
    <n v="10"/>
    <n v="98040"/>
    <x v="0"/>
    <n v="1"/>
    <n v="1"/>
    <n v="23"/>
    <n v="0"/>
    <d v="2013-11-09T00:00:00"/>
    <s v="Yes"/>
    <x v="1"/>
    <n v="3"/>
    <x v="1"/>
    <x v="1"/>
    <x v="0"/>
  </r>
  <r>
    <s v="REL04710"/>
    <s v="Male"/>
    <n v="49"/>
    <s v="Graduate"/>
    <s v="Married"/>
    <x v="1"/>
    <s v="Marketing Executive"/>
    <x v="1"/>
    <x v="9"/>
    <s v="West"/>
    <n v="9"/>
    <n v="68002"/>
    <x v="2"/>
    <n v="4"/>
    <n v="1"/>
    <n v="78"/>
    <n v="3"/>
    <d v="2014-09-17T00:00:00"/>
    <s v="Yes"/>
    <x v="0"/>
    <n v="2"/>
    <x v="1"/>
    <x v="1"/>
    <x v="1"/>
  </r>
  <r>
    <s v="REL04711"/>
    <s v="Male"/>
    <n v="24"/>
    <s v="Post Graduate"/>
    <s v="Married"/>
    <x v="7"/>
    <s v="Customer Service Rep"/>
    <x v="4"/>
    <x v="6"/>
    <s v="South"/>
    <n v="5"/>
    <n v="36801"/>
    <x v="0"/>
    <n v="3"/>
    <n v="4"/>
    <n v="46"/>
    <n v="1"/>
    <d v="2018-03-29T00:00:00"/>
    <s v="No"/>
    <x v="2"/>
    <n v="3"/>
    <x v="0"/>
    <x v="0"/>
    <x v="1"/>
  </r>
  <r>
    <s v="REL04712"/>
    <s v="Male"/>
    <n v="22"/>
    <s v="HSC"/>
    <s v="Divorced"/>
    <x v="7"/>
    <s v="Customer Service Rep"/>
    <x v="0"/>
    <x v="4"/>
    <s v="North"/>
    <n v="3"/>
    <n v="47068"/>
    <x v="0"/>
    <n v="2"/>
    <n v="1"/>
    <n v="45"/>
    <n v="2"/>
    <d v="2020-03-04T00:00:00"/>
    <s v="No"/>
    <x v="2"/>
    <n v="3"/>
    <x v="0"/>
    <x v="0"/>
    <x v="1"/>
  </r>
  <r>
    <s v="REL04713"/>
    <s v="Male"/>
    <n v="46"/>
    <s v="BTech"/>
    <s v="Single"/>
    <x v="3"/>
    <s v="Sales Executive"/>
    <x v="2"/>
    <x v="5"/>
    <s v="South"/>
    <n v="3"/>
    <n v="43081"/>
    <x v="0"/>
    <n v="2"/>
    <n v="4"/>
    <n v="69"/>
    <n v="1"/>
    <d v="2020-11-27T00:00:00"/>
    <s v="Yes"/>
    <x v="2"/>
    <n v="3"/>
    <x v="0"/>
    <x v="1"/>
    <x v="1"/>
  </r>
  <r>
    <s v="REL04714"/>
    <s v="Female"/>
    <n v="53"/>
    <s v="HSC"/>
    <s v="Married"/>
    <x v="5"/>
    <s v="Operations Head"/>
    <x v="3"/>
    <x v="5"/>
    <s v="South"/>
    <n v="2"/>
    <n v="95291"/>
    <x v="3"/>
    <n v="2"/>
    <n v="4"/>
    <n v="79"/>
    <n v="1"/>
    <d v="2021-11-12T00:00:00"/>
    <s v="No"/>
    <x v="1"/>
    <n v="4"/>
    <x v="3"/>
    <x v="2"/>
    <x v="0"/>
  </r>
  <r>
    <s v="REL04715"/>
    <s v="Female"/>
    <n v="24"/>
    <s v="HSC"/>
    <s v="Divorced"/>
    <x v="5"/>
    <s v="Operations Head"/>
    <x v="0"/>
    <x v="5"/>
    <s v="South"/>
    <n v="2"/>
    <n v="98585"/>
    <x v="0"/>
    <n v="2"/>
    <n v="3"/>
    <n v="60"/>
    <n v="1"/>
    <d v="2021-01-05T00:00:00"/>
    <s v="No"/>
    <x v="1"/>
    <n v="3"/>
    <x v="3"/>
    <x v="0"/>
    <x v="0"/>
  </r>
  <r>
    <s v="REL04716"/>
    <s v="Male"/>
    <n v="49"/>
    <s v="BTech"/>
    <s v="Married"/>
    <x v="7"/>
    <s v="Store Manager"/>
    <x v="4"/>
    <x v="8"/>
    <s v="South"/>
    <n v="9"/>
    <n v="96487"/>
    <x v="1"/>
    <n v="3"/>
    <n v="3"/>
    <n v="15"/>
    <n v="3"/>
    <d v="2014-11-20T00:00:00"/>
    <s v="Yes"/>
    <x v="1"/>
    <n v="1"/>
    <x v="1"/>
    <x v="1"/>
    <x v="2"/>
  </r>
  <r>
    <s v="REL04717"/>
    <s v="Female"/>
    <n v="24"/>
    <s v="MBA"/>
    <s v="Married"/>
    <x v="0"/>
    <s v="Customer Service Rep"/>
    <x v="4"/>
    <x v="7"/>
    <s v="East"/>
    <n v="4"/>
    <n v="46197"/>
    <x v="0"/>
    <n v="1"/>
    <n v="3"/>
    <n v="28"/>
    <n v="0"/>
    <d v="2019-11-21T00:00:00"/>
    <s v="No"/>
    <x v="2"/>
    <n v="3"/>
    <x v="0"/>
    <x v="0"/>
    <x v="1"/>
  </r>
  <r>
    <s v="REL04718"/>
    <s v="Male"/>
    <n v="38"/>
    <s v="BTech"/>
    <s v="Divorced"/>
    <x v="5"/>
    <s v="Sales Executive"/>
    <x v="0"/>
    <x v="3"/>
    <s v="West"/>
    <n v="6"/>
    <n v="48267"/>
    <x v="0"/>
    <n v="4"/>
    <n v="2"/>
    <n v="29"/>
    <n v="0"/>
    <d v="2017-11-12T00:00:00"/>
    <s v="No"/>
    <x v="2"/>
    <n v="3"/>
    <x v="1"/>
    <x v="0"/>
    <x v="1"/>
  </r>
  <r>
    <s v="REL04719"/>
    <s v="Male"/>
    <n v="33"/>
    <s v="BTech"/>
    <s v="Divorced"/>
    <x v="0"/>
    <s v="Customer Service Rep"/>
    <x v="3"/>
    <x v="3"/>
    <s v="West"/>
    <n v="9"/>
    <n v="59619"/>
    <x v="1"/>
    <n v="2"/>
    <n v="1"/>
    <n v="69"/>
    <n v="3"/>
    <d v="2014-02-16T00:00:00"/>
    <s v="No"/>
    <x v="0"/>
    <n v="1"/>
    <x v="1"/>
    <x v="0"/>
    <x v="1"/>
  </r>
  <r>
    <s v="REL04720"/>
    <s v="Female"/>
    <n v="31"/>
    <s v="MBA"/>
    <s v="Married"/>
    <x v="6"/>
    <s v="Marketing Executive"/>
    <x v="4"/>
    <x v="4"/>
    <s v="North"/>
    <n v="9"/>
    <n v="66573"/>
    <x v="0"/>
    <n v="4"/>
    <n v="1"/>
    <n v="60"/>
    <n v="0"/>
    <d v="2014-04-10T00:00:00"/>
    <s v="No"/>
    <x v="0"/>
    <n v="3"/>
    <x v="1"/>
    <x v="0"/>
    <x v="0"/>
  </r>
  <r>
    <s v="REL04721"/>
    <s v="Male"/>
    <n v="53"/>
    <s v="BTech"/>
    <s v="Married"/>
    <x v="0"/>
    <s v="Customer Service Rep"/>
    <x v="4"/>
    <x v="7"/>
    <s v="East"/>
    <n v="1"/>
    <n v="27422"/>
    <x v="1"/>
    <n v="1"/>
    <n v="1"/>
    <n v="42"/>
    <n v="0"/>
    <d v="2022-12-15T00:00:00"/>
    <s v="Yes"/>
    <x v="3"/>
    <n v="1"/>
    <x v="3"/>
    <x v="1"/>
    <x v="1"/>
  </r>
  <r>
    <s v="REL04722"/>
    <s v="Male"/>
    <n v="47"/>
    <s v="Post Graduate"/>
    <s v="Married"/>
    <x v="6"/>
    <s v="Operations Head"/>
    <x v="3"/>
    <x v="9"/>
    <s v="West"/>
    <n v="4"/>
    <n v="108231"/>
    <x v="3"/>
    <n v="3"/>
    <n v="4"/>
    <n v="46"/>
    <n v="3"/>
    <d v="2019-12-16T00:00:00"/>
    <s v="Yes"/>
    <x v="1"/>
    <n v="4"/>
    <x v="0"/>
    <x v="1"/>
    <x v="0"/>
  </r>
  <r>
    <s v="REL04723"/>
    <s v="Male"/>
    <n v="27"/>
    <s v="BTech"/>
    <s v="Divorced"/>
    <x v="3"/>
    <s v="Finance Analyst"/>
    <x v="0"/>
    <x v="6"/>
    <s v="South"/>
    <n v="11"/>
    <n v="80533"/>
    <x v="3"/>
    <n v="2"/>
    <n v="2"/>
    <n v="50"/>
    <n v="1"/>
    <d v="2012-05-26T00:00:00"/>
    <s v="No"/>
    <x v="1"/>
    <n v="4"/>
    <x v="2"/>
    <x v="2"/>
    <x v="0"/>
  </r>
  <r>
    <s v="REL04724"/>
    <s v="Male"/>
    <n v="45"/>
    <s v="MBA"/>
    <s v="Married"/>
    <x v="2"/>
    <s v="Finance Analyst"/>
    <x v="3"/>
    <x v="3"/>
    <s v="West"/>
    <n v="10"/>
    <n v="72009"/>
    <x v="2"/>
    <n v="1"/>
    <n v="1"/>
    <n v="68"/>
    <n v="0"/>
    <d v="2013-12-01T00:00:00"/>
    <s v="No"/>
    <x v="0"/>
    <n v="2"/>
    <x v="1"/>
    <x v="0"/>
    <x v="1"/>
  </r>
  <r>
    <s v="REL04725"/>
    <s v="Female"/>
    <n v="50"/>
    <s v="Post Graduate"/>
    <s v="Divorced"/>
    <x v="4"/>
    <s v="HR Manager"/>
    <x v="4"/>
    <x v="8"/>
    <s v="South"/>
    <n v="5"/>
    <n v="92584"/>
    <x v="0"/>
    <n v="1"/>
    <n v="1"/>
    <n v="16"/>
    <n v="0"/>
    <d v="2018-07-23T00:00:00"/>
    <s v="No"/>
    <x v="1"/>
    <n v="3"/>
    <x v="0"/>
    <x v="0"/>
    <x v="0"/>
  </r>
  <r>
    <s v="REL04726"/>
    <s v="Male"/>
    <n v="48"/>
    <s v="Graduate"/>
    <s v="Married"/>
    <x v="6"/>
    <s v="HR Manager"/>
    <x v="3"/>
    <x v="9"/>
    <s v="West"/>
    <n v="15"/>
    <n v="109420"/>
    <x v="3"/>
    <n v="3"/>
    <n v="1"/>
    <n v="75"/>
    <n v="2"/>
    <d v="2008-11-19T00:00:00"/>
    <s v="No"/>
    <x v="1"/>
    <n v="4"/>
    <x v="2"/>
    <x v="2"/>
    <x v="0"/>
  </r>
  <r>
    <s v="REL04727"/>
    <s v="Male"/>
    <n v="25"/>
    <s v="Post Graduate"/>
    <s v="Single"/>
    <x v="2"/>
    <s v="Marketing Executive"/>
    <x v="4"/>
    <x v="2"/>
    <s v="West"/>
    <n v="10"/>
    <n v="69773"/>
    <x v="0"/>
    <n v="3"/>
    <n v="3"/>
    <n v="36"/>
    <n v="1"/>
    <d v="2013-11-02T00:00:00"/>
    <s v="No"/>
    <x v="0"/>
    <n v="3"/>
    <x v="1"/>
    <x v="0"/>
    <x v="0"/>
  </r>
  <r>
    <s v="REL04728"/>
    <s v="Male"/>
    <n v="27"/>
    <s v="HSC"/>
    <s v="Divorced"/>
    <x v="7"/>
    <s v="Sales Executive"/>
    <x v="0"/>
    <x v="0"/>
    <s v="North"/>
    <n v="3"/>
    <n v="50200"/>
    <x v="0"/>
    <n v="4"/>
    <n v="1"/>
    <n v="35"/>
    <n v="3"/>
    <d v="2020-03-09T00:00:00"/>
    <s v="No"/>
    <x v="0"/>
    <n v="3"/>
    <x v="0"/>
    <x v="0"/>
    <x v="0"/>
  </r>
  <r>
    <s v="REL04729"/>
    <s v="Female"/>
    <n v="30"/>
    <s v="HSC"/>
    <s v="Divorced"/>
    <x v="5"/>
    <s v="HR Manager"/>
    <x v="2"/>
    <x v="9"/>
    <s v="West"/>
    <n v="10"/>
    <n v="102727"/>
    <x v="1"/>
    <n v="1"/>
    <n v="4"/>
    <n v="33"/>
    <n v="3"/>
    <d v="2013-09-02T00:00:00"/>
    <s v="Yes"/>
    <x v="1"/>
    <n v="1"/>
    <x v="1"/>
    <x v="1"/>
    <x v="2"/>
  </r>
  <r>
    <s v="REL04730"/>
    <s v="Male"/>
    <n v="40"/>
    <s v="Post Graduate"/>
    <s v="Married"/>
    <x v="1"/>
    <s v="Customer Service Rep"/>
    <x v="4"/>
    <x v="0"/>
    <s v="North"/>
    <n v="11"/>
    <n v="63879"/>
    <x v="3"/>
    <n v="2"/>
    <n v="1"/>
    <n v="25"/>
    <n v="1"/>
    <d v="2012-07-20T00:00:00"/>
    <s v="No"/>
    <x v="0"/>
    <n v="4"/>
    <x v="2"/>
    <x v="2"/>
    <x v="1"/>
  </r>
  <r>
    <s v="REL04731"/>
    <s v="Female"/>
    <n v="24"/>
    <s v="HSC"/>
    <s v="Married"/>
    <x v="3"/>
    <s v="Sales Executive"/>
    <x v="1"/>
    <x v="0"/>
    <s v="North"/>
    <n v="10"/>
    <n v="58498"/>
    <x v="0"/>
    <n v="2"/>
    <n v="2"/>
    <n v="32"/>
    <n v="0"/>
    <d v="2013-07-28T00:00:00"/>
    <s v="No"/>
    <x v="0"/>
    <n v="3"/>
    <x v="1"/>
    <x v="0"/>
    <x v="0"/>
  </r>
  <r>
    <s v="REL04732"/>
    <s v="Female"/>
    <n v="40"/>
    <s v="Post Graduate"/>
    <s v="Divorced"/>
    <x v="5"/>
    <s v="Operations Head"/>
    <x v="1"/>
    <x v="6"/>
    <s v="South"/>
    <n v="11"/>
    <n v="113300"/>
    <x v="2"/>
    <n v="2"/>
    <n v="2"/>
    <n v="17"/>
    <n v="3"/>
    <d v="2012-01-13T00:00:00"/>
    <s v="No"/>
    <x v="1"/>
    <n v="2"/>
    <x v="2"/>
    <x v="0"/>
    <x v="1"/>
  </r>
  <r>
    <s v="REL04733"/>
    <s v="Female"/>
    <n v="25"/>
    <s v="BTech"/>
    <s v="Divorced"/>
    <x v="2"/>
    <s v="Store Manager"/>
    <x v="4"/>
    <x v="1"/>
    <s v="North"/>
    <n v="12"/>
    <n v="116966"/>
    <x v="2"/>
    <n v="1"/>
    <n v="4"/>
    <n v="69"/>
    <n v="1"/>
    <d v="2011-03-25T00:00:00"/>
    <s v="No"/>
    <x v="1"/>
    <n v="2"/>
    <x v="2"/>
    <x v="0"/>
    <x v="1"/>
  </r>
  <r>
    <s v="REL04734"/>
    <s v="Female"/>
    <n v="26"/>
    <s v="HSC"/>
    <s v="Single"/>
    <x v="1"/>
    <s v="Sales Executive"/>
    <x v="3"/>
    <x v="5"/>
    <s v="South"/>
    <n v="6"/>
    <n v="43433"/>
    <x v="0"/>
    <n v="3"/>
    <n v="2"/>
    <n v="56"/>
    <n v="3"/>
    <d v="2017-09-13T00:00:00"/>
    <s v="No"/>
    <x v="2"/>
    <n v="3"/>
    <x v="1"/>
    <x v="0"/>
    <x v="1"/>
  </r>
  <r>
    <s v="REL04735"/>
    <s v="Female"/>
    <n v="39"/>
    <s v="HSC"/>
    <s v="Married"/>
    <x v="4"/>
    <s v="Store Manager"/>
    <x v="4"/>
    <x v="9"/>
    <s v="West"/>
    <n v="5"/>
    <n v="94884"/>
    <x v="2"/>
    <n v="4"/>
    <n v="2"/>
    <n v="72"/>
    <n v="0"/>
    <d v="2018-11-15T00:00:00"/>
    <s v="No"/>
    <x v="1"/>
    <n v="2"/>
    <x v="0"/>
    <x v="0"/>
    <x v="1"/>
  </r>
  <r>
    <s v="REL04736"/>
    <s v="Male"/>
    <n v="40"/>
    <s v="Graduate"/>
    <s v="Divorced"/>
    <x v="7"/>
    <s v="Marketing Executive"/>
    <x v="4"/>
    <x v="0"/>
    <s v="North"/>
    <n v="2"/>
    <n v="44284"/>
    <x v="2"/>
    <n v="4"/>
    <n v="1"/>
    <n v="32"/>
    <n v="1"/>
    <d v="2021-06-13T00:00:00"/>
    <s v="Yes"/>
    <x v="2"/>
    <n v="2"/>
    <x v="3"/>
    <x v="1"/>
    <x v="1"/>
  </r>
  <r>
    <s v="REL04737"/>
    <s v="Female"/>
    <n v="48"/>
    <s v="HSC"/>
    <s v="Single"/>
    <x v="3"/>
    <s v="Sales Executive"/>
    <x v="2"/>
    <x v="2"/>
    <s v="West"/>
    <n v="2"/>
    <n v="45986"/>
    <x v="1"/>
    <n v="2"/>
    <n v="4"/>
    <n v="77"/>
    <n v="2"/>
    <d v="2021-05-08T00:00:00"/>
    <s v="No"/>
    <x v="2"/>
    <n v="1"/>
    <x v="3"/>
    <x v="3"/>
    <x v="1"/>
  </r>
  <r>
    <s v="REL04738"/>
    <s v="Male"/>
    <n v="34"/>
    <s v="Graduate"/>
    <s v="Single"/>
    <x v="7"/>
    <s v="Operations Head"/>
    <x v="1"/>
    <x v="3"/>
    <s v="West"/>
    <n v="11"/>
    <n v="122099"/>
    <x v="3"/>
    <n v="2"/>
    <n v="3"/>
    <n v="12"/>
    <n v="0"/>
    <d v="2012-07-09T00:00:00"/>
    <s v="No"/>
    <x v="1"/>
    <n v="4"/>
    <x v="2"/>
    <x v="2"/>
    <x v="0"/>
  </r>
  <r>
    <s v="REL04739"/>
    <s v="Male"/>
    <n v="39"/>
    <s v="BTech"/>
    <s v="Single"/>
    <x v="1"/>
    <s v="Store Manager"/>
    <x v="2"/>
    <x v="6"/>
    <s v="South"/>
    <n v="14"/>
    <n v="106391"/>
    <x v="3"/>
    <n v="3"/>
    <n v="1"/>
    <n v="55"/>
    <n v="1"/>
    <d v="2009-01-08T00:00:00"/>
    <s v="Yes"/>
    <x v="1"/>
    <n v="4"/>
    <x v="2"/>
    <x v="1"/>
    <x v="0"/>
  </r>
  <r>
    <s v="REL04740"/>
    <s v="Male"/>
    <n v="43"/>
    <s v="Graduate"/>
    <s v="Married"/>
    <x v="2"/>
    <s v="Customer Service Rep"/>
    <x v="2"/>
    <x v="6"/>
    <s v="South"/>
    <n v="13"/>
    <n v="53491"/>
    <x v="3"/>
    <n v="4"/>
    <n v="3"/>
    <n v="38"/>
    <n v="2"/>
    <d v="2010-12-13T00:00:00"/>
    <s v="Yes"/>
    <x v="0"/>
    <n v="4"/>
    <x v="2"/>
    <x v="1"/>
    <x v="1"/>
  </r>
  <r>
    <s v="REL04741"/>
    <s v="Female"/>
    <n v="22"/>
    <s v="MBA"/>
    <s v="Divorced"/>
    <x v="2"/>
    <s v="Sales Executive"/>
    <x v="0"/>
    <x v="2"/>
    <s v="West"/>
    <n v="1"/>
    <n v="41872"/>
    <x v="3"/>
    <n v="2"/>
    <n v="1"/>
    <n v="71"/>
    <n v="2"/>
    <d v="2022-10-27T00:00:00"/>
    <s v="No"/>
    <x v="2"/>
    <n v="4"/>
    <x v="3"/>
    <x v="2"/>
    <x v="1"/>
  </r>
  <r>
    <s v="REL04742"/>
    <s v="Female"/>
    <n v="50"/>
    <s v="MBA"/>
    <s v="Single"/>
    <x v="7"/>
    <s v="Customer Service Rep"/>
    <x v="4"/>
    <x v="8"/>
    <s v="South"/>
    <n v="5"/>
    <n v="40668"/>
    <x v="1"/>
    <n v="1"/>
    <n v="4"/>
    <n v="13"/>
    <n v="0"/>
    <d v="2018-02-26T00:00:00"/>
    <s v="Yes"/>
    <x v="2"/>
    <n v="1"/>
    <x v="0"/>
    <x v="1"/>
    <x v="1"/>
  </r>
  <r>
    <s v="REL04743"/>
    <s v="Male"/>
    <n v="26"/>
    <s v="HSC"/>
    <s v="Single"/>
    <x v="6"/>
    <s v="Logistics Coordinator"/>
    <x v="1"/>
    <x v="9"/>
    <s v="West"/>
    <n v="2"/>
    <n v="49679"/>
    <x v="2"/>
    <n v="3"/>
    <n v="1"/>
    <n v="63"/>
    <n v="1"/>
    <d v="2021-05-09T00:00:00"/>
    <s v="No"/>
    <x v="2"/>
    <n v="2"/>
    <x v="3"/>
    <x v="0"/>
    <x v="1"/>
  </r>
  <r>
    <s v="REL04744"/>
    <s v="Female"/>
    <n v="46"/>
    <s v="MBA"/>
    <s v="Married"/>
    <x v="4"/>
    <s v="Customer Service Rep"/>
    <x v="4"/>
    <x v="7"/>
    <s v="East"/>
    <n v="8"/>
    <n v="48292"/>
    <x v="1"/>
    <n v="1"/>
    <n v="4"/>
    <n v="41"/>
    <n v="1"/>
    <d v="2015-08-01T00:00:00"/>
    <s v="Yes"/>
    <x v="2"/>
    <n v="1"/>
    <x v="1"/>
    <x v="1"/>
    <x v="1"/>
  </r>
  <r>
    <s v="REL04745"/>
    <s v="Female"/>
    <n v="38"/>
    <s v="BTech"/>
    <s v="Divorced"/>
    <x v="1"/>
    <s v="Customer Service Rep"/>
    <x v="2"/>
    <x v="8"/>
    <s v="South"/>
    <n v="1"/>
    <n v="29942"/>
    <x v="2"/>
    <n v="1"/>
    <n v="4"/>
    <n v="28"/>
    <n v="3"/>
    <d v="2022-10-28T00:00:00"/>
    <s v="Yes"/>
    <x v="3"/>
    <n v="2"/>
    <x v="3"/>
    <x v="1"/>
    <x v="1"/>
  </r>
  <r>
    <s v="REL04746"/>
    <s v="Male"/>
    <n v="31"/>
    <s v="Graduate"/>
    <s v="Divorced"/>
    <x v="5"/>
    <s v="Logistics Coordinator"/>
    <x v="2"/>
    <x v="4"/>
    <s v="North"/>
    <n v="6"/>
    <n v="60552"/>
    <x v="3"/>
    <n v="4"/>
    <n v="3"/>
    <n v="61"/>
    <n v="2"/>
    <d v="2017-07-16T00:00:00"/>
    <s v="Yes"/>
    <x v="0"/>
    <n v="4"/>
    <x v="1"/>
    <x v="1"/>
    <x v="1"/>
  </r>
  <r>
    <s v="REL04747"/>
    <s v="Female"/>
    <n v="47"/>
    <s v="Graduate"/>
    <s v="Divorced"/>
    <x v="1"/>
    <s v="Logistics Coordinator"/>
    <x v="1"/>
    <x v="2"/>
    <s v="West"/>
    <n v="6"/>
    <n v="66630"/>
    <x v="0"/>
    <n v="4"/>
    <n v="4"/>
    <n v="78"/>
    <n v="0"/>
    <d v="2017-10-14T00:00:00"/>
    <s v="Yes"/>
    <x v="0"/>
    <n v="3"/>
    <x v="1"/>
    <x v="1"/>
    <x v="0"/>
  </r>
  <r>
    <s v="REL04748"/>
    <s v="Male"/>
    <n v="33"/>
    <s v="BTech"/>
    <s v="Divorced"/>
    <x v="2"/>
    <s v="Store Manager"/>
    <x v="4"/>
    <x v="5"/>
    <s v="South"/>
    <n v="11"/>
    <n v="114851"/>
    <x v="0"/>
    <n v="2"/>
    <n v="4"/>
    <n v="52"/>
    <n v="0"/>
    <d v="2012-07-28T00:00:00"/>
    <s v="No"/>
    <x v="1"/>
    <n v="3"/>
    <x v="2"/>
    <x v="0"/>
    <x v="0"/>
  </r>
  <r>
    <s v="REL04749"/>
    <s v="Male"/>
    <n v="42"/>
    <s v="BTech"/>
    <s v="Married"/>
    <x v="1"/>
    <s v="Customer Service Rep"/>
    <x v="4"/>
    <x v="3"/>
    <s v="West"/>
    <n v="9"/>
    <n v="57967"/>
    <x v="3"/>
    <n v="2"/>
    <n v="2"/>
    <n v="12"/>
    <n v="3"/>
    <d v="2014-03-25T00:00:00"/>
    <s v="No"/>
    <x v="0"/>
    <n v="4"/>
    <x v="1"/>
    <x v="2"/>
    <x v="1"/>
  </r>
  <r>
    <s v="REL04750"/>
    <s v="Female"/>
    <n v="48"/>
    <s v="Post Graduate"/>
    <s v="Married"/>
    <x v="3"/>
    <s v="Operations Head"/>
    <x v="4"/>
    <x v="7"/>
    <s v="East"/>
    <n v="8"/>
    <n v="118136"/>
    <x v="1"/>
    <n v="1"/>
    <n v="1"/>
    <n v="59"/>
    <n v="0"/>
    <d v="2015-10-03T00:00:00"/>
    <s v="Yes"/>
    <x v="1"/>
    <n v="1"/>
    <x v="1"/>
    <x v="1"/>
    <x v="2"/>
  </r>
  <r>
    <s v="REL04751"/>
    <s v="Female"/>
    <n v="52"/>
    <s v="HSC"/>
    <s v="Divorced"/>
    <x v="7"/>
    <s v="HR Manager"/>
    <x v="2"/>
    <x v="4"/>
    <s v="North"/>
    <n v="4"/>
    <n v="89398"/>
    <x v="1"/>
    <n v="3"/>
    <n v="1"/>
    <n v="76"/>
    <n v="2"/>
    <d v="2019-04-25T00:00:00"/>
    <s v="Yes"/>
    <x v="1"/>
    <n v="1"/>
    <x v="0"/>
    <x v="1"/>
    <x v="2"/>
  </r>
  <r>
    <s v="REL04752"/>
    <s v="Female"/>
    <n v="43"/>
    <s v="MBA"/>
    <s v="Married"/>
    <x v="3"/>
    <s v="HR Manager"/>
    <x v="1"/>
    <x v="6"/>
    <s v="South"/>
    <n v="2"/>
    <n v="83390"/>
    <x v="1"/>
    <n v="2"/>
    <n v="4"/>
    <n v="70"/>
    <n v="1"/>
    <d v="2021-12-29T00:00:00"/>
    <s v="Yes"/>
    <x v="1"/>
    <n v="1"/>
    <x v="3"/>
    <x v="1"/>
    <x v="2"/>
  </r>
  <r>
    <s v="REL04753"/>
    <s v="Male"/>
    <n v="38"/>
    <s v="Post Graduate"/>
    <s v="Divorced"/>
    <x v="3"/>
    <s v="Finance Analyst"/>
    <x v="0"/>
    <x v="1"/>
    <s v="North"/>
    <n v="14"/>
    <n v="94428"/>
    <x v="3"/>
    <n v="4"/>
    <n v="2"/>
    <n v="51"/>
    <n v="3"/>
    <d v="2009-04-20T00:00:00"/>
    <s v="No"/>
    <x v="1"/>
    <n v="4"/>
    <x v="2"/>
    <x v="2"/>
    <x v="0"/>
  </r>
  <r>
    <s v="REL04754"/>
    <s v="Female"/>
    <n v="52"/>
    <s v="Graduate"/>
    <s v="Married"/>
    <x v="3"/>
    <s v="Customer Service Rep"/>
    <x v="0"/>
    <x v="9"/>
    <s v="West"/>
    <n v="15"/>
    <n v="64458"/>
    <x v="3"/>
    <n v="4"/>
    <n v="2"/>
    <n v="61"/>
    <n v="3"/>
    <d v="2008-02-19T00:00:00"/>
    <s v="Yes"/>
    <x v="0"/>
    <n v="4"/>
    <x v="2"/>
    <x v="1"/>
    <x v="1"/>
  </r>
  <r>
    <s v="REL04755"/>
    <s v="Female"/>
    <n v="26"/>
    <s v="HSC"/>
    <s v="Married"/>
    <x v="3"/>
    <s v="Finance Analyst"/>
    <x v="1"/>
    <x v="9"/>
    <s v="West"/>
    <n v="6"/>
    <n v="76026"/>
    <x v="0"/>
    <n v="3"/>
    <n v="2"/>
    <n v="18"/>
    <n v="2"/>
    <d v="2017-07-16T00:00:00"/>
    <s v="No"/>
    <x v="0"/>
    <n v="3"/>
    <x v="1"/>
    <x v="0"/>
    <x v="0"/>
  </r>
  <r>
    <s v="REL04756"/>
    <s v="Male"/>
    <n v="28"/>
    <s v="HSC"/>
    <s v="Divorced"/>
    <x v="0"/>
    <s v="HR Manager"/>
    <x v="1"/>
    <x v="5"/>
    <s v="South"/>
    <n v="4"/>
    <n v="76368"/>
    <x v="2"/>
    <n v="2"/>
    <n v="1"/>
    <n v="51"/>
    <n v="3"/>
    <d v="2019-03-13T00:00:00"/>
    <s v="No"/>
    <x v="0"/>
    <n v="2"/>
    <x v="0"/>
    <x v="0"/>
    <x v="1"/>
  </r>
  <r>
    <s v="REL04757"/>
    <s v="Female"/>
    <n v="53"/>
    <s v="Graduate"/>
    <s v="Divorced"/>
    <x v="4"/>
    <s v="Marketing Executive"/>
    <x v="1"/>
    <x v="7"/>
    <s v="East"/>
    <n v="14"/>
    <n v="84488"/>
    <x v="0"/>
    <n v="1"/>
    <n v="4"/>
    <n v="46"/>
    <n v="1"/>
    <d v="2009-12-13T00:00:00"/>
    <s v="No"/>
    <x v="1"/>
    <n v="3"/>
    <x v="2"/>
    <x v="0"/>
    <x v="0"/>
  </r>
  <r>
    <s v="REL04758"/>
    <s v="Female"/>
    <n v="28"/>
    <s v="MBA"/>
    <s v="Divorced"/>
    <x v="2"/>
    <s v="Finance Analyst"/>
    <x v="1"/>
    <x v="7"/>
    <s v="East"/>
    <n v="10"/>
    <n v="80752"/>
    <x v="1"/>
    <n v="3"/>
    <n v="2"/>
    <n v="48"/>
    <n v="0"/>
    <d v="2013-01-26T00:00:00"/>
    <s v="Yes"/>
    <x v="1"/>
    <n v="1"/>
    <x v="1"/>
    <x v="1"/>
    <x v="2"/>
  </r>
  <r>
    <s v="REL04759"/>
    <s v="Female"/>
    <n v="45"/>
    <s v="Graduate"/>
    <s v="Single"/>
    <x v="7"/>
    <s v="Marketing Executive"/>
    <x v="0"/>
    <x v="4"/>
    <s v="North"/>
    <n v="2"/>
    <n v="62469"/>
    <x v="1"/>
    <n v="3"/>
    <n v="3"/>
    <n v="18"/>
    <n v="2"/>
    <d v="2021-05-06T00:00:00"/>
    <s v="Yes"/>
    <x v="0"/>
    <n v="1"/>
    <x v="3"/>
    <x v="1"/>
    <x v="1"/>
  </r>
  <r>
    <s v="REL04760"/>
    <s v="Female"/>
    <n v="37"/>
    <s v="MBA"/>
    <s v="Single"/>
    <x v="0"/>
    <s v="Store Manager"/>
    <x v="3"/>
    <x v="3"/>
    <s v="West"/>
    <n v="4"/>
    <n v="99339"/>
    <x v="3"/>
    <n v="3"/>
    <n v="4"/>
    <n v="20"/>
    <n v="2"/>
    <d v="2019-04-12T00:00:00"/>
    <s v="No"/>
    <x v="1"/>
    <n v="4"/>
    <x v="0"/>
    <x v="2"/>
    <x v="0"/>
  </r>
  <r>
    <s v="REL04761"/>
    <s v="Female"/>
    <n v="37"/>
    <s v="BTech"/>
    <s v="Divorced"/>
    <x v="5"/>
    <s v="Marketing Executive"/>
    <x v="1"/>
    <x v="2"/>
    <s v="West"/>
    <n v="10"/>
    <n v="69568"/>
    <x v="1"/>
    <n v="3"/>
    <n v="1"/>
    <n v="35"/>
    <n v="3"/>
    <d v="2013-08-25T00:00:00"/>
    <s v="No"/>
    <x v="0"/>
    <n v="1"/>
    <x v="1"/>
    <x v="0"/>
    <x v="1"/>
  </r>
  <r>
    <s v="REL04762"/>
    <s v="Male"/>
    <n v="29"/>
    <s v="BTech"/>
    <s v="Single"/>
    <x v="7"/>
    <s v="Marketing Executive"/>
    <x v="1"/>
    <x v="3"/>
    <s v="West"/>
    <n v="1"/>
    <n v="48227"/>
    <x v="1"/>
    <n v="4"/>
    <n v="1"/>
    <n v="65"/>
    <n v="0"/>
    <d v="2022-08-11T00:00:00"/>
    <s v="Yes"/>
    <x v="2"/>
    <n v="1"/>
    <x v="3"/>
    <x v="1"/>
    <x v="1"/>
  </r>
  <r>
    <s v="REL04763"/>
    <s v="Female"/>
    <n v="23"/>
    <s v="HSC"/>
    <s v="Married"/>
    <x v="3"/>
    <s v="Finance Analyst"/>
    <x v="4"/>
    <x v="2"/>
    <s v="West"/>
    <n v="10"/>
    <n v="83748"/>
    <x v="1"/>
    <n v="3"/>
    <n v="2"/>
    <n v="10"/>
    <n v="2"/>
    <d v="2013-06-13T00:00:00"/>
    <s v="No"/>
    <x v="1"/>
    <n v="1"/>
    <x v="1"/>
    <x v="0"/>
    <x v="2"/>
  </r>
  <r>
    <s v="REL04764"/>
    <s v="Male"/>
    <n v="48"/>
    <s v="Graduate"/>
    <s v="Divorced"/>
    <x v="0"/>
    <s v="Store Manager"/>
    <x v="1"/>
    <x v="3"/>
    <s v="West"/>
    <n v="15"/>
    <n v="106192"/>
    <x v="3"/>
    <n v="4"/>
    <n v="2"/>
    <n v="17"/>
    <n v="0"/>
    <d v="2008-04-09T00:00:00"/>
    <s v="Yes"/>
    <x v="1"/>
    <n v="4"/>
    <x v="2"/>
    <x v="1"/>
    <x v="0"/>
  </r>
  <r>
    <s v="REL04765"/>
    <s v="Female"/>
    <n v="32"/>
    <s v="Post Graduate"/>
    <s v="Single"/>
    <x v="0"/>
    <s v="Store Manager"/>
    <x v="3"/>
    <x v="0"/>
    <s v="North"/>
    <n v="15"/>
    <n v="124876"/>
    <x v="1"/>
    <n v="4"/>
    <n v="4"/>
    <n v="38"/>
    <n v="2"/>
    <d v="2008-12-08T00:00:00"/>
    <s v="No"/>
    <x v="1"/>
    <n v="1"/>
    <x v="2"/>
    <x v="0"/>
    <x v="2"/>
  </r>
  <r>
    <s v="REL04766"/>
    <s v="Female"/>
    <n v="31"/>
    <s v="HSC"/>
    <s v="Divorced"/>
    <x v="6"/>
    <s v="Operations Head"/>
    <x v="0"/>
    <x v="7"/>
    <s v="East"/>
    <n v="1"/>
    <n v="88091"/>
    <x v="2"/>
    <n v="2"/>
    <n v="2"/>
    <n v="11"/>
    <n v="1"/>
    <d v="2022-03-04T00:00:00"/>
    <s v="No"/>
    <x v="1"/>
    <n v="2"/>
    <x v="3"/>
    <x v="0"/>
    <x v="1"/>
  </r>
  <r>
    <s v="REL04767"/>
    <s v="Female"/>
    <n v="37"/>
    <s v="HSC"/>
    <s v="Divorced"/>
    <x v="1"/>
    <s v="HR Manager"/>
    <x v="1"/>
    <x v="0"/>
    <s v="North"/>
    <n v="13"/>
    <n v="91850"/>
    <x v="2"/>
    <n v="2"/>
    <n v="2"/>
    <n v="56"/>
    <n v="3"/>
    <d v="2010-06-07T00:00:00"/>
    <s v="No"/>
    <x v="1"/>
    <n v="2"/>
    <x v="2"/>
    <x v="0"/>
    <x v="1"/>
  </r>
  <r>
    <s v="REL04768"/>
    <s v="Female"/>
    <n v="27"/>
    <s v="MBA"/>
    <s v="Married"/>
    <x v="1"/>
    <s v="Customer Service Rep"/>
    <x v="3"/>
    <x v="0"/>
    <s v="North"/>
    <n v="2"/>
    <n v="43879"/>
    <x v="3"/>
    <n v="2"/>
    <n v="1"/>
    <n v="46"/>
    <n v="2"/>
    <d v="2021-07-29T00:00:00"/>
    <s v="No"/>
    <x v="2"/>
    <n v="4"/>
    <x v="3"/>
    <x v="2"/>
    <x v="1"/>
  </r>
  <r>
    <s v="REL04769"/>
    <s v="Male"/>
    <n v="48"/>
    <s v="Graduate"/>
    <s v="Married"/>
    <x v="4"/>
    <s v="Sales Executive"/>
    <x v="1"/>
    <x v="4"/>
    <s v="North"/>
    <n v="8"/>
    <n v="59970"/>
    <x v="2"/>
    <n v="3"/>
    <n v="4"/>
    <n v="80"/>
    <n v="1"/>
    <d v="2015-01-14T00:00:00"/>
    <s v="No"/>
    <x v="0"/>
    <n v="2"/>
    <x v="1"/>
    <x v="0"/>
    <x v="1"/>
  </r>
  <r>
    <s v="REL04770"/>
    <s v="Female"/>
    <n v="43"/>
    <s v="MBA"/>
    <s v="Single"/>
    <x v="2"/>
    <s v="Customer Service Rep"/>
    <x v="0"/>
    <x v="2"/>
    <s v="West"/>
    <n v="6"/>
    <n v="37967"/>
    <x v="3"/>
    <n v="1"/>
    <n v="3"/>
    <n v="12"/>
    <n v="0"/>
    <d v="2017-02-11T00:00:00"/>
    <s v="Yes"/>
    <x v="2"/>
    <n v="4"/>
    <x v="1"/>
    <x v="1"/>
    <x v="1"/>
  </r>
  <r>
    <s v="REL04771"/>
    <s v="Female"/>
    <n v="26"/>
    <s v="Post Graduate"/>
    <s v="Single"/>
    <x v="1"/>
    <s v="Sales Executive"/>
    <x v="2"/>
    <x v="9"/>
    <s v="West"/>
    <n v="6"/>
    <n v="45381"/>
    <x v="1"/>
    <n v="2"/>
    <n v="3"/>
    <n v="52"/>
    <n v="3"/>
    <d v="2017-02-16T00:00:00"/>
    <s v="No"/>
    <x v="2"/>
    <n v="1"/>
    <x v="1"/>
    <x v="0"/>
    <x v="1"/>
  </r>
  <r>
    <s v="REL04772"/>
    <s v="Female"/>
    <n v="41"/>
    <s v="Post Graduate"/>
    <s v="Married"/>
    <x v="2"/>
    <s v="Logistics Coordinator"/>
    <x v="3"/>
    <x v="3"/>
    <s v="West"/>
    <n v="2"/>
    <n v="41830"/>
    <x v="3"/>
    <n v="2"/>
    <n v="3"/>
    <n v="27"/>
    <n v="2"/>
    <d v="2021-02-18T00:00:00"/>
    <s v="No"/>
    <x v="2"/>
    <n v="4"/>
    <x v="3"/>
    <x v="2"/>
    <x v="1"/>
  </r>
  <r>
    <s v="REL04773"/>
    <s v="Female"/>
    <n v="39"/>
    <s v="HSC"/>
    <s v="Single"/>
    <x v="7"/>
    <s v="Store Manager"/>
    <x v="4"/>
    <x v="5"/>
    <s v="South"/>
    <n v="3"/>
    <n v="93717"/>
    <x v="2"/>
    <n v="1"/>
    <n v="3"/>
    <n v="29"/>
    <n v="1"/>
    <d v="2020-02-17T00:00:00"/>
    <s v="No"/>
    <x v="1"/>
    <n v="2"/>
    <x v="0"/>
    <x v="0"/>
    <x v="1"/>
  </r>
  <r>
    <s v="REL04774"/>
    <s v="Female"/>
    <n v="52"/>
    <s v="Post Graduate"/>
    <s v="Divorced"/>
    <x v="5"/>
    <s v="Store Manager"/>
    <x v="0"/>
    <x v="0"/>
    <s v="North"/>
    <n v="4"/>
    <n v="99536"/>
    <x v="1"/>
    <n v="3"/>
    <n v="1"/>
    <n v="79"/>
    <n v="1"/>
    <d v="2019-01-11T00:00:00"/>
    <s v="No"/>
    <x v="1"/>
    <n v="1"/>
    <x v="0"/>
    <x v="0"/>
    <x v="2"/>
  </r>
  <r>
    <s v="REL04775"/>
    <s v="Male"/>
    <n v="48"/>
    <s v="HSC"/>
    <s v="Divorced"/>
    <x v="5"/>
    <s v="Sales Executive"/>
    <x v="2"/>
    <x v="5"/>
    <s v="South"/>
    <n v="14"/>
    <n v="59110"/>
    <x v="2"/>
    <n v="2"/>
    <n v="3"/>
    <n v="47"/>
    <n v="2"/>
    <d v="2009-06-20T00:00:00"/>
    <s v="No"/>
    <x v="0"/>
    <n v="2"/>
    <x v="2"/>
    <x v="0"/>
    <x v="1"/>
  </r>
  <r>
    <s v="REL04776"/>
    <s v="Male"/>
    <n v="31"/>
    <s v="Post Graduate"/>
    <s v="Divorced"/>
    <x v="7"/>
    <s v="Customer Service Rep"/>
    <x v="4"/>
    <x v="4"/>
    <s v="North"/>
    <n v="6"/>
    <n v="46515"/>
    <x v="1"/>
    <n v="3"/>
    <n v="1"/>
    <n v="25"/>
    <n v="3"/>
    <d v="2017-04-04T00:00:00"/>
    <s v="Yes"/>
    <x v="2"/>
    <n v="1"/>
    <x v="1"/>
    <x v="1"/>
    <x v="1"/>
  </r>
  <r>
    <s v="REL04777"/>
    <s v="Female"/>
    <n v="55"/>
    <s v="Post Graduate"/>
    <s v="Divorced"/>
    <x v="5"/>
    <s v="Marketing Executive"/>
    <x v="3"/>
    <x v="3"/>
    <s v="West"/>
    <n v="15"/>
    <n v="87241"/>
    <x v="2"/>
    <n v="2"/>
    <n v="4"/>
    <n v="55"/>
    <n v="3"/>
    <d v="2008-05-30T00:00:00"/>
    <s v="No"/>
    <x v="1"/>
    <n v="2"/>
    <x v="2"/>
    <x v="0"/>
    <x v="1"/>
  </r>
  <r>
    <s v="REL04778"/>
    <s v="Female"/>
    <n v="49"/>
    <s v="BTech"/>
    <s v="Single"/>
    <x v="0"/>
    <s v="Customer Service Rep"/>
    <x v="3"/>
    <x v="2"/>
    <s v="West"/>
    <n v="1"/>
    <n v="30994"/>
    <x v="3"/>
    <n v="2"/>
    <n v="2"/>
    <n v="74"/>
    <n v="3"/>
    <d v="2022-11-07T00:00:00"/>
    <s v="No"/>
    <x v="3"/>
    <n v="4"/>
    <x v="3"/>
    <x v="2"/>
    <x v="3"/>
  </r>
  <r>
    <s v="REL04779"/>
    <s v="Male"/>
    <n v="55"/>
    <s v="HSC"/>
    <s v="Divorced"/>
    <x v="4"/>
    <s v="Marketing Executive"/>
    <x v="0"/>
    <x v="5"/>
    <s v="South"/>
    <n v="3"/>
    <n v="58603"/>
    <x v="1"/>
    <n v="3"/>
    <n v="1"/>
    <n v="23"/>
    <n v="2"/>
    <d v="2020-06-23T00:00:00"/>
    <s v="No"/>
    <x v="0"/>
    <n v="1"/>
    <x v="0"/>
    <x v="0"/>
    <x v="1"/>
  </r>
  <r>
    <s v="REL04780"/>
    <s v="Male"/>
    <n v="51"/>
    <s v="HSC"/>
    <s v="Married"/>
    <x v="7"/>
    <s v="Logistics Coordinator"/>
    <x v="0"/>
    <x v="7"/>
    <s v="East"/>
    <n v="4"/>
    <n v="60882"/>
    <x v="1"/>
    <n v="1"/>
    <n v="1"/>
    <n v="52"/>
    <n v="1"/>
    <d v="2019-06-29T00:00:00"/>
    <s v="Yes"/>
    <x v="0"/>
    <n v="1"/>
    <x v="0"/>
    <x v="1"/>
    <x v="1"/>
  </r>
  <r>
    <s v="REL04781"/>
    <s v="Male"/>
    <n v="25"/>
    <s v="Post Graduate"/>
    <s v="Married"/>
    <x v="7"/>
    <s v="Sales Executive"/>
    <x v="4"/>
    <x v="8"/>
    <s v="South"/>
    <n v="12"/>
    <n v="54609"/>
    <x v="1"/>
    <n v="2"/>
    <n v="4"/>
    <n v="51"/>
    <n v="0"/>
    <d v="2011-09-25T00:00:00"/>
    <s v="Yes"/>
    <x v="0"/>
    <n v="1"/>
    <x v="2"/>
    <x v="1"/>
    <x v="1"/>
  </r>
  <r>
    <s v="REL04782"/>
    <s v="Female"/>
    <n v="54"/>
    <s v="Post Graduate"/>
    <s v="Married"/>
    <x v="3"/>
    <s v="HR Manager"/>
    <x v="1"/>
    <x v="9"/>
    <s v="West"/>
    <n v="4"/>
    <n v="82152"/>
    <x v="1"/>
    <n v="1"/>
    <n v="1"/>
    <n v="28"/>
    <n v="2"/>
    <d v="2019-03-27T00:00:00"/>
    <s v="Yes"/>
    <x v="1"/>
    <n v="1"/>
    <x v="0"/>
    <x v="1"/>
    <x v="2"/>
  </r>
  <r>
    <s v="REL04783"/>
    <s v="Male"/>
    <n v="51"/>
    <s v="Post Graduate"/>
    <s v="Married"/>
    <x v="5"/>
    <s v="Sales Executive"/>
    <x v="1"/>
    <x v="7"/>
    <s v="East"/>
    <n v="13"/>
    <n v="65689"/>
    <x v="0"/>
    <n v="1"/>
    <n v="1"/>
    <n v="24"/>
    <n v="1"/>
    <d v="2010-02-16T00:00:00"/>
    <s v="No"/>
    <x v="0"/>
    <n v="3"/>
    <x v="2"/>
    <x v="0"/>
    <x v="0"/>
  </r>
  <r>
    <s v="REL04784"/>
    <s v="Male"/>
    <n v="49"/>
    <s v="BTech"/>
    <s v="Married"/>
    <x v="7"/>
    <s v="HR Manager"/>
    <x v="2"/>
    <x v="1"/>
    <s v="North"/>
    <n v="8"/>
    <n v="98738"/>
    <x v="3"/>
    <n v="4"/>
    <n v="3"/>
    <n v="42"/>
    <n v="3"/>
    <d v="2015-06-11T00:00:00"/>
    <s v="No"/>
    <x v="1"/>
    <n v="4"/>
    <x v="1"/>
    <x v="2"/>
    <x v="0"/>
  </r>
  <r>
    <s v="REL04785"/>
    <s v="Male"/>
    <n v="23"/>
    <s v="MBA"/>
    <s v="Single"/>
    <x v="4"/>
    <s v="Finance Analyst"/>
    <x v="1"/>
    <x v="4"/>
    <s v="North"/>
    <n v="2"/>
    <n v="60339"/>
    <x v="0"/>
    <n v="3"/>
    <n v="1"/>
    <n v="69"/>
    <n v="1"/>
    <d v="2021-10-25T00:00:00"/>
    <s v="No"/>
    <x v="0"/>
    <n v="3"/>
    <x v="3"/>
    <x v="0"/>
    <x v="0"/>
  </r>
  <r>
    <s v="REL04786"/>
    <s v="Male"/>
    <n v="54"/>
    <s v="MBA"/>
    <s v="Divorced"/>
    <x v="4"/>
    <s v="Customer Service Rep"/>
    <x v="2"/>
    <x v="9"/>
    <s v="West"/>
    <n v="14"/>
    <n v="65602"/>
    <x v="2"/>
    <n v="3"/>
    <n v="2"/>
    <n v="47"/>
    <n v="1"/>
    <d v="2009-09-18T00:00:00"/>
    <s v="No"/>
    <x v="0"/>
    <n v="2"/>
    <x v="2"/>
    <x v="0"/>
    <x v="1"/>
  </r>
  <r>
    <s v="REL04787"/>
    <s v="Male"/>
    <n v="35"/>
    <s v="HSC"/>
    <s v="Married"/>
    <x v="5"/>
    <s v="Store Manager"/>
    <x v="4"/>
    <x v="3"/>
    <s v="West"/>
    <n v="5"/>
    <n v="104115"/>
    <x v="0"/>
    <n v="1"/>
    <n v="2"/>
    <n v="67"/>
    <n v="1"/>
    <d v="2018-07-06T00:00:00"/>
    <s v="Yes"/>
    <x v="1"/>
    <n v="3"/>
    <x v="0"/>
    <x v="1"/>
    <x v="0"/>
  </r>
  <r>
    <s v="REL04788"/>
    <s v="Male"/>
    <n v="49"/>
    <s v="Graduate"/>
    <s v="Married"/>
    <x v="0"/>
    <s v="Logistics Coordinator"/>
    <x v="1"/>
    <x v="7"/>
    <s v="East"/>
    <n v="15"/>
    <n v="83621"/>
    <x v="0"/>
    <n v="3"/>
    <n v="1"/>
    <n v="56"/>
    <n v="2"/>
    <d v="2008-07-13T00:00:00"/>
    <s v="No"/>
    <x v="1"/>
    <n v="3"/>
    <x v="2"/>
    <x v="0"/>
    <x v="0"/>
  </r>
  <r>
    <s v="REL04789"/>
    <s v="Male"/>
    <n v="35"/>
    <s v="BTech"/>
    <s v="Divorced"/>
    <x v="3"/>
    <s v="Store Manager"/>
    <x v="2"/>
    <x v="0"/>
    <s v="North"/>
    <n v="1"/>
    <n v="81678"/>
    <x v="1"/>
    <n v="2"/>
    <n v="2"/>
    <n v="29"/>
    <n v="1"/>
    <d v="2022-05-27T00:00:00"/>
    <s v="Yes"/>
    <x v="1"/>
    <n v="1"/>
    <x v="3"/>
    <x v="1"/>
    <x v="2"/>
  </r>
  <r>
    <s v="REL04790"/>
    <s v="Female"/>
    <n v="22"/>
    <s v="MBA"/>
    <s v="Divorced"/>
    <x v="7"/>
    <s v="Sales Executive"/>
    <x v="0"/>
    <x v="4"/>
    <s v="North"/>
    <n v="6"/>
    <n v="47260"/>
    <x v="2"/>
    <n v="4"/>
    <n v="4"/>
    <n v="10"/>
    <n v="3"/>
    <d v="2017-05-08T00:00:00"/>
    <s v="No"/>
    <x v="2"/>
    <n v="2"/>
    <x v="1"/>
    <x v="0"/>
    <x v="1"/>
  </r>
  <r>
    <s v="REL04791"/>
    <s v="Female"/>
    <n v="28"/>
    <s v="Post Graduate"/>
    <s v="Divorced"/>
    <x v="4"/>
    <s v="Store Manager"/>
    <x v="0"/>
    <x v="2"/>
    <s v="West"/>
    <n v="13"/>
    <n v="115872"/>
    <x v="0"/>
    <n v="3"/>
    <n v="2"/>
    <n v="40"/>
    <n v="1"/>
    <d v="2010-04-27T00:00:00"/>
    <s v="Yes"/>
    <x v="1"/>
    <n v="3"/>
    <x v="2"/>
    <x v="1"/>
    <x v="0"/>
  </r>
  <r>
    <s v="REL04792"/>
    <s v="Male"/>
    <n v="44"/>
    <s v="HSC"/>
    <s v="Single"/>
    <x v="3"/>
    <s v="Sales Executive"/>
    <x v="1"/>
    <x v="0"/>
    <s v="North"/>
    <n v="2"/>
    <n v="50648"/>
    <x v="2"/>
    <n v="2"/>
    <n v="1"/>
    <n v="22"/>
    <n v="1"/>
    <d v="2021-01-20T00:00:00"/>
    <s v="No"/>
    <x v="0"/>
    <n v="2"/>
    <x v="3"/>
    <x v="0"/>
    <x v="1"/>
  </r>
  <r>
    <s v="REL04793"/>
    <s v="Female"/>
    <n v="46"/>
    <s v="HSC"/>
    <s v="Married"/>
    <x v="3"/>
    <s v="Operations Head"/>
    <x v="0"/>
    <x v="2"/>
    <s v="West"/>
    <n v="5"/>
    <n v="107956"/>
    <x v="1"/>
    <n v="1"/>
    <n v="3"/>
    <n v="67"/>
    <n v="2"/>
    <d v="2018-04-24T00:00:00"/>
    <s v="No"/>
    <x v="1"/>
    <n v="1"/>
    <x v="0"/>
    <x v="0"/>
    <x v="2"/>
  </r>
  <r>
    <s v="REL04794"/>
    <s v="Female"/>
    <n v="22"/>
    <s v="BTech"/>
    <s v="Married"/>
    <x v="4"/>
    <s v="Customer Service Rep"/>
    <x v="2"/>
    <x v="0"/>
    <s v="North"/>
    <n v="3"/>
    <n v="40070"/>
    <x v="2"/>
    <n v="1"/>
    <n v="1"/>
    <n v="56"/>
    <n v="2"/>
    <d v="2020-10-21T00:00:00"/>
    <s v="No"/>
    <x v="2"/>
    <n v="2"/>
    <x v="0"/>
    <x v="0"/>
    <x v="1"/>
  </r>
  <r>
    <s v="REL04795"/>
    <s v="Male"/>
    <n v="38"/>
    <s v="Post Graduate"/>
    <s v="Married"/>
    <x v="4"/>
    <s v="Store Manager"/>
    <x v="3"/>
    <x v="4"/>
    <s v="North"/>
    <n v="14"/>
    <n v="112704"/>
    <x v="2"/>
    <n v="3"/>
    <n v="2"/>
    <n v="29"/>
    <n v="0"/>
    <d v="2009-06-29T00:00:00"/>
    <s v="No"/>
    <x v="1"/>
    <n v="2"/>
    <x v="2"/>
    <x v="0"/>
    <x v="1"/>
  </r>
  <r>
    <s v="REL04796"/>
    <s v="Female"/>
    <n v="51"/>
    <s v="BTech"/>
    <s v="Married"/>
    <x v="3"/>
    <s v="Finance Analyst"/>
    <x v="3"/>
    <x v="5"/>
    <s v="South"/>
    <n v="3"/>
    <n v="65482"/>
    <x v="3"/>
    <n v="4"/>
    <n v="2"/>
    <n v="36"/>
    <n v="2"/>
    <d v="2020-12-20T00:00:00"/>
    <s v="No"/>
    <x v="0"/>
    <n v="4"/>
    <x v="0"/>
    <x v="2"/>
    <x v="1"/>
  </r>
  <r>
    <s v="REL04797"/>
    <s v="Female"/>
    <n v="49"/>
    <s v="Post Graduate"/>
    <s v="Single"/>
    <x v="0"/>
    <s v="Sales Executive"/>
    <x v="4"/>
    <x v="6"/>
    <s v="South"/>
    <n v="7"/>
    <n v="46789"/>
    <x v="1"/>
    <n v="2"/>
    <n v="4"/>
    <n v="64"/>
    <n v="2"/>
    <d v="2016-03-02T00:00:00"/>
    <s v="No"/>
    <x v="2"/>
    <n v="1"/>
    <x v="1"/>
    <x v="0"/>
    <x v="1"/>
  </r>
  <r>
    <s v="REL04798"/>
    <s v="Female"/>
    <n v="32"/>
    <s v="Graduate"/>
    <s v="Married"/>
    <x v="5"/>
    <s v="Customer Service Rep"/>
    <x v="1"/>
    <x v="5"/>
    <s v="South"/>
    <n v="9"/>
    <n v="58228"/>
    <x v="3"/>
    <n v="4"/>
    <n v="2"/>
    <n v="40"/>
    <n v="2"/>
    <d v="2014-11-10T00:00:00"/>
    <s v="No"/>
    <x v="0"/>
    <n v="4"/>
    <x v="1"/>
    <x v="2"/>
    <x v="1"/>
  </r>
  <r>
    <s v="REL04799"/>
    <s v="Female"/>
    <n v="37"/>
    <s v="Graduate"/>
    <s v="Divorced"/>
    <x v="2"/>
    <s v="Marketing Executive"/>
    <x v="0"/>
    <x v="7"/>
    <s v="East"/>
    <n v="1"/>
    <n v="50269"/>
    <x v="3"/>
    <n v="1"/>
    <n v="3"/>
    <n v="79"/>
    <n v="0"/>
    <d v="2022-05-30T00:00:00"/>
    <s v="No"/>
    <x v="0"/>
    <n v="4"/>
    <x v="3"/>
    <x v="2"/>
    <x v="1"/>
  </r>
  <r>
    <s v="REL04800"/>
    <s v="Male"/>
    <n v="27"/>
    <s v="Graduate"/>
    <s v="Single"/>
    <x v="2"/>
    <s v="HR Manager"/>
    <x v="2"/>
    <x v="1"/>
    <s v="North"/>
    <n v="13"/>
    <n v="107144"/>
    <x v="1"/>
    <n v="3"/>
    <n v="4"/>
    <n v="63"/>
    <n v="1"/>
    <d v="2010-12-28T00:00:00"/>
    <s v="Yes"/>
    <x v="1"/>
    <n v="1"/>
    <x v="2"/>
    <x v="1"/>
    <x v="2"/>
  </r>
  <r>
    <s v="REL04801"/>
    <s v="Male"/>
    <n v="36"/>
    <s v="BTech"/>
    <s v="Single"/>
    <x v="2"/>
    <s v="Customer Service Rep"/>
    <x v="4"/>
    <x v="0"/>
    <s v="North"/>
    <n v="9"/>
    <n v="54174"/>
    <x v="2"/>
    <n v="2"/>
    <n v="3"/>
    <n v="12"/>
    <n v="0"/>
    <d v="2014-01-09T00:00:00"/>
    <s v="No"/>
    <x v="0"/>
    <n v="2"/>
    <x v="1"/>
    <x v="0"/>
    <x v="1"/>
  </r>
  <r>
    <s v="REL04802"/>
    <s v="Male"/>
    <n v="43"/>
    <s v="BTech"/>
    <s v="Single"/>
    <x v="7"/>
    <s v="Logistics Coordinator"/>
    <x v="3"/>
    <x v="8"/>
    <s v="South"/>
    <n v="10"/>
    <n v="64055"/>
    <x v="1"/>
    <n v="1"/>
    <n v="1"/>
    <n v="48"/>
    <n v="2"/>
    <d v="2013-05-28T00:00:00"/>
    <s v="Yes"/>
    <x v="0"/>
    <n v="1"/>
    <x v="1"/>
    <x v="1"/>
    <x v="1"/>
  </r>
  <r>
    <s v="REL04803"/>
    <s v="Male"/>
    <n v="26"/>
    <s v="Post Graduate"/>
    <s v="Divorced"/>
    <x v="7"/>
    <s v="Marketing Executive"/>
    <x v="4"/>
    <x v="6"/>
    <s v="South"/>
    <n v="11"/>
    <n v="62262"/>
    <x v="1"/>
    <n v="4"/>
    <n v="3"/>
    <n v="10"/>
    <n v="1"/>
    <d v="2012-01-25T00:00:00"/>
    <s v="Yes"/>
    <x v="0"/>
    <n v="1"/>
    <x v="2"/>
    <x v="1"/>
    <x v="1"/>
  </r>
  <r>
    <s v="REL04804"/>
    <s v="Female"/>
    <n v="29"/>
    <s v="MBA"/>
    <s v="Married"/>
    <x v="0"/>
    <s v="Marketing Executive"/>
    <x v="3"/>
    <x v="0"/>
    <s v="North"/>
    <n v="8"/>
    <n v="67168"/>
    <x v="3"/>
    <n v="4"/>
    <n v="2"/>
    <n v="24"/>
    <n v="3"/>
    <d v="2015-01-28T00:00:00"/>
    <s v="No"/>
    <x v="0"/>
    <n v="4"/>
    <x v="1"/>
    <x v="2"/>
    <x v="1"/>
  </r>
  <r>
    <s v="REL04805"/>
    <s v="Female"/>
    <n v="34"/>
    <s v="HSC"/>
    <s v="Married"/>
    <x v="4"/>
    <s v="Logistics Coordinator"/>
    <x v="4"/>
    <x v="2"/>
    <s v="West"/>
    <n v="13"/>
    <n v="66831"/>
    <x v="3"/>
    <n v="3"/>
    <n v="4"/>
    <n v="70"/>
    <n v="1"/>
    <d v="2010-03-22T00:00:00"/>
    <s v="No"/>
    <x v="0"/>
    <n v="4"/>
    <x v="2"/>
    <x v="2"/>
    <x v="1"/>
  </r>
  <r>
    <s v="REL04806"/>
    <s v="Female"/>
    <n v="28"/>
    <s v="MBA"/>
    <s v="Divorced"/>
    <x v="0"/>
    <s v="HR Manager"/>
    <x v="1"/>
    <x v="1"/>
    <s v="North"/>
    <n v="8"/>
    <n v="91511"/>
    <x v="0"/>
    <n v="2"/>
    <n v="4"/>
    <n v="50"/>
    <n v="0"/>
    <d v="2015-07-09T00:00:00"/>
    <s v="No"/>
    <x v="1"/>
    <n v="3"/>
    <x v="1"/>
    <x v="0"/>
    <x v="0"/>
  </r>
  <r>
    <s v="REL04807"/>
    <s v="Male"/>
    <n v="47"/>
    <s v="HSC"/>
    <s v="Divorced"/>
    <x v="4"/>
    <s v="Store Manager"/>
    <x v="1"/>
    <x v="0"/>
    <s v="North"/>
    <n v="13"/>
    <n v="106541"/>
    <x v="3"/>
    <n v="4"/>
    <n v="3"/>
    <n v="70"/>
    <n v="3"/>
    <d v="2010-12-21T00:00:00"/>
    <s v="No"/>
    <x v="1"/>
    <n v="4"/>
    <x v="2"/>
    <x v="2"/>
    <x v="0"/>
  </r>
  <r>
    <s v="REL04808"/>
    <s v="Female"/>
    <n v="44"/>
    <s v="HSC"/>
    <s v="Single"/>
    <x v="0"/>
    <s v="Finance Analyst"/>
    <x v="0"/>
    <x v="0"/>
    <s v="North"/>
    <n v="14"/>
    <n v="83671"/>
    <x v="0"/>
    <n v="3"/>
    <n v="3"/>
    <n v="70"/>
    <n v="3"/>
    <d v="2009-01-20T00:00:00"/>
    <s v="No"/>
    <x v="1"/>
    <n v="3"/>
    <x v="2"/>
    <x v="0"/>
    <x v="0"/>
  </r>
  <r>
    <s v="REL04809"/>
    <s v="Female"/>
    <n v="35"/>
    <s v="HSC"/>
    <s v="Divorced"/>
    <x v="0"/>
    <s v="Logistics Coordinator"/>
    <x v="4"/>
    <x v="1"/>
    <s v="North"/>
    <n v="3"/>
    <n v="41359"/>
    <x v="2"/>
    <n v="2"/>
    <n v="4"/>
    <n v="80"/>
    <n v="2"/>
    <d v="2020-08-03T00:00:00"/>
    <s v="No"/>
    <x v="2"/>
    <n v="2"/>
    <x v="0"/>
    <x v="0"/>
    <x v="1"/>
  </r>
  <r>
    <s v="REL04810"/>
    <s v="Male"/>
    <n v="36"/>
    <s v="Post Graduate"/>
    <s v="Divorced"/>
    <x v="2"/>
    <s v="Sales Executive"/>
    <x v="3"/>
    <x v="9"/>
    <s v="West"/>
    <n v="6"/>
    <n v="51284"/>
    <x v="1"/>
    <n v="2"/>
    <n v="1"/>
    <n v="29"/>
    <n v="2"/>
    <d v="2017-07-06T00:00:00"/>
    <s v="Yes"/>
    <x v="0"/>
    <n v="1"/>
    <x v="1"/>
    <x v="1"/>
    <x v="1"/>
  </r>
  <r>
    <s v="REL04811"/>
    <s v="Male"/>
    <n v="45"/>
    <s v="BTech"/>
    <s v="Married"/>
    <x v="2"/>
    <s v="Operations Head"/>
    <x v="0"/>
    <x v="1"/>
    <s v="North"/>
    <n v="8"/>
    <n v="105202"/>
    <x v="0"/>
    <n v="3"/>
    <n v="3"/>
    <n v="52"/>
    <n v="1"/>
    <d v="2015-04-20T00:00:00"/>
    <s v="No"/>
    <x v="1"/>
    <n v="3"/>
    <x v="1"/>
    <x v="0"/>
    <x v="0"/>
  </r>
  <r>
    <s v="REL04812"/>
    <s v="Male"/>
    <n v="39"/>
    <s v="Post Graduate"/>
    <s v="Married"/>
    <x v="1"/>
    <s v="Operations Head"/>
    <x v="3"/>
    <x v="9"/>
    <s v="West"/>
    <n v="1"/>
    <n v="90748"/>
    <x v="0"/>
    <n v="1"/>
    <n v="3"/>
    <n v="12"/>
    <n v="2"/>
    <d v="2022-04-17T00:00:00"/>
    <s v="No"/>
    <x v="1"/>
    <n v="3"/>
    <x v="3"/>
    <x v="0"/>
    <x v="0"/>
  </r>
  <r>
    <s v="REL04813"/>
    <s v="Female"/>
    <n v="47"/>
    <s v="Post Graduate"/>
    <s v="Married"/>
    <x v="0"/>
    <s v="Logistics Coordinator"/>
    <x v="4"/>
    <x v="1"/>
    <s v="North"/>
    <n v="1"/>
    <n v="53128"/>
    <x v="1"/>
    <n v="1"/>
    <n v="2"/>
    <n v="37"/>
    <n v="1"/>
    <d v="2022-01-04T00:00:00"/>
    <s v="No"/>
    <x v="0"/>
    <n v="1"/>
    <x v="3"/>
    <x v="3"/>
    <x v="1"/>
  </r>
  <r>
    <s v="REL04814"/>
    <s v="Male"/>
    <n v="33"/>
    <s v="HSC"/>
    <s v="Married"/>
    <x v="0"/>
    <s v="Marketing Executive"/>
    <x v="1"/>
    <x v="3"/>
    <s v="West"/>
    <n v="8"/>
    <n v="63578"/>
    <x v="0"/>
    <n v="1"/>
    <n v="2"/>
    <n v="61"/>
    <n v="3"/>
    <d v="2015-07-23T00:00:00"/>
    <s v="No"/>
    <x v="0"/>
    <n v="3"/>
    <x v="1"/>
    <x v="0"/>
    <x v="0"/>
  </r>
  <r>
    <s v="REL04815"/>
    <s v="Female"/>
    <n v="36"/>
    <s v="Graduate"/>
    <s v="Married"/>
    <x v="2"/>
    <s v="Finance Analyst"/>
    <x v="1"/>
    <x v="6"/>
    <s v="South"/>
    <n v="6"/>
    <n v="64469"/>
    <x v="0"/>
    <n v="3"/>
    <n v="2"/>
    <n v="61"/>
    <n v="1"/>
    <d v="2017-05-16T00:00:00"/>
    <s v="No"/>
    <x v="0"/>
    <n v="3"/>
    <x v="1"/>
    <x v="0"/>
    <x v="0"/>
  </r>
  <r>
    <s v="REL04816"/>
    <s v="Female"/>
    <n v="37"/>
    <s v="BTech"/>
    <s v="Divorced"/>
    <x v="7"/>
    <s v="Store Manager"/>
    <x v="1"/>
    <x v="4"/>
    <s v="North"/>
    <n v="11"/>
    <n v="104228"/>
    <x v="1"/>
    <n v="4"/>
    <n v="2"/>
    <n v="30"/>
    <n v="1"/>
    <d v="2012-04-09T00:00:00"/>
    <s v="Yes"/>
    <x v="1"/>
    <n v="1"/>
    <x v="2"/>
    <x v="1"/>
    <x v="2"/>
  </r>
  <r>
    <s v="REL04817"/>
    <s v="Male"/>
    <n v="22"/>
    <s v="Graduate"/>
    <s v="Divorced"/>
    <x v="6"/>
    <s v="Customer Service Rep"/>
    <x v="1"/>
    <x v="5"/>
    <s v="South"/>
    <n v="10"/>
    <n v="59461"/>
    <x v="3"/>
    <n v="2"/>
    <n v="1"/>
    <n v="57"/>
    <n v="3"/>
    <d v="2013-05-05T00:00:00"/>
    <s v="Yes"/>
    <x v="0"/>
    <n v="4"/>
    <x v="1"/>
    <x v="1"/>
    <x v="1"/>
  </r>
  <r>
    <s v="REL04818"/>
    <s v="Female"/>
    <n v="41"/>
    <s v="BTech"/>
    <s v="Single"/>
    <x v="4"/>
    <s v="Logistics Coordinator"/>
    <x v="4"/>
    <x v="8"/>
    <s v="South"/>
    <n v="9"/>
    <n v="70969"/>
    <x v="2"/>
    <n v="4"/>
    <n v="3"/>
    <n v="78"/>
    <n v="1"/>
    <d v="2014-01-17T00:00:00"/>
    <s v="No"/>
    <x v="0"/>
    <n v="2"/>
    <x v="1"/>
    <x v="0"/>
    <x v="1"/>
  </r>
  <r>
    <s v="REL04819"/>
    <s v="Female"/>
    <n v="37"/>
    <s v="Post Graduate"/>
    <s v="Single"/>
    <x v="2"/>
    <s v="Store Manager"/>
    <x v="1"/>
    <x v="5"/>
    <s v="South"/>
    <n v="11"/>
    <n v="101251"/>
    <x v="0"/>
    <n v="2"/>
    <n v="4"/>
    <n v="22"/>
    <n v="3"/>
    <d v="2012-07-20T00:00:00"/>
    <s v="Yes"/>
    <x v="1"/>
    <n v="3"/>
    <x v="2"/>
    <x v="1"/>
    <x v="0"/>
  </r>
  <r>
    <s v="REL04820"/>
    <s v="Male"/>
    <n v="54"/>
    <s v="Post Graduate"/>
    <s v="Single"/>
    <x v="3"/>
    <s v="Operations Head"/>
    <x v="1"/>
    <x v="6"/>
    <s v="South"/>
    <n v="10"/>
    <n v="120482"/>
    <x v="1"/>
    <n v="3"/>
    <n v="1"/>
    <n v="62"/>
    <n v="0"/>
    <d v="2013-12-02T00:00:00"/>
    <s v="Yes"/>
    <x v="1"/>
    <n v="1"/>
    <x v="1"/>
    <x v="1"/>
    <x v="2"/>
  </r>
  <r>
    <s v="REL04821"/>
    <s v="Female"/>
    <n v="52"/>
    <s v="Graduate"/>
    <s v="Divorced"/>
    <x v="1"/>
    <s v="Customer Service Rep"/>
    <x v="2"/>
    <x v="0"/>
    <s v="North"/>
    <n v="3"/>
    <n v="46679"/>
    <x v="1"/>
    <n v="4"/>
    <n v="3"/>
    <n v="30"/>
    <n v="3"/>
    <d v="2020-06-25T00:00:00"/>
    <s v="Yes"/>
    <x v="2"/>
    <n v="1"/>
    <x v="0"/>
    <x v="1"/>
    <x v="1"/>
  </r>
  <r>
    <s v="REL04822"/>
    <s v="Female"/>
    <n v="35"/>
    <s v="BTech"/>
    <s v="Divorced"/>
    <x v="0"/>
    <s v="Logistics Coordinator"/>
    <x v="2"/>
    <x v="5"/>
    <s v="South"/>
    <n v="15"/>
    <n v="82219"/>
    <x v="1"/>
    <n v="4"/>
    <n v="4"/>
    <n v="59"/>
    <n v="1"/>
    <d v="2008-10-26T00:00:00"/>
    <s v="Yes"/>
    <x v="1"/>
    <n v="1"/>
    <x v="2"/>
    <x v="1"/>
    <x v="2"/>
  </r>
  <r>
    <s v="REL04823"/>
    <s v="Male"/>
    <n v="26"/>
    <s v="MBA"/>
    <s v="Married"/>
    <x v="0"/>
    <s v="Finance Analyst"/>
    <x v="1"/>
    <x v="4"/>
    <s v="North"/>
    <n v="4"/>
    <n v="67233"/>
    <x v="3"/>
    <n v="4"/>
    <n v="4"/>
    <n v="37"/>
    <n v="2"/>
    <d v="2019-10-13T00:00:00"/>
    <s v="Yes"/>
    <x v="0"/>
    <n v="4"/>
    <x v="0"/>
    <x v="1"/>
    <x v="1"/>
  </r>
  <r>
    <s v="REL04824"/>
    <s v="Male"/>
    <n v="30"/>
    <s v="HSC"/>
    <s v="Divorced"/>
    <x v="3"/>
    <s v="Operations Head"/>
    <x v="2"/>
    <x v="3"/>
    <s v="West"/>
    <n v="14"/>
    <n v="129183"/>
    <x v="3"/>
    <n v="1"/>
    <n v="4"/>
    <n v="45"/>
    <n v="1"/>
    <d v="2009-12-24T00:00:00"/>
    <s v="No"/>
    <x v="1"/>
    <n v="4"/>
    <x v="2"/>
    <x v="2"/>
    <x v="0"/>
  </r>
  <r>
    <s v="REL04825"/>
    <s v="Male"/>
    <n v="23"/>
    <s v="MBA"/>
    <s v="Divorced"/>
    <x v="2"/>
    <s v="Marketing Executive"/>
    <x v="1"/>
    <x v="8"/>
    <s v="South"/>
    <n v="11"/>
    <n v="73552"/>
    <x v="0"/>
    <n v="1"/>
    <n v="1"/>
    <n v="23"/>
    <n v="2"/>
    <d v="2012-05-09T00:00:00"/>
    <s v="No"/>
    <x v="0"/>
    <n v="3"/>
    <x v="2"/>
    <x v="0"/>
    <x v="0"/>
  </r>
  <r>
    <s v="REL04826"/>
    <s v="Female"/>
    <n v="22"/>
    <s v="BTech"/>
    <s v="Single"/>
    <x v="1"/>
    <s v="HR Manager"/>
    <x v="0"/>
    <x v="9"/>
    <s v="West"/>
    <n v="8"/>
    <n v="86673"/>
    <x v="0"/>
    <n v="1"/>
    <n v="3"/>
    <n v="19"/>
    <n v="3"/>
    <d v="2015-04-14T00:00:00"/>
    <s v="Yes"/>
    <x v="1"/>
    <n v="3"/>
    <x v="1"/>
    <x v="1"/>
    <x v="0"/>
  </r>
  <r>
    <s v="REL04827"/>
    <s v="Male"/>
    <n v="48"/>
    <s v="HSC"/>
    <s v="Single"/>
    <x v="6"/>
    <s v="Logistics Coordinator"/>
    <x v="2"/>
    <x v="8"/>
    <s v="South"/>
    <n v="1"/>
    <n v="54576"/>
    <x v="0"/>
    <n v="3"/>
    <n v="1"/>
    <n v="57"/>
    <n v="1"/>
    <d v="2022-04-30T00:00:00"/>
    <s v="No"/>
    <x v="0"/>
    <n v="3"/>
    <x v="3"/>
    <x v="0"/>
    <x v="0"/>
  </r>
  <r>
    <s v="REL04828"/>
    <s v="Male"/>
    <n v="26"/>
    <s v="MBA"/>
    <s v="Divorced"/>
    <x v="5"/>
    <s v="Store Manager"/>
    <x v="1"/>
    <x v="5"/>
    <s v="South"/>
    <n v="11"/>
    <n v="101427"/>
    <x v="0"/>
    <n v="4"/>
    <n v="3"/>
    <n v="23"/>
    <n v="2"/>
    <d v="2012-02-14T00:00:00"/>
    <s v="No"/>
    <x v="1"/>
    <n v="3"/>
    <x v="2"/>
    <x v="0"/>
    <x v="0"/>
  </r>
  <r>
    <s v="REL04829"/>
    <s v="Female"/>
    <n v="47"/>
    <s v="MBA"/>
    <s v="Married"/>
    <x v="7"/>
    <s v="HR Manager"/>
    <x v="0"/>
    <x v="0"/>
    <s v="North"/>
    <n v="8"/>
    <n v="88956"/>
    <x v="1"/>
    <n v="4"/>
    <n v="3"/>
    <n v="65"/>
    <n v="2"/>
    <d v="2015-01-18T00:00:00"/>
    <s v="Yes"/>
    <x v="1"/>
    <n v="1"/>
    <x v="1"/>
    <x v="1"/>
    <x v="2"/>
  </r>
  <r>
    <s v="REL04830"/>
    <s v="Male"/>
    <n v="28"/>
    <s v="HSC"/>
    <s v="Divorced"/>
    <x v="1"/>
    <s v="Operations Head"/>
    <x v="2"/>
    <x v="3"/>
    <s v="West"/>
    <n v="1"/>
    <n v="99545"/>
    <x v="2"/>
    <n v="2"/>
    <n v="4"/>
    <n v="61"/>
    <n v="2"/>
    <d v="2022-01-10T00:00:00"/>
    <s v="No"/>
    <x v="1"/>
    <n v="2"/>
    <x v="3"/>
    <x v="0"/>
    <x v="1"/>
  </r>
  <r>
    <s v="REL04831"/>
    <s v="Female"/>
    <n v="34"/>
    <s v="BTech"/>
    <s v="Divorced"/>
    <x v="6"/>
    <s v="Finance Analyst"/>
    <x v="4"/>
    <x v="3"/>
    <s v="West"/>
    <n v="1"/>
    <n v="63853"/>
    <x v="0"/>
    <n v="4"/>
    <n v="2"/>
    <n v="26"/>
    <n v="1"/>
    <d v="2022-07-10T00:00:00"/>
    <s v="No"/>
    <x v="0"/>
    <n v="3"/>
    <x v="3"/>
    <x v="0"/>
    <x v="0"/>
  </r>
  <r>
    <s v="REL04832"/>
    <s v="Female"/>
    <n v="35"/>
    <s v="Post Graduate"/>
    <s v="Divorced"/>
    <x v="2"/>
    <s v="Customer Service Rep"/>
    <x v="1"/>
    <x v="4"/>
    <s v="North"/>
    <n v="12"/>
    <n v="64892"/>
    <x v="2"/>
    <n v="4"/>
    <n v="1"/>
    <n v="32"/>
    <n v="1"/>
    <d v="2011-09-06T00:00:00"/>
    <s v="No"/>
    <x v="0"/>
    <n v="2"/>
    <x v="2"/>
    <x v="0"/>
    <x v="1"/>
  </r>
  <r>
    <s v="REL04833"/>
    <s v="Female"/>
    <n v="29"/>
    <s v="BTech"/>
    <s v="Divorced"/>
    <x v="1"/>
    <s v="Marketing Executive"/>
    <x v="4"/>
    <x v="2"/>
    <s v="West"/>
    <n v="2"/>
    <n v="58577"/>
    <x v="1"/>
    <n v="4"/>
    <n v="1"/>
    <n v="20"/>
    <n v="3"/>
    <d v="2021-12-01T00:00:00"/>
    <s v="No"/>
    <x v="0"/>
    <n v="1"/>
    <x v="3"/>
    <x v="3"/>
    <x v="1"/>
  </r>
  <r>
    <s v="REL04834"/>
    <s v="Female"/>
    <n v="53"/>
    <s v="Post Graduate"/>
    <s v="Married"/>
    <x v="6"/>
    <s v="Sales Executive"/>
    <x v="3"/>
    <x v="0"/>
    <s v="North"/>
    <n v="5"/>
    <n v="41795"/>
    <x v="0"/>
    <n v="2"/>
    <n v="4"/>
    <n v="45"/>
    <n v="1"/>
    <d v="2018-07-12T00:00:00"/>
    <s v="No"/>
    <x v="2"/>
    <n v="3"/>
    <x v="0"/>
    <x v="0"/>
    <x v="1"/>
  </r>
  <r>
    <s v="REL04835"/>
    <s v="Male"/>
    <n v="34"/>
    <s v="MBA"/>
    <s v="Married"/>
    <x v="7"/>
    <s v="Finance Analyst"/>
    <x v="1"/>
    <x v="3"/>
    <s v="West"/>
    <n v="3"/>
    <n v="59883"/>
    <x v="2"/>
    <n v="4"/>
    <n v="3"/>
    <n v="63"/>
    <n v="3"/>
    <d v="2020-01-25T00:00:00"/>
    <s v="No"/>
    <x v="0"/>
    <n v="2"/>
    <x v="0"/>
    <x v="0"/>
    <x v="1"/>
  </r>
  <r>
    <s v="REL04836"/>
    <s v="Male"/>
    <n v="54"/>
    <s v="BTech"/>
    <s v="Divorced"/>
    <x v="4"/>
    <s v="Marketing Executive"/>
    <x v="2"/>
    <x v="0"/>
    <s v="North"/>
    <n v="5"/>
    <n v="62294"/>
    <x v="1"/>
    <n v="4"/>
    <n v="1"/>
    <n v="17"/>
    <n v="1"/>
    <d v="2018-07-25T00:00:00"/>
    <s v="Yes"/>
    <x v="0"/>
    <n v="1"/>
    <x v="0"/>
    <x v="1"/>
    <x v="1"/>
  </r>
  <r>
    <s v="REL04837"/>
    <s v="Female"/>
    <n v="37"/>
    <s v="Post Graduate"/>
    <s v="Married"/>
    <x v="2"/>
    <s v="Sales Executive"/>
    <x v="1"/>
    <x v="7"/>
    <s v="East"/>
    <n v="9"/>
    <n v="60927"/>
    <x v="0"/>
    <n v="3"/>
    <n v="1"/>
    <n v="24"/>
    <n v="0"/>
    <d v="2014-10-10T00:00:00"/>
    <s v="Yes"/>
    <x v="0"/>
    <n v="3"/>
    <x v="1"/>
    <x v="1"/>
    <x v="0"/>
  </r>
  <r>
    <s v="REL04838"/>
    <s v="Male"/>
    <n v="31"/>
    <s v="BTech"/>
    <s v="Divorced"/>
    <x v="3"/>
    <s v="HR Manager"/>
    <x v="4"/>
    <x v="6"/>
    <s v="South"/>
    <n v="4"/>
    <n v="75340"/>
    <x v="3"/>
    <n v="2"/>
    <n v="4"/>
    <n v="10"/>
    <n v="3"/>
    <d v="2019-12-21T00:00:00"/>
    <s v="No"/>
    <x v="0"/>
    <n v="4"/>
    <x v="0"/>
    <x v="2"/>
    <x v="1"/>
  </r>
  <r>
    <s v="REL04839"/>
    <s v="Male"/>
    <n v="35"/>
    <s v="Post Graduate"/>
    <s v="Divorced"/>
    <x v="6"/>
    <s v="Marketing Executive"/>
    <x v="2"/>
    <x v="6"/>
    <s v="South"/>
    <n v="3"/>
    <n v="53269"/>
    <x v="0"/>
    <n v="3"/>
    <n v="2"/>
    <n v="25"/>
    <n v="1"/>
    <d v="2020-12-26T00:00:00"/>
    <s v="Yes"/>
    <x v="0"/>
    <n v="3"/>
    <x v="0"/>
    <x v="1"/>
    <x v="0"/>
  </r>
  <r>
    <s v="REL04840"/>
    <s v="Female"/>
    <n v="55"/>
    <s v="MBA"/>
    <s v="Single"/>
    <x v="0"/>
    <s v="HR Manager"/>
    <x v="4"/>
    <x v="8"/>
    <s v="South"/>
    <n v="14"/>
    <n v="97275"/>
    <x v="1"/>
    <n v="1"/>
    <n v="4"/>
    <n v="44"/>
    <n v="1"/>
    <d v="2009-05-02T00:00:00"/>
    <s v="Yes"/>
    <x v="1"/>
    <n v="1"/>
    <x v="2"/>
    <x v="1"/>
    <x v="2"/>
  </r>
  <r>
    <s v="REL04841"/>
    <s v="Female"/>
    <n v="47"/>
    <s v="BTech"/>
    <s v="Divorced"/>
    <x v="7"/>
    <s v="HR Manager"/>
    <x v="3"/>
    <x v="8"/>
    <s v="South"/>
    <n v="11"/>
    <n v="106395"/>
    <x v="3"/>
    <n v="1"/>
    <n v="3"/>
    <n v="50"/>
    <n v="0"/>
    <d v="2012-10-06T00:00:00"/>
    <s v="Yes"/>
    <x v="1"/>
    <n v="4"/>
    <x v="2"/>
    <x v="1"/>
    <x v="0"/>
  </r>
  <r>
    <s v="REL04842"/>
    <s v="Male"/>
    <n v="53"/>
    <s v="Post Graduate"/>
    <s v="Divorced"/>
    <x v="3"/>
    <s v="Logistics Coordinator"/>
    <x v="4"/>
    <x v="1"/>
    <s v="North"/>
    <n v="13"/>
    <n v="65339"/>
    <x v="0"/>
    <n v="3"/>
    <n v="2"/>
    <n v="77"/>
    <n v="1"/>
    <d v="2010-03-28T00:00:00"/>
    <s v="No"/>
    <x v="0"/>
    <n v="3"/>
    <x v="2"/>
    <x v="0"/>
    <x v="0"/>
  </r>
  <r>
    <s v="REL04843"/>
    <s v="Female"/>
    <n v="39"/>
    <s v="BTech"/>
    <s v="Single"/>
    <x v="4"/>
    <s v="Operations Head"/>
    <x v="0"/>
    <x v="9"/>
    <s v="West"/>
    <n v="8"/>
    <n v="102715"/>
    <x v="0"/>
    <n v="3"/>
    <n v="4"/>
    <n v="47"/>
    <n v="1"/>
    <d v="2015-09-30T00:00:00"/>
    <s v="Yes"/>
    <x v="1"/>
    <n v="3"/>
    <x v="1"/>
    <x v="1"/>
    <x v="0"/>
  </r>
  <r>
    <s v="REL04844"/>
    <s v="Male"/>
    <n v="33"/>
    <s v="MBA"/>
    <s v="Divorced"/>
    <x v="0"/>
    <s v="Marketing Executive"/>
    <x v="3"/>
    <x v="6"/>
    <s v="South"/>
    <n v="10"/>
    <n v="63855"/>
    <x v="2"/>
    <n v="1"/>
    <n v="4"/>
    <n v="50"/>
    <n v="2"/>
    <d v="2013-08-22T00:00:00"/>
    <s v="No"/>
    <x v="0"/>
    <n v="2"/>
    <x v="1"/>
    <x v="0"/>
    <x v="1"/>
  </r>
  <r>
    <s v="REL04845"/>
    <s v="Male"/>
    <n v="36"/>
    <s v="MBA"/>
    <s v="Married"/>
    <x v="7"/>
    <s v="Customer Service Rep"/>
    <x v="2"/>
    <x v="7"/>
    <s v="East"/>
    <n v="11"/>
    <n v="55928"/>
    <x v="2"/>
    <n v="1"/>
    <n v="4"/>
    <n v="33"/>
    <n v="2"/>
    <d v="2012-09-14T00:00:00"/>
    <s v="Yes"/>
    <x v="0"/>
    <n v="2"/>
    <x v="2"/>
    <x v="1"/>
    <x v="1"/>
  </r>
  <r>
    <s v="REL04846"/>
    <s v="Female"/>
    <n v="41"/>
    <s v="HSC"/>
    <s v="Single"/>
    <x v="1"/>
    <s v="Finance Analyst"/>
    <x v="4"/>
    <x v="6"/>
    <s v="South"/>
    <n v="10"/>
    <n v="77123"/>
    <x v="3"/>
    <n v="1"/>
    <n v="3"/>
    <n v="55"/>
    <n v="1"/>
    <d v="2013-01-08T00:00:00"/>
    <s v="No"/>
    <x v="0"/>
    <n v="4"/>
    <x v="1"/>
    <x v="2"/>
    <x v="1"/>
  </r>
  <r>
    <s v="REL04847"/>
    <s v="Male"/>
    <n v="50"/>
    <s v="MBA"/>
    <s v="Divorced"/>
    <x v="3"/>
    <s v="Logistics Coordinator"/>
    <x v="4"/>
    <x v="8"/>
    <s v="South"/>
    <n v="3"/>
    <n v="57114"/>
    <x v="2"/>
    <n v="1"/>
    <n v="2"/>
    <n v="25"/>
    <n v="3"/>
    <d v="2020-04-11T00:00:00"/>
    <s v="No"/>
    <x v="0"/>
    <n v="2"/>
    <x v="0"/>
    <x v="0"/>
    <x v="1"/>
  </r>
  <r>
    <s v="REL04848"/>
    <s v="Male"/>
    <n v="32"/>
    <s v="MBA"/>
    <s v="Married"/>
    <x v="1"/>
    <s v="Store Manager"/>
    <x v="1"/>
    <x v="2"/>
    <s v="West"/>
    <n v="5"/>
    <n v="85792"/>
    <x v="2"/>
    <n v="4"/>
    <n v="3"/>
    <n v="23"/>
    <n v="1"/>
    <d v="2018-10-24T00:00:00"/>
    <s v="No"/>
    <x v="1"/>
    <n v="2"/>
    <x v="0"/>
    <x v="0"/>
    <x v="1"/>
  </r>
  <r>
    <s v="REL04849"/>
    <s v="Male"/>
    <n v="55"/>
    <s v="Post Graduate"/>
    <s v="Single"/>
    <x v="0"/>
    <s v="HR Manager"/>
    <x v="0"/>
    <x v="9"/>
    <s v="West"/>
    <n v="1"/>
    <n v="82824"/>
    <x v="1"/>
    <n v="1"/>
    <n v="1"/>
    <n v="14"/>
    <n v="1"/>
    <d v="2022-12-22T00:00:00"/>
    <s v="No"/>
    <x v="1"/>
    <n v="1"/>
    <x v="3"/>
    <x v="3"/>
    <x v="2"/>
  </r>
  <r>
    <s v="REL04850"/>
    <s v="Male"/>
    <n v="29"/>
    <s v="Graduate"/>
    <s v="Single"/>
    <x v="0"/>
    <s v="Store Manager"/>
    <x v="4"/>
    <x v="4"/>
    <s v="North"/>
    <n v="1"/>
    <n v="78656"/>
    <x v="3"/>
    <n v="4"/>
    <n v="1"/>
    <n v="52"/>
    <n v="0"/>
    <d v="2022-10-05T00:00:00"/>
    <s v="No"/>
    <x v="0"/>
    <n v="4"/>
    <x v="3"/>
    <x v="2"/>
    <x v="1"/>
  </r>
  <r>
    <s v="REL04851"/>
    <s v="Female"/>
    <n v="33"/>
    <s v="HSC"/>
    <s v="Single"/>
    <x v="2"/>
    <s v="Customer Service Rep"/>
    <x v="3"/>
    <x v="8"/>
    <s v="South"/>
    <n v="7"/>
    <n v="48353"/>
    <x v="0"/>
    <n v="3"/>
    <n v="3"/>
    <n v="57"/>
    <n v="1"/>
    <d v="2016-11-23T00:00:00"/>
    <s v="Yes"/>
    <x v="2"/>
    <n v="3"/>
    <x v="1"/>
    <x v="1"/>
    <x v="1"/>
  </r>
  <r>
    <s v="REL04852"/>
    <s v="Male"/>
    <n v="45"/>
    <s v="BTech"/>
    <s v="Divorced"/>
    <x v="7"/>
    <s v="Sales Executive"/>
    <x v="4"/>
    <x v="1"/>
    <s v="North"/>
    <n v="10"/>
    <n v="60398"/>
    <x v="1"/>
    <n v="2"/>
    <n v="2"/>
    <n v="76"/>
    <n v="1"/>
    <d v="2013-10-06T00:00:00"/>
    <s v="Yes"/>
    <x v="0"/>
    <n v="1"/>
    <x v="1"/>
    <x v="1"/>
    <x v="1"/>
  </r>
  <r>
    <s v="REL04853"/>
    <s v="Male"/>
    <n v="38"/>
    <s v="Post Graduate"/>
    <s v="Married"/>
    <x v="2"/>
    <s v="Operations Head"/>
    <x v="0"/>
    <x v="9"/>
    <s v="West"/>
    <n v="6"/>
    <n v="105338"/>
    <x v="1"/>
    <n v="4"/>
    <n v="4"/>
    <n v="17"/>
    <n v="2"/>
    <d v="2017-09-15T00:00:00"/>
    <s v="Yes"/>
    <x v="1"/>
    <n v="1"/>
    <x v="1"/>
    <x v="1"/>
    <x v="2"/>
  </r>
  <r>
    <s v="REL04854"/>
    <s v="Male"/>
    <n v="22"/>
    <s v="Graduate"/>
    <s v="Divorced"/>
    <x v="3"/>
    <s v="Operations Head"/>
    <x v="1"/>
    <x v="9"/>
    <s v="West"/>
    <n v="9"/>
    <n v="108039"/>
    <x v="2"/>
    <n v="3"/>
    <n v="2"/>
    <n v="22"/>
    <n v="0"/>
    <d v="2014-12-22T00:00:00"/>
    <s v="No"/>
    <x v="1"/>
    <n v="2"/>
    <x v="1"/>
    <x v="0"/>
    <x v="1"/>
  </r>
  <r>
    <s v="REL04855"/>
    <s v="Female"/>
    <n v="37"/>
    <s v="Graduate"/>
    <s v="Single"/>
    <x v="6"/>
    <s v="Store Manager"/>
    <x v="4"/>
    <x v="0"/>
    <s v="North"/>
    <n v="12"/>
    <n v="113115"/>
    <x v="1"/>
    <n v="3"/>
    <n v="1"/>
    <n v="37"/>
    <n v="2"/>
    <d v="2011-12-12T00:00:00"/>
    <s v="No"/>
    <x v="1"/>
    <n v="1"/>
    <x v="2"/>
    <x v="0"/>
    <x v="2"/>
  </r>
  <r>
    <s v="REL04856"/>
    <s v="Female"/>
    <n v="40"/>
    <s v="Graduate"/>
    <s v="Married"/>
    <x v="0"/>
    <s v="HR Manager"/>
    <x v="0"/>
    <x v="3"/>
    <s v="West"/>
    <n v="14"/>
    <n v="99712"/>
    <x v="2"/>
    <n v="1"/>
    <n v="1"/>
    <n v="40"/>
    <n v="2"/>
    <d v="2009-07-09T00:00:00"/>
    <s v="No"/>
    <x v="1"/>
    <n v="2"/>
    <x v="2"/>
    <x v="0"/>
    <x v="1"/>
  </r>
  <r>
    <s v="REL04857"/>
    <s v="Male"/>
    <n v="42"/>
    <s v="Post Graduate"/>
    <s v="Married"/>
    <x v="2"/>
    <s v="Operations Head"/>
    <x v="0"/>
    <x v="6"/>
    <s v="South"/>
    <n v="11"/>
    <n v="121470"/>
    <x v="3"/>
    <n v="1"/>
    <n v="3"/>
    <n v="52"/>
    <n v="3"/>
    <d v="2012-03-19T00:00:00"/>
    <s v="No"/>
    <x v="1"/>
    <n v="4"/>
    <x v="2"/>
    <x v="2"/>
    <x v="0"/>
  </r>
  <r>
    <s v="REL04858"/>
    <s v="Male"/>
    <n v="33"/>
    <s v="MBA"/>
    <s v="Single"/>
    <x v="7"/>
    <s v="Sales Executive"/>
    <x v="3"/>
    <x v="6"/>
    <s v="South"/>
    <n v="11"/>
    <n v="69098"/>
    <x v="2"/>
    <n v="2"/>
    <n v="4"/>
    <n v="28"/>
    <n v="2"/>
    <d v="2012-06-01T00:00:00"/>
    <s v="Yes"/>
    <x v="0"/>
    <n v="2"/>
    <x v="2"/>
    <x v="1"/>
    <x v="1"/>
  </r>
  <r>
    <s v="REL04859"/>
    <s v="Male"/>
    <n v="31"/>
    <s v="BTech"/>
    <s v="Married"/>
    <x v="4"/>
    <s v="Marketing Executive"/>
    <x v="4"/>
    <x v="5"/>
    <s v="South"/>
    <n v="8"/>
    <n v="74807"/>
    <x v="3"/>
    <n v="3"/>
    <n v="3"/>
    <n v="13"/>
    <n v="2"/>
    <d v="2015-03-20T00:00:00"/>
    <s v="No"/>
    <x v="0"/>
    <n v="4"/>
    <x v="1"/>
    <x v="2"/>
    <x v="1"/>
  </r>
  <r>
    <s v="REL04860"/>
    <s v="Female"/>
    <n v="23"/>
    <s v="Graduate"/>
    <s v="Married"/>
    <x v="4"/>
    <s v="HR Manager"/>
    <x v="3"/>
    <x v="7"/>
    <s v="East"/>
    <n v="11"/>
    <n v="89843"/>
    <x v="0"/>
    <n v="2"/>
    <n v="4"/>
    <n v="80"/>
    <n v="3"/>
    <d v="2012-10-02T00:00:00"/>
    <s v="No"/>
    <x v="1"/>
    <n v="3"/>
    <x v="2"/>
    <x v="0"/>
    <x v="0"/>
  </r>
  <r>
    <s v="REL04861"/>
    <s v="Female"/>
    <n v="53"/>
    <s v="BTech"/>
    <s v="Divorced"/>
    <x v="0"/>
    <s v="Finance Analyst"/>
    <x v="1"/>
    <x v="0"/>
    <s v="North"/>
    <n v="5"/>
    <n v="73721"/>
    <x v="2"/>
    <n v="4"/>
    <n v="2"/>
    <n v="76"/>
    <n v="3"/>
    <d v="2018-02-09T00:00:00"/>
    <s v="Yes"/>
    <x v="0"/>
    <n v="2"/>
    <x v="0"/>
    <x v="1"/>
    <x v="1"/>
  </r>
  <r>
    <s v="REL04862"/>
    <s v="Male"/>
    <n v="41"/>
    <s v="BTech"/>
    <s v="Divorced"/>
    <x v="4"/>
    <s v="Customer Service Rep"/>
    <x v="2"/>
    <x v="9"/>
    <s v="West"/>
    <n v="4"/>
    <n v="38089"/>
    <x v="0"/>
    <n v="4"/>
    <n v="2"/>
    <n v="55"/>
    <n v="1"/>
    <d v="2019-03-24T00:00:00"/>
    <s v="No"/>
    <x v="2"/>
    <n v="3"/>
    <x v="0"/>
    <x v="0"/>
    <x v="1"/>
  </r>
  <r>
    <s v="REL04863"/>
    <s v="Female"/>
    <n v="35"/>
    <s v="Graduate"/>
    <s v="Divorced"/>
    <x v="5"/>
    <s v="Marketing Executive"/>
    <x v="1"/>
    <x v="7"/>
    <s v="East"/>
    <n v="14"/>
    <n v="71704"/>
    <x v="3"/>
    <n v="2"/>
    <n v="1"/>
    <n v="37"/>
    <n v="2"/>
    <d v="2009-09-13T00:00:00"/>
    <s v="No"/>
    <x v="0"/>
    <n v="4"/>
    <x v="2"/>
    <x v="2"/>
    <x v="1"/>
  </r>
  <r>
    <s v="REL04864"/>
    <s v="Female"/>
    <n v="37"/>
    <s v="Graduate"/>
    <s v="Divorced"/>
    <x v="2"/>
    <s v="Finance Analyst"/>
    <x v="0"/>
    <x v="6"/>
    <s v="South"/>
    <n v="11"/>
    <n v="83099"/>
    <x v="2"/>
    <n v="2"/>
    <n v="4"/>
    <n v="26"/>
    <n v="0"/>
    <d v="2012-05-18T00:00:00"/>
    <s v="Yes"/>
    <x v="1"/>
    <n v="2"/>
    <x v="2"/>
    <x v="1"/>
    <x v="1"/>
  </r>
  <r>
    <s v="REL04865"/>
    <s v="Female"/>
    <n v="41"/>
    <s v="Post Graduate"/>
    <s v="Married"/>
    <x v="7"/>
    <s v="Customer Service Rep"/>
    <x v="2"/>
    <x v="4"/>
    <s v="North"/>
    <n v="5"/>
    <n v="49806"/>
    <x v="3"/>
    <n v="4"/>
    <n v="4"/>
    <n v="10"/>
    <n v="0"/>
    <d v="2018-05-29T00:00:00"/>
    <s v="No"/>
    <x v="2"/>
    <n v="4"/>
    <x v="0"/>
    <x v="2"/>
    <x v="1"/>
  </r>
  <r>
    <s v="REL04866"/>
    <s v="Male"/>
    <n v="53"/>
    <s v="HSC"/>
    <s v="Divorced"/>
    <x v="4"/>
    <s v="Logistics Coordinator"/>
    <x v="3"/>
    <x v="4"/>
    <s v="North"/>
    <n v="2"/>
    <n v="39016"/>
    <x v="3"/>
    <n v="3"/>
    <n v="2"/>
    <n v="55"/>
    <n v="2"/>
    <d v="2021-11-04T00:00:00"/>
    <s v="No"/>
    <x v="2"/>
    <n v="4"/>
    <x v="3"/>
    <x v="2"/>
    <x v="1"/>
  </r>
  <r>
    <s v="REL04867"/>
    <s v="Male"/>
    <n v="23"/>
    <s v="Post Graduate"/>
    <s v="Single"/>
    <x v="6"/>
    <s v="Customer Service Rep"/>
    <x v="4"/>
    <x v="1"/>
    <s v="North"/>
    <n v="1"/>
    <n v="37696"/>
    <x v="2"/>
    <n v="4"/>
    <n v="1"/>
    <n v="54"/>
    <n v="2"/>
    <d v="2022-11-15T00:00:00"/>
    <s v="Yes"/>
    <x v="2"/>
    <n v="2"/>
    <x v="3"/>
    <x v="1"/>
    <x v="1"/>
  </r>
  <r>
    <s v="REL04868"/>
    <s v="Female"/>
    <n v="28"/>
    <s v="Post Graduate"/>
    <s v="Single"/>
    <x v="2"/>
    <s v="Finance Analyst"/>
    <x v="4"/>
    <x v="9"/>
    <s v="West"/>
    <n v="8"/>
    <n v="67988"/>
    <x v="2"/>
    <n v="1"/>
    <n v="3"/>
    <n v="27"/>
    <n v="3"/>
    <d v="2015-02-17T00:00:00"/>
    <s v="No"/>
    <x v="0"/>
    <n v="2"/>
    <x v="1"/>
    <x v="0"/>
    <x v="1"/>
  </r>
  <r>
    <s v="REL04869"/>
    <s v="Male"/>
    <n v="31"/>
    <s v="BTech"/>
    <s v="Divorced"/>
    <x v="0"/>
    <s v="Logistics Coordinator"/>
    <x v="4"/>
    <x v="0"/>
    <s v="North"/>
    <n v="7"/>
    <n v="63125"/>
    <x v="0"/>
    <n v="4"/>
    <n v="1"/>
    <n v="54"/>
    <n v="2"/>
    <d v="2016-05-25T00:00:00"/>
    <s v="Yes"/>
    <x v="0"/>
    <n v="3"/>
    <x v="1"/>
    <x v="1"/>
    <x v="0"/>
  </r>
  <r>
    <s v="REL04870"/>
    <s v="Female"/>
    <n v="33"/>
    <s v="HSC"/>
    <s v="Single"/>
    <x v="6"/>
    <s v="Customer Service Rep"/>
    <x v="4"/>
    <x v="7"/>
    <s v="East"/>
    <n v="10"/>
    <n v="55623"/>
    <x v="1"/>
    <n v="4"/>
    <n v="3"/>
    <n v="17"/>
    <n v="0"/>
    <d v="2013-11-09T00:00:00"/>
    <s v="No"/>
    <x v="0"/>
    <n v="1"/>
    <x v="1"/>
    <x v="0"/>
    <x v="1"/>
  </r>
  <r>
    <s v="REL04871"/>
    <s v="Male"/>
    <n v="46"/>
    <s v="Post Graduate"/>
    <s v="Single"/>
    <x v="6"/>
    <s v="Logistics Coordinator"/>
    <x v="4"/>
    <x v="0"/>
    <s v="North"/>
    <n v="4"/>
    <n v="51398"/>
    <x v="2"/>
    <n v="1"/>
    <n v="1"/>
    <n v="41"/>
    <n v="0"/>
    <d v="2019-09-11T00:00:00"/>
    <s v="No"/>
    <x v="0"/>
    <n v="2"/>
    <x v="0"/>
    <x v="0"/>
    <x v="1"/>
  </r>
  <r>
    <s v="REL04872"/>
    <s v="Female"/>
    <n v="22"/>
    <s v="BTech"/>
    <s v="Married"/>
    <x v="4"/>
    <s v="Store Manager"/>
    <x v="0"/>
    <x v="3"/>
    <s v="West"/>
    <n v="14"/>
    <n v="120260"/>
    <x v="0"/>
    <n v="2"/>
    <n v="1"/>
    <n v="21"/>
    <n v="2"/>
    <d v="2009-09-23T00:00:00"/>
    <s v="No"/>
    <x v="1"/>
    <n v="3"/>
    <x v="2"/>
    <x v="0"/>
    <x v="0"/>
  </r>
  <r>
    <s v="REL04873"/>
    <s v="Male"/>
    <n v="31"/>
    <s v="Graduate"/>
    <s v="Divorced"/>
    <x v="6"/>
    <s v="Logistics Coordinator"/>
    <x v="2"/>
    <x v="4"/>
    <s v="North"/>
    <n v="8"/>
    <n v="68754"/>
    <x v="1"/>
    <n v="1"/>
    <n v="4"/>
    <n v="16"/>
    <n v="3"/>
    <d v="2015-08-16T00:00:00"/>
    <s v="Yes"/>
    <x v="0"/>
    <n v="1"/>
    <x v="1"/>
    <x v="1"/>
    <x v="1"/>
  </r>
  <r>
    <s v="REL04874"/>
    <s v="Male"/>
    <n v="31"/>
    <s v="Graduate"/>
    <s v="Single"/>
    <x v="3"/>
    <s v="Operations Head"/>
    <x v="4"/>
    <x v="6"/>
    <s v="South"/>
    <n v="9"/>
    <n v="107141"/>
    <x v="1"/>
    <n v="2"/>
    <n v="1"/>
    <n v="30"/>
    <n v="0"/>
    <d v="2015-01-02T00:00:00"/>
    <s v="No"/>
    <x v="1"/>
    <n v="1"/>
    <x v="1"/>
    <x v="0"/>
    <x v="2"/>
  </r>
  <r>
    <s v="REL04875"/>
    <s v="Male"/>
    <n v="29"/>
    <s v="Post Graduate"/>
    <s v="Single"/>
    <x v="4"/>
    <s v="Operations Head"/>
    <x v="2"/>
    <x v="7"/>
    <s v="East"/>
    <n v="10"/>
    <n v="109995"/>
    <x v="2"/>
    <n v="1"/>
    <n v="3"/>
    <n v="73"/>
    <n v="0"/>
    <d v="2013-08-30T00:00:00"/>
    <s v="No"/>
    <x v="1"/>
    <n v="2"/>
    <x v="1"/>
    <x v="0"/>
    <x v="1"/>
  </r>
  <r>
    <s v="REL04876"/>
    <s v="Male"/>
    <n v="42"/>
    <s v="MBA"/>
    <s v="Married"/>
    <x v="3"/>
    <s v="HR Manager"/>
    <x v="0"/>
    <x v="0"/>
    <s v="North"/>
    <n v="15"/>
    <n v="101470"/>
    <x v="2"/>
    <n v="2"/>
    <n v="2"/>
    <n v="31"/>
    <n v="0"/>
    <d v="2009-01-01T00:00:00"/>
    <s v="No"/>
    <x v="1"/>
    <n v="2"/>
    <x v="2"/>
    <x v="0"/>
    <x v="1"/>
  </r>
  <r>
    <s v="REL04877"/>
    <s v="Female"/>
    <n v="41"/>
    <s v="Graduate"/>
    <s v="Divorced"/>
    <x v="2"/>
    <s v="HR Manager"/>
    <x v="2"/>
    <x v="9"/>
    <s v="West"/>
    <n v="12"/>
    <n v="90720"/>
    <x v="0"/>
    <n v="2"/>
    <n v="3"/>
    <n v="39"/>
    <n v="3"/>
    <d v="2011-07-23T00:00:00"/>
    <s v="No"/>
    <x v="1"/>
    <n v="3"/>
    <x v="2"/>
    <x v="0"/>
    <x v="0"/>
  </r>
  <r>
    <s v="REL04878"/>
    <s v="Female"/>
    <n v="45"/>
    <s v="MBA"/>
    <s v="Divorced"/>
    <x v="6"/>
    <s v="Store Manager"/>
    <x v="1"/>
    <x v="1"/>
    <s v="North"/>
    <n v="5"/>
    <n v="92042"/>
    <x v="3"/>
    <n v="2"/>
    <n v="1"/>
    <n v="13"/>
    <n v="0"/>
    <d v="2018-06-16T00:00:00"/>
    <s v="Yes"/>
    <x v="1"/>
    <n v="4"/>
    <x v="0"/>
    <x v="1"/>
    <x v="0"/>
  </r>
  <r>
    <s v="REL04879"/>
    <s v="Female"/>
    <n v="33"/>
    <s v="BTech"/>
    <s v="Single"/>
    <x v="7"/>
    <s v="Finance Analyst"/>
    <x v="0"/>
    <x v="5"/>
    <s v="South"/>
    <n v="7"/>
    <n v="76597"/>
    <x v="2"/>
    <n v="2"/>
    <n v="2"/>
    <n v="45"/>
    <n v="2"/>
    <d v="2016-09-05T00:00:00"/>
    <s v="Yes"/>
    <x v="0"/>
    <n v="2"/>
    <x v="1"/>
    <x v="1"/>
    <x v="1"/>
  </r>
  <r>
    <s v="REL04880"/>
    <s v="Female"/>
    <n v="27"/>
    <s v="Post Graduate"/>
    <s v="Divorced"/>
    <x v="0"/>
    <s v="Operations Head"/>
    <x v="0"/>
    <x v="5"/>
    <s v="South"/>
    <n v="2"/>
    <n v="94638"/>
    <x v="1"/>
    <n v="3"/>
    <n v="3"/>
    <n v="22"/>
    <n v="2"/>
    <d v="2021-12-27T00:00:00"/>
    <s v="Yes"/>
    <x v="1"/>
    <n v="1"/>
    <x v="3"/>
    <x v="1"/>
    <x v="2"/>
  </r>
  <r>
    <s v="REL04881"/>
    <s v="Female"/>
    <n v="31"/>
    <s v="HSC"/>
    <s v="Married"/>
    <x v="2"/>
    <s v="Sales Executive"/>
    <x v="3"/>
    <x v="4"/>
    <s v="North"/>
    <n v="11"/>
    <n v="54592"/>
    <x v="3"/>
    <n v="1"/>
    <n v="4"/>
    <n v="32"/>
    <n v="1"/>
    <d v="2012-04-08T00:00:00"/>
    <s v="No"/>
    <x v="0"/>
    <n v="4"/>
    <x v="2"/>
    <x v="2"/>
    <x v="1"/>
  </r>
  <r>
    <s v="REL04882"/>
    <s v="Male"/>
    <n v="52"/>
    <s v="MBA"/>
    <s v="Divorced"/>
    <x v="6"/>
    <s v="Customer Service Rep"/>
    <x v="1"/>
    <x v="6"/>
    <s v="South"/>
    <n v="3"/>
    <n v="33930"/>
    <x v="1"/>
    <n v="1"/>
    <n v="3"/>
    <n v="56"/>
    <n v="2"/>
    <d v="2020-05-02T00:00:00"/>
    <s v="Yes"/>
    <x v="3"/>
    <n v="1"/>
    <x v="0"/>
    <x v="1"/>
    <x v="1"/>
  </r>
  <r>
    <s v="REL04883"/>
    <s v="Female"/>
    <n v="41"/>
    <s v="MBA"/>
    <s v="Divorced"/>
    <x v="0"/>
    <s v="Marketing Executive"/>
    <x v="1"/>
    <x v="4"/>
    <s v="North"/>
    <n v="11"/>
    <n v="65524"/>
    <x v="2"/>
    <n v="3"/>
    <n v="2"/>
    <n v="17"/>
    <n v="3"/>
    <d v="2012-09-15T00:00:00"/>
    <s v="Yes"/>
    <x v="0"/>
    <n v="2"/>
    <x v="2"/>
    <x v="1"/>
    <x v="1"/>
  </r>
  <r>
    <s v="REL04884"/>
    <s v="Male"/>
    <n v="26"/>
    <s v="Post Graduate"/>
    <s v="Single"/>
    <x v="3"/>
    <s v="Logistics Coordinator"/>
    <x v="4"/>
    <x v="8"/>
    <s v="South"/>
    <n v="13"/>
    <n v="77461"/>
    <x v="1"/>
    <n v="4"/>
    <n v="3"/>
    <n v="21"/>
    <n v="0"/>
    <d v="2010-05-10T00:00:00"/>
    <s v="Yes"/>
    <x v="0"/>
    <n v="1"/>
    <x v="2"/>
    <x v="1"/>
    <x v="1"/>
  </r>
  <r>
    <s v="REL04885"/>
    <s v="Male"/>
    <n v="34"/>
    <s v="Graduate"/>
    <s v="Married"/>
    <x v="3"/>
    <s v="HR Manager"/>
    <x v="1"/>
    <x v="2"/>
    <s v="West"/>
    <n v="5"/>
    <n v="75853"/>
    <x v="2"/>
    <n v="3"/>
    <n v="4"/>
    <n v="23"/>
    <n v="1"/>
    <d v="2018-10-06T00:00:00"/>
    <s v="No"/>
    <x v="0"/>
    <n v="2"/>
    <x v="0"/>
    <x v="0"/>
    <x v="1"/>
  </r>
  <r>
    <s v="REL04886"/>
    <s v="Male"/>
    <n v="26"/>
    <s v="Post Graduate"/>
    <s v="Married"/>
    <x v="7"/>
    <s v="Operations Head"/>
    <x v="0"/>
    <x v="1"/>
    <s v="North"/>
    <n v="4"/>
    <n v="109579"/>
    <x v="0"/>
    <n v="1"/>
    <n v="3"/>
    <n v="47"/>
    <n v="3"/>
    <d v="2019-02-03T00:00:00"/>
    <s v="Yes"/>
    <x v="1"/>
    <n v="3"/>
    <x v="0"/>
    <x v="1"/>
    <x v="0"/>
  </r>
  <r>
    <s v="REL04887"/>
    <s v="Female"/>
    <n v="28"/>
    <s v="BTech"/>
    <s v="Divorced"/>
    <x v="3"/>
    <s v="Customer Service Rep"/>
    <x v="4"/>
    <x v="8"/>
    <s v="South"/>
    <n v="3"/>
    <n v="39602"/>
    <x v="2"/>
    <n v="1"/>
    <n v="3"/>
    <n v="50"/>
    <n v="3"/>
    <d v="2020-10-01T00:00:00"/>
    <s v="No"/>
    <x v="2"/>
    <n v="2"/>
    <x v="0"/>
    <x v="0"/>
    <x v="1"/>
  </r>
  <r>
    <s v="REL04888"/>
    <s v="Male"/>
    <n v="52"/>
    <s v="Post Graduate"/>
    <s v="Single"/>
    <x v="3"/>
    <s v="Customer Service Rep"/>
    <x v="2"/>
    <x v="2"/>
    <s v="West"/>
    <n v="3"/>
    <n v="49404"/>
    <x v="1"/>
    <n v="4"/>
    <n v="4"/>
    <n v="56"/>
    <n v="0"/>
    <d v="2020-02-10T00:00:00"/>
    <s v="Yes"/>
    <x v="2"/>
    <n v="1"/>
    <x v="0"/>
    <x v="1"/>
    <x v="1"/>
  </r>
  <r>
    <s v="REL04889"/>
    <s v="Female"/>
    <n v="25"/>
    <s v="MBA"/>
    <s v="Single"/>
    <x v="1"/>
    <s v="Marketing Executive"/>
    <x v="4"/>
    <x v="7"/>
    <s v="East"/>
    <n v="5"/>
    <n v="52834"/>
    <x v="2"/>
    <n v="3"/>
    <n v="1"/>
    <n v="71"/>
    <n v="0"/>
    <d v="2018-05-08T00:00:00"/>
    <s v="No"/>
    <x v="0"/>
    <n v="2"/>
    <x v="0"/>
    <x v="0"/>
    <x v="1"/>
  </r>
  <r>
    <s v="REL04890"/>
    <s v="Male"/>
    <n v="42"/>
    <s v="Graduate"/>
    <s v="Single"/>
    <x v="7"/>
    <s v="Marketing Executive"/>
    <x v="0"/>
    <x v="3"/>
    <s v="West"/>
    <n v="8"/>
    <n v="63848"/>
    <x v="3"/>
    <n v="1"/>
    <n v="2"/>
    <n v="36"/>
    <n v="0"/>
    <d v="2015-04-29T00:00:00"/>
    <s v="No"/>
    <x v="0"/>
    <n v="4"/>
    <x v="1"/>
    <x v="2"/>
    <x v="1"/>
  </r>
  <r>
    <s v="REL04891"/>
    <s v="Female"/>
    <n v="37"/>
    <s v="MBA"/>
    <s v="Married"/>
    <x v="6"/>
    <s v="Customer Service Rep"/>
    <x v="1"/>
    <x v="1"/>
    <s v="North"/>
    <n v="11"/>
    <n v="65855"/>
    <x v="0"/>
    <n v="4"/>
    <n v="2"/>
    <n v="18"/>
    <n v="0"/>
    <d v="2012-08-26T00:00:00"/>
    <s v="Yes"/>
    <x v="0"/>
    <n v="3"/>
    <x v="2"/>
    <x v="1"/>
    <x v="0"/>
  </r>
  <r>
    <s v="REL04892"/>
    <s v="Female"/>
    <n v="29"/>
    <s v="HSC"/>
    <s v="Divorced"/>
    <x v="2"/>
    <s v="Finance Analyst"/>
    <x v="1"/>
    <x v="3"/>
    <s v="West"/>
    <n v="15"/>
    <n v="87677"/>
    <x v="3"/>
    <n v="1"/>
    <n v="4"/>
    <n v="36"/>
    <n v="2"/>
    <d v="2008-11-17T00:00:00"/>
    <s v="No"/>
    <x v="1"/>
    <n v="4"/>
    <x v="2"/>
    <x v="2"/>
    <x v="0"/>
  </r>
  <r>
    <s v="REL04893"/>
    <s v="Female"/>
    <n v="23"/>
    <s v="MBA"/>
    <s v="Divorced"/>
    <x v="6"/>
    <s v="Sales Executive"/>
    <x v="4"/>
    <x v="1"/>
    <s v="North"/>
    <n v="11"/>
    <n v="66899"/>
    <x v="1"/>
    <n v="3"/>
    <n v="4"/>
    <n v="74"/>
    <n v="3"/>
    <d v="2012-08-08T00:00:00"/>
    <s v="Yes"/>
    <x v="0"/>
    <n v="1"/>
    <x v="2"/>
    <x v="1"/>
    <x v="1"/>
  </r>
  <r>
    <s v="REL04894"/>
    <s v="Female"/>
    <n v="50"/>
    <s v="BTech"/>
    <s v="Married"/>
    <x v="0"/>
    <s v="Store Manager"/>
    <x v="0"/>
    <x v="1"/>
    <s v="North"/>
    <n v="8"/>
    <n v="92888"/>
    <x v="1"/>
    <n v="1"/>
    <n v="1"/>
    <n v="41"/>
    <n v="1"/>
    <d v="2015-09-28T00:00:00"/>
    <s v="No"/>
    <x v="1"/>
    <n v="1"/>
    <x v="1"/>
    <x v="0"/>
    <x v="2"/>
  </r>
  <r>
    <s v="REL04895"/>
    <s v="Female"/>
    <n v="46"/>
    <s v="Graduate"/>
    <s v="Married"/>
    <x v="2"/>
    <s v="Customer Service Rep"/>
    <x v="3"/>
    <x v="0"/>
    <s v="North"/>
    <n v="12"/>
    <n v="68035"/>
    <x v="3"/>
    <n v="4"/>
    <n v="4"/>
    <n v="35"/>
    <n v="1"/>
    <d v="2011-06-19T00:00:00"/>
    <s v="No"/>
    <x v="0"/>
    <n v="4"/>
    <x v="2"/>
    <x v="2"/>
    <x v="1"/>
  </r>
  <r>
    <s v="REL04896"/>
    <s v="Female"/>
    <n v="39"/>
    <s v="Graduate"/>
    <s v="Divorced"/>
    <x v="4"/>
    <s v="Marketing Executive"/>
    <x v="1"/>
    <x v="2"/>
    <s v="West"/>
    <n v="4"/>
    <n v="60251"/>
    <x v="3"/>
    <n v="1"/>
    <n v="3"/>
    <n v="47"/>
    <n v="2"/>
    <d v="2019-03-07T00:00:00"/>
    <s v="No"/>
    <x v="0"/>
    <n v="4"/>
    <x v="0"/>
    <x v="2"/>
    <x v="1"/>
  </r>
  <r>
    <s v="REL04897"/>
    <s v="Female"/>
    <n v="48"/>
    <s v="HSC"/>
    <s v="Single"/>
    <x v="0"/>
    <s v="Sales Executive"/>
    <x v="0"/>
    <x v="5"/>
    <s v="South"/>
    <n v="15"/>
    <n v="69344"/>
    <x v="0"/>
    <n v="3"/>
    <n v="1"/>
    <n v="35"/>
    <n v="3"/>
    <d v="2008-11-22T00:00:00"/>
    <s v="No"/>
    <x v="0"/>
    <n v="3"/>
    <x v="2"/>
    <x v="0"/>
    <x v="0"/>
  </r>
  <r>
    <s v="REL04898"/>
    <s v="Male"/>
    <n v="46"/>
    <s v="Post Graduate"/>
    <s v="Single"/>
    <x v="0"/>
    <s v="Finance Analyst"/>
    <x v="2"/>
    <x v="8"/>
    <s v="South"/>
    <n v="7"/>
    <n v="82299"/>
    <x v="3"/>
    <n v="1"/>
    <n v="1"/>
    <n v="38"/>
    <n v="2"/>
    <d v="2016-09-16T00:00:00"/>
    <s v="No"/>
    <x v="1"/>
    <n v="4"/>
    <x v="1"/>
    <x v="2"/>
    <x v="0"/>
  </r>
  <r>
    <s v="REL04899"/>
    <s v="Female"/>
    <n v="33"/>
    <s v="Graduate"/>
    <s v="Divorced"/>
    <x v="4"/>
    <s v="Sales Executive"/>
    <x v="3"/>
    <x v="1"/>
    <s v="North"/>
    <n v="10"/>
    <n v="60874"/>
    <x v="0"/>
    <n v="2"/>
    <n v="4"/>
    <n v="28"/>
    <n v="1"/>
    <d v="2013-11-13T00:00:00"/>
    <s v="No"/>
    <x v="0"/>
    <n v="3"/>
    <x v="1"/>
    <x v="0"/>
    <x v="0"/>
  </r>
  <r>
    <s v="REL04900"/>
    <s v="Male"/>
    <n v="30"/>
    <s v="HSC"/>
    <s v="Single"/>
    <x v="2"/>
    <s v="Logistics Coordinator"/>
    <x v="3"/>
    <x v="3"/>
    <s v="West"/>
    <n v="12"/>
    <n v="59572"/>
    <x v="0"/>
    <n v="1"/>
    <n v="3"/>
    <n v="43"/>
    <n v="0"/>
    <d v="2011-05-29T00:00:00"/>
    <s v="No"/>
    <x v="0"/>
    <n v="3"/>
    <x v="2"/>
    <x v="0"/>
    <x v="0"/>
  </r>
  <r>
    <s v="REL04901"/>
    <s v="Female"/>
    <n v="39"/>
    <s v="Graduate"/>
    <s v="Single"/>
    <x v="6"/>
    <s v="Store Manager"/>
    <x v="1"/>
    <x v="7"/>
    <s v="East"/>
    <n v="14"/>
    <n v="118453"/>
    <x v="0"/>
    <n v="2"/>
    <n v="4"/>
    <n v="64"/>
    <n v="1"/>
    <d v="2009-05-02T00:00:00"/>
    <s v="No"/>
    <x v="1"/>
    <n v="3"/>
    <x v="2"/>
    <x v="0"/>
    <x v="0"/>
  </r>
  <r>
    <s v="REL04902"/>
    <s v="Male"/>
    <n v="23"/>
    <s v="Post Graduate"/>
    <s v="Divorced"/>
    <x v="1"/>
    <s v="Store Manager"/>
    <x v="3"/>
    <x v="4"/>
    <s v="North"/>
    <n v="5"/>
    <n v="101607"/>
    <x v="1"/>
    <n v="2"/>
    <n v="3"/>
    <n v="72"/>
    <n v="0"/>
    <d v="2018-06-07T00:00:00"/>
    <s v="Yes"/>
    <x v="1"/>
    <n v="1"/>
    <x v="0"/>
    <x v="1"/>
    <x v="2"/>
  </r>
  <r>
    <s v="REL04903"/>
    <s v="Female"/>
    <n v="46"/>
    <s v="Graduate"/>
    <s v="Married"/>
    <x v="4"/>
    <s v="Customer Service Rep"/>
    <x v="1"/>
    <x v="5"/>
    <s v="South"/>
    <n v="6"/>
    <n v="43949"/>
    <x v="0"/>
    <n v="4"/>
    <n v="4"/>
    <n v="70"/>
    <n v="1"/>
    <d v="2017-11-03T00:00:00"/>
    <s v="No"/>
    <x v="2"/>
    <n v="3"/>
    <x v="1"/>
    <x v="0"/>
    <x v="1"/>
  </r>
  <r>
    <s v="REL04904"/>
    <s v="Female"/>
    <n v="37"/>
    <s v="HSC"/>
    <s v="Married"/>
    <x v="2"/>
    <s v="Store Manager"/>
    <x v="1"/>
    <x v="2"/>
    <s v="West"/>
    <n v="3"/>
    <n v="100201"/>
    <x v="2"/>
    <n v="4"/>
    <n v="4"/>
    <n v="42"/>
    <n v="0"/>
    <d v="2020-07-28T00:00:00"/>
    <s v="No"/>
    <x v="1"/>
    <n v="2"/>
    <x v="0"/>
    <x v="0"/>
    <x v="1"/>
  </r>
  <r>
    <s v="REL04905"/>
    <s v="Male"/>
    <n v="27"/>
    <s v="Post Graduate"/>
    <s v="Divorced"/>
    <x v="4"/>
    <s v="Marketing Executive"/>
    <x v="3"/>
    <x v="7"/>
    <s v="East"/>
    <n v="11"/>
    <n v="71912"/>
    <x v="0"/>
    <n v="1"/>
    <n v="2"/>
    <n v="18"/>
    <n v="2"/>
    <d v="2012-11-02T00:00:00"/>
    <s v="No"/>
    <x v="0"/>
    <n v="3"/>
    <x v="2"/>
    <x v="0"/>
    <x v="0"/>
  </r>
  <r>
    <s v="REL04906"/>
    <s v="Male"/>
    <n v="43"/>
    <s v="HSC"/>
    <s v="Divorced"/>
    <x v="4"/>
    <s v="Finance Analyst"/>
    <x v="2"/>
    <x v="5"/>
    <s v="South"/>
    <n v="15"/>
    <n v="88474"/>
    <x v="3"/>
    <n v="4"/>
    <n v="2"/>
    <n v="17"/>
    <n v="2"/>
    <d v="2008-12-06T00:00:00"/>
    <s v="No"/>
    <x v="1"/>
    <n v="4"/>
    <x v="2"/>
    <x v="2"/>
    <x v="0"/>
  </r>
  <r>
    <s v="REL04907"/>
    <s v="Male"/>
    <n v="51"/>
    <s v="HSC"/>
    <s v="Single"/>
    <x v="5"/>
    <s v="Sales Executive"/>
    <x v="2"/>
    <x v="2"/>
    <s v="West"/>
    <n v="8"/>
    <n v="65812"/>
    <x v="0"/>
    <n v="1"/>
    <n v="4"/>
    <n v="68"/>
    <n v="0"/>
    <d v="2015-06-03T00:00:00"/>
    <s v="No"/>
    <x v="0"/>
    <n v="3"/>
    <x v="1"/>
    <x v="0"/>
    <x v="0"/>
  </r>
  <r>
    <s v="REL04908"/>
    <s v="Male"/>
    <n v="54"/>
    <s v="MBA"/>
    <s v="Divorced"/>
    <x v="1"/>
    <s v="Finance Analyst"/>
    <x v="2"/>
    <x v="1"/>
    <s v="North"/>
    <n v="7"/>
    <n v="71717"/>
    <x v="3"/>
    <n v="1"/>
    <n v="4"/>
    <n v="29"/>
    <n v="1"/>
    <d v="2016-04-06T00:00:00"/>
    <s v="No"/>
    <x v="0"/>
    <n v="4"/>
    <x v="1"/>
    <x v="2"/>
    <x v="1"/>
  </r>
  <r>
    <s v="REL04909"/>
    <s v="Male"/>
    <n v="54"/>
    <s v="MBA"/>
    <s v="Single"/>
    <x v="3"/>
    <s v="Sales Executive"/>
    <x v="1"/>
    <x v="7"/>
    <s v="East"/>
    <n v="6"/>
    <n v="48237"/>
    <x v="3"/>
    <n v="1"/>
    <n v="1"/>
    <n v="32"/>
    <n v="1"/>
    <d v="2017-03-03T00:00:00"/>
    <s v="No"/>
    <x v="2"/>
    <n v="4"/>
    <x v="1"/>
    <x v="2"/>
    <x v="1"/>
  </r>
  <r>
    <s v="REL04910"/>
    <s v="Female"/>
    <n v="45"/>
    <s v="Graduate"/>
    <s v="Married"/>
    <x v="7"/>
    <s v="Marketing Executive"/>
    <x v="3"/>
    <x v="4"/>
    <s v="North"/>
    <n v="5"/>
    <n v="52192"/>
    <x v="3"/>
    <n v="2"/>
    <n v="2"/>
    <n v="32"/>
    <n v="3"/>
    <d v="2018-08-06T00:00:00"/>
    <s v="No"/>
    <x v="0"/>
    <n v="4"/>
    <x v="0"/>
    <x v="2"/>
    <x v="1"/>
  </r>
  <r>
    <s v="REL04911"/>
    <s v="Male"/>
    <n v="27"/>
    <s v="MBA"/>
    <s v="Married"/>
    <x v="0"/>
    <s v="Operations Head"/>
    <x v="0"/>
    <x v="0"/>
    <s v="North"/>
    <n v="6"/>
    <n v="114881"/>
    <x v="1"/>
    <n v="1"/>
    <n v="1"/>
    <n v="25"/>
    <n v="1"/>
    <d v="2017-11-25T00:00:00"/>
    <s v="Yes"/>
    <x v="1"/>
    <n v="1"/>
    <x v="1"/>
    <x v="1"/>
    <x v="2"/>
  </r>
  <r>
    <s v="REL04912"/>
    <s v="Male"/>
    <n v="28"/>
    <s v="Graduate"/>
    <s v="Married"/>
    <x v="2"/>
    <s v="Operations Head"/>
    <x v="0"/>
    <x v="1"/>
    <s v="North"/>
    <n v="2"/>
    <n v="96787"/>
    <x v="1"/>
    <n v="3"/>
    <n v="1"/>
    <n v="35"/>
    <n v="1"/>
    <d v="2021-08-03T00:00:00"/>
    <s v="No"/>
    <x v="1"/>
    <n v="1"/>
    <x v="3"/>
    <x v="3"/>
    <x v="2"/>
  </r>
  <r>
    <s v="REL04913"/>
    <s v="Male"/>
    <n v="23"/>
    <s v="BTech"/>
    <s v="Married"/>
    <x v="6"/>
    <s v="Finance Analyst"/>
    <x v="1"/>
    <x v="7"/>
    <s v="East"/>
    <n v="1"/>
    <n v="53284"/>
    <x v="3"/>
    <n v="2"/>
    <n v="4"/>
    <n v="67"/>
    <n v="0"/>
    <d v="2022-07-25T00:00:00"/>
    <s v="No"/>
    <x v="0"/>
    <n v="4"/>
    <x v="3"/>
    <x v="2"/>
    <x v="1"/>
  </r>
  <r>
    <s v="REL04914"/>
    <s v="Female"/>
    <n v="33"/>
    <s v="MBA"/>
    <s v="Single"/>
    <x v="6"/>
    <s v="Marketing Executive"/>
    <x v="1"/>
    <x v="1"/>
    <s v="North"/>
    <n v="9"/>
    <n v="59949"/>
    <x v="1"/>
    <n v="3"/>
    <n v="2"/>
    <n v="71"/>
    <n v="2"/>
    <d v="2014-04-25T00:00:00"/>
    <s v="Yes"/>
    <x v="0"/>
    <n v="1"/>
    <x v="1"/>
    <x v="1"/>
    <x v="1"/>
  </r>
  <r>
    <s v="REL04915"/>
    <s v="Female"/>
    <n v="25"/>
    <s v="MBA"/>
    <s v="Divorced"/>
    <x v="1"/>
    <s v="Logistics Coordinator"/>
    <x v="3"/>
    <x v="7"/>
    <s v="East"/>
    <n v="13"/>
    <n v="74654"/>
    <x v="2"/>
    <n v="2"/>
    <n v="1"/>
    <n v="49"/>
    <n v="0"/>
    <d v="2010-10-12T00:00:00"/>
    <s v="No"/>
    <x v="0"/>
    <n v="2"/>
    <x v="2"/>
    <x v="0"/>
    <x v="1"/>
  </r>
  <r>
    <s v="REL04916"/>
    <s v="Male"/>
    <n v="35"/>
    <s v="MBA"/>
    <s v="Married"/>
    <x v="5"/>
    <s v="Marketing Executive"/>
    <x v="1"/>
    <x v="9"/>
    <s v="West"/>
    <n v="1"/>
    <n v="49359"/>
    <x v="0"/>
    <n v="4"/>
    <n v="1"/>
    <n v="14"/>
    <n v="1"/>
    <d v="2022-12-06T00:00:00"/>
    <s v="No"/>
    <x v="2"/>
    <n v="3"/>
    <x v="3"/>
    <x v="0"/>
    <x v="1"/>
  </r>
  <r>
    <s v="REL04917"/>
    <s v="Female"/>
    <n v="55"/>
    <s v="BTech"/>
    <s v="Married"/>
    <x v="5"/>
    <s v="Operations Head"/>
    <x v="0"/>
    <x v="1"/>
    <s v="North"/>
    <n v="4"/>
    <n v="107384"/>
    <x v="3"/>
    <n v="2"/>
    <n v="1"/>
    <n v="69"/>
    <n v="1"/>
    <d v="2019-12-30T00:00:00"/>
    <s v="Yes"/>
    <x v="1"/>
    <n v="4"/>
    <x v="0"/>
    <x v="1"/>
    <x v="0"/>
  </r>
  <r>
    <s v="REL04918"/>
    <s v="Male"/>
    <n v="40"/>
    <s v="HSC"/>
    <s v="Divorced"/>
    <x v="7"/>
    <s v="Sales Executive"/>
    <x v="2"/>
    <x v="2"/>
    <s v="West"/>
    <n v="12"/>
    <n v="55906"/>
    <x v="0"/>
    <n v="4"/>
    <n v="3"/>
    <n v="23"/>
    <n v="1"/>
    <d v="2011-01-05T00:00:00"/>
    <s v="Yes"/>
    <x v="0"/>
    <n v="3"/>
    <x v="2"/>
    <x v="1"/>
    <x v="0"/>
  </r>
  <r>
    <s v="REL04919"/>
    <s v="Male"/>
    <n v="46"/>
    <s v="Post Graduate"/>
    <s v="Married"/>
    <x v="2"/>
    <s v="Finance Analyst"/>
    <x v="2"/>
    <x v="3"/>
    <s v="West"/>
    <n v="14"/>
    <n v="85327"/>
    <x v="3"/>
    <n v="1"/>
    <n v="1"/>
    <n v="12"/>
    <n v="2"/>
    <d v="2009-04-01T00:00:00"/>
    <s v="Yes"/>
    <x v="1"/>
    <n v="4"/>
    <x v="2"/>
    <x v="1"/>
    <x v="0"/>
  </r>
  <r>
    <s v="REL04920"/>
    <s v="Female"/>
    <n v="27"/>
    <s v="BTech"/>
    <s v="Married"/>
    <x v="3"/>
    <s v="Customer Service Rep"/>
    <x v="3"/>
    <x v="3"/>
    <s v="West"/>
    <n v="14"/>
    <n v="67364"/>
    <x v="0"/>
    <n v="3"/>
    <n v="2"/>
    <n v="59"/>
    <n v="0"/>
    <d v="2009-10-08T00:00:00"/>
    <s v="No"/>
    <x v="0"/>
    <n v="3"/>
    <x v="2"/>
    <x v="0"/>
    <x v="0"/>
  </r>
  <r>
    <s v="REL04921"/>
    <s v="Male"/>
    <n v="41"/>
    <s v="BTech"/>
    <s v="Single"/>
    <x v="7"/>
    <s v="Customer Service Rep"/>
    <x v="2"/>
    <x v="6"/>
    <s v="South"/>
    <n v="9"/>
    <n v="60847"/>
    <x v="2"/>
    <n v="2"/>
    <n v="1"/>
    <n v="75"/>
    <n v="2"/>
    <d v="2014-08-08T00:00:00"/>
    <s v="No"/>
    <x v="0"/>
    <n v="2"/>
    <x v="1"/>
    <x v="0"/>
    <x v="1"/>
  </r>
  <r>
    <s v="REL04922"/>
    <s v="Female"/>
    <n v="28"/>
    <s v="Post Graduate"/>
    <s v="Divorced"/>
    <x v="6"/>
    <s v="HR Manager"/>
    <x v="2"/>
    <x v="9"/>
    <s v="West"/>
    <n v="7"/>
    <n v="86769"/>
    <x v="0"/>
    <n v="3"/>
    <n v="1"/>
    <n v="28"/>
    <n v="2"/>
    <d v="2016-11-21T00:00:00"/>
    <s v="No"/>
    <x v="1"/>
    <n v="3"/>
    <x v="1"/>
    <x v="0"/>
    <x v="0"/>
  </r>
  <r>
    <s v="REL04923"/>
    <s v="Male"/>
    <n v="55"/>
    <s v="BTech"/>
    <s v="Single"/>
    <x v="5"/>
    <s v="Logistics Coordinator"/>
    <x v="0"/>
    <x v="1"/>
    <s v="North"/>
    <n v="6"/>
    <n v="63847"/>
    <x v="0"/>
    <n v="4"/>
    <n v="2"/>
    <n v="54"/>
    <n v="3"/>
    <d v="2017-01-13T00:00:00"/>
    <s v="No"/>
    <x v="0"/>
    <n v="3"/>
    <x v="1"/>
    <x v="0"/>
    <x v="0"/>
  </r>
  <r>
    <s v="REL04924"/>
    <s v="Male"/>
    <n v="28"/>
    <s v="Post Graduate"/>
    <s v="Married"/>
    <x v="3"/>
    <s v="Sales Executive"/>
    <x v="4"/>
    <x v="6"/>
    <s v="South"/>
    <n v="5"/>
    <n v="47841"/>
    <x v="2"/>
    <n v="1"/>
    <n v="4"/>
    <n v="46"/>
    <n v="1"/>
    <d v="2018-10-06T00:00:00"/>
    <s v="No"/>
    <x v="2"/>
    <n v="2"/>
    <x v="0"/>
    <x v="0"/>
    <x v="1"/>
  </r>
  <r>
    <s v="REL04925"/>
    <s v="Female"/>
    <n v="26"/>
    <s v="Graduate"/>
    <s v="Married"/>
    <x v="6"/>
    <s v="Store Manager"/>
    <x v="1"/>
    <x v="0"/>
    <s v="North"/>
    <n v="15"/>
    <n v="106978"/>
    <x v="2"/>
    <n v="1"/>
    <n v="2"/>
    <n v="16"/>
    <n v="0"/>
    <d v="2008-04-12T00:00:00"/>
    <s v="No"/>
    <x v="1"/>
    <n v="2"/>
    <x v="2"/>
    <x v="0"/>
    <x v="1"/>
  </r>
  <r>
    <s v="REL04926"/>
    <s v="Female"/>
    <n v="41"/>
    <s v="BTech"/>
    <s v="Married"/>
    <x v="3"/>
    <s v="Operations Head"/>
    <x v="4"/>
    <x v="6"/>
    <s v="South"/>
    <n v="6"/>
    <n v="113092"/>
    <x v="0"/>
    <n v="2"/>
    <n v="4"/>
    <n v="74"/>
    <n v="0"/>
    <d v="2017-09-03T00:00:00"/>
    <s v="No"/>
    <x v="1"/>
    <n v="3"/>
    <x v="1"/>
    <x v="0"/>
    <x v="0"/>
  </r>
  <r>
    <s v="REL04927"/>
    <s v="Female"/>
    <n v="27"/>
    <s v="Post Graduate"/>
    <s v="Married"/>
    <x v="3"/>
    <s v="Sales Executive"/>
    <x v="0"/>
    <x v="6"/>
    <s v="South"/>
    <n v="10"/>
    <n v="57104"/>
    <x v="3"/>
    <n v="3"/>
    <n v="2"/>
    <n v="23"/>
    <n v="2"/>
    <d v="2013-01-30T00:00:00"/>
    <s v="No"/>
    <x v="0"/>
    <n v="4"/>
    <x v="1"/>
    <x v="2"/>
    <x v="1"/>
  </r>
  <r>
    <s v="REL04928"/>
    <s v="Female"/>
    <n v="47"/>
    <s v="Graduate"/>
    <s v="Married"/>
    <x v="5"/>
    <s v="Customer Service Rep"/>
    <x v="3"/>
    <x v="0"/>
    <s v="North"/>
    <n v="10"/>
    <n v="49337"/>
    <x v="3"/>
    <n v="2"/>
    <n v="4"/>
    <n v="25"/>
    <n v="0"/>
    <d v="2013-12-03T00:00:00"/>
    <s v="Yes"/>
    <x v="2"/>
    <n v="4"/>
    <x v="1"/>
    <x v="1"/>
    <x v="1"/>
  </r>
  <r>
    <s v="REL04929"/>
    <s v="Male"/>
    <n v="40"/>
    <s v="Graduate"/>
    <s v="Married"/>
    <x v="4"/>
    <s v="Logistics Coordinator"/>
    <x v="0"/>
    <x v="3"/>
    <s v="West"/>
    <n v="12"/>
    <n v="62575"/>
    <x v="1"/>
    <n v="1"/>
    <n v="1"/>
    <n v="39"/>
    <n v="3"/>
    <d v="2011-08-21T00:00:00"/>
    <s v="No"/>
    <x v="0"/>
    <n v="1"/>
    <x v="2"/>
    <x v="0"/>
    <x v="1"/>
  </r>
  <r>
    <s v="REL04930"/>
    <s v="Female"/>
    <n v="32"/>
    <s v="Post Graduate"/>
    <s v="Married"/>
    <x v="2"/>
    <s v="Customer Service Rep"/>
    <x v="1"/>
    <x v="1"/>
    <s v="North"/>
    <n v="14"/>
    <n v="67891"/>
    <x v="2"/>
    <n v="3"/>
    <n v="4"/>
    <n v="26"/>
    <n v="2"/>
    <d v="2009-08-26T00:00:00"/>
    <s v="No"/>
    <x v="0"/>
    <n v="2"/>
    <x v="2"/>
    <x v="0"/>
    <x v="1"/>
  </r>
  <r>
    <s v="REL04931"/>
    <s v="Female"/>
    <n v="27"/>
    <s v="HSC"/>
    <s v="Married"/>
    <x v="0"/>
    <s v="Operations Head"/>
    <x v="0"/>
    <x v="7"/>
    <s v="East"/>
    <n v="3"/>
    <n v="93244"/>
    <x v="2"/>
    <n v="1"/>
    <n v="2"/>
    <n v="32"/>
    <n v="1"/>
    <d v="2020-12-31T00:00:00"/>
    <s v="Yes"/>
    <x v="1"/>
    <n v="2"/>
    <x v="0"/>
    <x v="1"/>
    <x v="1"/>
  </r>
  <r>
    <s v="REL04932"/>
    <s v="Male"/>
    <n v="44"/>
    <s v="HSC"/>
    <s v="Married"/>
    <x v="6"/>
    <s v="Finance Analyst"/>
    <x v="3"/>
    <x v="8"/>
    <s v="South"/>
    <n v="10"/>
    <n v="75229"/>
    <x v="0"/>
    <n v="3"/>
    <n v="4"/>
    <n v="33"/>
    <n v="3"/>
    <d v="2013-08-06T00:00:00"/>
    <s v="No"/>
    <x v="0"/>
    <n v="3"/>
    <x v="1"/>
    <x v="0"/>
    <x v="0"/>
  </r>
  <r>
    <s v="REL04933"/>
    <s v="Male"/>
    <n v="23"/>
    <s v="BTech"/>
    <s v="Divorced"/>
    <x v="4"/>
    <s v="Customer Service Rep"/>
    <x v="1"/>
    <x v="5"/>
    <s v="South"/>
    <n v="13"/>
    <n v="51259"/>
    <x v="2"/>
    <n v="4"/>
    <n v="2"/>
    <n v="58"/>
    <n v="3"/>
    <d v="2010-10-17T00:00:00"/>
    <s v="Yes"/>
    <x v="0"/>
    <n v="2"/>
    <x v="2"/>
    <x v="1"/>
    <x v="1"/>
  </r>
  <r>
    <s v="REL04934"/>
    <s v="Female"/>
    <n v="23"/>
    <s v="HSC"/>
    <s v="Single"/>
    <x v="3"/>
    <s v="Sales Executive"/>
    <x v="1"/>
    <x v="1"/>
    <s v="North"/>
    <n v="7"/>
    <n v="62768"/>
    <x v="1"/>
    <n v="4"/>
    <n v="2"/>
    <n v="16"/>
    <n v="2"/>
    <d v="2016-04-15T00:00:00"/>
    <s v="Yes"/>
    <x v="0"/>
    <n v="1"/>
    <x v="1"/>
    <x v="1"/>
    <x v="1"/>
  </r>
  <r>
    <s v="REL04935"/>
    <s v="Male"/>
    <n v="25"/>
    <s v="Graduate"/>
    <s v="Single"/>
    <x v="4"/>
    <s v="HR Manager"/>
    <x v="4"/>
    <x v="5"/>
    <s v="South"/>
    <n v="15"/>
    <n v="102655"/>
    <x v="3"/>
    <n v="2"/>
    <n v="2"/>
    <n v="59"/>
    <n v="1"/>
    <d v="2008-11-11T00:00:00"/>
    <s v="Yes"/>
    <x v="1"/>
    <n v="4"/>
    <x v="2"/>
    <x v="1"/>
    <x v="0"/>
  </r>
  <r>
    <s v="REL04936"/>
    <s v="Female"/>
    <n v="52"/>
    <s v="Post Graduate"/>
    <s v="Married"/>
    <x v="6"/>
    <s v="Logistics Coordinator"/>
    <x v="1"/>
    <x v="5"/>
    <s v="South"/>
    <n v="10"/>
    <n v="68961"/>
    <x v="2"/>
    <n v="1"/>
    <n v="3"/>
    <n v="40"/>
    <n v="0"/>
    <d v="2013-04-07T00:00:00"/>
    <s v="No"/>
    <x v="0"/>
    <n v="2"/>
    <x v="1"/>
    <x v="0"/>
    <x v="1"/>
  </r>
  <r>
    <s v="REL04937"/>
    <s v="Female"/>
    <n v="25"/>
    <s v="HSC"/>
    <s v="Single"/>
    <x v="3"/>
    <s v="Marketing Executive"/>
    <x v="4"/>
    <x v="6"/>
    <s v="South"/>
    <n v="5"/>
    <n v="63131"/>
    <x v="3"/>
    <n v="4"/>
    <n v="3"/>
    <n v="42"/>
    <n v="2"/>
    <d v="2018-07-24T00:00:00"/>
    <s v="Yes"/>
    <x v="0"/>
    <n v="4"/>
    <x v="0"/>
    <x v="1"/>
    <x v="1"/>
  </r>
  <r>
    <s v="REL04938"/>
    <s v="Female"/>
    <n v="22"/>
    <s v="BTech"/>
    <s v="Divorced"/>
    <x v="4"/>
    <s v="Sales Executive"/>
    <x v="0"/>
    <x v="2"/>
    <s v="West"/>
    <n v="11"/>
    <n v="54492"/>
    <x v="0"/>
    <n v="1"/>
    <n v="3"/>
    <n v="36"/>
    <n v="0"/>
    <d v="2012-06-07T00:00:00"/>
    <s v="Yes"/>
    <x v="0"/>
    <n v="3"/>
    <x v="2"/>
    <x v="1"/>
    <x v="0"/>
  </r>
  <r>
    <s v="REL04939"/>
    <s v="Male"/>
    <n v="24"/>
    <s v="HSC"/>
    <s v="Single"/>
    <x v="3"/>
    <s v="Customer Service Rep"/>
    <x v="3"/>
    <x v="5"/>
    <s v="South"/>
    <n v="14"/>
    <n v="56076"/>
    <x v="3"/>
    <n v="3"/>
    <n v="3"/>
    <n v="64"/>
    <n v="2"/>
    <d v="2009-05-13T00:00:00"/>
    <s v="No"/>
    <x v="0"/>
    <n v="4"/>
    <x v="2"/>
    <x v="2"/>
    <x v="1"/>
  </r>
  <r>
    <s v="REL04940"/>
    <s v="Female"/>
    <n v="53"/>
    <s v="BTech"/>
    <s v="Single"/>
    <x v="1"/>
    <s v="Operations Head"/>
    <x v="1"/>
    <x v="2"/>
    <s v="West"/>
    <n v="3"/>
    <n v="92261"/>
    <x v="0"/>
    <n v="3"/>
    <n v="4"/>
    <n v="38"/>
    <n v="2"/>
    <d v="2020-07-28T00:00:00"/>
    <s v="Yes"/>
    <x v="1"/>
    <n v="3"/>
    <x v="0"/>
    <x v="1"/>
    <x v="0"/>
  </r>
  <r>
    <s v="REL04941"/>
    <s v="Male"/>
    <n v="50"/>
    <s v="HSC"/>
    <s v="Single"/>
    <x v="0"/>
    <s v="Logistics Coordinator"/>
    <x v="0"/>
    <x v="1"/>
    <s v="North"/>
    <n v="2"/>
    <n v="46969"/>
    <x v="2"/>
    <n v="1"/>
    <n v="4"/>
    <n v="30"/>
    <n v="0"/>
    <d v="2021-04-15T00:00:00"/>
    <s v="Yes"/>
    <x v="2"/>
    <n v="2"/>
    <x v="3"/>
    <x v="1"/>
    <x v="1"/>
  </r>
  <r>
    <s v="REL04942"/>
    <s v="Female"/>
    <n v="52"/>
    <s v="HSC"/>
    <s v="Divorced"/>
    <x v="1"/>
    <s v="Store Manager"/>
    <x v="1"/>
    <x v="7"/>
    <s v="East"/>
    <n v="11"/>
    <n v="107677"/>
    <x v="3"/>
    <n v="1"/>
    <n v="4"/>
    <n v="78"/>
    <n v="0"/>
    <d v="2012-01-07T00:00:00"/>
    <s v="Yes"/>
    <x v="1"/>
    <n v="4"/>
    <x v="2"/>
    <x v="1"/>
    <x v="0"/>
  </r>
  <r>
    <s v="REL04943"/>
    <s v="Male"/>
    <n v="35"/>
    <s v="Graduate"/>
    <s v="Divorced"/>
    <x v="1"/>
    <s v="Marketing Executive"/>
    <x v="4"/>
    <x v="5"/>
    <s v="South"/>
    <n v="15"/>
    <n v="85814"/>
    <x v="0"/>
    <n v="1"/>
    <n v="2"/>
    <n v="21"/>
    <n v="3"/>
    <d v="2008-02-11T00:00:00"/>
    <s v="No"/>
    <x v="1"/>
    <n v="3"/>
    <x v="2"/>
    <x v="0"/>
    <x v="0"/>
  </r>
  <r>
    <s v="REL04944"/>
    <s v="Male"/>
    <n v="38"/>
    <s v="Graduate"/>
    <s v="Single"/>
    <x v="4"/>
    <s v="Finance Analyst"/>
    <x v="0"/>
    <x v="3"/>
    <s v="West"/>
    <n v="15"/>
    <n v="82293"/>
    <x v="2"/>
    <n v="2"/>
    <n v="1"/>
    <n v="65"/>
    <n v="0"/>
    <d v="2008-12-02T00:00:00"/>
    <s v="No"/>
    <x v="1"/>
    <n v="2"/>
    <x v="2"/>
    <x v="0"/>
    <x v="1"/>
  </r>
  <r>
    <s v="REL04945"/>
    <s v="Female"/>
    <n v="23"/>
    <s v="MBA"/>
    <s v="Married"/>
    <x v="2"/>
    <s v="Logistics Coordinator"/>
    <x v="1"/>
    <x v="2"/>
    <s v="West"/>
    <n v="4"/>
    <n v="45512"/>
    <x v="2"/>
    <n v="4"/>
    <n v="4"/>
    <n v="10"/>
    <n v="1"/>
    <d v="2019-06-04T00:00:00"/>
    <s v="Yes"/>
    <x v="2"/>
    <n v="2"/>
    <x v="0"/>
    <x v="1"/>
    <x v="1"/>
  </r>
  <r>
    <s v="REL04946"/>
    <s v="Female"/>
    <n v="42"/>
    <s v="MBA"/>
    <s v="Divorced"/>
    <x v="2"/>
    <s v="Sales Executive"/>
    <x v="2"/>
    <x v="7"/>
    <s v="East"/>
    <n v="13"/>
    <n v="71406"/>
    <x v="1"/>
    <n v="1"/>
    <n v="1"/>
    <n v="54"/>
    <n v="1"/>
    <d v="2010-10-16T00:00:00"/>
    <s v="Yes"/>
    <x v="0"/>
    <n v="1"/>
    <x v="2"/>
    <x v="1"/>
    <x v="1"/>
  </r>
  <r>
    <s v="REL04947"/>
    <s v="Female"/>
    <n v="30"/>
    <s v="HSC"/>
    <s v="Married"/>
    <x v="4"/>
    <s v="Logistics Coordinator"/>
    <x v="4"/>
    <x v="1"/>
    <s v="North"/>
    <n v="14"/>
    <n v="70658"/>
    <x v="1"/>
    <n v="4"/>
    <n v="4"/>
    <n v="72"/>
    <n v="3"/>
    <d v="2009-07-06T00:00:00"/>
    <s v="No"/>
    <x v="0"/>
    <n v="1"/>
    <x v="2"/>
    <x v="0"/>
    <x v="1"/>
  </r>
  <r>
    <s v="REL04948"/>
    <s v="Female"/>
    <n v="27"/>
    <s v="Graduate"/>
    <s v="Married"/>
    <x v="0"/>
    <s v="Sales Executive"/>
    <x v="0"/>
    <x v="4"/>
    <s v="North"/>
    <n v="15"/>
    <n v="62655"/>
    <x v="2"/>
    <n v="2"/>
    <n v="3"/>
    <n v="12"/>
    <n v="2"/>
    <d v="2008-01-30T00:00:00"/>
    <s v="No"/>
    <x v="0"/>
    <n v="2"/>
    <x v="2"/>
    <x v="0"/>
    <x v="1"/>
  </r>
  <r>
    <s v="REL04949"/>
    <s v="Female"/>
    <n v="55"/>
    <s v="MBA"/>
    <s v="Divorced"/>
    <x v="4"/>
    <s v="Logistics Coordinator"/>
    <x v="2"/>
    <x v="6"/>
    <s v="South"/>
    <n v="14"/>
    <n v="82197"/>
    <x v="1"/>
    <n v="1"/>
    <n v="1"/>
    <n v="69"/>
    <n v="1"/>
    <d v="2009-05-21T00:00:00"/>
    <s v="No"/>
    <x v="1"/>
    <n v="1"/>
    <x v="2"/>
    <x v="0"/>
    <x v="2"/>
  </r>
  <r>
    <s v="REL04950"/>
    <s v="Female"/>
    <n v="39"/>
    <s v="Graduate"/>
    <s v="Married"/>
    <x v="2"/>
    <s v="Sales Executive"/>
    <x v="3"/>
    <x v="1"/>
    <s v="North"/>
    <n v="5"/>
    <n v="47987"/>
    <x v="3"/>
    <n v="4"/>
    <n v="1"/>
    <n v="36"/>
    <n v="1"/>
    <d v="2018-03-06T00:00:00"/>
    <s v="No"/>
    <x v="2"/>
    <n v="4"/>
    <x v="0"/>
    <x v="2"/>
    <x v="1"/>
  </r>
  <r>
    <s v="REL04951"/>
    <s v="Female"/>
    <n v="52"/>
    <s v="Graduate"/>
    <s v="Single"/>
    <x v="2"/>
    <s v="Sales Executive"/>
    <x v="4"/>
    <x v="8"/>
    <s v="South"/>
    <n v="2"/>
    <n v="36380"/>
    <x v="0"/>
    <n v="2"/>
    <n v="1"/>
    <n v="70"/>
    <n v="2"/>
    <d v="2021-07-03T00:00:00"/>
    <s v="No"/>
    <x v="2"/>
    <n v="3"/>
    <x v="3"/>
    <x v="0"/>
    <x v="1"/>
  </r>
  <r>
    <s v="REL04952"/>
    <s v="Female"/>
    <n v="36"/>
    <s v="Post Graduate"/>
    <s v="Single"/>
    <x v="0"/>
    <s v="Operations Head"/>
    <x v="1"/>
    <x v="4"/>
    <s v="North"/>
    <n v="13"/>
    <n v="122350"/>
    <x v="0"/>
    <n v="1"/>
    <n v="2"/>
    <n v="15"/>
    <n v="1"/>
    <d v="2010-12-28T00:00:00"/>
    <s v="No"/>
    <x v="1"/>
    <n v="3"/>
    <x v="2"/>
    <x v="0"/>
    <x v="0"/>
  </r>
  <r>
    <s v="REL04953"/>
    <s v="Female"/>
    <n v="50"/>
    <s v="Graduate"/>
    <s v="Single"/>
    <x v="1"/>
    <s v="Customer Service Rep"/>
    <x v="1"/>
    <x v="6"/>
    <s v="South"/>
    <n v="11"/>
    <n v="55890"/>
    <x v="0"/>
    <n v="2"/>
    <n v="3"/>
    <n v="42"/>
    <n v="3"/>
    <d v="2012-08-30T00:00:00"/>
    <s v="Yes"/>
    <x v="0"/>
    <n v="3"/>
    <x v="2"/>
    <x v="1"/>
    <x v="0"/>
  </r>
  <r>
    <s v="REL04954"/>
    <s v="Female"/>
    <n v="52"/>
    <s v="Post Graduate"/>
    <s v="Married"/>
    <x v="7"/>
    <s v="Sales Executive"/>
    <x v="1"/>
    <x v="6"/>
    <s v="South"/>
    <n v="3"/>
    <n v="55523"/>
    <x v="3"/>
    <n v="1"/>
    <n v="3"/>
    <n v="46"/>
    <n v="3"/>
    <d v="2020-02-04T00:00:00"/>
    <s v="No"/>
    <x v="0"/>
    <n v="4"/>
    <x v="0"/>
    <x v="2"/>
    <x v="1"/>
  </r>
  <r>
    <s v="REL04955"/>
    <s v="Male"/>
    <n v="31"/>
    <s v="HSC"/>
    <s v="Single"/>
    <x v="6"/>
    <s v="Logistics Coordinator"/>
    <x v="3"/>
    <x v="3"/>
    <s v="West"/>
    <n v="8"/>
    <n v="64437"/>
    <x v="3"/>
    <n v="3"/>
    <n v="4"/>
    <n v="38"/>
    <n v="2"/>
    <d v="2015-04-30T00:00:00"/>
    <s v="No"/>
    <x v="0"/>
    <n v="4"/>
    <x v="1"/>
    <x v="2"/>
    <x v="1"/>
  </r>
  <r>
    <s v="REL04956"/>
    <s v="Male"/>
    <n v="23"/>
    <s v="HSC"/>
    <s v="Divorced"/>
    <x v="5"/>
    <s v="Sales Executive"/>
    <x v="0"/>
    <x v="1"/>
    <s v="North"/>
    <n v="6"/>
    <n v="52765"/>
    <x v="1"/>
    <n v="2"/>
    <n v="2"/>
    <n v="64"/>
    <n v="3"/>
    <d v="2017-04-10T00:00:00"/>
    <s v="No"/>
    <x v="0"/>
    <n v="1"/>
    <x v="1"/>
    <x v="0"/>
    <x v="1"/>
  </r>
  <r>
    <s v="REL04957"/>
    <s v="Male"/>
    <n v="27"/>
    <s v="Graduate"/>
    <s v="Divorced"/>
    <x v="6"/>
    <s v="Marketing Executive"/>
    <x v="4"/>
    <x v="5"/>
    <s v="South"/>
    <n v="15"/>
    <n v="71931"/>
    <x v="1"/>
    <n v="3"/>
    <n v="2"/>
    <n v="73"/>
    <n v="1"/>
    <d v="2008-02-29T00:00:00"/>
    <s v="Yes"/>
    <x v="0"/>
    <n v="1"/>
    <x v="2"/>
    <x v="1"/>
    <x v="1"/>
  </r>
  <r>
    <s v="REL04958"/>
    <s v="Female"/>
    <n v="29"/>
    <s v="Graduate"/>
    <s v="Married"/>
    <x v="3"/>
    <s v="Logistics Coordinator"/>
    <x v="1"/>
    <x v="5"/>
    <s v="South"/>
    <n v="10"/>
    <n v="73377"/>
    <x v="2"/>
    <n v="1"/>
    <n v="1"/>
    <n v="59"/>
    <n v="2"/>
    <d v="2013-08-22T00:00:00"/>
    <s v="No"/>
    <x v="0"/>
    <n v="2"/>
    <x v="1"/>
    <x v="0"/>
    <x v="1"/>
  </r>
  <r>
    <s v="REL04959"/>
    <s v="Male"/>
    <n v="34"/>
    <s v="MBA"/>
    <s v="Married"/>
    <x v="5"/>
    <s v="HR Manager"/>
    <x v="4"/>
    <x v="0"/>
    <s v="North"/>
    <n v="9"/>
    <n v="88600"/>
    <x v="0"/>
    <n v="2"/>
    <n v="3"/>
    <n v="59"/>
    <n v="0"/>
    <d v="2014-06-05T00:00:00"/>
    <s v="No"/>
    <x v="1"/>
    <n v="3"/>
    <x v="1"/>
    <x v="0"/>
    <x v="0"/>
  </r>
  <r>
    <s v="REL04960"/>
    <s v="Female"/>
    <n v="26"/>
    <s v="Post Graduate"/>
    <s v="Divorced"/>
    <x v="3"/>
    <s v="HR Manager"/>
    <x v="4"/>
    <x v="7"/>
    <s v="East"/>
    <n v="9"/>
    <n v="93381"/>
    <x v="2"/>
    <n v="3"/>
    <n v="1"/>
    <n v="55"/>
    <n v="3"/>
    <d v="2014-06-23T00:00:00"/>
    <s v="No"/>
    <x v="1"/>
    <n v="2"/>
    <x v="1"/>
    <x v="0"/>
    <x v="1"/>
  </r>
  <r>
    <s v="REL04961"/>
    <s v="Male"/>
    <n v="27"/>
    <s v="MBA"/>
    <s v="Divorced"/>
    <x v="4"/>
    <s v="Finance Analyst"/>
    <x v="4"/>
    <x v="4"/>
    <s v="North"/>
    <n v="14"/>
    <n v="80532"/>
    <x v="2"/>
    <n v="1"/>
    <n v="4"/>
    <n v="60"/>
    <n v="3"/>
    <d v="2009-04-08T00:00:00"/>
    <s v="No"/>
    <x v="1"/>
    <n v="2"/>
    <x v="2"/>
    <x v="0"/>
    <x v="1"/>
  </r>
  <r>
    <s v="REL04962"/>
    <s v="Female"/>
    <n v="25"/>
    <s v="Graduate"/>
    <s v="Single"/>
    <x v="5"/>
    <s v="Store Manager"/>
    <x v="0"/>
    <x v="0"/>
    <s v="North"/>
    <n v="12"/>
    <n v="113002"/>
    <x v="2"/>
    <n v="2"/>
    <n v="4"/>
    <n v="50"/>
    <n v="0"/>
    <d v="2011-04-13T00:00:00"/>
    <s v="Yes"/>
    <x v="1"/>
    <n v="2"/>
    <x v="2"/>
    <x v="1"/>
    <x v="1"/>
  </r>
  <r>
    <s v="REL04963"/>
    <s v="Male"/>
    <n v="37"/>
    <s v="MBA"/>
    <s v="Married"/>
    <x v="3"/>
    <s v="Marketing Executive"/>
    <x v="4"/>
    <x v="6"/>
    <s v="South"/>
    <n v="7"/>
    <n v="65830"/>
    <x v="3"/>
    <n v="4"/>
    <n v="2"/>
    <n v="52"/>
    <n v="2"/>
    <d v="2016-06-15T00:00:00"/>
    <s v="No"/>
    <x v="0"/>
    <n v="4"/>
    <x v="1"/>
    <x v="2"/>
    <x v="1"/>
  </r>
  <r>
    <s v="REL04964"/>
    <s v="Female"/>
    <n v="35"/>
    <s v="HSC"/>
    <s v="Married"/>
    <x v="4"/>
    <s v="HR Manager"/>
    <x v="2"/>
    <x v="2"/>
    <s v="West"/>
    <n v="12"/>
    <n v="93255"/>
    <x v="3"/>
    <n v="1"/>
    <n v="3"/>
    <n v="41"/>
    <n v="0"/>
    <d v="2011-03-02T00:00:00"/>
    <s v="No"/>
    <x v="1"/>
    <n v="4"/>
    <x v="2"/>
    <x v="2"/>
    <x v="0"/>
  </r>
  <r>
    <s v="REL04965"/>
    <s v="Female"/>
    <n v="28"/>
    <s v="HSC"/>
    <s v="Single"/>
    <x v="4"/>
    <s v="Finance Analyst"/>
    <x v="2"/>
    <x v="0"/>
    <s v="North"/>
    <n v="15"/>
    <n v="87618"/>
    <x v="1"/>
    <n v="1"/>
    <n v="1"/>
    <n v="43"/>
    <n v="1"/>
    <d v="2008-10-20T00:00:00"/>
    <s v="Yes"/>
    <x v="1"/>
    <n v="1"/>
    <x v="2"/>
    <x v="1"/>
    <x v="2"/>
  </r>
  <r>
    <s v="REL04966"/>
    <s v="Female"/>
    <n v="24"/>
    <s v="HSC"/>
    <s v="Married"/>
    <x v="0"/>
    <s v="Sales Executive"/>
    <x v="0"/>
    <x v="3"/>
    <s v="West"/>
    <n v="4"/>
    <n v="39096"/>
    <x v="2"/>
    <n v="3"/>
    <n v="3"/>
    <n v="71"/>
    <n v="3"/>
    <d v="2019-10-07T00:00:00"/>
    <s v="Yes"/>
    <x v="2"/>
    <n v="2"/>
    <x v="0"/>
    <x v="1"/>
    <x v="1"/>
  </r>
  <r>
    <s v="REL04967"/>
    <s v="Female"/>
    <n v="48"/>
    <s v="BTech"/>
    <s v="Divorced"/>
    <x v="2"/>
    <s v="Customer Service Rep"/>
    <x v="3"/>
    <x v="4"/>
    <s v="North"/>
    <n v="4"/>
    <n v="51496"/>
    <x v="3"/>
    <n v="1"/>
    <n v="4"/>
    <n v="29"/>
    <n v="2"/>
    <d v="2019-11-29T00:00:00"/>
    <s v="No"/>
    <x v="0"/>
    <n v="4"/>
    <x v="0"/>
    <x v="2"/>
    <x v="1"/>
  </r>
  <r>
    <s v="REL04968"/>
    <s v="Female"/>
    <n v="34"/>
    <s v="Post Graduate"/>
    <s v="Single"/>
    <x v="2"/>
    <s v="HR Manager"/>
    <x v="2"/>
    <x v="9"/>
    <s v="West"/>
    <n v="2"/>
    <n v="85028"/>
    <x v="1"/>
    <n v="2"/>
    <n v="1"/>
    <n v="64"/>
    <n v="2"/>
    <d v="2021-11-19T00:00:00"/>
    <s v="Yes"/>
    <x v="1"/>
    <n v="1"/>
    <x v="3"/>
    <x v="1"/>
    <x v="2"/>
  </r>
  <r>
    <s v="REL04969"/>
    <s v="Male"/>
    <n v="22"/>
    <s v="Post Graduate"/>
    <s v="Single"/>
    <x v="7"/>
    <s v="Customer Service Rep"/>
    <x v="3"/>
    <x v="7"/>
    <s v="East"/>
    <n v="4"/>
    <n v="44233"/>
    <x v="3"/>
    <n v="4"/>
    <n v="4"/>
    <n v="22"/>
    <n v="3"/>
    <d v="2019-01-06T00:00:00"/>
    <s v="No"/>
    <x v="2"/>
    <n v="4"/>
    <x v="0"/>
    <x v="2"/>
    <x v="1"/>
  </r>
  <r>
    <s v="REL04970"/>
    <s v="Female"/>
    <n v="43"/>
    <s v="Graduate"/>
    <s v="Married"/>
    <x v="0"/>
    <s v="HR Manager"/>
    <x v="4"/>
    <x v="9"/>
    <s v="West"/>
    <n v="14"/>
    <n v="110495"/>
    <x v="3"/>
    <n v="2"/>
    <n v="3"/>
    <n v="79"/>
    <n v="1"/>
    <d v="2009-03-28T00:00:00"/>
    <s v="Yes"/>
    <x v="1"/>
    <n v="4"/>
    <x v="2"/>
    <x v="1"/>
    <x v="0"/>
  </r>
  <r>
    <s v="REL04971"/>
    <s v="Male"/>
    <n v="42"/>
    <s v="MBA"/>
    <s v="Married"/>
    <x v="2"/>
    <s v="Marketing Executive"/>
    <x v="4"/>
    <x v="5"/>
    <s v="South"/>
    <n v="9"/>
    <n v="69877"/>
    <x v="1"/>
    <n v="1"/>
    <n v="4"/>
    <n v="13"/>
    <n v="2"/>
    <d v="2014-06-29T00:00:00"/>
    <s v="Yes"/>
    <x v="0"/>
    <n v="1"/>
    <x v="1"/>
    <x v="1"/>
    <x v="1"/>
  </r>
  <r>
    <s v="REL04972"/>
    <s v="Female"/>
    <n v="22"/>
    <s v="BTech"/>
    <s v="Single"/>
    <x v="4"/>
    <s v="Store Manager"/>
    <x v="2"/>
    <x v="2"/>
    <s v="West"/>
    <n v="15"/>
    <n v="106616"/>
    <x v="0"/>
    <n v="3"/>
    <n v="4"/>
    <n v="32"/>
    <n v="3"/>
    <d v="2008-03-29T00:00:00"/>
    <s v="No"/>
    <x v="1"/>
    <n v="3"/>
    <x v="2"/>
    <x v="0"/>
    <x v="0"/>
  </r>
  <r>
    <s v="REL04973"/>
    <s v="Male"/>
    <n v="32"/>
    <s v="HSC"/>
    <s v="Single"/>
    <x v="0"/>
    <s v="Logistics Coordinator"/>
    <x v="3"/>
    <x v="7"/>
    <s v="East"/>
    <n v="15"/>
    <n v="70578"/>
    <x v="0"/>
    <n v="3"/>
    <n v="2"/>
    <n v="75"/>
    <n v="3"/>
    <d v="2008-03-02T00:00:00"/>
    <s v="No"/>
    <x v="0"/>
    <n v="3"/>
    <x v="2"/>
    <x v="0"/>
    <x v="0"/>
  </r>
  <r>
    <s v="REL04974"/>
    <s v="Female"/>
    <n v="31"/>
    <s v="Graduate"/>
    <s v="Divorced"/>
    <x v="1"/>
    <s v="Customer Service Rep"/>
    <x v="4"/>
    <x v="7"/>
    <s v="East"/>
    <n v="4"/>
    <n v="51333"/>
    <x v="0"/>
    <n v="3"/>
    <n v="1"/>
    <n v="77"/>
    <n v="2"/>
    <d v="2019-04-12T00:00:00"/>
    <s v="No"/>
    <x v="0"/>
    <n v="3"/>
    <x v="0"/>
    <x v="0"/>
    <x v="0"/>
  </r>
  <r>
    <s v="REL04975"/>
    <s v="Female"/>
    <n v="53"/>
    <s v="BTech"/>
    <s v="Married"/>
    <x v="4"/>
    <s v="Store Manager"/>
    <x v="3"/>
    <x v="8"/>
    <s v="South"/>
    <n v="13"/>
    <n v="109772"/>
    <x v="0"/>
    <n v="2"/>
    <n v="4"/>
    <n v="34"/>
    <n v="0"/>
    <d v="2010-07-31T00:00:00"/>
    <s v="No"/>
    <x v="1"/>
    <n v="3"/>
    <x v="2"/>
    <x v="0"/>
    <x v="0"/>
  </r>
  <r>
    <s v="REL04976"/>
    <s v="Male"/>
    <n v="24"/>
    <s v="MBA"/>
    <s v="Married"/>
    <x v="3"/>
    <s v="Store Manager"/>
    <x v="4"/>
    <x v="5"/>
    <s v="South"/>
    <n v="11"/>
    <n v="113711"/>
    <x v="3"/>
    <n v="2"/>
    <n v="3"/>
    <n v="68"/>
    <n v="1"/>
    <d v="2012-01-29T00:00:00"/>
    <s v="No"/>
    <x v="1"/>
    <n v="4"/>
    <x v="2"/>
    <x v="2"/>
    <x v="0"/>
  </r>
  <r>
    <s v="REL04977"/>
    <s v="Female"/>
    <n v="49"/>
    <s v="MBA"/>
    <s v="Single"/>
    <x v="0"/>
    <s v="Logistics Coordinator"/>
    <x v="2"/>
    <x v="4"/>
    <s v="North"/>
    <n v="2"/>
    <n v="49952"/>
    <x v="0"/>
    <n v="2"/>
    <n v="4"/>
    <n v="58"/>
    <n v="0"/>
    <d v="2021-07-23T00:00:00"/>
    <s v="Yes"/>
    <x v="2"/>
    <n v="3"/>
    <x v="3"/>
    <x v="1"/>
    <x v="1"/>
  </r>
  <r>
    <s v="REL04978"/>
    <s v="Female"/>
    <n v="37"/>
    <s v="Post Graduate"/>
    <s v="Married"/>
    <x v="7"/>
    <s v="Finance Analyst"/>
    <x v="2"/>
    <x v="3"/>
    <s v="West"/>
    <n v="8"/>
    <n v="79691"/>
    <x v="1"/>
    <n v="4"/>
    <n v="1"/>
    <n v="57"/>
    <n v="3"/>
    <d v="2015-02-27T00:00:00"/>
    <s v="No"/>
    <x v="0"/>
    <n v="1"/>
    <x v="1"/>
    <x v="0"/>
    <x v="1"/>
  </r>
  <r>
    <s v="REL04979"/>
    <s v="Female"/>
    <n v="22"/>
    <s v="HSC"/>
    <s v="Divorced"/>
    <x v="5"/>
    <s v="Sales Executive"/>
    <x v="4"/>
    <x v="3"/>
    <s v="West"/>
    <n v="12"/>
    <n v="57116"/>
    <x v="0"/>
    <n v="2"/>
    <n v="4"/>
    <n v="76"/>
    <n v="1"/>
    <d v="2011-10-26T00:00:00"/>
    <s v="No"/>
    <x v="0"/>
    <n v="3"/>
    <x v="2"/>
    <x v="0"/>
    <x v="0"/>
  </r>
  <r>
    <s v="REL04980"/>
    <s v="Female"/>
    <n v="31"/>
    <s v="MBA"/>
    <s v="Married"/>
    <x v="2"/>
    <s v="HR Manager"/>
    <x v="3"/>
    <x v="7"/>
    <s v="East"/>
    <n v="11"/>
    <n v="96164"/>
    <x v="3"/>
    <n v="3"/>
    <n v="4"/>
    <n v="40"/>
    <n v="2"/>
    <d v="2012-02-03T00:00:00"/>
    <s v="No"/>
    <x v="1"/>
    <n v="4"/>
    <x v="2"/>
    <x v="2"/>
    <x v="0"/>
  </r>
  <r>
    <s v="REL04981"/>
    <s v="Male"/>
    <n v="22"/>
    <s v="Post Graduate"/>
    <s v="Divorced"/>
    <x v="1"/>
    <s v="Marketing Executive"/>
    <x v="2"/>
    <x v="8"/>
    <s v="South"/>
    <n v="3"/>
    <n v="60594"/>
    <x v="0"/>
    <n v="4"/>
    <n v="2"/>
    <n v="33"/>
    <n v="1"/>
    <d v="2020-11-24T00:00:00"/>
    <s v="No"/>
    <x v="0"/>
    <n v="3"/>
    <x v="0"/>
    <x v="0"/>
    <x v="0"/>
  </r>
  <r>
    <s v="REL04982"/>
    <s v="Male"/>
    <n v="41"/>
    <s v="HSC"/>
    <s v="Married"/>
    <x v="4"/>
    <s v="Store Manager"/>
    <x v="0"/>
    <x v="3"/>
    <s v="West"/>
    <n v="1"/>
    <n v="77394"/>
    <x v="2"/>
    <n v="4"/>
    <n v="2"/>
    <n v="31"/>
    <n v="3"/>
    <d v="2022-07-04T00:00:00"/>
    <s v="No"/>
    <x v="0"/>
    <n v="2"/>
    <x v="3"/>
    <x v="0"/>
    <x v="1"/>
  </r>
  <r>
    <s v="REL04983"/>
    <s v="Male"/>
    <n v="34"/>
    <s v="HSC"/>
    <s v="Married"/>
    <x v="3"/>
    <s v="HR Manager"/>
    <x v="1"/>
    <x v="4"/>
    <s v="North"/>
    <n v="8"/>
    <n v="96863"/>
    <x v="3"/>
    <n v="4"/>
    <n v="2"/>
    <n v="12"/>
    <n v="2"/>
    <d v="2015-08-15T00:00:00"/>
    <s v="No"/>
    <x v="1"/>
    <n v="4"/>
    <x v="1"/>
    <x v="2"/>
    <x v="0"/>
  </r>
  <r>
    <s v="REL04984"/>
    <s v="Male"/>
    <n v="43"/>
    <s v="HSC"/>
    <s v="Divorced"/>
    <x v="4"/>
    <s v="Finance Analyst"/>
    <x v="0"/>
    <x v="1"/>
    <s v="North"/>
    <n v="14"/>
    <n v="90566"/>
    <x v="0"/>
    <n v="3"/>
    <n v="3"/>
    <n v="30"/>
    <n v="3"/>
    <d v="2009-02-12T00:00:00"/>
    <s v="No"/>
    <x v="1"/>
    <n v="3"/>
    <x v="2"/>
    <x v="0"/>
    <x v="0"/>
  </r>
  <r>
    <s v="REL04985"/>
    <s v="Male"/>
    <n v="37"/>
    <s v="Graduate"/>
    <s v="Single"/>
    <x v="6"/>
    <s v="Finance Analyst"/>
    <x v="0"/>
    <x v="7"/>
    <s v="East"/>
    <n v="10"/>
    <n v="84209"/>
    <x v="2"/>
    <n v="4"/>
    <n v="1"/>
    <n v="16"/>
    <n v="3"/>
    <d v="2013-08-28T00:00:00"/>
    <s v="No"/>
    <x v="1"/>
    <n v="2"/>
    <x v="1"/>
    <x v="0"/>
    <x v="1"/>
  </r>
  <r>
    <s v="REL04986"/>
    <s v="Female"/>
    <n v="39"/>
    <s v="MBA"/>
    <s v="Divorced"/>
    <x v="1"/>
    <s v="Marketing Executive"/>
    <x v="0"/>
    <x v="6"/>
    <s v="South"/>
    <n v="7"/>
    <n v="57541"/>
    <x v="3"/>
    <n v="3"/>
    <n v="3"/>
    <n v="61"/>
    <n v="3"/>
    <d v="2016-09-30T00:00:00"/>
    <s v="No"/>
    <x v="0"/>
    <n v="4"/>
    <x v="1"/>
    <x v="2"/>
    <x v="1"/>
  </r>
  <r>
    <s v="REL04987"/>
    <s v="Male"/>
    <n v="39"/>
    <s v="HSC"/>
    <s v="Single"/>
    <x v="6"/>
    <s v="Store Manager"/>
    <x v="3"/>
    <x v="7"/>
    <s v="East"/>
    <n v="3"/>
    <n v="97189"/>
    <x v="3"/>
    <n v="2"/>
    <n v="1"/>
    <n v="62"/>
    <n v="0"/>
    <d v="2020-02-05T00:00:00"/>
    <s v="No"/>
    <x v="1"/>
    <n v="4"/>
    <x v="0"/>
    <x v="2"/>
    <x v="0"/>
  </r>
  <r>
    <s v="REL04988"/>
    <s v="Female"/>
    <n v="41"/>
    <s v="Graduate"/>
    <s v="Divorced"/>
    <x v="7"/>
    <s v="Customer Service Rep"/>
    <x v="2"/>
    <x v="6"/>
    <s v="South"/>
    <n v="12"/>
    <n v="64753"/>
    <x v="2"/>
    <n v="3"/>
    <n v="3"/>
    <n v="31"/>
    <n v="3"/>
    <d v="2011-02-02T00:00:00"/>
    <s v="No"/>
    <x v="0"/>
    <n v="2"/>
    <x v="2"/>
    <x v="0"/>
    <x v="1"/>
  </r>
  <r>
    <s v="REL04989"/>
    <s v="Female"/>
    <n v="39"/>
    <s v="BTech"/>
    <s v="Married"/>
    <x v="4"/>
    <s v="Finance Analyst"/>
    <x v="1"/>
    <x v="7"/>
    <s v="East"/>
    <n v="4"/>
    <n v="59316"/>
    <x v="2"/>
    <n v="1"/>
    <n v="3"/>
    <n v="75"/>
    <n v="3"/>
    <d v="2019-05-06T00:00:00"/>
    <s v="No"/>
    <x v="0"/>
    <n v="2"/>
    <x v="0"/>
    <x v="0"/>
    <x v="1"/>
  </r>
  <r>
    <s v="REL04990"/>
    <s v="Female"/>
    <n v="26"/>
    <s v="BTech"/>
    <s v="Divorced"/>
    <x v="4"/>
    <s v="Store Manager"/>
    <x v="1"/>
    <x v="8"/>
    <s v="South"/>
    <n v="6"/>
    <n v="92672"/>
    <x v="3"/>
    <n v="3"/>
    <n v="4"/>
    <n v="58"/>
    <n v="0"/>
    <d v="2017-10-14T00:00:00"/>
    <s v="No"/>
    <x v="1"/>
    <n v="4"/>
    <x v="1"/>
    <x v="2"/>
    <x v="0"/>
  </r>
  <r>
    <s v="REL04991"/>
    <s v="Female"/>
    <n v="49"/>
    <s v="BTech"/>
    <s v="Divorced"/>
    <x v="6"/>
    <s v="Sales Executive"/>
    <x v="0"/>
    <x v="0"/>
    <s v="North"/>
    <n v="1"/>
    <n v="42160"/>
    <x v="2"/>
    <n v="1"/>
    <n v="3"/>
    <n v="69"/>
    <n v="2"/>
    <d v="2022-12-01T00:00:00"/>
    <s v="No"/>
    <x v="2"/>
    <n v="2"/>
    <x v="3"/>
    <x v="0"/>
    <x v="1"/>
  </r>
  <r>
    <s v="REL04992"/>
    <s v="Male"/>
    <n v="31"/>
    <s v="MBA"/>
    <s v="Married"/>
    <x v="0"/>
    <s v="Logistics Coordinator"/>
    <x v="4"/>
    <x v="1"/>
    <s v="North"/>
    <n v="12"/>
    <n v="77902"/>
    <x v="2"/>
    <n v="2"/>
    <n v="2"/>
    <n v="42"/>
    <n v="0"/>
    <d v="2011-04-11T00:00:00"/>
    <s v="Yes"/>
    <x v="0"/>
    <n v="2"/>
    <x v="2"/>
    <x v="1"/>
    <x v="1"/>
  </r>
  <r>
    <s v="REL04993"/>
    <s v="Female"/>
    <n v="51"/>
    <s v="HSC"/>
    <s v="Single"/>
    <x v="1"/>
    <s v="Finance Analyst"/>
    <x v="0"/>
    <x v="4"/>
    <s v="North"/>
    <n v="13"/>
    <n v="84815"/>
    <x v="0"/>
    <n v="2"/>
    <n v="1"/>
    <n v="57"/>
    <n v="2"/>
    <d v="2010-05-19T00:00:00"/>
    <s v="No"/>
    <x v="1"/>
    <n v="3"/>
    <x v="2"/>
    <x v="0"/>
    <x v="0"/>
  </r>
  <r>
    <s v="REL04994"/>
    <s v="Female"/>
    <n v="30"/>
    <s v="Graduate"/>
    <s v="Married"/>
    <x v="5"/>
    <s v="Operations Head"/>
    <x v="3"/>
    <x v="0"/>
    <s v="North"/>
    <n v="14"/>
    <n v="120670"/>
    <x v="0"/>
    <n v="2"/>
    <n v="1"/>
    <n v="22"/>
    <n v="3"/>
    <d v="2009-10-25T00:00:00"/>
    <s v="No"/>
    <x v="1"/>
    <n v="3"/>
    <x v="2"/>
    <x v="0"/>
    <x v="0"/>
  </r>
  <r>
    <s v="REL04995"/>
    <s v="Female"/>
    <n v="33"/>
    <s v="BTech"/>
    <s v="Divorced"/>
    <x v="4"/>
    <s v="Marketing Executive"/>
    <x v="2"/>
    <x v="3"/>
    <s v="West"/>
    <n v="14"/>
    <n v="84198"/>
    <x v="1"/>
    <n v="3"/>
    <n v="4"/>
    <n v="76"/>
    <n v="2"/>
    <d v="2009-03-03T00:00:00"/>
    <s v="No"/>
    <x v="1"/>
    <n v="1"/>
    <x v="2"/>
    <x v="0"/>
    <x v="2"/>
  </r>
  <r>
    <s v="REL04996"/>
    <s v="Female"/>
    <n v="45"/>
    <s v="Post Graduate"/>
    <s v="Divorced"/>
    <x v="5"/>
    <s v="Customer Service Rep"/>
    <x v="3"/>
    <x v="1"/>
    <s v="North"/>
    <n v="1"/>
    <n v="27568"/>
    <x v="1"/>
    <n v="2"/>
    <n v="1"/>
    <n v="78"/>
    <n v="0"/>
    <d v="2022-06-29T00:00:00"/>
    <s v="Yes"/>
    <x v="3"/>
    <n v="1"/>
    <x v="3"/>
    <x v="1"/>
    <x v="1"/>
  </r>
  <r>
    <s v="REL04997"/>
    <s v="Male"/>
    <n v="34"/>
    <s v="HSC"/>
    <s v="Divorced"/>
    <x v="4"/>
    <s v="Operations Head"/>
    <x v="4"/>
    <x v="4"/>
    <s v="North"/>
    <n v="5"/>
    <n v="108554"/>
    <x v="2"/>
    <n v="1"/>
    <n v="3"/>
    <n v="79"/>
    <n v="1"/>
    <d v="2018-10-06T00:00:00"/>
    <s v="No"/>
    <x v="1"/>
    <n v="2"/>
    <x v="0"/>
    <x v="0"/>
    <x v="1"/>
  </r>
  <r>
    <s v="REL04998"/>
    <s v="Female"/>
    <n v="23"/>
    <s v="Post Graduate"/>
    <s v="Married"/>
    <x v="7"/>
    <s v="Store Manager"/>
    <x v="3"/>
    <x v="3"/>
    <s v="West"/>
    <n v="11"/>
    <n v="107428"/>
    <x v="0"/>
    <n v="3"/>
    <n v="2"/>
    <n v="25"/>
    <n v="0"/>
    <d v="2012-10-26T00:00:00"/>
    <s v="No"/>
    <x v="1"/>
    <n v="3"/>
    <x v="2"/>
    <x v="0"/>
    <x v="0"/>
  </r>
  <r>
    <s v="REL04999"/>
    <s v="Male"/>
    <n v="48"/>
    <s v="BTech"/>
    <s v="Divorced"/>
    <x v="1"/>
    <s v="Logistics Coordinator"/>
    <x v="1"/>
    <x v="9"/>
    <s v="West"/>
    <n v="10"/>
    <n v="60046"/>
    <x v="2"/>
    <n v="3"/>
    <n v="3"/>
    <n v="14"/>
    <n v="3"/>
    <d v="2013-08-22T00:00:00"/>
    <s v="No"/>
    <x v="0"/>
    <n v="2"/>
    <x v="1"/>
    <x v="0"/>
    <x v="1"/>
  </r>
  <r>
    <s v="REL05000"/>
    <s v="Male"/>
    <n v="39"/>
    <s v="HSC"/>
    <s v="Divorced"/>
    <x v="2"/>
    <s v="HR Manager"/>
    <x v="2"/>
    <x v="3"/>
    <s v="West"/>
    <n v="3"/>
    <n v="78464"/>
    <x v="2"/>
    <n v="1"/>
    <n v="3"/>
    <n v="73"/>
    <n v="0"/>
    <d v="2020-07-23T00:00:00"/>
    <s v="No"/>
    <x v="0"/>
    <n v="2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83DB9-1962-4BF1-B215-E0EFB8B0347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7:T24" firstHeaderRow="1" firstDataRow="3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2">
    <field x="1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Employee_ID" fld="0" subtotal="count" baseField="21" baseItem="0"/>
    <dataField name="Average of Monthly_Salary" fld="11" subtotal="average" baseField="21" baseItem="0"/>
  </dataFields>
  <chartFormats count="2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C0954-CC46-4D52-AF5F-D7DAEE20EB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7:G29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6"/>
        <item x="8"/>
        <item x="0"/>
        <item x="5"/>
        <item x="1"/>
        <item x="7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ID" fld="0" subtotal="count" baseField="8" baseItem="0"/>
  </dataFields>
  <formats count="10"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23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8" type="button" dataOnly="0" labelOnly="1" outline="0" axis="axisRow" fieldPosition="0"/>
    </format>
    <format dxfId="9">
      <pivotArea dataOnly="0" labelOnly="1" fieldPosition="0">
        <references count="1">
          <reference field="8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23" count="0"/>
        </references>
      </pivotArea>
    </format>
    <format dxfId="6">
      <pivotArea dataOnly="0" labelOnly="1" grandCol="1" outline="0" fieldPosition="0"/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30C1F-5D4D-4601-9A6C-AD4D67398A9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3:M10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ID" fld="0" subtotal="count" baseField="7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9DB20-06DA-40F8-9555-59C3165B69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F13" firstHeaderRow="1" firstDataRow="2" firstDataCol="1"/>
  <pivotFields count="24">
    <pivotField dataField="1" showAll="0"/>
    <pivotField showAll="0"/>
    <pivotField showAll="0"/>
    <pivotField showAll="0"/>
    <pivotField showAll="0"/>
    <pivotField axis="axisRow" showAll="0" countASubtotal="1">
      <items count="9">
        <item x="6"/>
        <item x="4"/>
        <item x="0"/>
        <item x="5"/>
        <item x="7"/>
        <item x="3"/>
        <item x="1"/>
        <item x="2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Col" showAll="0" countASubtotal="1">
      <items count="5">
        <item x="1"/>
        <item x="0"/>
        <item x="2"/>
        <item x="3"/>
        <item t="countA"/>
      </items>
    </pivotField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ID" fld="0" subtotal="count" baseField="5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D4785-3CCF-4392-BE77-D96593E669FC}" name="Table1" displayName="Table1" ref="A1:X5001" totalsRowShown="0">
  <autoFilter ref="A1:X5001" xr:uid="{33BD4785-3CCF-4392-BE77-D96593E669FC}"/>
  <tableColumns count="24">
    <tableColumn id="1" xr3:uid="{D57700B4-CD4C-4C51-B9B1-A9045B0BD5E1}" name="Employee_ID"/>
    <tableColumn id="2" xr3:uid="{74377EA4-3759-43E8-B11E-516710702D9D}" name="Gender"/>
    <tableColumn id="3" xr3:uid="{F7D43366-E94A-4D31-8629-74DA721EE186}" name="Age"/>
    <tableColumn id="4" xr3:uid="{4F18BB81-7C22-45CD-B758-43FF5E579A7F}" name="Education"/>
    <tableColumn id="5" xr3:uid="{6803E5C5-BA13-4028-BDEE-CC452210959A}" name="Marital_Status"/>
    <tableColumn id="6" xr3:uid="{26C67403-EDE6-48F1-8334-DEFDEF929571}" name="Department"/>
    <tableColumn id="7" xr3:uid="{9365399C-4348-4918-A59D-9472E3E574C5}" name="Job_Role"/>
    <tableColumn id="8" xr3:uid="{8C26DEC8-9434-4AAA-832A-2598CA507D1B}" name="Store_Type"/>
    <tableColumn id="9" xr3:uid="{C44A8EB4-C53F-4ECB-A26D-8F727F5D2926}" name="City"/>
    <tableColumn id="10" xr3:uid="{0A966F6D-9A07-468B-8152-B827801FAE85}" name="Region"/>
    <tableColumn id="11" xr3:uid="{C9FBE265-9F4E-40BF-B110-E274D2A69D5C}" name="Years_At_Company"/>
    <tableColumn id="12" xr3:uid="{058F9576-CDB2-4787-8ED8-FD406555CFCF}" name="Monthly_Salary"/>
    <tableColumn id="13" xr3:uid="{A944D56E-37D8-4357-9EB8-A9F16BDBEB36}" name="Performance_Rating"/>
    <tableColumn id="14" xr3:uid="{F1A0C305-6BCF-44EF-BA85-ABCE25E240BB}" name="Job_Satisfaction"/>
    <tableColumn id="15" xr3:uid="{1729CC32-BD9B-48F5-AB12-A40B2CEB6D5D}" name="Work_Life_Balance"/>
    <tableColumn id="16" xr3:uid="{34374DCF-4BAD-446F-8614-B9DD8B9E602E}" name="Training_Hours"/>
    <tableColumn id="17" xr3:uid="{9E88237F-952E-446B-94F9-C749B0E41F12}" name="Promotions_Last_3Years"/>
    <tableColumn id="18" xr3:uid="{7DDD8DD1-0619-4EC7-8989-DC375AE62A09}" name="Hire_Date" dataDxfId="5"/>
    <tableColumn id="19" xr3:uid="{97F3F405-9BC8-480E-985C-BD29C9F066EF}" name="Attrition"/>
    <tableColumn id="20" xr3:uid="{37402BBA-EFDB-45A9-BA90-28BBE6BB4A38}" name="Salary Grade" dataDxfId="4">
      <calculatedColumnFormula>IF(L2&gt;=80000,"Grade A",IF(L2&gt;=50000,"Grade B",IF(L2&gt;=35000,"Grade C","Grade D")))</calculatedColumnFormula>
    </tableColumn>
    <tableColumn id="21" xr3:uid="{45F562E0-8362-4C31-9C76-091E6ED4E0E3}" name="Performance Score" dataDxfId="3">
      <calculatedColumnFormula>IF(M2="Excellent",4,IF(M2="Good",3,IF(M2="Average",2,1)))</calculatedColumnFormula>
    </tableColumn>
    <tableColumn id="22" xr3:uid="{955AD6EB-88E9-482C-8EC5-2524E1DECAD4}" name="Employee Tenure Category" dataDxfId="2">
      <calculatedColumnFormula>IF(K2&lt;=2,"New Joiner",IF(K2&lt;=5,"Junior",IF(K2&lt;=10,"Mid Level","Senior")))</calculatedColumnFormula>
    </tableColumn>
    <tableColumn id="23" xr3:uid="{283FF536-91AF-4F0F-A975-473F569AAA23}" name="Attrition Risk" dataDxfId="1">
      <calculatedColumnFormula>IF(S2="Yes","Already Left",IF(AND(K2&lt;=2,M2="Poor"),"High Risk",IF(AND(K2&lt;=5,M2="Average"),"Medium Risk",IF(M2="Excellent","Low Risk","Medium Risk"))))</calculatedColumnFormula>
    </tableColumn>
    <tableColumn id="24" xr3:uid="{52045004-02E6-4A33-9D35-43CF7A8DFC61}" name="Salary Competitiveness" dataDxfId="0">
      <calculatedColumnFormula>IF(AND(L2&gt;=80000,M2="Excellent"),"Competitive",IF(AND(L2&gt;=50000,M2="Good"),"Competitive",IF(AND(L2&lt;35000,M2="Excellent"),"Underpaid",IF(AND(L2&gt;=80000,M2="Poor"),"Overpaid","Fair"))))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77F6-0805-46F1-9FD3-386BF9D4FB23}">
  <dimension ref="A1:X5001"/>
  <sheetViews>
    <sheetView topLeftCell="L1" workbookViewId="0">
      <pane ySplit="1" topLeftCell="A4976" activePane="bottomLeft" state="frozen"/>
      <selection pane="bottomLeft"/>
    </sheetView>
  </sheetViews>
  <sheetFormatPr defaultRowHeight="14.4" x14ac:dyDescent="0.3"/>
  <cols>
    <col min="1" max="1" width="14" customWidth="1"/>
    <col min="2" max="2" width="9" customWidth="1"/>
    <col min="4" max="4" width="11.33203125" customWidth="1"/>
    <col min="5" max="5" width="15.109375" customWidth="1"/>
    <col min="6" max="6" width="13" customWidth="1"/>
    <col min="7" max="7" width="10.44140625" customWidth="1"/>
    <col min="8" max="8" width="12.44140625" customWidth="1"/>
    <col min="11" max="11" width="19.33203125" customWidth="1"/>
    <col min="12" max="12" width="16.21875" customWidth="1"/>
    <col min="13" max="13" width="20.109375" customWidth="1"/>
    <col min="14" max="14" width="16.5546875" customWidth="1"/>
    <col min="15" max="15" width="19" customWidth="1"/>
    <col min="16" max="16" width="15.5546875" customWidth="1"/>
    <col min="17" max="17" width="23.44140625" customWidth="1"/>
    <col min="18" max="18" width="11.109375" customWidth="1"/>
    <col min="19" max="19" width="9.88671875" customWidth="1"/>
    <col min="22" max="22" width="11.33203125" customWidth="1"/>
    <col min="23" max="23" width="13.6640625" customWidth="1"/>
    <col min="24" max="24" width="14.332031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5070</v>
      </c>
      <c r="U1" t="s">
        <v>5071</v>
      </c>
      <c r="V1" t="s">
        <v>5072</v>
      </c>
      <c r="W1" t="s">
        <v>5073</v>
      </c>
      <c r="X1" t="s">
        <v>5074</v>
      </c>
    </row>
    <row r="2" spans="1:24" x14ac:dyDescent="0.3">
      <c r="A2" t="s">
        <v>19</v>
      </c>
      <c r="B2" t="s">
        <v>20</v>
      </c>
      <c r="C2">
        <v>24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</v>
      </c>
      <c r="L2">
        <v>76358</v>
      </c>
      <c r="M2" t="s">
        <v>28</v>
      </c>
      <c r="N2">
        <v>2</v>
      </c>
      <c r="O2">
        <v>2</v>
      </c>
      <c r="P2">
        <v>74</v>
      </c>
      <c r="Q2">
        <v>0</v>
      </c>
      <c r="R2" s="1">
        <v>43788</v>
      </c>
      <c r="S2" t="s">
        <v>29</v>
      </c>
      <c r="T2" t="str">
        <f t="shared" ref="T2:T65" si="0">IF(L2&gt;=80000,"Grade A",IF(L2&gt;=50000,"Grade B",IF(L2&gt;=35000,"Grade C","Grade D")))</f>
        <v>Grade B</v>
      </c>
      <c r="U2">
        <f t="shared" ref="U2:U65" si="1">IF(M2="Excellent",4,IF(M2="Good",3,IF(M2="Average",2,1)))</f>
        <v>3</v>
      </c>
      <c r="V2" t="str">
        <f t="shared" ref="V2:V65" si="2">IF(K2&lt;=2,"New Joiner",IF(K2&lt;=5,"Junior",IF(K2&lt;=10,"Mid Level","Senior")))</f>
        <v>Junior</v>
      </c>
      <c r="W2" t="str">
        <f t="shared" ref="W2:W65" si="3">IF(S2="Yes","Already Left",IF(AND(K2&lt;=2,M2="Poor"),"High Risk",IF(AND(K2&lt;=5,M2="Average"),"Medium Risk",IF(M2="Excellent","Low Risk","Medium Risk"))))</f>
        <v>Medium Risk</v>
      </c>
      <c r="X2" t="str">
        <f t="shared" ref="X2:X65" si="4">IF(AND(L2&gt;=80000,M2="Excellent"),"Competitive",IF(AND(L2&gt;=50000,M2="Good"),"Competitive",IF(AND(L2&lt;35000,M2="Excellent"),"Underpaid",IF(AND(L2&gt;=80000,M2="Poor"),"Overpaid","Fair"))))</f>
        <v>Competitive</v>
      </c>
    </row>
    <row r="3" spans="1:24" x14ac:dyDescent="0.3">
      <c r="A3" t="s">
        <v>30</v>
      </c>
      <c r="B3" t="s">
        <v>20</v>
      </c>
      <c r="C3">
        <v>43</v>
      </c>
      <c r="D3" t="s">
        <v>31</v>
      </c>
      <c r="E3" t="s">
        <v>22</v>
      </c>
      <c r="F3" t="s">
        <v>32</v>
      </c>
      <c r="G3" t="s">
        <v>33</v>
      </c>
      <c r="H3" t="s">
        <v>34</v>
      </c>
      <c r="I3" t="s">
        <v>35</v>
      </c>
      <c r="J3" t="s">
        <v>27</v>
      </c>
      <c r="K3">
        <v>4</v>
      </c>
      <c r="L3">
        <v>77309</v>
      </c>
      <c r="M3" t="s">
        <v>36</v>
      </c>
      <c r="N3">
        <v>2</v>
      </c>
      <c r="O3">
        <v>3</v>
      </c>
      <c r="P3">
        <v>23</v>
      </c>
      <c r="Q3">
        <v>0</v>
      </c>
      <c r="R3" s="1">
        <v>43751</v>
      </c>
      <c r="S3" t="s">
        <v>37</v>
      </c>
      <c r="T3" t="str">
        <f t="shared" si="0"/>
        <v>Grade B</v>
      </c>
      <c r="U3">
        <f t="shared" si="1"/>
        <v>1</v>
      </c>
      <c r="V3" t="str">
        <f t="shared" si="2"/>
        <v>Junior</v>
      </c>
      <c r="W3" t="str">
        <f t="shared" si="3"/>
        <v>Already Left</v>
      </c>
      <c r="X3" t="str">
        <f t="shared" si="4"/>
        <v>Fair</v>
      </c>
    </row>
    <row r="4" spans="1:24" x14ac:dyDescent="0.3">
      <c r="A4" t="s">
        <v>38</v>
      </c>
      <c r="B4" t="s">
        <v>39</v>
      </c>
      <c r="C4">
        <v>46</v>
      </c>
      <c r="D4" t="s">
        <v>21</v>
      </c>
      <c r="E4" t="s">
        <v>40</v>
      </c>
      <c r="F4" t="s">
        <v>41</v>
      </c>
      <c r="G4" t="s">
        <v>42</v>
      </c>
      <c r="H4" t="s">
        <v>25</v>
      </c>
      <c r="I4" t="s">
        <v>43</v>
      </c>
      <c r="J4" t="s">
        <v>44</v>
      </c>
      <c r="K4">
        <v>10</v>
      </c>
      <c r="L4">
        <v>106423</v>
      </c>
      <c r="M4" t="s">
        <v>45</v>
      </c>
      <c r="N4">
        <v>3</v>
      </c>
      <c r="O4">
        <v>3</v>
      </c>
      <c r="P4">
        <v>34</v>
      </c>
      <c r="Q4">
        <v>0</v>
      </c>
      <c r="R4" s="1">
        <v>41368</v>
      </c>
      <c r="S4" t="s">
        <v>29</v>
      </c>
      <c r="T4" t="str">
        <f t="shared" si="0"/>
        <v>Grade A</v>
      </c>
      <c r="U4">
        <f t="shared" si="1"/>
        <v>2</v>
      </c>
      <c r="V4" t="str">
        <f t="shared" si="2"/>
        <v>Mid Level</v>
      </c>
      <c r="W4" t="str">
        <f t="shared" si="3"/>
        <v>Medium Risk</v>
      </c>
      <c r="X4" t="str">
        <f t="shared" si="4"/>
        <v>Fair</v>
      </c>
    </row>
    <row r="5" spans="1:24" x14ac:dyDescent="0.3">
      <c r="A5" t="s">
        <v>46</v>
      </c>
      <c r="B5" t="s">
        <v>20</v>
      </c>
      <c r="C5">
        <v>45</v>
      </c>
      <c r="D5" t="s">
        <v>47</v>
      </c>
      <c r="E5" t="s">
        <v>48</v>
      </c>
      <c r="F5" t="s">
        <v>32</v>
      </c>
      <c r="G5" t="s">
        <v>49</v>
      </c>
      <c r="H5" t="s">
        <v>25</v>
      </c>
      <c r="I5" t="s">
        <v>50</v>
      </c>
      <c r="J5" t="s">
        <v>44</v>
      </c>
      <c r="K5">
        <v>14</v>
      </c>
      <c r="L5">
        <v>71309</v>
      </c>
      <c r="M5" t="s">
        <v>51</v>
      </c>
      <c r="N5">
        <v>3</v>
      </c>
      <c r="O5">
        <v>2</v>
      </c>
      <c r="P5">
        <v>44</v>
      </c>
      <c r="Q5">
        <v>0</v>
      </c>
      <c r="R5" s="1">
        <v>40040</v>
      </c>
      <c r="S5" t="s">
        <v>29</v>
      </c>
      <c r="T5" t="str">
        <f t="shared" si="0"/>
        <v>Grade B</v>
      </c>
      <c r="U5">
        <f t="shared" si="1"/>
        <v>4</v>
      </c>
      <c r="V5" t="str">
        <f t="shared" si="2"/>
        <v>Senior</v>
      </c>
      <c r="W5" t="str">
        <f t="shared" si="3"/>
        <v>Low Risk</v>
      </c>
      <c r="X5" t="str">
        <f t="shared" si="4"/>
        <v>Fair</v>
      </c>
    </row>
    <row r="6" spans="1:24" x14ac:dyDescent="0.3">
      <c r="A6" t="s">
        <v>52</v>
      </c>
      <c r="B6" t="s">
        <v>39</v>
      </c>
      <c r="C6">
        <v>42</v>
      </c>
      <c r="D6" t="s">
        <v>21</v>
      </c>
      <c r="E6" t="s">
        <v>22</v>
      </c>
      <c r="F6" t="s">
        <v>53</v>
      </c>
      <c r="G6" t="s">
        <v>33</v>
      </c>
      <c r="H6" t="s">
        <v>34</v>
      </c>
      <c r="I6" t="s">
        <v>54</v>
      </c>
      <c r="J6" t="s">
        <v>27</v>
      </c>
      <c r="K6">
        <v>3</v>
      </c>
      <c r="L6">
        <v>68433</v>
      </c>
      <c r="M6" t="s">
        <v>28</v>
      </c>
      <c r="N6">
        <v>1</v>
      </c>
      <c r="O6">
        <v>3</v>
      </c>
      <c r="P6">
        <v>61</v>
      </c>
      <c r="Q6">
        <v>2</v>
      </c>
      <c r="R6" s="1">
        <v>43870</v>
      </c>
      <c r="S6" t="s">
        <v>29</v>
      </c>
      <c r="T6" t="str">
        <f t="shared" si="0"/>
        <v>Grade B</v>
      </c>
      <c r="U6">
        <f t="shared" si="1"/>
        <v>3</v>
      </c>
      <c r="V6" t="str">
        <f t="shared" si="2"/>
        <v>Junior</v>
      </c>
      <c r="W6" t="str">
        <f t="shared" si="3"/>
        <v>Medium Risk</v>
      </c>
      <c r="X6" t="str">
        <f t="shared" si="4"/>
        <v>Competitive</v>
      </c>
    </row>
    <row r="7" spans="1:24" x14ac:dyDescent="0.3">
      <c r="A7" t="s">
        <v>55</v>
      </c>
      <c r="B7" t="s">
        <v>20</v>
      </c>
      <c r="C7">
        <v>30</v>
      </c>
      <c r="D7" t="s">
        <v>47</v>
      </c>
      <c r="E7" t="s">
        <v>40</v>
      </c>
      <c r="F7" t="s">
        <v>32</v>
      </c>
      <c r="G7" t="s">
        <v>33</v>
      </c>
      <c r="H7" t="s">
        <v>34</v>
      </c>
      <c r="I7" t="s">
        <v>26</v>
      </c>
      <c r="J7" t="s">
        <v>27</v>
      </c>
      <c r="K7">
        <v>4</v>
      </c>
      <c r="L7">
        <v>70964</v>
      </c>
      <c r="M7" t="s">
        <v>45</v>
      </c>
      <c r="N7">
        <v>3</v>
      </c>
      <c r="O7">
        <v>4</v>
      </c>
      <c r="P7">
        <v>61</v>
      </c>
      <c r="Q7">
        <v>2</v>
      </c>
      <c r="R7" s="1">
        <v>43759</v>
      </c>
      <c r="S7" t="s">
        <v>29</v>
      </c>
      <c r="T7" t="str">
        <f t="shared" si="0"/>
        <v>Grade B</v>
      </c>
      <c r="U7">
        <f t="shared" si="1"/>
        <v>2</v>
      </c>
      <c r="V7" t="str">
        <f t="shared" si="2"/>
        <v>Junior</v>
      </c>
      <c r="W7" t="str">
        <f t="shared" si="3"/>
        <v>Medium Risk</v>
      </c>
      <c r="X7" t="str">
        <f t="shared" si="4"/>
        <v>Fair</v>
      </c>
    </row>
    <row r="8" spans="1:24" x14ac:dyDescent="0.3">
      <c r="A8" t="s">
        <v>56</v>
      </c>
      <c r="B8" t="s">
        <v>20</v>
      </c>
      <c r="C8">
        <v>26</v>
      </c>
      <c r="D8" t="s">
        <v>57</v>
      </c>
      <c r="E8" t="s">
        <v>48</v>
      </c>
      <c r="F8" t="s">
        <v>53</v>
      </c>
      <c r="G8" t="s">
        <v>58</v>
      </c>
      <c r="H8" t="s">
        <v>34</v>
      </c>
      <c r="I8" t="s">
        <v>59</v>
      </c>
      <c r="J8" t="s">
        <v>60</v>
      </c>
      <c r="K8">
        <v>2</v>
      </c>
      <c r="L8">
        <v>82592</v>
      </c>
      <c r="M8" t="s">
        <v>36</v>
      </c>
      <c r="N8">
        <v>4</v>
      </c>
      <c r="O8">
        <v>3</v>
      </c>
      <c r="P8">
        <v>80</v>
      </c>
      <c r="Q8">
        <v>0</v>
      </c>
      <c r="R8" s="1">
        <v>44481</v>
      </c>
      <c r="S8" t="s">
        <v>29</v>
      </c>
      <c r="T8" t="str">
        <f t="shared" si="0"/>
        <v>Grade A</v>
      </c>
      <c r="U8">
        <f t="shared" si="1"/>
        <v>1</v>
      </c>
      <c r="V8" t="str">
        <f t="shared" si="2"/>
        <v>New Joiner</v>
      </c>
      <c r="W8" t="str">
        <f t="shared" si="3"/>
        <v>High Risk</v>
      </c>
      <c r="X8" t="str">
        <f t="shared" si="4"/>
        <v>Overpaid</v>
      </c>
    </row>
    <row r="9" spans="1:24" x14ac:dyDescent="0.3">
      <c r="A9" t="s">
        <v>61</v>
      </c>
      <c r="B9" t="s">
        <v>20</v>
      </c>
      <c r="C9">
        <v>54</v>
      </c>
      <c r="D9" t="s">
        <v>47</v>
      </c>
      <c r="E9" t="s">
        <v>40</v>
      </c>
      <c r="F9" t="s">
        <v>62</v>
      </c>
      <c r="G9" t="s">
        <v>63</v>
      </c>
      <c r="H9" t="s">
        <v>25</v>
      </c>
      <c r="I9" t="s">
        <v>26</v>
      </c>
      <c r="J9" t="s">
        <v>27</v>
      </c>
      <c r="K9">
        <v>5</v>
      </c>
      <c r="L9">
        <v>50182</v>
      </c>
      <c r="M9" t="s">
        <v>51</v>
      </c>
      <c r="N9">
        <v>1</v>
      </c>
      <c r="O9">
        <v>3</v>
      </c>
      <c r="P9">
        <v>74</v>
      </c>
      <c r="Q9">
        <v>1</v>
      </c>
      <c r="R9" s="1">
        <v>43466</v>
      </c>
      <c r="S9" t="s">
        <v>29</v>
      </c>
      <c r="T9" t="str">
        <f t="shared" si="0"/>
        <v>Grade B</v>
      </c>
      <c r="U9">
        <f t="shared" si="1"/>
        <v>4</v>
      </c>
      <c r="V9" t="str">
        <f t="shared" si="2"/>
        <v>Junior</v>
      </c>
      <c r="W9" t="str">
        <f t="shared" si="3"/>
        <v>Low Risk</v>
      </c>
      <c r="X9" t="str">
        <f t="shared" si="4"/>
        <v>Fair</v>
      </c>
    </row>
    <row r="10" spans="1:24" x14ac:dyDescent="0.3">
      <c r="A10" t="s">
        <v>64</v>
      </c>
      <c r="B10" t="s">
        <v>20</v>
      </c>
      <c r="C10">
        <v>41</v>
      </c>
      <c r="D10" t="s">
        <v>47</v>
      </c>
      <c r="E10" t="s">
        <v>22</v>
      </c>
      <c r="F10" t="s">
        <v>65</v>
      </c>
      <c r="G10" t="s">
        <v>66</v>
      </c>
      <c r="H10" t="s">
        <v>67</v>
      </c>
      <c r="I10" t="s">
        <v>68</v>
      </c>
      <c r="J10" t="s">
        <v>60</v>
      </c>
      <c r="K10">
        <v>10</v>
      </c>
      <c r="L10">
        <v>61010</v>
      </c>
      <c r="M10" t="s">
        <v>51</v>
      </c>
      <c r="N10">
        <v>2</v>
      </c>
      <c r="O10">
        <v>1</v>
      </c>
      <c r="P10">
        <v>20</v>
      </c>
      <c r="Q10">
        <v>3</v>
      </c>
      <c r="R10" s="1">
        <v>41585</v>
      </c>
      <c r="S10" t="s">
        <v>37</v>
      </c>
      <c r="T10" t="str">
        <f t="shared" si="0"/>
        <v>Grade B</v>
      </c>
      <c r="U10">
        <f t="shared" si="1"/>
        <v>4</v>
      </c>
      <c r="V10" t="str">
        <f t="shared" si="2"/>
        <v>Mid Level</v>
      </c>
      <c r="W10" t="str">
        <f t="shared" si="3"/>
        <v>Already Left</v>
      </c>
      <c r="X10" t="str">
        <f t="shared" si="4"/>
        <v>Fair</v>
      </c>
    </row>
    <row r="11" spans="1:24" x14ac:dyDescent="0.3">
      <c r="A11" t="s">
        <v>69</v>
      </c>
      <c r="B11" t="s">
        <v>39</v>
      </c>
      <c r="C11">
        <v>34</v>
      </c>
      <c r="D11" t="s">
        <v>31</v>
      </c>
      <c r="E11" t="s">
        <v>48</v>
      </c>
      <c r="F11" t="s">
        <v>53</v>
      </c>
      <c r="G11" t="s">
        <v>24</v>
      </c>
      <c r="H11" t="s">
        <v>67</v>
      </c>
      <c r="I11" t="s">
        <v>26</v>
      </c>
      <c r="J11" t="s">
        <v>27</v>
      </c>
      <c r="K11">
        <v>9</v>
      </c>
      <c r="L11">
        <v>91685</v>
      </c>
      <c r="M11" t="s">
        <v>36</v>
      </c>
      <c r="N11">
        <v>3</v>
      </c>
      <c r="O11">
        <v>4</v>
      </c>
      <c r="P11">
        <v>76</v>
      </c>
      <c r="Q11">
        <v>3</v>
      </c>
      <c r="R11" s="1">
        <v>41791</v>
      </c>
      <c r="S11" t="s">
        <v>29</v>
      </c>
      <c r="T11" t="str">
        <f t="shared" si="0"/>
        <v>Grade A</v>
      </c>
      <c r="U11">
        <f t="shared" si="1"/>
        <v>1</v>
      </c>
      <c r="V11" t="str">
        <f t="shared" si="2"/>
        <v>Mid Level</v>
      </c>
      <c r="W11" t="str">
        <f t="shared" si="3"/>
        <v>Medium Risk</v>
      </c>
      <c r="X11" t="str">
        <f t="shared" si="4"/>
        <v>Overpaid</v>
      </c>
    </row>
    <row r="12" spans="1:24" x14ac:dyDescent="0.3">
      <c r="A12" t="s">
        <v>70</v>
      </c>
      <c r="B12" t="s">
        <v>39</v>
      </c>
      <c r="C12">
        <v>22</v>
      </c>
      <c r="D12" t="s">
        <v>21</v>
      </c>
      <c r="E12" t="s">
        <v>40</v>
      </c>
      <c r="F12" t="s">
        <v>32</v>
      </c>
      <c r="G12" t="s">
        <v>58</v>
      </c>
      <c r="H12" t="s">
        <v>67</v>
      </c>
      <c r="I12" t="s">
        <v>26</v>
      </c>
      <c r="J12" t="s">
        <v>27</v>
      </c>
      <c r="K12">
        <v>6</v>
      </c>
      <c r="L12">
        <v>106277</v>
      </c>
      <c r="M12" t="s">
        <v>51</v>
      </c>
      <c r="N12">
        <v>1</v>
      </c>
      <c r="O12">
        <v>2</v>
      </c>
      <c r="P12">
        <v>18</v>
      </c>
      <c r="Q12">
        <v>0</v>
      </c>
      <c r="R12" s="1">
        <v>42985</v>
      </c>
      <c r="S12" t="s">
        <v>29</v>
      </c>
      <c r="T12" t="str">
        <f t="shared" si="0"/>
        <v>Grade A</v>
      </c>
      <c r="U12">
        <f t="shared" si="1"/>
        <v>4</v>
      </c>
      <c r="V12" t="str">
        <f t="shared" si="2"/>
        <v>Mid Level</v>
      </c>
      <c r="W12" t="str">
        <f t="shared" si="3"/>
        <v>Low Risk</v>
      </c>
      <c r="X12" t="str">
        <f t="shared" si="4"/>
        <v>Competitive</v>
      </c>
    </row>
    <row r="13" spans="1:24" x14ac:dyDescent="0.3">
      <c r="A13" t="s">
        <v>71</v>
      </c>
      <c r="B13" t="s">
        <v>20</v>
      </c>
      <c r="C13">
        <v>37</v>
      </c>
      <c r="D13" t="s">
        <v>57</v>
      </c>
      <c r="E13" t="s">
        <v>48</v>
      </c>
      <c r="F13" t="s">
        <v>41</v>
      </c>
      <c r="G13" t="s">
        <v>33</v>
      </c>
      <c r="H13" t="s">
        <v>34</v>
      </c>
      <c r="I13" t="s">
        <v>72</v>
      </c>
      <c r="J13" t="s">
        <v>73</v>
      </c>
      <c r="K13">
        <v>5</v>
      </c>
      <c r="L13">
        <v>67020</v>
      </c>
      <c r="M13" t="s">
        <v>28</v>
      </c>
      <c r="N13">
        <v>2</v>
      </c>
      <c r="O13">
        <v>1</v>
      </c>
      <c r="P13">
        <v>22</v>
      </c>
      <c r="Q13">
        <v>3</v>
      </c>
      <c r="R13" s="1">
        <v>43400</v>
      </c>
      <c r="S13" t="s">
        <v>29</v>
      </c>
      <c r="T13" t="str">
        <f t="shared" si="0"/>
        <v>Grade B</v>
      </c>
      <c r="U13">
        <f t="shared" si="1"/>
        <v>3</v>
      </c>
      <c r="V13" t="str">
        <f t="shared" si="2"/>
        <v>Junior</v>
      </c>
      <c r="W13" t="str">
        <f t="shared" si="3"/>
        <v>Medium Risk</v>
      </c>
      <c r="X13" t="str">
        <f t="shared" si="4"/>
        <v>Competitive</v>
      </c>
    </row>
    <row r="14" spans="1:24" x14ac:dyDescent="0.3">
      <c r="A14" t="s">
        <v>74</v>
      </c>
      <c r="B14" t="s">
        <v>39</v>
      </c>
      <c r="C14">
        <v>37</v>
      </c>
      <c r="D14" t="s">
        <v>47</v>
      </c>
      <c r="E14" t="s">
        <v>22</v>
      </c>
      <c r="F14" t="s">
        <v>75</v>
      </c>
      <c r="G14" t="s">
        <v>58</v>
      </c>
      <c r="H14" t="s">
        <v>76</v>
      </c>
      <c r="I14" t="s">
        <v>72</v>
      </c>
      <c r="J14" t="s">
        <v>73</v>
      </c>
      <c r="K14">
        <v>14</v>
      </c>
      <c r="L14">
        <v>106224</v>
      </c>
      <c r="M14" t="s">
        <v>36</v>
      </c>
      <c r="N14">
        <v>4</v>
      </c>
      <c r="O14">
        <v>2</v>
      </c>
      <c r="P14">
        <v>64</v>
      </c>
      <c r="Q14">
        <v>1</v>
      </c>
      <c r="R14" s="1">
        <v>40009</v>
      </c>
      <c r="S14" t="s">
        <v>37</v>
      </c>
      <c r="T14" t="str">
        <f t="shared" si="0"/>
        <v>Grade A</v>
      </c>
      <c r="U14">
        <f t="shared" si="1"/>
        <v>1</v>
      </c>
      <c r="V14" t="str">
        <f t="shared" si="2"/>
        <v>Senior</v>
      </c>
      <c r="W14" t="str">
        <f t="shared" si="3"/>
        <v>Already Left</v>
      </c>
      <c r="X14" t="str">
        <f t="shared" si="4"/>
        <v>Overpaid</v>
      </c>
    </row>
    <row r="15" spans="1:24" x14ac:dyDescent="0.3">
      <c r="A15" t="s">
        <v>77</v>
      </c>
      <c r="B15" t="s">
        <v>39</v>
      </c>
      <c r="C15">
        <v>37</v>
      </c>
      <c r="D15" t="s">
        <v>47</v>
      </c>
      <c r="E15" t="s">
        <v>48</v>
      </c>
      <c r="F15" t="s">
        <v>78</v>
      </c>
      <c r="G15" t="s">
        <v>79</v>
      </c>
      <c r="H15" t="s">
        <v>67</v>
      </c>
      <c r="I15" t="s">
        <v>80</v>
      </c>
      <c r="J15" t="s">
        <v>60</v>
      </c>
      <c r="K15">
        <v>8</v>
      </c>
      <c r="L15">
        <v>47657</v>
      </c>
      <c r="M15" t="s">
        <v>51</v>
      </c>
      <c r="N15">
        <v>4</v>
      </c>
      <c r="O15">
        <v>4</v>
      </c>
      <c r="P15">
        <v>37</v>
      </c>
      <c r="Q15">
        <v>3</v>
      </c>
      <c r="R15" s="1">
        <v>42365</v>
      </c>
      <c r="S15" t="s">
        <v>29</v>
      </c>
      <c r="T15" t="str">
        <f t="shared" si="0"/>
        <v>Grade C</v>
      </c>
      <c r="U15">
        <f t="shared" si="1"/>
        <v>4</v>
      </c>
      <c r="V15" t="str">
        <f t="shared" si="2"/>
        <v>Mid Level</v>
      </c>
      <c r="W15" t="str">
        <f t="shared" si="3"/>
        <v>Low Risk</v>
      </c>
      <c r="X15" t="str">
        <f t="shared" si="4"/>
        <v>Fair</v>
      </c>
    </row>
    <row r="16" spans="1:24" x14ac:dyDescent="0.3">
      <c r="A16" t="s">
        <v>81</v>
      </c>
      <c r="B16" t="s">
        <v>20</v>
      </c>
      <c r="C16">
        <v>31</v>
      </c>
      <c r="D16" t="s">
        <v>47</v>
      </c>
      <c r="E16" t="s">
        <v>48</v>
      </c>
      <c r="F16" t="s">
        <v>53</v>
      </c>
      <c r="G16" t="s">
        <v>42</v>
      </c>
      <c r="H16" t="s">
        <v>76</v>
      </c>
      <c r="I16" t="s">
        <v>50</v>
      </c>
      <c r="J16" t="s">
        <v>44</v>
      </c>
      <c r="K16">
        <v>7</v>
      </c>
      <c r="L16">
        <v>113909</v>
      </c>
      <c r="M16" t="s">
        <v>51</v>
      </c>
      <c r="N16">
        <v>2</v>
      </c>
      <c r="O16">
        <v>1</v>
      </c>
      <c r="P16">
        <v>79</v>
      </c>
      <c r="Q16">
        <v>0</v>
      </c>
      <c r="R16" s="1">
        <v>42521</v>
      </c>
      <c r="S16" t="s">
        <v>29</v>
      </c>
      <c r="T16" t="str">
        <f t="shared" si="0"/>
        <v>Grade A</v>
      </c>
      <c r="U16">
        <f t="shared" si="1"/>
        <v>4</v>
      </c>
      <c r="V16" t="str">
        <f t="shared" si="2"/>
        <v>Mid Level</v>
      </c>
      <c r="W16" t="str">
        <f t="shared" si="3"/>
        <v>Low Risk</v>
      </c>
      <c r="X16" t="str">
        <f t="shared" si="4"/>
        <v>Competitive</v>
      </c>
    </row>
    <row r="17" spans="1:24" x14ac:dyDescent="0.3">
      <c r="A17" t="s">
        <v>82</v>
      </c>
      <c r="B17" t="s">
        <v>39</v>
      </c>
      <c r="C17">
        <v>26</v>
      </c>
      <c r="D17" t="s">
        <v>47</v>
      </c>
      <c r="E17" t="s">
        <v>48</v>
      </c>
      <c r="F17" t="s">
        <v>23</v>
      </c>
      <c r="G17" t="s">
        <v>24</v>
      </c>
      <c r="H17" t="s">
        <v>83</v>
      </c>
      <c r="I17" t="s">
        <v>72</v>
      </c>
      <c r="J17" t="s">
        <v>73</v>
      </c>
      <c r="K17">
        <v>9</v>
      </c>
      <c r="L17">
        <v>84863</v>
      </c>
      <c r="M17" t="s">
        <v>36</v>
      </c>
      <c r="N17">
        <v>1</v>
      </c>
      <c r="O17">
        <v>2</v>
      </c>
      <c r="P17">
        <v>15</v>
      </c>
      <c r="Q17">
        <v>0</v>
      </c>
      <c r="R17" s="1">
        <v>41912</v>
      </c>
      <c r="S17" t="s">
        <v>37</v>
      </c>
      <c r="T17" t="str">
        <f t="shared" si="0"/>
        <v>Grade A</v>
      </c>
      <c r="U17">
        <f t="shared" si="1"/>
        <v>1</v>
      </c>
      <c r="V17" t="str">
        <f t="shared" si="2"/>
        <v>Mid Level</v>
      </c>
      <c r="W17" t="str">
        <f t="shared" si="3"/>
        <v>Already Left</v>
      </c>
      <c r="X17" t="str">
        <f t="shared" si="4"/>
        <v>Overpaid</v>
      </c>
    </row>
    <row r="18" spans="1:24" x14ac:dyDescent="0.3">
      <c r="A18" t="s">
        <v>84</v>
      </c>
      <c r="B18" t="s">
        <v>39</v>
      </c>
      <c r="C18">
        <v>41</v>
      </c>
      <c r="D18" t="s">
        <v>57</v>
      </c>
      <c r="E18" t="s">
        <v>48</v>
      </c>
      <c r="F18" t="s">
        <v>65</v>
      </c>
      <c r="G18" t="s">
        <v>66</v>
      </c>
      <c r="H18" t="s">
        <v>25</v>
      </c>
      <c r="I18" t="s">
        <v>43</v>
      </c>
      <c r="J18" t="s">
        <v>44</v>
      </c>
      <c r="K18">
        <v>11</v>
      </c>
      <c r="L18">
        <v>54821</v>
      </c>
      <c r="M18" t="s">
        <v>28</v>
      </c>
      <c r="N18">
        <v>1</v>
      </c>
      <c r="O18">
        <v>1</v>
      </c>
      <c r="P18">
        <v>68</v>
      </c>
      <c r="Q18">
        <v>0</v>
      </c>
      <c r="R18" s="1">
        <v>41075</v>
      </c>
      <c r="S18" t="s">
        <v>29</v>
      </c>
      <c r="T18" t="str">
        <f t="shared" si="0"/>
        <v>Grade B</v>
      </c>
      <c r="U18">
        <f t="shared" si="1"/>
        <v>3</v>
      </c>
      <c r="V18" t="str">
        <f t="shared" si="2"/>
        <v>Senior</v>
      </c>
      <c r="W18" t="str">
        <f t="shared" si="3"/>
        <v>Medium Risk</v>
      </c>
      <c r="X18" t="str">
        <f t="shared" si="4"/>
        <v>Competitive</v>
      </c>
    </row>
    <row r="19" spans="1:24" x14ac:dyDescent="0.3">
      <c r="A19" t="s">
        <v>85</v>
      </c>
      <c r="B19" t="s">
        <v>20</v>
      </c>
      <c r="C19">
        <v>32</v>
      </c>
      <c r="D19" t="s">
        <v>57</v>
      </c>
      <c r="E19" t="s">
        <v>40</v>
      </c>
      <c r="F19" t="s">
        <v>32</v>
      </c>
      <c r="G19" t="s">
        <v>66</v>
      </c>
      <c r="H19" t="s">
        <v>34</v>
      </c>
      <c r="I19" t="s">
        <v>26</v>
      </c>
      <c r="J19" t="s">
        <v>27</v>
      </c>
      <c r="K19">
        <v>3</v>
      </c>
      <c r="L19">
        <v>33254</v>
      </c>
      <c r="M19" t="s">
        <v>45</v>
      </c>
      <c r="N19">
        <v>3</v>
      </c>
      <c r="O19">
        <v>1</v>
      </c>
      <c r="P19">
        <v>80</v>
      </c>
      <c r="Q19">
        <v>2</v>
      </c>
      <c r="R19" s="1">
        <v>44008</v>
      </c>
      <c r="S19" t="s">
        <v>29</v>
      </c>
      <c r="T19" t="str">
        <f t="shared" si="0"/>
        <v>Grade D</v>
      </c>
      <c r="U19">
        <f t="shared" si="1"/>
        <v>2</v>
      </c>
      <c r="V19" t="str">
        <f t="shared" si="2"/>
        <v>Junior</v>
      </c>
      <c r="W19" t="str">
        <f t="shared" si="3"/>
        <v>Medium Risk</v>
      </c>
      <c r="X19" t="str">
        <f t="shared" si="4"/>
        <v>Fair</v>
      </c>
    </row>
    <row r="20" spans="1:24" x14ac:dyDescent="0.3">
      <c r="A20" t="s">
        <v>86</v>
      </c>
      <c r="B20" t="s">
        <v>20</v>
      </c>
      <c r="C20">
        <v>35</v>
      </c>
      <c r="D20" t="s">
        <v>31</v>
      </c>
      <c r="E20" t="s">
        <v>22</v>
      </c>
      <c r="F20" t="s">
        <v>53</v>
      </c>
      <c r="G20" t="s">
        <v>79</v>
      </c>
      <c r="H20" t="s">
        <v>25</v>
      </c>
      <c r="I20" t="s">
        <v>26</v>
      </c>
      <c r="J20" t="s">
        <v>27</v>
      </c>
      <c r="K20">
        <v>15</v>
      </c>
      <c r="L20">
        <v>78128</v>
      </c>
      <c r="M20" t="s">
        <v>51</v>
      </c>
      <c r="N20">
        <v>3</v>
      </c>
      <c r="O20">
        <v>4</v>
      </c>
      <c r="P20">
        <v>42</v>
      </c>
      <c r="Q20">
        <v>0</v>
      </c>
      <c r="R20" s="1">
        <v>39678</v>
      </c>
      <c r="S20" t="s">
        <v>29</v>
      </c>
      <c r="T20" t="str">
        <f t="shared" si="0"/>
        <v>Grade B</v>
      </c>
      <c r="U20">
        <f t="shared" si="1"/>
        <v>4</v>
      </c>
      <c r="V20" t="str">
        <f t="shared" si="2"/>
        <v>Senior</v>
      </c>
      <c r="W20" t="str">
        <f t="shared" si="3"/>
        <v>Low Risk</v>
      </c>
      <c r="X20" t="str">
        <f t="shared" si="4"/>
        <v>Fair</v>
      </c>
    </row>
    <row r="21" spans="1:24" x14ac:dyDescent="0.3">
      <c r="A21" t="s">
        <v>87</v>
      </c>
      <c r="B21" t="s">
        <v>20</v>
      </c>
      <c r="C21">
        <v>49</v>
      </c>
      <c r="D21" t="s">
        <v>88</v>
      </c>
      <c r="E21" t="s">
        <v>22</v>
      </c>
      <c r="F21" t="s">
        <v>75</v>
      </c>
      <c r="G21" t="s">
        <v>66</v>
      </c>
      <c r="H21" t="s">
        <v>25</v>
      </c>
      <c r="I21" t="s">
        <v>26</v>
      </c>
      <c r="J21" t="s">
        <v>27</v>
      </c>
      <c r="K21">
        <v>1</v>
      </c>
      <c r="L21">
        <v>31286</v>
      </c>
      <c r="M21" t="s">
        <v>51</v>
      </c>
      <c r="N21">
        <v>1</v>
      </c>
      <c r="O21">
        <v>1</v>
      </c>
      <c r="P21">
        <v>29</v>
      </c>
      <c r="Q21">
        <v>0</v>
      </c>
      <c r="R21" s="1">
        <v>44845</v>
      </c>
      <c r="S21" t="s">
        <v>29</v>
      </c>
      <c r="T21" t="str">
        <f t="shared" si="0"/>
        <v>Grade D</v>
      </c>
      <c r="U21">
        <f t="shared" si="1"/>
        <v>4</v>
      </c>
      <c r="V21" t="str">
        <f t="shared" si="2"/>
        <v>New Joiner</v>
      </c>
      <c r="W21" t="str">
        <f t="shared" si="3"/>
        <v>Low Risk</v>
      </c>
      <c r="X21" t="str">
        <f t="shared" si="4"/>
        <v>Underpaid</v>
      </c>
    </row>
    <row r="22" spans="1:24" x14ac:dyDescent="0.3">
      <c r="A22" t="s">
        <v>89</v>
      </c>
      <c r="B22" t="s">
        <v>39</v>
      </c>
      <c r="C22">
        <v>37</v>
      </c>
      <c r="D22" t="s">
        <v>21</v>
      </c>
      <c r="E22" t="s">
        <v>48</v>
      </c>
      <c r="F22" t="s">
        <v>53</v>
      </c>
      <c r="G22" t="s">
        <v>42</v>
      </c>
      <c r="H22" t="s">
        <v>76</v>
      </c>
      <c r="I22" t="s">
        <v>72</v>
      </c>
      <c r="J22" t="s">
        <v>73</v>
      </c>
      <c r="K22">
        <v>1</v>
      </c>
      <c r="L22">
        <v>98948</v>
      </c>
      <c r="M22" t="s">
        <v>28</v>
      </c>
      <c r="N22">
        <v>4</v>
      </c>
      <c r="O22">
        <v>2</v>
      </c>
      <c r="P22">
        <v>40</v>
      </c>
      <c r="Q22">
        <v>1</v>
      </c>
      <c r="R22" s="1">
        <v>44744</v>
      </c>
      <c r="S22" t="s">
        <v>37</v>
      </c>
      <c r="T22" t="str">
        <f t="shared" si="0"/>
        <v>Grade A</v>
      </c>
      <c r="U22">
        <f t="shared" si="1"/>
        <v>3</v>
      </c>
      <c r="V22" t="str">
        <f t="shared" si="2"/>
        <v>New Joiner</v>
      </c>
      <c r="W22" t="str">
        <f t="shared" si="3"/>
        <v>Already Left</v>
      </c>
      <c r="X22" t="str">
        <f t="shared" si="4"/>
        <v>Competitive</v>
      </c>
    </row>
    <row r="23" spans="1:24" x14ac:dyDescent="0.3">
      <c r="A23" t="s">
        <v>90</v>
      </c>
      <c r="B23" t="s">
        <v>39</v>
      </c>
      <c r="C23">
        <v>28</v>
      </c>
      <c r="D23" t="s">
        <v>57</v>
      </c>
      <c r="E23" t="s">
        <v>22</v>
      </c>
      <c r="F23" t="s">
        <v>75</v>
      </c>
      <c r="G23" t="s">
        <v>66</v>
      </c>
      <c r="H23" t="s">
        <v>83</v>
      </c>
      <c r="I23" t="s">
        <v>68</v>
      </c>
      <c r="J23" t="s">
        <v>60</v>
      </c>
      <c r="K23">
        <v>12</v>
      </c>
      <c r="L23">
        <v>62491</v>
      </c>
      <c r="M23" t="s">
        <v>28</v>
      </c>
      <c r="N23">
        <v>4</v>
      </c>
      <c r="O23">
        <v>2</v>
      </c>
      <c r="P23">
        <v>35</v>
      </c>
      <c r="Q23">
        <v>3</v>
      </c>
      <c r="R23" s="1">
        <v>40776</v>
      </c>
      <c r="S23" t="s">
        <v>29</v>
      </c>
      <c r="T23" t="str">
        <f t="shared" si="0"/>
        <v>Grade B</v>
      </c>
      <c r="U23">
        <f t="shared" si="1"/>
        <v>3</v>
      </c>
      <c r="V23" t="str">
        <f t="shared" si="2"/>
        <v>Senior</v>
      </c>
      <c r="W23" t="str">
        <f t="shared" si="3"/>
        <v>Medium Risk</v>
      </c>
      <c r="X23" t="str">
        <f t="shared" si="4"/>
        <v>Competitive</v>
      </c>
    </row>
    <row r="24" spans="1:24" x14ac:dyDescent="0.3">
      <c r="A24" t="s">
        <v>91</v>
      </c>
      <c r="B24" t="s">
        <v>39</v>
      </c>
      <c r="C24">
        <v>39</v>
      </c>
      <c r="D24" t="s">
        <v>31</v>
      </c>
      <c r="E24" t="s">
        <v>40</v>
      </c>
      <c r="F24" t="s">
        <v>62</v>
      </c>
      <c r="G24" t="s">
        <v>49</v>
      </c>
      <c r="H24" t="s">
        <v>67</v>
      </c>
      <c r="I24" t="s">
        <v>72</v>
      </c>
      <c r="J24" t="s">
        <v>73</v>
      </c>
      <c r="K24">
        <v>1</v>
      </c>
      <c r="L24">
        <v>55056</v>
      </c>
      <c r="M24" t="s">
        <v>28</v>
      </c>
      <c r="N24">
        <v>4</v>
      </c>
      <c r="O24">
        <v>3</v>
      </c>
      <c r="P24">
        <v>13</v>
      </c>
      <c r="Q24">
        <v>0</v>
      </c>
      <c r="R24" s="1">
        <v>44785</v>
      </c>
      <c r="S24" t="s">
        <v>29</v>
      </c>
      <c r="T24" t="str">
        <f t="shared" si="0"/>
        <v>Grade B</v>
      </c>
      <c r="U24">
        <f t="shared" si="1"/>
        <v>3</v>
      </c>
      <c r="V24" t="str">
        <f t="shared" si="2"/>
        <v>New Joiner</v>
      </c>
      <c r="W24" t="str">
        <f t="shared" si="3"/>
        <v>Medium Risk</v>
      </c>
      <c r="X24" t="str">
        <f t="shared" si="4"/>
        <v>Competitive</v>
      </c>
    </row>
    <row r="25" spans="1:24" x14ac:dyDescent="0.3">
      <c r="A25" t="s">
        <v>92</v>
      </c>
      <c r="B25" t="s">
        <v>20</v>
      </c>
      <c r="C25">
        <v>49</v>
      </c>
      <c r="D25" t="s">
        <v>88</v>
      </c>
      <c r="E25" t="s">
        <v>40</v>
      </c>
      <c r="F25" t="s">
        <v>53</v>
      </c>
      <c r="G25" t="s">
        <v>79</v>
      </c>
      <c r="H25" t="s">
        <v>34</v>
      </c>
      <c r="I25" t="s">
        <v>80</v>
      </c>
      <c r="J25" t="s">
        <v>60</v>
      </c>
      <c r="K25">
        <v>1</v>
      </c>
      <c r="L25">
        <v>51548</v>
      </c>
      <c r="M25" t="s">
        <v>45</v>
      </c>
      <c r="N25">
        <v>1</v>
      </c>
      <c r="O25">
        <v>4</v>
      </c>
      <c r="P25">
        <v>34</v>
      </c>
      <c r="Q25">
        <v>2</v>
      </c>
      <c r="R25" s="1">
        <v>44751</v>
      </c>
      <c r="S25" t="s">
        <v>29</v>
      </c>
      <c r="T25" t="str">
        <f t="shared" si="0"/>
        <v>Grade B</v>
      </c>
      <c r="U25">
        <f t="shared" si="1"/>
        <v>2</v>
      </c>
      <c r="V25" t="str">
        <f t="shared" si="2"/>
        <v>New Joiner</v>
      </c>
      <c r="W25" t="str">
        <f t="shared" si="3"/>
        <v>Medium Risk</v>
      </c>
      <c r="X25" t="str">
        <f t="shared" si="4"/>
        <v>Fair</v>
      </c>
    </row>
    <row r="26" spans="1:24" x14ac:dyDescent="0.3">
      <c r="A26" t="s">
        <v>93</v>
      </c>
      <c r="B26" t="s">
        <v>20</v>
      </c>
      <c r="C26">
        <v>29</v>
      </c>
      <c r="D26" t="s">
        <v>31</v>
      </c>
      <c r="E26" t="s">
        <v>40</v>
      </c>
      <c r="F26" t="s">
        <v>75</v>
      </c>
      <c r="G26" t="s">
        <v>63</v>
      </c>
      <c r="H26" t="s">
        <v>83</v>
      </c>
      <c r="I26" t="s">
        <v>50</v>
      </c>
      <c r="J26" t="s">
        <v>44</v>
      </c>
      <c r="K26">
        <v>6</v>
      </c>
      <c r="L26">
        <v>49292</v>
      </c>
      <c r="M26" t="s">
        <v>28</v>
      </c>
      <c r="N26">
        <v>3</v>
      </c>
      <c r="O26">
        <v>4</v>
      </c>
      <c r="P26">
        <v>51</v>
      </c>
      <c r="Q26">
        <v>3</v>
      </c>
      <c r="R26" s="1">
        <v>42783</v>
      </c>
      <c r="S26" t="s">
        <v>29</v>
      </c>
      <c r="T26" t="str">
        <f t="shared" si="0"/>
        <v>Grade C</v>
      </c>
      <c r="U26">
        <f t="shared" si="1"/>
        <v>3</v>
      </c>
      <c r="V26" t="str">
        <f t="shared" si="2"/>
        <v>Mid Level</v>
      </c>
      <c r="W26" t="str">
        <f t="shared" si="3"/>
        <v>Medium Risk</v>
      </c>
      <c r="X26" t="str">
        <f t="shared" si="4"/>
        <v>Fair</v>
      </c>
    </row>
    <row r="27" spans="1:24" x14ac:dyDescent="0.3">
      <c r="A27" t="s">
        <v>94</v>
      </c>
      <c r="B27" t="s">
        <v>20</v>
      </c>
      <c r="C27">
        <v>22</v>
      </c>
      <c r="D27" t="s">
        <v>31</v>
      </c>
      <c r="E27" t="s">
        <v>48</v>
      </c>
      <c r="F27" t="s">
        <v>53</v>
      </c>
      <c r="G27" t="s">
        <v>63</v>
      </c>
      <c r="H27" t="s">
        <v>67</v>
      </c>
      <c r="I27" t="s">
        <v>80</v>
      </c>
      <c r="J27" t="s">
        <v>60</v>
      </c>
      <c r="K27">
        <v>11</v>
      </c>
      <c r="L27">
        <v>62702</v>
      </c>
      <c r="M27" t="s">
        <v>36</v>
      </c>
      <c r="N27">
        <v>2</v>
      </c>
      <c r="O27">
        <v>4</v>
      </c>
      <c r="P27">
        <v>51</v>
      </c>
      <c r="Q27">
        <v>3</v>
      </c>
      <c r="R27" s="1">
        <v>41123</v>
      </c>
      <c r="S27" t="s">
        <v>29</v>
      </c>
      <c r="T27" t="str">
        <f t="shared" si="0"/>
        <v>Grade B</v>
      </c>
      <c r="U27">
        <f t="shared" si="1"/>
        <v>1</v>
      </c>
      <c r="V27" t="str">
        <f t="shared" si="2"/>
        <v>Senior</v>
      </c>
      <c r="W27" t="str">
        <f t="shared" si="3"/>
        <v>Medium Risk</v>
      </c>
      <c r="X27" t="str">
        <f t="shared" si="4"/>
        <v>Fair</v>
      </c>
    </row>
    <row r="28" spans="1:24" x14ac:dyDescent="0.3">
      <c r="A28" t="s">
        <v>95</v>
      </c>
      <c r="B28" t="s">
        <v>20</v>
      </c>
      <c r="C28">
        <v>27</v>
      </c>
      <c r="D28" t="s">
        <v>47</v>
      </c>
      <c r="E28" t="s">
        <v>40</v>
      </c>
      <c r="F28" t="s">
        <v>78</v>
      </c>
      <c r="G28" t="s">
        <v>24</v>
      </c>
      <c r="H28" t="s">
        <v>67</v>
      </c>
      <c r="I28" t="s">
        <v>96</v>
      </c>
      <c r="J28" t="s">
        <v>44</v>
      </c>
      <c r="K28">
        <v>13</v>
      </c>
      <c r="L28">
        <v>93778</v>
      </c>
      <c r="M28" t="s">
        <v>36</v>
      </c>
      <c r="N28">
        <v>3</v>
      </c>
      <c r="O28">
        <v>2</v>
      </c>
      <c r="P28">
        <v>35</v>
      </c>
      <c r="Q28">
        <v>1</v>
      </c>
      <c r="R28" s="1">
        <v>40208</v>
      </c>
      <c r="S28" t="s">
        <v>29</v>
      </c>
      <c r="T28" t="str">
        <f t="shared" si="0"/>
        <v>Grade A</v>
      </c>
      <c r="U28">
        <f t="shared" si="1"/>
        <v>1</v>
      </c>
      <c r="V28" t="str">
        <f t="shared" si="2"/>
        <v>Senior</v>
      </c>
      <c r="W28" t="str">
        <f t="shared" si="3"/>
        <v>Medium Risk</v>
      </c>
      <c r="X28" t="str">
        <f t="shared" si="4"/>
        <v>Overpaid</v>
      </c>
    </row>
    <row r="29" spans="1:24" x14ac:dyDescent="0.3">
      <c r="A29" t="s">
        <v>97</v>
      </c>
      <c r="B29" t="s">
        <v>39</v>
      </c>
      <c r="C29">
        <v>46</v>
      </c>
      <c r="D29" t="s">
        <v>57</v>
      </c>
      <c r="E29" t="s">
        <v>48</v>
      </c>
      <c r="F29" t="s">
        <v>23</v>
      </c>
      <c r="G29" t="s">
        <v>79</v>
      </c>
      <c r="H29" t="s">
        <v>67</v>
      </c>
      <c r="I29" t="s">
        <v>50</v>
      </c>
      <c r="J29" t="s">
        <v>44</v>
      </c>
      <c r="K29">
        <v>10</v>
      </c>
      <c r="L29">
        <v>64923</v>
      </c>
      <c r="M29" t="s">
        <v>36</v>
      </c>
      <c r="N29">
        <v>2</v>
      </c>
      <c r="O29">
        <v>2</v>
      </c>
      <c r="P29">
        <v>10</v>
      </c>
      <c r="Q29">
        <v>0</v>
      </c>
      <c r="R29" s="1">
        <v>41348</v>
      </c>
      <c r="S29" t="s">
        <v>29</v>
      </c>
      <c r="T29" t="str">
        <f t="shared" si="0"/>
        <v>Grade B</v>
      </c>
      <c r="U29">
        <f t="shared" si="1"/>
        <v>1</v>
      </c>
      <c r="V29" t="str">
        <f t="shared" si="2"/>
        <v>Mid Level</v>
      </c>
      <c r="W29" t="str">
        <f t="shared" si="3"/>
        <v>Medium Risk</v>
      </c>
      <c r="X29" t="str">
        <f t="shared" si="4"/>
        <v>Fair</v>
      </c>
    </row>
    <row r="30" spans="1:24" x14ac:dyDescent="0.3">
      <c r="A30" t="s">
        <v>98</v>
      </c>
      <c r="B30" t="s">
        <v>20</v>
      </c>
      <c r="C30">
        <v>50</v>
      </c>
      <c r="D30" t="s">
        <v>88</v>
      </c>
      <c r="E30" t="s">
        <v>40</v>
      </c>
      <c r="F30" t="s">
        <v>32</v>
      </c>
      <c r="G30" t="s">
        <v>49</v>
      </c>
      <c r="H30" t="s">
        <v>67</v>
      </c>
      <c r="I30" t="s">
        <v>43</v>
      </c>
      <c r="J30" t="s">
        <v>44</v>
      </c>
      <c r="K30">
        <v>1</v>
      </c>
      <c r="L30">
        <v>45976</v>
      </c>
      <c r="M30" t="s">
        <v>36</v>
      </c>
      <c r="N30">
        <v>4</v>
      </c>
      <c r="O30">
        <v>4</v>
      </c>
      <c r="P30">
        <v>30</v>
      </c>
      <c r="Q30">
        <v>3</v>
      </c>
      <c r="R30" s="1">
        <v>44690</v>
      </c>
      <c r="S30" t="s">
        <v>37</v>
      </c>
      <c r="T30" t="str">
        <f t="shared" si="0"/>
        <v>Grade C</v>
      </c>
      <c r="U30">
        <f t="shared" si="1"/>
        <v>1</v>
      </c>
      <c r="V30" t="str">
        <f t="shared" si="2"/>
        <v>New Joiner</v>
      </c>
      <c r="W30" t="str">
        <f t="shared" si="3"/>
        <v>Already Left</v>
      </c>
      <c r="X30" t="str">
        <f t="shared" si="4"/>
        <v>Fair</v>
      </c>
    </row>
    <row r="31" spans="1:24" x14ac:dyDescent="0.3">
      <c r="A31" t="s">
        <v>99</v>
      </c>
      <c r="B31" t="s">
        <v>39</v>
      </c>
      <c r="C31">
        <v>40</v>
      </c>
      <c r="D31" t="s">
        <v>47</v>
      </c>
      <c r="E31" t="s">
        <v>48</v>
      </c>
      <c r="F31" t="s">
        <v>62</v>
      </c>
      <c r="G31" t="s">
        <v>33</v>
      </c>
      <c r="H31" t="s">
        <v>67</v>
      </c>
      <c r="I31" t="s">
        <v>96</v>
      </c>
      <c r="J31" t="s">
        <v>44</v>
      </c>
      <c r="K31">
        <v>13</v>
      </c>
      <c r="L31">
        <v>83839</v>
      </c>
      <c r="M31" t="s">
        <v>45</v>
      </c>
      <c r="N31">
        <v>3</v>
      </c>
      <c r="O31">
        <v>3</v>
      </c>
      <c r="P31">
        <v>79</v>
      </c>
      <c r="Q31">
        <v>0</v>
      </c>
      <c r="R31" s="1">
        <v>40322</v>
      </c>
      <c r="S31" t="s">
        <v>29</v>
      </c>
      <c r="T31" t="str">
        <f t="shared" si="0"/>
        <v>Grade A</v>
      </c>
      <c r="U31">
        <f t="shared" si="1"/>
        <v>2</v>
      </c>
      <c r="V31" t="str">
        <f t="shared" si="2"/>
        <v>Senior</v>
      </c>
      <c r="W31" t="str">
        <f t="shared" si="3"/>
        <v>Medium Risk</v>
      </c>
      <c r="X31" t="str">
        <f t="shared" si="4"/>
        <v>Fair</v>
      </c>
    </row>
    <row r="32" spans="1:24" x14ac:dyDescent="0.3">
      <c r="A32" t="s">
        <v>100</v>
      </c>
      <c r="B32" t="s">
        <v>20</v>
      </c>
      <c r="C32">
        <v>51</v>
      </c>
      <c r="D32" t="s">
        <v>57</v>
      </c>
      <c r="E32" t="s">
        <v>22</v>
      </c>
      <c r="F32" t="s">
        <v>53</v>
      </c>
      <c r="G32" t="s">
        <v>24</v>
      </c>
      <c r="H32" t="s">
        <v>67</v>
      </c>
      <c r="I32" t="s">
        <v>68</v>
      </c>
      <c r="J32" t="s">
        <v>60</v>
      </c>
      <c r="K32">
        <v>12</v>
      </c>
      <c r="L32">
        <v>96010</v>
      </c>
      <c r="M32" t="s">
        <v>36</v>
      </c>
      <c r="N32">
        <v>2</v>
      </c>
      <c r="O32">
        <v>4</v>
      </c>
      <c r="P32">
        <v>59</v>
      </c>
      <c r="Q32">
        <v>0</v>
      </c>
      <c r="R32" s="1">
        <v>40704</v>
      </c>
      <c r="S32" t="s">
        <v>37</v>
      </c>
      <c r="T32" t="str">
        <f t="shared" si="0"/>
        <v>Grade A</v>
      </c>
      <c r="U32">
        <f t="shared" si="1"/>
        <v>1</v>
      </c>
      <c r="V32" t="str">
        <f t="shared" si="2"/>
        <v>Senior</v>
      </c>
      <c r="W32" t="str">
        <f t="shared" si="3"/>
        <v>Already Left</v>
      </c>
      <c r="X32" t="str">
        <f t="shared" si="4"/>
        <v>Overpaid</v>
      </c>
    </row>
    <row r="33" spans="1:24" x14ac:dyDescent="0.3">
      <c r="A33" t="s">
        <v>101</v>
      </c>
      <c r="B33" t="s">
        <v>39</v>
      </c>
      <c r="C33">
        <v>53</v>
      </c>
      <c r="D33" t="s">
        <v>47</v>
      </c>
      <c r="E33" t="s">
        <v>48</v>
      </c>
      <c r="F33" t="s">
        <v>75</v>
      </c>
      <c r="G33" t="s">
        <v>42</v>
      </c>
      <c r="H33" t="s">
        <v>76</v>
      </c>
      <c r="I33" t="s">
        <v>54</v>
      </c>
      <c r="J33" t="s">
        <v>27</v>
      </c>
      <c r="K33">
        <v>6</v>
      </c>
      <c r="L33">
        <v>109779</v>
      </c>
      <c r="M33" t="s">
        <v>51</v>
      </c>
      <c r="N33">
        <v>4</v>
      </c>
      <c r="O33">
        <v>4</v>
      </c>
      <c r="P33">
        <v>13</v>
      </c>
      <c r="Q33">
        <v>3</v>
      </c>
      <c r="R33" s="1">
        <v>42827</v>
      </c>
      <c r="S33" t="s">
        <v>29</v>
      </c>
      <c r="T33" t="str">
        <f t="shared" si="0"/>
        <v>Grade A</v>
      </c>
      <c r="U33">
        <f t="shared" si="1"/>
        <v>4</v>
      </c>
      <c r="V33" t="str">
        <f t="shared" si="2"/>
        <v>Mid Level</v>
      </c>
      <c r="W33" t="str">
        <f t="shared" si="3"/>
        <v>Low Risk</v>
      </c>
      <c r="X33" t="str">
        <f t="shared" si="4"/>
        <v>Competitive</v>
      </c>
    </row>
    <row r="34" spans="1:24" x14ac:dyDescent="0.3">
      <c r="A34" t="s">
        <v>102</v>
      </c>
      <c r="B34" t="s">
        <v>39</v>
      </c>
      <c r="C34">
        <v>27</v>
      </c>
      <c r="D34" t="s">
        <v>57</v>
      </c>
      <c r="E34" t="s">
        <v>22</v>
      </c>
      <c r="F34" t="s">
        <v>75</v>
      </c>
      <c r="G34" t="s">
        <v>24</v>
      </c>
      <c r="H34" t="s">
        <v>67</v>
      </c>
      <c r="I34" t="s">
        <v>72</v>
      </c>
      <c r="J34" t="s">
        <v>73</v>
      </c>
      <c r="K34">
        <v>15</v>
      </c>
      <c r="L34">
        <v>112502</v>
      </c>
      <c r="M34" t="s">
        <v>36</v>
      </c>
      <c r="N34">
        <v>4</v>
      </c>
      <c r="O34">
        <v>2</v>
      </c>
      <c r="P34">
        <v>16</v>
      </c>
      <c r="Q34">
        <v>2</v>
      </c>
      <c r="R34" s="1">
        <v>39514</v>
      </c>
      <c r="S34" t="s">
        <v>37</v>
      </c>
      <c r="T34" t="str">
        <f t="shared" si="0"/>
        <v>Grade A</v>
      </c>
      <c r="U34">
        <f t="shared" si="1"/>
        <v>1</v>
      </c>
      <c r="V34" t="str">
        <f t="shared" si="2"/>
        <v>Senior</v>
      </c>
      <c r="W34" t="str">
        <f t="shared" si="3"/>
        <v>Already Left</v>
      </c>
      <c r="X34" t="str">
        <f t="shared" si="4"/>
        <v>Overpaid</v>
      </c>
    </row>
    <row r="35" spans="1:24" x14ac:dyDescent="0.3">
      <c r="A35" t="s">
        <v>103</v>
      </c>
      <c r="B35" t="s">
        <v>39</v>
      </c>
      <c r="C35">
        <v>52</v>
      </c>
      <c r="D35" t="s">
        <v>21</v>
      </c>
      <c r="E35" t="s">
        <v>40</v>
      </c>
      <c r="F35" t="s">
        <v>65</v>
      </c>
      <c r="G35" t="s">
        <v>66</v>
      </c>
      <c r="H35" t="s">
        <v>67</v>
      </c>
      <c r="I35" t="s">
        <v>43</v>
      </c>
      <c r="J35" t="s">
        <v>44</v>
      </c>
      <c r="K35">
        <v>6</v>
      </c>
      <c r="L35">
        <v>49423</v>
      </c>
      <c r="M35" t="s">
        <v>36</v>
      </c>
      <c r="N35">
        <v>1</v>
      </c>
      <c r="O35">
        <v>3</v>
      </c>
      <c r="P35">
        <v>38</v>
      </c>
      <c r="Q35">
        <v>0</v>
      </c>
      <c r="R35" s="1">
        <v>42973</v>
      </c>
      <c r="S35" t="s">
        <v>37</v>
      </c>
      <c r="T35" t="str">
        <f t="shared" si="0"/>
        <v>Grade C</v>
      </c>
      <c r="U35">
        <f t="shared" si="1"/>
        <v>1</v>
      </c>
      <c r="V35" t="str">
        <f t="shared" si="2"/>
        <v>Mid Level</v>
      </c>
      <c r="W35" t="str">
        <f t="shared" si="3"/>
        <v>Already Left</v>
      </c>
      <c r="X35" t="str">
        <f t="shared" si="4"/>
        <v>Fair</v>
      </c>
    </row>
    <row r="36" spans="1:24" x14ac:dyDescent="0.3">
      <c r="A36" t="s">
        <v>104</v>
      </c>
      <c r="B36" t="s">
        <v>20</v>
      </c>
      <c r="C36">
        <v>29</v>
      </c>
      <c r="D36" t="s">
        <v>88</v>
      </c>
      <c r="E36" t="s">
        <v>22</v>
      </c>
      <c r="F36" t="s">
        <v>23</v>
      </c>
      <c r="G36" t="s">
        <v>58</v>
      </c>
      <c r="H36" t="s">
        <v>67</v>
      </c>
      <c r="I36" t="s">
        <v>50</v>
      </c>
      <c r="J36" t="s">
        <v>44</v>
      </c>
      <c r="K36">
        <v>14</v>
      </c>
      <c r="L36">
        <v>107993</v>
      </c>
      <c r="M36" t="s">
        <v>28</v>
      </c>
      <c r="N36">
        <v>4</v>
      </c>
      <c r="O36">
        <v>3</v>
      </c>
      <c r="P36">
        <v>57</v>
      </c>
      <c r="Q36">
        <v>1</v>
      </c>
      <c r="R36" s="1">
        <v>40118</v>
      </c>
      <c r="S36" t="s">
        <v>29</v>
      </c>
      <c r="T36" t="str">
        <f t="shared" si="0"/>
        <v>Grade A</v>
      </c>
      <c r="U36">
        <f t="shared" si="1"/>
        <v>3</v>
      </c>
      <c r="V36" t="str">
        <f t="shared" si="2"/>
        <v>Senior</v>
      </c>
      <c r="W36" t="str">
        <f t="shared" si="3"/>
        <v>Medium Risk</v>
      </c>
      <c r="X36" t="str">
        <f t="shared" si="4"/>
        <v>Competitive</v>
      </c>
    </row>
    <row r="37" spans="1:24" x14ac:dyDescent="0.3">
      <c r="A37" t="s">
        <v>105</v>
      </c>
      <c r="B37" t="s">
        <v>20</v>
      </c>
      <c r="C37">
        <v>47</v>
      </c>
      <c r="D37" t="s">
        <v>47</v>
      </c>
      <c r="E37" t="s">
        <v>22</v>
      </c>
      <c r="F37" t="s">
        <v>41</v>
      </c>
      <c r="G37" t="s">
        <v>58</v>
      </c>
      <c r="H37" t="s">
        <v>67</v>
      </c>
      <c r="I37" t="s">
        <v>54</v>
      </c>
      <c r="J37" t="s">
        <v>27</v>
      </c>
      <c r="K37">
        <v>2</v>
      </c>
      <c r="L37">
        <v>89222</v>
      </c>
      <c r="M37" t="s">
        <v>45</v>
      </c>
      <c r="N37">
        <v>2</v>
      </c>
      <c r="O37">
        <v>1</v>
      </c>
      <c r="P37">
        <v>48</v>
      </c>
      <c r="Q37">
        <v>0</v>
      </c>
      <c r="R37" s="1">
        <v>44216</v>
      </c>
      <c r="S37" t="s">
        <v>29</v>
      </c>
      <c r="T37" t="str">
        <f t="shared" si="0"/>
        <v>Grade A</v>
      </c>
      <c r="U37">
        <f t="shared" si="1"/>
        <v>2</v>
      </c>
      <c r="V37" t="str">
        <f t="shared" si="2"/>
        <v>New Joiner</v>
      </c>
      <c r="W37" t="str">
        <f t="shared" si="3"/>
        <v>Medium Risk</v>
      </c>
      <c r="X37" t="str">
        <f t="shared" si="4"/>
        <v>Fair</v>
      </c>
    </row>
    <row r="38" spans="1:24" x14ac:dyDescent="0.3">
      <c r="A38" t="s">
        <v>106</v>
      </c>
      <c r="B38" t="s">
        <v>39</v>
      </c>
      <c r="C38">
        <v>48</v>
      </c>
      <c r="D38" t="s">
        <v>57</v>
      </c>
      <c r="E38" t="s">
        <v>22</v>
      </c>
      <c r="F38" t="s">
        <v>23</v>
      </c>
      <c r="G38" t="s">
        <v>66</v>
      </c>
      <c r="H38" t="s">
        <v>25</v>
      </c>
      <c r="I38" t="s">
        <v>54</v>
      </c>
      <c r="J38" t="s">
        <v>27</v>
      </c>
      <c r="K38">
        <v>11</v>
      </c>
      <c r="L38">
        <v>49259</v>
      </c>
      <c r="M38" t="s">
        <v>36</v>
      </c>
      <c r="N38">
        <v>4</v>
      </c>
      <c r="O38">
        <v>3</v>
      </c>
      <c r="P38">
        <v>68</v>
      </c>
      <c r="Q38">
        <v>1</v>
      </c>
      <c r="R38" s="1">
        <v>41103</v>
      </c>
      <c r="S38" t="s">
        <v>29</v>
      </c>
      <c r="T38" t="str">
        <f t="shared" si="0"/>
        <v>Grade C</v>
      </c>
      <c r="U38">
        <f t="shared" si="1"/>
        <v>1</v>
      </c>
      <c r="V38" t="str">
        <f t="shared" si="2"/>
        <v>Senior</v>
      </c>
      <c r="W38" t="str">
        <f t="shared" si="3"/>
        <v>Medium Risk</v>
      </c>
      <c r="X38" t="str">
        <f t="shared" si="4"/>
        <v>Fair</v>
      </c>
    </row>
    <row r="39" spans="1:24" x14ac:dyDescent="0.3">
      <c r="A39" t="s">
        <v>107</v>
      </c>
      <c r="B39" t="s">
        <v>20</v>
      </c>
      <c r="C39">
        <v>42</v>
      </c>
      <c r="D39" t="s">
        <v>47</v>
      </c>
      <c r="E39" t="s">
        <v>22</v>
      </c>
      <c r="F39" t="s">
        <v>53</v>
      </c>
      <c r="G39" t="s">
        <v>33</v>
      </c>
      <c r="H39" t="s">
        <v>34</v>
      </c>
      <c r="I39" t="s">
        <v>43</v>
      </c>
      <c r="J39" t="s">
        <v>44</v>
      </c>
      <c r="K39">
        <v>10</v>
      </c>
      <c r="L39">
        <v>85232</v>
      </c>
      <c r="M39" t="s">
        <v>45</v>
      </c>
      <c r="N39">
        <v>3</v>
      </c>
      <c r="O39">
        <v>4</v>
      </c>
      <c r="P39">
        <v>41</v>
      </c>
      <c r="Q39">
        <v>3</v>
      </c>
      <c r="R39" s="1">
        <v>41339</v>
      </c>
      <c r="S39" t="s">
        <v>29</v>
      </c>
      <c r="T39" t="str">
        <f t="shared" si="0"/>
        <v>Grade A</v>
      </c>
      <c r="U39">
        <f t="shared" si="1"/>
        <v>2</v>
      </c>
      <c r="V39" t="str">
        <f t="shared" si="2"/>
        <v>Mid Level</v>
      </c>
      <c r="W39" t="str">
        <f t="shared" si="3"/>
        <v>Medium Risk</v>
      </c>
      <c r="X39" t="str">
        <f t="shared" si="4"/>
        <v>Fair</v>
      </c>
    </row>
    <row r="40" spans="1:24" x14ac:dyDescent="0.3">
      <c r="A40" t="s">
        <v>108</v>
      </c>
      <c r="B40" t="s">
        <v>20</v>
      </c>
      <c r="C40">
        <v>38</v>
      </c>
      <c r="D40" t="s">
        <v>31</v>
      </c>
      <c r="E40" t="s">
        <v>48</v>
      </c>
      <c r="F40" t="s">
        <v>75</v>
      </c>
      <c r="G40" t="s">
        <v>66</v>
      </c>
      <c r="H40" t="s">
        <v>25</v>
      </c>
      <c r="I40" t="s">
        <v>54</v>
      </c>
      <c r="J40" t="s">
        <v>27</v>
      </c>
      <c r="K40">
        <v>8</v>
      </c>
      <c r="L40">
        <v>46958</v>
      </c>
      <c r="M40" t="s">
        <v>51</v>
      </c>
      <c r="N40">
        <v>3</v>
      </c>
      <c r="O40">
        <v>1</v>
      </c>
      <c r="P40">
        <v>76</v>
      </c>
      <c r="Q40">
        <v>1</v>
      </c>
      <c r="R40" s="1">
        <v>42264</v>
      </c>
      <c r="S40" t="s">
        <v>29</v>
      </c>
      <c r="T40" t="str">
        <f t="shared" si="0"/>
        <v>Grade C</v>
      </c>
      <c r="U40">
        <f t="shared" si="1"/>
        <v>4</v>
      </c>
      <c r="V40" t="str">
        <f t="shared" si="2"/>
        <v>Mid Level</v>
      </c>
      <c r="W40" t="str">
        <f t="shared" si="3"/>
        <v>Low Risk</v>
      </c>
      <c r="X40" t="str">
        <f t="shared" si="4"/>
        <v>Fair</v>
      </c>
    </row>
    <row r="41" spans="1:24" x14ac:dyDescent="0.3">
      <c r="A41" t="s">
        <v>109</v>
      </c>
      <c r="B41" t="s">
        <v>39</v>
      </c>
      <c r="C41">
        <v>40</v>
      </c>
      <c r="D41" t="s">
        <v>47</v>
      </c>
      <c r="E41" t="s">
        <v>48</v>
      </c>
      <c r="F41" t="s">
        <v>32</v>
      </c>
      <c r="G41" t="s">
        <v>49</v>
      </c>
      <c r="H41" t="s">
        <v>76</v>
      </c>
      <c r="I41" t="s">
        <v>26</v>
      </c>
      <c r="J41" t="s">
        <v>27</v>
      </c>
      <c r="K41">
        <v>9</v>
      </c>
      <c r="L41">
        <v>73600</v>
      </c>
      <c r="M41" t="s">
        <v>36</v>
      </c>
      <c r="N41">
        <v>2</v>
      </c>
      <c r="O41">
        <v>3</v>
      </c>
      <c r="P41">
        <v>57</v>
      </c>
      <c r="Q41">
        <v>3</v>
      </c>
      <c r="R41" s="1">
        <v>41999</v>
      </c>
      <c r="S41" t="s">
        <v>37</v>
      </c>
      <c r="T41" t="str">
        <f t="shared" si="0"/>
        <v>Grade B</v>
      </c>
      <c r="U41">
        <f t="shared" si="1"/>
        <v>1</v>
      </c>
      <c r="V41" t="str">
        <f t="shared" si="2"/>
        <v>Mid Level</v>
      </c>
      <c r="W41" t="str">
        <f t="shared" si="3"/>
        <v>Already Left</v>
      </c>
      <c r="X41" t="str">
        <f t="shared" si="4"/>
        <v>Fair</v>
      </c>
    </row>
    <row r="42" spans="1:24" x14ac:dyDescent="0.3">
      <c r="A42" t="s">
        <v>110</v>
      </c>
      <c r="B42" t="s">
        <v>39</v>
      </c>
      <c r="C42">
        <v>29</v>
      </c>
      <c r="D42" t="s">
        <v>47</v>
      </c>
      <c r="E42" t="s">
        <v>48</v>
      </c>
      <c r="F42" t="s">
        <v>65</v>
      </c>
      <c r="G42" t="s">
        <v>33</v>
      </c>
      <c r="H42" t="s">
        <v>76</v>
      </c>
      <c r="I42" t="s">
        <v>35</v>
      </c>
      <c r="J42" t="s">
        <v>27</v>
      </c>
      <c r="K42">
        <v>6</v>
      </c>
      <c r="L42">
        <v>70877</v>
      </c>
      <c r="M42" t="s">
        <v>45</v>
      </c>
      <c r="N42">
        <v>1</v>
      </c>
      <c r="O42">
        <v>2</v>
      </c>
      <c r="P42">
        <v>34</v>
      </c>
      <c r="Q42">
        <v>1</v>
      </c>
      <c r="R42" s="1">
        <v>42974</v>
      </c>
      <c r="S42" t="s">
        <v>29</v>
      </c>
      <c r="T42" t="str">
        <f t="shared" si="0"/>
        <v>Grade B</v>
      </c>
      <c r="U42">
        <f t="shared" si="1"/>
        <v>2</v>
      </c>
      <c r="V42" t="str">
        <f t="shared" si="2"/>
        <v>Mid Level</v>
      </c>
      <c r="W42" t="str">
        <f t="shared" si="3"/>
        <v>Medium Risk</v>
      </c>
      <c r="X42" t="str">
        <f t="shared" si="4"/>
        <v>Fair</v>
      </c>
    </row>
    <row r="43" spans="1:24" x14ac:dyDescent="0.3">
      <c r="A43" t="s">
        <v>111</v>
      </c>
      <c r="B43" t="s">
        <v>39</v>
      </c>
      <c r="C43">
        <v>41</v>
      </c>
      <c r="D43" t="s">
        <v>21</v>
      </c>
      <c r="E43" t="s">
        <v>40</v>
      </c>
      <c r="F43" t="s">
        <v>62</v>
      </c>
      <c r="G43" t="s">
        <v>49</v>
      </c>
      <c r="H43" t="s">
        <v>34</v>
      </c>
      <c r="I43" t="s">
        <v>96</v>
      </c>
      <c r="J43" t="s">
        <v>44</v>
      </c>
      <c r="K43">
        <v>2</v>
      </c>
      <c r="L43">
        <v>53707</v>
      </c>
      <c r="M43" t="s">
        <v>45</v>
      </c>
      <c r="N43">
        <v>2</v>
      </c>
      <c r="O43">
        <v>3</v>
      </c>
      <c r="P43">
        <v>15</v>
      </c>
      <c r="Q43">
        <v>0</v>
      </c>
      <c r="R43" s="1">
        <v>44378</v>
      </c>
      <c r="S43" t="s">
        <v>29</v>
      </c>
      <c r="T43" t="str">
        <f t="shared" si="0"/>
        <v>Grade B</v>
      </c>
      <c r="U43">
        <f t="shared" si="1"/>
        <v>2</v>
      </c>
      <c r="V43" t="str">
        <f t="shared" si="2"/>
        <v>New Joiner</v>
      </c>
      <c r="W43" t="str">
        <f t="shared" si="3"/>
        <v>Medium Risk</v>
      </c>
      <c r="X43" t="str">
        <f t="shared" si="4"/>
        <v>Fair</v>
      </c>
    </row>
    <row r="44" spans="1:24" x14ac:dyDescent="0.3">
      <c r="A44" t="s">
        <v>112</v>
      </c>
      <c r="B44" t="s">
        <v>20</v>
      </c>
      <c r="C44">
        <v>43</v>
      </c>
      <c r="D44" t="s">
        <v>47</v>
      </c>
      <c r="E44" t="s">
        <v>22</v>
      </c>
      <c r="F44" t="s">
        <v>62</v>
      </c>
      <c r="G44" t="s">
        <v>58</v>
      </c>
      <c r="H44" t="s">
        <v>67</v>
      </c>
      <c r="I44" t="s">
        <v>35</v>
      </c>
      <c r="J44" t="s">
        <v>27</v>
      </c>
      <c r="K44">
        <v>2</v>
      </c>
      <c r="L44">
        <v>97810</v>
      </c>
      <c r="M44" t="s">
        <v>36</v>
      </c>
      <c r="N44">
        <v>3</v>
      </c>
      <c r="O44">
        <v>4</v>
      </c>
      <c r="P44">
        <v>24</v>
      </c>
      <c r="Q44">
        <v>0</v>
      </c>
      <c r="R44" s="1">
        <v>44317</v>
      </c>
      <c r="S44" t="s">
        <v>37</v>
      </c>
      <c r="T44" t="str">
        <f t="shared" si="0"/>
        <v>Grade A</v>
      </c>
      <c r="U44">
        <f t="shared" si="1"/>
        <v>1</v>
      </c>
      <c r="V44" t="str">
        <f t="shared" si="2"/>
        <v>New Joiner</v>
      </c>
      <c r="W44" t="str">
        <f t="shared" si="3"/>
        <v>Already Left</v>
      </c>
      <c r="X44" t="str">
        <f t="shared" si="4"/>
        <v>Overpaid</v>
      </c>
    </row>
    <row r="45" spans="1:24" x14ac:dyDescent="0.3">
      <c r="A45" t="s">
        <v>113</v>
      </c>
      <c r="B45" t="s">
        <v>39</v>
      </c>
      <c r="C45">
        <v>29</v>
      </c>
      <c r="D45" t="s">
        <v>88</v>
      </c>
      <c r="E45" t="s">
        <v>48</v>
      </c>
      <c r="F45" t="s">
        <v>78</v>
      </c>
      <c r="G45" t="s">
        <v>24</v>
      </c>
      <c r="H45" t="s">
        <v>83</v>
      </c>
      <c r="I45" t="s">
        <v>43</v>
      </c>
      <c r="J45" t="s">
        <v>44</v>
      </c>
      <c r="K45">
        <v>3</v>
      </c>
      <c r="L45">
        <v>89443</v>
      </c>
      <c r="M45" t="s">
        <v>51</v>
      </c>
      <c r="N45">
        <v>2</v>
      </c>
      <c r="O45">
        <v>4</v>
      </c>
      <c r="P45">
        <v>67</v>
      </c>
      <c r="Q45">
        <v>3</v>
      </c>
      <c r="R45" s="1">
        <v>44154</v>
      </c>
      <c r="S45" t="s">
        <v>29</v>
      </c>
      <c r="T45" t="str">
        <f t="shared" si="0"/>
        <v>Grade A</v>
      </c>
      <c r="U45">
        <f t="shared" si="1"/>
        <v>4</v>
      </c>
      <c r="V45" t="str">
        <f t="shared" si="2"/>
        <v>Junior</v>
      </c>
      <c r="W45" t="str">
        <f t="shared" si="3"/>
        <v>Low Risk</v>
      </c>
      <c r="X45" t="str">
        <f t="shared" si="4"/>
        <v>Competitive</v>
      </c>
    </row>
    <row r="46" spans="1:24" x14ac:dyDescent="0.3">
      <c r="A46" t="s">
        <v>114</v>
      </c>
      <c r="B46" t="s">
        <v>39</v>
      </c>
      <c r="C46">
        <v>32</v>
      </c>
      <c r="D46" t="s">
        <v>47</v>
      </c>
      <c r="E46" t="s">
        <v>22</v>
      </c>
      <c r="F46" t="s">
        <v>75</v>
      </c>
      <c r="G46" t="s">
        <v>79</v>
      </c>
      <c r="H46" t="s">
        <v>25</v>
      </c>
      <c r="I46" t="s">
        <v>80</v>
      </c>
      <c r="J46" t="s">
        <v>60</v>
      </c>
      <c r="K46">
        <v>10</v>
      </c>
      <c r="L46">
        <v>56808</v>
      </c>
      <c r="M46" t="s">
        <v>51</v>
      </c>
      <c r="N46">
        <v>1</v>
      </c>
      <c r="O46">
        <v>2</v>
      </c>
      <c r="P46">
        <v>10</v>
      </c>
      <c r="Q46">
        <v>3</v>
      </c>
      <c r="R46" s="1">
        <v>41507</v>
      </c>
      <c r="S46" t="s">
        <v>29</v>
      </c>
      <c r="T46" t="str">
        <f t="shared" si="0"/>
        <v>Grade B</v>
      </c>
      <c r="U46">
        <f t="shared" si="1"/>
        <v>4</v>
      </c>
      <c r="V46" t="str">
        <f t="shared" si="2"/>
        <v>Mid Level</v>
      </c>
      <c r="W46" t="str">
        <f t="shared" si="3"/>
        <v>Low Risk</v>
      </c>
      <c r="X46" t="str">
        <f t="shared" si="4"/>
        <v>Fair</v>
      </c>
    </row>
    <row r="47" spans="1:24" x14ac:dyDescent="0.3">
      <c r="A47" t="s">
        <v>115</v>
      </c>
      <c r="B47" t="s">
        <v>39</v>
      </c>
      <c r="C47">
        <v>38</v>
      </c>
      <c r="D47" t="s">
        <v>88</v>
      </c>
      <c r="E47" t="s">
        <v>40</v>
      </c>
      <c r="F47" t="s">
        <v>78</v>
      </c>
      <c r="G47" t="s">
        <v>42</v>
      </c>
      <c r="H47" t="s">
        <v>25</v>
      </c>
      <c r="I47" t="s">
        <v>96</v>
      </c>
      <c r="J47" t="s">
        <v>44</v>
      </c>
      <c r="K47">
        <v>4</v>
      </c>
      <c r="L47">
        <v>102264</v>
      </c>
      <c r="M47" t="s">
        <v>51</v>
      </c>
      <c r="N47">
        <v>2</v>
      </c>
      <c r="O47">
        <v>4</v>
      </c>
      <c r="P47">
        <v>24</v>
      </c>
      <c r="Q47">
        <v>1</v>
      </c>
      <c r="R47" s="1">
        <v>43796</v>
      </c>
      <c r="S47" t="s">
        <v>29</v>
      </c>
      <c r="T47" t="str">
        <f t="shared" si="0"/>
        <v>Grade A</v>
      </c>
      <c r="U47">
        <f t="shared" si="1"/>
        <v>4</v>
      </c>
      <c r="V47" t="str">
        <f t="shared" si="2"/>
        <v>Junior</v>
      </c>
      <c r="W47" t="str">
        <f t="shared" si="3"/>
        <v>Low Risk</v>
      </c>
      <c r="X47" t="str">
        <f t="shared" si="4"/>
        <v>Competitive</v>
      </c>
    </row>
    <row r="48" spans="1:24" x14ac:dyDescent="0.3">
      <c r="A48" t="s">
        <v>116</v>
      </c>
      <c r="B48" t="s">
        <v>20</v>
      </c>
      <c r="C48">
        <v>50</v>
      </c>
      <c r="D48" t="s">
        <v>21</v>
      </c>
      <c r="E48" t="s">
        <v>48</v>
      </c>
      <c r="F48" t="s">
        <v>62</v>
      </c>
      <c r="G48" t="s">
        <v>24</v>
      </c>
      <c r="H48" t="s">
        <v>67</v>
      </c>
      <c r="I48" t="s">
        <v>68</v>
      </c>
      <c r="J48" t="s">
        <v>60</v>
      </c>
      <c r="K48">
        <v>1</v>
      </c>
      <c r="L48">
        <v>77079</v>
      </c>
      <c r="M48" t="s">
        <v>51</v>
      </c>
      <c r="N48">
        <v>3</v>
      </c>
      <c r="O48">
        <v>4</v>
      </c>
      <c r="P48">
        <v>44</v>
      </c>
      <c r="Q48">
        <v>3</v>
      </c>
      <c r="R48" s="1">
        <v>44636</v>
      </c>
      <c r="S48" t="s">
        <v>29</v>
      </c>
      <c r="T48" t="str">
        <f t="shared" si="0"/>
        <v>Grade B</v>
      </c>
      <c r="U48">
        <f t="shared" si="1"/>
        <v>4</v>
      </c>
      <c r="V48" t="str">
        <f t="shared" si="2"/>
        <v>New Joiner</v>
      </c>
      <c r="W48" t="str">
        <f t="shared" si="3"/>
        <v>Low Risk</v>
      </c>
      <c r="X48" t="str">
        <f t="shared" si="4"/>
        <v>Fair</v>
      </c>
    </row>
    <row r="49" spans="1:24" x14ac:dyDescent="0.3">
      <c r="A49" t="s">
        <v>117</v>
      </c>
      <c r="B49" t="s">
        <v>39</v>
      </c>
      <c r="C49">
        <v>27</v>
      </c>
      <c r="D49" t="s">
        <v>47</v>
      </c>
      <c r="E49" t="s">
        <v>40</v>
      </c>
      <c r="F49" t="s">
        <v>41</v>
      </c>
      <c r="G49" t="s">
        <v>63</v>
      </c>
      <c r="H49" t="s">
        <v>34</v>
      </c>
      <c r="I49" t="s">
        <v>96</v>
      </c>
      <c r="J49" t="s">
        <v>44</v>
      </c>
      <c r="K49">
        <v>15</v>
      </c>
      <c r="L49">
        <v>75561</v>
      </c>
      <c r="M49" t="s">
        <v>51</v>
      </c>
      <c r="N49">
        <v>1</v>
      </c>
      <c r="O49">
        <v>3</v>
      </c>
      <c r="P49">
        <v>15</v>
      </c>
      <c r="Q49">
        <v>1</v>
      </c>
      <c r="R49" s="1">
        <v>39689</v>
      </c>
      <c r="S49" t="s">
        <v>29</v>
      </c>
      <c r="T49" t="str">
        <f t="shared" si="0"/>
        <v>Grade B</v>
      </c>
      <c r="U49">
        <f t="shared" si="1"/>
        <v>4</v>
      </c>
      <c r="V49" t="str">
        <f t="shared" si="2"/>
        <v>Senior</v>
      </c>
      <c r="W49" t="str">
        <f t="shared" si="3"/>
        <v>Low Risk</v>
      </c>
      <c r="X49" t="str">
        <f t="shared" si="4"/>
        <v>Fair</v>
      </c>
    </row>
    <row r="50" spans="1:24" x14ac:dyDescent="0.3">
      <c r="A50" t="s">
        <v>118</v>
      </c>
      <c r="B50" t="s">
        <v>20</v>
      </c>
      <c r="C50">
        <v>48</v>
      </c>
      <c r="D50" t="s">
        <v>31</v>
      </c>
      <c r="E50" t="s">
        <v>48</v>
      </c>
      <c r="F50" t="s">
        <v>78</v>
      </c>
      <c r="G50" t="s">
        <v>63</v>
      </c>
      <c r="H50" t="s">
        <v>25</v>
      </c>
      <c r="I50" t="s">
        <v>96</v>
      </c>
      <c r="J50" t="s">
        <v>44</v>
      </c>
      <c r="K50">
        <v>10</v>
      </c>
      <c r="L50">
        <v>71112</v>
      </c>
      <c r="M50" t="s">
        <v>28</v>
      </c>
      <c r="N50">
        <v>1</v>
      </c>
      <c r="O50">
        <v>2</v>
      </c>
      <c r="P50">
        <v>52</v>
      </c>
      <c r="Q50">
        <v>3</v>
      </c>
      <c r="R50" s="1">
        <v>41402</v>
      </c>
      <c r="S50" t="s">
        <v>37</v>
      </c>
      <c r="T50" t="str">
        <f t="shared" si="0"/>
        <v>Grade B</v>
      </c>
      <c r="U50">
        <f t="shared" si="1"/>
        <v>3</v>
      </c>
      <c r="V50" t="str">
        <f t="shared" si="2"/>
        <v>Mid Level</v>
      </c>
      <c r="W50" t="str">
        <f t="shared" si="3"/>
        <v>Already Left</v>
      </c>
      <c r="X50" t="str">
        <f t="shared" si="4"/>
        <v>Competitive</v>
      </c>
    </row>
    <row r="51" spans="1:24" x14ac:dyDescent="0.3">
      <c r="A51" t="s">
        <v>119</v>
      </c>
      <c r="B51" t="s">
        <v>39</v>
      </c>
      <c r="C51">
        <v>47</v>
      </c>
      <c r="D51" t="s">
        <v>88</v>
      </c>
      <c r="E51" t="s">
        <v>22</v>
      </c>
      <c r="F51" t="s">
        <v>62</v>
      </c>
      <c r="G51" t="s">
        <v>79</v>
      </c>
      <c r="H51" t="s">
        <v>76</v>
      </c>
      <c r="I51" t="s">
        <v>96</v>
      </c>
      <c r="J51" t="s">
        <v>44</v>
      </c>
      <c r="K51">
        <v>8</v>
      </c>
      <c r="L51">
        <v>56306</v>
      </c>
      <c r="M51" t="s">
        <v>51</v>
      </c>
      <c r="N51">
        <v>4</v>
      </c>
      <c r="O51">
        <v>4</v>
      </c>
      <c r="P51">
        <v>16</v>
      </c>
      <c r="Q51">
        <v>1</v>
      </c>
      <c r="R51" s="1">
        <v>42207</v>
      </c>
      <c r="S51" t="s">
        <v>29</v>
      </c>
      <c r="T51" t="str">
        <f t="shared" si="0"/>
        <v>Grade B</v>
      </c>
      <c r="U51">
        <f t="shared" si="1"/>
        <v>4</v>
      </c>
      <c r="V51" t="str">
        <f t="shared" si="2"/>
        <v>Mid Level</v>
      </c>
      <c r="W51" t="str">
        <f t="shared" si="3"/>
        <v>Low Risk</v>
      </c>
      <c r="X51" t="str">
        <f t="shared" si="4"/>
        <v>Fair</v>
      </c>
    </row>
    <row r="52" spans="1:24" x14ac:dyDescent="0.3">
      <c r="A52" t="s">
        <v>120</v>
      </c>
      <c r="B52" t="s">
        <v>39</v>
      </c>
      <c r="C52">
        <v>40</v>
      </c>
      <c r="D52" t="s">
        <v>57</v>
      </c>
      <c r="E52" t="s">
        <v>40</v>
      </c>
      <c r="F52" t="s">
        <v>65</v>
      </c>
      <c r="G52" t="s">
        <v>33</v>
      </c>
      <c r="H52" t="s">
        <v>34</v>
      </c>
      <c r="I52" t="s">
        <v>35</v>
      </c>
      <c r="J52" t="s">
        <v>27</v>
      </c>
      <c r="K52">
        <v>11</v>
      </c>
      <c r="L52">
        <v>73691</v>
      </c>
      <c r="M52" t="s">
        <v>36</v>
      </c>
      <c r="N52">
        <v>4</v>
      </c>
      <c r="O52">
        <v>1</v>
      </c>
      <c r="P52">
        <v>13</v>
      </c>
      <c r="Q52">
        <v>1</v>
      </c>
      <c r="R52" s="1">
        <v>40996</v>
      </c>
      <c r="S52" t="s">
        <v>37</v>
      </c>
      <c r="T52" t="str">
        <f t="shared" si="0"/>
        <v>Grade B</v>
      </c>
      <c r="U52">
        <f t="shared" si="1"/>
        <v>1</v>
      </c>
      <c r="V52" t="str">
        <f t="shared" si="2"/>
        <v>Senior</v>
      </c>
      <c r="W52" t="str">
        <f t="shared" si="3"/>
        <v>Already Left</v>
      </c>
      <c r="X52" t="str">
        <f t="shared" si="4"/>
        <v>Fair</v>
      </c>
    </row>
    <row r="53" spans="1:24" x14ac:dyDescent="0.3">
      <c r="A53" t="s">
        <v>121</v>
      </c>
      <c r="B53" t="s">
        <v>20</v>
      </c>
      <c r="C53">
        <v>29</v>
      </c>
      <c r="D53" t="s">
        <v>47</v>
      </c>
      <c r="E53" t="s">
        <v>48</v>
      </c>
      <c r="F53" t="s">
        <v>62</v>
      </c>
      <c r="G53" t="s">
        <v>63</v>
      </c>
      <c r="H53" t="s">
        <v>34</v>
      </c>
      <c r="I53" t="s">
        <v>68</v>
      </c>
      <c r="J53" t="s">
        <v>60</v>
      </c>
      <c r="K53">
        <v>9</v>
      </c>
      <c r="L53">
        <v>56054</v>
      </c>
      <c r="M53" t="s">
        <v>51</v>
      </c>
      <c r="N53">
        <v>3</v>
      </c>
      <c r="O53">
        <v>3</v>
      </c>
      <c r="P53">
        <v>63</v>
      </c>
      <c r="Q53">
        <v>3</v>
      </c>
      <c r="R53" s="1">
        <v>41949</v>
      </c>
      <c r="S53" t="s">
        <v>29</v>
      </c>
      <c r="T53" t="str">
        <f t="shared" si="0"/>
        <v>Grade B</v>
      </c>
      <c r="U53">
        <f t="shared" si="1"/>
        <v>4</v>
      </c>
      <c r="V53" t="str">
        <f t="shared" si="2"/>
        <v>Mid Level</v>
      </c>
      <c r="W53" t="str">
        <f t="shared" si="3"/>
        <v>Low Risk</v>
      </c>
      <c r="X53" t="str">
        <f t="shared" si="4"/>
        <v>Fair</v>
      </c>
    </row>
    <row r="54" spans="1:24" x14ac:dyDescent="0.3">
      <c r="A54" t="s">
        <v>122</v>
      </c>
      <c r="B54" t="s">
        <v>39</v>
      </c>
      <c r="C54">
        <v>39</v>
      </c>
      <c r="D54" t="s">
        <v>57</v>
      </c>
      <c r="E54" t="s">
        <v>48</v>
      </c>
      <c r="F54" t="s">
        <v>32</v>
      </c>
      <c r="G54" t="s">
        <v>49</v>
      </c>
      <c r="H54" t="s">
        <v>76</v>
      </c>
      <c r="I54" t="s">
        <v>96</v>
      </c>
      <c r="J54" t="s">
        <v>44</v>
      </c>
      <c r="K54">
        <v>7</v>
      </c>
      <c r="L54">
        <v>73640</v>
      </c>
      <c r="M54" t="s">
        <v>28</v>
      </c>
      <c r="N54">
        <v>3</v>
      </c>
      <c r="O54">
        <v>1</v>
      </c>
      <c r="P54">
        <v>46</v>
      </c>
      <c r="Q54">
        <v>2</v>
      </c>
      <c r="R54" s="1">
        <v>42668</v>
      </c>
      <c r="S54" t="s">
        <v>29</v>
      </c>
      <c r="T54" t="str">
        <f t="shared" si="0"/>
        <v>Grade B</v>
      </c>
      <c r="U54">
        <f t="shared" si="1"/>
        <v>3</v>
      </c>
      <c r="V54" t="str">
        <f t="shared" si="2"/>
        <v>Mid Level</v>
      </c>
      <c r="W54" t="str">
        <f t="shared" si="3"/>
        <v>Medium Risk</v>
      </c>
      <c r="X54" t="str">
        <f t="shared" si="4"/>
        <v>Competitive</v>
      </c>
    </row>
    <row r="55" spans="1:24" x14ac:dyDescent="0.3">
      <c r="A55" t="s">
        <v>123</v>
      </c>
      <c r="B55" t="s">
        <v>20</v>
      </c>
      <c r="C55">
        <v>51</v>
      </c>
      <c r="D55" t="s">
        <v>31</v>
      </c>
      <c r="E55" t="s">
        <v>22</v>
      </c>
      <c r="F55" t="s">
        <v>78</v>
      </c>
      <c r="G55" t="s">
        <v>33</v>
      </c>
      <c r="H55" t="s">
        <v>67</v>
      </c>
      <c r="I55" t="s">
        <v>54</v>
      </c>
      <c r="J55" t="s">
        <v>27</v>
      </c>
      <c r="K55">
        <v>9</v>
      </c>
      <c r="L55">
        <v>79309</v>
      </c>
      <c r="M55" t="s">
        <v>36</v>
      </c>
      <c r="N55">
        <v>2</v>
      </c>
      <c r="O55">
        <v>4</v>
      </c>
      <c r="P55">
        <v>39</v>
      </c>
      <c r="Q55">
        <v>3</v>
      </c>
      <c r="R55" s="1">
        <v>41729</v>
      </c>
      <c r="S55" t="s">
        <v>29</v>
      </c>
      <c r="T55" t="str">
        <f t="shared" si="0"/>
        <v>Grade B</v>
      </c>
      <c r="U55">
        <f t="shared" si="1"/>
        <v>1</v>
      </c>
      <c r="V55" t="str">
        <f t="shared" si="2"/>
        <v>Mid Level</v>
      </c>
      <c r="W55" t="str">
        <f t="shared" si="3"/>
        <v>Medium Risk</v>
      </c>
      <c r="X55" t="str">
        <f t="shared" si="4"/>
        <v>Fair</v>
      </c>
    </row>
    <row r="56" spans="1:24" x14ac:dyDescent="0.3">
      <c r="A56" t="s">
        <v>124</v>
      </c>
      <c r="B56" t="s">
        <v>20</v>
      </c>
      <c r="C56">
        <v>28</v>
      </c>
      <c r="D56" t="s">
        <v>57</v>
      </c>
      <c r="E56" t="s">
        <v>22</v>
      </c>
      <c r="F56" t="s">
        <v>65</v>
      </c>
      <c r="G56" t="s">
        <v>24</v>
      </c>
      <c r="H56" t="s">
        <v>76</v>
      </c>
      <c r="I56" t="s">
        <v>50</v>
      </c>
      <c r="J56" t="s">
        <v>44</v>
      </c>
      <c r="K56">
        <v>7</v>
      </c>
      <c r="L56">
        <v>95230</v>
      </c>
      <c r="M56" t="s">
        <v>36</v>
      </c>
      <c r="N56">
        <v>4</v>
      </c>
      <c r="O56">
        <v>1</v>
      </c>
      <c r="P56">
        <v>28</v>
      </c>
      <c r="Q56">
        <v>3</v>
      </c>
      <c r="R56" s="1">
        <v>42480</v>
      </c>
      <c r="S56" t="s">
        <v>37</v>
      </c>
      <c r="T56" t="str">
        <f t="shared" si="0"/>
        <v>Grade A</v>
      </c>
      <c r="U56">
        <f t="shared" si="1"/>
        <v>1</v>
      </c>
      <c r="V56" t="str">
        <f t="shared" si="2"/>
        <v>Mid Level</v>
      </c>
      <c r="W56" t="str">
        <f t="shared" si="3"/>
        <v>Already Left</v>
      </c>
      <c r="X56" t="str">
        <f t="shared" si="4"/>
        <v>Overpaid</v>
      </c>
    </row>
    <row r="57" spans="1:24" x14ac:dyDescent="0.3">
      <c r="A57" t="s">
        <v>125</v>
      </c>
      <c r="B57" t="s">
        <v>20</v>
      </c>
      <c r="C57">
        <v>42</v>
      </c>
      <c r="D57" t="s">
        <v>57</v>
      </c>
      <c r="E57" t="s">
        <v>40</v>
      </c>
      <c r="F57" t="s">
        <v>41</v>
      </c>
      <c r="G57" t="s">
        <v>63</v>
      </c>
      <c r="H57" t="s">
        <v>76</v>
      </c>
      <c r="I57" t="s">
        <v>68</v>
      </c>
      <c r="J57" t="s">
        <v>60</v>
      </c>
      <c r="K57">
        <v>6</v>
      </c>
      <c r="L57">
        <v>49631</v>
      </c>
      <c r="M57" t="s">
        <v>45</v>
      </c>
      <c r="N57">
        <v>1</v>
      </c>
      <c r="O57">
        <v>1</v>
      </c>
      <c r="P57">
        <v>40</v>
      </c>
      <c r="Q57">
        <v>2</v>
      </c>
      <c r="R57" s="1">
        <v>42757</v>
      </c>
      <c r="S57" t="s">
        <v>29</v>
      </c>
      <c r="T57" t="str">
        <f t="shared" si="0"/>
        <v>Grade C</v>
      </c>
      <c r="U57">
        <f t="shared" si="1"/>
        <v>2</v>
      </c>
      <c r="V57" t="str">
        <f t="shared" si="2"/>
        <v>Mid Level</v>
      </c>
      <c r="W57" t="str">
        <f t="shared" si="3"/>
        <v>Medium Risk</v>
      </c>
      <c r="X57" t="str">
        <f t="shared" si="4"/>
        <v>Fair</v>
      </c>
    </row>
    <row r="58" spans="1:24" x14ac:dyDescent="0.3">
      <c r="A58" t="s">
        <v>126</v>
      </c>
      <c r="B58" t="s">
        <v>20</v>
      </c>
      <c r="C58">
        <v>23</v>
      </c>
      <c r="D58" t="s">
        <v>21</v>
      </c>
      <c r="E58" t="s">
        <v>48</v>
      </c>
      <c r="F58" t="s">
        <v>41</v>
      </c>
      <c r="G58" t="s">
        <v>79</v>
      </c>
      <c r="H58" t="s">
        <v>76</v>
      </c>
      <c r="I58" t="s">
        <v>59</v>
      </c>
      <c r="J58" t="s">
        <v>60</v>
      </c>
      <c r="K58">
        <v>13</v>
      </c>
      <c r="L58">
        <v>70538</v>
      </c>
      <c r="M58" t="s">
        <v>51</v>
      </c>
      <c r="N58">
        <v>1</v>
      </c>
      <c r="O58">
        <v>3</v>
      </c>
      <c r="P58">
        <v>55</v>
      </c>
      <c r="Q58">
        <v>2</v>
      </c>
      <c r="R58" s="1">
        <v>40192</v>
      </c>
      <c r="S58" t="s">
        <v>29</v>
      </c>
      <c r="T58" t="str">
        <f t="shared" si="0"/>
        <v>Grade B</v>
      </c>
      <c r="U58">
        <f t="shared" si="1"/>
        <v>4</v>
      </c>
      <c r="V58" t="str">
        <f t="shared" si="2"/>
        <v>Senior</v>
      </c>
      <c r="W58" t="str">
        <f t="shared" si="3"/>
        <v>Low Risk</v>
      </c>
      <c r="X58" t="str">
        <f t="shared" si="4"/>
        <v>Fair</v>
      </c>
    </row>
    <row r="59" spans="1:24" x14ac:dyDescent="0.3">
      <c r="A59" t="s">
        <v>127</v>
      </c>
      <c r="B59" t="s">
        <v>20</v>
      </c>
      <c r="C59">
        <v>37</v>
      </c>
      <c r="D59" t="s">
        <v>57</v>
      </c>
      <c r="E59" t="s">
        <v>40</v>
      </c>
      <c r="F59" t="s">
        <v>53</v>
      </c>
      <c r="G59" t="s">
        <v>24</v>
      </c>
      <c r="H59" t="s">
        <v>67</v>
      </c>
      <c r="I59" t="s">
        <v>43</v>
      </c>
      <c r="J59" t="s">
        <v>44</v>
      </c>
      <c r="K59">
        <v>10</v>
      </c>
      <c r="L59">
        <v>90570</v>
      </c>
      <c r="M59" t="s">
        <v>36</v>
      </c>
      <c r="N59">
        <v>2</v>
      </c>
      <c r="O59">
        <v>2</v>
      </c>
      <c r="P59">
        <v>69</v>
      </c>
      <c r="Q59">
        <v>2</v>
      </c>
      <c r="R59" s="1">
        <v>41330</v>
      </c>
      <c r="S59" t="s">
        <v>37</v>
      </c>
      <c r="T59" t="str">
        <f t="shared" si="0"/>
        <v>Grade A</v>
      </c>
      <c r="U59">
        <f t="shared" si="1"/>
        <v>1</v>
      </c>
      <c r="V59" t="str">
        <f t="shared" si="2"/>
        <v>Mid Level</v>
      </c>
      <c r="W59" t="str">
        <f t="shared" si="3"/>
        <v>Already Left</v>
      </c>
      <c r="X59" t="str">
        <f t="shared" si="4"/>
        <v>Overpaid</v>
      </c>
    </row>
    <row r="60" spans="1:24" x14ac:dyDescent="0.3">
      <c r="A60" t="s">
        <v>128</v>
      </c>
      <c r="B60" t="s">
        <v>20</v>
      </c>
      <c r="C60">
        <v>41</v>
      </c>
      <c r="D60" t="s">
        <v>57</v>
      </c>
      <c r="E60" t="s">
        <v>40</v>
      </c>
      <c r="F60" t="s">
        <v>62</v>
      </c>
      <c r="G60" t="s">
        <v>42</v>
      </c>
      <c r="H60" t="s">
        <v>83</v>
      </c>
      <c r="I60" t="s">
        <v>96</v>
      </c>
      <c r="J60" t="s">
        <v>44</v>
      </c>
      <c r="K60">
        <v>15</v>
      </c>
      <c r="L60">
        <v>132910</v>
      </c>
      <c r="M60" t="s">
        <v>36</v>
      </c>
      <c r="N60">
        <v>3</v>
      </c>
      <c r="O60">
        <v>4</v>
      </c>
      <c r="P60">
        <v>48</v>
      </c>
      <c r="Q60">
        <v>1</v>
      </c>
      <c r="R60" s="1">
        <v>39591</v>
      </c>
      <c r="S60" t="s">
        <v>37</v>
      </c>
      <c r="T60" t="str">
        <f t="shared" si="0"/>
        <v>Grade A</v>
      </c>
      <c r="U60">
        <f t="shared" si="1"/>
        <v>1</v>
      </c>
      <c r="V60" t="str">
        <f t="shared" si="2"/>
        <v>Senior</v>
      </c>
      <c r="W60" t="str">
        <f t="shared" si="3"/>
        <v>Already Left</v>
      </c>
      <c r="X60" t="str">
        <f t="shared" si="4"/>
        <v>Overpaid</v>
      </c>
    </row>
    <row r="61" spans="1:24" x14ac:dyDescent="0.3">
      <c r="A61" t="s">
        <v>129</v>
      </c>
      <c r="B61" t="s">
        <v>20</v>
      </c>
      <c r="C61">
        <v>23</v>
      </c>
      <c r="D61" t="s">
        <v>57</v>
      </c>
      <c r="E61" t="s">
        <v>48</v>
      </c>
      <c r="F61" t="s">
        <v>78</v>
      </c>
      <c r="G61" t="s">
        <v>66</v>
      </c>
      <c r="H61" t="s">
        <v>83</v>
      </c>
      <c r="I61" t="s">
        <v>43</v>
      </c>
      <c r="J61" t="s">
        <v>44</v>
      </c>
      <c r="K61">
        <v>7</v>
      </c>
      <c r="L61">
        <v>57835</v>
      </c>
      <c r="M61" t="s">
        <v>28</v>
      </c>
      <c r="N61">
        <v>1</v>
      </c>
      <c r="O61">
        <v>1</v>
      </c>
      <c r="P61">
        <v>73</v>
      </c>
      <c r="Q61">
        <v>2</v>
      </c>
      <c r="R61" s="1">
        <v>42379</v>
      </c>
      <c r="S61" t="s">
        <v>29</v>
      </c>
      <c r="T61" t="str">
        <f t="shared" si="0"/>
        <v>Grade B</v>
      </c>
      <c r="U61">
        <f t="shared" si="1"/>
        <v>3</v>
      </c>
      <c r="V61" t="str">
        <f t="shared" si="2"/>
        <v>Mid Level</v>
      </c>
      <c r="W61" t="str">
        <f t="shared" si="3"/>
        <v>Medium Risk</v>
      </c>
      <c r="X61" t="str">
        <f t="shared" si="4"/>
        <v>Competitive</v>
      </c>
    </row>
    <row r="62" spans="1:24" x14ac:dyDescent="0.3">
      <c r="A62" t="s">
        <v>130</v>
      </c>
      <c r="B62" t="s">
        <v>39</v>
      </c>
      <c r="C62">
        <v>41</v>
      </c>
      <c r="D62" t="s">
        <v>57</v>
      </c>
      <c r="E62" t="s">
        <v>22</v>
      </c>
      <c r="F62" t="s">
        <v>65</v>
      </c>
      <c r="G62" t="s">
        <v>42</v>
      </c>
      <c r="H62" t="s">
        <v>67</v>
      </c>
      <c r="I62" t="s">
        <v>59</v>
      </c>
      <c r="J62" t="s">
        <v>60</v>
      </c>
      <c r="K62">
        <v>10</v>
      </c>
      <c r="L62">
        <v>109481</v>
      </c>
      <c r="M62" t="s">
        <v>28</v>
      </c>
      <c r="N62">
        <v>3</v>
      </c>
      <c r="O62">
        <v>2</v>
      </c>
      <c r="P62">
        <v>21</v>
      </c>
      <c r="Q62">
        <v>2</v>
      </c>
      <c r="R62" s="1">
        <v>41321</v>
      </c>
      <c r="S62" t="s">
        <v>37</v>
      </c>
      <c r="T62" t="str">
        <f t="shared" si="0"/>
        <v>Grade A</v>
      </c>
      <c r="U62">
        <f t="shared" si="1"/>
        <v>3</v>
      </c>
      <c r="V62" t="str">
        <f t="shared" si="2"/>
        <v>Mid Level</v>
      </c>
      <c r="W62" t="str">
        <f t="shared" si="3"/>
        <v>Already Left</v>
      </c>
      <c r="X62" t="str">
        <f t="shared" si="4"/>
        <v>Competitive</v>
      </c>
    </row>
    <row r="63" spans="1:24" x14ac:dyDescent="0.3">
      <c r="A63" t="s">
        <v>131</v>
      </c>
      <c r="B63" t="s">
        <v>39</v>
      </c>
      <c r="C63">
        <v>38</v>
      </c>
      <c r="D63" t="s">
        <v>57</v>
      </c>
      <c r="E63" t="s">
        <v>48</v>
      </c>
      <c r="F63" t="s">
        <v>75</v>
      </c>
      <c r="G63" t="s">
        <v>66</v>
      </c>
      <c r="H63" t="s">
        <v>67</v>
      </c>
      <c r="I63" t="s">
        <v>72</v>
      </c>
      <c r="J63" t="s">
        <v>73</v>
      </c>
      <c r="K63">
        <v>3</v>
      </c>
      <c r="L63">
        <v>48394</v>
      </c>
      <c r="M63" t="s">
        <v>28</v>
      </c>
      <c r="N63">
        <v>3</v>
      </c>
      <c r="O63">
        <v>1</v>
      </c>
      <c r="P63">
        <v>69</v>
      </c>
      <c r="Q63">
        <v>0</v>
      </c>
      <c r="R63" s="1">
        <v>44058</v>
      </c>
      <c r="S63" t="s">
        <v>29</v>
      </c>
      <c r="T63" t="str">
        <f t="shared" si="0"/>
        <v>Grade C</v>
      </c>
      <c r="U63">
        <f t="shared" si="1"/>
        <v>3</v>
      </c>
      <c r="V63" t="str">
        <f t="shared" si="2"/>
        <v>Junior</v>
      </c>
      <c r="W63" t="str">
        <f t="shared" si="3"/>
        <v>Medium Risk</v>
      </c>
      <c r="X63" t="str">
        <f t="shared" si="4"/>
        <v>Fair</v>
      </c>
    </row>
    <row r="64" spans="1:24" x14ac:dyDescent="0.3">
      <c r="A64" t="s">
        <v>132</v>
      </c>
      <c r="B64" t="s">
        <v>39</v>
      </c>
      <c r="C64">
        <v>51</v>
      </c>
      <c r="D64" t="s">
        <v>31</v>
      </c>
      <c r="E64" t="s">
        <v>40</v>
      </c>
      <c r="F64" t="s">
        <v>32</v>
      </c>
      <c r="G64" t="s">
        <v>63</v>
      </c>
      <c r="H64" t="s">
        <v>76</v>
      </c>
      <c r="I64" t="s">
        <v>68</v>
      </c>
      <c r="J64" t="s">
        <v>60</v>
      </c>
      <c r="K64">
        <v>2</v>
      </c>
      <c r="L64">
        <v>39456</v>
      </c>
      <c r="M64" t="s">
        <v>45</v>
      </c>
      <c r="N64">
        <v>3</v>
      </c>
      <c r="O64">
        <v>4</v>
      </c>
      <c r="P64">
        <v>57</v>
      </c>
      <c r="Q64">
        <v>0</v>
      </c>
      <c r="R64" s="1">
        <v>44288</v>
      </c>
      <c r="S64" t="s">
        <v>29</v>
      </c>
      <c r="T64" t="str">
        <f t="shared" si="0"/>
        <v>Grade C</v>
      </c>
      <c r="U64">
        <f t="shared" si="1"/>
        <v>2</v>
      </c>
      <c r="V64" t="str">
        <f t="shared" si="2"/>
        <v>New Joiner</v>
      </c>
      <c r="W64" t="str">
        <f t="shared" si="3"/>
        <v>Medium Risk</v>
      </c>
      <c r="X64" t="str">
        <f t="shared" si="4"/>
        <v>Fair</v>
      </c>
    </row>
    <row r="65" spans="1:24" x14ac:dyDescent="0.3">
      <c r="A65" t="s">
        <v>133</v>
      </c>
      <c r="B65" t="s">
        <v>20</v>
      </c>
      <c r="C65">
        <v>48</v>
      </c>
      <c r="D65" t="s">
        <v>21</v>
      </c>
      <c r="E65" t="s">
        <v>22</v>
      </c>
      <c r="F65" t="s">
        <v>78</v>
      </c>
      <c r="G65" t="s">
        <v>49</v>
      </c>
      <c r="H65" t="s">
        <v>83</v>
      </c>
      <c r="I65" t="s">
        <v>59</v>
      </c>
      <c r="J65" t="s">
        <v>60</v>
      </c>
      <c r="K65">
        <v>15</v>
      </c>
      <c r="L65">
        <v>72071</v>
      </c>
      <c r="M65" t="s">
        <v>45</v>
      </c>
      <c r="N65">
        <v>1</v>
      </c>
      <c r="O65">
        <v>1</v>
      </c>
      <c r="P65">
        <v>48</v>
      </c>
      <c r="Q65">
        <v>3</v>
      </c>
      <c r="R65" s="1">
        <v>39459</v>
      </c>
      <c r="S65" t="s">
        <v>29</v>
      </c>
      <c r="T65" t="str">
        <f t="shared" si="0"/>
        <v>Grade B</v>
      </c>
      <c r="U65">
        <f t="shared" si="1"/>
        <v>2</v>
      </c>
      <c r="V65" t="str">
        <f t="shared" si="2"/>
        <v>Senior</v>
      </c>
      <c r="W65" t="str">
        <f t="shared" si="3"/>
        <v>Medium Risk</v>
      </c>
      <c r="X65" t="str">
        <f t="shared" si="4"/>
        <v>Fair</v>
      </c>
    </row>
    <row r="66" spans="1:24" x14ac:dyDescent="0.3">
      <c r="A66" t="s">
        <v>134</v>
      </c>
      <c r="B66" t="s">
        <v>39</v>
      </c>
      <c r="C66">
        <v>48</v>
      </c>
      <c r="D66" t="s">
        <v>21</v>
      </c>
      <c r="E66" t="s">
        <v>48</v>
      </c>
      <c r="F66" t="s">
        <v>41</v>
      </c>
      <c r="G66" t="s">
        <v>33</v>
      </c>
      <c r="H66" t="s">
        <v>67</v>
      </c>
      <c r="I66" t="s">
        <v>26</v>
      </c>
      <c r="J66" t="s">
        <v>27</v>
      </c>
      <c r="K66">
        <v>7</v>
      </c>
      <c r="L66">
        <v>76157</v>
      </c>
      <c r="M66" t="s">
        <v>28</v>
      </c>
      <c r="N66">
        <v>4</v>
      </c>
      <c r="O66">
        <v>3</v>
      </c>
      <c r="P66">
        <v>14</v>
      </c>
      <c r="Q66">
        <v>2</v>
      </c>
      <c r="R66" s="1">
        <v>42523</v>
      </c>
      <c r="S66" t="s">
        <v>29</v>
      </c>
      <c r="T66" t="str">
        <f t="shared" ref="T66:T129" si="5">IF(L66&gt;=80000,"Grade A",IF(L66&gt;=50000,"Grade B",IF(L66&gt;=35000,"Grade C","Grade D")))</f>
        <v>Grade B</v>
      </c>
      <c r="U66">
        <f t="shared" ref="U66:U129" si="6">IF(M66="Excellent",4,IF(M66="Good",3,IF(M66="Average",2,1)))</f>
        <v>3</v>
      </c>
      <c r="V66" t="str">
        <f t="shared" ref="V66:V129" si="7">IF(K66&lt;=2,"New Joiner",IF(K66&lt;=5,"Junior",IF(K66&lt;=10,"Mid Level","Senior")))</f>
        <v>Mid Level</v>
      </c>
      <c r="W66" t="str">
        <f t="shared" ref="W66:W129" si="8">IF(S66="Yes","Already Left",IF(AND(K66&lt;=2,M66="Poor"),"High Risk",IF(AND(K66&lt;=5,M66="Average"),"Medium Risk",IF(M66="Excellent","Low Risk","Medium Risk"))))</f>
        <v>Medium Risk</v>
      </c>
      <c r="X66" t="str">
        <f t="shared" ref="X66:X129" si="9">IF(AND(L66&gt;=80000,M66="Excellent"),"Competitive",IF(AND(L66&gt;=50000,M66="Good"),"Competitive",IF(AND(L66&lt;35000,M66="Excellent"),"Underpaid",IF(AND(L66&gt;=80000,M66="Poor"),"Overpaid","Fair"))))</f>
        <v>Competitive</v>
      </c>
    </row>
    <row r="67" spans="1:24" x14ac:dyDescent="0.3">
      <c r="A67" t="s">
        <v>135</v>
      </c>
      <c r="B67" t="s">
        <v>20</v>
      </c>
      <c r="C67">
        <v>25</v>
      </c>
      <c r="D67" t="s">
        <v>57</v>
      </c>
      <c r="E67" t="s">
        <v>48</v>
      </c>
      <c r="F67" t="s">
        <v>78</v>
      </c>
      <c r="G67" t="s">
        <v>66</v>
      </c>
      <c r="H67" t="s">
        <v>76</v>
      </c>
      <c r="I67" t="s">
        <v>59</v>
      </c>
      <c r="J67" t="s">
        <v>60</v>
      </c>
      <c r="K67">
        <v>14</v>
      </c>
      <c r="L67">
        <v>56255</v>
      </c>
      <c r="M67" t="s">
        <v>28</v>
      </c>
      <c r="N67">
        <v>2</v>
      </c>
      <c r="O67">
        <v>1</v>
      </c>
      <c r="P67">
        <v>68</v>
      </c>
      <c r="Q67">
        <v>0</v>
      </c>
      <c r="R67" s="1">
        <v>39904</v>
      </c>
      <c r="S67" t="s">
        <v>29</v>
      </c>
      <c r="T67" t="str">
        <f t="shared" si="5"/>
        <v>Grade B</v>
      </c>
      <c r="U67">
        <f t="shared" si="6"/>
        <v>3</v>
      </c>
      <c r="V67" t="str">
        <f t="shared" si="7"/>
        <v>Senior</v>
      </c>
      <c r="W67" t="str">
        <f t="shared" si="8"/>
        <v>Medium Risk</v>
      </c>
      <c r="X67" t="str">
        <f t="shared" si="9"/>
        <v>Competitive</v>
      </c>
    </row>
    <row r="68" spans="1:24" x14ac:dyDescent="0.3">
      <c r="A68" t="s">
        <v>136</v>
      </c>
      <c r="B68" t="s">
        <v>39</v>
      </c>
      <c r="C68">
        <v>35</v>
      </c>
      <c r="D68" t="s">
        <v>47</v>
      </c>
      <c r="E68" t="s">
        <v>48</v>
      </c>
      <c r="F68" t="s">
        <v>23</v>
      </c>
      <c r="G68" t="s">
        <v>24</v>
      </c>
      <c r="H68" t="s">
        <v>83</v>
      </c>
      <c r="I68" t="s">
        <v>59</v>
      </c>
      <c r="J68" t="s">
        <v>60</v>
      </c>
      <c r="K68">
        <v>4</v>
      </c>
      <c r="L68">
        <v>91500</v>
      </c>
      <c r="M68" t="s">
        <v>45</v>
      </c>
      <c r="N68">
        <v>2</v>
      </c>
      <c r="O68">
        <v>1</v>
      </c>
      <c r="P68">
        <v>45</v>
      </c>
      <c r="Q68">
        <v>1</v>
      </c>
      <c r="R68" s="1">
        <v>43797</v>
      </c>
      <c r="S68" t="s">
        <v>29</v>
      </c>
      <c r="T68" t="str">
        <f t="shared" si="5"/>
        <v>Grade A</v>
      </c>
      <c r="U68">
        <f t="shared" si="6"/>
        <v>2</v>
      </c>
      <c r="V68" t="str">
        <f t="shared" si="7"/>
        <v>Junior</v>
      </c>
      <c r="W68" t="str">
        <f t="shared" si="8"/>
        <v>Medium Risk</v>
      </c>
      <c r="X68" t="str">
        <f t="shared" si="9"/>
        <v>Fair</v>
      </c>
    </row>
    <row r="69" spans="1:24" x14ac:dyDescent="0.3">
      <c r="A69" t="s">
        <v>137</v>
      </c>
      <c r="B69" t="s">
        <v>39</v>
      </c>
      <c r="C69">
        <v>42</v>
      </c>
      <c r="D69" t="s">
        <v>21</v>
      </c>
      <c r="E69" t="s">
        <v>22</v>
      </c>
      <c r="F69" t="s">
        <v>62</v>
      </c>
      <c r="G69" t="s">
        <v>58</v>
      </c>
      <c r="H69" t="s">
        <v>67</v>
      </c>
      <c r="I69" t="s">
        <v>68</v>
      </c>
      <c r="J69" t="s">
        <v>60</v>
      </c>
      <c r="K69">
        <v>11</v>
      </c>
      <c r="L69">
        <v>101318</v>
      </c>
      <c r="M69" t="s">
        <v>51</v>
      </c>
      <c r="N69">
        <v>3</v>
      </c>
      <c r="O69">
        <v>1</v>
      </c>
      <c r="P69">
        <v>26</v>
      </c>
      <c r="Q69">
        <v>3</v>
      </c>
      <c r="R69" s="1">
        <v>41094</v>
      </c>
      <c r="S69" t="s">
        <v>37</v>
      </c>
      <c r="T69" t="str">
        <f t="shared" si="5"/>
        <v>Grade A</v>
      </c>
      <c r="U69">
        <f t="shared" si="6"/>
        <v>4</v>
      </c>
      <c r="V69" t="str">
        <f t="shared" si="7"/>
        <v>Senior</v>
      </c>
      <c r="W69" t="str">
        <f t="shared" si="8"/>
        <v>Already Left</v>
      </c>
      <c r="X69" t="str">
        <f t="shared" si="9"/>
        <v>Competitive</v>
      </c>
    </row>
    <row r="70" spans="1:24" x14ac:dyDescent="0.3">
      <c r="A70" t="s">
        <v>138</v>
      </c>
      <c r="B70" t="s">
        <v>39</v>
      </c>
      <c r="C70">
        <v>24</v>
      </c>
      <c r="D70" t="s">
        <v>88</v>
      </c>
      <c r="E70" t="s">
        <v>48</v>
      </c>
      <c r="F70" t="s">
        <v>41</v>
      </c>
      <c r="G70" t="s">
        <v>66</v>
      </c>
      <c r="H70" t="s">
        <v>83</v>
      </c>
      <c r="I70" t="s">
        <v>35</v>
      </c>
      <c r="J70" t="s">
        <v>27</v>
      </c>
      <c r="K70">
        <v>8</v>
      </c>
      <c r="L70">
        <v>57817</v>
      </c>
      <c r="M70" t="s">
        <v>36</v>
      </c>
      <c r="N70">
        <v>4</v>
      </c>
      <c r="O70">
        <v>1</v>
      </c>
      <c r="P70">
        <v>17</v>
      </c>
      <c r="Q70">
        <v>3</v>
      </c>
      <c r="R70" s="1">
        <v>42141</v>
      </c>
      <c r="S70" t="s">
        <v>37</v>
      </c>
      <c r="T70" t="str">
        <f t="shared" si="5"/>
        <v>Grade B</v>
      </c>
      <c r="U70">
        <f t="shared" si="6"/>
        <v>1</v>
      </c>
      <c r="V70" t="str">
        <f t="shared" si="7"/>
        <v>Mid Level</v>
      </c>
      <c r="W70" t="str">
        <f t="shared" si="8"/>
        <v>Already Left</v>
      </c>
      <c r="X70" t="str">
        <f t="shared" si="9"/>
        <v>Fair</v>
      </c>
    </row>
    <row r="71" spans="1:24" x14ac:dyDescent="0.3">
      <c r="A71" t="s">
        <v>139</v>
      </c>
      <c r="B71" t="s">
        <v>39</v>
      </c>
      <c r="C71">
        <v>26</v>
      </c>
      <c r="D71" t="s">
        <v>47</v>
      </c>
      <c r="E71" t="s">
        <v>48</v>
      </c>
      <c r="F71" t="s">
        <v>75</v>
      </c>
      <c r="G71" t="s">
        <v>33</v>
      </c>
      <c r="H71" t="s">
        <v>83</v>
      </c>
      <c r="I71" t="s">
        <v>43</v>
      </c>
      <c r="J71" t="s">
        <v>44</v>
      </c>
      <c r="K71">
        <v>12</v>
      </c>
      <c r="L71">
        <v>76408</v>
      </c>
      <c r="M71" t="s">
        <v>36</v>
      </c>
      <c r="N71">
        <v>3</v>
      </c>
      <c r="O71">
        <v>4</v>
      </c>
      <c r="P71">
        <v>77</v>
      </c>
      <c r="Q71">
        <v>2</v>
      </c>
      <c r="R71" s="1">
        <v>40601</v>
      </c>
      <c r="S71" t="s">
        <v>37</v>
      </c>
      <c r="T71" t="str">
        <f t="shared" si="5"/>
        <v>Grade B</v>
      </c>
      <c r="U71">
        <f t="shared" si="6"/>
        <v>1</v>
      </c>
      <c r="V71" t="str">
        <f t="shared" si="7"/>
        <v>Senior</v>
      </c>
      <c r="W71" t="str">
        <f t="shared" si="8"/>
        <v>Already Left</v>
      </c>
      <c r="X71" t="str">
        <f t="shared" si="9"/>
        <v>Fair</v>
      </c>
    </row>
    <row r="72" spans="1:24" x14ac:dyDescent="0.3">
      <c r="A72" t="s">
        <v>140</v>
      </c>
      <c r="B72" t="s">
        <v>20</v>
      </c>
      <c r="C72">
        <v>43</v>
      </c>
      <c r="D72" t="s">
        <v>57</v>
      </c>
      <c r="E72" t="s">
        <v>48</v>
      </c>
      <c r="F72" t="s">
        <v>75</v>
      </c>
      <c r="G72" t="s">
        <v>49</v>
      </c>
      <c r="H72" t="s">
        <v>83</v>
      </c>
      <c r="I72" t="s">
        <v>96</v>
      </c>
      <c r="J72" t="s">
        <v>44</v>
      </c>
      <c r="K72">
        <v>14</v>
      </c>
      <c r="L72">
        <v>82092</v>
      </c>
      <c r="M72" t="s">
        <v>51</v>
      </c>
      <c r="N72">
        <v>4</v>
      </c>
      <c r="O72">
        <v>1</v>
      </c>
      <c r="P72">
        <v>50</v>
      </c>
      <c r="Q72">
        <v>3</v>
      </c>
      <c r="R72" s="1">
        <v>40066</v>
      </c>
      <c r="S72" t="s">
        <v>29</v>
      </c>
      <c r="T72" t="str">
        <f t="shared" si="5"/>
        <v>Grade A</v>
      </c>
      <c r="U72">
        <f t="shared" si="6"/>
        <v>4</v>
      </c>
      <c r="V72" t="str">
        <f t="shared" si="7"/>
        <v>Senior</v>
      </c>
      <c r="W72" t="str">
        <f t="shared" si="8"/>
        <v>Low Risk</v>
      </c>
      <c r="X72" t="str">
        <f t="shared" si="9"/>
        <v>Competitive</v>
      </c>
    </row>
    <row r="73" spans="1:24" x14ac:dyDescent="0.3">
      <c r="A73" t="s">
        <v>141</v>
      </c>
      <c r="B73" t="s">
        <v>39</v>
      </c>
      <c r="C73">
        <v>49</v>
      </c>
      <c r="D73" t="s">
        <v>21</v>
      </c>
      <c r="E73" t="s">
        <v>40</v>
      </c>
      <c r="F73" t="s">
        <v>62</v>
      </c>
      <c r="G73" t="s">
        <v>33</v>
      </c>
      <c r="H73" t="s">
        <v>25</v>
      </c>
      <c r="I73" t="s">
        <v>72</v>
      </c>
      <c r="J73" t="s">
        <v>73</v>
      </c>
      <c r="K73">
        <v>11</v>
      </c>
      <c r="L73">
        <v>74199</v>
      </c>
      <c r="M73" t="s">
        <v>28</v>
      </c>
      <c r="N73">
        <v>3</v>
      </c>
      <c r="O73">
        <v>2</v>
      </c>
      <c r="P73">
        <v>17</v>
      </c>
      <c r="Q73">
        <v>2</v>
      </c>
      <c r="R73" s="1">
        <v>41234</v>
      </c>
      <c r="S73" t="s">
        <v>37</v>
      </c>
      <c r="T73" t="str">
        <f t="shared" si="5"/>
        <v>Grade B</v>
      </c>
      <c r="U73">
        <f t="shared" si="6"/>
        <v>3</v>
      </c>
      <c r="V73" t="str">
        <f t="shared" si="7"/>
        <v>Senior</v>
      </c>
      <c r="W73" t="str">
        <f t="shared" si="8"/>
        <v>Already Left</v>
      </c>
      <c r="X73" t="str">
        <f t="shared" si="9"/>
        <v>Competitive</v>
      </c>
    </row>
    <row r="74" spans="1:24" x14ac:dyDescent="0.3">
      <c r="A74" t="s">
        <v>142</v>
      </c>
      <c r="B74" t="s">
        <v>39</v>
      </c>
      <c r="C74">
        <v>54</v>
      </c>
      <c r="D74" t="s">
        <v>47</v>
      </c>
      <c r="E74" t="s">
        <v>22</v>
      </c>
      <c r="F74" t="s">
        <v>75</v>
      </c>
      <c r="G74" t="s">
        <v>58</v>
      </c>
      <c r="H74" t="s">
        <v>25</v>
      </c>
      <c r="I74" t="s">
        <v>26</v>
      </c>
      <c r="J74" t="s">
        <v>27</v>
      </c>
      <c r="K74">
        <v>14</v>
      </c>
      <c r="L74">
        <v>112425</v>
      </c>
      <c r="M74" t="s">
        <v>36</v>
      </c>
      <c r="N74">
        <v>4</v>
      </c>
      <c r="O74">
        <v>2</v>
      </c>
      <c r="P74">
        <v>23</v>
      </c>
      <c r="Q74">
        <v>2</v>
      </c>
      <c r="R74" s="1">
        <v>40002</v>
      </c>
      <c r="S74" t="s">
        <v>37</v>
      </c>
      <c r="T74" t="str">
        <f t="shared" si="5"/>
        <v>Grade A</v>
      </c>
      <c r="U74">
        <f t="shared" si="6"/>
        <v>1</v>
      </c>
      <c r="V74" t="str">
        <f t="shared" si="7"/>
        <v>Senior</v>
      </c>
      <c r="W74" t="str">
        <f t="shared" si="8"/>
        <v>Already Left</v>
      </c>
      <c r="X74" t="str">
        <f t="shared" si="9"/>
        <v>Overpaid</v>
      </c>
    </row>
    <row r="75" spans="1:24" x14ac:dyDescent="0.3">
      <c r="A75" t="s">
        <v>143</v>
      </c>
      <c r="B75" t="s">
        <v>39</v>
      </c>
      <c r="C75">
        <v>39</v>
      </c>
      <c r="D75" t="s">
        <v>21</v>
      </c>
      <c r="E75" t="s">
        <v>22</v>
      </c>
      <c r="F75" t="s">
        <v>65</v>
      </c>
      <c r="G75" t="s">
        <v>49</v>
      </c>
      <c r="H75" t="s">
        <v>83</v>
      </c>
      <c r="I75" t="s">
        <v>35</v>
      </c>
      <c r="J75" t="s">
        <v>27</v>
      </c>
      <c r="K75">
        <v>10</v>
      </c>
      <c r="L75">
        <v>74061</v>
      </c>
      <c r="M75" t="s">
        <v>45</v>
      </c>
      <c r="N75">
        <v>3</v>
      </c>
      <c r="O75">
        <v>3</v>
      </c>
      <c r="P75">
        <v>53</v>
      </c>
      <c r="Q75">
        <v>2</v>
      </c>
      <c r="R75" s="1">
        <v>41324</v>
      </c>
      <c r="S75" t="s">
        <v>29</v>
      </c>
      <c r="T75" t="str">
        <f t="shared" si="5"/>
        <v>Grade B</v>
      </c>
      <c r="U75">
        <f t="shared" si="6"/>
        <v>2</v>
      </c>
      <c r="V75" t="str">
        <f t="shared" si="7"/>
        <v>Mid Level</v>
      </c>
      <c r="W75" t="str">
        <f t="shared" si="8"/>
        <v>Medium Risk</v>
      </c>
      <c r="X75" t="str">
        <f t="shared" si="9"/>
        <v>Fair</v>
      </c>
    </row>
    <row r="76" spans="1:24" x14ac:dyDescent="0.3">
      <c r="A76" t="s">
        <v>144</v>
      </c>
      <c r="B76" t="s">
        <v>39</v>
      </c>
      <c r="C76">
        <v>46</v>
      </c>
      <c r="D76" t="s">
        <v>57</v>
      </c>
      <c r="E76" t="s">
        <v>48</v>
      </c>
      <c r="F76" t="s">
        <v>53</v>
      </c>
      <c r="G76" t="s">
        <v>24</v>
      </c>
      <c r="H76" t="s">
        <v>67</v>
      </c>
      <c r="I76" t="s">
        <v>50</v>
      </c>
      <c r="J76" t="s">
        <v>44</v>
      </c>
      <c r="K76">
        <v>2</v>
      </c>
      <c r="L76">
        <v>70004</v>
      </c>
      <c r="M76" t="s">
        <v>36</v>
      </c>
      <c r="N76">
        <v>3</v>
      </c>
      <c r="O76">
        <v>2</v>
      </c>
      <c r="P76">
        <v>57</v>
      </c>
      <c r="Q76">
        <v>2</v>
      </c>
      <c r="R76" s="1">
        <v>44291</v>
      </c>
      <c r="S76" t="s">
        <v>29</v>
      </c>
      <c r="T76" t="str">
        <f t="shared" si="5"/>
        <v>Grade B</v>
      </c>
      <c r="U76">
        <f t="shared" si="6"/>
        <v>1</v>
      </c>
      <c r="V76" t="str">
        <f t="shared" si="7"/>
        <v>New Joiner</v>
      </c>
      <c r="W76" t="str">
        <f t="shared" si="8"/>
        <v>High Risk</v>
      </c>
      <c r="X76" t="str">
        <f t="shared" si="9"/>
        <v>Fair</v>
      </c>
    </row>
    <row r="77" spans="1:24" x14ac:dyDescent="0.3">
      <c r="A77" t="s">
        <v>145</v>
      </c>
      <c r="B77" t="s">
        <v>20</v>
      </c>
      <c r="C77">
        <v>53</v>
      </c>
      <c r="D77" t="s">
        <v>88</v>
      </c>
      <c r="E77" t="s">
        <v>48</v>
      </c>
      <c r="F77" t="s">
        <v>41</v>
      </c>
      <c r="G77" t="s">
        <v>58</v>
      </c>
      <c r="H77" t="s">
        <v>83</v>
      </c>
      <c r="I77" t="s">
        <v>72</v>
      </c>
      <c r="J77" t="s">
        <v>73</v>
      </c>
      <c r="K77">
        <v>3</v>
      </c>
      <c r="L77">
        <v>83673</v>
      </c>
      <c r="M77" t="s">
        <v>28</v>
      </c>
      <c r="N77">
        <v>4</v>
      </c>
      <c r="O77">
        <v>3</v>
      </c>
      <c r="P77">
        <v>37</v>
      </c>
      <c r="Q77">
        <v>0</v>
      </c>
      <c r="R77" s="1">
        <v>43971</v>
      </c>
      <c r="S77" t="s">
        <v>29</v>
      </c>
      <c r="T77" t="str">
        <f t="shared" si="5"/>
        <v>Grade A</v>
      </c>
      <c r="U77">
        <f t="shared" si="6"/>
        <v>3</v>
      </c>
      <c r="V77" t="str">
        <f t="shared" si="7"/>
        <v>Junior</v>
      </c>
      <c r="W77" t="str">
        <f t="shared" si="8"/>
        <v>Medium Risk</v>
      </c>
      <c r="X77" t="str">
        <f t="shared" si="9"/>
        <v>Competitive</v>
      </c>
    </row>
    <row r="78" spans="1:24" x14ac:dyDescent="0.3">
      <c r="A78" t="s">
        <v>146</v>
      </c>
      <c r="B78" t="s">
        <v>39</v>
      </c>
      <c r="C78">
        <v>47</v>
      </c>
      <c r="D78" t="s">
        <v>88</v>
      </c>
      <c r="E78" t="s">
        <v>22</v>
      </c>
      <c r="F78" t="s">
        <v>75</v>
      </c>
      <c r="G78" t="s">
        <v>33</v>
      </c>
      <c r="H78" t="s">
        <v>83</v>
      </c>
      <c r="I78" t="s">
        <v>72</v>
      </c>
      <c r="J78" t="s">
        <v>73</v>
      </c>
      <c r="K78">
        <v>11</v>
      </c>
      <c r="L78">
        <v>89266</v>
      </c>
      <c r="M78" t="s">
        <v>45</v>
      </c>
      <c r="N78">
        <v>1</v>
      </c>
      <c r="O78">
        <v>2</v>
      </c>
      <c r="P78">
        <v>48</v>
      </c>
      <c r="Q78">
        <v>1</v>
      </c>
      <c r="R78" s="1">
        <v>41254</v>
      </c>
      <c r="S78" t="s">
        <v>29</v>
      </c>
      <c r="T78" t="str">
        <f t="shared" si="5"/>
        <v>Grade A</v>
      </c>
      <c r="U78">
        <f t="shared" si="6"/>
        <v>2</v>
      </c>
      <c r="V78" t="str">
        <f t="shared" si="7"/>
        <v>Senior</v>
      </c>
      <c r="W78" t="str">
        <f t="shared" si="8"/>
        <v>Medium Risk</v>
      </c>
      <c r="X78" t="str">
        <f t="shared" si="9"/>
        <v>Fair</v>
      </c>
    </row>
    <row r="79" spans="1:24" x14ac:dyDescent="0.3">
      <c r="A79" t="s">
        <v>147</v>
      </c>
      <c r="B79" t="s">
        <v>39</v>
      </c>
      <c r="C79">
        <v>46</v>
      </c>
      <c r="D79" t="s">
        <v>88</v>
      </c>
      <c r="E79" t="s">
        <v>40</v>
      </c>
      <c r="F79" t="s">
        <v>62</v>
      </c>
      <c r="G79" t="s">
        <v>58</v>
      </c>
      <c r="H79" t="s">
        <v>25</v>
      </c>
      <c r="I79" t="s">
        <v>68</v>
      </c>
      <c r="J79" t="s">
        <v>60</v>
      </c>
      <c r="K79">
        <v>2</v>
      </c>
      <c r="L79">
        <v>95298</v>
      </c>
      <c r="M79" t="s">
        <v>45</v>
      </c>
      <c r="N79">
        <v>2</v>
      </c>
      <c r="O79">
        <v>3</v>
      </c>
      <c r="P79">
        <v>19</v>
      </c>
      <c r="Q79">
        <v>3</v>
      </c>
      <c r="R79" s="1">
        <v>44473</v>
      </c>
      <c r="S79" t="s">
        <v>29</v>
      </c>
      <c r="T79" t="str">
        <f t="shared" si="5"/>
        <v>Grade A</v>
      </c>
      <c r="U79">
        <f t="shared" si="6"/>
        <v>2</v>
      </c>
      <c r="V79" t="str">
        <f t="shared" si="7"/>
        <v>New Joiner</v>
      </c>
      <c r="W79" t="str">
        <f t="shared" si="8"/>
        <v>Medium Risk</v>
      </c>
      <c r="X79" t="str">
        <f t="shared" si="9"/>
        <v>Fair</v>
      </c>
    </row>
    <row r="80" spans="1:24" x14ac:dyDescent="0.3">
      <c r="A80" t="s">
        <v>148</v>
      </c>
      <c r="B80" t="s">
        <v>20</v>
      </c>
      <c r="C80">
        <v>48</v>
      </c>
      <c r="D80" t="s">
        <v>31</v>
      </c>
      <c r="E80" t="s">
        <v>22</v>
      </c>
      <c r="F80" t="s">
        <v>75</v>
      </c>
      <c r="G80" t="s">
        <v>79</v>
      </c>
      <c r="H80" t="s">
        <v>83</v>
      </c>
      <c r="I80" t="s">
        <v>50</v>
      </c>
      <c r="J80" t="s">
        <v>44</v>
      </c>
      <c r="K80">
        <v>15</v>
      </c>
      <c r="L80">
        <v>70258</v>
      </c>
      <c r="M80" t="s">
        <v>36</v>
      </c>
      <c r="N80">
        <v>4</v>
      </c>
      <c r="O80">
        <v>1</v>
      </c>
      <c r="P80">
        <v>51</v>
      </c>
      <c r="Q80">
        <v>1</v>
      </c>
      <c r="R80" s="1">
        <v>39524</v>
      </c>
      <c r="S80" t="s">
        <v>37</v>
      </c>
      <c r="T80" t="str">
        <f t="shared" si="5"/>
        <v>Grade B</v>
      </c>
      <c r="U80">
        <f t="shared" si="6"/>
        <v>1</v>
      </c>
      <c r="V80" t="str">
        <f t="shared" si="7"/>
        <v>Senior</v>
      </c>
      <c r="W80" t="str">
        <f t="shared" si="8"/>
        <v>Already Left</v>
      </c>
      <c r="X80" t="str">
        <f t="shared" si="9"/>
        <v>Fair</v>
      </c>
    </row>
    <row r="81" spans="1:24" x14ac:dyDescent="0.3">
      <c r="A81" t="s">
        <v>149</v>
      </c>
      <c r="B81" t="s">
        <v>20</v>
      </c>
      <c r="C81">
        <v>55</v>
      </c>
      <c r="D81" t="s">
        <v>21</v>
      </c>
      <c r="E81" t="s">
        <v>48</v>
      </c>
      <c r="F81" t="s">
        <v>78</v>
      </c>
      <c r="G81" t="s">
        <v>79</v>
      </c>
      <c r="H81" t="s">
        <v>25</v>
      </c>
      <c r="I81" t="s">
        <v>54</v>
      </c>
      <c r="J81" t="s">
        <v>27</v>
      </c>
      <c r="K81">
        <v>7</v>
      </c>
      <c r="L81">
        <v>51972</v>
      </c>
      <c r="M81" t="s">
        <v>51</v>
      </c>
      <c r="N81">
        <v>3</v>
      </c>
      <c r="O81">
        <v>3</v>
      </c>
      <c r="P81">
        <v>38</v>
      </c>
      <c r="Q81">
        <v>2</v>
      </c>
      <c r="R81" s="1">
        <v>42436</v>
      </c>
      <c r="S81" t="s">
        <v>29</v>
      </c>
      <c r="T81" t="str">
        <f t="shared" si="5"/>
        <v>Grade B</v>
      </c>
      <c r="U81">
        <f t="shared" si="6"/>
        <v>4</v>
      </c>
      <c r="V81" t="str">
        <f t="shared" si="7"/>
        <v>Mid Level</v>
      </c>
      <c r="W81" t="str">
        <f t="shared" si="8"/>
        <v>Low Risk</v>
      </c>
      <c r="X81" t="str">
        <f t="shared" si="9"/>
        <v>Fair</v>
      </c>
    </row>
    <row r="82" spans="1:24" x14ac:dyDescent="0.3">
      <c r="A82" t="s">
        <v>150</v>
      </c>
      <c r="B82" t="s">
        <v>39</v>
      </c>
      <c r="C82">
        <v>37</v>
      </c>
      <c r="D82" t="s">
        <v>21</v>
      </c>
      <c r="E82" t="s">
        <v>22</v>
      </c>
      <c r="F82" t="s">
        <v>41</v>
      </c>
      <c r="G82" t="s">
        <v>49</v>
      </c>
      <c r="H82" t="s">
        <v>34</v>
      </c>
      <c r="I82" t="s">
        <v>68</v>
      </c>
      <c r="J82" t="s">
        <v>60</v>
      </c>
      <c r="K82">
        <v>9</v>
      </c>
      <c r="L82">
        <v>69448</v>
      </c>
      <c r="M82" t="s">
        <v>51</v>
      </c>
      <c r="N82">
        <v>3</v>
      </c>
      <c r="O82">
        <v>2</v>
      </c>
      <c r="P82">
        <v>32</v>
      </c>
      <c r="Q82">
        <v>1</v>
      </c>
      <c r="R82" s="1">
        <v>41677</v>
      </c>
      <c r="S82" t="s">
        <v>29</v>
      </c>
      <c r="T82" t="str">
        <f t="shared" si="5"/>
        <v>Grade B</v>
      </c>
      <c r="U82">
        <f t="shared" si="6"/>
        <v>4</v>
      </c>
      <c r="V82" t="str">
        <f t="shared" si="7"/>
        <v>Mid Level</v>
      </c>
      <c r="W82" t="str">
        <f t="shared" si="8"/>
        <v>Low Risk</v>
      </c>
      <c r="X82" t="str">
        <f t="shared" si="9"/>
        <v>Fair</v>
      </c>
    </row>
    <row r="83" spans="1:24" x14ac:dyDescent="0.3">
      <c r="A83" t="s">
        <v>151</v>
      </c>
      <c r="B83" t="s">
        <v>20</v>
      </c>
      <c r="C83">
        <v>31</v>
      </c>
      <c r="D83" t="s">
        <v>57</v>
      </c>
      <c r="E83" t="s">
        <v>22</v>
      </c>
      <c r="F83" t="s">
        <v>53</v>
      </c>
      <c r="G83" t="s">
        <v>33</v>
      </c>
      <c r="H83" t="s">
        <v>76</v>
      </c>
      <c r="I83" t="s">
        <v>26</v>
      </c>
      <c r="J83" t="s">
        <v>27</v>
      </c>
      <c r="K83">
        <v>13</v>
      </c>
      <c r="L83">
        <v>94497</v>
      </c>
      <c r="M83" t="s">
        <v>36</v>
      </c>
      <c r="N83">
        <v>4</v>
      </c>
      <c r="O83">
        <v>4</v>
      </c>
      <c r="P83">
        <v>48</v>
      </c>
      <c r="Q83">
        <v>2</v>
      </c>
      <c r="R83" s="1">
        <v>40226</v>
      </c>
      <c r="S83" t="s">
        <v>37</v>
      </c>
      <c r="T83" t="str">
        <f t="shared" si="5"/>
        <v>Grade A</v>
      </c>
      <c r="U83">
        <f t="shared" si="6"/>
        <v>1</v>
      </c>
      <c r="V83" t="str">
        <f t="shared" si="7"/>
        <v>Senior</v>
      </c>
      <c r="W83" t="str">
        <f t="shared" si="8"/>
        <v>Already Left</v>
      </c>
      <c r="X83" t="str">
        <f t="shared" si="9"/>
        <v>Overpaid</v>
      </c>
    </row>
    <row r="84" spans="1:24" x14ac:dyDescent="0.3">
      <c r="A84" t="s">
        <v>152</v>
      </c>
      <c r="B84" t="s">
        <v>20</v>
      </c>
      <c r="C84">
        <v>40</v>
      </c>
      <c r="D84" t="s">
        <v>21</v>
      </c>
      <c r="E84" t="s">
        <v>40</v>
      </c>
      <c r="F84" t="s">
        <v>23</v>
      </c>
      <c r="G84" t="s">
        <v>33</v>
      </c>
      <c r="H84" t="s">
        <v>25</v>
      </c>
      <c r="I84" t="s">
        <v>54</v>
      </c>
      <c r="J84" t="s">
        <v>27</v>
      </c>
      <c r="K84">
        <v>5</v>
      </c>
      <c r="L84">
        <v>74808</v>
      </c>
      <c r="M84" t="s">
        <v>51</v>
      </c>
      <c r="N84">
        <v>1</v>
      </c>
      <c r="O84">
        <v>4</v>
      </c>
      <c r="P84">
        <v>69</v>
      </c>
      <c r="Q84">
        <v>0</v>
      </c>
      <c r="R84" s="1">
        <v>43438</v>
      </c>
      <c r="S84" t="s">
        <v>37</v>
      </c>
      <c r="T84" t="str">
        <f t="shared" si="5"/>
        <v>Grade B</v>
      </c>
      <c r="U84">
        <f t="shared" si="6"/>
        <v>4</v>
      </c>
      <c r="V84" t="str">
        <f t="shared" si="7"/>
        <v>Junior</v>
      </c>
      <c r="W84" t="str">
        <f t="shared" si="8"/>
        <v>Already Left</v>
      </c>
      <c r="X84" t="str">
        <f t="shared" si="9"/>
        <v>Fair</v>
      </c>
    </row>
    <row r="85" spans="1:24" x14ac:dyDescent="0.3">
      <c r="A85" t="s">
        <v>153</v>
      </c>
      <c r="B85" t="s">
        <v>39</v>
      </c>
      <c r="C85">
        <v>54</v>
      </c>
      <c r="D85" t="s">
        <v>47</v>
      </c>
      <c r="E85" t="s">
        <v>22</v>
      </c>
      <c r="F85" t="s">
        <v>32</v>
      </c>
      <c r="G85" t="s">
        <v>24</v>
      </c>
      <c r="H85" t="s">
        <v>25</v>
      </c>
      <c r="I85" t="s">
        <v>96</v>
      </c>
      <c r="J85" t="s">
        <v>44</v>
      </c>
      <c r="K85">
        <v>9</v>
      </c>
      <c r="L85">
        <v>85027</v>
      </c>
      <c r="M85" t="s">
        <v>36</v>
      </c>
      <c r="N85">
        <v>2</v>
      </c>
      <c r="O85">
        <v>4</v>
      </c>
      <c r="P85">
        <v>66</v>
      </c>
      <c r="Q85">
        <v>1</v>
      </c>
      <c r="R85" s="1">
        <v>41832</v>
      </c>
      <c r="S85" t="s">
        <v>37</v>
      </c>
      <c r="T85" t="str">
        <f t="shared" si="5"/>
        <v>Grade A</v>
      </c>
      <c r="U85">
        <f t="shared" si="6"/>
        <v>1</v>
      </c>
      <c r="V85" t="str">
        <f t="shared" si="7"/>
        <v>Mid Level</v>
      </c>
      <c r="W85" t="str">
        <f t="shared" si="8"/>
        <v>Already Left</v>
      </c>
      <c r="X85" t="str">
        <f t="shared" si="9"/>
        <v>Overpaid</v>
      </c>
    </row>
    <row r="86" spans="1:24" x14ac:dyDescent="0.3">
      <c r="A86" t="s">
        <v>154</v>
      </c>
      <c r="B86" t="s">
        <v>20</v>
      </c>
      <c r="C86">
        <v>26</v>
      </c>
      <c r="D86" t="s">
        <v>31</v>
      </c>
      <c r="E86" t="s">
        <v>22</v>
      </c>
      <c r="F86" t="s">
        <v>65</v>
      </c>
      <c r="G86" t="s">
        <v>66</v>
      </c>
      <c r="H86" t="s">
        <v>25</v>
      </c>
      <c r="I86" t="s">
        <v>72</v>
      </c>
      <c r="J86" t="s">
        <v>73</v>
      </c>
      <c r="K86">
        <v>7</v>
      </c>
      <c r="L86">
        <v>58591</v>
      </c>
      <c r="M86" t="s">
        <v>36</v>
      </c>
      <c r="N86">
        <v>4</v>
      </c>
      <c r="O86">
        <v>3</v>
      </c>
      <c r="P86">
        <v>42</v>
      </c>
      <c r="Q86">
        <v>1</v>
      </c>
      <c r="R86" s="1">
        <v>42406</v>
      </c>
      <c r="S86" t="s">
        <v>29</v>
      </c>
      <c r="T86" t="str">
        <f t="shared" si="5"/>
        <v>Grade B</v>
      </c>
      <c r="U86">
        <f t="shared" si="6"/>
        <v>1</v>
      </c>
      <c r="V86" t="str">
        <f t="shared" si="7"/>
        <v>Mid Level</v>
      </c>
      <c r="W86" t="str">
        <f t="shared" si="8"/>
        <v>Medium Risk</v>
      </c>
      <c r="X86" t="str">
        <f t="shared" si="9"/>
        <v>Fair</v>
      </c>
    </row>
    <row r="87" spans="1:24" x14ac:dyDescent="0.3">
      <c r="A87" t="s">
        <v>155</v>
      </c>
      <c r="B87" t="s">
        <v>39</v>
      </c>
      <c r="C87">
        <v>41</v>
      </c>
      <c r="D87" t="s">
        <v>88</v>
      </c>
      <c r="E87" t="s">
        <v>48</v>
      </c>
      <c r="F87" t="s">
        <v>41</v>
      </c>
      <c r="G87" t="s">
        <v>66</v>
      </c>
      <c r="H87" t="s">
        <v>34</v>
      </c>
      <c r="I87" t="s">
        <v>72</v>
      </c>
      <c r="J87" t="s">
        <v>73</v>
      </c>
      <c r="K87">
        <v>15</v>
      </c>
      <c r="L87">
        <v>65165</v>
      </c>
      <c r="M87" t="s">
        <v>28</v>
      </c>
      <c r="N87">
        <v>3</v>
      </c>
      <c r="O87">
        <v>2</v>
      </c>
      <c r="P87">
        <v>77</v>
      </c>
      <c r="Q87">
        <v>0</v>
      </c>
      <c r="R87" s="1">
        <v>39751</v>
      </c>
      <c r="S87" t="s">
        <v>29</v>
      </c>
      <c r="T87" t="str">
        <f t="shared" si="5"/>
        <v>Grade B</v>
      </c>
      <c r="U87">
        <f t="shared" si="6"/>
        <v>3</v>
      </c>
      <c r="V87" t="str">
        <f t="shared" si="7"/>
        <v>Senior</v>
      </c>
      <c r="W87" t="str">
        <f t="shared" si="8"/>
        <v>Medium Risk</v>
      </c>
      <c r="X87" t="str">
        <f t="shared" si="9"/>
        <v>Competitive</v>
      </c>
    </row>
    <row r="88" spans="1:24" x14ac:dyDescent="0.3">
      <c r="A88" t="s">
        <v>156</v>
      </c>
      <c r="B88" t="s">
        <v>39</v>
      </c>
      <c r="C88">
        <v>36</v>
      </c>
      <c r="D88" t="s">
        <v>47</v>
      </c>
      <c r="E88" t="s">
        <v>22</v>
      </c>
      <c r="F88" t="s">
        <v>65</v>
      </c>
      <c r="G88" t="s">
        <v>24</v>
      </c>
      <c r="H88" t="s">
        <v>83</v>
      </c>
      <c r="I88" t="s">
        <v>43</v>
      </c>
      <c r="J88" t="s">
        <v>44</v>
      </c>
      <c r="K88">
        <v>5</v>
      </c>
      <c r="L88">
        <v>82018</v>
      </c>
      <c r="M88" t="s">
        <v>45</v>
      </c>
      <c r="N88">
        <v>1</v>
      </c>
      <c r="O88">
        <v>3</v>
      </c>
      <c r="P88">
        <v>22</v>
      </c>
      <c r="Q88">
        <v>0</v>
      </c>
      <c r="R88" s="1">
        <v>43219</v>
      </c>
      <c r="S88" t="s">
        <v>29</v>
      </c>
      <c r="T88" t="str">
        <f t="shared" si="5"/>
        <v>Grade A</v>
      </c>
      <c r="U88">
        <f t="shared" si="6"/>
        <v>2</v>
      </c>
      <c r="V88" t="str">
        <f t="shared" si="7"/>
        <v>Junior</v>
      </c>
      <c r="W88" t="str">
        <f t="shared" si="8"/>
        <v>Medium Risk</v>
      </c>
      <c r="X88" t="str">
        <f t="shared" si="9"/>
        <v>Fair</v>
      </c>
    </row>
    <row r="89" spans="1:24" x14ac:dyDescent="0.3">
      <c r="A89" t="s">
        <v>157</v>
      </c>
      <c r="B89" t="s">
        <v>39</v>
      </c>
      <c r="C89">
        <v>48</v>
      </c>
      <c r="D89" t="s">
        <v>31</v>
      </c>
      <c r="E89" t="s">
        <v>40</v>
      </c>
      <c r="F89" t="s">
        <v>53</v>
      </c>
      <c r="G89" t="s">
        <v>24</v>
      </c>
      <c r="H89" t="s">
        <v>34</v>
      </c>
      <c r="I89" t="s">
        <v>72</v>
      </c>
      <c r="J89" t="s">
        <v>73</v>
      </c>
      <c r="K89">
        <v>3</v>
      </c>
      <c r="L89">
        <v>76925</v>
      </c>
      <c r="M89" t="s">
        <v>36</v>
      </c>
      <c r="N89">
        <v>2</v>
      </c>
      <c r="O89">
        <v>4</v>
      </c>
      <c r="P89">
        <v>46</v>
      </c>
      <c r="Q89">
        <v>3</v>
      </c>
      <c r="R89" s="1">
        <v>43973</v>
      </c>
      <c r="S89" t="s">
        <v>37</v>
      </c>
      <c r="T89" t="str">
        <f t="shared" si="5"/>
        <v>Grade B</v>
      </c>
      <c r="U89">
        <f t="shared" si="6"/>
        <v>1</v>
      </c>
      <c r="V89" t="str">
        <f t="shared" si="7"/>
        <v>Junior</v>
      </c>
      <c r="W89" t="str">
        <f t="shared" si="8"/>
        <v>Already Left</v>
      </c>
      <c r="X89" t="str">
        <f t="shared" si="9"/>
        <v>Fair</v>
      </c>
    </row>
    <row r="90" spans="1:24" x14ac:dyDescent="0.3">
      <c r="A90" t="s">
        <v>158</v>
      </c>
      <c r="B90" t="s">
        <v>20</v>
      </c>
      <c r="C90">
        <v>46</v>
      </c>
      <c r="D90" t="s">
        <v>88</v>
      </c>
      <c r="E90" t="s">
        <v>40</v>
      </c>
      <c r="F90" t="s">
        <v>32</v>
      </c>
      <c r="G90" t="s">
        <v>49</v>
      </c>
      <c r="H90" t="s">
        <v>25</v>
      </c>
      <c r="I90" t="s">
        <v>59</v>
      </c>
      <c r="J90" t="s">
        <v>60</v>
      </c>
      <c r="K90">
        <v>15</v>
      </c>
      <c r="L90">
        <v>82053</v>
      </c>
      <c r="M90" t="s">
        <v>36</v>
      </c>
      <c r="N90">
        <v>4</v>
      </c>
      <c r="O90">
        <v>2</v>
      </c>
      <c r="P90">
        <v>35</v>
      </c>
      <c r="Q90">
        <v>1</v>
      </c>
      <c r="R90" s="1">
        <v>39581</v>
      </c>
      <c r="S90" t="s">
        <v>37</v>
      </c>
      <c r="T90" t="str">
        <f t="shared" si="5"/>
        <v>Grade A</v>
      </c>
      <c r="U90">
        <f t="shared" si="6"/>
        <v>1</v>
      </c>
      <c r="V90" t="str">
        <f t="shared" si="7"/>
        <v>Senior</v>
      </c>
      <c r="W90" t="str">
        <f t="shared" si="8"/>
        <v>Already Left</v>
      </c>
      <c r="X90" t="str">
        <f t="shared" si="9"/>
        <v>Overpaid</v>
      </c>
    </row>
    <row r="91" spans="1:24" x14ac:dyDescent="0.3">
      <c r="A91" t="s">
        <v>159</v>
      </c>
      <c r="B91" t="s">
        <v>39</v>
      </c>
      <c r="C91">
        <v>32</v>
      </c>
      <c r="D91" t="s">
        <v>31</v>
      </c>
      <c r="E91" t="s">
        <v>48</v>
      </c>
      <c r="F91" t="s">
        <v>23</v>
      </c>
      <c r="G91" t="s">
        <v>79</v>
      </c>
      <c r="H91" t="s">
        <v>76</v>
      </c>
      <c r="I91" t="s">
        <v>80</v>
      </c>
      <c r="J91" t="s">
        <v>60</v>
      </c>
      <c r="K91">
        <v>9</v>
      </c>
      <c r="L91">
        <v>64905</v>
      </c>
      <c r="M91" t="s">
        <v>45</v>
      </c>
      <c r="N91">
        <v>2</v>
      </c>
      <c r="O91">
        <v>4</v>
      </c>
      <c r="P91">
        <v>21</v>
      </c>
      <c r="Q91">
        <v>1</v>
      </c>
      <c r="R91" s="1">
        <v>41862</v>
      </c>
      <c r="S91" t="s">
        <v>37</v>
      </c>
      <c r="T91" t="str">
        <f t="shared" si="5"/>
        <v>Grade B</v>
      </c>
      <c r="U91">
        <f t="shared" si="6"/>
        <v>2</v>
      </c>
      <c r="V91" t="str">
        <f t="shared" si="7"/>
        <v>Mid Level</v>
      </c>
      <c r="W91" t="str">
        <f t="shared" si="8"/>
        <v>Already Left</v>
      </c>
      <c r="X91" t="str">
        <f t="shared" si="9"/>
        <v>Fair</v>
      </c>
    </row>
    <row r="92" spans="1:24" x14ac:dyDescent="0.3">
      <c r="A92" t="s">
        <v>160</v>
      </c>
      <c r="B92" t="s">
        <v>39</v>
      </c>
      <c r="C92">
        <v>45</v>
      </c>
      <c r="D92" t="s">
        <v>47</v>
      </c>
      <c r="E92" t="s">
        <v>22</v>
      </c>
      <c r="F92" t="s">
        <v>65</v>
      </c>
      <c r="G92" t="s">
        <v>63</v>
      </c>
      <c r="H92" t="s">
        <v>83</v>
      </c>
      <c r="I92" t="s">
        <v>96</v>
      </c>
      <c r="J92" t="s">
        <v>44</v>
      </c>
      <c r="K92">
        <v>1</v>
      </c>
      <c r="L92">
        <v>53449</v>
      </c>
      <c r="M92" t="s">
        <v>36</v>
      </c>
      <c r="N92">
        <v>3</v>
      </c>
      <c r="O92">
        <v>1</v>
      </c>
      <c r="P92">
        <v>52</v>
      </c>
      <c r="Q92">
        <v>1</v>
      </c>
      <c r="R92" s="1">
        <v>44730</v>
      </c>
      <c r="S92" t="s">
        <v>37</v>
      </c>
      <c r="T92" t="str">
        <f t="shared" si="5"/>
        <v>Grade B</v>
      </c>
      <c r="U92">
        <f t="shared" si="6"/>
        <v>1</v>
      </c>
      <c r="V92" t="str">
        <f t="shared" si="7"/>
        <v>New Joiner</v>
      </c>
      <c r="W92" t="str">
        <f t="shared" si="8"/>
        <v>Already Left</v>
      </c>
      <c r="X92" t="str">
        <f t="shared" si="9"/>
        <v>Fair</v>
      </c>
    </row>
    <row r="93" spans="1:24" x14ac:dyDescent="0.3">
      <c r="A93" t="s">
        <v>161</v>
      </c>
      <c r="B93" t="s">
        <v>39</v>
      </c>
      <c r="C93">
        <v>23</v>
      </c>
      <c r="D93" t="s">
        <v>31</v>
      </c>
      <c r="E93" t="s">
        <v>22</v>
      </c>
      <c r="F93" t="s">
        <v>23</v>
      </c>
      <c r="G93" t="s">
        <v>24</v>
      </c>
      <c r="H93" t="s">
        <v>25</v>
      </c>
      <c r="I93" t="s">
        <v>68</v>
      </c>
      <c r="J93" t="s">
        <v>60</v>
      </c>
      <c r="K93">
        <v>12</v>
      </c>
      <c r="L93">
        <v>104371</v>
      </c>
      <c r="M93" t="s">
        <v>36</v>
      </c>
      <c r="N93">
        <v>2</v>
      </c>
      <c r="O93">
        <v>4</v>
      </c>
      <c r="P93">
        <v>24</v>
      </c>
      <c r="Q93">
        <v>2</v>
      </c>
      <c r="R93" s="1">
        <v>40910</v>
      </c>
      <c r="S93" t="s">
        <v>29</v>
      </c>
      <c r="T93" t="str">
        <f t="shared" si="5"/>
        <v>Grade A</v>
      </c>
      <c r="U93">
        <f t="shared" si="6"/>
        <v>1</v>
      </c>
      <c r="V93" t="str">
        <f t="shared" si="7"/>
        <v>Senior</v>
      </c>
      <c r="W93" t="str">
        <f t="shared" si="8"/>
        <v>Medium Risk</v>
      </c>
      <c r="X93" t="str">
        <f t="shared" si="9"/>
        <v>Overpaid</v>
      </c>
    </row>
    <row r="94" spans="1:24" x14ac:dyDescent="0.3">
      <c r="A94" t="s">
        <v>162</v>
      </c>
      <c r="B94" t="s">
        <v>20</v>
      </c>
      <c r="C94">
        <v>23</v>
      </c>
      <c r="D94" t="s">
        <v>88</v>
      </c>
      <c r="E94" t="s">
        <v>40</v>
      </c>
      <c r="F94" t="s">
        <v>62</v>
      </c>
      <c r="G94" t="s">
        <v>63</v>
      </c>
      <c r="H94" t="s">
        <v>83</v>
      </c>
      <c r="I94" t="s">
        <v>59</v>
      </c>
      <c r="J94" t="s">
        <v>60</v>
      </c>
      <c r="K94">
        <v>4</v>
      </c>
      <c r="L94">
        <v>57978</v>
      </c>
      <c r="M94" t="s">
        <v>51</v>
      </c>
      <c r="N94">
        <v>2</v>
      </c>
      <c r="O94">
        <v>2</v>
      </c>
      <c r="P94">
        <v>47</v>
      </c>
      <c r="Q94">
        <v>3</v>
      </c>
      <c r="R94" s="1">
        <v>43776</v>
      </c>
      <c r="S94" t="s">
        <v>37</v>
      </c>
      <c r="T94" t="str">
        <f t="shared" si="5"/>
        <v>Grade B</v>
      </c>
      <c r="U94">
        <f t="shared" si="6"/>
        <v>4</v>
      </c>
      <c r="V94" t="str">
        <f t="shared" si="7"/>
        <v>Junior</v>
      </c>
      <c r="W94" t="str">
        <f t="shared" si="8"/>
        <v>Already Left</v>
      </c>
      <c r="X94" t="str">
        <f t="shared" si="9"/>
        <v>Fair</v>
      </c>
    </row>
    <row r="95" spans="1:24" x14ac:dyDescent="0.3">
      <c r="A95" t="s">
        <v>163</v>
      </c>
      <c r="B95" t="s">
        <v>39</v>
      </c>
      <c r="C95">
        <v>46</v>
      </c>
      <c r="D95" t="s">
        <v>57</v>
      </c>
      <c r="E95" t="s">
        <v>22</v>
      </c>
      <c r="F95" t="s">
        <v>65</v>
      </c>
      <c r="G95" t="s">
        <v>79</v>
      </c>
      <c r="H95" t="s">
        <v>67</v>
      </c>
      <c r="I95" t="s">
        <v>50</v>
      </c>
      <c r="J95" t="s">
        <v>44</v>
      </c>
      <c r="K95">
        <v>3</v>
      </c>
      <c r="L95">
        <v>53153</v>
      </c>
      <c r="M95" t="s">
        <v>36</v>
      </c>
      <c r="N95">
        <v>4</v>
      </c>
      <c r="O95">
        <v>3</v>
      </c>
      <c r="P95">
        <v>42</v>
      </c>
      <c r="Q95">
        <v>0</v>
      </c>
      <c r="R95" s="1">
        <v>43928</v>
      </c>
      <c r="S95" t="s">
        <v>37</v>
      </c>
      <c r="T95" t="str">
        <f t="shared" si="5"/>
        <v>Grade B</v>
      </c>
      <c r="U95">
        <f t="shared" si="6"/>
        <v>1</v>
      </c>
      <c r="V95" t="str">
        <f t="shared" si="7"/>
        <v>Junior</v>
      </c>
      <c r="W95" t="str">
        <f t="shared" si="8"/>
        <v>Already Left</v>
      </c>
      <c r="X95" t="str">
        <f t="shared" si="9"/>
        <v>Fair</v>
      </c>
    </row>
    <row r="96" spans="1:24" x14ac:dyDescent="0.3">
      <c r="A96" t="s">
        <v>164</v>
      </c>
      <c r="B96" t="s">
        <v>39</v>
      </c>
      <c r="C96">
        <v>44</v>
      </c>
      <c r="D96" t="s">
        <v>88</v>
      </c>
      <c r="E96" t="s">
        <v>48</v>
      </c>
      <c r="F96" t="s">
        <v>41</v>
      </c>
      <c r="G96" t="s">
        <v>79</v>
      </c>
      <c r="H96" t="s">
        <v>25</v>
      </c>
      <c r="I96" t="s">
        <v>72</v>
      </c>
      <c r="J96" t="s">
        <v>73</v>
      </c>
      <c r="K96">
        <v>12</v>
      </c>
      <c r="L96">
        <v>73067</v>
      </c>
      <c r="M96" t="s">
        <v>28</v>
      </c>
      <c r="N96">
        <v>2</v>
      </c>
      <c r="O96">
        <v>4</v>
      </c>
      <c r="P96">
        <v>71</v>
      </c>
      <c r="Q96">
        <v>1</v>
      </c>
      <c r="R96" s="1">
        <v>40844</v>
      </c>
      <c r="S96" t="s">
        <v>29</v>
      </c>
      <c r="T96" t="str">
        <f t="shared" si="5"/>
        <v>Grade B</v>
      </c>
      <c r="U96">
        <f t="shared" si="6"/>
        <v>3</v>
      </c>
      <c r="V96" t="str">
        <f t="shared" si="7"/>
        <v>Senior</v>
      </c>
      <c r="W96" t="str">
        <f t="shared" si="8"/>
        <v>Medium Risk</v>
      </c>
      <c r="X96" t="str">
        <f t="shared" si="9"/>
        <v>Competitive</v>
      </c>
    </row>
    <row r="97" spans="1:24" x14ac:dyDescent="0.3">
      <c r="A97" t="s">
        <v>165</v>
      </c>
      <c r="B97" t="s">
        <v>20</v>
      </c>
      <c r="C97">
        <v>41</v>
      </c>
      <c r="D97" t="s">
        <v>88</v>
      </c>
      <c r="E97" t="s">
        <v>48</v>
      </c>
      <c r="F97" t="s">
        <v>41</v>
      </c>
      <c r="G97" t="s">
        <v>49</v>
      </c>
      <c r="H97" t="s">
        <v>76</v>
      </c>
      <c r="I97" t="s">
        <v>68</v>
      </c>
      <c r="J97" t="s">
        <v>60</v>
      </c>
      <c r="K97">
        <v>5</v>
      </c>
      <c r="L97">
        <v>51435</v>
      </c>
      <c r="M97" t="s">
        <v>51</v>
      </c>
      <c r="N97">
        <v>4</v>
      </c>
      <c r="O97">
        <v>3</v>
      </c>
      <c r="P97">
        <v>14</v>
      </c>
      <c r="Q97">
        <v>1</v>
      </c>
      <c r="R97" s="1">
        <v>43446</v>
      </c>
      <c r="S97" t="s">
        <v>29</v>
      </c>
      <c r="T97" t="str">
        <f t="shared" si="5"/>
        <v>Grade B</v>
      </c>
      <c r="U97">
        <f t="shared" si="6"/>
        <v>4</v>
      </c>
      <c r="V97" t="str">
        <f t="shared" si="7"/>
        <v>Junior</v>
      </c>
      <c r="W97" t="str">
        <f t="shared" si="8"/>
        <v>Low Risk</v>
      </c>
      <c r="X97" t="str">
        <f t="shared" si="9"/>
        <v>Fair</v>
      </c>
    </row>
    <row r="98" spans="1:24" x14ac:dyDescent="0.3">
      <c r="A98" t="s">
        <v>166</v>
      </c>
      <c r="B98" t="s">
        <v>20</v>
      </c>
      <c r="C98">
        <v>46</v>
      </c>
      <c r="D98" t="s">
        <v>31</v>
      </c>
      <c r="E98" t="s">
        <v>22</v>
      </c>
      <c r="F98" t="s">
        <v>65</v>
      </c>
      <c r="G98" t="s">
        <v>79</v>
      </c>
      <c r="H98" t="s">
        <v>83</v>
      </c>
      <c r="I98" t="s">
        <v>80</v>
      </c>
      <c r="J98" t="s">
        <v>60</v>
      </c>
      <c r="K98">
        <v>5</v>
      </c>
      <c r="L98">
        <v>52059</v>
      </c>
      <c r="M98" t="s">
        <v>45</v>
      </c>
      <c r="N98">
        <v>4</v>
      </c>
      <c r="O98">
        <v>4</v>
      </c>
      <c r="P98">
        <v>57</v>
      </c>
      <c r="Q98">
        <v>2</v>
      </c>
      <c r="R98" s="1">
        <v>43263</v>
      </c>
      <c r="S98" t="s">
        <v>29</v>
      </c>
      <c r="T98" t="str">
        <f t="shared" si="5"/>
        <v>Grade B</v>
      </c>
      <c r="U98">
        <f t="shared" si="6"/>
        <v>2</v>
      </c>
      <c r="V98" t="str">
        <f t="shared" si="7"/>
        <v>Junior</v>
      </c>
      <c r="W98" t="str">
        <f t="shared" si="8"/>
        <v>Medium Risk</v>
      </c>
      <c r="X98" t="str">
        <f t="shared" si="9"/>
        <v>Fair</v>
      </c>
    </row>
    <row r="99" spans="1:24" x14ac:dyDescent="0.3">
      <c r="A99" t="s">
        <v>167</v>
      </c>
      <c r="B99" t="s">
        <v>39</v>
      </c>
      <c r="C99">
        <v>42</v>
      </c>
      <c r="D99" t="s">
        <v>31</v>
      </c>
      <c r="E99" t="s">
        <v>48</v>
      </c>
      <c r="F99" t="s">
        <v>75</v>
      </c>
      <c r="G99" t="s">
        <v>24</v>
      </c>
      <c r="H99" t="s">
        <v>83</v>
      </c>
      <c r="I99" t="s">
        <v>26</v>
      </c>
      <c r="J99" t="s">
        <v>27</v>
      </c>
      <c r="K99">
        <v>10</v>
      </c>
      <c r="L99">
        <v>102874</v>
      </c>
      <c r="M99" t="s">
        <v>36</v>
      </c>
      <c r="N99">
        <v>4</v>
      </c>
      <c r="O99">
        <v>4</v>
      </c>
      <c r="P99">
        <v>31</v>
      </c>
      <c r="Q99">
        <v>3</v>
      </c>
      <c r="R99" s="1">
        <v>41590</v>
      </c>
      <c r="S99" t="s">
        <v>37</v>
      </c>
      <c r="T99" t="str">
        <f t="shared" si="5"/>
        <v>Grade A</v>
      </c>
      <c r="U99">
        <f t="shared" si="6"/>
        <v>1</v>
      </c>
      <c r="V99" t="str">
        <f t="shared" si="7"/>
        <v>Mid Level</v>
      </c>
      <c r="W99" t="str">
        <f t="shared" si="8"/>
        <v>Already Left</v>
      </c>
      <c r="X99" t="str">
        <f t="shared" si="9"/>
        <v>Overpaid</v>
      </c>
    </row>
    <row r="100" spans="1:24" x14ac:dyDescent="0.3">
      <c r="A100" t="s">
        <v>168</v>
      </c>
      <c r="B100" t="s">
        <v>20</v>
      </c>
      <c r="C100">
        <v>45</v>
      </c>
      <c r="D100" t="s">
        <v>88</v>
      </c>
      <c r="E100" t="s">
        <v>40</v>
      </c>
      <c r="F100" t="s">
        <v>78</v>
      </c>
      <c r="G100" t="s">
        <v>63</v>
      </c>
      <c r="H100" t="s">
        <v>83</v>
      </c>
      <c r="I100" t="s">
        <v>72</v>
      </c>
      <c r="J100" t="s">
        <v>73</v>
      </c>
      <c r="K100">
        <v>10</v>
      </c>
      <c r="L100">
        <v>63996</v>
      </c>
      <c r="M100" t="s">
        <v>45</v>
      </c>
      <c r="N100">
        <v>2</v>
      </c>
      <c r="O100">
        <v>1</v>
      </c>
      <c r="P100">
        <v>28</v>
      </c>
      <c r="Q100">
        <v>3</v>
      </c>
      <c r="R100" s="1">
        <v>41604</v>
      </c>
      <c r="S100" t="s">
        <v>37</v>
      </c>
      <c r="T100" t="str">
        <f t="shared" si="5"/>
        <v>Grade B</v>
      </c>
      <c r="U100">
        <f t="shared" si="6"/>
        <v>2</v>
      </c>
      <c r="V100" t="str">
        <f t="shared" si="7"/>
        <v>Mid Level</v>
      </c>
      <c r="W100" t="str">
        <f t="shared" si="8"/>
        <v>Already Left</v>
      </c>
      <c r="X100" t="str">
        <f t="shared" si="9"/>
        <v>Fair</v>
      </c>
    </row>
    <row r="101" spans="1:24" x14ac:dyDescent="0.3">
      <c r="A101" t="s">
        <v>169</v>
      </c>
      <c r="B101" t="s">
        <v>39</v>
      </c>
      <c r="C101">
        <v>31</v>
      </c>
      <c r="D101" t="s">
        <v>57</v>
      </c>
      <c r="E101" t="s">
        <v>48</v>
      </c>
      <c r="F101" t="s">
        <v>53</v>
      </c>
      <c r="G101" t="s">
        <v>66</v>
      </c>
      <c r="H101" t="s">
        <v>83</v>
      </c>
      <c r="I101" t="s">
        <v>50</v>
      </c>
      <c r="J101" t="s">
        <v>44</v>
      </c>
      <c r="K101">
        <v>13</v>
      </c>
      <c r="L101">
        <v>62866</v>
      </c>
      <c r="M101" t="s">
        <v>28</v>
      </c>
      <c r="N101">
        <v>3</v>
      </c>
      <c r="O101">
        <v>4</v>
      </c>
      <c r="P101">
        <v>19</v>
      </c>
      <c r="Q101">
        <v>1</v>
      </c>
      <c r="R101" s="1">
        <v>40257</v>
      </c>
      <c r="S101" t="s">
        <v>29</v>
      </c>
      <c r="T101" t="str">
        <f t="shared" si="5"/>
        <v>Grade B</v>
      </c>
      <c r="U101">
        <f t="shared" si="6"/>
        <v>3</v>
      </c>
      <c r="V101" t="str">
        <f t="shared" si="7"/>
        <v>Senior</v>
      </c>
      <c r="W101" t="str">
        <f t="shared" si="8"/>
        <v>Medium Risk</v>
      </c>
      <c r="X101" t="str">
        <f t="shared" si="9"/>
        <v>Competitive</v>
      </c>
    </row>
    <row r="102" spans="1:24" x14ac:dyDescent="0.3">
      <c r="A102" t="s">
        <v>170</v>
      </c>
      <c r="B102" t="s">
        <v>39</v>
      </c>
      <c r="C102">
        <v>53</v>
      </c>
      <c r="D102" t="s">
        <v>88</v>
      </c>
      <c r="E102" t="s">
        <v>48</v>
      </c>
      <c r="F102" t="s">
        <v>65</v>
      </c>
      <c r="G102" t="s">
        <v>42</v>
      </c>
      <c r="H102" t="s">
        <v>76</v>
      </c>
      <c r="I102" t="s">
        <v>35</v>
      </c>
      <c r="J102" t="s">
        <v>27</v>
      </c>
      <c r="K102">
        <v>11</v>
      </c>
      <c r="L102">
        <v>115179</v>
      </c>
      <c r="M102" t="s">
        <v>45</v>
      </c>
      <c r="N102">
        <v>1</v>
      </c>
      <c r="O102">
        <v>3</v>
      </c>
      <c r="P102">
        <v>43</v>
      </c>
      <c r="Q102">
        <v>3</v>
      </c>
      <c r="R102" s="1">
        <v>41264</v>
      </c>
      <c r="S102" t="s">
        <v>37</v>
      </c>
      <c r="T102" t="str">
        <f t="shared" si="5"/>
        <v>Grade A</v>
      </c>
      <c r="U102">
        <f t="shared" si="6"/>
        <v>2</v>
      </c>
      <c r="V102" t="str">
        <f t="shared" si="7"/>
        <v>Senior</v>
      </c>
      <c r="W102" t="str">
        <f t="shared" si="8"/>
        <v>Already Left</v>
      </c>
      <c r="X102" t="str">
        <f t="shared" si="9"/>
        <v>Fair</v>
      </c>
    </row>
    <row r="103" spans="1:24" x14ac:dyDescent="0.3">
      <c r="A103" t="s">
        <v>171</v>
      </c>
      <c r="B103" t="s">
        <v>20</v>
      </c>
      <c r="C103">
        <v>27</v>
      </c>
      <c r="D103" t="s">
        <v>31</v>
      </c>
      <c r="E103" t="s">
        <v>40</v>
      </c>
      <c r="F103" t="s">
        <v>62</v>
      </c>
      <c r="G103" t="s">
        <v>24</v>
      </c>
      <c r="H103" t="s">
        <v>76</v>
      </c>
      <c r="I103" t="s">
        <v>59</v>
      </c>
      <c r="J103" t="s">
        <v>60</v>
      </c>
      <c r="K103">
        <v>2</v>
      </c>
      <c r="L103">
        <v>71426</v>
      </c>
      <c r="M103" t="s">
        <v>28</v>
      </c>
      <c r="N103">
        <v>3</v>
      </c>
      <c r="O103">
        <v>1</v>
      </c>
      <c r="P103">
        <v>80</v>
      </c>
      <c r="Q103">
        <v>2</v>
      </c>
      <c r="R103" s="1">
        <v>44474</v>
      </c>
      <c r="S103" t="s">
        <v>29</v>
      </c>
      <c r="T103" t="str">
        <f t="shared" si="5"/>
        <v>Grade B</v>
      </c>
      <c r="U103">
        <f t="shared" si="6"/>
        <v>3</v>
      </c>
      <c r="V103" t="str">
        <f t="shared" si="7"/>
        <v>New Joiner</v>
      </c>
      <c r="W103" t="str">
        <f t="shared" si="8"/>
        <v>Medium Risk</v>
      </c>
      <c r="X103" t="str">
        <f t="shared" si="9"/>
        <v>Competitive</v>
      </c>
    </row>
    <row r="104" spans="1:24" x14ac:dyDescent="0.3">
      <c r="A104" t="s">
        <v>172</v>
      </c>
      <c r="B104" t="s">
        <v>39</v>
      </c>
      <c r="C104">
        <v>53</v>
      </c>
      <c r="D104" t="s">
        <v>21</v>
      </c>
      <c r="E104" t="s">
        <v>48</v>
      </c>
      <c r="F104" t="s">
        <v>53</v>
      </c>
      <c r="G104" t="s">
        <v>49</v>
      </c>
      <c r="H104" t="s">
        <v>67</v>
      </c>
      <c r="I104" t="s">
        <v>80</v>
      </c>
      <c r="J104" t="s">
        <v>60</v>
      </c>
      <c r="K104">
        <v>9</v>
      </c>
      <c r="L104">
        <v>61976</v>
      </c>
      <c r="M104" t="s">
        <v>45</v>
      </c>
      <c r="N104">
        <v>3</v>
      </c>
      <c r="O104">
        <v>4</v>
      </c>
      <c r="P104">
        <v>80</v>
      </c>
      <c r="Q104">
        <v>1</v>
      </c>
      <c r="R104" s="1">
        <v>41936</v>
      </c>
      <c r="S104" t="s">
        <v>29</v>
      </c>
      <c r="T104" t="str">
        <f t="shared" si="5"/>
        <v>Grade B</v>
      </c>
      <c r="U104">
        <f t="shared" si="6"/>
        <v>2</v>
      </c>
      <c r="V104" t="str">
        <f t="shared" si="7"/>
        <v>Mid Level</v>
      </c>
      <c r="W104" t="str">
        <f t="shared" si="8"/>
        <v>Medium Risk</v>
      </c>
      <c r="X104" t="str">
        <f t="shared" si="9"/>
        <v>Fair</v>
      </c>
    </row>
    <row r="105" spans="1:24" x14ac:dyDescent="0.3">
      <c r="A105" t="s">
        <v>173</v>
      </c>
      <c r="B105" t="s">
        <v>39</v>
      </c>
      <c r="C105">
        <v>30</v>
      </c>
      <c r="D105" t="s">
        <v>31</v>
      </c>
      <c r="E105" t="s">
        <v>40</v>
      </c>
      <c r="F105" t="s">
        <v>41</v>
      </c>
      <c r="G105" t="s">
        <v>33</v>
      </c>
      <c r="H105" t="s">
        <v>83</v>
      </c>
      <c r="I105" t="s">
        <v>54</v>
      </c>
      <c r="J105" t="s">
        <v>27</v>
      </c>
      <c r="K105">
        <v>7</v>
      </c>
      <c r="L105">
        <v>81225</v>
      </c>
      <c r="M105" t="s">
        <v>45</v>
      </c>
      <c r="N105">
        <v>1</v>
      </c>
      <c r="O105">
        <v>4</v>
      </c>
      <c r="P105">
        <v>69</v>
      </c>
      <c r="Q105">
        <v>2</v>
      </c>
      <c r="R105" s="1">
        <v>42528</v>
      </c>
      <c r="S105" t="s">
        <v>29</v>
      </c>
      <c r="T105" t="str">
        <f t="shared" si="5"/>
        <v>Grade A</v>
      </c>
      <c r="U105">
        <f t="shared" si="6"/>
        <v>2</v>
      </c>
      <c r="V105" t="str">
        <f t="shared" si="7"/>
        <v>Mid Level</v>
      </c>
      <c r="W105" t="str">
        <f t="shared" si="8"/>
        <v>Medium Risk</v>
      </c>
      <c r="X105" t="str">
        <f t="shared" si="9"/>
        <v>Fair</v>
      </c>
    </row>
    <row r="106" spans="1:24" x14ac:dyDescent="0.3">
      <c r="A106" t="s">
        <v>174</v>
      </c>
      <c r="B106" t="s">
        <v>39</v>
      </c>
      <c r="C106">
        <v>32</v>
      </c>
      <c r="D106" t="s">
        <v>31</v>
      </c>
      <c r="E106" t="s">
        <v>40</v>
      </c>
      <c r="F106" t="s">
        <v>53</v>
      </c>
      <c r="G106" t="s">
        <v>58</v>
      </c>
      <c r="H106" t="s">
        <v>67</v>
      </c>
      <c r="I106" t="s">
        <v>68</v>
      </c>
      <c r="J106" t="s">
        <v>60</v>
      </c>
      <c r="K106">
        <v>9</v>
      </c>
      <c r="L106">
        <v>97068</v>
      </c>
      <c r="M106" t="s">
        <v>36</v>
      </c>
      <c r="N106">
        <v>2</v>
      </c>
      <c r="O106">
        <v>3</v>
      </c>
      <c r="P106">
        <v>76</v>
      </c>
      <c r="Q106">
        <v>2</v>
      </c>
      <c r="R106" s="1">
        <v>41852</v>
      </c>
      <c r="S106" t="s">
        <v>37</v>
      </c>
      <c r="T106" t="str">
        <f t="shared" si="5"/>
        <v>Grade A</v>
      </c>
      <c r="U106">
        <f t="shared" si="6"/>
        <v>1</v>
      </c>
      <c r="V106" t="str">
        <f t="shared" si="7"/>
        <v>Mid Level</v>
      </c>
      <c r="W106" t="str">
        <f t="shared" si="8"/>
        <v>Already Left</v>
      </c>
      <c r="X106" t="str">
        <f t="shared" si="9"/>
        <v>Overpaid</v>
      </c>
    </row>
    <row r="107" spans="1:24" x14ac:dyDescent="0.3">
      <c r="A107" t="s">
        <v>175</v>
      </c>
      <c r="B107" t="s">
        <v>39</v>
      </c>
      <c r="C107">
        <v>31</v>
      </c>
      <c r="D107" t="s">
        <v>47</v>
      </c>
      <c r="E107" t="s">
        <v>40</v>
      </c>
      <c r="F107" t="s">
        <v>62</v>
      </c>
      <c r="G107" t="s">
        <v>42</v>
      </c>
      <c r="H107" t="s">
        <v>67</v>
      </c>
      <c r="I107" t="s">
        <v>26</v>
      </c>
      <c r="J107" t="s">
        <v>27</v>
      </c>
      <c r="K107">
        <v>3</v>
      </c>
      <c r="L107">
        <v>108481</v>
      </c>
      <c r="M107" t="s">
        <v>45</v>
      </c>
      <c r="N107">
        <v>3</v>
      </c>
      <c r="O107">
        <v>1</v>
      </c>
      <c r="P107">
        <v>13</v>
      </c>
      <c r="Q107">
        <v>0</v>
      </c>
      <c r="R107" s="1">
        <v>43940</v>
      </c>
      <c r="S107" t="s">
        <v>37</v>
      </c>
      <c r="T107" t="str">
        <f t="shared" si="5"/>
        <v>Grade A</v>
      </c>
      <c r="U107">
        <f t="shared" si="6"/>
        <v>2</v>
      </c>
      <c r="V107" t="str">
        <f t="shared" si="7"/>
        <v>Junior</v>
      </c>
      <c r="W107" t="str">
        <f t="shared" si="8"/>
        <v>Already Left</v>
      </c>
      <c r="X107" t="str">
        <f t="shared" si="9"/>
        <v>Fair</v>
      </c>
    </row>
    <row r="108" spans="1:24" x14ac:dyDescent="0.3">
      <c r="A108" t="s">
        <v>176</v>
      </c>
      <c r="B108" t="s">
        <v>20</v>
      </c>
      <c r="C108">
        <v>52</v>
      </c>
      <c r="D108" t="s">
        <v>47</v>
      </c>
      <c r="E108" t="s">
        <v>40</v>
      </c>
      <c r="F108" t="s">
        <v>62</v>
      </c>
      <c r="G108" t="s">
        <v>58</v>
      </c>
      <c r="H108" t="s">
        <v>67</v>
      </c>
      <c r="I108" t="s">
        <v>50</v>
      </c>
      <c r="J108" t="s">
        <v>44</v>
      </c>
      <c r="K108">
        <v>10</v>
      </c>
      <c r="L108">
        <v>111319</v>
      </c>
      <c r="M108" t="s">
        <v>36</v>
      </c>
      <c r="N108">
        <v>4</v>
      </c>
      <c r="O108">
        <v>3</v>
      </c>
      <c r="P108">
        <v>68</v>
      </c>
      <c r="Q108">
        <v>0</v>
      </c>
      <c r="R108" s="1">
        <v>41314</v>
      </c>
      <c r="S108" t="s">
        <v>37</v>
      </c>
      <c r="T108" t="str">
        <f t="shared" si="5"/>
        <v>Grade A</v>
      </c>
      <c r="U108">
        <f t="shared" si="6"/>
        <v>1</v>
      </c>
      <c r="V108" t="str">
        <f t="shared" si="7"/>
        <v>Mid Level</v>
      </c>
      <c r="W108" t="str">
        <f t="shared" si="8"/>
        <v>Already Left</v>
      </c>
      <c r="X108" t="str">
        <f t="shared" si="9"/>
        <v>Overpaid</v>
      </c>
    </row>
    <row r="109" spans="1:24" x14ac:dyDescent="0.3">
      <c r="A109" t="s">
        <v>177</v>
      </c>
      <c r="B109" t="s">
        <v>20</v>
      </c>
      <c r="C109">
        <v>42</v>
      </c>
      <c r="D109" t="s">
        <v>31</v>
      </c>
      <c r="E109" t="s">
        <v>48</v>
      </c>
      <c r="F109" t="s">
        <v>53</v>
      </c>
      <c r="G109" t="s">
        <v>33</v>
      </c>
      <c r="H109" t="s">
        <v>76</v>
      </c>
      <c r="I109" t="s">
        <v>50</v>
      </c>
      <c r="J109" t="s">
        <v>44</v>
      </c>
      <c r="K109">
        <v>8</v>
      </c>
      <c r="L109">
        <v>72685</v>
      </c>
      <c r="M109" t="s">
        <v>36</v>
      </c>
      <c r="N109">
        <v>2</v>
      </c>
      <c r="O109">
        <v>3</v>
      </c>
      <c r="P109">
        <v>75</v>
      </c>
      <c r="Q109">
        <v>0</v>
      </c>
      <c r="R109" s="1">
        <v>42299</v>
      </c>
      <c r="S109" t="s">
        <v>29</v>
      </c>
      <c r="T109" t="str">
        <f t="shared" si="5"/>
        <v>Grade B</v>
      </c>
      <c r="U109">
        <f t="shared" si="6"/>
        <v>1</v>
      </c>
      <c r="V109" t="str">
        <f t="shared" si="7"/>
        <v>Mid Level</v>
      </c>
      <c r="W109" t="str">
        <f t="shared" si="8"/>
        <v>Medium Risk</v>
      </c>
      <c r="X109" t="str">
        <f t="shared" si="9"/>
        <v>Fair</v>
      </c>
    </row>
    <row r="110" spans="1:24" x14ac:dyDescent="0.3">
      <c r="A110" t="s">
        <v>178</v>
      </c>
      <c r="B110" t="s">
        <v>39</v>
      </c>
      <c r="C110">
        <v>40</v>
      </c>
      <c r="D110" t="s">
        <v>57</v>
      </c>
      <c r="E110" t="s">
        <v>40</v>
      </c>
      <c r="F110" t="s">
        <v>32</v>
      </c>
      <c r="G110" t="s">
        <v>33</v>
      </c>
      <c r="H110" t="s">
        <v>76</v>
      </c>
      <c r="I110" t="s">
        <v>72</v>
      </c>
      <c r="J110" t="s">
        <v>73</v>
      </c>
      <c r="K110">
        <v>5</v>
      </c>
      <c r="L110">
        <v>68123</v>
      </c>
      <c r="M110" t="s">
        <v>51</v>
      </c>
      <c r="N110">
        <v>4</v>
      </c>
      <c r="O110">
        <v>2</v>
      </c>
      <c r="P110">
        <v>30</v>
      </c>
      <c r="Q110">
        <v>2</v>
      </c>
      <c r="R110" s="1">
        <v>43418</v>
      </c>
      <c r="S110" t="s">
        <v>29</v>
      </c>
      <c r="T110" t="str">
        <f t="shared" si="5"/>
        <v>Grade B</v>
      </c>
      <c r="U110">
        <f t="shared" si="6"/>
        <v>4</v>
      </c>
      <c r="V110" t="str">
        <f t="shared" si="7"/>
        <v>Junior</v>
      </c>
      <c r="W110" t="str">
        <f t="shared" si="8"/>
        <v>Low Risk</v>
      </c>
      <c r="X110" t="str">
        <f t="shared" si="9"/>
        <v>Fair</v>
      </c>
    </row>
    <row r="111" spans="1:24" x14ac:dyDescent="0.3">
      <c r="A111" t="s">
        <v>179</v>
      </c>
      <c r="B111" t="s">
        <v>39</v>
      </c>
      <c r="C111">
        <v>27</v>
      </c>
      <c r="D111" t="s">
        <v>57</v>
      </c>
      <c r="E111" t="s">
        <v>40</v>
      </c>
      <c r="F111" t="s">
        <v>65</v>
      </c>
      <c r="G111" t="s">
        <v>33</v>
      </c>
      <c r="H111" t="s">
        <v>67</v>
      </c>
      <c r="I111" t="s">
        <v>54</v>
      </c>
      <c r="J111" t="s">
        <v>27</v>
      </c>
      <c r="K111">
        <v>8</v>
      </c>
      <c r="L111">
        <v>82343</v>
      </c>
      <c r="M111" t="s">
        <v>28</v>
      </c>
      <c r="N111">
        <v>4</v>
      </c>
      <c r="O111">
        <v>2</v>
      </c>
      <c r="P111">
        <v>37</v>
      </c>
      <c r="Q111">
        <v>2</v>
      </c>
      <c r="R111" s="1">
        <v>42118</v>
      </c>
      <c r="S111" t="s">
        <v>29</v>
      </c>
      <c r="T111" t="str">
        <f t="shared" si="5"/>
        <v>Grade A</v>
      </c>
      <c r="U111">
        <f t="shared" si="6"/>
        <v>3</v>
      </c>
      <c r="V111" t="str">
        <f t="shared" si="7"/>
        <v>Mid Level</v>
      </c>
      <c r="W111" t="str">
        <f t="shared" si="8"/>
        <v>Medium Risk</v>
      </c>
      <c r="X111" t="str">
        <f t="shared" si="9"/>
        <v>Competitive</v>
      </c>
    </row>
    <row r="112" spans="1:24" x14ac:dyDescent="0.3">
      <c r="A112" t="s">
        <v>180</v>
      </c>
      <c r="B112" t="s">
        <v>20</v>
      </c>
      <c r="C112">
        <v>30</v>
      </c>
      <c r="D112" t="s">
        <v>31</v>
      </c>
      <c r="E112" t="s">
        <v>40</v>
      </c>
      <c r="F112" t="s">
        <v>23</v>
      </c>
      <c r="G112" t="s">
        <v>33</v>
      </c>
      <c r="H112" t="s">
        <v>25</v>
      </c>
      <c r="I112" t="s">
        <v>50</v>
      </c>
      <c r="J112" t="s">
        <v>44</v>
      </c>
      <c r="K112">
        <v>10</v>
      </c>
      <c r="L112">
        <v>79363</v>
      </c>
      <c r="M112" t="s">
        <v>36</v>
      </c>
      <c r="N112">
        <v>3</v>
      </c>
      <c r="O112">
        <v>4</v>
      </c>
      <c r="P112">
        <v>56</v>
      </c>
      <c r="Q112">
        <v>0</v>
      </c>
      <c r="R112" s="1">
        <v>41587</v>
      </c>
      <c r="S112" t="s">
        <v>37</v>
      </c>
      <c r="T112" t="str">
        <f t="shared" si="5"/>
        <v>Grade B</v>
      </c>
      <c r="U112">
        <f t="shared" si="6"/>
        <v>1</v>
      </c>
      <c r="V112" t="str">
        <f t="shared" si="7"/>
        <v>Mid Level</v>
      </c>
      <c r="W112" t="str">
        <f t="shared" si="8"/>
        <v>Already Left</v>
      </c>
      <c r="X112" t="str">
        <f t="shared" si="9"/>
        <v>Fair</v>
      </c>
    </row>
    <row r="113" spans="1:24" x14ac:dyDescent="0.3">
      <c r="A113" t="s">
        <v>181</v>
      </c>
      <c r="B113" t="s">
        <v>20</v>
      </c>
      <c r="C113">
        <v>39</v>
      </c>
      <c r="D113" t="s">
        <v>88</v>
      </c>
      <c r="E113" t="s">
        <v>40</v>
      </c>
      <c r="F113" t="s">
        <v>23</v>
      </c>
      <c r="G113" t="s">
        <v>42</v>
      </c>
      <c r="H113" t="s">
        <v>34</v>
      </c>
      <c r="I113" t="s">
        <v>43</v>
      </c>
      <c r="J113" t="s">
        <v>44</v>
      </c>
      <c r="K113">
        <v>6</v>
      </c>
      <c r="L113">
        <v>99409</v>
      </c>
      <c r="M113" t="s">
        <v>28</v>
      </c>
      <c r="N113">
        <v>1</v>
      </c>
      <c r="O113">
        <v>2</v>
      </c>
      <c r="P113">
        <v>22</v>
      </c>
      <c r="Q113">
        <v>3</v>
      </c>
      <c r="R113" s="1">
        <v>42844</v>
      </c>
      <c r="S113" t="s">
        <v>29</v>
      </c>
      <c r="T113" t="str">
        <f t="shared" si="5"/>
        <v>Grade A</v>
      </c>
      <c r="U113">
        <f t="shared" si="6"/>
        <v>3</v>
      </c>
      <c r="V113" t="str">
        <f t="shared" si="7"/>
        <v>Mid Level</v>
      </c>
      <c r="W113" t="str">
        <f t="shared" si="8"/>
        <v>Medium Risk</v>
      </c>
      <c r="X113" t="str">
        <f t="shared" si="9"/>
        <v>Competitive</v>
      </c>
    </row>
    <row r="114" spans="1:24" x14ac:dyDescent="0.3">
      <c r="A114" t="s">
        <v>182</v>
      </c>
      <c r="B114" t="s">
        <v>20</v>
      </c>
      <c r="C114">
        <v>54</v>
      </c>
      <c r="D114" t="s">
        <v>21</v>
      </c>
      <c r="E114" t="s">
        <v>22</v>
      </c>
      <c r="F114" t="s">
        <v>65</v>
      </c>
      <c r="G114" t="s">
        <v>24</v>
      </c>
      <c r="H114" t="s">
        <v>34</v>
      </c>
      <c r="I114" t="s">
        <v>72</v>
      </c>
      <c r="J114" t="s">
        <v>73</v>
      </c>
      <c r="K114">
        <v>13</v>
      </c>
      <c r="L114">
        <v>97522</v>
      </c>
      <c r="M114" t="s">
        <v>45</v>
      </c>
      <c r="N114">
        <v>1</v>
      </c>
      <c r="O114">
        <v>2</v>
      </c>
      <c r="P114">
        <v>52</v>
      </c>
      <c r="Q114">
        <v>3</v>
      </c>
      <c r="R114" s="1">
        <v>40287</v>
      </c>
      <c r="S114" t="s">
        <v>29</v>
      </c>
      <c r="T114" t="str">
        <f t="shared" si="5"/>
        <v>Grade A</v>
      </c>
      <c r="U114">
        <f t="shared" si="6"/>
        <v>2</v>
      </c>
      <c r="V114" t="str">
        <f t="shared" si="7"/>
        <v>Senior</v>
      </c>
      <c r="W114" t="str">
        <f t="shared" si="8"/>
        <v>Medium Risk</v>
      </c>
      <c r="X114" t="str">
        <f t="shared" si="9"/>
        <v>Fair</v>
      </c>
    </row>
    <row r="115" spans="1:24" x14ac:dyDescent="0.3">
      <c r="A115" t="s">
        <v>183</v>
      </c>
      <c r="B115" t="s">
        <v>20</v>
      </c>
      <c r="C115">
        <v>43</v>
      </c>
      <c r="D115" t="s">
        <v>88</v>
      </c>
      <c r="E115" t="s">
        <v>40</v>
      </c>
      <c r="F115" t="s">
        <v>78</v>
      </c>
      <c r="G115" t="s">
        <v>66</v>
      </c>
      <c r="H115" t="s">
        <v>67</v>
      </c>
      <c r="I115" t="s">
        <v>35</v>
      </c>
      <c r="J115" t="s">
        <v>27</v>
      </c>
      <c r="K115">
        <v>6</v>
      </c>
      <c r="L115">
        <v>42324</v>
      </c>
      <c r="M115" t="s">
        <v>28</v>
      </c>
      <c r="N115">
        <v>4</v>
      </c>
      <c r="O115">
        <v>3</v>
      </c>
      <c r="P115">
        <v>70</v>
      </c>
      <c r="Q115">
        <v>0</v>
      </c>
      <c r="R115" s="1">
        <v>42787</v>
      </c>
      <c r="S115" t="s">
        <v>29</v>
      </c>
      <c r="T115" t="str">
        <f t="shared" si="5"/>
        <v>Grade C</v>
      </c>
      <c r="U115">
        <f t="shared" si="6"/>
        <v>3</v>
      </c>
      <c r="V115" t="str">
        <f t="shared" si="7"/>
        <v>Mid Level</v>
      </c>
      <c r="W115" t="str">
        <f t="shared" si="8"/>
        <v>Medium Risk</v>
      </c>
      <c r="X115" t="str">
        <f t="shared" si="9"/>
        <v>Fair</v>
      </c>
    </row>
    <row r="116" spans="1:24" x14ac:dyDescent="0.3">
      <c r="A116" t="s">
        <v>184</v>
      </c>
      <c r="B116" t="s">
        <v>39</v>
      </c>
      <c r="C116">
        <v>25</v>
      </c>
      <c r="D116" t="s">
        <v>88</v>
      </c>
      <c r="E116" t="s">
        <v>48</v>
      </c>
      <c r="F116" t="s">
        <v>65</v>
      </c>
      <c r="G116" t="s">
        <v>42</v>
      </c>
      <c r="H116" t="s">
        <v>83</v>
      </c>
      <c r="I116" t="s">
        <v>72</v>
      </c>
      <c r="J116" t="s">
        <v>73</v>
      </c>
      <c r="K116">
        <v>10</v>
      </c>
      <c r="L116">
        <v>105873</v>
      </c>
      <c r="M116" t="s">
        <v>36</v>
      </c>
      <c r="N116">
        <v>2</v>
      </c>
      <c r="O116">
        <v>4</v>
      </c>
      <c r="P116">
        <v>28</v>
      </c>
      <c r="Q116">
        <v>1</v>
      </c>
      <c r="R116" s="1">
        <v>41507</v>
      </c>
      <c r="S116" t="s">
        <v>37</v>
      </c>
      <c r="T116" t="str">
        <f t="shared" si="5"/>
        <v>Grade A</v>
      </c>
      <c r="U116">
        <f t="shared" si="6"/>
        <v>1</v>
      </c>
      <c r="V116" t="str">
        <f t="shared" si="7"/>
        <v>Mid Level</v>
      </c>
      <c r="W116" t="str">
        <f t="shared" si="8"/>
        <v>Already Left</v>
      </c>
      <c r="X116" t="str">
        <f t="shared" si="9"/>
        <v>Overpaid</v>
      </c>
    </row>
    <row r="117" spans="1:24" x14ac:dyDescent="0.3">
      <c r="A117" t="s">
        <v>185</v>
      </c>
      <c r="B117" t="s">
        <v>39</v>
      </c>
      <c r="C117">
        <v>48</v>
      </c>
      <c r="D117" t="s">
        <v>88</v>
      </c>
      <c r="E117" t="s">
        <v>40</v>
      </c>
      <c r="F117" t="s">
        <v>41</v>
      </c>
      <c r="G117" t="s">
        <v>66</v>
      </c>
      <c r="H117" t="s">
        <v>67</v>
      </c>
      <c r="I117" t="s">
        <v>50</v>
      </c>
      <c r="J117" t="s">
        <v>44</v>
      </c>
      <c r="K117">
        <v>8</v>
      </c>
      <c r="L117">
        <v>54722</v>
      </c>
      <c r="M117" t="s">
        <v>51</v>
      </c>
      <c r="N117">
        <v>4</v>
      </c>
      <c r="O117">
        <v>1</v>
      </c>
      <c r="P117">
        <v>27</v>
      </c>
      <c r="Q117">
        <v>1</v>
      </c>
      <c r="R117" s="1">
        <v>42161</v>
      </c>
      <c r="S117" t="s">
        <v>29</v>
      </c>
      <c r="T117" t="str">
        <f t="shared" si="5"/>
        <v>Grade B</v>
      </c>
      <c r="U117">
        <f t="shared" si="6"/>
        <v>4</v>
      </c>
      <c r="V117" t="str">
        <f t="shared" si="7"/>
        <v>Mid Level</v>
      </c>
      <c r="W117" t="str">
        <f t="shared" si="8"/>
        <v>Low Risk</v>
      </c>
      <c r="X117" t="str">
        <f t="shared" si="9"/>
        <v>Fair</v>
      </c>
    </row>
    <row r="118" spans="1:24" x14ac:dyDescent="0.3">
      <c r="A118" t="s">
        <v>186</v>
      </c>
      <c r="B118" t="s">
        <v>20</v>
      </c>
      <c r="C118">
        <v>38</v>
      </c>
      <c r="D118" t="s">
        <v>88</v>
      </c>
      <c r="E118" t="s">
        <v>48</v>
      </c>
      <c r="F118" t="s">
        <v>65</v>
      </c>
      <c r="G118" t="s">
        <v>24</v>
      </c>
      <c r="H118" t="s">
        <v>76</v>
      </c>
      <c r="I118" t="s">
        <v>35</v>
      </c>
      <c r="J118" t="s">
        <v>27</v>
      </c>
      <c r="K118">
        <v>6</v>
      </c>
      <c r="L118">
        <v>92062</v>
      </c>
      <c r="M118" t="s">
        <v>36</v>
      </c>
      <c r="N118">
        <v>2</v>
      </c>
      <c r="O118">
        <v>2</v>
      </c>
      <c r="P118">
        <v>45</v>
      </c>
      <c r="Q118">
        <v>2</v>
      </c>
      <c r="R118" s="1">
        <v>42823</v>
      </c>
      <c r="S118" t="s">
        <v>37</v>
      </c>
      <c r="T118" t="str">
        <f t="shared" si="5"/>
        <v>Grade A</v>
      </c>
      <c r="U118">
        <f t="shared" si="6"/>
        <v>1</v>
      </c>
      <c r="V118" t="str">
        <f t="shared" si="7"/>
        <v>Mid Level</v>
      </c>
      <c r="W118" t="str">
        <f t="shared" si="8"/>
        <v>Already Left</v>
      </c>
      <c r="X118" t="str">
        <f t="shared" si="9"/>
        <v>Overpaid</v>
      </c>
    </row>
    <row r="119" spans="1:24" x14ac:dyDescent="0.3">
      <c r="A119" t="s">
        <v>187</v>
      </c>
      <c r="B119" t="s">
        <v>20</v>
      </c>
      <c r="C119">
        <v>40</v>
      </c>
      <c r="D119" t="s">
        <v>21</v>
      </c>
      <c r="E119" t="s">
        <v>40</v>
      </c>
      <c r="F119" t="s">
        <v>62</v>
      </c>
      <c r="G119" t="s">
        <v>33</v>
      </c>
      <c r="H119" t="s">
        <v>25</v>
      </c>
      <c r="I119" t="s">
        <v>59</v>
      </c>
      <c r="J119" t="s">
        <v>60</v>
      </c>
      <c r="K119">
        <v>12</v>
      </c>
      <c r="L119">
        <v>84388</v>
      </c>
      <c r="M119" t="s">
        <v>28</v>
      </c>
      <c r="N119">
        <v>4</v>
      </c>
      <c r="O119">
        <v>4</v>
      </c>
      <c r="P119">
        <v>54</v>
      </c>
      <c r="Q119">
        <v>1</v>
      </c>
      <c r="R119" s="1">
        <v>40734</v>
      </c>
      <c r="S119" t="s">
        <v>29</v>
      </c>
      <c r="T119" t="str">
        <f t="shared" si="5"/>
        <v>Grade A</v>
      </c>
      <c r="U119">
        <f t="shared" si="6"/>
        <v>3</v>
      </c>
      <c r="V119" t="str">
        <f t="shared" si="7"/>
        <v>Senior</v>
      </c>
      <c r="W119" t="str">
        <f t="shared" si="8"/>
        <v>Medium Risk</v>
      </c>
      <c r="X119" t="str">
        <f t="shared" si="9"/>
        <v>Competitive</v>
      </c>
    </row>
    <row r="120" spans="1:24" x14ac:dyDescent="0.3">
      <c r="A120" t="s">
        <v>188</v>
      </c>
      <c r="B120" t="s">
        <v>39</v>
      </c>
      <c r="C120">
        <v>39</v>
      </c>
      <c r="D120" t="s">
        <v>88</v>
      </c>
      <c r="E120" t="s">
        <v>40</v>
      </c>
      <c r="F120" t="s">
        <v>23</v>
      </c>
      <c r="G120" t="s">
        <v>33</v>
      </c>
      <c r="H120" t="s">
        <v>25</v>
      </c>
      <c r="I120" t="s">
        <v>80</v>
      </c>
      <c r="J120" t="s">
        <v>60</v>
      </c>
      <c r="K120">
        <v>6</v>
      </c>
      <c r="L120">
        <v>70403</v>
      </c>
      <c r="M120" t="s">
        <v>51</v>
      </c>
      <c r="N120">
        <v>3</v>
      </c>
      <c r="O120">
        <v>2</v>
      </c>
      <c r="P120">
        <v>23</v>
      </c>
      <c r="Q120">
        <v>1</v>
      </c>
      <c r="R120" s="1">
        <v>42993</v>
      </c>
      <c r="S120" t="s">
        <v>29</v>
      </c>
      <c r="T120" t="str">
        <f t="shared" si="5"/>
        <v>Grade B</v>
      </c>
      <c r="U120">
        <f t="shared" si="6"/>
        <v>4</v>
      </c>
      <c r="V120" t="str">
        <f t="shared" si="7"/>
        <v>Mid Level</v>
      </c>
      <c r="W120" t="str">
        <f t="shared" si="8"/>
        <v>Low Risk</v>
      </c>
      <c r="X120" t="str">
        <f t="shared" si="9"/>
        <v>Fair</v>
      </c>
    </row>
    <row r="121" spans="1:24" x14ac:dyDescent="0.3">
      <c r="A121" t="s">
        <v>189</v>
      </c>
      <c r="B121" t="s">
        <v>20</v>
      </c>
      <c r="C121">
        <v>52</v>
      </c>
      <c r="D121" t="s">
        <v>21</v>
      </c>
      <c r="E121" t="s">
        <v>40</v>
      </c>
      <c r="F121" t="s">
        <v>23</v>
      </c>
      <c r="G121" t="s">
        <v>49</v>
      </c>
      <c r="H121" t="s">
        <v>34</v>
      </c>
      <c r="I121" t="s">
        <v>59</v>
      </c>
      <c r="J121" t="s">
        <v>60</v>
      </c>
      <c r="K121">
        <v>11</v>
      </c>
      <c r="L121">
        <v>63720</v>
      </c>
      <c r="M121" t="s">
        <v>28</v>
      </c>
      <c r="N121">
        <v>2</v>
      </c>
      <c r="O121">
        <v>1</v>
      </c>
      <c r="P121">
        <v>80</v>
      </c>
      <c r="Q121">
        <v>1</v>
      </c>
      <c r="R121" s="1">
        <v>41066</v>
      </c>
      <c r="S121" t="s">
        <v>37</v>
      </c>
      <c r="T121" t="str">
        <f t="shared" si="5"/>
        <v>Grade B</v>
      </c>
      <c r="U121">
        <f t="shared" si="6"/>
        <v>3</v>
      </c>
      <c r="V121" t="str">
        <f t="shared" si="7"/>
        <v>Senior</v>
      </c>
      <c r="W121" t="str">
        <f t="shared" si="8"/>
        <v>Already Left</v>
      </c>
      <c r="X121" t="str">
        <f t="shared" si="9"/>
        <v>Competitive</v>
      </c>
    </row>
    <row r="122" spans="1:24" x14ac:dyDescent="0.3">
      <c r="A122" t="s">
        <v>190</v>
      </c>
      <c r="B122" t="s">
        <v>39</v>
      </c>
      <c r="C122">
        <v>27</v>
      </c>
      <c r="D122" t="s">
        <v>88</v>
      </c>
      <c r="E122" t="s">
        <v>22</v>
      </c>
      <c r="F122" t="s">
        <v>78</v>
      </c>
      <c r="G122" t="s">
        <v>42</v>
      </c>
      <c r="H122" t="s">
        <v>76</v>
      </c>
      <c r="I122" t="s">
        <v>43</v>
      </c>
      <c r="J122" t="s">
        <v>44</v>
      </c>
      <c r="K122">
        <v>13</v>
      </c>
      <c r="L122">
        <v>121524</v>
      </c>
      <c r="M122" t="s">
        <v>28</v>
      </c>
      <c r="N122">
        <v>1</v>
      </c>
      <c r="O122">
        <v>2</v>
      </c>
      <c r="P122">
        <v>63</v>
      </c>
      <c r="Q122">
        <v>1</v>
      </c>
      <c r="R122" s="1">
        <v>40217</v>
      </c>
      <c r="S122" t="s">
        <v>29</v>
      </c>
      <c r="T122" t="str">
        <f t="shared" si="5"/>
        <v>Grade A</v>
      </c>
      <c r="U122">
        <f t="shared" si="6"/>
        <v>3</v>
      </c>
      <c r="V122" t="str">
        <f t="shared" si="7"/>
        <v>Senior</v>
      </c>
      <c r="W122" t="str">
        <f t="shared" si="8"/>
        <v>Medium Risk</v>
      </c>
      <c r="X122" t="str">
        <f t="shared" si="9"/>
        <v>Competitive</v>
      </c>
    </row>
    <row r="123" spans="1:24" x14ac:dyDescent="0.3">
      <c r="A123" t="s">
        <v>191</v>
      </c>
      <c r="B123" t="s">
        <v>39</v>
      </c>
      <c r="C123">
        <v>43</v>
      </c>
      <c r="D123" t="s">
        <v>31</v>
      </c>
      <c r="E123" t="s">
        <v>48</v>
      </c>
      <c r="F123" t="s">
        <v>75</v>
      </c>
      <c r="G123" t="s">
        <v>42</v>
      </c>
      <c r="H123" t="s">
        <v>76</v>
      </c>
      <c r="I123" t="s">
        <v>50</v>
      </c>
      <c r="J123" t="s">
        <v>44</v>
      </c>
      <c r="K123">
        <v>15</v>
      </c>
      <c r="L123">
        <v>116227</v>
      </c>
      <c r="M123" t="s">
        <v>28</v>
      </c>
      <c r="N123">
        <v>4</v>
      </c>
      <c r="O123">
        <v>2</v>
      </c>
      <c r="P123">
        <v>74</v>
      </c>
      <c r="Q123">
        <v>3</v>
      </c>
      <c r="R123" s="1">
        <v>39665</v>
      </c>
      <c r="S123" t="s">
        <v>37</v>
      </c>
      <c r="T123" t="str">
        <f t="shared" si="5"/>
        <v>Grade A</v>
      </c>
      <c r="U123">
        <f t="shared" si="6"/>
        <v>3</v>
      </c>
      <c r="V123" t="str">
        <f t="shared" si="7"/>
        <v>Senior</v>
      </c>
      <c r="W123" t="str">
        <f t="shared" si="8"/>
        <v>Already Left</v>
      </c>
      <c r="X123" t="str">
        <f t="shared" si="9"/>
        <v>Competitive</v>
      </c>
    </row>
    <row r="124" spans="1:24" x14ac:dyDescent="0.3">
      <c r="A124" t="s">
        <v>192</v>
      </c>
      <c r="B124" t="s">
        <v>20</v>
      </c>
      <c r="C124">
        <v>40</v>
      </c>
      <c r="D124" t="s">
        <v>88</v>
      </c>
      <c r="E124" t="s">
        <v>40</v>
      </c>
      <c r="F124" t="s">
        <v>32</v>
      </c>
      <c r="G124" t="s">
        <v>33</v>
      </c>
      <c r="H124" t="s">
        <v>83</v>
      </c>
      <c r="I124" t="s">
        <v>80</v>
      </c>
      <c r="J124" t="s">
        <v>60</v>
      </c>
      <c r="K124">
        <v>3</v>
      </c>
      <c r="L124">
        <v>64430</v>
      </c>
      <c r="M124" t="s">
        <v>45</v>
      </c>
      <c r="N124">
        <v>2</v>
      </c>
      <c r="O124">
        <v>2</v>
      </c>
      <c r="P124">
        <v>61</v>
      </c>
      <c r="Q124">
        <v>3</v>
      </c>
      <c r="R124" s="1">
        <v>44190</v>
      </c>
      <c r="S124" t="s">
        <v>29</v>
      </c>
      <c r="T124" t="str">
        <f t="shared" si="5"/>
        <v>Grade B</v>
      </c>
      <c r="U124">
        <f t="shared" si="6"/>
        <v>2</v>
      </c>
      <c r="V124" t="str">
        <f t="shared" si="7"/>
        <v>Junior</v>
      </c>
      <c r="W124" t="str">
        <f t="shared" si="8"/>
        <v>Medium Risk</v>
      </c>
      <c r="X124" t="str">
        <f t="shared" si="9"/>
        <v>Fair</v>
      </c>
    </row>
    <row r="125" spans="1:24" x14ac:dyDescent="0.3">
      <c r="A125" t="s">
        <v>193</v>
      </c>
      <c r="B125" t="s">
        <v>39</v>
      </c>
      <c r="C125">
        <v>22</v>
      </c>
      <c r="D125" t="s">
        <v>31</v>
      </c>
      <c r="E125" t="s">
        <v>48</v>
      </c>
      <c r="F125" t="s">
        <v>65</v>
      </c>
      <c r="G125" t="s">
        <v>79</v>
      </c>
      <c r="H125" t="s">
        <v>83</v>
      </c>
      <c r="I125" t="s">
        <v>35</v>
      </c>
      <c r="J125" t="s">
        <v>27</v>
      </c>
      <c r="K125">
        <v>11</v>
      </c>
      <c r="L125">
        <v>58054</v>
      </c>
      <c r="M125" t="s">
        <v>36</v>
      </c>
      <c r="N125">
        <v>2</v>
      </c>
      <c r="O125">
        <v>4</v>
      </c>
      <c r="P125">
        <v>44</v>
      </c>
      <c r="Q125">
        <v>2</v>
      </c>
      <c r="R125" s="1">
        <v>41112</v>
      </c>
      <c r="S125" t="s">
        <v>37</v>
      </c>
      <c r="T125" t="str">
        <f t="shared" si="5"/>
        <v>Grade B</v>
      </c>
      <c r="U125">
        <f t="shared" si="6"/>
        <v>1</v>
      </c>
      <c r="V125" t="str">
        <f t="shared" si="7"/>
        <v>Senior</v>
      </c>
      <c r="W125" t="str">
        <f t="shared" si="8"/>
        <v>Already Left</v>
      </c>
      <c r="X125" t="str">
        <f t="shared" si="9"/>
        <v>Fair</v>
      </c>
    </row>
    <row r="126" spans="1:24" x14ac:dyDescent="0.3">
      <c r="A126" t="s">
        <v>194</v>
      </c>
      <c r="B126" t="s">
        <v>20</v>
      </c>
      <c r="C126">
        <v>32</v>
      </c>
      <c r="D126" t="s">
        <v>57</v>
      </c>
      <c r="E126" t="s">
        <v>40</v>
      </c>
      <c r="F126" t="s">
        <v>23</v>
      </c>
      <c r="G126" t="s">
        <v>49</v>
      </c>
      <c r="H126" t="s">
        <v>25</v>
      </c>
      <c r="I126" t="s">
        <v>80</v>
      </c>
      <c r="J126" t="s">
        <v>60</v>
      </c>
      <c r="K126">
        <v>12</v>
      </c>
      <c r="L126">
        <v>66035</v>
      </c>
      <c r="M126" t="s">
        <v>45</v>
      </c>
      <c r="N126">
        <v>3</v>
      </c>
      <c r="O126">
        <v>1</v>
      </c>
      <c r="P126">
        <v>47</v>
      </c>
      <c r="Q126">
        <v>2</v>
      </c>
      <c r="R126" s="1">
        <v>40674</v>
      </c>
      <c r="S126" t="s">
        <v>37</v>
      </c>
      <c r="T126" t="str">
        <f t="shared" si="5"/>
        <v>Grade B</v>
      </c>
      <c r="U126">
        <f t="shared" si="6"/>
        <v>2</v>
      </c>
      <c r="V126" t="str">
        <f t="shared" si="7"/>
        <v>Senior</v>
      </c>
      <c r="W126" t="str">
        <f t="shared" si="8"/>
        <v>Already Left</v>
      </c>
      <c r="X126" t="str">
        <f t="shared" si="9"/>
        <v>Fair</v>
      </c>
    </row>
    <row r="127" spans="1:24" x14ac:dyDescent="0.3">
      <c r="A127" t="s">
        <v>195</v>
      </c>
      <c r="B127" t="s">
        <v>20</v>
      </c>
      <c r="C127">
        <v>52</v>
      </c>
      <c r="D127" t="s">
        <v>88</v>
      </c>
      <c r="E127" t="s">
        <v>40</v>
      </c>
      <c r="F127" t="s">
        <v>32</v>
      </c>
      <c r="G127" t="s">
        <v>24</v>
      </c>
      <c r="H127" t="s">
        <v>67</v>
      </c>
      <c r="I127" t="s">
        <v>54</v>
      </c>
      <c r="J127" t="s">
        <v>27</v>
      </c>
      <c r="K127">
        <v>8</v>
      </c>
      <c r="L127">
        <v>95908</v>
      </c>
      <c r="M127" t="s">
        <v>28</v>
      </c>
      <c r="N127">
        <v>2</v>
      </c>
      <c r="O127">
        <v>2</v>
      </c>
      <c r="P127">
        <v>20</v>
      </c>
      <c r="Q127">
        <v>3</v>
      </c>
      <c r="R127" s="1">
        <v>42181</v>
      </c>
      <c r="S127" t="s">
        <v>29</v>
      </c>
      <c r="T127" t="str">
        <f t="shared" si="5"/>
        <v>Grade A</v>
      </c>
      <c r="U127">
        <f t="shared" si="6"/>
        <v>3</v>
      </c>
      <c r="V127" t="str">
        <f t="shared" si="7"/>
        <v>Mid Level</v>
      </c>
      <c r="W127" t="str">
        <f t="shared" si="8"/>
        <v>Medium Risk</v>
      </c>
      <c r="X127" t="str">
        <f t="shared" si="9"/>
        <v>Competitive</v>
      </c>
    </row>
    <row r="128" spans="1:24" x14ac:dyDescent="0.3">
      <c r="A128" t="s">
        <v>196</v>
      </c>
      <c r="B128" t="s">
        <v>39</v>
      </c>
      <c r="C128">
        <v>42</v>
      </c>
      <c r="D128" t="s">
        <v>88</v>
      </c>
      <c r="E128" t="s">
        <v>48</v>
      </c>
      <c r="F128" t="s">
        <v>65</v>
      </c>
      <c r="G128" t="s">
        <v>49</v>
      </c>
      <c r="H128" t="s">
        <v>83</v>
      </c>
      <c r="I128" t="s">
        <v>35</v>
      </c>
      <c r="J128" t="s">
        <v>27</v>
      </c>
      <c r="K128">
        <v>1</v>
      </c>
      <c r="L128">
        <v>60766</v>
      </c>
      <c r="M128" t="s">
        <v>51</v>
      </c>
      <c r="N128">
        <v>1</v>
      </c>
      <c r="O128">
        <v>2</v>
      </c>
      <c r="P128">
        <v>72</v>
      </c>
      <c r="Q128">
        <v>0</v>
      </c>
      <c r="R128" s="1">
        <v>44851</v>
      </c>
      <c r="S128" t="s">
        <v>29</v>
      </c>
      <c r="T128" t="str">
        <f t="shared" si="5"/>
        <v>Grade B</v>
      </c>
      <c r="U128">
        <f t="shared" si="6"/>
        <v>4</v>
      </c>
      <c r="V128" t="str">
        <f t="shared" si="7"/>
        <v>New Joiner</v>
      </c>
      <c r="W128" t="str">
        <f t="shared" si="8"/>
        <v>Low Risk</v>
      </c>
      <c r="X128" t="str">
        <f t="shared" si="9"/>
        <v>Fair</v>
      </c>
    </row>
    <row r="129" spans="1:24" x14ac:dyDescent="0.3">
      <c r="A129" t="s">
        <v>197</v>
      </c>
      <c r="B129" t="s">
        <v>20</v>
      </c>
      <c r="C129">
        <v>41</v>
      </c>
      <c r="D129" t="s">
        <v>21</v>
      </c>
      <c r="E129" t="s">
        <v>48</v>
      </c>
      <c r="F129" t="s">
        <v>78</v>
      </c>
      <c r="G129" t="s">
        <v>63</v>
      </c>
      <c r="H129" t="s">
        <v>83</v>
      </c>
      <c r="I129" t="s">
        <v>35</v>
      </c>
      <c r="J129" t="s">
        <v>27</v>
      </c>
      <c r="K129">
        <v>3</v>
      </c>
      <c r="L129">
        <v>55968</v>
      </c>
      <c r="M129" t="s">
        <v>36</v>
      </c>
      <c r="N129">
        <v>3</v>
      </c>
      <c r="O129">
        <v>1</v>
      </c>
      <c r="P129">
        <v>37</v>
      </c>
      <c r="Q129">
        <v>0</v>
      </c>
      <c r="R129" s="1">
        <v>43911</v>
      </c>
      <c r="S129" t="s">
        <v>37</v>
      </c>
      <c r="T129" t="str">
        <f t="shared" si="5"/>
        <v>Grade B</v>
      </c>
      <c r="U129">
        <f t="shared" si="6"/>
        <v>1</v>
      </c>
      <c r="V129" t="str">
        <f t="shared" si="7"/>
        <v>Junior</v>
      </c>
      <c r="W129" t="str">
        <f t="shared" si="8"/>
        <v>Already Left</v>
      </c>
      <c r="X129" t="str">
        <f t="shared" si="9"/>
        <v>Fair</v>
      </c>
    </row>
    <row r="130" spans="1:24" x14ac:dyDescent="0.3">
      <c r="A130" t="s">
        <v>198</v>
      </c>
      <c r="B130" t="s">
        <v>20</v>
      </c>
      <c r="C130">
        <v>48</v>
      </c>
      <c r="D130" t="s">
        <v>47</v>
      </c>
      <c r="E130" t="s">
        <v>22</v>
      </c>
      <c r="F130" t="s">
        <v>75</v>
      </c>
      <c r="G130" t="s">
        <v>58</v>
      </c>
      <c r="H130" t="s">
        <v>25</v>
      </c>
      <c r="I130" t="s">
        <v>50</v>
      </c>
      <c r="J130" t="s">
        <v>44</v>
      </c>
      <c r="K130">
        <v>9</v>
      </c>
      <c r="L130">
        <v>95261</v>
      </c>
      <c r="M130" t="s">
        <v>51</v>
      </c>
      <c r="N130">
        <v>4</v>
      </c>
      <c r="O130">
        <v>3</v>
      </c>
      <c r="P130">
        <v>58</v>
      </c>
      <c r="Q130">
        <v>3</v>
      </c>
      <c r="R130" s="1">
        <v>41991</v>
      </c>
      <c r="S130" t="s">
        <v>29</v>
      </c>
      <c r="T130" t="str">
        <f t="shared" ref="T130:T193" si="10">IF(L130&gt;=80000,"Grade A",IF(L130&gt;=50000,"Grade B",IF(L130&gt;=35000,"Grade C","Grade D")))</f>
        <v>Grade A</v>
      </c>
      <c r="U130">
        <f t="shared" ref="U130:U193" si="11">IF(M130="Excellent",4,IF(M130="Good",3,IF(M130="Average",2,1)))</f>
        <v>4</v>
      </c>
      <c r="V130" t="str">
        <f t="shared" ref="V130:V193" si="12">IF(K130&lt;=2,"New Joiner",IF(K130&lt;=5,"Junior",IF(K130&lt;=10,"Mid Level","Senior")))</f>
        <v>Mid Level</v>
      </c>
      <c r="W130" t="str">
        <f t="shared" ref="W130:W193" si="13">IF(S130="Yes","Already Left",IF(AND(K130&lt;=2,M130="Poor"),"High Risk",IF(AND(K130&lt;=5,M130="Average"),"Medium Risk",IF(M130="Excellent","Low Risk","Medium Risk"))))</f>
        <v>Low Risk</v>
      </c>
      <c r="X130" t="str">
        <f t="shared" ref="X130:X193" si="14">IF(AND(L130&gt;=80000,M130="Excellent"),"Competitive",IF(AND(L130&gt;=50000,M130="Good"),"Competitive",IF(AND(L130&lt;35000,M130="Excellent"),"Underpaid",IF(AND(L130&gt;=80000,M130="Poor"),"Overpaid","Fair"))))</f>
        <v>Competitive</v>
      </c>
    </row>
    <row r="131" spans="1:24" x14ac:dyDescent="0.3">
      <c r="A131" t="s">
        <v>199</v>
      </c>
      <c r="B131" t="s">
        <v>20</v>
      </c>
      <c r="C131">
        <v>55</v>
      </c>
      <c r="D131" t="s">
        <v>47</v>
      </c>
      <c r="E131" t="s">
        <v>40</v>
      </c>
      <c r="F131" t="s">
        <v>75</v>
      </c>
      <c r="G131" t="s">
        <v>66</v>
      </c>
      <c r="H131" t="s">
        <v>83</v>
      </c>
      <c r="I131" t="s">
        <v>43</v>
      </c>
      <c r="J131" t="s">
        <v>44</v>
      </c>
      <c r="K131">
        <v>11</v>
      </c>
      <c r="L131">
        <v>50887</v>
      </c>
      <c r="M131" t="s">
        <v>28</v>
      </c>
      <c r="N131">
        <v>2</v>
      </c>
      <c r="O131">
        <v>1</v>
      </c>
      <c r="P131">
        <v>12</v>
      </c>
      <c r="Q131">
        <v>2</v>
      </c>
      <c r="R131" s="1">
        <v>41002</v>
      </c>
      <c r="S131" t="s">
        <v>29</v>
      </c>
      <c r="T131" t="str">
        <f t="shared" si="10"/>
        <v>Grade B</v>
      </c>
      <c r="U131">
        <f t="shared" si="11"/>
        <v>3</v>
      </c>
      <c r="V131" t="str">
        <f t="shared" si="12"/>
        <v>Senior</v>
      </c>
      <c r="W131" t="str">
        <f t="shared" si="13"/>
        <v>Medium Risk</v>
      </c>
      <c r="X131" t="str">
        <f t="shared" si="14"/>
        <v>Competitive</v>
      </c>
    </row>
    <row r="132" spans="1:24" x14ac:dyDescent="0.3">
      <c r="A132" t="s">
        <v>200</v>
      </c>
      <c r="B132" t="s">
        <v>20</v>
      </c>
      <c r="C132">
        <v>34</v>
      </c>
      <c r="D132" t="s">
        <v>21</v>
      </c>
      <c r="E132" t="s">
        <v>22</v>
      </c>
      <c r="F132" t="s">
        <v>75</v>
      </c>
      <c r="G132" t="s">
        <v>49</v>
      </c>
      <c r="H132" t="s">
        <v>34</v>
      </c>
      <c r="I132" t="s">
        <v>96</v>
      </c>
      <c r="J132" t="s">
        <v>44</v>
      </c>
      <c r="K132">
        <v>14</v>
      </c>
      <c r="L132">
        <v>76110</v>
      </c>
      <c r="M132" t="s">
        <v>36</v>
      </c>
      <c r="N132">
        <v>4</v>
      </c>
      <c r="O132">
        <v>1</v>
      </c>
      <c r="P132">
        <v>40</v>
      </c>
      <c r="Q132">
        <v>1</v>
      </c>
      <c r="R132" s="1">
        <v>40103</v>
      </c>
      <c r="S132" t="s">
        <v>37</v>
      </c>
      <c r="T132" t="str">
        <f t="shared" si="10"/>
        <v>Grade B</v>
      </c>
      <c r="U132">
        <f t="shared" si="11"/>
        <v>1</v>
      </c>
      <c r="V132" t="str">
        <f t="shared" si="12"/>
        <v>Senior</v>
      </c>
      <c r="W132" t="str">
        <f t="shared" si="13"/>
        <v>Already Left</v>
      </c>
      <c r="X132" t="str">
        <f t="shared" si="14"/>
        <v>Fair</v>
      </c>
    </row>
    <row r="133" spans="1:24" x14ac:dyDescent="0.3">
      <c r="A133" t="s">
        <v>201</v>
      </c>
      <c r="B133" t="s">
        <v>20</v>
      </c>
      <c r="C133">
        <v>36</v>
      </c>
      <c r="D133" t="s">
        <v>88</v>
      </c>
      <c r="E133" t="s">
        <v>22</v>
      </c>
      <c r="F133" t="s">
        <v>41</v>
      </c>
      <c r="G133" t="s">
        <v>58</v>
      </c>
      <c r="H133" t="s">
        <v>34</v>
      </c>
      <c r="I133" t="s">
        <v>26</v>
      </c>
      <c r="J133" t="s">
        <v>27</v>
      </c>
      <c r="K133">
        <v>8</v>
      </c>
      <c r="L133">
        <v>99019</v>
      </c>
      <c r="M133" t="s">
        <v>51</v>
      </c>
      <c r="N133">
        <v>1</v>
      </c>
      <c r="O133">
        <v>2</v>
      </c>
      <c r="P133">
        <v>74</v>
      </c>
      <c r="Q133">
        <v>2</v>
      </c>
      <c r="R133" s="1">
        <v>42167</v>
      </c>
      <c r="S133" t="s">
        <v>37</v>
      </c>
      <c r="T133" t="str">
        <f t="shared" si="10"/>
        <v>Grade A</v>
      </c>
      <c r="U133">
        <f t="shared" si="11"/>
        <v>4</v>
      </c>
      <c r="V133" t="str">
        <f t="shared" si="12"/>
        <v>Mid Level</v>
      </c>
      <c r="W133" t="str">
        <f t="shared" si="13"/>
        <v>Already Left</v>
      </c>
      <c r="X133" t="str">
        <f t="shared" si="14"/>
        <v>Competitive</v>
      </c>
    </row>
    <row r="134" spans="1:24" x14ac:dyDescent="0.3">
      <c r="A134" t="s">
        <v>202</v>
      </c>
      <c r="B134" t="s">
        <v>20</v>
      </c>
      <c r="C134">
        <v>41</v>
      </c>
      <c r="D134" t="s">
        <v>31</v>
      </c>
      <c r="E134" t="s">
        <v>22</v>
      </c>
      <c r="F134" t="s">
        <v>65</v>
      </c>
      <c r="G134" t="s">
        <v>42</v>
      </c>
      <c r="H134" t="s">
        <v>34</v>
      </c>
      <c r="I134" t="s">
        <v>59</v>
      </c>
      <c r="J134" t="s">
        <v>60</v>
      </c>
      <c r="K134">
        <v>4</v>
      </c>
      <c r="L134">
        <v>97694</v>
      </c>
      <c r="M134" t="s">
        <v>45</v>
      </c>
      <c r="N134">
        <v>2</v>
      </c>
      <c r="O134">
        <v>4</v>
      </c>
      <c r="P134">
        <v>73</v>
      </c>
      <c r="Q134">
        <v>0</v>
      </c>
      <c r="R134" s="1">
        <v>43719</v>
      </c>
      <c r="S134" t="s">
        <v>29</v>
      </c>
      <c r="T134" t="str">
        <f t="shared" si="10"/>
        <v>Grade A</v>
      </c>
      <c r="U134">
        <f t="shared" si="11"/>
        <v>2</v>
      </c>
      <c r="V134" t="str">
        <f t="shared" si="12"/>
        <v>Junior</v>
      </c>
      <c r="W134" t="str">
        <f t="shared" si="13"/>
        <v>Medium Risk</v>
      </c>
      <c r="X134" t="str">
        <f t="shared" si="14"/>
        <v>Fair</v>
      </c>
    </row>
    <row r="135" spans="1:24" x14ac:dyDescent="0.3">
      <c r="A135" t="s">
        <v>203</v>
      </c>
      <c r="B135" t="s">
        <v>20</v>
      </c>
      <c r="C135">
        <v>33</v>
      </c>
      <c r="D135" t="s">
        <v>88</v>
      </c>
      <c r="E135" t="s">
        <v>48</v>
      </c>
      <c r="F135" t="s">
        <v>75</v>
      </c>
      <c r="G135" t="s">
        <v>63</v>
      </c>
      <c r="H135" t="s">
        <v>34</v>
      </c>
      <c r="I135" t="s">
        <v>72</v>
      </c>
      <c r="J135" t="s">
        <v>73</v>
      </c>
      <c r="K135">
        <v>12</v>
      </c>
      <c r="L135">
        <v>72377</v>
      </c>
      <c r="M135" t="s">
        <v>45</v>
      </c>
      <c r="N135">
        <v>2</v>
      </c>
      <c r="O135">
        <v>2</v>
      </c>
      <c r="P135">
        <v>48</v>
      </c>
      <c r="Q135">
        <v>1</v>
      </c>
      <c r="R135" s="1">
        <v>40759</v>
      </c>
      <c r="S135" t="s">
        <v>29</v>
      </c>
      <c r="T135" t="str">
        <f t="shared" si="10"/>
        <v>Grade B</v>
      </c>
      <c r="U135">
        <f t="shared" si="11"/>
        <v>2</v>
      </c>
      <c r="V135" t="str">
        <f t="shared" si="12"/>
        <v>Senior</v>
      </c>
      <c r="W135" t="str">
        <f t="shared" si="13"/>
        <v>Medium Risk</v>
      </c>
      <c r="X135" t="str">
        <f t="shared" si="14"/>
        <v>Fair</v>
      </c>
    </row>
    <row r="136" spans="1:24" x14ac:dyDescent="0.3">
      <c r="A136" t="s">
        <v>204</v>
      </c>
      <c r="B136" t="s">
        <v>20</v>
      </c>
      <c r="C136">
        <v>27</v>
      </c>
      <c r="D136" t="s">
        <v>57</v>
      </c>
      <c r="E136" t="s">
        <v>48</v>
      </c>
      <c r="F136" t="s">
        <v>23</v>
      </c>
      <c r="G136" t="s">
        <v>24</v>
      </c>
      <c r="H136" t="s">
        <v>34</v>
      </c>
      <c r="I136" t="s">
        <v>96</v>
      </c>
      <c r="J136" t="s">
        <v>44</v>
      </c>
      <c r="K136">
        <v>7</v>
      </c>
      <c r="L136">
        <v>91727</v>
      </c>
      <c r="M136" t="s">
        <v>36</v>
      </c>
      <c r="N136">
        <v>1</v>
      </c>
      <c r="O136">
        <v>2</v>
      </c>
      <c r="P136">
        <v>16</v>
      </c>
      <c r="Q136">
        <v>2</v>
      </c>
      <c r="R136" s="1">
        <v>42633</v>
      </c>
      <c r="S136" t="s">
        <v>37</v>
      </c>
      <c r="T136" t="str">
        <f t="shared" si="10"/>
        <v>Grade A</v>
      </c>
      <c r="U136">
        <f t="shared" si="11"/>
        <v>1</v>
      </c>
      <c r="V136" t="str">
        <f t="shared" si="12"/>
        <v>Mid Level</v>
      </c>
      <c r="W136" t="str">
        <f t="shared" si="13"/>
        <v>Already Left</v>
      </c>
      <c r="X136" t="str">
        <f t="shared" si="14"/>
        <v>Overpaid</v>
      </c>
    </row>
    <row r="137" spans="1:24" x14ac:dyDescent="0.3">
      <c r="A137" t="s">
        <v>205</v>
      </c>
      <c r="B137" t="s">
        <v>20</v>
      </c>
      <c r="C137">
        <v>22</v>
      </c>
      <c r="D137" t="s">
        <v>47</v>
      </c>
      <c r="E137" t="s">
        <v>22</v>
      </c>
      <c r="F137" t="s">
        <v>23</v>
      </c>
      <c r="G137" t="s">
        <v>49</v>
      </c>
      <c r="H137" t="s">
        <v>83</v>
      </c>
      <c r="I137" t="s">
        <v>43</v>
      </c>
      <c r="J137" t="s">
        <v>44</v>
      </c>
      <c r="K137">
        <v>13</v>
      </c>
      <c r="L137">
        <v>81708</v>
      </c>
      <c r="M137" t="s">
        <v>28</v>
      </c>
      <c r="N137">
        <v>1</v>
      </c>
      <c r="O137">
        <v>4</v>
      </c>
      <c r="P137">
        <v>41</v>
      </c>
      <c r="Q137">
        <v>1</v>
      </c>
      <c r="R137" s="1">
        <v>40377</v>
      </c>
      <c r="S137" t="s">
        <v>29</v>
      </c>
      <c r="T137" t="str">
        <f t="shared" si="10"/>
        <v>Grade A</v>
      </c>
      <c r="U137">
        <f t="shared" si="11"/>
        <v>3</v>
      </c>
      <c r="V137" t="str">
        <f t="shared" si="12"/>
        <v>Senior</v>
      </c>
      <c r="W137" t="str">
        <f t="shared" si="13"/>
        <v>Medium Risk</v>
      </c>
      <c r="X137" t="str">
        <f t="shared" si="14"/>
        <v>Competitive</v>
      </c>
    </row>
    <row r="138" spans="1:24" x14ac:dyDescent="0.3">
      <c r="A138" t="s">
        <v>206</v>
      </c>
      <c r="B138" t="s">
        <v>20</v>
      </c>
      <c r="C138">
        <v>41</v>
      </c>
      <c r="D138" t="s">
        <v>31</v>
      </c>
      <c r="E138" t="s">
        <v>48</v>
      </c>
      <c r="F138" t="s">
        <v>32</v>
      </c>
      <c r="G138" t="s">
        <v>42</v>
      </c>
      <c r="H138" t="s">
        <v>34</v>
      </c>
      <c r="I138" t="s">
        <v>43</v>
      </c>
      <c r="J138" t="s">
        <v>44</v>
      </c>
      <c r="K138">
        <v>13</v>
      </c>
      <c r="L138">
        <v>123473</v>
      </c>
      <c r="M138" t="s">
        <v>45</v>
      </c>
      <c r="N138">
        <v>4</v>
      </c>
      <c r="O138">
        <v>4</v>
      </c>
      <c r="P138">
        <v>22</v>
      </c>
      <c r="Q138">
        <v>3</v>
      </c>
      <c r="R138" s="1">
        <v>40274</v>
      </c>
      <c r="S138" t="s">
        <v>29</v>
      </c>
      <c r="T138" t="str">
        <f t="shared" si="10"/>
        <v>Grade A</v>
      </c>
      <c r="U138">
        <f t="shared" si="11"/>
        <v>2</v>
      </c>
      <c r="V138" t="str">
        <f t="shared" si="12"/>
        <v>Senior</v>
      </c>
      <c r="W138" t="str">
        <f t="shared" si="13"/>
        <v>Medium Risk</v>
      </c>
      <c r="X138" t="str">
        <f t="shared" si="14"/>
        <v>Fair</v>
      </c>
    </row>
    <row r="139" spans="1:24" x14ac:dyDescent="0.3">
      <c r="A139" t="s">
        <v>207</v>
      </c>
      <c r="B139" t="s">
        <v>39</v>
      </c>
      <c r="C139">
        <v>38</v>
      </c>
      <c r="D139" t="s">
        <v>88</v>
      </c>
      <c r="E139" t="s">
        <v>40</v>
      </c>
      <c r="F139" t="s">
        <v>32</v>
      </c>
      <c r="G139" t="s">
        <v>58</v>
      </c>
      <c r="H139" t="s">
        <v>25</v>
      </c>
      <c r="I139" t="s">
        <v>72</v>
      </c>
      <c r="J139" t="s">
        <v>73</v>
      </c>
      <c r="K139">
        <v>7</v>
      </c>
      <c r="L139">
        <v>107432</v>
      </c>
      <c r="M139" t="s">
        <v>45</v>
      </c>
      <c r="N139">
        <v>4</v>
      </c>
      <c r="O139">
        <v>3</v>
      </c>
      <c r="P139">
        <v>29</v>
      </c>
      <c r="Q139">
        <v>1</v>
      </c>
      <c r="R139" s="1">
        <v>42663</v>
      </c>
      <c r="S139" t="s">
        <v>29</v>
      </c>
      <c r="T139" t="str">
        <f t="shared" si="10"/>
        <v>Grade A</v>
      </c>
      <c r="U139">
        <f t="shared" si="11"/>
        <v>2</v>
      </c>
      <c r="V139" t="str">
        <f t="shared" si="12"/>
        <v>Mid Level</v>
      </c>
      <c r="W139" t="str">
        <f t="shared" si="13"/>
        <v>Medium Risk</v>
      </c>
      <c r="X139" t="str">
        <f t="shared" si="14"/>
        <v>Fair</v>
      </c>
    </row>
    <row r="140" spans="1:24" x14ac:dyDescent="0.3">
      <c r="A140" t="s">
        <v>208</v>
      </c>
      <c r="B140" t="s">
        <v>20</v>
      </c>
      <c r="C140">
        <v>51</v>
      </c>
      <c r="D140" t="s">
        <v>47</v>
      </c>
      <c r="E140" t="s">
        <v>40</v>
      </c>
      <c r="F140" t="s">
        <v>32</v>
      </c>
      <c r="G140" t="s">
        <v>66</v>
      </c>
      <c r="H140" t="s">
        <v>76</v>
      </c>
      <c r="I140" t="s">
        <v>72</v>
      </c>
      <c r="J140" t="s">
        <v>73</v>
      </c>
      <c r="K140">
        <v>8</v>
      </c>
      <c r="L140">
        <v>49432</v>
      </c>
      <c r="M140" t="s">
        <v>28</v>
      </c>
      <c r="N140">
        <v>3</v>
      </c>
      <c r="O140">
        <v>2</v>
      </c>
      <c r="P140">
        <v>27</v>
      </c>
      <c r="Q140">
        <v>3</v>
      </c>
      <c r="R140" s="1">
        <v>42044</v>
      </c>
      <c r="S140" t="s">
        <v>29</v>
      </c>
      <c r="T140" t="str">
        <f t="shared" si="10"/>
        <v>Grade C</v>
      </c>
      <c r="U140">
        <f t="shared" si="11"/>
        <v>3</v>
      </c>
      <c r="V140" t="str">
        <f t="shared" si="12"/>
        <v>Mid Level</v>
      </c>
      <c r="W140" t="str">
        <f t="shared" si="13"/>
        <v>Medium Risk</v>
      </c>
      <c r="X140" t="str">
        <f t="shared" si="14"/>
        <v>Fair</v>
      </c>
    </row>
    <row r="141" spans="1:24" x14ac:dyDescent="0.3">
      <c r="A141" t="s">
        <v>209</v>
      </c>
      <c r="B141" t="s">
        <v>39</v>
      </c>
      <c r="C141">
        <v>36</v>
      </c>
      <c r="D141" t="s">
        <v>21</v>
      </c>
      <c r="E141" t="s">
        <v>40</v>
      </c>
      <c r="F141" t="s">
        <v>23</v>
      </c>
      <c r="G141" t="s">
        <v>79</v>
      </c>
      <c r="H141" t="s">
        <v>34</v>
      </c>
      <c r="I141" t="s">
        <v>68</v>
      </c>
      <c r="J141" t="s">
        <v>60</v>
      </c>
      <c r="K141">
        <v>14</v>
      </c>
      <c r="L141">
        <v>59589</v>
      </c>
      <c r="M141" t="s">
        <v>51</v>
      </c>
      <c r="N141">
        <v>2</v>
      </c>
      <c r="O141">
        <v>1</v>
      </c>
      <c r="P141">
        <v>37</v>
      </c>
      <c r="Q141">
        <v>3</v>
      </c>
      <c r="R141" s="1">
        <v>39971</v>
      </c>
      <c r="S141" t="s">
        <v>37</v>
      </c>
      <c r="T141" t="str">
        <f t="shared" si="10"/>
        <v>Grade B</v>
      </c>
      <c r="U141">
        <f t="shared" si="11"/>
        <v>4</v>
      </c>
      <c r="V141" t="str">
        <f t="shared" si="12"/>
        <v>Senior</v>
      </c>
      <c r="W141" t="str">
        <f t="shared" si="13"/>
        <v>Already Left</v>
      </c>
      <c r="X141" t="str">
        <f t="shared" si="14"/>
        <v>Fair</v>
      </c>
    </row>
    <row r="142" spans="1:24" x14ac:dyDescent="0.3">
      <c r="A142" t="s">
        <v>210</v>
      </c>
      <c r="B142" t="s">
        <v>20</v>
      </c>
      <c r="C142">
        <v>22</v>
      </c>
      <c r="D142" t="s">
        <v>21</v>
      </c>
      <c r="E142" t="s">
        <v>40</v>
      </c>
      <c r="F142" t="s">
        <v>23</v>
      </c>
      <c r="G142" t="s">
        <v>33</v>
      </c>
      <c r="H142" t="s">
        <v>34</v>
      </c>
      <c r="I142" t="s">
        <v>72</v>
      </c>
      <c r="J142" t="s">
        <v>73</v>
      </c>
      <c r="K142">
        <v>11</v>
      </c>
      <c r="L142">
        <v>72515</v>
      </c>
      <c r="M142" t="s">
        <v>36</v>
      </c>
      <c r="N142">
        <v>3</v>
      </c>
      <c r="O142">
        <v>3</v>
      </c>
      <c r="P142">
        <v>12</v>
      </c>
      <c r="Q142">
        <v>3</v>
      </c>
      <c r="R142" s="1">
        <v>40995</v>
      </c>
      <c r="S142" t="s">
        <v>29</v>
      </c>
      <c r="T142" t="str">
        <f t="shared" si="10"/>
        <v>Grade B</v>
      </c>
      <c r="U142">
        <f t="shared" si="11"/>
        <v>1</v>
      </c>
      <c r="V142" t="str">
        <f t="shared" si="12"/>
        <v>Senior</v>
      </c>
      <c r="W142" t="str">
        <f t="shared" si="13"/>
        <v>Medium Risk</v>
      </c>
      <c r="X142" t="str">
        <f t="shared" si="14"/>
        <v>Fair</v>
      </c>
    </row>
    <row r="143" spans="1:24" x14ac:dyDescent="0.3">
      <c r="A143" t="s">
        <v>211</v>
      </c>
      <c r="B143" t="s">
        <v>20</v>
      </c>
      <c r="C143">
        <v>47</v>
      </c>
      <c r="D143" t="s">
        <v>21</v>
      </c>
      <c r="E143" t="s">
        <v>48</v>
      </c>
      <c r="F143" t="s">
        <v>41</v>
      </c>
      <c r="G143" t="s">
        <v>49</v>
      </c>
      <c r="H143" t="s">
        <v>83</v>
      </c>
      <c r="I143" t="s">
        <v>68</v>
      </c>
      <c r="J143" t="s">
        <v>60</v>
      </c>
      <c r="K143">
        <v>4</v>
      </c>
      <c r="L143">
        <v>65250</v>
      </c>
      <c r="M143" t="s">
        <v>28</v>
      </c>
      <c r="N143">
        <v>4</v>
      </c>
      <c r="O143">
        <v>4</v>
      </c>
      <c r="P143">
        <v>41</v>
      </c>
      <c r="Q143">
        <v>1</v>
      </c>
      <c r="R143" s="1">
        <v>43651</v>
      </c>
      <c r="S143" t="s">
        <v>29</v>
      </c>
      <c r="T143" t="str">
        <f t="shared" si="10"/>
        <v>Grade B</v>
      </c>
      <c r="U143">
        <f t="shared" si="11"/>
        <v>3</v>
      </c>
      <c r="V143" t="str">
        <f t="shared" si="12"/>
        <v>Junior</v>
      </c>
      <c r="W143" t="str">
        <f t="shared" si="13"/>
        <v>Medium Risk</v>
      </c>
      <c r="X143" t="str">
        <f t="shared" si="14"/>
        <v>Competitive</v>
      </c>
    </row>
    <row r="144" spans="1:24" x14ac:dyDescent="0.3">
      <c r="A144" t="s">
        <v>212</v>
      </c>
      <c r="B144" t="s">
        <v>39</v>
      </c>
      <c r="C144">
        <v>22</v>
      </c>
      <c r="D144" t="s">
        <v>47</v>
      </c>
      <c r="E144" t="s">
        <v>22</v>
      </c>
      <c r="F144" t="s">
        <v>41</v>
      </c>
      <c r="G144" t="s">
        <v>63</v>
      </c>
      <c r="H144" t="s">
        <v>83</v>
      </c>
      <c r="I144" t="s">
        <v>80</v>
      </c>
      <c r="J144" t="s">
        <v>60</v>
      </c>
      <c r="K144">
        <v>7</v>
      </c>
      <c r="L144">
        <v>61359</v>
      </c>
      <c r="M144" t="s">
        <v>51</v>
      </c>
      <c r="N144">
        <v>4</v>
      </c>
      <c r="O144">
        <v>4</v>
      </c>
      <c r="P144">
        <v>52</v>
      </c>
      <c r="Q144">
        <v>0</v>
      </c>
      <c r="R144" s="1">
        <v>42494</v>
      </c>
      <c r="S144" t="s">
        <v>29</v>
      </c>
      <c r="T144" t="str">
        <f t="shared" si="10"/>
        <v>Grade B</v>
      </c>
      <c r="U144">
        <f t="shared" si="11"/>
        <v>4</v>
      </c>
      <c r="V144" t="str">
        <f t="shared" si="12"/>
        <v>Mid Level</v>
      </c>
      <c r="W144" t="str">
        <f t="shared" si="13"/>
        <v>Low Risk</v>
      </c>
      <c r="X144" t="str">
        <f t="shared" si="14"/>
        <v>Fair</v>
      </c>
    </row>
    <row r="145" spans="1:24" x14ac:dyDescent="0.3">
      <c r="A145" t="s">
        <v>213</v>
      </c>
      <c r="B145" t="s">
        <v>20</v>
      </c>
      <c r="C145">
        <v>24</v>
      </c>
      <c r="D145" t="s">
        <v>47</v>
      </c>
      <c r="E145" t="s">
        <v>48</v>
      </c>
      <c r="F145" t="s">
        <v>23</v>
      </c>
      <c r="G145" t="s">
        <v>33</v>
      </c>
      <c r="H145" t="s">
        <v>67</v>
      </c>
      <c r="I145" t="s">
        <v>35</v>
      </c>
      <c r="J145" t="s">
        <v>27</v>
      </c>
      <c r="K145">
        <v>15</v>
      </c>
      <c r="L145">
        <v>88883</v>
      </c>
      <c r="M145" t="s">
        <v>28</v>
      </c>
      <c r="N145">
        <v>1</v>
      </c>
      <c r="O145">
        <v>2</v>
      </c>
      <c r="P145">
        <v>28</v>
      </c>
      <c r="Q145">
        <v>3</v>
      </c>
      <c r="R145" s="1">
        <v>39779</v>
      </c>
      <c r="S145" t="s">
        <v>37</v>
      </c>
      <c r="T145" t="str">
        <f t="shared" si="10"/>
        <v>Grade A</v>
      </c>
      <c r="U145">
        <f t="shared" si="11"/>
        <v>3</v>
      </c>
      <c r="V145" t="str">
        <f t="shared" si="12"/>
        <v>Senior</v>
      </c>
      <c r="W145" t="str">
        <f t="shared" si="13"/>
        <v>Already Left</v>
      </c>
      <c r="X145" t="str">
        <f t="shared" si="14"/>
        <v>Competitive</v>
      </c>
    </row>
    <row r="146" spans="1:24" x14ac:dyDescent="0.3">
      <c r="A146" t="s">
        <v>214</v>
      </c>
      <c r="B146" t="s">
        <v>39</v>
      </c>
      <c r="C146">
        <v>27</v>
      </c>
      <c r="D146" t="s">
        <v>88</v>
      </c>
      <c r="E146" t="s">
        <v>40</v>
      </c>
      <c r="F146" t="s">
        <v>62</v>
      </c>
      <c r="G146" t="s">
        <v>63</v>
      </c>
      <c r="H146" t="s">
        <v>67</v>
      </c>
      <c r="I146" t="s">
        <v>26</v>
      </c>
      <c r="J146" t="s">
        <v>27</v>
      </c>
      <c r="K146">
        <v>10</v>
      </c>
      <c r="L146">
        <v>72713</v>
      </c>
      <c r="M146" t="s">
        <v>28</v>
      </c>
      <c r="N146">
        <v>3</v>
      </c>
      <c r="O146">
        <v>1</v>
      </c>
      <c r="P146">
        <v>22</v>
      </c>
      <c r="Q146">
        <v>3</v>
      </c>
      <c r="R146" s="1">
        <v>41446</v>
      </c>
      <c r="S146" t="s">
        <v>29</v>
      </c>
      <c r="T146" t="str">
        <f t="shared" si="10"/>
        <v>Grade B</v>
      </c>
      <c r="U146">
        <f t="shared" si="11"/>
        <v>3</v>
      </c>
      <c r="V146" t="str">
        <f t="shared" si="12"/>
        <v>Mid Level</v>
      </c>
      <c r="W146" t="str">
        <f t="shared" si="13"/>
        <v>Medium Risk</v>
      </c>
      <c r="X146" t="str">
        <f t="shared" si="14"/>
        <v>Competitive</v>
      </c>
    </row>
    <row r="147" spans="1:24" x14ac:dyDescent="0.3">
      <c r="A147" t="s">
        <v>215</v>
      </c>
      <c r="B147" t="s">
        <v>39</v>
      </c>
      <c r="C147">
        <v>44</v>
      </c>
      <c r="D147" t="s">
        <v>88</v>
      </c>
      <c r="E147" t="s">
        <v>48</v>
      </c>
      <c r="F147" t="s">
        <v>41</v>
      </c>
      <c r="G147" t="s">
        <v>66</v>
      </c>
      <c r="H147" t="s">
        <v>25</v>
      </c>
      <c r="I147" t="s">
        <v>59</v>
      </c>
      <c r="J147" t="s">
        <v>60</v>
      </c>
      <c r="K147">
        <v>13</v>
      </c>
      <c r="L147">
        <v>51970</v>
      </c>
      <c r="M147" t="s">
        <v>36</v>
      </c>
      <c r="N147">
        <v>4</v>
      </c>
      <c r="O147">
        <v>2</v>
      </c>
      <c r="P147">
        <v>58</v>
      </c>
      <c r="Q147">
        <v>0</v>
      </c>
      <c r="R147" s="1">
        <v>40296</v>
      </c>
      <c r="S147" t="s">
        <v>37</v>
      </c>
      <c r="T147" t="str">
        <f t="shared" si="10"/>
        <v>Grade B</v>
      </c>
      <c r="U147">
        <f t="shared" si="11"/>
        <v>1</v>
      </c>
      <c r="V147" t="str">
        <f t="shared" si="12"/>
        <v>Senior</v>
      </c>
      <c r="W147" t="str">
        <f t="shared" si="13"/>
        <v>Already Left</v>
      </c>
      <c r="X147" t="str">
        <f t="shared" si="14"/>
        <v>Fair</v>
      </c>
    </row>
    <row r="148" spans="1:24" x14ac:dyDescent="0.3">
      <c r="A148" t="s">
        <v>216</v>
      </c>
      <c r="B148" t="s">
        <v>39</v>
      </c>
      <c r="C148">
        <v>46</v>
      </c>
      <c r="D148" t="s">
        <v>31</v>
      </c>
      <c r="E148" t="s">
        <v>48</v>
      </c>
      <c r="F148" t="s">
        <v>62</v>
      </c>
      <c r="G148" t="s">
        <v>42</v>
      </c>
      <c r="H148" t="s">
        <v>67</v>
      </c>
      <c r="I148" t="s">
        <v>54</v>
      </c>
      <c r="J148" t="s">
        <v>27</v>
      </c>
      <c r="K148">
        <v>2</v>
      </c>
      <c r="L148">
        <v>94053</v>
      </c>
      <c r="M148" t="s">
        <v>51</v>
      </c>
      <c r="N148">
        <v>1</v>
      </c>
      <c r="O148">
        <v>1</v>
      </c>
      <c r="P148">
        <v>10</v>
      </c>
      <c r="Q148">
        <v>2</v>
      </c>
      <c r="R148" s="1">
        <v>44198</v>
      </c>
      <c r="S148" t="s">
        <v>29</v>
      </c>
      <c r="T148" t="str">
        <f t="shared" si="10"/>
        <v>Grade A</v>
      </c>
      <c r="U148">
        <f t="shared" si="11"/>
        <v>4</v>
      </c>
      <c r="V148" t="str">
        <f t="shared" si="12"/>
        <v>New Joiner</v>
      </c>
      <c r="W148" t="str">
        <f t="shared" si="13"/>
        <v>Low Risk</v>
      </c>
      <c r="X148" t="str">
        <f t="shared" si="14"/>
        <v>Competitive</v>
      </c>
    </row>
    <row r="149" spans="1:24" x14ac:dyDescent="0.3">
      <c r="A149" t="s">
        <v>217</v>
      </c>
      <c r="B149" t="s">
        <v>20</v>
      </c>
      <c r="C149">
        <v>28</v>
      </c>
      <c r="D149" t="s">
        <v>21</v>
      </c>
      <c r="E149" t="s">
        <v>22</v>
      </c>
      <c r="F149" t="s">
        <v>65</v>
      </c>
      <c r="G149" t="s">
        <v>79</v>
      </c>
      <c r="H149" t="s">
        <v>25</v>
      </c>
      <c r="I149" t="s">
        <v>96</v>
      </c>
      <c r="J149" t="s">
        <v>44</v>
      </c>
      <c r="K149">
        <v>3</v>
      </c>
      <c r="L149">
        <v>42140</v>
      </c>
      <c r="M149" t="s">
        <v>51</v>
      </c>
      <c r="N149">
        <v>3</v>
      </c>
      <c r="O149">
        <v>1</v>
      </c>
      <c r="P149">
        <v>51</v>
      </c>
      <c r="Q149">
        <v>3</v>
      </c>
      <c r="R149" s="1">
        <v>43968</v>
      </c>
      <c r="S149" t="s">
        <v>29</v>
      </c>
      <c r="T149" t="str">
        <f t="shared" si="10"/>
        <v>Grade C</v>
      </c>
      <c r="U149">
        <f t="shared" si="11"/>
        <v>4</v>
      </c>
      <c r="V149" t="str">
        <f t="shared" si="12"/>
        <v>Junior</v>
      </c>
      <c r="W149" t="str">
        <f t="shared" si="13"/>
        <v>Low Risk</v>
      </c>
      <c r="X149" t="str">
        <f t="shared" si="14"/>
        <v>Fair</v>
      </c>
    </row>
    <row r="150" spans="1:24" x14ac:dyDescent="0.3">
      <c r="A150" t="s">
        <v>218</v>
      </c>
      <c r="B150" t="s">
        <v>39</v>
      </c>
      <c r="C150">
        <v>46</v>
      </c>
      <c r="D150" t="s">
        <v>47</v>
      </c>
      <c r="E150" t="s">
        <v>22</v>
      </c>
      <c r="F150" t="s">
        <v>62</v>
      </c>
      <c r="G150" t="s">
        <v>79</v>
      </c>
      <c r="H150" t="s">
        <v>76</v>
      </c>
      <c r="I150" t="s">
        <v>50</v>
      </c>
      <c r="J150" t="s">
        <v>44</v>
      </c>
      <c r="K150">
        <v>13</v>
      </c>
      <c r="L150">
        <v>74334</v>
      </c>
      <c r="M150" t="s">
        <v>36</v>
      </c>
      <c r="N150">
        <v>3</v>
      </c>
      <c r="O150">
        <v>3</v>
      </c>
      <c r="P150">
        <v>44</v>
      </c>
      <c r="Q150">
        <v>3</v>
      </c>
      <c r="R150" s="1">
        <v>40281</v>
      </c>
      <c r="S150" t="s">
        <v>29</v>
      </c>
      <c r="T150" t="str">
        <f t="shared" si="10"/>
        <v>Grade B</v>
      </c>
      <c r="U150">
        <f t="shared" si="11"/>
        <v>1</v>
      </c>
      <c r="V150" t="str">
        <f t="shared" si="12"/>
        <v>Senior</v>
      </c>
      <c r="W150" t="str">
        <f t="shared" si="13"/>
        <v>Medium Risk</v>
      </c>
      <c r="X150" t="str">
        <f t="shared" si="14"/>
        <v>Fair</v>
      </c>
    </row>
    <row r="151" spans="1:24" x14ac:dyDescent="0.3">
      <c r="A151" t="s">
        <v>219</v>
      </c>
      <c r="B151" t="s">
        <v>20</v>
      </c>
      <c r="C151">
        <v>37</v>
      </c>
      <c r="D151" t="s">
        <v>57</v>
      </c>
      <c r="E151" t="s">
        <v>40</v>
      </c>
      <c r="F151" t="s">
        <v>41</v>
      </c>
      <c r="G151" t="s">
        <v>63</v>
      </c>
      <c r="H151" t="s">
        <v>67</v>
      </c>
      <c r="I151" t="s">
        <v>68</v>
      </c>
      <c r="J151" t="s">
        <v>60</v>
      </c>
      <c r="K151">
        <v>5</v>
      </c>
      <c r="L151">
        <v>54822</v>
      </c>
      <c r="M151" t="s">
        <v>36</v>
      </c>
      <c r="N151">
        <v>2</v>
      </c>
      <c r="O151">
        <v>4</v>
      </c>
      <c r="P151">
        <v>23</v>
      </c>
      <c r="Q151">
        <v>1</v>
      </c>
      <c r="R151" s="1">
        <v>43283</v>
      </c>
      <c r="S151" t="s">
        <v>37</v>
      </c>
      <c r="T151" t="str">
        <f t="shared" si="10"/>
        <v>Grade B</v>
      </c>
      <c r="U151">
        <f t="shared" si="11"/>
        <v>1</v>
      </c>
      <c r="V151" t="str">
        <f t="shared" si="12"/>
        <v>Junior</v>
      </c>
      <c r="W151" t="str">
        <f t="shared" si="13"/>
        <v>Already Left</v>
      </c>
      <c r="X151" t="str">
        <f t="shared" si="14"/>
        <v>Fair</v>
      </c>
    </row>
    <row r="152" spans="1:24" x14ac:dyDescent="0.3">
      <c r="A152" t="s">
        <v>220</v>
      </c>
      <c r="B152" t="s">
        <v>20</v>
      </c>
      <c r="C152">
        <v>30</v>
      </c>
      <c r="D152" t="s">
        <v>31</v>
      </c>
      <c r="E152" t="s">
        <v>48</v>
      </c>
      <c r="F152" t="s">
        <v>23</v>
      </c>
      <c r="G152" t="s">
        <v>63</v>
      </c>
      <c r="H152" t="s">
        <v>76</v>
      </c>
      <c r="I152" t="s">
        <v>80</v>
      </c>
      <c r="J152" t="s">
        <v>60</v>
      </c>
      <c r="K152">
        <v>14</v>
      </c>
      <c r="L152">
        <v>73798</v>
      </c>
      <c r="M152" t="s">
        <v>45</v>
      </c>
      <c r="N152">
        <v>2</v>
      </c>
      <c r="O152">
        <v>4</v>
      </c>
      <c r="P152">
        <v>50</v>
      </c>
      <c r="Q152">
        <v>1</v>
      </c>
      <c r="R152" s="1">
        <v>40011</v>
      </c>
      <c r="S152" t="s">
        <v>29</v>
      </c>
      <c r="T152" t="str">
        <f t="shared" si="10"/>
        <v>Grade B</v>
      </c>
      <c r="U152">
        <f t="shared" si="11"/>
        <v>2</v>
      </c>
      <c r="V152" t="str">
        <f t="shared" si="12"/>
        <v>Senior</v>
      </c>
      <c r="W152" t="str">
        <f t="shared" si="13"/>
        <v>Medium Risk</v>
      </c>
      <c r="X152" t="str">
        <f t="shared" si="14"/>
        <v>Fair</v>
      </c>
    </row>
    <row r="153" spans="1:24" x14ac:dyDescent="0.3">
      <c r="A153" t="s">
        <v>221</v>
      </c>
      <c r="B153" t="s">
        <v>20</v>
      </c>
      <c r="C153">
        <v>29</v>
      </c>
      <c r="D153" t="s">
        <v>88</v>
      </c>
      <c r="E153" t="s">
        <v>22</v>
      </c>
      <c r="F153" t="s">
        <v>65</v>
      </c>
      <c r="G153" t="s">
        <v>49</v>
      </c>
      <c r="H153" t="s">
        <v>25</v>
      </c>
      <c r="I153" t="s">
        <v>43</v>
      </c>
      <c r="J153" t="s">
        <v>44</v>
      </c>
      <c r="K153">
        <v>10</v>
      </c>
      <c r="L153">
        <v>70678</v>
      </c>
      <c r="M153" t="s">
        <v>36</v>
      </c>
      <c r="N153">
        <v>2</v>
      </c>
      <c r="O153">
        <v>1</v>
      </c>
      <c r="P153">
        <v>69</v>
      </c>
      <c r="Q153">
        <v>1</v>
      </c>
      <c r="R153" s="1">
        <v>41441</v>
      </c>
      <c r="S153" t="s">
        <v>37</v>
      </c>
      <c r="T153" t="str">
        <f t="shared" si="10"/>
        <v>Grade B</v>
      </c>
      <c r="U153">
        <f t="shared" si="11"/>
        <v>1</v>
      </c>
      <c r="V153" t="str">
        <f t="shared" si="12"/>
        <v>Mid Level</v>
      </c>
      <c r="W153" t="str">
        <f t="shared" si="13"/>
        <v>Already Left</v>
      </c>
      <c r="X153" t="str">
        <f t="shared" si="14"/>
        <v>Fair</v>
      </c>
    </row>
    <row r="154" spans="1:24" x14ac:dyDescent="0.3">
      <c r="A154" t="s">
        <v>222</v>
      </c>
      <c r="B154" t="s">
        <v>39</v>
      </c>
      <c r="C154">
        <v>49</v>
      </c>
      <c r="D154" t="s">
        <v>57</v>
      </c>
      <c r="E154" t="s">
        <v>22</v>
      </c>
      <c r="F154" t="s">
        <v>62</v>
      </c>
      <c r="G154" t="s">
        <v>33</v>
      </c>
      <c r="H154" t="s">
        <v>83</v>
      </c>
      <c r="I154" t="s">
        <v>96</v>
      </c>
      <c r="J154" t="s">
        <v>44</v>
      </c>
      <c r="K154">
        <v>11</v>
      </c>
      <c r="L154">
        <v>76560</v>
      </c>
      <c r="M154" t="s">
        <v>36</v>
      </c>
      <c r="N154">
        <v>4</v>
      </c>
      <c r="O154">
        <v>4</v>
      </c>
      <c r="P154">
        <v>61</v>
      </c>
      <c r="Q154">
        <v>3</v>
      </c>
      <c r="R154" s="1">
        <v>41148</v>
      </c>
      <c r="S154" t="s">
        <v>37</v>
      </c>
      <c r="T154" t="str">
        <f t="shared" si="10"/>
        <v>Grade B</v>
      </c>
      <c r="U154">
        <f t="shared" si="11"/>
        <v>1</v>
      </c>
      <c r="V154" t="str">
        <f t="shared" si="12"/>
        <v>Senior</v>
      </c>
      <c r="W154" t="str">
        <f t="shared" si="13"/>
        <v>Already Left</v>
      </c>
      <c r="X154" t="str">
        <f t="shared" si="14"/>
        <v>Fair</v>
      </c>
    </row>
    <row r="155" spans="1:24" x14ac:dyDescent="0.3">
      <c r="A155" t="s">
        <v>223</v>
      </c>
      <c r="B155" t="s">
        <v>39</v>
      </c>
      <c r="C155">
        <v>47</v>
      </c>
      <c r="D155" t="s">
        <v>31</v>
      </c>
      <c r="E155" t="s">
        <v>48</v>
      </c>
      <c r="F155" t="s">
        <v>23</v>
      </c>
      <c r="G155" t="s">
        <v>49</v>
      </c>
      <c r="H155" t="s">
        <v>25</v>
      </c>
      <c r="I155" t="s">
        <v>35</v>
      </c>
      <c r="J155" t="s">
        <v>27</v>
      </c>
      <c r="K155">
        <v>2</v>
      </c>
      <c r="L155">
        <v>55632</v>
      </c>
      <c r="M155" t="s">
        <v>51</v>
      </c>
      <c r="N155">
        <v>1</v>
      </c>
      <c r="O155">
        <v>1</v>
      </c>
      <c r="P155">
        <v>22</v>
      </c>
      <c r="Q155">
        <v>2</v>
      </c>
      <c r="R155" s="1">
        <v>44231</v>
      </c>
      <c r="S155" t="s">
        <v>29</v>
      </c>
      <c r="T155" t="str">
        <f t="shared" si="10"/>
        <v>Grade B</v>
      </c>
      <c r="U155">
        <f t="shared" si="11"/>
        <v>4</v>
      </c>
      <c r="V155" t="str">
        <f t="shared" si="12"/>
        <v>New Joiner</v>
      </c>
      <c r="W155" t="str">
        <f t="shared" si="13"/>
        <v>Low Risk</v>
      </c>
      <c r="X155" t="str">
        <f t="shared" si="14"/>
        <v>Fair</v>
      </c>
    </row>
    <row r="156" spans="1:24" x14ac:dyDescent="0.3">
      <c r="A156" t="s">
        <v>224</v>
      </c>
      <c r="B156" t="s">
        <v>20</v>
      </c>
      <c r="C156">
        <v>23</v>
      </c>
      <c r="D156" t="s">
        <v>57</v>
      </c>
      <c r="E156" t="s">
        <v>22</v>
      </c>
      <c r="F156" t="s">
        <v>32</v>
      </c>
      <c r="G156" t="s">
        <v>33</v>
      </c>
      <c r="H156" t="s">
        <v>76</v>
      </c>
      <c r="I156" t="s">
        <v>59</v>
      </c>
      <c r="J156" t="s">
        <v>60</v>
      </c>
      <c r="K156">
        <v>7</v>
      </c>
      <c r="L156">
        <v>83286</v>
      </c>
      <c r="M156" t="s">
        <v>45</v>
      </c>
      <c r="N156">
        <v>3</v>
      </c>
      <c r="O156">
        <v>4</v>
      </c>
      <c r="P156">
        <v>20</v>
      </c>
      <c r="Q156">
        <v>0</v>
      </c>
      <c r="R156" s="1">
        <v>42660</v>
      </c>
      <c r="S156" t="s">
        <v>29</v>
      </c>
      <c r="T156" t="str">
        <f t="shared" si="10"/>
        <v>Grade A</v>
      </c>
      <c r="U156">
        <f t="shared" si="11"/>
        <v>2</v>
      </c>
      <c r="V156" t="str">
        <f t="shared" si="12"/>
        <v>Mid Level</v>
      </c>
      <c r="W156" t="str">
        <f t="shared" si="13"/>
        <v>Medium Risk</v>
      </c>
      <c r="X156" t="str">
        <f t="shared" si="14"/>
        <v>Fair</v>
      </c>
    </row>
    <row r="157" spans="1:24" x14ac:dyDescent="0.3">
      <c r="A157" t="s">
        <v>225</v>
      </c>
      <c r="B157" t="s">
        <v>20</v>
      </c>
      <c r="C157">
        <v>28</v>
      </c>
      <c r="D157" t="s">
        <v>57</v>
      </c>
      <c r="E157" t="s">
        <v>40</v>
      </c>
      <c r="F157" t="s">
        <v>65</v>
      </c>
      <c r="G157" t="s">
        <v>49</v>
      </c>
      <c r="H157" t="s">
        <v>25</v>
      </c>
      <c r="I157" t="s">
        <v>68</v>
      </c>
      <c r="J157" t="s">
        <v>60</v>
      </c>
      <c r="K157">
        <v>8</v>
      </c>
      <c r="L157">
        <v>73075</v>
      </c>
      <c r="M157" t="s">
        <v>45</v>
      </c>
      <c r="N157">
        <v>4</v>
      </c>
      <c r="O157">
        <v>3</v>
      </c>
      <c r="P157">
        <v>18</v>
      </c>
      <c r="Q157">
        <v>2</v>
      </c>
      <c r="R157" s="1">
        <v>42194</v>
      </c>
      <c r="S157" t="s">
        <v>29</v>
      </c>
      <c r="T157" t="str">
        <f t="shared" si="10"/>
        <v>Grade B</v>
      </c>
      <c r="U157">
        <f t="shared" si="11"/>
        <v>2</v>
      </c>
      <c r="V157" t="str">
        <f t="shared" si="12"/>
        <v>Mid Level</v>
      </c>
      <c r="W157" t="str">
        <f t="shared" si="13"/>
        <v>Medium Risk</v>
      </c>
      <c r="X157" t="str">
        <f t="shared" si="14"/>
        <v>Fair</v>
      </c>
    </row>
    <row r="158" spans="1:24" x14ac:dyDescent="0.3">
      <c r="A158" t="s">
        <v>226</v>
      </c>
      <c r="B158" t="s">
        <v>39</v>
      </c>
      <c r="C158">
        <v>32</v>
      </c>
      <c r="D158" t="s">
        <v>31</v>
      </c>
      <c r="E158" t="s">
        <v>40</v>
      </c>
      <c r="F158" t="s">
        <v>41</v>
      </c>
      <c r="G158" t="s">
        <v>79</v>
      </c>
      <c r="H158" t="s">
        <v>83</v>
      </c>
      <c r="I158" t="s">
        <v>50</v>
      </c>
      <c r="J158" t="s">
        <v>44</v>
      </c>
      <c r="K158">
        <v>11</v>
      </c>
      <c r="L158">
        <v>57385</v>
      </c>
      <c r="M158" t="s">
        <v>45</v>
      </c>
      <c r="N158">
        <v>4</v>
      </c>
      <c r="O158">
        <v>4</v>
      </c>
      <c r="P158">
        <v>39</v>
      </c>
      <c r="Q158">
        <v>3</v>
      </c>
      <c r="R158" s="1">
        <v>41013</v>
      </c>
      <c r="S158" t="s">
        <v>29</v>
      </c>
      <c r="T158" t="str">
        <f t="shared" si="10"/>
        <v>Grade B</v>
      </c>
      <c r="U158">
        <f t="shared" si="11"/>
        <v>2</v>
      </c>
      <c r="V158" t="str">
        <f t="shared" si="12"/>
        <v>Senior</v>
      </c>
      <c r="W158" t="str">
        <f t="shared" si="13"/>
        <v>Medium Risk</v>
      </c>
      <c r="X158" t="str">
        <f t="shared" si="14"/>
        <v>Fair</v>
      </c>
    </row>
    <row r="159" spans="1:24" x14ac:dyDescent="0.3">
      <c r="A159" t="s">
        <v>227</v>
      </c>
      <c r="B159" t="s">
        <v>39</v>
      </c>
      <c r="C159">
        <v>35</v>
      </c>
      <c r="D159" t="s">
        <v>47</v>
      </c>
      <c r="E159" t="s">
        <v>48</v>
      </c>
      <c r="F159" t="s">
        <v>53</v>
      </c>
      <c r="G159" t="s">
        <v>49</v>
      </c>
      <c r="H159" t="s">
        <v>76</v>
      </c>
      <c r="I159" t="s">
        <v>68</v>
      </c>
      <c r="J159" t="s">
        <v>60</v>
      </c>
      <c r="K159">
        <v>1</v>
      </c>
      <c r="L159">
        <v>56731</v>
      </c>
      <c r="M159" t="s">
        <v>36</v>
      </c>
      <c r="N159">
        <v>1</v>
      </c>
      <c r="O159">
        <v>1</v>
      </c>
      <c r="P159">
        <v>78</v>
      </c>
      <c r="Q159">
        <v>1</v>
      </c>
      <c r="R159" s="1">
        <v>44728</v>
      </c>
      <c r="S159" t="s">
        <v>37</v>
      </c>
      <c r="T159" t="str">
        <f t="shared" si="10"/>
        <v>Grade B</v>
      </c>
      <c r="U159">
        <f t="shared" si="11"/>
        <v>1</v>
      </c>
      <c r="V159" t="str">
        <f t="shared" si="12"/>
        <v>New Joiner</v>
      </c>
      <c r="W159" t="str">
        <f t="shared" si="13"/>
        <v>Already Left</v>
      </c>
      <c r="X159" t="str">
        <f t="shared" si="14"/>
        <v>Fair</v>
      </c>
    </row>
    <row r="160" spans="1:24" x14ac:dyDescent="0.3">
      <c r="A160" t="s">
        <v>228</v>
      </c>
      <c r="B160" t="s">
        <v>20</v>
      </c>
      <c r="C160">
        <v>47</v>
      </c>
      <c r="D160" t="s">
        <v>88</v>
      </c>
      <c r="E160" t="s">
        <v>22</v>
      </c>
      <c r="F160" t="s">
        <v>65</v>
      </c>
      <c r="G160" t="s">
        <v>42</v>
      </c>
      <c r="H160" t="s">
        <v>67</v>
      </c>
      <c r="I160" t="s">
        <v>72</v>
      </c>
      <c r="J160" t="s">
        <v>73</v>
      </c>
      <c r="K160">
        <v>2</v>
      </c>
      <c r="L160">
        <v>105039</v>
      </c>
      <c r="M160" t="s">
        <v>36</v>
      </c>
      <c r="N160">
        <v>3</v>
      </c>
      <c r="O160">
        <v>3</v>
      </c>
      <c r="P160">
        <v>68</v>
      </c>
      <c r="Q160">
        <v>1</v>
      </c>
      <c r="R160" s="1">
        <v>44402</v>
      </c>
      <c r="S160" t="s">
        <v>29</v>
      </c>
      <c r="T160" t="str">
        <f t="shared" si="10"/>
        <v>Grade A</v>
      </c>
      <c r="U160">
        <f t="shared" si="11"/>
        <v>1</v>
      </c>
      <c r="V160" t="str">
        <f t="shared" si="12"/>
        <v>New Joiner</v>
      </c>
      <c r="W160" t="str">
        <f t="shared" si="13"/>
        <v>High Risk</v>
      </c>
      <c r="X160" t="str">
        <f t="shared" si="14"/>
        <v>Overpaid</v>
      </c>
    </row>
    <row r="161" spans="1:24" x14ac:dyDescent="0.3">
      <c r="A161" t="s">
        <v>229</v>
      </c>
      <c r="B161" t="s">
        <v>20</v>
      </c>
      <c r="C161">
        <v>31</v>
      </c>
      <c r="D161" t="s">
        <v>88</v>
      </c>
      <c r="E161" t="s">
        <v>48</v>
      </c>
      <c r="F161" t="s">
        <v>41</v>
      </c>
      <c r="G161" t="s">
        <v>49</v>
      </c>
      <c r="H161" t="s">
        <v>67</v>
      </c>
      <c r="I161" t="s">
        <v>80</v>
      </c>
      <c r="J161" t="s">
        <v>60</v>
      </c>
      <c r="K161">
        <v>2</v>
      </c>
      <c r="L161">
        <v>54006</v>
      </c>
      <c r="M161" t="s">
        <v>45</v>
      </c>
      <c r="N161">
        <v>4</v>
      </c>
      <c r="O161">
        <v>2</v>
      </c>
      <c r="P161">
        <v>59</v>
      </c>
      <c r="Q161">
        <v>3</v>
      </c>
      <c r="R161" s="1">
        <v>44469</v>
      </c>
      <c r="S161" t="s">
        <v>37</v>
      </c>
      <c r="T161" t="str">
        <f t="shared" si="10"/>
        <v>Grade B</v>
      </c>
      <c r="U161">
        <f t="shared" si="11"/>
        <v>2</v>
      </c>
      <c r="V161" t="str">
        <f t="shared" si="12"/>
        <v>New Joiner</v>
      </c>
      <c r="W161" t="str">
        <f t="shared" si="13"/>
        <v>Already Left</v>
      </c>
      <c r="X161" t="str">
        <f t="shared" si="14"/>
        <v>Fair</v>
      </c>
    </row>
    <row r="162" spans="1:24" x14ac:dyDescent="0.3">
      <c r="A162" t="s">
        <v>230</v>
      </c>
      <c r="B162" t="s">
        <v>39</v>
      </c>
      <c r="C162">
        <v>42</v>
      </c>
      <c r="D162" t="s">
        <v>57</v>
      </c>
      <c r="E162" t="s">
        <v>40</v>
      </c>
      <c r="F162" t="s">
        <v>78</v>
      </c>
      <c r="G162" t="s">
        <v>24</v>
      </c>
      <c r="H162" t="s">
        <v>34</v>
      </c>
      <c r="I162" t="s">
        <v>68</v>
      </c>
      <c r="J162" t="s">
        <v>60</v>
      </c>
      <c r="K162">
        <v>9</v>
      </c>
      <c r="L162">
        <v>99044</v>
      </c>
      <c r="M162" t="s">
        <v>28</v>
      </c>
      <c r="N162">
        <v>1</v>
      </c>
      <c r="O162">
        <v>3</v>
      </c>
      <c r="P162">
        <v>11</v>
      </c>
      <c r="Q162">
        <v>3</v>
      </c>
      <c r="R162" s="1">
        <v>41936</v>
      </c>
      <c r="S162" t="s">
        <v>29</v>
      </c>
      <c r="T162" t="str">
        <f t="shared" si="10"/>
        <v>Grade A</v>
      </c>
      <c r="U162">
        <f t="shared" si="11"/>
        <v>3</v>
      </c>
      <c r="V162" t="str">
        <f t="shared" si="12"/>
        <v>Mid Level</v>
      </c>
      <c r="W162" t="str">
        <f t="shared" si="13"/>
        <v>Medium Risk</v>
      </c>
      <c r="X162" t="str">
        <f t="shared" si="14"/>
        <v>Competitive</v>
      </c>
    </row>
    <row r="163" spans="1:24" x14ac:dyDescent="0.3">
      <c r="A163" t="s">
        <v>231</v>
      </c>
      <c r="B163" t="s">
        <v>39</v>
      </c>
      <c r="C163">
        <v>23</v>
      </c>
      <c r="D163" t="s">
        <v>47</v>
      </c>
      <c r="E163" t="s">
        <v>48</v>
      </c>
      <c r="F163" t="s">
        <v>32</v>
      </c>
      <c r="G163" t="s">
        <v>33</v>
      </c>
      <c r="H163" t="s">
        <v>76</v>
      </c>
      <c r="I163" t="s">
        <v>68</v>
      </c>
      <c r="J163" t="s">
        <v>60</v>
      </c>
      <c r="K163">
        <v>7</v>
      </c>
      <c r="L163">
        <v>77619</v>
      </c>
      <c r="M163" t="s">
        <v>36</v>
      </c>
      <c r="N163">
        <v>1</v>
      </c>
      <c r="O163">
        <v>3</v>
      </c>
      <c r="P163">
        <v>38</v>
      </c>
      <c r="Q163">
        <v>2</v>
      </c>
      <c r="R163" s="1">
        <v>42652</v>
      </c>
      <c r="S163" t="s">
        <v>37</v>
      </c>
      <c r="T163" t="str">
        <f t="shared" si="10"/>
        <v>Grade B</v>
      </c>
      <c r="U163">
        <f t="shared" si="11"/>
        <v>1</v>
      </c>
      <c r="V163" t="str">
        <f t="shared" si="12"/>
        <v>Mid Level</v>
      </c>
      <c r="W163" t="str">
        <f t="shared" si="13"/>
        <v>Already Left</v>
      </c>
      <c r="X163" t="str">
        <f t="shared" si="14"/>
        <v>Fair</v>
      </c>
    </row>
    <row r="164" spans="1:24" x14ac:dyDescent="0.3">
      <c r="A164" t="s">
        <v>232</v>
      </c>
      <c r="B164" t="s">
        <v>20</v>
      </c>
      <c r="C164">
        <v>24</v>
      </c>
      <c r="D164" t="s">
        <v>57</v>
      </c>
      <c r="E164" t="s">
        <v>40</v>
      </c>
      <c r="F164" t="s">
        <v>78</v>
      </c>
      <c r="G164" t="s">
        <v>79</v>
      </c>
      <c r="H164" t="s">
        <v>34</v>
      </c>
      <c r="I164" t="s">
        <v>68</v>
      </c>
      <c r="J164" t="s">
        <v>60</v>
      </c>
      <c r="K164">
        <v>9</v>
      </c>
      <c r="L164">
        <v>66766</v>
      </c>
      <c r="M164" t="s">
        <v>36</v>
      </c>
      <c r="N164">
        <v>2</v>
      </c>
      <c r="O164">
        <v>4</v>
      </c>
      <c r="P164">
        <v>23</v>
      </c>
      <c r="Q164">
        <v>1</v>
      </c>
      <c r="R164" s="1">
        <v>41729</v>
      </c>
      <c r="S164" t="s">
        <v>37</v>
      </c>
      <c r="T164" t="str">
        <f t="shared" si="10"/>
        <v>Grade B</v>
      </c>
      <c r="U164">
        <f t="shared" si="11"/>
        <v>1</v>
      </c>
      <c r="V164" t="str">
        <f t="shared" si="12"/>
        <v>Mid Level</v>
      </c>
      <c r="W164" t="str">
        <f t="shared" si="13"/>
        <v>Already Left</v>
      </c>
      <c r="X164" t="str">
        <f t="shared" si="14"/>
        <v>Fair</v>
      </c>
    </row>
    <row r="165" spans="1:24" x14ac:dyDescent="0.3">
      <c r="A165" t="s">
        <v>233</v>
      </c>
      <c r="B165" t="s">
        <v>39</v>
      </c>
      <c r="C165">
        <v>44</v>
      </c>
      <c r="D165" t="s">
        <v>88</v>
      </c>
      <c r="E165" t="s">
        <v>40</v>
      </c>
      <c r="F165" t="s">
        <v>23</v>
      </c>
      <c r="G165" t="s">
        <v>79</v>
      </c>
      <c r="H165" t="s">
        <v>76</v>
      </c>
      <c r="I165" t="s">
        <v>80</v>
      </c>
      <c r="J165" t="s">
        <v>60</v>
      </c>
      <c r="K165">
        <v>6</v>
      </c>
      <c r="L165">
        <v>56387</v>
      </c>
      <c r="M165" t="s">
        <v>45</v>
      </c>
      <c r="N165">
        <v>4</v>
      </c>
      <c r="O165">
        <v>2</v>
      </c>
      <c r="P165">
        <v>27</v>
      </c>
      <c r="Q165">
        <v>1</v>
      </c>
      <c r="R165" s="1">
        <v>42981</v>
      </c>
      <c r="S165" t="s">
        <v>37</v>
      </c>
      <c r="T165" t="str">
        <f t="shared" si="10"/>
        <v>Grade B</v>
      </c>
      <c r="U165">
        <f t="shared" si="11"/>
        <v>2</v>
      </c>
      <c r="V165" t="str">
        <f t="shared" si="12"/>
        <v>Mid Level</v>
      </c>
      <c r="W165" t="str">
        <f t="shared" si="13"/>
        <v>Already Left</v>
      </c>
      <c r="X165" t="str">
        <f t="shared" si="14"/>
        <v>Fair</v>
      </c>
    </row>
    <row r="166" spans="1:24" x14ac:dyDescent="0.3">
      <c r="A166" t="s">
        <v>234</v>
      </c>
      <c r="B166" t="s">
        <v>20</v>
      </c>
      <c r="C166">
        <v>40</v>
      </c>
      <c r="D166" t="s">
        <v>31</v>
      </c>
      <c r="E166" t="s">
        <v>40</v>
      </c>
      <c r="F166" t="s">
        <v>23</v>
      </c>
      <c r="G166" t="s">
        <v>42</v>
      </c>
      <c r="H166" t="s">
        <v>34</v>
      </c>
      <c r="I166" t="s">
        <v>59</v>
      </c>
      <c r="J166" t="s">
        <v>60</v>
      </c>
      <c r="K166">
        <v>9</v>
      </c>
      <c r="L166">
        <v>122557</v>
      </c>
      <c r="M166" t="s">
        <v>45</v>
      </c>
      <c r="N166">
        <v>3</v>
      </c>
      <c r="O166">
        <v>1</v>
      </c>
      <c r="P166">
        <v>27</v>
      </c>
      <c r="Q166">
        <v>3</v>
      </c>
      <c r="R166" s="1">
        <v>41921</v>
      </c>
      <c r="S166" t="s">
        <v>29</v>
      </c>
      <c r="T166" t="str">
        <f t="shared" si="10"/>
        <v>Grade A</v>
      </c>
      <c r="U166">
        <f t="shared" si="11"/>
        <v>2</v>
      </c>
      <c r="V166" t="str">
        <f t="shared" si="12"/>
        <v>Mid Level</v>
      </c>
      <c r="W166" t="str">
        <f t="shared" si="13"/>
        <v>Medium Risk</v>
      </c>
      <c r="X166" t="str">
        <f t="shared" si="14"/>
        <v>Fair</v>
      </c>
    </row>
    <row r="167" spans="1:24" x14ac:dyDescent="0.3">
      <c r="A167" t="s">
        <v>235</v>
      </c>
      <c r="B167" t="s">
        <v>20</v>
      </c>
      <c r="C167">
        <v>53</v>
      </c>
      <c r="D167" t="s">
        <v>47</v>
      </c>
      <c r="E167" t="s">
        <v>40</v>
      </c>
      <c r="F167" t="s">
        <v>62</v>
      </c>
      <c r="G167" t="s">
        <v>24</v>
      </c>
      <c r="H167" t="s">
        <v>67</v>
      </c>
      <c r="I167" t="s">
        <v>50</v>
      </c>
      <c r="J167" t="s">
        <v>44</v>
      </c>
      <c r="K167">
        <v>4</v>
      </c>
      <c r="L167">
        <v>83554</v>
      </c>
      <c r="M167" t="s">
        <v>28</v>
      </c>
      <c r="N167">
        <v>3</v>
      </c>
      <c r="O167">
        <v>4</v>
      </c>
      <c r="P167">
        <v>58</v>
      </c>
      <c r="Q167">
        <v>3</v>
      </c>
      <c r="R167" s="1">
        <v>43486</v>
      </c>
      <c r="S167" t="s">
        <v>29</v>
      </c>
      <c r="T167" t="str">
        <f t="shared" si="10"/>
        <v>Grade A</v>
      </c>
      <c r="U167">
        <f t="shared" si="11"/>
        <v>3</v>
      </c>
      <c r="V167" t="str">
        <f t="shared" si="12"/>
        <v>Junior</v>
      </c>
      <c r="W167" t="str">
        <f t="shared" si="13"/>
        <v>Medium Risk</v>
      </c>
      <c r="X167" t="str">
        <f t="shared" si="14"/>
        <v>Competitive</v>
      </c>
    </row>
    <row r="168" spans="1:24" x14ac:dyDescent="0.3">
      <c r="A168" t="s">
        <v>236</v>
      </c>
      <c r="B168" t="s">
        <v>39</v>
      </c>
      <c r="C168">
        <v>27</v>
      </c>
      <c r="D168" t="s">
        <v>57</v>
      </c>
      <c r="E168" t="s">
        <v>40</v>
      </c>
      <c r="F168" t="s">
        <v>41</v>
      </c>
      <c r="G168" t="s">
        <v>66</v>
      </c>
      <c r="H168" t="s">
        <v>76</v>
      </c>
      <c r="I168" t="s">
        <v>26</v>
      </c>
      <c r="J168" t="s">
        <v>27</v>
      </c>
      <c r="K168">
        <v>12</v>
      </c>
      <c r="L168">
        <v>63899</v>
      </c>
      <c r="M168" t="s">
        <v>45</v>
      </c>
      <c r="N168">
        <v>3</v>
      </c>
      <c r="O168">
        <v>1</v>
      </c>
      <c r="P168">
        <v>78</v>
      </c>
      <c r="Q168">
        <v>3</v>
      </c>
      <c r="R168" s="1">
        <v>40745</v>
      </c>
      <c r="S168" t="s">
        <v>29</v>
      </c>
      <c r="T168" t="str">
        <f t="shared" si="10"/>
        <v>Grade B</v>
      </c>
      <c r="U168">
        <f t="shared" si="11"/>
        <v>2</v>
      </c>
      <c r="V168" t="str">
        <f t="shared" si="12"/>
        <v>Senior</v>
      </c>
      <c r="W168" t="str">
        <f t="shared" si="13"/>
        <v>Medium Risk</v>
      </c>
      <c r="X168" t="str">
        <f t="shared" si="14"/>
        <v>Fair</v>
      </c>
    </row>
    <row r="169" spans="1:24" x14ac:dyDescent="0.3">
      <c r="A169" t="s">
        <v>237</v>
      </c>
      <c r="B169" t="s">
        <v>39</v>
      </c>
      <c r="C169">
        <v>53</v>
      </c>
      <c r="D169" t="s">
        <v>31</v>
      </c>
      <c r="E169" t="s">
        <v>40</v>
      </c>
      <c r="F169" t="s">
        <v>75</v>
      </c>
      <c r="G169" t="s">
        <v>66</v>
      </c>
      <c r="H169" t="s">
        <v>67</v>
      </c>
      <c r="I169" t="s">
        <v>59</v>
      </c>
      <c r="J169" t="s">
        <v>60</v>
      </c>
      <c r="K169">
        <v>5</v>
      </c>
      <c r="L169">
        <v>44292</v>
      </c>
      <c r="M169" t="s">
        <v>36</v>
      </c>
      <c r="N169">
        <v>1</v>
      </c>
      <c r="O169">
        <v>1</v>
      </c>
      <c r="P169">
        <v>22</v>
      </c>
      <c r="Q169">
        <v>3</v>
      </c>
      <c r="R169" s="1">
        <v>43172</v>
      </c>
      <c r="S169" t="s">
        <v>29</v>
      </c>
      <c r="T169" t="str">
        <f t="shared" si="10"/>
        <v>Grade C</v>
      </c>
      <c r="U169">
        <f t="shared" si="11"/>
        <v>1</v>
      </c>
      <c r="V169" t="str">
        <f t="shared" si="12"/>
        <v>Junior</v>
      </c>
      <c r="W169" t="str">
        <f t="shared" si="13"/>
        <v>Medium Risk</v>
      </c>
      <c r="X169" t="str">
        <f t="shared" si="14"/>
        <v>Fair</v>
      </c>
    </row>
    <row r="170" spans="1:24" x14ac:dyDescent="0.3">
      <c r="A170" t="s">
        <v>238</v>
      </c>
      <c r="B170" t="s">
        <v>20</v>
      </c>
      <c r="C170">
        <v>32</v>
      </c>
      <c r="D170" t="s">
        <v>31</v>
      </c>
      <c r="E170" t="s">
        <v>22</v>
      </c>
      <c r="F170" t="s">
        <v>41</v>
      </c>
      <c r="G170" t="s">
        <v>58</v>
      </c>
      <c r="H170" t="s">
        <v>67</v>
      </c>
      <c r="I170" t="s">
        <v>50</v>
      </c>
      <c r="J170" t="s">
        <v>44</v>
      </c>
      <c r="K170">
        <v>8</v>
      </c>
      <c r="L170">
        <v>105018</v>
      </c>
      <c r="M170" t="s">
        <v>36</v>
      </c>
      <c r="N170">
        <v>3</v>
      </c>
      <c r="O170">
        <v>3</v>
      </c>
      <c r="P170">
        <v>20</v>
      </c>
      <c r="Q170">
        <v>2</v>
      </c>
      <c r="R170" s="1">
        <v>42305</v>
      </c>
      <c r="S170" t="s">
        <v>29</v>
      </c>
      <c r="T170" t="str">
        <f t="shared" si="10"/>
        <v>Grade A</v>
      </c>
      <c r="U170">
        <f t="shared" si="11"/>
        <v>1</v>
      </c>
      <c r="V170" t="str">
        <f t="shared" si="12"/>
        <v>Mid Level</v>
      </c>
      <c r="W170" t="str">
        <f t="shared" si="13"/>
        <v>Medium Risk</v>
      </c>
      <c r="X170" t="str">
        <f t="shared" si="14"/>
        <v>Overpaid</v>
      </c>
    </row>
    <row r="171" spans="1:24" x14ac:dyDescent="0.3">
      <c r="A171" t="s">
        <v>239</v>
      </c>
      <c r="B171" t="s">
        <v>39</v>
      </c>
      <c r="C171">
        <v>22</v>
      </c>
      <c r="D171" t="s">
        <v>47</v>
      </c>
      <c r="E171" t="s">
        <v>48</v>
      </c>
      <c r="F171" t="s">
        <v>23</v>
      </c>
      <c r="G171" t="s">
        <v>49</v>
      </c>
      <c r="H171" t="s">
        <v>76</v>
      </c>
      <c r="I171" t="s">
        <v>68</v>
      </c>
      <c r="J171" t="s">
        <v>60</v>
      </c>
      <c r="K171">
        <v>12</v>
      </c>
      <c r="L171">
        <v>78065</v>
      </c>
      <c r="M171" t="s">
        <v>45</v>
      </c>
      <c r="N171">
        <v>1</v>
      </c>
      <c r="O171">
        <v>2</v>
      </c>
      <c r="P171">
        <v>38</v>
      </c>
      <c r="Q171">
        <v>3</v>
      </c>
      <c r="R171" s="1">
        <v>40552</v>
      </c>
      <c r="S171" t="s">
        <v>37</v>
      </c>
      <c r="T171" t="str">
        <f t="shared" si="10"/>
        <v>Grade B</v>
      </c>
      <c r="U171">
        <f t="shared" si="11"/>
        <v>2</v>
      </c>
      <c r="V171" t="str">
        <f t="shared" si="12"/>
        <v>Senior</v>
      </c>
      <c r="W171" t="str">
        <f t="shared" si="13"/>
        <v>Already Left</v>
      </c>
      <c r="X171" t="str">
        <f t="shared" si="14"/>
        <v>Fair</v>
      </c>
    </row>
    <row r="172" spans="1:24" x14ac:dyDescent="0.3">
      <c r="A172" t="s">
        <v>240</v>
      </c>
      <c r="B172" t="s">
        <v>39</v>
      </c>
      <c r="C172">
        <v>46</v>
      </c>
      <c r="D172" t="s">
        <v>21</v>
      </c>
      <c r="E172" t="s">
        <v>40</v>
      </c>
      <c r="F172" t="s">
        <v>23</v>
      </c>
      <c r="G172" t="s">
        <v>63</v>
      </c>
      <c r="H172" t="s">
        <v>25</v>
      </c>
      <c r="I172" t="s">
        <v>50</v>
      </c>
      <c r="J172" t="s">
        <v>44</v>
      </c>
      <c r="K172">
        <v>14</v>
      </c>
      <c r="L172">
        <v>67331</v>
      </c>
      <c r="M172" t="s">
        <v>51</v>
      </c>
      <c r="N172">
        <v>1</v>
      </c>
      <c r="O172">
        <v>1</v>
      </c>
      <c r="P172">
        <v>50</v>
      </c>
      <c r="Q172">
        <v>2</v>
      </c>
      <c r="R172" s="1">
        <v>40146</v>
      </c>
      <c r="S172" t="s">
        <v>29</v>
      </c>
      <c r="T172" t="str">
        <f t="shared" si="10"/>
        <v>Grade B</v>
      </c>
      <c r="U172">
        <f t="shared" si="11"/>
        <v>4</v>
      </c>
      <c r="V172" t="str">
        <f t="shared" si="12"/>
        <v>Senior</v>
      </c>
      <c r="W172" t="str">
        <f t="shared" si="13"/>
        <v>Low Risk</v>
      </c>
      <c r="X172" t="str">
        <f t="shared" si="14"/>
        <v>Fair</v>
      </c>
    </row>
    <row r="173" spans="1:24" x14ac:dyDescent="0.3">
      <c r="A173" t="s">
        <v>241</v>
      </c>
      <c r="B173" t="s">
        <v>39</v>
      </c>
      <c r="C173">
        <v>32</v>
      </c>
      <c r="D173" t="s">
        <v>57</v>
      </c>
      <c r="E173" t="s">
        <v>48</v>
      </c>
      <c r="F173" t="s">
        <v>53</v>
      </c>
      <c r="G173" t="s">
        <v>24</v>
      </c>
      <c r="H173" t="s">
        <v>76</v>
      </c>
      <c r="I173" t="s">
        <v>80</v>
      </c>
      <c r="J173" t="s">
        <v>60</v>
      </c>
      <c r="K173">
        <v>11</v>
      </c>
      <c r="L173">
        <v>89241</v>
      </c>
      <c r="M173" t="s">
        <v>28</v>
      </c>
      <c r="N173">
        <v>2</v>
      </c>
      <c r="O173">
        <v>2</v>
      </c>
      <c r="P173">
        <v>62</v>
      </c>
      <c r="Q173">
        <v>3</v>
      </c>
      <c r="R173" s="1">
        <v>40989</v>
      </c>
      <c r="S173" t="s">
        <v>29</v>
      </c>
      <c r="T173" t="str">
        <f t="shared" si="10"/>
        <v>Grade A</v>
      </c>
      <c r="U173">
        <f t="shared" si="11"/>
        <v>3</v>
      </c>
      <c r="V173" t="str">
        <f t="shared" si="12"/>
        <v>Senior</v>
      </c>
      <c r="W173" t="str">
        <f t="shared" si="13"/>
        <v>Medium Risk</v>
      </c>
      <c r="X173" t="str">
        <f t="shared" si="14"/>
        <v>Competitive</v>
      </c>
    </row>
    <row r="174" spans="1:24" x14ac:dyDescent="0.3">
      <c r="A174" t="s">
        <v>242</v>
      </c>
      <c r="B174" t="s">
        <v>20</v>
      </c>
      <c r="C174">
        <v>42</v>
      </c>
      <c r="D174" t="s">
        <v>47</v>
      </c>
      <c r="E174" t="s">
        <v>22</v>
      </c>
      <c r="F174" t="s">
        <v>41</v>
      </c>
      <c r="G174" t="s">
        <v>79</v>
      </c>
      <c r="H174" t="s">
        <v>83</v>
      </c>
      <c r="I174" t="s">
        <v>59</v>
      </c>
      <c r="J174" t="s">
        <v>60</v>
      </c>
      <c r="K174">
        <v>13</v>
      </c>
      <c r="L174">
        <v>75319</v>
      </c>
      <c r="M174" t="s">
        <v>28</v>
      </c>
      <c r="N174">
        <v>3</v>
      </c>
      <c r="O174">
        <v>1</v>
      </c>
      <c r="P174">
        <v>41</v>
      </c>
      <c r="Q174">
        <v>2</v>
      </c>
      <c r="R174" s="1">
        <v>40368</v>
      </c>
      <c r="S174" t="s">
        <v>29</v>
      </c>
      <c r="T174" t="str">
        <f t="shared" si="10"/>
        <v>Grade B</v>
      </c>
      <c r="U174">
        <f t="shared" si="11"/>
        <v>3</v>
      </c>
      <c r="V174" t="str">
        <f t="shared" si="12"/>
        <v>Senior</v>
      </c>
      <c r="W174" t="str">
        <f t="shared" si="13"/>
        <v>Medium Risk</v>
      </c>
      <c r="X174" t="str">
        <f t="shared" si="14"/>
        <v>Competitive</v>
      </c>
    </row>
    <row r="175" spans="1:24" x14ac:dyDescent="0.3">
      <c r="A175" t="s">
        <v>243</v>
      </c>
      <c r="B175" t="s">
        <v>20</v>
      </c>
      <c r="C175">
        <v>46</v>
      </c>
      <c r="D175" t="s">
        <v>21</v>
      </c>
      <c r="E175" t="s">
        <v>22</v>
      </c>
      <c r="F175" t="s">
        <v>62</v>
      </c>
      <c r="G175" t="s">
        <v>63</v>
      </c>
      <c r="H175" t="s">
        <v>67</v>
      </c>
      <c r="I175" t="s">
        <v>50</v>
      </c>
      <c r="J175" t="s">
        <v>44</v>
      </c>
      <c r="K175">
        <v>12</v>
      </c>
      <c r="L175">
        <v>68684</v>
      </c>
      <c r="M175" t="s">
        <v>28</v>
      </c>
      <c r="N175">
        <v>4</v>
      </c>
      <c r="O175">
        <v>1</v>
      </c>
      <c r="P175">
        <v>77</v>
      </c>
      <c r="Q175">
        <v>0</v>
      </c>
      <c r="R175" s="1">
        <v>40790</v>
      </c>
      <c r="S175" t="s">
        <v>37</v>
      </c>
      <c r="T175" t="str">
        <f t="shared" si="10"/>
        <v>Grade B</v>
      </c>
      <c r="U175">
        <f t="shared" si="11"/>
        <v>3</v>
      </c>
      <c r="V175" t="str">
        <f t="shared" si="12"/>
        <v>Senior</v>
      </c>
      <c r="W175" t="str">
        <f t="shared" si="13"/>
        <v>Already Left</v>
      </c>
      <c r="X175" t="str">
        <f t="shared" si="14"/>
        <v>Competitive</v>
      </c>
    </row>
    <row r="176" spans="1:24" x14ac:dyDescent="0.3">
      <c r="A176" t="s">
        <v>244</v>
      </c>
      <c r="B176" t="s">
        <v>20</v>
      </c>
      <c r="C176">
        <v>26</v>
      </c>
      <c r="D176" t="s">
        <v>21</v>
      </c>
      <c r="E176" t="s">
        <v>40</v>
      </c>
      <c r="F176" t="s">
        <v>65</v>
      </c>
      <c r="G176" t="s">
        <v>63</v>
      </c>
      <c r="H176" t="s">
        <v>67</v>
      </c>
      <c r="I176" t="s">
        <v>72</v>
      </c>
      <c r="J176" t="s">
        <v>73</v>
      </c>
      <c r="K176">
        <v>14</v>
      </c>
      <c r="L176">
        <v>74973</v>
      </c>
      <c r="M176" t="s">
        <v>36</v>
      </c>
      <c r="N176">
        <v>1</v>
      </c>
      <c r="O176">
        <v>1</v>
      </c>
      <c r="P176">
        <v>43</v>
      </c>
      <c r="Q176">
        <v>1</v>
      </c>
      <c r="R176" s="1">
        <v>40094</v>
      </c>
      <c r="S176" t="s">
        <v>29</v>
      </c>
      <c r="T176" t="str">
        <f t="shared" si="10"/>
        <v>Grade B</v>
      </c>
      <c r="U176">
        <f t="shared" si="11"/>
        <v>1</v>
      </c>
      <c r="V176" t="str">
        <f t="shared" si="12"/>
        <v>Senior</v>
      </c>
      <c r="W176" t="str">
        <f t="shared" si="13"/>
        <v>Medium Risk</v>
      </c>
      <c r="X176" t="str">
        <f t="shared" si="14"/>
        <v>Fair</v>
      </c>
    </row>
    <row r="177" spans="1:24" x14ac:dyDescent="0.3">
      <c r="A177" t="s">
        <v>245</v>
      </c>
      <c r="B177" t="s">
        <v>39</v>
      </c>
      <c r="C177">
        <v>39</v>
      </c>
      <c r="D177" t="s">
        <v>21</v>
      </c>
      <c r="E177" t="s">
        <v>48</v>
      </c>
      <c r="F177" t="s">
        <v>23</v>
      </c>
      <c r="G177" t="s">
        <v>63</v>
      </c>
      <c r="H177" t="s">
        <v>76</v>
      </c>
      <c r="I177" t="s">
        <v>50</v>
      </c>
      <c r="J177" t="s">
        <v>44</v>
      </c>
      <c r="K177">
        <v>11</v>
      </c>
      <c r="L177">
        <v>70879</v>
      </c>
      <c r="M177" t="s">
        <v>45</v>
      </c>
      <c r="N177">
        <v>1</v>
      </c>
      <c r="O177">
        <v>2</v>
      </c>
      <c r="P177">
        <v>29</v>
      </c>
      <c r="Q177">
        <v>2</v>
      </c>
      <c r="R177" s="1">
        <v>41235</v>
      </c>
      <c r="S177" t="s">
        <v>29</v>
      </c>
      <c r="T177" t="str">
        <f t="shared" si="10"/>
        <v>Grade B</v>
      </c>
      <c r="U177">
        <f t="shared" si="11"/>
        <v>2</v>
      </c>
      <c r="V177" t="str">
        <f t="shared" si="12"/>
        <v>Senior</v>
      </c>
      <c r="W177" t="str">
        <f t="shared" si="13"/>
        <v>Medium Risk</v>
      </c>
      <c r="X177" t="str">
        <f t="shared" si="14"/>
        <v>Fair</v>
      </c>
    </row>
    <row r="178" spans="1:24" x14ac:dyDescent="0.3">
      <c r="A178" t="s">
        <v>246</v>
      </c>
      <c r="B178" t="s">
        <v>39</v>
      </c>
      <c r="C178">
        <v>51</v>
      </c>
      <c r="D178" t="s">
        <v>88</v>
      </c>
      <c r="E178" t="s">
        <v>40</v>
      </c>
      <c r="F178" t="s">
        <v>41</v>
      </c>
      <c r="G178" t="s">
        <v>49</v>
      </c>
      <c r="H178" t="s">
        <v>25</v>
      </c>
      <c r="I178" t="s">
        <v>43</v>
      </c>
      <c r="J178" t="s">
        <v>44</v>
      </c>
      <c r="K178">
        <v>12</v>
      </c>
      <c r="L178">
        <v>65897</v>
      </c>
      <c r="M178" t="s">
        <v>36</v>
      </c>
      <c r="N178">
        <v>1</v>
      </c>
      <c r="O178">
        <v>3</v>
      </c>
      <c r="P178">
        <v>32</v>
      </c>
      <c r="Q178">
        <v>0</v>
      </c>
      <c r="R178" s="1">
        <v>40690</v>
      </c>
      <c r="S178" t="s">
        <v>37</v>
      </c>
      <c r="T178" t="str">
        <f t="shared" si="10"/>
        <v>Grade B</v>
      </c>
      <c r="U178">
        <f t="shared" si="11"/>
        <v>1</v>
      </c>
      <c r="V178" t="str">
        <f t="shared" si="12"/>
        <v>Senior</v>
      </c>
      <c r="W178" t="str">
        <f t="shared" si="13"/>
        <v>Already Left</v>
      </c>
      <c r="X178" t="str">
        <f t="shared" si="14"/>
        <v>Fair</v>
      </c>
    </row>
    <row r="179" spans="1:24" x14ac:dyDescent="0.3">
      <c r="A179" t="s">
        <v>247</v>
      </c>
      <c r="B179" t="s">
        <v>39</v>
      </c>
      <c r="C179">
        <v>45</v>
      </c>
      <c r="D179" t="s">
        <v>47</v>
      </c>
      <c r="E179" t="s">
        <v>40</v>
      </c>
      <c r="F179" t="s">
        <v>53</v>
      </c>
      <c r="G179" t="s">
        <v>66</v>
      </c>
      <c r="H179" t="s">
        <v>83</v>
      </c>
      <c r="I179" t="s">
        <v>50</v>
      </c>
      <c r="J179" t="s">
        <v>44</v>
      </c>
      <c r="K179">
        <v>8</v>
      </c>
      <c r="L179">
        <v>58137</v>
      </c>
      <c r="M179" t="s">
        <v>28</v>
      </c>
      <c r="N179">
        <v>3</v>
      </c>
      <c r="O179">
        <v>1</v>
      </c>
      <c r="P179">
        <v>13</v>
      </c>
      <c r="Q179">
        <v>2</v>
      </c>
      <c r="R179" s="1">
        <v>42240</v>
      </c>
      <c r="S179" t="s">
        <v>29</v>
      </c>
      <c r="T179" t="str">
        <f t="shared" si="10"/>
        <v>Grade B</v>
      </c>
      <c r="U179">
        <f t="shared" si="11"/>
        <v>3</v>
      </c>
      <c r="V179" t="str">
        <f t="shared" si="12"/>
        <v>Mid Level</v>
      </c>
      <c r="W179" t="str">
        <f t="shared" si="13"/>
        <v>Medium Risk</v>
      </c>
      <c r="X179" t="str">
        <f t="shared" si="14"/>
        <v>Competitive</v>
      </c>
    </row>
    <row r="180" spans="1:24" x14ac:dyDescent="0.3">
      <c r="A180" t="s">
        <v>248</v>
      </c>
      <c r="B180" t="s">
        <v>20</v>
      </c>
      <c r="C180">
        <v>25</v>
      </c>
      <c r="D180" t="s">
        <v>57</v>
      </c>
      <c r="E180" t="s">
        <v>40</v>
      </c>
      <c r="F180" t="s">
        <v>62</v>
      </c>
      <c r="G180" t="s">
        <v>79</v>
      </c>
      <c r="H180" t="s">
        <v>34</v>
      </c>
      <c r="I180" t="s">
        <v>43</v>
      </c>
      <c r="J180" t="s">
        <v>44</v>
      </c>
      <c r="K180">
        <v>5</v>
      </c>
      <c r="L180">
        <v>56257</v>
      </c>
      <c r="M180" t="s">
        <v>51</v>
      </c>
      <c r="N180">
        <v>2</v>
      </c>
      <c r="O180">
        <v>3</v>
      </c>
      <c r="P180">
        <v>30</v>
      </c>
      <c r="Q180">
        <v>2</v>
      </c>
      <c r="R180" s="1">
        <v>43206</v>
      </c>
      <c r="S180" t="s">
        <v>29</v>
      </c>
      <c r="T180" t="str">
        <f t="shared" si="10"/>
        <v>Grade B</v>
      </c>
      <c r="U180">
        <f t="shared" si="11"/>
        <v>4</v>
      </c>
      <c r="V180" t="str">
        <f t="shared" si="12"/>
        <v>Junior</v>
      </c>
      <c r="W180" t="str">
        <f t="shared" si="13"/>
        <v>Low Risk</v>
      </c>
      <c r="X180" t="str">
        <f t="shared" si="14"/>
        <v>Fair</v>
      </c>
    </row>
    <row r="181" spans="1:24" x14ac:dyDescent="0.3">
      <c r="A181" t="s">
        <v>249</v>
      </c>
      <c r="B181" t="s">
        <v>20</v>
      </c>
      <c r="C181">
        <v>46</v>
      </c>
      <c r="D181" t="s">
        <v>47</v>
      </c>
      <c r="E181" t="s">
        <v>22</v>
      </c>
      <c r="F181" t="s">
        <v>41</v>
      </c>
      <c r="G181" t="s">
        <v>58</v>
      </c>
      <c r="H181" t="s">
        <v>67</v>
      </c>
      <c r="I181" t="s">
        <v>26</v>
      </c>
      <c r="J181" t="s">
        <v>27</v>
      </c>
      <c r="K181">
        <v>1</v>
      </c>
      <c r="L181">
        <v>85013</v>
      </c>
      <c r="M181" t="s">
        <v>51</v>
      </c>
      <c r="N181">
        <v>1</v>
      </c>
      <c r="O181">
        <v>4</v>
      </c>
      <c r="P181">
        <v>38</v>
      </c>
      <c r="Q181">
        <v>2</v>
      </c>
      <c r="R181" s="1">
        <v>44686</v>
      </c>
      <c r="S181" t="s">
        <v>37</v>
      </c>
      <c r="T181" t="str">
        <f t="shared" si="10"/>
        <v>Grade A</v>
      </c>
      <c r="U181">
        <f t="shared" si="11"/>
        <v>4</v>
      </c>
      <c r="V181" t="str">
        <f t="shared" si="12"/>
        <v>New Joiner</v>
      </c>
      <c r="W181" t="str">
        <f t="shared" si="13"/>
        <v>Already Left</v>
      </c>
      <c r="X181" t="str">
        <f t="shared" si="14"/>
        <v>Competitive</v>
      </c>
    </row>
    <row r="182" spans="1:24" x14ac:dyDescent="0.3">
      <c r="A182" t="s">
        <v>250</v>
      </c>
      <c r="B182" t="s">
        <v>39</v>
      </c>
      <c r="C182">
        <v>33</v>
      </c>
      <c r="D182" t="s">
        <v>47</v>
      </c>
      <c r="E182" t="s">
        <v>40</v>
      </c>
      <c r="F182" t="s">
        <v>75</v>
      </c>
      <c r="G182" t="s">
        <v>79</v>
      </c>
      <c r="H182" t="s">
        <v>25</v>
      </c>
      <c r="I182" t="s">
        <v>59</v>
      </c>
      <c r="J182" t="s">
        <v>60</v>
      </c>
      <c r="K182">
        <v>14</v>
      </c>
      <c r="L182">
        <v>76728</v>
      </c>
      <c r="M182" t="s">
        <v>45</v>
      </c>
      <c r="N182">
        <v>1</v>
      </c>
      <c r="O182">
        <v>4</v>
      </c>
      <c r="P182">
        <v>18</v>
      </c>
      <c r="Q182">
        <v>3</v>
      </c>
      <c r="R182" s="1">
        <v>40121</v>
      </c>
      <c r="S182" t="s">
        <v>29</v>
      </c>
      <c r="T182" t="str">
        <f t="shared" si="10"/>
        <v>Grade B</v>
      </c>
      <c r="U182">
        <f t="shared" si="11"/>
        <v>2</v>
      </c>
      <c r="V182" t="str">
        <f t="shared" si="12"/>
        <v>Senior</v>
      </c>
      <c r="W182" t="str">
        <f t="shared" si="13"/>
        <v>Medium Risk</v>
      </c>
      <c r="X182" t="str">
        <f t="shared" si="14"/>
        <v>Fair</v>
      </c>
    </row>
    <row r="183" spans="1:24" x14ac:dyDescent="0.3">
      <c r="A183" t="s">
        <v>251</v>
      </c>
      <c r="B183" t="s">
        <v>20</v>
      </c>
      <c r="C183">
        <v>41</v>
      </c>
      <c r="D183" t="s">
        <v>88</v>
      </c>
      <c r="E183" t="s">
        <v>22</v>
      </c>
      <c r="F183" t="s">
        <v>62</v>
      </c>
      <c r="G183" t="s">
        <v>33</v>
      </c>
      <c r="H183" t="s">
        <v>25</v>
      </c>
      <c r="I183" t="s">
        <v>80</v>
      </c>
      <c r="J183" t="s">
        <v>60</v>
      </c>
      <c r="K183">
        <v>9</v>
      </c>
      <c r="L183">
        <v>68261</v>
      </c>
      <c r="M183" t="s">
        <v>51</v>
      </c>
      <c r="N183">
        <v>4</v>
      </c>
      <c r="O183">
        <v>3</v>
      </c>
      <c r="P183">
        <v>73</v>
      </c>
      <c r="Q183">
        <v>1</v>
      </c>
      <c r="R183" s="1">
        <v>41905</v>
      </c>
      <c r="S183" t="s">
        <v>29</v>
      </c>
      <c r="T183" t="str">
        <f t="shared" si="10"/>
        <v>Grade B</v>
      </c>
      <c r="U183">
        <f t="shared" si="11"/>
        <v>4</v>
      </c>
      <c r="V183" t="str">
        <f t="shared" si="12"/>
        <v>Mid Level</v>
      </c>
      <c r="W183" t="str">
        <f t="shared" si="13"/>
        <v>Low Risk</v>
      </c>
      <c r="X183" t="str">
        <f t="shared" si="14"/>
        <v>Fair</v>
      </c>
    </row>
    <row r="184" spans="1:24" x14ac:dyDescent="0.3">
      <c r="A184" t="s">
        <v>252</v>
      </c>
      <c r="B184" t="s">
        <v>20</v>
      </c>
      <c r="C184">
        <v>22</v>
      </c>
      <c r="D184" t="s">
        <v>31</v>
      </c>
      <c r="E184" t="s">
        <v>22</v>
      </c>
      <c r="F184" t="s">
        <v>32</v>
      </c>
      <c r="G184" t="s">
        <v>63</v>
      </c>
      <c r="H184" t="s">
        <v>67</v>
      </c>
      <c r="I184" t="s">
        <v>35</v>
      </c>
      <c r="J184" t="s">
        <v>27</v>
      </c>
      <c r="K184">
        <v>15</v>
      </c>
      <c r="L184">
        <v>65783</v>
      </c>
      <c r="M184" t="s">
        <v>51</v>
      </c>
      <c r="N184">
        <v>4</v>
      </c>
      <c r="O184">
        <v>3</v>
      </c>
      <c r="P184">
        <v>23</v>
      </c>
      <c r="Q184">
        <v>1</v>
      </c>
      <c r="R184" s="1">
        <v>39540</v>
      </c>
      <c r="S184" t="s">
        <v>29</v>
      </c>
      <c r="T184" t="str">
        <f t="shared" si="10"/>
        <v>Grade B</v>
      </c>
      <c r="U184">
        <f t="shared" si="11"/>
        <v>4</v>
      </c>
      <c r="V184" t="str">
        <f t="shared" si="12"/>
        <v>Senior</v>
      </c>
      <c r="W184" t="str">
        <f t="shared" si="13"/>
        <v>Low Risk</v>
      </c>
      <c r="X184" t="str">
        <f t="shared" si="14"/>
        <v>Fair</v>
      </c>
    </row>
    <row r="185" spans="1:24" x14ac:dyDescent="0.3">
      <c r="A185" t="s">
        <v>253</v>
      </c>
      <c r="B185" t="s">
        <v>20</v>
      </c>
      <c r="C185">
        <v>45</v>
      </c>
      <c r="D185" t="s">
        <v>57</v>
      </c>
      <c r="E185" t="s">
        <v>40</v>
      </c>
      <c r="F185" t="s">
        <v>32</v>
      </c>
      <c r="G185" t="s">
        <v>24</v>
      </c>
      <c r="H185" t="s">
        <v>76</v>
      </c>
      <c r="I185" t="s">
        <v>35</v>
      </c>
      <c r="J185" t="s">
        <v>27</v>
      </c>
      <c r="K185">
        <v>1</v>
      </c>
      <c r="L185">
        <v>76169</v>
      </c>
      <c r="M185" t="s">
        <v>36</v>
      </c>
      <c r="N185">
        <v>1</v>
      </c>
      <c r="O185">
        <v>1</v>
      </c>
      <c r="P185">
        <v>74</v>
      </c>
      <c r="Q185">
        <v>1</v>
      </c>
      <c r="R185" s="1">
        <v>44809</v>
      </c>
      <c r="S185" t="s">
        <v>37</v>
      </c>
      <c r="T185" t="str">
        <f t="shared" si="10"/>
        <v>Grade B</v>
      </c>
      <c r="U185">
        <f t="shared" si="11"/>
        <v>1</v>
      </c>
      <c r="V185" t="str">
        <f t="shared" si="12"/>
        <v>New Joiner</v>
      </c>
      <c r="W185" t="str">
        <f t="shared" si="13"/>
        <v>Already Left</v>
      </c>
      <c r="X185" t="str">
        <f t="shared" si="14"/>
        <v>Fair</v>
      </c>
    </row>
    <row r="186" spans="1:24" x14ac:dyDescent="0.3">
      <c r="A186" t="s">
        <v>254</v>
      </c>
      <c r="B186" t="s">
        <v>20</v>
      </c>
      <c r="C186">
        <v>47</v>
      </c>
      <c r="D186" t="s">
        <v>31</v>
      </c>
      <c r="E186" t="s">
        <v>48</v>
      </c>
      <c r="F186" t="s">
        <v>41</v>
      </c>
      <c r="G186" t="s">
        <v>24</v>
      </c>
      <c r="H186" t="s">
        <v>34</v>
      </c>
      <c r="I186" t="s">
        <v>43</v>
      </c>
      <c r="J186" t="s">
        <v>44</v>
      </c>
      <c r="K186">
        <v>7</v>
      </c>
      <c r="L186">
        <v>86758</v>
      </c>
      <c r="M186" t="s">
        <v>51</v>
      </c>
      <c r="N186">
        <v>4</v>
      </c>
      <c r="O186">
        <v>3</v>
      </c>
      <c r="P186">
        <v>39</v>
      </c>
      <c r="Q186">
        <v>0</v>
      </c>
      <c r="R186" s="1">
        <v>42604</v>
      </c>
      <c r="S186" t="s">
        <v>29</v>
      </c>
      <c r="T186" t="str">
        <f t="shared" si="10"/>
        <v>Grade A</v>
      </c>
      <c r="U186">
        <f t="shared" si="11"/>
        <v>4</v>
      </c>
      <c r="V186" t="str">
        <f t="shared" si="12"/>
        <v>Mid Level</v>
      </c>
      <c r="W186" t="str">
        <f t="shared" si="13"/>
        <v>Low Risk</v>
      </c>
      <c r="X186" t="str">
        <f t="shared" si="14"/>
        <v>Competitive</v>
      </c>
    </row>
    <row r="187" spans="1:24" x14ac:dyDescent="0.3">
      <c r="A187" t="s">
        <v>255</v>
      </c>
      <c r="B187" t="s">
        <v>20</v>
      </c>
      <c r="C187">
        <v>48</v>
      </c>
      <c r="D187" t="s">
        <v>21</v>
      </c>
      <c r="E187" t="s">
        <v>40</v>
      </c>
      <c r="F187" t="s">
        <v>53</v>
      </c>
      <c r="G187" t="s">
        <v>79</v>
      </c>
      <c r="H187" t="s">
        <v>34</v>
      </c>
      <c r="I187" t="s">
        <v>59</v>
      </c>
      <c r="J187" t="s">
        <v>60</v>
      </c>
      <c r="K187">
        <v>3</v>
      </c>
      <c r="L187">
        <v>41386</v>
      </c>
      <c r="M187" t="s">
        <v>51</v>
      </c>
      <c r="N187">
        <v>3</v>
      </c>
      <c r="O187">
        <v>2</v>
      </c>
      <c r="P187">
        <v>67</v>
      </c>
      <c r="Q187">
        <v>2</v>
      </c>
      <c r="R187" s="1">
        <v>43959</v>
      </c>
      <c r="S187" t="s">
        <v>29</v>
      </c>
      <c r="T187" t="str">
        <f t="shared" si="10"/>
        <v>Grade C</v>
      </c>
      <c r="U187">
        <f t="shared" si="11"/>
        <v>4</v>
      </c>
      <c r="V187" t="str">
        <f t="shared" si="12"/>
        <v>Junior</v>
      </c>
      <c r="W187" t="str">
        <f t="shared" si="13"/>
        <v>Low Risk</v>
      </c>
      <c r="X187" t="str">
        <f t="shared" si="14"/>
        <v>Fair</v>
      </c>
    </row>
    <row r="188" spans="1:24" x14ac:dyDescent="0.3">
      <c r="A188" t="s">
        <v>256</v>
      </c>
      <c r="B188" t="s">
        <v>20</v>
      </c>
      <c r="C188">
        <v>31</v>
      </c>
      <c r="D188" t="s">
        <v>21</v>
      </c>
      <c r="E188" t="s">
        <v>40</v>
      </c>
      <c r="F188" t="s">
        <v>62</v>
      </c>
      <c r="G188" t="s">
        <v>42</v>
      </c>
      <c r="H188" t="s">
        <v>83</v>
      </c>
      <c r="I188" t="s">
        <v>96</v>
      </c>
      <c r="J188" t="s">
        <v>44</v>
      </c>
      <c r="K188">
        <v>3</v>
      </c>
      <c r="L188">
        <v>110769</v>
      </c>
      <c r="M188" t="s">
        <v>51</v>
      </c>
      <c r="N188">
        <v>2</v>
      </c>
      <c r="O188">
        <v>3</v>
      </c>
      <c r="P188">
        <v>60</v>
      </c>
      <c r="Q188">
        <v>0</v>
      </c>
      <c r="R188" s="1">
        <v>44087</v>
      </c>
      <c r="S188" t="s">
        <v>37</v>
      </c>
      <c r="T188" t="str">
        <f t="shared" si="10"/>
        <v>Grade A</v>
      </c>
      <c r="U188">
        <f t="shared" si="11"/>
        <v>4</v>
      </c>
      <c r="V188" t="str">
        <f t="shared" si="12"/>
        <v>Junior</v>
      </c>
      <c r="W188" t="str">
        <f t="shared" si="13"/>
        <v>Already Left</v>
      </c>
      <c r="X188" t="str">
        <f t="shared" si="14"/>
        <v>Competitive</v>
      </c>
    </row>
    <row r="189" spans="1:24" x14ac:dyDescent="0.3">
      <c r="A189" t="s">
        <v>257</v>
      </c>
      <c r="B189" t="s">
        <v>39</v>
      </c>
      <c r="C189">
        <v>51</v>
      </c>
      <c r="D189" t="s">
        <v>21</v>
      </c>
      <c r="E189" t="s">
        <v>22</v>
      </c>
      <c r="F189" t="s">
        <v>62</v>
      </c>
      <c r="G189" t="s">
        <v>33</v>
      </c>
      <c r="H189" t="s">
        <v>67</v>
      </c>
      <c r="I189" t="s">
        <v>80</v>
      </c>
      <c r="J189" t="s">
        <v>60</v>
      </c>
      <c r="K189">
        <v>7</v>
      </c>
      <c r="L189">
        <v>82217</v>
      </c>
      <c r="M189" t="s">
        <v>51</v>
      </c>
      <c r="N189">
        <v>1</v>
      </c>
      <c r="O189">
        <v>1</v>
      </c>
      <c r="P189">
        <v>17</v>
      </c>
      <c r="Q189">
        <v>1</v>
      </c>
      <c r="R189" s="1">
        <v>42610</v>
      </c>
      <c r="S189" t="s">
        <v>29</v>
      </c>
      <c r="T189" t="str">
        <f t="shared" si="10"/>
        <v>Grade A</v>
      </c>
      <c r="U189">
        <f t="shared" si="11"/>
        <v>4</v>
      </c>
      <c r="V189" t="str">
        <f t="shared" si="12"/>
        <v>Mid Level</v>
      </c>
      <c r="W189" t="str">
        <f t="shared" si="13"/>
        <v>Low Risk</v>
      </c>
      <c r="X189" t="str">
        <f t="shared" si="14"/>
        <v>Competitive</v>
      </c>
    </row>
    <row r="190" spans="1:24" x14ac:dyDescent="0.3">
      <c r="A190" t="s">
        <v>258</v>
      </c>
      <c r="B190" t="s">
        <v>39</v>
      </c>
      <c r="C190">
        <v>23</v>
      </c>
      <c r="D190" t="s">
        <v>21</v>
      </c>
      <c r="E190" t="s">
        <v>22</v>
      </c>
      <c r="F190" t="s">
        <v>32</v>
      </c>
      <c r="G190" t="s">
        <v>79</v>
      </c>
      <c r="H190" t="s">
        <v>76</v>
      </c>
      <c r="I190" t="s">
        <v>68</v>
      </c>
      <c r="J190" t="s">
        <v>60</v>
      </c>
      <c r="K190">
        <v>11</v>
      </c>
      <c r="L190">
        <v>71081</v>
      </c>
      <c r="M190" t="s">
        <v>45</v>
      </c>
      <c r="N190">
        <v>4</v>
      </c>
      <c r="O190">
        <v>2</v>
      </c>
      <c r="P190">
        <v>21</v>
      </c>
      <c r="Q190">
        <v>2</v>
      </c>
      <c r="R190" s="1">
        <v>41145</v>
      </c>
      <c r="S190" t="s">
        <v>29</v>
      </c>
      <c r="T190" t="str">
        <f t="shared" si="10"/>
        <v>Grade B</v>
      </c>
      <c r="U190">
        <f t="shared" si="11"/>
        <v>2</v>
      </c>
      <c r="V190" t="str">
        <f t="shared" si="12"/>
        <v>Senior</v>
      </c>
      <c r="W190" t="str">
        <f t="shared" si="13"/>
        <v>Medium Risk</v>
      </c>
      <c r="X190" t="str">
        <f t="shared" si="14"/>
        <v>Fair</v>
      </c>
    </row>
    <row r="191" spans="1:24" x14ac:dyDescent="0.3">
      <c r="A191" t="s">
        <v>259</v>
      </c>
      <c r="B191" t="s">
        <v>20</v>
      </c>
      <c r="C191">
        <v>49</v>
      </c>
      <c r="D191" t="s">
        <v>47</v>
      </c>
      <c r="E191" t="s">
        <v>48</v>
      </c>
      <c r="F191" t="s">
        <v>23</v>
      </c>
      <c r="G191" t="s">
        <v>63</v>
      </c>
      <c r="H191" t="s">
        <v>76</v>
      </c>
      <c r="I191" t="s">
        <v>26</v>
      </c>
      <c r="J191" t="s">
        <v>27</v>
      </c>
      <c r="K191">
        <v>3</v>
      </c>
      <c r="L191">
        <v>53943</v>
      </c>
      <c r="M191" t="s">
        <v>51</v>
      </c>
      <c r="N191">
        <v>2</v>
      </c>
      <c r="O191">
        <v>2</v>
      </c>
      <c r="P191">
        <v>45</v>
      </c>
      <c r="Q191">
        <v>2</v>
      </c>
      <c r="R191" s="1">
        <v>44182</v>
      </c>
      <c r="S191" t="s">
        <v>29</v>
      </c>
      <c r="T191" t="str">
        <f t="shared" si="10"/>
        <v>Grade B</v>
      </c>
      <c r="U191">
        <f t="shared" si="11"/>
        <v>4</v>
      </c>
      <c r="V191" t="str">
        <f t="shared" si="12"/>
        <v>Junior</v>
      </c>
      <c r="W191" t="str">
        <f t="shared" si="13"/>
        <v>Low Risk</v>
      </c>
      <c r="X191" t="str">
        <f t="shared" si="14"/>
        <v>Fair</v>
      </c>
    </row>
    <row r="192" spans="1:24" x14ac:dyDescent="0.3">
      <c r="A192" t="s">
        <v>260</v>
      </c>
      <c r="B192" t="s">
        <v>20</v>
      </c>
      <c r="C192">
        <v>25</v>
      </c>
      <c r="D192" t="s">
        <v>21</v>
      </c>
      <c r="E192" t="s">
        <v>48</v>
      </c>
      <c r="F192" t="s">
        <v>53</v>
      </c>
      <c r="G192" t="s">
        <v>42</v>
      </c>
      <c r="H192" t="s">
        <v>83</v>
      </c>
      <c r="I192" t="s">
        <v>96</v>
      </c>
      <c r="J192" t="s">
        <v>44</v>
      </c>
      <c r="K192">
        <v>11</v>
      </c>
      <c r="L192">
        <v>123347</v>
      </c>
      <c r="M192" t="s">
        <v>28</v>
      </c>
      <c r="N192">
        <v>4</v>
      </c>
      <c r="O192">
        <v>2</v>
      </c>
      <c r="P192">
        <v>63</v>
      </c>
      <c r="Q192">
        <v>1</v>
      </c>
      <c r="R192" s="1">
        <v>40996</v>
      </c>
      <c r="S192" t="s">
        <v>29</v>
      </c>
      <c r="T192" t="str">
        <f t="shared" si="10"/>
        <v>Grade A</v>
      </c>
      <c r="U192">
        <f t="shared" si="11"/>
        <v>3</v>
      </c>
      <c r="V192" t="str">
        <f t="shared" si="12"/>
        <v>Senior</v>
      </c>
      <c r="W192" t="str">
        <f t="shared" si="13"/>
        <v>Medium Risk</v>
      </c>
      <c r="X192" t="str">
        <f t="shared" si="14"/>
        <v>Competitive</v>
      </c>
    </row>
    <row r="193" spans="1:24" x14ac:dyDescent="0.3">
      <c r="A193" t="s">
        <v>261</v>
      </c>
      <c r="B193" t="s">
        <v>20</v>
      </c>
      <c r="C193">
        <v>54</v>
      </c>
      <c r="D193" t="s">
        <v>31</v>
      </c>
      <c r="E193" t="s">
        <v>48</v>
      </c>
      <c r="F193" t="s">
        <v>32</v>
      </c>
      <c r="G193" t="s">
        <v>66</v>
      </c>
      <c r="H193" t="s">
        <v>34</v>
      </c>
      <c r="I193" t="s">
        <v>35</v>
      </c>
      <c r="J193" t="s">
        <v>27</v>
      </c>
      <c r="K193">
        <v>7</v>
      </c>
      <c r="L193">
        <v>54718</v>
      </c>
      <c r="M193" t="s">
        <v>51</v>
      </c>
      <c r="N193">
        <v>3</v>
      </c>
      <c r="O193">
        <v>2</v>
      </c>
      <c r="P193">
        <v>13</v>
      </c>
      <c r="Q193">
        <v>2</v>
      </c>
      <c r="R193" s="1">
        <v>42489</v>
      </c>
      <c r="S193" t="s">
        <v>29</v>
      </c>
      <c r="T193" t="str">
        <f t="shared" si="10"/>
        <v>Grade B</v>
      </c>
      <c r="U193">
        <f t="shared" si="11"/>
        <v>4</v>
      </c>
      <c r="V193" t="str">
        <f t="shared" si="12"/>
        <v>Mid Level</v>
      </c>
      <c r="W193" t="str">
        <f t="shared" si="13"/>
        <v>Low Risk</v>
      </c>
      <c r="X193" t="str">
        <f t="shared" si="14"/>
        <v>Fair</v>
      </c>
    </row>
    <row r="194" spans="1:24" x14ac:dyDescent="0.3">
      <c r="A194" t="s">
        <v>262</v>
      </c>
      <c r="B194" t="s">
        <v>39</v>
      </c>
      <c r="C194">
        <v>32</v>
      </c>
      <c r="D194" t="s">
        <v>21</v>
      </c>
      <c r="E194" t="s">
        <v>22</v>
      </c>
      <c r="F194" t="s">
        <v>32</v>
      </c>
      <c r="G194" t="s">
        <v>33</v>
      </c>
      <c r="H194" t="s">
        <v>83</v>
      </c>
      <c r="I194" t="s">
        <v>54</v>
      </c>
      <c r="J194" t="s">
        <v>27</v>
      </c>
      <c r="K194">
        <v>1</v>
      </c>
      <c r="L194">
        <v>69348</v>
      </c>
      <c r="M194" t="s">
        <v>45</v>
      </c>
      <c r="N194">
        <v>2</v>
      </c>
      <c r="O194">
        <v>3</v>
      </c>
      <c r="P194">
        <v>78</v>
      </c>
      <c r="Q194">
        <v>0</v>
      </c>
      <c r="R194" s="1">
        <v>44628</v>
      </c>
      <c r="S194" t="s">
        <v>29</v>
      </c>
      <c r="T194" t="str">
        <f t="shared" ref="T194:T257" si="15">IF(L194&gt;=80000,"Grade A",IF(L194&gt;=50000,"Grade B",IF(L194&gt;=35000,"Grade C","Grade D")))</f>
        <v>Grade B</v>
      </c>
      <c r="U194">
        <f t="shared" ref="U194:U257" si="16">IF(M194="Excellent",4,IF(M194="Good",3,IF(M194="Average",2,1)))</f>
        <v>2</v>
      </c>
      <c r="V194" t="str">
        <f t="shared" ref="V194:V257" si="17">IF(K194&lt;=2,"New Joiner",IF(K194&lt;=5,"Junior",IF(K194&lt;=10,"Mid Level","Senior")))</f>
        <v>New Joiner</v>
      </c>
      <c r="W194" t="str">
        <f t="shared" ref="W194:W257" si="18">IF(S194="Yes","Already Left",IF(AND(K194&lt;=2,M194="Poor"),"High Risk",IF(AND(K194&lt;=5,M194="Average"),"Medium Risk",IF(M194="Excellent","Low Risk","Medium Risk"))))</f>
        <v>Medium Risk</v>
      </c>
      <c r="X194" t="str">
        <f t="shared" ref="X194:X257" si="19">IF(AND(L194&gt;=80000,M194="Excellent"),"Competitive",IF(AND(L194&gt;=50000,M194="Good"),"Competitive",IF(AND(L194&lt;35000,M194="Excellent"),"Underpaid",IF(AND(L194&gt;=80000,M194="Poor"),"Overpaid","Fair"))))</f>
        <v>Fair</v>
      </c>
    </row>
    <row r="195" spans="1:24" x14ac:dyDescent="0.3">
      <c r="A195" t="s">
        <v>263</v>
      </c>
      <c r="B195" t="s">
        <v>20</v>
      </c>
      <c r="C195">
        <v>23</v>
      </c>
      <c r="D195" t="s">
        <v>31</v>
      </c>
      <c r="E195" t="s">
        <v>40</v>
      </c>
      <c r="F195" t="s">
        <v>75</v>
      </c>
      <c r="G195" t="s">
        <v>49</v>
      </c>
      <c r="H195" t="s">
        <v>25</v>
      </c>
      <c r="I195" t="s">
        <v>59</v>
      </c>
      <c r="J195" t="s">
        <v>60</v>
      </c>
      <c r="K195">
        <v>3</v>
      </c>
      <c r="L195">
        <v>65415</v>
      </c>
      <c r="M195" t="s">
        <v>28</v>
      </c>
      <c r="N195">
        <v>2</v>
      </c>
      <c r="O195">
        <v>2</v>
      </c>
      <c r="P195">
        <v>73</v>
      </c>
      <c r="Q195">
        <v>2</v>
      </c>
      <c r="R195" s="1">
        <v>43840</v>
      </c>
      <c r="S195" t="s">
        <v>29</v>
      </c>
      <c r="T195" t="str">
        <f t="shared" si="15"/>
        <v>Grade B</v>
      </c>
      <c r="U195">
        <f t="shared" si="16"/>
        <v>3</v>
      </c>
      <c r="V195" t="str">
        <f t="shared" si="17"/>
        <v>Junior</v>
      </c>
      <c r="W195" t="str">
        <f t="shared" si="18"/>
        <v>Medium Risk</v>
      </c>
      <c r="X195" t="str">
        <f t="shared" si="19"/>
        <v>Competitive</v>
      </c>
    </row>
    <row r="196" spans="1:24" x14ac:dyDescent="0.3">
      <c r="A196" t="s">
        <v>264</v>
      </c>
      <c r="B196" t="s">
        <v>20</v>
      </c>
      <c r="C196">
        <v>22</v>
      </c>
      <c r="D196" t="s">
        <v>31</v>
      </c>
      <c r="E196" t="s">
        <v>40</v>
      </c>
      <c r="F196" t="s">
        <v>78</v>
      </c>
      <c r="G196" t="s">
        <v>49</v>
      </c>
      <c r="H196" t="s">
        <v>83</v>
      </c>
      <c r="I196" t="s">
        <v>68</v>
      </c>
      <c r="J196" t="s">
        <v>60</v>
      </c>
      <c r="K196">
        <v>1</v>
      </c>
      <c r="L196">
        <v>61715</v>
      </c>
      <c r="M196" t="s">
        <v>51</v>
      </c>
      <c r="N196">
        <v>2</v>
      </c>
      <c r="O196">
        <v>2</v>
      </c>
      <c r="P196">
        <v>53</v>
      </c>
      <c r="Q196">
        <v>1</v>
      </c>
      <c r="R196" s="1">
        <v>44917</v>
      </c>
      <c r="S196" t="s">
        <v>29</v>
      </c>
      <c r="T196" t="str">
        <f t="shared" si="15"/>
        <v>Grade B</v>
      </c>
      <c r="U196">
        <f t="shared" si="16"/>
        <v>4</v>
      </c>
      <c r="V196" t="str">
        <f t="shared" si="17"/>
        <v>New Joiner</v>
      </c>
      <c r="W196" t="str">
        <f t="shared" si="18"/>
        <v>Low Risk</v>
      </c>
      <c r="X196" t="str">
        <f t="shared" si="19"/>
        <v>Fair</v>
      </c>
    </row>
    <row r="197" spans="1:24" x14ac:dyDescent="0.3">
      <c r="A197" t="s">
        <v>265</v>
      </c>
      <c r="B197" t="s">
        <v>39</v>
      </c>
      <c r="C197">
        <v>45</v>
      </c>
      <c r="D197" t="s">
        <v>57</v>
      </c>
      <c r="E197" t="s">
        <v>40</v>
      </c>
      <c r="F197" t="s">
        <v>23</v>
      </c>
      <c r="G197" t="s">
        <v>24</v>
      </c>
      <c r="H197" t="s">
        <v>83</v>
      </c>
      <c r="I197" t="s">
        <v>72</v>
      </c>
      <c r="J197" t="s">
        <v>73</v>
      </c>
      <c r="K197">
        <v>10</v>
      </c>
      <c r="L197">
        <v>88634</v>
      </c>
      <c r="M197" t="s">
        <v>28</v>
      </c>
      <c r="N197">
        <v>1</v>
      </c>
      <c r="O197">
        <v>3</v>
      </c>
      <c r="P197">
        <v>48</v>
      </c>
      <c r="Q197">
        <v>2</v>
      </c>
      <c r="R197" s="1">
        <v>41456</v>
      </c>
      <c r="S197" t="s">
        <v>29</v>
      </c>
      <c r="T197" t="str">
        <f t="shared" si="15"/>
        <v>Grade A</v>
      </c>
      <c r="U197">
        <f t="shared" si="16"/>
        <v>3</v>
      </c>
      <c r="V197" t="str">
        <f t="shared" si="17"/>
        <v>Mid Level</v>
      </c>
      <c r="W197" t="str">
        <f t="shared" si="18"/>
        <v>Medium Risk</v>
      </c>
      <c r="X197" t="str">
        <f t="shared" si="19"/>
        <v>Competitive</v>
      </c>
    </row>
    <row r="198" spans="1:24" x14ac:dyDescent="0.3">
      <c r="A198" t="s">
        <v>266</v>
      </c>
      <c r="B198" t="s">
        <v>20</v>
      </c>
      <c r="C198">
        <v>36</v>
      </c>
      <c r="D198" t="s">
        <v>88</v>
      </c>
      <c r="E198" t="s">
        <v>22</v>
      </c>
      <c r="F198" t="s">
        <v>53</v>
      </c>
      <c r="G198" t="s">
        <v>66</v>
      </c>
      <c r="H198" t="s">
        <v>76</v>
      </c>
      <c r="I198" t="s">
        <v>68</v>
      </c>
      <c r="J198" t="s">
        <v>60</v>
      </c>
      <c r="K198">
        <v>11</v>
      </c>
      <c r="L198">
        <v>52708</v>
      </c>
      <c r="M198" t="s">
        <v>36</v>
      </c>
      <c r="N198">
        <v>4</v>
      </c>
      <c r="O198">
        <v>3</v>
      </c>
      <c r="P198">
        <v>47</v>
      </c>
      <c r="Q198">
        <v>1</v>
      </c>
      <c r="R198" s="1">
        <v>40963</v>
      </c>
      <c r="S198" t="s">
        <v>29</v>
      </c>
      <c r="T198" t="str">
        <f t="shared" si="15"/>
        <v>Grade B</v>
      </c>
      <c r="U198">
        <f t="shared" si="16"/>
        <v>1</v>
      </c>
      <c r="V198" t="str">
        <f t="shared" si="17"/>
        <v>Senior</v>
      </c>
      <c r="W198" t="str">
        <f t="shared" si="18"/>
        <v>Medium Risk</v>
      </c>
      <c r="X198" t="str">
        <f t="shared" si="19"/>
        <v>Fair</v>
      </c>
    </row>
    <row r="199" spans="1:24" x14ac:dyDescent="0.3">
      <c r="A199" t="s">
        <v>267</v>
      </c>
      <c r="B199" t="s">
        <v>39</v>
      </c>
      <c r="C199">
        <v>28</v>
      </c>
      <c r="D199" t="s">
        <v>57</v>
      </c>
      <c r="E199" t="s">
        <v>22</v>
      </c>
      <c r="F199" t="s">
        <v>23</v>
      </c>
      <c r="G199" t="s">
        <v>58</v>
      </c>
      <c r="H199" t="s">
        <v>34</v>
      </c>
      <c r="I199" t="s">
        <v>68</v>
      </c>
      <c r="J199" t="s">
        <v>60</v>
      </c>
      <c r="K199">
        <v>14</v>
      </c>
      <c r="L199">
        <v>108966</v>
      </c>
      <c r="M199" t="s">
        <v>36</v>
      </c>
      <c r="N199">
        <v>3</v>
      </c>
      <c r="O199">
        <v>1</v>
      </c>
      <c r="P199">
        <v>40</v>
      </c>
      <c r="Q199">
        <v>2</v>
      </c>
      <c r="R199" s="1">
        <v>39869</v>
      </c>
      <c r="S199" t="s">
        <v>37</v>
      </c>
      <c r="T199" t="str">
        <f t="shared" si="15"/>
        <v>Grade A</v>
      </c>
      <c r="U199">
        <f t="shared" si="16"/>
        <v>1</v>
      </c>
      <c r="V199" t="str">
        <f t="shared" si="17"/>
        <v>Senior</v>
      </c>
      <c r="W199" t="str">
        <f t="shared" si="18"/>
        <v>Already Left</v>
      </c>
      <c r="X199" t="str">
        <f t="shared" si="19"/>
        <v>Overpaid</v>
      </c>
    </row>
    <row r="200" spans="1:24" x14ac:dyDescent="0.3">
      <c r="A200" t="s">
        <v>268</v>
      </c>
      <c r="B200" t="s">
        <v>39</v>
      </c>
      <c r="C200">
        <v>44</v>
      </c>
      <c r="D200" t="s">
        <v>31</v>
      </c>
      <c r="E200" t="s">
        <v>22</v>
      </c>
      <c r="F200" t="s">
        <v>53</v>
      </c>
      <c r="G200" t="s">
        <v>58</v>
      </c>
      <c r="H200" t="s">
        <v>83</v>
      </c>
      <c r="I200" t="s">
        <v>72</v>
      </c>
      <c r="J200" t="s">
        <v>73</v>
      </c>
      <c r="K200">
        <v>8</v>
      </c>
      <c r="L200">
        <v>99690</v>
      </c>
      <c r="M200" t="s">
        <v>45</v>
      </c>
      <c r="N200">
        <v>1</v>
      </c>
      <c r="O200">
        <v>1</v>
      </c>
      <c r="P200">
        <v>59</v>
      </c>
      <c r="Q200">
        <v>3</v>
      </c>
      <c r="R200" s="1">
        <v>42245</v>
      </c>
      <c r="S200" t="s">
        <v>29</v>
      </c>
      <c r="T200" t="str">
        <f t="shared" si="15"/>
        <v>Grade A</v>
      </c>
      <c r="U200">
        <f t="shared" si="16"/>
        <v>2</v>
      </c>
      <c r="V200" t="str">
        <f t="shared" si="17"/>
        <v>Mid Level</v>
      </c>
      <c r="W200" t="str">
        <f t="shared" si="18"/>
        <v>Medium Risk</v>
      </c>
      <c r="X200" t="str">
        <f t="shared" si="19"/>
        <v>Fair</v>
      </c>
    </row>
    <row r="201" spans="1:24" x14ac:dyDescent="0.3">
      <c r="A201" t="s">
        <v>269</v>
      </c>
      <c r="B201" t="s">
        <v>20</v>
      </c>
      <c r="C201">
        <v>36</v>
      </c>
      <c r="D201" t="s">
        <v>47</v>
      </c>
      <c r="E201" t="s">
        <v>48</v>
      </c>
      <c r="F201" t="s">
        <v>53</v>
      </c>
      <c r="G201" t="s">
        <v>63</v>
      </c>
      <c r="H201" t="s">
        <v>76</v>
      </c>
      <c r="I201" t="s">
        <v>43</v>
      </c>
      <c r="J201" t="s">
        <v>44</v>
      </c>
      <c r="K201">
        <v>15</v>
      </c>
      <c r="L201">
        <v>76509</v>
      </c>
      <c r="M201" t="s">
        <v>36</v>
      </c>
      <c r="N201">
        <v>1</v>
      </c>
      <c r="O201">
        <v>1</v>
      </c>
      <c r="P201">
        <v>47</v>
      </c>
      <c r="Q201">
        <v>0</v>
      </c>
      <c r="R201" s="1">
        <v>39766</v>
      </c>
      <c r="S201" t="s">
        <v>37</v>
      </c>
      <c r="T201" t="str">
        <f t="shared" si="15"/>
        <v>Grade B</v>
      </c>
      <c r="U201">
        <f t="shared" si="16"/>
        <v>1</v>
      </c>
      <c r="V201" t="str">
        <f t="shared" si="17"/>
        <v>Senior</v>
      </c>
      <c r="W201" t="str">
        <f t="shared" si="18"/>
        <v>Already Left</v>
      </c>
      <c r="X201" t="str">
        <f t="shared" si="19"/>
        <v>Fair</v>
      </c>
    </row>
    <row r="202" spans="1:24" x14ac:dyDescent="0.3">
      <c r="A202" t="s">
        <v>270</v>
      </c>
      <c r="B202" t="s">
        <v>39</v>
      </c>
      <c r="C202">
        <v>43</v>
      </c>
      <c r="D202" t="s">
        <v>88</v>
      </c>
      <c r="E202" t="s">
        <v>40</v>
      </c>
      <c r="F202" t="s">
        <v>62</v>
      </c>
      <c r="G202" t="s">
        <v>24</v>
      </c>
      <c r="H202" t="s">
        <v>83</v>
      </c>
      <c r="I202" t="s">
        <v>72</v>
      </c>
      <c r="J202" t="s">
        <v>73</v>
      </c>
      <c r="K202">
        <v>6</v>
      </c>
      <c r="L202">
        <v>89303</v>
      </c>
      <c r="M202" t="s">
        <v>51</v>
      </c>
      <c r="N202">
        <v>4</v>
      </c>
      <c r="O202">
        <v>1</v>
      </c>
      <c r="P202">
        <v>65</v>
      </c>
      <c r="Q202">
        <v>1</v>
      </c>
      <c r="R202" s="1">
        <v>43064</v>
      </c>
      <c r="S202" t="s">
        <v>29</v>
      </c>
      <c r="T202" t="str">
        <f t="shared" si="15"/>
        <v>Grade A</v>
      </c>
      <c r="U202">
        <f t="shared" si="16"/>
        <v>4</v>
      </c>
      <c r="V202" t="str">
        <f t="shared" si="17"/>
        <v>Mid Level</v>
      </c>
      <c r="W202" t="str">
        <f t="shared" si="18"/>
        <v>Low Risk</v>
      </c>
      <c r="X202" t="str">
        <f t="shared" si="19"/>
        <v>Competitive</v>
      </c>
    </row>
    <row r="203" spans="1:24" x14ac:dyDescent="0.3">
      <c r="A203" t="s">
        <v>271</v>
      </c>
      <c r="B203" t="s">
        <v>20</v>
      </c>
      <c r="C203">
        <v>40</v>
      </c>
      <c r="D203" t="s">
        <v>31</v>
      </c>
      <c r="E203" t="s">
        <v>22</v>
      </c>
      <c r="F203" t="s">
        <v>75</v>
      </c>
      <c r="G203" t="s">
        <v>66</v>
      </c>
      <c r="H203" t="s">
        <v>67</v>
      </c>
      <c r="I203" t="s">
        <v>54</v>
      </c>
      <c r="J203" t="s">
        <v>27</v>
      </c>
      <c r="K203">
        <v>2</v>
      </c>
      <c r="L203">
        <v>35735</v>
      </c>
      <c r="M203" t="s">
        <v>51</v>
      </c>
      <c r="N203">
        <v>1</v>
      </c>
      <c r="O203">
        <v>1</v>
      </c>
      <c r="P203">
        <v>60</v>
      </c>
      <c r="Q203">
        <v>3</v>
      </c>
      <c r="R203" s="1">
        <v>44353</v>
      </c>
      <c r="S203" t="s">
        <v>29</v>
      </c>
      <c r="T203" t="str">
        <f t="shared" si="15"/>
        <v>Grade C</v>
      </c>
      <c r="U203">
        <f t="shared" si="16"/>
        <v>4</v>
      </c>
      <c r="V203" t="str">
        <f t="shared" si="17"/>
        <v>New Joiner</v>
      </c>
      <c r="W203" t="str">
        <f t="shared" si="18"/>
        <v>Low Risk</v>
      </c>
      <c r="X203" t="str">
        <f t="shared" si="19"/>
        <v>Fair</v>
      </c>
    </row>
    <row r="204" spans="1:24" x14ac:dyDescent="0.3">
      <c r="A204" t="s">
        <v>272</v>
      </c>
      <c r="B204" t="s">
        <v>39</v>
      </c>
      <c r="C204">
        <v>28</v>
      </c>
      <c r="D204" t="s">
        <v>21</v>
      </c>
      <c r="E204" t="s">
        <v>22</v>
      </c>
      <c r="F204" t="s">
        <v>23</v>
      </c>
      <c r="G204" t="s">
        <v>79</v>
      </c>
      <c r="H204" t="s">
        <v>25</v>
      </c>
      <c r="I204" t="s">
        <v>68</v>
      </c>
      <c r="J204" t="s">
        <v>60</v>
      </c>
      <c r="K204">
        <v>7</v>
      </c>
      <c r="L204">
        <v>53651</v>
      </c>
      <c r="M204" t="s">
        <v>51</v>
      </c>
      <c r="N204">
        <v>2</v>
      </c>
      <c r="O204">
        <v>3</v>
      </c>
      <c r="P204">
        <v>20</v>
      </c>
      <c r="Q204">
        <v>3</v>
      </c>
      <c r="R204" s="1">
        <v>42492</v>
      </c>
      <c r="S204" t="s">
        <v>29</v>
      </c>
      <c r="T204" t="str">
        <f t="shared" si="15"/>
        <v>Grade B</v>
      </c>
      <c r="U204">
        <f t="shared" si="16"/>
        <v>4</v>
      </c>
      <c r="V204" t="str">
        <f t="shared" si="17"/>
        <v>Mid Level</v>
      </c>
      <c r="W204" t="str">
        <f t="shared" si="18"/>
        <v>Low Risk</v>
      </c>
      <c r="X204" t="str">
        <f t="shared" si="19"/>
        <v>Fair</v>
      </c>
    </row>
    <row r="205" spans="1:24" x14ac:dyDescent="0.3">
      <c r="A205" t="s">
        <v>273</v>
      </c>
      <c r="B205" t="s">
        <v>20</v>
      </c>
      <c r="C205">
        <v>46</v>
      </c>
      <c r="D205" t="s">
        <v>31</v>
      </c>
      <c r="E205" t="s">
        <v>22</v>
      </c>
      <c r="F205" t="s">
        <v>62</v>
      </c>
      <c r="G205" t="s">
        <v>42</v>
      </c>
      <c r="H205" t="s">
        <v>76</v>
      </c>
      <c r="I205" t="s">
        <v>26</v>
      </c>
      <c r="J205" t="s">
        <v>27</v>
      </c>
      <c r="K205">
        <v>8</v>
      </c>
      <c r="L205">
        <v>103986</v>
      </c>
      <c r="M205" t="s">
        <v>36</v>
      </c>
      <c r="N205">
        <v>4</v>
      </c>
      <c r="O205">
        <v>1</v>
      </c>
      <c r="P205">
        <v>43</v>
      </c>
      <c r="Q205">
        <v>3</v>
      </c>
      <c r="R205" s="1">
        <v>42278</v>
      </c>
      <c r="S205" t="s">
        <v>37</v>
      </c>
      <c r="T205" t="str">
        <f t="shared" si="15"/>
        <v>Grade A</v>
      </c>
      <c r="U205">
        <f t="shared" si="16"/>
        <v>1</v>
      </c>
      <c r="V205" t="str">
        <f t="shared" si="17"/>
        <v>Mid Level</v>
      </c>
      <c r="W205" t="str">
        <f t="shared" si="18"/>
        <v>Already Left</v>
      </c>
      <c r="X205" t="str">
        <f t="shared" si="19"/>
        <v>Overpaid</v>
      </c>
    </row>
    <row r="206" spans="1:24" x14ac:dyDescent="0.3">
      <c r="A206" t="s">
        <v>274</v>
      </c>
      <c r="B206" t="s">
        <v>20</v>
      </c>
      <c r="C206">
        <v>48</v>
      </c>
      <c r="D206" t="s">
        <v>88</v>
      </c>
      <c r="E206" t="s">
        <v>22</v>
      </c>
      <c r="F206" t="s">
        <v>62</v>
      </c>
      <c r="G206" t="s">
        <v>58</v>
      </c>
      <c r="H206" t="s">
        <v>67</v>
      </c>
      <c r="I206" t="s">
        <v>96</v>
      </c>
      <c r="J206" t="s">
        <v>44</v>
      </c>
      <c r="K206">
        <v>10</v>
      </c>
      <c r="L206">
        <v>99952</v>
      </c>
      <c r="M206" t="s">
        <v>45</v>
      </c>
      <c r="N206">
        <v>1</v>
      </c>
      <c r="O206">
        <v>4</v>
      </c>
      <c r="P206">
        <v>76</v>
      </c>
      <c r="Q206">
        <v>3</v>
      </c>
      <c r="R206" s="1">
        <v>41599</v>
      </c>
      <c r="S206" t="s">
        <v>37</v>
      </c>
      <c r="T206" t="str">
        <f t="shared" si="15"/>
        <v>Grade A</v>
      </c>
      <c r="U206">
        <f t="shared" si="16"/>
        <v>2</v>
      </c>
      <c r="V206" t="str">
        <f t="shared" si="17"/>
        <v>Mid Level</v>
      </c>
      <c r="W206" t="str">
        <f t="shared" si="18"/>
        <v>Already Left</v>
      </c>
      <c r="X206" t="str">
        <f t="shared" si="19"/>
        <v>Fair</v>
      </c>
    </row>
    <row r="207" spans="1:24" x14ac:dyDescent="0.3">
      <c r="A207" t="s">
        <v>275</v>
      </c>
      <c r="B207" t="s">
        <v>39</v>
      </c>
      <c r="C207">
        <v>54</v>
      </c>
      <c r="D207" t="s">
        <v>88</v>
      </c>
      <c r="E207" t="s">
        <v>40</v>
      </c>
      <c r="F207" t="s">
        <v>78</v>
      </c>
      <c r="G207" t="s">
        <v>42</v>
      </c>
      <c r="H207" t="s">
        <v>34</v>
      </c>
      <c r="I207" t="s">
        <v>35</v>
      </c>
      <c r="J207" t="s">
        <v>27</v>
      </c>
      <c r="K207">
        <v>8</v>
      </c>
      <c r="L207">
        <v>103587</v>
      </c>
      <c r="M207" t="s">
        <v>28</v>
      </c>
      <c r="N207">
        <v>2</v>
      </c>
      <c r="O207">
        <v>1</v>
      </c>
      <c r="P207">
        <v>67</v>
      </c>
      <c r="Q207">
        <v>1</v>
      </c>
      <c r="R207" s="1">
        <v>42007</v>
      </c>
      <c r="S207" t="s">
        <v>29</v>
      </c>
      <c r="T207" t="str">
        <f t="shared" si="15"/>
        <v>Grade A</v>
      </c>
      <c r="U207">
        <f t="shared" si="16"/>
        <v>3</v>
      </c>
      <c r="V207" t="str">
        <f t="shared" si="17"/>
        <v>Mid Level</v>
      </c>
      <c r="W207" t="str">
        <f t="shared" si="18"/>
        <v>Medium Risk</v>
      </c>
      <c r="X207" t="str">
        <f t="shared" si="19"/>
        <v>Competitive</v>
      </c>
    </row>
    <row r="208" spans="1:24" x14ac:dyDescent="0.3">
      <c r="A208" t="s">
        <v>276</v>
      </c>
      <c r="B208" t="s">
        <v>39</v>
      </c>
      <c r="C208">
        <v>38</v>
      </c>
      <c r="D208" t="s">
        <v>31</v>
      </c>
      <c r="E208" t="s">
        <v>40</v>
      </c>
      <c r="F208" t="s">
        <v>32</v>
      </c>
      <c r="G208" t="s">
        <v>63</v>
      </c>
      <c r="H208" t="s">
        <v>67</v>
      </c>
      <c r="I208" t="s">
        <v>68</v>
      </c>
      <c r="J208" t="s">
        <v>60</v>
      </c>
      <c r="K208">
        <v>1</v>
      </c>
      <c r="L208">
        <v>39567</v>
      </c>
      <c r="M208" t="s">
        <v>28</v>
      </c>
      <c r="N208">
        <v>1</v>
      </c>
      <c r="O208">
        <v>1</v>
      </c>
      <c r="P208">
        <v>59</v>
      </c>
      <c r="Q208">
        <v>3</v>
      </c>
      <c r="R208" s="1">
        <v>44824</v>
      </c>
      <c r="S208" t="s">
        <v>29</v>
      </c>
      <c r="T208" t="str">
        <f t="shared" si="15"/>
        <v>Grade C</v>
      </c>
      <c r="U208">
        <f t="shared" si="16"/>
        <v>3</v>
      </c>
      <c r="V208" t="str">
        <f t="shared" si="17"/>
        <v>New Joiner</v>
      </c>
      <c r="W208" t="str">
        <f t="shared" si="18"/>
        <v>Medium Risk</v>
      </c>
      <c r="X208" t="str">
        <f t="shared" si="19"/>
        <v>Fair</v>
      </c>
    </row>
    <row r="209" spans="1:24" x14ac:dyDescent="0.3">
      <c r="A209" t="s">
        <v>277</v>
      </c>
      <c r="B209" t="s">
        <v>20</v>
      </c>
      <c r="C209">
        <v>31</v>
      </c>
      <c r="D209" t="s">
        <v>47</v>
      </c>
      <c r="E209" t="s">
        <v>40</v>
      </c>
      <c r="F209" t="s">
        <v>65</v>
      </c>
      <c r="G209" t="s">
        <v>58</v>
      </c>
      <c r="H209" t="s">
        <v>25</v>
      </c>
      <c r="I209" t="s">
        <v>35</v>
      </c>
      <c r="J209" t="s">
        <v>27</v>
      </c>
      <c r="K209">
        <v>15</v>
      </c>
      <c r="L209">
        <v>124253</v>
      </c>
      <c r="M209" t="s">
        <v>36</v>
      </c>
      <c r="N209">
        <v>1</v>
      </c>
      <c r="O209">
        <v>1</v>
      </c>
      <c r="P209">
        <v>22</v>
      </c>
      <c r="Q209">
        <v>2</v>
      </c>
      <c r="R209" s="1">
        <v>39760</v>
      </c>
      <c r="S209" t="s">
        <v>37</v>
      </c>
      <c r="T209" t="str">
        <f t="shared" si="15"/>
        <v>Grade A</v>
      </c>
      <c r="U209">
        <f t="shared" si="16"/>
        <v>1</v>
      </c>
      <c r="V209" t="str">
        <f t="shared" si="17"/>
        <v>Senior</v>
      </c>
      <c r="W209" t="str">
        <f t="shared" si="18"/>
        <v>Already Left</v>
      </c>
      <c r="X209" t="str">
        <f t="shared" si="19"/>
        <v>Overpaid</v>
      </c>
    </row>
    <row r="210" spans="1:24" x14ac:dyDescent="0.3">
      <c r="A210" t="s">
        <v>278</v>
      </c>
      <c r="B210" t="s">
        <v>39</v>
      </c>
      <c r="C210">
        <v>33</v>
      </c>
      <c r="D210" t="s">
        <v>31</v>
      </c>
      <c r="E210" t="s">
        <v>48</v>
      </c>
      <c r="F210" t="s">
        <v>65</v>
      </c>
      <c r="G210" t="s">
        <v>33</v>
      </c>
      <c r="H210" t="s">
        <v>76</v>
      </c>
      <c r="I210" t="s">
        <v>35</v>
      </c>
      <c r="J210" t="s">
        <v>27</v>
      </c>
      <c r="K210">
        <v>7</v>
      </c>
      <c r="L210">
        <v>82744</v>
      </c>
      <c r="M210" t="s">
        <v>45</v>
      </c>
      <c r="N210">
        <v>2</v>
      </c>
      <c r="O210">
        <v>4</v>
      </c>
      <c r="P210">
        <v>14</v>
      </c>
      <c r="Q210">
        <v>3</v>
      </c>
      <c r="R210" s="1">
        <v>42495</v>
      </c>
      <c r="S210" t="s">
        <v>29</v>
      </c>
      <c r="T210" t="str">
        <f t="shared" si="15"/>
        <v>Grade A</v>
      </c>
      <c r="U210">
        <f t="shared" si="16"/>
        <v>2</v>
      </c>
      <c r="V210" t="str">
        <f t="shared" si="17"/>
        <v>Mid Level</v>
      </c>
      <c r="W210" t="str">
        <f t="shared" si="18"/>
        <v>Medium Risk</v>
      </c>
      <c r="X210" t="str">
        <f t="shared" si="19"/>
        <v>Fair</v>
      </c>
    </row>
    <row r="211" spans="1:24" x14ac:dyDescent="0.3">
      <c r="A211" t="s">
        <v>279</v>
      </c>
      <c r="B211" t="s">
        <v>20</v>
      </c>
      <c r="C211">
        <v>39</v>
      </c>
      <c r="D211" t="s">
        <v>57</v>
      </c>
      <c r="E211" t="s">
        <v>40</v>
      </c>
      <c r="F211" t="s">
        <v>32</v>
      </c>
      <c r="G211" t="s">
        <v>42</v>
      </c>
      <c r="H211" t="s">
        <v>83</v>
      </c>
      <c r="I211" t="s">
        <v>72</v>
      </c>
      <c r="J211" t="s">
        <v>73</v>
      </c>
      <c r="K211">
        <v>15</v>
      </c>
      <c r="L211">
        <v>127204</v>
      </c>
      <c r="M211" t="s">
        <v>36</v>
      </c>
      <c r="N211">
        <v>1</v>
      </c>
      <c r="O211">
        <v>2</v>
      </c>
      <c r="P211">
        <v>27</v>
      </c>
      <c r="Q211">
        <v>2</v>
      </c>
      <c r="R211" s="1">
        <v>39662</v>
      </c>
      <c r="S211" t="s">
        <v>37</v>
      </c>
      <c r="T211" t="str">
        <f t="shared" si="15"/>
        <v>Grade A</v>
      </c>
      <c r="U211">
        <f t="shared" si="16"/>
        <v>1</v>
      </c>
      <c r="V211" t="str">
        <f t="shared" si="17"/>
        <v>Senior</v>
      </c>
      <c r="W211" t="str">
        <f t="shared" si="18"/>
        <v>Already Left</v>
      </c>
      <c r="X211" t="str">
        <f t="shared" si="19"/>
        <v>Overpaid</v>
      </c>
    </row>
    <row r="212" spans="1:24" x14ac:dyDescent="0.3">
      <c r="A212" t="s">
        <v>280</v>
      </c>
      <c r="B212" t="s">
        <v>20</v>
      </c>
      <c r="C212">
        <v>55</v>
      </c>
      <c r="D212" t="s">
        <v>31</v>
      </c>
      <c r="E212" t="s">
        <v>22</v>
      </c>
      <c r="F212" t="s">
        <v>65</v>
      </c>
      <c r="G212" t="s">
        <v>79</v>
      </c>
      <c r="H212" t="s">
        <v>25</v>
      </c>
      <c r="I212" t="s">
        <v>96</v>
      </c>
      <c r="J212" t="s">
        <v>44</v>
      </c>
      <c r="K212">
        <v>10</v>
      </c>
      <c r="L212">
        <v>56158</v>
      </c>
      <c r="M212" t="s">
        <v>36</v>
      </c>
      <c r="N212">
        <v>2</v>
      </c>
      <c r="O212">
        <v>1</v>
      </c>
      <c r="P212">
        <v>49</v>
      </c>
      <c r="Q212">
        <v>3</v>
      </c>
      <c r="R212" s="1">
        <v>41434</v>
      </c>
      <c r="S212" t="s">
        <v>37</v>
      </c>
      <c r="T212" t="str">
        <f t="shared" si="15"/>
        <v>Grade B</v>
      </c>
      <c r="U212">
        <f t="shared" si="16"/>
        <v>1</v>
      </c>
      <c r="V212" t="str">
        <f t="shared" si="17"/>
        <v>Mid Level</v>
      </c>
      <c r="W212" t="str">
        <f t="shared" si="18"/>
        <v>Already Left</v>
      </c>
      <c r="X212" t="str">
        <f t="shared" si="19"/>
        <v>Fair</v>
      </c>
    </row>
    <row r="213" spans="1:24" x14ac:dyDescent="0.3">
      <c r="A213" t="s">
        <v>281</v>
      </c>
      <c r="B213" t="s">
        <v>20</v>
      </c>
      <c r="C213">
        <v>25</v>
      </c>
      <c r="D213" t="s">
        <v>31</v>
      </c>
      <c r="E213" t="s">
        <v>40</v>
      </c>
      <c r="F213" t="s">
        <v>23</v>
      </c>
      <c r="G213" t="s">
        <v>49</v>
      </c>
      <c r="H213" t="s">
        <v>67</v>
      </c>
      <c r="I213" t="s">
        <v>68</v>
      </c>
      <c r="J213" t="s">
        <v>60</v>
      </c>
      <c r="K213">
        <v>15</v>
      </c>
      <c r="L213">
        <v>71888</v>
      </c>
      <c r="M213" t="s">
        <v>28</v>
      </c>
      <c r="N213">
        <v>2</v>
      </c>
      <c r="O213">
        <v>3</v>
      </c>
      <c r="P213">
        <v>57</v>
      </c>
      <c r="Q213">
        <v>3</v>
      </c>
      <c r="R213" s="1">
        <v>39801</v>
      </c>
      <c r="S213" t="s">
        <v>29</v>
      </c>
      <c r="T213" t="str">
        <f t="shared" si="15"/>
        <v>Grade B</v>
      </c>
      <c r="U213">
        <f t="shared" si="16"/>
        <v>3</v>
      </c>
      <c r="V213" t="str">
        <f t="shared" si="17"/>
        <v>Senior</v>
      </c>
      <c r="W213" t="str">
        <f t="shared" si="18"/>
        <v>Medium Risk</v>
      </c>
      <c r="X213" t="str">
        <f t="shared" si="19"/>
        <v>Competitive</v>
      </c>
    </row>
    <row r="214" spans="1:24" x14ac:dyDescent="0.3">
      <c r="A214" t="s">
        <v>282</v>
      </c>
      <c r="B214" t="s">
        <v>39</v>
      </c>
      <c r="C214">
        <v>52</v>
      </c>
      <c r="D214" t="s">
        <v>88</v>
      </c>
      <c r="E214" t="s">
        <v>40</v>
      </c>
      <c r="F214" t="s">
        <v>75</v>
      </c>
      <c r="G214" t="s">
        <v>66</v>
      </c>
      <c r="H214" t="s">
        <v>83</v>
      </c>
      <c r="I214" t="s">
        <v>35</v>
      </c>
      <c r="J214" t="s">
        <v>27</v>
      </c>
      <c r="K214">
        <v>4</v>
      </c>
      <c r="L214">
        <v>49016</v>
      </c>
      <c r="M214" t="s">
        <v>51</v>
      </c>
      <c r="N214">
        <v>3</v>
      </c>
      <c r="O214">
        <v>3</v>
      </c>
      <c r="P214">
        <v>30</v>
      </c>
      <c r="Q214">
        <v>2</v>
      </c>
      <c r="R214" s="1">
        <v>43604</v>
      </c>
      <c r="S214" t="s">
        <v>29</v>
      </c>
      <c r="T214" t="str">
        <f t="shared" si="15"/>
        <v>Grade C</v>
      </c>
      <c r="U214">
        <f t="shared" si="16"/>
        <v>4</v>
      </c>
      <c r="V214" t="str">
        <f t="shared" si="17"/>
        <v>Junior</v>
      </c>
      <c r="W214" t="str">
        <f t="shared" si="18"/>
        <v>Low Risk</v>
      </c>
      <c r="X214" t="str">
        <f t="shared" si="19"/>
        <v>Fair</v>
      </c>
    </row>
    <row r="215" spans="1:24" x14ac:dyDescent="0.3">
      <c r="A215" t="s">
        <v>283</v>
      </c>
      <c r="B215" t="s">
        <v>39</v>
      </c>
      <c r="C215">
        <v>35</v>
      </c>
      <c r="D215" t="s">
        <v>31</v>
      </c>
      <c r="E215" t="s">
        <v>40</v>
      </c>
      <c r="F215" t="s">
        <v>62</v>
      </c>
      <c r="G215" t="s">
        <v>24</v>
      </c>
      <c r="H215" t="s">
        <v>83</v>
      </c>
      <c r="I215" t="s">
        <v>26</v>
      </c>
      <c r="J215" t="s">
        <v>27</v>
      </c>
      <c r="K215">
        <v>1</v>
      </c>
      <c r="L215">
        <v>85751</v>
      </c>
      <c r="M215" t="s">
        <v>36</v>
      </c>
      <c r="N215">
        <v>4</v>
      </c>
      <c r="O215">
        <v>1</v>
      </c>
      <c r="P215">
        <v>11</v>
      </c>
      <c r="Q215">
        <v>3</v>
      </c>
      <c r="R215" s="1">
        <v>44596</v>
      </c>
      <c r="S215" t="s">
        <v>37</v>
      </c>
      <c r="T215" t="str">
        <f t="shared" si="15"/>
        <v>Grade A</v>
      </c>
      <c r="U215">
        <f t="shared" si="16"/>
        <v>1</v>
      </c>
      <c r="V215" t="str">
        <f t="shared" si="17"/>
        <v>New Joiner</v>
      </c>
      <c r="W215" t="str">
        <f t="shared" si="18"/>
        <v>Already Left</v>
      </c>
      <c r="X215" t="str">
        <f t="shared" si="19"/>
        <v>Overpaid</v>
      </c>
    </row>
    <row r="216" spans="1:24" x14ac:dyDescent="0.3">
      <c r="A216" t="s">
        <v>284</v>
      </c>
      <c r="B216" t="s">
        <v>20</v>
      </c>
      <c r="C216">
        <v>49</v>
      </c>
      <c r="D216" t="s">
        <v>57</v>
      </c>
      <c r="E216" t="s">
        <v>48</v>
      </c>
      <c r="F216" t="s">
        <v>53</v>
      </c>
      <c r="G216" t="s">
        <v>42</v>
      </c>
      <c r="H216" t="s">
        <v>34</v>
      </c>
      <c r="I216" t="s">
        <v>68</v>
      </c>
      <c r="J216" t="s">
        <v>60</v>
      </c>
      <c r="K216">
        <v>4</v>
      </c>
      <c r="L216">
        <v>112934</v>
      </c>
      <c r="M216" t="s">
        <v>51</v>
      </c>
      <c r="N216">
        <v>4</v>
      </c>
      <c r="O216">
        <v>3</v>
      </c>
      <c r="P216">
        <v>37</v>
      </c>
      <c r="Q216">
        <v>3</v>
      </c>
      <c r="R216" s="1">
        <v>43468</v>
      </c>
      <c r="S216" t="s">
        <v>29</v>
      </c>
      <c r="T216" t="str">
        <f t="shared" si="15"/>
        <v>Grade A</v>
      </c>
      <c r="U216">
        <f t="shared" si="16"/>
        <v>4</v>
      </c>
      <c r="V216" t="str">
        <f t="shared" si="17"/>
        <v>Junior</v>
      </c>
      <c r="W216" t="str">
        <f t="shared" si="18"/>
        <v>Low Risk</v>
      </c>
      <c r="X216" t="str">
        <f t="shared" si="19"/>
        <v>Competitive</v>
      </c>
    </row>
    <row r="217" spans="1:24" x14ac:dyDescent="0.3">
      <c r="A217" t="s">
        <v>285</v>
      </c>
      <c r="B217" t="s">
        <v>20</v>
      </c>
      <c r="C217">
        <v>41</v>
      </c>
      <c r="D217" t="s">
        <v>21</v>
      </c>
      <c r="E217" t="s">
        <v>48</v>
      </c>
      <c r="F217" t="s">
        <v>75</v>
      </c>
      <c r="G217" t="s">
        <v>66</v>
      </c>
      <c r="H217" t="s">
        <v>34</v>
      </c>
      <c r="I217" t="s">
        <v>80</v>
      </c>
      <c r="J217" t="s">
        <v>60</v>
      </c>
      <c r="K217">
        <v>1</v>
      </c>
      <c r="L217">
        <v>45397</v>
      </c>
      <c r="M217" t="s">
        <v>51</v>
      </c>
      <c r="N217">
        <v>1</v>
      </c>
      <c r="O217">
        <v>3</v>
      </c>
      <c r="P217">
        <v>45</v>
      </c>
      <c r="Q217">
        <v>2</v>
      </c>
      <c r="R217" s="1">
        <v>44616</v>
      </c>
      <c r="S217" t="s">
        <v>29</v>
      </c>
      <c r="T217" t="str">
        <f t="shared" si="15"/>
        <v>Grade C</v>
      </c>
      <c r="U217">
        <f t="shared" si="16"/>
        <v>4</v>
      </c>
      <c r="V217" t="str">
        <f t="shared" si="17"/>
        <v>New Joiner</v>
      </c>
      <c r="W217" t="str">
        <f t="shared" si="18"/>
        <v>Low Risk</v>
      </c>
      <c r="X217" t="str">
        <f t="shared" si="19"/>
        <v>Fair</v>
      </c>
    </row>
    <row r="218" spans="1:24" x14ac:dyDescent="0.3">
      <c r="A218" t="s">
        <v>286</v>
      </c>
      <c r="B218" t="s">
        <v>20</v>
      </c>
      <c r="C218">
        <v>30</v>
      </c>
      <c r="D218" t="s">
        <v>21</v>
      </c>
      <c r="E218" t="s">
        <v>40</v>
      </c>
      <c r="F218" t="s">
        <v>62</v>
      </c>
      <c r="G218" t="s">
        <v>49</v>
      </c>
      <c r="H218" t="s">
        <v>25</v>
      </c>
      <c r="I218" t="s">
        <v>80</v>
      </c>
      <c r="J218" t="s">
        <v>60</v>
      </c>
      <c r="K218">
        <v>3</v>
      </c>
      <c r="L218">
        <v>47860</v>
      </c>
      <c r="M218" t="s">
        <v>28</v>
      </c>
      <c r="N218">
        <v>4</v>
      </c>
      <c r="O218">
        <v>3</v>
      </c>
      <c r="P218">
        <v>43</v>
      </c>
      <c r="Q218">
        <v>3</v>
      </c>
      <c r="R218" s="1">
        <v>43991</v>
      </c>
      <c r="S218" t="s">
        <v>29</v>
      </c>
      <c r="T218" t="str">
        <f t="shared" si="15"/>
        <v>Grade C</v>
      </c>
      <c r="U218">
        <f t="shared" si="16"/>
        <v>3</v>
      </c>
      <c r="V218" t="str">
        <f t="shared" si="17"/>
        <v>Junior</v>
      </c>
      <c r="W218" t="str">
        <f t="shared" si="18"/>
        <v>Medium Risk</v>
      </c>
      <c r="X218" t="str">
        <f t="shared" si="19"/>
        <v>Fair</v>
      </c>
    </row>
    <row r="219" spans="1:24" x14ac:dyDescent="0.3">
      <c r="A219" t="s">
        <v>287</v>
      </c>
      <c r="B219" t="s">
        <v>20</v>
      </c>
      <c r="C219">
        <v>54</v>
      </c>
      <c r="D219" t="s">
        <v>31</v>
      </c>
      <c r="E219" t="s">
        <v>22</v>
      </c>
      <c r="F219" t="s">
        <v>75</v>
      </c>
      <c r="G219" t="s">
        <v>49</v>
      </c>
      <c r="H219" t="s">
        <v>83</v>
      </c>
      <c r="I219" t="s">
        <v>43</v>
      </c>
      <c r="J219" t="s">
        <v>44</v>
      </c>
      <c r="K219">
        <v>6</v>
      </c>
      <c r="L219">
        <v>69518</v>
      </c>
      <c r="M219" t="s">
        <v>28</v>
      </c>
      <c r="N219">
        <v>2</v>
      </c>
      <c r="O219">
        <v>3</v>
      </c>
      <c r="P219">
        <v>22</v>
      </c>
      <c r="Q219">
        <v>3</v>
      </c>
      <c r="R219" s="1">
        <v>42759</v>
      </c>
      <c r="S219" t="s">
        <v>29</v>
      </c>
      <c r="T219" t="str">
        <f t="shared" si="15"/>
        <v>Grade B</v>
      </c>
      <c r="U219">
        <f t="shared" si="16"/>
        <v>3</v>
      </c>
      <c r="V219" t="str">
        <f t="shared" si="17"/>
        <v>Mid Level</v>
      </c>
      <c r="W219" t="str">
        <f t="shared" si="18"/>
        <v>Medium Risk</v>
      </c>
      <c r="X219" t="str">
        <f t="shared" si="19"/>
        <v>Competitive</v>
      </c>
    </row>
    <row r="220" spans="1:24" x14ac:dyDescent="0.3">
      <c r="A220" t="s">
        <v>288</v>
      </c>
      <c r="B220" t="s">
        <v>39</v>
      </c>
      <c r="C220">
        <v>41</v>
      </c>
      <c r="D220" t="s">
        <v>57</v>
      </c>
      <c r="E220" t="s">
        <v>48</v>
      </c>
      <c r="F220" t="s">
        <v>62</v>
      </c>
      <c r="G220" t="s">
        <v>66</v>
      </c>
      <c r="H220" t="s">
        <v>34</v>
      </c>
      <c r="I220" t="s">
        <v>68</v>
      </c>
      <c r="J220" t="s">
        <v>60</v>
      </c>
      <c r="K220">
        <v>11</v>
      </c>
      <c r="L220">
        <v>49926</v>
      </c>
      <c r="M220" t="s">
        <v>28</v>
      </c>
      <c r="N220">
        <v>3</v>
      </c>
      <c r="O220">
        <v>3</v>
      </c>
      <c r="P220">
        <v>47</v>
      </c>
      <c r="Q220">
        <v>3</v>
      </c>
      <c r="R220" s="1">
        <v>41096</v>
      </c>
      <c r="S220" t="s">
        <v>29</v>
      </c>
      <c r="T220" t="str">
        <f t="shared" si="15"/>
        <v>Grade C</v>
      </c>
      <c r="U220">
        <f t="shared" si="16"/>
        <v>3</v>
      </c>
      <c r="V220" t="str">
        <f t="shared" si="17"/>
        <v>Senior</v>
      </c>
      <c r="W220" t="str">
        <f t="shared" si="18"/>
        <v>Medium Risk</v>
      </c>
      <c r="X220" t="str">
        <f t="shared" si="19"/>
        <v>Fair</v>
      </c>
    </row>
    <row r="221" spans="1:24" x14ac:dyDescent="0.3">
      <c r="A221" t="s">
        <v>289</v>
      </c>
      <c r="B221" t="s">
        <v>20</v>
      </c>
      <c r="C221">
        <v>55</v>
      </c>
      <c r="D221" t="s">
        <v>31</v>
      </c>
      <c r="E221" t="s">
        <v>48</v>
      </c>
      <c r="F221" t="s">
        <v>78</v>
      </c>
      <c r="G221" t="s">
        <v>49</v>
      </c>
      <c r="H221" t="s">
        <v>83</v>
      </c>
      <c r="I221" t="s">
        <v>26</v>
      </c>
      <c r="J221" t="s">
        <v>27</v>
      </c>
      <c r="K221">
        <v>8</v>
      </c>
      <c r="L221">
        <v>72399</v>
      </c>
      <c r="M221" t="s">
        <v>51</v>
      </c>
      <c r="N221">
        <v>1</v>
      </c>
      <c r="O221">
        <v>2</v>
      </c>
      <c r="P221">
        <v>27</v>
      </c>
      <c r="Q221">
        <v>1</v>
      </c>
      <c r="R221" s="1">
        <v>42024</v>
      </c>
      <c r="S221" t="s">
        <v>37</v>
      </c>
      <c r="T221" t="str">
        <f t="shared" si="15"/>
        <v>Grade B</v>
      </c>
      <c r="U221">
        <f t="shared" si="16"/>
        <v>4</v>
      </c>
      <c r="V221" t="str">
        <f t="shared" si="17"/>
        <v>Mid Level</v>
      </c>
      <c r="W221" t="str">
        <f t="shared" si="18"/>
        <v>Already Left</v>
      </c>
      <c r="X221" t="str">
        <f t="shared" si="19"/>
        <v>Fair</v>
      </c>
    </row>
    <row r="222" spans="1:24" x14ac:dyDescent="0.3">
      <c r="A222" t="s">
        <v>290</v>
      </c>
      <c r="B222" t="s">
        <v>39</v>
      </c>
      <c r="C222">
        <v>42</v>
      </c>
      <c r="D222" t="s">
        <v>21</v>
      </c>
      <c r="E222" t="s">
        <v>22</v>
      </c>
      <c r="F222" t="s">
        <v>75</v>
      </c>
      <c r="G222" t="s">
        <v>66</v>
      </c>
      <c r="H222" t="s">
        <v>34</v>
      </c>
      <c r="I222" t="s">
        <v>72</v>
      </c>
      <c r="J222" t="s">
        <v>73</v>
      </c>
      <c r="K222">
        <v>3</v>
      </c>
      <c r="L222">
        <v>36909</v>
      </c>
      <c r="M222" t="s">
        <v>36</v>
      </c>
      <c r="N222">
        <v>4</v>
      </c>
      <c r="O222">
        <v>3</v>
      </c>
      <c r="P222">
        <v>36</v>
      </c>
      <c r="Q222">
        <v>1</v>
      </c>
      <c r="R222" s="1">
        <v>44027</v>
      </c>
      <c r="S222" t="s">
        <v>37</v>
      </c>
      <c r="T222" t="str">
        <f t="shared" si="15"/>
        <v>Grade C</v>
      </c>
      <c r="U222">
        <f t="shared" si="16"/>
        <v>1</v>
      </c>
      <c r="V222" t="str">
        <f t="shared" si="17"/>
        <v>Junior</v>
      </c>
      <c r="W222" t="str">
        <f t="shared" si="18"/>
        <v>Already Left</v>
      </c>
      <c r="X222" t="str">
        <f t="shared" si="19"/>
        <v>Fair</v>
      </c>
    </row>
    <row r="223" spans="1:24" x14ac:dyDescent="0.3">
      <c r="A223" t="s">
        <v>291</v>
      </c>
      <c r="B223" t="s">
        <v>20</v>
      </c>
      <c r="C223">
        <v>46</v>
      </c>
      <c r="D223" t="s">
        <v>21</v>
      </c>
      <c r="E223" t="s">
        <v>22</v>
      </c>
      <c r="F223" t="s">
        <v>53</v>
      </c>
      <c r="G223" t="s">
        <v>63</v>
      </c>
      <c r="H223" t="s">
        <v>76</v>
      </c>
      <c r="I223" t="s">
        <v>54</v>
      </c>
      <c r="J223" t="s">
        <v>27</v>
      </c>
      <c r="K223">
        <v>3</v>
      </c>
      <c r="L223">
        <v>55070</v>
      </c>
      <c r="M223" t="s">
        <v>51</v>
      </c>
      <c r="N223">
        <v>2</v>
      </c>
      <c r="O223">
        <v>3</v>
      </c>
      <c r="P223">
        <v>11</v>
      </c>
      <c r="Q223">
        <v>2</v>
      </c>
      <c r="R223" s="1">
        <v>43978</v>
      </c>
      <c r="S223" t="s">
        <v>29</v>
      </c>
      <c r="T223" t="str">
        <f t="shared" si="15"/>
        <v>Grade B</v>
      </c>
      <c r="U223">
        <f t="shared" si="16"/>
        <v>4</v>
      </c>
      <c r="V223" t="str">
        <f t="shared" si="17"/>
        <v>Junior</v>
      </c>
      <c r="W223" t="str">
        <f t="shared" si="18"/>
        <v>Low Risk</v>
      </c>
      <c r="X223" t="str">
        <f t="shared" si="19"/>
        <v>Fair</v>
      </c>
    </row>
    <row r="224" spans="1:24" x14ac:dyDescent="0.3">
      <c r="A224" t="s">
        <v>292</v>
      </c>
      <c r="B224" t="s">
        <v>39</v>
      </c>
      <c r="C224">
        <v>28</v>
      </c>
      <c r="D224" t="s">
        <v>57</v>
      </c>
      <c r="E224" t="s">
        <v>40</v>
      </c>
      <c r="F224" t="s">
        <v>32</v>
      </c>
      <c r="G224" t="s">
        <v>49</v>
      </c>
      <c r="H224" t="s">
        <v>83</v>
      </c>
      <c r="I224" t="s">
        <v>35</v>
      </c>
      <c r="J224" t="s">
        <v>27</v>
      </c>
      <c r="K224">
        <v>11</v>
      </c>
      <c r="L224">
        <v>69414</v>
      </c>
      <c r="M224" t="s">
        <v>51</v>
      </c>
      <c r="N224">
        <v>3</v>
      </c>
      <c r="O224">
        <v>2</v>
      </c>
      <c r="P224">
        <v>18</v>
      </c>
      <c r="Q224">
        <v>0</v>
      </c>
      <c r="R224" s="1">
        <v>41118</v>
      </c>
      <c r="S224" t="s">
        <v>29</v>
      </c>
      <c r="T224" t="str">
        <f t="shared" si="15"/>
        <v>Grade B</v>
      </c>
      <c r="U224">
        <f t="shared" si="16"/>
        <v>4</v>
      </c>
      <c r="V224" t="str">
        <f t="shared" si="17"/>
        <v>Senior</v>
      </c>
      <c r="W224" t="str">
        <f t="shared" si="18"/>
        <v>Low Risk</v>
      </c>
      <c r="X224" t="str">
        <f t="shared" si="19"/>
        <v>Fair</v>
      </c>
    </row>
    <row r="225" spans="1:24" x14ac:dyDescent="0.3">
      <c r="A225" t="s">
        <v>293</v>
      </c>
      <c r="B225" t="s">
        <v>39</v>
      </c>
      <c r="C225">
        <v>32</v>
      </c>
      <c r="D225" t="s">
        <v>57</v>
      </c>
      <c r="E225" t="s">
        <v>22</v>
      </c>
      <c r="F225" t="s">
        <v>62</v>
      </c>
      <c r="G225" t="s">
        <v>24</v>
      </c>
      <c r="H225" t="s">
        <v>76</v>
      </c>
      <c r="I225" t="s">
        <v>80</v>
      </c>
      <c r="J225" t="s">
        <v>60</v>
      </c>
      <c r="K225">
        <v>7</v>
      </c>
      <c r="L225">
        <v>90230</v>
      </c>
      <c r="M225" t="s">
        <v>45</v>
      </c>
      <c r="N225">
        <v>2</v>
      </c>
      <c r="O225">
        <v>2</v>
      </c>
      <c r="P225">
        <v>26</v>
      </c>
      <c r="Q225">
        <v>1</v>
      </c>
      <c r="R225" s="1">
        <v>42554</v>
      </c>
      <c r="S225" t="s">
        <v>29</v>
      </c>
      <c r="T225" t="str">
        <f t="shared" si="15"/>
        <v>Grade A</v>
      </c>
      <c r="U225">
        <f t="shared" si="16"/>
        <v>2</v>
      </c>
      <c r="V225" t="str">
        <f t="shared" si="17"/>
        <v>Mid Level</v>
      </c>
      <c r="W225" t="str">
        <f t="shared" si="18"/>
        <v>Medium Risk</v>
      </c>
      <c r="X225" t="str">
        <f t="shared" si="19"/>
        <v>Fair</v>
      </c>
    </row>
    <row r="226" spans="1:24" x14ac:dyDescent="0.3">
      <c r="A226" t="s">
        <v>294</v>
      </c>
      <c r="B226" t="s">
        <v>39</v>
      </c>
      <c r="C226">
        <v>25</v>
      </c>
      <c r="D226" t="s">
        <v>21</v>
      </c>
      <c r="E226" t="s">
        <v>40</v>
      </c>
      <c r="F226" t="s">
        <v>53</v>
      </c>
      <c r="G226" t="s">
        <v>58</v>
      </c>
      <c r="H226" t="s">
        <v>83</v>
      </c>
      <c r="I226" t="s">
        <v>50</v>
      </c>
      <c r="J226" t="s">
        <v>44</v>
      </c>
      <c r="K226">
        <v>12</v>
      </c>
      <c r="L226">
        <v>111294</v>
      </c>
      <c r="M226" t="s">
        <v>45</v>
      </c>
      <c r="N226">
        <v>1</v>
      </c>
      <c r="O226">
        <v>1</v>
      </c>
      <c r="P226">
        <v>24</v>
      </c>
      <c r="Q226">
        <v>3</v>
      </c>
      <c r="R226" s="1">
        <v>40639</v>
      </c>
      <c r="S226" t="s">
        <v>29</v>
      </c>
      <c r="T226" t="str">
        <f t="shared" si="15"/>
        <v>Grade A</v>
      </c>
      <c r="U226">
        <f t="shared" si="16"/>
        <v>2</v>
      </c>
      <c r="V226" t="str">
        <f t="shared" si="17"/>
        <v>Senior</v>
      </c>
      <c r="W226" t="str">
        <f t="shared" si="18"/>
        <v>Medium Risk</v>
      </c>
      <c r="X226" t="str">
        <f t="shared" si="19"/>
        <v>Fair</v>
      </c>
    </row>
    <row r="227" spans="1:24" x14ac:dyDescent="0.3">
      <c r="A227" t="s">
        <v>295</v>
      </c>
      <c r="B227" t="s">
        <v>20</v>
      </c>
      <c r="C227">
        <v>28</v>
      </c>
      <c r="D227" t="s">
        <v>88</v>
      </c>
      <c r="E227" t="s">
        <v>48</v>
      </c>
      <c r="F227" t="s">
        <v>75</v>
      </c>
      <c r="G227" t="s">
        <v>24</v>
      </c>
      <c r="H227" t="s">
        <v>83</v>
      </c>
      <c r="I227" t="s">
        <v>96</v>
      </c>
      <c r="J227" t="s">
        <v>44</v>
      </c>
      <c r="K227">
        <v>8</v>
      </c>
      <c r="L227">
        <v>87733</v>
      </c>
      <c r="M227" t="s">
        <v>45</v>
      </c>
      <c r="N227">
        <v>2</v>
      </c>
      <c r="O227">
        <v>4</v>
      </c>
      <c r="P227">
        <v>23</v>
      </c>
      <c r="Q227">
        <v>0</v>
      </c>
      <c r="R227" s="1">
        <v>42218</v>
      </c>
      <c r="S227" t="s">
        <v>37</v>
      </c>
      <c r="T227" t="str">
        <f t="shared" si="15"/>
        <v>Grade A</v>
      </c>
      <c r="U227">
        <f t="shared" si="16"/>
        <v>2</v>
      </c>
      <c r="V227" t="str">
        <f t="shared" si="17"/>
        <v>Mid Level</v>
      </c>
      <c r="W227" t="str">
        <f t="shared" si="18"/>
        <v>Already Left</v>
      </c>
      <c r="X227" t="str">
        <f t="shared" si="19"/>
        <v>Fair</v>
      </c>
    </row>
    <row r="228" spans="1:24" x14ac:dyDescent="0.3">
      <c r="A228" t="s">
        <v>296</v>
      </c>
      <c r="B228" t="s">
        <v>20</v>
      </c>
      <c r="C228">
        <v>40</v>
      </c>
      <c r="D228" t="s">
        <v>47</v>
      </c>
      <c r="E228" t="s">
        <v>22</v>
      </c>
      <c r="F228" t="s">
        <v>41</v>
      </c>
      <c r="G228" t="s">
        <v>49</v>
      </c>
      <c r="H228" t="s">
        <v>83</v>
      </c>
      <c r="I228" t="s">
        <v>80</v>
      </c>
      <c r="J228" t="s">
        <v>60</v>
      </c>
      <c r="K228">
        <v>4</v>
      </c>
      <c r="L228">
        <v>56617</v>
      </c>
      <c r="M228" t="s">
        <v>36</v>
      </c>
      <c r="N228">
        <v>4</v>
      </c>
      <c r="O228">
        <v>2</v>
      </c>
      <c r="P228">
        <v>71</v>
      </c>
      <c r="Q228">
        <v>2</v>
      </c>
      <c r="R228" s="1">
        <v>43649</v>
      </c>
      <c r="S228" t="s">
        <v>37</v>
      </c>
      <c r="T228" t="str">
        <f t="shared" si="15"/>
        <v>Grade B</v>
      </c>
      <c r="U228">
        <f t="shared" si="16"/>
        <v>1</v>
      </c>
      <c r="V228" t="str">
        <f t="shared" si="17"/>
        <v>Junior</v>
      </c>
      <c r="W228" t="str">
        <f t="shared" si="18"/>
        <v>Already Left</v>
      </c>
      <c r="X228" t="str">
        <f t="shared" si="19"/>
        <v>Fair</v>
      </c>
    </row>
    <row r="229" spans="1:24" x14ac:dyDescent="0.3">
      <c r="A229" t="s">
        <v>297</v>
      </c>
      <c r="B229" t="s">
        <v>39</v>
      </c>
      <c r="C229">
        <v>54</v>
      </c>
      <c r="D229" t="s">
        <v>21</v>
      </c>
      <c r="E229" t="s">
        <v>40</v>
      </c>
      <c r="F229" t="s">
        <v>23</v>
      </c>
      <c r="G229" t="s">
        <v>79</v>
      </c>
      <c r="H229" t="s">
        <v>83</v>
      </c>
      <c r="I229" t="s">
        <v>59</v>
      </c>
      <c r="J229" t="s">
        <v>60</v>
      </c>
      <c r="K229">
        <v>15</v>
      </c>
      <c r="L229">
        <v>78813</v>
      </c>
      <c r="M229" t="s">
        <v>51</v>
      </c>
      <c r="N229">
        <v>1</v>
      </c>
      <c r="O229">
        <v>3</v>
      </c>
      <c r="P229">
        <v>39</v>
      </c>
      <c r="Q229">
        <v>3</v>
      </c>
      <c r="R229" s="1">
        <v>39741</v>
      </c>
      <c r="S229" t="s">
        <v>29</v>
      </c>
      <c r="T229" t="str">
        <f t="shared" si="15"/>
        <v>Grade B</v>
      </c>
      <c r="U229">
        <f t="shared" si="16"/>
        <v>4</v>
      </c>
      <c r="V229" t="str">
        <f t="shared" si="17"/>
        <v>Senior</v>
      </c>
      <c r="W229" t="str">
        <f t="shared" si="18"/>
        <v>Low Risk</v>
      </c>
      <c r="X229" t="str">
        <f t="shared" si="19"/>
        <v>Fair</v>
      </c>
    </row>
    <row r="230" spans="1:24" x14ac:dyDescent="0.3">
      <c r="A230" t="s">
        <v>298</v>
      </c>
      <c r="B230" t="s">
        <v>20</v>
      </c>
      <c r="C230">
        <v>49</v>
      </c>
      <c r="D230" t="s">
        <v>21</v>
      </c>
      <c r="E230" t="s">
        <v>22</v>
      </c>
      <c r="F230" t="s">
        <v>62</v>
      </c>
      <c r="G230" t="s">
        <v>24</v>
      </c>
      <c r="H230" t="s">
        <v>76</v>
      </c>
      <c r="I230" t="s">
        <v>80</v>
      </c>
      <c r="J230" t="s">
        <v>60</v>
      </c>
      <c r="K230">
        <v>2</v>
      </c>
      <c r="L230">
        <v>70292</v>
      </c>
      <c r="M230" t="s">
        <v>51</v>
      </c>
      <c r="N230">
        <v>1</v>
      </c>
      <c r="O230">
        <v>1</v>
      </c>
      <c r="P230">
        <v>27</v>
      </c>
      <c r="Q230">
        <v>1</v>
      </c>
      <c r="R230" s="1">
        <v>44378</v>
      </c>
      <c r="S230" t="s">
        <v>29</v>
      </c>
      <c r="T230" t="str">
        <f t="shared" si="15"/>
        <v>Grade B</v>
      </c>
      <c r="U230">
        <f t="shared" si="16"/>
        <v>4</v>
      </c>
      <c r="V230" t="str">
        <f t="shared" si="17"/>
        <v>New Joiner</v>
      </c>
      <c r="W230" t="str">
        <f t="shared" si="18"/>
        <v>Low Risk</v>
      </c>
      <c r="X230" t="str">
        <f t="shared" si="19"/>
        <v>Fair</v>
      </c>
    </row>
    <row r="231" spans="1:24" x14ac:dyDescent="0.3">
      <c r="A231" t="s">
        <v>299</v>
      </c>
      <c r="B231" t="s">
        <v>39</v>
      </c>
      <c r="C231">
        <v>47</v>
      </c>
      <c r="D231" t="s">
        <v>57</v>
      </c>
      <c r="E231" t="s">
        <v>48</v>
      </c>
      <c r="F231" t="s">
        <v>65</v>
      </c>
      <c r="G231" t="s">
        <v>79</v>
      </c>
      <c r="H231" t="s">
        <v>76</v>
      </c>
      <c r="I231" t="s">
        <v>72</v>
      </c>
      <c r="J231" t="s">
        <v>73</v>
      </c>
      <c r="K231">
        <v>15</v>
      </c>
      <c r="L231">
        <v>72210</v>
      </c>
      <c r="M231" t="s">
        <v>45</v>
      </c>
      <c r="N231">
        <v>3</v>
      </c>
      <c r="O231">
        <v>4</v>
      </c>
      <c r="P231">
        <v>71</v>
      </c>
      <c r="Q231">
        <v>3</v>
      </c>
      <c r="R231" s="1">
        <v>39724</v>
      </c>
      <c r="S231" t="s">
        <v>29</v>
      </c>
      <c r="T231" t="str">
        <f t="shared" si="15"/>
        <v>Grade B</v>
      </c>
      <c r="U231">
        <f t="shared" si="16"/>
        <v>2</v>
      </c>
      <c r="V231" t="str">
        <f t="shared" si="17"/>
        <v>Senior</v>
      </c>
      <c r="W231" t="str">
        <f t="shared" si="18"/>
        <v>Medium Risk</v>
      </c>
      <c r="X231" t="str">
        <f t="shared" si="19"/>
        <v>Fair</v>
      </c>
    </row>
    <row r="232" spans="1:24" x14ac:dyDescent="0.3">
      <c r="A232" t="s">
        <v>300</v>
      </c>
      <c r="B232" t="s">
        <v>20</v>
      </c>
      <c r="C232">
        <v>50</v>
      </c>
      <c r="D232" t="s">
        <v>47</v>
      </c>
      <c r="E232" t="s">
        <v>40</v>
      </c>
      <c r="F232" t="s">
        <v>41</v>
      </c>
      <c r="G232" t="s">
        <v>24</v>
      </c>
      <c r="H232" t="s">
        <v>67</v>
      </c>
      <c r="I232" t="s">
        <v>68</v>
      </c>
      <c r="J232" t="s">
        <v>60</v>
      </c>
      <c r="K232">
        <v>14</v>
      </c>
      <c r="L232">
        <v>96398</v>
      </c>
      <c r="M232" t="s">
        <v>51</v>
      </c>
      <c r="N232">
        <v>4</v>
      </c>
      <c r="O232">
        <v>3</v>
      </c>
      <c r="P232">
        <v>13</v>
      </c>
      <c r="Q232">
        <v>1</v>
      </c>
      <c r="R232" s="1">
        <v>39880</v>
      </c>
      <c r="S232" t="s">
        <v>29</v>
      </c>
      <c r="T232" t="str">
        <f t="shared" si="15"/>
        <v>Grade A</v>
      </c>
      <c r="U232">
        <f t="shared" si="16"/>
        <v>4</v>
      </c>
      <c r="V232" t="str">
        <f t="shared" si="17"/>
        <v>Senior</v>
      </c>
      <c r="W232" t="str">
        <f t="shared" si="18"/>
        <v>Low Risk</v>
      </c>
      <c r="X232" t="str">
        <f t="shared" si="19"/>
        <v>Competitive</v>
      </c>
    </row>
    <row r="233" spans="1:24" x14ac:dyDescent="0.3">
      <c r="A233" t="s">
        <v>301</v>
      </c>
      <c r="B233" t="s">
        <v>39</v>
      </c>
      <c r="C233">
        <v>55</v>
      </c>
      <c r="D233" t="s">
        <v>88</v>
      </c>
      <c r="E233" t="s">
        <v>40</v>
      </c>
      <c r="F233" t="s">
        <v>78</v>
      </c>
      <c r="G233" t="s">
        <v>58</v>
      </c>
      <c r="H233" t="s">
        <v>83</v>
      </c>
      <c r="I233" t="s">
        <v>96</v>
      </c>
      <c r="J233" t="s">
        <v>44</v>
      </c>
      <c r="K233">
        <v>8</v>
      </c>
      <c r="L233">
        <v>93075</v>
      </c>
      <c r="M233" t="s">
        <v>36</v>
      </c>
      <c r="N233">
        <v>2</v>
      </c>
      <c r="O233">
        <v>3</v>
      </c>
      <c r="P233">
        <v>76</v>
      </c>
      <c r="Q233">
        <v>0</v>
      </c>
      <c r="R233" s="1">
        <v>42212</v>
      </c>
      <c r="S233" t="s">
        <v>29</v>
      </c>
      <c r="T233" t="str">
        <f t="shared" si="15"/>
        <v>Grade A</v>
      </c>
      <c r="U233">
        <f t="shared" si="16"/>
        <v>1</v>
      </c>
      <c r="V233" t="str">
        <f t="shared" si="17"/>
        <v>Mid Level</v>
      </c>
      <c r="W233" t="str">
        <f t="shared" si="18"/>
        <v>Medium Risk</v>
      </c>
      <c r="X233" t="str">
        <f t="shared" si="19"/>
        <v>Overpaid</v>
      </c>
    </row>
    <row r="234" spans="1:24" x14ac:dyDescent="0.3">
      <c r="A234" t="s">
        <v>302</v>
      </c>
      <c r="B234" t="s">
        <v>39</v>
      </c>
      <c r="C234">
        <v>22</v>
      </c>
      <c r="D234" t="s">
        <v>47</v>
      </c>
      <c r="E234" t="s">
        <v>40</v>
      </c>
      <c r="F234" t="s">
        <v>32</v>
      </c>
      <c r="G234" t="s">
        <v>63</v>
      </c>
      <c r="H234" t="s">
        <v>76</v>
      </c>
      <c r="I234" t="s">
        <v>43</v>
      </c>
      <c r="J234" t="s">
        <v>44</v>
      </c>
      <c r="K234">
        <v>11</v>
      </c>
      <c r="L234">
        <v>61871</v>
      </c>
      <c r="M234" t="s">
        <v>45</v>
      </c>
      <c r="N234">
        <v>4</v>
      </c>
      <c r="O234">
        <v>4</v>
      </c>
      <c r="P234">
        <v>31</v>
      </c>
      <c r="Q234">
        <v>0</v>
      </c>
      <c r="R234" s="1">
        <v>40964</v>
      </c>
      <c r="S234" t="s">
        <v>29</v>
      </c>
      <c r="T234" t="str">
        <f t="shared" si="15"/>
        <v>Grade B</v>
      </c>
      <c r="U234">
        <f t="shared" si="16"/>
        <v>2</v>
      </c>
      <c r="V234" t="str">
        <f t="shared" si="17"/>
        <v>Senior</v>
      </c>
      <c r="W234" t="str">
        <f t="shared" si="18"/>
        <v>Medium Risk</v>
      </c>
      <c r="X234" t="str">
        <f t="shared" si="19"/>
        <v>Fair</v>
      </c>
    </row>
    <row r="235" spans="1:24" x14ac:dyDescent="0.3">
      <c r="A235" t="s">
        <v>303</v>
      </c>
      <c r="B235" t="s">
        <v>20</v>
      </c>
      <c r="C235">
        <v>47</v>
      </c>
      <c r="D235" t="s">
        <v>47</v>
      </c>
      <c r="E235" t="s">
        <v>22</v>
      </c>
      <c r="F235" t="s">
        <v>65</v>
      </c>
      <c r="G235" t="s">
        <v>58</v>
      </c>
      <c r="H235" t="s">
        <v>67</v>
      </c>
      <c r="I235" t="s">
        <v>96</v>
      </c>
      <c r="J235" t="s">
        <v>44</v>
      </c>
      <c r="K235">
        <v>5</v>
      </c>
      <c r="L235">
        <v>101611</v>
      </c>
      <c r="M235" t="s">
        <v>45</v>
      </c>
      <c r="N235">
        <v>4</v>
      </c>
      <c r="O235">
        <v>4</v>
      </c>
      <c r="P235">
        <v>67</v>
      </c>
      <c r="Q235">
        <v>0</v>
      </c>
      <c r="R235" s="1">
        <v>43186</v>
      </c>
      <c r="S235" t="s">
        <v>29</v>
      </c>
      <c r="T235" t="str">
        <f t="shared" si="15"/>
        <v>Grade A</v>
      </c>
      <c r="U235">
        <f t="shared" si="16"/>
        <v>2</v>
      </c>
      <c r="V235" t="str">
        <f t="shared" si="17"/>
        <v>Junior</v>
      </c>
      <c r="W235" t="str">
        <f t="shared" si="18"/>
        <v>Medium Risk</v>
      </c>
      <c r="X235" t="str">
        <f t="shared" si="19"/>
        <v>Fair</v>
      </c>
    </row>
    <row r="236" spans="1:24" x14ac:dyDescent="0.3">
      <c r="A236" t="s">
        <v>304</v>
      </c>
      <c r="B236" t="s">
        <v>39</v>
      </c>
      <c r="C236">
        <v>22</v>
      </c>
      <c r="D236" t="s">
        <v>21</v>
      </c>
      <c r="E236" t="s">
        <v>40</v>
      </c>
      <c r="F236" t="s">
        <v>78</v>
      </c>
      <c r="G236" t="s">
        <v>58</v>
      </c>
      <c r="H236" t="s">
        <v>25</v>
      </c>
      <c r="I236" t="s">
        <v>96</v>
      </c>
      <c r="J236" t="s">
        <v>44</v>
      </c>
      <c r="K236">
        <v>8</v>
      </c>
      <c r="L236">
        <v>94363</v>
      </c>
      <c r="M236" t="s">
        <v>51</v>
      </c>
      <c r="N236">
        <v>3</v>
      </c>
      <c r="O236">
        <v>2</v>
      </c>
      <c r="P236">
        <v>68</v>
      </c>
      <c r="Q236">
        <v>2</v>
      </c>
      <c r="R236" s="1">
        <v>42161</v>
      </c>
      <c r="S236" t="s">
        <v>29</v>
      </c>
      <c r="T236" t="str">
        <f t="shared" si="15"/>
        <v>Grade A</v>
      </c>
      <c r="U236">
        <f t="shared" si="16"/>
        <v>4</v>
      </c>
      <c r="V236" t="str">
        <f t="shared" si="17"/>
        <v>Mid Level</v>
      </c>
      <c r="W236" t="str">
        <f t="shared" si="18"/>
        <v>Low Risk</v>
      </c>
      <c r="X236" t="str">
        <f t="shared" si="19"/>
        <v>Competitive</v>
      </c>
    </row>
    <row r="237" spans="1:24" x14ac:dyDescent="0.3">
      <c r="A237" t="s">
        <v>305</v>
      </c>
      <c r="B237" t="s">
        <v>39</v>
      </c>
      <c r="C237">
        <v>22</v>
      </c>
      <c r="D237" t="s">
        <v>31</v>
      </c>
      <c r="E237" t="s">
        <v>48</v>
      </c>
      <c r="F237" t="s">
        <v>23</v>
      </c>
      <c r="G237" t="s">
        <v>33</v>
      </c>
      <c r="H237" t="s">
        <v>67</v>
      </c>
      <c r="I237" t="s">
        <v>72</v>
      </c>
      <c r="J237" t="s">
        <v>73</v>
      </c>
      <c r="K237">
        <v>6</v>
      </c>
      <c r="L237">
        <v>73904</v>
      </c>
      <c r="M237" t="s">
        <v>36</v>
      </c>
      <c r="N237">
        <v>3</v>
      </c>
      <c r="O237">
        <v>3</v>
      </c>
      <c r="P237">
        <v>23</v>
      </c>
      <c r="Q237">
        <v>0</v>
      </c>
      <c r="R237" s="1">
        <v>43053</v>
      </c>
      <c r="S237" t="s">
        <v>37</v>
      </c>
      <c r="T237" t="str">
        <f t="shared" si="15"/>
        <v>Grade B</v>
      </c>
      <c r="U237">
        <f t="shared" si="16"/>
        <v>1</v>
      </c>
      <c r="V237" t="str">
        <f t="shared" si="17"/>
        <v>Mid Level</v>
      </c>
      <c r="W237" t="str">
        <f t="shared" si="18"/>
        <v>Already Left</v>
      </c>
      <c r="X237" t="str">
        <f t="shared" si="19"/>
        <v>Fair</v>
      </c>
    </row>
    <row r="238" spans="1:24" x14ac:dyDescent="0.3">
      <c r="A238" t="s">
        <v>306</v>
      </c>
      <c r="B238" t="s">
        <v>39</v>
      </c>
      <c r="C238">
        <v>51</v>
      </c>
      <c r="D238" t="s">
        <v>47</v>
      </c>
      <c r="E238" t="s">
        <v>40</v>
      </c>
      <c r="F238" t="s">
        <v>78</v>
      </c>
      <c r="G238" t="s">
        <v>42</v>
      </c>
      <c r="H238" t="s">
        <v>67</v>
      </c>
      <c r="I238" t="s">
        <v>68</v>
      </c>
      <c r="J238" t="s">
        <v>60</v>
      </c>
      <c r="K238">
        <v>2</v>
      </c>
      <c r="L238">
        <v>95419</v>
      </c>
      <c r="M238" t="s">
        <v>36</v>
      </c>
      <c r="N238">
        <v>3</v>
      </c>
      <c r="O238">
        <v>1</v>
      </c>
      <c r="P238">
        <v>63</v>
      </c>
      <c r="Q238">
        <v>0</v>
      </c>
      <c r="R238" s="1">
        <v>44361</v>
      </c>
      <c r="S238" t="s">
        <v>37</v>
      </c>
      <c r="T238" t="str">
        <f t="shared" si="15"/>
        <v>Grade A</v>
      </c>
      <c r="U238">
        <f t="shared" si="16"/>
        <v>1</v>
      </c>
      <c r="V238" t="str">
        <f t="shared" si="17"/>
        <v>New Joiner</v>
      </c>
      <c r="W238" t="str">
        <f t="shared" si="18"/>
        <v>Already Left</v>
      </c>
      <c r="X238" t="str">
        <f t="shared" si="19"/>
        <v>Overpaid</v>
      </c>
    </row>
    <row r="239" spans="1:24" x14ac:dyDescent="0.3">
      <c r="A239" t="s">
        <v>307</v>
      </c>
      <c r="B239" t="s">
        <v>20</v>
      </c>
      <c r="C239">
        <v>52</v>
      </c>
      <c r="D239" t="s">
        <v>88</v>
      </c>
      <c r="E239" t="s">
        <v>22</v>
      </c>
      <c r="F239" t="s">
        <v>41</v>
      </c>
      <c r="G239" t="s">
        <v>24</v>
      </c>
      <c r="H239" t="s">
        <v>76</v>
      </c>
      <c r="I239" t="s">
        <v>54</v>
      </c>
      <c r="J239" t="s">
        <v>27</v>
      </c>
      <c r="K239">
        <v>11</v>
      </c>
      <c r="L239">
        <v>103345</v>
      </c>
      <c r="M239" t="s">
        <v>36</v>
      </c>
      <c r="N239">
        <v>2</v>
      </c>
      <c r="O239">
        <v>2</v>
      </c>
      <c r="P239">
        <v>23</v>
      </c>
      <c r="Q239">
        <v>3</v>
      </c>
      <c r="R239" s="1">
        <v>41253</v>
      </c>
      <c r="S239" t="s">
        <v>29</v>
      </c>
      <c r="T239" t="str">
        <f t="shared" si="15"/>
        <v>Grade A</v>
      </c>
      <c r="U239">
        <f t="shared" si="16"/>
        <v>1</v>
      </c>
      <c r="V239" t="str">
        <f t="shared" si="17"/>
        <v>Senior</v>
      </c>
      <c r="W239" t="str">
        <f t="shared" si="18"/>
        <v>Medium Risk</v>
      </c>
      <c r="X239" t="str">
        <f t="shared" si="19"/>
        <v>Overpaid</v>
      </c>
    </row>
    <row r="240" spans="1:24" x14ac:dyDescent="0.3">
      <c r="A240" t="s">
        <v>308</v>
      </c>
      <c r="B240" t="s">
        <v>20</v>
      </c>
      <c r="C240">
        <v>30</v>
      </c>
      <c r="D240" t="s">
        <v>47</v>
      </c>
      <c r="E240" t="s">
        <v>48</v>
      </c>
      <c r="F240" t="s">
        <v>65</v>
      </c>
      <c r="G240" t="s">
        <v>49</v>
      </c>
      <c r="H240" t="s">
        <v>34</v>
      </c>
      <c r="I240" t="s">
        <v>54</v>
      </c>
      <c r="J240" t="s">
        <v>27</v>
      </c>
      <c r="K240">
        <v>7</v>
      </c>
      <c r="L240">
        <v>62965</v>
      </c>
      <c r="M240" t="s">
        <v>36</v>
      </c>
      <c r="N240">
        <v>3</v>
      </c>
      <c r="O240">
        <v>3</v>
      </c>
      <c r="P240">
        <v>80</v>
      </c>
      <c r="Q240">
        <v>1</v>
      </c>
      <c r="R240" s="1">
        <v>42587</v>
      </c>
      <c r="S240" t="s">
        <v>37</v>
      </c>
      <c r="T240" t="str">
        <f t="shared" si="15"/>
        <v>Grade B</v>
      </c>
      <c r="U240">
        <f t="shared" si="16"/>
        <v>1</v>
      </c>
      <c r="V240" t="str">
        <f t="shared" si="17"/>
        <v>Mid Level</v>
      </c>
      <c r="W240" t="str">
        <f t="shared" si="18"/>
        <v>Already Left</v>
      </c>
      <c r="X240" t="str">
        <f t="shared" si="19"/>
        <v>Fair</v>
      </c>
    </row>
    <row r="241" spans="1:24" x14ac:dyDescent="0.3">
      <c r="A241" t="s">
        <v>309</v>
      </c>
      <c r="B241" t="s">
        <v>20</v>
      </c>
      <c r="C241">
        <v>29</v>
      </c>
      <c r="D241" t="s">
        <v>31</v>
      </c>
      <c r="E241" t="s">
        <v>40</v>
      </c>
      <c r="F241" t="s">
        <v>32</v>
      </c>
      <c r="G241" t="s">
        <v>66</v>
      </c>
      <c r="H241" t="s">
        <v>34</v>
      </c>
      <c r="I241" t="s">
        <v>59</v>
      </c>
      <c r="J241" t="s">
        <v>60</v>
      </c>
      <c r="K241">
        <v>11</v>
      </c>
      <c r="L241">
        <v>51347</v>
      </c>
      <c r="M241" t="s">
        <v>45</v>
      </c>
      <c r="N241">
        <v>4</v>
      </c>
      <c r="O241">
        <v>4</v>
      </c>
      <c r="P241">
        <v>78</v>
      </c>
      <c r="Q241">
        <v>2</v>
      </c>
      <c r="R241" s="1">
        <v>41020</v>
      </c>
      <c r="S241" t="s">
        <v>29</v>
      </c>
      <c r="T241" t="str">
        <f t="shared" si="15"/>
        <v>Grade B</v>
      </c>
      <c r="U241">
        <f t="shared" si="16"/>
        <v>2</v>
      </c>
      <c r="V241" t="str">
        <f t="shared" si="17"/>
        <v>Senior</v>
      </c>
      <c r="W241" t="str">
        <f t="shared" si="18"/>
        <v>Medium Risk</v>
      </c>
      <c r="X241" t="str">
        <f t="shared" si="19"/>
        <v>Fair</v>
      </c>
    </row>
    <row r="242" spans="1:24" x14ac:dyDescent="0.3">
      <c r="A242" t="s">
        <v>310</v>
      </c>
      <c r="B242" t="s">
        <v>39</v>
      </c>
      <c r="C242">
        <v>34</v>
      </c>
      <c r="D242" t="s">
        <v>31</v>
      </c>
      <c r="E242" t="s">
        <v>22</v>
      </c>
      <c r="F242" t="s">
        <v>23</v>
      </c>
      <c r="G242" t="s">
        <v>63</v>
      </c>
      <c r="H242" t="s">
        <v>34</v>
      </c>
      <c r="I242" t="s">
        <v>43</v>
      </c>
      <c r="J242" t="s">
        <v>44</v>
      </c>
      <c r="K242">
        <v>1</v>
      </c>
      <c r="L242">
        <v>41762</v>
      </c>
      <c r="M242" t="s">
        <v>51</v>
      </c>
      <c r="N242">
        <v>3</v>
      </c>
      <c r="O242">
        <v>3</v>
      </c>
      <c r="P242">
        <v>28</v>
      </c>
      <c r="Q242">
        <v>0</v>
      </c>
      <c r="R242" s="1">
        <v>44584</v>
      </c>
      <c r="S242" t="s">
        <v>37</v>
      </c>
      <c r="T242" t="str">
        <f t="shared" si="15"/>
        <v>Grade C</v>
      </c>
      <c r="U242">
        <f t="shared" si="16"/>
        <v>4</v>
      </c>
      <c r="V242" t="str">
        <f t="shared" si="17"/>
        <v>New Joiner</v>
      </c>
      <c r="W242" t="str">
        <f t="shared" si="18"/>
        <v>Already Left</v>
      </c>
      <c r="X242" t="str">
        <f t="shared" si="19"/>
        <v>Fair</v>
      </c>
    </row>
    <row r="243" spans="1:24" x14ac:dyDescent="0.3">
      <c r="A243" t="s">
        <v>311</v>
      </c>
      <c r="B243" t="s">
        <v>39</v>
      </c>
      <c r="C243">
        <v>46</v>
      </c>
      <c r="D243" t="s">
        <v>47</v>
      </c>
      <c r="E243" t="s">
        <v>40</v>
      </c>
      <c r="F243" t="s">
        <v>32</v>
      </c>
      <c r="G243" t="s">
        <v>33</v>
      </c>
      <c r="H243" t="s">
        <v>34</v>
      </c>
      <c r="I243" t="s">
        <v>80</v>
      </c>
      <c r="J243" t="s">
        <v>60</v>
      </c>
      <c r="K243">
        <v>6</v>
      </c>
      <c r="L243">
        <v>65358</v>
      </c>
      <c r="M243" t="s">
        <v>51</v>
      </c>
      <c r="N243">
        <v>3</v>
      </c>
      <c r="O243">
        <v>1</v>
      </c>
      <c r="P243">
        <v>58</v>
      </c>
      <c r="Q243">
        <v>3</v>
      </c>
      <c r="R243" s="1">
        <v>42757</v>
      </c>
      <c r="S243" t="s">
        <v>29</v>
      </c>
      <c r="T243" t="str">
        <f t="shared" si="15"/>
        <v>Grade B</v>
      </c>
      <c r="U243">
        <f t="shared" si="16"/>
        <v>4</v>
      </c>
      <c r="V243" t="str">
        <f t="shared" si="17"/>
        <v>Mid Level</v>
      </c>
      <c r="W243" t="str">
        <f t="shared" si="18"/>
        <v>Low Risk</v>
      </c>
      <c r="X243" t="str">
        <f t="shared" si="19"/>
        <v>Fair</v>
      </c>
    </row>
    <row r="244" spans="1:24" x14ac:dyDescent="0.3">
      <c r="A244" t="s">
        <v>312</v>
      </c>
      <c r="B244" t="s">
        <v>39</v>
      </c>
      <c r="C244">
        <v>45</v>
      </c>
      <c r="D244" t="s">
        <v>88</v>
      </c>
      <c r="E244" t="s">
        <v>40</v>
      </c>
      <c r="F244" t="s">
        <v>65</v>
      </c>
      <c r="G244" t="s">
        <v>42</v>
      </c>
      <c r="H244" t="s">
        <v>34</v>
      </c>
      <c r="I244" t="s">
        <v>43</v>
      </c>
      <c r="J244" t="s">
        <v>44</v>
      </c>
      <c r="K244">
        <v>1</v>
      </c>
      <c r="L244">
        <v>93654</v>
      </c>
      <c r="M244" t="s">
        <v>51</v>
      </c>
      <c r="N244">
        <v>2</v>
      </c>
      <c r="O244">
        <v>2</v>
      </c>
      <c r="P244">
        <v>47</v>
      </c>
      <c r="Q244">
        <v>3</v>
      </c>
      <c r="R244" s="1">
        <v>44701</v>
      </c>
      <c r="S244" t="s">
        <v>29</v>
      </c>
      <c r="T244" t="str">
        <f t="shared" si="15"/>
        <v>Grade A</v>
      </c>
      <c r="U244">
        <f t="shared" si="16"/>
        <v>4</v>
      </c>
      <c r="V244" t="str">
        <f t="shared" si="17"/>
        <v>New Joiner</v>
      </c>
      <c r="W244" t="str">
        <f t="shared" si="18"/>
        <v>Low Risk</v>
      </c>
      <c r="X244" t="str">
        <f t="shared" si="19"/>
        <v>Competitive</v>
      </c>
    </row>
    <row r="245" spans="1:24" x14ac:dyDescent="0.3">
      <c r="A245" t="s">
        <v>313</v>
      </c>
      <c r="B245" t="s">
        <v>20</v>
      </c>
      <c r="C245">
        <v>38</v>
      </c>
      <c r="D245" t="s">
        <v>47</v>
      </c>
      <c r="E245" t="s">
        <v>22</v>
      </c>
      <c r="F245" t="s">
        <v>41</v>
      </c>
      <c r="G245" t="s">
        <v>79</v>
      </c>
      <c r="H245" t="s">
        <v>67</v>
      </c>
      <c r="I245" t="s">
        <v>68</v>
      </c>
      <c r="J245" t="s">
        <v>60</v>
      </c>
      <c r="K245">
        <v>12</v>
      </c>
      <c r="L245">
        <v>66360</v>
      </c>
      <c r="M245" t="s">
        <v>28</v>
      </c>
      <c r="N245">
        <v>3</v>
      </c>
      <c r="O245">
        <v>1</v>
      </c>
      <c r="P245">
        <v>52</v>
      </c>
      <c r="Q245">
        <v>3</v>
      </c>
      <c r="R245" s="1">
        <v>40693</v>
      </c>
      <c r="S245" t="s">
        <v>37</v>
      </c>
      <c r="T245" t="str">
        <f t="shared" si="15"/>
        <v>Grade B</v>
      </c>
      <c r="U245">
        <f t="shared" si="16"/>
        <v>3</v>
      </c>
      <c r="V245" t="str">
        <f t="shared" si="17"/>
        <v>Senior</v>
      </c>
      <c r="W245" t="str">
        <f t="shared" si="18"/>
        <v>Already Left</v>
      </c>
      <c r="X245" t="str">
        <f t="shared" si="19"/>
        <v>Competitive</v>
      </c>
    </row>
    <row r="246" spans="1:24" x14ac:dyDescent="0.3">
      <c r="A246" t="s">
        <v>314</v>
      </c>
      <c r="B246" t="s">
        <v>20</v>
      </c>
      <c r="C246">
        <v>26</v>
      </c>
      <c r="D246" t="s">
        <v>31</v>
      </c>
      <c r="E246" t="s">
        <v>40</v>
      </c>
      <c r="F246" t="s">
        <v>23</v>
      </c>
      <c r="G246" t="s">
        <v>58</v>
      </c>
      <c r="H246" t="s">
        <v>67</v>
      </c>
      <c r="I246" t="s">
        <v>68</v>
      </c>
      <c r="J246" t="s">
        <v>60</v>
      </c>
      <c r="K246">
        <v>10</v>
      </c>
      <c r="L246">
        <v>104868</v>
      </c>
      <c r="M246" t="s">
        <v>45</v>
      </c>
      <c r="N246">
        <v>2</v>
      </c>
      <c r="O246">
        <v>2</v>
      </c>
      <c r="P246">
        <v>76</v>
      </c>
      <c r="Q246">
        <v>0</v>
      </c>
      <c r="R246" s="1">
        <v>41349</v>
      </c>
      <c r="S246" t="s">
        <v>29</v>
      </c>
      <c r="T246" t="str">
        <f t="shared" si="15"/>
        <v>Grade A</v>
      </c>
      <c r="U246">
        <f t="shared" si="16"/>
        <v>2</v>
      </c>
      <c r="V246" t="str">
        <f t="shared" si="17"/>
        <v>Mid Level</v>
      </c>
      <c r="W246" t="str">
        <f t="shared" si="18"/>
        <v>Medium Risk</v>
      </c>
      <c r="X246" t="str">
        <f t="shared" si="19"/>
        <v>Fair</v>
      </c>
    </row>
    <row r="247" spans="1:24" x14ac:dyDescent="0.3">
      <c r="A247" t="s">
        <v>315</v>
      </c>
      <c r="B247" t="s">
        <v>20</v>
      </c>
      <c r="C247">
        <v>45</v>
      </c>
      <c r="D247" t="s">
        <v>31</v>
      </c>
      <c r="E247" t="s">
        <v>22</v>
      </c>
      <c r="F247" t="s">
        <v>53</v>
      </c>
      <c r="G247" t="s">
        <v>66</v>
      </c>
      <c r="H247" t="s">
        <v>76</v>
      </c>
      <c r="I247" t="s">
        <v>35</v>
      </c>
      <c r="J247" t="s">
        <v>27</v>
      </c>
      <c r="K247">
        <v>2</v>
      </c>
      <c r="L247">
        <v>36248</v>
      </c>
      <c r="M247" t="s">
        <v>36</v>
      </c>
      <c r="N247">
        <v>4</v>
      </c>
      <c r="O247">
        <v>1</v>
      </c>
      <c r="P247">
        <v>24</v>
      </c>
      <c r="Q247">
        <v>2</v>
      </c>
      <c r="R247" s="1">
        <v>44393</v>
      </c>
      <c r="S247" t="s">
        <v>29</v>
      </c>
      <c r="T247" t="str">
        <f t="shared" si="15"/>
        <v>Grade C</v>
      </c>
      <c r="U247">
        <f t="shared" si="16"/>
        <v>1</v>
      </c>
      <c r="V247" t="str">
        <f t="shared" si="17"/>
        <v>New Joiner</v>
      </c>
      <c r="W247" t="str">
        <f t="shared" si="18"/>
        <v>High Risk</v>
      </c>
      <c r="X247" t="str">
        <f t="shared" si="19"/>
        <v>Fair</v>
      </c>
    </row>
    <row r="248" spans="1:24" x14ac:dyDescent="0.3">
      <c r="A248" t="s">
        <v>316</v>
      </c>
      <c r="B248" t="s">
        <v>20</v>
      </c>
      <c r="C248">
        <v>40</v>
      </c>
      <c r="D248" t="s">
        <v>21</v>
      </c>
      <c r="E248" t="s">
        <v>40</v>
      </c>
      <c r="F248" t="s">
        <v>32</v>
      </c>
      <c r="G248" t="s">
        <v>66</v>
      </c>
      <c r="H248" t="s">
        <v>34</v>
      </c>
      <c r="I248" t="s">
        <v>96</v>
      </c>
      <c r="J248" t="s">
        <v>44</v>
      </c>
      <c r="K248">
        <v>1</v>
      </c>
      <c r="L248">
        <v>39496</v>
      </c>
      <c r="M248" t="s">
        <v>28</v>
      </c>
      <c r="N248">
        <v>3</v>
      </c>
      <c r="O248">
        <v>4</v>
      </c>
      <c r="P248">
        <v>72</v>
      </c>
      <c r="Q248">
        <v>0</v>
      </c>
      <c r="R248" s="1">
        <v>44730</v>
      </c>
      <c r="S248" t="s">
        <v>37</v>
      </c>
      <c r="T248" t="str">
        <f t="shared" si="15"/>
        <v>Grade C</v>
      </c>
      <c r="U248">
        <f t="shared" si="16"/>
        <v>3</v>
      </c>
      <c r="V248" t="str">
        <f t="shared" si="17"/>
        <v>New Joiner</v>
      </c>
      <c r="W248" t="str">
        <f t="shared" si="18"/>
        <v>Already Left</v>
      </c>
      <c r="X248" t="str">
        <f t="shared" si="19"/>
        <v>Fair</v>
      </c>
    </row>
    <row r="249" spans="1:24" x14ac:dyDescent="0.3">
      <c r="A249" t="s">
        <v>317</v>
      </c>
      <c r="B249" t="s">
        <v>39</v>
      </c>
      <c r="C249">
        <v>35</v>
      </c>
      <c r="D249" t="s">
        <v>47</v>
      </c>
      <c r="E249" t="s">
        <v>40</v>
      </c>
      <c r="F249" t="s">
        <v>32</v>
      </c>
      <c r="G249" t="s">
        <v>24</v>
      </c>
      <c r="H249" t="s">
        <v>25</v>
      </c>
      <c r="I249" t="s">
        <v>80</v>
      </c>
      <c r="J249" t="s">
        <v>60</v>
      </c>
      <c r="K249">
        <v>2</v>
      </c>
      <c r="L249">
        <v>86628</v>
      </c>
      <c r="M249" t="s">
        <v>51</v>
      </c>
      <c r="N249">
        <v>4</v>
      </c>
      <c r="O249">
        <v>1</v>
      </c>
      <c r="P249">
        <v>36</v>
      </c>
      <c r="Q249">
        <v>3</v>
      </c>
      <c r="R249" s="1">
        <v>44559</v>
      </c>
      <c r="S249" t="s">
        <v>29</v>
      </c>
      <c r="T249" t="str">
        <f t="shared" si="15"/>
        <v>Grade A</v>
      </c>
      <c r="U249">
        <f t="shared" si="16"/>
        <v>4</v>
      </c>
      <c r="V249" t="str">
        <f t="shared" si="17"/>
        <v>New Joiner</v>
      </c>
      <c r="W249" t="str">
        <f t="shared" si="18"/>
        <v>Low Risk</v>
      </c>
      <c r="X249" t="str">
        <f t="shared" si="19"/>
        <v>Competitive</v>
      </c>
    </row>
    <row r="250" spans="1:24" x14ac:dyDescent="0.3">
      <c r="A250" t="s">
        <v>318</v>
      </c>
      <c r="B250" t="s">
        <v>39</v>
      </c>
      <c r="C250">
        <v>38</v>
      </c>
      <c r="D250" t="s">
        <v>88</v>
      </c>
      <c r="E250" t="s">
        <v>22</v>
      </c>
      <c r="F250" t="s">
        <v>53</v>
      </c>
      <c r="G250" t="s">
        <v>66</v>
      </c>
      <c r="H250" t="s">
        <v>83</v>
      </c>
      <c r="I250" t="s">
        <v>26</v>
      </c>
      <c r="J250" t="s">
        <v>27</v>
      </c>
      <c r="K250">
        <v>12</v>
      </c>
      <c r="L250">
        <v>50241</v>
      </c>
      <c r="M250" t="s">
        <v>36</v>
      </c>
      <c r="N250">
        <v>2</v>
      </c>
      <c r="O250">
        <v>3</v>
      </c>
      <c r="P250">
        <v>62</v>
      </c>
      <c r="Q250">
        <v>3</v>
      </c>
      <c r="R250" s="1">
        <v>40885</v>
      </c>
      <c r="S250" t="s">
        <v>37</v>
      </c>
      <c r="T250" t="str">
        <f t="shared" si="15"/>
        <v>Grade B</v>
      </c>
      <c r="U250">
        <f t="shared" si="16"/>
        <v>1</v>
      </c>
      <c r="V250" t="str">
        <f t="shared" si="17"/>
        <v>Senior</v>
      </c>
      <c r="W250" t="str">
        <f t="shared" si="18"/>
        <v>Already Left</v>
      </c>
      <c r="X250" t="str">
        <f t="shared" si="19"/>
        <v>Fair</v>
      </c>
    </row>
    <row r="251" spans="1:24" x14ac:dyDescent="0.3">
      <c r="A251" t="s">
        <v>319</v>
      </c>
      <c r="B251" t="s">
        <v>39</v>
      </c>
      <c r="C251">
        <v>24</v>
      </c>
      <c r="D251" t="s">
        <v>21</v>
      </c>
      <c r="E251" t="s">
        <v>48</v>
      </c>
      <c r="F251" t="s">
        <v>75</v>
      </c>
      <c r="G251" t="s">
        <v>63</v>
      </c>
      <c r="H251" t="s">
        <v>76</v>
      </c>
      <c r="I251" t="s">
        <v>96</v>
      </c>
      <c r="J251" t="s">
        <v>44</v>
      </c>
      <c r="K251">
        <v>1</v>
      </c>
      <c r="L251">
        <v>40876</v>
      </c>
      <c r="M251" t="s">
        <v>45</v>
      </c>
      <c r="N251">
        <v>1</v>
      </c>
      <c r="O251">
        <v>3</v>
      </c>
      <c r="P251">
        <v>48</v>
      </c>
      <c r="Q251">
        <v>0</v>
      </c>
      <c r="R251" s="1">
        <v>44924</v>
      </c>
      <c r="S251" t="s">
        <v>29</v>
      </c>
      <c r="T251" t="str">
        <f t="shared" si="15"/>
        <v>Grade C</v>
      </c>
      <c r="U251">
        <f t="shared" si="16"/>
        <v>2</v>
      </c>
      <c r="V251" t="str">
        <f t="shared" si="17"/>
        <v>New Joiner</v>
      </c>
      <c r="W251" t="str">
        <f t="shared" si="18"/>
        <v>Medium Risk</v>
      </c>
      <c r="X251" t="str">
        <f t="shared" si="19"/>
        <v>Fair</v>
      </c>
    </row>
    <row r="252" spans="1:24" x14ac:dyDescent="0.3">
      <c r="A252" t="s">
        <v>320</v>
      </c>
      <c r="B252" t="s">
        <v>39</v>
      </c>
      <c r="C252">
        <v>47</v>
      </c>
      <c r="D252" t="s">
        <v>88</v>
      </c>
      <c r="E252" t="s">
        <v>48</v>
      </c>
      <c r="F252" t="s">
        <v>78</v>
      </c>
      <c r="G252" t="s">
        <v>58</v>
      </c>
      <c r="H252" t="s">
        <v>76</v>
      </c>
      <c r="I252" t="s">
        <v>80</v>
      </c>
      <c r="J252" t="s">
        <v>60</v>
      </c>
      <c r="K252">
        <v>14</v>
      </c>
      <c r="L252">
        <v>118531</v>
      </c>
      <c r="M252" t="s">
        <v>36</v>
      </c>
      <c r="N252">
        <v>2</v>
      </c>
      <c r="O252">
        <v>3</v>
      </c>
      <c r="P252">
        <v>57</v>
      </c>
      <c r="Q252">
        <v>0</v>
      </c>
      <c r="R252" s="1">
        <v>40070</v>
      </c>
      <c r="S252" t="s">
        <v>29</v>
      </c>
      <c r="T252" t="str">
        <f t="shared" si="15"/>
        <v>Grade A</v>
      </c>
      <c r="U252">
        <f t="shared" si="16"/>
        <v>1</v>
      </c>
      <c r="V252" t="str">
        <f t="shared" si="17"/>
        <v>Senior</v>
      </c>
      <c r="W252" t="str">
        <f t="shared" si="18"/>
        <v>Medium Risk</v>
      </c>
      <c r="X252" t="str">
        <f t="shared" si="19"/>
        <v>Overpaid</v>
      </c>
    </row>
    <row r="253" spans="1:24" x14ac:dyDescent="0.3">
      <c r="A253" t="s">
        <v>321</v>
      </c>
      <c r="B253" t="s">
        <v>20</v>
      </c>
      <c r="C253">
        <v>35</v>
      </c>
      <c r="D253" t="s">
        <v>31</v>
      </c>
      <c r="E253" t="s">
        <v>22</v>
      </c>
      <c r="F253" t="s">
        <v>53</v>
      </c>
      <c r="G253" t="s">
        <v>63</v>
      </c>
      <c r="H253" t="s">
        <v>83</v>
      </c>
      <c r="I253" t="s">
        <v>35</v>
      </c>
      <c r="J253" t="s">
        <v>27</v>
      </c>
      <c r="K253">
        <v>1</v>
      </c>
      <c r="L253">
        <v>54601</v>
      </c>
      <c r="M253" t="s">
        <v>51</v>
      </c>
      <c r="N253">
        <v>4</v>
      </c>
      <c r="O253">
        <v>2</v>
      </c>
      <c r="P253">
        <v>30</v>
      </c>
      <c r="Q253">
        <v>1</v>
      </c>
      <c r="R253" s="1">
        <v>44884</v>
      </c>
      <c r="S253" t="s">
        <v>29</v>
      </c>
      <c r="T253" t="str">
        <f t="shared" si="15"/>
        <v>Grade B</v>
      </c>
      <c r="U253">
        <f t="shared" si="16"/>
        <v>4</v>
      </c>
      <c r="V253" t="str">
        <f t="shared" si="17"/>
        <v>New Joiner</v>
      </c>
      <c r="W253" t="str">
        <f t="shared" si="18"/>
        <v>Low Risk</v>
      </c>
      <c r="X253" t="str">
        <f t="shared" si="19"/>
        <v>Fair</v>
      </c>
    </row>
    <row r="254" spans="1:24" x14ac:dyDescent="0.3">
      <c r="A254" t="s">
        <v>322</v>
      </c>
      <c r="B254" t="s">
        <v>39</v>
      </c>
      <c r="C254">
        <v>40</v>
      </c>
      <c r="D254" t="s">
        <v>21</v>
      </c>
      <c r="E254" t="s">
        <v>48</v>
      </c>
      <c r="F254" t="s">
        <v>62</v>
      </c>
      <c r="G254" t="s">
        <v>58</v>
      </c>
      <c r="H254" t="s">
        <v>67</v>
      </c>
      <c r="I254" t="s">
        <v>59</v>
      </c>
      <c r="J254" t="s">
        <v>60</v>
      </c>
      <c r="K254">
        <v>3</v>
      </c>
      <c r="L254">
        <v>98984</v>
      </c>
      <c r="M254" t="s">
        <v>51</v>
      </c>
      <c r="N254">
        <v>1</v>
      </c>
      <c r="O254">
        <v>2</v>
      </c>
      <c r="P254">
        <v>72</v>
      </c>
      <c r="Q254">
        <v>2</v>
      </c>
      <c r="R254" s="1">
        <v>43867</v>
      </c>
      <c r="S254" t="s">
        <v>29</v>
      </c>
      <c r="T254" t="str">
        <f t="shared" si="15"/>
        <v>Grade A</v>
      </c>
      <c r="U254">
        <f t="shared" si="16"/>
        <v>4</v>
      </c>
      <c r="V254" t="str">
        <f t="shared" si="17"/>
        <v>Junior</v>
      </c>
      <c r="W254" t="str">
        <f t="shared" si="18"/>
        <v>Low Risk</v>
      </c>
      <c r="X254" t="str">
        <f t="shared" si="19"/>
        <v>Competitive</v>
      </c>
    </row>
    <row r="255" spans="1:24" x14ac:dyDescent="0.3">
      <c r="A255" t="s">
        <v>323</v>
      </c>
      <c r="B255" t="s">
        <v>20</v>
      </c>
      <c r="C255">
        <v>43</v>
      </c>
      <c r="D255" t="s">
        <v>88</v>
      </c>
      <c r="E255" t="s">
        <v>40</v>
      </c>
      <c r="F255" t="s">
        <v>53</v>
      </c>
      <c r="G255" t="s">
        <v>79</v>
      </c>
      <c r="H255" t="s">
        <v>67</v>
      </c>
      <c r="I255" t="s">
        <v>72</v>
      </c>
      <c r="J255" t="s">
        <v>73</v>
      </c>
      <c r="K255">
        <v>5</v>
      </c>
      <c r="L255">
        <v>46340</v>
      </c>
      <c r="M255" t="s">
        <v>51</v>
      </c>
      <c r="N255">
        <v>3</v>
      </c>
      <c r="O255">
        <v>2</v>
      </c>
      <c r="P255">
        <v>56</v>
      </c>
      <c r="Q255">
        <v>2</v>
      </c>
      <c r="R255" s="1">
        <v>43219</v>
      </c>
      <c r="S255" t="s">
        <v>29</v>
      </c>
      <c r="T255" t="str">
        <f t="shared" si="15"/>
        <v>Grade C</v>
      </c>
      <c r="U255">
        <f t="shared" si="16"/>
        <v>4</v>
      </c>
      <c r="V255" t="str">
        <f t="shared" si="17"/>
        <v>Junior</v>
      </c>
      <c r="W255" t="str">
        <f t="shared" si="18"/>
        <v>Low Risk</v>
      </c>
      <c r="X255" t="str">
        <f t="shared" si="19"/>
        <v>Fair</v>
      </c>
    </row>
    <row r="256" spans="1:24" x14ac:dyDescent="0.3">
      <c r="A256" t="s">
        <v>324</v>
      </c>
      <c r="B256" t="s">
        <v>39</v>
      </c>
      <c r="C256">
        <v>43</v>
      </c>
      <c r="D256" t="s">
        <v>57</v>
      </c>
      <c r="E256" t="s">
        <v>48</v>
      </c>
      <c r="F256" t="s">
        <v>53</v>
      </c>
      <c r="G256" t="s">
        <v>49</v>
      </c>
      <c r="H256" t="s">
        <v>83</v>
      </c>
      <c r="I256" t="s">
        <v>43</v>
      </c>
      <c r="J256" t="s">
        <v>44</v>
      </c>
      <c r="K256">
        <v>4</v>
      </c>
      <c r="L256">
        <v>62290</v>
      </c>
      <c r="M256" t="s">
        <v>45</v>
      </c>
      <c r="N256">
        <v>4</v>
      </c>
      <c r="O256">
        <v>3</v>
      </c>
      <c r="P256">
        <v>49</v>
      </c>
      <c r="Q256">
        <v>3</v>
      </c>
      <c r="R256" s="1">
        <v>43648</v>
      </c>
      <c r="S256" t="s">
        <v>29</v>
      </c>
      <c r="T256" t="str">
        <f t="shared" si="15"/>
        <v>Grade B</v>
      </c>
      <c r="U256">
        <f t="shared" si="16"/>
        <v>2</v>
      </c>
      <c r="V256" t="str">
        <f t="shared" si="17"/>
        <v>Junior</v>
      </c>
      <c r="W256" t="str">
        <f t="shared" si="18"/>
        <v>Medium Risk</v>
      </c>
      <c r="X256" t="str">
        <f t="shared" si="19"/>
        <v>Fair</v>
      </c>
    </row>
    <row r="257" spans="1:24" x14ac:dyDescent="0.3">
      <c r="A257" t="s">
        <v>325</v>
      </c>
      <c r="B257" t="s">
        <v>20</v>
      </c>
      <c r="C257">
        <v>26</v>
      </c>
      <c r="D257" t="s">
        <v>21</v>
      </c>
      <c r="E257" t="s">
        <v>22</v>
      </c>
      <c r="F257" t="s">
        <v>41</v>
      </c>
      <c r="G257" t="s">
        <v>42</v>
      </c>
      <c r="H257" t="s">
        <v>67</v>
      </c>
      <c r="I257" t="s">
        <v>35</v>
      </c>
      <c r="J257" t="s">
        <v>27</v>
      </c>
      <c r="K257">
        <v>14</v>
      </c>
      <c r="L257">
        <v>117587</v>
      </c>
      <c r="M257" t="s">
        <v>51</v>
      </c>
      <c r="N257">
        <v>1</v>
      </c>
      <c r="O257">
        <v>4</v>
      </c>
      <c r="P257">
        <v>37</v>
      </c>
      <c r="Q257">
        <v>0</v>
      </c>
      <c r="R257" s="1">
        <v>40082</v>
      </c>
      <c r="S257" t="s">
        <v>29</v>
      </c>
      <c r="T257" t="str">
        <f t="shared" si="15"/>
        <v>Grade A</v>
      </c>
      <c r="U257">
        <f t="shared" si="16"/>
        <v>4</v>
      </c>
      <c r="V257" t="str">
        <f t="shared" si="17"/>
        <v>Senior</v>
      </c>
      <c r="W257" t="str">
        <f t="shared" si="18"/>
        <v>Low Risk</v>
      </c>
      <c r="X257" t="str">
        <f t="shared" si="19"/>
        <v>Competitive</v>
      </c>
    </row>
    <row r="258" spans="1:24" x14ac:dyDescent="0.3">
      <c r="A258" t="s">
        <v>326</v>
      </c>
      <c r="B258" t="s">
        <v>20</v>
      </c>
      <c r="C258">
        <v>30</v>
      </c>
      <c r="D258" t="s">
        <v>57</v>
      </c>
      <c r="E258" t="s">
        <v>40</v>
      </c>
      <c r="F258" t="s">
        <v>62</v>
      </c>
      <c r="G258" t="s">
        <v>24</v>
      </c>
      <c r="H258" t="s">
        <v>34</v>
      </c>
      <c r="I258" t="s">
        <v>35</v>
      </c>
      <c r="J258" t="s">
        <v>27</v>
      </c>
      <c r="K258">
        <v>11</v>
      </c>
      <c r="L258">
        <v>98987</v>
      </c>
      <c r="M258" t="s">
        <v>36</v>
      </c>
      <c r="N258">
        <v>1</v>
      </c>
      <c r="O258">
        <v>4</v>
      </c>
      <c r="P258">
        <v>56</v>
      </c>
      <c r="Q258">
        <v>0</v>
      </c>
      <c r="R258" s="1">
        <v>40976</v>
      </c>
      <c r="S258" t="s">
        <v>37</v>
      </c>
      <c r="T258" t="str">
        <f t="shared" ref="T258:T321" si="20">IF(L258&gt;=80000,"Grade A",IF(L258&gt;=50000,"Grade B",IF(L258&gt;=35000,"Grade C","Grade D")))</f>
        <v>Grade A</v>
      </c>
      <c r="U258">
        <f t="shared" ref="U258:U321" si="21">IF(M258="Excellent",4,IF(M258="Good",3,IF(M258="Average",2,1)))</f>
        <v>1</v>
      </c>
      <c r="V258" t="str">
        <f t="shared" ref="V258:V321" si="22">IF(K258&lt;=2,"New Joiner",IF(K258&lt;=5,"Junior",IF(K258&lt;=10,"Mid Level","Senior")))</f>
        <v>Senior</v>
      </c>
      <c r="W258" t="str">
        <f t="shared" ref="W258:W321" si="23">IF(S258="Yes","Already Left",IF(AND(K258&lt;=2,M258="Poor"),"High Risk",IF(AND(K258&lt;=5,M258="Average"),"Medium Risk",IF(M258="Excellent","Low Risk","Medium Risk"))))</f>
        <v>Already Left</v>
      </c>
      <c r="X258" t="str">
        <f t="shared" ref="X258:X321" si="24">IF(AND(L258&gt;=80000,M258="Excellent"),"Competitive",IF(AND(L258&gt;=50000,M258="Good"),"Competitive",IF(AND(L258&lt;35000,M258="Excellent"),"Underpaid",IF(AND(L258&gt;=80000,M258="Poor"),"Overpaid","Fair"))))</f>
        <v>Overpaid</v>
      </c>
    </row>
    <row r="259" spans="1:24" x14ac:dyDescent="0.3">
      <c r="A259" t="s">
        <v>327</v>
      </c>
      <c r="B259" t="s">
        <v>39</v>
      </c>
      <c r="C259">
        <v>52</v>
      </c>
      <c r="D259" t="s">
        <v>31</v>
      </c>
      <c r="E259" t="s">
        <v>22</v>
      </c>
      <c r="F259" t="s">
        <v>53</v>
      </c>
      <c r="G259" t="s">
        <v>24</v>
      </c>
      <c r="H259" t="s">
        <v>34</v>
      </c>
      <c r="I259" t="s">
        <v>59</v>
      </c>
      <c r="J259" t="s">
        <v>60</v>
      </c>
      <c r="K259">
        <v>8</v>
      </c>
      <c r="L259">
        <v>86870</v>
      </c>
      <c r="M259" t="s">
        <v>28</v>
      </c>
      <c r="N259">
        <v>2</v>
      </c>
      <c r="O259">
        <v>4</v>
      </c>
      <c r="P259">
        <v>39</v>
      </c>
      <c r="Q259">
        <v>0</v>
      </c>
      <c r="R259" s="1">
        <v>42083</v>
      </c>
      <c r="S259" t="s">
        <v>29</v>
      </c>
      <c r="T259" t="str">
        <f t="shared" si="20"/>
        <v>Grade A</v>
      </c>
      <c r="U259">
        <f t="shared" si="21"/>
        <v>3</v>
      </c>
      <c r="V259" t="str">
        <f t="shared" si="22"/>
        <v>Mid Level</v>
      </c>
      <c r="W259" t="str">
        <f t="shared" si="23"/>
        <v>Medium Risk</v>
      </c>
      <c r="X259" t="str">
        <f t="shared" si="24"/>
        <v>Competitive</v>
      </c>
    </row>
    <row r="260" spans="1:24" x14ac:dyDescent="0.3">
      <c r="A260" t="s">
        <v>328</v>
      </c>
      <c r="B260" t="s">
        <v>20</v>
      </c>
      <c r="C260">
        <v>51</v>
      </c>
      <c r="D260" t="s">
        <v>21</v>
      </c>
      <c r="E260" t="s">
        <v>22</v>
      </c>
      <c r="F260" t="s">
        <v>65</v>
      </c>
      <c r="G260" t="s">
        <v>49</v>
      </c>
      <c r="H260" t="s">
        <v>67</v>
      </c>
      <c r="I260" t="s">
        <v>80</v>
      </c>
      <c r="J260" t="s">
        <v>60</v>
      </c>
      <c r="K260">
        <v>11</v>
      </c>
      <c r="L260">
        <v>78970</v>
      </c>
      <c r="M260" t="s">
        <v>51</v>
      </c>
      <c r="N260">
        <v>3</v>
      </c>
      <c r="O260">
        <v>1</v>
      </c>
      <c r="P260">
        <v>76</v>
      </c>
      <c r="Q260">
        <v>2</v>
      </c>
      <c r="R260" s="1">
        <v>41079</v>
      </c>
      <c r="S260" t="s">
        <v>29</v>
      </c>
      <c r="T260" t="str">
        <f t="shared" si="20"/>
        <v>Grade B</v>
      </c>
      <c r="U260">
        <f t="shared" si="21"/>
        <v>4</v>
      </c>
      <c r="V260" t="str">
        <f t="shared" si="22"/>
        <v>Senior</v>
      </c>
      <c r="W260" t="str">
        <f t="shared" si="23"/>
        <v>Low Risk</v>
      </c>
      <c r="X260" t="str">
        <f t="shared" si="24"/>
        <v>Fair</v>
      </c>
    </row>
    <row r="261" spans="1:24" x14ac:dyDescent="0.3">
      <c r="A261" t="s">
        <v>329</v>
      </c>
      <c r="B261" t="s">
        <v>20</v>
      </c>
      <c r="C261">
        <v>44</v>
      </c>
      <c r="D261" t="s">
        <v>31</v>
      </c>
      <c r="E261" t="s">
        <v>48</v>
      </c>
      <c r="F261" t="s">
        <v>53</v>
      </c>
      <c r="G261" t="s">
        <v>79</v>
      </c>
      <c r="H261" t="s">
        <v>76</v>
      </c>
      <c r="I261" t="s">
        <v>80</v>
      </c>
      <c r="J261" t="s">
        <v>60</v>
      </c>
      <c r="K261">
        <v>6</v>
      </c>
      <c r="L261">
        <v>58930</v>
      </c>
      <c r="M261" t="s">
        <v>36</v>
      </c>
      <c r="N261">
        <v>4</v>
      </c>
      <c r="O261">
        <v>1</v>
      </c>
      <c r="P261">
        <v>74</v>
      </c>
      <c r="Q261">
        <v>1</v>
      </c>
      <c r="R261" s="1">
        <v>42988</v>
      </c>
      <c r="S261" t="s">
        <v>37</v>
      </c>
      <c r="T261" t="str">
        <f t="shared" si="20"/>
        <v>Grade B</v>
      </c>
      <c r="U261">
        <f t="shared" si="21"/>
        <v>1</v>
      </c>
      <c r="V261" t="str">
        <f t="shared" si="22"/>
        <v>Mid Level</v>
      </c>
      <c r="W261" t="str">
        <f t="shared" si="23"/>
        <v>Already Left</v>
      </c>
      <c r="X261" t="str">
        <f t="shared" si="24"/>
        <v>Fair</v>
      </c>
    </row>
    <row r="262" spans="1:24" x14ac:dyDescent="0.3">
      <c r="A262" t="s">
        <v>330</v>
      </c>
      <c r="B262" t="s">
        <v>39</v>
      </c>
      <c r="C262">
        <v>45</v>
      </c>
      <c r="D262" t="s">
        <v>88</v>
      </c>
      <c r="E262" t="s">
        <v>40</v>
      </c>
      <c r="F262" t="s">
        <v>53</v>
      </c>
      <c r="G262" t="s">
        <v>42</v>
      </c>
      <c r="H262" t="s">
        <v>67</v>
      </c>
      <c r="I262" t="s">
        <v>96</v>
      </c>
      <c r="J262" t="s">
        <v>44</v>
      </c>
      <c r="K262">
        <v>9</v>
      </c>
      <c r="L262">
        <v>109930</v>
      </c>
      <c r="M262" t="s">
        <v>51</v>
      </c>
      <c r="N262">
        <v>1</v>
      </c>
      <c r="O262">
        <v>2</v>
      </c>
      <c r="P262">
        <v>63</v>
      </c>
      <c r="Q262">
        <v>2</v>
      </c>
      <c r="R262" s="1">
        <v>41912</v>
      </c>
      <c r="S262" t="s">
        <v>29</v>
      </c>
      <c r="T262" t="str">
        <f t="shared" si="20"/>
        <v>Grade A</v>
      </c>
      <c r="U262">
        <f t="shared" si="21"/>
        <v>4</v>
      </c>
      <c r="V262" t="str">
        <f t="shared" si="22"/>
        <v>Mid Level</v>
      </c>
      <c r="W262" t="str">
        <f t="shared" si="23"/>
        <v>Low Risk</v>
      </c>
      <c r="X262" t="str">
        <f t="shared" si="24"/>
        <v>Competitive</v>
      </c>
    </row>
    <row r="263" spans="1:24" x14ac:dyDescent="0.3">
      <c r="A263" t="s">
        <v>331</v>
      </c>
      <c r="B263" t="s">
        <v>39</v>
      </c>
      <c r="C263">
        <v>32</v>
      </c>
      <c r="D263" t="s">
        <v>47</v>
      </c>
      <c r="E263" t="s">
        <v>40</v>
      </c>
      <c r="F263" t="s">
        <v>78</v>
      </c>
      <c r="G263" t="s">
        <v>24</v>
      </c>
      <c r="H263" t="s">
        <v>76</v>
      </c>
      <c r="I263" t="s">
        <v>26</v>
      </c>
      <c r="J263" t="s">
        <v>27</v>
      </c>
      <c r="K263">
        <v>4</v>
      </c>
      <c r="L263">
        <v>86464</v>
      </c>
      <c r="M263" t="s">
        <v>36</v>
      </c>
      <c r="N263">
        <v>1</v>
      </c>
      <c r="O263">
        <v>2</v>
      </c>
      <c r="P263">
        <v>17</v>
      </c>
      <c r="Q263">
        <v>1</v>
      </c>
      <c r="R263" s="1">
        <v>43810</v>
      </c>
      <c r="S263" t="s">
        <v>37</v>
      </c>
      <c r="T263" t="str">
        <f t="shared" si="20"/>
        <v>Grade A</v>
      </c>
      <c r="U263">
        <f t="shared" si="21"/>
        <v>1</v>
      </c>
      <c r="V263" t="str">
        <f t="shared" si="22"/>
        <v>Junior</v>
      </c>
      <c r="W263" t="str">
        <f t="shared" si="23"/>
        <v>Already Left</v>
      </c>
      <c r="X263" t="str">
        <f t="shared" si="24"/>
        <v>Overpaid</v>
      </c>
    </row>
    <row r="264" spans="1:24" x14ac:dyDescent="0.3">
      <c r="A264" t="s">
        <v>332</v>
      </c>
      <c r="B264" t="s">
        <v>20</v>
      </c>
      <c r="C264">
        <v>52</v>
      </c>
      <c r="D264" t="s">
        <v>47</v>
      </c>
      <c r="E264" t="s">
        <v>22</v>
      </c>
      <c r="F264" t="s">
        <v>53</v>
      </c>
      <c r="G264" t="s">
        <v>58</v>
      </c>
      <c r="H264" t="s">
        <v>34</v>
      </c>
      <c r="I264" t="s">
        <v>80</v>
      </c>
      <c r="J264" t="s">
        <v>60</v>
      </c>
      <c r="K264">
        <v>10</v>
      </c>
      <c r="L264">
        <v>104288</v>
      </c>
      <c r="M264" t="s">
        <v>36</v>
      </c>
      <c r="N264">
        <v>4</v>
      </c>
      <c r="O264">
        <v>2</v>
      </c>
      <c r="P264">
        <v>33</v>
      </c>
      <c r="Q264">
        <v>2</v>
      </c>
      <c r="R264" s="1">
        <v>41413</v>
      </c>
      <c r="S264" t="s">
        <v>37</v>
      </c>
      <c r="T264" t="str">
        <f t="shared" si="20"/>
        <v>Grade A</v>
      </c>
      <c r="U264">
        <f t="shared" si="21"/>
        <v>1</v>
      </c>
      <c r="V264" t="str">
        <f t="shared" si="22"/>
        <v>Mid Level</v>
      </c>
      <c r="W264" t="str">
        <f t="shared" si="23"/>
        <v>Already Left</v>
      </c>
      <c r="X264" t="str">
        <f t="shared" si="24"/>
        <v>Overpaid</v>
      </c>
    </row>
    <row r="265" spans="1:24" x14ac:dyDescent="0.3">
      <c r="A265" t="s">
        <v>333</v>
      </c>
      <c r="B265" t="s">
        <v>39</v>
      </c>
      <c r="C265">
        <v>34</v>
      </c>
      <c r="D265" t="s">
        <v>88</v>
      </c>
      <c r="E265" t="s">
        <v>40</v>
      </c>
      <c r="F265" t="s">
        <v>65</v>
      </c>
      <c r="G265" t="s">
        <v>63</v>
      </c>
      <c r="H265" t="s">
        <v>76</v>
      </c>
      <c r="I265" t="s">
        <v>68</v>
      </c>
      <c r="J265" t="s">
        <v>60</v>
      </c>
      <c r="K265">
        <v>4</v>
      </c>
      <c r="L265">
        <v>55630</v>
      </c>
      <c r="M265" t="s">
        <v>51</v>
      </c>
      <c r="N265">
        <v>4</v>
      </c>
      <c r="O265">
        <v>2</v>
      </c>
      <c r="P265">
        <v>22</v>
      </c>
      <c r="Q265">
        <v>1</v>
      </c>
      <c r="R265" s="1">
        <v>43777</v>
      </c>
      <c r="S265" t="s">
        <v>29</v>
      </c>
      <c r="T265" t="str">
        <f t="shared" si="20"/>
        <v>Grade B</v>
      </c>
      <c r="U265">
        <f t="shared" si="21"/>
        <v>4</v>
      </c>
      <c r="V265" t="str">
        <f t="shared" si="22"/>
        <v>Junior</v>
      </c>
      <c r="W265" t="str">
        <f t="shared" si="23"/>
        <v>Low Risk</v>
      </c>
      <c r="X265" t="str">
        <f t="shared" si="24"/>
        <v>Fair</v>
      </c>
    </row>
    <row r="266" spans="1:24" x14ac:dyDescent="0.3">
      <c r="A266" t="s">
        <v>334</v>
      </c>
      <c r="B266" t="s">
        <v>39</v>
      </c>
      <c r="C266">
        <v>49</v>
      </c>
      <c r="D266" t="s">
        <v>88</v>
      </c>
      <c r="E266" t="s">
        <v>48</v>
      </c>
      <c r="F266" t="s">
        <v>23</v>
      </c>
      <c r="G266" t="s">
        <v>33</v>
      </c>
      <c r="H266" t="s">
        <v>34</v>
      </c>
      <c r="I266" t="s">
        <v>96</v>
      </c>
      <c r="J266" t="s">
        <v>44</v>
      </c>
      <c r="K266">
        <v>2</v>
      </c>
      <c r="L266">
        <v>58270</v>
      </c>
      <c r="M266" t="s">
        <v>51</v>
      </c>
      <c r="N266">
        <v>3</v>
      </c>
      <c r="O266">
        <v>1</v>
      </c>
      <c r="P266">
        <v>77</v>
      </c>
      <c r="Q266">
        <v>3</v>
      </c>
      <c r="R266" s="1">
        <v>44286</v>
      </c>
      <c r="S266" t="s">
        <v>29</v>
      </c>
      <c r="T266" t="str">
        <f t="shared" si="20"/>
        <v>Grade B</v>
      </c>
      <c r="U266">
        <f t="shared" si="21"/>
        <v>4</v>
      </c>
      <c r="V266" t="str">
        <f t="shared" si="22"/>
        <v>New Joiner</v>
      </c>
      <c r="W266" t="str">
        <f t="shared" si="23"/>
        <v>Low Risk</v>
      </c>
      <c r="X266" t="str">
        <f t="shared" si="24"/>
        <v>Fair</v>
      </c>
    </row>
    <row r="267" spans="1:24" x14ac:dyDescent="0.3">
      <c r="A267" t="s">
        <v>335</v>
      </c>
      <c r="B267" t="s">
        <v>20</v>
      </c>
      <c r="C267">
        <v>36</v>
      </c>
      <c r="D267" t="s">
        <v>21</v>
      </c>
      <c r="E267" t="s">
        <v>48</v>
      </c>
      <c r="F267" t="s">
        <v>78</v>
      </c>
      <c r="G267" t="s">
        <v>79</v>
      </c>
      <c r="H267" t="s">
        <v>76</v>
      </c>
      <c r="I267" t="s">
        <v>59</v>
      </c>
      <c r="J267" t="s">
        <v>60</v>
      </c>
      <c r="K267">
        <v>10</v>
      </c>
      <c r="L267">
        <v>63942</v>
      </c>
      <c r="M267" t="s">
        <v>45</v>
      </c>
      <c r="N267">
        <v>4</v>
      </c>
      <c r="O267">
        <v>3</v>
      </c>
      <c r="P267">
        <v>34</v>
      </c>
      <c r="Q267">
        <v>0</v>
      </c>
      <c r="R267" s="1">
        <v>41512</v>
      </c>
      <c r="S267" t="s">
        <v>29</v>
      </c>
      <c r="T267" t="str">
        <f t="shared" si="20"/>
        <v>Grade B</v>
      </c>
      <c r="U267">
        <f t="shared" si="21"/>
        <v>2</v>
      </c>
      <c r="V267" t="str">
        <f t="shared" si="22"/>
        <v>Mid Level</v>
      </c>
      <c r="W267" t="str">
        <f t="shared" si="23"/>
        <v>Medium Risk</v>
      </c>
      <c r="X267" t="str">
        <f t="shared" si="24"/>
        <v>Fair</v>
      </c>
    </row>
    <row r="268" spans="1:24" x14ac:dyDescent="0.3">
      <c r="A268" t="s">
        <v>336</v>
      </c>
      <c r="B268" t="s">
        <v>39</v>
      </c>
      <c r="C268">
        <v>31</v>
      </c>
      <c r="D268" t="s">
        <v>57</v>
      </c>
      <c r="E268" t="s">
        <v>40</v>
      </c>
      <c r="F268" t="s">
        <v>41</v>
      </c>
      <c r="G268" t="s">
        <v>49</v>
      </c>
      <c r="H268" t="s">
        <v>34</v>
      </c>
      <c r="I268" t="s">
        <v>50</v>
      </c>
      <c r="J268" t="s">
        <v>44</v>
      </c>
      <c r="K268">
        <v>7</v>
      </c>
      <c r="L268">
        <v>64351</v>
      </c>
      <c r="M268" t="s">
        <v>51</v>
      </c>
      <c r="N268">
        <v>3</v>
      </c>
      <c r="O268">
        <v>3</v>
      </c>
      <c r="P268">
        <v>78</v>
      </c>
      <c r="Q268">
        <v>3</v>
      </c>
      <c r="R268" s="1">
        <v>42552</v>
      </c>
      <c r="S268" t="s">
        <v>29</v>
      </c>
      <c r="T268" t="str">
        <f t="shared" si="20"/>
        <v>Grade B</v>
      </c>
      <c r="U268">
        <f t="shared" si="21"/>
        <v>4</v>
      </c>
      <c r="V268" t="str">
        <f t="shared" si="22"/>
        <v>Mid Level</v>
      </c>
      <c r="W268" t="str">
        <f t="shared" si="23"/>
        <v>Low Risk</v>
      </c>
      <c r="X268" t="str">
        <f t="shared" si="24"/>
        <v>Fair</v>
      </c>
    </row>
    <row r="269" spans="1:24" x14ac:dyDescent="0.3">
      <c r="A269" t="s">
        <v>337</v>
      </c>
      <c r="B269" t="s">
        <v>20</v>
      </c>
      <c r="C269">
        <v>33</v>
      </c>
      <c r="D269" t="s">
        <v>31</v>
      </c>
      <c r="E269" t="s">
        <v>40</v>
      </c>
      <c r="F269" t="s">
        <v>65</v>
      </c>
      <c r="G269" t="s">
        <v>63</v>
      </c>
      <c r="H269" t="s">
        <v>34</v>
      </c>
      <c r="I269" t="s">
        <v>54</v>
      </c>
      <c r="J269" t="s">
        <v>27</v>
      </c>
      <c r="K269">
        <v>11</v>
      </c>
      <c r="L269">
        <v>63674</v>
      </c>
      <c r="M269" t="s">
        <v>45</v>
      </c>
      <c r="N269">
        <v>4</v>
      </c>
      <c r="O269">
        <v>3</v>
      </c>
      <c r="P269">
        <v>49</v>
      </c>
      <c r="Q269">
        <v>2</v>
      </c>
      <c r="R269" s="1">
        <v>40995</v>
      </c>
      <c r="S269" t="s">
        <v>29</v>
      </c>
      <c r="T269" t="str">
        <f t="shared" si="20"/>
        <v>Grade B</v>
      </c>
      <c r="U269">
        <f t="shared" si="21"/>
        <v>2</v>
      </c>
      <c r="V269" t="str">
        <f t="shared" si="22"/>
        <v>Senior</v>
      </c>
      <c r="W269" t="str">
        <f t="shared" si="23"/>
        <v>Medium Risk</v>
      </c>
      <c r="X269" t="str">
        <f t="shared" si="24"/>
        <v>Fair</v>
      </c>
    </row>
    <row r="270" spans="1:24" x14ac:dyDescent="0.3">
      <c r="A270" t="s">
        <v>338</v>
      </c>
      <c r="B270" t="s">
        <v>20</v>
      </c>
      <c r="C270">
        <v>43</v>
      </c>
      <c r="D270" t="s">
        <v>88</v>
      </c>
      <c r="E270" t="s">
        <v>40</v>
      </c>
      <c r="F270" t="s">
        <v>53</v>
      </c>
      <c r="G270" t="s">
        <v>24</v>
      </c>
      <c r="H270" t="s">
        <v>83</v>
      </c>
      <c r="I270" t="s">
        <v>43</v>
      </c>
      <c r="J270" t="s">
        <v>44</v>
      </c>
      <c r="K270">
        <v>8</v>
      </c>
      <c r="L270">
        <v>84285</v>
      </c>
      <c r="M270" t="s">
        <v>28</v>
      </c>
      <c r="N270">
        <v>1</v>
      </c>
      <c r="O270">
        <v>2</v>
      </c>
      <c r="P270">
        <v>59</v>
      </c>
      <c r="Q270">
        <v>0</v>
      </c>
      <c r="R270" s="1">
        <v>42112</v>
      </c>
      <c r="S270" t="s">
        <v>29</v>
      </c>
      <c r="T270" t="str">
        <f t="shared" si="20"/>
        <v>Grade A</v>
      </c>
      <c r="U270">
        <f t="shared" si="21"/>
        <v>3</v>
      </c>
      <c r="V270" t="str">
        <f t="shared" si="22"/>
        <v>Mid Level</v>
      </c>
      <c r="W270" t="str">
        <f t="shared" si="23"/>
        <v>Medium Risk</v>
      </c>
      <c r="X270" t="str">
        <f t="shared" si="24"/>
        <v>Competitive</v>
      </c>
    </row>
    <row r="271" spans="1:24" x14ac:dyDescent="0.3">
      <c r="A271" t="s">
        <v>339</v>
      </c>
      <c r="B271" t="s">
        <v>39</v>
      </c>
      <c r="C271">
        <v>46</v>
      </c>
      <c r="D271" t="s">
        <v>57</v>
      </c>
      <c r="E271" t="s">
        <v>40</v>
      </c>
      <c r="F271" t="s">
        <v>53</v>
      </c>
      <c r="G271" t="s">
        <v>79</v>
      </c>
      <c r="H271" t="s">
        <v>76</v>
      </c>
      <c r="I271" t="s">
        <v>26</v>
      </c>
      <c r="J271" t="s">
        <v>27</v>
      </c>
      <c r="K271">
        <v>2</v>
      </c>
      <c r="L271">
        <v>42620</v>
      </c>
      <c r="M271" t="s">
        <v>36</v>
      </c>
      <c r="N271">
        <v>3</v>
      </c>
      <c r="O271">
        <v>1</v>
      </c>
      <c r="P271">
        <v>32</v>
      </c>
      <c r="Q271">
        <v>3</v>
      </c>
      <c r="R271" s="1">
        <v>44522</v>
      </c>
      <c r="S271" t="s">
        <v>37</v>
      </c>
      <c r="T271" t="str">
        <f t="shared" si="20"/>
        <v>Grade C</v>
      </c>
      <c r="U271">
        <f t="shared" si="21"/>
        <v>1</v>
      </c>
      <c r="V271" t="str">
        <f t="shared" si="22"/>
        <v>New Joiner</v>
      </c>
      <c r="W271" t="str">
        <f t="shared" si="23"/>
        <v>Already Left</v>
      </c>
      <c r="X271" t="str">
        <f t="shared" si="24"/>
        <v>Fair</v>
      </c>
    </row>
    <row r="272" spans="1:24" x14ac:dyDescent="0.3">
      <c r="A272" t="s">
        <v>340</v>
      </c>
      <c r="B272" t="s">
        <v>39</v>
      </c>
      <c r="C272">
        <v>32</v>
      </c>
      <c r="D272" t="s">
        <v>21</v>
      </c>
      <c r="E272" t="s">
        <v>48</v>
      </c>
      <c r="F272" t="s">
        <v>23</v>
      </c>
      <c r="G272" t="s">
        <v>58</v>
      </c>
      <c r="H272" t="s">
        <v>67</v>
      </c>
      <c r="I272" t="s">
        <v>96</v>
      </c>
      <c r="J272" t="s">
        <v>44</v>
      </c>
      <c r="K272">
        <v>4</v>
      </c>
      <c r="L272">
        <v>102644</v>
      </c>
      <c r="M272" t="s">
        <v>45</v>
      </c>
      <c r="N272">
        <v>2</v>
      </c>
      <c r="O272">
        <v>1</v>
      </c>
      <c r="P272">
        <v>30</v>
      </c>
      <c r="Q272">
        <v>0</v>
      </c>
      <c r="R272" s="1">
        <v>43568</v>
      </c>
      <c r="S272" t="s">
        <v>29</v>
      </c>
      <c r="T272" t="str">
        <f t="shared" si="20"/>
        <v>Grade A</v>
      </c>
      <c r="U272">
        <f t="shared" si="21"/>
        <v>2</v>
      </c>
      <c r="V272" t="str">
        <f t="shared" si="22"/>
        <v>Junior</v>
      </c>
      <c r="W272" t="str">
        <f t="shared" si="23"/>
        <v>Medium Risk</v>
      </c>
      <c r="X272" t="str">
        <f t="shared" si="24"/>
        <v>Fair</v>
      </c>
    </row>
    <row r="273" spans="1:24" x14ac:dyDescent="0.3">
      <c r="A273" t="s">
        <v>341</v>
      </c>
      <c r="B273" t="s">
        <v>39</v>
      </c>
      <c r="C273">
        <v>27</v>
      </c>
      <c r="D273" t="s">
        <v>88</v>
      </c>
      <c r="E273" t="s">
        <v>48</v>
      </c>
      <c r="F273" t="s">
        <v>75</v>
      </c>
      <c r="G273" t="s">
        <v>49</v>
      </c>
      <c r="H273" t="s">
        <v>25</v>
      </c>
      <c r="I273" t="s">
        <v>80</v>
      </c>
      <c r="J273" t="s">
        <v>60</v>
      </c>
      <c r="K273">
        <v>7</v>
      </c>
      <c r="L273">
        <v>70965</v>
      </c>
      <c r="M273" t="s">
        <v>36</v>
      </c>
      <c r="N273">
        <v>3</v>
      </c>
      <c r="O273">
        <v>3</v>
      </c>
      <c r="P273">
        <v>45</v>
      </c>
      <c r="Q273">
        <v>1</v>
      </c>
      <c r="R273" s="1">
        <v>42377</v>
      </c>
      <c r="S273" t="s">
        <v>29</v>
      </c>
      <c r="T273" t="str">
        <f t="shared" si="20"/>
        <v>Grade B</v>
      </c>
      <c r="U273">
        <f t="shared" si="21"/>
        <v>1</v>
      </c>
      <c r="V273" t="str">
        <f t="shared" si="22"/>
        <v>Mid Level</v>
      </c>
      <c r="W273" t="str">
        <f t="shared" si="23"/>
        <v>Medium Risk</v>
      </c>
      <c r="X273" t="str">
        <f t="shared" si="24"/>
        <v>Fair</v>
      </c>
    </row>
    <row r="274" spans="1:24" x14ac:dyDescent="0.3">
      <c r="A274" t="s">
        <v>342</v>
      </c>
      <c r="B274" t="s">
        <v>39</v>
      </c>
      <c r="C274">
        <v>26</v>
      </c>
      <c r="D274" t="s">
        <v>88</v>
      </c>
      <c r="E274" t="s">
        <v>48</v>
      </c>
      <c r="F274" t="s">
        <v>32</v>
      </c>
      <c r="G274" t="s">
        <v>58</v>
      </c>
      <c r="H274" t="s">
        <v>76</v>
      </c>
      <c r="I274" t="s">
        <v>54</v>
      </c>
      <c r="J274" t="s">
        <v>27</v>
      </c>
      <c r="K274">
        <v>10</v>
      </c>
      <c r="L274">
        <v>103555</v>
      </c>
      <c r="M274" t="s">
        <v>36</v>
      </c>
      <c r="N274">
        <v>3</v>
      </c>
      <c r="O274">
        <v>1</v>
      </c>
      <c r="P274">
        <v>75</v>
      </c>
      <c r="Q274">
        <v>2</v>
      </c>
      <c r="R274" s="1">
        <v>41383</v>
      </c>
      <c r="S274" t="s">
        <v>37</v>
      </c>
      <c r="T274" t="str">
        <f t="shared" si="20"/>
        <v>Grade A</v>
      </c>
      <c r="U274">
        <f t="shared" si="21"/>
        <v>1</v>
      </c>
      <c r="V274" t="str">
        <f t="shared" si="22"/>
        <v>Mid Level</v>
      </c>
      <c r="W274" t="str">
        <f t="shared" si="23"/>
        <v>Already Left</v>
      </c>
      <c r="X274" t="str">
        <f t="shared" si="24"/>
        <v>Overpaid</v>
      </c>
    </row>
    <row r="275" spans="1:24" x14ac:dyDescent="0.3">
      <c r="A275" t="s">
        <v>343</v>
      </c>
      <c r="B275" t="s">
        <v>20</v>
      </c>
      <c r="C275">
        <v>23</v>
      </c>
      <c r="D275" t="s">
        <v>57</v>
      </c>
      <c r="E275" t="s">
        <v>22</v>
      </c>
      <c r="F275" t="s">
        <v>62</v>
      </c>
      <c r="G275" t="s">
        <v>33</v>
      </c>
      <c r="H275" t="s">
        <v>76</v>
      </c>
      <c r="I275" t="s">
        <v>35</v>
      </c>
      <c r="J275" t="s">
        <v>27</v>
      </c>
      <c r="K275">
        <v>10</v>
      </c>
      <c r="L275">
        <v>77971</v>
      </c>
      <c r="M275" t="s">
        <v>36</v>
      </c>
      <c r="N275">
        <v>3</v>
      </c>
      <c r="O275">
        <v>1</v>
      </c>
      <c r="P275">
        <v>58</v>
      </c>
      <c r="Q275">
        <v>1</v>
      </c>
      <c r="R275" s="1">
        <v>41294</v>
      </c>
      <c r="S275" t="s">
        <v>37</v>
      </c>
      <c r="T275" t="str">
        <f t="shared" si="20"/>
        <v>Grade B</v>
      </c>
      <c r="U275">
        <f t="shared" si="21"/>
        <v>1</v>
      </c>
      <c r="V275" t="str">
        <f t="shared" si="22"/>
        <v>Mid Level</v>
      </c>
      <c r="W275" t="str">
        <f t="shared" si="23"/>
        <v>Already Left</v>
      </c>
      <c r="X275" t="str">
        <f t="shared" si="24"/>
        <v>Fair</v>
      </c>
    </row>
    <row r="276" spans="1:24" x14ac:dyDescent="0.3">
      <c r="A276" t="s">
        <v>344</v>
      </c>
      <c r="B276" t="s">
        <v>39</v>
      </c>
      <c r="C276">
        <v>47</v>
      </c>
      <c r="D276" t="s">
        <v>31</v>
      </c>
      <c r="E276" t="s">
        <v>22</v>
      </c>
      <c r="F276" t="s">
        <v>65</v>
      </c>
      <c r="G276" t="s">
        <v>58</v>
      </c>
      <c r="H276" t="s">
        <v>76</v>
      </c>
      <c r="I276" t="s">
        <v>59</v>
      </c>
      <c r="J276" t="s">
        <v>60</v>
      </c>
      <c r="K276">
        <v>9</v>
      </c>
      <c r="L276">
        <v>101629</v>
      </c>
      <c r="M276" t="s">
        <v>45</v>
      </c>
      <c r="N276">
        <v>2</v>
      </c>
      <c r="O276">
        <v>4</v>
      </c>
      <c r="P276">
        <v>50</v>
      </c>
      <c r="Q276">
        <v>2</v>
      </c>
      <c r="R276" s="1">
        <v>41860</v>
      </c>
      <c r="S276" t="s">
        <v>29</v>
      </c>
      <c r="T276" t="str">
        <f t="shared" si="20"/>
        <v>Grade A</v>
      </c>
      <c r="U276">
        <f t="shared" si="21"/>
        <v>2</v>
      </c>
      <c r="V276" t="str">
        <f t="shared" si="22"/>
        <v>Mid Level</v>
      </c>
      <c r="W276" t="str">
        <f t="shared" si="23"/>
        <v>Medium Risk</v>
      </c>
      <c r="X276" t="str">
        <f t="shared" si="24"/>
        <v>Fair</v>
      </c>
    </row>
    <row r="277" spans="1:24" x14ac:dyDescent="0.3">
      <c r="A277" t="s">
        <v>345</v>
      </c>
      <c r="B277" t="s">
        <v>39</v>
      </c>
      <c r="C277">
        <v>36</v>
      </c>
      <c r="D277" t="s">
        <v>47</v>
      </c>
      <c r="E277" t="s">
        <v>22</v>
      </c>
      <c r="F277" t="s">
        <v>62</v>
      </c>
      <c r="G277" t="s">
        <v>49</v>
      </c>
      <c r="H277" t="s">
        <v>67</v>
      </c>
      <c r="I277" t="s">
        <v>59</v>
      </c>
      <c r="J277" t="s">
        <v>60</v>
      </c>
      <c r="K277">
        <v>8</v>
      </c>
      <c r="L277">
        <v>63695</v>
      </c>
      <c r="M277" t="s">
        <v>28</v>
      </c>
      <c r="N277">
        <v>3</v>
      </c>
      <c r="O277">
        <v>2</v>
      </c>
      <c r="P277">
        <v>23</v>
      </c>
      <c r="Q277">
        <v>0</v>
      </c>
      <c r="R277" s="1">
        <v>42237</v>
      </c>
      <c r="S277" t="s">
        <v>29</v>
      </c>
      <c r="T277" t="str">
        <f t="shared" si="20"/>
        <v>Grade B</v>
      </c>
      <c r="U277">
        <f t="shared" si="21"/>
        <v>3</v>
      </c>
      <c r="V277" t="str">
        <f t="shared" si="22"/>
        <v>Mid Level</v>
      </c>
      <c r="W277" t="str">
        <f t="shared" si="23"/>
        <v>Medium Risk</v>
      </c>
      <c r="X277" t="str">
        <f t="shared" si="24"/>
        <v>Competitive</v>
      </c>
    </row>
    <row r="278" spans="1:24" x14ac:dyDescent="0.3">
      <c r="A278" t="s">
        <v>346</v>
      </c>
      <c r="B278" t="s">
        <v>20</v>
      </c>
      <c r="C278">
        <v>53</v>
      </c>
      <c r="D278" t="s">
        <v>88</v>
      </c>
      <c r="E278" t="s">
        <v>48</v>
      </c>
      <c r="F278" t="s">
        <v>78</v>
      </c>
      <c r="G278" t="s">
        <v>58</v>
      </c>
      <c r="H278" t="s">
        <v>34</v>
      </c>
      <c r="I278" t="s">
        <v>26</v>
      </c>
      <c r="J278" t="s">
        <v>27</v>
      </c>
      <c r="K278">
        <v>13</v>
      </c>
      <c r="L278">
        <v>116803</v>
      </c>
      <c r="M278" t="s">
        <v>51</v>
      </c>
      <c r="N278">
        <v>4</v>
      </c>
      <c r="O278">
        <v>2</v>
      </c>
      <c r="P278">
        <v>75</v>
      </c>
      <c r="Q278">
        <v>2</v>
      </c>
      <c r="R278" s="1">
        <v>40230</v>
      </c>
      <c r="S278" t="s">
        <v>29</v>
      </c>
      <c r="T278" t="str">
        <f t="shared" si="20"/>
        <v>Grade A</v>
      </c>
      <c r="U278">
        <f t="shared" si="21"/>
        <v>4</v>
      </c>
      <c r="V278" t="str">
        <f t="shared" si="22"/>
        <v>Senior</v>
      </c>
      <c r="W278" t="str">
        <f t="shared" si="23"/>
        <v>Low Risk</v>
      </c>
      <c r="X278" t="str">
        <f t="shared" si="24"/>
        <v>Competitive</v>
      </c>
    </row>
    <row r="279" spans="1:24" x14ac:dyDescent="0.3">
      <c r="A279" t="s">
        <v>347</v>
      </c>
      <c r="B279" t="s">
        <v>20</v>
      </c>
      <c r="C279">
        <v>47</v>
      </c>
      <c r="D279" t="s">
        <v>47</v>
      </c>
      <c r="E279" t="s">
        <v>48</v>
      </c>
      <c r="F279" t="s">
        <v>32</v>
      </c>
      <c r="G279" t="s">
        <v>63</v>
      </c>
      <c r="H279" t="s">
        <v>34</v>
      </c>
      <c r="I279" t="s">
        <v>43</v>
      </c>
      <c r="J279" t="s">
        <v>44</v>
      </c>
      <c r="K279">
        <v>1</v>
      </c>
      <c r="L279">
        <v>52673</v>
      </c>
      <c r="M279" t="s">
        <v>28</v>
      </c>
      <c r="N279">
        <v>1</v>
      </c>
      <c r="O279">
        <v>4</v>
      </c>
      <c r="P279">
        <v>50</v>
      </c>
      <c r="Q279">
        <v>0</v>
      </c>
      <c r="R279" s="1">
        <v>44911</v>
      </c>
      <c r="S279" t="s">
        <v>29</v>
      </c>
      <c r="T279" t="str">
        <f t="shared" si="20"/>
        <v>Grade B</v>
      </c>
      <c r="U279">
        <f t="shared" si="21"/>
        <v>3</v>
      </c>
      <c r="V279" t="str">
        <f t="shared" si="22"/>
        <v>New Joiner</v>
      </c>
      <c r="W279" t="str">
        <f t="shared" si="23"/>
        <v>Medium Risk</v>
      </c>
      <c r="X279" t="str">
        <f t="shared" si="24"/>
        <v>Competitive</v>
      </c>
    </row>
    <row r="280" spans="1:24" x14ac:dyDescent="0.3">
      <c r="A280" t="s">
        <v>348</v>
      </c>
      <c r="B280" t="s">
        <v>20</v>
      </c>
      <c r="C280">
        <v>37</v>
      </c>
      <c r="D280" t="s">
        <v>31</v>
      </c>
      <c r="E280" t="s">
        <v>48</v>
      </c>
      <c r="F280" t="s">
        <v>32</v>
      </c>
      <c r="G280" t="s">
        <v>66</v>
      </c>
      <c r="H280" t="s">
        <v>76</v>
      </c>
      <c r="I280" t="s">
        <v>50</v>
      </c>
      <c r="J280" t="s">
        <v>44</v>
      </c>
      <c r="K280">
        <v>6</v>
      </c>
      <c r="L280">
        <v>45509</v>
      </c>
      <c r="M280" t="s">
        <v>51</v>
      </c>
      <c r="N280">
        <v>3</v>
      </c>
      <c r="O280">
        <v>3</v>
      </c>
      <c r="P280">
        <v>33</v>
      </c>
      <c r="Q280">
        <v>3</v>
      </c>
      <c r="R280" s="1">
        <v>42822</v>
      </c>
      <c r="S280" t="s">
        <v>29</v>
      </c>
      <c r="T280" t="str">
        <f t="shared" si="20"/>
        <v>Grade C</v>
      </c>
      <c r="U280">
        <f t="shared" si="21"/>
        <v>4</v>
      </c>
      <c r="V280" t="str">
        <f t="shared" si="22"/>
        <v>Mid Level</v>
      </c>
      <c r="W280" t="str">
        <f t="shared" si="23"/>
        <v>Low Risk</v>
      </c>
      <c r="X280" t="str">
        <f t="shared" si="24"/>
        <v>Fair</v>
      </c>
    </row>
    <row r="281" spans="1:24" x14ac:dyDescent="0.3">
      <c r="A281" t="s">
        <v>349</v>
      </c>
      <c r="B281" t="s">
        <v>39</v>
      </c>
      <c r="C281">
        <v>36</v>
      </c>
      <c r="D281" t="s">
        <v>21</v>
      </c>
      <c r="E281" t="s">
        <v>40</v>
      </c>
      <c r="F281" t="s">
        <v>32</v>
      </c>
      <c r="G281" t="s">
        <v>63</v>
      </c>
      <c r="H281" t="s">
        <v>76</v>
      </c>
      <c r="I281" t="s">
        <v>43</v>
      </c>
      <c r="J281" t="s">
        <v>44</v>
      </c>
      <c r="K281">
        <v>6</v>
      </c>
      <c r="L281">
        <v>56162</v>
      </c>
      <c r="M281" t="s">
        <v>45</v>
      </c>
      <c r="N281">
        <v>3</v>
      </c>
      <c r="O281">
        <v>2</v>
      </c>
      <c r="P281">
        <v>65</v>
      </c>
      <c r="Q281">
        <v>3</v>
      </c>
      <c r="R281" s="1">
        <v>43010</v>
      </c>
      <c r="S281" t="s">
        <v>29</v>
      </c>
      <c r="T281" t="str">
        <f t="shared" si="20"/>
        <v>Grade B</v>
      </c>
      <c r="U281">
        <f t="shared" si="21"/>
        <v>2</v>
      </c>
      <c r="V281" t="str">
        <f t="shared" si="22"/>
        <v>Mid Level</v>
      </c>
      <c r="W281" t="str">
        <f t="shared" si="23"/>
        <v>Medium Risk</v>
      </c>
      <c r="X281" t="str">
        <f t="shared" si="24"/>
        <v>Fair</v>
      </c>
    </row>
    <row r="282" spans="1:24" x14ac:dyDescent="0.3">
      <c r="A282" t="s">
        <v>350</v>
      </c>
      <c r="B282" t="s">
        <v>20</v>
      </c>
      <c r="C282">
        <v>53</v>
      </c>
      <c r="D282" t="s">
        <v>31</v>
      </c>
      <c r="E282" t="s">
        <v>48</v>
      </c>
      <c r="F282" t="s">
        <v>53</v>
      </c>
      <c r="G282" t="s">
        <v>58</v>
      </c>
      <c r="H282" t="s">
        <v>67</v>
      </c>
      <c r="I282" t="s">
        <v>59</v>
      </c>
      <c r="J282" t="s">
        <v>60</v>
      </c>
      <c r="K282">
        <v>13</v>
      </c>
      <c r="L282">
        <v>106787</v>
      </c>
      <c r="M282" t="s">
        <v>36</v>
      </c>
      <c r="N282">
        <v>1</v>
      </c>
      <c r="O282">
        <v>4</v>
      </c>
      <c r="P282">
        <v>22</v>
      </c>
      <c r="Q282">
        <v>1</v>
      </c>
      <c r="R282" s="1">
        <v>40479</v>
      </c>
      <c r="S282" t="s">
        <v>37</v>
      </c>
      <c r="T282" t="str">
        <f t="shared" si="20"/>
        <v>Grade A</v>
      </c>
      <c r="U282">
        <f t="shared" si="21"/>
        <v>1</v>
      </c>
      <c r="V282" t="str">
        <f t="shared" si="22"/>
        <v>Senior</v>
      </c>
      <c r="W282" t="str">
        <f t="shared" si="23"/>
        <v>Already Left</v>
      </c>
      <c r="X282" t="str">
        <f t="shared" si="24"/>
        <v>Overpaid</v>
      </c>
    </row>
    <row r="283" spans="1:24" x14ac:dyDescent="0.3">
      <c r="A283" t="s">
        <v>351</v>
      </c>
      <c r="B283" t="s">
        <v>20</v>
      </c>
      <c r="C283">
        <v>38</v>
      </c>
      <c r="D283" t="s">
        <v>31</v>
      </c>
      <c r="E283" t="s">
        <v>22</v>
      </c>
      <c r="F283" t="s">
        <v>32</v>
      </c>
      <c r="G283" t="s">
        <v>79</v>
      </c>
      <c r="H283" t="s">
        <v>25</v>
      </c>
      <c r="I283" t="s">
        <v>50</v>
      </c>
      <c r="J283" t="s">
        <v>44</v>
      </c>
      <c r="K283">
        <v>14</v>
      </c>
      <c r="L283">
        <v>72740</v>
      </c>
      <c r="M283" t="s">
        <v>36</v>
      </c>
      <c r="N283">
        <v>4</v>
      </c>
      <c r="O283">
        <v>1</v>
      </c>
      <c r="P283">
        <v>54</v>
      </c>
      <c r="Q283">
        <v>1</v>
      </c>
      <c r="R283" s="1">
        <v>39998</v>
      </c>
      <c r="S283" t="s">
        <v>37</v>
      </c>
      <c r="T283" t="str">
        <f t="shared" si="20"/>
        <v>Grade B</v>
      </c>
      <c r="U283">
        <f t="shared" si="21"/>
        <v>1</v>
      </c>
      <c r="V283" t="str">
        <f t="shared" si="22"/>
        <v>Senior</v>
      </c>
      <c r="W283" t="str">
        <f t="shared" si="23"/>
        <v>Already Left</v>
      </c>
      <c r="X283" t="str">
        <f t="shared" si="24"/>
        <v>Fair</v>
      </c>
    </row>
    <row r="284" spans="1:24" x14ac:dyDescent="0.3">
      <c r="A284" t="s">
        <v>352</v>
      </c>
      <c r="B284" t="s">
        <v>20</v>
      </c>
      <c r="C284">
        <v>51</v>
      </c>
      <c r="D284" t="s">
        <v>47</v>
      </c>
      <c r="E284" t="s">
        <v>22</v>
      </c>
      <c r="F284" t="s">
        <v>53</v>
      </c>
      <c r="G284" t="s">
        <v>33</v>
      </c>
      <c r="H284" t="s">
        <v>25</v>
      </c>
      <c r="I284" t="s">
        <v>54</v>
      </c>
      <c r="J284" t="s">
        <v>27</v>
      </c>
      <c r="K284">
        <v>6</v>
      </c>
      <c r="L284">
        <v>76645</v>
      </c>
      <c r="M284" t="s">
        <v>45</v>
      </c>
      <c r="N284">
        <v>3</v>
      </c>
      <c r="O284">
        <v>4</v>
      </c>
      <c r="P284">
        <v>61</v>
      </c>
      <c r="Q284">
        <v>0</v>
      </c>
      <c r="R284" s="1">
        <v>42907</v>
      </c>
      <c r="S284" t="s">
        <v>37</v>
      </c>
      <c r="T284" t="str">
        <f t="shared" si="20"/>
        <v>Grade B</v>
      </c>
      <c r="U284">
        <f t="shared" si="21"/>
        <v>2</v>
      </c>
      <c r="V284" t="str">
        <f t="shared" si="22"/>
        <v>Mid Level</v>
      </c>
      <c r="W284" t="str">
        <f t="shared" si="23"/>
        <v>Already Left</v>
      </c>
      <c r="X284" t="str">
        <f t="shared" si="24"/>
        <v>Fair</v>
      </c>
    </row>
    <row r="285" spans="1:24" x14ac:dyDescent="0.3">
      <c r="A285" t="s">
        <v>353</v>
      </c>
      <c r="B285" t="s">
        <v>20</v>
      </c>
      <c r="C285">
        <v>39</v>
      </c>
      <c r="D285" t="s">
        <v>57</v>
      </c>
      <c r="E285" t="s">
        <v>48</v>
      </c>
      <c r="F285" t="s">
        <v>53</v>
      </c>
      <c r="G285" t="s">
        <v>66</v>
      </c>
      <c r="H285" t="s">
        <v>25</v>
      </c>
      <c r="I285" t="s">
        <v>26</v>
      </c>
      <c r="J285" t="s">
        <v>27</v>
      </c>
      <c r="K285">
        <v>6</v>
      </c>
      <c r="L285">
        <v>46547</v>
      </c>
      <c r="M285" t="s">
        <v>28</v>
      </c>
      <c r="N285">
        <v>4</v>
      </c>
      <c r="O285">
        <v>4</v>
      </c>
      <c r="P285">
        <v>31</v>
      </c>
      <c r="Q285">
        <v>1</v>
      </c>
      <c r="R285" s="1">
        <v>42793</v>
      </c>
      <c r="S285" t="s">
        <v>29</v>
      </c>
      <c r="T285" t="str">
        <f t="shared" si="20"/>
        <v>Grade C</v>
      </c>
      <c r="U285">
        <f t="shared" si="21"/>
        <v>3</v>
      </c>
      <c r="V285" t="str">
        <f t="shared" si="22"/>
        <v>Mid Level</v>
      </c>
      <c r="W285" t="str">
        <f t="shared" si="23"/>
        <v>Medium Risk</v>
      </c>
      <c r="X285" t="str">
        <f t="shared" si="24"/>
        <v>Fair</v>
      </c>
    </row>
    <row r="286" spans="1:24" x14ac:dyDescent="0.3">
      <c r="A286" t="s">
        <v>354</v>
      </c>
      <c r="B286" t="s">
        <v>39</v>
      </c>
      <c r="C286">
        <v>28</v>
      </c>
      <c r="D286" t="s">
        <v>21</v>
      </c>
      <c r="E286" t="s">
        <v>48</v>
      </c>
      <c r="F286" t="s">
        <v>53</v>
      </c>
      <c r="G286" t="s">
        <v>79</v>
      </c>
      <c r="H286" t="s">
        <v>67</v>
      </c>
      <c r="I286" t="s">
        <v>50</v>
      </c>
      <c r="J286" t="s">
        <v>44</v>
      </c>
      <c r="K286">
        <v>12</v>
      </c>
      <c r="L286">
        <v>60900</v>
      </c>
      <c r="M286" t="s">
        <v>45</v>
      </c>
      <c r="N286">
        <v>1</v>
      </c>
      <c r="O286">
        <v>1</v>
      </c>
      <c r="P286">
        <v>60</v>
      </c>
      <c r="Q286">
        <v>0</v>
      </c>
      <c r="R286" s="1">
        <v>40709</v>
      </c>
      <c r="S286" t="s">
        <v>29</v>
      </c>
      <c r="T286" t="str">
        <f t="shared" si="20"/>
        <v>Grade B</v>
      </c>
      <c r="U286">
        <f t="shared" si="21"/>
        <v>2</v>
      </c>
      <c r="V286" t="str">
        <f t="shared" si="22"/>
        <v>Senior</v>
      </c>
      <c r="W286" t="str">
        <f t="shared" si="23"/>
        <v>Medium Risk</v>
      </c>
      <c r="X286" t="str">
        <f t="shared" si="24"/>
        <v>Fair</v>
      </c>
    </row>
    <row r="287" spans="1:24" x14ac:dyDescent="0.3">
      <c r="A287" t="s">
        <v>355</v>
      </c>
      <c r="B287" t="s">
        <v>20</v>
      </c>
      <c r="C287">
        <v>50</v>
      </c>
      <c r="D287" t="s">
        <v>47</v>
      </c>
      <c r="E287" t="s">
        <v>22</v>
      </c>
      <c r="F287" t="s">
        <v>62</v>
      </c>
      <c r="G287" t="s">
        <v>63</v>
      </c>
      <c r="H287" t="s">
        <v>34</v>
      </c>
      <c r="I287" t="s">
        <v>26</v>
      </c>
      <c r="J287" t="s">
        <v>27</v>
      </c>
      <c r="K287">
        <v>2</v>
      </c>
      <c r="L287">
        <v>49137</v>
      </c>
      <c r="M287" t="s">
        <v>28</v>
      </c>
      <c r="N287">
        <v>2</v>
      </c>
      <c r="O287">
        <v>1</v>
      </c>
      <c r="P287">
        <v>14</v>
      </c>
      <c r="Q287">
        <v>2</v>
      </c>
      <c r="R287" s="1">
        <v>44436</v>
      </c>
      <c r="S287" t="s">
        <v>29</v>
      </c>
      <c r="T287" t="str">
        <f t="shared" si="20"/>
        <v>Grade C</v>
      </c>
      <c r="U287">
        <f t="shared" si="21"/>
        <v>3</v>
      </c>
      <c r="V287" t="str">
        <f t="shared" si="22"/>
        <v>New Joiner</v>
      </c>
      <c r="W287" t="str">
        <f t="shared" si="23"/>
        <v>Medium Risk</v>
      </c>
      <c r="X287" t="str">
        <f t="shared" si="24"/>
        <v>Fair</v>
      </c>
    </row>
    <row r="288" spans="1:24" x14ac:dyDescent="0.3">
      <c r="A288" t="s">
        <v>356</v>
      </c>
      <c r="B288" t="s">
        <v>20</v>
      </c>
      <c r="C288">
        <v>49</v>
      </c>
      <c r="D288" t="s">
        <v>88</v>
      </c>
      <c r="E288" t="s">
        <v>40</v>
      </c>
      <c r="F288" t="s">
        <v>78</v>
      </c>
      <c r="G288" t="s">
        <v>33</v>
      </c>
      <c r="H288" t="s">
        <v>76</v>
      </c>
      <c r="I288" t="s">
        <v>72</v>
      </c>
      <c r="J288" t="s">
        <v>73</v>
      </c>
      <c r="K288">
        <v>9</v>
      </c>
      <c r="L288">
        <v>72427</v>
      </c>
      <c r="M288" t="s">
        <v>45</v>
      </c>
      <c r="N288">
        <v>3</v>
      </c>
      <c r="O288">
        <v>3</v>
      </c>
      <c r="P288">
        <v>71</v>
      </c>
      <c r="Q288">
        <v>1</v>
      </c>
      <c r="R288" s="1">
        <v>41917</v>
      </c>
      <c r="S288" t="s">
        <v>29</v>
      </c>
      <c r="T288" t="str">
        <f t="shared" si="20"/>
        <v>Grade B</v>
      </c>
      <c r="U288">
        <f t="shared" si="21"/>
        <v>2</v>
      </c>
      <c r="V288" t="str">
        <f t="shared" si="22"/>
        <v>Mid Level</v>
      </c>
      <c r="W288" t="str">
        <f t="shared" si="23"/>
        <v>Medium Risk</v>
      </c>
      <c r="X288" t="str">
        <f t="shared" si="24"/>
        <v>Fair</v>
      </c>
    </row>
    <row r="289" spans="1:24" x14ac:dyDescent="0.3">
      <c r="A289" t="s">
        <v>357</v>
      </c>
      <c r="B289" t="s">
        <v>39</v>
      </c>
      <c r="C289">
        <v>55</v>
      </c>
      <c r="D289" t="s">
        <v>47</v>
      </c>
      <c r="E289" t="s">
        <v>48</v>
      </c>
      <c r="F289" t="s">
        <v>78</v>
      </c>
      <c r="G289" t="s">
        <v>42</v>
      </c>
      <c r="H289" t="s">
        <v>25</v>
      </c>
      <c r="I289" t="s">
        <v>26</v>
      </c>
      <c r="J289" t="s">
        <v>27</v>
      </c>
      <c r="K289">
        <v>7</v>
      </c>
      <c r="L289">
        <v>104102</v>
      </c>
      <c r="M289" t="s">
        <v>45</v>
      </c>
      <c r="N289">
        <v>3</v>
      </c>
      <c r="O289">
        <v>4</v>
      </c>
      <c r="P289">
        <v>78</v>
      </c>
      <c r="Q289">
        <v>0</v>
      </c>
      <c r="R289" s="1">
        <v>42732</v>
      </c>
      <c r="S289" t="s">
        <v>29</v>
      </c>
      <c r="T289" t="str">
        <f t="shared" si="20"/>
        <v>Grade A</v>
      </c>
      <c r="U289">
        <f t="shared" si="21"/>
        <v>2</v>
      </c>
      <c r="V289" t="str">
        <f t="shared" si="22"/>
        <v>Mid Level</v>
      </c>
      <c r="W289" t="str">
        <f t="shared" si="23"/>
        <v>Medium Risk</v>
      </c>
      <c r="X289" t="str">
        <f t="shared" si="24"/>
        <v>Fair</v>
      </c>
    </row>
    <row r="290" spans="1:24" x14ac:dyDescent="0.3">
      <c r="A290" t="s">
        <v>358</v>
      </c>
      <c r="B290" t="s">
        <v>39</v>
      </c>
      <c r="C290">
        <v>45</v>
      </c>
      <c r="D290" t="s">
        <v>47</v>
      </c>
      <c r="E290" t="s">
        <v>48</v>
      </c>
      <c r="F290" t="s">
        <v>78</v>
      </c>
      <c r="G290" t="s">
        <v>63</v>
      </c>
      <c r="H290" t="s">
        <v>25</v>
      </c>
      <c r="I290" t="s">
        <v>96</v>
      </c>
      <c r="J290" t="s">
        <v>44</v>
      </c>
      <c r="K290">
        <v>13</v>
      </c>
      <c r="L290">
        <v>70598</v>
      </c>
      <c r="M290" t="s">
        <v>51</v>
      </c>
      <c r="N290">
        <v>4</v>
      </c>
      <c r="O290">
        <v>4</v>
      </c>
      <c r="P290">
        <v>41</v>
      </c>
      <c r="Q290">
        <v>1</v>
      </c>
      <c r="R290" s="1">
        <v>40429</v>
      </c>
      <c r="S290" t="s">
        <v>29</v>
      </c>
      <c r="T290" t="str">
        <f t="shared" si="20"/>
        <v>Grade B</v>
      </c>
      <c r="U290">
        <f t="shared" si="21"/>
        <v>4</v>
      </c>
      <c r="V290" t="str">
        <f t="shared" si="22"/>
        <v>Senior</v>
      </c>
      <c r="W290" t="str">
        <f t="shared" si="23"/>
        <v>Low Risk</v>
      </c>
      <c r="X290" t="str">
        <f t="shared" si="24"/>
        <v>Fair</v>
      </c>
    </row>
    <row r="291" spans="1:24" x14ac:dyDescent="0.3">
      <c r="A291" t="s">
        <v>359</v>
      </c>
      <c r="B291" t="s">
        <v>20</v>
      </c>
      <c r="C291">
        <v>40</v>
      </c>
      <c r="D291" t="s">
        <v>88</v>
      </c>
      <c r="E291" t="s">
        <v>48</v>
      </c>
      <c r="F291" t="s">
        <v>75</v>
      </c>
      <c r="G291" t="s">
        <v>63</v>
      </c>
      <c r="H291" t="s">
        <v>67</v>
      </c>
      <c r="I291" t="s">
        <v>43</v>
      </c>
      <c r="J291" t="s">
        <v>44</v>
      </c>
      <c r="K291">
        <v>2</v>
      </c>
      <c r="L291">
        <v>46849</v>
      </c>
      <c r="M291" t="s">
        <v>45</v>
      </c>
      <c r="N291">
        <v>4</v>
      </c>
      <c r="O291">
        <v>2</v>
      </c>
      <c r="P291">
        <v>18</v>
      </c>
      <c r="Q291">
        <v>1</v>
      </c>
      <c r="R291" s="1">
        <v>44249</v>
      </c>
      <c r="S291" t="s">
        <v>29</v>
      </c>
      <c r="T291" t="str">
        <f t="shared" si="20"/>
        <v>Grade C</v>
      </c>
      <c r="U291">
        <f t="shared" si="21"/>
        <v>2</v>
      </c>
      <c r="V291" t="str">
        <f t="shared" si="22"/>
        <v>New Joiner</v>
      </c>
      <c r="W291" t="str">
        <f t="shared" si="23"/>
        <v>Medium Risk</v>
      </c>
      <c r="X291" t="str">
        <f t="shared" si="24"/>
        <v>Fair</v>
      </c>
    </row>
    <row r="292" spans="1:24" x14ac:dyDescent="0.3">
      <c r="A292" t="s">
        <v>360</v>
      </c>
      <c r="B292" t="s">
        <v>20</v>
      </c>
      <c r="C292">
        <v>23</v>
      </c>
      <c r="D292" t="s">
        <v>47</v>
      </c>
      <c r="E292" t="s">
        <v>22</v>
      </c>
      <c r="F292" t="s">
        <v>62</v>
      </c>
      <c r="G292" t="s">
        <v>33</v>
      </c>
      <c r="H292" t="s">
        <v>83</v>
      </c>
      <c r="I292" t="s">
        <v>68</v>
      </c>
      <c r="J292" t="s">
        <v>60</v>
      </c>
      <c r="K292">
        <v>10</v>
      </c>
      <c r="L292">
        <v>78917</v>
      </c>
      <c r="M292" t="s">
        <v>36</v>
      </c>
      <c r="N292">
        <v>1</v>
      </c>
      <c r="O292">
        <v>2</v>
      </c>
      <c r="P292">
        <v>23</v>
      </c>
      <c r="Q292">
        <v>2</v>
      </c>
      <c r="R292" s="1">
        <v>41546</v>
      </c>
      <c r="S292" t="s">
        <v>37</v>
      </c>
      <c r="T292" t="str">
        <f t="shared" si="20"/>
        <v>Grade B</v>
      </c>
      <c r="U292">
        <f t="shared" si="21"/>
        <v>1</v>
      </c>
      <c r="V292" t="str">
        <f t="shared" si="22"/>
        <v>Mid Level</v>
      </c>
      <c r="W292" t="str">
        <f t="shared" si="23"/>
        <v>Already Left</v>
      </c>
      <c r="X292" t="str">
        <f t="shared" si="24"/>
        <v>Fair</v>
      </c>
    </row>
    <row r="293" spans="1:24" x14ac:dyDescent="0.3">
      <c r="A293" t="s">
        <v>361</v>
      </c>
      <c r="B293" t="s">
        <v>39</v>
      </c>
      <c r="C293">
        <v>43</v>
      </c>
      <c r="D293" t="s">
        <v>57</v>
      </c>
      <c r="E293" t="s">
        <v>48</v>
      </c>
      <c r="F293" t="s">
        <v>53</v>
      </c>
      <c r="G293" t="s">
        <v>79</v>
      </c>
      <c r="H293" t="s">
        <v>76</v>
      </c>
      <c r="I293" t="s">
        <v>80</v>
      </c>
      <c r="J293" t="s">
        <v>60</v>
      </c>
      <c r="K293">
        <v>4</v>
      </c>
      <c r="L293">
        <v>42937</v>
      </c>
      <c r="M293" t="s">
        <v>51</v>
      </c>
      <c r="N293">
        <v>4</v>
      </c>
      <c r="O293">
        <v>3</v>
      </c>
      <c r="P293">
        <v>69</v>
      </c>
      <c r="Q293">
        <v>0</v>
      </c>
      <c r="R293" s="1">
        <v>43580</v>
      </c>
      <c r="S293" t="s">
        <v>37</v>
      </c>
      <c r="T293" t="str">
        <f t="shared" si="20"/>
        <v>Grade C</v>
      </c>
      <c r="U293">
        <f t="shared" si="21"/>
        <v>4</v>
      </c>
      <c r="V293" t="str">
        <f t="shared" si="22"/>
        <v>Junior</v>
      </c>
      <c r="W293" t="str">
        <f t="shared" si="23"/>
        <v>Already Left</v>
      </c>
      <c r="X293" t="str">
        <f t="shared" si="24"/>
        <v>Fair</v>
      </c>
    </row>
    <row r="294" spans="1:24" x14ac:dyDescent="0.3">
      <c r="A294" t="s">
        <v>362</v>
      </c>
      <c r="B294" t="s">
        <v>39</v>
      </c>
      <c r="C294">
        <v>34</v>
      </c>
      <c r="D294" t="s">
        <v>31</v>
      </c>
      <c r="E294" t="s">
        <v>48</v>
      </c>
      <c r="F294" t="s">
        <v>41</v>
      </c>
      <c r="G294" t="s">
        <v>63</v>
      </c>
      <c r="H294" t="s">
        <v>67</v>
      </c>
      <c r="I294" t="s">
        <v>72</v>
      </c>
      <c r="J294" t="s">
        <v>73</v>
      </c>
      <c r="K294">
        <v>5</v>
      </c>
      <c r="L294">
        <v>47339</v>
      </c>
      <c r="M294" t="s">
        <v>51</v>
      </c>
      <c r="N294">
        <v>1</v>
      </c>
      <c r="O294">
        <v>1</v>
      </c>
      <c r="P294">
        <v>41</v>
      </c>
      <c r="Q294">
        <v>3</v>
      </c>
      <c r="R294" s="1">
        <v>43227</v>
      </c>
      <c r="S294" t="s">
        <v>29</v>
      </c>
      <c r="T294" t="str">
        <f t="shared" si="20"/>
        <v>Grade C</v>
      </c>
      <c r="U294">
        <f t="shared" si="21"/>
        <v>4</v>
      </c>
      <c r="V294" t="str">
        <f t="shared" si="22"/>
        <v>Junior</v>
      </c>
      <c r="W294" t="str">
        <f t="shared" si="23"/>
        <v>Low Risk</v>
      </c>
      <c r="X294" t="str">
        <f t="shared" si="24"/>
        <v>Fair</v>
      </c>
    </row>
    <row r="295" spans="1:24" x14ac:dyDescent="0.3">
      <c r="A295" t="s">
        <v>363</v>
      </c>
      <c r="B295" t="s">
        <v>20</v>
      </c>
      <c r="C295">
        <v>41</v>
      </c>
      <c r="D295" t="s">
        <v>31</v>
      </c>
      <c r="E295" t="s">
        <v>22</v>
      </c>
      <c r="F295" t="s">
        <v>32</v>
      </c>
      <c r="G295" t="s">
        <v>79</v>
      </c>
      <c r="H295" t="s">
        <v>83</v>
      </c>
      <c r="I295" t="s">
        <v>96</v>
      </c>
      <c r="J295" t="s">
        <v>44</v>
      </c>
      <c r="K295">
        <v>8</v>
      </c>
      <c r="L295">
        <v>63076</v>
      </c>
      <c r="M295" t="s">
        <v>28</v>
      </c>
      <c r="N295">
        <v>1</v>
      </c>
      <c r="O295">
        <v>1</v>
      </c>
      <c r="P295">
        <v>42</v>
      </c>
      <c r="Q295">
        <v>3</v>
      </c>
      <c r="R295" s="1">
        <v>42130</v>
      </c>
      <c r="S295" t="s">
        <v>29</v>
      </c>
      <c r="T295" t="str">
        <f t="shared" si="20"/>
        <v>Grade B</v>
      </c>
      <c r="U295">
        <f t="shared" si="21"/>
        <v>3</v>
      </c>
      <c r="V295" t="str">
        <f t="shared" si="22"/>
        <v>Mid Level</v>
      </c>
      <c r="W295" t="str">
        <f t="shared" si="23"/>
        <v>Medium Risk</v>
      </c>
      <c r="X295" t="str">
        <f t="shared" si="24"/>
        <v>Competitive</v>
      </c>
    </row>
    <row r="296" spans="1:24" x14ac:dyDescent="0.3">
      <c r="A296" t="s">
        <v>364</v>
      </c>
      <c r="B296" t="s">
        <v>20</v>
      </c>
      <c r="C296">
        <v>42</v>
      </c>
      <c r="D296" t="s">
        <v>21</v>
      </c>
      <c r="E296" t="s">
        <v>22</v>
      </c>
      <c r="F296" t="s">
        <v>32</v>
      </c>
      <c r="G296" t="s">
        <v>49</v>
      </c>
      <c r="H296" t="s">
        <v>25</v>
      </c>
      <c r="I296" t="s">
        <v>80</v>
      </c>
      <c r="J296" t="s">
        <v>60</v>
      </c>
      <c r="K296">
        <v>14</v>
      </c>
      <c r="L296">
        <v>71700</v>
      </c>
      <c r="M296" t="s">
        <v>51</v>
      </c>
      <c r="N296">
        <v>3</v>
      </c>
      <c r="O296">
        <v>1</v>
      </c>
      <c r="P296">
        <v>60</v>
      </c>
      <c r="Q296">
        <v>1</v>
      </c>
      <c r="R296" s="1">
        <v>39858</v>
      </c>
      <c r="S296" t="s">
        <v>29</v>
      </c>
      <c r="T296" t="str">
        <f t="shared" si="20"/>
        <v>Grade B</v>
      </c>
      <c r="U296">
        <f t="shared" si="21"/>
        <v>4</v>
      </c>
      <c r="V296" t="str">
        <f t="shared" si="22"/>
        <v>Senior</v>
      </c>
      <c r="W296" t="str">
        <f t="shared" si="23"/>
        <v>Low Risk</v>
      </c>
      <c r="X296" t="str">
        <f t="shared" si="24"/>
        <v>Fair</v>
      </c>
    </row>
    <row r="297" spans="1:24" x14ac:dyDescent="0.3">
      <c r="A297" t="s">
        <v>365</v>
      </c>
      <c r="B297" t="s">
        <v>20</v>
      </c>
      <c r="C297">
        <v>27</v>
      </c>
      <c r="D297" t="s">
        <v>88</v>
      </c>
      <c r="E297" t="s">
        <v>48</v>
      </c>
      <c r="F297" t="s">
        <v>23</v>
      </c>
      <c r="G297" t="s">
        <v>24</v>
      </c>
      <c r="H297" t="s">
        <v>34</v>
      </c>
      <c r="I297" t="s">
        <v>50</v>
      </c>
      <c r="J297" t="s">
        <v>44</v>
      </c>
      <c r="K297">
        <v>12</v>
      </c>
      <c r="L297">
        <v>101169</v>
      </c>
      <c r="M297" t="s">
        <v>36</v>
      </c>
      <c r="N297">
        <v>1</v>
      </c>
      <c r="O297">
        <v>1</v>
      </c>
      <c r="P297">
        <v>55</v>
      </c>
      <c r="Q297">
        <v>1</v>
      </c>
      <c r="R297" s="1">
        <v>40832</v>
      </c>
      <c r="S297" t="s">
        <v>37</v>
      </c>
      <c r="T297" t="str">
        <f t="shared" si="20"/>
        <v>Grade A</v>
      </c>
      <c r="U297">
        <f t="shared" si="21"/>
        <v>1</v>
      </c>
      <c r="V297" t="str">
        <f t="shared" si="22"/>
        <v>Senior</v>
      </c>
      <c r="W297" t="str">
        <f t="shared" si="23"/>
        <v>Already Left</v>
      </c>
      <c r="X297" t="str">
        <f t="shared" si="24"/>
        <v>Overpaid</v>
      </c>
    </row>
    <row r="298" spans="1:24" x14ac:dyDescent="0.3">
      <c r="A298" t="s">
        <v>366</v>
      </c>
      <c r="B298" t="s">
        <v>39</v>
      </c>
      <c r="C298">
        <v>46</v>
      </c>
      <c r="D298" t="s">
        <v>31</v>
      </c>
      <c r="E298" t="s">
        <v>40</v>
      </c>
      <c r="F298" t="s">
        <v>41</v>
      </c>
      <c r="G298" t="s">
        <v>66</v>
      </c>
      <c r="H298" t="s">
        <v>67</v>
      </c>
      <c r="I298" t="s">
        <v>35</v>
      </c>
      <c r="J298" t="s">
        <v>27</v>
      </c>
      <c r="K298">
        <v>4</v>
      </c>
      <c r="L298">
        <v>51296</v>
      </c>
      <c r="M298" t="s">
        <v>36</v>
      </c>
      <c r="N298">
        <v>2</v>
      </c>
      <c r="O298">
        <v>3</v>
      </c>
      <c r="P298">
        <v>15</v>
      </c>
      <c r="Q298">
        <v>3</v>
      </c>
      <c r="R298" s="1">
        <v>43734</v>
      </c>
      <c r="S298" t="s">
        <v>37</v>
      </c>
      <c r="T298" t="str">
        <f t="shared" si="20"/>
        <v>Grade B</v>
      </c>
      <c r="U298">
        <f t="shared" si="21"/>
        <v>1</v>
      </c>
      <c r="V298" t="str">
        <f t="shared" si="22"/>
        <v>Junior</v>
      </c>
      <c r="W298" t="str">
        <f t="shared" si="23"/>
        <v>Already Left</v>
      </c>
      <c r="X298" t="str">
        <f t="shared" si="24"/>
        <v>Fair</v>
      </c>
    </row>
    <row r="299" spans="1:24" x14ac:dyDescent="0.3">
      <c r="A299" t="s">
        <v>367</v>
      </c>
      <c r="B299" t="s">
        <v>20</v>
      </c>
      <c r="C299">
        <v>32</v>
      </c>
      <c r="D299" t="s">
        <v>21</v>
      </c>
      <c r="E299" t="s">
        <v>40</v>
      </c>
      <c r="F299" t="s">
        <v>62</v>
      </c>
      <c r="G299" t="s">
        <v>24</v>
      </c>
      <c r="H299" t="s">
        <v>34</v>
      </c>
      <c r="I299" t="s">
        <v>96</v>
      </c>
      <c r="J299" t="s">
        <v>44</v>
      </c>
      <c r="K299">
        <v>4</v>
      </c>
      <c r="L299">
        <v>90813</v>
      </c>
      <c r="M299" t="s">
        <v>36</v>
      </c>
      <c r="N299">
        <v>2</v>
      </c>
      <c r="O299">
        <v>4</v>
      </c>
      <c r="P299">
        <v>47</v>
      </c>
      <c r="Q299">
        <v>2</v>
      </c>
      <c r="R299" s="1">
        <v>43593</v>
      </c>
      <c r="S299" t="s">
        <v>37</v>
      </c>
      <c r="T299" t="str">
        <f t="shared" si="20"/>
        <v>Grade A</v>
      </c>
      <c r="U299">
        <f t="shared" si="21"/>
        <v>1</v>
      </c>
      <c r="V299" t="str">
        <f t="shared" si="22"/>
        <v>Junior</v>
      </c>
      <c r="W299" t="str">
        <f t="shared" si="23"/>
        <v>Already Left</v>
      </c>
      <c r="X299" t="str">
        <f t="shared" si="24"/>
        <v>Overpaid</v>
      </c>
    </row>
    <row r="300" spans="1:24" x14ac:dyDescent="0.3">
      <c r="A300" t="s">
        <v>368</v>
      </c>
      <c r="B300" t="s">
        <v>20</v>
      </c>
      <c r="C300">
        <v>37</v>
      </c>
      <c r="D300" t="s">
        <v>31</v>
      </c>
      <c r="E300" t="s">
        <v>40</v>
      </c>
      <c r="F300" t="s">
        <v>65</v>
      </c>
      <c r="G300" t="s">
        <v>63</v>
      </c>
      <c r="H300" t="s">
        <v>76</v>
      </c>
      <c r="I300" t="s">
        <v>35</v>
      </c>
      <c r="J300" t="s">
        <v>27</v>
      </c>
      <c r="K300">
        <v>13</v>
      </c>
      <c r="L300">
        <v>67079</v>
      </c>
      <c r="M300" t="s">
        <v>51</v>
      </c>
      <c r="N300">
        <v>1</v>
      </c>
      <c r="O300">
        <v>4</v>
      </c>
      <c r="P300">
        <v>34</v>
      </c>
      <c r="Q300">
        <v>3</v>
      </c>
      <c r="R300" s="1">
        <v>40230</v>
      </c>
      <c r="S300" t="s">
        <v>37</v>
      </c>
      <c r="T300" t="str">
        <f t="shared" si="20"/>
        <v>Grade B</v>
      </c>
      <c r="U300">
        <f t="shared" si="21"/>
        <v>4</v>
      </c>
      <c r="V300" t="str">
        <f t="shared" si="22"/>
        <v>Senior</v>
      </c>
      <c r="W300" t="str">
        <f t="shared" si="23"/>
        <v>Already Left</v>
      </c>
      <c r="X300" t="str">
        <f t="shared" si="24"/>
        <v>Fair</v>
      </c>
    </row>
    <row r="301" spans="1:24" x14ac:dyDescent="0.3">
      <c r="A301" t="s">
        <v>369</v>
      </c>
      <c r="B301" t="s">
        <v>39</v>
      </c>
      <c r="C301">
        <v>24</v>
      </c>
      <c r="D301" t="s">
        <v>47</v>
      </c>
      <c r="E301" t="s">
        <v>22</v>
      </c>
      <c r="F301" t="s">
        <v>53</v>
      </c>
      <c r="G301" t="s">
        <v>63</v>
      </c>
      <c r="H301" t="s">
        <v>34</v>
      </c>
      <c r="I301" t="s">
        <v>35</v>
      </c>
      <c r="J301" t="s">
        <v>27</v>
      </c>
      <c r="K301">
        <v>6</v>
      </c>
      <c r="L301">
        <v>57552</v>
      </c>
      <c r="M301" t="s">
        <v>45</v>
      </c>
      <c r="N301">
        <v>1</v>
      </c>
      <c r="O301">
        <v>2</v>
      </c>
      <c r="P301">
        <v>23</v>
      </c>
      <c r="Q301">
        <v>3</v>
      </c>
      <c r="R301" s="1">
        <v>43053</v>
      </c>
      <c r="S301" t="s">
        <v>37</v>
      </c>
      <c r="T301" t="str">
        <f t="shared" si="20"/>
        <v>Grade B</v>
      </c>
      <c r="U301">
        <f t="shared" si="21"/>
        <v>2</v>
      </c>
      <c r="V301" t="str">
        <f t="shared" si="22"/>
        <v>Mid Level</v>
      </c>
      <c r="W301" t="str">
        <f t="shared" si="23"/>
        <v>Already Left</v>
      </c>
      <c r="X301" t="str">
        <f t="shared" si="24"/>
        <v>Fair</v>
      </c>
    </row>
    <row r="302" spans="1:24" x14ac:dyDescent="0.3">
      <c r="A302" t="s">
        <v>370</v>
      </c>
      <c r="B302" t="s">
        <v>20</v>
      </c>
      <c r="C302">
        <v>25</v>
      </c>
      <c r="D302" t="s">
        <v>31</v>
      </c>
      <c r="E302" t="s">
        <v>22</v>
      </c>
      <c r="F302" t="s">
        <v>41</v>
      </c>
      <c r="G302" t="s">
        <v>33</v>
      </c>
      <c r="H302" t="s">
        <v>83</v>
      </c>
      <c r="I302" t="s">
        <v>59</v>
      </c>
      <c r="J302" t="s">
        <v>60</v>
      </c>
      <c r="K302">
        <v>11</v>
      </c>
      <c r="L302">
        <v>89230</v>
      </c>
      <c r="M302" t="s">
        <v>36</v>
      </c>
      <c r="N302">
        <v>1</v>
      </c>
      <c r="O302">
        <v>1</v>
      </c>
      <c r="P302">
        <v>36</v>
      </c>
      <c r="Q302">
        <v>3</v>
      </c>
      <c r="R302" s="1">
        <v>40975</v>
      </c>
      <c r="S302" t="s">
        <v>29</v>
      </c>
      <c r="T302" t="str">
        <f t="shared" si="20"/>
        <v>Grade A</v>
      </c>
      <c r="U302">
        <f t="shared" si="21"/>
        <v>1</v>
      </c>
      <c r="V302" t="str">
        <f t="shared" si="22"/>
        <v>Senior</v>
      </c>
      <c r="W302" t="str">
        <f t="shared" si="23"/>
        <v>Medium Risk</v>
      </c>
      <c r="X302" t="str">
        <f t="shared" si="24"/>
        <v>Overpaid</v>
      </c>
    </row>
    <row r="303" spans="1:24" x14ac:dyDescent="0.3">
      <c r="A303" t="s">
        <v>371</v>
      </c>
      <c r="B303" t="s">
        <v>20</v>
      </c>
      <c r="C303">
        <v>55</v>
      </c>
      <c r="D303" t="s">
        <v>21</v>
      </c>
      <c r="E303" t="s">
        <v>40</v>
      </c>
      <c r="F303" t="s">
        <v>78</v>
      </c>
      <c r="G303" t="s">
        <v>63</v>
      </c>
      <c r="H303" t="s">
        <v>83</v>
      </c>
      <c r="I303" t="s">
        <v>26</v>
      </c>
      <c r="J303" t="s">
        <v>27</v>
      </c>
      <c r="K303">
        <v>9</v>
      </c>
      <c r="L303">
        <v>65093</v>
      </c>
      <c r="M303" t="s">
        <v>45</v>
      </c>
      <c r="N303">
        <v>1</v>
      </c>
      <c r="O303">
        <v>3</v>
      </c>
      <c r="P303">
        <v>19</v>
      </c>
      <c r="Q303">
        <v>1</v>
      </c>
      <c r="R303" s="1">
        <v>41692</v>
      </c>
      <c r="S303" t="s">
        <v>37</v>
      </c>
      <c r="T303" t="str">
        <f t="shared" si="20"/>
        <v>Grade B</v>
      </c>
      <c r="U303">
        <f t="shared" si="21"/>
        <v>2</v>
      </c>
      <c r="V303" t="str">
        <f t="shared" si="22"/>
        <v>Mid Level</v>
      </c>
      <c r="W303" t="str">
        <f t="shared" si="23"/>
        <v>Already Left</v>
      </c>
      <c r="X303" t="str">
        <f t="shared" si="24"/>
        <v>Fair</v>
      </c>
    </row>
    <row r="304" spans="1:24" x14ac:dyDescent="0.3">
      <c r="A304" t="s">
        <v>372</v>
      </c>
      <c r="B304" t="s">
        <v>39</v>
      </c>
      <c r="C304">
        <v>33</v>
      </c>
      <c r="D304" t="s">
        <v>88</v>
      </c>
      <c r="E304" t="s">
        <v>40</v>
      </c>
      <c r="F304" t="s">
        <v>41</v>
      </c>
      <c r="G304" t="s">
        <v>63</v>
      </c>
      <c r="H304" t="s">
        <v>83</v>
      </c>
      <c r="I304" t="s">
        <v>35</v>
      </c>
      <c r="J304" t="s">
        <v>27</v>
      </c>
      <c r="K304">
        <v>9</v>
      </c>
      <c r="L304">
        <v>59208</v>
      </c>
      <c r="M304" t="s">
        <v>28</v>
      </c>
      <c r="N304">
        <v>4</v>
      </c>
      <c r="O304">
        <v>1</v>
      </c>
      <c r="P304">
        <v>55</v>
      </c>
      <c r="Q304">
        <v>3</v>
      </c>
      <c r="R304" s="1">
        <v>41738</v>
      </c>
      <c r="S304" t="s">
        <v>29</v>
      </c>
      <c r="T304" t="str">
        <f t="shared" si="20"/>
        <v>Grade B</v>
      </c>
      <c r="U304">
        <f t="shared" si="21"/>
        <v>3</v>
      </c>
      <c r="V304" t="str">
        <f t="shared" si="22"/>
        <v>Mid Level</v>
      </c>
      <c r="W304" t="str">
        <f t="shared" si="23"/>
        <v>Medium Risk</v>
      </c>
      <c r="X304" t="str">
        <f t="shared" si="24"/>
        <v>Competitive</v>
      </c>
    </row>
    <row r="305" spans="1:24" x14ac:dyDescent="0.3">
      <c r="A305" t="s">
        <v>373</v>
      </c>
      <c r="B305" t="s">
        <v>39</v>
      </c>
      <c r="C305">
        <v>50</v>
      </c>
      <c r="D305" t="s">
        <v>31</v>
      </c>
      <c r="E305" t="s">
        <v>48</v>
      </c>
      <c r="F305" t="s">
        <v>41</v>
      </c>
      <c r="G305" t="s">
        <v>63</v>
      </c>
      <c r="H305" t="s">
        <v>67</v>
      </c>
      <c r="I305" t="s">
        <v>43</v>
      </c>
      <c r="J305" t="s">
        <v>44</v>
      </c>
      <c r="K305">
        <v>9</v>
      </c>
      <c r="L305">
        <v>69537</v>
      </c>
      <c r="M305" t="s">
        <v>28</v>
      </c>
      <c r="N305">
        <v>3</v>
      </c>
      <c r="O305">
        <v>3</v>
      </c>
      <c r="P305">
        <v>62</v>
      </c>
      <c r="Q305">
        <v>3</v>
      </c>
      <c r="R305" s="1">
        <v>41671</v>
      </c>
      <c r="S305" t="s">
        <v>29</v>
      </c>
      <c r="T305" t="str">
        <f t="shared" si="20"/>
        <v>Grade B</v>
      </c>
      <c r="U305">
        <f t="shared" si="21"/>
        <v>3</v>
      </c>
      <c r="V305" t="str">
        <f t="shared" si="22"/>
        <v>Mid Level</v>
      </c>
      <c r="W305" t="str">
        <f t="shared" si="23"/>
        <v>Medium Risk</v>
      </c>
      <c r="X305" t="str">
        <f t="shared" si="24"/>
        <v>Competitive</v>
      </c>
    </row>
    <row r="306" spans="1:24" x14ac:dyDescent="0.3">
      <c r="A306" t="s">
        <v>374</v>
      </c>
      <c r="B306" t="s">
        <v>20</v>
      </c>
      <c r="C306">
        <v>22</v>
      </c>
      <c r="D306" t="s">
        <v>21</v>
      </c>
      <c r="E306" t="s">
        <v>48</v>
      </c>
      <c r="F306" t="s">
        <v>32</v>
      </c>
      <c r="G306" t="s">
        <v>42</v>
      </c>
      <c r="H306" t="s">
        <v>34</v>
      </c>
      <c r="I306" t="s">
        <v>72</v>
      </c>
      <c r="J306" t="s">
        <v>73</v>
      </c>
      <c r="K306">
        <v>7</v>
      </c>
      <c r="L306">
        <v>110796</v>
      </c>
      <c r="M306" t="s">
        <v>28</v>
      </c>
      <c r="N306">
        <v>1</v>
      </c>
      <c r="O306">
        <v>2</v>
      </c>
      <c r="P306">
        <v>48</v>
      </c>
      <c r="Q306">
        <v>0</v>
      </c>
      <c r="R306" s="1">
        <v>42508</v>
      </c>
      <c r="S306" t="s">
        <v>29</v>
      </c>
      <c r="T306" t="str">
        <f t="shared" si="20"/>
        <v>Grade A</v>
      </c>
      <c r="U306">
        <f t="shared" si="21"/>
        <v>3</v>
      </c>
      <c r="V306" t="str">
        <f t="shared" si="22"/>
        <v>Mid Level</v>
      </c>
      <c r="W306" t="str">
        <f t="shared" si="23"/>
        <v>Medium Risk</v>
      </c>
      <c r="X306" t="str">
        <f t="shared" si="24"/>
        <v>Competitive</v>
      </c>
    </row>
    <row r="307" spans="1:24" x14ac:dyDescent="0.3">
      <c r="A307" t="s">
        <v>375</v>
      </c>
      <c r="B307" t="s">
        <v>39</v>
      </c>
      <c r="C307">
        <v>28</v>
      </c>
      <c r="D307" t="s">
        <v>21</v>
      </c>
      <c r="E307" t="s">
        <v>48</v>
      </c>
      <c r="F307" t="s">
        <v>32</v>
      </c>
      <c r="G307" t="s">
        <v>42</v>
      </c>
      <c r="H307" t="s">
        <v>67</v>
      </c>
      <c r="I307" t="s">
        <v>80</v>
      </c>
      <c r="J307" t="s">
        <v>60</v>
      </c>
      <c r="K307">
        <v>1</v>
      </c>
      <c r="L307">
        <v>105142</v>
      </c>
      <c r="M307" t="s">
        <v>45</v>
      </c>
      <c r="N307">
        <v>3</v>
      </c>
      <c r="O307">
        <v>2</v>
      </c>
      <c r="P307">
        <v>27</v>
      </c>
      <c r="Q307">
        <v>2</v>
      </c>
      <c r="R307" s="1">
        <v>44643</v>
      </c>
      <c r="S307" t="s">
        <v>29</v>
      </c>
      <c r="T307" t="str">
        <f t="shared" si="20"/>
        <v>Grade A</v>
      </c>
      <c r="U307">
        <f t="shared" si="21"/>
        <v>2</v>
      </c>
      <c r="V307" t="str">
        <f t="shared" si="22"/>
        <v>New Joiner</v>
      </c>
      <c r="W307" t="str">
        <f t="shared" si="23"/>
        <v>Medium Risk</v>
      </c>
      <c r="X307" t="str">
        <f t="shared" si="24"/>
        <v>Fair</v>
      </c>
    </row>
    <row r="308" spans="1:24" x14ac:dyDescent="0.3">
      <c r="A308" t="s">
        <v>376</v>
      </c>
      <c r="B308" t="s">
        <v>39</v>
      </c>
      <c r="C308">
        <v>26</v>
      </c>
      <c r="D308" t="s">
        <v>31</v>
      </c>
      <c r="E308" t="s">
        <v>48</v>
      </c>
      <c r="F308" t="s">
        <v>32</v>
      </c>
      <c r="G308" t="s">
        <v>42</v>
      </c>
      <c r="H308" t="s">
        <v>67</v>
      </c>
      <c r="I308" t="s">
        <v>72</v>
      </c>
      <c r="J308" t="s">
        <v>73</v>
      </c>
      <c r="K308">
        <v>13</v>
      </c>
      <c r="L308">
        <v>114011</v>
      </c>
      <c r="M308" t="s">
        <v>45</v>
      </c>
      <c r="N308">
        <v>2</v>
      </c>
      <c r="O308">
        <v>4</v>
      </c>
      <c r="P308">
        <v>22</v>
      </c>
      <c r="Q308">
        <v>2</v>
      </c>
      <c r="R308" s="1">
        <v>40343</v>
      </c>
      <c r="S308" t="s">
        <v>29</v>
      </c>
      <c r="T308" t="str">
        <f t="shared" si="20"/>
        <v>Grade A</v>
      </c>
      <c r="U308">
        <f t="shared" si="21"/>
        <v>2</v>
      </c>
      <c r="V308" t="str">
        <f t="shared" si="22"/>
        <v>Senior</v>
      </c>
      <c r="W308" t="str">
        <f t="shared" si="23"/>
        <v>Medium Risk</v>
      </c>
      <c r="X308" t="str">
        <f t="shared" si="24"/>
        <v>Fair</v>
      </c>
    </row>
    <row r="309" spans="1:24" x14ac:dyDescent="0.3">
      <c r="A309" t="s">
        <v>377</v>
      </c>
      <c r="B309" t="s">
        <v>39</v>
      </c>
      <c r="C309">
        <v>36</v>
      </c>
      <c r="D309" t="s">
        <v>88</v>
      </c>
      <c r="E309" t="s">
        <v>22</v>
      </c>
      <c r="F309" t="s">
        <v>75</v>
      </c>
      <c r="G309" t="s">
        <v>66</v>
      </c>
      <c r="H309" t="s">
        <v>83</v>
      </c>
      <c r="I309" t="s">
        <v>50</v>
      </c>
      <c r="J309" t="s">
        <v>44</v>
      </c>
      <c r="K309">
        <v>15</v>
      </c>
      <c r="L309">
        <v>66400</v>
      </c>
      <c r="M309" t="s">
        <v>51</v>
      </c>
      <c r="N309">
        <v>4</v>
      </c>
      <c r="O309">
        <v>1</v>
      </c>
      <c r="P309">
        <v>49</v>
      </c>
      <c r="Q309">
        <v>0</v>
      </c>
      <c r="R309" s="1">
        <v>39604</v>
      </c>
      <c r="S309" t="s">
        <v>29</v>
      </c>
      <c r="T309" t="str">
        <f t="shared" si="20"/>
        <v>Grade B</v>
      </c>
      <c r="U309">
        <f t="shared" si="21"/>
        <v>4</v>
      </c>
      <c r="V309" t="str">
        <f t="shared" si="22"/>
        <v>Senior</v>
      </c>
      <c r="W309" t="str">
        <f t="shared" si="23"/>
        <v>Low Risk</v>
      </c>
      <c r="X309" t="str">
        <f t="shared" si="24"/>
        <v>Fair</v>
      </c>
    </row>
    <row r="310" spans="1:24" x14ac:dyDescent="0.3">
      <c r="A310" t="s">
        <v>378</v>
      </c>
      <c r="B310" t="s">
        <v>39</v>
      </c>
      <c r="C310">
        <v>36</v>
      </c>
      <c r="D310" t="s">
        <v>57</v>
      </c>
      <c r="E310" t="s">
        <v>48</v>
      </c>
      <c r="F310" t="s">
        <v>53</v>
      </c>
      <c r="G310" t="s">
        <v>58</v>
      </c>
      <c r="H310" t="s">
        <v>25</v>
      </c>
      <c r="I310" t="s">
        <v>72</v>
      </c>
      <c r="J310" t="s">
        <v>73</v>
      </c>
      <c r="K310">
        <v>3</v>
      </c>
      <c r="L310">
        <v>93873</v>
      </c>
      <c r="M310" t="s">
        <v>28</v>
      </c>
      <c r="N310">
        <v>4</v>
      </c>
      <c r="O310">
        <v>2</v>
      </c>
      <c r="P310">
        <v>26</v>
      </c>
      <c r="Q310">
        <v>2</v>
      </c>
      <c r="R310" s="1">
        <v>43893</v>
      </c>
      <c r="S310" t="s">
        <v>29</v>
      </c>
      <c r="T310" t="str">
        <f t="shared" si="20"/>
        <v>Grade A</v>
      </c>
      <c r="U310">
        <f t="shared" si="21"/>
        <v>3</v>
      </c>
      <c r="V310" t="str">
        <f t="shared" si="22"/>
        <v>Junior</v>
      </c>
      <c r="W310" t="str">
        <f t="shared" si="23"/>
        <v>Medium Risk</v>
      </c>
      <c r="X310" t="str">
        <f t="shared" si="24"/>
        <v>Competitive</v>
      </c>
    </row>
    <row r="311" spans="1:24" x14ac:dyDescent="0.3">
      <c r="A311" t="s">
        <v>379</v>
      </c>
      <c r="B311" t="s">
        <v>20</v>
      </c>
      <c r="C311">
        <v>30</v>
      </c>
      <c r="D311" t="s">
        <v>47</v>
      </c>
      <c r="E311" t="s">
        <v>48</v>
      </c>
      <c r="F311" t="s">
        <v>78</v>
      </c>
      <c r="G311" t="s">
        <v>63</v>
      </c>
      <c r="H311" t="s">
        <v>34</v>
      </c>
      <c r="I311" t="s">
        <v>26</v>
      </c>
      <c r="J311" t="s">
        <v>27</v>
      </c>
      <c r="K311">
        <v>9</v>
      </c>
      <c r="L311">
        <v>61603</v>
      </c>
      <c r="M311" t="s">
        <v>51</v>
      </c>
      <c r="N311">
        <v>2</v>
      </c>
      <c r="O311">
        <v>4</v>
      </c>
      <c r="P311">
        <v>60</v>
      </c>
      <c r="Q311">
        <v>1</v>
      </c>
      <c r="R311" s="1">
        <v>41803</v>
      </c>
      <c r="S311" t="s">
        <v>37</v>
      </c>
      <c r="T311" t="str">
        <f t="shared" si="20"/>
        <v>Grade B</v>
      </c>
      <c r="U311">
        <f t="shared" si="21"/>
        <v>4</v>
      </c>
      <c r="V311" t="str">
        <f t="shared" si="22"/>
        <v>Mid Level</v>
      </c>
      <c r="W311" t="str">
        <f t="shared" si="23"/>
        <v>Already Left</v>
      </c>
      <c r="X311" t="str">
        <f t="shared" si="24"/>
        <v>Fair</v>
      </c>
    </row>
    <row r="312" spans="1:24" x14ac:dyDescent="0.3">
      <c r="A312" t="s">
        <v>380</v>
      </c>
      <c r="B312" t="s">
        <v>39</v>
      </c>
      <c r="C312">
        <v>48</v>
      </c>
      <c r="D312" t="s">
        <v>57</v>
      </c>
      <c r="E312" t="s">
        <v>48</v>
      </c>
      <c r="F312" t="s">
        <v>32</v>
      </c>
      <c r="G312" t="s">
        <v>63</v>
      </c>
      <c r="H312" t="s">
        <v>67</v>
      </c>
      <c r="I312" t="s">
        <v>35</v>
      </c>
      <c r="J312" t="s">
        <v>27</v>
      </c>
      <c r="K312">
        <v>5</v>
      </c>
      <c r="L312">
        <v>55597</v>
      </c>
      <c r="M312" t="s">
        <v>51</v>
      </c>
      <c r="N312">
        <v>3</v>
      </c>
      <c r="O312">
        <v>2</v>
      </c>
      <c r="P312">
        <v>51</v>
      </c>
      <c r="Q312">
        <v>2</v>
      </c>
      <c r="R312" s="1">
        <v>43422</v>
      </c>
      <c r="S312" t="s">
        <v>29</v>
      </c>
      <c r="T312" t="str">
        <f t="shared" si="20"/>
        <v>Grade B</v>
      </c>
      <c r="U312">
        <f t="shared" si="21"/>
        <v>4</v>
      </c>
      <c r="V312" t="str">
        <f t="shared" si="22"/>
        <v>Junior</v>
      </c>
      <c r="W312" t="str">
        <f t="shared" si="23"/>
        <v>Low Risk</v>
      </c>
      <c r="X312" t="str">
        <f t="shared" si="24"/>
        <v>Fair</v>
      </c>
    </row>
    <row r="313" spans="1:24" x14ac:dyDescent="0.3">
      <c r="A313" t="s">
        <v>381</v>
      </c>
      <c r="B313" t="s">
        <v>39</v>
      </c>
      <c r="C313">
        <v>34</v>
      </c>
      <c r="D313" t="s">
        <v>31</v>
      </c>
      <c r="E313" t="s">
        <v>22</v>
      </c>
      <c r="F313" t="s">
        <v>23</v>
      </c>
      <c r="G313" t="s">
        <v>33</v>
      </c>
      <c r="H313" t="s">
        <v>25</v>
      </c>
      <c r="I313" t="s">
        <v>54</v>
      </c>
      <c r="J313" t="s">
        <v>27</v>
      </c>
      <c r="K313">
        <v>6</v>
      </c>
      <c r="L313">
        <v>66778</v>
      </c>
      <c r="M313" t="s">
        <v>28</v>
      </c>
      <c r="N313">
        <v>1</v>
      </c>
      <c r="O313">
        <v>1</v>
      </c>
      <c r="P313">
        <v>16</v>
      </c>
      <c r="Q313">
        <v>1</v>
      </c>
      <c r="R313" s="1">
        <v>43080</v>
      </c>
      <c r="S313" t="s">
        <v>29</v>
      </c>
      <c r="T313" t="str">
        <f t="shared" si="20"/>
        <v>Grade B</v>
      </c>
      <c r="U313">
        <f t="shared" si="21"/>
        <v>3</v>
      </c>
      <c r="V313" t="str">
        <f t="shared" si="22"/>
        <v>Mid Level</v>
      </c>
      <c r="W313" t="str">
        <f t="shared" si="23"/>
        <v>Medium Risk</v>
      </c>
      <c r="X313" t="str">
        <f t="shared" si="24"/>
        <v>Competitive</v>
      </c>
    </row>
    <row r="314" spans="1:24" x14ac:dyDescent="0.3">
      <c r="A314" t="s">
        <v>382</v>
      </c>
      <c r="B314" t="s">
        <v>39</v>
      </c>
      <c r="C314">
        <v>43</v>
      </c>
      <c r="D314" t="s">
        <v>47</v>
      </c>
      <c r="E314" t="s">
        <v>40</v>
      </c>
      <c r="F314" t="s">
        <v>53</v>
      </c>
      <c r="G314" t="s">
        <v>79</v>
      </c>
      <c r="H314" t="s">
        <v>25</v>
      </c>
      <c r="I314" t="s">
        <v>54</v>
      </c>
      <c r="J314" t="s">
        <v>27</v>
      </c>
      <c r="K314">
        <v>6</v>
      </c>
      <c r="L314">
        <v>51998</v>
      </c>
      <c r="M314" t="s">
        <v>51</v>
      </c>
      <c r="N314">
        <v>2</v>
      </c>
      <c r="O314">
        <v>2</v>
      </c>
      <c r="P314">
        <v>79</v>
      </c>
      <c r="Q314">
        <v>2</v>
      </c>
      <c r="R314" s="1">
        <v>42861</v>
      </c>
      <c r="S314" t="s">
        <v>29</v>
      </c>
      <c r="T314" t="str">
        <f t="shared" si="20"/>
        <v>Grade B</v>
      </c>
      <c r="U314">
        <f t="shared" si="21"/>
        <v>4</v>
      </c>
      <c r="V314" t="str">
        <f t="shared" si="22"/>
        <v>Mid Level</v>
      </c>
      <c r="W314" t="str">
        <f t="shared" si="23"/>
        <v>Low Risk</v>
      </c>
      <c r="X314" t="str">
        <f t="shared" si="24"/>
        <v>Fair</v>
      </c>
    </row>
    <row r="315" spans="1:24" x14ac:dyDescent="0.3">
      <c r="A315" t="s">
        <v>383</v>
      </c>
      <c r="B315" t="s">
        <v>39</v>
      </c>
      <c r="C315">
        <v>38</v>
      </c>
      <c r="D315" t="s">
        <v>47</v>
      </c>
      <c r="E315" t="s">
        <v>22</v>
      </c>
      <c r="F315" t="s">
        <v>78</v>
      </c>
      <c r="G315" t="s">
        <v>58</v>
      </c>
      <c r="H315" t="s">
        <v>34</v>
      </c>
      <c r="I315" t="s">
        <v>35</v>
      </c>
      <c r="J315" t="s">
        <v>27</v>
      </c>
      <c r="K315">
        <v>12</v>
      </c>
      <c r="L315">
        <v>111340</v>
      </c>
      <c r="M315" t="s">
        <v>28</v>
      </c>
      <c r="N315">
        <v>3</v>
      </c>
      <c r="O315">
        <v>2</v>
      </c>
      <c r="P315">
        <v>44</v>
      </c>
      <c r="Q315">
        <v>0</v>
      </c>
      <c r="R315" s="1">
        <v>40573</v>
      </c>
      <c r="S315" t="s">
        <v>29</v>
      </c>
      <c r="T315" t="str">
        <f t="shared" si="20"/>
        <v>Grade A</v>
      </c>
      <c r="U315">
        <f t="shared" si="21"/>
        <v>3</v>
      </c>
      <c r="V315" t="str">
        <f t="shared" si="22"/>
        <v>Senior</v>
      </c>
      <c r="W315" t="str">
        <f t="shared" si="23"/>
        <v>Medium Risk</v>
      </c>
      <c r="X315" t="str">
        <f t="shared" si="24"/>
        <v>Competitive</v>
      </c>
    </row>
    <row r="316" spans="1:24" x14ac:dyDescent="0.3">
      <c r="A316" t="s">
        <v>384</v>
      </c>
      <c r="B316" t="s">
        <v>20</v>
      </c>
      <c r="C316">
        <v>36</v>
      </c>
      <c r="D316" t="s">
        <v>57</v>
      </c>
      <c r="E316" t="s">
        <v>40</v>
      </c>
      <c r="F316" t="s">
        <v>23</v>
      </c>
      <c r="G316" t="s">
        <v>42</v>
      </c>
      <c r="H316" t="s">
        <v>83</v>
      </c>
      <c r="I316" t="s">
        <v>96</v>
      </c>
      <c r="J316" t="s">
        <v>44</v>
      </c>
      <c r="K316">
        <v>11</v>
      </c>
      <c r="L316">
        <v>118803</v>
      </c>
      <c r="M316" t="s">
        <v>36</v>
      </c>
      <c r="N316">
        <v>1</v>
      </c>
      <c r="O316">
        <v>3</v>
      </c>
      <c r="P316">
        <v>72</v>
      </c>
      <c r="Q316">
        <v>0</v>
      </c>
      <c r="R316" s="1">
        <v>41128</v>
      </c>
      <c r="S316" t="s">
        <v>37</v>
      </c>
      <c r="T316" t="str">
        <f t="shared" si="20"/>
        <v>Grade A</v>
      </c>
      <c r="U316">
        <f t="shared" si="21"/>
        <v>1</v>
      </c>
      <c r="V316" t="str">
        <f t="shared" si="22"/>
        <v>Senior</v>
      </c>
      <c r="W316" t="str">
        <f t="shared" si="23"/>
        <v>Already Left</v>
      </c>
      <c r="X316" t="str">
        <f t="shared" si="24"/>
        <v>Overpaid</v>
      </c>
    </row>
    <row r="317" spans="1:24" x14ac:dyDescent="0.3">
      <c r="A317" t="s">
        <v>385</v>
      </c>
      <c r="B317" t="s">
        <v>20</v>
      </c>
      <c r="C317">
        <v>53</v>
      </c>
      <c r="D317" t="s">
        <v>57</v>
      </c>
      <c r="E317" t="s">
        <v>40</v>
      </c>
      <c r="F317" t="s">
        <v>32</v>
      </c>
      <c r="G317" t="s">
        <v>58</v>
      </c>
      <c r="H317" t="s">
        <v>34</v>
      </c>
      <c r="I317" t="s">
        <v>68</v>
      </c>
      <c r="J317" t="s">
        <v>60</v>
      </c>
      <c r="K317">
        <v>9</v>
      </c>
      <c r="L317">
        <v>94302</v>
      </c>
      <c r="M317" t="s">
        <v>36</v>
      </c>
      <c r="N317">
        <v>2</v>
      </c>
      <c r="O317">
        <v>1</v>
      </c>
      <c r="P317">
        <v>54</v>
      </c>
      <c r="Q317">
        <v>2</v>
      </c>
      <c r="R317" s="1">
        <v>41851</v>
      </c>
      <c r="S317" t="s">
        <v>29</v>
      </c>
      <c r="T317" t="str">
        <f t="shared" si="20"/>
        <v>Grade A</v>
      </c>
      <c r="U317">
        <f t="shared" si="21"/>
        <v>1</v>
      </c>
      <c r="V317" t="str">
        <f t="shared" si="22"/>
        <v>Mid Level</v>
      </c>
      <c r="W317" t="str">
        <f t="shared" si="23"/>
        <v>Medium Risk</v>
      </c>
      <c r="X317" t="str">
        <f t="shared" si="24"/>
        <v>Overpaid</v>
      </c>
    </row>
    <row r="318" spans="1:24" x14ac:dyDescent="0.3">
      <c r="A318" t="s">
        <v>386</v>
      </c>
      <c r="B318" t="s">
        <v>20</v>
      </c>
      <c r="C318">
        <v>36</v>
      </c>
      <c r="D318" t="s">
        <v>47</v>
      </c>
      <c r="E318" t="s">
        <v>48</v>
      </c>
      <c r="F318" t="s">
        <v>62</v>
      </c>
      <c r="G318" t="s">
        <v>58</v>
      </c>
      <c r="H318" t="s">
        <v>67</v>
      </c>
      <c r="I318" t="s">
        <v>72</v>
      </c>
      <c r="J318" t="s">
        <v>73</v>
      </c>
      <c r="K318">
        <v>13</v>
      </c>
      <c r="L318">
        <v>109443</v>
      </c>
      <c r="M318" t="s">
        <v>45</v>
      </c>
      <c r="N318">
        <v>4</v>
      </c>
      <c r="O318">
        <v>2</v>
      </c>
      <c r="P318">
        <v>21</v>
      </c>
      <c r="Q318">
        <v>3</v>
      </c>
      <c r="R318" s="1">
        <v>40532</v>
      </c>
      <c r="S318" t="s">
        <v>29</v>
      </c>
      <c r="T318" t="str">
        <f t="shared" si="20"/>
        <v>Grade A</v>
      </c>
      <c r="U318">
        <f t="shared" si="21"/>
        <v>2</v>
      </c>
      <c r="V318" t="str">
        <f t="shared" si="22"/>
        <v>Senior</v>
      </c>
      <c r="W318" t="str">
        <f t="shared" si="23"/>
        <v>Medium Risk</v>
      </c>
      <c r="X318" t="str">
        <f t="shared" si="24"/>
        <v>Fair</v>
      </c>
    </row>
    <row r="319" spans="1:24" x14ac:dyDescent="0.3">
      <c r="A319" t="s">
        <v>387</v>
      </c>
      <c r="B319" t="s">
        <v>20</v>
      </c>
      <c r="C319">
        <v>50</v>
      </c>
      <c r="D319" t="s">
        <v>88</v>
      </c>
      <c r="E319" t="s">
        <v>22</v>
      </c>
      <c r="F319" t="s">
        <v>32</v>
      </c>
      <c r="G319" t="s">
        <v>24</v>
      </c>
      <c r="H319" t="s">
        <v>76</v>
      </c>
      <c r="I319" t="s">
        <v>35</v>
      </c>
      <c r="J319" t="s">
        <v>27</v>
      </c>
      <c r="K319">
        <v>10</v>
      </c>
      <c r="L319">
        <v>98974</v>
      </c>
      <c r="M319" t="s">
        <v>28</v>
      </c>
      <c r="N319">
        <v>2</v>
      </c>
      <c r="O319">
        <v>2</v>
      </c>
      <c r="P319">
        <v>79</v>
      </c>
      <c r="Q319">
        <v>1</v>
      </c>
      <c r="R319" s="1">
        <v>41333</v>
      </c>
      <c r="S319" t="s">
        <v>29</v>
      </c>
      <c r="T319" t="str">
        <f t="shared" si="20"/>
        <v>Grade A</v>
      </c>
      <c r="U319">
        <f t="shared" si="21"/>
        <v>3</v>
      </c>
      <c r="V319" t="str">
        <f t="shared" si="22"/>
        <v>Mid Level</v>
      </c>
      <c r="W319" t="str">
        <f t="shared" si="23"/>
        <v>Medium Risk</v>
      </c>
      <c r="X319" t="str">
        <f t="shared" si="24"/>
        <v>Competitive</v>
      </c>
    </row>
    <row r="320" spans="1:24" x14ac:dyDescent="0.3">
      <c r="A320" t="s">
        <v>388</v>
      </c>
      <c r="B320" t="s">
        <v>39</v>
      </c>
      <c r="C320">
        <v>29</v>
      </c>
      <c r="D320" t="s">
        <v>47</v>
      </c>
      <c r="E320" t="s">
        <v>48</v>
      </c>
      <c r="F320" t="s">
        <v>62</v>
      </c>
      <c r="G320" t="s">
        <v>24</v>
      </c>
      <c r="H320" t="s">
        <v>34</v>
      </c>
      <c r="I320" t="s">
        <v>68</v>
      </c>
      <c r="J320" t="s">
        <v>60</v>
      </c>
      <c r="K320">
        <v>7</v>
      </c>
      <c r="L320">
        <v>97508</v>
      </c>
      <c r="M320" t="s">
        <v>28</v>
      </c>
      <c r="N320">
        <v>2</v>
      </c>
      <c r="O320">
        <v>1</v>
      </c>
      <c r="P320">
        <v>50</v>
      </c>
      <c r="Q320">
        <v>3</v>
      </c>
      <c r="R320" s="1">
        <v>42575</v>
      </c>
      <c r="S320" t="s">
        <v>29</v>
      </c>
      <c r="T320" t="str">
        <f t="shared" si="20"/>
        <v>Grade A</v>
      </c>
      <c r="U320">
        <f t="shared" si="21"/>
        <v>3</v>
      </c>
      <c r="V320" t="str">
        <f t="shared" si="22"/>
        <v>Mid Level</v>
      </c>
      <c r="W320" t="str">
        <f t="shared" si="23"/>
        <v>Medium Risk</v>
      </c>
      <c r="X320" t="str">
        <f t="shared" si="24"/>
        <v>Competitive</v>
      </c>
    </row>
    <row r="321" spans="1:24" x14ac:dyDescent="0.3">
      <c r="A321" t="s">
        <v>389</v>
      </c>
      <c r="B321" t="s">
        <v>39</v>
      </c>
      <c r="C321">
        <v>39</v>
      </c>
      <c r="D321" t="s">
        <v>88</v>
      </c>
      <c r="E321" t="s">
        <v>40</v>
      </c>
      <c r="F321" t="s">
        <v>62</v>
      </c>
      <c r="G321" t="s">
        <v>49</v>
      </c>
      <c r="H321" t="s">
        <v>76</v>
      </c>
      <c r="I321" t="s">
        <v>43</v>
      </c>
      <c r="J321" t="s">
        <v>44</v>
      </c>
      <c r="K321">
        <v>3</v>
      </c>
      <c r="L321">
        <v>49498</v>
      </c>
      <c r="M321" t="s">
        <v>45</v>
      </c>
      <c r="N321">
        <v>2</v>
      </c>
      <c r="O321">
        <v>2</v>
      </c>
      <c r="P321">
        <v>39</v>
      </c>
      <c r="Q321">
        <v>0</v>
      </c>
      <c r="R321" s="1">
        <v>44103</v>
      </c>
      <c r="S321" t="s">
        <v>29</v>
      </c>
      <c r="T321" t="str">
        <f t="shared" si="20"/>
        <v>Grade C</v>
      </c>
      <c r="U321">
        <f t="shared" si="21"/>
        <v>2</v>
      </c>
      <c r="V321" t="str">
        <f t="shared" si="22"/>
        <v>Junior</v>
      </c>
      <c r="W321" t="str">
        <f t="shared" si="23"/>
        <v>Medium Risk</v>
      </c>
      <c r="X321" t="str">
        <f t="shared" si="24"/>
        <v>Fair</v>
      </c>
    </row>
    <row r="322" spans="1:24" x14ac:dyDescent="0.3">
      <c r="A322" t="s">
        <v>390</v>
      </c>
      <c r="B322" t="s">
        <v>20</v>
      </c>
      <c r="C322">
        <v>52</v>
      </c>
      <c r="D322" t="s">
        <v>47</v>
      </c>
      <c r="E322" t="s">
        <v>22</v>
      </c>
      <c r="F322" t="s">
        <v>41</v>
      </c>
      <c r="G322" t="s">
        <v>33</v>
      </c>
      <c r="H322" t="s">
        <v>76</v>
      </c>
      <c r="I322" t="s">
        <v>72</v>
      </c>
      <c r="J322" t="s">
        <v>73</v>
      </c>
      <c r="K322">
        <v>9</v>
      </c>
      <c r="L322">
        <v>80253</v>
      </c>
      <c r="M322" t="s">
        <v>28</v>
      </c>
      <c r="N322">
        <v>2</v>
      </c>
      <c r="O322">
        <v>2</v>
      </c>
      <c r="P322">
        <v>14</v>
      </c>
      <c r="Q322">
        <v>3</v>
      </c>
      <c r="R322" s="1">
        <v>41809</v>
      </c>
      <c r="S322" t="s">
        <v>29</v>
      </c>
      <c r="T322" t="str">
        <f t="shared" ref="T322:T385" si="25">IF(L322&gt;=80000,"Grade A",IF(L322&gt;=50000,"Grade B",IF(L322&gt;=35000,"Grade C","Grade D")))</f>
        <v>Grade A</v>
      </c>
      <c r="U322">
        <f t="shared" ref="U322:U385" si="26">IF(M322="Excellent",4,IF(M322="Good",3,IF(M322="Average",2,1)))</f>
        <v>3</v>
      </c>
      <c r="V322" t="str">
        <f t="shared" ref="V322:V385" si="27">IF(K322&lt;=2,"New Joiner",IF(K322&lt;=5,"Junior",IF(K322&lt;=10,"Mid Level","Senior")))</f>
        <v>Mid Level</v>
      </c>
      <c r="W322" t="str">
        <f t="shared" ref="W322:W385" si="28">IF(S322="Yes","Already Left",IF(AND(K322&lt;=2,M322="Poor"),"High Risk",IF(AND(K322&lt;=5,M322="Average"),"Medium Risk",IF(M322="Excellent","Low Risk","Medium Risk"))))</f>
        <v>Medium Risk</v>
      </c>
      <c r="X322" t="str">
        <f t="shared" ref="X322:X385" si="29">IF(AND(L322&gt;=80000,M322="Excellent"),"Competitive",IF(AND(L322&gt;=50000,M322="Good"),"Competitive",IF(AND(L322&lt;35000,M322="Excellent"),"Underpaid",IF(AND(L322&gt;=80000,M322="Poor"),"Overpaid","Fair"))))</f>
        <v>Competitive</v>
      </c>
    </row>
    <row r="323" spans="1:24" x14ac:dyDescent="0.3">
      <c r="A323" t="s">
        <v>391</v>
      </c>
      <c r="B323" t="s">
        <v>20</v>
      </c>
      <c r="C323">
        <v>53</v>
      </c>
      <c r="D323" t="s">
        <v>31</v>
      </c>
      <c r="E323" t="s">
        <v>48</v>
      </c>
      <c r="F323" t="s">
        <v>62</v>
      </c>
      <c r="G323" t="s">
        <v>49</v>
      </c>
      <c r="H323" t="s">
        <v>76</v>
      </c>
      <c r="I323" t="s">
        <v>50</v>
      </c>
      <c r="J323" t="s">
        <v>44</v>
      </c>
      <c r="K323">
        <v>12</v>
      </c>
      <c r="L323">
        <v>70703</v>
      </c>
      <c r="M323" t="s">
        <v>28</v>
      </c>
      <c r="N323">
        <v>2</v>
      </c>
      <c r="O323">
        <v>4</v>
      </c>
      <c r="P323">
        <v>61</v>
      </c>
      <c r="Q323">
        <v>0</v>
      </c>
      <c r="R323" s="1">
        <v>40822</v>
      </c>
      <c r="S323" t="s">
        <v>37</v>
      </c>
      <c r="T323" t="str">
        <f t="shared" si="25"/>
        <v>Grade B</v>
      </c>
      <c r="U323">
        <f t="shared" si="26"/>
        <v>3</v>
      </c>
      <c r="V323" t="str">
        <f t="shared" si="27"/>
        <v>Senior</v>
      </c>
      <c r="W323" t="str">
        <f t="shared" si="28"/>
        <v>Already Left</v>
      </c>
      <c r="X323" t="str">
        <f t="shared" si="29"/>
        <v>Competitive</v>
      </c>
    </row>
    <row r="324" spans="1:24" x14ac:dyDescent="0.3">
      <c r="A324" t="s">
        <v>392</v>
      </c>
      <c r="B324" t="s">
        <v>39</v>
      </c>
      <c r="C324">
        <v>37</v>
      </c>
      <c r="D324" t="s">
        <v>88</v>
      </c>
      <c r="E324" t="s">
        <v>40</v>
      </c>
      <c r="F324" t="s">
        <v>75</v>
      </c>
      <c r="G324" t="s">
        <v>58</v>
      </c>
      <c r="H324" t="s">
        <v>25</v>
      </c>
      <c r="I324" t="s">
        <v>54</v>
      </c>
      <c r="J324" t="s">
        <v>27</v>
      </c>
      <c r="K324">
        <v>10</v>
      </c>
      <c r="L324">
        <v>112060</v>
      </c>
      <c r="M324" t="s">
        <v>36</v>
      </c>
      <c r="N324">
        <v>4</v>
      </c>
      <c r="O324">
        <v>1</v>
      </c>
      <c r="P324">
        <v>59</v>
      </c>
      <c r="Q324">
        <v>0</v>
      </c>
      <c r="R324" s="1">
        <v>41409</v>
      </c>
      <c r="S324" t="s">
        <v>37</v>
      </c>
      <c r="T324" t="str">
        <f t="shared" si="25"/>
        <v>Grade A</v>
      </c>
      <c r="U324">
        <f t="shared" si="26"/>
        <v>1</v>
      </c>
      <c r="V324" t="str">
        <f t="shared" si="27"/>
        <v>Mid Level</v>
      </c>
      <c r="W324" t="str">
        <f t="shared" si="28"/>
        <v>Already Left</v>
      </c>
      <c r="X324" t="str">
        <f t="shared" si="29"/>
        <v>Overpaid</v>
      </c>
    </row>
    <row r="325" spans="1:24" x14ac:dyDescent="0.3">
      <c r="A325" t="s">
        <v>393</v>
      </c>
      <c r="B325" t="s">
        <v>20</v>
      </c>
      <c r="C325">
        <v>25</v>
      </c>
      <c r="D325" t="s">
        <v>88</v>
      </c>
      <c r="E325" t="s">
        <v>22</v>
      </c>
      <c r="F325" t="s">
        <v>62</v>
      </c>
      <c r="G325" t="s">
        <v>42</v>
      </c>
      <c r="H325" t="s">
        <v>76</v>
      </c>
      <c r="I325" t="s">
        <v>59</v>
      </c>
      <c r="J325" t="s">
        <v>60</v>
      </c>
      <c r="K325">
        <v>15</v>
      </c>
      <c r="L325">
        <v>124368</v>
      </c>
      <c r="M325" t="s">
        <v>36</v>
      </c>
      <c r="N325">
        <v>4</v>
      </c>
      <c r="O325">
        <v>4</v>
      </c>
      <c r="P325">
        <v>21</v>
      </c>
      <c r="Q325">
        <v>0</v>
      </c>
      <c r="R325" s="1">
        <v>39601</v>
      </c>
      <c r="S325" t="s">
        <v>37</v>
      </c>
      <c r="T325" t="str">
        <f t="shared" si="25"/>
        <v>Grade A</v>
      </c>
      <c r="U325">
        <f t="shared" si="26"/>
        <v>1</v>
      </c>
      <c r="V325" t="str">
        <f t="shared" si="27"/>
        <v>Senior</v>
      </c>
      <c r="W325" t="str">
        <f t="shared" si="28"/>
        <v>Already Left</v>
      </c>
      <c r="X325" t="str">
        <f t="shared" si="29"/>
        <v>Overpaid</v>
      </c>
    </row>
    <row r="326" spans="1:24" x14ac:dyDescent="0.3">
      <c r="A326" t="s">
        <v>394</v>
      </c>
      <c r="B326" t="s">
        <v>39</v>
      </c>
      <c r="C326">
        <v>51</v>
      </c>
      <c r="D326" t="s">
        <v>21</v>
      </c>
      <c r="E326" t="s">
        <v>48</v>
      </c>
      <c r="F326" t="s">
        <v>53</v>
      </c>
      <c r="G326" t="s">
        <v>33</v>
      </c>
      <c r="H326" t="s">
        <v>76</v>
      </c>
      <c r="I326" t="s">
        <v>68</v>
      </c>
      <c r="J326" t="s">
        <v>60</v>
      </c>
      <c r="K326">
        <v>6</v>
      </c>
      <c r="L326">
        <v>62816</v>
      </c>
      <c r="M326" t="s">
        <v>36</v>
      </c>
      <c r="N326">
        <v>3</v>
      </c>
      <c r="O326">
        <v>2</v>
      </c>
      <c r="P326">
        <v>25</v>
      </c>
      <c r="Q326">
        <v>0</v>
      </c>
      <c r="R326" s="1">
        <v>42800</v>
      </c>
      <c r="S326" t="s">
        <v>37</v>
      </c>
      <c r="T326" t="str">
        <f t="shared" si="25"/>
        <v>Grade B</v>
      </c>
      <c r="U326">
        <f t="shared" si="26"/>
        <v>1</v>
      </c>
      <c r="V326" t="str">
        <f t="shared" si="27"/>
        <v>Mid Level</v>
      </c>
      <c r="W326" t="str">
        <f t="shared" si="28"/>
        <v>Already Left</v>
      </c>
      <c r="X326" t="str">
        <f t="shared" si="29"/>
        <v>Fair</v>
      </c>
    </row>
    <row r="327" spans="1:24" x14ac:dyDescent="0.3">
      <c r="A327" t="s">
        <v>395</v>
      </c>
      <c r="B327" t="s">
        <v>20</v>
      </c>
      <c r="C327">
        <v>46</v>
      </c>
      <c r="D327" t="s">
        <v>21</v>
      </c>
      <c r="E327" t="s">
        <v>22</v>
      </c>
      <c r="F327" t="s">
        <v>78</v>
      </c>
      <c r="G327" t="s">
        <v>63</v>
      </c>
      <c r="H327" t="s">
        <v>25</v>
      </c>
      <c r="I327" t="s">
        <v>26</v>
      </c>
      <c r="J327" t="s">
        <v>27</v>
      </c>
      <c r="K327">
        <v>9</v>
      </c>
      <c r="L327">
        <v>69766</v>
      </c>
      <c r="M327" t="s">
        <v>51</v>
      </c>
      <c r="N327">
        <v>3</v>
      </c>
      <c r="O327">
        <v>2</v>
      </c>
      <c r="P327">
        <v>30</v>
      </c>
      <c r="Q327">
        <v>1</v>
      </c>
      <c r="R327" s="1">
        <v>41926</v>
      </c>
      <c r="S327" t="s">
        <v>29</v>
      </c>
      <c r="T327" t="str">
        <f t="shared" si="25"/>
        <v>Grade B</v>
      </c>
      <c r="U327">
        <f t="shared" si="26"/>
        <v>4</v>
      </c>
      <c r="V327" t="str">
        <f t="shared" si="27"/>
        <v>Mid Level</v>
      </c>
      <c r="W327" t="str">
        <f t="shared" si="28"/>
        <v>Low Risk</v>
      </c>
      <c r="X327" t="str">
        <f t="shared" si="29"/>
        <v>Fair</v>
      </c>
    </row>
    <row r="328" spans="1:24" x14ac:dyDescent="0.3">
      <c r="A328" t="s">
        <v>396</v>
      </c>
      <c r="B328" t="s">
        <v>39</v>
      </c>
      <c r="C328">
        <v>34</v>
      </c>
      <c r="D328" t="s">
        <v>21</v>
      </c>
      <c r="E328" t="s">
        <v>40</v>
      </c>
      <c r="F328" t="s">
        <v>23</v>
      </c>
      <c r="G328" t="s">
        <v>33</v>
      </c>
      <c r="H328" t="s">
        <v>76</v>
      </c>
      <c r="I328" t="s">
        <v>68</v>
      </c>
      <c r="J328" t="s">
        <v>60</v>
      </c>
      <c r="K328">
        <v>5</v>
      </c>
      <c r="L328">
        <v>69462</v>
      </c>
      <c r="M328" t="s">
        <v>45</v>
      </c>
      <c r="N328">
        <v>3</v>
      </c>
      <c r="O328">
        <v>1</v>
      </c>
      <c r="P328">
        <v>68</v>
      </c>
      <c r="Q328">
        <v>3</v>
      </c>
      <c r="R328" s="1">
        <v>43407</v>
      </c>
      <c r="S328" t="s">
        <v>29</v>
      </c>
      <c r="T328" t="str">
        <f t="shared" si="25"/>
        <v>Grade B</v>
      </c>
      <c r="U328">
        <f t="shared" si="26"/>
        <v>2</v>
      </c>
      <c r="V328" t="str">
        <f t="shared" si="27"/>
        <v>Junior</v>
      </c>
      <c r="W328" t="str">
        <f t="shared" si="28"/>
        <v>Medium Risk</v>
      </c>
      <c r="X328" t="str">
        <f t="shared" si="29"/>
        <v>Fair</v>
      </c>
    </row>
    <row r="329" spans="1:24" x14ac:dyDescent="0.3">
      <c r="A329" t="s">
        <v>397</v>
      </c>
      <c r="B329" t="s">
        <v>20</v>
      </c>
      <c r="C329">
        <v>27</v>
      </c>
      <c r="D329" t="s">
        <v>88</v>
      </c>
      <c r="E329" t="s">
        <v>40</v>
      </c>
      <c r="F329" t="s">
        <v>23</v>
      </c>
      <c r="G329" t="s">
        <v>49</v>
      </c>
      <c r="H329" t="s">
        <v>34</v>
      </c>
      <c r="I329" t="s">
        <v>96</v>
      </c>
      <c r="J329" t="s">
        <v>44</v>
      </c>
      <c r="K329">
        <v>4</v>
      </c>
      <c r="L329">
        <v>67295</v>
      </c>
      <c r="M329" t="s">
        <v>36</v>
      </c>
      <c r="N329">
        <v>1</v>
      </c>
      <c r="O329">
        <v>2</v>
      </c>
      <c r="P329">
        <v>80</v>
      </c>
      <c r="Q329">
        <v>2</v>
      </c>
      <c r="R329" s="1">
        <v>43623</v>
      </c>
      <c r="S329" t="s">
        <v>37</v>
      </c>
      <c r="T329" t="str">
        <f t="shared" si="25"/>
        <v>Grade B</v>
      </c>
      <c r="U329">
        <f t="shared" si="26"/>
        <v>1</v>
      </c>
      <c r="V329" t="str">
        <f t="shared" si="27"/>
        <v>Junior</v>
      </c>
      <c r="W329" t="str">
        <f t="shared" si="28"/>
        <v>Already Left</v>
      </c>
      <c r="X329" t="str">
        <f t="shared" si="29"/>
        <v>Fair</v>
      </c>
    </row>
    <row r="330" spans="1:24" x14ac:dyDescent="0.3">
      <c r="A330" t="s">
        <v>398</v>
      </c>
      <c r="B330" t="s">
        <v>39</v>
      </c>
      <c r="C330">
        <v>41</v>
      </c>
      <c r="D330" t="s">
        <v>31</v>
      </c>
      <c r="E330" t="s">
        <v>22</v>
      </c>
      <c r="F330" t="s">
        <v>32</v>
      </c>
      <c r="G330" t="s">
        <v>58</v>
      </c>
      <c r="H330" t="s">
        <v>83</v>
      </c>
      <c r="I330" t="s">
        <v>54</v>
      </c>
      <c r="J330" t="s">
        <v>27</v>
      </c>
      <c r="K330">
        <v>3</v>
      </c>
      <c r="L330">
        <v>92436</v>
      </c>
      <c r="M330" t="s">
        <v>28</v>
      </c>
      <c r="N330">
        <v>1</v>
      </c>
      <c r="O330">
        <v>1</v>
      </c>
      <c r="P330">
        <v>63</v>
      </c>
      <c r="Q330">
        <v>1</v>
      </c>
      <c r="R330" s="1">
        <v>44123</v>
      </c>
      <c r="S330" t="s">
        <v>37</v>
      </c>
      <c r="T330" t="str">
        <f t="shared" si="25"/>
        <v>Grade A</v>
      </c>
      <c r="U330">
        <f t="shared" si="26"/>
        <v>3</v>
      </c>
      <c r="V330" t="str">
        <f t="shared" si="27"/>
        <v>Junior</v>
      </c>
      <c r="W330" t="str">
        <f t="shared" si="28"/>
        <v>Already Left</v>
      </c>
      <c r="X330" t="str">
        <f t="shared" si="29"/>
        <v>Competitive</v>
      </c>
    </row>
    <row r="331" spans="1:24" x14ac:dyDescent="0.3">
      <c r="A331" t="s">
        <v>399</v>
      </c>
      <c r="B331" t="s">
        <v>20</v>
      </c>
      <c r="C331">
        <v>45</v>
      </c>
      <c r="D331" t="s">
        <v>57</v>
      </c>
      <c r="E331" t="s">
        <v>22</v>
      </c>
      <c r="F331" t="s">
        <v>62</v>
      </c>
      <c r="G331" t="s">
        <v>66</v>
      </c>
      <c r="H331" t="s">
        <v>34</v>
      </c>
      <c r="I331" t="s">
        <v>68</v>
      </c>
      <c r="J331" t="s">
        <v>60</v>
      </c>
      <c r="K331">
        <v>8</v>
      </c>
      <c r="L331">
        <v>42174</v>
      </c>
      <c r="M331" t="s">
        <v>28</v>
      </c>
      <c r="N331">
        <v>4</v>
      </c>
      <c r="O331">
        <v>1</v>
      </c>
      <c r="P331">
        <v>47</v>
      </c>
      <c r="Q331">
        <v>3</v>
      </c>
      <c r="R331" s="1">
        <v>42219</v>
      </c>
      <c r="S331" t="s">
        <v>37</v>
      </c>
      <c r="T331" t="str">
        <f t="shared" si="25"/>
        <v>Grade C</v>
      </c>
      <c r="U331">
        <f t="shared" si="26"/>
        <v>3</v>
      </c>
      <c r="V331" t="str">
        <f t="shared" si="27"/>
        <v>Mid Level</v>
      </c>
      <c r="W331" t="str">
        <f t="shared" si="28"/>
        <v>Already Left</v>
      </c>
      <c r="X331" t="str">
        <f t="shared" si="29"/>
        <v>Fair</v>
      </c>
    </row>
    <row r="332" spans="1:24" x14ac:dyDescent="0.3">
      <c r="A332" t="s">
        <v>400</v>
      </c>
      <c r="B332" t="s">
        <v>39</v>
      </c>
      <c r="C332">
        <v>25</v>
      </c>
      <c r="D332" t="s">
        <v>21</v>
      </c>
      <c r="E332" t="s">
        <v>40</v>
      </c>
      <c r="F332" t="s">
        <v>41</v>
      </c>
      <c r="G332" t="s">
        <v>63</v>
      </c>
      <c r="H332" t="s">
        <v>25</v>
      </c>
      <c r="I332" t="s">
        <v>68</v>
      </c>
      <c r="J332" t="s">
        <v>60</v>
      </c>
      <c r="K332">
        <v>9</v>
      </c>
      <c r="L332">
        <v>70191</v>
      </c>
      <c r="M332" t="s">
        <v>45</v>
      </c>
      <c r="N332">
        <v>1</v>
      </c>
      <c r="O332">
        <v>4</v>
      </c>
      <c r="P332">
        <v>46</v>
      </c>
      <c r="Q332">
        <v>3</v>
      </c>
      <c r="R332" s="1">
        <v>41651</v>
      </c>
      <c r="S332" t="s">
        <v>29</v>
      </c>
      <c r="T332" t="str">
        <f t="shared" si="25"/>
        <v>Grade B</v>
      </c>
      <c r="U332">
        <f t="shared" si="26"/>
        <v>2</v>
      </c>
      <c r="V332" t="str">
        <f t="shared" si="27"/>
        <v>Mid Level</v>
      </c>
      <c r="W332" t="str">
        <f t="shared" si="28"/>
        <v>Medium Risk</v>
      </c>
      <c r="X332" t="str">
        <f t="shared" si="29"/>
        <v>Fair</v>
      </c>
    </row>
    <row r="333" spans="1:24" x14ac:dyDescent="0.3">
      <c r="A333" t="s">
        <v>401</v>
      </c>
      <c r="B333" t="s">
        <v>20</v>
      </c>
      <c r="C333">
        <v>53</v>
      </c>
      <c r="D333" t="s">
        <v>47</v>
      </c>
      <c r="E333" t="s">
        <v>40</v>
      </c>
      <c r="F333" t="s">
        <v>65</v>
      </c>
      <c r="G333" t="s">
        <v>24</v>
      </c>
      <c r="H333" t="s">
        <v>25</v>
      </c>
      <c r="I333" t="s">
        <v>54</v>
      </c>
      <c r="J333" t="s">
        <v>27</v>
      </c>
      <c r="K333">
        <v>15</v>
      </c>
      <c r="L333">
        <v>113436</v>
      </c>
      <c r="M333" t="s">
        <v>45</v>
      </c>
      <c r="N333">
        <v>2</v>
      </c>
      <c r="O333">
        <v>3</v>
      </c>
      <c r="P333">
        <v>34</v>
      </c>
      <c r="Q333">
        <v>0</v>
      </c>
      <c r="R333" s="1">
        <v>39551</v>
      </c>
      <c r="S333" t="s">
        <v>29</v>
      </c>
      <c r="T333" t="str">
        <f t="shared" si="25"/>
        <v>Grade A</v>
      </c>
      <c r="U333">
        <f t="shared" si="26"/>
        <v>2</v>
      </c>
      <c r="V333" t="str">
        <f t="shared" si="27"/>
        <v>Senior</v>
      </c>
      <c r="W333" t="str">
        <f t="shared" si="28"/>
        <v>Medium Risk</v>
      </c>
      <c r="X333" t="str">
        <f t="shared" si="29"/>
        <v>Fair</v>
      </c>
    </row>
    <row r="334" spans="1:24" x14ac:dyDescent="0.3">
      <c r="A334" t="s">
        <v>402</v>
      </c>
      <c r="B334" t="s">
        <v>20</v>
      </c>
      <c r="C334">
        <v>44</v>
      </c>
      <c r="D334" t="s">
        <v>88</v>
      </c>
      <c r="E334" t="s">
        <v>40</v>
      </c>
      <c r="F334" t="s">
        <v>23</v>
      </c>
      <c r="G334" t="s">
        <v>49</v>
      </c>
      <c r="H334" t="s">
        <v>76</v>
      </c>
      <c r="I334" t="s">
        <v>26</v>
      </c>
      <c r="J334" t="s">
        <v>27</v>
      </c>
      <c r="K334">
        <v>12</v>
      </c>
      <c r="L334">
        <v>77586</v>
      </c>
      <c r="M334" t="s">
        <v>51</v>
      </c>
      <c r="N334">
        <v>2</v>
      </c>
      <c r="O334">
        <v>1</v>
      </c>
      <c r="P334">
        <v>35</v>
      </c>
      <c r="Q334">
        <v>2</v>
      </c>
      <c r="R334" s="1">
        <v>40889</v>
      </c>
      <c r="S334" t="s">
        <v>29</v>
      </c>
      <c r="T334" t="str">
        <f t="shared" si="25"/>
        <v>Grade B</v>
      </c>
      <c r="U334">
        <f t="shared" si="26"/>
        <v>4</v>
      </c>
      <c r="V334" t="str">
        <f t="shared" si="27"/>
        <v>Senior</v>
      </c>
      <c r="W334" t="str">
        <f t="shared" si="28"/>
        <v>Low Risk</v>
      </c>
      <c r="X334" t="str">
        <f t="shared" si="29"/>
        <v>Fair</v>
      </c>
    </row>
    <row r="335" spans="1:24" x14ac:dyDescent="0.3">
      <c r="A335" t="s">
        <v>403</v>
      </c>
      <c r="B335" t="s">
        <v>20</v>
      </c>
      <c r="C335">
        <v>43</v>
      </c>
      <c r="D335" t="s">
        <v>57</v>
      </c>
      <c r="E335" t="s">
        <v>40</v>
      </c>
      <c r="F335" t="s">
        <v>41</v>
      </c>
      <c r="G335" t="s">
        <v>66</v>
      </c>
      <c r="H335" t="s">
        <v>25</v>
      </c>
      <c r="I335" t="s">
        <v>80</v>
      </c>
      <c r="J335" t="s">
        <v>60</v>
      </c>
      <c r="K335">
        <v>9</v>
      </c>
      <c r="L335">
        <v>43200</v>
      </c>
      <c r="M335" t="s">
        <v>45</v>
      </c>
      <c r="N335">
        <v>1</v>
      </c>
      <c r="O335">
        <v>2</v>
      </c>
      <c r="P335">
        <v>34</v>
      </c>
      <c r="Q335">
        <v>2</v>
      </c>
      <c r="R335" s="1">
        <v>41656</v>
      </c>
      <c r="S335" t="s">
        <v>37</v>
      </c>
      <c r="T335" t="str">
        <f t="shared" si="25"/>
        <v>Grade C</v>
      </c>
      <c r="U335">
        <f t="shared" si="26"/>
        <v>2</v>
      </c>
      <c r="V335" t="str">
        <f t="shared" si="27"/>
        <v>Mid Level</v>
      </c>
      <c r="W335" t="str">
        <f t="shared" si="28"/>
        <v>Already Left</v>
      </c>
      <c r="X335" t="str">
        <f t="shared" si="29"/>
        <v>Fair</v>
      </c>
    </row>
    <row r="336" spans="1:24" x14ac:dyDescent="0.3">
      <c r="A336" t="s">
        <v>404</v>
      </c>
      <c r="B336" t="s">
        <v>20</v>
      </c>
      <c r="C336">
        <v>43</v>
      </c>
      <c r="D336" t="s">
        <v>57</v>
      </c>
      <c r="E336" t="s">
        <v>48</v>
      </c>
      <c r="F336" t="s">
        <v>78</v>
      </c>
      <c r="G336" t="s">
        <v>24</v>
      </c>
      <c r="H336" t="s">
        <v>76</v>
      </c>
      <c r="I336" t="s">
        <v>72</v>
      </c>
      <c r="J336" t="s">
        <v>73</v>
      </c>
      <c r="K336">
        <v>11</v>
      </c>
      <c r="L336">
        <v>102777</v>
      </c>
      <c r="M336" t="s">
        <v>51</v>
      </c>
      <c r="N336">
        <v>1</v>
      </c>
      <c r="O336">
        <v>3</v>
      </c>
      <c r="P336">
        <v>50</v>
      </c>
      <c r="Q336">
        <v>0</v>
      </c>
      <c r="R336" s="1">
        <v>40956</v>
      </c>
      <c r="S336" t="s">
        <v>29</v>
      </c>
      <c r="T336" t="str">
        <f t="shared" si="25"/>
        <v>Grade A</v>
      </c>
      <c r="U336">
        <f t="shared" si="26"/>
        <v>4</v>
      </c>
      <c r="V336" t="str">
        <f t="shared" si="27"/>
        <v>Senior</v>
      </c>
      <c r="W336" t="str">
        <f t="shared" si="28"/>
        <v>Low Risk</v>
      </c>
      <c r="X336" t="str">
        <f t="shared" si="29"/>
        <v>Competitive</v>
      </c>
    </row>
    <row r="337" spans="1:24" x14ac:dyDescent="0.3">
      <c r="A337" t="s">
        <v>405</v>
      </c>
      <c r="B337" t="s">
        <v>39</v>
      </c>
      <c r="C337">
        <v>46</v>
      </c>
      <c r="D337" t="s">
        <v>47</v>
      </c>
      <c r="E337" t="s">
        <v>40</v>
      </c>
      <c r="F337" t="s">
        <v>65</v>
      </c>
      <c r="G337" t="s">
        <v>42</v>
      </c>
      <c r="H337" t="s">
        <v>25</v>
      </c>
      <c r="I337" t="s">
        <v>59</v>
      </c>
      <c r="J337" t="s">
        <v>60</v>
      </c>
      <c r="K337">
        <v>3</v>
      </c>
      <c r="L337">
        <v>92021</v>
      </c>
      <c r="M337" t="s">
        <v>51</v>
      </c>
      <c r="N337">
        <v>1</v>
      </c>
      <c r="O337">
        <v>3</v>
      </c>
      <c r="P337">
        <v>50</v>
      </c>
      <c r="Q337">
        <v>0</v>
      </c>
      <c r="R337" s="1">
        <v>44005</v>
      </c>
      <c r="S337" t="s">
        <v>29</v>
      </c>
      <c r="T337" t="str">
        <f t="shared" si="25"/>
        <v>Grade A</v>
      </c>
      <c r="U337">
        <f t="shared" si="26"/>
        <v>4</v>
      </c>
      <c r="V337" t="str">
        <f t="shared" si="27"/>
        <v>Junior</v>
      </c>
      <c r="W337" t="str">
        <f t="shared" si="28"/>
        <v>Low Risk</v>
      </c>
      <c r="X337" t="str">
        <f t="shared" si="29"/>
        <v>Competitive</v>
      </c>
    </row>
    <row r="338" spans="1:24" x14ac:dyDescent="0.3">
      <c r="A338" t="s">
        <v>406</v>
      </c>
      <c r="B338" t="s">
        <v>20</v>
      </c>
      <c r="C338">
        <v>33</v>
      </c>
      <c r="D338" t="s">
        <v>21</v>
      </c>
      <c r="E338" t="s">
        <v>48</v>
      </c>
      <c r="F338" t="s">
        <v>75</v>
      </c>
      <c r="G338" t="s">
        <v>49</v>
      </c>
      <c r="H338" t="s">
        <v>83</v>
      </c>
      <c r="I338" t="s">
        <v>80</v>
      </c>
      <c r="J338" t="s">
        <v>60</v>
      </c>
      <c r="K338">
        <v>15</v>
      </c>
      <c r="L338">
        <v>82176</v>
      </c>
      <c r="M338" t="s">
        <v>36</v>
      </c>
      <c r="N338">
        <v>1</v>
      </c>
      <c r="O338">
        <v>2</v>
      </c>
      <c r="P338">
        <v>21</v>
      </c>
      <c r="Q338">
        <v>3</v>
      </c>
      <c r="R338" s="1">
        <v>39707</v>
      </c>
      <c r="S338" t="s">
        <v>37</v>
      </c>
      <c r="T338" t="str">
        <f t="shared" si="25"/>
        <v>Grade A</v>
      </c>
      <c r="U338">
        <f t="shared" si="26"/>
        <v>1</v>
      </c>
      <c r="V338" t="str">
        <f t="shared" si="27"/>
        <v>Senior</v>
      </c>
      <c r="W338" t="str">
        <f t="shared" si="28"/>
        <v>Already Left</v>
      </c>
      <c r="X338" t="str">
        <f t="shared" si="29"/>
        <v>Overpaid</v>
      </c>
    </row>
    <row r="339" spans="1:24" x14ac:dyDescent="0.3">
      <c r="A339" t="s">
        <v>407</v>
      </c>
      <c r="B339" t="s">
        <v>20</v>
      </c>
      <c r="C339">
        <v>31</v>
      </c>
      <c r="D339" t="s">
        <v>21</v>
      </c>
      <c r="E339" t="s">
        <v>40</v>
      </c>
      <c r="F339" t="s">
        <v>23</v>
      </c>
      <c r="G339" t="s">
        <v>66</v>
      </c>
      <c r="H339" t="s">
        <v>76</v>
      </c>
      <c r="I339" t="s">
        <v>35</v>
      </c>
      <c r="J339" t="s">
        <v>27</v>
      </c>
      <c r="K339">
        <v>4</v>
      </c>
      <c r="L339">
        <v>48842</v>
      </c>
      <c r="M339" t="s">
        <v>28</v>
      </c>
      <c r="N339">
        <v>2</v>
      </c>
      <c r="O339">
        <v>2</v>
      </c>
      <c r="P339">
        <v>14</v>
      </c>
      <c r="Q339">
        <v>3</v>
      </c>
      <c r="R339" s="1">
        <v>43674</v>
      </c>
      <c r="S339" t="s">
        <v>29</v>
      </c>
      <c r="T339" t="str">
        <f t="shared" si="25"/>
        <v>Grade C</v>
      </c>
      <c r="U339">
        <f t="shared" si="26"/>
        <v>3</v>
      </c>
      <c r="V339" t="str">
        <f t="shared" si="27"/>
        <v>Junior</v>
      </c>
      <c r="W339" t="str">
        <f t="shared" si="28"/>
        <v>Medium Risk</v>
      </c>
      <c r="X339" t="str">
        <f t="shared" si="29"/>
        <v>Fair</v>
      </c>
    </row>
    <row r="340" spans="1:24" x14ac:dyDescent="0.3">
      <c r="A340" t="s">
        <v>408</v>
      </c>
      <c r="B340" t="s">
        <v>20</v>
      </c>
      <c r="C340">
        <v>24</v>
      </c>
      <c r="D340" t="s">
        <v>21</v>
      </c>
      <c r="E340" t="s">
        <v>40</v>
      </c>
      <c r="F340" t="s">
        <v>41</v>
      </c>
      <c r="G340" t="s">
        <v>58</v>
      </c>
      <c r="H340" t="s">
        <v>83</v>
      </c>
      <c r="I340" t="s">
        <v>43</v>
      </c>
      <c r="J340" t="s">
        <v>44</v>
      </c>
      <c r="K340">
        <v>15</v>
      </c>
      <c r="L340">
        <v>124473</v>
      </c>
      <c r="M340" t="s">
        <v>45</v>
      </c>
      <c r="N340">
        <v>3</v>
      </c>
      <c r="O340">
        <v>1</v>
      </c>
      <c r="P340">
        <v>49</v>
      </c>
      <c r="Q340">
        <v>1</v>
      </c>
      <c r="R340" s="1">
        <v>39647</v>
      </c>
      <c r="S340" t="s">
        <v>37</v>
      </c>
      <c r="T340" t="str">
        <f t="shared" si="25"/>
        <v>Grade A</v>
      </c>
      <c r="U340">
        <f t="shared" si="26"/>
        <v>2</v>
      </c>
      <c r="V340" t="str">
        <f t="shared" si="27"/>
        <v>Senior</v>
      </c>
      <c r="W340" t="str">
        <f t="shared" si="28"/>
        <v>Already Left</v>
      </c>
      <c r="X340" t="str">
        <f t="shared" si="29"/>
        <v>Fair</v>
      </c>
    </row>
    <row r="341" spans="1:24" x14ac:dyDescent="0.3">
      <c r="A341" t="s">
        <v>409</v>
      </c>
      <c r="B341" t="s">
        <v>39</v>
      </c>
      <c r="C341">
        <v>32</v>
      </c>
      <c r="D341" t="s">
        <v>31</v>
      </c>
      <c r="E341" t="s">
        <v>22</v>
      </c>
      <c r="F341" t="s">
        <v>32</v>
      </c>
      <c r="G341" t="s">
        <v>66</v>
      </c>
      <c r="H341" t="s">
        <v>67</v>
      </c>
      <c r="I341" t="s">
        <v>72</v>
      </c>
      <c r="J341" t="s">
        <v>73</v>
      </c>
      <c r="K341">
        <v>5</v>
      </c>
      <c r="L341">
        <v>49454</v>
      </c>
      <c r="M341" t="s">
        <v>45</v>
      </c>
      <c r="N341">
        <v>1</v>
      </c>
      <c r="O341">
        <v>1</v>
      </c>
      <c r="P341">
        <v>36</v>
      </c>
      <c r="Q341">
        <v>2</v>
      </c>
      <c r="R341" s="1">
        <v>43328</v>
      </c>
      <c r="S341" t="s">
        <v>37</v>
      </c>
      <c r="T341" t="str">
        <f t="shared" si="25"/>
        <v>Grade C</v>
      </c>
      <c r="U341">
        <f t="shared" si="26"/>
        <v>2</v>
      </c>
      <c r="V341" t="str">
        <f t="shared" si="27"/>
        <v>Junior</v>
      </c>
      <c r="W341" t="str">
        <f t="shared" si="28"/>
        <v>Already Left</v>
      </c>
      <c r="X341" t="str">
        <f t="shared" si="29"/>
        <v>Fair</v>
      </c>
    </row>
    <row r="342" spans="1:24" x14ac:dyDescent="0.3">
      <c r="A342" t="s">
        <v>410</v>
      </c>
      <c r="B342" t="s">
        <v>39</v>
      </c>
      <c r="C342">
        <v>41</v>
      </c>
      <c r="D342" t="s">
        <v>88</v>
      </c>
      <c r="E342" t="s">
        <v>48</v>
      </c>
      <c r="F342" t="s">
        <v>65</v>
      </c>
      <c r="G342" t="s">
        <v>42</v>
      </c>
      <c r="H342" t="s">
        <v>25</v>
      </c>
      <c r="I342" t="s">
        <v>35</v>
      </c>
      <c r="J342" t="s">
        <v>27</v>
      </c>
      <c r="K342">
        <v>12</v>
      </c>
      <c r="L342">
        <v>127811</v>
      </c>
      <c r="M342" t="s">
        <v>28</v>
      </c>
      <c r="N342">
        <v>4</v>
      </c>
      <c r="O342">
        <v>1</v>
      </c>
      <c r="P342">
        <v>26</v>
      </c>
      <c r="Q342">
        <v>0</v>
      </c>
      <c r="R342" s="1">
        <v>40825</v>
      </c>
      <c r="S342" t="s">
        <v>29</v>
      </c>
      <c r="T342" t="str">
        <f t="shared" si="25"/>
        <v>Grade A</v>
      </c>
      <c r="U342">
        <f t="shared" si="26"/>
        <v>3</v>
      </c>
      <c r="V342" t="str">
        <f t="shared" si="27"/>
        <v>Senior</v>
      </c>
      <c r="W342" t="str">
        <f t="shared" si="28"/>
        <v>Medium Risk</v>
      </c>
      <c r="X342" t="str">
        <f t="shared" si="29"/>
        <v>Competitive</v>
      </c>
    </row>
    <row r="343" spans="1:24" x14ac:dyDescent="0.3">
      <c r="A343" t="s">
        <v>411</v>
      </c>
      <c r="B343" t="s">
        <v>20</v>
      </c>
      <c r="C343">
        <v>44</v>
      </c>
      <c r="D343" t="s">
        <v>31</v>
      </c>
      <c r="E343" t="s">
        <v>48</v>
      </c>
      <c r="F343" t="s">
        <v>23</v>
      </c>
      <c r="G343" t="s">
        <v>79</v>
      </c>
      <c r="H343" t="s">
        <v>83</v>
      </c>
      <c r="I343" t="s">
        <v>96</v>
      </c>
      <c r="J343" t="s">
        <v>44</v>
      </c>
      <c r="K343">
        <v>1</v>
      </c>
      <c r="L343">
        <v>45974</v>
      </c>
      <c r="M343" t="s">
        <v>36</v>
      </c>
      <c r="N343">
        <v>2</v>
      </c>
      <c r="O343">
        <v>1</v>
      </c>
      <c r="P343">
        <v>69</v>
      </c>
      <c r="Q343">
        <v>1</v>
      </c>
      <c r="R343" s="1">
        <v>44567</v>
      </c>
      <c r="S343" t="s">
        <v>37</v>
      </c>
      <c r="T343" t="str">
        <f t="shared" si="25"/>
        <v>Grade C</v>
      </c>
      <c r="U343">
        <f t="shared" si="26"/>
        <v>1</v>
      </c>
      <c r="V343" t="str">
        <f t="shared" si="27"/>
        <v>New Joiner</v>
      </c>
      <c r="W343" t="str">
        <f t="shared" si="28"/>
        <v>Already Left</v>
      </c>
      <c r="X343" t="str">
        <f t="shared" si="29"/>
        <v>Fair</v>
      </c>
    </row>
    <row r="344" spans="1:24" x14ac:dyDescent="0.3">
      <c r="A344" t="s">
        <v>412</v>
      </c>
      <c r="B344" t="s">
        <v>20</v>
      </c>
      <c r="C344">
        <v>45</v>
      </c>
      <c r="D344" t="s">
        <v>57</v>
      </c>
      <c r="E344" t="s">
        <v>22</v>
      </c>
      <c r="F344" t="s">
        <v>78</v>
      </c>
      <c r="G344" t="s">
        <v>33</v>
      </c>
      <c r="H344" t="s">
        <v>83</v>
      </c>
      <c r="I344" t="s">
        <v>26</v>
      </c>
      <c r="J344" t="s">
        <v>27</v>
      </c>
      <c r="K344">
        <v>5</v>
      </c>
      <c r="L344">
        <v>75418</v>
      </c>
      <c r="M344" t="s">
        <v>36</v>
      </c>
      <c r="N344">
        <v>3</v>
      </c>
      <c r="O344">
        <v>3</v>
      </c>
      <c r="P344">
        <v>68</v>
      </c>
      <c r="Q344">
        <v>3</v>
      </c>
      <c r="R344" s="1">
        <v>43394</v>
      </c>
      <c r="S344" t="s">
        <v>37</v>
      </c>
      <c r="T344" t="str">
        <f t="shared" si="25"/>
        <v>Grade B</v>
      </c>
      <c r="U344">
        <f t="shared" si="26"/>
        <v>1</v>
      </c>
      <c r="V344" t="str">
        <f t="shared" si="27"/>
        <v>Junior</v>
      </c>
      <c r="W344" t="str">
        <f t="shared" si="28"/>
        <v>Already Left</v>
      </c>
      <c r="X344" t="str">
        <f t="shared" si="29"/>
        <v>Fair</v>
      </c>
    </row>
    <row r="345" spans="1:24" x14ac:dyDescent="0.3">
      <c r="A345" t="s">
        <v>413</v>
      </c>
      <c r="B345" t="s">
        <v>20</v>
      </c>
      <c r="C345">
        <v>30</v>
      </c>
      <c r="D345" t="s">
        <v>88</v>
      </c>
      <c r="E345" t="s">
        <v>22</v>
      </c>
      <c r="F345" t="s">
        <v>41</v>
      </c>
      <c r="G345" t="s">
        <v>33</v>
      </c>
      <c r="H345" t="s">
        <v>76</v>
      </c>
      <c r="I345" t="s">
        <v>50</v>
      </c>
      <c r="J345" t="s">
        <v>44</v>
      </c>
      <c r="K345">
        <v>6</v>
      </c>
      <c r="L345">
        <v>77113</v>
      </c>
      <c r="M345" t="s">
        <v>51</v>
      </c>
      <c r="N345">
        <v>4</v>
      </c>
      <c r="O345">
        <v>1</v>
      </c>
      <c r="P345">
        <v>51</v>
      </c>
      <c r="Q345">
        <v>0</v>
      </c>
      <c r="R345" s="1">
        <v>42958</v>
      </c>
      <c r="S345" t="s">
        <v>29</v>
      </c>
      <c r="T345" t="str">
        <f t="shared" si="25"/>
        <v>Grade B</v>
      </c>
      <c r="U345">
        <f t="shared" si="26"/>
        <v>4</v>
      </c>
      <c r="V345" t="str">
        <f t="shared" si="27"/>
        <v>Mid Level</v>
      </c>
      <c r="W345" t="str">
        <f t="shared" si="28"/>
        <v>Low Risk</v>
      </c>
      <c r="X345" t="str">
        <f t="shared" si="29"/>
        <v>Fair</v>
      </c>
    </row>
    <row r="346" spans="1:24" x14ac:dyDescent="0.3">
      <c r="A346" t="s">
        <v>414</v>
      </c>
      <c r="B346" t="s">
        <v>39</v>
      </c>
      <c r="C346">
        <v>43</v>
      </c>
      <c r="D346" t="s">
        <v>47</v>
      </c>
      <c r="E346" t="s">
        <v>40</v>
      </c>
      <c r="F346" t="s">
        <v>78</v>
      </c>
      <c r="G346" t="s">
        <v>49</v>
      </c>
      <c r="H346" t="s">
        <v>76</v>
      </c>
      <c r="I346" t="s">
        <v>80</v>
      </c>
      <c r="J346" t="s">
        <v>60</v>
      </c>
      <c r="K346">
        <v>4</v>
      </c>
      <c r="L346">
        <v>65955</v>
      </c>
      <c r="M346" t="s">
        <v>36</v>
      </c>
      <c r="N346">
        <v>4</v>
      </c>
      <c r="O346">
        <v>4</v>
      </c>
      <c r="P346">
        <v>53</v>
      </c>
      <c r="Q346">
        <v>1</v>
      </c>
      <c r="R346" s="1">
        <v>43636</v>
      </c>
      <c r="S346" t="s">
        <v>37</v>
      </c>
      <c r="T346" t="str">
        <f t="shared" si="25"/>
        <v>Grade B</v>
      </c>
      <c r="U346">
        <f t="shared" si="26"/>
        <v>1</v>
      </c>
      <c r="V346" t="str">
        <f t="shared" si="27"/>
        <v>Junior</v>
      </c>
      <c r="W346" t="str">
        <f t="shared" si="28"/>
        <v>Already Left</v>
      </c>
      <c r="X346" t="str">
        <f t="shared" si="29"/>
        <v>Fair</v>
      </c>
    </row>
    <row r="347" spans="1:24" x14ac:dyDescent="0.3">
      <c r="A347" t="s">
        <v>415</v>
      </c>
      <c r="B347" t="s">
        <v>39</v>
      </c>
      <c r="C347">
        <v>41</v>
      </c>
      <c r="D347" t="s">
        <v>57</v>
      </c>
      <c r="E347" t="s">
        <v>22</v>
      </c>
      <c r="F347" t="s">
        <v>41</v>
      </c>
      <c r="G347" t="s">
        <v>33</v>
      </c>
      <c r="H347" t="s">
        <v>34</v>
      </c>
      <c r="I347" t="s">
        <v>68</v>
      </c>
      <c r="J347" t="s">
        <v>60</v>
      </c>
      <c r="K347">
        <v>2</v>
      </c>
      <c r="L347">
        <v>64661</v>
      </c>
      <c r="M347" t="s">
        <v>36</v>
      </c>
      <c r="N347">
        <v>1</v>
      </c>
      <c r="O347">
        <v>4</v>
      </c>
      <c r="P347">
        <v>51</v>
      </c>
      <c r="Q347">
        <v>3</v>
      </c>
      <c r="R347" s="1">
        <v>44335</v>
      </c>
      <c r="S347" t="s">
        <v>37</v>
      </c>
      <c r="T347" t="str">
        <f t="shared" si="25"/>
        <v>Grade B</v>
      </c>
      <c r="U347">
        <f t="shared" si="26"/>
        <v>1</v>
      </c>
      <c r="V347" t="str">
        <f t="shared" si="27"/>
        <v>New Joiner</v>
      </c>
      <c r="W347" t="str">
        <f t="shared" si="28"/>
        <v>Already Left</v>
      </c>
      <c r="X347" t="str">
        <f t="shared" si="29"/>
        <v>Fair</v>
      </c>
    </row>
    <row r="348" spans="1:24" x14ac:dyDescent="0.3">
      <c r="A348" t="s">
        <v>416</v>
      </c>
      <c r="B348" t="s">
        <v>20</v>
      </c>
      <c r="C348">
        <v>46</v>
      </c>
      <c r="D348" t="s">
        <v>88</v>
      </c>
      <c r="E348" t="s">
        <v>40</v>
      </c>
      <c r="F348" t="s">
        <v>41</v>
      </c>
      <c r="G348" t="s">
        <v>58</v>
      </c>
      <c r="H348" t="s">
        <v>67</v>
      </c>
      <c r="I348" t="s">
        <v>50</v>
      </c>
      <c r="J348" t="s">
        <v>44</v>
      </c>
      <c r="K348">
        <v>15</v>
      </c>
      <c r="L348">
        <v>109807</v>
      </c>
      <c r="M348" t="s">
        <v>28</v>
      </c>
      <c r="N348">
        <v>4</v>
      </c>
      <c r="O348">
        <v>2</v>
      </c>
      <c r="P348">
        <v>36</v>
      </c>
      <c r="Q348">
        <v>2</v>
      </c>
      <c r="R348" s="1">
        <v>39586</v>
      </c>
      <c r="S348" t="s">
        <v>29</v>
      </c>
      <c r="T348" t="str">
        <f t="shared" si="25"/>
        <v>Grade A</v>
      </c>
      <c r="U348">
        <f t="shared" si="26"/>
        <v>3</v>
      </c>
      <c r="V348" t="str">
        <f t="shared" si="27"/>
        <v>Senior</v>
      </c>
      <c r="W348" t="str">
        <f t="shared" si="28"/>
        <v>Medium Risk</v>
      </c>
      <c r="X348" t="str">
        <f t="shared" si="29"/>
        <v>Competitive</v>
      </c>
    </row>
    <row r="349" spans="1:24" x14ac:dyDescent="0.3">
      <c r="A349" t="s">
        <v>417</v>
      </c>
      <c r="B349" t="s">
        <v>20</v>
      </c>
      <c r="C349">
        <v>25</v>
      </c>
      <c r="D349" t="s">
        <v>31</v>
      </c>
      <c r="E349" t="s">
        <v>40</v>
      </c>
      <c r="F349" t="s">
        <v>62</v>
      </c>
      <c r="G349" t="s">
        <v>58</v>
      </c>
      <c r="H349" t="s">
        <v>76</v>
      </c>
      <c r="I349" t="s">
        <v>80</v>
      </c>
      <c r="J349" t="s">
        <v>60</v>
      </c>
      <c r="K349">
        <v>2</v>
      </c>
      <c r="L349">
        <v>95725</v>
      </c>
      <c r="M349" t="s">
        <v>45</v>
      </c>
      <c r="N349">
        <v>1</v>
      </c>
      <c r="O349">
        <v>1</v>
      </c>
      <c r="P349">
        <v>55</v>
      </c>
      <c r="Q349">
        <v>0</v>
      </c>
      <c r="R349" s="1">
        <v>44497</v>
      </c>
      <c r="S349" t="s">
        <v>29</v>
      </c>
      <c r="T349" t="str">
        <f t="shared" si="25"/>
        <v>Grade A</v>
      </c>
      <c r="U349">
        <f t="shared" si="26"/>
        <v>2</v>
      </c>
      <c r="V349" t="str">
        <f t="shared" si="27"/>
        <v>New Joiner</v>
      </c>
      <c r="W349" t="str">
        <f t="shared" si="28"/>
        <v>Medium Risk</v>
      </c>
      <c r="X349" t="str">
        <f t="shared" si="29"/>
        <v>Fair</v>
      </c>
    </row>
    <row r="350" spans="1:24" x14ac:dyDescent="0.3">
      <c r="A350" t="s">
        <v>418</v>
      </c>
      <c r="B350" t="s">
        <v>20</v>
      </c>
      <c r="C350">
        <v>35</v>
      </c>
      <c r="D350" t="s">
        <v>47</v>
      </c>
      <c r="E350" t="s">
        <v>48</v>
      </c>
      <c r="F350" t="s">
        <v>23</v>
      </c>
      <c r="G350" t="s">
        <v>63</v>
      </c>
      <c r="H350" t="s">
        <v>67</v>
      </c>
      <c r="I350" t="s">
        <v>80</v>
      </c>
      <c r="J350" t="s">
        <v>60</v>
      </c>
      <c r="K350">
        <v>12</v>
      </c>
      <c r="L350">
        <v>69424</v>
      </c>
      <c r="M350" t="s">
        <v>36</v>
      </c>
      <c r="N350">
        <v>2</v>
      </c>
      <c r="O350">
        <v>2</v>
      </c>
      <c r="P350">
        <v>59</v>
      </c>
      <c r="Q350">
        <v>2</v>
      </c>
      <c r="R350" s="1">
        <v>40717</v>
      </c>
      <c r="S350" t="s">
        <v>37</v>
      </c>
      <c r="T350" t="str">
        <f t="shared" si="25"/>
        <v>Grade B</v>
      </c>
      <c r="U350">
        <f t="shared" si="26"/>
        <v>1</v>
      </c>
      <c r="V350" t="str">
        <f t="shared" si="27"/>
        <v>Senior</v>
      </c>
      <c r="W350" t="str">
        <f t="shared" si="28"/>
        <v>Already Left</v>
      </c>
      <c r="X350" t="str">
        <f t="shared" si="29"/>
        <v>Fair</v>
      </c>
    </row>
    <row r="351" spans="1:24" x14ac:dyDescent="0.3">
      <c r="A351" t="s">
        <v>419</v>
      </c>
      <c r="B351" t="s">
        <v>20</v>
      </c>
      <c r="C351">
        <v>49</v>
      </c>
      <c r="D351" t="s">
        <v>47</v>
      </c>
      <c r="E351" t="s">
        <v>22</v>
      </c>
      <c r="F351" t="s">
        <v>53</v>
      </c>
      <c r="G351" t="s">
        <v>58</v>
      </c>
      <c r="H351" t="s">
        <v>25</v>
      </c>
      <c r="I351" t="s">
        <v>43</v>
      </c>
      <c r="J351" t="s">
        <v>44</v>
      </c>
      <c r="K351">
        <v>3</v>
      </c>
      <c r="L351">
        <v>83350</v>
      </c>
      <c r="M351" t="s">
        <v>28</v>
      </c>
      <c r="N351">
        <v>2</v>
      </c>
      <c r="O351">
        <v>4</v>
      </c>
      <c r="P351">
        <v>68</v>
      </c>
      <c r="Q351">
        <v>3</v>
      </c>
      <c r="R351" s="1">
        <v>44124</v>
      </c>
      <c r="S351" t="s">
        <v>37</v>
      </c>
      <c r="T351" t="str">
        <f t="shared" si="25"/>
        <v>Grade A</v>
      </c>
      <c r="U351">
        <f t="shared" si="26"/>
        <v>3</v>
      </c>
      <c r="V351" t="str">
        <f t="shared" si="27"/>
        <v>Junior</v>
      </c>
      <c r="W351" t="str">
        <f t="shared" si="28"/>
        <v>Already Left</v>
      </c>
      <c r="X351" t="str">
        <f t="shared" si="29"/>
        <v>Competitive</v>
      </c>
    </row>
    <row r="352" spans="1:24" x14ac:dyDescent="0.3">
      <c r="A352" t="s">
        <v>420</v>
      </c>
      <c r="B352" t="s">
        <v>20</v>
      </c>
      <c r="C352">
        <v>22</v>
      </c>
      <c r="D352" t="s">
        <v>88</v>
      </c>
      <c r="E352" t="s">
        <v>48</v>
      </c>
      <c r="F352" t="s">
        <v>53</v>
      </c>
      <c r="G352" t="s">
        <v>33</v>
      </c>
      <c r="H352" t="s">
        <v>76</v>
      </c>
      <c r="I352" t="s">
        <v>54</v>
      </c>
      <c r="J352" t="s">
        <v>27</v>
      </c>
      <c r="K352">
        <v>9</v>
      </c>
      <c r="L352">
        <v>80606</v>
      </c>
      <c r="M352" t="s">
        <v>36</v>
      </c>
      <c r="N352">
        <v>2</v>
      </c>
      <c r="O352">
        <v>3</v>
      </c>
      <c r="P352">
        <v>62</v>
      </c>
      <c r="Q352">
        <v>2</v>
      </c>
      <c r="R352" s="1">
        <v>41912</v>
      </c>
      <c r="S352" t="s">
        <v>37</v>
      </c>
      <c r="T352" t="str">
        <f t="shared" si="25"/>
        <v>Grade A</v>
      </c>
      <c r="U352">
        <f t="shared" si="26"/>
        <v>1</v>
      </c>
      <c r="V352" t="str">
        <f t="shared" si="27"/>
        <v>Mid Level</v>
      </c>
      <c r="W352" t="str">
        <f t="shared" si="28"/>
        <v>Already Left</v>
      </c>
      <c r="X352" t="str">
        <f t="shared" si="29"/>
        <v>Overpaid</v>
      </c>
    </row>
    <row r="353" spans="1:24" x14ac:dyDescent="0.3">
      <c r="A353" t="s">
        <v>421</v>
      </c>
      <c r="B353" t="s">
        <v>39</v>
      </c>
      <c r="C353">
        <v>31</v>
      </c>
      <c r="D353" t="s">
        <v>88</v>
      </c>
      <c r="E353" t="s">
        <v>48</v>
      </c>
      <c r="F353" t="s">
        <v>23</v>
      </c>
      <c r="G353" t="s">
        <v>66</v>
      </c>
      <c r="H353" t="s">
        <v>34</v>
      </c>
      <c r="I353" t="s">
        <v>50</v>
      </c>
      <c r="J353" t="s">
        <v>44</v>
      </c>
      <c r="K353">
        <v>12</v>
      </c>
      <c r="L353">
        <v>52708</v>
      </c>
      <c r="M353" t="s">
        <v>36</v>
      </c>
      <c r="N353">
        <v>4</v>
      </c>
      <c r="O353">
        <v>1</v>
      </c>
      <c r="P353">
        <v>76</v>
      </c>
      <c r="Q353">
        <v>0</v>
      </c>
      <c r="R353" s="1">
        <v>40559</v>
      </c>
      <c r="S353" t="s">
        <v>37</v>
      </c>
      <c r="T353" t="str">
        <f t="shared" si="25"/>
        <v>Grade B</v>
      </c>
      <c r="U353">
        <f t="shared" si="26"/>
        <v>1</v>
      </c>
      <c r="V353" t="str">
        <f t="shared" si="27"/>
        <v>Senior</v>
      </c>
      <c r="W353" t="str">
        <f t="shared" si="28"/>
        <v>Already Left</v>
      </c>
      <c r="X353" t="str">
        <f t="shared" si="29"/>
        <v>Fair</v>
      </c>
    </row>
    <row r="354" spans="1:24" x14ac:dyDescent="0.3">
      <c r="A354" t="s">
        <v>422</v>
      </c>
      <c r="B354" t="s">
        <v>20</v>
      </c>
      <c r="C354">
        <v>51</v>
      </c>
      <c r="D354" t="s">
        <v>88</v>
      </c>
      <c r="E354" t="s">
        <v>48</v>
      </c>
      <c r="F354" t="s">
        <v>78</v>
      </c>
      <c r="G354" t="s">
        <v>58</v>
      </c>
      <c r="H354" t="s">
        <v>83</v>
      </c>
      <c r="I354" t="s">
        <v>59</v>
      </c>
      <c r="J354" t="s">
        <v>60</v>
      </c>
      <c r="K354">
        <v>10</v>
      </c>
      <c r="L354">
        <v>106257</v>
      </c>
      <c r="M354" t="s">
        <v>45</v>
      </c>
      <c r="N354">
        <v>3</v>
      </c>
      <c r="O354">
        <v>4</v>
      </c>
      <c r="P354">
        <v>55</v>
      </c>
      <c r="Q354">
        <v>2</v>
      </c>
      <c r="R354" s="1">
        <v>41637</v>
      </c>
      <c r="S354" t="s">
        <v>29</v>
      </c>
      <c r="T354" t="str">
        <f t="shared" si="25"/>
        <v>Grade A</v>
      </c>
      <c r="U354">
        <f t="shared" si="26"/>
        <v>2</v>
      </c>
      <c r="V354" t="str">
        <f t="shared" si="27"/>
        <v>Mid Level</v>
      </c>
      <c r="W354" t="str">
        <f t="shared" si="28"/>
        <v>Medium Risk</v>
      </c>
      <c r="X354" t="str">
        <f t="shared" si="29"/>
        <v>Fair</v>
      </c>
    </row>
    <row r="355" spans="1:24" x14ac:dyDescent="0.3">
      <c r="A355" t="s">
        <v>423</v>
      </c>
      <c r="B355" t="s">
        <v>39</v>
      </c>
      <c r="C355">
        <v>25</v>
      </c>
      <c r="D355" t="s">
        <v>31</v>
      </c>
      <c r="E355" t="s">
        <v>40</v>
      </c>
      <c r="F355" t="s">
        <v>53</v>
      </c>
      <c r="G355" t="s">
        <v>42</v>
      </c>
      <c r="H355" t="s">
        <v>83</v>
      </c>
      <c r="I355" t="s">
        <v>80</v>
      </c>
      <c r="J355" t="s">
        <v>60</v>
      </c>
      <c r="K355">
        <v>12</v>
      </c>
      <c r="L355">
        <v>111012</v>
      </c>
      <c r="M355" t="s">
        <v>45</v>
      </c>
      <c r="N355">
        <v>1</v>
      </c>
      <c r="O355">
        <v>3</v>
      </c>
      <c r="P355">
        <v>72</v>
      </c>
      <c r="Q355">
        <v>0</v>
      </c>
      <c r="R355" s="1">
        <v>40616</v>
      </c>
      <c r="S355" t="s">
        <v>29</v>
      </c>
      <c r="T355" t="str">
        <f t="shared" si="25"/>
        <v>Grade A</v>
      </c>
      <c r="U355">
        <f t="shared" si="26"/>
        <v>2</v>
      </c>
      <c r="V355" t="str">
        <f t="shared" si="27"/>
        <v>Senior</v>
      </c>
      <c r="W355" t="str">
        <f t="shared" si="28"/>
        <v>Medium Risk</v>
      </c>
      <c r="X355" t="str">
        <f t="shared" si="29"/>
        <v>Fair</v>
      </c>
    </row>
    <row r="356" spans="1:24" x14ac:dyDescent="0.3">
      <c r="A356" t="s">
        <v>424</v>
      </c>
      <c r="B356" t="s">
        <v>39</v>
      </c>
      <c r="C356">
        <v>33</v>
      </c>
      <c r="D356" t="s">
        <v>88</v>
      </c>
      <c r="E356" t="s">
        <v>40</v>
      </c>
      <c r="F356" t="s">
        <v>41</v>
      </c>
      <c r="G356" t="s">
        <v>42</v>
      </c>
      <c r="H356" t="s">
        <v>25</v>
      </c>
      <c r="I356" t="s">
        <v>68</v>
      </c>
      <c r="J356" t="s">
        <v>60</v>
      </c>
      <c r="K356">
        <v>3</v>
      </c>
      <c r="L356">
        <v>100018</v>
      </c>
      <c r="M356" t="s">
        <v>45</v>
      </c>
      <c r="N356">
        <v>2</v>
      </c>
      <c r="O356">
        <v>4</v>
      </c>
      <c r="P356">
        <v>57</v>
      </c>
      <c r="Q356">
        <v>1</v>
      </c>
      <c r="R356" s="1">
        <v>44190</v>
      </c>
      <c r="S356" t="s">
        <v>29</v>
      </c>
      <c r="T356" t="str">
        <f t="shared" si="25"/>
        <v>Grade A</v>
      </c>
      <c r="U356">
        <f t="shared" si="26"/>
        <v>2</v>
      </c>
      <c r="V356" t="str">
        <f t="shared" si="27"/>
        <v>Junior</v>
      </c>
      <c r="W356" t="str">
        <f t="shared" si="28"/>
        <v>Medium Risk</v>
      </c>
      <c r="X356" t="str">
        <f t="shared" si="29"/>
        <v>Fair</v>
      </c>
    </row>
    <row r="357" spans="1:24" x14ac:dyDescent="0.3">
      <c r="A357" t="s">
        <v>425</v>
      </c>
      <c r="B357" t="s">
        <v>39</v>
      </c>
      <c r="C357">
        <v>53</v>
      </c>
      <c r="D357" t="s">
        <v>57</v>
      </c>
      <c r="E357" t="s">
        <v>48</v>
      </c>
      <c r="F357" t="s">
        <v>32</v>
      </c>
      <c r="G357" t="s">
        <v>58</v>
      </c>
      <c r="H357" t="s">
        <v>76</v>
      </c>
      <c r="I357" t="s">
        <v>80</v>
      </c>
      <c r="J357" t="s">
        <v>60</v>
      </c>
      <c r="K357">
        <v>13</v>
      </c>
      <c r="L357">
        <v>112234</v>
      </c>
      <c r="M357" t="s">
        <v>28</v>
      </c>
      <c r="N357">
        <v>2</v>
      </c>
      <c r="O357">
        <v>4</v>
      </c>
      <c r="P357">
        <v>31</v>
      </c>
      <c r="Q357">
        <v>1</v>
      </c>
      <c r="R357" s="1">
        <v>40473</v>
      </c>
      <c r="S357" t="s">
        <v>37</v>
      </c>
      <c r="T357" t="str">
        <f t="shared" si="25"/>
        <v>Grade A</v>
      </c>
      <c r="U357">
        <f t="shared" si="26"/>
        <v>3</v>
      </c>
      <c r="V357" t="str">
        <f t="shared" si="27"/>
        <v>Senior</v>
      </c>
      <c r="W357" t="str">
        <f t="shared" si="28"/>
        <v>Already Left</v>
      </c>
      <c r="X357" t="str">
        <f t="shared" si="29"/>
        <v>Competitive</v>
      </c>
    </row>
    <row r="358" spans="1:24" x14ac:dyDescent="0.3">
      <c r="A358" t="s">
        <v>426</v>
      </c>
      <c r="B358" t="s">
        <v>20</v>
      </c>
      <c r="C358">
        <v>52</v>
      </c>
      <c r="D358" t="s">
        <v>31</v>
      </c>
      <c r="E358" t="s">
        <v>48</v>
      </c>
      <c r="F358" t="s">
        <v>65</v>
      </c>
      <c r="G358" t="s">
        <v>79</v>
      </c>
      <c r="H358" t="s">
        <v>83</v>
      </c>
      <c r="I358" t="s">
        <v>54</v>
      </c>
      <c r="J358" t="s">
        <v>27</v>
      </c>
      <c r="K358">
        <v>13</v>
      </c>
      <c r="L358">
        <v>57721</v>
      </c>
      <c r="M358" t="s">
        <v>45</v>
      </c>
      <c r="N358">
        <v>2</v>
      </c>
      <c r="O358">
        <v>4</v>
      </c>
      <c r="P358">
        <v>59</v>
      </c>
      <c r="Q358">
        <v>3</v>
      </c>
      <c r="R358" s="1">
        <v>40310</v>
      </c>
      <c r="S358" t="s">
        <v>29</v>
      </c>
      <c r="T358" t="str">
        <f t="shared" si="25"/>
        <v>Grade B</v>
      </c>
      <c r="U358">
        <f t="shared" si="26"/>
        <v>2</v>
      </c>
      <c r="V358" t="str">
        <f t="shared" si="27"/>
        <v>Senior</v>
      </c>
      <c r="W358" t="str">
        <f t="shared" si="28"/>
        <v>Medium Risk</v>
      </c>
      <c r="X358" t="str">
        <f t="shared" si="29"/>
        <v>Fair</v>
      </c>
    </row>
    <row r="359" spans="1:24" x14ac:dyDescent="0.3">
      <c r="A359" t="s">
        <v>427</v>
      </c>
      <c r="B359" t="s">
        <v>39</v>
      </c>
      <c r="C359">
        <v>28</v>
      </c>
      <c r="D359" t="s">
        <v>88</v>
      </c>
      <c r="E359" t="s">
        <v>40</v>
      </c>
      <c r="F359" t="s">
        <v>53</v>
      </c>
      <c r="G359" t="s">
        <v>42</v>
      </c>
      <c r="H359" t="s">
        <v>34</v>
      </c>
      <c r="I359" t="s">
        <v>80</v>
      </c>
      <c r="J359" t="s">
        <v>60</v>
      </c>
      <c r="K359">
        <v>1</v>
      </c>
      <c r="L359">
        <v>101706</v>
      </c>
      <c r="M359" t="s">
        <v>36</v>
      </c>
      <c r="N359">
        <v>3</v>
      </c>
      <c r="O359">
        <v>4</v>
      </c>
      <c r="P359">
        <v>44</v>
      </c>
      <c r="Q359">
        <v>2</v>
      </c>
      <c r="R359" s="1">
        <v>44766</v>
      </c>
      <c r="S359" t="s">
        <v>29</v>
      </c>
      <c r="T359" t="str">
        <f t="shared" si="25"/>
        <v>Grade A</v>
      </c>
      <c r="U359">
        <f t="shared" si="26"/>
        <v>1</v>
      </c>
      <c r="V359" t="str">
        <f t="shared" si="27"/>
        <v>New Joiner</v>
      </c>
      <c r="W359" t="str">
        <f t="shared" si="28"/>
        <v>High Risk</v>
      </c>
      <c r="X359" t="str">
        <f t="shared" si="29"/>
        <v>Overpaid</v>
      </c>
    </row>
    <row r="360" spans="1:24" x14ac:dyDescent="0.3">
      <c r="A360" t="s">
        <v>428</v>
      </c>
      <c r="B360" t="s">
        <v>39</v>
      </c>
      <c r="C360">
        <v>55</v>
      </c>
      <c r="D360" t="s">
        <v>31</v>
      </c>
      <c r="E360" t="s">
        <v>40</v>
      </c>
      <c r="F360" t="s">
        <v>62</v>
      </c>
      <c r="G360" t="s">
        <v>63</v>
      </c>
      <c r="H360" t="s">
        <v>83</v>
      </c>
      <c r="I360" t="s">
        <v>80</v>
      </c>
      <c r="J360" t="s">
        <v>60</v>
      </c>
      <c r="K360">
        <v>11</v>
      </c>
      <c r="L360">
        <v>72109</v>
      </c>
      <c r="M360" t="s">
        <v>45</v>
      </c>
      <c r="N360">
        <v>2</v>
      </c>
      <c r="O360">
        <v>3</v>
      </c>
      <c r="P360">
        <v>80</v>
      </c>
      <c r="Q360">
        <v>0</v>
      </c>
      <c r="R360" s="1">
        <v>40933</v>
      </c>
      <c r="S360" t="s">
        <v>29</v>
      </c>
      <c r="T360" t="str">
        <f t="shared" si="25"/>
        <v>Grade B</v>
      </c>
      <c r="U360">
        <f t="shared" si="26"/>
        <v>2</v>
      </c>
      <c r="V360" t="str">
        <f t="shared" si="27"/>
        <v>Senior</v>
      </c>
      <c r="W360" t="str">
        <f t="shared" si="28"/>
        <v>Medium Risk</v>
      </c>
      <c r="X360" t="str">
        <f t="shared" si="29"/>
        <v>Fair</v>
      </c>
    </row>
    <row r="361" spans="1:24" x14ac:dyDescent="0.3">
      <c r="A361" t="s">
        <v>429</v>
      </c>
      <c r="B361" t="s">
        <v>20</v>
      </c>
      <c r="C361">
        <v>34</v>
      </c>
      <c r="D361" t="s">
        <v>21</v>
      </c>
      <c r="E361" t="s">
        <v>22</v>
      </c>
      <c r="F361" t="s">
        <v>41</v>
      </c>
      <c r="G361" t="s">
        <v>79</v>
      </c>
      <c r="H361" t="s">
        <v>83</v>
      </c>
      <c r="I361" t="s">
        <v>50</v>
      </c>
      <c r="J361" t="s">
        <v>44</v>
      </c>
      <c r="K361">
        <v>2</v>
      </c>
      <c r="L361">
        <v>48612</v>
      </c>
      <c r="M361" t="s">
        <v>36</v>
      </c>
      <c r="N361">
        <v>1</v>
      </c>
      <c r="O361">
        <v>1</v>
      </c>
      <c r="P361">
        <v>37</v>
      </c>
      <c r="Q361">
        <v>0</v>
      </c>
      <c r="R361" s="1">
        <v>44417</v>
      </c>
      <c r="S361" t="s">
        <v>37</v>
      </c>
      <c r="T361" t="str">
        <f t="shared" si="25"/>
        <v>Grade C</v>
      </c>
      <c r="U361">
        <f t="shared" si="26"/>
        <v>1</v>
      </c>
      <c r="V361" t="str">
        <f t="shared" si="27"/>
        <v>New Joiner</v>
      </c>
      <c r="W361" t="str">
        <f t="shared" si="28"/>
        <v>Already Left</v>
      </c>
      <c r="X361" t="str">
        <f t="shared" si="29"/>
        <v>Fair</v>
      </c>
    </row>
    <row r="362" spans="1:24" x14ac:dyDescent="0.3">
      <c r="A362" t="s">
        <v>430</v>
      </c>
      <c r="B362" t="s">
        <v>20</v>
      </c>
      <c r="C362">
        <v>51</v>
      </c>
      <c r="D362" t="s">
        <v>21</v>
      </c>
      <c r="E362" t="s">
        <v>40</v>
      </c>
      <c r="F362" t="s">
        <v>41</v>
      </c>
      <c r="G362" t="s">
        <v>24</v>
      </c>
      <c r="H362" t="s">
        <v>34</v>
      </c>
      <c r="I362" t="s">
        <v>26</v>
      </c>
      <c r="J362" t="s">
        <v>27</v>
      </c>
      <c r="K362">
        <v>7</v>
      </c>
      <c r="L362">
        <v>82632</v>
      </c>
      <c r="M362" t="s">
        <v>28</v>
      </c>
      <c r="N362">
        <v>4</v>
      </c>
      <c r="O362">
        <v>3</v>
      </c>
      <c r="P362">
        <v>64</v>
      </c>
      <c r="Q362">
        <v>2</v>
      </c>
      <c r="R362" s="1">
        <v>42608</v>
      </c>
      <c r="S362" t="s">
        <v>29</v>
      </c>
      <c r="T362" t="str">
        <f t="shared" si="25"/>
        <v>Grade A</v>
      </c>
      <c r="U362">
        <f t="shared" si="26"/>
        <v>3</v>
      </c>
      <c r="V362" t="str">
        <f t="shared" si="27"/>
        <v>Mid Level</v>
      </c>
      <c r="W362" t="str">
        <f t="shared" si="28"/>
        <v>Medium Risk</v>
      </c>
      <c r="X362" t="str">
        <f t="shared" si="29"/>
        <v>Competitive</v>
      </c>
    </row>
    <row r="363" spans="1:24" x14ac:dyDescent="0.3">
      <c r="A363" t="s">
        <v>431</v>
      </c>
      <c r="B363" t="s">
        <v>39</v>
      </c>
      <c r="C363">
        <v>38</v>
      </c>
      <c r="D363" t="s">
        <v>31</v>
      </c>
      <c r="E363" t="s">
        <v>22</v>
      </c>
      <c r="F363" t="s">
        <v>53</v>
      </c>
      <c r="G363" t="s">
        <v>58</v>
      </c>
      <c r="H363" t="s">
        <v>83</v>
      </c>
      <c r="I363" t="s">
        <v>80</v>
      </c>
      <c r="J363" t="s">
        <v>60</v>
      </c>
      <c r="K363">
        <v>13</v>
      </c>
      <c r="L363">
        <v>113543</v>
      </c>
      <c r="M363" t="s">
        <v>45</v>
      </c>
      <c r="N363">
        <v>4</v>
      </c>
      <c r="O363">
        <v>1</v>
      </c>
      <c r="P363">
        <v>72</v>
      </c>
      <c r="Q363">
        <v>1</v>
      </c>
      <c r="R363" s="1">
        <v>40377</v>
      </c>
      <c r="S363" t="s">
        <v>29</v>
      </c>
      <c r="T363" t="str">
        <f t="shared" si="25"/>
        <v>Grade A</v>
      </c>
      <c r="U363">
        <f t="shared" si="26"/>
        <v>2</v>
      </c>
      <c r="V363" t="str">
        <f t="shared" si="27"/>
        <v>Senior</v>
      </c>
      <c r="W363" t="str">
        <f t="shared" si="28"/>
        <v>Medium Risk</v>
      </c>
      <c r="X363" t="str">
        <f t="shared" si="29"/>
        <v>Fair</v>
      </c>
    </row>
    <row r="364" spans="1:24" x14ac:dyDescent="0.3">
      <c r="A364" t="s">
        <v>432</v>
      </c>
      <c r="B364" t="s">
        <v>39</v>
      </c>
      <c r="C364">
        <v>50</v>
      </c>
      <c r="D364" t="s">
        <v>31</v>
      </c>
      <c r="E364" t="s">
        <v>22</v>
      </c>
      <c r="F364" t="s">
        <v>75</v>
      </c>
      <c r="G364" t="s">
        <v>24</v>
      </c>
      <c r="H364" t="s">
        <v>67</v>
      </c>
      <c r="I364" t="s">
        <v>54</v>
      </c>
      <c r="J364" t="s">
        <v>27</v>
      </c>
      <c r="K364">
        <v>2</v>
      </c>
      <c r="L364">
        <v>86715</v>
      </c>
      <c r="M364" t="s">
        <v>36</v>
      </c>
      <c r="N364">
        <v>1</v>
      </c>
      <c r="O364">
        <v>1</v>
      </c>
      <c r="P364">
        <v>19</v>
      </c>
      <c r="Q364">
        <v>2</v>
      </c>
      <c r="R364" s="1">
        <v>44248</v>
      </c>
      <c r="S364" t="s">
        <v>37</v>
      </c>
      <c r="T364" t="str">
        <f t="shared" si="25"/>
        <v>Grade A</v>
      </c>
      <c r="U364">
        <f t="shared" si="26"/>
        <v>1</v>
      </c>
      <c r="V364" t="str">
        <f t="shared" si="27"/>
        <v>New Joiner</v>
      </c>
      <c r="W364" t="str">
        <f t="shared" si="28"/>
        <v>Already Left</v>
      </c>
      <c r="X364" t="str">
        <f t="shared" si="29"/>
        <v>Overpaid</v>
      </c>
    </row>
    <row r="365" spans="1:24" x14ac:dyDescent="0.3">
      <c r="A365" t="s">
        <v>433</v>
      </c>
      <c r="B365" t="s">
        <v>39</v>
      </c>
      <c r="C365">
        <v>43</v>
      </c>
      <c r="D365" t="s">
        <v>57</v>
      </c>
      <c r="E365" t="s">
        <v>40</v>
      </c>
      <c r="F365" t="s">
        <v>23</v>
      </c>
      <c r="G365" t="s">
        <v>58</v>
      </c>
      <c r="H365" t="s">
        <v>76</v>
      </c>
      <c r="I365" t="s">
        <v>96</v>
      </c>
      <c r="J365" t="s">
        <v>44</v>
      </c>
      <c r="K365">
        <v>11</v>
      </c>
      <c r="L365">
        <v>98239</v>
      </c>
      <c r="M365" t="s">
        <v>28</v>
      </c>
      <c r="N365">
        <v>1</v>
      </c>
      <c r="O365">
        <v>4</v>
      </c>
      <c r="P365">
        <v>71</v>
      </c>
      <c r="Q365">
        <v>3</v>
      </c>
      <c r="R365" s="1">
        <v>41141</v>
      </c>
      <c r="S365" t="s">
        <v>29</v>
      </c>
      <c r="T365" t="str">
        <f t="shared" si="25"/>
        <v>Grade A</v>
      </c>
      <c r="U365">
        <f t="shared" si="26"/>
        <v>3</v>
      </c>
      <c r="V365" t="str">
        <f t="shared" si="27"/>
        <v>Senior</v>
      </c>
      <c r="W365" t="str">
        <f t="shared" si="28"/>
        <v>Medium Risk</v>
      </c>
      <c r="X365" t="str">
        <f t="shared" si="29"/>
        <v>Competitive</v>
      </c>
    </row>
    <row r="366" spans="1:24" x14ac:dyDescent="0.3">
      <c r="A366" t="s">
        <v>434</v>
      </c>
      <c r="B366" t="s">
        <v>20</v>
      </c>
      <c r="C366">
        <v>43</v>
      </c>
      <c r="D366" t="s">
        <v>31</v>
      </c>
      <c r="E366" t="s">
        <v>48</v>
      </c>
      <c r="F366" t="s">
        <v>41</v>
      </c>
      <c r="G366" t="s">
        <v>63</v>
      </c>
      <c r="H366" t="s">
        <v>34</v>
      </c>
      <c r="I366" t="s">
        <v>43</v>
      </c>
      <c r="J366" t="s">
        <v>44</v>
      </c>
      <c r="K366">
        <v>1</v>
      </c>
      <c r="L366">
        <v>52796</v>
      </c>
      <c r="M366" t="s">
        <v>28</v>
      </c>
      <c r="N366">
        <v>1</v>
      </c>
      <c r="O366">
        <v>1</v>
      </c>
      <c r="P366">
        <v>56</v>
      </c>
      <c r="Q366">
        <v>2</v>
      </c>
      <c r="R366" s="1">
        <v>44637</v>
      </c>
      <c r="S366" t="s">
        <v>37</v>
      </c>
      <c r="T366" t="str">
        <f t="shared" si="25"/>
        <v>Grade B</v>
      </c>
      <c r="U366">
        <f t="shared" si="26"/>
        <v>3</v>
      </c>
      <c r="V366" t="str">
        <f t="shared" si="27"/>
        <v>New Joiner</v>
      </c>
      <c r="W366" t="str">
        <f t="shared" si="28"/>
        <v>Already Left</v>
      </c>
      <c r="X366" t="str">
        <f t="shared" si="29"/>
        <v>Competitive</v>
      </c>
    </row>
    <row r="367" spans="1:24" x14ac:dyDescent="0.3">
      <c r="A367" t="s">
        <v>435</v>
      </c>
      <c r="B367" t="s">
        <v>20</v>
      </c>
      <c r="C367">
        <v>28</v>
      </c>
      <c r="D367" t="s">
        <v>31</v>
      </c>
      <c r="E367" t="s">
        <v>48</v>
      </c>
      <c r="F367" t="s">
        <v>78</v>
      </c>
      <c r="G367" t="s">
        <v>58</v>
      </c>
      <c r="H367" t="s">
        <v>25</v>
      </c>
      <c r="I367" t="s">
        <v>26</v>
      </c>
      <c r="J367" t="s">
        <v>27</v>
      </c>
      <c r="K367">
        <v>3</v>
      </c>
      <c r="L367">
        <v>93588</v>
      </c>
      <c r="M367" t="s">
        <v>28</v>
      </c>
      <c r="N367">
        <v>1</v>
      </c>
      <c r="O367">
        <v>4</v>
      </c>
      <c r="P367">
        <v>34</v>
      </c>
      <c r="Q367">
        <v>1</v>
      </c>
      <c r="R367" s="1">
        <v>44044</v>
      </c>
      <c r="S367" t="s">
        <v>29</v>
      </c>
      <c r="T367" t="str">
        <f t="shared" si="25"/>
        <v>Grade A</v>
      </c>
      <c r="U367">
        <f t="shared" si="26"/>
        <v>3</v>
      </c>
      <c r="V367" t="str">
        <f t="shared" si="27"/>
        <v>Junior</v>
      </c>
      <c r="W367" t="str">
        <f t="shared" si="28"/>
        <v>Medium Risk</v>
      </c>
      <c r="X367" t="str">
        <f t="shared" si="29"/>
        <v>Competitive</v>
      </c>
    </row>
    <row r="368" spans="1:24" x14ac:dyDescent="0.3">
      <c r="A368" t="s">
        <v>436</v>
      </c>
      <c r="B368" t="s">
        <v>20</v>
      </c>
      <c r="C368">
        <v>53</v>
      </c>
      <c r="D368" t="s">
        <v>88</v>
      </c>
      <c r="E368" t="s">
        <v>48</v>
      </c>
      <c r="F368" t="s">
        <v>32</v>
      </c>
      <c r="G368" t="s">
        <v>63</v>
      </c>
      <c r="H368" t="s">
        <v>83</v>
      </c>
      <c r="I368" t="s">
        <v>50</v>
      </c>
      <c r="J368" t="s">
        <v>44</v>
      </c>
      <c r="K368">
        <v>8</v>
      </c>
      <c r="L368">
        <v>53064</v>
      </c>
      <c r="M368" t="s">
        <v>28</v>
      </c>
      <c r="N368">
        <v>1</v>
      </c>
      <c r="O368">
        <v>1</v>
      </c>
      <c r="P368">
        <v>53</v>
      </c>
      <c r="Q368">
        <v>0</v>
      </c>
      <c r="R368" s="1">
        <v>42043</v>
      </c>
      <c r="S368" t="s">
        <v>29</v>
      </c>
      <c r="T368" t="str">
        <f t="shared" si="25"/>
        <v>Grade B</v>
      </c>
      <c r="U368">
        <f t="shared" si="26"/>
        <v>3</v>
      </c>
      <c r="V368" t="str">
        <f t="shared" si="27"/>
        <v>Mid Level</v>
      </c>
      <c r="W368" t="str">
        <f t="shared" si="28"/>
        <v>Medium Risk</v>
      </c>
      <c r="X368" t="str">
        <f t="shared" si="29"/>
        <v>Competitive</v>
      </c>
    </row>
    <row r="369" spans="1:24" x14ac:dyDescent="0.3">
      <c r="A369" t="s">
        <v>437</v>
      </c>
      <c r="B369" t="s">
        <v>39</v>
      </c>
      <c r="C369">
        <v>26</v>
      </c>
      <c r="D369" t="s">
        <v>21</v>
      </c>
      <c r="E369" t="s">
        <v>40</v>
      </c>
      <c r="F369" t="s">
        <v>23</v>
      </c>
      <c r="G369" t="s">
        <v>33</v>
      </c>
      <c r="H369" t="s">
        <v>76</v>
      </c>
      <c r="I369" t="s">
        <v>72</v>
      </c>
      <c r="J369" t="s">
        <v>73</v>
      </c>
      <c r="K369">
        <v>4</v>
      </c>
      <c r="L369">
        <v>75582</v>
      </c>
      <c r="M369" t="s">
        <v>51</v>
      </c>
      <c r="N369">
        <v>2</v>
      </c>
      <c r="O369">
        <v>4</v>
      </c>
      <c r="P369">
        <v>12</v>
      </c>
      <c r="Q369">
        <v>3</v>
      </c>
      <c r="R369" s="1">
        <v>43536</v>
      </c>
      <c r="S369" t="s">
        <v>29</v>
      </c>
      <c r="T369" t="str">
        <f t="shared" si="25"/>
        <v>Grade B</v>
      </c>
      <c r="U369">
        <f t="shared" si="26"/>
        <v>4</v>
      </c>
      <c r="V369" t="str">
        <f t="shared" si="27"/>
        <v>Junior</v>
      </c>
      <c r="W369" t="str">
        <f t="shared" si="28"/>
        <v>Low Risk</v>
      </c>
      <c r="X369" t="str">
        <f t="shared" si="29"/>
        <v>Fair</v>
      </c>
    </row>
    <row r="370" spans="1:24" x14ac:dyDescent="0.3">
      <c r="A370" t="s">
        <v>438</v>
      </c>
      <c r="B370" t="s">
        <v>20</v>
      </c>
      <c r="C370">
        <v>32</v>
      </c>
      <c r="D370" t="s">
        <v>88</v>
      </c>
      <c r="E370" t="s">
        <v>22</v>
      </c>
      <c r="F370" t="s">
        <v>23</v>
      </c>
      <c r="G370" t="s">
        <v>24</v>
      </c>
      <c r="H370" t="s">
        <v>67</v>
      </c>
      <c r="I370" t="s">
        <v>54</v>
      </c>
      <c r="J370" t="s">
        <v>27</v>
      </c>
      <c r="K370">
        <v>1</v>
      </c>
      <c r="L370">
        <v>68637</v>
      </c>
      <c r="M370" t="s">
        <v>28</v>
      </c>
      <c r="N370">
        <v>1</v>
      </c>
      <c r="O370">
        <v>1</v>
      </c>
      <c r="P370">
        <v>73</v>
      </c>
      <c r="Q370">
        <v>1</v>
      </c>
      <c r="R370" s="1">
        <v>44878</v>
      </c>
      <c r="S370" t="s">
        <v>29</v>
      </c>
      <c r="T370" t="str">
        <f t="shared" si="25"/>
        <v>Grade B</v>
      </c>
      <c r="U370">
        <f t="shared" si="26"/>
        <v>3</v>
      </c>
      <c r="V370" t="str">
        <f t="shared" si="27"/>
        <v>New Joiner</v>
      </c>
      <c r="W370" t="str">
        <f t="shared" si="28"/>
        <v>Medium Risk</v>
      </c>
      <c r="X370" t="str">
        <f t="shared" si="29"/>
        <v>Competitive</v>
      </c>
    </row>
    <row r="371" spans="1:24" x14ac:dyDescent="0.3">
      <c r="A371" t="s">
        <v>439</v>
      </c>
      <c r="B371" t="s">
        <v>39</v>
      </c>
      <c r="C371">
        <v>42</v>
      </c>
      <c r="D371" t="s">
        <v>47</v>
      </c>
      <c r="E371" t="s">
        <v>22</v>
      </c>
      <c r="F371" t="s">
        <v>32</v>
      </c>
      <c r="G371" t="s">
        <v>63</v>
      </c>
      <c r="H371" t="s">
        <v>76</v>
      </c>
      <c r="I371" t="s">
        <v>26</v>
      </c>
      <c r="J371" t="s">
        <v>27</v>
      </c>
      <c r="K371">
        <v>13</v>
      </c>
      <c r="L371">
        <v>71624</v>
      </c>
      <c r="M371" t="s">
        <v>45</v>
      </c>
      <c r="N371">
        <v>2</v>
      </c>
      <c r="O371">
        <v>3</v>
      </c>
      <c r="P371">
        <v>18</v>
      </c>
      <c r="Q371">
        <v>0</v>
      </c>
      <c r="R371" s="1">
        <v>40197</v>
      </c>
      <c r="S371" t="s">
        <v>37</v>
      </c>
      <c r="T371" t="str">
        <f t="shared" si="25"/>
        <v>Grade B</v>
      </c>
      <c r="U371">
        <f t="shared" si="26"/>
        <v>2</v>
      </c>
      <c r="V371" t="str">
        <f t="shared" si="27"/>
        <v>Senior</v>
      </c>
      <c r="W371" t="str">
        <f t="shared" si="28"/>
        <v>Already Left</v>
      </c>
      <c r="X371" t="str">
        <f t="shared" si="29"/>
        <v>Fair</v>
      </c>
    </row>
    <row r="372" spans="1:24" x14ac:dyDescent="0.3">
      <c r="A372" t="s">
        <v>440</v>
      </c>
      <c r="B372" t="s">
        <v>39</v>
      </c>
      <c r="C372">
        <v>24</v>
      </c>
      <c r="D372" t="s">
        <v>47</v>
      </c>
      <c r="E372" t="s">
        <v>22</v>
      </c>
      <c r="F372" t="s">
        <v>53</v>
      </c>
      <c r="G372" t="s">
        <v>66</v>
      </c>
      <c r="H372" t="s">
        <v>76</v>
      </c>
      <c r="I372" t="s">
        <v>80</v>
      </c>
      <c r="J372" t="s">
        <v>60</v>
      </c>
      <c r="K372">
        <v>12</v>
      </c>
      <c r="L372">
        <v>67134</v>
      </c>
      <c r="M372" t="s">
        <v>28</v>
      </c>
      <c r="N372">
        <v>4</v>
      </c>
      <c r="O372">
        <v>2</v>
      </c>
      <c r="P372">
        <v>12</v>
      </c>
      <c r="Q372">
        <v>3</v>
      </c>
      <c r="R372" s="1">
        <v>40688</v>
      </c>
      <c r="S372" t="s">
        <v>29</v>
      </c>
      <c r="T372" t="str">
        <f t="shared" si="25"/>
        <v>Grade B</v>
      </c>
      <c r="U372">
        <f t="shared" si="26"/>
        <v>3</v>
      </c>
      <c r="V372" t="str">
        <f t="shared" si="27"/>
        <v>Senior</v>
      </c>
      <c r="W372" t="str">
        <f t="shared" si="28"/>
        <v>Medium Risk</v>
      </c>
      <c r="X372" t="str">
        <f t="shared" si="29"/>
        <v>Competitive</v>
      </c>
    </row>
    <row r="373" spans="1:24" x14ac:dyDescent="0.3">
      <c r="A373" t="s">
        <v>441</v>
      </c>
      <c r="B373" t="s">
        <v>20</v>
      </c>
      <c r="C373">
        <v>30</v>
      </c>
      <c r="D373" t="s">
        <v>47</v>
      </c>
      <c r="E373" t="s">
        <v>22</v>
      </c>
      <c r="F373" t="s">
        <v>23</v>
      </c>
      <c r="G373" t="s">
        <v>79</v>
      </c>
      <c r="H373" t="s">
        <v>83</v>
      </c>
      <c r="I373" t="s">
        <v>26</v>
      </c>
      <c r="J373" t="s">
        <v>27</v>
      </c>
      <c r="K373">
        <v>15</v>
      </c>
      <c r="L373">
        <v>79455</v>
      </c>
      <c r="M373" t="s">
        <v>28</v>
      </c>
      <c r="N373">
        <v>3</v>
      </c>
      <c r="O373">
        <v>4</v>
      </c>
      <c r="P373">
        <v>62</v>
      </c>
      <c r="Q373">
        <v>1</v>
      </c>
      <c r="R373" s="1">
        <v>39604</v>
      </c>
      <c r="S373" t="s">
        <v>29</v>
      </c>
      <c r="T373" t="str">
        <f t="shared" si="25"/>
        <v>Grade B</v>
      </c>
      <c r="U373">
        <f t="shared" si="26"/>
        <v>3</v>
      </c>
      <c r="V373" t="str">
        <f t="shared" si="27"/>
        <v>Senior</v>
      </c>
      <c r="W373" t="str">
        <f t="shared" si="28"/>
        <v>Medium Risk</v>
      </c>
      <c r="X373" t="str">
        <f t="shared" si="29"/>
        <v>Competitive</v>
      </c>
    </row>
    <row r="374" spans="1:24" x14ac:dyDescent="0.3">
      <c r="A374" t="s">
        <v>442</v>
      </c>
      <c r="B374" t="s">
        <v>20</v>
      </c>
      <c r="C374">
        <v>22</v>
      </c>
      <c r="D374" t="s">
        <v>88</v>
      </c>
      <c r="E374" t="s">
        <v>22</v>
      </c>
      <c r="F374" t="s">
        <v>23</v>
      </c>
      <c r="G374" t="s">
        <v>33</v>
      </c>
      <c r="H374" t="s">
        <v>34</v>
      </c>
      <c r="I374" t="s">
        <v>68</v>
      </c>
      <c r="J374" t="s">
        <v>60</v>
      </c>
      <c r="K374">
        <v>12</v>
      </c>
      <c r="L374">
        <v>76884</v>
      </c>
      <c r="M374" t="s">
        <v>28</v>
      </c>
      <c r="N374">
        <v>2</v>
      </c>
      <c r="O374">
        <v>1</v>
      </c>
      <c r="P374">
        <v>77</v>
      </c>
      <c r="Q374">
        <v>0</v>
      </c>
      <c r="R374" s="1">
        <v>40734</v>
      </c>
      <c r="S374" t="s">
        <v>29</v>
      </c>
      <c r="T374" t="str">
        <f t="shared" si="25"/>
        <v>Grade B</v>
      </c>
      <c r="U374">
        <f t="shared" si="26"/>
        <v>3</v>
      </c>
      <c r="V374" t="str">
        <f t="shared" si="27"/>
        <v>Senior</v>
      </c>
      <c r="W374" t="str">
        <f t="shared" si="28"/>
        <v>Medium Risk</v>
      </c>
      <c r="X374" t="str">
        <f t="shared" si="29"/>
        <v>Competitive</v>
      </c>
    </row>
    <row r="375" spans="1:24" x14ac:dyDescent="0.3">
      <c r="A375" t="s">
        <v>443</v>
      </c>
      <c r="B375" t="s">
        <v>39</v>
      </c>
      <c r="C375">
        <v>31</v>
      </c>
      <c r="D375" t="s">
        <v>57</v>
      </c>
      <c r="E375" t="s">
        <v>48</v>
      </c>
      <c r="F375" t="s">
        <v>65</v>
      </c>
      <c r="G375" t="s">
        <v>49</v>
      </c>
      <c r="H375" t="s">
        <v>34</v>
      </c>
      <c r="I375" t="s">
        <v>54</v>
      </c>
      <c r="J375" t="s">
        <v>27</v>
      </c>
      <c r="K375">
        <v>8</v>
      </c>
      <c r="L375">
        <v>65057</v>
      </c>
      <c r="M375" t="s">
        <v>28</v>
      </c>
      <c r="N375">
        <v>2</v>
      </c>
      <c r="O375">
        <v>2</v>
      </c>
      <c r="P375">
        <v>15</v>
      </c>
      <c r="Q375">
        <v>0</v>
      </c>
      <c r="R375" s="1">
        <v>42273</v>
      </c>
      <c r="S375" t="s">
        <v>37</v>
      </c>
      <c r="T375" t="str">
        <f t="shared" si="25"/>
        <v>Grade B</v>
      </c>
      <c r="U375">
        <f t="shared" si="26"/>
        <v>3</v>
      </c>
      <c r="V375" t="str">
        <f t="shared" si="27"/>
        <v>Mid Level</v>
      </c>
      <c r="W375" t="str">
        <f t="shared" si="28"/>
        <v>Already Left</v>
      </c>
      <c r="X375" t="str">
        <f t="shared" si="29"/>
        <v>Competitive</v>
      </c>
    </row>
    <row r="376" spans="1:24" x14ac:dyDescent="0.3">
      <c r="A376" t="s">
        <v>444</v>
      </c>
      <c r="B376" t="s">
        <v>39</v>
      </c>
      <c r="C376">
        <v>32</v>
      </c>
      <c r="D376" t="s">
        <v>21</v>
      </c>
      <c r="E376" t="s">
        <v>48</v>
      </c>
      <c r="F376" t="s">
        <v>62</v>
      </c>
      <c r="G376" t="s">
        <v>66</v>
      </c>
      <c r="H376" t="s">
        <v>67</v>
      </c>
      <c r="I376" t="s">
        <v>72</v>
      </c>
      <c r="J376" t="s">
        <v>73</v>
      </c>
      <c r="K376">
        <v>5</v>
      </c>
      <c r="L376">
        <v>49848</v>
      </c>
      <c r="M376" t="s">
        <v>36</v>
      </c>
      <c r="N376">
        <v>1</v>
      </c>
      <c r="O376">
        <v>1</v>
      </c>
      <c r="P376">
        <v>40</v>
      </c>
      <c r="Q376">
        <v>3</v>
      </c>
      <c r="R376" s="1">
        <v>43441</v>
      </c>
      <c r="S376" t="s">
        <v>37</v>
      </c>
      <c r="T376" t="str">
        <f t="shared" si="25"/>
        <v>Grade C</v>
      </c>
      <c r="U376">
        <f t="shared" si="26"/>
        <v>1</v>
      </c>
      <c r="V376" t="str">
        <f t="shared" si="27"/>
        <v>Junior</v>
      </c>
      <c r="W376" t="str">
        <f t="shared" si="28"/>
        <v>Already Left</v>
      </c>
      <c r="X376" t="str">
        <f t="shared" si="29"/>
        <v>Fair</v>
      </c>
    </row>
    <row r="377" spans="1:24" x14ac:dyDescent="0.3">
      <c r="A377" t="s">
        <v>445</v>
      </c>
      <c r="B377" t="s">
        <v>39</v>
      </c>
      <c r="C377">
        <v>28</v>
      </c>
      <c r="D377" t="s">
        <v>47</v>
      </c>
      <c r="E377" t="s">
        <v>40</v>
      </c>
      <c r="F377" t="s">
        <v>65</v>
      </c>
      <c r="G377" t="s">
        <v>66</v>
      </c>
      <c r="H377" t="s">
        <v>76</v>
      </c>
      <c r="I377" t="s">
        <v>54</v>
      </c>
      <c r="J377" t="s">
        <v>27</v>
      </c>
      <c r="K377">
        <v>12</v>
      </c>
      <c r="L377">
        <v>56538</v>
      </c>
      <c r="M377" t="s">
        <v>28</v>
      </c>
      <c r="N377">
        <v>4</v>
      </c>
      <c r="O377">
        <v>2</v>
      </c>
      <c r="P377">
        <v>58</v>
      </c>
      <c r="Q377">
        <v>1</v>
      </c>
      <c r="R377" s="1">
        <v>40746</v>
      </c>
      <c r="S377" t="s">
        <v>37</v>
      </c>
      <c r="T377" t="str">
        <f t="shared" si="25"/>
        <v>Grade B</v>
      </c>
      <c r="U377">
        <f t="shared" si="26"/>
        <v>3</v>
      </c>
      <c r="V377" t="str">
        <f t="shared" si="27"/>
        <v>Senior</v>
      </c>
      <c r="W377" t="str">
        <f t="shared" si="28"/>
        <v>Already Left</v>
      </c>
      <c r="X377" t="str">
        <f t="shared" si="29"/>
        <v>Competitive</v>
      </c>
    </row>
    <row r="378" spans="1:24" x14ac:dyDescent="0.3">
      <c r="A378" t="s">
        <v>446</v>
      </c>
      <c r="B378" t="s">
        <v>39</v>
      </c>
      <c r="C378">
        <v>46</v>
      </c>
      <c r="D378" t="s">
        <v>31</v>
      </c>
      <c r="E378" t="s">
        <v>22</v>
      </c>
      <c r="F378" t="s">
        <v>78</v>
      </c>
      <c r="G378" t="s">
        <v>63</v>
      </c>
      <c r="H378" t="s">
        <v>34</v>
      </c>
      <c r="I378" t="s">
        <v>26</v>
      </c>
      <c r="J378" t="s">
        <v>27</v>
      </c>
      <c r="K378">
        <v>1</v>
      </c>
      <c r="L378">
        <v>41749</v>
      </c>
      <c r="M378" t="s">
        <v>36</v>
      </c>
      <c r="N378">
        <v>4</v>
      </c>
      <c r="O378">
        <v>2</v>
      </c>
      <c r="P378">
        <v>55</v>
      </c>
      <c r="Q378">
        <v>2</v>
      </c>
      <c r="R378" s="1">
        <v>44695</v>
      </c>
      <c r="S378" t="s">
        <v>29</v>
      </c>
      <c r="T378" t="str">
        <f t="shared" si="25"/>
        <v>Grade C</v>
      </c>
      <c r="U378">
        <f t="shared" si="26"/>
        <v>1</v>
      </c>
      <c r="V378" t="str">
        <f t="shared" si="27"/>
        <v>New Joiner</v>
      </c>
      <c r="W378" t="str">
        <f t="shared" si="28"/>
        <v>High Risk</v>
      </c>
      <c r="X378" t="str">
        <f t="shared" si="29"/>
        <v>Fair</v>
      </c>
    </row>
    <row r="379" spans="1:24" x14ac:dyDescent="0.3">
      <c r="A379" t="s">
        <v>447</v>
      </c>
      <c r="B379" t="s">
        <v>20</v>
      </c>
      <c r="C379">
        <v>51</v>
      </c>
      <c r="D379" t="s">
        <v>57</v>
      </c>
      <c r="E379" t="s">
        <v>22</v>
      </c>
      <c r="F379" t="s">
        <v>65</v>
      </c>
      <c r="G379" t="s">
        <v>58</v>
      </c>
      <c r="H379" t="s">
        <v>67</v>
      </c>
      <c r="I379" t="s">
        <v>59</v>
      </c>
      <c r="J379" t="s">
        <v>60</v>
      </c>
      <c r="K379">
        <v>12</v>
      </c>
      <c r="L379">
        <v>108194</v>
      </c>
      <c r="M379" t="s">
        <v>51</v>
      </c>
      <c r="N379">
        <v>3</v>
      </c>
      <c r="O379">
        <v>2</v>
      </c>
      <c r="P379">
        <v>47</v>
      </c>
      <c r="Q379">
        <v>1</v>
      </c>
      <c r="R379" s="1">
        <v>40856</v>
      </c>
      <c r="S379" t="s">
        <v>29</v>
      </c>
      <c r="T379" t="str">
        <f t="shared" si="25"/>
        <v>Grade A</v>
      </c>
      <c r="U379">
        <f t="shared" si="26"/>
        <v>4</v>
      </c>
      <c r="V379" t="str">
        <f t="shared" si="27"/>
        <v>Senior</v>
      </c>
      <c r="W379" t="str">
        <f t="shared" si="28"/>
        <v>Low Risk</v>
      </c>
      <c r="X379" t="str">
        <f t="shared" si="29"/>
        <v>Competitive</v>
      </c>
    </row>
    <row r="380" spans="1:24" x14ac:dyDescent="0.3">
      <c r="A380" t="s">
        <v>448</v>
      </c>
      <c r="B380" t="s">
        <v>20</v>
      </c>
      <c r="C380">
        <v>51</v>
      </c>
      <c r="D380" t="s">
        <v>31</v>
      </c>
      <c r="E380" t="s">
        <v>22</v>
      </c>
      <c r="F380" t="s">
        <v>53</v>
      </c>
      <c r="G380" t="s">
        <v>63</v>
      </c>
      <c r="H380" t="s">
        <v>34</v>
      </c>
      <c r="I380" t="s">
        <v>54</v>
      </c>
      <c r="J380" t="s">
        <v>27</v>
      </c>
      <c r="K380">
        <v>2</v>
      </c>
      <c r="L380">
        <v>56097</v>
      </c>
      <c r="M380" t="s">
        <v>28</v>
      </c>
      <c r="N380">
        <v>4</v>
      </c>
      <c r="O380">
        <v>2</v>
      </c>
      <c r="P380">
        <v>41</v>
      </c>
      <c r="Q380">
        <v>2</v>
      </c>
      <c r="R380" s="1">
        <v>44452</v>
      </c>
      <c r="S380" t="s">
        <v>29</v>
      </c>
      <c r="T380" t="str">
        <f t="shared" si="25"/>
        <v>Grade B</v>
      </c>
      <c r="U380">
        <f t="shared" si="26"/>
        <v>3</v>
      </c>
      <c r="V380" t="str">
        <f t="shared" si="27"/>
        <v>New Joiner</v>
      </c>
      <c r="W380" t="str">
        <f t="shared" si="28"/>
        <v>Medium Risk</v>
      </c>
      <c r="X380" t="str">
        <f t="shared" si="29"/>
        <v>Competitive</v>
      </c>
    </row>
    <row r="381" spans="1:24" x14ac:dyDescent="0.3">
      <c r="A381" t="s">
        <v>449</v>
      </c>
      <c r="B381" t="s">
        <v>20</v>
      </c>
      <c r="C381">
        <v>54</v>
      </c>
      <c r="D381" t="s">
        <v>21</v>
      </c>
      <c r="E381" t="s">
        <v>48</v>
      </c>
      <c r="F381" t="s">
        <v>32</v>
      </c>
      <c r="G381" t="s">
        <v>58</v>
      </c>
      <c r="H381" t="s">
        <v>34</v>
      </c>
      <c r="I381" t="s">
        <v>43</v>
      </c>
      <c r="J381" t="s">
        <v>44</v>
      </c>
      <c r="K381">
        <v>15</v>
      </c>
      <c r="L381">
        <v>118689</v>
      </c>
      <c r="M381" t="s">
        <v>28</v>
      </c>
      <c r="N381">
        <v>4</v>
      </c>
      <c r="O381">
        <v>4</v>
      </c>
      <c r="P381">
        <v>22</v>
      </c>
      <c r="Q381">
        <v>3</v>
      </c>
      <c r="R381" s="1">
        <v>39797</v>
      </c>
      <c r="S381" t="s">
        <v>37</v>
      </c>
      <c r="T381" t="str">
        <f t="shared" si="25"/>
        <v>Grade A</v>
      </c>
      <c r="U381">
        <f t="shared" si="26"/>
        <v>3</v>
      </c>
      <c r="V381" t="str">
        <f t="shared" si="27"/>
        <v>Senior</v>
      </c>
      <c r="W381" t="str">
        <f t="shared" si="28"/>
        <v>Already Left</v>
      </c>
      <c r="X381" t="str">
        <f t="shared" si="29"/>
        <v>Competitive</v>
      </c>
    </row>
    <row r="382" spans="1:24" x14ac:dyDescent="0.3">
      <c r="A382" t="s">
        <v>450</v>
      </c>
      <c r="B382" t="s">
        <v>20</v>
      </c>
      <c r="C382">
        <v>37</v>
      </c>
      <c r="D382" t="s">
        <v>21</v>
      </c>
      <c r="E382" t="s">
        <v>22</v>
      </c>
      <c r="F382" t="s">
        <v>32</v>
      </c>
      <c r="G382" t="s">
        <v>63</v>
      </c>
      <c r="H382" t="s">
        <v>83</v>
      </c>
      <c r="I382" t="s">
        <v>96</v>
      </c>
      <c r="J382" t="s">
        <v>44</v>
      </c>
      <c r="K382">
        <v>12</v>
      </c>
      <c r="L382">
        <v>66143</v>
      </c>
      <c r="M382" t="s">
        <v>51</v>
      </c>
      <c r="N382">
        <v>4</v>
      </c>
      <c r="O382">
        <v>3</v>
      </c>
      <c r="P382">
        <v>30</v>
      </c>
      <c r="Q382">
        <v>3</v>
      </c>
      <c r="R382" s="1">
        <v>40729</v>
      </c>
      <c r="S382" t="s">
        <v>29</v>
      </c>
      <c r="T382" t="str">
        <f t="shared" si="25"/>
        <v>Grade B</v>
      </c>
      <c r="U382">
        <f t="shared" si="26"/>
        <v>4</v>
      </c>
      <c r="V382" t="str">
        <f t="shared" si="27"/>
        <v>Senior</v>
      </c>
      <c r="W382" t="str">
        <f t="shared" si="28"/>
        <v>Low Risk</v>
      </c>
      <c r="X382" t="str">
        <f t="shared" si="29"/>
        <v>Fair</v>
      </c>
    </row>
    <row r="383" spans="1:24" x14ac:dyDescent="0.3">
      <c r="A383" t="s">
        <v>451</v>
      </c>
      <c r="B383" t="s">
        <v>20</v>
      </c>
      <c r="C383">
        <v>22</v>
      </c>
      <c r="D383" t="s">
        <v>21</v>
      </c>
      <c r="E383" t="s">
        <v>48</v>
      </c>
      <c r="F383" t="s">
        <v>23</v>
      </c>
      <c r="G383" t="s">
        <v>24</v>
      </c>
      <c r="H383" t="s">
        <v>76</v>
      </c>
      <c r="I383" t="s">
        <v>54</v>
      </c>
      <c r="J383" t="s">
        <v>27</v>
      </c>
      <c r="K383">
        <v>13</v>
      </c>
      <c r="L383">
        <v>104282</v>
      </c>
      <c r="M383" t="s">
        <v>36</v>
      </c>
      <c r="N383">
        <v>3</v>
      </c>
      <c r="O383">
        <v>1</v>
      </c>
      <c r="P383">
        <v>47</v>
      </c>
      <c r="Q383">
        <v>3</v>
      </c>
      <c r="R383" s="1">
        <v>40227</v>
      </c>
      <c r="S383" t="s">
        <v>37</v>
      </c>
      <c r="T383" t="str">
        <f t="shared" si="25"/>
        <v>Grade A</v>
      </c>
      <c r="U383">
        <f t="shared" si="26"/>
        <v>1</v>
      </c>
      <c r="V383" t="str">
        <f t="shared" si="27"/>
        <v>Senior</v>
      </c>
      <c r="W383" t="str">
        <f t="shared" si="28"/>
        <v>Already Left</v>
      </c>
      <c r="X383" t="str">
        <f t="shared" si="29"/>
        <v>Overpaid</v>
      </c>
    </row>
    <row r="384" spans="1:24" x14ac:dyDescent="0.3">
      <c r="A384" t="s">
        <v>452</v>
      </c>
      <c r="B384" t="s">
        <v>39</v>
      </c>
      <c r="C384">
        <v>46</v>
      </c>
      <c r="D384" t="s">
        <v>31</v>
      </c>
      <c r="E384" t="s">
        <v>48</v>
      </c>
      <c r="F384" t="s">
        <v>32</v>
      </c>
      <c r="G384" t="s">
        <v>58</v>
      </c>
      <c r="H384" t="s">
        <v>83</v>
      </c>
      <c r="I384" t="s">
        <v>80</v>
      </c>
      <c r="J384" t="s">
        <v>60</v>
      </c>
      <c r="K384">
        <v>12</v>
      </c>
      <c r="L384">
        <v>115866</v>
      </c>
      <c r="M384" t="s">
        <v>45</v>
      </c>
      <c r="N384">
        <v>1</v>
      </c>
      <c r="O384">
        <v>3</v>
      </c>
      <c r="P384">
        <v>56</v>
      </c>
      <c r="Q384">
        <v>1</v>
      </c>
      <c r="R384" s="1">
        <v>40886</v>
      </c>
      <c r="S384" t="s">
        <v>29</v>
      </c>
      <c r="T384" t="str">
        <f t="shared" si="25"/>
        <v>Grade A</v>
      </c>
      <c r="U384">
        <f t="shared" si="26"/>
        <v>2</v>
      </c>
      <c r="V384" t="str">
        <f t="shared" si="27"/>
        <v>Senior</v>
      </c>
      <c r="W384" t="str">
        <f t="shared" si="28"/>
        <v>Medium Risk</v>
      </c>
      <c r="X384" t="str">
        <f t="shared" si="29"/>
        <v>Fair</v>
      </c>
    </row>
    <row r="385" spans="1:24" x14ac:dyDescent="0.3">
      <c r="A385" t="s">
        <v>453</v>
      </c>
      <c r="B385" t="s">
        <v>20</v>
      </c>
      <c r="C385">
        <v>35</v>
      </c>
      <c r="D385" t="s">
        <v>47</v>
      </c>
      <c r="E385" t="s">
        <v>48</v>
      </c>
      <c r="F385" t="s">
        <v>41</v>
      </c>
      <c r="G385" t="s">
        <v>66</v>
      </c>
      <c r="H385" t="s">
        <v>34</v>
      </c>
      <c r="I385" t="s">
        <v>35</v>
      </c>
      <c r="J385" t="s">
        <v>27</v>
      </c>
      <c r="K385">
        <v>3</v>
      </c>
      <c r="L385">
        <v>38819</v>
      </c>
      <c r="M385" t="s">
        <v>28</v>
      </c>
      <c r="N385">
        <v>3</v>
      </c>
      <c r="O385">
        <v>3</v>
      </c>
      <c r="P385">
        <v>74</v>
      </c>
      <c r="Q385">
        <v>3</v>
      </c>
      <c r="R385" s="1">
        <v>44139</v>
      </c>
      <c r="S385" t="s">
        <v>29</v>
      </c>
      <c r="T385" t="str">
        <f t="shared" si="25"/>
        <v>Grade C</v>
      </c>
      <c r="U385">
        <f t="shared" si="26"/>
        <v>3</v>
      </c>
      <c r="V385" t="str">
        <f t="shared" si="27"/>
        <v>Junior</v>
      </c>
      <c r="W385" t="str">
        <f t="shared" si="28"/>
        <v>Medium Risk</v>
      </c>
      <c r="X385" t="str">
        <f t="shared" si="29"/>
        <v>Fair</v>
      </c>
    </row>
    <row r="386" spans="1:24" x14ac:dyDescent="0.3">
      <c r="A386" t="s">
        <v>454</v>
      </c>
      <c r="B386" t="s">
        <v>39</v>
      </c>
      <c r="C386">
        <v>52</v>
      </c>
      <c r="D386" t="s">
        <v>88</v>
      </c>
      <c r="E386" t="s">
        <v>40</v>
      </c>
      <c r="F386" t="s">
        <v>23</v>
      </c>
      <c r="G386" t="s">
        <v>33</v>
      </c>
      <c r="H386" t="s">
        <v>83</v>
      </c>
      <c r="I386" t="s">
        <v>80</v>
      </c>
      <c r="J386" t="s">
        <v>60</v>
      </c>
      <c r="K386">
        <v>6</v>
      </c>
      <c r="L386">
        <v>77932</v>
      </c>
      <c r="M386" t="s">
        <v>45</v>
      </c>
      <c r="N386">
        <v>3</v>
      </c>
      <c r="O386">
        <v>4</v>
      </c>
      <c r="P386">
        <v>57</v>
      </c>
      <c r="Q386">
        <v>0</v>
      </c>
      <c r="R386" s="1">
        <v>42833</v>
      </c>
      <c r="S386" t="s">
        <v>29</v>
      </c>
      <c r="T386" t="str">
        <f t="shared" ref="T386:T449" si="30">IF(L386&gt;=80000,"Grade A",IF(L386&gt;=50000,"Grade B",IF(L386&gt;=35000,"Grade C","Grade D")))</f>
        <v>Grade B</v>
      </c>
      <c r="U386">
        <f t="shared" ref="U386:U449" si="31">IF(M386="Excellent",4,IF(M386="Good",3,IF(M386="Average",2,1)))</f>
        <v>2</v>
      </c>
      <c r="V386" t="str">
        <f t="shared" ref="V386:V449" si="32">IF(K386&lt;=2,"New Joiner",IF(K386&lt;=5,"Junior",IF(K386&lt;=10,"Mid Level","Senior")))</f>
        <v>Mid Level</v>
      </c>
      <c r="W386" t="str">
        <f t="shared" ref="W386:W449" si="33">IF(S386="Yes","Already Left",IF(AND(K386&lt;=2,M386="Poor"),"High Risk",IF(AND(K386&lt;=5,M386="Average"),"Medium Risk",IF(M386="Excellent","Low Risk","Medium Risk"))))</f>
        <v>Medium Risk</v>
      </c>
      <c r="X386" t="str">
        <f t="shared" ref="X386:X449" si="34">IF(AND(L386&gt;=80000,M386="Excellent"),"Competitive",IF(AND(L386&gt;=50000,M386="Good"),"Competitive",IF(AND(L386&lt;35000,M386="Excellent"),"Underpaid",IF(AND(L386&gt;=80000,M386="Poor"),"Overpaid","Fair"))))</f>
        <v>Fair</v>
      </c>
    </row>
    <row r="387" spans="1:24" x14ac:dyDescent="0.3">
      <c r="A387" t="s">
        <v>455</v>
      </c>
      <c r="B387" t="s">
        <v>39</v>
      </c>
      <c r="C387">
        <v>39</v>
      </c>
      <c r="D387" t="s">
        <v>21</v>
      </c>
      <c r="E387" t="s">
        <v>40</v>
      </c>
      <c r="F387" t="s">
        <v>78</v>
      </c>
      <c r="G387" t="s">
        <v>24</v>
      </c>
      <c r="H387" t="s">
        <v>83</v>
      </c>
      <c r="I387" t="s">
        <v>59</v>
      </c>
      <c r="J387" t="s">
        <v>60</v>
      </c>
      <c r="K387">
        <v>7</v>
      </c>
      <c r="L387">
        <v>88449</v>
      </c>
      <c r="M387" t="s">
        <v>51</v>
      </c>
      <c r="N387">
        <v>2</v>
      </c>
      <c r="O387">
        <v>4</v>
      </c>
      <c r="P387">
        <v>29</v>
      </c>
      <c r="Q387">
        <v>1</v>
      </c>
      <c r="R387" s="1">
        <v>42682</v>
      </c>
      <c r="S387" t="s">
        <v>37</v>
      </c>
      <c r="T387" t="str">
        <f t="shared" si="30"/>
        <v>Grade A</v>
      </c>
      <c r="U387">
        <f t="shared" si="31"/>
        <v>4</v>
      </c>
      <c r="V387" t="str">
        <f t="shared" si="32"/>
        <v>Mid Level</v>
      </c>
      <c r="W387" t="str">
        <f t="shared" si="33"/>
        <v>Already Left</v>
      </c>
      <c r="X387" t="str">
        <f t="shared" si="34"/>
        <v>Competitive</v>
      </c>
    </row>
    <row r="388" spans="1:24" x14ac:dyDescent="0.3">
      <c r="A388" t="s">
        <v>456</v>
      </c>
      <c r="B388" t="s">
        <v>39</v>
      </c>
      <c r="C388">
        <v>40</v>
      </c>
      <c r="D388" t="s">
        <v>47</v>
      </c>
      <c r="E388" t="s">
        <v>22</v>
      </c>
      <c r="F388" t="s">
        <v>23</v>
      </c>
      <c r="G388" t="s">
        <v>24</v>
      </c>
      <c r="H388" t="s">
        <v>25</v>
      </c>
      <c r="I388" t="s">
        <v>35</v>
      </c>
      <c r="J388" t="s">
        <v>27</v>
      </c>
      <c r="K388">
        <v>11</v>
      </c>
      <c r="L388">
        <v>102528</v>
      </c>
      <c r="M388" t="s">
        <v>36</v>
      </c>
      <c r="N388">
        <v>1</v>
      </c>
      <c r="O388">
        <v>2</v>
      </c>
      <c r="P388">
        <v>76</v>
      </c>
      <c r="Q388">
        <v>2</v>
      </c>
      <c r="R388" s="1">
        <v>41050</v>
      </c>
      <c r="S388" t="s">
        <v>37</v>
      </c>
      <c r="T388" t="str">
        <f t="shared" si="30"/>
        <v>Grade A</v>
      </c>
      <c r="U388">
        <f t="shared" si="31"/>
        <v>1</v>
      </c>
      <c r="V388" t="str">
        <f t="shared" si="32"/>
        <v>Senior</v>
      </c>
      <c r="W388" t="str">
        <f t="shared" si="33"/>
        <v>Already Left</v>
      </c>
      <c r="X388" t="str">
        <f t="shared" si="34"/>
        <v>Overpaid</v>
      </c>
    </row>
    <row r="389" spans="1:24" x14ac:dyDescent="0.3">
      <c r="A389" t="s">
        <v>457</v>
      </c>
      <c r="B389" t="s">
        <v>20</v>
      </c>
      <c r="C389">
        <v>32</v>
      </c>
      <c r="D389" t="s">
        <v>31</v>
      </c>
      <c r="E389" t="s">
        <v>22</v>
      </c>
      <c r="F389" t="s">
        <v>65</v>
      </c>
      <c r="G389" t="s">
        <v>33</v>
      </c>
      <c r="H389" t="s">
        <v>25</v>
      </c>
      <c r="I389" t="s">
        <v>43</v>
      </c>
      <c r="J389" t="s">
        <v>44</v>
      </c>
      <c r="K389">
        <v>10</v>
      </c>
      <c r="L389">
        <v>85007</v>
      </c>
      <c r="M389" t="s">
        <v>36</v>
      </c>
      <c r="N389">
        <v>4</v>
      </c>
      <c r="O389">
        <v>3</v>
      </c>
      <c r="P389">
        <v>46</v>
      </c>
      <c r="Q389">
        <v>0</v>
      </c>
      <c r="R389" s="1">
        <v>41575</v>
      </c>
      <c r="S389" t="s">
        <v>29</v>
      </c>
      <c r="T389" t="str">
        <f t="shared" si="30"/>
        <v>Grade A</v>
      </c>
      <c r="U389">
        <f t="shared" si="31"/>
        <v>1</v>
      </c>
      <c r="V389" t="str">
        <f t="shared" si="32"/>
        <v>Mid Level</v>
      </c>
      <c r="W389" t="str">
        <f t="shared" si="33"/>
        <v>Medium Risk</v>
      </c>
      <c r="X389" t="str">
        <f t="shared" si="34"/>
        <v>Overpaid</v>
      </c>
    </row>
    <row r="390" spans="1:24" x14ac:dyDescent="0.3">
      <c r="A390" t="s">
        <v>458</v>
      </c>
      <c r="B390" t="s">
        <v>39</v>
      </c>
      <c r="C390">
        <v>32</v>
      </c>
      <c r="D390" t="s">
        <v>47</v>
      </c>
      <c r="E390" t="s">
        <v>22</v>
      </c>
      <c r="F390" t="s">
        <v>65</v>
      </c>
      <c r="G390" t="s">
        <v>24</v>
      </c>
      <c r="H390" t="s">
        <v>25</v>
      </c>
      <c r="I390" t="s">
        <v>68</v>
      </c>
      <c r="J390" t="s">
        <v>60</v>
      </c>
      <c r="K390">
        <v>3</v>
      </c>
      <c r="L390">
        <v>88541</v>
      </c>
      <c r="M390" t="s">
        <v>36</v>
      </c>
      <c r="N390">
        <v>1</v>
      </c>
      <c r="O390">
        <v>3</v>
      </c>
      <c r="P390">
        <v>26</v>
      </c>
      <c r="Q390">
        <v>3</v>
      </c>
      <c r="R390" s="1">
        <v>44108</v>
      </c>
      <c r="S390" t="s">
        <v>37</v>
      </c>
      <c r="T390" t="str">
        <f t="shared" si="30"/>
        <v>Grade A</v>
      </c>
      <c r="U390">
        <f t="shared" si="31"/>
        <v>1</v>
      </c>
      <c r="V390" t="str">
        <f t="shared" si="32"/>
        <v>Junior</v>
      </c>
      <c r="W390" t="str">
        <f t="shared" si="33"/>
        <v>Already Left</v>
      </c>
      <c r="X390" t="str">
        <f t="shared" si="34"/>
        <v>Overpaid</v>
      </c>
    </row>
    <row r="391" spans="1:24" x14ac:dyDescent="0.3">
      <c r="A391" t="s">
        <v>459</v>
      </c>
      <c r="B391" t="s">
        <v>20</v>
      </c>
      <c r="C391">
        <v>50</v>
      </c>
      <c r="D391" t="s">
        <v>88</v>
      </c>
      <c r="E391" t="s">
        <v>22</v>
      </c>
      <c r="F391" t="s">
        <v>65</v>
      </c>
      <c r="G391" t="s">
        <v>58</v>
      </c>
      <c r="H391" t="s">
        <v>67</v>
      </c>
      <c r="I391" t="s">
        <v>80</v>
      </c>
      <c r="J391" t="s">
        <v>60</v>
      </c>
      <c r="K391">
        <v>9</v>
      </c>
      <c r="L391">
        <v>103385</v>
      </c>
      <c r="M391" t="s">
        <v>28</v>
      </c>
      <c r="N391">
        <v>3</v>
      </c>
      <c r="O391">
        <v>1</v>
      </c>
      <c r="P391">
        <v>13</v>
      </c>
      <c r="Q391">
        <v>3</v>
      </c>
      <c r="R391" s="1">
        <v>41932</v>
      </c>
      <c r="S391" t="s">
        <v>29</v>
      </c>
      <c r="T391" t="str">
        <f t="shared" si="30"/>
        <v>Grade A</v>
      </c>
      <c r="U391">
        <f t="shared" si="31"/>
        <v>3</v>
      </c>
      <c r="V391" t="str">
        <f t="shared" si="32"/>
        <v>Mid Level</v>
      </c>
      <c r="W391" t="str">
        <f t="shared" si="33"/>
        <v>Medium Risk</v>
      </c>
      <c r="X391" t="str">
        <f t="shared" si="34"/>
        <v>Competitive</v>
      </c>
    </row>
    <row r="392" spans="1:24" x14ac:dyDescent="0.3">
      <c r="A392" t="s">
        <v>460</v>
      </c>
      <c r="B392" t="s">
        <v>20</v>
      </c>
      <c r="C392">
        <v>52</v>
      </c>
      <c r="D392" t="s">
        <v>31</v>
      </c>
      <c r="E392" t="s">
        <v>40</v>
      </c>
      <c r="F392" t="s">
        <v>53</v>
      </c>
      <c r="G392" t="s">
        <v>58</v>
      </c>
      <c r="H392" t="s">
        <v>76</v>
      </c>
      <c r="I392" t="s">
        <v>96</v>
      </c>
      <c r="J392" t="s">
        <v>44</v>
      </c>
      <c r="K392">
        <v>3</v>
      </c>
      <c r="L392">
        <v>98896</v>
      </c>
      <c r="M392" t="s">
        <v>45</v>
      </c>
      <c r="N392">
        <v>2</v>
      </c>
      <c r="O392">
        <v>4</v>
      </c>
      <c r="P392">
        <v>53</v>
      </c>
      <c r="Q392">
        <v>0</v>
      </c>
      <c r="R392" s="1">
        <v>44028</v>
      </c>
      <c r="S392" t="s">
        <v>29</v>
      </c>
      <c r="T392" t="str">
        <f t="shared" si="30"/>
        <v>Grade A</v>
      </c>
      <c r="U392">
        <f t="shared" si="31"/>
        <v>2</v>
      </c>
      <c r="V392" t="str">
        <f t="shared" si="32"/>
        <v>Junior</v>
      </c>
      <c r="W392" t="str">
        <f t="shared" si="33"/>
        <v>Medium Risk</v>
      </c>
      <c r="X392" t="str">
        <f t="shared" si="34"/>
        <v>Fair</v>
      </c>
    </row>
    <row r="393" spans="1:24" x14ac:dyDescent="0.3">
      <c r="A393" t="s">
        <v>461</v>
      </c>
      <c r="B393" t="s">
        <v>20</v>
      </c>
      <c r="C393">
        <v>44</v>
      </c>
      <c r="D393" t="s">
        <v>21</v>
      </c>
      <c r="E393" t="s">
        <v>48</v>
      </c>
      <c r="F393" t="s">
        <v>23</v>
      </c>
      <c r="G393" t="s">
        <v>58</v>
      </c>
      <c r="H393" t="s">
        <v>67</v>
      </c>
      <c r="I393" t="s">
        <v>96</v>
      </c>
      <c r="J393" t="s">
        <v>44</v>
      </c>
      <c r="K393">
        <v>5</v>
      </c>
      <c r="L393">
        <v>98160</v>
      </c>
      <c r="M393" t="s">
        <v>51</v>
      </c>
      <c r="N393">
        <v>1</v>
      </c>
      <c r="O393">
        <v>2</v>
      </c>
      <c r="P393">
        <v>77</v>
      </c>
      <c r="Q393">
        <v>1</v>
      </c>
      <c r="R393" s="1">
        <v>43355</v>
      </c>
      <c r="S393" t="s">
        <v>29</v>
      </c>
      <c r="T393" t="str">
        <f t="shared" si="30"/>
        <v>Grade A</v>
      </c>
      <c r="U393">
        <f t="shared" si="31"/>
        <v>4</v>
      </c>
      <c r="V393" t="str">
        <f t="shared" si="32"/>
        <v>Junior</v>
      </c>
      <c r="W393" t="str">
        <f t="shared" si="33"/>
        <v>Low Risk</v>
      </c>
      <c r="X393" t="str">
        <f t="shared" si="34"/>
        <v>Competitive</v>
      </c>
    </row>
    <row r="394" spans="1:24" x14ac:dyDescent="0.3">
      <c r="A394" t="s">
        <v>462</v>
      </c>
      <c r="B394" t="s">
        <v>39</v>
      </c>
      <c r="C394">
        <v>53</v>
      </c>
      <c r="D394" t="s">
        <v>31</v>
      </c>
      <c r="E394" t="s">
        <v>40</v>
      </c>
      <c r="F394" t="s">
        <v>32</v>
      </c>
      <c r="G394" t="s">
        <v>33</v>
      </c>
      <c r="H394" t="s">
        <v>83</v>
      </c>
      <c r="I394" t="s">
        <v>80</v>
      </c>
      <c r="J394" t="s">
        <v>60</v>
      </c>
      <c r="K394">
        <v>9</v>
      </c>
      <c r="L394">
        <v>70863</v>
      </c>
      <c r="M394" t="s">
        <v>51</v>
      </c>
      <c r="N394">
        <v>1</v>
      </c>
      <c r="O394">
        <v>3</v>
      </c>
      <c r="P394">
        <v>60</v>
      </c>
      <c r="Q394">
        <v>1</v>
      </c>
      <c r="R394" s="1">
        <v>41806</v>
      </c>
      <c r="S394" t="s">
        <v>29</v>
      </c>
      <c r="T394" t="str">
        <f t="shared" si="30"/>
        <v>Grade B</v>
      </c>
      <c r="U394">
        <f t="shared" si="31"/>
        <v>4</v>
      </c>
      <c r="V394" t="str">
        <f t="shared" si="32"/>
        <v>Mid Level</v>
      </c>
      <c r="W394" t="str">
        <f t="shared" si="33"/>
        <v>Low Risk</v>
      </c>
      <c r="X394" t="str">
        <f t="shared" si="34"/>
        <v>Fair</v>
      </c>
    </row>
    <row r="395" spans="1:24" x14ac:dyDescent="0.3">
      <c r="A395" t="s">
        <v>463</v>
      </c>
      <c r="B395" t="s">
        <v>20</v>
      </c>
      <c r="C395">
        <v>27</v>
      </c>
      <c r="D395" t="s">
        <v>47</v>
      </c>
      <c r="E395" t="s">
        <v>40</v>
      </c>
      <c r="F395" t="s">
        <v>65</v>
      </c>
      <c r="G395" t="s">
        <v>42</v>
      </c>
      <c r="H395" t="s">
        <v>76</v>
      </c>
      <c r="I395" t="s">
        <v>43</v>
      </c>
      <c r="J395" t="s">
        <v>44</v>
      </c>
      <c r="K395">
        <v>1</v>
      </c>
      <c r="L395">
        <v>98302</v>
      </c>
      <c r="M395" t="s">
        <v>45</v>
      </c>
      <c r="N395">
        <v>4</v>
      </c>
      <c r="O395">
        <v>4</v>
      </c>
      <c r="P395">
        <v>66</v>
      </c>
      <c r="Q395">
        <v>2</v>
      </c>
      <c r="R395" s="1">
        <v>44770</v>
      </c>
      <c r="S395" t="s">
        <v>29</v>
      </c>
      <c r="T395" t="str">
        <f t="shared" si="30"/>
        <v>Grade A</v>
      </c>
      <c r="U395">
        <f t="shared" si="31"/>
        <v>2</v>
      </c>
      <c r="V395" t="str">
        <f t="shared" si="32"/>
        <v>New Joiner</v>
      </c>
      <c r="W395" t="str">
        <f t="shared" si="33"/>
        <v>Medium Risk</v>
      </c>
      <c r="X395" t="str">
        <f t="shared" si="34"/>
        <v>Fair</v>
      </c>
    </row>
    <row r="396" spans="1:24" x14ac:dyDescent="0.3">
      <c r="A396" t="s">
        <v>464</v>
      </c>
      <c r="B396" t="s">
        <v>20</v>
      </c>
      <c r="C396">
        <v>55</v>
      </c>
      <c r="D396" t="s">
        <v>31</v>
      </c>
      <c r="E396" t="s">
        <v>22</v>
      </c>
      <c r="F396" t="s">
        <v>75</v>
      </c>
      <c r="G396" t="s">
        <v>79</v>
      </c>
      <c r="H396" t="s">
        <v>76</v>
      </c>
      <c r="I396" t="s">
        <v>68</v>
      </c>
      <c r="J396" t="s">
        <v>60</v>
      </c>
      <c r="K396">
        <v>14</v>
      </c>
      <c r="L396">
        <v>62706</v>
      </c>
      <c r="M396" t="s">
        <v>28</v>
      </c>
      <c r="N396">
        <v>4</v>
      </c>
      <c r="O396">
        <v>1</v>
      </c>
      <c r="P396">
        <v>10</v>
      </c>
      <c r="Q396">
        <v>3</v>
      </c>
      <c r="R396" s="1">
        <v>40027</v>
      </c>
      <c r="S396" t="s">
        <v>29</v>
      </c>
      <c r="T396" t="str">
        <f t="shared" si="30"/>
        <v>Grade B</v>
      </c>
      <c r="U396">
        <f t="shared" si="31"/>
        <v>3</v>
      </c>
      <c r="V396" t="str">
        <f t="shared" si="32"/>
        <v>Senior</v>
      </c>
      <c r="W396" t="str">
        <f t="shared" si="33"/>
        <v>Medium Risk</v>
      </c>
      <c r="X396" t="str">
        <f t="shared" si="34"/>
        <v>Competitive</v>
      </c>
    </row>
    <row r="397" spans="1:24" x14ac:dyDescent="0.3">
      <c r="A397" t="s">
        <v>465</v>
      </c>
      <c r="B397" t="s">
        <v>20</v>
      </c>
      <c r="C397">
        <v>24</v>
      </c>
      <c r="D397" t="s">
        <v>31</v>
      </c>
      <c r="E397" t="s">
        <v>40</v>
      </c>
      <c r="F397" t="s">
        <v>75</v>
      </c>
      <c r="G397" t="s">
        <v>24</v>
      </c>
      <c r="H397" t="s">
        <v>67</v>
      </c>
      <c r="I397" t="s">
        <v>80</v>
      </c>
      <c r="J397" t="s">
        <v>60</v>
      </c>
      <c r="K397">
        <v>12</v>
      </c>
      <c r="L397">
        <v>95529</v>
      </c>
      <c r="M397" t="s">
        <v>36</v>
      </c>
      <c r="N397">
        <v>3</v>
      </c>
      <c r="O397">
        <v>4</v>
      </c>
      <c r="P397">
        <v>69</v>
      </c>
      <c r="Q397">
        <v>1</v>
      </c>
      <c r="R397" s="1">
        <v>40764</v>
      </c>
      <c r="S397" t="s">
        <v>37</v>
      </c>
      <c r="T397" t="str">
        <f t="shared" si="30"/>
        <v>Grade A</v>
      </c>
      <c r="U397">
        <f t="shared" si="31"/>
        <v>1</v>
      </c>
      <c r="V397" t="str">
        <f t="shared" si="32"/>
        <v>Senior</v>
      </c>
      <c r="W397" t="str">
        <f t="shared" si="33"/>
        <v>Already Left</v>
      </c>
      <c r="X397" t="str">
        <f t="shared" si="34"/>
        <v>Overpaid</v>
      </c>
    </row>
    <row r="398" spans="1:24" x14ac:dyDescent="0.3">
      <c r="A398" t="s">
        <v>466</v>
      </c>
      <c r="B398" t="s">
        <v>39</v>
      </c>
      <c r="C398">
        <v>53</v>
      </c>
      <c r="D398" t="s">
        <v>47</v>
      </c>
      <c r="E398" t="s">
        <v>22</v>
      </c>
      <c r="F398" t="s">
        <v>23</v>
      </c>
      <c r="G398" t="s">
        <v>33</v>
      </c>
      <c r="H398" t="s">
        <v>67</v>
      </c>
      <c r="I398" t="s">
        <v>50</v>
      </c>
      <c r="J398" t="s">
        <v>44</v>
      </c>
      <c r="K398">
        <v>5</v>
      </c>
      <c r="L398">
        <v>64069</v>
      </c>
      <c r="M398" t="s">
        <v>45</v>
      </c>
      <c r="N398">
        <v>1</v>
      </c>
      <c r="O398">
        <v>3</v>
      </c>
      <c r="P398">
        <v>73</v>
      </c>
      <c r="Q398">
        <v>0</v>
      </c>
      <c r="R398" s="1">
        <v>43254</v>
      </c>
      <c r="S398" t="s">
        <v>29</v>
      </c>
      <c r="T398" t="str">
        <f t="shared" si="30"/>
        <v>Grade B</v>
      </c>
      <c r="U398">
        <f t="shared" si="31"/>
        <v>2</v>
      </c>
      <c r="V398" t="str">
        <f t="shared" si="32"/>
        <v>Junior</v>
      </c>
      <c r="W398" t="str">
        <f t="shared" si="33"/>
        <v>Medium Risk</v>
      </c>
      <c r="X398" t="str">
        <f t="shared" si="34"/>
        <v>Fair</v>
      </c>
    </row>
    <row r="399" spans="1:24" x14ac:dyDescent="0.3">
      <c r="A399" t="s">
        <v>467</v>
      </c>
      <c r="B399" t="s">
        <v>20</v>
      </c>
      <c r="C399">
        <v>54</v>
      </c>
      <c r="D399" t="s">
        <v>88</v>
      </c>
      <c r="E399" t="s">
        <v>22</v>
      </c>
      <c r="F399" t="s">
        <v>65</v>
      </c>
      <c r="G399" t="s">
        <v>63</v>
      </c>
      <c r="H399" t="s">
        <v>34</v>
      </c>
      <c r="I399" t="s">
        <v>54</v>
      </c>
      <c r="J399" t="s">
        <v>27</v>
      </c>
      <c r="K399">
        <v>10</v>
      </c>
      <c r="L399">
        <v>63451</v>
      </c>
      <c r="M399" t="s">
        <v>36</v>
      </c>
      <c r="N399">
        <v>3</v>
      </c>
      <c r="O399">
        <v>2</v>
      </c>
      <c r="P399">
        <v>17</v>
      </c>
      <c r="Q399">
        <v>1</v>
      </c>
      <c r="R399" s="1">
        <v>41581</v>
      </c>
      <c r="S399" t="s">
        <v>29</v>
      </c>
      <c r="T399" t="str">
        <f t="shared" si="30"/>
        <v>Grade B</v>
      </c>
      <c r="U399">
        <f t="shared" si="31"/>
        <v>1</v>
      </c>
      <c r="V399" t="str">
        <f t="shared" si="32"/>
        <v>Mid Level</v>
      </c>
      <c r="W399" t="str">
        <f t="shared" si="33"/>
        <v>Medium Risk</v>
      </c>
      <c r="X399" t="str">
        <f t="shared" si="34"/>
        <v>Fair</v>
      </c>
    </row>
    <row r="400" spans="1:24" x14ac:dyDescent="0.3">
      <c r="A400" t="s">
        <v>468</v>
      </c>
      <c r="B400" t="s">
        <v>20</v>
      </c>
      <c r="C400">
        <v>25</v>
      </c>
      <c r="D400" t="s">
        <v>31</v>
      </c>
      <c r="E400" t="s">
        <v>48</v>
      </c>
      <c r="F400" t="s">
        <v>78</v>
      </c>
      <c r="G400" t="s">
        <v>58</v>
      </c>
      <c r="H400" t="s">
        <v>67</v>
      </c>
      <c r="I400" t="s">
        <v>72</v>
      </c>
      <c r="J400" t="s">
        <v>73</v>
      </c>
      <c r="K400">
        <v>3</v>
      </c>
      <c r="L400">
        <v>89934</v>
      </c>
      <c r="M400" t="s">
        <v>45</v>
      </c>
      <c r="N400">
        <v>1</v>
      </c>
      <c r="O400">
        <v>2</v>
      </c>
      <c r="P400">
        <v>33</v>
      </c>
      <c r="Q400">
        <v>0</v>
      </c>
      <c r="R400" s="1">
        <v>43983</v>
      </c>
      <c r="S400" t="s">
        <v>29</v>
      </c>
      <c r="T400" t="str">
        <f t="shared" si="30"/>
        <v>Grade A</v>
      </c>
      <c r="U400">
        <f t="shared" si="31"/>
        <v>2</v>
      </c>
      <c r="V400" t="str">
        <f t="shared" si="32"/>
        <v>Junior</v>
      </c>
      <c r="W400" t="str">
        <f t="shared" si="33"/>
        <v>Medium Risk</v>
      </c>
      <c r="X400" t="str">
        <f t="shared" si="34"/>
        <v>Fair</v>
      </c>
    </row>
    <row r="401" spans="1:24" x14ac:dyDescent="0.3">
      <c r="A401" t="s">
        <v>469</v>
      </c>
      <c r="B401" t="s">
        <v>20</v>
      </c>
      <c r="C401">
        <v>28</v>
      </c>
      <c r="D401" t="s">
        <v>88</v>
      </c>
      <c r="E401" t="s">
        <v>40</v>
      </c>
      <c r="F401" t="s">
        <v>53</v>
      </c>
      <c r="G401" t="s">
        <v>66</v>
      </c>
      <c r="H401" t="s">
        <v>34</v>
      </c>
      <c r="I401" t="s">
        <v>54</v>
      </c>
      <c r="J401" t="s">
        <v>27</v>
      </c>
      <c r="K401">
        <v>14</v>
      </c>
      <c r="L401">
        <v>62865</v>
      </c>
      <c r="M401" t="s">
        <v>45</v>
      </c>
      <c r="N401">
        <v>3</v>
      </c>
      <c r="O401">
        <v>2</v>
      </c>
      <c r="P401">
        <v>11</v>
      </c>
      <c r="Q401">
        <v>1</v>
      </c>
      <c r="R401" s="1">
        <v>39832</v>
      </c>
      <c r="S401" t="s">
        <v>29</v>
      </c>
      <c r="T401" t="str">
        <f t="shared" si="30"/>
        <v>Grade B</v>
      </c>
      <c r="U401">
        <f t="shared" si="31"/>
        <v>2</v>
      </c>
      <c r="V401" t="str">
        <f t="shared" si="32"/>
        <v>Senior</v>
      </c>
      <c r="W401" t="str">
        <f t="shared" si="33"/>
        <v>Medium Risk</v>
      </c>
      <c r="X401" t="str">
        <f t="shared" si="34"/>
        <v>Fair</v>
      </c>
    </row>
    <row r="402" spans="1:24" x14ac:dyDescent="0.3">
      <c r="A402" t="s">
        <v>470</v>
      </c>
      <c r="B402" t="s">
        <v>39</v>
      </c>
      <c r="C402">
        <v>34</v>
      </c>
      <c r="D402" t="s">
        <v>88</v>
      </c>
      <c r="E402" t="s">
        <v>40</v>
      </c>
      <c r="F402" t="s">
        <v>62</v>
      </c>
      <c r="G402" t="s">
        <v>66</v>
      </c>
      <c r="H402" t="s">
        <v>25</v>
      </c>
      <c r="I402" t="s">
        <v>35</v>
      </c>
      <c r="J402" t="s">
        <v>27</v>
      </c>
      <c r="K402">
        <v>7</v>
      </c>
      <c r="L402">
        <v>44342</v>
      </c>
      <c r="M402" t="s">
        <v>36</v>
      </c>
      <c r="N402">
        <v>1</v>
      </c>
      <c r="O402">
        <v>4</v>
      </c>
      <c r="P402">
        <v>68</v>
      </c>
      <c r="Q402">
        <v>0</v>
      </c>
      <c r="R402" s="1">
        <v>42658</v>
      </c>
      <c r="S402" t="s">
        <v>37</v>
      </c>
      <c r="T402" t="str">
        <f t="shared" si="30"/>
        <v>Grade C</v>
      </c>
      <c r="U402">
        <f t="shared" si="31"/>
        <v>1</v>
      </c>
      <c r="V402" t="str">
        <f t="shared" si="32"/>
        <v>Mid Level</v>
      </c>
      <c r="W402" t="str">
        <f t="shared" si="33"/>
        <v>Already Left</v>
      </c>
      <c r="X402" t="str">
        <f t="shared" si="34"/>
        <v>Fair</v>
      </c>
    </row>
    <row r="403" spans="1:24" x14ac:dyDescent="0.3">
      <c r="A403" t="s">
        <v>471</v>
      </c>
      <c r="B403" t="s">
        <v>20</v>
      </c>
      <c r="C403">
        <v>33</v>
      </c>
      <c r="D403" t="s">
        <v>31</v>
      </c>
      <c r="E403" t="s">
        <v>22</v>
      </c>
      <c r="F403" t="s">
        <v>53</v>
      </c>
      <c r="G403" t="s">
        <v>42</v>
      </c>
      <c r="H403" t="s">
        <v>83</v>
      </c>
      <c r="I403" t="s">
        <v>26</v>
      </c>
      <c r="J403" t="s">
        <v>27</v>
      </c>
      <c r="K403">
        <v>6</v>
      </c>
      <c r="L403">
        <v>108880</v>
      </c>
      <c r="M403" t="s">
        <v>36</v>
      </c>
      <c r="N403">
        <v>1</v>
      </c>
      <c r="O403">
        <v>2</v>
      </c>
      <c r="P403">
        <v>26</v>
      </c>
      <c r="Q403">
        <v>1</v>
      </c>
      <c r="R403" s="1">
        <v>42797</v>
      </c>
      <c r="S403" t="s">
        <v>37</v>
      </c>
      <c r="T403" t="str">
        <f t="shared" si="30"/>
        <v>Grade A</v>
      </c>
      <c r="U403">
        <f t="shared" si="31"/>
        <v>1</v>
      </c>
      <c r="V403" t="str">
        <f t="shared" si="32"/>
        <v>Mid Level</v>
      </c>
      <c r="W403" t="str">
        <f t="shared" si="33"/>
        <v>Already Left</v>
      </c>
      <c r="X403" t="str">
        <f t="shared" si="34"/>
        <v>Overpaid</v>
      </c>
    </row>
    <row r="404" spans="1:24" x14ac:dyDescent="0.3">
      <c r="A404" t="s">
        <v>472</v>
      </c>
      <c r="B404" t="s">
        <v>39</v>
      </c>
      <c r="C404">
        <v>52</v>
      </c>
      <c r="D404" t="s">
        <v>57</v>
      </c>
      <c r="E404" t="s">
        <v>22</v>
      </c>
      <c r="F404" t="s">
        <v>62</v>
      </c>
      <c r="G404" t="s">
        <v>79</v>
      </c>
      <c r="H404" t="s">
        <v>67</v>
      </c>
      <c r="I404" t="s">
        <v>59</v>
      </c>
      <c r="J404" t="s">
        <v>60</v>
      </c>
      <c r="K404">
        <v>3</v>
      </c>
      <c r="L404">
        <v>49920</v>
      </c>
      <c r="M404" t="s">
        <v>28</v>
      </c>
      <c r="N404">
        <v>2</v>
      </c>
      <c r="O404">
        <v>1</v>
      </c>
      <c r="P404">
        <v>14</v>
      </c>
      <c r="Q404">
        <v>0</v>
      </c>
      <c r="R404" s="1">
        <v>44158</v>
      </c>
      <c r="S404" t="s">
        <v>37</v>
      </c>
      <c r="T404" t="str">
        <f t="shared" si="30"/>
        <v>Grade C</v>
      </c>
      <c r="U404">
        <f t="shared" si="31"/>
        <v>3</v>
      </c>
      <c r="V404" t="str">
        <f t="shared" si="32"/>
        <v>Junior</v>
      </c>
      <c r="W404" t="str">
        <f t="shared" si="33"/>
        <v>Already Left</v>
      </c>
      <c r="X404" t="str">
        <f t="shared" si="34"/>
        <v>Fair</v>
      </c>
    </row>
    <row r="405" spans="1:24" x14ac:dyDescent="0.3">
      <c r="A405" t="s">
        <v>473</v>
      </c>
      <c r="B405" t="s">
        <v>39</v>
      </c>
      <c r="C405">
        <v>34</v>
      </c>
      <c r="D405" t="s">
        <v>47</v>
      </c>
      <c r="E405" t="s">
        <v>40</v>
      </c>
      <c r="F405" t="s">
        <v>41</v>
      </c>
      <c r="G405" t="s">
        <v>42</v>
      </c>
      <c r="H405" t="s">
        <v>25</v>
      </c>
      <c r="I405" t="s">
        <v>96</v>
      </c>
      <c r="J405" t="s">
        <v>44</v>
      </c>
      <c r="K405">
        <v>2</v>
      </c>
      <c r="L405">
        <v>89336</v>
      </c>
      <c r="M405" t="s">
        <v>51</v>
      </c>
      <c r="N405">
        <v>3</v>
      </c>
      <c r="O405">
        <v>1</v>
      </c>
      <c r="P405">
        <v>21</v>
      </c>
      <c r="Q405">
        <v>1</v>
      </c>
      <c r="R405" s="1">
        <v>44499</v>
      </c>
      <c r="S405" t="s">
        <v>37</v>
      </c>
      <c r="T405" t="str">
        <f t="shared" si="30"/>
        <v>Grade A</v>
      </c>
      <c r="U405">
        <f t="shared" si="31"/>
        <v>4</v>
      </c>
      <c r="V405" t="str">
        <f t="shared" si="32"/>
        <v>New Joiner</v>
      </c>
      <c r="W405" t="str">
        <f t="shared" si="33"/>
        <v>Already Left</v>
      </c>
      <c r="X405" t="str">
        <f t="shared" si="34"/>
        <v>Competitive</v>
      </c>
    </row>
    <row r="406" spans="1:24" x14ac:dyDescent="0.3">
      <c r="A406" t="s">
        <v>474</v>
      </c>
      <c r="B406" t="s">
        <v>39</v>
      </c>
      <c r="C406">
        <v>22</v>
      </c>
      <c r="D406" t="s">
        <v>88</v>
      </c>
      <c r="E406" t="s">
        <v>22</v>
      </c>
      <c r="F406" t="s">
        <v>65</v>
      </c>
      <c r="G406" t="s">
        <v>49</v>
      </c>
      <c r="H406" t="s">
        <v>25</v>
      </c>
      <c r="I406" t="s">
        <v>80</v>
      </c>
      <c r="J406" t="s">
        <v>60</v>
      </c>
      <c r="K406">
        <v>14</v>
      </c>
      <c r="L406">
        <v>84544</v>
      </c>
      <c r="M406" t="s">
        <v>28</v>
      </c>
      <c r="N406">
        <v>2</v>
      </c>
      <c r="O406">
        <v>3</v>
      </c>
      <c r="P406">
        <v>31</v>
      </c>
      <c r="Q406">
        <v>0</v>
      </c>
      <c r="R406" s="1">
        <v>40148</v>
      </c>
      <c r="S406" t="s">
        <v>29</v>
      </c>
      <c r="T406" t="str">
        <f t="shared" si="30"/>
        <v>Grade A</v>
      </c>
      <c r="U406">
        <f t="shared" si="31"/>
        <v>3</v>
      </c>
      <c r="V406" t="str">
        <f t="shared" si="32"/>
        <v>Senior</v>
      </c>
      <c r="W406" t="str">
        <f t="shared" si="33"/>
        <v>Medium Risk</v>
      </c>
      <c r="X406" t="str">
        <f t="shared" si="34"/>
        <v>Competitive</v>
      </c>
    </row>
    <row r="407" spans="1:24" x14ac:dyDescent="0.3">
      <c r="A407" t="s">
        <v>475</v>
      </c>
      <c r="B407" t="s">
        <v>20</v>
      </c>
      <c r="C407">
        <v>49</v>
      </c>
      <c r="D407" t="s">
        <v>47</v>
      </c>
      <c r="E407" t="s">
        <v>40</v>
      </c>
      <c r="F407" t="s">
        <v>32</v>
      </c>
      <c r="G407" t="s">
        <v>24</v>
      </c>
      <c r="H407" t="s">
        <v>34</v>
      </c>
      <c r="I407" t="s">
        <v>26</v>
      </c>
      <c r="J407" t="s">
        <v>27</v>
      </c>
      <c r="K407">
        <v>6</v>
      </c>
      <c r="L407">
        <v>91406</v>
      </c>
      <c r="M407" t="s">
        <v>36</v>
      </c>
      <c r="N407">
        <v>2</v>
      </c>
      <c r="O407">
        <v>4</v>
      </c>
      <c r="P407">
        <v>24</v>
      </c>
      <c r="Q407">
        <v>2</v>
      </c>
      <c r="R407" s="1">
        <v>42921</v>
      </c>
      <c r="S407" t="s">
        <v>37</v>
      </c>
      <c r="T407" t="str">
        <f t="shared" si="30"/>
        <v>Grade A</v>
      </c>
      <c r="U407">
        <f t="shared" si="31"/>
        <v>1</v>
      </c>
      <c r="V407" t="str">
        <f t="shared" si="32"/>
        <v>Mid Level</v>
      </c>
      <c r="W407" t="str">
        <f t="shared" si="33"/>
        <v>Already Left</v>
      </c>
      <c r="X407" t="str">
        <f t="shared" si="34"/>
        <v>Overpaid</v>
      </c>
    </row>
    <row r="408" spans="1:24" x14ac:dyDescent="0.3">
      <c r="A408" t="s">
        <v>476</v>
      </c>
      <c r="B408" t="s">
        <v>39</v>
      </c>
      <c r="C408">
        <v>42</v>
      </c>
      <c r="D408" t="s">
        <v>57</v>
      </c>
      <c r="E408" t="s">
        <v>22</v>
      </c>
      <c r="F408" t="s">
        <v>78</v>
      </c>
      <c r="G408" t="s">
        <v>66</v>
      </c>
      <c r="H408" t="s">
        <v>83</v>
      </c>
      <c r="I408" t="s">
        <v>26</v>
      </c>
      <c r="J408" t="s">
        <v>27</v>
      </c>
      <c r="K408">
        <v>8</v>
      </c>
      <c r="L408">
        <v>50446</v>
      </c>
      <c r="M408" t="s">
        <v>28</v>
      </c>
      <c r="N408">
        <v>4</v>
      </c>
      <c r="O408">
        <v>3</v>
      </c>
      <c r="P408">
        <v>68</v>
      </c>
      <c r="Q408">
        <v>2</v>
      </c>
      <c r="R408" s="1">
        <v>42352</v>
      </c>
      <c r="S408" t="s">
        <v>29</v>
      </c>
      <c r="T408" t="str">
        <f t="shared" si="30"/>
        <v>Grade B</v>
      </c>
      <c r="U408">
        <f t="shared" si="31"/>
        <v>3</v>
      </c>
      <c r="V408" t="str">
        <f t="shared" si="32"/>
        <v>Mid Level</v>
      </c>
      <c r="W408" t="str">
        <f t="shared" si="33"/>
        <v>Medium Risk</v>
      </c>
      <c r="X408" t="str">
        <f t="shared" si="34"/>
        <v>Competitive</v>
      </c>
    </row>
    <row r="409" spans="1:24" x14ac:dyDescent="0.3">
      <c r="A409" t="s">
        <v>477</v>
      </c>
      <c r="B409" t="s">
        <v>20</v>
      </c>
      <c r="C409">
        <v>33</v>
      </c>
      <c r="D409" t="s">
        <v>21</v>
      </c>
      <c r="E409" t="s">
        <v>40</v>
      </c>
      <c r="F409" t="s">
        <v>32</v>
      </c>
      <c r="G409" t="s">
        <v>63</v>
      </c>
      <c r="H409" t="s">
        <v>34</v>
      </c>
      <c r="I409" t="s">
        <v>96</v>
      </c>
      <c r="J409" t="s">
        <v>44</v>
      </c>
      <c r="K409">
        <v>5</v>
      </c>
      <c r="L409">
        <v>51186</v>
      </c>
      <c r="M409" t="s">
        <v>36</v>
      </c>
      <c r="N409">
        <v>4</v>
      </c>
      <c r="O409">
        <v>1</v>
      </c>
      <c r="P409">
        <v>60</v>
      </c>
      <c r="Q409">
        <v>3</v>
      </c>
      <c r="R409" s="1">
        <v>43120</v>
      </c>
      <c r="S409" t="s">
        <v>37</v>
      </c>
      <c r="T409" t="str">
        <f t="shared" si="30"/>
        <v>Grade B</v>
      </c>
      <c r="U409">
        <f t="shared" si="31"/>
        <v>1</v>
      </c>
      <c r="V409" t="str">
        <f t="shared" si="32"/>
        <v>Junior</v>
      </c>
      <c r="W409" t="str">
        <f t="shared" si="33"/>
        <v>Already Left</v>
      </c>
      <c r="X409" t="str">
        <f t="shared" si="34"/>
        <v>Fair</v>
      </c>
    </row>
    <row r="410" spans="1:24" x14ac:dyDescent="0.3">
      <c r="A410" t="s">
        <v>478</v>
      </c>
      <c r="B410" t="s">
        <v>39</v>
      </c>
      <c r="C410">
        <v>45</v>
      </c>
      <c r="D410" t="s">
        <v>47</v>
      </c>
      <c r="E410" t="s">
        <v>48</v>
      </c>
      <c r="F410" t="s">
        <v>41</v>
      </c>
      <c r="G410" t="s">
        <v>63</v>
      </c>
      <c r="H410" t="s">
        <v>83</v>
      </c>
      <c r="I410" t="s">
        <v>35</v>
      </c>
      <c r="J410" t="s">
        <v>27</v>
      </c>
      <c r="K410">
        <v>7</v>
      </c>
      <c r="L410">
        <v>68351</v>
      </c>
      <c r="M410" t="s">
        <v>28</v>
      </c>
      <c r="N410">
        <v>2</v>
      </c>
      <c r="O410">
        <v>4</v>
      </c>
      <c r="P410">
        <v>25</v>
      </c>
      <c r="Q410">
        <v>1</v>
      </c>
      <c r="R410" s="1">
        <v>42651</v>
      </c>
      <c r="S410" t="s">
        <v>37</v>
      </c>
      <c r="T410" t="str">
        <f t="shared" si="30"/>
        <v>Grade B</v>
      </c>
      <c r="U410">
        <f t="shared" si="31"/>
        <v>3</v>
      </c>
      <c r="V410" t="str">
        <f t="shared" si="32"/>
        <v>Mid Level</v>
      </c>
      <c r="W410" t="str">
        <f t="shared" si="33"/>
        <v>Already Left</v>
      </c>
      <c r="X410" t="str">
        <f t="shared" si="34"/>
        <v>Competitive</v>
      </c>
    </row>
    <row r="411" spans="1:24" x14ac:dyDescent="0.3">
      <c r="A411" t="s">
        <v>479</v>
      </c>
      <c r="B411" t="s">
        <v>20</v>
      </c>
      <c r="C411">
        <v>53</v>
      </c>
      <c r="D411" t="s">
        <v>88</v>
      </c>
      <c r="E411" t="s">
        <v>48</v>
      </c>
      <c r="F411" t="s">
        <v>78</v>
      </c>
      <c r="G411" t="s">
        <v>63</v>
      </c>
      <c r="H411" t="s">
        <v>25</v>
      </c>
      <c r="I411" t="s">
        <v>43</v>
      </c>
      <c r="J411" t="s">
        <v>44</v>
      </c>
      <c r="K411">
        <v>13</v>
      </c>
      <c r="L411">
        <v>72668</v>
      </c>
      <c r="M411" t="s">
        <v>45</v>
      </c>
      <c r="N411">
        <v>2</v>
      </c>
      <c r="O411">
        <v>4</v>
      </c>
      <c r="P411">
        <v>23</v>
      </c>
      <c r="Q411">
        <v>0</v>
      </c>
      <c r="R411" s="1">
        <v>40206</v>
      </c>
      <c r="S411" t="s">
        <v>29</v>
      </c>
      <c r="T411" t="str">
        <f t="shared" si="30"/>
        <v>Grade B</v>
      </c>
      <c r="U411">
        <f t="shared" si="31"/>
        <v>2</v>
      </c>
      <c r="V411" t="str">
        <f t="shared" si="32"/>
        <v>Senior</v>
      </c>
      <c r="W411" t="str">
        <f t="shared" si="33"/>
        <v>Medium Risk</v>
      </c>
      <c r="X411" t="str">
        <f t="shared" si="34"/>
        <v>Fair</v>
      </c>
    </row>
    <row r="412" spans="1:24" x14ac:dyDescent="0.3">
      <c r="A412" t="s">
        <v>480</v>
      </c>
      <c r="B412" t="s">
        <v>39</v>
      </c>
      <c r="C412">
        <v>53</v>
      </c>
      <c r="D412" t="s">
        <v>21</v>
      </c>
      <c r="E412" t="s">
        <v>22</v>
      </c>
      <c r="F412" t="s">
        <v>78</v>
      </c>
      <c r="G412" t="s">
        <v>24</v>
      </c>
      <c r="H412" t="s">
        <v>76</v>
      </c>
      <c r="I412" t="s">
        <v>80</v>
      </c>
      <c r="J412" t="s">
        <v>60</v>
      </c>
      <c r="K412">
        <v>11</v>
      </c>
      <c r="L412">
        <v>87973</v>
      </c>
      <c r="M412" t="s">
        <v>28</v>
      </c>
      <c r="N412">
        <v>4</v>
      </c>
      <c r="O412">
        <v>3</v>
      </c>
      <c r="P412">
        <v>29</v>
      </c>
      <c r="Q412">
        <v>2</v>
      </c>
      <c r="R412" s="1">
        <v>41250</v>
      </c>
      <c r="S412" t="s">
        <v>37</v>
      </c>
      <c r="T412" t="str">
        <f t="shared" si="30"/>
        <v>Grade A</v>
      </c>
      <c r="U412">
        <f t="shared" si="31"/>
        <v>3</v>
      </c>
      <c r="V412" t="str">
        <f t="shared" si="32"/>
        <v>Senior</v>
      </c>
      <c r="W412" t="str">
        <f t="shared" si="33"/>
        <v>Already Left</v>
      </c>
      <c r="X412" t="str">
        <f t="shared" si="34"/>
        <v>Competitive</v>
      </c>
    </row>
    <row r="413" spans="1:24" x14ac:dyDescent="0.3">
      <c r="A413" t="s">
        <v>481</v>
      </c>
      <c r="B413" t="s">
        <v>20</v>
      </c>
      <c r="C413">
        <v>54</v>
      </c>
      <c r="D413" t="s">
        <v>31</v>
      </c>
      <c r="E413" t="s">
        <v>40</v>
      </c>
      <c r="F413" t="s">
        <v>41</v>
      </c>
      <c r="G413" t="s">
        <v>33</v>
      </c>
      <c r="H413" t="s">
        <v>83</v>
      </c>
      <c r="I413" t="s">
        <v>54</v>
      </c>
      <c r="J413" t="s">
        <v>27</v>
      </c>
      <c r="K413">
        <v>13</v>
      </c>
      <c r="L413">
        <v>82616</v>
      </c>
      <c r="M413" t="s">
        <v>36</v>
      </c>
      <c r="N413">
        <v>3</v>
      </c>
      <c r="O413">
        <v>1</v>
      </c>
      <c r="P413">
        <v>14</v>
      </c>
      <c r="Q413">
        <v>3</v>
      </c>
      <c r="R413" s="1">
        <v>40293</v>
      </c>
      <c r="S413" t="s">
        <v>29</v>
      </c>
      <c r="T413" t="str">
        <f t="shared" si="30"/>
        <v>Grade A</v>
      </c>
      <c r="U413">
        <f t="shared" si="31"/>
        <v>1</v>
      </c>
      <c r="V413" t="str">
        <f t="shared" si="32"/>
        <v>Senior</v>
      </c>
      <c r="W413" t="str">
        <f t="shared" si="33"/>
        <v>Medium Risk</v>
      </c>
      <c r="X413" t="str">
        <f t="shared" si="34"/>
        <v>Overpaid</v>
      </c>
    </row>
    <row r="414" spans="1:24" x14ac:dyDescent="0.3">
      <c r="A414" t="s">
        <v>482</v>
      </c>
      <c r="B414" t="s">
        <v>39</v>
      </c>
      <c r="C414">
        <v>33</v>
      </c>
      <c r="D414" t="s">
        <v>88</v>
      </c>
      <c r="E414" t="s">
        <v>40</v>
      </c>
      <c r="F414" t="s">
        <v>75</v>
      </c>
      <c r="G414" t="s">
        <v>63</v>
      </c>
      <c r="H414" t="s">
        <v>76</v>
      </c>
      <c r="I414" t="s">
        <v>26</v>
      </c>
      <c r="J414" t="s">
        <v>27</v>
      </c>
      <c r="K414">
        <v>14</v>
      </c>
      <c r="L414">
        <v>77501</v>
      </c>
      <c r="M414" t="s">
        <v>45</v>
      </c>
      <c r="N414">
        <v>3</v>
      </c>
      <c r="O414">
        <v>2</v>
      </c>
      <c r="P414">
        <v>72</v>
      </c>
      <c r="Q414">
        <v>3</v>
      </c>
      <c r="R414" s="1">
        <v>40164</v>
      </c>
      <c r="S414" t="s">
        <v>29</v>
      </c>
      <c r="T414" t="str">
        <f t="shared" si="30"/>
        <v>Grade B</v>
      </c>
      <c r="U414">
        <f t="shared" si="31"/>
        <v>2</v>
      </c>
      <c r="V414" t="str">
        <f t="shared" si="32"/>
        <v>Senior</v>
      </c>
      <c r="W414" t="str">
        <f t="shared" si="33"/>
        <v>Medium Risk</v>
      </c>
      <c r="X414" t="str">
        <f t="shared" si="34"/>
        <v>Fair</v>
      </c>
    </row>
    <row r="415" spans="1:24" x14ac:dyDescent="0.3">
      <c r="A415" t="s">
        <v>483</v>
      </c>
      <c r="B415" t="s">
        <v>20</v>
      </c>
      <c r="C415">
        <v>52</v>
      </c>
      <c r="D415" t="s">
        <v>88</v>
      </c>
      <c r="E415" t="s">
        <v>22</v>
      </c>
      <c r="F415" t="s">
        <v>62</v>
      </c>
      <c r="G415" t="s">
        <v>79</v>
      </c>
      <c r="H415" t="s">
        <v>76</v>
      </c>
      <c r="I415" t="s">
        <v>68</v>
      </c>
      <c r="J415" t="s">
        <v>60</v>
      </c>
      <c r="K415">
        <v>13</v>
      </c>
      <c r="L415">
        <v>74640</v>
      </c>
      <c r="M415" t="s">
        <v>36</v>
      </c>
      <c r="N415">
        <v>1</v>
      </c>
      <c r="O415">
        <v>4</v>
      </c>
      <c r="P415">
        <v>43</v>
      </c>
      <c r="Q415">
        <v>3</v>
      </c>
      <c r="R415" s="1">
        <v>40264</v>
      </c>
      <c r="S415" t="s">
        <v>29</v>
      </c>
      <c r="T415" t="str">
        <f t="shared" si="30"/>
        <v>Grade B</v>
      </c>
      <c r="U415">
        <f t="shared" si="31"/>
        <v>1</v>
      </c>
      <c r="V415" t="str">
        <f t="shared" si="32"/>
        <v>Senior</v>
      </c>
      <c r="W415" t="str">
        <f t="shared" si="33"/>
        <v>Medium Risk</v>
      </c>
      <c r="X415" t="str">
        <f t="shared" si="34"/>
        <v>Fair</v>
      </c>
    </row>
    <row r="416" spans="1:24" x14ac:dyDescent="0.3">
      <c r="A416" t="s">
        <v>484</v>
      </c>
      <c r="B416" t="s">
        <v>39</v>
      </c>
      <c r="C416">
        <v>30</v>
      </c>
      <c r="D416" t="s">
        <v>31</v>
      </c>
      <c r="E416" t="s">
        <v>48</v>
      </c>
      <c r="F416" t="s">
        <v>75</v>
      </c>
      <c r="G416" t="s">
        <v>42</v>
      </c>
      <c r="H416" t="s">
        <v>34</v>
      </c>
      <c r="I416" t="s">
        <v>54</v>
      </c>
      <c r="J416" t="s">
        <v>27</v>
      </c>
      <c r="K416">
        <v>13</v>
      </c>
      <c r="L416">
        <v>121501</v>
      </c>
      <c r="M416" t="s">
        <v>45</v>
      </c>
      <c r="N416">
        <v>1</v>
      </c>
      <c r="O416">
        <v>3</v>
      </c>
      <c r="P416">
        <v>58</v>
      </c>
      <c r="Q416">
        <v>0</v>
      </c>
      <c r="R416" s="1">
        <v>40533</v>
      </c>
      <c r="S416" t="s">
        <v>37</v>
      </c>
      <c r="T416" t="str">
        <f t="shared" si="30"/>
        <v>Grade A</v>
      </c>
      <c r="U416">
        <f t="shared" si="31"/>
        <v>2</v>
      </c>
      <c r="V416" t="str">
        <f t="shared" si="32"/>
        <v>Senior</v>
      </c>
      <c r="W416" t="str">
        <f t="shared" si="33"/>
        <v>Already Left</v>
      </c>
      <c r="X416" t="str">
        <f t="shared" si="34"/>
        <v>Fair</v>
      </c>
    </row>
    <row r="417" spans="1:24" x14ac:dyDescent="0.3">
      <c r="A417" t="s">
        <v>485</v>
      </c>
      <c r="B417" t="s">
        <v>20</v>
      </c>
      <c r="C417">
        <v>27</v>
      </c>
      <c r="D417" t="s">
        <v>21</v>
      </c>
      <c r="E417" t="s">
        <v>48</v>
      </c>
      <c r="F417" t="s">
        <v>65</v>
      </c>
      <c r="G417" t="s">
        <v>58</v>
      </c>
      <c r="H417" t="s">
        <v>25</v>
      </c>
      <c r="I417" t="s">
        <v>43</v>
      </c>
      <c r="J417" t="s">
        <v>44</v>
      </c>
      <c r="K417">
        <v>6</v>
      </c>
      <c r="L417">
        <v>95002</v>
      </c>
      <c r="M417" t="s">
        <v>36</v>
      </c>
      <c r="N417">
        <v>1</v>
      </c>
      <c r="O417">
        <v>3</v>
      </c>
      <c r="P417">
        <v>31</v>
      </c>
      <c r="Q417">
        <v>0</v>
      </c>
      <c r="R417" s="1">
        <v>42771</v>
      </c>
      <c r="S417" t="s">
        <v>37</v>
      </c>
      <c r="T417" t="str">
        <f t="shared" si="30"/>
        <v>Grade A</v>
      </c>
      <c r="U417">
        <f t="shared" si="31"/>
        <v>1</v>
      </c>
      <c r="V417" t="str">
        <f t="shared" si="32"/>
        <v>Mid Level</v>
      </c>
      <c r="W417" t="str">
        <f t="shared" si="33"/>
        <v>Already Left</v>
      </c>
      <c r="X417" t="str">
        <f t="shared" si="34"/>
        <v>Overpaid</v>
      </c>
    </row>
    <row r="418" spans="1:24" x14ac:dyDescent="0.3">
      <c r="A418" t="s">
        <v>486</v>
      </c>
      <c r="B418" t="s">
        <v>39</v>
      </c>
      <c r="C418">
        <v>52</v>
      </c>
      <c r="D418" t="s">
        <v>88</v>
      </c>
      <c r="E418" t="s">
        <v>22</v>
      </c>
      <c r="F418" t="s">
        <v>65</v>
      </c>
      <c r="G418" t="s">
        <v>63</v>
      </c>
      <c r="H418" t="s">
        <v>83</v>
      </c>
      <c r="I418" t="s">
        <v>35</v>
      </c>
      <c r="J418" t="s">
        <v>27</v>
      </c>
      <c r="K418">
        <v>11</v>
      </c>
      <c r="L418">
        <v>75613</v>
      </c>
      <c r="M418" t="s">
        <v>36</v>
      </c>
      <c r="N418">
        <v>3</v>
      </c>
      <c r="O418">
        <v>4</v>
      </c>
      <c r="P418">
        <v>59</v>
      </c>
      <c r="Q418">
        <v>2</v>
      </c>
      <c r="R418" s="1">
        <v>41141</v>
      </c>
      <c r="S418" t="s">
        <v>37</v>
      </c>
      <c r="T418" t="str">
        <f t="shared" si="30"/>
        <v>Grade B</v>
      </c>
      <c r="U418">
        <f t="shared" si="31"/>
        <v>1</v>
      </c>
      <c r="V418" t="str">
        <f t="shared" si="32"/>
        <v>Senior</v>
      </c>
      <c r="W418" t="str">
        <f t="shared" si="33"/>
        <v>Already Left</v>
      </c>
      <c r="X418" t="str">
        <f t="shared" si="34"/>
        <v>Fair</v>
      </c>
    </row>
    <row r="419" spans="1:24" x14ac:dyDescent="0.3">
      <c r="A419" t="s">
        <v>487</v>
      </c>
      <c r="B419" t="s">
        <v>20</v>
      </c>
      <c r="C419">
        <v>32</v>
      </c>
      <c r="D419" t="s">
        <v>88</v>
      </c>
      <c r="E419" t="s">
        <v>48</v>
      </c>
      <c r="F419" t="s">
        <v>41</v>
      </c>
      <c r="G419" t="s">
        <v>49</v>
      </c>
      <c r="H419" t="s">
        <v>76</v>
      </c>
      <c r="I419" t="s">
        <v>54</v>
      </c>
      <c r="J419" t="s">
        <v>27</v>
      </c>
      <c r="K419">
        <v>12</v>
      </c>
      <c r="L419">
        <v>75008</v>
      </c>
      <c r="M419" t="s">
        <v>51</v>
      </c>
      <c r="N419">
        <v>3</v>
      </c>
      <c r="O419">
        <v>4</v>
      </c>
      <c r="P419">
        <v>35</v>
      </c>
      <c r="Q419">
        <v>3</v>
      </c>
      <c r="R419" s="1">
        <v>40655</v>
      </c>
      <c r="S419" t="s">
        <v>29</v>
      </c>
      <c r="T419" t="str">
        <f t="shared" si="30"/>
        <v>Grade B</v>
      </c>
      <c r="U419">
        <f t="shared" si="31"/>
        <v>4</v>
      </c>
      <c r="V419" t="str">
        <f t="shared" si="32"/>
        <v>Senior</v>
      </c>
      <c r="W419" t="str">
        <f t="shared" si="33"/>
        <v>Low Risk</v>
      </c>
      <c r="X419" t="str">
        <f t="shared" si="34"/>
        <v>Fair</v>
      </c>
    </row>
    <row r="420" spans="1:24" x14ac:dyDescent="0.3">
      <c r="A420" t="s">
        <v>488</v>
      </c>
      <c r="B420" t="s">
        <v>39</v>
      </c>
      <c r="C420">
        <v>28</v>
      </c>
      <c r="D420" t="s">
        <v>88</v>
      </c>
      <c r="E420" t="s">
        <v>48</v>
      </c>
      <c r="F420" t="s">
        <v>32</v>
      </c>
      <c r="G420" t="s">
        <v>42</v>
      </c>
      <c r="H420" t="s">
        <v>25</v>
      </c>
      <c r="I420" t="s">
        <v>26</v>
      </c>
      <c r="J420" t="s">
        <v>27</v>
      </c>
      <c r="K420">
        <v>1</v>
      </c>
      <c r="L420">
        <v>105793</v>
      </c>
      <c r="M420" t="s">
        <v>45</v>
      </c>
      <c r="N420">
        <v>3</v>
      </c>
      <c r="O420">
        <v>1</v>
      </c>
      <c r="P420">
        <v>77</v>
      </c>
      <c r="Q420">
        <v>3</v>
      </c>
      <c r="R420" s="1">
        <v>44812</v>
      </c>
      <c r="S420" t="s">
        <v>29</v>
      </c>
      <c r="T420" t="str">
        <f t="shared" si="30"/>
        <v>Grade A</v>
      </c>
      <c r="U420">
        <f t="shared" si="31"/>
        <v>2</v>
      </c>
      <c r="V420" t="str">
        <f t="shared" si="32"/>
        <v>New Joiner</v>
      </c>
      <c r="W420" t="str">
        <f t="shared" si="33"/>
        <v>Medium Risk</v>
      </c>
      <c r="X420" t="str">
        <f t="shared" si="34"/>
        <v>Fair</v>
      </c>
    </row>
    <row r="421" spans="1:24" x14ac:dyDescent="0.3">
      <c r="A421" t="s">
        <v>489</v>
      </c>
      <c r="B421" t="s">
        <v>20</v>
      </c>
      <c r="C421">
        <v>34</v>
      </c>
      <c r="D421" t="s">
        <v>57</v>
      </c>
      <c r="E421" t="s">
        <v>48</v>
      </c>
      <c r="F421" t="s">
        <v>32</v>
      </c>
      <c r="G421" t="s">
        <v>42</v>
      </c>
      <c r="H421" t="s">
        <v>25</v>
      </c>
      <c r="I421" t="s">
        <v>43</v>
      </c>
      <c r="J421" t="s">
        <v>44</v>
      </c>
      <c r="K421">
        <v>11</v>
      </c>
      <c r="L421">
        <v>123536</v>
      </c>
      <c r="M421" t="s">
        <v>51</v>
      </c>
      <c r="N421">
        <v>3</v>
      </c>
      <c r="O421">
        <v>4</v>
      </c>
      <c r="P421">
        <v>80</v>
      </c>
      <c r="Q421">
        <v>1</v>
      </c>
      <c r="R421" s="1">
        <v>41056</v>
      </c>
      <c r="S421" t="s">
        <v>29</v>
      </c>
      <c r="T421" t="str">
        <f t="shared" si="30"/>
        <v>Grade A</v>
      </c>
      <c r="U421">
        <f t="shared" si="31"/>
        <v>4</v>
      </c>
      <c r="V421" t="str">
        <f t="shared" si="32"/>
        <v>Senior</v>
      </c>
      <c r="W421" t="str">
        <f t="shared" si="33"/>
        <v>Low Risk</v>
      </c>
      <c r="X421" t="str">
        <f t="shared" si="34"/>
        <v>Competitive</v>
      </c>
    </row>
    <row r="422" spans="1:24" x14ac:dyDescent="0.3">
      <c r="A422" t="s">
        <v>490</v>
      </c>
      <c r="B422" t="s">
        <v>39</v>
      </c>
      <c r="C422">
        <v>55</v>
      </c>
      <c r="D422" t="s">
        <v>47</v>
      </c>
      <c r="E422" t="s">
        <v>48</v>
      </c>
      <c r="F422" t="s">
        <v>53</v>
      </c>
      <c r="G422" t="s">
        <v>33</v>
      </c>
      <c r="H422" t="s">
        <v>34</v>
      </c>
      <c r="I422" t="s">
        <v>50</v>
      </c>
      <c r="J422" t="s">
        <v>44</v>
      </c>
      <c r="K422">
        <v>4</v>
      </c>
      <c r="L422">
        <v>66779</v>
      </c>
      <c r="M422" t="s">
        <v>36</v>
      </c>
      <c r="N422">
        <v>4</v>
      </c>
      <c r="O422">
        <v>2</v>
      </c>
      <c r="P422">
        <v>40</v>
      </c>
      <c r="Q422">
        <v>1</v>
      </c>
      <c r="R422" s="1">
        <v>43610</v>
      </c>
      <c r="S422" t="s">
        <v>29</v>
      </c>
      <c r="T422" t="str">
        <f t="shared" si="30"/>
        <v>Grade B</v>
      </c>
      <c r="U422">
        <f t="shared" si="31"/>
        <v>1</v>
      </c>
      <c r="V422" t="str">
        <f t="shared" si="32"/>
        <v>Junior</v>
      </c>
      <c r="W422" t="str">
        <f t="shared" si="33"/>
        <v>Medium Risk</v>
      </c>
      <c r="X422" t="str">
        <f t="shared" si="34"/>
        <v>Fair</v>
      </c>
    </row>
    <row r="423" spans="1:24" x14ac:dyDescent="0.3">
      <c r="A423" t="s">
        <v>491</v>
      </c>
      <c r="B423" t="s">
        <v>20</v>
      </c>
      <c r="C423">
        <v>32</v>
      </c>
      <c r="D423" t="s">
        <v>31</v>
      </c>
      <c r="E423" t="s">
        <v>40</v>
      </c>
      <c r="F423" t="s">
        <v>75</v>
      </c>
      <c r="G423" t="s">
        <v>79</v>
      </c>
      <c r="H423" t="s">
        <v>76</v>
      </c>
      <c r="I423" t="s">
        <v>80</v>
      </c>
      <c r="J423" t="s">
        <v>60</v>
      </c>
      <c r="K423">
        <v>14</v>
      </c>
      <c r="L423">
        <v>64670</v>
      </c>
      <c r="M423" t="s">
        <v>45</v>
      </c>
      <c r="N423">
        <v>2</v>
      </c>
      <c r="O423">
        <v>4</v>
      </c>
      <c r="P423">
        <v>40</v>
      </c>
      <c r="Q423">
        <v>0</v>
      </c>
      <c r="R423" s="1">
        <v>40046</v>
      </c>
      <c r="S423" t="s">
        <v>29</v>
      </c>
      <c r="T423" t="str">
        <f t="shared" si="30"/>
        <v>Grade B</v>
      </c>
      <c r="U423">
        <f t="shared" si="31"/>
        <v>2</v>
      </c>
      <c r="V423" t="str">
        <f t="shared" si="32"/>
        <v>Senior</v>
      </c>
      <c r="W423" t="str">
        <f t="shared" si="33"/>
        <v>Medium Risk</v>
      </c>
      <c r="X423" t="str">
        <f t="shared" si="34"/>
        <v>Fair</v>
      </c>
    </row>
    <row r="424" spans="1:24" x14ac:dyDescent="0.3">
      <c r="A424" t="s">
        <v>492</v>
      </c>
      <c r="B424" t="s">
        <v>20</v>
      </c>
      <c r="C424">
        <v>49</v>
      </c>
      <c r="D424" t="s">
        <v>21</v>
      </c>
      <c r="E424" t="s">
        <v>22</v>
      </c>
      <c r="F424" t="s">
        <v>32</v>
      </c>
      <c r="G424" t="s">
        <v>42</v>
      </c>
      <c r="H424" t="s">
        <v>83</v>
      </c>
      <c r="I424" t="s">
        <v>68</v>
      </c>
      <c r="J424" t="s">
        <v>60</v>
      </c>
      <c r="K424">
        <v>13</v>
      </c>
      <c r="L424">
        <v>126209</v>
      </c>
      <c r="M424" t="s">
        <v>28</v>
      </c>
      <c r="N424">
        <v>2</v>
      </c>
      <c r="O424">
        <v>3</v>
      </c>
      <c r="P424">
        <v>27</v>
      </c>
      <c r="Q424">
        <v>0</v>
      </c>
      <c r="R424" s="1">
        <v>40261</v>
      </c>
      <c r="S424" t="s">
        <v>29</v>
      </c>
      <c r="T424" t="str">
        <f t="shared" si="30"/>
        <v>Grade A</v>
      </c>
      <c r="U424">
        <f t="shared" si="31"/>
        <v>3</v>
      </c>
      <c r="V424" t="str">
        <f t="shared" si="32"/>
        <v>Senior</v>
      </c>
      <c r="W424" t="str">
        <f t="shared" si="33"/>
        <v>Medium Risk</v>
      </c>
      <c r="X424" t="str">
        <f t="shared" si="34"/>
        <v>Competitive</v>
      </c>
    </row>
    <row r="425" spans="1:24" x14ac:dyDescent="0.3">
      <c r="A425" t="s">
        <v>493</v>
      </c>
      <c r="B425" t="s">
        <v>39</v>
      </c>
      <c r="C425">
        <v>42</v>
      </c>
      <c r="D425" t="s">
        <v>88</v>
      </c>
      <c r="E425" t="s">
        <v>48</v>
      </c>
      <c r="F425" t="s">
        <v>62</v>
      </c>
      <c r="G425" t="s">
        <v>58</v>
      </c>
      <c r="H425" t="s">
        <v>34</v>
      </c>
      <c r="I425" t="s">
        <v>80</v>
      </c>
      <c r="J425" t="s">
        <v>60</v>
      </c>
      <c r="K425">
        <v>11</v>
      </c>
      <c r="L425">
        <v>112920</v>
      </c>
      <c r="M425" t="s">
        <v>28</v>
      </c>
      <c r="N425">
        <v>1</v>
      </c>
      <c r="O425">
        <v>4</v>
      </c>
      <c r="P425">
        <v>56</v>
      </c>
      <c r="Q425">
        <v>0</v>
      </c>
      <c r="R425" s="1">
        <v>41249</v>
      </c>
      <c r="S425" t="s">
        <v>37</v>
      </c>
      <c r="T425" t="str">
        <f t="shared" si="30"/>
        <v>Grade A</v>
      </c>
      <c r="U425">
        <f t="shared" si="31"/>
        <v>3</v>
      </c>
      <c r="V425" t="str">
        <f t="shared" si="32"/>
        <v>Senior</v>
      </c>
      <c r="W425" t="str">
        <f t="shared" si="33"/>
        <v>Already Left</v>
      </c>
      <c r="X425" t="str">
        <f t="shared" si="34"/>
        <v>Competitive</v>
      </c>
    </row>
    <row r="426" spans="1:24" x14ac:dyDescent="0.3">
      <c r="A426" t="s">
        <v>494</v>
      </c>
      <c r="B426" t="s">
        <v>20</v>
      </c>
      <c r="C426">
        <v>53</v>
      </c>
      <c r="D426" t="s">
        <v>21</v>
      </c>
      <c r="E426" t="s">
        <v>22</v>
      </c>
      <c r="F426" t="s">
        <v>53</v>
      </c>
      <c r="G426" t="s">
        <v>79</v>
      </c>
      <c r="H426" t="s">
        <v>67</v>
      </c>
      <c r="I426" t="s">
        <v>43</v>
      </c>
      <c r="J426" t="s">
        <v>44</v>
      </c>
      <c r="K426">
        <v>10</v>
      </c>
      <c r="L426">
        <v>67103</v>
      </c>
      <c r="M426" t="s">
        <v>51</v>
      </c>
      <c r="N426">
        <v>1</v>
      </c>
      <c r="O426">
        <v>3</v>
      </c>
      <c r="P426">
        <v>52</v>
      </c>
      <c r="Q426">
        <v>3</v>
      </c>
      <c r="R426" s="1">
        <v>41374</v>
      </c>
      <c r="S426" t="s">
        <v>29</v>
      </c>
      <c r="T426" t="str">
        <f t="shared" si="30"/>
        <v>Grade B</v>
      </c>
      <c r="U426">
        <f t="shared" si="31"/>
        <v>4</v>
      </c>
      <c r="V426" t="str">
        <f t="shared" si="32"/>
        <v>Mid Level</v>
      </c>
      <c r="W426" t="str">
        <f t="shared" si="33"/>
        <v>Low Risk</v>
      </c>
      <c r="X426" t="str">
        <f t="shared" si="34"/>
        <v>Fair</v>
      </c>
    </row>
    <row r="427" spans="1:24" x14ac:dyDescent="0.3">
      <c r="A427" t="s">
        <v>495</v>
      </c>
      <c r="B427" t="s">
        <v>20</v>
      </c>
      <c r="C427">
        <v>38</v>
      </c>
      <c r="D427" t="s">
        <v>88</v>
      </c>
      <c r="E427" t="s">
        <v>22</v>
      </c>
      <c r="F427" t="s">
        <v>75</v>
      </c>
      <c r="G427" t="s">
        <v>24</v>
      </c>
      <c r="H427" t="s">
        <v>67</v>
      </c>
      <c r="I427" t="s">
        <v>59</v>
      </c>
      <c r="J427" t="s">
        <v>60</v>
      </c>
      <c r="K427">
        <v>2</v>
      </c>
      <c r="L427">
        <v>76015</v>
      </c>
      <c r="M427" t="s">
        <v>28</v>
      </c>
      <c r="N427">
        <v>4</v>
      </c>
      <c r="O427">
        <v>3</v>
      </c>
      <c r="P427">
        <v>24</v>
      </c>
      <c r="Q427">
        <v>2</v>
      </c>
      <c r="R427" s="1">
        <v>44337</v>
      </c>
      <c r="S427" t="s">
        <v>29</v>
      </c>
      <c r="T427" t="str">
        <f t="shared" si="30"/>
        <v>Grade B</v>
      </c>
      <c r="U427">
        <f t="shared" si="31"/>
        <v>3</v>
      </c>
      <c r="V427" t="str">
        <f t="shared" si="32"/>
        <v>New Joiner</v>
      </c>
      <c r="W427" t="str">
        <f t="shared" si="33"/>
        <v>Medium Risk</v>
      </c>
      <c r="X427" t="str">
        <f t="shared" si="34"/>
        <v>Competitive</v>
      </c>
    </row>
    <row r="428" spans="1:24" x14ac:dyDescent="0.3">
      <c r="A428" t="s">
        <v>496</v>
      </c>
      <c r="B428" t="s">
        <v>20</v>
      </c>
      <c r="C428">
        <v>23</v>
      </c>
      <c r="D428" t="s">
        <v>88</v>
      </c>
      <c r="E428" t="s">
        <v>22</v>
      </c>
      <c r="F428" t="s">
        <v>75</v>
      </c>
      <c r="G428" t="s">
        <v>24</v>
      </c>
      <c r="H428" t="s">
        <v>76</v>
      </c>
      <c r="I428" t="s">
        <v>35</v>
      </c>
      <c r="J428" t="s">
        <v>27</v>
      </c>
      <c r="K428">
        <v>5</v>
      </c>
      <c r="L428">
        <v>86894</v>
      </c>
      <c r="M428" t="s">
        <v>28</v>
      </c>
      <c r="N428">
        <v>1</v>
      </c>
      <c r="O428">
        <v>2</v>
      </c>
      <c r="P428">
        <v>42</v>
      </c>
      <c r="Q428">
        <v>3</v>
      </c>
      <c r="R428" s="1">
        <v>43279</v>
      </c>
      <c r="S428" t="s">
        <v>29</v>
      </c>
      <c r="T428" t="str">
        <f t="shared" si="30"/>
        <v>Grade A</v>
      </c>
      <c r="U428">
        <f t="shared" si="31"/>
        <v>3</v>
      </c>
      <c r="V428" t="str">
        <f t="shared" si="32"/>
        <v>Junior</v>
      </c>
      <c r="W428" t="str">
        <f t="shared" si="33"/>
        <v>Medium Risk</v>
      </c>
      <c r="X428" t="str">
        <f t="shared" si="34"/>
        <v>Competitive</v>
      </c>
    </row>
    <row r="429" spans="1:24" x14ac:dyDescent="0.3">
      <c r="A429" t="s">
        <v>497</v>
      </c>
      <c r="B429" t="s">
        <v>20</v>
      </c>
      <c r="C429">
        <v>41</v>
      </c>
      <c r="D429" t="s">
        <v>21</v>
      </c>
      <c r="E429" t="s">
        <v>22</v>
      </c>
      <c r="F429" t="s">
        <v>65</v>
      </c>
      <c r="G429" t="s">
        <v>33</v>
      </c>
      <c r="H429" t="s">
        <v>83</v>
      </c>
      <c r="I429" t="s">
        <v>80</v>
      </c>
      <c r="J429" t="s">
        <v>60</v>
      </c>
      <c r="K429">
        <v>14</v>
      </c>
      <c r="L429">
        <v>90729</v>
      </c>
      <c r="M429" t="s">
        <v>28</v>
      </c>
      <c r="N429">
        <v>3</v>
      </c>
      <c r="O429">
        <v>2</v>
      </c>
      <c r="P429">
        <v>30</v>
      </c>
      <c r="Q429">
        <v>3</v>
      </c>
      <c r="R429" s="1">
        <v>39981</v>
      </c>
      <c r="S429" t="s">
        <v>37</v>
      </c>
      <c r="T429" t="str">
        <f t="shared" si="30"/>
        <v>Grade A</v>
      </c>
      <c r="U429">
        <f t="shared" si="31"/>
        <v>3</v>
      </c>
      <c r="V429" t="str">
        <f t="shared" si="32"/>
        <v>Senior</v>
      </c>
      <c r="W429" t="str">
        <f t="shared" si="33"/>
        <v>Already Left</v>
      </c>
      <c r="X429" t="str">
        <f t="shared" si="34"/>
        <v>Competitive</v>
      </c>
    </row>
    <row r="430" spans="1:24" x14ac:dyDescent="0.3">
      <c r="A430" t="s">
        <v>498</v>
      </c>
      <c r="B430" t="s">
        <v>20</v>
      </c>
      <c r="C430">
        <v>49</v>
      </c>
      <c r="D430" t="s">
        <v>21</v>
      </c>
      <c r="E430" t="s">
        <v>22</v>
      </c>
      <c r="F430" t="s">
        <v>75</v>
      </c>
      <c r="G430" t="s">
        <v>79</v>
      </c>
      <c r="H430" t="s">
        <v>83</v>
      </c>
      <c r="I430" t="s">
        <v>72</v>
      </c>
      <c r="J430" t="s">
        <v>73</v>
      </c>
      <c r="K430">
        <v>14</v>
      </c>
      <c r="L430">
        <v>74111</v>
      </c>
      <c r="M430" t="s">
        <v>45</v>
      </c>
      <c r="N430">
        <v>3</v>
      </c>
      <c r="O430">
        <v>1</v>
      </c>
      <c r="P430">
        <v>55</v>
      </c>
      <c r="Q430">
        <v>3</v>
      </c>
      <c r="R430" s="1">
        <v>39971</v>
      </c>
      <c r="S430" t="s">
        <v>29</v>
      </c>
      <c r="T430" t="str">
        <f t="shared" si="30"/>
        <v>Grade B</v>
      </c>
      <c r="U430">
        <f t="shared" si="31"/>
        <v>2</v>
      </c>
      <c r="V430" t="str">
        <f t="shared" si="32"/>
        <v>Senior</v>
      </c>
      <c r="W430" t="str">
        <f t="shared" si="33"/>
        <v>Medium Risk</v>
      </c>
      <c r="X430" t="str">
        <f t="shared" si="34"/>
        <v>Fair</v>
      </c>
    </row>
    <row r="431" spans="1:24" x14ac:dyDescent="0.3">
      <c r="A431" t="s">
        <v>499</v>
      </c>
      <c r="B431" t="s">
        <v>39</v>
      </c>
      <c r="C431">
        <v>22</v>
      </c>
      <c r="D431" t="s">
        <v>57</v>
      </c>
      <c r="E431" t="s">
        <v>22</v>
      </c>
      <c r="F431" t="s">
        <v>65</v>
      </c>
      <c r="G431" t="s">
        <v>58</v>
      </c>
      <c r="H431" t="s">
        <v>76</v>
      </c>
      <c r="I431" t="s">
        <v>54</v>
      </c>
      <c r="J431" t="s">
        <v>27</v>
      </c>
      <c r="K431">
        <v>13</v>
      </c>
      <c r="L431">
        <v>107020</v>
      </c>
      <c r="M431" t="s">
        <v>51</v>
      </c>
      <c r="N431">
        <v>3</v>
      </c>
      <c r="O431">
        <v>3</v>
      </c>
      <c r="P431">
        <v>20</v>
      </c>
      <c r="Q431">
        <v>0</v>
      </c>
      <c r="R431" s="1">
        <v>40219</v>
      </c>
      <c r="S431" t="s">
        <v>29</v>
      </c>
      <c r="T431" t="str">
        <f t="shared" si="30"/>
        <v>Grade A</v>
      </c>
      <c r="U431">
        <f t="shared" si="31"/>
        <v>4</v>
      </c>
      <c r="V431" t="str">
        <f t="shared" si="32"/>
        <v>Senior</v>
      </c>
      <c r="W431" t="str">
        <f t="shared" si="33"/>
        <v>Low Risk</v>
      </c>
      <c r="X431" t="str">
        <f t="shared" si="34"/>
        <v>Competitive</v>
      </c>
    </row>
    <row r="432" spans="1:24" x14ac:dyDescent="0.3">
      <c r="A432" t="s">
        <v>500</v>
      </c>
      <c r="B432" t="s">
        <v>39</v>
      </c>
      <c r="C432">
        <v>38</v>
      </c>
      <c r="D432" t="s">
        <v>47</v>
      </c>
      <c r="E432" t="s">
        <v>40</v>
      </c>
      <c r="F432" t="s">
        <v>32</v>
      </c>
      <c r="G432" t="s">
        <v>63</v>
      </c>
      <c r="H432" t="s">
        <v>34</v>
      </c>
      <c r="I432" t="s">
        <v>68</v>
      </c>
      <c r="J432" t="s">
        <v>60</v>
      </c>
      <c r="K432">
        <v>14</v>
      </c>
      <c r="L432">
        <v>73466</v>
      </c>
      <c r="M432" t="s">
        <v>28</v>
      </c>
      <c r="N432">
        <v>3</v>
      </c>
      <c r="O432">
        <v>3</v>
      </c>
      <c r="P432">
        <v>35</v>
      </c>
      <c r="Q432">
        <v>0</v>
      </c>
      <c r="R432" s="1">
        <v>39938</v>
      </c>
      <c r="S432" t="s">
        <v>29</v>
      </c>
      <c r="T432" t="str">
        <f t="shared" si="30"/>
        <v>Grade B</v>
      </c>
      <c r="U432">
        <f t="shared" si="31"/>
        <v>3</v>
      </c>
      <c r="V432" t="str">
        <f t="shared" si="32"/>
        <v>Senior</v>
      </c>
      <c r="W432" t="str">
        <f t="shared" si="33"/>
        <v>Medium Risk</v>
      </c>
      <c r="X432" t="str">
        <f t="shared" si="34"/>
        <v>Competitive</v>
      </c>
    </row>
    <row r="433" spans="1:24" x14ac:dyDescent="0.3">
      <c r="A433" t="s">
        <v>501</v>
      </c>
      <c r="B433" t="s">
        <v>39</v>
      </c>
      <c r="C433">
        <v>27</v>
      </c>
      <c r="D433" t="s">
        <v>57</v>
      </c>
      <c r="E433" t="s">
        <v>22</v>
      </c>
      <c r="F433" t="s">
        <v>65</v>
      </c>
      <c r="G433" t="s">
        <v>63</v>
      </c>
      <c r="H433" t="s">
        <v>67</v>
      </c>
      <c r="I433" t="s">
        <v>43</v>
      </c>
      <c r="J433" t="s">
        <v>44</v>
      </c>
      <c r="K433">
        <v>15</v>
      </c>
      <c r="L433">
        <v>83690</v>
      </c>
      <c r="M433" t="s">
        <v>36</v>
      </c>
      <c r="N433">
        <v>3</v>
      </c>
      <c r="O433">
        <v>2</v>
      </c>
      <c r="P433">
        <v>16</v>
      </c>
      <c r="Q433">
        <v>3</v>
      </c>
      <c r="R433" s="1">
        <v>39806</v>
      </c>
      <c r="S433" t="s">
        <v>37</v>
      </c>
      <c r="T433" t="str">
        <f t="shared" si="30"/>
        <v>Grade A</v>
      </c>
      <c r="U433">
        <f t="shared" si="31"/>
        <v>1</v>
      </c>
      <c r="V433" t="str">
        <f t="shared" si="32"/>
        <v>Senior</v>
      </c>
      <c r="W433" t="str">
        <f t="shared" si="33"/>
        <v>Already Left</v>
      </c>
      <c r="X433" t="str">
        <f t="shared" si="34"/>
        <v>Overpaid</v>
      </c>
    </row>
    <row r="434" spans="1:24" x14ac:dyDescent="0.3">
      <c r="A434" t="s">
        <v>502</v>
      </c>
      <c r="B434" t="s">
        <v>39</v>
      </c>
      <c r="C434">
        <v>22</v>
      </c>
      <c r="D434" t="s">
        <v>88</v>
      </c>
      <c r="E434" t="s">
        <v>48</v>
      </c>
      <c r="F434" t="s">
        <v>75</v>
      </c>
      <c r="G434" t="s">
        <v>79</v>
      </c>
      <c r="H434" t="s">
        <v>34</v>
      </c>
      <c r="I434" t="s">
        <v>54</v>
      </c>
      <c r="J434" t="s">
        <v>27</v>
      </c>
      <c r="K434">
        <v>3</v>
      </c>
      <c r="L434">
        <v>48056</v>
      </c>
      <c r="M434" t="s">
        <v>45</v>
      </c>
      <c r="N434">
        <v>4</v>
      </c>
      <c r="O434">
        <v>4</v>
      </c>
      <c r="P434">
        <v>25</v>
      </c>
      <c r="Q434">
        <v>1</v>
      </c>
      <c r="R434" s="1">
        <v>43907</v>
      </c>
      <c r="S434" t="s">
        <v>29</v>
      </c>
      <c r="T434" t="str">
        <f t="shared" si="30"/>
        <v>Grade C</v>
      </c>
      <c r="U434">
        <f t="shared" si="31"/>
        <v>2</v>
      </c>
      <c r="V434" t="str">
        <f t="shared" si="32"/>
        <v>Junior</v>
      </c>
      <c r="W434" t="str">
        <f t="shared" si="33"/>
        <v>Medium Risk</v>
      </c>
      <c r="X434" t="str">
        <f t="shared" si="34"/>
        <v>Fair</v>
      </c>
    </row>
    <row r="435" spans="1:24" x14ac:dyDescent="0.3">
      <c r="A435" t="s">
        <v>503</v>
      </c>
      <c r="B435" t="s">
        <v>39</v>
      </c>
      <c r="C435">
        <v>35</v>
      </c>
      <c r="D435" t="s">
        <v>31</v>
      </c>
      <c r="E435" t="s">
        <v>40</v>
      </c>
      <c r="F435" t="s">
        <v>32</v>
      </c>
      <c r="G435" t="s">
        <v>33</v>
      </c>
      <c r="H435" t="s">
        <v>25</v>
      </c>
      <c r="I435" t="s">
        <v>59</v>
      </c>
      <c r="J435" t="s">
        <v>60</v>
      </c>
      <c r="K435">
        <v>12</v>
      </c>
      <c r="L435">
        <v>86519</v>
      </c>
      <c r="M435" t="s">
        <v>45</v>
      </c>
      <c r="N435">
        <v>2</v>
      </c>
      <c r="O435">
        <v>4</v>
      </c>
      <c r="P435">
        <v>33</v>
      </c>
      <c r="Q435">
        <v>3</v>
      </c>
      <c r="R435" s="1">
        <v>40692</v>
      </c>
      <c r="S435" t="s">
        <v>29</v>
      </c>
      <c r="T435" t="str">
        <f t="shared" si="30"/>
        <v>Grade A</v>
      </c>
      <c r="U435">
        <f t="shared" si="31"/>
        <v>2</v>
      </c>
      <c r="V435" t="str">
        <f t="shared" si="32"/>
        <v>Senior</v>
      </c>
      <c r="W435" t="str">
        <f t="shared" si="33"/>
        <v>Medium Risk</v>
      </c>
      <c r="X435" t="str">
        <f t="shared" si="34"/>
        <v>Fair</v>
      </c>
    </row>
    <row r="436" spans="1:24" x14ac:dyDescent="0.3">
      <c r="A436" t="s">
        <v>504</v>
      </c>
      <c r="B436" t="s">
        <v>20</v>
      </c>
      <c r="C436">
        <v>27</v>
      </c>
      <c r="D436" t="s">
        <v>21</v>
      </c>
      <c r="E436" t="s">
        <v>48</v>
      </c>
      <c r="F436" t="s">
        <v>23</v>
      </c>
      <c r="G436" t="s">
        <v>33</v>
      </c>
      <c r="H436" t="s">
        <v>25</v>
      </c>
      <c r="I436" t="s">
        <v>68</v>
      </c>
      <c r="J436" t="s">
        <v>60</v>
      </c>
      <c r="K436">
        <v>4</v>
      </c>
      <c r="L436">
        <v>66136</v>
      </c>
      <c r="M436" t="s">
        <v>45</v>
      </c>
      <c r="N436">
        <v>2</v>
      </c>
      <c r="O436">
        <v>3</v>
      </c>
      <c r="P436">
        <v>60</v>
      </c>
      <c r="Q436">
        <v>1</v>
      </c>
      <c r="R436" s="1">
        <v>43534</v>
      </c>
      <c r="S436" t="s">
        <v>29</v>
      </c>
      <c r="T436" t="str">
        <f t="shared" si="30"/>
        <v>Grade B</v>
      </c>
      <c r="U436">
        <f t="shared" si="31"/>
        <v>2</v>
      </c>
      <c r="V436" t="str">
        <f t="shared" si="32"/>
        <v>Junior</v>
      </c>
      <c r="W436" t="str">
        <f t="shared" si="33"/>
        <v>Medium Risk</v>
      </c>
      <c r="X436" t="str">
        <f t="shared" si="34"/>
        <v>Fair</v>
      </c>
    </row>
    <row r="437" spans="1:24" x14ac:dyDescent="0.3">
      <c r="A437" t="s">
        <v>505</v>
      </c>
      <c r="B437" t="s">
        <v>20</v>
      </c>
      <c r="C437">
        <v>37</v>
      </c>
      <c r="D437" t="s">
        <v>57</v>
      </c>
      <c r="E437" t="s">
        <v>48</v>
      </c>
      <c r="F437" t="s">
        <v>75</v>
      </c>
      <c r="G437" t="s">
        <v>79</v>
      </c>
      <c r="H437" t="s">
        <v>34</v>
      </c>
      <c r="I437" t="s">
        <v>43</v>
      </c>
      <c r="J437" t="s">
        <v>44</v>
      </c>
      <c r="K437">
        <v>2</v>
      </c>
      <c r="L437">
        <v>52251</v>
      </c>
      <c r="M437" t="s">
        <v>45</v>
      </c>
      <c r="N437">
        <v>1</v>
      </c>
      <c r="O437">
        <v>1</v>
      </c>
      <c r="P437">
        <v>42</v>
      </c>
      <c r="Q437">
        <v>3</v>
      </c>
      <c r="R437" s="1">
        <v>44536</v>
      </c>
      <c r="S437" t="s">
        <v>37</v>
      </c>
      <c r="T437" t="str">
        <f t="shared" si="30"/>
        <v>Grade B</v>
      </c>
      <c r="U437">
        <f t="shared" si="31"/>
        <v>2</v>
      </c>
      <c r="V437" t="str">
        <f t="shared" si="32"/>
        <v>New Joiner</v>
      </c>
      <c r="W437" t="str">
        <f t="shared" si="33"/>
        <v>Already Left</v>
      </c>
      <c r="X437" t="str">
        <f t="shared" si="34"/>
        <v>Fair</v>
      </c>
    </row>
    <row r="438" spans="1:24" x14ac:dyDescent="0.3">
      <c r="A438" t="s">
        <v>506</v>
      </c>
      <c r="B438" t="s">
        <v>39</v>
      </c>
      <c r="C438">
        <v>54</v>
      </c>
      <c r="D438" t="s">
        <v>57</v>
      </c>
      <c r="E438" t="s">
        <v>48</v>
      </c>
      <c r="F438" t="s">
        <v>75</v>
      </c>
      <c r="G438" t="s">
        <v>58</v>
      </c>
      <c r="H438" t="s">
        <v>25</v>
      </c>
      <c r="I438" t="s">
        <v>80</v>
      </c>
      <c r="J438" t="s">
        <v>60</v>
      </c>
      <c r="K438">
        <v>15</v>
      </c>
      <c r="L438">
        <v>124021</v>
      </c>
      <c r="M438" t="s">
        <v>28</v>
      </c>
      <c r="N438">
        <v>4</v>
      </c>
      <c r="O438">
        <v>2</v>
      </c>
      <c r="P438">
        <v>21</v>
      </c>
      <c r="Q438">
        <v>2</v>
      </c>
      <c r="R438" s="1">
        <v>39684</v>
      </c>
      <c r="S438" t="s">
        <v>29</v>
      </c>
      <c r="T438" t="str">
        <f t="shared" si="30"/>
        <v>Grade A</v>
      </c>
      <c r="U438">
        <f t="shared" si="31"/>
        <v>3</v>
      </c>
      <c r="V438" t="str">
        <f t="shared" si="32"/>
        <v>Senior</v>
      </c>
      <c r="W438" t="str">
        <f t="shared" si="33"/>
        <v>Medium Risk</v>
      </c>
      <c r="X438" t="str">
        <f t="shared" si="34"/>
        <v>Competitive</v>
      </c>
    </row>
    <row r="439" spans="1:24" x14ac:dyDescent="0.3">
      <c r="A439" t="s">
        <v>507</v>
      </c>
      <c r="B439" t="s">
        <v>20</v>
      </c>
      <c r="C439">
        <v>45</v>
      </c>
      <c r="D439" t="s">
        <v>57</v>
      </c>
      <c r="E439" t="s">
        <v>48</v>
      </c>
      <c r="F439" t="s">
        <v>75</v>
      </c>
      <c r="G439" t="s">
        <v>66</v>
      </c>
      <c r="H439" t="s">
        <v>67</v>
      </c>
      <c r="I439" t="s">
        <v>35</v>
      </c>
      <c r="J439" t="s">
        <v>27</v>
      </c>
      <c r="K439">
        <v>2</v>
      </c>
      <c r="L439">
        <v>30447</v>
      </c>
      <c r="M439" t="s">
        <v>45</v>
      </c>
      <c r="N439">
        <v>3</v>
      </c>
      <c r="O439">
        <v>3</v>
      </c>
      <c r="P439">
        <v>76</v>
      </c>
      <c r="Q439">
        <v>2</v>
      </c>
      <c r="R439" s="1">
        <v>44307</v>
      </c>
      <c r="S439" t="s">
        <v>29</v>
      </c>
      <c r="T439" t="str">
        <f t="shared" si="30"/>
        <v>Grade D</v>
      </c>
      <c r="U439">
        <f t="shared" si="31"/>
        <v>2</v>
      </c>
      <c r="V439" t="str">
        <f t="shared" si="32"/>
        <v>New Joiner</v>
      </c>
      <c r="W439" t="str">
        <f t="shared" si="33"/>
        <v>Medium Risk</v>
      </c>
      <c r="X439" t="str">
        <f t="shared" si="34"/>
        <v>Fair</v>
      </c>
    </row>
    <row r="440" spans="1:24" x14ac:dyDescent="0.3">
      <c r="A440" t="s">
        <v>508</v>
      </c>
      <c r="B440" t="s">
        <v>39</v>
      </c>
      <c r="C440">
        <v>25</v>
      </c>
      <c r="D440" t="s">
        <v>47</v>
      </c>
      <c r="E440" t="s">
        <v>22</v>
      </c>
      <c r="F440" t="s">
        <v>53</v>
      </c>
      <c r="G440" t="s">
        <v>24</v>
      </c>
      <c r="H440" t="s">
        <v>25</v>
      </c>
      <c r="I440" t="s">
        <v>43</v>
      </c>
      <c r="J440" t="s">
        <v>44</v>
      </c>
      <c r="K440">
        <v>13</v>
      </c>
      <c r="L440">
        <v>109208</v>
      </c>
      <c r="M440" t="s">
        <v>36</v>
      </c>
      <c r="N440">
        <v>1</v>
      </c>
      <c r="O440">
        <v>4</v>
      </c>
      <c r="P440">
        <v>43</v>
      </c>
      <c r="Q440">
        <v>1</v>
      </c>
      <c r="R440" s="1">
        <v>40451</v>
      </c>
      <c r="S440" t="s">
        <v>37</v>
      </c>
      <c r="T440" t="str">
        <f t="shared" si="30"/>
        <v>Grade A</v>
      </c>
      <c r="U440">
        <f t="shared" si="31"/>
        <v>1</v>
      </c>
      <c r="V440" t="str">
        <f t="shared" si="32"/>
        <v>Senior</v>
      </c>
      <c r="W440" t="str">
        <f t="shared" si="33"/>
        <v>Already Left</v>
      </c>
      <c r="X440" t="str">
        <f t="shared" si="34"/>
        <v>Overpaid</v>
      </c>
    </row>
    <row r="441" spans="1:24" x14ac:dyDescent="0.3">
      <c r="A441" t="s">
        <v>509</v>
      </c>
      <c r="B441" t="s">
        <v>20</v>
      </c>
      <c r="C441">
        <v>29</v>
      </c>
      <c r="D441" t="s">
        <v>47</v>
      </c>
      <c r="E441" t="s">
        <v>22</v>
      </c>
      <c r="F441" t="s">
        <v>75</v>
      </c>
      <c r="G441" t="s">
        <v>33</v>
      </c>
      <c r="H441" t="s">
        <v>83</v>
      </c>
      <c r="I441" t="s">
        <v>96</v>
      </c>
      <c r="J441" t="s">
        <v>44</v>
      </c>
      <c r="K441">
        <v>1</v>
      </c>
      <c r="L441">
        <v>63682</v>
      </c>
      <c r="M441" t="s">
        <v>36</v>
      </c>
      <c r="N441">
        <v>3</v>
      </c>
      <c r="O441">
        <v>1</v>
      </c>
      <c r="P441">
        <v>36</v>
      </c>
      <c r="Q441">
        <v>2</v>
      </c>
      <c r="R441" s="1">
        <v>44693</v>
      </c>
      <c r="S441" t="s">
        <v>37</v>
      </c>
      <c r="T441" t="str">
        <f t="shared" si="30"/>
        <v>Grade B</v>
      </c>
      <c r="U441">
        <f t="shared" si="31"/>
        <v>1</v>
      </c>
      <c r="V441" t="str">
        <f t="shared" si="32"/>
        <v>New Joiner</v>
      </c>
      <c r="W441" t="str">
        <f t="shared" si="33"/>
        <v>Already Left</v>
      </c>
      <c r="X441" t="str">
        <f t="shared" si="34"/>
        <v>Fair</v>
      </c>
    </row>
    <row r="442" spans="1:24" x14ac:dyDescent="0.3">
      <c r="A442" t="s">
        <v>510</v>
      </c>
      <c r="B442" t="s">
        <v>39</v>
      </c>
      <c r="C442">
        <v>48</v>
      </c>
      <c r="D442" t="s">
        <v>21</v>
      </c>
      <c r="E442" t="s">
        <v>22</v>
      </c>
      <c r="F442" t="s">
        <v>53</v>
      </c>
      <c r="G442" t="s">
        <v>49</v>
      </c>
      <c r="H442" t="s">
        <v>34</v>
      </c>
      <c r="I442" t="s">
        <v>68</v>
      </c>
      <c r="J442" t="s">
        <v>60</v>
      </c>
      <c r="K442">
        <v>10</v>
      </c>
      <c r="L442">
        <v>79121</v>
      </c>
      <c r="M442" t="s">
        <v>45</v>
      </c>
      <c r="N442">
        <v>4</v>
      </c>
      <c r="O442">
        <v>1</v>
      </c>
      <c r="P442">
        <v>52</v>
      </c>
      <c r="Q442">
        <v>0</v>
      </c>
      <c r="R442" s="1">
        <v>41373</v>
      </c>
      <c r="S442" t="s">
        <v>37</v>
      </c>
      <c r="T442" t="str">
        <f t="shared" si="30"/>
        <v>Grade B</v>
      </c>
      <c r="U442">
        <f t="shared" si="31"/>
        <v>2</v>
      </c>
      <c r="V442" t="str">
        <f t="shared" si="32"/>
        <v>Mid Level</v>
      </c>
      <c r="W442" t="str">
        <f t="shared" si="33"/>
        <v>Already Left</v>
      </c>
      <c r="X442" t="str">
        <f t="shared" si="34"/>
        <v>Fair</v>
      </c>
    </row>
    <row r="443" spans="1:24" x14ac:dyDescent="0.3">
      <c r="A443" t="s">
        <v>511</v>
      </c>
      <c r="B443" t="s">
        <v>39</v>
      </c>
      <c r="C443">
        <v>51</v>
      </c>
      <c r="D443" t="s">
        <v>57</v>
      </c>
      <c r="E443" t="s">
        <v>48</v>
      </c>
      <c r="F443" t="s">
        <v>41</v>
      </c>
      <c r="G443" t="s">
        <v>79</v>
      </c>
      <c r="H443" t="s">
        <v>76</v>
      </c>
      <c r="I443" t="s">
        <v>80</v>
      </c>
      <c r="J443" t="s">
        <v>60</v>
      </c>
      <c r="K443">
        <v>10</v>
      </c>
      <c r="L443">
        <v>60601</v>
      </c>
      <c r="M443" t="s">
        <v>45</v>
      </c>
      <c r="N443">
        <v>3</v>
      </c>
      <c r="O443">
        <v>1</v>
      </c>
      <c r="P443">
        <v>52</v>
      </c>
      <c r="Q443">
        <v>0</v>
      </c>
      <c r="R443" s="1">
        <v>41628</v>
      </c>
      <c r="S443" t="s">
        <v>29</v>
      </c>
      <c r="T443" t="str">
        <f t="shared" si="30"/>
        <v>Grade B</v>
      </c>
      <c r="U443">
        <f t="shared" si="31"/>
        <v>2</v>
      </c>
      <c r="V443" t="str">
        <f t="shared" si="32"/>
        <v>Mid Level</v>
      </c>
      <c r="W443" t="str">
        <f t="shared" si="33"/>
        <v>Medium Risk</v>
      </c>
      <c r="X443" t="str">
        <f t="shared" si="34"/>
        <v>Fair</v>
      </c>
    </row>
    <row r="444" spans="1:24" x14ac:dyDescent="0.3">
      <c r="A444" t="s">
        <v>512</v>
      </c>
      <c r="B444" t="s">
        <v>39</v>
      </c>
      <c r="C444">
        <v>46</v>
      </c>
      <c r="D444" t="s">
        <v>21</v>
      </c>
      <c r="E444" t="s">
        <v>48</v>
      </c>
      <c r="F444" t="s">
        <v>78</v>
      </c>
      <c r="G444" t="s">
        <v>58</v>
      </c>
      <c r="H444" t="s">
        <v>25</v>
      </c>
      <c r="I444" t="s">
        <v>54</v>
      </c>
      <c r="J444" t="s">
        <v>27</v>
      </c>
      <c r="K444">
        <v>4</v>
      </c>
      <c r="L444">
        <v>92271</v>
      </c>
      <c r="M444" t="s">
        <v>28</v>
      </c>
      <c r="N444">
        <v>3</v>
      </c>
      <c r="O444">
        <v>2</v>
      </c>
      <c r="P444">
        <v>40</v>
      </c>
      <c r="Q444">
        <v>3</v>
      </c>
      <c r="R444" s="1">
        <v>43804</v>
      </c>
      <c r="S444" t="s">
        <v>29</v>
      </c>
      <c r="T444" t="str">
        <f t="shared" si="30"/>
        <v>Grade A</v>
      </c>
      <c r="U444">
        <f t="shared" si="31"/>
        <v>3</v>
      </c>
      <c r="V444" t="str">
        <f t="shared" si="32"/>
        <v>Junior</v>
      </c>
      <c r="W444" t="str">
        <f t="shared" si="33"/>
        <v>Medium Risk</v>
      </c>
      <c r="X444" t="str">
        <f t="shared" si="34"/>
        <v>Competitive</v>
      </c>
    </row>
    <row r="445" spans="1:24" x14ac:dyDescent="0.3">
      <c r="A445" t="s">
        <v>513</v>
      </c>
      <c r="B445" t="s">
        <v>20</v>
      </c>
      <c r="C445">
        <v>53</v>
      </c>
      <c r="D445" t="s">
        <v>57</v>
      </c>
      <c r="E445" t="s">
        <v>40</v>
      </c>
      <c r="F445" t="s">
        <v>23</v>
      </c>
      <c r="G445" t="s">
        <v>63</v>
      </c>
      <c r="H445" t="s">
        <v>67</v>
      </c>
      <c r="I445" t="s">
        <v>26</v>
      </c>
      <c r="J445" t="s">
        <v>27</v>
      </c>
      <c r="K445">
        <v>7</v>
      </c>
      <c r="L445">
        <v>58336</v>
      </c>
      <c r="M445" t="s">
        <v>28</v>
      </c>
      <c r="N445">
        <v>3</v>
      </c>
      <c r="O445">
        <v>2</v>
      </c>
      <c r="P445">
        <v>55</v>
      </c>
      <c r="Q445">
        <v>0</v>
      </c>
      <c r="R445" s="1">
        <v>42676</v>
      </c>
      <c r="S445" t="s">
        <v>29</v>
      </c>
      <c r="T445" t="str">
        <f t="shared" si="30"/>
        <v>Grade B</v>
      </c>
      <c r="U445">
        <f t="shared" si="31"/>
        <v>3</v>
      </c>
      <c r="V445" t="str">
        <f t="shared" si="32"/>
        <v>Mid Level</v>
      </c>
      <c r="W445" t="str">
        <f t="shared" si="33"/>
        <v>Medium Risk</v>
      </c>
      <c r="X445" t="str">
        <f t="shared" si="34"/>
        <v>Competitive</v>
      </c>
    </row>
    <row r="446" spans="1:24" x14ac:dyDescent="0.3">
      <c r="A446" t="s">
        <v>514</v>
      </c>
      <c r="B446" t="s">
        <v>20</v>
      </c>
      <c r="C446">
        <v>27</v>
      </c>
      <c r="D446" t="s">
        <v>57</v>
      </c>
      <c r="E446" t="s">
        <v>48</v>
      </c>
      <c r="F446" t="s">
        <v>32</v>
      </c>
      <c r="G446" t="s">
        <v>63</v>
      </c>
      <c r="H446" t="s">
        <v>76</v>
      </c>
      <c r="I446" t="s">
        <v>72</v>
      </c>
      <c r="J446" t="s">
        <v>73</v>
      </c>
      <c r="K446">
        <v>15</v>
      </c>
      <c r="L446">
        <v>80611</v>
      </c>
      <c r="M446" t="s">
        <v>36</v>
      </c>
      <c r="N446">
        <v>2</v>
      </c>
      <c r="O446">
        <v>4</v>
      </c>
      <c r="P446">
        <v>64</v>
      </c>
      <c r="Q446">
        <v>0</v>
      </c>
      <c r="R446" s="1">
        <v>39510</v>
      </c>
      <c r="S446" t="s">
        <v>29</v>
      </c>
      <c r="T446" t="str">
        <f t="shared" si="30"/>
        <v>Grade A</v>
      </c>
      <c r="U446">
        <f t="shared" si="31"/>
        <v>1</v>
      </c>
      <c r="V446" t="str">
        <f t="shared" si="32"/>
        <v>Senior</v>
      </c>
      <c r="W446" t="str">
        <f t="shared" si="33"/>
        <v>Medium Risk</v>
      </c>
      <c r="X446" t="str">
        <f t="shared" si="34"/>
        <v>Overpaid</v>
      </c>
    </row>
    <row r="447" spans="1:24" x14ac:dyDescent="0.3">
      <c r="A447" t="s">
        <v>515</v>
      </c>
      <c r="B447" t="s">
        <v>39</v>
      </c>
      <c r="C447">
        <v>40</v>
      </c>
      <c r="D447" t="s">
        <v>57</v>
      </c>
      <c r="E447" t="s">
        <v>48</v>
      </c>
      <c r="F447" t="s">
        <v>65</v>
      </c>
      <c r="G447" t="s">
        <v>24</v>
      </c>
      <c r="H447" t="s">
        <v>76</v>
      </c>
      <c r="I447" t="s">
        <v>50</v>
      </c>
      <c r="J447" t="s">
        <v>44</v>
      </c>
      <c r="K447">
        <v>11</v>
      </c>
      <c r="L447">
        <v>103230</v>
      </c>
      <c r="M447" t="s">
        <v>28</v>
      </c>
      <c r="N447">
        <v>1</v>
      </c>
      <c r="O447">
        <v>4</v>
      </c>
      <c r="P447">
        <v>48</v>
      </c>
      <c r="Q447">
        <v>1</v>
      </c>
      <c r="R447" s="1">
        <v>40955</v>
      </c>
      <c r="S447" t="s">
        <v>29</v>
      </c>
      <c r="T447" t="str">
        <f t="shared" si="30"/>
        <v>Grade A</v>
      </c>
      <c r="U447">
        <f t="shared" si="31"/>
        <v>3</v>
      </c>
      <c r="V447" t="str">
        <f t="shared" si="32"/>
        <v>Senior</v>
      </c>
      <c r="W447" t="str">
        <f t="shared" si="33"/>
        <v>Medium Risk</v>
      </c>
      <c r="X447" t="str">
        <f t="shared" si="34"/>
        <v>Competitive</v>
      </c>
    </row>
    <row r="448" spans="1:24" x14ac:dyDescent="0.3">
      <c r="A448" t="s">
        <v>516</v>
      </c>
      <c r="B448" t="s">
        <v>39</v>
      </c>
      <c r="C448">
        <v>54</v>
      </c>
      <c r="D448" t="s">
        <v>57</v>
      </c>
      <c r="E448" t="s">
        <v>48</v>
      </c>
      <c r="F448" t="s">
        <v>62</v>
      </c>
      <c r="G448" t="s">
        <v>58</v>
      </c>
      <c r="H448" t="s">
        <v>67</v>
      </c>
      <c r="I448" t="s">
        <v>68</v>
      </c>
      <c r="J448" t="s">
        <v>60</v>
      </c>
      <c r="K448">
        <v>5</v>
      </c>
      <c r="L448">
        <v>103054</v>
      </c>
      <c r="M448" t="s">
        <v>36</v>
      </c>
      <c r="N448">
        <v>1</v>
      </c>
      <c r="O448">
        <v>4</v>
      </c>
      <c r="P448">
        <v>42</v>
      </c>
      <c r="Q448">
        <v>2</v>
      </c>
      <c r="R448" s="1">
        <v>43205</v>
      </c>
      <c r="S448" t="s">
        <v>37</v>
      </c>
      <c r="T448" t="str">
        <f t="shared" si="30"/>
        <v>Grade A</v>
      </c>
      <c r="U448">
        <f t="shared" si="31"/>
        <v>1</v>
      </c>
      <c r="V448" t="str">
        <f t="shared" si="32"/>
        <v>Junior</v>
      </c>
      <c r="W448" t="str">
        <f t="shared" si="33"/>
        <v>Already Left</v>
      </c>
      <c r="X448" t="str">
        <f t="shared" si="34"/>
        <v>Overpaid</v>
      </c>
    </row>
    <row r="449" spans="1:24" x14ac:dyDescent="0.3">
      <c r="A449" t="s">
        <v>517</v>
      </c>
      <c r="B449" t="s">
        <v>39</v>
      </c>
      <c r="C449">
        <v>27</v>
      </c>
      <c r="D449" t="s">
        <v>57</v>
      </c>
      <c r="E449" t="s">
        <v>40</v>
      </c>
      <c r="F449" t="s">
        <v>41</v>
      </c>
      <c r="G449" t="s">
        <v>33</v>
      </c>
      <c r="H449" t="s">
        <v>34</v>
      </c>
      <c r="I449" t="s">
        <v>80</v>
      </c>
      <c r="J449" t="s">
        <v>60</v>
      </c>
      <c r="K449">
        <v>2</v>
      </c>
      <c r="L449">
        <v>59883</v>
      </c>
      <c r="M449" t="s">
        <v>51</v>
      </c>
      <c r="N449">
        <v>3</v>
      </c>
      <c r="O449">
        <v>3</v>
      </c>
      <c r="P449">
        <v>68</v>
      </c>
      <c r="Q449">
        <v>3</v>
      </c>
      <c r="R449" s="1">
        <v>44361</v>
      </c>
      <c r="S449" t="s">
        <v>29</v>
      </c>
      <c r="T449" t="str">
        <f t="shared" si="30"/>
        <v>Grade B</v>
      </c>
      <c r="U449">
        <f t="shared" si="31"/>
        <v>4</v>
      </c>
      <c r="V449" t="str">
        <f t="shared" si="32"/>
        <v>New Joiner</v>
      </c>
      <c r="W449" t="str">
        <f t="shared" si="33"/>
        <v>Low Risk</v>
      </c>
      <c r="X449" t="str">
        <f t="shared" si="34"/>
        <v>Fair</v>
      </c>
    </row>
    <row r="450" spans="1:24" x14ac:dyDescent="0.3">
      <c r="A450" t="s">
        <v>518</v>
      </c>
      <c r="B450" t="s">
        <v>39</v>
      </c>
      <c r="C450">
        <v>49</v>
      </c>
      <c r="D450" t="s">
        <v>88</v>
      </c>
      <c r="E450" t="s">
        <v>22</v>
      </c>
      <c r="F450" t="s">
        <v>62</v>
      </c>
      <c r="G450" t="s">
        <v>24</v>
      </c>
      <c r="H450" t="s">
        <v>25</v>
      </c>
      <c r="I450" t="s">
        <v>54</v>
      </c>
      <c r="J450" t="s">
        <v>27</v>
      </c>
      <c r="K450">
        <v>4</v>
      </c>
      <c r="L450">
        <v>75563</v>
      </c>
      <c r="M450" t="s">
        <v>28</v>
      </c>
      <c r="N450">
        <v>1</v>
      </c>
      <c r="O450">
        <v>4</v>
      </c>
      <c r="P450">
        <v>24</v>
      </c>
      <c r="Q450">
        <v>0</v>
      </c>
      <c r="R450" s="1">
        <v>43700</v>
      </c>
      <c r="S450" t="s">
        <v>29</v>
      </c>
      <c r="T450" t="str">
        <f t="shared" ref="T450:T513" si="35">IF(L450&gt;=80000,"Grade A",IF(L450&gt;=50000,"Grade B",IF(L450&gt;=35000,"Grade C","Grade D")))</f>
        <v>Grade B</v>
      </c>
      <c r="U450">
        <f t="shared" ref="U450:U513" si="36">IF(M450="Excellent",4,IF(M450="Good",3,IF(M450="Average",2,1)))</f>
        <v>3</v>
      </c>
      <c r="V450" t="str">
        <f t="shared" ref="V450:V513" si="37">IF(K450&lt;=2,"New Joiner",IF(K450&lt;=5,"Junior",IF(K450&lt;=10,"Mid Level","Senior")))</f>
        <v>Junior</v>
      </c>
      <c r="W450" t="str">
        <f t="shared" ref="W450:W513" si="38">IF(S450="Yes","Already Left",IF(AND(K450&lt;=2,M450="Poor"),"High Risk",IF(AND(K450&lt;=5,M450="Average"),"Medium Risk",IF(M450="Excellent","Low Risk","Medium Risk"))))</f>
        <v>Medium Risk</v>
      </c>
      <c r="X450" t="str">
        <f t="shared" ref="X450:X513" si="39">IF(AND(L450&gt;=80000,M450="Excellent"),"Competitive",IF(AND(L450&gt;=50000,M450="Good"),"Competitive",IF(AND(L450&lt;35000,M450="Excellent"),"Underpaid",IF(AND(L450&gt;=80000,M450="Poor"),"Overpaid","Fair"))))</f>
        <v>Competitive</v>
      </c>
    </row>
    <row r="451" spans="1:24" x14ac:dyDescent="0.3">
      <c r="A451" t="s">
        <v>519</v>
      </c>
      <c r="B451" t="s">
        <v>20</v>
      </c>
      <c r="C451">
        <v>41</v>
      </c>
      <c r="D451" t="s">
        <v>21</v>
      </c>
      <c r="E451" t="s">
        <v>22</v>
      </c>
      <c r="F451" t="s">
        <v>78</v>
      </c>
      <c r="G451" t="s">
        <v>33</v>
      </c>
      <c r="H451" t="s">
        <v>76</v>
      </c>
      <c r="I451" t="s">
        <v>68</v>
      </c>
      <c r="J451" t="s">
        <v>60</v>
      </c>
      <c r="K451">
        <v>14</v>
      </c>
      <c r="L451">
        <v>87922</v>
      </c>
      <c r="M451" t="s">
        <v>36</v>
      </c>
      <c r="N451">
        <v>2</v>
      </c>
      <c r="O451">
        <v>1</v>
      </c>
      <c r="P451">
        <v>34</v>
      </c>
      <c r="Q451">
        <v>0</v>
      </c>
      <c r="R451" s="1">
        <v>39998</v>
      </c>
      <c r="S451" t="s">
        <v>29</v>
      </c>
      <c r="T451" t="str">
        <f t="shared" si="35"/>
        <v>Grade A</v>
      </c>
      <c r="U451">
        <f t="shared" si="36"/>
        <v>1</v>
      </c>
      <c r="V451" t="str">
        <f t="shared" si="37"/>
        <v>Senior</v>
      </c>
      <c r="W451" t="str">
        <f t="shared" si="38"/>
        <v>Medium Risk</v>
      </c>
      <c r="X451" t="str">
        <f t="shared" si="39"/>
        <v>Overpaid</v>
      </c>
    </row>
    <row r="452" spans="1:24" x14ac:dyDescent="0.3">
      <c r="A452" t="s">
        <v>520</v>
      </c>
      <c r="B452" t="s">
        <v>39</v>
      </c>
      <c r="C452">
        <v>27</v>
      </c>
      <c r="D452" t="s">
        <v>31</v>
      </c>
      <c r="E452" t="s">
        <v>48</v>
      </c>
      <c r="F452" t="s">
        <v>32</v>
      </c>
      <c r="G452" t="s">
        <v>24</v>
      </c>
      <c r="H452" t="s">
        <v>83</v>
      </c>
      <c r="I452" t="s">
        <v>50</v>
      </c>
      <c r="J452" t="s">
        <v>44</v>
      </c>
      <c r="K452">
        <v>8</v>
      </c>
      <c r="L452">
        <v>88922</v>
      </c>
      <c r="M452" t="s">
        <v>28</v>
      </c>
      <c r="N452">
        <v>2</v>
      </c>
      <c r="O452">
        <v>4</v>
      </c>
      <c r="P452">
        <v>64</v>
      </c>
      <c r="Q452">
        <v>0</v>
      </c>
      <c r="R452" s="1">
        <v>42052</v>
      </c>
      <c r="S452" t="s">
        <v>29</v>
      </c>
      <c r="T452" t="str">
        <f t="shared" si="35"/>
        <v>Grade A</v>
      </c>
      <c r="U452">
        <f t="shared" si="36"/>
        <v>3</v>
      </c>
      <c r="V452" t="str">
        <f t="shared" si="37"/>
        <v>Mid Level</v>
      </c>
      <c r="W452" t="str">
        <f t="shared" si="38"/>
        <v>Medium Risk</v>
      </c>
      <c r="X452" t="str">
        <f t="shared" si="39"/>
        <v>Competitive</v>
      </c>
    </row>
    <row r="453" spans="1:24" x14ac:dyDescent="0.3">
      <c r="A453" t="s">
        <v>521</v>
      </c>
      <c r="B453" t="s">
        <v>39</v>
      </c>
      <c r="C453">
        <v>40</v>
      </c>
      <c r="D453" t="s">
        <v>88</v>
      </c>
      <c r="E453" t="s">
        <v>48</v>
      </c>
      <c r="F453" t="s">
        <v>53</v>
      </c>
      <c r="G453" t="s">
        <v>33</v>
      </c>
      <c r="H453" t="s">
        <v>67</v>
      </c>
      <c r="I453" t="s">
        <v>26</v>
      </c>
      <c r="J453" t="s">
        <v>27</v>
      </c>
      <c r="K453">
        <v>8</v>
      </c>
      <c r="L453">
        <v>66643</v>
      </c>
      <c r="M453" t="s">
        <v>36</v>
      </c>
      <c r="N453">
        <v>1</v>
      </c>
      <c r="O453">
        <v>3</v>
      </c>
      <c r="P453">
        <v>11</v>
      </c>
      <c r="Q453">
        <v>0</v>
      </c>
      <c r="R453" s="1">
        <v>42248</v>
      </c>
      <c r="S453" t="s">
        <v>29</v>
      </c>
      <c r="T453" t="str">
        <f t="shared" si="35"/>
        <v>Grade B</v>
      </c>
      <c r="U453">
        <f t="shared" si="36"/>
        <v>1</v>
      </c>
      <c r="V453" t="str">
        <f t="shared" si="37"/>
        <v>Mid Level</v>
      </c>
      <c r="W453" t="str">
        <f t="shared" si="38"/>
        <v>Medium Risk</v>
      </c>
      <c r="X453" t="str">
        <f t="shared" si="39"/>
        <v>Fair</v>
      </c>
    </row>
    <row r="454" spans="1:24" x14ac:dyDescent="0.3">
      <c r="A454" t="s">
        <v>522</v>
      </c>
      <c r="B454" t="s">
        <v>20</v>
      </c>
      <c r="C454">
        <v>36</v>
      </c>
      <c r="D454" t="s">
        <v>21</v>
      </c>
      <c r="E454" t="s">
        <v>40</v>
      </c>
      <c r="F454" t="s">
        <v>75</v>
      </c>
      <c r="G454" t="s">
        <v>33</v>
      </c>
      <c r="H454" t="s">
        <v>76</v>
      </c>
      <c r="I454" t="s">
        <v>43</v>
      </c>
      <c r="J454" t="s">
        <v>44</v>
      </c>
      <c r="K454">
        <v>1</v>
      </c>
      <c r="L454">
        <v>65096</v>
      </c>
      <c r="M454" t="s">
        <v>45</v>
      </c>
      <c r="N454">
        <v>1</v>
      </c>
      <c r="O454">
        <v>4</v>
      </c>
      <c r="P454">
        <v>50</v>
      </c>
      <c r="Q454">
        <v>0</v>
      </c>
      <c r="R454" s="1">
        <v>44665</v>
      </c>
      <c r="S454" t="s">
        <v>29</v>
      </c>
      <c r="T454" t="str">
        <f t="shared" si="35"/>
        <v>Grade B</v>
      </c>
      <c r="U454">
        <f t="shared" si="36"/>
        <v>2</v>
      </c>
      <c r="V454" t="str">
        <f t="shared" si="37"/>
        <v>New Joiner</v>
      </c>
      <c r="W454" t="str">
        <f t="shared" si="38"/>
        <v>Medium Risk</v>
      </c>
      <c r="X454" t="str">
        <f t="shared" si="39"/>
        <v>Fair</v>
      </c>
    </row>
    <row r="455" spans="1:24" x14ac:dyDescent="0.3">
      <c r="A455" t="s">
        <v>523</v>
      </c>
      <c r="B455" t="s">
        <v>39</v>
      </c>
      <c r="C455">
        <v>40</v>
      </c>
      <c r="D455" t="s">
        <v>47</v>
      </c>
      <c r="E455" t="s">
        <v>48</v>
      </c>
      <c r="F455" t="s">
        <v>75</v>
      </c>
      <c r="G455" t="s">
        <v>66</v>
      </c>
      <c r="H455" t="s">
        <v>76</v>
      </c>
      <c r="I455" t="s">
        <v>80</v>
      </c>
      <c r="J455" t="s">
        <v>60</v>
      </c>
      <c r="K455">
        <v>8</v>
      </c>
      <c r="L455">
        <v>55690</v>
      </c>
      <c r="M455" t="s">
        <v>51</v>
      </c>
      <c r="N455">
        <v>3</v>
      </c>
      <c r="O455">
        <v>4</v>
      </c>
      <c r="P455">
        <v>39</v>
      </c>
      <c r="Q455">
        <v>1</v>
      </c>
      <c r="R455" s="1">
        <v>42362</v>
      </c>
      <c r="S455" t="s">
        <v>29</v>
      </c>
      <c r="T455" t="str">
        <f t="shared" si="35"/>
        <v>Grade B</v>
      </c>
      <c r="U455">
        <f t="shared" si="36"/>
        <v>4</v>
      </c>
      <c r="V455" t="str">
        <f t="shared" si="37"/>
        <v>Mid Level</v>
      </c>
      <c r="W455" t="str">
        <f t="shared" si="38"/>
        <v>Low Risk</v>
      </c>
      <c r="X455" t="str">
        <f t="shared" si="39"/>
        <v>Fair</v>
      </c>
    </row>
    <row r="456" spans="1:24" x14ac:dyDescent="0.3">
      <c r="A456" t="s">
        <v>524</v>
      </c>
      <c r="B456" t="s">
        <v>20</v>
      </c>
      <c r="C456">
        <v>52</v>
      </c>
      <c r="D456" t="s">
        <v>47</v>
      </c>
      <c r="E456" t="s">
        <v>40</v>
      </c>
      <c r="F456" t="s">
        <v>65</v>
      </c>
      <c r="G456" t="s">
        <v>42</v>
      </c>
      <c r="H456" t="s">
        <v>34</v>
      </c>
      <c r="I456" t="s">
        <v>54</v>
      </c>
      <c r="J456" t="s">
        <v>27</v>
      </c>
      <c r="K456">
        <v>3</v>
      </c>
      <c r="L456">
        <v>103791</v>
      </c>
      <c r="M456" t="s">
        <v>36</v>
      </c>
      <c r="N456">
        <v>2</v>
      </c>
      <c r="O456">
        <v>3</v>
      </c>
      <c r="P456">
        <v>21</v>
      </c>
      <c r="Q456">
        <v>3</v>
      </c>
      <c r="R456" s="1">
        <v>43863</v>
      </c>
      <c r="S456" t="s">
        <v>29</v>
      </c>
      <c r="T456" t="str">
        <f t="shared" si="35"/>
        <v>Grade A</v>
      </c>
      <c r="U456">
        <f t="shared" si="36"/>
        <v>1</v>
      </c>
      <c r="V456" t="str">
        <f t="shared" si="37"/>
        <v>Junior</v>
      </c>
      <c r="W456" t="str">
        <f t="shared" si="38"/>
        <v>Medium Risk</v>
      </c>
      <c r="X456" t="str">
        <f t="shared" si="39"/>
        <v>Overpaid</v>
      </c>
    </row>
    <row r="457" spans="1:24" x14ac:dyDescent="0.3">
      <c r="A457" t="s">
        <v>525</v>
      </c>
      <c r="B457" t="s">
        <v>20</v>
      </c>
      <c r="C457">
        <v>37</v>
      </c>
      <c r="D457" t="s">
        <v>47</v>
      </c>
      <c r="E457" t="s">
        <v>40</v>
      </c>
      <c r="F457" t="s">
        <v>53</v>
      </c>
      <c r="G457" t="s">
        <v>33</v>
      </c>
      <c r="H457" t="s">
        <v>67</v>
      </c>
      <c r="I457" t="s">
        <v>68</v>
      </c>
      <c r="J457" t="s">
        <v>60</v>
      </c>
      <c r="K457">
        <v>10</v>
      </c>
      <c r="L457">
        <v>73306</v>
      </c>
      <c r="M457" t="s">
        <v>28</v>
      </c>
      <c r="N457">
        <v>1</v>
      </c>
      <c r="O457">
        <v>1</v>
      </c>
      <c r="P457">
        <v>55</v>
      </c>
      <c r="Q457">
        <v>2</v>
      </c>
      <c r="R457" s="1">
        <v>41390</v>
      </c>
      <c r="S457" t="s">
        <v>29</v>
      </c>
      <c r="T457" t="str">
        <f t="shared" si="35"/>
        <v>Grade B</v>
      </c>
      <c r="U457">
        <f t="shared" si="36"/>
        <v>3</v>
      </c>
      <c r="V457" t="str">
        <f t="shared" si="37"/>
        <v>Mid Level</v>
      </c>
      <c r="W457" t="str">
        <f t="shared" si="38"/>
        <v>Medium Risk</v>
      </c>
      <c r="X457" t="str">
        <f t="shared" si="39"/>
        <v>Competitive</v>
      </c>
    </row>
    <row r="458" spans="1:24" x14ac:dyDescent="0.3">
      <c r="A458" t="s">
        <v>526</v>
      </c>
      <c r="B458" t="s">
        <v>39</v>
      </c>
      <c r="C458">
        <v>29</v>
      </c>
      <c r="D458" t="s">
        <v>88</v>
      </c>
      <c r="E458" t="s">
        <v>22</v>
      </c>
      <c r="F458" t="s">
        <v>53</v>
      </c>
      <c r="G458" t="s">
        <v>79</v>
      </c>
      <c r="H458" t="s">
        <v>67</v>
      </c>
      <c r="I458" t="s">
        <v>72</v>
      </c>
      <c r="J458" t="s">
        <v>73</v>
      </c>
      <c r="K458">
        <v>13</v>
      </c>
      <c r="L458">
        <v>67066</v>
      </c>
      <c r="M458" t="s">
        <v>51</v>
      </c>
      <c r="N458">
        <v>4</v>
      </c>
      <c r="O458">
        <v>3</v>
      </c>
      <c r="P458">
        <v>53</v>
      </c>
      <c r="Q458">
        <v>2</v>
      </c>
      <c r="R458" s="1">
        <v>40489</v>
      </c>
      <c r="S458" t="s">
        <v>29</v>
      </c>
      <c r="T458" t="str">
        <f t="shared" si="35"/>
        <v>Grade B</v>
      </c>
      <c r="U458">
        <f t="shared" si="36"/>
        <v>4</v>
      </c>
      <c r="V458" t="str">
        <f t="shared" si="37"/>
        <v>Senior</v>
      </c>
      <c r="W458" t="str">
        <f t="shared" si="38"/>
        <v>Low Risk</v>
      </c>
      <c r="X458" t="str">
        <f t="shared" si="39"/>
        <v>Fair</v>
      </c>
    </row>
    <row r="459" spans="1:24" x14ac:dyDescent="0.3">
      <c r="A459" t="s">
        <v>527</v>
      </c>
      <c r="B459" t="s">
        <v>39</v>
      </c>
      <c r="C459">
        <v>28</v>
      </c>
      <c r="D459" t="s">
        <v>88</v>
      </c>
      <c r="E459" t="s">
        <v>22</v>
      </c>
      <c r="F459" t="s">
        <v>62</v>
      </c>
      <c r="G459" t="s">
        <v>58</v>
      </c>
      <c r="H459" t="s">
        <v>67</v>
      </c>
      <c r="I459" t="s">
        <v>50</v>
      </c>
      <c r="J459" t="s">
        <v>44</v>
      </c>
      <c r="K459">
        <v>12</v>
      </c>
      <c r="L459">
        <v>113346</v>
      </c>
      <c r="M459" t="s">
        <v>51</v>
      </c>
      <c r="N459">
        <v>1</v>
      </c>
      <c r="O459">
        <v>2</v>
      </c>
      <c r="P459">
        <v>25</v>
      </c>
      <c r="Q459">
        <v>1</v>
      </c>
      <c r="R459" s="1">
        <v>40856</v>
      </c>
      <c r="S459" t="s">
        <v>29</v>
      </c>
      <c r="T459" t="str">
        <f t="shared" si="35"/>
        <v>Grade A</v>
      </c>
      <c r="U459">
        <f t="shared" si="36"/>
        <v>4</v>
      </c>
      <c r="V459" t="str">
        <f t="shared" si="37"/>
        <v>Senior</v>
      </c>
      <c r="W459" t="str">
        <f t="shared" si="38"/>
        <v>Low Risk</v>
      </c>
      <c r="X459" t="str">
        <f t="shared" si="39"/>
        <v>Competitive</v>
      </c>
    </row>
    <row r="460" spans="1:24" x14ac:dyDescent="0.3">
      <c r="A460" t="s">
        <v>528</v>
      </c>
      <c r="B460" t="s">
        <v>20</v>
      </c>
      <c r="C460">
        <v>30</v>
      </c>
      <c r="D460" t="s">
        <v>21</v>
      </c>
      <c r="E460" t="s">
        <v>22</v>
      </c>
      <c r="F460" t="s">
        <v>53</v>
      </c>
      <c r="G460" t="s">
        <v>33</v>
      </c>
      <c r="H460" t="s">
        <v>25</v>
      </c>
      <c r="I460" t="s">
        <v>72</v>
      </c>
      <c r="J460" t="s">
        <v>73</v>
      </c>
      <c r="K460">
        <v>13</v>
      </c>
      <c r="L460">
        <v>79253</v>
      </c>
      <c r="M460" t="s">
        <v>36</v>
      </c>
      <c r="N460">
        <v>4</v>
      </c>
      <c r="O460">
        <v>4</v>
      </c>
      <c r="P460">
        <v>10</v>
      </c>
      <c r="Q460">
        <v>1</v>
      </c>
      <c r="R460" s="1">
        <v>40361</v>
      </c>
      <c r="S460" t="s">
        <v>29</v>
      </c>
      <c r="T460" t="str">
        <f t="shared" si="35"/>
        <v>Grade B</v>
      </c>
      <c r="U460">
        <f t="shared" si="36"/>
        <v>1</v>
      </c>
      <c r="V460" t="str">
        <f t="shared" si="37"/>
        <v>Senior</v>
      </c>
      <c r="W460" t="str">
        <f t="shared" si="38"/>
        <v>Medium Risk</v>
      </c>
      <c r="X460" t="str">
        <f t="shared" si="39"/>
        <v>Fair</v>
      </c>
    </row>
    <row r="461" spans="1:24" x14ac:dyDescent="0.3">
      <c r="A461" t="s">
        <v>529</v>
      </c>
      <c r="B461" t="s">
        <v>39</v>
      </c>
      <c r="C461">
        <v>31</v>
      </c>
      <c r="D461" t="s">
        <v>88</v>
      </c>
      <c r="E461" t="s">
        <v>48</v>
      </c>
      <c r="F461" t="s">
        <v>65</v>
      </c>
      <c r="G461" t="s">
        <v>42</v>
      </c>
      <c r="H461" t="s">
        <v>25</v>
      </c>
      <c r="I461" t="s">
        <v>96</v>
      </c>
      <c r="J461" t="s">
        <v>44</v>
      </c>
      <c r="K461">
        <v>2</v>
      </c>
      <c r="L461">
        <v>101203</v>
      </c>
      <c r="M461" t="s">
        <v>28</v>
      </c>
      <c r="N461">
        <v>2</v>
      </c>
      <c r="O461">
        <v>2</v>
      </c>
      <c r="P461">
        <v>64</v>
      </c>
      <c r="Q461">
        <v>3</v>
      </c>
      <c r="R461" s="1">
        <v>44378</v>
      </c>
      <c r="S461" t="s">
        <v>29</v>
      </c>
      <c r="T461" t="str">
        <f t="shared" si="35"/>
        <v>Grade A</v>
      </c>
      <c r="U461">
        <f t="shared" si="36"/>
        <v>3</v>
      </c>
      <c r="V461" t="str">
        <f t="shared" si="37"/>
        <v>New Joiner</v>
      </c>
      <c r="W461" t="str">
        <f t="shared" si="38"/>
        <v>Medium Risk</v>
      </c>
      <c r="X461" t="str">
        <f t="shared" si="39"/>
        <v>Competitive</v>
      </c>
    </row>
    <row r="462" spans="1:24" x14ac:dyDescent="0.3">
      <c r="A462" t="s">
        <v>530</v>
      </c>
      <c r="B462" t="s">
        <v>39</v>
      </c>
      <c r="C462">
        <v>27</v>
      </c>
      <c r="D462" t="s">
        <v>31</v>
      </c>
      <c r="E462" t="s">
        <v>48</v>
      </c>
      <c r="F462" t="s">
        <v>78</v>
      </c>
      <c r="G462" t="s">
        <v>33</v>
      </c>
      <c r="H462" t="s">
        <v>34</v>
      </c>
      <c r="I462" t="s">
        <v>43</v>
      </c>
      <c r="J462" t="s">
        <v>44</v>
      </c>
      <c r="K462">
        <v>1</v>
      </c>
      <c r="L462">
        <v>56770</v>
      </c>
      <c r="M462" t="s">
        <v>45</v>
      </c>
      <c r="N462">
        <v>4</v>
      </c>
      <c r="O462">
        <v>2</v>
      </c>
      <c r="P462">
        <v>65</v>
      </c>
      <c r="Q462">
        <v>0</v>
      </c>
      <c r="R462" s="1">
        <v>44663</v>
      </c>
      <c r="S462" t="s">
        <v>37</v>
      </c>
      <c r="T462" t="str">
        <f t="shared" si="35"/>
        <v>Grade B</v>
      </c>
      <c r="U462">
        <f t="shared" si="36"/>
        <v>2</v>
      </c>
      <c r="V462" t="str">
        <f t="shared" si="37"/>
        <v>New Joiner</v>
      </c>
      <c r="W462" t="str">
        <f t="shared" si="38"/>
        <v>Already Left</v>
      </c>
      <c r="X462" t="str">
        <f t="shared" si="39"/>
        <v>Fair</v>
      </c>
    </row>
    <row r="463" spans="1:24" x14ac:dyDescent="0.3">
      <c r="A463" t="s">
        <v>531</v>
      </c>
      <c r="B463" t="s">
        <v>20</v>
      </c>
      <c r="C463">
        <v>42</v>
      </c>
      <c r="D463" t="s">
        <v>31</v>
      </c>
      <c r="E463" t="s">
        <v>22</v>
      </c>
      <c r="F463" t="s">
        <v>23</v>
      </c>
      <c r="G463" t="s">
        <v>42</v>
      </c>
      <c r="H463" t="s">
        <v>67</v>
      </c>
      <c r="I463" t="s">
        <v>43</v>
      </c>
      <c r="J463" t="s">
        <v>44</v>
      </c>
      <c r="K463">
        <v>11</v>
      </c>
      <c r="L463">
        <v>120739</v>
      </c>
      <c r="M463" t="s">
        <v>51</v>
      </c>
      <c r="N463">
        <v>3</v>
      </c>
      <c r="O463">
        <v>2</v>
      </c>
      <c r="P463">
        <v>61</v>
      </c>
      <c r="Q463">
        <v>3</v>
      </c>
      <c r="R463" s="1">
        <v>40929</v>
      </c>
      <c r="S463" t="s">
        <v>29</v>
      </c>
      <c r="T463" t="str">
        <f t="shared" si="35"/>
        <v>Grade A</v>
      </c>
      <c r="U463">
        <f t="shared" si="36"/>
        <v>4</v>
      </c>
      <c r="V463" t="str">
        <f t="shared" si="37"/>
        <v>Senior</v>
      </c>
      <c r="W463" t="str">
        <f t="shared" si="38"/>
        <v>Low Risk</v>
      </c>
      <c r="X463" t="str">
        <f t="shared" si="39"/>
        <v>Competitive</v>
      </c>
    </row>
    <row r="464" spans="1:24" x14ac:dyDescent="0.3">
      <c r="A464" t="s">
        <v>532</v>
      </c>
      <c r="B464" t="s">
        <v>20</v>
      </c>
      <c r="C464">
        <v>46</v>
      </c>
      <c r="D464" t="s">
        <v>47</v>
      </c>
      <c r="E464" t="s">
        <v>40</v>
      </c>
      <c r="F464" t="s">
        <v>78</v>
      </c>
      <c r="G464" t="s">
        <v>49</v>
      </c>
      <c r="H464" t="s">
        <v>25</v>
      </c>
      <c r="I464" t="s">
        <v>59</v>
      </c>
      <c r="J464" t="s">
        <v>60</v>
      </c>
      <c r="K464">
        <v>13</v>
      </c>
      <c r="L464">
        <v>75880</v>
      </c>
      <c r="M464" t="s">
        <v>36</v>
      </c>
      <c r="N464">
        <v>3</v>
      </c>
      <c r="O464">
        <v>2</v>
      </c>
      <c r="P464">
        <v>21</v>
      </c>
      <c r="Q464">
        <v>2</v>
      </c>
      <c r="R464" s="1">
        <v>40272</v>
      </c>
      <c r="S464" t="s">
        <v>37</v>
      </c>
      <c r="T464" t="str">
        <f t="shared" si="35"/>
        <v>Grade B</v>
      </c>
      <c r="U464">
        <f t="shared" si="36"/>
        <v>1</v>
      </c>
      <c r="V464" t="str">
        <f t="shared" si="37"/>
        <v>Senior</v>
      </c>
      <c r="W464" t="str">
        <f t="shared" si="38"/>
        <v>Already Left</v>
      </c>
      <c r="X464" t="str">
        <f t="shared" si="39"/>
        <v>Fair</v>
      </c>
    </row>
    <row r="465" spans="1:24" x14ac:dyDescent="0.3">
      <c r="A465" t="s">
        <v>533</v>
      </c>
      <c r="B465" t="s">
        <v>39</v>
      </c>
      <c r="C465">
        <v>25</v>
      </c>
      <c r="D465" t="s">
        <v>31</v>
      </c>
      <c r="E465" t="s">
        <v>48</v>
      </c>
      <c r="F465" t="s">
        <v>65</v>
      </c>
      <c r="G465" t="s">
        <v>42</v>
      </c>
      <c r="H465" t="s">
        <v>67</v>
      </c>
      <c r="I465" t="s">
        <v>35</v>
      </c>
      <c r="J465" t="s">
        <v>27</v>
      </c>
      <c r="K465">
        <v>1</v>
      </c>
      <c r="L465">
        <v>94908</v>
      </c>
      <c r="M465" t="s">
        <v>51</v>
      </c>
      <c r="N465">
        <v>3</v>
      </c>
      <c r="O465">
        <v>1</v>
      </c>
      <c r="P465">
        <v>16</v>
      </c>
      <c r="Q465">
        <v>0</v>
      </c>
      <c r="R465" s="1">
        <v>44711</v>
      </c>
      <c r="S465" t="s">
        <v>29</v>
      </c>
      <c r="T465" t="str">
        <f t="shared" si="35"/>
        <v>Grade A</v>
      </c>
      <c r="U465">
        <f t="shared" si="36"/>
        <v>4</v>
      </c>
      <c r="V465" t="str">
        <f t="shared" si="37"/>
        <v>New Joiner</v>
      </c>
      <c r="W465" t="str">
        <f t="shared" si="38"/>
        <v>Low Risk</v>
      </c>
      <c r="X465" t="str">
        <f t="shared" si="39"/>
        <v>Competitive</v>
      </c>
    </row>
    <row r="466" spans="1:24" x14ac:dyDescent="0.3">
      <c r="A466" t="s">
        <v>534</v>
      </c>
      <c r="B466" t="s">
        <v>39</v>
      </c>
      <c r="C466">
        <v>44</v>
      </c>
      <c r="D466" t="s">
        <v>31</v>
      </c>
      <c r="E466" t="s">
        <v>48</v>
      </c>
      <c r="F466" t="s">
        <v>62</v>
      </c>
      <c r="G466" t="s">
        <v>66</v>
      </c>
      <c r="H466" t="s">
        <v>34</v>
      </c>
      <c r="I466" t="s">
        <v>96</v>
      </c>
      <c r="J466" t="s">
        <v>44</v>
      </c>
      <c r="K466">
        <v>8</v>
      </c>
      <c r="L466">
        <v>48736</v>
      </c>
      <c r="M466" t="s">
        <v>51</v>
      </c>
      <c r="N466">
        <v>2</v>
      </c>
      <c r="O466">
        <v>4</v>
      </c>
      <c r="P466">
        <v>76</v>
      </c>
      <c r="Q466">
        <v>1</v>
      </c>
      <c r="R466" s="1">
        <v>42083</v>
      </c>
      <c r="S466" t="s">
        <v>29</v>
      </c>
      <c r="T466" t="str">
        <f t="shared" si="35"/>
        <v>Grade C</v>
      </c>
      <c r="U466">
        <f t="shared" si="36"/>
        <v>4</v>
      </c>
      <c r="V466" t="str">
        <f t="shared" si="37"/>
        <v>Mid Level</v>
      </c>
      <c r="W466" t="str">
        <f t="shared" si="38"/>
        <v>Low Risk</v>
      </c>
      <c r="X466" t="str">
        <f t="shared" si="39"/>
        <v>Fair</v>
      </c>
    </row>
    <row r="467" spans="1:24" x14ac:dyDescent="0.3">
      <c r="A467" t="s">
        <v>535</v>
      </c>
      <c r="B467" t="s">
        <v>20</v>
      </c>
      <c r="C467">
        <v>48</v>
      </c>
      <c r="D467" t="s">
        <v>21</v>
      </c>
      <c r="E467" t="s">
        <v>22</v>
      </c>
      <c r="F467" t="s">
        <v>65</v>
      </c>
      <c r="G467" t="s">
        <v>66</v>
      </c>
      <c r="H467" t="s">
        <v>34</v>
      </c>
      <c r="I467" t="s">
        <v>26</v>
      </c>
      <c r="J467" t="s">
        <v>27</v>
      </c>
      <c r="K467">
        <v>14</v>
      </c>
      <c r="L467">
        <v>67886</v>
      </c>
      <c r="M467" t="s">
        <v>28</v>
      </c>
      <c r="N467">
        <v>1</v>
      </c>
      <c r="O467">
        <v>4</v>
      </c>
      <c r="P467">
        <v>26</v>
      </c>
      <c r="Q467">
        <v>3</v>
      </c>
      <c r="R467" s="1">
        <v>40107</v>
      </c>
      <c r="S467" t="s">
        <v>37</v>
      </c>
      <c r="T467" t="str">
        <f t="shared" si="35"/>
        <v>Grade B</v>
      </c>
      <c r="U467">
        <f t="shared" si="36"/>
        <v>3</v>
      </c>
      <c r="V467" t="str">
        <f t="shared" si="37"/>
        <v>Senior</v>
      </c>
      <c r="W467" t="str">
        <f t="shared" si="38"/>
        <v>Already Left</v>
      </c>
      <c r="X467" t="str">
        <f t="shared" si="39"/>
        <v>Competitive</v>
      </c>
    </row>
    <row r="468" spans="1:24" x14ac:dyDescent="0.3">
      <c r="A468" t="s">
        <v>536</v>
      </c>
      <c r="B468" t="s">
        <v>20</v>
      </c>
      <c r="C468">
        <v>38</v>
      </c>
      <c r="D468" t="s">
        <v>88</v>
      </c>
      <c r="E468" t="s">
        <v>48</v>
      </c>
      <c r="F468" t="s">
        <v>78</v>
      </c>
      <c r="G468" t="s">
        <v>63</v>
      </c>
      <c r="H468" t="s">
        <v>83</v>
      </c>
      <c r="I468" t="s">
        <v>59</v>
      </c>
      <c r="J468" t="s">
        <v>60</v>
      </c>
      <c r="K468">
        <v>11</v>
      </c>
      <c r="L468">
        <v>76275</v>
      </c>
      <c r="M468" t="s">
        <v>45</v>
      </c>
      <c r="N468">
        <v>4</v>
      </c>
      <c r="O468">
        <v>4</v>
      </c>
      <c r="P468">
        <v>72</v>
      </c>
      <c r="Q468">
        <v>3</v>
      </c>
      <c r="R468" s="1">
        <v>41012</v>
      </c>
      <c r="S468" t="s">
        <v>29</v>
      </c>
      <c r="T468" t="str">
        <f t="shared" si="35"/>
        <v>Grade B</v>
      </c>
      <c r="U468">
        <f t="shared" si="36"/>
        <v>2</v>
      </c>
      <c r="V468" t="str">
        <f t="shared" si="37"/>
        <v>Senior</v>
      </c>
      <c r="W468" t="str">
        <f t="shared" si="38"/>
        <v>Medium Risk</v>
      </c>
      <c r="X468" t="str">
        <f t="shared" si="39"/>
        <v>Fair</v>
      </c>
    </row>
    <row r="469" spans="1:24" x14ac:dyDescent="0.3">
      <c r="A469" t="s">
        <v>537</v>
      </c>
      <c r="B469" t="s">
        <v>39</v>
      </c>
      <c r="C469">
        <v>35</v>
      </c>
      <c r="D469" t="s">
        <v>57</v>
      </c>
      <c r="E469" t="s">
        <v>48</v>
      </c>
      <c r="F469" t="s">
        <v>53</v>
      </c>
      <c r="G469" t="s">
        <v>33</v>
      </c>
      <c r="H469" t="s">
        <v>34</v>
      </c>
      <c r="I469" t="s">
        <v>68</v>
      </c>
      <c r="J469" t="s">
        <v>60</v>
      </c>
      <c r="K469">
        <v>8</v>
      </c>
      <c r="L469">
        <v>70239</v>
      </c>
      <c r="M469" t="s">
        <v>28</v>
      </c>
      <c r="N469">
        <v>1</v>
      </c>
      <c r="O469">
        <v>2</v>
      </c>
      <c r="P469">
        <v>57</v>
      </c>
      <c r="Q469">
        <v>0</v>
      </c>
      <c r="R469" s="1">
        <v>42102</v>
      </c>
      <c r="S469" t="s">
        <v>29</v>
      </c>
      <c r="T469" t="str">
        <f t="shared" si="35"/>
        <v>Grade B</v>
      </c>
      <c r="U469">
        <f t="shared" si="36"/>
        <v>3</v>
      </c>
      <c r="V469" t="str">
        <f t="shared" si="37"/>
        <v>Mid Level</v>
      </c>
      <c r="W469" t="str">
        <f t="shared" si="38"/>
        <v>Medium Risk</v>
      </c>
      <c r="X469" t="str">
        <f t="shared" si="39"/>
        <v>Competitive</v>
      </c>
    </row>
    <row r="470" spans="1:24" x14ac:dyDescent="0.3">
      <c r="A470" t="s">
        <v>538</v>
      </c>
      <c r="B470" t="s">
        <v>39</v>
      </c>
      <c r="C470">
        <v>45</v>
      </c>
      <c r="D470" t="s">
        <v>31</v>
      </c>
      <c r="E470" t="s">
        <v>48</v>
      </c>
      <c r="F470" t="s">
        <v>75</v>
      </c>
      <c r="G470" t="s">
        <v>42</v>
      </c>
      <c r="H470" t="s">
        <v>83</v>
      </c>
      <c r="I470" t="s">
        <v>54</v>
      </c>
      <c r="J470" t="s">
        <v>27</v>
      </c>
      <c r="K470">
        <v>6</v>
      </c>
      <c r="L470">
        <v>98319</v>
      </c>
      <c r="M470" t="s">
        <v>51</v>
      </c>
      <c r="N470">
        <v>3</v>
      </c>
      <c r="O470">
        <v>3</v>
      </c>
      <c r="P470">
        <v>72</v>
      </c>
      <c r="Q470">
        <v>0</v>
      </c>
      <c r="R470" s="1">
        <v>43024</v>
      </c>
      <c r="S470" t="s">
        <v>29</v>
      </c>
      <c r="T470" t="str">
        <f t="shared" si="35"/>
        <v>Grade A</v>
      </c>
      <c r="U470">
        <f t="shared" si="36"/>
        <v>4</v>
      </c>
      <c r="V470" t="str">
        <f t="shared" si="37"/>
        <v>Mid Level</v>
      </c>
      <c r="W470" t="str">
        <f t="shared" si="38"/>
        <v>Low Risk</v>
      </c>
      <c r="X470" t="str">
        <f t="shared" si="39"/>
        <v>Competitive</v>
      </c>
    </row>
    <row r="471" spans="1:24" x14ac:dyDescent="0.3">
      <c r="A471" t="s">
        <v>539</v>
      </c>
      <c r="B471" t="s">
        <v>39</v>
      </c>
      <c r="C471">
        <v>29</v>
      </c>
      <c r="D471" t="s">
        <v>88</v>
      </c>
      <c r="E471" t="s">
        <v>48</v>
      </c>
      <c r="F471" t="s">
        <v>53</v>
      </c>
      <c r="G471" t="s">
        <v>42</v>
      </c>
      <c r="H471" t="s">
        <v>34</v>
      </c>
      <c r="I471" t="s">
        <v>68</v>
      </c>
      <c r="J471" t="s">
        <v>60</v>
      </c>
      <c r="K471">
        <v>1</v>
      </c>
      <c r="L471">
        <v>96289</v>
      </c>
      <c r="M471" t="s">
        <v>36</v>
      </c>
      <c r="N471">
        <v>1</v>
      </c>
      <c r="O471">
        <v>1</v>
      </c>
      <c r="P471">
        <v>63</v>
      </c>
      <c r="Q471">
        <v>3</v>
      </c>
      <c r="R471" s="1">
        <v>44677</v>
      </c>
      <c r="S471" t="s">
        <v>37</v>
      </c>
      <c r="T471" t="str">
        <f t="shared" si="35"/>
        <v>Grade A</v>
      </c>
      <c r="U471">
        <f t="shared" si="36"/>
        <v>1</v>
      </c>
      <c r="V471" t="str">
        <f t="shared" si="37"/>
        <v>New Joiner</v>
      </c>
      <c r="W471" t="str">
        <f t="shared" si="38"/>
        <v>Already Left</v>
      </c>
      <c r="X471" t="str">
        <f t="shared" si="39"/>
        <v>Overpaid</v>
      </c>
    </row>
    <row r="472" spans="1:24" x14ac:dyDescent="0.3">
      <c r="A472" t="s">
        <v>540</v>
      </c>
      <c r="B472" t="s">
        <v>39</v>
      </c>
      <c r="C472">
        <v>30</v>
      </c>
      <c r="D472" t="s">
        <v>88</v>
      </c>
      <c r="E472" t="s">
        <v>40</v>
      </c>
      <c r="F472" t="s">
        <v>62</v>
      </c>
      <c r="G472" t="s">
        <v>66</v>
      </c>
      <c r="H472" t="s">
        <v>34</v>
      </c>
      <c r="I472" t="s">
        <v>54</v>
      </c>
      <c r="J472" t="s">
        <v>27</v>
      </c>
      <c r="K472">
        <v>15</v>
      </c>
      <c r="L472">
        <v>67363</v>
      </c>
      <c r="M472" t="s">
        <v>36</v>
      </c>
      <c r="N472">
        <v>4</v>
      </c>
      <c r="O472">
        <v>4</v>
      </c>
      <c r="P472">
        <v>67</v>
      </c>
      <c r="Q472">
        <v>1</v>
      </c>
      <c r="R472" s="1">
        <v>39507</v>
      </c>
      <c r="S472" t="s">
        <v>29</v>
      </c>
      <c r="T472" t="str">
        <f t="shared" si="35"/>
        <v>Grade B</v>
      </c>
      <c r="U472">
        <f t="shared" si="36"/>
        <v>1</v>
      </c>
      <c r="V472" t="str">
        <f t="shared" si="37"/>
        <v>Senior</v>
      </c>
      <c r="W472" t="str">
        <f t="shared" si="38"/>
        <v>Medium Risk</v>
      </c>
      <c r="X472" t="str">
        <f t="shared" si="39"/>
        <v>Fair</v>
      </c>
    </row>
    <row r="473" spans="1:24" x14ac:dyDescent="0.3">
      <c r="A473" t="s">
        <v>541</v>
      </c>
      <c r="B473" t="s">
        <v>20</v>
      </c>
      <c r="C473">
        <v>39</v>
      </c>
      <c r="D473" t="s">
        <v>21</v>
      </c>
      <c r="E473" t="s">
        <v>22</v>
      </c>
      <c r="F473" t="s">
        <v>41</v>
      </c>
      <c r="G473" t="s">
        <v>49</v>
      </c>
      <c r="H473" t="s">
        <v>34</v>
      </c>
      <c r="I473" t="s">
        <v>72</v>
      </c>
      <c r="J473" t="s">
        <v>73</v>
      </c>
      <c r="K473">
        <v>7</v>
      </c>
      <c r="L473">
        <v>66956</v>
      </c>
      <c r="M473" t="s">
        <v>36</v>
      </c>
      <c r="N473">
        <v>1</v>
      </c>
      <c r="O473">
        <v>3</v>
      </c>
      <c r="P473">
        <v>25</v>
      </c>
      <c r="Q473">
        <v>0</v>
      </c>
      <c r="R473" s="1">
        <v>42714</v>
      </c>
      <c r="S473" t="s">
        <v>29</v>
      </c>
      <c r="T473" t="str">
        <f t="shared" si="35"/>
        <v>Grade B</v>
      </c>
      <c r="U473">
        <f t="shared" si="36"/>
        <v>1</v>
      </c>
      <c r="V473" t="str">
        <f t="shared" si="37"/>
        <v>Mid Level</v>
      </c>
      <c r="W473" t="str">
        <f t="shared" si="38"/>
        <v>Medium Risk</v>
      </c>
      <c r="X473" t="str">
        <f t="shared" si="39"/>
        <v>Fair</v>
      </c>
    </row>
    <row r="474" spans="1:24" x14ac:dyDescent="0.3">
      <c r="A474" t="s">
        <v>542</v>
      </c>
      <c r="B474" t="s">
        <v>39</v>
      </c>
      <c r="C474">
        <v>23</v>
      </c>
      <c r="D474" t="s">
        <v>31</v>
      </c>
      <c r="E474" t="s">
        <v>22</v>
      </c>
      <c r="F474" t="s">
        <v>23</v>
      </c>
      <c r="G474" t="s">
        <v>33</v>
      </c>
      <c r="H474" t="s">
        <v>34</v>
      </c>
      <c r="I474" t="s">
        <v>59</v>
      </c>
      <c r="J474" t="s">
        <v>60</v>
      </c>
      <c r="K474">
        <v>13</v>
      </c>
      <c r="L474">
        <v>92470</v>
      </c>
      <c r="M474" t="s">
        <v>28</v>
      </c>
      <c r="N474">
        <v>2</v>
      </c>
      <c r="O474">
        <v>4</v>
      </c>
      <c r="P474">
        <v>20</v>
      </c>
      <c r="Q474">
        <v>2</v>
      </c>
      <c r="R474" s="1">
        <v>40486</v>
      </c>
      <c r="S474" t="s">
        <v>37</v>
      </c>
      <c r="T474" t="str">
        <f t="shared" si="35"/>
        <v>Grade A</v>
      </c>
      <c r="U474">
        <f t="shared" si="36"/>
        <v>3</v>
      </c>
      <c r="V474" t="str">
        <f t="shared" si="37"/>
        <v>Senior</v>
      </c>
      <c r="W474" t="str">
        <f t="shared" si="38"/>
        <v>Already Left</v>
      </c>
      <c r="X474" t="str">
        <f t="shared" si="39"/>
        <v>Competitive</v>
      </c>
    </row>
    <row r="475" spans="1:24" x14ac:dyDescent="0.3">
      <c r="A475" t="s">
        <v>543</v>
      </c>
      <c r="B475" t="s">
        <v>20</v>
      </c>
      <c r="C475">
        <v>46</v>
      </c>
      <c r="D475" t="s">
        <v>31</v>
      </c>
      <c r="E475" t="s">
        <v>22</v>
      </c>
      <c r="F475" t="s">
        <v>23</v>
      </c>
      <c r="G475" t="s">
        <v>63</v>
      </c>
      <c r="H475" t="s">
        <v>76</v>
      </c>
      <c r="I475" t="s">
        <v>43</v>
      </c>
      <c r="J475" t="s">
        <v>44</v>
      </c>
      <c r="K475">
        <v>6</v>
      </c>
      <c r="L475">
        <v>52914</v>
      </c>
      <c r="M475" t="s">
        <v>51</v>
      </c>
      <c r="N475">
        <v>1</v>
      </c>
      <c r="O475">
        <v>1</v>
      </c>
      <c r="P475">
        <v>79</v>
      </c>
      <c r="Q475">
        <v>1</v>
      </c>
      <c r="R475" s="1">
        <v>43090</v>
      </c>
      <c r="S475" t="s">
        <v>29</v>
      </c>
      <c r="T475" t="str">
        <f t="shared" si="35"/>
        <v>Grade B</v>
      </c>
      <c r="U475">
        <f t="shared" si="36"/>
        <v>4</v>
      </c>
      <c r="V475" t="str">
        <f t="shared" si="37"/>
        <v>Mid Level</v>
      </c>
      <c r="W475" t="str">
        <f t="shared" si="38"/>
        <v>Low Risk</v>
      </c>
      <c r="X475" t="str">
        <f t="shared" si="39"/>
        <v>Fair</v>
      </c>
    </row>
    <row r="476" spans="1:24" x14ac:dyDescent="0.3">
      <c r="A476" t="s">
        <v>544</v>
      </c>
      <c r="B476" t="s">
        <v>39</v>
      </c>
      <c r="C476">
        <v>25</v>
      </c>
      <c r="D476" t="s">
        <v>88</v>
      </c>
      <c r="E476" t="s">
        <v>48</v>
      </c>
      <c r="F476" t="s">
        <v>53</v>
      </c>
      <c r="G476" t="s">
        <v>79</v>
      </c>
      <c r="H476" t="s">
        <v>67</v>
      </c>
      <c r="I476" t="s">
        <v>80</v>
      </c>
      <c r="J476" t="s">
        <v>60</v>
      </c>
      <c r="K476">
        <v>13</v>
      </c>
      <c r="L476">
        <v>61053</v>
      </c>
      <c r="M476" t="s">
        <v>45</v>
      </c>
      <c r="N476">
        <v>2</v>
      </c>
      <c r="O476">
        <v>1</v>
      </c>
      <c r="P476">
        <v>17</v>
      </c>
      <c r="Q476">
        <v>2</v>
      </c>
      <c r="R476" s="1">
        <v>40339</v>
      </c>
      <c r="S476" t="s">
        <v>29</v>
      </c>
      <c r="T476" t="str">
        <f t="shared" si="35"/>
        <v>Grade B</v>
      </c>
      <c r="U476">
        <f t="shared" si="36"/>
        <v>2</v>
      </c>
      <c r="V476" t="str">
        <f t="shared" si="37"/>
        <v>Senior</v>
      </c>
      <c r="W476" t="str">
        <f t="shared" si="38"/>
        <v>Medium Risk</v>
      </c>
      <c r="X476" t="str">
        <f t="shared" si="39"/>
        <v>Fair</v>
      </c>
    </row>
    <row r="477" spans="1:24" x14ac:dyDescent="0.3">
      <c r="A477" t="s">
        <v>545</v>
      </c>
      <c r="B477" t="s">
        <v>39</v>
      </c>
      <c r="C477">
        <v>34</v>
      </c>
      <c r="D477" t="s">
        <v>47</v>
      </c>
      <c r="E477" t="s">
        <v>40</v>
      </c>
      <c r="F477" t="s">
        <v>41</v>
      </c>
      <c r="G477" t="s">
        <v>66</v>
      </c>
      <c r="H477" t="s">
        <v>25</v>
      </c>
      <c r="I477" t="s">
        <v>43</v>
      </c>
      <c r="J477" t="s">
        <v>44</v>
      </c>
      <c r="K477">
        <v>7</v>
      </c>
      <c r="L477">
        <v>47451</v>
      </c>
      <c r="M477" t="s">
        <v>28</v>
      </c>
      <c r="N477">
        <v>2</v>
      </c>
      <c r="O477">
        <v>4</v>
      </c>
      <c r="P477">
        <v>75</v>
      </c>
      <c r="Q477">
        <v>3</v>
      </c>
      <c r="R477" s="1">
        <v>42676</v>
      </c>
      <c r="S477" t="s">
        <v>29</v>
      </c>
      <c r="T477" t="str">
        <f t="shared" si="35"/>
        <v>Grade C</v>
      </c>
      <c r="U477">
        <f t="shared" si="36"/>
        <v>3</v>
      </c>
      <c r="V477" t="str">
        <f t="shared" si="37"/>
        <v>Mid Level</v>
      </c>
      <c r="W477" t="str">
        <f t="shared" si="38"/>
        <v>Medium Risk</v>
      </c>
      <c r="X477" t="str">
        <f t="shared" si="39"/>
        <v>Fair</v>
      </c>
    </row>
    <row r="478" spans="1:24" x14ac:dyDescent="0.3">
      <c r="A478" t="s">
        <v>546</v>
      </c>
      <c r="B478" t="s">
        <v>20</v>
      </c>
      <c r="C478">
        <v>36</v>
      </c>
      <c r="D478" t="s">
        <v>21</v>
      </c>
      <c r="E478" t="s">
        <v>48</v>
      </c>
      <c r="F478" t="s">
        <v>62</v>
      </c>
      <c r="G478" t="s">
        <v>63</v>
      </c>
      <c r="H478" t="s">
        <v>83</v>
      </c>
      <c r="I478" t="s">
        <v>26</v>
      </c>
      <c r="J478" t="s">
        <v>27</v>
      </c>
      <c r="K478">
        <v>8</v>
      </c>
      <c r="L478">
        <v>53144</v>
      </c>
      <c r="M478" t="s">
        <v>45</v>
      </c>
      <c r="N478">
        <v>1</v>
      </c>
      <c r="O478">
        <v>2</v>
      </c>
      <c r="P478">
        <v>26</v>
      </c>
      <c r="Q478">
        <v>2</v>
      </c>
      <c r="R478" s="1">
        <v>42358</v>
      </c>
      <c r="S478" t="s">
        <v>29</v>
      </c>
      <c r="T478" t="str">
        <f t="shared" si="35"/>
        <v>Grade B</v>
      </c>
      <c r="U478">
        <f t="shared" si="36"/>
        <v>2</v>
      </c>
      <c r="V478" t="str">
        <f t="shared" si="37"/>
        <v>Mid Level</v>
      </c>
      <c r="W478" t="str">
        <f t="shared" si="38"/>
        <v>Medium Risk</v>
      </c>
      <c r="X478" t="str">
        <f t="shared" si="39"/>
        <v>Fair</v>
      </c>
    </row>
    <row r="479" spans="1:24" x14ac:dyDescent="0.3">
      <c r="A479" t="s">
        <v>547</v>
      </c>
      <c r="B479" t="s">
        <v>39</v>
      </c>
      <c r="C479">
        <v>37</v>
      </c>
      <c r="D479" t="s">
        <v>88</v>
      </c>
      <c r="E479" t="s">
        <v>48</v>
      </c>
      <c r="F479" t="s">
        <v>75</v>
      </c>
      <c r="G479" t="s">
        <v>49</v>
      </c>
      <c r="H479" t="s">
        <v>76</v>
      </c>
      <c r="I479" t="s">
        <v>54</v>
      </c>
      <c r="J479" t="s">
        <v>27</v>
      </c>
      <c r="K479">
        <v>14</v>
      </c>
      <c r="L479">
        <v>72665</v>
      </c>
      <c r="M479" t="s">
        <v>51</v>
      </c>
      <c r="N479">
        <v>4</v>
      </c>
      <c r="O479">
        <v>1</v>
      </c>
      <c r="P479">
        <v>10</v>
      </c>
      <c r="Q479">
        <v>3</v>
      </c>
      <c r="R479" s="1">
        <v>39906</v>
      </c>
      <c r="S479" t="s">
        <v>29</v>
      </c>
      <c r="T479" t="str">
        <f t="shared" si="35"/>
        <v>Grade B</v>
      </c>
      <c r="U479">
        <f t="shared" si="36"/>
        <v>4</v>
      </c>
      <c r="V479" t="str">
        <f t="shared" si="37"/>
        <v>Senior</v>
      </c>
      <c r="W479" t="str">
        <f t="shared" si="38"/>
        <v>Low Risk</v>
      </c>
      <c r="X479" t="str">
        <f t="shared" si="39"/>
        <v>Fair</v>
      </c>
    </row>
    <row r="480" spans="1:24" x14ac:dyDescent="0.3">
      <c r="A480" t="s">
        <v>548</v>
      </c>
      <c r="B480" t="s">
        <v>20</v>
      </c>
      <c r="C480">
        <v>44</v>
      </c>
      <c r="D480" t="s">
        <v>47</v>
      </c>
      <c r="E480" t="s">
        <v>40</v>
      </c>
      <c r="F480" t="s">
        <v>62</v>
      </c>
      <c r="G480" t="s">
        <v>33</v>
      </c>
      <c r="H480" t="s">
        <v>67</v>
      </c>
      <c r="I480" t="s">
        <v>54</v>
      </c>
      <c r="J480" t="s">
        <v>27</v>
      </c>
      <c r="K480">
        <v>1</v>
      </c>
      <c r="L480">
        <v>60955</v>
      </c>
      <c r="M480" t="s">
        <v>51</v>
      </c>
      <c r="N480">
        <v>3</v>
      </c>
      <c r="O480">
        <v>1</v>
      </c>
      <c r="P480">
        <v>30</v>
      </c>
      <c r="Q480">
        <v>0</v>
      </c>
      <c r="R480" s="1">
        <v>44799</v>
      </c>
      <c r="S480" t="s">
        <v>29</v>
      </c>
      <c r="T480" t="str">
        <f t="shared" si="35"/>
        <v>Grade B</v>
      </c>
      <c r="U480">
        <f t="shared" si="36"/>
        <v>4</v>
      </c>
      <c r="V480" t="str">
        <f t="shared" si="37"/>
        <v>New Joiner</v>
      </c>
      <c r="W480" t="str">
        <f t="shared" si="38"/>
        <v>Low Risk</v>
      </c>
      <c r="X480" t="str">
        <f t="shared" si="39"/>
        <v>Fair</v>
      </c>
    </row>
    <row r="481" spans="1:24" x14ac:dyDescent="0.3">
      <c r="A481" t="s">
        <v>549</v>
      </c>
      <c r="B481" t="s">
        <v>39</v>
      </c>
      <c r="C481">
        <v>54</v>
      </c>
      <c r="D481" t="s">
        <v>31</v>
      </c>
      <c r="E481" t="s">
        <v>40</v>
      </c>
      <c r="F481" t="s">
        <v>41</v>
      </c>
      <c r="G481" t="s">
        <v>24</v>
      </c>
      <c r="H481" t="s">
        <v>76</v>
      </c>
      <c r="I481" t="s">
        <v>80</v>
      </c>
      <c r="J481" t="s">
        <v>60</v>
      </c>
      <c r="K481">
        <v>14</v>
      </c>
      <c r="L481">
        <v>111234</v>
      </c>
      <c r="M481" t="s">
        <v>51</v>
      </c>
      <c r="N481">
        <v>3</v>
      </c>
      <c r="O481">
        <v>3</v>
      </c>
      <c r="P481">
        <v>67</v>
      </c>
      <c r="Q481">
        <v>2</v>
      </c>
      <c r="R481" s="1">
        <v>39961</v>
      </c>
      <c r="S481" t="s">
        <v>29</v>
      </c>
      <c r="T481" t="str">
        <f t="shared" si="35"/>
        <v>Grade A</v>
      </c>
      <c r="U481">
        <f t="shared" si="36"/>
        <v>4</v>
      </c>
      <c r="V481" t="str">
        <f t="shared" si="37"/>
        <v>Senior</v>
      </c>
      <c r="W481" t="str">
        <f t="shared" si="38"/>
        <v>Low Risk</v>
      </c>
      <c r="X481" t="str">
        <f t="shared" si="39"/>
        <v>Competitive</v>
      </c>
    </row>
    <row r="482" spans="1:24" x14ac:dyDescent="0.3">
      <c r="A482" t="s">
        <v>550</v>
      </c>
      <c r="B482" t="s">
        <v>39</v>
      </c>
      <c r="C482">
        <v>52</v>
      </c>
      <c r="D482" t="s">
        <v>21</v>
      </c>
      <c r="E482" t="s">
        <v>22</v>
      </c>
      <c r="F482" t="s">
        <v>65</v>
      </c>
      <c r="G482" t="s">
        <v>66</v>
      </c>
      <c r="H482" t="s">
        <v>25</v>
      </c>
      <c r="I482" t="s">
        <v>59</v>
      </c>
      <c r="J482" t="s">
        <v>60</v>
      </c>
      <c r="K482">
        <v>8</v>
      </c>
      <c r="L482">
        <v>41520</v>
      </c>
      <c r="M482" t="s">
        <v>28</v>
      </c>
      <c r="N482">
        <v>2</v>
      </c>
      <c r="O482">
        <v>4</v>
      </c>
      <c r="P482">
        <v>72</v>
      </c>
      <c r="Q482">
        <v>3</v>
      </c>
      <c r="R482" s="1">
        <v>42042</v>
      </c>
      <c r="S482" t="s">
        <v>29</v>
      </c>
      <c r="T482" t="str">
        <f t="shared" si="35"/>
        <v>Grade C</v>
      </c>
      <c r="U482">
        <f t="shared" si="36"/>
        <v>3</v>
      </c>
      <c r="V482" t="str">
        <f t="shared" si="37"/>
        <v>Mid Level</v>
      </c>
      <c r="W482" t="str">
        <f t="shared" si="38"/>
        <v>Medium Risk</v>
      </c>
      <c r="X482" t="str">
        <f t="shared" si="39"/>
        <v>Fair</v>
      </c>
    </row>
    <row r="483" spans="1:24" x14ac:dyDescent="0.3">
      <c r="A483" t="s">
        <v>551</v>
      </c>
      <c r="B483" t="s">
        <v>20</v>
      </c>
      <c r="C483">
        <v>46</v>
      </c>
      <c r="D483" t="s">
        <v>47</v>
      </c>
      <c r="E483" t="s">
        <v>40</v>
      </c>
      <c r="F483" t="s">
        <v>41</v>
      </c>
      <c r="G483" t="s">
        <v>33</v>
      </c>
      <c r="H483" t="s">
        <v>83</v>
      </c>
      <c r="I483" t="s">
        <v>35</v>
      </c>
      <c r="J483" t="s">
        <v>27</v>
      </c>
      <c r="K483">
        <v>15</v>
      </c>
      <c r="L483">
        <v>84044</v>
      </c>
      <c r="M483" t="s">
        <v>51</v>
      </c>
      <c r="N483">
        <v>1</v>
      </c>
      <c r="O483">
        <v>1</v>
      </c>
      <c r="P483">
        <v>69</v>
      </c>
      <c r="Q483">
        <v>2</v>
      </c>
      <c r="R483" s="1">
        <v>39625</v>
      </c>
      <c r="S483" t="s">
        <v>29</v>
      </c>
      <c r="T483" t="str">
        <f t="shared" si="35"/>
        <v>Grade A</v>
      </c>
      <c r="U483">
        <f t="shared" si="36"/>
        <v>4</v>
      </c>
      <c r="V483" t="str">
        <f t="shared" si="37"/>
        <v>Senior</v>
      </c>
      <c r="W483" t="str">
        <f t="shared" si="38"/>
        <v>Low Risk</v>
      </c>
      <c r="X483" t="str">
        <f t="shared" si="39"/>
        <v>Competitive</v>
      </c>
    </row>
    <row r="484" spans="1:24" x14ac:dyDescent="0.3">
      <c r="A484" t="s">
        <v>552</v>
      </c>
      <c r="B484" t="s">
        <v>39</v>
      </c>
      <c r="C484">
        <v>41</v>
      </c>
      <c r="D484" t="s">
        <v>47</v>
      </c>
      <c r="E484" t="s">
        <v>22</v>
      </c>
      <c r="F484" t="s">
        <v>78</v>
      </c>
      <c r="G484" t="s">
        <v>58</v>
      </c>
      <c r="H484" t="s">
        <v>83</v>
      </c>
      <c r="I484" t="s">
        <v>59</v>
      </c>
      <c r="J484" t="s">
        <v>60</v>
      </c>
      <c r="K484">
        <v>12</v>
      </c>
      <c r="L484">
        <v>108212</v>
      </c>
      <c r="M484" t="s">
        <v>28</v>
      </c>
      <c r="N484">
        <v>4</v>
      </c>
      <c r="O484">
        <v>3</v>
      </c>
      <c r="P484">
        <v>14</v>
      </c>
      <c r="Q484">
        <v>2</v>
      </c>
      <c r="R484" s="1">
        <v>40814</v>
      </c>
      <c r="S484" t="s">
        <v>29</v>
      </c>
      <c r="T484" t="str">
        <f t="shared" si="35"/>
        <v>Grade A</v>
      </c>
      <c r="U484">
        <f t="shared" si="36"/>
        <v>3</v>
      </c>
      <c r="V484" t="str">
        <f t="shared" si="37"/>
        <v>Senior</v>
      </c>
      <c r="W484" t="str">
        <f t="shared" si="38"/>
        <v>Medium Risk</v>
      </c>
      <c r="X484" t="str">
        <f t="shared" si="39"/>
        <v>Competitive</v>
      </c>
    </row>
    <row r="485" spans="1:24" x14ac:dyDescent="0.3">
      <c r="A485" t="s">
        <v>553</v>
      </c>
      <c r="B485" t="s">
        <v>20</v>
      </c>
      <c r="C485">
        <v>32</v>
      </c>
      <c r="D485" t="s">
        <v>88</v>
      </c>
      <c r="E485" t="s">
        <v>22</v>
      </c>
      <c r="F485" t="s">
        <v>32</v>
      </c>
      <c r="G485" t="s">
        <v>63</v>
      </c>
      <c r="H485" t="s">
        <v>83</v>
      </c>
      <c r="I485" t="s">
        <v>96</v>
      </c>
      <c r="J485" t="s">
        <v>44</v>
      </c>
      <c r="K485">
        <v>14</v>
      </c>
      <c r="L485">
        <v>66635</v>
      </c>
      <c r="M485" t="s">
        <v>28</v>
      </c>
      <c r="N485">
        <v>2</v>
      </c>
      <c r="O485">
        <v>1</v>
      </c>
      <c r="P485">
        <v>26</v>
      </c>
      <c r="Q485">
        <v>0</v>
      </c>
      <c r="R485" s="1">
        <v>39891</v>
      </c>
      <c r="S485" t="s">
        <v>29</v>
      </c>
      <c r="T485" t="str">
        <f t="shared" si="35"/>
        <v>Grade B</v>
      </c>
      <c r="U485">
        <f t="shared" si="36"/>
        <v>3</v>
      </c>
      <c r="V485" t="str">
        <f t="shared" si="37"/>
        <v>Senior</v>
      </c>
      <c r="W485" t="str">
        <f t="shared" si="38"/>
        <v>Medium Risk</v>
      </c>
      <c r="X485" t="str">
        <f t="shared" si="39"/>
        <v>Competitive</v>
      </c>
    </row>
    <row r="486" spans="1:24" x14ac:dyDescent="0.3">
      <c r="A486" t="s">
        <v>554</v>
      </c>
      <c r="B486" t="s">
        <v>20</v>
      </c>
      <c r="C486">
        <v>51</v>
      </c>
      <c r="D486" t="s">
        <v>21</v>
      </c>
      <c r="E486" t="s">
        <v>48</v>
      </c>
      <c r="F486" t="s">
        <v>62</v>
      </c>
      <c r="G486" t="s">
        <v>42</v>
      </c>
      <c r="H486" t="s">
        <v>34</v>
      </c>
      <c r="I486" t="s">
        <v>68</v>
      </c>
      <c r="J486" t="s">
        <v>60</v>
      </c>
      <c r="K486">
        <v>15</v>
      </c>
      <c r="L486">
        <v>121286</v>
      </c>
      <c r="M486" t="s">
        <v>28</v>
      </c>
      <c r="N486">
        <v>1</v>
      </c>
      <c r="O486">
        <v>3</v>
      </c>
      <c r="P486">
        <v>65</v>
      </c>
      <c r="Q486">
        <v>3</v>
      </c>
      <c r="R486" s="1">
        <v>39463</v>
      </c>
      <c r="S486" t="s">
        <v>37</v>
      </c>
      <c r="T486" t="str">
        <f t="shared" si="35"/>
        <v>Grade A</v>
      </c>
      <c r="U486">
        <f t="shared" si="36"/>
        <v>3</v>
      </c>
      <c r="V486" t="str">
        <f t="shared" si="37"/>
        <v>Senior</v>
      </c>
      <c r="W486" t="str">
        <f t="shared" si="38"/>
        <v>Already Left</v>
      </c>
      <c r="X486" t="str">
        <f t="shared" si="39"/>
        <v>Competitive</v>
      </c>
    </row>
    <row r="487" spans="1:24" x14ac:dyDescent="0.3">
      <c r="A487" t="s">
        <v>555</v>
      </c>
      <c r="B487" t="s">
        <v>39</v>
      </c>
      <c r="C487">
        <v>39</v>
      </c>
      <c r="D487" t="s">
        <v>57</v>
      </c>
      <c r="E487" t="s">
        <v>40</v>
      </c>
      <c r="F487" t="s">
        <v>41</v>
      </c>
      <c r="G487" t="s">
        <v>66</v>
      </c>
      <c r="H487" t="s">
        <v>34</v>
      </c>
      <c r="I487" t="s">
        <v>80</v>
      </c>
      <c r="J487" t="s">
        <v>60</v>
      </c>
      <c r="K487">
        <v>8</v>
      </c>
      <c r="L487">
        <v>57949</v>
      </c>
      <c r="M487" t="s">
        <v>36</v>
      </c>
      <c r="N487">
        <v>4</v>
      </c>
      <c r="O487">
        <v>3</v>
      </c>
      <c r="P487">
        <v>10</v>
      </c>
      <c r="Q487">
        <v>3</v>
      </c>
      <c r="R487" s="1">
        <v>42258</v>
      </c>
      <c r="S487" t="s">
        <v>29</v>
      </c>
      <c r="T487" t="str">
        <f t="shared" si="35"/>
        <v>Grade B</v>
      </c>
      <c r="U487">
        <f t="shared" si="36"/>
        <v>1</v>
      </c>
      <c r="V487" t="str">
        <f t="shared" si="37"/>
        <v>Mid Level</v>
      </c>
      <c r="W487" t="str">
        <f t="shared" si="38"/>
        <v>Medium Risk</v>
      </c>
      <c r="X487" t="str">
        <f t="shared" si="39"/>
        <v>Fair</v>
      </c>
    </row>
    <row r="488" spans="1:24" x14ac:dyDescent="0.3">
      <c r="A488" t="s">
        <v>556</v>
      </c>
      <c r="B488" t="s">
        <v>39</v>
      </c>
      <c r="C488">
        <v>32</v>
      </c>
      <c r="D488" t="s">
        <v>31</v>
      </c>
      <c r="E488" t="s">
        <v>48</v>
      </c>
      <c r="F488" t="s">
        <v>65</v>
      </c>
      <c r="G488" t="s">
        <v>49</v>
      </c>
      <c r="H488" t="s">
        <v>83</v>
      </c>
      <c r="I488" t="s">
        <v>59</v>
      </c>
      <c r="J488" t="s">
        <v>60</v>
      </c>
      <c r="K488">
        <v>12</v>
      </c>
      <c r="L488">
        <v>77887</v>
      </c>
      <c r="M488" t="s">
        <v>51</v>
      </c>
      <c r="N488">
        <v>1</v>
      </c>
      <c r="O488">
        <v>1</v>
      </c>
      <c r="P488">
        <v>13</v>
      </c>
      <c r="Q488">
        <v>3</v>
      </c>
      <c r="R488" s="1">
        <v>40785</v>
      </c>
      <c r="S488" t="s">
        <v>37</v>
      </c>
      <c r="T488" t="str">
        <f t="shared" si="35"/>
        <v>Grade B</v>
      </c>
      <c r="U488">
        <f t="shared" si="36"/>
        <v>4</v>
      </c>
      <c r="V488" t="str">
        <f t="shared" si="37"/>
        <v>Senior</v>
      </c>
      <c r="W488" t="str">
        <f t="shared" si="38"/>
        <v>Already Left</v>
      </c>
      <c r="X488" t="str">
        <f t="shared" si="39"/>
        <v>Fair</v>
      </c>
    </row>
    <row r="489" spans="1:24" x14ac:dyDescent="0.3">
      <c r="A489" t="s">
        <v>557</v>
      </c>
      <c r="B489" t="s">
        <v>39</v>
      </c>
      <c r="C489">
        <v>43</v>
      </c>
      <c r="D489" t="s">
        <v>21</v>
      </c>
      <c r="E489" t="s">
        <v>48</v>
      </c>
      <c r="F489" t="s">
        <v>23</v>
      </c>
      <c r="G489" t="s">
        <v>42</v>
      </c>
      <c r="H489" t="s">
        <v>34</v>
      </c>
      <c r="I489" t="s">
        <v>43</v>
      </c>
      <c r="J489" t="s">
        <v>44</v>
      </c>
      <c r="K489">
        <v>14</v>
      </c>
      <c r="L489">
        <v>121098</v>
      </c>
      <c r="M489" t="s">
        <v>45</v>
      </c>
      <c r="N489">
        <v>2</v>
      </c>
      <c r="O489">
        <v>1</v>
      </c>
      <c r="P489">
        <v>66</v>
      </c>
      <c r="Q489">
        <v>0</v>
      </c>
      <c r="R489" s="1">
        <v>39940</v>
      </c>
      <c r="S489" t="s">
        <v>37</v>
      </c>
      <c r="T489" t="str">
        <f t="shared" si="35"/>
        <v>Grade A</v>
      </c>
      <c r="U489">
        <f t="shared" si="36"/>
        <v>2</v>
      </c>
      <c r="V489" t="str">
        <f t="shared" si="37"/>
        <v>Senior</v>
      </c>
      <c r="W489" t="str">
        <f t="shared" si="38"/>
        <v>Already Left</v>
      </c>
      <c r="X489" t="str">
        <f t="shared" si="39"/>
        <v>Fair</v>
      </c>
    </row>
    <row r="490" spans="1:24" x14ac:dyDescent="0.3">
      <c r="A490" t="s">
        <v>558</v>
      </c>
      <c r="B490" t="s">
        <v>39</v>
      </c>
      <c r="C490">
        <v>30</v>
      </c>
      <c r="D490" t="s">
        <v>21</v>
      </c>
      <c r="E490" t="s">
        <v>48</v>
      </c>
      <c r="F490" t="s">
        <v>41</v>
      </c>
      <c r="G490" t="s">
        <v>58</v>
      </c>
      <c r="H490" t="s">
        <v>83</v>
      </c>
      <c r="I490" t="s">
        <v>96</v>
      </c>
      <c r="J490" t="s">
        <v>44</v>
      </c>
      <c r="K490">
        <v>15</v>
      </c>
      <c r="L490">
        <v>117366</v>
      </c>
      <c r="M490" t="s">
        <v>51</v>
      </c>
      <c r="N490">
        <v>1</v>
      </c>
      <c r="O490">
        <v>3</v>
      </c>
      <c r="P490">
        <v>65</v>
      </c>
      <c r="Q490">
        <v>0</v>
      </c>
      <c r="R490" s="1">
        <v>39462</v>
      </c>
      <c r="S490" t="s">
        <v>29</v>
      </c>
      <c r="T490" t="str">
        <f t="shared" si="35"/>
        <v>Grade A</v>
      </c>
      <c r="U490">
        <f t="shared" si="36"/>
        <v>4</v>
      </c>
      <c r="V490" t="str">
        <f t="shared" si="37"/>
        <v>Senior</v>
      </c>
      <c r="W490" t="str">
        <f t="shared" si="38"/>
        <v>Low Risk</v>
      </c>
      <c r="X490" t="str">
        <f t="shared" si="39"/>
        <v>Competitive</v>
      </c>
    </row>
    <row r="491" spans="1:24" x14ac:dyDescent="0.3">
      <c r="A491" t="s">
        <v>559</v>
      </c>
      <c r="B491" t="s">
        <v>20</v>
      </c>
      <c r="C491">
        <v>36</v>
      </c>
      <c r="D491" t="s">
        <v>88</v>
      </c>
      <c r="E491" t="s">
        <v>40</v>
      </c>
      <c r="F491" t="s">
        <v>23</v>
      </c>
      <c r="G491" t="s">
        <v>63</v>
      </c>
      <c r="H491" t="s">
        <v>34</v>
      </c>
      <c r="I491" t="s">
        <v>26</v>
      </c>
      <c r="J491" t="s">
        <v>27</v>
      </c>
      <c r="K491">
        <v>5</v>
      </c>
      <c r="L491">
        <v>58162</v>
      </c>
      <c r="M491" t="s">
        <v>51</v>
      </c>
      <c r="N491">
        <v>1</v>
      </c>
      <c r="O491">
        <v>4</v>
      </c>
      <c r="P491">
        <v>59</v>
      </c>
      <c r="Q491">
        <v>3</v>
      </c>
      <c r="R491" s="1">
        <v>43151</v>
      </c>
      <c r="S491" t="s">
        <v>37</v>
      </c>
      <c r="T491" t="str">
        <f t="shared" si="35"/>
        <v>Grade B</v>
      </c>
      <c r="U491">
        <f t="shared" si="36"/>
        <v>4</v>
      </c>
      <c r="V491" t="str">
        <f t="shared" si="37"/>
        <v>Junior</v>
      </c>
      <c r="W491" t="str">
        <f t="shared" si="38"/>
        <v>Already Left</v>
      </c>
      <c r="X491" t="str">
        <f t="shared" si="39"/>
        <v>Fair</v>
      </c>
    </row>
    <row r="492" spans="1:24" x14ac:dyDescent="0.3">
      <c r="A492" t="s">
        <v>560</v>
      </c>
      <c r="B492" t="s">
        <v>39</v>
      </c>
      <c r="C492">
        <v>22</v>
      </c>
      <c r="D492" t="s">
        <v>88</v>
      </c>
      <c r="E492" t="s">
        <v>40</v>
      </c>
      <c r="F492" t="s">
        <v>41</v>
      </c>
      <c r="G492" t="s">
        <v>66</v>
      </c>
      <c r="H492" t="s">
        <v>25</v>
      </c>
      <c r="I492" t="s">
        <v>43</v>
      </c>
      <c r="J492" t="s">
        <v>44</v>
      </c>
      <c r="K492">
        <v>8</v>
      </c>
      <c r="L492">
        <v>60261</v>
      </c>
      <c r="M492" t="s">
        <v>51</v>
      </c>
      <c r="N492">
        <v>1</v>
      </c>
      <c r="O492">
        <v>2</v>
      </c>
      <c r="P492">
        <v>26</v>
      </c>
      <c r="Q492">
        <v>2</v>
      </c>
      <c r="R492" s="1">
        <v>42317</v>
      </c>
      <c r="S492" t="s">
        <v>29</v>
      </c>
      <c r="T492" t="str">
        <f t="shared" si="35"/>
        <v>Grade B</v>
      </c>
      <c r="U492">
        <f t="shared" si="36"/>
        <v>4</v>
      </c>
      <c r="V492" t="str">
        <f t="shared" si="37"/>
        <v>Mid Level</v>
      </c>
      <c r="W492" t="str">
        <f t="shared" si="38"/>
        <v>Low Risk</v>
      </c>
      <c r="X492" t="str">
        <f t="shared" si="39"/>
        <v>Fair</v>
      </c>
    </row>
    <row r="493" spans="1:24" x14ac:dyDescent="0.3">
      <c r="A493" t="s">
        <v>561</v>
      </c>
      <c r="B493" t="s">
        <v>20</v>
      </c>
      <c r="C493">
        <v>49</v>
      </c>
      <c r="D493" t="s">
        <v>88</v>
      </c>
      <c r="E493" t="s">
        <v>40</v>
      </c>
      <c r="F493" t="s">
        <v>75</v>
      </c>
      <c r="G493" t="s">
        <v>49</v>
      </c>
      <c r="H493" t="s">
        <v>76</v>
      </c>
      <c r="I493" t="s">
        <v>72</v>
      </c>
      <c r="J493" t="s">
        <v>73</v>
      </c>
      <c r="K493">
        <v>3</v>
      </c>
      <c r="L493">
        <v>50511</v>
      </c>
      <c r="M493" t="s">
        <v>36</v>
      </c>
      <c r="N493">
        <v>3</v>
      </c>
      <c r="O493">
        <v>3</v>
      </c>
      <c r="P493">
        <v>79</v>
      </c>
      <c r="Q493">
        <v>1</v>
      </c>
      <c r="R493" s="1">
        <v>44132</v>
      </c>
      <c r="S493" t="s">
        <v>37</v>
      </c>
      <c r="T493" t="str">
        <f t="shared" si="35"/>
        <v>Grade B</v>
      </c>
      <c r="U493">
        <f t="shared" si="36"/>
        <v>1</v>
      </c>
      <c r="V493" t="str">
        <f t="shared" si="37"/>
        <v>Junior</v>
      </c>
      <c r="W493" t="str">
        <f t="shared" si="38"/>
        <v>Already Left</v>
      </c>
      <c r="X493" t="str">
        <f t="shared" si="39"/>
        <v>Fair</v>
      </c>
    </row>
    <row r="494" spans="1:24" x14ac:dyDescent="0.3">
      <c r="A494" t="s">
        <v>562</v>
      </c>
      <c r="B494" t="s">
        <v>39</v>
      </c>
      <c r="C494">
        <v>25</v>
      </c>
      <c r="D494" t="s">
        <v>47</v>
      </c>
      <c r="E494" t="s">
        <v>40</v>
      </c>
      <c r="F494" t="s">
        <v>78</v>
      </c>
      <c r="G494" t="s">
        <v>66</v>
      </c>
      <c r="H494" t="s">
        <v>25</v>
      </c>
      <c r="I494" t="s">
        <v>68</v>
      </c>
      <c r="J494" t="s">
        <v>60</v>
      </c>
      <c r="K494">
        <v>5</v>
      </c>
      <c r="L494">
        <v>35264</v>
      </c>
      <c r="M494" t="s">
        <v>45</v>
      </c>
      <c r="N494">
        <v>1</v>
      </c>
      <c r="O494">
        <v>4</v>
      </c>
      <c r="P494">
        <v>54</v>
      </c>
      <c r="Q494">
        <v>1</v>
      </c>
      <c r="R494" s="1">
        <v>43167</v>
      </c>
      <c r="S494" t="s">
        <v>29</v>
      </c>
      <c r="T494" t="str">
        <f t="shared" si="35"/>
        <v>Grade C</v>
      </c>
      <c r="U494">
        <f t="shared" si="36"/>
        <v>2</v>
      </c>
      <c r="V494" t="str">
        <f t="shared" si="37"/>
        <v>Junior</v>
      </c>
      <c r="W494" t="str">
        <f t="shared" si="38"/>
        <v>Medium Risk</v>
      </c>
      <c r="X494" t="str">
        <f t="shared" si="39"/>
        <v>Fair</v>
      </c>
    </row>
    <row r="495" spans="1:24" x14ac:dyDescent="0.3">
      <c r="A495" t="s">
        <v>563</v>
      </c>
      <c r="B495" t="s">
        <v>20</v>
      </c>
      <c r="C495">
        <v>43</v>
      </c>
      <c r="D495" t="s">
        <v>88</v>
      </c>
      <c r="E495" t="s">
        <v>48</v>
      </c>
      <c r="F495" t="s">
        <v>32</v>
      </c>
      <c r="G495" t="s">
        <v>33</v>
      </c>
      <c r="H495" t="s">
        <v>83</v>
      </c>
      <c r="I495" t="s">
        <v>59</v>
      </c>
      <c r="J495" t="s">
        <v>60</v>
      </c>
      <c r="K495">
        <v>4</v>
      </c>
      <c r="L495">
        <v>73315</v>
      </c>
      <c r="M495" t="s">
        <v>45</v>
      </c>
      <c r="N495">
        <v>4</v>
      </c>
      <c r="O495">
        <v>3</v>
      </c>
      <c r="P495">
        <v>30</v>
      </c>
      <c r="Q495">
        <v>0</v>
      </c>
      <c r="R495" s="1">
        <v>43478</v>
      </c>
      <c r="S495" t="s">
        <v>29</v>
      </c>
      <c r="T495" t="str">
        <f t="shared" si="35"/>
        <v>Grade B</v>
      </c>
      <c r="U495">
        <f t="shared" si="36"/>
        <v>2</v>
      </c>
      <c r="V495" t="str">
        <f t="shared" si="37"/>
        <v>Junior</v>
      </c>
      <c r="W495" t="str">
        <f t="shared" si="38"/>
        <v>Medium Risk</v>
      </c>
      <c r="X495" t="str">
        <f t="shared" si="39"/>
        <v>Fair</v>
      </c>
    </row>
    <row r="496" spans="1:24" x14ac:dyDescent="0.3">
      <c r="A496" t="s">
        <v>564</v>
      </c>
      <c r="B496" t="s">
        <v>39</v>
      </c>
      <c r="C496">
        <v>37</v>
      </c>
      <c r="D496" t="s">
        <v>57</v>
      </c>
      <c r="E496" t="s">
        <v>40</v>
      </c>
      <c r="F496" t="s">
        <v>23</v>
      </c>
      <c r="G496" t="s">
        <v>58</v>
      </c>
      <c r="H496" t="s">
        <v>76</v>
      </c>
      <c r="I496" t="s">
        <v>96</v>
      </c>
      <c r="J496" t="s">
        <v>44</v>
      </c>
      <c r="K496">
        <v>15</v>
      </c>
      <c r="L496">
        <v>112308</v>
      </c>
      <c r="M496" t="s">
        <v>28</v>
      </c>
      <c r="N496">
        <v>3</v>
      </c>
      <c r="O496">
        <v>4</v>
      </c>
      <c r="P496">
        <v>36</v>
      </c>
      <c r="Q496">
        <v>3</v>
      </c>
      <c r="R496" s="1">
        <v>39579</v>
      </c>
      <c r="S496" t="s">
        <v>29</v>
      </c>
      <c r="T496" t="str">
        <f t="shared" si="35"/>
        <v>Grade A</v>
      </c>
      <c r="U496">
        <f t="shared" si="36"/>
        <v>3</v>
      </c>
      <c r="V496" t="str">
        <f t="shared" si="37"/>
        <v>Senior</v>
      </c>
      <c r="W496" t="str">
        <f t="shared" si="38"/>
        <v>Medium Risk</v>
      </c>
      <c r="X496" t="str">
        <f t="shared" si="39"/>
        <v>Competitive</v>
      </c>
    </row>
    <row r="497" spans="1:24" x14ac:dyDescent="0.3">
      <c r="A497" t="s">
        <v>565</v>
      </c>
      <c r="B497" t="s">
        <v>39</v>
      </c>
      <c r="C497">
        <v>40</v>
      </c>
      <c r="D497" t="s">
        <v>57</v>
      </c>
      <c r="E497" t="s">
        <v>22</v>
      </c>
      <c r="F497" t="s">
        <v>23</v>
      </c>
      <c r="G497" t="s">
        <v>66</v>
      </c>
      <c r="H497" t="s">
        <v>25</v>
      </c>
      <c r="I497" t="s">
        <v>68</v>
      </c>
      <c r="J497" t="s">
        <v>60</v>
      </c>
      <c r="K497">
        <v>2</v>
      </c>
      <c r="L497">
        <v>29983</v>
      </c>
      <c r="M497" t="s">
        <v>51</v>
      </c>
      <c r="N497">
        <v>3</v>
      </c>
      <c r="O497">
        <v>1</v>
      </c>
      <c r="P497">
        <v>13</v>
      </c>
      <c r="Q497">
        <v>1</v>
      </c>
      <c r="R497" s="1">
        <v>44504</v>
      </c>
      <c r="S497" t="s">
        <v>29</v>
      </c>
      <c r="T497" t="str">
        <f t="shared" si="35"/>
        <v>Grade D</v>
      </c>
      <c r="U497">
        <f t="shared" si="36"/>
        <v>4</v>
      </c>
      <c r="V497" t="str">
        <f t="shared" si="37"/>
        <v>New Joiner</v>
      </c>
      <c r="W497" t="str">
        <f t="shared" si="38"/>
        <v>Low Risk</v>
      </c>
      <c r="X497" t="str">
        <f t="shared" si="39"/>
        <v>Underpaid</v>
      </c>
    </row>
    <row r="498" spans="1:24" x14ac:dyDescent="0.3">
      <c r="A498" t="s">
        <v>566</v>
      </c>
      <c r="B498" t="s">
        <v>39</v>
      </c>
      <c r="C498">
        <v>33</v>
      </c>
      <c r="D498" t="s">
        <v>47</v>
      </c>
      <c r="E498" t="s">
        <v>22</v>
      </c>
      <c r="F498" t="s">
        <v>62</v>
      </c>
      <c r="G498" t="s">
        <v>42</v>
      </c>
      <c r="H498" t="s">
        <v>67</v>
      </c>
      <c r="I498" t="s">
        <v>59</v>
      </c>
      <c r="J498" t="s">
        <v>60</v>
      </c>
      <c r="K498">
        <v>15</v>
      </c>
      <c r="L498">
        <v>120710</v>
      </c>
      <c r="M498" t="s">
        <v>28</v>
      </c>
      <c r="N498">
        <v>2</v>
      </c>
      <c r="O498">
        <v>3</v>
      </c>
      <c r="P498">
        <v>22</v>
      </c>
      <c r="Q498">
        <v>0</v>
      </c>
      <c r="R498" s="1">
        <v>39534</v>
      </c>
      <c r="S498" t="s">
        <v>29</v>
      </c>
      <c r="T498" t="str">
        <f t="shared" si="35"/>
        <v>Grade A</v>
      </c>
      <c r="U498">
        <f t="shared" si="36"/>
        <v>3</v>
      </c>
      <c r="V498" t="str">
        <f t="shared" si="37"/>
        <v>Senior</v>
      </c>
      <c r="W498" t="str">
        <f t="shared" si="38"/>
        <v>Medium Risk</v>
      </c>
      <c r="X498" t="str">
        <f t="shared" si="39"/>
        <v>Competitive</v>
      </c>
    </row>
    <row r="499" spans="1:24" x14ac:dyDescent="0.3">
      <c r="A499" t="s">
        <v>567</v>
      </c>
      <c r="B499" t="s">
        <v>20</v>
      </c>
      <c r="C499">
        <v>45</v>
      </c>
      <c r="D499" t="s">
        <v>47</v>
      </c>
      <c r="E499" t="s">
        <v>40</v>
      </c>
      <c r="F499" t="s">
        <v>75</v>
      </c>
      <c r="G499" t="s">
        <v>49</v>
      </c>
      <c r="H499" t="s">
        <v>83</v>
      </c>
      <c r="I499" t="s">
        <v>68</v>
      </c>
      <c r="J499" t="s">
        <v>60</v>
      </c>
      <c r="K499">
        <v>15</v>
      </c>
      <c r="L499">
        <v>79996</v>
      </c>
      <c r="M499" t="s">
        <v>45</v>
      </c>
      <c r="N499">
        <v>4</v>
      </c>
      <c r="O499">
        <v>1</v>
      </c>
      <c r="P499">
        <v>25</v>
      </c>
      <c r="Q499">
        <v>1</v>
      </c>
      <c r="R499" s="1">
        <v>39695</v>
      </c>
      <c r="S499" t="s">
        <v>29</v>
      </c>
      <c r="T499" t="str">
        <f t="shared" si="35"/>
        <v>Grade B</v>
      </c>
      <c r="U499">
        <f t="shared" si="36"/>
        <v>2</v>
      </c>
      <c r="V499" t="str">
        <f t="shared" si="37"/>
        <v>Senior</v>
      </c>
      <c r="W499" t="str">
        <f t="shared" si="38"/>
        <v>Medium Risk</v>
      </c>
      <c r="X499" t="str">
        <f t="shared" si="39"/>
        <v>Fair</v>
      </c>
    </row>
    <row r="500" spans="1:24" x14ac:dyDescent="0.3">
      <c r="A500" t="s">
        <v>568</v>
      </c>
      <c r="B500" t="s">
        <v>39</v>
      </c>
      <c r="C500">
        <v>24</v>
      </c>
      <c r="D500" t="s">
        <v>88</v>
      </c>
      <c r="E500" t="s">
        <v>40</v>
      </c>
      <c r="F500" t="s">
        <v>32</v>
      </c>
      <c r="G500" t="s">
        <v>66</v>
      </c>
      <c r="H500" t="s">
        <v>67</v>
      </c>
      <c r="I500" t="s">
        <v>68</v>
      </c>
      <c r="J500" t="s">
        <v>60</v>
      </c>
      <c r="K500">
        <v>12</v>
      </c>
      <c r="L500">
        <v>59418</v>
      </c>
      <c r="M500" t="s">
        <v>36</v>
      </c>
      <c r="N500">
        <v>2</v>
      </c>
      <c r="O500">
        <v>3</v>
      </c>
      <c r="P500">
        <v>29</v>
      </c>
      <c r="Q500">
        <v>2</v>
      </c>
      <c r="R500" s="1">
        <v>40587</v>
      </c>
      <c r="S500" t="s">
        <v>37</v>
      </c>
      <c r="T500" t="str">
        <f t="shared" si="35"/>
        <v>Grade B</v>
      </c>
      <c r="U500">
        <f t="shared" si="36"/>
        <v>1</v>
      </c>
      <c r="V500" t="str">
        <f t="shared" si="37"/>
        <v>Senior</v>
      </c>
      <c r="W500" t="str">
        <f t="shared" si="38"/>
        <v>Already Left</v>
      </c>
      <c r="X500" t="str">
        <f t="shared" si="39"/>
        <v>Fair</v>
      </c>
    </row>
    <row r="501" spans="1:24" x14ac:dyDescent="0.3">
      <c r="A501" t="s">
        <v>569</v>
      </c>
      <c r="B501" t="s">
        <v>39</v>
      </c>
      <c r="C501">
        <v>32</v>
      </c>
      <c r="D501" t="s">
        <v>88</v>
      </c>
      <c r="E501" t="s">
        <v>48</v>
      </c>
      <c r="F501" t="s">
        <v>23</v>
      </c>
      <c r="G501" t="s">
        <v>33</v>
      </c>
      <c r="H501" t="s">
        <v>25</v>
      </c>
      <c r="I501" t="s">
        <v>59</v>
      </c>
      <c r="J501" t="s">
        <v>60</v>
      </c>
      <c r="K501">
        <v>14</v>
      </c>
      <c r="L501">
        <v>84856</v>
      </c>
      <c r="M501" t="s">
        <v>28</v>
      </c>
      <c r="N501">
        <v>3</v>
      </c>
      <c r="O501">
        <v>4</v>
      </c>
      <c r="P501">
        <v>76</v>
      </c>
      <c r="Q501">
        <v>3</v>
      </c>
      <c r="R501" s="1">
        <v>39942</v>
      </c>
      <c r="S501" t="s">
        <v>37</v>
      </c>
      <c r="T501" t="str">
        <f t="shared" si="35"/>
        <v>Grade A</v>
      </c>
      <c r="U501">
        <f t="shared" si="36"/>
        <v>3</v>
      </c>
      <c r="V501" t="str">
        <f t="shared" si="37"/>
        <v>Senior</v>
      </c>
      <c r="W501" t="str">
        <f t="shared" si="38"/>
        <v>Already Left</v>
      </c>
      <c r="X501" t="str">
        <f t="shared" si="39"/>
        <v>Competitive</v>
      </c>
    </row>
    <row r="502" spans="1:24" x14ac:dyDescent="0.3">
      <c r="A502" t="s">
        <v>570</v>
      </c>
      <c r="B502" t="s">
        <v>39</v>
      </c>
      <c r="C502">
        <v>35</v>
      </c>
      <c r="D502" t="s">
        <v>47</v>
      </c>
      <c r="E502" t="s">
        <v>22</v>
      </c>
      <c r="F502" t="s">
        <v>65</v>
      </c>
      <c r="G502" t="s">
        <v>33</v>
      </c>
      <c r="H502" t="s">
        <v>25</v>
      </c>
      <c r="I502" t="s">
        <v>68</v>
      </c>
      <c r="J502" t="s">
        <v>60</v>
      </c>
      <c r="K502">
        <v>12</v>
      </c>
      <c r="L502">
        <v>89524</v>
      </c>
      <c r="M502" t="s">
        <v>36</v>
      </c>
      <c r="N502">
        <v>4</v>
      </c>
      <c r="O502">
        <v>2</v>
      </c>
      <c r="P502">
        <v>60</v>
      </c>
      <c r="Q502">
        <v>1</v>
      </c>
      <c r="R502" s="1">
        <v>40707</v>
      </c>
      <c r="S502" t="s">
        <v>29</v>
      </c>
      <c r="T502" t="str">
        <f t="shared" si="35"/>
        <v>Grade A</v>
      </c>
      <c r="U502">
        <f t="shared" si="36"/>
        <v>1</v>
      </c>
      <c r="V502" t="str">
        <f t="shared" si="37"/>
        <v>Senior</v>
      </c>
      <c r="W502" t="str">
        <f t="shared" si="38"/>
        <v>Medium Risk</v>
      </c>
      <c r="X502" t="str">
        <f t="shared" si="39"/>
        <v>Overpaid</v>
      </c>
    </row>
    <row r="503" spans="1:24" x14ac:dyDescent="0.3">
      <c r="A503" t="s">
        <v>571</v>
      </c>
      <c r="B503" t="s">
        <v>39</v>
      </c>
      <c r="C503">
        <v>27</v>
      </c>
      <c r="D503" t="s">
        <v>31</v>
      </c>
      <c r="E503" t="s">
        <v>48</v>
      </c>
      <c r="F503" t="s">
        <v>75</v>
      </c>
      <c r="G503" t="s">
        <v>66</v>
      </c>
      <c r="H503" t="s">
        <v>76</v>
      </c>
      <c r="I503" t="s">
        <v>80</v>
      </c>
      <c r="J503" t="s">
        <v>60</v>
      </c>
      <c r="K503">
        <v>15</v>
      </c>
      <c r="L503">
        <v>63340</v>
      </c>
      <c r="M503" t="s">
        <v>28</v>
      </c>
      <c r="N503">
        <v>3</v>
      </c>
      <c r="O503">
        <v>2</v>
      </c>
      <c r="P503">
        <v>15</v>
      </c>
      <c r="Q503">
        <v>3</v>
      </c>
      <c r="R503" s="1">
        <v>39774</v>
      </c>
      <c r="S503" t="s">
        <v>29</v>
      </c>
      <c r="T503" t="str">
        <f t="shared" si="35"/>
        <v>Grade B</v>
      </c>
      <c r="U503">
        <f t="shared" si="36"/>
        <v>3</v>
      </c>
      <c r="V503" t="str">
        <f t="shared" si="37"/>
        <v>Senior</v>
      </c>
      <c r="W503" t="str">
        <f t="shared" si="38"/>
        <v>Medium Risk</v>
      </c>
      <c r="X503" t="str">
        <f t="shared" si="39"/>
        <v>Competitive</v>
      </c>
    </row>
    <row r="504" spans="1:24" x14ac:dyDescent="0.3">
      <c r="A504" t="s">
        <v>572</v>
      </c>
      <c r="B504" t="s">
        <v>20</v>
      </c>
      <c r="C504">
        <v>46</v>
      </c>
      <c r="D504" t="s">
        <v>21</v>
      </c>
      <c r="E504" t="s">
        <v>22</v>
      </c>
      <c r="F504" t="s">
        <v>65</v>
      </c>
      <c r="G504" t="s">
        <v>63</v>
      </c>
      <c r="H504" t="s">
        <v>76</v>
      </c>
      <c r="I504" t="s">
        <v>35</v>
      </c>
      <c r="J504" t="s">
        <v>27</v>
      </c>
      <c r="K504">
        <v>8</v>
      </c>
      <c r="L504">
        <v>64400</v>
      </c>
      <c r="M504" t="s">
        <v>36</v>
      </c>
      <c r="N504">
        <v>4</v>
      </c>
      <c r="O504">
        <v>2</v>
      </c>
      <c r="P504">
        <v>43</v>
      </c>
      <c r="Q504">
        <v>0</v>
      </c>
      <c r="R504" s="1">
        <v>42210</v>
      </c>
      <c r="S504" t="s">
        <v>37</v>
      </c>
      <c r="T504" t="str">
        <f t="shared" si="35"/>
        <v>Grade B</v>
      </c>
      <c r="U504">
        <f t="shared" si="36"/>
        <v>1</v>
      </c>
      <c r="V504" t="str">
        <f t="shared" si="37"/>
        <v>Mid Level</v>
      </c>
      <c r="W504" t="str">
        <f t="shared" si="38"/>
        <v>Already Left</v>
      </c>
      <c r="X504" t="str">
        <f t="shared" si="39"/>
        <v>Fair</v>
      </c>
    </row>
    <row r="505" spans="1:24" x14ac:dyDescent="0.3">
      <c r="A505" t="s">
        <v>573</v>
      </c>
      <c r="B505" t="s">
        <v>39</v>
      </c>
      <c r="C505">
        <v>45</v>
      </c>
      <c r="D505" t="s">
        <v>21</v>
      </c>
      <c r="E505" t="s">
        <v>40</v>
      </c>
      <c r="F505" t="s">
        <v>41</v>
      </c>
      <c r="G505" t="s">
        <v>42</v>
      </c>
      <c r="H505" t="s">
        <v>25</v>
      </c>
      <c r="I505" t="s">
        <v>72</v>
      </c>
      <c r="J505" t="s">
        <v>73</v>
      </c>
      <c r="K505">
        <v>13</v>
      </c>
      <c r="L505">
        <v>118462</v>
      </c>
      <c r="M505" t="s">
        <v>51</v>
      </c>
      <c r="N505">
        <v>2</v>
      </c>
      <c r="O505">
        <v>3</v>
      </c>
      <c r="P505">
        <v>35</v>
      </c>
      <c r="Q505">
        <v>2</v>
      </c>
      <c r="R505" s="1">
        <v>40487</v>
      </c>
      <c r="S505" t="s">
        <v>37</v>
      </c>
      <c r="T505" t="str">
        <f t="shared" si="35"/>
        <v>Grade A</v>
      </c>
      <c r="U505">
        <f t="shared" si="36"/>
        <v>4</v>
      </c>
      <c r="V505" t="str">
        <f t="shared" si="37"/>
        <v>Senior</v>
      </c>
      <c r="W505" t="str">
        <f t="shared" si="38"/>
        <v>Already Left</v>
      </c>
      <c r="X505" t="str">
        <f t="shared" si="39"/>
        <v>Competitive</v>
      </c>
    </row>
    <row r="506" spans="1:24" x14ac:dyDescent="0.3">
      <c r="A506" t="s">
        <v>574</v>
      </c>
      <c r="B506" t="s">
        <v>20</v>
      </c>
      <c r="C506">
        <v>40</v>
      </c>
      <c r="D506" t="s">
        <v>31</v>
      </c>
      <c r="E506" t="s">
        <v>48</v>
      </c>
      <c r="F506" t="s">
        <v>62</v>
      </c>
      <c r="G506" t="s">
        <v>24</v>
      </c>
      <c r="H506" t="s">
        <v>25</v>
      </c>
      <c r="I506" t="s">
        <v>80</v>
      </c>
      <c r="J506" t="s">
        <v>60</v>
      </c>
      <c r="K506">
        <v>12</v>
      </c>
      <c r="L506">
        <v>106797</v>
      </c>
      <c r="M506" t="s">
        <v>28</v>
      </c>
      <c r="N506">
        <v>4</v>
      </c>
      <c r="O506">
        <v>1</v>
      </c>
      <c r="P506">
        <v>70</v>
      </c>
      <c r="Q506">
        <v>1</v>
      </c>
      <c r="R506" s="1">
        <v>40908</v>
      </c>
      <c r="S506" t="s">
        <v>29</v>
      </c>
      <c r="T506" t="str">
        <f t="shared" si="35"/>
        <v>Grade A</v>
      </c>
      <c r="U506">
        <f t="shared" si="36"/>
        <v>3</v>
      </c>
      <c r="V506" t="str">
        <f t="shared" si="37"/>
        <v>Senior</v>
      </c>
      <c r="W506" t="str">
        <f t="shared" si="38"/>
        <v>Medium Risk</v>
      </c>
      <c r="X506" t="str">
        <f t="shared" si="39"/>
        <v>Competitive</v>
      </c>
    </row>
    <row r="507" spans="1:24" x14ac:dyDescent="0.3">
      <c r="A507" t="s">
        <v>575</v>
      </c>
      <c r="B507" t="s">
        <v>20</v>
      </c>
      <c r="C507">
        <v>51</v>
      </c>
      <c r="D507" t="s">
        <v>31</v>
      </c>
      <c r="E507" t="s">
        <v>22</v>
      </c>
      <c r="F507" t="s">
        <v>32</v>
      </c>
      <c r="G507" t="s">
        <v>49</v>
      </c>
      <c r="H507" t="s">
        <v>67</v>
      </c>
      <c r="I507" t="s">
        <v>43</v>
      </c>
      <c r="J507" t="s">
        <v>44</v>
      </c>
      <c r="K507">
        <v>8</v>
      </c>
      <c r="L507">
        <v>72902</v>
      </c>
      <c r="M507" t="s">
        <v>28</v>
      </c>
      <c r="N507">
        <v>3</v>
      </c>
      <c r="O507">
        <v>2</v>
      </c>
      <c r="P507">
        <v>64</v>
      </c>
      <c r="Q507">
        <v>3</v>
      </c>
      <c r="R507" s="1">
        <v>42090</v>
      </c>
      <c r="S507" t="s">
        <v>29</v>
      </c>
      <c r="T507" t="str">
        <f t="shared" si="35"/>
        <v>Grade B</v>
      </c>
      <c r="U507">
        <f t="shared" si="36"/>
        <v>3</v>
      </c>
      <c r="V507" t="str">
        <f t="shared" si="37"/>
        <v>Mid Level</v>
      </c>
      <c r="W507" t="str">
        <f t="shared" si="38"/>
        <v>Medium Risk</v>
      </c>
      <c r="X507" t="str">
        <f t="shared" si="39"/>
        <v>Competitive</v>
      </c>
    </row>
    <row r="508" spans="1:24" x14ac:dyDescent="0.3">
      <c r="A508" t="s">
        <v>576</v>
      </c>
      <c r="B508" t="s">
        <v>39</v>
      </c>
      <c r="C508">
        <v>53</v>
      </c>
      <c r="D508" t="s">
        <v>31</v>
      </c>
      <c r="E508" t="s">
        <v>48</v>
      </c>
      <c r="F508" t="s">
        <v>78</v>
      </c>
      <c r="G508" t="s">
        <v>24</v>
      </c>
      <c r="H508" t="s">
        <v>76</v>
      </c>
      <c r="I508" t="s">
        <v>59</v>
      </c>
      <c r="J508" t="s">
        <v>60</v>
      </c>
      <c r="K508">
        <v>6</v>
      </c>
      <c r="L508">
        <v>95923</v>
      </c>
      <c r="M508" t="s">
        <v>51</v>
      </c>
      <c r="N508">
        <v>2</v>
      </c>
      <c r="O508">
        <v>4</v>
      </c>
      <c r="P508">
        <v>64</v>
      </c>
      <c r="Q508">
        <v>3</v>
      </c>
      <c r="R508" s="1">
        <v>42946</v>
      </c>
      <c r="S508" t="s">
        <v>29</v>
      </c>
      <c r="T508" t="str">
        <f t="shared" si="35"/>
        <v>Grade A</v>
      </c>
      <c r="U508">
        <f t="shared" si="36"/>
        <v>4</v>
      </c>
      <c r="V508" t="str">
        <f t="shared" si="37"/>
        <v>Mid Level</v>
      </c>
      <c r="W508" t="str">
        <f t="shared" si="38"/>
        <v>Low Risk</v>
      </c>
      <c r="X508" t="str">
        <f t="shared" si="39"/>
        <v>Competitive</v>
      </c>
    </row>
    <row r="509" spans="1:24" x14ac:dyDescent="0.3">
      <c r="A509" t="s">
        <v>577</v>
      </c>
      <c r="B509" t="s">
        <v>20</v>
      </c>
      <c r="C509">
        <v>46</v>
      </c>
      <c r="D509" t="s">
        <v>47</v>
      </c>
      <c r="E509" t="s">
        <v>48</v>
      </c>
      <c r="F509" t="s">
        <v>62</v>
      </c>
      <c r="G509" t="s">
        <v>58</v>
      </c>
      <c r="H509" t="s">
        <v>25</v>
      </c>
      <c r="I509" t="s">
        <v>35</v>
      </c>
      <c r="J509" t="s">
        <v>27</v>
      </c>
      <c r="K509">
        <v>10</v>
      </c>
      <c r="L509">
        <v>99559</v>
      </c>
      <c r="M509" t="s">
        <v>51</v>
      </c>
      <c r="N509">
        <v>1</v>
      </c>
      <c r="O509">
        <v>4</v>
      </c>
      <c r="P509">
        <v>34</v>
      </c>
      <c r="Q509">
        <v>3</v>
      </c>
      <c r="R509" s="1">
        <v>41473</v>
      </c>
      <c r="S509" t="s">
        <v>29</v>
      </c>
      <c r="T509" t="str">
        <f t="shared" si="35"/>
        <v>Grade A</v>
      </c>
      <c r="U509">
        <f t="shared" si="36"/>
        <v>4</v>
      </c>
      <c r="V509" t="str">
        <f t="shared" si="37"/>
        <v>Mid Level</v>
      </c>
      <c r="W509" t="str">
        <f t="shared" si="38"/>
        <v>Low Risk</v>
      </c>
      <c r="X509" t="str">
        <f t="shared" si="39"/>
        <v>Competitive</v>
      </c>
    </row>
    <row r="510" spans="1:24" x14ac:dyDescent="0.3">
      <c r="A510" t="s">
        <v>578</v>
      </c>
      <c r="B510" t="s">
        <v>39</v>
      </c>
      <c r="C510">
        <v>24</v>
      </c>
      <c r="D510" t="s">
        <v>88</v>
      </c>
      <c r="E510" t="s">
        <v>48</v>
      </c>
      <c r="F510" t="s">
        <v>65</v>
      </c>
      <c r="G510" t="s">
        <v>42</v>
      </c>
      <c r="H510" t="s">
        <v>34</v>
      </c>
      <c r="I510" t="s">
        <v>26</v>
      </c>
      <c r="J510" t="s">
        <v>27</v>
      </c>
      <c r="K510">
        <v>11</v>
      </c>
      <c r="L510">
        <v>110055</v>
      </c>
      <c r="M510" t="s">
        <v>36</v>
      </c>
      <c r="N510">
        <v>1</v>
      </c>
      <c r="O510">
        <v>2</v>
      </c>
      <c r="P510">
        <v>35</v>
      </c>
      <c r="Q510">
        <v>0</v>
      </c>
      <c r="R510" s="1">
        <v>40932</v>
      </c>
      <c r="S510" t="s">
        <v>37</v>
      </c>
      <c r="T510" t="str">
        <f t="shared" si="35"/>
        <v>Grade A</v>
      </c>
      <c r="U510">
        <f t="shared" si="36"/>
        <v>1</v>
      </c>
      <c r="V510" t="str">
        <f t="shared" si="37"/>
        <v>Senior</v>
      </c>
      <c r="W510" t="str">
        <f t="shared" si="38"/>
        <v>Already Left</v>
      </c>
      <c r="X510" t="str">
        <f t="shared" si="39"/>
        <v>Overpaid</v>
      </c>
    </row>
    <row r="511" spans="1:24" x14ac:dyDescent="0.3">
      <c r="A511" t="s">
        <v>579</v>
      </c>
      <c r="B511" t="s">
        <v>39</v>
      </c>
      <c r="C511">
        <v>32</v>
      </c>
      <c r="D511" t="s">
        <v>31</v>
      </c>
      <c r="E511" t="s">
        <v>48</v>
      </c>
      <c r="F511" t="s">
        <v>62</v>
      </c>
      <c r="G511" t="s">
        <v>79</v>
      </c>
      <c r="H511" t="s">
        <v>67</v>
      </c>
      <c r="I511" t="s">
        <v>43</v>
      </c>
      <c r="J511" t="s">
        <v>44</v>
      </c>
      <c r="K511">
        <v>5</v>
      </c>
      <c r="L511">
        <v>54898</v>
      </c>
      <c r="M511" t="s">
        <v>28</v>
      </c>
      <c r="N511">
        <v>4</v>
      </c>
      <c r="O511">
        <v>2</v>
      </c>
      <c r="P511">
        <v>24</v>
      </c>
      <c r="Q511">
        <v>1</v>
      </c>
      <c r="R511" s="1">
        <v>43279</v>
      </c>
      <c r="S511" t="s">
        <v>37</v>
      </c>
      <c r="T511" t="str">
        <f t="shared" si="35"/>
        <v>Grade B</v>
      </c>
      <c r="U511">
        <f t="shared" si="36"/>
        <v>3</v>
      </c>
      <c r="V511" t="str">
        <f t="shared" si="37"/>
        <v>Junior</v>
      </c>
      <c r="W511" t="str">
        <f t="shared" si="38"/>
        <v>Already Left</v>
      </c>
      <c r="X511" t="str">
        <f t="shared" si="39"/>
        <v>Competitive</v>
      </c>
    </row>
    <row r="512" spans="1:24" x14ac:dyDescent="0.3">
      <c r="A512" t="s">
        <v>580</v>
      </c>
      <c r="B512" t="s">
        <v>20</v>
      </c>
      <c r="C512">
        <v>52</v>
      </c>
      <c r="D512" t="s">
        <v>47</v>
      </c>
      <c r="E512" t="s">
        <v>40</v>
      </c>
      <c r="F512" t="s">
        <v>75</v>
      </c>
      <c r="G512" t="s">
        <v>49</v>
      </c>
      <c r="H512" t="s">
        <v>76</v>
      </c>
      <c r="I512" t="s">
        <v>35</v>
      </c>
      <c r="J512" t="s">
        <v>27</v>
      </c>
      <c r="K512">
        <v>7</v>
      </c>
      <c r="L512">
        <v>58257</v>
      </c>
      <c r="M512" t="s">
        <v>51</v>
      </c>
      <c r="N512">
        <v>3</v>
      </c>
      <c r="O512">
        <v>2</v>
      </c>
      <c r="P512">
        <v>74</v>
      </c>
      <c r="Q512">
        <v>3</v>
      </c>
      <c r="R512" s="1">
        <v>42579</v>
      </c>
      <c r="S512" t="s">
        <v>29</v>
      </c>
      <c r="T512" t="str">
        <f t="shared" si="35"/>
        <v>Grade B</v>
      </c>
      <c r="U512">
        <f t="shared" si="36"/>
        <v>4</v>
      </c>
      <c r="V512" t="str">
        <f t="shared" si="37"/>
        <v>Mid Level</v>
      </c>
      <c r="W512" t="str">
        <f t="shared" si="38"/>
        <v>Low Risk</v>
      </c>
      <c r="X512" t="str">
        <f t="shared" si="39"/>
        <v>Fair</v>
      </c>
    </row>
    <row r="513" spans="1:24" x14ac:dyDescent="0.3">
      <c r="A513" t="s">
        <v>581</v>
      </c>
      <c r="B513" t="s">
        <v>20</v>
      </c>
      <c r="C513">
        <v>53</v>
      </c>
      <c r="D513" t="s">
        <v>57</v>
      </c>
      <c r="E513" t="s">
        <v>48</v>
      </c>
      <c r="F513" t="s">
        <v>32</v>
      </c>
      <c r="G513" t="s">
        <v>79</v>
      </c>
      <c r="H513" t="s">
        <v>83</v>
      </c>
      <c r="I513" t="s">
        <v>80</v>
      </c>
      <c r="J513" t="s">
        <v>60</v>
      </c>
      <c r="K513">
        <v>8</v>
      </c>
      <c r="L513">
        <v>59082</v>
      </c>
      <c r="M513" t="s">
        <v>28</v>
      </c>
      <c r="N513">
        <v>1</v>
      </c>
      <c r="O513">
        <v>1</v>
      </c>
      <c r="P513">
        <v>46</v>
      </c>
      <c r="Q513">
        <v>3</v>
      </c>
      <c r="R513" s="1">
        <v>42246</v>
      </c>
      <c r="S513" t="s">
        <v>29</v>
      </c>
      <c r="T513" t="str">
        <f t="shared" si="35"/>
        <v>Grade B</v>
      </c>
      <c r="U513">
        <f t="shared" si="36"/>
        <v>3</v>
      </c>
      <c r="V513" t="str">
        <f t="shared" si="37"/>
        <v>Mid Level</v>
      </c>
      <c r="W513" t="str">
        <f t="shared" si="38"/>
        <v>Medium Risk</v>
      </c>
      <c r="X513" t="str">
        <f t="shared" si="39"/>
        <v>Competitive</v>
      </c>
    </row>
    <row r="514" spans="1:24" x14ac:dyDescent="0.3">
      <c r="A514" t="s">
        <v>582</v>
      </c>
      <c r="B514" t="s">
        <v>20</v>
      </c>
      <c r="C514">
        <v>46</v>
      </c>
      <c r="D514" t="s">
        <v>47</v>
      </c>
      <c r="E514" t="s">
        <v>40</v>
      </c>
      <c r="F514" t="s">
        <v>62</v>
      </c>
      <c r="G514" t="s">
        <v>49</v>
      </c>
      <c r="H514" t="s">
        <v>76</v>
      </c>
      <c r="I514" t="s">
        <v>72</v>
      </c>
      <c r="J514" t="s">
        <v>73</v>
      </c>
      <c r="K514">
        <v>7</v>
      </c>
      <c r="L514">
        <v>59884</v>
      </c>
      <c r="M514" t="s">
        <v>28</v>
      </c>
      <c r="N514">
        <v>1</v>
      </c>
      <c r="O514">
        <v>4</v>
      </c>
      <c r="P514">
        <v>15</v>
      </c>
      <c r="Q514">
        <v>1</v>
      </c>
      <c r="R514" s="1">
        <v>42516</v>
      </c>
      <c r="S514" t="s">
        <v>29</v>
      </c>
      <c r="T514" t="str">
        <f t="shared" ref="T514:T577" si="40">IF(L514&gt;=80000,"Grade A",IF(L514&gt;=50000,"Grade B",IF(L514&gt;=35000,"Grade C","Grade D")))</f>
        <v>Grade B</v>
      </c>
      <c r="U514">
        <f t="shared" ref="U514:U577" si="41">IF(M514="Excellent",4,IF(M514="Good",3,IF(M514="Average",2,1)))</f>
        <v>3</v>
      </c>
      <c r="V514" t="str">
        <f t="shared" ref="V514:V577" si="42">IF(K514&lt;=2,"New Joiner",IF(K514&lt;=5,"Junior",IF(K514&lt;=10,"Mid Level","Senior")))</f>
        <v>Mid Level</v>
      </c>
      <c r="W514" t="str">
        <f t="shared" ref="W514:W577" si="43">IF(S514="Yes","Already Left",IF(AND(K514&lt;=2,M514="Poor"),"High Risk",IF(AND(K514&lt;=5,M514="Average"),"Medium Risk",IF(M514="Excellent","Low Risk","Medium Risk"))))</f>
        <v>Medium Risk</v>
      </c>
      <c r="X514" t="str">
        <f t="shared" ref="X514:X577" si="44">IF(AND(L514&gt;=80000,M514="Excellent"),"Competitive",IF(AND(L514&gt;=50000,M514="Good"),"Competitive",IF(AND(L514&lt;35000,M514="Excellent"),"Underpaid",IF(AND(L514&gt;=80000,M514="Poor"),"Overpaid","Fair"))))</f>
        <v>Competitive</v>
      </c>
    </row>
    <row r="515" spans="1:24" x14ac:dyDescent="0.3">
      <c r="A515" t="s">
        <v>583</v>
      </c>
      <c r="B515" t="s">
        <v>39</v>
      </c>
      <c r="C515">
        <v>45</v>
      </c>
      <c r="D515" t="s">
        <v>21</v>
      </c>
      <c r="E515" t="s">
        <v>22</v>
      </c>
      <c r="F515" t="s">
        <v>62</v>
      </c>
      <c r="G515" t="s">
        <v>79</v>
      </c>
      <c r="H515" t="s">
        <v>34</v>
      </c>
      <c r="I515" t="s">
        <v>68</v>
      </c>
      <c r="J515" t="s">
        <v>60</v>
      </c>
      <c r="K515">
        <v>11</v>
      </c>
      <c r="L515">
        <v>59119</v>
      </c>
      <c r="M515" t="s">
        <v>45</v>
      </c>
      <c r="N515">
        <v>3</v>
      </c>
      <c r="O515">
        <v>4</v>
      </c>
      <c r="P515">
        <v>67</v>
      </c>
      <c r="Q515">
        <v>1</v>
      </c>
      <c r="R515" s="1">
        <v>41067</v>
      </c>
      <c r="S515" t="s">
        <v>29</v>
      </c>
      <c r="T515" t="str">
        <f t="shared" si="40"/>
        <v>Grade B</v>
      </c>
      <c r="U515">
        <f t="shared" si="41"/>
        <v>2</v>
      </c>
      <c r="V515" t="str">
        <f t="shared" si="42"/>
        <v>Senior</v>
      </c>
      <c r="W515" t="str">
        <f t="shared" si="43"/>
        <v>Medium Risk</v>
      </c>
      <c r="X515" t="str">
        <f t="shared" si="44"/>
        <v>Fair</v>
      </c>
    </row>
    <row r="516" spans="1:24" x14ac:dyDescent="0.3">
      <c r="A516" t="s">
        <v>584</v>
      </c>
      <c r="B516" t="s">
        <v>20</v>
      </c>
      <c r="C516">
        <v>47</v>
      </c>
      <c r="D516" t="s">
        <v>47</v>
      </c>
      <c r="E516" t="s">
        <v>48</v>
      </c>
      <c r="F516" t="s">
        <v>32</v>
      </c>
      <c r="G516" t="s">
        <v>58</v>
      </c>
      <c r="H516" t="s">
        <v>34</v>
      </c>
      <c r="I516" t="s">
        <v>80</v>
      </c>
      <c r="J516" t="s">
        <v>60</v>
      </c>
      <c r="K516">
        <v>8</v>
      </c>
      <c r="L516">
        <v>93398</v>
      </c>
      <c r="M516" t="s">
        <v>51</v>
      </c>
      <c r="N516">
        <v>1</v>
      </c>
      <c r="O516">
        <v>1</v>
      </c>
      <c r="P516">
        <v>42</v>
      </c>
      <c r="Q516">
        <v>0</v>
      </c>
      <c r="R516" s="1">
        <v>42177</v>
      </c>
      <c r="S516" t="s">
        <v>29</v>
      </c>
      <c r="T516" t="str">
        <f t="shared" si="40"/>
        <v>Grade A</v>
      </c>
      <c r="U516">
        <f t="shared" si="41"/>
        <v>4</v>
      </c>
      <c r="V516" t="str">
        <f t="shared" si="42"/>
        <v>Mid Level</v>
      </c>
      <c r="W516" t="str">
        <f t="shared" si="43"/>
        <v>Low Risk</v>
      </c>
      <c r="X516" t="str">
        <f t="shared" si="44"/>
        <v>Competitive</v>
      </c>
    </row>
    <row r="517" spans="1:24" x14ac:dyDescent="0.3">
      <c r="A517" t="s">
        <v>585</v>
      </c>
      <c r="B517" t="s">
        <v>20</v>
      </c>
      <c r="C517">
        <v>30</v>
      </c>
      <c r="D517" t="s">
        <v>57</v>
      </c>
      <c r="E517" t="s">
        <v>48</v>
      </c>
      <c r="F517" t="s">
        <v>65</v>
      </c>
      <c r="G517" t="s">
        <v>79</v>
      </c>
      <c r="H517" t="s">
        <v>76</v>
      </c>
      <c r="I517" t="s">
        <v>68</v>
      </c>
      <c r="J517" t="s">
        <v>60</v>
      </c>
      <c r="K517">
        <v>8</v>
      </c>
      <c r="L517">
        <v>48704</v>
      </c>
      <c r="M517" t="s">
        <v>36</v>
      </c>
      <c r="N517">
        <v>2</v>
      </c>
      <c r="O517">
        <v>2</v>
      </c>
      <c r="P517">
        <v>12</v>
      </c>
      <c r="Q517">
        <v>0</v>
      </c>
      <c r="R517" s="1">
        <v>42248</v>
      </c>
      <c r="S517" t="s">
        <v>29</v>
      </c>
      <c r="T517" t="str">
        <f t="shared" si="40"/>
        <v>Grade C</v>
      </c>
      <c r="U517">
        <f t="shared" si="41"/>
        <v>1</v>
      </c>
      <c r="V517" t="str">
        <f t="shared" si="42"/>
        <v>Mid Level</v>
      </c>
      <c r="W517" t="str">
        <f t="shared" si="43"/>
        <v>Medium Risk</v>
      </c>
      <c r="X517" t="str">
        <f t="shared" si="44"/>
        <v>Fair</v>
      </c>
    </row>
    <row r="518" spans="1:24" x14ac:dyDescent="0.3">
      <c r="A518" t="s">
        <v>586</v>
      </c>
      <c r="B518" t="s">
        <v>20</v>
      </c>
      <c r="C518">
        <v>33</v>
      </c>
      <c r="D518" t="s">
        <v>47</v>
      </c>
      <c r="E518" t="s">
        <v>40</v>
      </c>
      <c r="F518" t="s">
        <v>62</v>
      </c>
      <c r="G518" t="s">
        <v>79</v>
      </c>
      <c r="H518" t="s">
        <v>83</v>
      </c>
      <c r="I518" t="s">
        <v>68</v>
      </c>
      <c r="J518" t="s">
        <v>60</v>
      </c>
      <c r="K518">
        <v>3</v>
      </c>
      <c r="L518">
        <v>36367</v>
      </c>
      <c r="M518" t="s">
        <v>36</v>
      </c>
      <c r="N518">
        <v>1</v>
      </c>
      <c r="O518">
        <v>2</v>
      </c>
      <c r="P518">
        <v>66</v>
      </c>
      <c r="Q518">
        <v>0</v>
      </c>
      <c r="R518" s="1">
        <v>43972</v>
      </c>
      <c r="S518" t="s">
        <v>37</v>
      </c>
      <c r="T518" t="str">
        <f t="shared" si="40"/>
        <v>Grade C</v>
      </c>
      <c r="U518">
        <f t="shared" si="41"/>
        <v>1</v>
      </c>
      <c r="V518" t="str">
        <f t="shared" si="42"/>
        <v>Junior</v>
      </c>
      <c r="W518" t="str">
        <f t="shared" si="43"/>
        <v>Already Left</v>
      </c>
      <c r="X518" t="str">
        <f t="shared" si="44"/>
        <v>Fair</v>
      </c>
    </row>
    <row r="519" spans="1:24" x14ac:dyDescent="0.3">
      <c r="A519" t="s">
        <v>587</v>
      </c>
      <c r="B519" t="s">
        <v>20</v>
      </c>
      <c r="C519">
        <v>34</v>
      </c>
      <c r="D519" t="s">
        <v>47</v>
      </c>
      <c r="E519" t="s">
        <v>48</v>
      </c>
      <c r="F519" t="s">
        <v>41</v>
      </c>
      <c r="G519" t="s">
        <v>58</v>
      </c>
      <c r="H519" t="s">
        <v>76</v>
      </c>
      <c r="I519" t="s">
        <v>35</v>
      </c>
      <c r="J519" t="s">
        <v>27</v>
      </c>
      <c r="K519">
        <v>8</v>
      </c>
      <c r="L519">
        <v>110601</v>
      </c>
      <c r="M519" t="s">
        <v>45</v>
      </c>
      <c r="N519">
        <v>2</v>
      </c>
      <c r="O519">
        <v>2</v>
      </c>
      <c r="P519">
        <v>21</v>
      </c>
      <c r="Q519">
        <v>0</v>
      </c>
      <c r="R519" s="1">
        <v>42348</v>
      </c>
      <c r="S519" t="s">
        <v>37</v>
      </c>
      <c r="T519" t="str">
        <f t="shared" si="40"/>
        <v>Grade A</v>
      </c>
      <c r="U519">
        <f t="shared" si="41"/>
        <v>2</v>
      </c>
      <c r="V519" t="str">
        <f t="shared" si="42"/>
        <v>Mid Level</v>
      </c>
      <c r="W519" t="str">
        <f t="shared" si="43"/>
        <v>Already Left</v>
      </c>
      <c r="X519" t="str">
        <f t="shared" si="44"/>
        <v>Fair</v>
      </c>
    </row>
    <row r="520" spans="1:24" x14ac:dyDescent="0.3">
      <c r="A520" t="s">
        <v>588</v>
      </c>
      <c r="B520" t="s">
        <v>39</v>
      </c>
      <c r="C520">
        <v>32</v>
      </c>
      <c r="D520" t="s">
        <v>21</v>
      </c>
      <c r="E520" t="s">
        <v>48</v>
      </c>
      <c r="F520" t="s">
        <v>23</v>
      </c>
      <c r="G520" t="s">
        <v>49</v>
      </c>
      <c r="H520" t="s">
        <v>83</v>
      </c>
      <c r="I520" t="s">
        <v>43</v>
      </c>
      <c r="J520" t="s">
        <v>44</v>
      </c>
      <c r="K520">
        <v>14</v>
      </c>
      <c r="L520">
        <v>70070</v>
      </c>
      <c r="M520" t="s">
        <v>45</v>
      </c>
      <c r="N520">
        <v>1</v>
      </c>
      <c r="O520">
        <v>3</v>
      </c>
      <c r="P520">
        <v>51</v>
      </c>
      <c r="Q520">
        <v>1</v>
      </c>
      <c r="R520" s="1">
        <v>40133</v>
      </c>
      <c r="S520" t="s">
        <v>29</v>
      </c>
      <c r="T520" t="str">
        <f t="shared" si="40"/>
        <v>Grade B</v>
      </c>
      <c r="U520">
        <f t="shared" si="41"/>
        <v>2</v>
      </c>
      <c r="V520" t="str">
        <f t="shared" si="42"/>
        <v>Senior</v>
      </c>
      <c r="W520" t="str">
        <f t="shared" si="43"/>
        <v>Medium Risk</v>
      </c>
      <c r="X520" t="str">
        <f t="shared" si="44"/>
        <v>Fair</v>
      </c>
    </row>
    <row r="521" spans="1:24" x14ac:dyDescent="0.3">
      <c r="A521" t="s">
        <v>589</v>
      </c>
      <c r="B521" t="s">
        <v>20</v>
      </c>
      <c r="C521">
        <v>33</v>
      </c>
      <c r="D521" t="s">
        <v>21</v>
      </c>
      <c r="E521" t="s">
        <v>48</v>
      </c>
      <c r="F521" t="s">
        <v>32</v>
      </c>
      <c r="G521" t="s">
        <v>79</v>
      </c>
      <c r="H521" t="s">
        <v>34</v>
      </c>
      <c r="I521" t="s">
        <v>54</v>
      </c>
      <c r="J521" t="s">
        <v>27</v>
      </c>
      <c r="K521">
        <v>7</v>
      </c>
      <c r="L521">
        <v>51615</v>
      </c>
      <c r="M521" t="s">
        <v>36</v>
      </c>
      <c r="N521">
        <v>3</v>
      </c>
      <c r="O521">
        <v>1</v>
      </c>
      <c r="P521">
        <v>59</v>
      </c>
      <c r="Q521">
        <v>1</v>
      </c>
      <c r="R521" s="1">
        <v>42555</v>
      </c>
      <c r="S521" t="s">
        <v>37</v>
      </c>
      <c r="T521" t="str">
        <f t="shared" si="40"/>
        <v>Grade B</v>
      </c>
      <c r="U521">
        <f t="shared" si="41"/>
        <v>1</v>
      </c>
      <c r="V521" t="str">
        <f t="shared" si="42"/>
        <v>Mid Level</v>
      </c>
      <c r="W521" t="str">
        <f t="shared" si="43"/>
        <v>Already Left</v>
      </c>
      <c r="X521" t="str">
        <f t="shared" si="44"/>
        <v>Fair</v>
      </c>
    </row>
    <row r="522" spans="1:24" x14ac:dyDescent="0.3">
      <c r="A522" t="s">
        <v>590</v>
      </c>
      <c r="B522" t="s">
        <v>20</v>
      </c>
      <c r="C522">
        <v>41</v>
      </c>
      <c r="D522" t="s">
        <v>88</v>
      </c>
      <c r="E522" t="s">
        <v>48</v>
      </c>
      <c r="F522" t="s">
        <v>32</v>
      </c>
      <c r="G522" t="s">
        <v>66</v>
      </c>
      <c r="H522" t="s">
        <v>83</v>
      </c>
      <c r="I522" t="s">
        <v>96</v>
      </c>
      <c r="J522" t="s">
        <v>44</v>
      </c>
      <c r="K522">
        <v>11</v>
      </c>
      <c r="L522">
        <v>48439</v>
      </c>
      <c r="M522" t="s">
        <v>45</v>
      </c>
      <c r="N522">
        <v>1</v>
      </c>
      <c r="O522">
        <v>2</v>
      </c>
      <c r="P522">
        <v>42</v>
      </c>
      <c r="Q522">
        <v>0</v>
      </c>
      <c r="R522" s="1">
        <v>41166</v>
      </c>
      <c r="S522" t="s">
        <v>37</v>
      </c>
      <c r="T522" t="str">
        <f t="shared" si="40"/>
        <v>Grade C</v>
      </c>
      <c r="U522">
        <f t="shared" si="41"/>
        <v>2</v>
      </c>
      <c r="V522" t="str">
        <f t="shared" si="42"/>
        <v>Senior</v>
      </c>
      <c r="W522" t="str">
        <f t="shared" si="43"/>
        <v>Already Left</v>
      </c>
      <c r="X522" t="str">
        <f t="shared" si="44"/>
        <v>Fair</v>
      </c>
    </row>
    <row r="523" spans="1:24" x14ac:dyDescent="0.3">
      <c r="A523" t="s">
        <v>591</v>
      </c>
      <c r="B523" t="s">
        <v>20</v>
      </c>
      <c r="C523">
        <v>23</v>
      </c>
      <c r="D523" t="s">
        <v>88</v>
      </c>
      <c r="E523" t="s">
        <v>40</v>
      </c>
      <c r="F523" t="s">
        <v>65</v>
      </c>
      <c r="G523" t="s">
        <v>24</v>
      </c>
      <c r="H523" t="s">
        <v>76</v>
      </c>
      <c r="I523" t="s">
        <v>54</v>
      </c>
      <c r="J523" t="s">
        <v>27</v>
      </c>
      <c r="K523">
        <v>6</v>
      </c>
      <c r="L523">
        <v>87419</v>
      </c>
      <c r="M523" t="s">
        <v>28</v>
      </c>
      <c r="N523">
        <v>4</v>
      </c>
      <c r="O523">
        <v>4</v>
      </c>
      <c r="P523">
        <v>75</v>
      </c>
      <c r="Q523">
        <v>1</v>
      </c>
      <c r="R523" s="1">
        <v>43068</v>
      </c>
      <c r="S523" t="s">
        <v>29</v>
      </c>
      <c r="T523" t="str">
        <f t="shared" si="40"/>
        <v>Grade A</v>
      </c>
      <c r="U523">
        <f t="shared" si="41"/>
        <v>3</v>
      </c>
      <c r="V523" t="str">
        <f t="shared" si="42"/>
        <v>Mid Level</v>
      </c>
      <c r="W523" t="str">
        <f t="shared" si="43"/>
        <v>Medium Risk</v>
      </c>
      <c r="X523" t="str">
        <f t="shared" si="44"/>
        <v>Competitive</v>
      </c>
    </row>
    <row r="524" spans="1:24" x14ac:dyDescent="0.3">
      <c r="A524" t="s">
        <v>592</v>
      </c>
      <c r="B524" t="s">
        <v>39</v>
      </c>
      <c r="C524">
        <v>27</v>
      </c>
      <c r="D524" t="s">
        <v>21</v>
      </c>
      <c r="E524" t="s">
        <v>22</v>
      </c>
      <c r="F524" t="s">
        <v>23</v>
      </c>
      <c r="G524" t="s">
        <v>79</v>
      </c>
      <c r="H524" t="s">
        <v>67</v>
      </c>
      <c r="I524" t="s">
        <v>35</v>
      </c>
      <c r="J524" t="s">
        <v>27</v>
      </c>
      <c r="K524">
        <v>10</v>
      </c>
      <c r="L524">
        <v>60120</v>
      </c>
      <c r="M524" t="s">
        <v>51</v>
      </c>
      <c r="N524">
        <v>3</v>
      </c>
      <c r="O524">
        <v>4</v>
      </c>
      <c r="P524">
        <v>47</v>
      </c>
      <c r="Q524">
        <v>1</v>
      </c>
      <c r="R524" s="1">
        <v>41423</v>
      </c>
      <c r="S524" t="s">
        <v>29</v>
      </c>
      <c r="T524" t="str">
        <f t="shared" si="40"/>
        <v>Grade B</v>
      </c>
      <c r="U524">
        <f t="shared" si="41"/>
        <v>4</v>
      </c>
      <c r="V524" t="str">
        <f t="shared" si="42"/>
        <v>Mid Level</v>
      </c>
      <c r="W524" t="str">
        <f t="shared" si="43"/>
        <v>Low Risk</v>
      </c>
      <c r="X524" t="str">
        <f t="shared" si="44"/>
        <v>Fair</v>
      </c>
    </row>
    <row r="525" spans="1:24" x14ac:dyDescent="0.3">
      <c r="A525" t="s">
        <v>593</v>
      </c>
      <c r="B525" t="s">
        <v>20</v>
      </c>
      <c r="C525">
        <v>24</v>
      </c>
      <c r="D525" t="s">
        <v>88</v>
      </c>
      <c r="E525" t="s">
        <v>48</v>
      </c>
      <c r="F525" t="s">
        <v>75</v>
      </c>
      <c r="G525" t="s">
        <v>33</v>
      </c>
      <c r="H525" t="s">
        <v>67</v>
      </c>
      <c r="I525" t="s">
        <v>68</v>
      </c>
      <c r="J525" t="s">
        <v>60</v>
      </c>
      <c r="K525">
        <v>4</v>
      </c>
      <c r="L525">
        <v>68770</v>
      </c>
      <c r="M525" t="s">
        <v>51</v>
      </c>
      <c r="N525">
        <v>3</v>
      </c>
      <c r="O525">
        <v>1</v>
      </c>
      <c r="P525">
        <v>39</v>
      </c>
      <c r="Q525">
        <v>2</v>
      </c>
      <c r="R525" s="1">
        <v>43690</v>
      </c>
      <c r="S525" t="s">
        <v>29</v>
      </c>
      <c r="T525" t="str">
        <f t="shared" si="40"/>
        <v>Grade B</v>
      </c>
      <c r="U525">
        <f t="shared" si="41"/>
        <v>4</v>
      </c>
      <c r="V525" t="str">
        <f t="shared" si="42"/>
        <v>Junior</v>
      </c>
      <c r="W525" t="str">
        <f t="shared" si="43"/>
        <v>Low Risk</v>
      </c>
      <c r="X525" t="str">
        <f t="shared" si="44"/>
        <v>Fair</v>
      </c>
    </row>
    <row r="526" spans="1:24" x14ac:dyDescent="0.3">
      <c r="A526" t="s">
        <v>594</v>
      </c>
      <c r="B526" t="s">
        <v>20</v>
      </c>
      <c r="C526">
        <v>33</v>
      </c>
      <c r="D526" t="s">
        <v>57</v>
      </c>
      <c r="E526" t="s">
        <v>40</v>
      </c>
      <c r="F526" t="s">
        <v>32</v>
      </c>
      <c r="G526" t="s">
        <v>49</v>
      </c>
      <c r="H526" t="s">
        <v>67</v>
      </c>
      <c r="I526" t="s">
        <v>72</v>
      </c>
      <c r="J526" t="s">
        <v>73</v>
      </c>
      <c r="K526">
        <v>15</v>
      </c>
      <c r="L526">
        <v>77289</v>
      </c>
      <c r="M526" t="s">
        <v>51</v>
      </c>
      <c r="N526">
        <v>1</v>
      </c>
      <c r="O526">
        <v>1</v>
      </c>
      <c r="P526">
        <v>72</v>
      </c>
      <c r="Q526">
        <v>0</v>
      </c>
      <c r="R526" s="1">
        <v>39622</v>
      </c>
      <c r="S526" t="s">
        <v>29</v>
      </c>
      <c r="T526" t="str">
        <f t="shared" si="40"/>
        <v>Grade B</v>
      </c>
      <c r="U526">
        <f t="shared" si="41"/>
        <v>4</v>
      </c>
      <c r="V526" t="str">
        <f t="shared" si="42"/>
        <v>Senior</v>
      </c>
      <c r="W526" t="str">
        <f t="shared" si="43"/>
        <v>Low Risk</v>
      </c>
      <c r="X526" t="str">
        <f t="shared" si="44"/>
        <v>Fair</v>
      </c>
    </row>
    <row r="527" spans="1:24" x14ac:dyDescent="0.3">
      <c r="A527" t="s">
        <v>595</v>
      </c>
      <c r="B527" t="s">
        <v>39</v>
      </c>
      <c r="C527">
        <v>37</v>
      </c>
      <c r="D527" t="s">
        <v>88</v>
      </c>
      <c r="E527" t="s">
        <v>22</v>
      </c>
      <c r="F527" t="s">
        <v>23</v>
      </c>
      <c r="G527" t="s">
        <v>79</v>
      </c>
      <c r="H527" t="s">
        <v>67</v>
      </c>
      <c r="I527" t="s">
        <v>59</v>
      </c>
      <c r="J527" t="s">
        <v>60</v>
      </c>
      <c r="K527">
        <v>3</v>
      </c>
      <c r="L527">
        <v>41691</v>
      </c>
      <c r="M527" t="s">
        <v>28</v>
      </c>
      <c r="N527">
        <v>4</v>
      </c>
      <c r="O527">
        <v>4</v>
      </c>
      <c r="P527">
        <v>49</v>
      </c>
      <c r="Q527">
        <v>1</v>
      </c>
      <c r="R527" s="1">
        <v>43916</v>
      </c>
      <c r="S527" t="s">
        <v>29</v>
      </c>
      <c r="T527" t="str">
        <f t="shared" si="40"/>
        <v>Grade C</v>
      </c>
      <c r="U527">
        <f t="shared" si="41"/>
        <v>3</v>
      </c>
      <c r="V527" t="str">
        <f t="shared" si="42"/>
        <v>Junior</v>
      </c>
      <c r="W527" t="str">
        <f t="shared" si="43"/>
        <v>Medium Risk</v>
      </c>
      <c r="X527" t="str">
        <f t="shared" si="44"/>
        <v>Fair</v>
      </c>
    </row>
    <row r="528" spans="1:24" x14ac:dyDescent="0.3">
      <c r="A528" t="s">
        <v>596</v>
      </c>
      <c r="B528" t="s">
        <v>20</v>
      </c>
      <c r="C528">
        <v>34</v>
      </c>
      <c r="D528" t="s">
        <v>31</v>
      </c>
      <c r="E528" t="s">
        <v>48</v>
      </c>
      <c r="F528" t="s">
        <v>32</v>
      </c>
      <c r="G528" t="s">
        <v>49</v>
      </c>
      <c r="H528" t="s">
        <v>76</v>
      </c>
      <c r="I528" t="s">
        <v>59</v>
      </c>
      <c r="J528" t="s">
        <v>60</v>
      </c>
      <c r="K528">
        <v>10</v>
      </c>
      <c r="L528">
        <v>69932</v>
      </c>
      <c r="M528" t="s">
        <v>28</v>
      </c>
      <c r="N528">
        <v>1</v>
      </c>
      <c r="O528">
        <v>3</v>
      </c>
      <c r="P528">
        <v>60</v>
      </c>
      <c r="Q528">
        <v>3</v>
      </c>
      <c r="R528" s="1">
        <v>41347</v>
      </c>
      <c r="S528" t="s">
        <v>29</v>
      </c>
      <c r="T528" t="str">
        <f t="shared" si="40"/>
        <v>Grade B</v>
      </c>
      <c r="U528">
        <f t="shared" si="41"/>
        <v>3</v>
      </c>
      <c r="V528" t="str">
        <f t="shared" si="42"/>
        <v>Mid Level</v>
      </c>
      <c r="W528" t="str">
        <f t="shared" si="43"/>
        <v>Medium Risk</v>
      </c>
      <c r="X528" t="str">
        <f t="shared" si="44"/>
        <v>Competitive</v>
      </c>
    </row>
    <row r="529" spans="1:24" x14ac:dyDescent="0.3">
      <c r="A529" t="s">
        <v>597</v>
      </c>
      <c r="B529" t="s">
        <v>20</v>
      </c>
      <c r="C529">
        <v>27</v>
      </c>
      <c r="D529" t="s">
        <v>31</v>
      </c>
      <c r="E529" t="s">
        <v>40</v>
      </c>
      <c r="F529" t="s">
        <v>78</v>
      </c>
      <c r="G529" t="s">
        <v>63</v>
      </c>
      <c r="H529" t="s">
        <v>76</v>
      </c>
      <c r="I529" t="s">
        <v>68</v>
      </c>
      <c r="J529" t="s">
        <v>60</v>
      </c>
      <c r="K529">
        <v>9</v>
      </c>
      <c r="L529">
        <v>58107</v>
      </c>
      <c r="M529" t="s">
        <v>36</v>
      </c>
      <c r="N529">
        <v>2</v>
      </c>
      <c r="O529">
        <v>2</v>
      </c>
      <c r="P529">
        <v>42</v>
      </c>
      <c r="Q529">
        <v>3</v>
      </c>
      <c r="R529" s="1">
        <v>41812</v>
      </c>
      <c r="S529" t="s">
        <v>37</v>
      </c>
      <c r="T529" t="str">
        <f t="shared" si="40"/>
        <v>Grade B</v>
      </c>
      <c r="U529">
        <f t="shared" si="41"/>
        <v>1</v>
      </c>
      <c r="V529" t="str">
        <f t="shared" si="42"/>
        <v>Mid Level</v>
      </c>
      <c r="W529" t="str">
        <f t="shared" si="43"/>
        <v>Already Left</v>
      </c>
      <c r="X529" t="str">
        <f t="shared" si="44"/>
        <v>Fair</v>
      </c>
    </row>
    <row r="530" spans="1:24" x14ac:dyDescent="0.3">
      <c r="A530" t="s">
        <v>598</v>
      </c>
      <c r="B530" t="s">
        <v>20</v>
      </c>
      <c r="C530">
        <v>34</v>
      </c>
      <c r="D530" t="s">
        <v>47</v>
      </c>
      <c r="E530" t="s">
        <v>22</v>
      </c>
      <c r="F530" t="s">
        <v>62</v>
      </c>
      <c r="G530" t="s">
        <v>33</v>
      </c>
      <c r="H530" t="s">
        <v>76</v>
      </c>
      <c r="I530" t="s">
        <v>96</v>
      </c>
      <c r="J530" t="s">
        <v>44</v>
      </c>
      <c r="K530">
        <v>7</v>
      </c>
      <c r="L530">
        <v>66357</v>
      </c>
      <c r="M530" t="s">
        <v>45</v>
      </c>
      <c r="N530">
        <v>1</v>
      </c>
      <c r="O530">
        <v>1</v>
      </c>
      <c r="P530">
        <v>74</v>
      </c>
      <c r="Q530">
        <v>2</v>
      </c>
      <c r="R530" s="1">
        <v>42668</v>
      </c>
      <c r="S530" t="s">
        <v>29</v>
      </c>
      <c r="T530" t="str">
        <f t="shared" si="40"/>
        <v>Grade B</v>
      </c>
      <c r="U530">
        <f t="shared" si="41"/>
        <v>2</v>
      </c>
      <c r="V530" t="str">
        <f t="shared" si="42"/>
        <v>Mid Level</v>
      </c>
      <c r="W530" t="str">
        <f t="shared" si="43"/>
        <v>Medium Risk</v>
      </c>
      <c r="X530" t="str">
        <f t="shared" si="44"/>
        <v>Fair</v>
      </c>
    </row>
    <row r="531" spans="1:24" x14ac:dyDescent="0.3">
      <c r="A531" t="s">
        <v>599</v>
      </c>
      <c r="B531" t="s">
        <v>39</v>
      </c>
      <c r="C531">
        <v>48</v>
      </c>
      <c r="D531" t="s">
        <v>21</v>
      </c>
      <c r="E531" t="s">
        <v>22</v>
      </c>
      <c r="F531" t="s">
        <v>75</v>
      </c>
      <c r="G531" t="s">
        <v>66</v>
      </c>
      <c r="H531" t="s">
        <v>76</v>
      </c>
      <c r="I531" t="s">
        <v>96</v>
      </c>
      <c r="J531" t="s">
        <v>44</v>
      </c>
      <c r="K531">
        <v>12</v>
      </c>
      <c r="L531">
        <v>61584</v>
      </c>
      <c r="M531" t="s">
        <v>36</v>
      </c>
      <c r="N531">
        <v>4</v>
      </c>
      <c r="O531">
        <v>2</v>
      </c>
      <c r="P531">
        <v>34</v>
      </c>
      <c r="Q531">
        <v>3</v>
      </c>
      <c r="R531" s="1">
        <v>40584</v>
      </c>
      <c r="S531" t="s">
        <v>37</v>
      </c>
      <c r="T531" t="str">
        <f t="shared" si="40"/>
        <v>Grade B</v>
      </c>
      <c r="U531">
        <f t="shared" si="41"/>
        <v>1</v>
      </c>
      <c r="V531" t="str">
        <f t="shared" si="42"/>
        <v>Senior</v>
      </c>
      <c r="W531" t="str">
        <f t="shared" si="43"/>
        <v>Already Left</v>
      </c>
      <c r="X531" t="str">
        <f t="shared" si="44"/>
        <v>Fair</v>
      </c>
    </row>
    <row r="532" spans="1:24" x14ac:dyDescent="0.3">
      <c r="A532" t="s">
        <v>600</v>
      </c>
      <c r="B532" t="s">
        <v>39</v>
      </c>
      <c r="C532">
        <v>52</v>
      </c>
      <c r="D532" t="s">
        <v>21</v>
      </c>
      <c r="E532" t="s">
        <v>48</v>
      </c>
      <c r="F532" t="s">
        <v>65</v>
      </c>
      <c r="G532" t="s">
        <v>66</v>
      </c>
      <c r="H532" t="s">
        <v>34</v>
      </c>
      <c r="I532" t="s">
        <v>80</v>
      </c>
      <c r="J532" t="s">
        <v>60</v>
      </c>
      <c r="K532">
        <v>11</v>
      </c>
      <c r="L532">
        <v>48890</v>
      </c>
      <c r="M532" t="s">
        <v>36</v>
      </c>
      <c r="N532">
        <v>1</v>
      </c>
      <c r="O532">
        <v>2</v>
      </c>
      <c r="P532">
        <v>43</v>
      </c>
      <c r="Q532">
        <v>3</v>
      </c>
      <c r="R532" s="1">
        <v>41151</v>
      </c>
      <c r="S532" t="s">
        <v>37</v>
      </c>
      <c r="T532" t="str">
        <f t="shared" si="40"/>
        <v>Grade C</v>
      </c>
      <c r="U532">
        <f t="shared" si="41"/>
        <v>1</v>
      </c>
      <c r="V532" t="str">
        <f t="shared" si="42"/>
        <v>Senior</v>
      </c>
      <c r="W532" t="str">
        <f t="shared" si="43"/>
        <v>Already Left</v>
      </c>
      <c r="X532" t="str">
        <f t="shared" si="44"/>
        <v>Fair</v>
      </c>
    </row>
    <row r="533" spans="1:24" x14ac:dyDescent="0.3">
      <c r="A533" t="s">
        <v>601</v>
      </c>
      <c r="B533" t="s">
        <v>39</v>
      </c>
      <c r="C533">
        <v>55</v>
      </c>
      <c r="D533" t="s">
        <v>47</v>
      </c>
      <c r="E533" t="s">
        <v>48</v>
      </c>
      <c r="F533" t="s">
        <v>62</v>
      </c>
      <c r="G533" t="s">
        <v>79</v>
      </c>
      <c r="H533" t="s">
        <v>67</v>
      </c>
      <c r="I533" t="s">
        <v>68</v>
      </c>
      <c r="J533" t="s">
        <v>60</v>
      </c>
      <c r="K533">
        <v>1</v>
      </c>
      <c r="L533">
        <v>35024</v>
      </c>
      <c r="M533" t="s">
        <v>28</v>
      </c>
      <c r="N533">
        <v>2</v>
      </c>
      <c r="O533">
        <v>4</v>
      </c>
      <c r="P533">
        <v>42</v>
      </c>
      <c r="Q533">
        <v>2</v>
      </c>
      <c r="R533" s="1">
        <v>44724</v>
      </c>
      <c r="S533" t="s">
        <v>29</v>
      </c>
      <c r="T533" t="str">
        <f t="shared" si="40"/>
        <v>Grade C</v>
      </c>
      <c r="U533">
        <f t="shared" si="41"/>
        <v>3</v>
      </c>
      <c r="V533" t="str">
        <f t="shared" si="42"/>
        <v>New Joiner</v>
      </c>
      <c r="W533" t="str">
        <f t="shared" si="43"/>
        <v>Medium Risk</v>
      </c>
      <c r="X533" t="str">
        <f t="shared" si="44"/>
        <v>Fair</v>
      </c>
    </row>
    <row r="534" spans="1:24" x14ac:dyDescent="0.3">
      <c r="A534" t="s">
        <v>602</v>
      </c>
      <c r="B534" t="s">
        <v>20</v>
      </c>
      <c r="C534">
        <v>31</v>
      </c>
      <c r="D534" t="s">
        <v>31</v>
      </c>
      <c r="E534" t="s">
        <v>40</v>
      </c>
      <c r="F534" t="s">
        <v>75</v>
      </c>
      <c r="G534" t="s">
        <v>63</v>
      </c>
      <c r="H534" t="s">
        <v>34</v>
      </c>
      <c r="I534" t="s">
        <v>35</v>
      </c>
      <c r="J534" t="s">
        <v>27</v>
      </c>
      <c r="K534">
        <v>12</v>
      </c>
      <c r="L534">
        <v>61912</v>
      </c>
      <c r="M534" t="s">
        <v>45</v>
      </c>
      <c r="N534">
        <v>2</v>
      </c>
      <c r="O534">
        <v>4</v>
      </c>
      <c r="P534">
        <v>49</v>
      </c>
      <c r="Q534">
        <v>0</v>
      </c>
      <c r="R534" s="1">
        <v>40587</v>
      </c>
      <c r="S534" t="s">
        <v>37</v>
      </c>
      <c r="T534" t="str">
        <f t="shared" si="40"/>
        <v>Grade B</v>
      </c>
      <c r="U534">
        <f t="shared" si="41"/>
        <v>2</v>
      </c>
      <c r="V534" t="str">
        <f t="shared" si="42"/>
        <v>Senior</v>
      </c>
      <c r="W534" t="str">
        <f t="shared" si="43"/>
        <v>Already Left</v>
      </c>
      <c r="X534" t="str">
        <f t="shared" si="44"/>
        <v>Fair</v>
      </c>
    </row>
    <row r="535" spans="1:24" x14ac:dyDescent="0.3">
      <c r="A535" t="s">
        <v>603</v>
      </c>
      <c r="B535" t="s">
        <v>20</v>
      </c>
      <c r="C535">
        <v>49</v>
      </c>
      <c r="D535" t="s">
        <v>47</v>
      </c>
      <c r="E535" t="s">
        <v>22</v>
      </c>
      <c r="F535" t="s">
        <v>78</v>
      </c>
      <c r="G535" t="s">
        <v>63</v>
      </c>
      <c r="H535" t="s">
        <v>83</v>
      </c>
      <c r="I535" t="s">
        <v>68</v>
      </c>
      <c r="J535" t="s">
        <v>60</v>
      </c>
      <c r="K535">
        <v>2</v>
      </c>
      <c r="L535">
        <v>56201</v>
      </c>
      <c r="M535" t="s">
        <v>51</v>
      </c>
      <c r="N535">
        <v>3</v>
      </c>
      <c r="O535">
        <v>2</v>
      </c>
      <c r="P535">
        <v>27</v>
      </c>
      <c r="Q535">
        <v>1</v>
      </c>
      <c r="R535" s="1">
        <v>44227</v>
      </c>
      <c r="S535" t="s">
        <v>29</v>
      </c>
      <c r="T535" t="str">
        <f t="shared" si="40"/>
        <v>Grade B</v>
      </c>
      <c r="U535">
        <f t="shared" si="41"/>
        <v>4</v>
      </c>
      <c r="V535" t="str">
        <f t="shared" si="42"/>
        <v>New Joiner</v>
      </c>
      <c r="W535" t="str">
        <f t="shared" si="43"/>
        <v>Low Risk</v>
      </c>
      <c r="X535" t="str">
        <f t="shared" si="44"/>
        <v>Fair</v>
      </c>
    </row>
    <row r="536" spans="1:24" x14ac:dyDescent="0.3">
      <c r="A536" t="s">
        <v>604</v>
      </c>
      <c r="B536" t="s">
        <v>39</v>
      </c>
      <c r="C536">
        <v>34</v>
      </c>
      <c r="D536" t="s">
        <v>31</v>
      </c>
      <c r="E536" t="s">
        <v>48</v>
      </c>
      <c r="F536" t="s">
        <v>53</v>
      </c>
      <c r="G536" t="s">
        <v>49</v>
      </c>
      <c r="H536" t="s">
        <v>34</v>
      </c>
      <c r="I536" t="s">
        <v>96</v>
      </c>
      <c r="J536" t="s">
        <v>44</v>
      </c>
      <c r="K536">
        <v>8</v>
      </c>
      <c r="L536">
        <v>62082</v>
      </c>
      <c r="M536" t="s">
        <v>51</v>
      </c>
      <c r="N536">
        <v>4</v>
      </c>
      <c r="O536">
        <v>1</v>
      </c>
      <c r="P536">
        <v>31</v>
      </c>
      <c r="Q536">
        <v>0</v>
      </c>
      <c r="R536" s="1">
        <v>42342</v>
      </c>
      <c r="S536" t="s">
        <v>29</v>
      </c>
      <c r="T536" t="str">
        <f t="shared" si="40"/>
        <v>Grade B</v>
      </c>
      <c r="U536">
        <f t="shared" si="41"/>
        <v>4</v>
      </c>
      <c r="V536" t="str">
        <f t="shared" si="42"/>
        <v>Mid Level</v>
      </c>
      <c r="W536" t="str">
        <f t="shared" si="43"/>
        <v>Low Risk</v>
      </c>
      <c r="X536" t="str">
        <f t="shared" si="44"/>
        <v>Fair</v>
      </c>
    </row>
    <row r="537" spans="1:24" x14ac:dyDescent="0.3">
      <c r="A537" t="s">
        <v>605</v>
      </c>
      <c r="B537" t="s">
        <v>39</v>
      </c>
      <c r="C537">
        <v>52</v>
      </c>
      <c r="D537" t="s">
        <v>57</v>
      </c>
      <c r="E537" t="s">
        <v>40</v>
      </c>
      <c r="F537" t="s">
        <v>41</v>
      </c>
      <c r="G537" t="s">
        <v>79</v>
      </c>
      <c r="H537" t="s">
        <v>76</v>
      </c>
      <c r="I537" t="s">
        <v>80</v>
      </c>
      <c r="J537" t="s">
        <v>60</v>
      </c>
      <c r="K537">
        <v>5</v>
      </c>
      <c r="L537">
        <v>51211</v>
      </c>
      <c r="M537" t="s">
        <v>51</v>
      </c>
      <c r="N537">
        <v>1</v>
      </c>
      <c r="O537">
        <v>1</v>
      </c>
      <c r="P537">
        <v>17</v>
      </c>
      <c r="Q537">
        <v>2</v>
      </c>
      <c r="R537" s="1">
        <v>43168</v>
      </c>
      <c r="S537" t="s">
        <v>37</v>
      </c>
      <c r="T537" t="str">
        <f t="shared" si="40"/>
        <v>Grade B</v>
      </c>
      <c r="U537">
        <f t="shared" si="41"/>
        <v>4</v>
      </c>
      <c r="V537" t="str">
        <f t="shared" si="42"/>
        <v>Junior</v>
      </c>
      <c r="W537" t="str">
        <f t="shared" si="43"/>
        <v>Already Left</v>
      </c>
      <c r="X537" t="str">
        <f t="shared" si="44"/>
        <v>Fair</v>
      </c>
    </row>
    <row r="538" spans="1:24" x14ac:dyDescent="0.3">
      <c r="A538" t="s">
        <v>606</v>
      </c>
      <c r="B538" t="s">
        <v>20</v>
      </c>
      <c r="C538">
        <v>53</v>
      </c>
      <c r="D538" t="s">
        <v>57</v>
      </c>
      <c r="E538" t="s">
        <v>48</v>
      </c>
      <c r="F538" t="s">
        <v>23</v>
      </c>
      <c r="G538" t="s">
        <v>58</v>
      </c>
      <c r="H538" t="s">
        <v>83</v>
      </c>
      <c r="I538" t="s">
        <v>50</v>
      </c>
      <c r="J538" t="s">
        <v>44</v>
      </c>
      <c r="K538">
        <v>9</v>
      </c>
      <c r="L538">
        <v>105309</v>
      </c>
      <c r="M538" t="s">
        <v>28</v>
      </c>
      <c r="N538">
        <v>4</v>
      </c>
      <c r="O538">
        <v>3</v>
      </c>
      <c r="P538">
        <v>57</v>
      </c>
      <c r="Q538">
        <v>2</v>
      </c>
      <c r="R538" s="1">
        <v>41741</v>
      </c>
      <c r="S538" t="s">
        <v>29</v>
      </c>
      <c r="T538" t="str">
        <f t="shared" si="40"/>
        <v>Grade A</v>
      </c>
      <c r="U538">
        <f t="shared" si="41"/>
        <v>3</v>
      </c>
      <c r="V538" t="str">
        <f t="shared" si="42"/>
        <v>Mid Level</v>
      </c>
      <c r="W538" t="str">
        <f t="shared" si="43"/>
        <v>Medium Risk</v>
      </c>
      <c r="X538" t="str">
        <f t="shared" si="44"/>
        <v>Competitive</v>
      </c>
    </row>
    <row r="539" spans="1:24" x14ac:dyDescent="0.3">
      <c r="A539" t="s">
        <v>607</v>
      </c>
      <c r="B539" t="s">
        <v>20</v>
      </c>
      <c r="C539">
        <v>47</v>
      </c>
      <c r="D539" t="s">
        <v>47</v>
      </c>
      <c r="E539" t="s">
        <v>22</v>
      </c>
      <c r="F539" t="s">
        <v>32</v>
      </c>
      <c r="G539" t="s">
        <v>58</v>
      </c>
      <c r="H539" t="s">
        <v>25</v>
      </c>
      <c r="I539" t="s">
        <v>72</v>
      </c>
      <c r="J539" t="s">
        <v>73</v>
      </c>
      <c r="K539">
        <v>7</v>
      </c>
      <c r="L539">
        <v>100666</v>
      </c>
      <c r="M539" t="s">
        <v>36</v>
      </c>
      <c r="N539">
        <v>1</v>
      </c>
      <c r="O539">
        <v>3</v>
      </c>
      <c r="P539">
        <v>41</v>
      </c>
      <c r="Q539">
        <v>2</v>
      </c>
      <c r="R539" s="1">
        <v>42736</v>
      </c>
      <c r="S539" t="s">
        <v>37</v>
      </c>
      <c r="T539" t="str">
        <f t="shared" si="40"/>
        <v>Grade A</v>
      </c>
      <c r="U539">
        <f t="shared" si="41"/>
        <v>1</v>
      </c>
      <c r="V539" t="str">
        <f t="shared" si="42"/>
        <v>Mid Level</v>
      </c>
      <c r="W539" t="str">
        <f t="shared" si="43"/>
        <v>Already Left</v>
      </c>
      <c r="X539" t="str">
        <f t="shared" si="44"/>
        <v>Overpaid</v>
      </c>
    </row>
    <row r="540" spans="1:24" x14ac:dyDescent="0.3">
      <c r="A540" t="s">
        <v>608</v>
      </c>
      <c r="B540" t="s">
        <v>20</v>
      </c>
      <c r="C540">
        <v>24</v>
      </c>
      <c r="D540" t="s">
        <v>31</v>
      </c>
      <c r="E540" t="s">
        <v>40</v>
      </c>
      <c r="F540" t="s">
        <v>78</v>
      </c>
      <c r="G540" t="s">
        <v>49</v>
      </c>
      <c r="H540" t="s">
        <v>34</v>
      </c>
      <c r="I540" t="s">
        <v>96</v>
      </c>
      <c r="J540" t="s">
        <v>44</v>
      </c>
      <c r="K540">
        <v>11</v>
      </c>
      <c r="L540">
        <v>62102</v>
      </c>
      <c r="M540" t="s">
        <v>36</v>
      </c>
      <c r="N540">
        <v>4</v>
      </c>
      <c r="O540">
        <v>2</v>
      </c>
      <c r="P540">
        <v>72</v>
      </c>
      <c r="Q540">
        <v>3</v>
      </c>
      <c r="R540" s="1">
        <v>40953</v>
      </c>
      <c r="S540" t="s">
        <v>37</v>
      </c>
      <c r="T540" t="str">
        <f t="shared" si="40"/>
        <v>Grade B</v>
      </c>
      <c r="U540">
        <f t="shared" si="41"/>
        <v>1</v>
      </c>
      <c r="V540" t="str">
        <f t="shared" si="42"/>
        <v>Senior</v>
      </c>
      <c r="W540" t="str">
        <f t="shared" si="43"/>
        <v>Already Left</v>
      </c>
      <c r="X540" t="str">
        <f t="shared" si="44"/>
        <v>Fair</v>
      </c>
    </row>
    <row r="541" spans="1:24" x14ac:dyDescent="0.3">
      <c r="A541" t="s">
        <v>609</v>
      </c>
      <c r="B541" t="s">
        <v>39</v>
      </c>
      <c r="C541">
        <v>31</v>
      </c>
      <c r="D541" t="s">
        <v>88</v>
      </c>
      <c r="E541" t="s">
        <v>40</v>
      </c>
      <c r="F541" t="s">
        <v>41</v>
      </c>
      <c r="G541" t="s">
        <v>33</v>
      </c>
      <c r="H541" t="s">
        <v>25</v>
      </c>
      <c r="I541" t="s">
        <v>54</v>
      </c>
      <c r="J541" t="s">
        <v>27</v>
      </c>
      <c r="K541">
        <v>15</v>
      </c>
      <c r="L541">
        <v>83291</v>
      </c>
      <c r="M541" t="s">
        <v>36</v>
      </c>
      <c r="N541">
        <v>1</v>
      </c>
      <c r="O541">
        <v>2</v>
      </c>
      <c r="P541">
        <v>73</v>
      </c>
      <c r="Q541">
        <v>0</v>
      </c>
      <c r="R541" s="1">
        <v>39507</v>
      </c>
      <c r="S541" t="s">
        <v>37</v>
      </c>
      <c r="T541" t="str">
        <f t="shared" si="40"/>
        <v>Grade A</v>
      </c>
      <c r="U541">
        <f t="shared" si="41"/>
        <v>1</v>
      </c>
      <c r="V541" t="str">
        <f t="shared" si="42"/>
        <v>Senior</v>
      </c>
      <c r="W541" t="str">
        <f t="shared" si="43"/>
        <v>Already Left</v>
      </c>
      <c r="X541" t="str">
        <f t="shared" si="44"/>
        <v>Overpaid</v>
      </c>
    </row>
    <row r="542" spans="1:24" x14ac:dyDescent="0.3">
      <c r="A542" t="s">
        <v>610</v>
      </c>
      <c r="B542" t="s">
        <v>39</v>
      </c>
      <c r="C542">
        <v>27</v>
      </c>
      <c r="D542" t="s">
        <v>21</v>
      </c>
      <c r="E542" t="s">
        <v>48</v>
      </c>
      <c r="F542" t="s">
        <v>78</v>
      </c>
      <c r="G542" t="s">
        <v>33</v>
      </c>
      <c r="H542" t="s">
        <v>67</v>
      </c>
      <c r="I542" t="s">
        <v>80</v>
      </c>
      <c r="J542" t="s">
        <v>60</v>
      </c>
      <c r="K542">
        <v>2</v>
      </c>
      <c r="L542">
        <v>71716</v>
      </c>
      <c r="M542" t="s">
        <v>36</v>
      </c>
      <c r="N542">
        <v>1</v>
      </c>
      <c r="O542">
        <v>2</v>
      </c>
      <c r="P542">
        <v>51</v>
      </c>
      <c r="Q542">
        <v>3</v>
      </c>
      <c r="R542" s="1">
        <v>44454</v>
      </c>
      <c r="S542" t="s">
        <v>37</v>
      </c>
      <c r="T542" t="str">
        <f t="shared" si="40"/>
        <v>Grade B</v>
      </c>
      <c r="U542">
        <f t="shared" si="41"/>
        <v>1</v>
      </c>
      <c r="V542" t="str">
        <f t="shared" si="42"/>
        <v>New Joiner</v>
      </c>
      <c r="W542" t="str">
        <f t="shared" si="43"/>
        <v>Already Left</v>
      </c>
      <c r="X542" t="str">
        <f t="shared" si="44"/>
        <v>Fair</v>
      </c>
    </row>
    <row r="543" spans="1:24" x14ac:dyDescent="0.3">
      <c r="A543" t="s">
        <v>611</v>
      </c>
      <c r="B543" t="s">
        <v>39</v>
      </c>
      <c r="C543">
        <v>43</v>
      </c>
      <c r="D543" t="s">
        <v>47</v>
      </c>
      <c r="E543" t="s">
        <v>40</v>
      </c>
      <c r="F543" t="s">
        <v>32</v>
      </c>
      <c r="G543" t="s">
        <v>79</v>
      </c>
      <c r="H543" t="s">
        <v>25</v>
      </c>
      <c r="I543" t="s">
        <v>80</v>
      </c>
      <c r="J543" t="s">
        <v>60</v>
      </c>
      <c r="K543">
        <v>15</v>
      </c>
      <c r="L543">
        <v>64448</v>
      </c>
      <c r="M543" t="s">
        <v>36</v>
      </c>
      <c r="N543">
        <v>1</v>
      </c>
      <c r="O543">
        <v>3</v>
      </c>
      <c r="P543">
        <v>58</v>
      </c>
      <c r="Q543">
        <v>3</v>
      </c>
      <c r="R543" s="1">
        <v>39566</v>
      </c>
      <c r="S543" t="s">
        <v>29</v>
      </c>
      <c r="T543" t="str">
        <f t="shared" si="40"/>
        <v>Grade B</v>
      </c>
      <c r="U543">
        <f t="shared" si="41"/>
        <v>1</v>
      </c>
      <c r="V543" t="str">
        <f t="shared" si="42"/>
        <v>Senior</v>
      </c>
      <c r="W543" t="str">
        <f t="shared" si="43"/>
        <v>Medium Risk</v>
      </c>
      <c r="X543" t="str">
        <f t="shared" si="44"/>
        <v>Fair</v>
      </c>
    </row>
    <row r="544" spans="1:24" x14ac:dyDescent="0.3">
      <c r="A544" t="s">
        <v>612</v>
      </c>
      <c r="B544" t="s">
        <v>39</v>
      </c>
      <c r="C544">
        <v>43</v>
      </c>
      <c r="D544" t="s">
        <v>88</v>
      </c>
      <c r="E544" t="s">
        <v>22</v>
      </c>
      <c r="F544" t="s">
        <v>75</v>
      </c>
      <c r="G544" t="s">
        <v>79</v>
      </c>
      <c r="H544" t="s">
        <v>67</v>
      </c>
      <c r="I544" t="s">
        <v>35</v>
      </c>
      <c r="J544" t="s">
        <v>27</v>
      </c>
      <c r="K544">
        <v>5</v>
      </c>
      <c r="L544">
        <v>49534</v>
      </c>
      <c r="M544" t="s">
        <v>28</v>
      </c>
      <c r="N544">
        <v>1</v>
      </c>
      <c r="O544">
        <v>3</v>
      </c>
      <c r="P544">
        <v>26</v>
      </c>
      <c r="Q544">
        <v>2</v>
      </c>
      <c r="R544" s="1">
        <v>43410</v>
      </c>
      <c r="S544" t="s">
        <v>37</v>
      </c>
      <c r="T544" t="str">
        <f t="shared" si="40"/>
        <v>Grade C</v>
      </c>
      <c r="U544">
        <f t="shared" si="41"/>
        <v>3</v>
      </c>
      <c r="V544" t="str">
        <f t="shared" si="42"/>
        <v>Junior</v>
      </c>
      <c r="W544" t="str">
        <f t="shared" si="43"/>
        <v>Already Left</v>
      </c>
      <c r="X544" t="str">
        <f t="shared" si="44"/>
        <v>Fair</v>
      </c>
    </row>
    <row r="545" spans="1:24" x14ac:dyDescent="0.3">
      <c r="A545" t="s">
        <v>613</v>
      </c>
      <c r="B545" t="s">
        <v>20</v>
      </c>
      <c r="C545">
        <v>30</v>
      </c>
      <c r="D545" t="s">
        <v>88</v>
      </c>
      <c r="E545" t="s">
        <v>40</v>
      </c>
      <c r="F545" t="s">
        <v>23</v>
      </c>
      <c r="G545" t="s">
        <v>49</v>
      </c>
      <c r="H545" t="s">
        <v>25</v>
      </c>
      <c r="I545" t="s">
        <v>43</v>
      </c>
      <c r="J545" t="s">
        <v>44</v>
      </c>
      <c r="K545">
        <v>10</v>
      </c>
      <c r="L545">
        <v>72718</v>
      </c>
      <c r="M545" t="s">
        <v>51</v>
      </c>
      <c r="N545">
        <v>2</v>
      </c>
      <c r="O545">
        <v>1</v>
      </c>
      <c r="P545">
        <v>60</v>
      </c>
      <c r="Q545">
        <v>0</v>
      </c>
      <c r="R545" s="1">
        <v>41479</v>
      </c>
      <c r="S545" t="s">
        <v>29</v>
      </c>
      <c r="T545" t="str">
        <f t="shared" si="40"/>
        <v>Grade B</v>
      </c>
      <c r="U545">
        <f t="shared" si="41"/>
        <v>4</v>
      </c>
      <c r="V545" t="str">
        <f t="shared" si="42"/>
        <v>Mid Level</v>
      </c>
      <c r="W545" t="str">
        <f t="shared" si="43"/>
        <v>Low Risk</v>
      </c>
      <c r="X545" t="str">
        <f t="shared" si="44"/>
        <v>Fair</v>
      </c>
    </row>
    <row r="546" spans="1:24" x14ac:dyDescent="0.3">
      <c r="A546" t="s">
        <v>614</v>
      </c>
      <c r="B546" t="s">
        <v>20</v>
      </c>
      <c r="C546">
        <v>31</v>
      </c>
      <c r="D546" t="s">
        <v>88</v>
      </c>
      <c r="E546" t="s">
        <v>48</v>
      </c>
      <c r="F546" t="s">
        <v>78</v>
      </c>
      <c r="G546" t="s">
        <v>42</v>
      </c>
      <c r="H546" t="s">
        <v>25</v>
      </c>
      <c r="I546" t="s">
        <v>35</v>
      </c>
      <c r="J546" t="s">
        <v>27</v>
      </c>
      <c r="K546">
        <v>14</v>
      </c>
      <c r="L546">
        <v>120173</v>
      </c>
      <c r="M546" t="s">
        <v>28</v>
      </c>
      <c r="N546">
        <v>2</v>
      </c>
      <c r="O546">
        <v>1</v>
      </c>
      <c r="P546">
        <v>50</v>
      </c>
      <c r="Q546">
        <v>2</v>
      </c>
      <c r="R546" s="1">
        <v>39834</v>
      </c>
      <c r="S546" t="s">
        <v>29</v>
      </c>
      <c r="T546" t="str">
        <f t="shared" si="40"/>
        <v>Grade A</v>
      </c>
      <c r="U546">
        <f t="shared" si="41"/>
        <v>3</v>
      </c>
      <c r="V546" t="str">
        <f t="shared" si="42"/>
        <v>Senior</v>
      </c>
      <c r="W546" t="str">
        <f t="shared" si="43"/>
        <v>Medium Risk</v>
      </c>
      <c r="X546" t="str">
        <f t="shared" si="44"/>
        <v>Competitive</v>
      </c>
    </row>
    <row r="547" spans="1:24" x14ac:dyDescent="0.3">
      <c r="A547" t="s">
        <v>615</v>
      </c>
      <c r="B547" t="s">
        <v>39</v>
      </c>
      <c r="C547">
        <v>43</v>
      </c>
      <c r="D547" t="s">
        <v>47</v>
      </c>
      <c r="E547" t="s">
        <v>40</v>
      </c>
      <c r="F547" t="s">
        <v>41</v>
      </c>
      <c r="G547" t="s">
        <v>49</v>
      </c>
      <c r="H547" t="s">
        <v>25</v>
      </c>
      <c r="I547" t="s">
        <v>35</v>
      </c>
      <c r="J547" t="s">
        <v>27</v>
      </c>
      <c r="K547">
        <v>11</v>
      </c>
      <c r="L547">
        <v>78220</v>
      </c>
      <c r="M547" t="s">
        <v>36</v>
      </c>
      <c r="N547">
        <v>2</v>
      </c>
      <c r="O547">
        <v>2</v>
      </c>
      <c r="P547">
        <v>16</v>
      </c>
      <c r="Q547">
        <v>1</v>
      </c>
      <c r="R547" s="1">
        <v>41085</v>
      </c>
      <c r="S547" t="s">
        <v>29</v>
      </c>
      <c r="T547" t="str">
        <f t="shared" si="40"/>
        <v>Grade B</v>
      </c>
      <c r="U547">
        <f t="shared" si="41"/>
        <v>1</v>
      </c>
      <c r="V547" t="str">
        <f t="shared" si="42"/>
        <v>Senior</v>
      </c>
      <c r="W547" t="str">
        <f t="shared" si="43"/>
        <v>Medium Risk</v>
      </c>
      <c r="X547" t="str">
        <f t="shared" si="44"/>
        <v>Fair</v>
      </c>
    </row>
    <row r="548" spans="1:24" x14ac:dyDescent="0.3">
      <c r="A548" t="s">
        <v>616</v>
      </c>
      <c r="B548" t="s">
        <v>20</v>
      </c>
      <c r="C548">
        <v>44</v>
      </c>
      <c r="D548" t="s">
        <v>57</v>
      </c>
      <c r="E548" t="s">
        <v>48</v>
      </c>
      <c r="F548" t="s">
        <v>75</v>
      </c>
      <c r="G548" t="s">
        <v>63</v>
      </c>
      <c r="H548" t="s">
        <v>25</v>
      </c>
      <c r="I548" t="s">
        <v>96</v>
      </c>
      <c r="J548" t="s">
        <v>44</v>
      </c>
      <c r="K548">
        <v>1</v>
      </c>
      <c r="L548">
        <v>48056</v>
      </c>
      <c r="M548" t="s">
        <v>28</v>
      </c>
      <c r="N548">
        <v>1</v>
      </c>
      <c r="O548">
        <v>3</v>
      </c>
      <c r="P548">
        <v>46</v>
      </c>
      <c r="Q548">
        <v>1</v>
      </c>
      <c r="R548" s="1">
        <v>44580</v>
      </c>
      <c r="S548" t="s">
        <v>29</v>
      </c>
      <c r="T548" t="str">
        <f t="shared" si="40"/>
        <v>Grade C</v>
      </c>
      <c r="U548">
        <f t="shared" si="41"/>
        <v>3</v>
      </c>
      <c r="V548" t="str">
        <f t="shared" si="42"/>
        <v>New Joiner</v>
      </c>
      <c r="W548" t="str">
        <f t="shared" si="43"/>
        <v>Medium Risk</v>
      </c>
      <c r="X548" t="str">
        <f t="shared" si="44"/>
        <v>Fair</v>
      </c>
    </row>
    <row r="549" spans="1:24" x14ac:dyDescent="0.3">
      <c r="A549" t="s">
        <v>617</v>
      </c>
      <c r="B549" t="s">
        <v>39</v>
      </c>
      <c r="C549">
        <v>30</v>
      </c>
      <c r="D549" t="s">
        <v>57</v>
      </c>
      <c r="E549" t="s">
        <v>40</v>
      </c>
      <c r="F549" t="s">
        <v>75</v>
      </c>
      <c r="G549" t="s">
        <v>58</v>
      </c>
      <c r="H549" t="s">
        <v>83</v>
      </c>
      <c r="I549" t="s">
        <v>35</v>
      </c>
      <c r="J549" t="s">
        <v>27</v>
      </c>
      <c r="K549">
        <v>6</v>
      </c>
      <c r="L549">
        <v>96963</v>
      </c>
      <c r="M549" t="s">
        <v>28</v>
      </c>
      <c r="N549">
        <v>4</v>
      </c>
      <c r="O549">
        <v>3</v>
      </c>
      <c r="P549">
        <v>28</v>
      </c>
      <c r="Q549">
        <v>1</v>
      </c>
      <c r="R549" s="1">
        <v>42767</v>
      </c>
      <c r="S549" t="s">
        <v>29</v>
      </c>
      <c r="T549" t="str">
        <f t="shared" si="40"/>
        <v>Grade A</v>
      </c>
      <c r="U549">
        <f t="shared" si="41"/>
        <v>3</v>
      </c>
      <c r="V549" t="str">
        <f t="shared" si="42"/>
        <v>Mid Level</v>
      </c>
      <c r="W549" t="str">
        <f t="shared" si="43"/>
        <v>Medium Risk</v>
      </c>
      <c r="X549" t="str">
        <f t="shared" si="44"/>
        <v>Competitive</v>
      </c>
    </row>
    <row r="550" spans="1:24" x14ac:dyDescent="0.3">
      <c r="A550" t="s">
        <v>618</v>
      </c>
      <c r="B550" t="s">
        <v>39</v>
      </c>
      <c r="C550">
        <v>25</v>
      </c>
      <c r="D550" t="s">
        <v>21</v>
      </c>
      <c r="E550" t="s">
        <v>48</v>
      </c>
      <c r="F550" t="s">
        <v>32</v>
      </c>
      <c r="G550" t="s">
        <v>79</v>
      </c>
      <c r="H550" t="s">
        <v>83</v>
      </c>
      <c r="I550" t="s">
        <v>59</v>
      </c>
      <c r="J550" t="s">
        <v>60</v>
      </c>
      <c r="K550">
        <v>12</v>
      </c>
      <c r="L550">
        <v>58836</v>
      </c>
      <c r="M550" t="s">
        <v>45</v>
      </c>
      <c r="N550">
        <v>4</v>
      </c>
      <c r="O550">
        <v>2</v>
      </c>
      <c r="P550">
        <v>16</v>
      </c>
      <c r="Q550">
        <v>0</v>
      </c>
      <c r="R550" s="1">
        <v>40694</v>
      </c>
      <c r="S550" t="s">
        <v>29</v>
      </c>
      <c r="T550" t="str">
        <f t="shared" si="40"/>
        <v>Grade B</v>
      </c>
      <c r="U550">
        <f t="shared" si="41"/>
        <v>2</v>
      </c>
      <c r="V550" t="str">
        <f t="shared" si="42"/>
        <v>Senior</v>
      </c>
      <c r="W550" t="str">
        <f t="shared" si="43"/>
        <v>Medium Risk</v>
      </c>
      <c r="X550" t="str">
        <f t="shared" si="44"/>
        <v>Fair</v>
      </c>
    </row>
    <row r="551" spans="1:24" x14ac:dyDescent="0.3">
      <c r="A551" t="s">
        <v>619</v>
      </c>
      <c r="B551" t="s">
        <v>20</v>
      </c>
      <c r="C551">
        <v>53</v>
      </c>
      <c r="D551" t="s">
        <v>31</v>
      </c>
      <c r="E551" t="s">
        <v>40</v>
      </c>
      <c r="F551" t="s">
        <v>65</v>
      </c>
      <c r="G551" t="s">
        <v>63</v>
      </c>
      <c r="H551" t="s">
        <v>34</v>
      </c>
      <c r="I551" t="s">
        <v>35</v>
      </c>
      <c r="J551" t="s">
        <v>27</v>
      </c>
      <c r="K551">
        <v>3</v>
      </c>
      <c r="L551">
        <v>49028</v>
      </c>
      <c r="M551" t="s">
        <v>36</v>
      </c>
      <c r="N551">
        <v>2</v>
      </c>
      <c r="O551">
        <v>4</v>
      </c>
      <c r="P551">
        <v>21</v>
      </c>
      <c r="Q551">
        <v>3</v>
      </c>
      <c r="R551" s="1">
        <v>44074</v>
      </c>
      <c r="S551" t="s">
        <v>37</v>
      </c>
      <c r="T551" t="str">
        <f t="shared" si="40"/>
        <v>Grade C</v>
      </c>
      <c r="U551">
        <f t="shared" si="41"/>
        <v>1</v>
      </c>
      <c r="V551" t="str">
        <f t="shared" si="42"/>
        <v>Junior</v>
      </c>
      <c r="W551" t="str">
        <f t="shared" si="43"/>
        <v>Already Left</v>
      </c>
      <c r="X551" t="str">
        <f t="shared" si="44"/>
        <v>Fair</v>
      </c>
    </row>
    <row r="552" spans="1:24" x14ac:dyDescent="0.3">
      <c r="A552" t="s">
        <v>620</v>
      </c>
      <c r="B552" t="s">
        <v>20</v>
      </c>
      <c r="C552">
        <v>54</v>
      </c>
      <c r="D552" t="s">
        <v>47</v>
      </c>
      <c r="E552" t="s">
        <v>22</v>
      </c>
      <c r="F552" t="s">
        <v>62</v>
      </c>
      <c r="G552" t="s">
        <v>79</v>
      </c>
      <c r="H552" t="s">
        <v>76</v>
      </c>
      <c r="I552" t="s">
        <v>43</v>
      </c>
      <c r="J552" t="s">
        <v>44</v>
      </c>
      <c r="K552">
        <v>1</v>
      </c>
      <c r="L552">
        <v>35821</v>
      </c>
      <c r="M552" t="s">
        <v>45</v>
      </c>
      <c r="N552">
        <v>4</v>
      </c>
      <c r="O552">
        <v>3</v>
      </c>
      <c r="P552">
        <v>22</v>
      </c>
      <c r="Q552">
        <v>1</v>
      </c>
      <c r="R552" s="1">
        <v>44865</v>
      </c>
      <c r="S552" t="s">
        <v>37</v>
      </c>
      <c r="T552" t="str">
        <f t="shared" si="40"/>
        <v>Grade C</v>
      </c>
      <c r="U552">
        <f t="shared" si="41"/>
        <v>2</v>
      </c>
      <c r="V552" t="str">
        <f t="shared" si="42"/>
        <v>New Joiner</v>
      </c>
      <c r="W552" t="str">
        <f t="shared" si="43"/>
        <v>Already Left</v>
      </c>
      <c r="X552" t="str">
        <f t="shared" si="44"/>
        <v>Fair</v>
      </c>
    </row>
    <row r="553" spans="1:24" x14ac:dyDescent="0.3">
      <c r="A553" t="s">
        <v>621</v>
      </c>
      <c r="B553" t="s">
        <v>39</v>
      </c>
      <c r="C553">
        <v>47</v>
      </c>
      <c r="D553" t="s">
        <v>21</v>
      </c>
      <c r="E553" t="s">
        <v>48</v>
      </c>
      <c r="F553" t="s">
        <v>78</v>
      </c>
      <c r="G553" t="s">
        <v>24</v>
      </c>
      <c r="H553" t="s">
        <v>76</v>
      </c>
      <c r="I553" t="s">
        <v>43</v>
      </c>
      <c r="J553" t="s">
        <v>44</v>
      </c>
      <c r="K553">
        <v>10</v>
      </c>
      <c r="L553">
        <v>88258</v>
      </c>
      <c r="M553" t="s">
        <v>45</v>
      </c>
      <c r="N553">
        <v>4</v>
      </c>
      <c r="O553">
        <v>1</v>
      </c>
      <c r="P553">
        <v>76</v>
      </c>
      <c r="Q553">
        <v>0</v>
      </c>
      <c r="R553" s="1">
        <v>41610</v>
      </c>
      <c r="S553" t="s">
        <v>29</v>
      </c>
      <c r="T553" t="str">
        <f t="shared" si="40"/>
        <v>Grade A</v>
      </c>
      <c r="U553">
        <f t="shared" si="41"/>
        <v>2</v>
      </c>
      <c r="V553" t="str">
        <f t="shared" si="42"/>
        <v>Mid Level</v>
      </c>
      <c r="W553" t="str">
        <f t="shared" si="43"/>
        <v>Medium Risk</v>
      </c>
      <c r="X553" t="str">
        <f t="shared" si="44"/>
        <v>Fair</v>
      </c>
    </row>
    <row r="554" spans="1:24" x14ac:dyDescent="0.3">
      <c r="A554" t="s">
        <v>622</v>
      </c>
      <c r="B554" t="s">
        <v>39</v>
      </c>
      <c r="C554">
        <v>35</v>
      </c>
      <c r="D554" t="s">
        <v>47</v>
      </c>
      <c r="E554" t="s">
        <v>22</v>
      </c>
      <c r="F554" t="s">
        <v>41</v>
      </c>
      <c r="G554" t="s">
        <v>33</v>
      </c>
      <c r="H554" t="s">
        <v>67</v>
      </c>
      <c r="I554" t="s">
        <v>59</v>
      </c>
      <c r="J554" t="s">
        <v>60</v>
      </c>
      <c r="K554">
        <v>1</v>
      </c>
      <c r="L554">
        <v>62298</v>
      </c>
      <c r="M554" t="s">
        <v>28</v>
      </c>
      <c r="N554">
        <v>3</v>
      </c>
      <c r="O554">
        <v>1</v>
      </c>
      <c r="P554">
        <v>20</v>
      </c>
      <c r="Q554">
        <v>0</v>
      </c>
      <c r="R554" s="1">
        <v>44907</v>
      </c>
      <c r="S554" t="s">
        <v>37</v>
      </c>
      <c r="T554" t="str">
        <f t="shared" si="40"/>
        <v>Grade B</v>
      </c>
      <c r="U554">
        <f t="shared" si="41"/>
        <v>3</v>
      </c>
      <c r="V554" t="str">
        <f t="shared" si="42"/>
        <v>New Joiner</v>
      </c>
      <c r="W554" t="str">
        <f t="shared" si="43"/>
        <v>Already Left</v>
      </c>
      <c r="X554" t="str">
        <f t="shared" si="44"/>
        <v>Competitive</v>
      </c>
    </row>
    <row r="555" spans="1:24" x14ac:dyDescent="0.3">
      <c r="A555" t="s">
        <v>623</v>
      </c>
      <c r="B555" t="s">
        <v>20</v>
      </c>
      <c r="C555">
        <v>50</v>
      </c>
      <c r="D555" t="s">
        <v>47</v>
      </c>
      <c r="E555" t="s">
        <v>40</v>
      </c>
      <c r="F555" t="s">
        <v>62</v>
      </c>
      <c r="G555" t="s">
        <v>58</v>
      </c>
      <c r="H555" t="s">
        <v>25</v>
      </c>
      <c r="I555" t="s">
        <v>35</v>
      </c>
      <c r="J555" t="s">
        <v>27</v>
      </c>
      <c r="K555">
        <v>7</v>
      </c>
      <c r="L555">
        <v>97137</v>
      </c>
      <c r="M555" t="s">
        <v>28</v>
      </c>
      <c r="N555">
        <v>4</v>
      </c>
      <c r="O555">
        <v>3</v>
      </c>
      <c r="P555">
        <v>76</v>
      </c>
      <c r="Q555">
        <v>2</v>
      </c>
      <c r="R555" s="1">
        <v>42714</v>
      </c>
      <c r="S555" t="s">
        <v>29</v>
      </c>
      <c r="T555" t="str">
        <f t="shared" si="40"/>
        <v>Grade A</v>
      </c>
      <c r="U555">
        <f t="shared" si="41"/>
        <v>3</v>
      </c>
      <c r="V555" t="str">
        <f t="shared" si="42"/>
        <v>Mid Level</v>
      </c>
      <c r="W555" t="str">
        <f t="shared" si="43"/>
        <v>Medium Risk</v>
      </c>
      <c r="X555" t="str">
        <f t="shared" si="44"/>
        <v>Competitive</v>
      </c>
    </row>
    <row r="556" spans="1:24" x14ac:dyDescent="0.3">
      <c r="A556" t="s">
        <v>624</v>
      </c>
      <c r="B556" t="s">
        <v>39</v>
      </c>
      <c r="C556">
        <v>30</v>
      </c>
      <c r="D556" t="s">
        <v>88</v>
      </c>
      <c r="E556" t="s">
        <v>40</v>
      </c>
      <c r="F556" t="s">
        <v>32</v>
      </c>
      <c r="G556" t="s">
        <v>58</v>
      </c>
      <c r="H556" t="s">
        <v>83</v>
      </c>
      <c r="I556" t="s">
        <v>54</v>
      </c>
      <c r="J556" t="s">
        <v>27</v>
      </c>
      <c r="K556">
        <v>4</v>
      </c>
      <c r="L556">
        <v>89162</v>
      </c>
      <c r="M556" t="s">
        <v>51</v>
      </c>
      <c r="N556">
        <v>2</v>
      </c>
      <c r="O556">
        <v>3</v>
      </c>
      <c r="P556">
        <v>45</v>
      </c>
      <c r="Q556">
        <v>1</v>
      </c>
      <c r="R556" s="1">
        <v>43679</v>
      </c>
      <c r="S556" t="s">
        <v>29</v>
      </c>
      <c r="T556" t="str">
        <f t="shared" si="40"/>
        <v>Grade A</v>
      </c>
      <c r="U556">
        <f t="shared" si="41"/>
        <v>4</v>
      </c>
      <c r="V556" t="str">
        <f t="shared" si="42"/>
        <v>Junior</v>
      </c>
      <c r="W556" t="str">
        <f t="shared" si="43"/>
        <v>Low Risk</v>
      </c>
      <c r="X556" t="str">
        <f t="shared" si="44"/>
        <v>Competitive</v>
      </c>
    </row>
    <row r="557" spans="1:24" x14ac:dyDescent="0.3">
      <c r="A557" t="s">
        <v>625</v>
      </c>
      <c r="B557" t="s">
        <v>39</v>
      </c>
      <c r="C557">
        <v>38</v>
      </c>
      <c r="D557" t="s">
        <v>57</v>
      </c>
      <c r="E557" t="s">
        <v>40</v>
      </c>
      <c r="F557" t="s">
        <v>75</v>
      </c>
      <c r="G557" t="s">
        <v>63</v>
      </c>
      <c r="H557" t="s">
        <v>83</v>
      </c>
      <c r="I557" t="s">
        <v>54</v>
      </c>
      <c r="J557" t="s">
        <v>27</v>
      </c>
      <c r="K557">
        <v>5</v>
      </c>
      <c r="L557">
        <v>50351</v>
      </c>
      <c r="M557" t="s">
        <v>45</v>
      </c>
      <c r="N557">
        <v>2</v>
      </c>
      <c r="O557">
        <v>2</v>
      </c>
      <c r="P557">
        <v>19</v>
      </c>
      <c r="Q557">
        <v>2</v>
      </c>
      <c r="R557" s="1">
        <v>43234</v>
      </c>
      <c r="S557" t="s">
        <v>29</v>
      </c>
      <c r="T557" t="str">
        <f t="shared" si="40"/>
        <v>Grade B</v>
      </c>
      <c r="U557">
        <f t="shared" si="41"/>
        <v>2</v>
      </c>
      <c r="V557" t="str">
        <f t="shared" si="42"/>
        <v>Junior</v>
      </c>
      <c r="W557" t="str">
        <f t="shared" si="43"/>
        <v>Medium Risk</v>
      </c>
      <c r="X557" t="str">
        <f t="shared" si="44"/>
        <v>Fair</v>
      </c>
    </row>
    <row r="558" spans="1:24" x14ac:dyDescent="0.3">
      <c r="A558" t="s">
        <v>626</v>
      </c>
      <c r="B558" t="s">
        <v>39</v>
      </c>
      <c r="C558">
        <v>37</v>
      </c>
      <c r="D558" t="s">
        <v>21</v>
      </c>
      <c r="E558" t="s">
        <v>48</v>
      </c>
      <c r="F558" t="s">
        <v>65</v>
      </c>
      <c r="G558" t="s">
        <v>24</v>
      </c>
      <c r="H558" t="s">
        <v>34</v>
      </c>
      <c r="I558" t="s">
        <v>59</v>
      </c>
      <c r="J558" t="s">
        <v>60</v>
      </c>
      <c r="K558">
        <v>7</v>
      </c>
      <c r="L558">
        <v>89366</v>
      </c>
      <c r="M558" t="s">
        <v>28</v>
      </c>
      <c r="N558">
        <v>1</v>
      </c>
      <c r="O558">
        <v>1</v>
      </c>
      <c r="P558">
        <v>80</v>
      </c>
      <c r="Q558">
        <v>3</v>
      </c>
      <c r="R558" s="1">
        <v>42543</v>
      </c>
      <c r="S558" t="s">
        <v>29</v>
      </c>
      <c r="T558" t="str">
        <f t="shared" si="40"/>
        <v>Grade A</v>
      </c>
      <c r="U558">
        <f t="shared" si="41"/>
        <v>3</v>
      </c>
      <c r="V558" t="str">
        <f t="shared" si="42"/>
        <v>Mid Level</v>
      </c>
      <c r="W558" t="str">
        <f t="shared" si="43"/>
        <v>Medium Risk</v>
      </c>
      <c r="X558" t="str">
        <f t="shared" si="44"/>
        <v>Competitive</v>
      </c>
    </row>
    <row r="559" spans="1:24" x14ac:dyDescent="0.3">
      <c r="A559" t="s">
        <v>627</v>
      </c>
      <c r="B559" t="s">
        <v>20</v>
      </c>
      <c r="C559">
        <v>22</v>
      </c>
      <c r="D559" t="s">
        <v>21</v>
      </c>
      <c r="E559" t="s">
        <v>48</v>
      </c>
      <c r="F559" t="s">
        <v>65</v>
      </c>
      <c r="G559" t="s">
        <v>66</v>
      </c>
      <c r="H559" t="s">
        <v>83</v>
      </c>
      <c r="I559" t="s">
        <v>26</v>
      </c>
      <c r="J559" t="s">
        <v>27</v>
      </c>
      <c r="K559">
        <v>15</v>
      </c>
      <c r="L559">
        <v>63953</v>
      </c>
      <c r="M559" t="s">
        <v>45</v>
      </c>
      <c r="N559">
        <v>2</v>
      </c>
      <c r="O559">
        <v>4</v>
      </c>
      <c r="P559">
        <v>23</v>
      </c>
      <c r="Q559">
        <v>0</v>
      </c>
      <c r="R559" s="1">
        <v>39702</v>
      </c>
      <c r="S559" t="s">
        <v>29</v>
      </c>
      <c r="T559" t="str">
        <f t="shared" si="40"/>
        <v>Grade B</v>
      </c>
      <c r="U559">
        <f t="shared" si="41"/>
        <v>2</v>
      </c>
      <c r="V559" t="str">
        <f t="shared" si="42"/>
        <v>Senior</v>
      </c>
      <c r="W559" t="str">
        <f t="shared" si="43"/>
        <v>Medium Risk</v>
      </c>
      <c r="X559" t="str">
        <f t="shared" si="44"/>
        <v>Fair</v>
      </c>
    </row>
    <row r="560" spans="1:24" x14ac:dyDescent="0.3">
      <c r="A560" t="s">
        <v>628</v>
      </c>
      <c r="B560" t="s">
        <v>39</v>
      </c>
      <c r="C560">
        <v>25</v>
      </c>
      <c r="D560" t="s">
        <v>47</v>
      </c>
      <c r="E560" t="s">
        <v>48</v>
      </c>
      <c r="F560" t="s">
        <v>62</v>
      </c>
      <c r="G560" t="s">
        <v>66</v>
      </c>
      <c r="H560" t="s">
        <v>34</v>
      </c>
      <c r="I560" t="s">
        <v>68</v>
      </c>
      <c r="J560" t="s">
        <v>60</v>
      </c>
      <c r="K560">
        <v>2</v>
      </c>
      <c r="L560">
        <v>47748</v>
      </c>
      <c r="M560" t="s">
        <v>36</v>
      </c>
      <c r="N560">
        <v>4</v>
      </c>
      <c r="O560">
        <v>2</v>
      </c>
      <c r="P560">
        <v>54</v>
      </c>
      <c r="Q560">
        <v>3</v>
      </c>
      <c r="R560" s="1">
        <v>44424</v>
      </c>
      <c r="S560" t="s">
        <v>29</v>
      </c>
      <c r="T560" t="str">
        <f t="shared" si="40"/>
        <v>Grade C</v>
      </c>
      <c r="U560">
        <f t="shared" si="41"/>
        <v>1</v>
      </c>
      <c r="V560" t="str">
        <f t="shared" si="42"/>
        <v>New Joiner</v>
      </c>
      <c r="W560" t="str">
        <f t="shared" si="43"/>
        <v>High Risk</v>
      </c>
      <c r="X560" t="str">
        <f t="shared" si="44"/>
        <v>Fair</v>
      </c>
    </row>
    <row r="561" spans="1:24" x14ac:dyDescent="0.3">
      <c r="A561" t="s">
        <v>629</v>
      </c>
      <c r="B561" t="s">
        <v>20</v>
      </c>
      <c r="C561">
        <v>25</v>
      </c>
      <c r="D561" t="s">
        <v>31</v>
      </c>
      <c r="E561" t="s">
        <v>40</v>
      </c>
      <c r="F561" t="s">
        <v>53</v>
      </c>
      <c r="G561" t="s">
        <v>24</v>
      </c>
      <c r="H561" t="s">
        <v>25</v>
      </c>
      <c r="I561" t="s">
        <v>96</v>
      </c>
      <c r="J561" t="s">
        <v>44</v>
      </c>
      <c r="K561">
        <v>11</v>
      </c>
      <c r="L561">
        <v>91140</v>
      </c>
      <c r="M561" t="s">
        <v>51</v>
      </c>
      <c r="N561">
        <v>2</v>
      </c>
      <c r="O561">
        <v>4</v>
      </c>
      <c r="P561">
        <v>68</v>
      </c>
      <c r="Q561">
        <v>1</v>
      </c>
      <c r="R561" s="1">
        <v>41084</v>
      </c>
      <c r="S561" t="s">
        <v>29</v>
      </c>
      <c r="T561" t="str">
        <f t="shared" si="40"/>
        <v>Grade A</v>
      </c>
      <c r="U561">
        <f t="shared" si="41"/>
        <v>4</v>
      </c>
      <c r="V561" t="str">
        <f t="shared" si="42"/>
        <v>Senior</v>
      </c>
      <c r="W561" t="str">
        <f t="shared" si="43"/>
        <v>Low Risk</v>
      </c>
      <c r="X561" t="str">
        <f t="shared" si="44"/>
        <v>Competitive</v>
      </c>
    </row>
    <row r="562" spans="1:24" x14ac:dyDescent="0.3">
      <c r="A562" t="s">
        <v>630</v>
      </c>
      <c r="B562" t="s">
        <v>39</v>
      </c>
      <c r="C562">
        <v>41</v>
      </c>
      <c r="D562" t="s">
        <v>57</v>
      </c>
      <c r="E562" t="s">
        <v>48</v>
      </c>
      <c r="F562" t="s">
        <v>65</v>
      </c>
      <c r="G562" t="s">
        <v>63</v>
      </c>
      <c r="H562" t="s">
        <v>76</v>
      </c>
      <c r="I562" t="s">
        <v>96</v>
      </c>
      <c r="J562" t="s">
        <v>44</v>
      </c>
      <c r="K562">
        <v>5</v>
      </c>
      <c r="L562">
        <v>62058</v>
      </c>
      <c r="M562" t="s">
        <v>45</v>
      </c>
      <c r="N562">
        <v>1</v>
      </c>
      <c r="O562">
        <v>1</v>
      </c>
      <c r="P562">
        <v>19</v>
      </c>
      <c r="Q562">
        <v>1</v>
      </c>
      <c r="R562" s="1">
        <v>43311</v>
      </c>
      <c r="S562" t="s">
        <v>29</v>
      </c>
      <c r="T562" t="str">
        <f t="shared" si="40"/>
        <v>Grade B</v>
      </c>
      <c r="U562">
        <f t="shared" si="41"/>
        <v>2</v>
      </c>
      <c r="V562" t="str">
        <f t="shared" si="42"/>
        <v>Junior</v>
      </c>
      <c r="W562" t="str">
        <f t="shared" si="43"/>
        <v>Medium Risk</v>
      </c>
      <c r="X562" t="str">
        <f t="shared" si="44"/>
        <v>Fair</v>
      </c>
    </row>
    <row r="563" spans="1:24" x14ac:dyDescent="0.3">
      <c r="A563" t="s">
        <v>631</v>
      </c>
      <c r="B563" t="s">
        <v>20</v>
      </c>
      <c r="C563">
        <v>54</v>
      </c>
      <c r="D563" t="s">
        <v>47</v>
      </c>
      <c r="E563" t="s">
        <v>48</v>
      </c>
      <c r="F563" t="s">
        <v>53</v>
      </c>
      <c r="G563" t="s">
        <v>42</v>
      </c>
      <c r="H563" t="s">
        <v>34</v>
      </c>
      <c r="I563" t="s">
        <v>26</v>
      </c>
      <c r="J563" t="s">
        <v>27</v>
      </c>
      <c r="K563">
        <v>2</v>
      </c>
      <c r="L563">
        <v>107158</v>
      </c>
      <c r="M563" t="s">
        <v>51</v>
      </c>
      <c r="N563">
        <v>4</v>
      </c>
      <c r="O563">
        <v>1</v>
      </c>
      <c r="P563">
        <v>61</v>
      </c>
      <c r="Q563">
        <v>0</v>
      </c>
      <c r="R563" s="1">
        <v>44557</v>
      </c>
      <c r="S563" t="s">
        <v>29</v>
      </c>
      <c r="T563" t="str">
        <f t="shared" si="40"/>
        <v>Grade A</v>
      </c>
      <c r="U563">
        <f t="shared" si="41"/>
        <v>4</v>
      </c>
      <c r="V563" t="str">
        <f t="shared" si="42"/>
        <v>New Joiner</v>
      </c>
      <c r="W563" t="str">
        <f t="shared" si="43"/>
        <v>Low Risk</v>
      </c>
      <c r="X563" t="str">
        <f t="shared" si="44"/>
        <v>Competitive</v>
      </c>
    </row>
    <row r="564" spans="1:24" x14ac:dyDescent="0.3">
      <c r="A564" t="s">
        <v>632</v>
      </c>
      <c r="B564" t="s">
        <v>39</v>
      </c>
      <c r="C564">
        <v>50</v>
      </c>
      <c r="D564" t="s">
        <v>47</v>
      </c>
      <c r="E564" t="s">
        <v>40</v>
      </c>
      <c r="F564" t="s">
        <v>32</v>
      </c>
      <c r="G564" t="s">
        <v>66</v>
      </c>
      <c r="H564" t="s">
        <v>83</v>
      </c>
      <c r="I564" t="s">
        <v>54</v>
      </c>
      <c r="J564" t="s">
        <v>27</v>
      </c>
      <c r="K564">
        <v>12</v>
      </c>
      <c r="L564">
        <v>57002</v>
      </c>
      <c r="M564" t="s">
        <v>36</v>
      </c>
      <c r="N564">
        <v>2</v>
      </c>
      <c r="O564">
        <v>2</v>
      </c>
      <c r="P564">
        <v>19</v>
      </c>
      <c r="Q564">
        <v>2</v>
      </c>
      <c r="R564" s="1">
        <v>40601</v>
      </c>
      <c r="S564" t="s">
        <v>29</v>
      </c>
      <c r="T564" t="str">
        <f t="shared" si="40"/>
        <v>Grade B</v>
      </c>
      <c r="U564">
        <f t="shared" si="41"/>
        <v>1</v>
      </c>
      <c r="V564" t="str">
        <f t="shared" si="42"/>
        <v>Senior</v>
      </c>
      <c r="W564" t="str">
        <f t="shared" si="43"/>
        <v>Medium Risk</v>
      </c>
      <c r="X564" t="str">
        <f t="shared" si="44"/>
        <v>Fair</v>
      </c>
    </row>
    <row r="565" spans="1:24" x14ac:dyDescent="0.3">
      <c r="A565" t="s">
        <v>633</v>
      </c>
      <c r="B565" t="s">
        <v>39</v>
      </c>
      <c r="C565">
        <v>29</v>
      </c>
      <c r="D565" t="s">
        <v>31</v>
      </c>
      <c r="E565" t="s">
        <v>48</v>
      </c>
      <c r="F565" t="s">
        <v>65</v>
      </c>
      <c r="G565" t="s">
        <v>63</v>
      </c>
      <c r="H565" t="s">
        <v>83</v>
      </c>
      <c r="I565" t="s">
        <v>68</v>
      </c>
      <c r="J565" t="s">
        <v>60</v>
      </c>
      <c r="K565">
        <v>8</v>
      </c>
      <c r="L565">
        <v>56586</v>
      </c>
      <c r="M565" t="s">
        <v>36</v>
      </c>
      <c r="N565">
        <v>4</v>
      </c>
      <c r="O565">
        <v>3</v>
      </c>
      <c r="P565">
        <v>43</v>
      </c>
      <c r="Q565">
        <v>1</v>
      </c>
      <c r="R565" s="1">
        <v>42199</v>
      </c>
      <c r="S565" t="s">
        <v>37</v>
      </c>
      <c r="T565" t="str">
        <f t="shared" si="40"/>
        <v>Grade B</v>
      </c>
      <c r="U565">
        <f t="shared" si="41"/>
        <v>1</v>
      </c>
      <c r="V565" t="str">
        <f t="shared" si="42"/>
        <v>Mid Level</v>
      </c>
      <c r="W565" t="str">
        <f t="shared" si="43"/>
        <v>Already Left</v>
      </c>
      <c r="X565" t="str">
        <f t="shared" si="44"/>
        <v>Fair</v>
      </c>
    </row>
    <row r="566" spans="1:24" x14ac:dyDescent="0.3">
      <c r="A566" t="s">
        <v>634</v>
      </c>
      <c r="B566" t="s">
        <v>39</v>
      </c>
      <c r="C566">
        <v>44</v>
      </c>
      <c r="D566" t="s">
        <v>21</v>
      </c>
      <c r="E566" t="s">
        <v>40</v>
      </c>
      <c r="F566" t="s">
        <v>75</v>
      </c>
      <c r="G566" t="s">
        <v>58</v>
      </c>
      <c r="H566" t="s">
        <v>67</v>
      </c>
      <c r="I566" t="s">
        <v>50</v>
      </c>
      <c r="J566" t="s">
        <v>44</v>
      </c>
      <c r="K566">
        <v>15</v>
      </c>
      <c r="L566">
        <v>120173</v>
      </c>
      <c r="M566" t="s">
        <v>45</v>
      </c>
      <c r="N566">
        <v>4</v>
      </c>
      <c r="O566">
        <v>3</v>
      </c>
      <c r="P566">
        <v>48</v>
      </c>
      <c r="Q566">
        <v>2</v>
      </c>
      <c r="R566" s="1">
        <v>39568</v>
      </c>
      <c r="S566" t="s">
        <v>29</v>
      </c>
      <c r="T566" t="str">
        <f t="shared" si="40"/>
        <v>Grade A</v>
      </c>
      <c r="U566">
        <f t="shared" si="41"/>
        <v>2</v>
      </c>
      <c r="V566" t="str">
        <f t="shared" si="42"/>
        <v>Senior</v>
      </c>
      <c r="W566" t="str">
        <f t="shared" si="43"/>
        <v>Medium Risk</v>
      </c>
      <c r="X566" t="str">
        <f t="shared" si="44"/>
        <v>Fair</v>
      </c>
    </row>
    <row r="567" spans="1:24" x14ac:dyDescent="0.3">
      <c r="A567" t="s">
        <v>635</v>
      </c>
      <c r="B567" t="s">
        <v>20</v>
      </c>
      <c r="C567">
        <v>34</v>
      </c>
      <c r="D567" t="s">
        <v>21</v>
      </c>
      <c r="E567" t="s">
        <v>40</v>
      </c>
      <c r="F567" t="s">
        <v>23</v>
      </c>
      <c r="G567" t="s">
        <v>66</v>
      </c>
      <c r="H567" t="s">
        <v>25</v>
      </c>
      <c r="I567" t="s">
        <v>26</v>
      </c>
      <c r="J567" t="s">
        <v>27</v>
      </c>
      <c r="K567">
        <v>7</v>
      </c>
      <c r="L567">
        <v>39290</v>
      </c>
      <c r="M567" t="s">
        <v>28</v>
      </c>
      <c r="N567">
        <v>2</v>
      </c>
      <c r="O567">
        <v>4</v>
      </c>
      <c r="P567">
        <v>25</v>
      </c>
      <c r="Q567">
        <v>3</v>
      </c>
      <c r="R567" s="1">
        <v>42517</v>
      </c>
      <c r="S567" t="s">
        <v>37</v>
      </c>
      <c r="T567" t="str">
        <f t="shared" si="40"/>
        <v>Grade C</v>
      </c>
      <c r="U567">
        <f t="shared" si="41"/>
        <v>3</v>
      </c>
      <c r="V567" t="str">
        <f t="shared" si="42"/>
        <v>Mid Level</v>
      </c>
      <c r="W567" t="str">
        <f t="shared" si="43"/>
        <v>Already Left</v>
      </c>
      <c r="X567" t="str">
        <f t="shared" si="44"/>
        <v>Fair</v>
      </c>
    </row>
    <row r="568" spans="1:24" x14ac:dyDescent="0.3">
      <c r="A568" t="s">
        <v>636</v>
      </c>
      <c r="B568" t="s">
        <v>20</v>
      </c>
      <c r="C568">
        <v>33</v>
      </c>
      <c r="D568" t="s">
        <v>88</v>
      </c>
      <c r="E568" t="s">
        <v>48</v>
      </c>
      <c r="F568" t="s">
        <v>53</v>
      </c>
      <c r="G568" t="s">
        <v>63</v>
      </c>
      <c r="H568" t="s">
        <v>25</v>
      </c>
      <c r="I568" t="s">
        <v>50</v>
      </c>
      <c r="J568" t="s">
        <v>44</v>
      </c>
      <c r="K568">
        <v>8</v>
      </c>
      <c r="L568">
        <v>63265</v>
      </c>
      <c r="M568" t="s">
        <v>28</v>
      </c>
      <c r="N568">
        <v>1</v>
      </c>
      <c r="O568">
        <v>4</v>
      </c>
      <c r="P568">
        <v>66</v>
      </c>
      <c r="Q568">
        <v>1</v>
      </c>
      <c r="R568" s="1">
        <v>42186</v>
      </c>
      <c r="S568" t="s">
        <v>29</v>
      </c>
      <c r="T568" t="str">
        <f t="shared" si="40"/>
        <v>Grade B</v>
      </c>
      <c r="U568">
        <f t="shared" si="41"/>
        <v>3</v>
      </c>
      <c r="V568" t="str">
        <f t="shared" si="42"/>
        <v>Mid Level</v>
      </c>
      <c r="W568" t="str">
        <f t="shared" si="43"/>
        <v>Medium Risk</v>
      </c>
      <c r="X568" t="str">
        <f t="shared" si="44"/>
        <v>Competitive</v>
      </c>
    </row>
    <row r="569" spans="1:24" x14ac:dyDescent="0.3">
      <c r="A569" t="s">
        <v>637</v>
      </c>
      <c r="B569" t="s">
        <v>39</v>
      </c>
      <c r="C569">
        <v>30</v>
      </c>
      <c r="D569" t="s">
        <v>57</v>
      </c>
      <c r="E569" t="s">
        <v>48</v>
      </c>
      <c r="F569" t="s">
        <v>65</v>
      </c>
      <c r="G569" t="s">
        <v>49</v>
      </c>
      <c r="H569" t="s">
        <v>76</v>
      </c>
      <c r="I569" t="s">
        <v>68</v>
      </c>
      <c r="J569" t="s">
        <v>60</v>
      </c>
      <c r="K569">
        <v>6</v>
      </c>
      <c r="L569">
        <v>55626</v>
      </c>
      <c r="M569" t="s">
        <v>51</v>
      </c>
      <c r="N569">
        <v>3</v>
      </c>
      <c r="O569">
        <v>1</v>
      </c>
      <c r="P569">
        <v>30</v>
      </c>
      <c r="Q569">
        <v>1</v>
      </c>
      <c r="R569" s="1">
        <v>42957</v>
      </c>
      <c r="S569" t="s">
        <v>29</v>
      </c>
      <c r="T569" t="str">
        <f t="shared" si="40"/>
        <v>Grade B</v>
      </c>
      <c r="U569">
        <f t="shared" si="41"/>
        <v>4</v>
      </c>
      <c r="V569" t="str">
        <f t="shared" si="42"/>
        <v>Mid Level</v>
      </c>
      <c r="W569" t="str">
        <f t="shared" si="43"/>
        <v>Low Risk</v>
      </c>
      <c r="X569" t="str">
        <f t="shared" si="44"/>
        <v>Fair</v>
      </c>
    </row>
    <row r="570" spans="1:24" x14ac:dyDescent="0.3">
      <c r="A570" t="s">
        <v>638</v>
      </c>
      <c r="B570" t="s">
        <v>20</v>
      </c>
      <c r="C570">
        <v>30</v>
      </c>
      <c r="D570" t="s">
        <v>21</v>
      </c>
      <c r="E570" t="s">
        <v>22</v>
      </c>
      <c r="F570" t="s">
        <v>62</v>
      </c>
      <c r="G570" t="s">
        <v>33</v>
      </c>
      <c r="H570" t="s">
        <v>83</v>
      </c>
      <c r="I570" t="s">
        <v>96</v>
      </c>
      <c r="J570" t="s">
        <v>44</v>
      </c>
      <c r="K570">
        <v>8</v>
      </c>
      <c r="L570">
        <v>70175</v>
      </c>
      <c r="M570" t="s">
        <v>36</v>
      </c>
      <c r="N570">
        <v>1</v>
      </c>
      <c r="O570">
        <v>2</v>
      </c>
      <c r="P570">
        <v>29</v>
      </c>
      <c r="Q570">
        <v>2</v>
      </c>
      <c r="R570" s="1">
        <v>42116</v>
      </c>
      <c r="S570" t="s">
        <v>37</v>
      </c>
      <c r="T570" t="str">
        <f t="shared" si="40"/>
        <v>Grade B</v>
      </c>
      <c r="U570">
        <f t="shared" si="41"/>
        <v>1</v>
      </c>
      <c r="V570" t="str">
        <f t="shared" si="42"/>
        <v>Mid Level</v>
      </c>
      <c r="W570" t="str">
        <f t="shared" si="43"/>
        <v>Already Left</v>
      </c>
      <c r="X570" t="str">
        <f t="shared" si="44"/>
        <v>Fair</v>
      </c>
    </row>
    <row r="571" spans="1:24" x14ac:dyDescent="0.3">
      <c r="A571" t="s">
        <v>639</v>
      </c>
      <c r="B571" t="s">
        <v>20</v>
      </c>
      <c r="C571">
        <v>52</v>
      </c>
      <c r="D571" t="s">
        <v>31</v>
      </c>
      <c r="E571" t="s">
        <v>48</v>
      </c>
      <c r="F571" t="s">
        <v>23</v>
      </c>
      <c r="G571" t="s">
        <v>66</v>
      </c>
      <c r="H571" t="s">
        <v>67</v>
      </c>
      <c r="I571" t="s">
        <v>35</v>
      </c>
      <c r="J571" t="s">
        <v>27</v>
      </c>
      <c r="K571">
        <v>11</v>
      </c>
      <c r="L571">
        <v>61079</v>
      </c>
      <c r="M571" t="s">
        <v>51</v>
      </c>
      <c r="N571">
        <v>4</v>
      </c>
      <c r="O571">
        <v>1</v>
      </c>
      <c r="P571">
        <v>64</v>
      </c>
      <c r="Q571">
        <v>1</v>
      </c>
      <c r="R571" s="1">
        <v>41273</v>
      </c>
      <c r="S571" t="s">
        <v>29</v>
      </c>
      <c r="T571" t="str">
        <f t="shared" si="40"/>
        <v>Grade B</v>
      </c>
      <c r="U571">
        <f t="shared" si="41"/>
        <v>4</v>
      </c>
      <c r="V571" t="str">
        <f t="shared" si="42"/>
        <v>Senior</v>
      </c>
      <c r="W571" t="str">
        <f t="shared" si="43"/>
        <v>Low Risk</v>
      </c>
      <c r="X571" t="str">
        <f t="shared" si="44"/>
        <v>Fair</v>
      </c>
    </row>
    <row r="572" spans="1:24" x14ac:dyDescent="0.3">
      <c r="A572" t="s">
        <v>640</v>
      </c>
      <c r="B572" t="s">
        <v>39</v>
      </c>
      <c r="C572">
        <v>49</v>
      </c>
      <c r="D572" t="s">
        <v>47</v>
      </c>
      <c r="E572" t="s">
        <v>48</v>
      </c>
      <c r="F572" t="s">
        <v>53</v>
      </c>
      <c r="G572" t="s">
        <v>42</v>
      </c>
      <c r="H572" t="s">
        <v>34</v>
      </c>
      <c r="I572" t="s">
        <v>54</v>
      </c>
      <c r="J572" t="s">
        <v>27</v>
      </c>
      <c r="K572">
        <v>4</v>
      </c>
      <c r="L572">
        <v>96768</v>
      </c>
      <c r="M572" t="s">
        <v>28</v>
      </c>
      <c r="N572">
        <v>1</v>
      </c>
      <c r="O572">
        <v>2</v>
      </c>
      <c r="P572">
        <v>34</v>
      </c>
      <c r="Q572">
        <v>1</v>
      </c>
      <c r="R572" s="1">
        <v>43474</v>
      </c>
      <c r="S572" t="s">
        <v>29</v>
      </c>
      <c r="T572" t="str">
        <f t="shared" si="40"/>
        <v>Grade A</v>
      </c>
      <c r="U572">
        <f t="shared" si="41"/>
        <v>3</v>
      </c>
      <c r="V572" t="str">
        <f t="shared" si="42"/>
        <v>Junior</v>
      </c>
      <c r="W572" t="str">
        <f t="shared" si="43"/>
        <v>Medium Risk</v>
      </c>
      <c r="X572" t="str">
        <f t="shared" si="44"/>
        <v>Competitive</v>
      </c>
    </row>
    <row r="573" spans="1:24" x14ac:dyDescent="0.3">
      <c r="A573" t="s">
        <v>641</v>
      </c>
      <c r="B573" t="s">
        <v>39</v>
      </c>
      <c r="C573">
        <v>27</v>
      </c>
      <c r="D573" t="s">
        <v>21</v>
      </c>
      <c r="E573" t="s">
        <v>48</v>
      </c>
      <c r="F573" t="s">
        <v>41</v>
      </c>
      <c r="G573" t="s">
        <v>42</v>
      </c>
      <c r="H573" t="s">
        <v>67</v>
      </c>
      <c r="I573" t="s">
        <v>59</v>
      </c>
      <c r="J573" t="s">
        <v>60</v>
      </c>
      <c r="K573">
        <v>1</v>
      </c>
      <c r="L573">
        <v>93297</v>
      </c>
      <c r="M573" t="s">
        <v>36</v>
      </c>
      <c r="N573">
        <v>4</v>
      </c>
      <c r="O573">
        <v>3</v>
      </c>
      <c r="P573">
        <v>39</v>
      </c>
      <c r="Q573">
        <v>1</v>
      </c>
      <c r="R573" s="1">
        <v>44918</v>
      </c>
      <c r="S573" t="s">
        <v>37</v>
      </c>
      <c r="T573" t="str">
        <f t="shared" si="40"/>
        <v>Grade A</v>
      </c>
      <c r="U573">
        <f t="shared" si="41"/>
        <v>1</v>
      </c>
      <c r="V573" t="str">
        <f t="shared" si="42"/>
        <v>New Joiner</v>
      </c>
      <c r="W573" t="str">
        <f t="shared" si="43"/>
        <v>Already Left</v>
      </c>
      <c r="X573" t="str">
        <f t="shared" si="44"/>
        <v>Overpaid</v>
      </c>
    </row>
    <row r="574" spans="1:24" x14ac:dyDescent="0.3">
      <c r="A574" t="s">
        <v>642</v>
      </c>
      <c r="B574" t="s">
        <v>20</v>
      </c>
      <c r="C574">
        <v>45</v>
      </c>
      <c r="D574" t="s">
        <v>31</v>
      </c>
      <c r="E574" t="s">
        <v>48</v>
      </c>
      <c r="F574" t="s">
        <v>75</v>
      </c>
      <c r="G574" t="s">
        <v>63</v>
      </c>
      <c r="H574" t="s">
        <v>76</v>
      </c>
      <c r="I574" t="s">
        <v>72</v>
      </c>
      <c r="J574" t="s">
        <v>73</v>
      </c>
      <c r="K574">
        <v>9</v>
      </c>
      <c r="L574">
        <v>54692</v>
      </c>
      <c r="M574" t="s">
        <v>51</v>
      </c>
      <c r="N574">
        <v>4</v>
      </c>
      <c r="O574">
        <v>2</v>
      </c>
      <c r="P574">
        <v>50</v>
      </c>
      <c r="Q574">
        <v>0</v>
      </c>
      <c r="R574" s="1">
        <v>41951</v>
      </c>
      <c r="S574" t="s">
        <v>29</v>
      </c>
      <c r="T574" t="str">
        <f t="shared" si="40"/>
        <v>Grade B</v>
      </c>
      <c r="U574">
        <f t="shared" si="41"/>
        <v>4</v>
      </c>
      <c r="V574" t="str">
        <f t="shared" si="42"/>
        <v>Mid Level</v>
      </c>
      <c r="W574" t="str">
        <f t="shared" si="43"/>
        <v>Low Risk</v>
      </c>
      <c r="X574" t="str">
        <f t="shared" si="44"/>
        <v>Fair</v>
      </c>
    </row>
    <row r="575" spans="1:24" x14ac:dyDescent="0.3">
      <c r="A575" t="s">
        <v>643</v>
      </c>
      <c r="B575" t="s">
        <v>20</v>
      </c>
      <c r="C575">
        <v>28</v>
      </c>
      <c r="D575" t="s">
        <v>57</v>
      </c>
      <c r="E575" t="s">
        <v>22</v>
      </c>
      <c r="F575" t="s">
        <v>23</v>
      </c>
      <c r="G575" t="s">
        <v>66</v>
      </c>
      <c r="H575" t="s">
        <v>83</v>
      </c>
      <c r="I575" t="s">
        <v>68</v>
      </c>
      <c r="J575" t="s">
        <v>60</v>
      </c>
      <c r="K575">
        <v>11</v>
      </c>
      <c r="L575">
        <v>53946</v>
      </c>
      <c r="M575" t="s">
        <v>51</v>
      </c>
      <c r="N575">
        <v>3</v>
      </c>
      <c r="O575">
        <v>4</v>
      </c>
      <c r="P575">
        <v>56</v>
      </c>
      <c r="Q575">
        <v>2</v>
      </c>
      <c r="R575" s="1">
        <v>41036</v>
      </c>
      <c r="S575" t="s">
        <v>29</v>
      </c>
      <c r="T575" t="str">
        <f t="shared" si="40"/>
        <v>Grade B</v>
      </c>
      <c r="U575">
        <f t="shared" si="41"/>
        <v>4</v>
      </c>
      <c r="V575" t="str">
        <f t="shared" si="42"/>
        <v>Senior</v>
      </c>
      <c r="W575" t="str">
        <f t="shared" si="43"/>
        <v>Low Risk</v>
      </c>
      <c r="X575" t="str">
        <f t="shared" si="44"/>
        <v>Fair</v>
      </c>
    </row>
    <row r="576" spans="1:24" x14ac:dyDescent="0.3">
      <c r="A576" t="s">
        <v>644</v>
      </c>
      <c r="B576" t="s">
        <v>20</v>
      </c>
      <c r="C576">
        <v>37</v>
      </c>
      <c r="D576" t="s">
        <v>31</v>
      </c>
      <c r="E576" t="s">
        <v>22</v>
      </c>
      <c r="F576" t="s">
        <v>41</v>
      </c>
      <c r="G576" t="s">
        <v>24</v>
      </c>
      <c r="H576" t="s">
        <v>83</v>
      </c>
      <c r="I576" t="s">
        <v>80</v>
      </c>
      <c r="J576" t="s">
        <v>60</v>
      </c>
      <c r="K576">
        <v>11</v>
      </c>
      <c r="L576">
        <v>97853</v>
      </c>
      <c r="M576" t="s">
        <v>51</v>
      </c>
      <c r="N576">
        <v>4</v>
      </c>
      <c r="O576">
        <v>1</v>
      </c>
      <c r="P576">
        <v>23</v>
      </c>
      <c r="Q576">
        <v>1</v>
      </c>
      <c r="R576" s="1">
        <v>41092</v>
      </c>
      <c r="S576" t="s">
        <v>29</v>
      </c>
      <c r="T576" t="str">
        <f t="shared" si="40"/>
        <v>Grade A</v>
      </c>
      <c r="U576">
        <f t="shared" si="41"/>
        <v>4</v>
      </c>
      <c r="V576" t="str">
        <f t="shared" si="42"/>
        <v>Senior</v>
      </c>
      <c r="W576" t="str">
        <f t="shared" si="43"/>
        <v>Low Risk</v>
      </c>
      <c r="X576" t="str">
        <f t="shared" si="44"/>
        <v>Competitive</v>
      </c>
    </row>
    <row r="577" spans="1:24" x14ac:dyDescent="0.3">
      <c r="A577" t="s">
        <v>645</v>
      </c>
      <c r="B577" t="s">
        <v>20</v>
      </c>
      <c r="C577">
        <v>41</v>
      </c>
      <c r="D577" t="s">
        <v>57</v>
      </c>
      <c r="E577" t="s">
        <v>22</v>
      </c>
      <c r="F577" t="s">
        <v>41</v>
      </c>
      <c r="G577" t="s">
        <v>33</v>
      </c>
      <c r="H577" t="s">
        <v>83</v>
      </c>
      <c r="I577" t="s">
        <v>54</v>
      </c>
      <c r="J577" t="s">
        <v>27</v>
      </c>
      <c r="K577">
        <v>4</v>
      </c>
      <c r="L577">
        <v>61232</v>
      </c>
      <c r="M577" t="s">
        <v>28</v>
      </c>
      <c r="N577">
        <v>2</v>
      </c>
      <c r="O577">
        <v>1</v>
      </c>
      <c r="P577">
        <v>26</v>
      </c>
      <c r="Q577">
        <v>1</v>
      </c>
      <c r="R577" s="1">
        <v>43553</v>
      </c>
      <c r="S577" t="s">
        <v>37</v>
      </c>
      <c r="T577" t="str">
        <f t="shared" si="40"/>
        <v>Grade B</v>
      </c>
      <c r="U577">
        <f t="shared" si="41"/>
        <v>3</v>
      </c>
      <c r="V577" t="str">
        <f t="shared" si="42"/>
        <v>Junior</v>
      </c>
      <c r="W577" t="str">
        <f t="shared" si="43"/>
        <v>Already Left</v>
      </c>
      <c r="X577" t="str">
        <f t="shared" si="44"/>
        <v>Competitive</v>
      </c>
    </row>
    <row r="578" spans="1:24" x14ac:dyDescent="0.3">
      <c r="A578" t="s">
        <v>646</v>
      </c>
      <c r="B578" t="s">
        <v>39</v>
      </c>
      <c r="C578">
        <v>52</v>
      </c>
      <c r="D578" t="s">
        <v>57</v>
      </c>
      <c r="E578" t="s">
        <v>40</v>
      </c>
      <c r="F578" t="s">
        <v>62</v>
      </c>
      <c r="G578" t="s">
        <v>66</v>
      </c>
      <c r="H578" t="s">
        <v>34</v>
      </c>
      <c r="I578" t="s">
        <v>43</v>
      </c>
      <c r="J578" t="s">
        <v>44</v>
      </c>
      <c r="K578">
        <v>15</v>
      </c>
      <c r="L578">
        <v>69695</v>
      </c>
      <c r="M578" t="s">
        <v>45</v>
      </c>
      <c r="N578">
        <v>1</v>
      </c>
      <c r="O578">
        <v>2</v>
      </c>
      <c r="P578">
        <v>45</v>
      </c>
      <c r="Q578">
        <v>1</v>
      </c>
      <c r="R578" s="1">
        <v>39594</v>
      </c>
      <c r="S578" t="s">
        <v>37</v>
      </c>
      <c r="T578" t="str">
        <f t="shared" ref="T578:T641" si="45">IF(L578&gt;=80000,"Grade A",IF(L578&gt;=50000,"Grade B",IF(L578&gt;=35000,"Grade C","Grade D")))</f>
        <v>Grade B</v>
      </c>
      <c r="U578">
        <f t="shared" ref="U578:U641" si="46">IF(M578="Excellent",4,IF(M578="Good",3,IF(M578="Average",2,1)))</f>
        <v>2</v>
      </c>
      <c r="V578" t="str">
        <f t="shared" ref="V578:V641" si="47">IF(K578&lt;=2,"New Joiner",IF(K578&lt;=5,"Junior",IF(K578&lt;=10,"Mid Level","Senior")))</f>
        <v>Senior</v>
      </c>
      <c r="W578" t="str">
        <f t="shared" ref="W578:W641" si="48">IF(S578="Yes","Already Left",IF(AND(K578&lt;=2,M578="Poor"),"High Risk",IF(AND(K578&lt;=5,M578="Average"),"Medium Risk",IF(M578="Excellent","Low Risk","Medium Risk"))))</f>
        <v>Already Left</v>
      </c>
      <c r="X578" t="str">
        <f t="shared" ref="X578:X641" si="49">IF(AND(L578&gt;=80000,M578="Excellent"),"Competitive",IF(AND(L578&gt;=50000,M578="Good"),"Competitive",IF(AND(L578&lt;35000,M578="Excellent"),"Underpaid",IF(AND(L578&gt;=80000,M578="Poor"),"Overpaid","Fair"))))</f>
        <v>Fair</v>
      </c>
    </row>
    <row r="579" spans="1:24" x14ac:dyDescent="0.3">
      <c r="A579" t="s">
        <v>647</v>
      </c>
      <c r="B579" t="s">
        <v>39</v>
      </c>
      <c r="C579">
        <v>32</v>
      </c>
      <c r="D579" t="s">
        <v>57</v>
      </c>
      <c r="E579" t="s">
        <v>40</v>
      </c>
      <c r="F579" t="s">
        <v>23</v>
      </c>
      <c r="G579" t="s">
        <v>49</v>
      </c>
      <c r="H579" t="s">
        <v>34</v>
      </c>
      <c r="I579" t="s">
        <v>80</v>
      </c>
      <c r="J579" t="s">
        <v>60</v>
      </c>
      <c r="K579">
        <v>13</v>
      </c>
      <c r="L579">
        <v>79025</v>
      </c>
      <c r="M579" t="s">
        <v>51</v>
      </c>
      <c r="N579">
        <v>4</v>
      </c>
      <c r="O579">
        <v>4</v>
      </c>
      <c r="P579">
        <v>61</v>
      </c>
      <c r="Q579">
        <v>2</v>
      </c>
      <c r="R579" s="1">
        <v>40197</v>
      </c>
      <c r="S579" t="s">
        <v>29</v>
      </c>
      <c r="T579" t="str">
        <f t="shared" si="45"/>
        <v>Grade B</v>
      </c>
      <c r="U579">
        <f t="shared" si="46"/>
        <v>4</v>
      </c>
      <c r="V579" t="str">
        <f t="shared" si="47"/>
        <v>Senior</v>
      </c>
      <c r="W579" t="str">
        <f t="shared" si="48"/>
        <v>Low Risk</v>
      </c>
      <c r="X579" t="str">
        <f t="shared" si="49"/>
        <v>Fair</v>
      </c>
    </row>
    <row r="580" spans="1:24" x14ac:dyDescent="0.3">
      <c r="A580" t="s">
        <v>648</v>
      </c>
      <c r="B580" t="s">
        <v>20</v>
      </c>
      <c r="C580">
        <v>54</v>
      </c>
      <c r="D580" t="s">
        <v>88</v>
      </c>
      <c r="E580" t="s">
        <v>48</v>
      </c>
      <c r="F580" t="s">
        <v>53</v>
      </c>
      <c r="G580" t="s">
        <v>49</v>
      </c>
      <c r="H580" t="s">
        <v>83</v>
      </c>
      <c r="I580" t="s">
        <v>59</v>
      </c>
      <c r="J580" t="s">
        <v>60</v>
      </c>
      <c r="K580">
        <v>10</v>
      </c>
      <c r="L580">
        <v>79402</v>
      </c>
      <c r="M580" t="s">
        <v>28</v>
      </c>
      <c r="N580">
        <v>3</v>
      </c>
      <c r="O580">
        <v>2</v>
      </c>
      <c r="P580">
        <v>47</v>
      </c>
      <c r="Q580">
        <v>2</v>
      </c>
      <c r="R580" s="1">
        <v>41380</v>
      </c>
      <c r="S580" t="s">
        <v>37</v>
      </c>
      <c r="T580" t="str">
        <f t="shared" si="45"/>
        <v>Grade B</v>
      </c>
      <c r="U580">
        <f t="shared" si="46"/>
        <v>3</v>
      </c>
      <c r="V580" t="str">
        <f t="shared" si="47"/>
        <v>Mid Level</v>
      </c>
      <c r="W580" t="str">
        <f t="shared" si="48"/>
        <v>Already Left</v>
      </c>
      <c r="X580" t="str">
        <f t="shared" si="49"/>
        <v>Competitive</v>
      </c>
    </row>
    <row r="581" spans="1:24" x14ac:dyDescent="0.3">
      <c r="A581" t="s">
        <v>649</v>
      </c>
      <c r="B581" t="s">
        <v>39</v>
      </c>
      <c r="C581">
        <v>39</v>
      </c>
      <c r="D581" t="s">
        <v>47</v>
      </c>
      <c r="E581" t="s">
        <v>48</v>
      </c>
      <c r="F581" t="s">
        <v>41</v>
      </c>
      <c r="G581" t="s">
        <v>49</v>
      </c>
      <c r="H581" t="s">
        <v>67</v>
      </c>
      <c r="I581" t="s">
        <v>35</v>
      </c>
      <c r="J581" t="s">
        <v>27</v>
      </c>
      <c r="K581">
        <v>1</v>
      </c>
      <c r="L581">
        <v>51563</v>
      </c>
      <c r="M581" t="s">
        <v>28</v>
      </c>
      <c r="N581">
        <v>1</v>
      </c>
      <c r="O581">
        <v>2</v>
      </c>
      <c r="P581">
        <v>36</v>
      </c>
      <c r="Q581">
        <v>0</v>
      </c>
      <c r="R581" s="1">
        <v>44600</v>
      </c>
      <c r="S581" t="s">
        <v>37</v>
      </c>
      <c r="T581" t="str">
        <f t="shared" si="45"/>
        <v>Grade B</v>
      </c>
      <c r="U581">
        <f t="shared" si="46"/>
        <v>3</v>
      </c>
      <c r="V581" t="str">
        <f t="shared" si="47"/>
        <v>New Joiner</v>
      </c>
      <c r="W581" t="str">
        <f t="shared" si="48"/>
        <v>Already Left</v>
      </c>
      <c r="X581" t="str">
        <f t="shared" si="49"/>
        <v>Competitive</v>
      </c>
    </row>
    <row r="582" spans="1:24" x14ac:dyDescent="0.3">
      <c r="A582" t="s">
        <v>650</v>
      </c>
      <c r="B582" t="s">
        <v>20</v>
      </c>
      <c r="C582">
        <v>40</v>
      </c>
      <c r="D582" t="s">
        <v>31</v>
      </c>
      <c r="E582" t="s">
        <v>22</v>
      </c>
      <c r="F582" t="s">
        <v>65</v>
      </c>
      <c r="G582" t="s">
        <v>79</v>
      </c>
      <c r="H582" t="s">
        <v>34</v>
      </c>
      <c r="I582" t="s">
        <v>50</v>
      </c>
      <c r="J582" t="s">
        <v>44</v>
      </c>
      <c r="K582">
        <v>6</v>
      </c>
      <c r="L582">
        <v>59998</v>
      </c>
      <c r="M582" t="s">
        <v>45</v>
      </c>
      <c r="N582">
        <v>1</v>
      </c>
      <c r="O582">
        <v>3</v>
      </c>
      <c r="P582">
        <v>38</v>
      </c>
      <c r="Q582">
        <v>2</v>
      </c>
      <c r="R582" s="1">
        <v>43034</v>
      </c>
      <c r="S582" t="s">
        <v>29</v>
      </c>
      <c r="T582" t="str">
        <f t="shared" si="45"/>
        <v>Grade B</v>
      </c>
      <c r="U582">
        <f t="shared" si="46"/>
        <v>2</v>
      </c>
      <c r="V582" t="str">
        <f t="shared" si="47"/>
        <v>Mid Level</v>
      </c>
      <c r="W582" t="str">
        <f t="shared" si="48"/>
        <v>Medium Risk</v>
      </c>
      <c r="X582" t="str">
        <f t="shared" si="49"/>
        <v>Fair</v>
      </c>
    </row>
    <row r="583" spans="1:24" x14ac:dyDescent="0.3">
      <c r="A583" t="s">
        <v>651</v>
      </c>
      <c r="B583" t="s">
        <v>39</v>
      </c>
      <c r="C583">
        <v>50</v>
      </c>
      <c r="D583" t="s">
        <v>47</v>
      </c>
      <c r="E583" t="s">
        <v>48</v>
      </c>
      <c r="F583" t="s">
        <v>62</v>
      </c>
      <c r="G583" t="s">
        <v>63</v>
      </c>
      <c r="H583" t="s">
        <v>83</v>
      </c>
      <c r="I583" t="s">
        <v>68</v>
      </c>
      <c r="J583" t="s">
        <v>60</v>
      </c>
      <c r="K583">
        <v>12</v>
      </c>
      <c r="L583">
        <v>67432</v>
      </c>
      <c r="M583" t="s">
        <v>51</v>
      </c>
      <c r="N583">
        <v>3</v>
      </c>
      <c r="O583">
        <v>2</v>
      </c>
      <c r="P583">
        <v>60</v>
      </c>
      <c r="Q583">
        <v>1</v>
      </c>
      <c r="R583" s="1">
        <v>40630</v>
      </c>
      <c r="S583" t="s">
        <v>29</v>
      </c>
      <c r="T583" t="str">
        <f t="shared" si="45"/>
        <v>Grade B</v>
      </c>
      <c r="U583">
        <f t="shared" si="46"/>
        <v>4</v>
      </c>
      <c r="V583" t="str">
        <f t="shared" si="47"/>
        <v>Senior</v>
      </c>
      <c r="W583" t="str">
        <f t="shared" si="48"/>
        <v>Low Risk</v>
      </c>
      <c r="X583" t="str">
        <f t="shared" si="49"/>
        <v>Fair</v>
      </c>
    </row>
    <row r="584" spans="1:24" x14ac:dyDescent="0.3">
      <c r="A584" t="s">
        <v>652</v>
      </c>
      <c r="B584" t="s">
        <v>20</v>
      </c>
      <c r="C584">
        <v>33</v>
      </c>
      <c r="D584" t="s">
        <v>47</v>
      </c>
      <c r="E584" t="s">
        <v>22</v>
      </c>
      <c r="F584" t="s">
        <v>32</v>
      </c>
      <c r="G584" t="s">
        <v>33</v>
      </c>
      <c r="H584" t="s">
        <v>76</v>
      </c>
      <c r="I584" t="s">
        <v>96</v>
      </c>
      <c r="J584" t="s">
        <v>44</v>
      </c>
      <c r="K584">
        <v>3</v>
      </c>
      <c r="L584">
        <v>59070</v>
      </c>
      <c r="M584" t="s">
        <v>45</v>
      </c>
      <c r="N584">
        <v>4</v>
      </c>
      <c r="O584">
        <v>2</v>
      </c>
      <c r="P584">
        <v>46</v>
      </c>
      <c r="Q584">
        <v>0</v>
      </c>
      <c r="R584" s="1">
        <v>44105</v>
      </c>
      <c r="S584" t="s">
        <v>29</v>
      </c>
      <c r="T584" t="str">
        <f t="shared" si="45"/>
        <v>Grade B</v>
      </c>
      <c r="U584">
        <f t="shared" si="46"/>
        <v>2</v>
      </c>
      <c r="V584" t="str">
        <f t="shared" si="47"/>
        <v>Junior</v>
      </c>
      <c r="W584" t="str">
        <f t="shared" si="48"/>
        <v>Medium Risk</v>
      </c>
      <c r="X584" t="str">
        <f t="shared" si="49"/>
        <v>Fair</v>
      </c>
    </row>
    <row r="585" spans="1:24" x14ac:dyDescent="0.3">
      <c r="A585" t="s">
        <v>653</v>
      </c>
      <c r="B585" t="s">
        <v>39</v>
      </c>
      <c r="C585">
        <v>51</v>
      </c>
      <c r="D585" t="s">
        <v>57</v>
      </c>
      <c r="E585" t="s">
        <v>22</v>
      </c>
      <c r="F585" t="s">
        <v>53</v>
      </c>
      <c r="G585" t="s">
        <v>49</v>
      </c>
      <c r="H585" t="s">
        <v>67</v>
      </c>
      <c r="I585" t="s">
        <v>80</v>
      </c>
      <c r="J585" t="s">
        <v>60</v>
      </c>
      <c r="K585">
        <v>11</v>
      </c>
      <c r="L585">
        <v>64275</v>
      </c>
      <c r="M585" t="s">
        <v>36</v>
      </c>
      <c r="N585">
        <v>2</v>
      </c>
      <c r="O585">
        <v>1</v>
      </c>
      <c r="P585">
        <v>22</v>
      </c>
      <c r="Q585">
        <v>3</v>
      </c>
      <c r="R585" s="1">
        <v>41059</v>
      </c>
      <c r="S585" t="s">
        <v>37</v>
      </c>
      <c r="T585" t="str">
        <f t="shared" si="45"/>
        <v>Grade B</v>
      </c>
      <c r="U585">
        <f t="shared" si="46"/>
        <v>1</v>
      </c>
      <c r="V585" t="str">
        <f t="shared" si="47"/>
        <v>Senior</v>
      </c>
      <c r="W585" t="str">
        <f t="shared" si="48"/>
        <v>Already Left</v>
      </c>
      <c r="X585" t="str">
        <f t="shared" si="49"/>
        <v>Fair</v>
      </c>
    </row>
    <row r="586" spans="1:24" x14ac:dyDescent="0.3">
      <c r="A586" t="s">
        <v>654</v>
      </c>
      <c r="B586" t="s">
        <v>20</v>
      </c>
      <c r="C586">
        <v>31</v>
      </c>
      <c r="D586" t="s">
        <v>88</v>
      </c>
      <c r="E586" t="s">
        <v>22</v>
      </c>
      <c r="F586" t="s">
        <v>23</v>
      </c>
      <c r="G586" t="s">
        <v>58</v>
      </c>
      <c r="H586" t="s">
        <v>83</v>
      </c>
      <c r="I586" t="s">
        <v>43</v>
      </c>
      <c r="J586" t="s">
        <v>44</v>
      </c>
      <c r="K586">
        <v>13</v>
      </c>
      <c r="L586">
        <v>105331</v>
      </c>
      <c r="M586" t="s">
        <v>51</v>
      </c>
      <c r="N586">
        <v>1</v>
      </c>
      <c r="O586">
        <v>1</v>
      </c>
      <c r="P586">
        <v>79</v>
      </c>
      <c r="Q586">
        <v>2</v>
      </c>
      <c r="R586" s="1">
        <v>40505</v>
      </c>
      <c r="S586" t="s">
        <v>29</v>
      </c>
      <c r="T586" t="str">
        <f t="shared" si="45"/>
        <v>Grade A</v>
      </c>
      <c r="U586">
        <f t="shared" si="46"/>
        <v>4</v>
      </c>
      <c r="V586" t="str">
        <f t="shared" si="47"/>
        <v>Senior</v>
      </c>
      <c r="W586" t="str">
        <f t="shared" si="48"/>
        <v>Low Risk</v>
      </c>
      <c r="X586" t="str">
        <f t="shared" si="49"/>
        <v>Competitive</v>
      </c>
    </row>
    <row r="587" spans="1:24" x14ac:dyDescent="0.3">
      <c r="A587" t="s">
        <v>655</v>
      </c>
      <c r="B587" t="s">
        <v>39</v>
      </c>
      <c r="C587">
        <v>37</v>
      </c>
      <c r="D587" t="s">
        <v>21</v>
      </c>
      <c r="E587" t="s">
        <v>40</v>
      </c>
      <c r="F587" t="s">
        <v>32</v>
      </c>
      <c r="G587" t="s">
        <v>33</v>
      </c>
      <c r="H587" t="s">
        <v>67</v>
      </c>
      <c r="I587" t="s">
        <v>26</v>
      </c>
      <c r="J587" t="s">
        <v>27</v>
      </c>
      <c r="K587">
        <v>13</v>
      </c>
      <c r="L587">
        <v>81345</v>
      </c>
      <c r="M587" t="s">
        <v>36</v>
      </c>
      <c r="N587">
        <v>3</v>
      </c>
      <c r="O587">
        <v>1</v>
      </c>
      <c r="P587">
        <v>12</v>
      </c>
      <c r="Q587">
        <v>0</v>
      </c>
      <c r="R587" s="1">
        <v>40302</v>
      </c>
      <c r="S587" t="s">
        <v>37</v>
      </c>
      <c r="T587" t="str">
        <f t="shared" si="45"/>
        <v>Grade A</v>
      </c>
      <c r="U587">
        <f t="shared" si="46"/>
        <v>1</v>
      </c>
      <c r="V587" t="str">
        <f t="shared" si="47"/>
        <v>Senior</v>
      </c>
      <c r="W587" t="str">
        <f t="shared" si="48"/>
        <v>Already Left</v>
      </c>
      <c r="X587" t="str">
        <f t="shared" si="49"/>
        <v>Overpaid</v>
      </c>
    </row>
    <row r="588" spans="1:24" x14ac:dyDescent="0.3">
      <c r="A588" t="s">
        <v>656</v>
      </c>
      <c r="B588" t="s">
        <v>20</v>
      </c>
      <c r="C588">
        <v>31</v>
      </c>
      <c r="D588" t="s">
        <v>31</v>
      </c>
      <c r="E588" t="s">
        <v>40</v>
      </c>
      <c r="F588" t="s">
        <v>62</v>
      </c>
      <c r="G588" t="s">
        <v>58</v>
      </c>
      <c r="H588" t="s">
        <v>83</v>
      </c>
      <c r="I588" t="s">
        <v>26</v>
      </c>
      <c r="J588" t="s">
        <v>27</v>
      </c>
      <c r="K588">
        <v>3</v>
      </c>
      <c r="L588">
        <v>88350</v>
      </c>
      <c r="M588" t="s">
        <v>36</v>
      </c>
      <c r="N588">
        <v>3</v>
      </c>
      <c r="O588">
        <v>2</v>
      </c>
      <c r="P588">
        <v>59</v>
      </c>
      <c r="Q588">
        <v>0</v>
      </c>
      <c r="R588" s="1">
        <v>43979</v>
      </c>
      <c r="S588" t="s">
        <v>37</v>
      </c>
      <c r="T588" t="str">
        <f t="shared" si="45"/>
        <v>Grade A</v>
      </c>
      <c r="U588">
        <f t="shared" si="46"/>
        <v>1</v>
      </c>
      <c r="V588" t="str">
        <f t="shared" si="47"/>
        <v>Junior</v>
      </c>
      <c r="W588" t="str">
        <f t="shared" si="48"/>
        <v>Already Left</v>
      </c>
      <c r="X588" t="str">
        <f t="shared" si="49"/>
        <v>Overpaid</v>
      </c>
    </row>
    <row r="589" spans="1:24" x14ac:dyDescent="0.3">
      <c r="A589" t="s">
        <v>657</v>
      </c>
      <c r="B589" t="s">
        <v>20</v>
      </c>
      <c r="C589">
        <v>29</v>
      </c>
      <c r="D589" t="s">
        <v>31</v>
      </c>
      <c r="E589" t="s">
        <v>22</v>
      </c>
      <c r="F589" t="s">
        <v>53</v>
      </c>
      <c r="G589" t="s">
        <v>42</v>
      </c>
      <c r="H589" t="s">
        <v>83</v>
      </c>
      <c r="I589" t="s">
        <v>96</v>
      </c>
      <c r="J589" t="s">
        <v>44</v>
      </c>
      <c r="K589">
        <v>2</v>
      </c>
      <c r="L589">
        <v>100708</v>
      </c>
      <c r="M589" t="s">
        <v>28</v>
      </c>
      <c r="N589">
        <v>1</v>
      </c>
      <c r="O589">
        <v>2</v>
      </c>
      <c r="P589">
        <v>32</v>
      </c>
      <c r="Q589">
        <v>3</v>
      </c>
      <c r="R589" s="1">
        <v>44247</v>
      </c>
      <c r="S589" t="s">
        <v>37</v>
      </c>
      <c r="T589" t="str">
        <f t="shared" si="45"/>
        <v>Grade A</v>
      </c>
      <c r="U589">
        <f t="shared" si="46"/>
        <v>3</v>
      </c>
      <c r="V589" t="str">
        <f t="shared" si="47"/>
        <v>New Joiner</v>
      </c>
      <c r="W589" t="str">
        <f t="shared" si="48"/>
        <v>Already Left</v>
      </c>
      <c r="X589" t="str">
        <f t="shared" si="49"/>
        <v>Competitive</v>
      </c>
    </row>
    <row r="590" spans="1:24" x14ac:dyDescent="0.3">
      <c r="A590" t="s">
        <v>658</v>
      </c>
      <c r="B590" t="s">
        <v>20</v>
      </c>
      <c r="C590">
        <v>44</v>
      </c>
      <c r="D590" t="s">
        <v>21</v>
      </c>
      <c r="E590" t="s">
        <v>48</v>
      </c>
      <c r="F590" t="s">
        <v>65</v>
      </c>
      <c r="G590" t="s">
        <v>63</v>
      </c>
      <c r="H590" t="s">
        <v>34</v>
      </c>
      <c r="I590" t="s">
        <v>35</v>
      </c>
      <c r="J590" t="s">
        <v>27</v>
      </c>
      <c r="K590">
        <v>11</v>
      </c>
      <c r="L590">
        <v>61922</v>
      </c>
      <c r="M590" t="s">
        <v>28</v>
      </c>
      <c r="N590">
        <v>4</v>
      </c>
      <c r="O590">
        <v>3</v>
      </c>
      <c r="P590">
        <v>43</v>
      </c>
      <c r="Q590">
        <v>0</v>
      </c>
      <c r="R590" s="1">
        <v>40958</v>
      </c>
      <c r="S590" t="s">
        <v>29</v>
      </c>
      <c r="T590" t="str">
        <f t="shared" si="45"/>
        <v>Grade B</v>
      </c>
      <c r="U590">
        <f t="shared" si="46"/>
        <v>3</v>
      </c>
      <c r="V590" t="str">
        <f t="shared" si="47"/>
        <v>Senior</v>
      </c>
      <c r="W590" t="str">
        <f t="shared" si="48"/>
        <v>Medium Risk</v>
      </c>
      <c r="X590" t="str">
        <f t="shared" si="49"/>
        <v>Competitive</v>
      </c>
    </row>
    <row r="591" spans="1:24" x14ac:dyDescent="0.3">
      <c r="A591" t="s">
        <v>659</v>
      </c>
      <c r="B591" t="s">
        <v>39</v>
      </c>
      <c r="C591">
        <v>49</v>
      </c>
      <c r="D591" t="s">
        <v>31</v>
      </c>
      <c r="E591" t="s">
        <v>22</v>
      </c>
      <c r="F591" t="s">
        <v>53</v>
      </c>
      <c r="G591" t="s">
        <v>63</v>
      </c>
      <c r="H591" t="s">
        <v>67</v>
      </c>
      <c r="I591" t="s">
        <v>50</v>
      </c>
      <c r="J591" t="s">
        <v>44</v>
      </c>
      <c r="K591">
        <v>3</v>
      </c>
      <c r="L591">
        <v>55637</v>
      </c>
      <c r="M591" t="s">
        <v>45</v>
      </c>
      <c r="N591">
        <v>1</v>
      </c>
      <c r="O591">
        <v>3</v>
      </c>
      <c r="P591">
        <v>26</v>
      </c>
      <c r="Q591">
        <v>1</v>
      </c>
      <c r="R591" s="1">
        <v>44163</v>
      </c>
      <c r="S591" t="s">
        <v>29</v>
      </c>
      <c r="T591" t="str">
        <f t="shared" si="45"/>
        <v>Grade B</v>
      </c>
      <c r="U591">
        <f t="shared" si="46"/>
        <v>2</v>
      </c>
      <c r="V591" t="str">
        <f t="shared" si="47"/>
        <v>Junior</v>
      </c>
      <c r="W591" t="str">
        <f t="shared" si="48"/>
        <v>Medium Risk</v>
      </c>
      <c r="X591" t="str">
        <f t="shared" si="49"/>
        <v>Fair</v>
      </c>
    </row>
    <row r="592" spans="1:24" x14ac:dyDescent="0.3">
      <c r="A592" t="s">
        <v>660</v>
      </c>
      <c r="B592" t="s">
        <v>39</v>
      </c>
      <c r="C592">
        <v>37</v>
      </c>
      <c r="D592" t="s">
        <v>57</v>
      </c>
      <c r="E592" t="s">
        <v>48</v>
      </c>
      <c r="F592" t="s">
        <v>65</v>
      </c>
      <c r="G592" t="s">
        <v>33</v>
      </c>
      <c r="H592" t="s">
        <v>25</v>
      </c>
      <c r="I592" t="s">
        <v>43</v>
      </c>
      <c r="J592" t="s">
        <v>44</v>
      </c>
      <c r="K592">
        <v>7</v>
      </c>
      <c r="L592">
        <v>77564</v>
      </c>
      <c r="M592" t="s">
        <v>36</v>
      </c>
      <c r="N592">
        <v>4</v>
      </c>
      <c r="O592">
        <v>4</v>
      </c>
      <c r="P592">
        <v>78</v>
      </c>
      <c r="Q592">
        <v>1</v>
      </c>
      <c r="R592" s="1">
        <v>42567</v>
      </c>
      <c r="S592" t="s">
        <v>29</v>
      </c>
      <c r="T592" t="str">
        <f t="shared" si="45"/>
        <v>Grade B</v>
      </c>
      <c r="U592">
        <f t="shared" si="46"/>
        <v>1</v>
      </c>
      <c r="V592" t="str">
        <f t="shared" si="47"/>
        <v>Mid Level</v>
      </c>
      <c r="W592" t="str">
        <f t="shared" si="48"/>
        <v>Medium Risk</v>
      </c>
      <c r="X592" t="str">
        <f t="shared" si="49"/>
        <v>Fair</v>
      </c>
    </row>
    <row r="593" spans="1:24" x14ac:dyDescent="0.3">
      <c r="A593" t="s">
        <v>661</v>
      </c>
      <c r="B593" t="s">
        <v>39</v>
      </c>
      <c r="C593">
        <v>23</v>
      </c>
      <c r="D593" t="s">
        <v>31</v>
      </c>
      <c r="E593" t="s">
        <v>40</v>
      </c>
      <c r="F593" t="s">
        <v>41</v>
      </c>
      <c r="G593" t="s">
        <v>49</v>
      </c>
      <c r="H593" t="s">
        <v>34</v>
      </c>
      <c r="I593" t="s">
        <v>43</v>
      </c>
      <c r="J593" t="s">
        <v>44</v>
      </c>
      <c r="K593">
        <v>9</v>
      </c>
      <c r="L593">
        <v>60859</v>
      </c>
      <c r="M593" t="s">
        <v>36</v>
      </c>
      <c r="N593">
        <v>4</v>
      </c>
      <c r="O593">
        <v>2</v>
      </c>
      <c r="P593">
        <v>24</v>
      </c>
      <c r="Q593">
        <v>0</v>
      </c>
      <c r="R593" s="1">
        <v>42006</v>
      </c>
      <c r="S593" t="s">
        <v>37</v>
      </c>
      <c r="T593" t="str">
        <f t="shared" si="45"/>
        <v>Grade B</v>
      </c>
      <c r="U593">
        <f t="shared" si="46"/>
        <v>1</v>
      </c>
      <c r="V593" t="str">
        <f t="shared" si="47"/>
        <v>Mid Level</v>
      </c>
      <c r="W593" t="str">
        <f t="shared" si="48"/>
        <v>Already Left</v>
      </c>
      <c r="X593" t="str">
        <f t="shared" si="49"/>
        <v>Fair</v>
      </c>
    </row>
    <row r="594" spans="1:24" x14ac:dyDescent="0.3">
      <c r="A594" t="s">
        <v>662</v>
      </c>
      <c r="B594" t="s">
        <v>39</v>
      </c>
      <c r="C594">
        <v>36</v>
      </c>
      <c r="D594" t="s">
        <v>21</v>
      </c>
      <c r="E594" t="s">
        <v>40</v>
      </c>
      <c r="F594" t="s">
        <v>65</v>
      </c>
      <c r="G594" t="s">
        <v>24</v>
      </c>
      <c r="H594" t="s">
        <v>67</v>
      </c>
      <c r="I594" t="s">
        <v>72</v>
      </c>
      <c r="J594" t="s">
        <v>73</v>
      </c>
      <c r="K594">
        <v>8</v>
      </c>
      <c r="L594">
        <v>99071</v>
      </c>
      <c r="M594" t="s">
        <v>45</v>
      </c>
      <c r="N594">
        <v>2</v>
      </c>
      <c r="O594">
        <v>1</v>
      </c>
      <c r="P594">
        <v>28</v>
      </c>
      <c r="Q594">
        <v>3</v>
      </c>
      <c r="R594" s="1">
        <v>42248</v>
      </c>
      <c r="S594" t="s">
        <v>29</v>
      </c>
      <c r="T594" t="str">
        <f t="shared" si="45"/>
        <v>Grade A</v>
      </c>
      <c r="U594">
        <f t="shared" si="46"/>
        <v>2</v>
      </c>
      <c r="V594" t="str">
        <f t="shared" si="47"/>
        <v>Mid Level</v>
      </c>
      <c r="W594" t="str">
        <f t="shared" si="48"/>
        <v>Medium Risk</v>
      </c>
      <c r="X594" t="str">
        <f t="shared" si="49"/>
        <v>Fair</v>
      </c>
    </row>
    <row r="595" spans="1:24" x14ac:dyDescent="0.3">
      <c r="A595" t="s">
        <v>663</v>
      </c>
      <c r="B595" t="s">
        <v>39</v>
      </c>
      <c r="C595">
        <v>23</v>
      </c>
      <c r="D595" t="s">
        <v>47</v>
      </c>
      <c r="E595" t="s">
        <v>48</v>
      </c>
      <c r="F595" t="s">
        <v>75</v>
      </c>
      <c r="G595" t="s">
        <v>79</v>
      </c>
      <c r="H595" t="s">
        <v>25</v>
      </c>
      <c r="I595" t="s">
        <v>50</v>
      </c>
      <c r="J595" t="s">
        <v>44</v>
      </c>
      <c r="K595">
        <v>12</v>
      </c>
      <c r="L595">
        <v>73058</v>
      </c>
      <c r="M595" t="s">
        <v>51</v>
      </c>
      <c r="N595">
        <v>2</v>
      </c>
      <c r="O595">
        <v>1</v>
      </c>
      <c r="P595">
        <v>41</v>
      </c>
      <c r="Q595">
        <v>0</v>
      </c>
      <c r="R595" s="1">
        <v>40668</v>
      </c>
      <c r="S595" t="s">
        <v>37</v>
      </c>
      <c r="T595" t="str">
        <f t="shared" si="45"/>
        <v>Grade B</v>
      </c>
      <c r="U595">
        <f t="shared" si="46"/>
        <v>4</v>
      </c>
      <c r="V595" t="str">
        <f t="shared" si="47"/>
        <v>Senior</v>
      </c>
      <c r="W595" t="str">
        <f t="shared" si="48"/>
        <v>Already Left</v>
      </c>
      <c r="X595" t="str">
        <f t="shared" si="49"/>
        <v>Fair</v>
      </c>
    </row>
    <row r="596" spans="1:24" x14ac:dyDescent="0.3">
      <c r="A596" t="s">
        <v>664</v>
      </c>
      <c r="B596" t="s">
        <v>20</v>
      </c>
      <c r="C596">
        <v>43</v>
      </c>
      <c r="D596" t="s">
        <v>57</v>
      </c>
      <c r="E596" t="s">
        <v>40</v>
      </c>
      <c r="F596" t="s">
        <v>75</v>
      </c>
      <c r="G596" t="s">
        <v>24</v>
      </c>
      <c r="H596" t="s">
        <v>67</v>
      </c>
      <c r="I596" t="s">
        <v>50</v>
      </c>
      <c r="J596" t="s">
        <v>44</v>
      </c>
      <c r="K596">
        <v>8</v>
      </c>
      <c r="L596">
        <v>98283</v>
      </c>
      <c r="M596" t="s">
        <v>28</v>
      </c>
      <c r="N596">
        <v>1</v>
      </c>
      <c r="O596">
        <v>3</v>
      </c>
      <c r="P596">
        <v>24</v>
      </c>
      <c r="Q596">
        <v>1</v>
      </c>
      <c r="R596" s="1">
        <v>42132</v>
      </c>
      <c r="S596" t="s">
        <v>29</v>
      </c>
      <c r="T596" t="str">
        <f t="shared" si="45"/>
        <v>Grade A</v>
      </c>
      <c r="U596">
        <f t="shared" si="46"/>
        <v>3</v>
      </c>
      <c r="V596" t="str">
        <f t="shared" si="47"/>
        <v>Mid Level</v>
      </c>
      <c r="W596" t="str">
        <f t="shared" si="48"/>
        <v>Medium Risk</v>
      </c>
      <c r="X596" t="str">
        <f t="shared" si="49"/>
        <v>Competitive</v>
      </c>
    </row>
    <row r="597" spans="1:24" x14ac:dyDescent="0.3">
      <c r="A597" t="s">
        <v>665</v>
      </c>
      <c r="B597" t="s">
        <v>20</v>
      </c>
      <c r="C597">
        <v>38</v>
      </c>
      <c r="D597" t="s">
        <v>88</v>
      </c>
      <c r="E597" t="s">
        <v>40</v>
      </c>
      <c r="F597" t="s">
        <v>23</v>
      </c>
      <c r="G597" t="s">
        <v>24</v>
      </c>
      <c r="H597" t="s">
        <v>34</v>
      </c>
      <c r="I597" t="s">
        <v>50</v>
      </c>
      <c r="J597" t="s">
        <v>44</v>
      </c>
      <c r="K597">
        <v>9</v>
      </c>
      <c r="L597">
        <v>83356</v>
      </c>
      <c r="M597" t="s">
        <v>28</v>
      </c>
      <c r="N597">
        <v>3</v>
      </c>
      <c r="O597">
        <v>2</v>
      </c>
      <c r="P597">
        <v>64</v>
      </c>
      <c r="Q597">
        <v>1</v>
      </c>
      <c r="R597" s="1">
        <v>41791</v>
      </c>
      <c r="S597" t="s">
        <v>29</v>
      </c>
      <c r="T597" t="str">
        <f t="shared" si="45"/>
        <v>Grade A</v>
      </c>
      <c r="U597">
        <f t="shared" si="46"/>
        <v>3</v>
      </c>
      <c r="V597" t="str">
        <f t="shared" si="47"/>
        <v>Mid Level</v>
      </c>
      <c r="W597" t="str">
        <f t="shared" si="48"/>
        <v>Medium Risk</v>
      </c>
      <c r="X597" t="str">
        <f t="shared" si="49"/>
        <v>Competitive</v>
      </c>
    </row>
    <row r="598" spans="1:24" x14ac:dyDescent="0.3">
      <c r="A598" t="s">
        <v>666</v>
      </c>
      <c r="B598" t="s">
        <v>20</v>
      </c>
      <c r="C598">
        <v>33</v>
      </c>
      <c r="D598" t="s">
        <v>88</v>
      </c>
      <c r="E598" t="s">
        <v>40</v>
      </c>
      <c r="F598" t="s">
        <v>41</v>
      </c>
      <c r="G598" t="s">
        <v>49</v>
      </c>
      <c r="H598" t="s">
        <v>34</v>
      </c>
      <c r="I598" t="s">
        <v>80</v>
      </c>
      <c r="J598" t="s">
        <v>60</v>
      </c>
      <c r="K598">
        <v>3</v>
      </c>
      <c r="L598">
        <v>59120</v>
      </c>
      <c r="M598" t="s">
        <v>36</v>
      </c>
      <c r="N598">
        <v>1</v>
      </c>
      <c r="O598">
        <v>4</v>
      </c>
      <c r="P598">
        <v>71</v>
      </c>
      <c r="Q598">
        <v>2</v>
      </c>
      <c r="R598" s="1">
        <v>44085</v>
      </c>
      <c r="S598" t="s">
        <v>37</v>
      </c>
      <c r="T598" t="str">
        <f t="shared" si="45"/>
        <v>Grade B</v>
      </c>
      <c r="U598">
        <f t="shared" si="46"/>
        <v>1</v>
      </c>
      <c r="V598" t="str">
        <f t="shared" si="47"/>
        <v>Junior</v>
      </c>
      <c r="W598" t="str">
        <f t="shared" si="48"/>
        <v>Already Left</v>
      </c>
      <c r="X598" t="str">
        <f t="shared" si="49"/>
        <v>Fair</v>
      </c>
    </row>
    <row r="599" spans="1:24" x14ac:dyDescent="0.3">
      <c r="A599" t="s">
        <v>667</v>
      </c>
      <c r="B599" t="s">
        <v>39</v>
      </c>
      <c r="C599">
        <v>28</v>
      </c>
      <c r="D599" t="s">
        <v>21</v>
      </c>
      <c r="E599" t="s">
        <v>48</v>
      </c>
      <c r="F599" t="s">
        <v>75</v>
      </c>
      <c r="G599" t="s">
        <v>66</v>
      </c>
      <c r="H599" t="s">
        <v>67</v>
      </c>
      <c r="I599" t="s">
        <v>43</v>
      </c>
      <c r="J599" t="s">
        <v>44</v>
      </c>
      <c r="K599">
        <v>13</v>
      </c>
      <c r="L599">
        <v>64900</v>
      </c>
      <c r="M599" t="s">
        <v>51</v>
      </c>
      <c r="N599">
        <v>3</v>
      </c>
      <c r="O599">
        <v>1</v>
      </c>
      <c r="P599">
        <v>40</v>
      </c>
      <c r="Q599">
        <v>2</v>
      </c>
      <c r="R599" s="1">
        <v>40409</v>
      </c>
      <c r="S599" t="s">
        <v>29</v>
      </c>
      <c r="T599" t="str">
        <f t="shared" si="45"/>
        <v>Grade B</v>
      </c>
      <c r="U599">
        <f t="shared" si="46"/>
        <v>4</v>
      </c>
      <c r="V599" t="str">
        <f t="shared" si="47"/>
        <v>Senior</v>
      </c>
      <c r="W599" t="str">
        <f t="shared" si="48"/>
        <v>Low Risk</v>
      </c>
      <c r="X599" t="str">
        <f t="shared" si="49"/>
        <v>Fair</v>
      </c>
    </row>
    <row r="600" spans="1:24" x14ac:dyDescent="0.3">
      <c r="A600" t="s">
        <v>668</v>
      </c>
      <c r="B600" t="s">
        <v>39</v>
      </c>
      <c r="C600">
        <v>24</v>
      </c>
      <c r="D600" t="s">
        <v>47</v>
      </c>
      <c r="E600" t="s">
        <v>48</v>
      </c>
      <c r="F600" t="s">
        <v>41</v>
      </c>
      <c r="G600" t="s">
        <v>58</v>
      </c>
      <c r="H600" t="s">
        <v>83</v>
      </c>
      <c r="I600" t="s">
        <v>68</v>
      </c>
      <c r="J600" t="s">
        <v>60</v>
      </c>
      <c r="K600">
        <v>10</v>
      </c>
      <c r="L600">
        <v>105129</v>
      </c>
      <c r="M600" t="s">
        <v>28</v>
      </c>
      <c r="N600">
        <v>1</v>
      </c>
      <c r="O600">
        <v>1</v>
      </c>
      <c r="P600">
        <v>71</v>
      </c>
      <c r="Q600">
        <v>0</v>
      </c>
      <c r="R600" s="1">
        <v>41360</v>
      </c>
      <c r="S600" t="s">
        <v>29</v>
      </c>
      <c r="T600" t="str">
        <f t="shared" si="45"/>
        <v>Grade A</v>
      </c>
      <c r="U600">
        <f t="shared" si="46"/>
        <v>3</v>
      </c>
      <c r="V600" t="str">
        <f t="shared" si="47"/>
        <v>Mid Level</v>
      </c>
      <c r="W600" t="str">
        <f t="shared" si="48"/>
        <v>Medium Risk</v>
      </c>
      <c r="X600" t="str">
        <f t="shared" si="49"/>
        <v>Competitive</v>
      </c>
    </row>
    <row r="601" spans="1:24" x14ac:dyDescent="0.3">
      <c r="A601" t="s">
        <v>669</v>
      </c>
      <c r="B601" t="s">
        <v>39</v>
      </c>
      <c r="C601">
        <v>42</v>
      </c>
      <c r="D601" t="s">
        <v>57</v>
      </c>
      <c r="E601" t="s">
        <v>40</v>
      </c>
      <c r="F601" t="s">
        <v>65</v>
      </c>
      <c r="G601" t="s">
        <v>66</v>
      </c>
      <c r="H601" t="s">
        <v>83</v>
      </c>
      <c r="I601" t="s">
        <v>50</v>
      </c>
      <c r="J601" t="s">
        <v>44</v>
      </c>
      <c r="K601">
        <v>1</v>
      </c>
      <c r="L601">
        <v>36253</v>
      </c>
      <c r="M601" t="s">
        <v>45</v>
      </c>
      <c r="N601">
        <v>3</v>
      </c>
      <c r="O601">
        <v>2</v>
      </c>
      <c r="P601">
        <v>22</v>
      </c>
      <c r="Q601">
        <v>2</v>
      </c>
      <c r="R601" s="1">
        <v>44671</v>
      </c>
      <c r="S601" t="s">
        <v>29</v>
      </c>
      <c r="T601" t="str">
        <f t="shared" si="45"/>
        <v>Grade C</v>
      </c>
      <c r="U601">
        <f t="shared" si="46"/>
        <v>2</v>
      </c>
      <c r="V601" t="str">
        <f t="shared" si="47"/>
        <v>New Joiner</v>
      </c>
      <c r="W601" t="str">
        <f t="shared" si="48"/>
        <v>Medium Risk</v>
      </c>
      <c r="X601" t="str">
        <f t="shared" si="49"/>
        <v>Fair</v>
      </c>
    </row>
    <row r="602" spans="1:24" x14ac:dyDescent="0.3">
      <c r="A602" t="s">
        <v>670</v>
      </c>
      <c r="B602" t="s">
        <v>20</v>
      </c>
      <c r="C602">
        <v>32</v>
      </c>
      <c r="D602" t="s">
        <v>47</v>
      </c>
      <c r="E602" t="s">
        <v>40</v>
      </c>
      <c r="F602" t="s">
        <v>41</v>
      </c>
      <c r="G602" t="s">
        <v>63</v>
      </c>
      <c r="H602" t="s">
        <v>34</v>
      </c>
      <c r="I602" t="s">
        <v>43</v>
      </c>
      <c r="J602" t="s">
        <v>44</v>
      </c>
      <c r="K602">
        <v>1</v>
      </c>
      <c r="L602">
        <v>52628</v>
      </c>
      <c r="M602" t="s">
        <v>28</v>
      </c>
      <c r="N602">
        <v>4</v>
      </c>
      <c r="O602">
        <v>1</v>
      </c>
      <c r="P602">
        <v>21</v>
      </c>
      <c r="Q602">
        <v>1</v>
      </c>
      <c r="R602" s="1">
        <v>44908</v>
      </c>
      <c r="S602" t="s">
        <v>29</v>
      </c>
      <c r="T602" t="str">
        <f t="shared" si="45"/>
        <v>Grade B</v>
      </c>
      <c r="U602">
        <f t="shared" si="46"/>
        <v>3</v>
      </c>
      <c r="V602" t="str">
        <f t="shared" si="47"/>
        <v>New Joiner</v>
      </c>
      <c r="W602" t="str">
        <f t="shared" si="48"/>
        <v>Medium Risk</v>
      </c>
      <c r="X602" t="str">
        <f t="shared" si="49"/>
        <v>Competitive</v>
      </c>
    </row>
    <row r="603" spans="1:24" x14ac:dyDescent="0.3">
      <c r="A603" t="s">
        <v>671</v>
      </c>
      <c r="B603" t="s">
        <v>20</v>
      </c>
      <c r="C603">
        <v>24</v>
      </c>
      <c r="D603" t="s">
        <v>57</v>
      </c>
      <c r="E603" t="s">
        <v>22</v>
      </c>
      <c r="F603" t="s">
        <v>53</v>
      </c>
      <c r="G603" t="s">
        <v>24</v>
      </c>
      <c r="H603" t="s">
        <v>67</v>
      </c>
      <c r="I603" t="s">
        <v>59</v>
      </c>
      <c r="J603" t="s">
        <v>60</v>
      </c>
      <c r="K603">
        <v>8</v>
      </c>
      <c r="L603">
        <v>92109</v>
      </c>
      <c r="M603" t="s">
        <v>45</v>
      </c>
      <c r="N603">
        <v>2</v>
      </c>
      <c r="O603">
        <v>1</v>
      </c>
      <c r="P603">
        <v>29</v>
      </c>
      <c r="Q603">
        <v>3</v>
      </c>
      <c r="R603" s="1">
        <v>42188</v>
      </c>
      <c r="S603" t="s">
        <v>29</v>
      </c>
      <c r="T603" t="str">
        <f t="shared" si="45"/>
        <v>Grade A</v>
      </c>
      <c r="U603">
        <f t="shared" si="46"/>
        <v>2</v>
      </c>
      <c r="V603" t="str">
        <f t="shared" si="47"/>
        <v>Mid Level</v>
      </c>
      <c r="W603" t="str">
        <f t="shared" si="48"/>
        <v>Medium Risk</v>
      </c>
      <c r="X603" t="str">
        <f t="shared" si="49"/>
        <v>Fair</v>
      </c>
    </row>
    <row r="604" spans="1:24" x14ac:dyDescent="0.3">
      <c r="A604" t="s">
        <v>672</v>
      </c>
      <c r="B604" t="s">
        <v>20</v>
      </c>
      <c r="C604">
        <v>32</v>
      </c>
      <c r="D604" t="s">
        <v>31</v>
      </c>
      <c r="E604" t="s">
        <v>22</v>
      </c>
      <c r="F604" t="s">
        <v>23</v>
      </c>
      <c r="G604" t="s">
        <v>79</v>
      </c>
      <c r="H604" t="s">
        <v>67</v>
      </c>
      <c r="I604" t="s">
        <v>26</v>
      </c>
      <c r="J604" t="s">
        <v>27</v>
      </c>
      <c r="K604">
        <v>9</v>
      </c>
      <c r="L604">
        <v>64348</v>
      </c>
      <c r="M604" t="s">
        <v>45</v>
      </c>
      <c r="N604">
        <v>1</v>
      </c>
      <c r="O604">
        <v>3</v>
      </c>
      <c r="P604">
        <v>56</v>
      </c>
      <c r="Q604">
        <v>2</v>
      </c>
      <c r="R604" s="1">
        <v>41775</v>
      </c>
      <c r="S604" t="s">
        <v>37</v>
      </c>
      <c r="T604" t="str">
        <f t="shared" si="45"/>
        <v>Grade B</v>
      </c>
      <c r="U604">
        <f t="shared" si="46"/>
        <v>2</v>
      </c>
      <c r="V604" t="str">
        <f t="shared" si="47"/>
        <v>Mid Level</v>
      </c>
      <c r="W604" t="str">
        <f t="shared" si="48"/>
        <v>Already Left</v>
      </c>
      <c r="X604" t="str">
        <f t="shared" si="49"/>
        <v>Fair</v>
      </c>
    </row>
    <row r="605" spans="1:24" x14ac:dyDescent="0.3">
      <c r="A605" t="s">
        <v>673</v>
      </c>
      <c r="B605" t="s">
        <v>39</v>
      </c>
      <c r="C605">
        <v>53</v>
      </c>
      <c r="D605" t="s">
        <v>21</v>
      </c>
      <c r="E605" t="s">
        <v>48</v>
      </c>
      <c r="F605" t="s">
        <v>41</v>
      </c>
      <c r="G605" t="s">
        <v>33</v>
      </c>
      <c r="H605" t="s">
        <v>67</v>
      </c>
      <c r="I605" t="s">
        <v>26</v>
      </c>
      <c r="J605" t="s">
        <v>27</v>
      </c>
      <c r="K605">
        <v>5</v>
      </c>
      <c r="L605">
        <v>68389</v>
      </c>
      <c r="M605" t="s">
        <v>36</v>
      </c>
      <c r="N605">
        <v>3</v>
      </c>
      <c r="O605">
        <v>4</v>
      </c>
      <c r="P605">
        <v>62</v>
      </c>
      <c r="Q605">
        <v>1</v>
      </c>
      <c r="R605" s="1">
        <v>43396</v>
      </c>
      <c r="S605" t="s">
        <v>29</v>
      </c>
      <c r="T605" t="str">
        <f t="shared" si="45"/>
        <v>Grade B</v>
      </c>
      <c r="U605">
        <f t="shared" si="46"/>
        <v>1</v>
      </c>
      <c r="V605" t="str">
        <f t="shared" si="47"/>
        <v>Junior</v>
      </c>
      <c r="W605" t="str">
        <f t="shared" si="48"/>
        <v>Medium Risk</v>
      </c>
      <c r="X605" t="str">
        <f t="shared" si="49"/>
        <v>Fair</v>
      </c>
    </row>
    <row r="606" spans="1:24" x14ac:dyDescent="0.3">
      <c r="A606" t="s">
        <v>674</v>
      </c>
      <c r="B606" t="s">
        <v>20</v>
      </c>
      <c r="C606">
        <v>24</v>
      </c>
      <c r="D606" t="s">
        <v>88</v>
      </c>
      <c r="E606" t="s">
        <v>40</v>
      </c>
      <c r="F606" t="s">
        <v>65</v>
      </c>
      <c r="G606" t="s">
        <v>79</v>
      </c>
      <c r="H606" t="s">
        <v>34</v>
      </c>
      <c r="I606" t="s">
        <v>96</v>
      </c>
      <c r="J606" t="s">
        <v>44</v>
      </c>
      <c r="K606">
        <v>6</v>
      </c>
      <c r="L606">
        <v>55539</v>
      </c>
      <c r="M606" t="s">
        <v>45</v>
      </c>
      <c r="N606">
        <v>1</v>
      </c>
      <c r="O606">
        <v>2</v>
      </c>
      <c r="P606">
        <v>11</v>
      </c>
      <c r="Q606">
        <v>1</v>
      </c>
      <c r="R606" s="1">
        <v>42872</v>
      </c>
      <c r="S606" t="s">
        <v>29</v>
      </c>
      <c r="T606" t="str">
        <f t="shared" si="45"/>
        <v>Grade B</v>
      </c>
      <c r="U606">
        <f t="shared" si="46"/>
        <v>2</v>
      </c>
      <c r="V606" t="str">
        <f t="shared" si="47"/>
        <v>Mid Level</v>
      </c>
      <c r="W606" t="str">
        <f t="shared" si="48"/>
        <v>Medium Risk</v>
      </c>
      <c r="X606" t="str">
        <f t="shared" si="49"/>
        <v>Fair</v>
      </c>
    </row>
    <row r="607" spans="1:24" x14ac:dyDescent="0.3">
      <c r="A607" t="s">
        <v>675</v>
      </c>
      <c r="B607" t="s">
        <v>20</v>
      </c>
      <c r="C607">
        <v>27</v>
      </c>
      <c r="D607" t="s">
        <v>31</v>
      </c>
      <c r="E607" t="s">
        <v>48</v>
      </c>
      <c r="F607" t="s">
        <v>62</v>
      </c>
      <c r="G607" t="s">
        <v>63</v>
      </c>
      <c r="H607" t="s">
        <v>76</v>
      </c>
      <c r="I607" t="s">
        <v>26</v>
      </c>
      <c r="J607" t="s">
        <v>27</v>
      </c>
      <c r="K607">
        <v>10</v>
      </c>
      <c r="L607">
        <v>57391</v>
      </c>
      <c r="M607" t="s">
        <v>28</v>
      </c>
      <c r="N607">
        <v>4</v>
      </c>
      <c r="O607">
        <v>4</v>
      </c>
      <c r="P607">
        <v>23</v>
      </c>
      <c r="Q607">
        <v>0</v>
      </c>
      <c r="R607" s="1">
        <v>41444</v>
      </c>
      <c r="S607" t="s">
        <v>29</v>
      </c>
      <c r="T607" t="str">
        <f t="shared" si="45"/>
        <v>Grade B</v>
      </c>
      <c r="U607">
        <f t="shared" si="46"/>
        <v>3</v>
      </c>
      <c r="V607" t="str">
        <f t="shared" si="47"/>
        <v>Mid Level</v>
      </c>
      <c r="W607" t="str">
        <f t="shared" si="48"/>
        <v>Medium Risk</v>
      </c>
      <c r="X607" t="str">
        <f t="shared" si="49"/>
        <v>Competitive</v>
      </c>
    </row>
    <row r="608" spans="1:24" x14ac:dyDescent="0.3">
      <c r="A608" t="s">
        <v>676</v>
      </c>
      <c r="B608" t="s">
        <v>20</v>
      </c>
      <c r="C608">
        <v>35</v>
      </c>
      <c r="D608" t="s">
        <v>57</v>
      </c>
      <c r="E608" t="s">
        <v>22</v>
      </c>
      <c r="F608" t="s">
        <v>41</v>
      </c>
      <c r="G608" t="s">
        <v>63</v>
      </c>
      <c r="H608" t="s">
        <v>76</v>
      </c>
      <c r="I608" t="s">
        <v>68</v>
      </c>
      <c r="J608" t="s">
        <v>60</v>
      </c>
      <c r="K608">
        <v>4</v>
      </c>
      <c r="L608">
        <v>53771</v>
      </c>
      <c r="M608" t="s">
        <v>36</v>
      </c>
      <c r="N608">
        <v>3</v>
      </c>
      <c r="O608">
        <v>4</v>
      </c>
      <c r="P608">
        <v>14</v>
      </c>
      <c r="Q608">
        <v>1</v>
      </c>
      <c r="R608" s="1">
        <v>43657</v>
      </c>
      <c r="S608" t="s">
        <v>37</v>
      </c>
      <c r="T608" t="str">
        <f t="shared" si="45"/>
        <v>Grade B</v>
      </c>
      <c r="U608">
        <f t="shared" si="46"/>
        <v>1</v>
      </c>
      <c r="V608" t="str">
        <f t="shared" si="47"/>
        <v>Junior</v>
      </c>
      <c r="W608" t="str">
        <f t="shared" si="48"/>
        <v>Already Left</v>
      </c>
      <c r="X608" t="str">
        <f t="shared" si="49"/>
        <v>Fair</v>
      </c>
    </row>
    <row r="609" spans="1:24" x14ac:dyDescent="0.3">
      <c r="A609" t="s">
        <v>677</v>
      </c>
      <c r="B609" t="s">
        <v>20</v>
      </c>
      <c r="C609">
        <v>49</v>
      </c>
      <c r="D609" t="s">
        <v>57</v>
      </c>
      <c r="E609" t="s">
        <v>22</v>
      </c>
      <c r="F609" t="s">
        <v>53</v>
      </c>
      <c r="G609" t="s">
        <v>58</v>
      </c>
      <c r="H609" t="s">
        <v>67</v>
      </c>
      <c r="I609" t="s">
        <v>96</v>
      </c>
      <c r="J609" t="s">
        <v>44</v>
      </c>
      <c r="K609">
        <v>10</v>
      </c>
      <c r="L609">
        <v>114696</v>
      </c>
      <c r="M609" t="s">
        <v>45</v>
      </c>
      <c r="N609">
        <v>1</v>
      </c>
      <c r="O609">
        <v>2</v>
      </c>
      <c r="P609">
        <v>12</v>
      </c>
      <c r="Q609">
        <v>3</v>
      </c>
      <c r="R609" s="1">
        <v>41611</v>
      </c>
      <c r="S609" t="s">
        <v>29</v>
      </c>
      <c r="T609" t="str">
        <f t="shared" si="45"/>
        <v>Grade A</v>
      </c>
      <c r="U609">
        <f t="shared" si="46"/>
        <v>2</v>
      </c>
      <c r="V609" t="str">
        <f t="shared" si="47"/>
        <v>Mid Level</v>
      </c>
      <c r="W609" t="str">
        <f t="shared" si="48"/>
        <v>Medium Risk</v>
      </c>
      <c r="X609" t="str">
        <f t="shared" si="49"/>
        <v>Fair</v>
      </c>
    </row>
    <row r="610" spans="1:24" x14ac:dyDescent="0.3">
      <c r="A610" t="s">
        <v>678</v>
      </c>
      <c r="B610" t="s">
        <v>20</v>
      </c>
      <c r="C610">
        <v>50</v>
      </c>
      <c r="D610" t="s">
        <v>57</v>
      </c>
      <c r="E610" t="s">
        <v>40</v>
      </c>
      <c r="F610" t="s">
        <v>62</v>
      </c>
      <c r="G610" t="s">
        <v>79</v>
      </c>
      <c r="H610" t="s">
        <v>67</v>
      </c>
      <c r="I610" t="s">
        <v>80</v>
      </c>
      <c r="J610" t="s">
        <v>60</v>
      </c>
      <c r="K610">
        <v>3</v>
      </c>
      <c r="L610">
        <v>44975</v>
      </c>
      <c r="M610" t="s">
        <v>51</v>
      </c>
      <c r="N610">
        <v>2</v>
      </c>
      <c r="O610">
        <v>3</v>
      </c>
      <c r="P610">
        <v>33</v>
      </c>
      <c r="Q610">
        <v>0</v>
      </c>
      <c r="R610" s="1">
        <v>44156</v>
      </c>
      <c r="S610" t="s">
        <v>29</v>
      </c>
      <c r="T610" t="str">
        <f t="shared" si="45"/>
        <v>Grade C</v>
      </c>
      <c r="U610">
        <f t="shared" si="46"/>
        <v>4</v>
      </c>
      <c r="V610" t="str">
        <f t="shared" si="47"/>
        <v>Junior</v>
      </c>
      <c r="W610" t="str">
        <f t="shared" si="48"/>
        <v>Low Risk</v>
      </c>
      <c r="X610" t="str">
        <f t="shared" si="49"/>
        <v>Fair</v>
      </c>
    </row>
    <row r="611" spans="1:24" x14ac:dyDescent="0.3">
      <c r="A611" t="s">
        <v>679</v>
      </c>
      <c r="B611" t="s">
        <v>20</v>
      </c>
      <c r="C611">
        <v>32</v>
      </c>
      <c r="D611" t="s">
        <v>57</v>
      </c>
      <c r="E611" t="s">
        <v>48</v>
      </c>
      <c r="F611" t="s">
        <v>75</v>
      </c>
      <c r="G611" t="s">
        <v>49</v>
      </c>
      <c r="H611" t="s">
        <v>25</v>
      </c>
      <c r="I611" t="s">
        <v>26</v>
      </c>
      <c r="J611" t="s">
        <v>27</v>
      </c>
      <c r="K611">
        <v>3</v>
      </c>
      <c r="L611">
        <v>57445</v>
      </c>
      <c r="M611" t="s">
        <v>45</v>
      </c>
      <c r="N611">
        <v>4</v>
      </c>
      <c r="O611">
        <v>1</v>
      </c>
      <c r="P611">
        <v>35</v>
      </c>
      <c r="Q611">
        <v>0</v>
      </c>
      <c r="R611" s="1">
        <v>43951</v>
      </c>
      <c r="S611" t="s">
        <v>29</v>
      </c>
      <c r="T611" t="str">
        <f t="shared" si="45"/>
        <v>Grade B</v>
      </c>
      <c r="U611">
        <f t="shared" si="46"/>
        <v>2</v>
      </c>
      <c r="V611" t="str">
        <f t="shared" si="47"/>
        <v>Junior</v>
      </c>
      <c r="W611" t="str">
        <f t="shared" si="48"/>
        <v>Medium Risk</v>
      </c>
      <c r="X611" t="str">
        <f t="shared" si="49"/>
        <v>Fair</v>
      </c>
    </row>
    <row r="612" spans="1:24" x14ac:dyDescent="0.3">
      <c r="A612" t="s">
        <v>680</v>
      </c>
      <c r="B612" t="s">
        <v>20</v>
      </c>
      <c r="C612">
        <v>29</v>
      </c>
      <c r="D612" t="s">
        <v>57</v>
      </c>
      <c r="E612" t="s">
        <v>48</v>
      </c>
      <c r="F612" t="s">
        <v>53</v>
      </c>
      <c r="G612" t="s">
        <v>24</v>
      </c>
      <c r="H612" t="s">
        <v>25</v>
      </c>
      <c r="I612" t="s">
        <v>54</v>
      </c>
      <c r="J612" t="s">
        <v>27</v>
      </c>
      <c r="K612">
        <v>1</v>
      </c>
      <c r="L612">
        <v>82029</v>
      </c>
      <c r="M612" t="s">
        <v>45</v>
      </c>
      <c r="N612">
        <v>1</v>
      </c>
      <c r="O612">
        <v>4</v>
      </c>
      <c r="P612">
        <v>26</v>
      </c>
      <c r="Q612">
        <v>3</v>
      </c>
      <c r="R612" s="1">
        <v>44672</v>
      </c>
      <c r="S612" t="s">
        <v>29</v>
      </c>
      <c r="T612" t="str">
        <f t="shared" si="45"/>
        <v>Grade A</v>
      </c>
      <c r="U612">
        <f t="shared" si="46"/>
        <v>2</v>
      </c>
      <c r="V612" t="str">
        <f t="shared" si="47"/>
        <v>New Joiner</v>
      </c>
      <c r="W612" t="str">
        <f t="shared" si="48"/>
        <v>Medium Risk</v>
      </c>
      <c r="X612" t="str">
        <f t="shared" si="49"/>
        <v>Fair</v>
      </c>
    </row>
    <row r="613" spans="1:24" x14ac:dyDescent="0.3">
      <c r="A613" t="s">
        <v>681</v>
      </c>
      <c r="B613" t="s">
        <v>20</v>
      </c>
      <c r="C613">
        <v>35</v>
      </c>
      <c r="D613" t="s">
        <v>31</v>
      </c>
      <c r="E613" t="s">
        <v>22</v>
      </c>
      <c r="F613" t="s">
        <v>41</v>
      </c>
      <c r="G613" t="s">
        <v>49</v>
      </c>
      <c r="H613" t="s">
        <v>83</v>
      </c>
      <c r="I613" t="s">
        <v>54</v>
      </c>
      <c r="J613" t="s">
        <v>27</v>
      </c>
      <c r="K613">
        <v>12</v>
      </c>
      <c r="L613">
        <v>77768</v>
      </c>
      <c r="M613" t="s">
        <v>28</v>
      </c>
      <c r="N613">
        <v>2</v>
      </c>
      <c r="O613">
        <v>1</v>
      </c>
      <c r="P613">
        <v>57</v>
      </c>
      <c r="Q613">
        <v>2</v>
      </c>
      <c r="R613" s="1">
        <v>40827</v>
      </c>
      <c r="S613" t="s">
        <v>29</v>
      </c>
      <c r="T613" t="str">
        <f t="shared" si="45"/>
        <v>Grade B</v>
      </c>
      <c r="U613">
        <f t="shared" si="46"/>
        <v>3</v>
      </c>
      <c r="V613" t="str">
        <f t="shared" si="47"/>
        <v>Senior</v>
      </c>
      <c r="W613" t="str">
        <f t="shared" si="48"/>
        <v>Medium Risk</v>
      </c>
      <c r="X613" t="str">
        <f t="shared" si="49"/>
        <v>Competitive</v>
      </c>
    </row>
    <row r="614" spans="1:24" x14ac:dyDescent="0.3">
      <c r="A614" t="s">
        <v>682</v>
      </c>
      <c r="B614" t="s">
        <v>20</v>
      </c>
      <c r="C614">
        <v>44</v>
      </c>
      <c r="D614" t="s">
        <v>88</v>
      </c>
      <c r="E614" t="s">
        <v>48</v>
      </c>
      <c r="F614" t="s">
        <v>62</v>
      </c>
      <c r="G614" t="s">
        <v>33</v>
      </c>
      <c r="H614" t="s">
        <v>25</v>
      </c>
      <c r="I614" t="s">
        <v>50</v>
      </c>
      <c r="J614" t="s">
        <v>44</v>
      </c>
      <c r="K614">
        <v>12</v>
      </c>
      <c r="L614">
        <v>88942</v>
      </c>
      <c r="M614" t="s">
        <v>51</v>
      </c>
      <c r="N614">
        <v>3</v>
      </c>
      <c r="O614">
        <v>1</v>
      </c>
      <c r="P614">
        <v>32</v>
      </c>
      <c r="Q614">
        <v>3</v>
      </c>
      <c r="R614" s="1">
        <v>40702</v>
      </c>
      <c r="S614" t="s">
        <v>29</v>
      </c>
      <c r="T614" t="str">
        <f t="shared" si="45"/>
        <v>Grade A</v>
      </c>
      <c r="U614">
        <f t="shared" si="46"/>
        <v>4</v>
      </c>
      <c r="V614" t="str">
        <f t="shared" si="47"/>
        <v>Senior</v>
      </c>
      <c r="W614" t="str">
        <f t="shared" si="48"/>
        <v>Low Risk</v>
      </c>
      <c r="X614" t="str">
        <f t="shared" si="49"/>
        <v>Competitive</v>
      </c>
    </row>
    <row r="615" spans="1:24" x14ac:dyDescent="0.3">
      <c r="A615" t="s">
        <v>683</v>
      </c>
      <c r="B615" t="s">
        <v>20</v>
      </c>
      <c r="C615">
        <v>40</v>
      </c>
      <c r="D615" t="s">
        <v>88</v>
      </c>
      <c r="E615" t="s">
        <v>22</v>
      </c>
      <c r="F615" t="s">
        <v>65</v>
      </c>
      <c r="G615" t="s">
        <v>63</v>
      </c>
      <c r="H615" t="s">
        <v>67</v>
      </c>
      <c r="I615" t="s">
        <v>43</v>
      </c>
      <c r="J615" t="s">
        <v>44</v>
      </c>
      <c r="K615">
        <v>9</v>
      </c>
      <c r="L615">
        <v>65503</v>
      </c>
      <c r="M615" t="s">
        <v>28</v>
      </c>
      <c r="N615">
        <v>1</v>
      </c>
      <c r="O615">
        <v>1</v>
      </c>
      <c r="P615">
        <v>21</v>
      </c>
      <c r="Q615">
        <v>0</v>
      </c>
      <c r="R615" s="1">
        <v>41670</v>
      </c>
      <c r="S615" t="s">
        <v>29</v>
      </c>
      <c r="T615" t="str">
        <f t="shared" si="45"/>
        <v>Grade B</v>
      </c>
      <c r="U615">
        <f t="shared" si="46"/>
        <v>3</v>
      </c>
      <c r="V615" t="str">
        <f t="shared" si="47"/>
        <v>Mid Level</v>
      </c>
      <c r="W615" t="str">
        <f t="shared" si="48"/>
        <v>Medium Risk</v>
      </c>
      <c r="X615" t="str">
        <f t="shared" si="49"/>
        <v>Competitive</v>
      </c>
    </row>
    <row r="616" spans="1:24" x14ac:dyDescent="0.3">
      <c r="A616" t="s">
        <v>684</v>
      </c>
      <c r="B616" t="s">
        <v>20</v>
      </c>
      <c r="C616">
        <v>48</v>
      </c>
      <c r="D616" t="s">
        <v>47</v>
      </c>
      <c r="E616" t="s">
        <v>22</v>
      </c>
      <c r="F616" t="s">
        <v>75</v>
      </c>
      <c r="G616" t="s">
        <v>79</v>
      </c>
      <c r="H616" t="s">
        <v>83</v>
      </c>
      <c r="I616" t="s">
        <v>54</v>
      </c>
      <c r="J616" t="s">
        <v>27</v>
      </c>
      <c r="K616">
        <v>12</v>
      </c>
      <c r="L616">
        <v>68552</v>
      </c>
      <c r="M616" t="s">
        <v>36</v>
      </c>
      <c r="N616">
        <v>4</v>
      </c>
      <c r="O616">
        <v>4</v>
      </c>
      <c r="P616">
        <v>24</v>
      </c>
      <c r="Q616">
        <v>1</v>
      </c>
      <c r="R616" s="1">
        <v>40896</v>
      </c>
      <c r="S616" t="s">
        <v>29</v>
      </c>
      <c r="T616" t="str">
        <f t="shared" si="45"/>
        <v>Grade B</v>
      </c>
      <c r="U616">
        <f t="shared" si="46"/>
        <v>1</v>
      </c>
      <c r="V616" t="str">
        <f t="shared" si="47"/>
        <v>Senior</v>
      </c>
      <c r="W616" t="str">
        <f t="shared" si="48"/>
        <v>Medium Risk</v>
      </c>
      <c r="X616" t="str">
        <f t="shared" si="49"/>
        <v>Fair</v>
      </c>
    </row>
    <row r="617" spans="1:24" x14ac:dyDescent="0.3">
      <c r="A617" t="s">
        <v>685</v>
      </c>
      <c r="B617" t="s">
        <v>20</v>
      </c>
      <c r="C617">
        <v>39</v>
      </c>
      <c r="D617" t="s">
        <v>31</v>
      </c>
      <c r="E617" t="s">
        <v>48</v>
      </c>
      <c r="F617" t="s">
        <v>41</v>
      </c>
      <c r="G617" t="s">
        <v>63</v>
      </c>
      <c r="H617" t="s">
        <v>25</v>
      </c>
      <c r="I617" t="s">
        <v>96</v>
      </c>
      <c r="J617" t="s">
        <v>44</v>
      </c>
      <c r="K617">
        <v>7</v>
      </c>
      <c r="L617">
        <v>49249</v>
      </c>
      <c r="M617" t="s">
        <v>36</v>
      </c>
      <c r="N617">
        <v>4</v>
      </c>
      <c r="O617">
        <v>2</v>
      </c>
      <c r="P617">
        <v>10</v>
      </c>
      <c r="Q617">
        <v>3</v>
      </c>
      <c r="R617" s="1">
        <v>42478</v>
      </c>
      <c r="S617" t="s">
        <v>37</v>
      </c>
      <c r="T617" t="str">
        <f t="shared" si="45"/>
        <v>Grade C</v>
      </c>
      <c r="U617">
        <f t="shared" si="46"/>
        <v>1</v>
      </c>
      <c r="V617" t="str">
        <f t="shared" si="47"/>
        <v>Mid Level</v>
      </c>
      <c r="W617" t="str">
        <f t="shared" si="48"/>
        <v>Already Left</v>
      </c>
      <c r="X617" t="str">
        <f t="shared" si="49"/>
        <v>Fair</v>
      </c>
    </row>
    <row r="618" spans="1:24" x14ac:dyDescent="0.3">
      <c r="A618" t="s">
        <v>686</v>
      </c>
      <c r="B618" t="s">
        <v>20</v>
      </c>
      <c r="C618">
        <v>32</v>
      </c>
      <c r="D618" t="s">
        <v>88</v>
      </c>
      <c r="E618" t="s">
        <v>48</v>
      </c>
      <c r="F618" t="s">
        <v>23</v>
      </c>
      <c r="G618" t="s">
        <v>66</v>
      </c>
      <c r="H618" t="s">
        <v>83</v>
      </c>
      <c r="I618" t="s">
        <v>50</v>
      </c>
      <c r="J618" t="s">
        <v>44</v>
      </c>
      <c r="K618">
        <v>13</v>
      </c>
      <c r="L618">
        <v>68005</v>
      </c>
      <c r="M618" t="s">
        <v>28</v>
      </c>
      <c r="N618">
        <v>2</v>
      </c>
      <c r="O618">
        <v>4</v>
      </c>
      <c r="P618">
        <v>34</v>
      </c>
      <c r="Q618">
        <v>3</v>
      </c>
      <c r="R618" s="1">
        <v>40385</v>
      </c>
      <c r="S618" t="s">
        <v>29</v>
      </c>
      <c r="T618" t="str">
        <f t="shared" si="45"/>
        <v>Grade B</v>
      </c>
      <c r="U618">
        <f t="shared" si="46"/>
        <v>3</v>
      </c>
      <c r="V618" t="str">
        <f t="shared" si="47"/>
        <v>Senior</v>
      </c>
      <c r="W618" t="str">
        <f t="shared" si="48"/>
        <v>Medium Risk</v>
      </c>
      <c r="X618" t="str">
        <f t="shared" si="49"/>
        <v>Competitive</v>
      </c>
    </row>
    <row r="619" spans="1:24" x14ac:dyDescent="0.3">
      <c r="A619" t="s">
        <v>687</v>
      </c>
      <c r="B619" t="s">
        <v>20</v>
      </c>
      <c r="C619">
        <v>36</v>
      </c>
      <c r="D619" t="s">
        <v>21</v>
      </c>
      <c r="E619" t="s">
        <v>40</v>
      </c>
      <c r="F619" t="s">
        <v>75</v>
      </c>
      <c r="G619" t="s">
        <v>24</v>
      </c>
      <c r="H619" t="s">
        <v>67</v>
      </c>
      <c r="I619" t="s">
        <v>50</v>
      </c>
      <c r="J619" t="s">
        <v>44</v>
      </c>
      <c r="K619">
        <v>12</v>
      </c>
      <c r="L619">
        <v>102209</v>
      </c>
      <c r="M619" t="s">
        <v>36</v>
      </c>
      <c r="N619">
        <v>2</v>
      </c>
      <c r="O619">
        <v>1</v>
      </c>
      <c r="P619">
        <v>60</v>
      </c>
      <c r="Q619">
        <v>2</v>
      </c>
      <c r="R619" s="1">
        <v>40831</v>
      </c>
      <c r="S619" t="s">
        <v>29</v>
      </c>
      <c r="T619" t="str">
        <f t="shared" si="45"/>
        <v>Grade A</v>
      </c>
      <c r="U619">
        <f t="shared" si="46"/>
        <v>1</v>
      </c>
      <c r="V619" t="str">
        <f t="shared" si="47"/>
        <v>Senior</v>
      </c>
      <c r="W619" t="str">
        <f t="shared" si="48"/>
        <v>Medium Risk</v>
      </c>
      <c r="X619" t="str">
        <f t="shared" si="49"/>
        <v>Overpaid</v>
      </c>
    </row>
    <row r="620" spans="1:24" x14ac:dyDescent="0.3">
      <c r="A620" t="s">
        <v>688</v>
      </c>
      <c r="B620" t="s">
        <v>39</v>
      </c>
      <c r="C620">
        <v>23</v>
      </c>
      <c r="D620" t="s">
        <v>88</v>
      </c>
      <c r="E620" t="s">
        <v>40</v>
      </c>
      <c r="F620" t="s">
        <v>53</v>
      </c>
      <c r="G620" t="s">
        <v>79</v>
      </c>
      <c r="H620" t="s">
        <v>25</v>
      </c>
      <c r="I620" t="s">
        <v>35</v>
      </c>
      <c r="J620" t="s">
        <v>27</v>
      </c>
      <c r="K620">
        <v>2</v>
      </c>
      <c r="L620">
        <v>34840</v>
      </c>
      <c r="M620" t="s">
        <v>28</v>
      </c>
      <c r="N620">
        <v>1</v>
      </c>
      <c r="O620">
        <v>4</v>
      </c>
      <c r="P620">
        <v>13</v>
      </c>
      <c r="Q620">
        <v>1</v>
      </c>
      <c r="R620" s="1">
        <v>44557</v>
      </c>
      <c r="S620" t="s">
        <v>29</v>
      </c>
      <c r="T620" t="str">
        <f t="shared" si="45"/>
        <v>Grade D</v>
      </c>
      <c r="U620">
        <f t="shared" si="46"/>
        <v>3</v>
      </c>
      <c r="V620" t="str">
        <f t="shared" si="47"/>
        <v>New Joiner</v>
      </c>
      <c r="W620" t="str">
        <f t="shared" si="48"/>
        <v>Medium Risk</v>
      </c>
      <c r="X620" t="str">
        <f t="shared" si="49"/>
        <v>Fair</v>
      </c>
    </row>
    <row r="621" spans="1:24" x14ac:dyDescent="0.3">
      <c r="A621" t="s">
        <v>689</v>
      </c>
      <c r="B621" t="s">
        <v>39</v>
      </c>
      <c r="C621">
        <v>46</v>
      </c>
      <c r="D621" t="s">
        <v>31</v>
      </c>
      <c r="E621" t="s">
        <v>40</v>
      </c>
      <c r="F621" t="s">
        <v>65</v>
      </c>
      <c r="G621" t="s">
        <v>49</v>
      </c>
      <c r="H621" t="s">
        <v>67</v>
      </c>
      <c r="I621" t="s">
        <v>96</v>
      </c>
      <c r="J621" t="s">
        <v>44</v>
      </c>
      <c r="K621">
        <v>11</v>
      </c>
      <c r="L621">
        <v>71729</v>
      </c>
      <c r="M621" t="s">
        <v>28</v>
      </c>
      <c r="N621">
        <v>1</v>
      </c>
      <c r="O621">
        <v>3</v>
      </c>
      <c r="P621">
        <v>20</v>
      </c>
      <c r="Q621">
        <v>1</v>
      </c>
      <c r="R621" s="1">
        <v>41003</v>
      </c>
      <c r="S621" t="s">
        <v>29</v>
      </c>
      <c r="T621" t="str">
        <f t="shared" si="45"/>
        <v>Grade B</v>
      </c>
      <c r="U621">
        <f t="shared" si="46"/>
        <v>3</v>
      </c>
      <c r="V621" t="str">
        <f t="shared" si="47"/>
        <v>Senior</v>
      </c>
      <c r="W621" t="str">
        <f t="shared" si="48"/>
        <v>Medium Risk</v>
      </c>
      <c r="X621" t="str">
        <f t="shared" si="49"/>
        <v>Competitive</v>
      </c>
    </row>
    <row r="622" spans="1:24" x14ac:dyDescent="0.3">
      <c r="A622" t="s">
        <v>690</v>
      </c>
      <c r="B622" t="s">
        <v>39</v>
      </c>
      <c r="C622">
        <v>27</v>
      </c>
      <c r="D622" t="s">
        <v>21</v>
      </c>
      <c r="E622" t="s">
        <v>48</v>
      </c>
      <c r="F622" t="s">
        <v>41</v>
      </c>
      <c r="G622" t="s">
        <v>79</v>
      </c>
      <c r="H622" t="s">
        <v>83</v>
      </c>
      <c r="I622" t="s">
        <v>50</v>
      </c>
      <c r="J622" t="s">
        <v>44</v>
      </c>
      <c r="K622">
        <v>15</v>
      </c>
      <c r="L622">
        <v>63508</v>
      </c>
      <c r="M622" t="s">
        <v>36</v>
      </c>
      <c r="N622">
        <v>3</v>
      </c>
      <c r="O622">
        <v>2</v>
      </c>
      <c r="P622">
        <v>60</v>
      </c>
      <c r="Q622">
        <v>0</v>
      </c>
      <c r="R622" s="1">
        <v>39683</v>
      </c>
      <c r="S622" t="s">
        <v>37</v>
      </c>
      <c r="T622" t="str">
        <f t="shared" si="45"/>
        <v>Grade B</v>
      </c>
      <c r="U622">
        <f t="shared" si="46"/>
        <v>1</v>
      </c>
      <c r="V622" t="str">
        <f t="shared" si="47"/>
        <v>Senior</v>
      </c>
      <c r="W622" t="str">
        <f t="shared" si="48"/>
        <v>Already Left</v>
      </c>
      <c r="X622" t="str">
        <f t="shared" si="49"/>
        <v>Fair</v>
      </c>
    </row>
    <row r="623" spans="1:24" x14ac:dyDescent="0.3">
      <c r="A623" t="s">
        <v>691</v>
      </c>
      <c r="B623" t="s">
        <v>20</v>
      </c>
      <c r="C623">
        <v>50</v>
      </c>
      <c r="D623" t="s">
        <v>47</v>
      </c>
      <c r="E623" t="s">
        <v>22</v>
      </c>
      <c r="F623" t="s">
        <v>23</v>
      </c>
      <c r="G623" t="s">
        <v>79</v>
      </c>
      <c r="H623" t="s">
        <v>76</v>
      </c>
      <c r="I623" t="s">
        <v>96</v>
      </c>
      <c r="J623" t="s">
        <v>44</v>
      </c>
      <c r="K623">
        <v>8</v>
      </c>
      <c r="L623">
        <v>52890</v>
      </c>
      <c r="M623" t="s">
        <v>51</v>
      </c>
      <c r="N623">
        <v>3</v>
      </c>
      <c r="O623">
        <v>1</v>
      </c>
      <c r="P623">
        <v>32</v>
      </c>
      <c r="Q623">
        <v>0</v>
      </c>
      <c r="R623" s="1">
        <v>42180</v>
      </c>
      <c r="S623" t="s">
        <v>29</v>
      </c>
      <c r="T623" t="str">
        <f t="shared" si="45"/>
        <v>Grade B</v>
      </c>
      <c r="U623">
        <f t="shared" si="46"/>
        <v>4</v>
      </c>
      <c r="V623" t="str">
        <f t="shared" si="47"/>
        <v>Mid Level</v>
      </c>
      <c r="W623" t="str">
        <f t="shared" si="48"/>
        <v>Low Risk</v>
      </c>
      <c r="X623" t="str">
        <f t="shared" si="49"/>
        <v>Fair</v>
      </c>
    </row>
    <row r="624" spans="1:24" x14ac:dyDescent="0.3">
      <c r="A624" t="s">
        <v>692</v>
      </c>
      <c r="B624" t="s">
        <v>39</v>
      </c>
      <c r="C624">
        <v>34</v>
      </c>
      <c r="D624" t="s">
        <v>88</v>
      </c>
      <c r="E624" t="s">
        <v>22</v>
      </c>
      <c r="F624" t="s">
        <v>65</v>
      </c>
      <c r="G624" t="s">
        <v>58</v>
      </c>
      <c r="H624" t="s">
        <v>25</v>
      </c>
      <c r="I624" t="s">
        <v>26</v>
      </c>
      <c r="J624" t="s">
        <v>27</v>
      </c>
      <c r="K624">
        <v>10</v>
      </c>
      <c r="L624">
        <v>100190</v>
      </c>
      <c r="M624" t="s">
        <v>36</v>
      </c>
      <c r="N624">
        <v>1</v>
      </c>
      <c r="O624">
        <v>2</v>
      </c>
      <c r="P624">
        <v>37</v>
      </c>
      <c r="Q624">
        <v>2</v>
      </c>
      <c r="R624" s="1">
        <v>41512</v>
      </c>
      <c r="S624" t="s">
        <v>29</v>
      </c>
      <c r="T624" t="str">
        <f t="shared" si="45"/>
        <v>Grade A</v>
      </c>
      <c r="U624">
        <f t="shared" si="46"/>
        <v>1</v>
      </c>
      <c r="V624" t="str">
        <f t="shared" si="47"/>
        <v>Mid Level</v>
      </c>
      <c r="W624" t="str">
        <f t="shared" si="48"/>
        <v>Medium Risk</v>
      </c>
      <c r="X624" t="str">
        <f t="shared" si="49"/>
        <v>Overpaid</v>
      </c>
    </row>
    <row r="625" spans="1:24" x14ac:dyDescent="0.3">
      <c r="A625" t="s">
        <v>693</v>
      </c>
      <c r="B625" t="s">
        <v>20</v>
      </c>
      <c r="C625">
        <v>52</v>
      </c>
      <c r="D625" t="s">
        <v>47</v>
      </c>
      <c r="E625" t="s">
        <v>22</v>
      </c>
      <c r="F625" t="s">
        <v>32</v>
      </c>
      <c r="G625" t="s">
        <v>49</v>
      </c>
      <c r="H625" t="s">
        <v>83</v>
      </c>
      <c r="I625" t="s">
        <v>26</v>
      </c>
      <c r="J625" t="s">
        <v>27</v>
      </c>
      <c r="K625">
        <v>3</v>
      </c>
      <c r="L625">
        <v>48734</v>
      </c>
      <c r="M625" t="s">
        <v>45</v>
      </c>
      <c r="N625">
        <v>3</v>
      </c>
      <c r="O625">
        <v>3</v>
      </c>
      <c r="P625">
        <v>69</v>
      </c>
      <c r="Q625">
        <v>3</v>
      </c>
      <c r="R625" s="1">
        <v>44060</v>
      </c>
      <c r="S625" t="s">
        <v>29</v>
      </c>
      <c r="T625" t="str">
        <f t="shared" si="45"/>
        <v>Grade C</v>
      </c>
      <c r="U625">
        <f t="shared" si="46"/>
        <v>2</v>
      </c>
      <c r="V625" t="str">
        <f t="shared" si="47"/>
        <v>Junior</v>
      </c>
      <c r="W625" t="str">
        <f t="shared" si="48"/>
        <v>Medium Risk</v>
      </c>
      <c r="X625" t="str">
        <f t="shared" si="49"/>
        <v>Fair</v>
      </c>
    </row>
    <row r="626" spans="1:24" x14ac:dyDescent="0.3">
      <c r="A626" t="s">
        <v>694</v>
      </c>
      <c r="B626" t="s">
        <v>20</v>
      </c>
      <c r="C626">
        <v>32</v>
      </c>
      <c r="D626" t="s">
        <v>47</v>
      </c>
      <c r="E626" t="s">
        <v>40</v>
      </c>
      <c r="F626" t="s">
        <v>75</v>
      </c>
      <c r="G626" t="s">
        <v>49</v>
      </c>
      <c r="H626" t="s">
        <v>67</v>
      </c>
      <c r="I626" t="s">
        <v>43</v>
      </c>
      <c r="J626" t="s">
        <v>44</v>
      </c>
      <c r="K626">
        <v>3</v>
      </c>
      <c r="L626">
        <v>55210</v>
      </c>
      <c r="M626" t="s">
        <v>45</v>
      </c>
      <c r="N626">
        <v>4</v>
      </c>
      <c r="O626">
        <v>4</v>
      </c>
      <c r="P626">
        <v>67</v>
      </c>
      <c r="Q626">
        <v>3</v>
      </c>
      <c r="R626" s="1">
        <v>44145</v>
      </c>
      <c r="S626" t="s">
        <v>29</v>
      </c>
      <c r="T626" t="str">
        <f t="shared" si="45"/>
        <v>Grade B</v>
      </c>
      <c r="U626">
        <f t="shared" si="46"/>
        <v>2</v>
      </c>
      <c r="V626" t="str">
        <f t="shared" si="47"/>
        <v>Junior</v>
      </c>
      <c r="W626" t="str">
        <f t="shared" si="48"/>
        <v>Medium Risk</v>
      </c>
      <c r="X626" t="str">
        <f t="shared" si="49"/>
        <v>Fair</v>
      </c>
    </row>
    <row r="627" spans="1:24" x14ac:dyDescent="0.3">
      <c r="A627" t="s">
        <v>695</v>
      </c>
      <c r="B627" t="s">
        <v>20</v>
      </c>
      <c r="C627">
        <v>45</v>
      </c>
      <c r="D627" t="s">
        <v>21</v>
      </c>
      <c r="E627" t="s">
        <v>48</v>
      </c>
      <c r="F627" t="s">
        <v>62</v>
      </c>
      <c r="G627" t="s">
        <v>63</v>
      </c>
      <c r="H627" t="s">
        <v>25</v>
      </c>
      <c r="I627" t="s">
        <v>54</v>
      </c>
      <c r="J627" t="s">
        <v>27</v>
      </c>
      <c r="K627">
        <v>10</v>
      </c>
      <c r="L627">
        <v>69067</v>
      </c>
      <c r="M627" t="s">
        <v>51</v>
      </c>
      <c r="N627">
        <v>2</v>
      </c>
      <c r="O627">
        <v>1</v>
      </c>
      <c r="P627">
        <v>75</v>
      </c>
      <c r="Q627">
        <v>2</v>
      </c>
      <c r="R627" s="1">
        <v>41352</v>
      </c>
      <c r="S627" t="s">
        <v>29</v>
      </c>
      <c r="T627" t="str">
        <f t="shared" si="45"/>
        <v>Grade B</v>
      </c>
      <c r="U627">
        <f t="shared" si="46"/>
        <v>4</v>
      </c>
      <c r="V627" t="str">
        <f t="shared" si="47"/>
        <v>Mid Level</v>
      </c>
      <c r="W627" t="str">
        <f t="shared" si="48"/>
        <v>Low Risk</v>
      </c>
      <c r="X627" t="str">
        <f t="shared" si="49"/>
        <v>Fair</v>
      </c>
    </row>
    <row r="628" spans="1:24" x14ac:dyDescent="0.3">
      <c r="A628" t="s">
        <v>696</v>
      </c>
      <c r="B628" t="s">
        <v>20</v>
      </c>
      <c r="C628">
        <v>33</v>
      </c>
      <c r="D628" t="s">
        <v>31</v>
      </c>
      <c r="E628" t="s">
        <v>22</v>
      </c>
      <c r="F628" t="s">
        <v>75</v>
      </c>
      <c r="G628" t="s">
        <v>58</v>
      </c>
      <c r="H628" t="s">
        <v>25</v>
      </c>
      <c r="I628" t="s">
        <v>54</v>
      </c>
      <c r="J628" t="s">
        <v>27</v>
      </c>
      <c r="K628">
        <v>7</v>
      </c>
      <c r="L628">
        <v>92756</v>
      </c>
      <c r="M628" t="s">
        <v>45</v>
      </c>
      <c r="N628">
        <v>1</v>
      </c>
      <c r="O628">
        <v>2</v>
      </c>
      <c r="P628">
        <v>57</v>
      </c>
      <c r="Q628">
        <v>2</v>
      </c>
      <c r="R628" s="1">
        <v>42572</v>
      </c>
      <c r="S628" t="s">
        <v>29</v>
      </c>
      <c r="T628" t="str">
        <f t="shared" si="45"/>
        <v>Grade A</v>
      </c>
      <c r="U628">
        <f t="shared" si="46"/>
        <v>2</v>
      </c>
      <c r="V628" t="str">
        <f t="shared" si="47"/>
        <v>Mid Level</v>
      </c>
      <c r="W628" t="str">
        <f t="shared" si="48"/>
        <v>Medium Risk</v>
      </c>
      <c r="X628" t="str">
        <f t="shared" si="49"/>
        <v>Fair</v>
      </c>
    </row>
    <row r="629" spans="1:24" x14ac:dyDescent="0.3">
      <c r="A629" t="s">
        <v>697</v>
      </c>
      <c r="B629" t="s">
        <v>20</v>
      </c>
      <c r="C629">
        <v>36</v>
      </c>
      <c r="D629" t="s">
        <v>88</v>
      </c>
      <c r="E629" t="s">
        <v>22</v>
      </c>
      <c r="F629" t="s">
        <v>65</v>
      </c>
      <c r="G629" t="s">
        <v>58</v>
      </c>
      <c r="H629" t="s">
        <v>83</v>
      </c>
      <c r="I629" t="s">
        <v>68</v>
      </c>
      <c r="J629" t="s">
        <v>60</v>
      </c>
      <c r="K629">
        <v>6</v>
      </c>
      <c r="L629">
        <v>97776</v>
      </c>
      <c r="M629" t="s">
        <v>51</v>
      </c>
      <c r="N629">
        <v>4</v>
      </c>
      <c r="O629">
        <v>3</v>
      </c>
      <c r="P629">
        <v>37</v>
      </c>
      <c r="Q629">
        <v>1</v>
      </c>
      <c r="R629" s="1">
        <v>42864</v>
      </c>
      <c r="S629" t="s">
        <v>29</v>
      </c>
      <c r="T629" t="str">
        <f t="shared" si="45"/>
        <v>Grade A</v>
      </c>
      <c r="U629">
        <f t="shared" si="46"/>
        <v>4</v>
      </c>
      <c r="V629" t="str">
        <f t="shared" si="47"/>
        <v>Mid Level</v>
      </c>
      <c r="W629" t="str">
        <f t="shared" si="48"/>
        <v>Low Risk</v>
      </c>
      <c r="X629" t="str">
        <f t="shared" si="49"/>
        <v>Competitive</v>
      </c>
    </row>
    <row r="630" spans="1:24" x14ac:dyDescent="0.3">
      <c r="A630" t="s">
        <v>698</v>
      </c>
      <c r="B630" t="s">
        <v>39</v>
      </c>
      <c r="C630">
        <v>34</v>
      </c>
      <c r="D630" t="s">
        <v>21</v>
      </c>
      <c r="E630" t="s">
        <v>48</v>
      </c>
      <c r="F630" t="s">
        <v>62</v>
      </c>
      <c r="G630" t="s">
        <v>63</v>
      </c>
      <c r="H630" t="s">
        <v>34</v>
      </c>
      <c r="I630" t="s">
        <v>26</v>
      </c>
      <c r="J630" t="s">
        <v>27</v>
      </c>
      <c r="K630">
        <v>10</v>
      </c>
      <c r="L630">
        <v>69260</v>
      </c>
      <c r="M630" t="s">
        <v>51</v>
      </c>
      <c r="N630">
        <v>4</v>
      </c>
      <c r="O630">
        <v>1</v>
      </c>
      <c r="P630">
        <v>45</v>
      </c>
      <c r="Q630">
        <v>3</v>
      </c>
      <c r="R630" s="1">
        <v>41479</v>
      </c>
      <c r="S630" t="s">
        <v>29</v>
      </c>
      <c r="T630" t="str">
        <f t="shared" si="45"/>
        <v>Grade B</v>
      </c>
      <c r="U630">
        <f t="shared" si="46"/>
        <v>4</v>
      </c>
      <c r="V630" t="str">
        <f t="shared" si="47"/>
        <v>Mid Level</v>
      </c>
      <c r="W630" t="str">
        <f t="shared" si="48"/>
        <v>Low Risk</v>
      </c>
      <c r="X630" t="str">
        <f t="shared" si="49"/>
        <v>Fair</v>
      </c>
    </row>
    <row r="631" spans="1:24" x14ac:dyDescent="0.3">
      <c r="A631" t="s">
        <v>699</v>
      </c>
      <c r="B631" t="s">
        <v>39</v>
      </c>
      <c r="C631">
        <v>40</v>
      </c>
      <c r="D631" t="s">
        <v>21</v>
      </c>
      <c r="E631" t="s">
        <v>40</v>
      </c>
      <c r="F631" t="s">
        <v>41</v>
      </c>
      <c r="G631" t="s">
        <v>66</v>
      </c>
      <c r="H631" t="s">
        <v>76</v>
      </c>
      <c r="I631" t="s">
        <v>26</v>
      </c>
      <c r="J631" t="s">
        <v>27</v>
      </c>
      <c r="K631">
        <v>10</v>
      </c>
      <c r="L631">
        <v>64371</v>
      </c>
      <c r="M631" t="s">
        <v>28</v>
      </c>
      <c r="N631">
        <v>1</v>
      </c>
      <c r="O631">
        <v>4</v>
      </c>
      <c r="P631">
        <v>46</v>
      </c>
      <c r="Q631">
        <v>1</v>
      </c>
      <c r="R631" s="1">
        <v>41521</v>
      </c>
      <c r="S631" t="s">
        <v>29</v>
      </c>
      <c r="T631" t="str">
        <f t="shared" si="45"/>
        <v>Grade B</v>
      </c>
      <c r="U631">
        <f t="shared" si="46"/>
        <v>3</v>
      </c>
      <c r="V631" t="str">
        <f t="shared" si="47"/>
        <v>Mid Level</v>
      </c>
      <c r="W631" t="str">
        <f t="shared" si="48"/>
        <v>Medium Risk</v>
      </c>
      <c r="X631" t="str">
        <f t="shared" si="49"/>
        <v>Competitive</v>
      </c>
    </row>
    <row r="632" spans="1:24" x14ac:dyDescent="0.3">
      <c r="A632" t="s">
        <v>700</v>
      </c>
      <c r="B632" t="s">
        <v>20</v>
      </c>
      <c r="C632">
        <v>41</v>
      </c>
      <c r="D632" t="s">
        <v>31</v>
      </c>
      <c r="E632" t="s">
        <v>48</v>
      </c>
      <c r="F632" t="s">
        <v>23</v>
      </c>
      <c r="G632" t="s">
        <v>58</v>
      </c>
      <c r="H632" t="s">
        <v>34</v>
      </c>
      <c r="I632" t="s">
        <v>43</v>
      </c>
      <c r="J632" t="s">
        <v>44</v>
      </c>
      <c r="K632">
        <v>6</v>
      </c>
      <c r="L632">
        <v>89275</v>
      </c>
      <c r="M632" t="s">
        <v>51</v>
      </c>
      <c r="N632">
        <v>3</v>
      </c>
      <c r="O632">
        <v>4</v>
      </c>
      <c r="P632">
        <v>20</v>
      </c>
      <c r="Q632">
        <v>2</v>
      </c>
      <c r="R632" s="1">
        <v>43054</v>
      </c>
      <c r="S632" t="s">
        <v>29</v>
      </c>
      <c r="T632" t="str">
        <f t="shared" si="45"/>
        <v>Grade A</v>
      </c>
      <c r="U632">
        <f t="shared" si="46"/>
        <v>4</v>
      </c>
      <c r="V632" t="str">
        <f t="shared" si="47"/>
        <v>Mid Level</v>
      </c>
      <c r="W632" t="str">
        <f t="shared" si="48"/>
        <v>Low Risk</v>
      </c>
      <c r="X632" t="str">
        <f t="shared" si="49"/>
        <v>Competitive</v>
      </c>
    </row>
    <row r="633" spans="1:24" x14ac:dyDescent="0.3">
      <c r="A633" t="s">
        <v>701</v>
      </c>
      <c r="B633" t="s">
        <v>39</v>
      </c>
      <c r="C633">
        <v>23</v>
      </c>
      <c r="D633" t="s">
        <v>47</v>
      </c>
      <c r="E633" t="s">
        <v>22</v>
      </c>
      <c r="F633" t="s">
        <v>23</v>
      </c>
      <c r="G633" t="s">
        <v>33</v>
      </c>
      <c r="H633" t="s">
        <v>76</v>
      </c>
      <c r="I633" t="s">
        <v>96</v>
      </c>
      <c r="J633" t="s">
        <v>44</v>
      </c>
      <c r="K633">
        <v>12</v>
      </c>
      <c r="L633">
        <v>90165</v>
      </c>
      <c r="M633" t="s">
        <v>45</v>
      </c>
      <c r="N633">
        <v>1</v>
      </c>
      <c r="O633">
        <v>2</v>
      </c>
      <c r="P633">
        <v>23</v>
      </c>
      <c r="Q633">
        <v>2</v>
      </c>
      <c r="R633" s="1">
        <v>40721</v>
      </c>
      <c r="S633" t="s">
        <v>37</v>
      </c>
      <c r="T633" t="str">
        <f t="shared" si="45"/>
        <v>Grade A</v>
      </c>
      <c r="U633">
        <f t="shared" si="46"/>
        <v>2</v>
      </c>
      <c r="V633" t="str">
        <f t="shared" si="47"/>
        <v>Senior</v>
      </c>
      <c r="W633" t="str">
        <f t="shared" si="48"/>
        <v>Already Left</v>
      </c>
      <c r="X633" t="str">
        <f t="shared" si="49"/>
        <v>Fair</v>
      </c>
    </row>
    <row r="634" spans="1:24" x14ac:dyDescent="0.3">
      <c r="A634" t="s">
        <v>702</v>
      </c>
      <c r="B634" t="s">
        <v>39</v>
      </c>
      <c r="C634">
        <v>38</v>
      </c>
      <c r="D634" t="s">
        <v>21</v>
      </c>
      <c r="E634" t="s">
        <v>22</v>
      </c>
      <c r="F634" t="s">
        <v>32</v>
      </c>
      <c r="G634" t="s">
        <v>66</v>
      </c>
      <c r="H634" t="s">
        <v>67</v>
      </c>
      <c r="I634" t="s">
        <v>43</v>
      </c>
      <c r="J634" t="s">
        <v>44</v>
      </c>
      <c r="K634">
        <v>4</v>
      </c>
      <c r="L634">
        <v>50614</v>
      </c>
      <c r="M634" t="s">
        <v>51</v>
      </c>
      <c r="N634">
        <v>1</v>
      </c>
      <c r="O634">
        <v>3</v>
      </c>
      <c r="P634">
        <v>19</v>
      </c>
      <c r="Q634">
        <v>2</v>
      </c>
      <c r="R634" s="1">
        <v>43480</v>
      </c>
      <c r="S634" t="s">
        <v>37</v>
      </c>
      <c r="T634" t="str">
        <f t="shared" si="45"/>
        <v>Grade B</v>
      </c>
      <c r="U634">
        <f t="shared" si="46"/>
        <v>4</v>
      </c>
      <c r="V634" t="str">
        <f t="shared" si="47"/>
        <v>Junior</v>
      </c>
      <c r="W634" t="str">
        <f t="shared" si="48"/>
        <v>Already Left</v>
      </c>
      <c r="X634" t="str">
        <f t="shared" si="49"/>
        <v>Fair</v>
      </c>
    </row>
    <row r="635" spans="1:24" x14ac:dyDescent="0.3">
      <c r="A635" t="s">
        <v>703</v>
      </c>
      <c r="B635" t="s">
        <v>39</v>
      </c>
      <c r="C635">
        <v>42</v>
      </c>
      <c r="D635" t="s">
        <v>47</v>
      </c>
      <c r="E635" t="s">
        <v>40</v>
      </c>
      <c r="F635" t="s">
        <v>75</v>
      </c>
      <c r="G635" t="s">
        <v>24</v>
      </c>
      <c r="H635" t="s">
        <v>25</v>
      </c>
      <c r="I635" t="s">
        <v>72</v>
      </c>
      <c r="J635" t="s">
        <v>73</v>
      </c>
      <c r="K635">
        <v>15</v>
      </c>
      <c r="L635">
        <v>114118</v>
      </c>
      <c r="M635" t="s">
        <v>28</v>
      </c>
      <c r="N635">
        <v>4</v>
      </c>
      <c r="O635">
        <v>4</v>
      </c>
      <c r="P635">
        <v>25</v>
      </c>
      <c r="Q635">
        <v>1</v>
      </c>
      <c r="R635" s="1">
        <v>39756</v>
      </c>
      <c r="S635" t="s">
        <v>29</v>
      </c>
      <c r="T635" t="str">
        <f t="shared" si="45"/>
        <v>Grade A</v>
      </c>
      <c r="U635">
        <f t="shared" si="46"/>
        <v>3</v>
      </c>
      <c r="V635" t="str">
        <f t="shared" si="47"/>
        <v>Senior</v>
      </c>
      <c r="W635" t="str">
        <f t="shared" si="48"/>
        <v>Medium Risk</v>
      </c>
      <c r="X635" t="str">
        <f t="shared" si="49"/>
        <v>Competitive</v>
      </c>
    </row>
    <row r="636" spans="1:24" x14ac:dyDescent="0.3">
      <c r="A636" t="s">
        <v>704</v>
      </c>
      <c r="B636" t="s">
        <v>20</v>
      </c>
      <c r="C636">
        <v>27</v>
      </c>
      <c r="D636" t="s">
        <v>31</v>
      </c>
      <c r="E636" t="s">
        <v>40</v>
      </c>
      <c r="F636" t="s">
        <v>78</v>
      </c>
      <c r="G636" t="s">
        <v>33</v>
      </c>
      <c r="H636" t="s">
        <v>76</v>
      </c>
      <c r="I636" t="s">
        <v>54</v>
      </c>
      <c r="J636" t="s">
        <v>27</v>
      </c>
      <c r="K636">
        <v>6</v>
      </c>
      <c r="L636">
        <v>69400</v>
      </c>
      <c r="M636" t="s">
        <v>45</v>
      </c>
      <c r="N636">
        <v>2</v>
      </c>
      <c r="O636">
        <v>2</v>
      </c>
      <c r="P636">
        <v>19</v>
      </c>
      <c r="Q636">
        <v>0</v>
      </c>
      <c r="R636" s="1">
        <v>42967</v>
      </c>
      <c r="S636" t="s">
        <v>37</v>
      </c>
      <c r="T636" t="str">
        <f t="shared" si="45"/>
        <v>Grade B</v>
      </c>
      <c r="U636">
        <f t="shared" si="46"/>
        <v>2</v>
      </c>
      <c r="V636" t="str">
        <f t="shared" si="47"/>
        <v>Mid Level</v>
      </c>
      <c r="W636" t="str">
        <f t="shared" si="48"/>
        <v>Already Left</v>
      </c>
      <c r="X636" t="str">
        <f t="shared" si="49"/>
        <v>Fair</v>
      </c>
    </row>
    <row r="637" spans="1:24" x14ac:dyDescent="0.3">
      <c r="A637" t="s">
        <v>705</v>
      </c>
      <c r="B637" t="s">
        <v>20</v>
      </c>
      <c r="C637">
        <v>28</v>
      </c>
      <c r="D637" t="s">
        <v>31</v>
      </c>
      <c r="E637" t="s">
        <v>22</v>
      </c>
      <c r="F637" t="s">
        <v>23</v>
      </c>
      <c r="G637" t="s">
        <v>49</v>
      </c>
      <c r="H637" t="s">
        <v>67</v>
      </c>
      <c r="I637" t="s">
        <v>96</v>
      </c>
      <c r="J637" t="s">
        <v>44</v>
      </c>
      <c r="K637">
        <v>11</v>
      </c>
      <c r="L637">
        <v>77340</v>
      </c>
      <c r="M637" t="s">
        <v>51</v>
      </c>
      <c r="N637">
        <v>3</v>
      </c>
      <c r="O637">
        <v>3</v>
      </c>
      <c r="P637">
        <v>68</v>
      </c>
      <c r="Q637">
        <v>1</v>
      </c>
      <c r="R637" s="1">
        <v>41181</v>
      </c>
      <c r="S637" t="s">
        <v>29</v>
      </c>
      <c r="T637" t="str">
        <f t="shared" si="45"/>
        <v>Grade B</v>
      </c>
      <c r="U637">
        <f t="shared" si="46"/>
        <v>4</v>
      </c>
      <c r="V637" t="str">
        <f t="shared" si="47"/>
        <v>Senior</v>
      </c>
      <c r="W637" t="str">
        <f t="shared" si="48"/>
        <v>Low Risk</v>
      </c>
      <c r="X637" t="str">
        <f t="shared" si="49"/>
        <v>Fair</v>
      </c>
    </row>
    <row r="638" spans="1:24" x14ac:dyDescent="0.3">
      <c r="A638" t="s">
        <v>706</v>
      </c>
      <c r="B638" t="s">
        <v>39</v>
      </c>
      <c r="C638">
        <v>47</v>
      </c>
      <c r="D638" t="s">
        <v>47</v>
      </c>
      <c r="E638" t="s">
        <v>22</v>
      </c>
      <c r="F638" t="s">
        <v>41</v>
      </c>
      <c r="G638" t="s">
        <v>66</v>
      </c>
      <c r="H638" t="s">
        <v>67</v>
      </c>
      <c r="I638" t="s">
        <v>35</v>
      </c>
      <c r="J638" t="s">
        <v>27</v>
      </c>
      <c r="K638">
        <v>15</v>
      </c>
      <c r="L638">
        <v>67634</v>
      </c>
      <c r="M638" t="s">
        <v>28</v>
      </c>
      <c r="N638">
        <v>3</v>
      </c>
      <c r="O638">
        <v>4</v>
      </c>
      <c r="P638">
        <v>31</v>
      </c>
      <c r="Q638">
        <v>2</v>
      </c>
      <c r="R638" s="1">
        <v>39500</v>
      </c>
      <c r="S638" t="s">
        <v>29</v>
      </c>
      <c r="T638" t="str">
        <f t="shared" si="45"/>
        <v>Grade B</v>
      </c>
      <c r="U638">
        <f t="shared" si="46"/>
        <v>3</v>
      </c>
      <c r="V638" t="str">
        <f t="shared" si="47"/>
        <v>Senior</v>
      </c>
      <c r="W638" t="str">
        <f t="shared" si="48"/>
        <v>Medium Risk</v>
      </c>
      <c r="X638" t="str">
        <f t="shared" si="49"/>
        <v>Competitive</v>
      </c>
    </row>
    <row r="639" spans="1:24" x14ac:dyDescent="0.3">
      <c r="A639" t="s">
        <v>707</v>
      </c>
      <c r="B639" t="s">
        <v>39</v>
      </c>
      <c r="C639">
        <v>39</v>
      </c>
      <c r="D639" t="s">
        <v>21</v>
      </c>
      <c r="E639" t="s">
        <v>48</v>
      </c>
      <c r="F639" t="s">
        <v>41</v>
      </c>
      <c r="G639" t="s">
        <v>79</v>
      </c>
      <c r="H639" t="s">
        <v>67</v>
      </c>
      <c r="I639" t="s">
        <v>54</v>
      </c>
      <c r="J639" t="s">
        <v>27</v>
      </c>
      <c r="K639">
        <v>15</v>
      </c>
      <c r="L639">
        <v>63611</v>
      </c>
      <c r="M639" t="s">
        <v>36</v>
      </c>
      <c r="N639">
        <v>4</v>
      </c>
      <c r="O639">
        <v>3</v>
      </c>
      <c r="P639">
        <v>43</v>
      </c>
      <c r="Q639">
        <v>0</v>
      </c>
      <c r="R639" s="1">
        <v>39582</v>
      </c>
      <c r="S639" t="s">
        <v>37</v>
      </c>
      <c r="T639" t="str">
        <f t="shared" si="45"/>
        <v>Grade B</v>
      </c>
      <c r="U639">
        <f t="shared" si="46"/>
        <v>1</v>
      </c>
      <c r="V639" t="str">
        <f t="shared" si="47"/>
        <v>Senior</v>
      </c>
      <c r="W639" t="str">
        <f t="shared" si="48"/>
        <v>Already Left</v>
      </c>
      <c r="X639" t="str">
        <f t="shared" si="49"/>
        <v>Fair</v>
      </c>
    </row>
    <row r="640" spans="1:24" x14ac:dyDescent="0.3">
      <c r="A640" t="s">
        <v>708</v>
      </c>
      <c r="B640" t="s">
        <v>20</v>
      </c>
      <c r="C640">
        <v>25</v>
      </c>
      <c r="D640" t="s">
        <v>57</v>
      </c>
      <c r="E640" t="s">
        <v>48</v>
      </c>
      <c r="F640" t="s">
        <v>41</v>
      </c>
      <c r="G640" t="s">
        <v>24</v>
      </c>
      <c r="H640" t="s">
        <v>25</v>
      </c>
      <c r="I640" t="s">
        <v>35</v>
      </c>
      <c r="J640" t="s">
        <v>27</v>
      </c>
      <c r="K640">
        <v>4</v>
      </c>
      <c r="L640">
        <v>86006</v>
      </c>
      <c r="M640" t="s">
        <v>36</v>
      </c>
      <c r="N640">
        <v>3</v>
      </c>
      <c r="O640">
        <v>1</v>
      </c>
      <c r="P640">
        <v>16</v>
      </c>
      <c r="Q640">
        <v>3</v>
      </c>
      <c r="R640" s="1">
        <v>43572</v>
      </c>
      <c r="S640" t="s">
        <v>37</v>
      </c>
      <c r="T640" t="str">
        <f t="shared" si="45"/>
        <v>Grade A</v>
      </c>
      <c r="U640">
        <f t="shared" si="46"/>
        <v>1</v>
      </c>
      <c r="V640" t="str">
        <f t="shared" si="47"/>
        <v>Junior</v>
      </c>
      <c r="W640" t="str">
        <f t="shared" si="48"/>
        <v>Already Left</v>
      </c>
      <c r="X640" t="str">
        <f t="shared" si="49"/>
        <v>Overpaid</v>
      </c>
    </row>
    <row r="641" spans="1:24" x14ac:dyDescent="0.3">
      <c r="A641" t="s">
        <v>709</v>
      </c>
      <c r="B641" t="s">
        <v>20</v>
      </c>
      <c r="C641">
        <v>55</v>
      </c>
      <c r="D641" t="s">
        <v>57</v>
      </c>
      <c r="E641" t="s">
        <v>22</v>
      </c>
      <c r="F641" t="s">
        <v>32</v>
      </c>
      <c r="G641" t="s">
        <v>24</v>
      </c>
      <c r="H641" t="s">
        <v>25</v>
      </c>
      <c r="I641" t="s">
        <v>43</v>
      </c>
      <c r="J641" t="s">
        <v>44</v>
      </c>
      <c r="K641">
        <v>7</v>
      </c>
      <c r="L641">
        <v>98465</v>
      </c>
      <c r="M641" t="s">
        <v>28</v>
      </c>
      <c r="N641">
        <v>1</v>
      </c>
      <c r="O641">
        <v>2</v>
      </c>
      <c r="P641">
        <v>24</v>
      </c>
      <c r="Q641">
        <v>1</v>
      </c>
      <c r="R641" s="1">
        <v>42466</v>
      </c>
      <c r="S641" t="s">
        <v>29</v>
      </c>
      <c r="T641" t="str">
        <f t="shared" si="45"/>
        <v>Grade A</v>
      </c>
      <c r="U641">
        <f t="shared" si="46"/>
        <v>3</v>
      </c>
      <c r="V641" t="str">
        <f t="shared" si="47"/>
        <v>Mid Level</v>
      </c>
      <c r="W641" t="str">
        <f t="shared" si="48"/>
        <v>Medium Risk</v>
      </c>
      <c r="X641" t="str">
        <f t="shared" si="49"/>
        <v>Competitive</v>
      </c>
    </row>
    <row r="642" spans="1:24" x14ac:dyDescent="0.3">
      <c r="A642" t="s">
        <v>710</v>
      </c>
      <c r="B642" t="s">
        <v>39</v>
      </c>
      <c r="C642">
        <v>47</v>
      </c>
      <c r="D642" t="s">
        <v>57</v>
      </c>
      <c r="E642" t="s">
        <v>48</v>
      </c>
      <c r="F642" t="s">
        <v>23</v>
      </c>
      <c r="G642" t="s">
        <v>79</v>
      </c>
      <c r="H642" t="s">
        <v>83</v>
      </c>
      <c r="I642" t="s">
        <v>26</v>
      </c>
      <c r="J642" t="s">
        <v>27</v>
      </c>
      <c r="K642">
        <v>4</v>
      </c>
      <c r="L642">
        <v>55436</v>
      </c>
      <c r="M642" t="s">
        <v>45</v>
      </c>
      <c r="N642">
        <v>1</v>
      </c>
      <c r="O642">
        <v>2</v>
      </c>
      <c r="P642">
        <v>44</v>
      </c>
      <c r="Q642">
        <v>3</v>
      </c>
      <c r="R642" s="1">
        <v>43691</v>
      </c>
      <c r="S642" t="s">
        <v>37</v>
      </c>
      <c r="T642" t="str">
        <f t="shared" ref="T642:T705" si="50">IF(L642&gt;=80000,"Grade A",IF(L642&gt;=50000,"Grade B",IF(L642&gt;=35000,"Grade C","Grade D")))</f>
        <v>Grade B</v>
      </c>
      <c r="U642">
        <f t="shared" ref="U642:U705" si="51">IF(M642="Excellent",4,IF(M642="Good",3,IF(M642="Average",2,1)))</f>
        <v>2</v>
      </c>
      <c r="V642" t="str">
        <f t="shared" ref="V642:V705" si="52">IF(K642&lt;=2,"New Joiner",IF(K642&lt;=5,"Junior",IF(K642&lt;=10,"Mid Level","Senior")))</f>
        <v>Junior</v>
      </c>
      <c r="W642" t="str">
        <f t="shared" ref="W642:W705" si="53">IF(S642="Yes","Already Left",IF(AND(K642&lt;=2,M642="Poor"),"High Risk",IF(AND(K642&lt;=5,M642="Average"),"Medium Risk",IF(M642="Excellent","Low Risk","Medium Risk"))))</f>
        <v>Already Left</v>
      </c>
      <c r="X642" t="str">
        <f t="shared" ref="X642:X705" si="54">IF(AND(L642&gt;=80000,M642="Excellent"),"Competitive",IF(AND(L642&gt;=50000,M642="Good"),"Competitive",IF(AND(L642&lt;35000,M642="Excellent"),"Underpaid",IF(AND(L642&gt;=80000,M642="Poor"),"Overpaid","Fair"))))</f>
        <v>Fair</v>
      </c>
    </row>
    <row r="643" spans="1:24" x14ac:dyDescent="0.3">
      <c r="A643" t="s">
        <v>711</v>
      </c>
      <c r="B643" t="s">
        <v>39</v>
      </c>
      <c r="C643">
        <v>33</v>
      </c>
      <c r="D643" t="s">
        <v>88</v>
      </c>
      <c r="E643" t="s">
        <v>40</v>
      </c>
      <c r="F643" t="s">
        <v>53</v>
      </c>
      <c r="G643" t="s">
        <v>42</v>
      </c>
      <c r="H643" t="s">
        <v>67</v>
      </c>
      <c r="I643" t="s">
        <v>59</v>
      </c>
      <c r="J643" t="s">
        <v>60</v>
      </c>
      <c r="K643">
        <v>11</v>
      </c>
      <c r="L643">
        <v>126539</v>
      </c>
      <c r="M643" t="s">
        <v>45</v>
      </c>
      <c r="N643">
        <v>4</v>
      </c>
      <c r="O643">
        <v>3</v>
      </c>
      <c r="P643">
        <v>40</v>
      </c>
      <c r="Q643">
        <v>1</v>
      </c>
      <c r="R643" s="1">
        <v>41276</v>
      </c>
      <c r="S643" t="s">
        <v>29</v>
      </c>
      <c r="T643" t="str">
        <f t="shared" si="50"/>
        <v>Grade A</v>
      </c>
      <c r="U643">
        <f t="shared" si="51"/>
        <v>2</v>
      </c>
      <c r="V643" t="str">
        <f t="shared" si="52"/>
        <v>Senior</v>
      </c>
      <c r="W643" t="str">
        <f t="shared" si="53"/>
        <v>Medium Risk</v>
      </c>
      <c r="X643" t="str">
        <f t="shared" si="54"/>
        <v>Fair</v>
      </c>
    </row>
    <row r="644" spans="1:24" x14ac:dyDescent="0.3">
      <c r="A644" t="s">
        <v>712</v>
      </c>
      <c r="B644" t="s">
        <v>20</v>
      </c>
      <c r="C644">
        <v>49</v>
      </c>
      <c r="D644" t="s">
        <v>31</v>
      </c>
      <c r="E644" t="s">
        <v>22</v>
      </c>
      <c r="F644" t="s">
        <v>41</v>
      </c>
      <c r="G644" t="s">
        <v>33</v>
      </c>
      <c r="H644" t="s">
        <v>67</v>
      </c>
      <c r="I644" t="s">
        <v>72</v>
      </c>
      <c r="J644" t="s">
        <v>73</v>
      </c>
      <c r="K644">
        <v>6</v>
      </c>
      <c r="L644">
        <v>66647</v>
      </c>
      <c r="M644" t="s">
        <v>28</v>
      </c>
      <c r="N644">
        <v>2</v>
      </c>
      <c r="O644">
        <v>3</v>
      </c>
      <c r="P644">
        <v>19</v>
      </c>
      <c r="Q644">
        <v>1</v>
      </c>
      <c r="R644" s="1">
        <v>42761</v>
      </c>
      <c r="S644" t="s">
        <v>37</v>
      </c>
      <c r="T644" t="str">
        <f t="shared" si="50"/>
        <v>Grade B</v>
      </c>
      <c r="U644">
        <f t="shared" si="51"/>
        <v>3</v>
      </c>
      <c r="V644" t="str">
        <f t="shared" si="52"/>
        <v>Mid Level</v>
      </c>
      <c r="W644" t="str">
        <f t="shared" si="53"/>
        <v>Already Left</v>
      </c>
      <c r="X644" t="str">
        <f t="shared" si="54"/>
        <v>Competitive</v>
      </c>
    </row>
    <row r="645" spans="1:24" x14ac:dyDescent="0.3">
      <c r="A645" t="s">
        <v>713</v>
      </c>
      <c r="B645" t="s">
        <v>39</v>
      </c>
      <c r="C645">
        <v>40</v>
      </c>
      <c r="D645" t="s">
        <v>47</v>
      </c>
      <c r="E645" t="s">
        <v>40</v>
      </c>
      <c r="F645" t="s">
        <v>65</v>
      </c>
      <c r="G645" t="s">
        <v>49</v>
      </c>
      <c r="H645" t="s">
        <v>76</v>
      </c>
      <c r="I645" t="s">
        <v>50</v>
      </c>
      <c r="J645" t="s">
        <v>44</v>
      </c>
      <c r="K645">
        <v>8</v>
      </c>
      <c r="L645">
        <v>71485</v>
      </c>
      <c r="M645" t="s">
        <v>51</v>
      </c>
      <c r="N645">
        <v>2</v>
      </c>
      <c r="O645">
        <v>2</v>
      </c>
      <c r="P645">
        <v>22</v>
      </c>
      <c r="Q645">
        <v>0</v>
      </c>
      <c r="R645" s="1">
        <v>42349</v>
      </c>
      <c r="S645" t="s">
        <v>37</v>
      </c>
      <c r="T645" t="str">
        <f t="shared" si="50"/>
        <v>Grade B</v>
      </c>
      <c r="U645">
        <f t="shared" si="51"/>
        <v>4</v>
      </c>
      <c r="V645" t="str">
        <f t="shared" si="52"/>
        <v>Mid Level</v>
      </c>
      <c r="W645" t="str">
        <f t="shared" si="53"/>
        <v>Already Left</v>
      </c>
      <c r="X645" t="str">
        <f t="shared" si="54"/>
        <v>Fair</v>
      </c>
    </row>
    <row r="646" spans="1:24" x14ac:dyDescent="0.3">
      <c r="A646" t="s">
        <v>714</v>
      </c>
      <c r="B646" t="s">
        <v>20</v>
      </c>
      <c r="C646">
        <v>45</v>
      </c>
      <c r="D646" t="s">
        <v>57</v>
      </c>
      <c r="E646" t="s">
        <v>22</v>
      </c>
      <c r="F646" t="s">
        <v>65</v>
      </c>
      <c r="G646" t="s">
        <v>66</v>
      </c>
      <c r="H646" t="s">
        <v>76</v>
      </c>
      <c r="I646" t="s">
        <v>80</v>
      </c>
      <c r="J646" t="s">
        <v>60</v>
      </c>
      <c r="K646">
        <v>12</v>
      </c>
      <c r="L646">
        <v>66881</v>
      </c>
      <c r="M646" t="s">
        <v>36</v>
      </c>
      <c r="N646">
        <v>3</v>
      </c>
      <c r="O646">
        <v>3</v>
      </c>
      <c r="P646">
        <v>52</v>
      </c>
      <c r="Q646">
        <v>3</v>
      </c>
      <c r="R646" s="1">
        <v>40663</v>
      </c>
      <c r="S646" t="s">
        <v>29</v>
      </c>
      <c r="T646" t="str">
        <f t="shared" si="50"/>
        <v>Grade B</v>
      </c>
      <c r="U646">
        <f t="shared" si="51"/>
        <v>1</v>
      </c>
      <c r="V646" t="str">
        <f t="shared" si="52"/>
        <v>Senior</v>
      </c>
      <c r="W646" t="str">
        <f t="shared" si="53"/>
        <v>Medium Risk</v>
      </c>
      <c r="X646" t="str">
        <f t="shared" si="54"/>
        <v>Fair</v>
      </c>
    </row>
    <row r="647" spans="1:24" x14ac:dyDescent="0.3">
      <c r="A647" t="s">
        <v>715</v>
      </c>
      <c r="B647" t="s">
        <v>20</v>
      </c>
      <c r="C647">
        <v>23</v>
      </c>
      <c r="D647" t="s">
        <v>47</v>
      </c>
      <c r="E647" t="s">
        <v>40</v>
      </c>
      <c r="F647" t="s">
        <v>62</v>
      </c>
      <c r="G647" t="s">
        <v>63</v>
      </c>
      <c r="H647" t="s">
        <v>34</v>
      </c>
      <c r="I647" t="s">
        <v>26</v>
      </c>
      <c r="J647" t="s">
        <v>27</v>
      </c>
      <c r="K647">
        <v>3</v>
      </c>
      <c r="L647">
        <v>48217</v>
      </c>
      <c r="M647" t="s">
        <v>51</v>
      </c>
      <c r="N647">
        <v>4</v>
      </c>
      <c r="O647">
        <v>3</v>
      </c>
      <c r="P647">
        <v>36</v>
      </c>
      <c r="Q647">
        <v>0</v>
      </c>
      <c r="R647" s="1">
        <v>44015</v>
      </c>
      <c r="S647" t="s">
        <v>29</v>
      </c>
      <c r="T647" t="str">
        <f t="shared" si="50"/>
        <v>Grade C</v>
      </c>
      <c r="U647">
        <f t="shared" si="51"/>
        <v>4</v>
      </c>
      <c r="V647" t="str">
        <f t="shared" si="52"/>
        <v>Junior</v>
      </c>
      <c r="W647" t="str">
        <f t="shared" si="53"/>
        <v>Low Risk</v>
      </c>
      <c r="X647" t="str">
        <f t="shared" si="54"/>
        <v>Fair</v>
      </c>
    </row>
    <row r="648" spans="1:24" x14ac:dyDescent="0.3">
      <c r="A648" t="s">
        <v>716</v>
      </c>
      <c r="B648" t="s">
        <v>20</v>
      </c>
      <c r="C648">
        <v>43</v>
      </c>
      <c r="D648" t="s">
        <v>57</v>
      </c>
      <c r="E648" t="s">
        <v>40</v>
      </c>
      <c r="F648" t="s">
        <v>75</v>
      </c>
      <c r="G648" t="s">
        <v>33</v>
      </c>
      <c r="H648" t="s">
        <v>83</v>
      </c>
      <c r="I648" t="s">
        <v>59</v>
      </c>
      <c r="J648" t="s">
        <v>60</v>
      </c>
      <c r="K648">
        <v>15</v>
      </c>
      <c r="L648">
        <v>97265</v>
      </c>
      <c r="M648" t="s">
        <v>45</v>
      </c>
      <c r="N648">
        <v>4</v>
      </c>
      <c r="O648">
        <v>3</v>
      </c>
      <c r="P648">
        <v>49</v>
      </c>
      <c r="Q648">
        <v>1</v>
      </c>
      <c r="R648" s="1">
        <v>39682</v>
      </c>
      <c r="S648" t="s">
        <v>29</v>
      </c>
      <c r="T648" t="str">
        <f t="shared" si="50"/>
        <v>Grade A</v>
      </c>
      <c r="U648">
        <f t="shared" si="51"/>
        <v>2</v>
      </c>
      <c r="V648" t="str">
        <f t="shared" si="52"/>
        <v>Senior</v>
      </c>
      <c r="W648" t="str">
        <f t="shared" si="53"/>
        <v>Medium Risk</v>
      </c>
      <c r="X648" t="str">
        <f t="shared" si="54"/>
        <v>Fair</v>
      </c>
    </row>
    <row r="649" spans="1:24" x14ac:dyDescent="0.3">
      <c r="A649" t="s">
        <v>717</v>
      </c>
      <c r="B649" t="s">
        <v>39</v>
      </c>
      <c r="C649">
        <v>22</v>
      </c>
      <c r="D649" t="s">
        <v>57</v>
      </c>
      <c r="E649" t="s">
        <v>40</v>
      </c>
      <c r="F649" t="s">
        <v>65</v>
      </c>
      <c r="G649" t="s">
        <v>33</v>
      </c>
      <c r="H649" t="s">
        <v>34</v>
      </c>
      <c r="I649" t="s">
        <v>50</v>
      </c>
      <c r="J649" t="s">
        <v>44</v>
      </c>
      <c r="K649">
        <v>7</v>
      </c>
      <c r="L649">
        <v>82568</v>
      </c>
      <c r="M649" t="s">
        <v>51</v>
      </c>
      <c r="N649">
        <v>2</v>
      </c>
      <c r="O649">
        <v>4</v>
      </c>
      <c r="P649">
        <v>29</v>
      </c>
      <c r="Q649">
        <v>2</v>
      </c>
      <c r="R649" s="1">
        <v>42590</v>
      </c>
      <c r="S649" t="s">
        <v>29</v>
      </c>
      <c r="T649" t="str">
        <f t="shared" si="50"/>
        <v>Grade A</v>
      </c>
      <c r="U649">
        <f t="shared" si="51"/>
        <v>4</v>
      </c>
      <c r="V649" t="str">
        <f t="shared" si="52"/>
        <v>Mid Level</v>
      </c>
      <c r="W649" t="str">
        <f t="shared" si="53"/>
        <v>Low Risk</v>
      </c>
      <c r="X649" t="str">
        <f t="shared" si="54"/>
        <v>Competitive</v>
      </c>
    </row>
    <row r="650" spans="1:24" x14ac:dyDescent="0.3">
      <c r="A650" t="s">
        <v>718</v>
      </c>
      <c r="B650" t="s">
        <v>39</v>
      </c>
      <c r="C650">
        <v>40</v>
      </c>
      <c r="D650" t="s">
        <v>88</v>
      </c>
      <c r="E650" t="s">
        <v>22</v>
      </c>
      <c r="F650" t="s">
        <v>53</v>
      </c>
      <c r="G650" t="s">
        <v>79</v>
      </c>
      <c r="H650" t="s">
        <v>25</v>
      </c>
      <c r="I650" t="s">
        <v>54</v>
      </c>
      <c r="J650" t="s">
        <v>27</v>
      </c>
      <c r="K650">
        <v>5</v>
      </c>
      <c r="L650">
        <v>49657</v>
      </c>
      <c r="M650" t="s">
        <v>36</v>
      </c>
      <c r="N650">
        <v>1</v>
      </c>
      <c r="O650">
        <v>4</v>
      </c>
      <c r="P650">
        <v>49</v>
      </c>
      <c r="Q650">
        <v>0</v>
      </c>
      <c r="R650" s="1">
        <v>43447</v>
      </c>
      <c r="S650" t="s">
        <v>37</v>
      </c>
      <c r="T650" t="str">
        <f t="shared" si="50"/>
        <v>Grade C</v>
      </c>
      <c r="U650">
        <f t="shared" si="51"/>
        <v>1</v>
      </c>
      <c r="V650" t="str">
        <f t="shared" si="52"/>
        <v>Junior</v>
      </c>
      <c r="W650" t="str">
        <f t="shared" si="53"/>
        <v>Already Left</v>
      </c>
      <c r="X650" t="str">
        <f t="shared" si="54"/>
        <v>Fair</v>
      </c>
    </row>
    <row r="651" spans="1:24" x14ac:dyDescent="0.3">
      <c r="A651" t="s">
        <v>719</v>
      </c>
      <c r="B651" t="s">
        <v>39</v>
      </c>
      <c r="C651">
        <v>27</v>
      </c>
      <c r="D651" t="s">
        <v>31</v>
      </c>
      <c r="E651" t="s">
        <v>22</v>
      </c>
      <c r="F651" t="s">
        <v>65</v>
      </c>
      <c r="G651" t="s">
        <v>24</v>
      </c>
      <c r="H651" t="s">
        <v>83</v>
      </c>
      <c r="I651" t="s">
        <v>43</v>
      </c>
      <c r="J651" t="s">
        <v>44</v>
      </c>
      <c r="K651">
        <v>5</v>
      </c>
      <c r="L651">
        <v>86475</v>
      </c>
      <c r="M651" t="s">
        <v>51</v>
      </c>
      <c r="N651">
        <v>2</v>
      </c>
      <c r="O651">
        <v>4</v>
      </c>
      <c r="P651">
        <v>20</v>
      </c>
      <c r="Q651">
        <v>2</v>
      </c>
      <c r="R651" s="1">
        <v>43210</v>
      </c>
      <c r="S651" t="s">
        <v>29</v>
      </c>
      <c r="T651" t="str">
        <f t="shared" si="50"/>
        <v>Grade A</v>
      </c>
      <c r="U651">
        <f t="shared" si="51"/>
        <v>4</v>
      </c>
      <c r="V651" t="str">
        <f t="shared" si="52"/>
        <v>Junior</v>
      </c>
      <c r="W651" t="str">
        <f t="shared" si="53"/>
        <v>Low Risk</v>
      </c>
      <c r="X651" t="str">
        <f t="shared" si="54"/>
        <v>Competitive</v>
      </c>
    </row>
    <row r="652" spans="1:24" x14ac:dyDescent="0.3">
      <c r="A652" t="s">
        <v>720</v>
      </c>
      <c r="B652" t="s">
        <v>20</v>
      </c>
      <c r="C652">
        <v>41</v>
      </c>
      <c r="D652" t="s">
        <v>88</v>
      </c>
      <c r="E652" t="s">
        <v>48</v>
      </c>
      <c r="F652" t="s">
        <v>23</v>
      </c>
      <c r="G652" t="s">
        <v>63</v>
      </c>
      <c r="H652" t="s">
        <v>76</v>
      </c>
      <c r="I652" t="s">
        <v>59</v>
      </c>
      <c r="J652" t="s">
        <v>60</v>
      </c>
      <c r="K652">
        <v>4</v>
      </c>
      <c r="L652">
        <v>56846</v>
      </c>
      <c r="M652" t="s">
        <v>45</v>
      </c>
      <c r="N652">
        <v>2</v>
      </c>
      <c r="O652">
        <v>4</v>
      </c>
      <c r="P652">
        <v>51</v>
      </c>
      <c r="Q652">
        <v>1</v>
      </c>
      <c r="R652" s="1">
        <v>43782</v>
      </c>
      <c r="S652" t="s">
        <v>29</v>
      </c>
      <c r="T652" t="str">
        <f t="shared" si="50"/>
        <v>Grade B</v>
      </c>
      <c r="U652">
        <f t="shared" si="51"/>
        <v>2</v>
      </c>
      <c r="V652" t="str">
        <f t="shared" si="52"/>
        <v>Junior</v>
      </c>
      <c r="W652" t="str">
        <f t="shared" si="53"/>
        <v>Medium Risk</v>
      </c>
      <c r="X652" t="str">
        <f t="shared" si="54"/>
        <v>Fair</v>
      </c>
    </row>
    <row r="653" spans="1:24" x14ac:dyDescent="0.3">
      <c r="A653" t="s">
        <v>721</v>
      </c>
      <c r="B653" t="s">
        <v>20</v>
      </c>
      <c r="C653">
        <v>33</v>
      </c>
      <c r="D653" t="s">
        <v>57</v>
      </c>
      <c r="E653" t="s">
        <v>48</v>
      </c>
      <c r="F653" t="s">
        <v>62</v>
      </c>
      <c r="G653" t="s">
        <v>49</v>
      </c>
      <c r="H653" t="s">
        <v>67</v>
      </c>
      <c r="I653" t="s">
        <v>59</v>
      </c>
      <c r="J653" t="s">
        <v>60</v>
      </c>
      <c r="K653">
        <v>9</v>
      </c>
      <c r="L653">
        <v>67865</v>
      </c>
      <c r="M653" t="s">
        <v>36</v>
      </c>
      <c r="N653">
        <v>1</v>
      </c>
      <c r="O653">
        <v>2</v>
      </c>
      <c r="P653">
        <v>77</v>
      </c>
      <c r="Q653">
        <v>3</v>
      </c>
      <c r="R653" s="1">
        <v>41855</v>
      </c>
      <c r="S653" t="s">
        <v>37</v>
      </c>
      <c r="T653" t="str">
        <f t="shared" si="50"/>
        <v>Grade B</v>
      </c>
      <c r="U653">
        <f t="shared" si="51"/>
        <v>1</v>
      </c>
      <c r="V653" t="str">
        <f t="shared" si="52"/>
        <v>Mid Level</v>
      </c>
      <c r="W653" t="str">
        <f t="shared" si="53"/>
        <v>Already Left</v>
      </c>
      <c r="X653" t="str">
        <f t="shared" si="54"/>
        <v>Fair</v>
      </c>
    </row>
    <row r="654" spans="1:24" x14ac:dyDescent="0.3">
      <c r="A654" t="s">
        <v>722</v>
      </c>
      <c r="B654" t="s">
        <v>39</v>
      </c>
      <c r="C654">
        <v>23</v>
      </c>
      <c r="D654" t="s">
        <v>57</v>
      </c>
      <c r="E654" t="s">
        <v>22</v>
      </c>
      <c r="F654" t="s">
        <v>65</v>
      </c>
      <c r="G654" t="s">
        <v>33</v>
      </c>
      <c r="H654" t="s">
        <v>76</v>
      </c>
      <c r="I654" t="s">
        <v>72</v>
      </c>
      <c r="J654" t="s">
        <v>73</v>
      </c>
      <c r="K654">
        <v>7</v>
      </c>
      <c r="L654">
        <v>77779</v>
      </c>
      <c r="M654" t="s">
        <v>45</v>
      </c>
      <c r="N654">
        <v>2</v>
      </c>
      <c r="O654">
        <v>3</v>
      </c>
      <c r="P654">
        <v>41</v>
      </c>
      <c r="Q654">
        <v>2</v>
      </c>
      <c r="R654" s="1">
        <v>42501</v>
      </c>
      <c r="S654" t="s">
        <v>29</v>
      </c>
      <c r="T654" t="str">
        <f t="shared" si="50"/>
        <v>Grade B</v>
      </c>
      <c r="U654">
        <f t="shared" si="51"/>
        <v>2</v>
      </c>
      <c r="V654" t="str">
        <f t="shared" si="52"/>
        <v>Mid Level</v>
      </c>
      <c r="W654" t="str">
        <f t="shared" si="53"/>
        <v>Medium Risk</v>
      </c>
      <c r="X654" t="str">
        <f t="shared" si="54"/>
        <v>Fair</v>
      </c>
    </row>
    <row r="655" spans="1:24" x14ac:dyDescent="0.3">
      <c r="A655" t="s">
        <v>723</v>
      </c>
      <c r="B655" t="s">
        <v>39</v>
      </c>
      <c r="C655">
        <v>27</v>
      </c>
      <c r="D655" t="s">
        <v>21</v>
      </c>
      <c r="E655" t="s">
        <v>48</v>
      </c>
      <c r="F655" t="s">
        <v>62</v>
      </c>
      <c r="G655" t="s">
        <v>63</v>
      </c>
      <c r="H655" t="s">
        <v>83</v>
      </c>
      <c r="I655" t="s">
        <v>68</v>
      </c>
      <c r="J655" t="s">
        <v>60</v>
      </c>
      <c r="K655">
        <v>3</v>
      </c>
      <c r="L655">
        <v>41195</v>
      </c>
      <c r="M655" t="s">
        <v>36</v>
      </c>
      <c r="N655">
        <v>1</v>
      </c>
      <c r="O655">
        <v>3</v>
      </c>
      <c r="P655">
        <v>22</v>
      </c>
      <c r="Q655">
        <v>2</v>
      </c>
      <c r="R655" s="1">
        <v>43962</v>
      </c>
      <c r="S655" t="s">
        <v>29</v>
      </c>
      <c r="T655" t="str">
        <f t="shared" si="50"/>
        <v>Grade C</v>
      </c>
      <c r="U655">
        <f t="shared" si="51"/>
        <v>1</v>
      </c>
      <c r="V655" t="str">
        <f t="shared" si="52"/>
        <v>Junior</v>
      </c>
      <c r="W655" t="str">
        <f t="shared" si="53"/>
        <v>Medium Risk</v>
      </c>
      <c r="X655" t="str">
        <f t="shared" si="54"/>
        <v>Fair</v>
      </c>
    </row>
    <row r="656" spans="1:24" x14ac:dyDescent="0.3">
      <c r="A656" t="s">
        <v>724</v>
      </c>
      <c r="B656" t="s">
        <v>20</v>
      </c>
      <c r="C656">
        <v>30</v>
      </c>
      <c r="D656" t="s">
        <v>47</v>
      </c>
      <c r="E656" t="s">
        <v>40</v>
      </c>
      <c r="F656" t="s">
        <v>78</v>
      </c>
      <c r="G656" t="s">
        <v>58</v>
      </c>
      <c r="H656" t="s">
        <v>25</v>
      </c>
      <c r="I656" t="s">
        <v>54</v>
      </c>
      <c r="J656" t="s">
        <v>27</v>
      </c>
      <c r="K656">
        <v>2</v>
      </c>
      <c r="L656">
        <v>85719</v>
      </c>
      <c r="M656" t="s">
        <v>51</v>
      </c>
      <c r="N656">
        <v>2</v>
      </c>
      <c r="O656">
        <v>3</v>
      </c>
      <c r="P656">
        <v>49</v>
      </c>
      <c r="Q656">
        <v>0</v>
      </c>
      <c r="R656" s="1">
        <v>44489</v>
      </c>
      <c r="S656" t="s">
        <v>29</v>
      </c>
      <c r="T656" t="str">
        <f t="shared" si="50"/>
        <v>Grade A</v>
      </c>
      <c r="U656">
        <f t="shared" si="51"/>
        <v>4</v>
      </c>
      <c r="V656" t="str">
        <f t="shared" si="52"/>
        <v>New Joiner</v>
      </c>
      <c r="W656" t="str">
        <f t="shared" si="53"/>
        <v>Low Risk</v>
      </c>
      <c r="X656" t="str">
        <f t="shared" si="54"/>
        <v>Competitive</v>
      </c>
    </row>
    <row r="657" spans="1:24" x14ac:dyDescent="0.3">
      <c r="A657" t="s">
        <v>725</v>
      </c>
      <c r="B657" t="s">
        <v>39</v>
      </c>
      <c r="C657">
        <v>37</v>
      </c>
      <c r="D657" t="s">
        <v>47</v>
      </c>
      <c r="E657" t="s">
        <v>22</v>
      </c>
      <c r="F657" t="s">
        <v>32</v>
      </c>
      <c r="G657" t="s">
        <v>24</v>
      </c>
      <c r="H657" t="s">
        <v>83</v>
      </c>
      <c r="I657" t="s">
        <v>96</v>
      </c>
      <c r="J657" t="s">
        <v>44</v>
      </c>
      <c r="K657">
        <v>1</v>
      </c>
      <c r="L657">
        <v>86785</v>
      </c>
      <c r="M657" t="s">
        <v>51</v>
      </c>
      <c r="N657">
        <v>4</v>
      </c>
      <c r="O657">
        <v>1</v>
      </c>
      <c r="P657">
        <v>74</v>
      </c>
      <c r="Q657">
        <v>3</v>
      </c>
      <c r="R657" s="1">
        <v>44661</v>
      </c>
      <c r="S657" t="s">
        <v>37</v>
      </c>
      <c r="T657" t="str">
        <f t="shared" si="50"/>
        <v>Grade A</v>
      </c>
      <c r="U657">
        <f t="shared" si="51"/>
        <v>4</v>
      </c>
      <c r="V657" t="str">
        <f t="shared" si="52"/>
        <v>New Joiner</v>
      </c>
      <c r="W657" t="str">
        <f t="shared" si="53"/>
        <v>Already Left</v>
      </c>
      <c r="X657" t="str">
        <f t="shared" si="54"/>
        <v>Competitive</v>
      </c>
    </row>
    <row r="658" spans="1:24" x14ac:dyDescent="0.3">
      <c r="A658" t="s">
        <v>726</v>
      </c>
      <c r="B658" t="s">
        <v>20</v>
      </c>
      <c r="C658">
        <v>50</v>
      </c>
      <c r="D658" t="s">
        <v>88</v>
      </c>
      <c r="E658" t="s">
        <v>22</v>
      </c>
      <c r="F658" t="s">
        <v>23</v>
      </c>
      <c r="G658" t="s">
        <v>33</v>
      </c>
      <c r="H658" t="s">
        <v>83</v>
      </c>
      <c r="I658" t="s">
        <v>43</v>
      </c>
      <c r="J658" t="s">
        <v>44</v>
      </c>
      <c r="K658">
        <v>7</v>
      </c>
      <c r="L658">
        <v>70030</v>
      </c>
      <c r="M658" t="s">
        <v>45</v>
      </c>
      <c r="N658">
        <v>4</v>
      </c>
      <c r="O658">
        <v>2</v>
      </c>
      <c r="P658">
        <v>12</v>
      </c>
      <c r="Q658">
        <v>1</v>
      </c>
      <c r="R658" s="1">
        <v>42458</v>
      </c>
      <c r="S658" t="s">
        <v>29</v>
      </c>
      <c r="T658" t="str">
        <f t="shared" si="50"/>
        <v>Grade B</v>
      </c>
      <c r="U658">
        <f t="shared" si="51"/>
        <v>2</v>
      </c>
      <c r="V658" t="str">
        <f t="shared" si="52"/>
        <v>Mid Level</v>
      </c>
      <c r="W658" t="str">
        <f t="shared" si="53"/>
        <v>Medium Risk</v>
      </c>
      <c r="X658" t="str">
        <f t="shared" si="54"/>
        <v>Fair</v>
      </c>
    </row>
    <row r="659" spans="1:24" x14ac:dyDescent="0.3">
      <c r="A659" t="s">
        <v>727</v>
      </c>
      <c r="B659" t="s">
        <v>39</v>
      </c>
      <c r="C659">
        <v>53</v>
      </c>
      <c r="D659" t="s">
        <v>31</v>
      </c>
      <c r="E659" t="s">
        <v>40</v>
      </c>
      <c r="F659" t="s">
        <v>32</v>
      </c>
      <c r="G659" t="s">
        <v>33</v>
      </c>
      <c r="H659" t="s">
        <v>67</v>
      </c>
      <c r="I659" t="s">
        <v>68</v>
      </c>
      <c r="J659" t="s">
        <v>60</v>
      </c>
      <c r="K659">
        <v>8</v>
      </c>
      <c r="L659">
        <v>75503</v>
      </c>
      <c r="M659" t="s">
        <v>28</v>
      </c>
      <c r="N659">
        <v>3</v>
      </c>
      <c r="O659">
        <v>4</v>
      </c>
      <c r="P659">
        <v>59</v>
      </c>
      <c r="Q659">
        <v>0</v>
      </c>
      <c r="R659" s="1">
        <v>42031</v>
      </c>
      <c r="S659" t="s">
        <v>29</v>
      </c>
      <c r="T659" t="str">
        <f t="shared" si="50"/>
        <v>Grade B</v>
      </c>
      <c r="U659">
        <f t="shared" si="51"/>
        <v>3</v>
      </c>
      <c r="V659" t="str">
        <f t="shared" si="52"/>
        <v>Mid Level</v>
      </c>
      <c r="W659" t="str">
        <f t="shared" si="53"/>
        <v>Medium Risk</v>
      </c>
      <c r="X659" t="str">
        <f t="shared" si="54"/>
        <v>Competitive</v>
      </c>
    </row>
    <row r="660" spans="1:24" x14ac:dyDescent="0.3">
      <c r="A660" t="s">
        <v>728</v>
      </c>
      <c r="B660" t="s">
        <v>20</v>
      </c>
      <c r="C660">
        <v>22</v>
      </c>
      <c r="D660" t="s">
        <v>88</v>
      </c>
      <c r="E660" t="s">
        <v>48</v>
      </c>
      <c r="F660" t="s">
        <v>75</v>
      </c>
      <c r="G660" t="s">
        <v>42</v>
      </c>
      <c r="H660" t="s">
        <v>76</v>
      </c>
      <c r="I660" t="s">
        <v>96</v>
      </c>
      <c r="J660" t="s">
        <v>44</v>
      </c>
      <c r="K660">
        <v>1</v>
      </c>
      <c r="L660">
        <v>101977</v>
      </c>
      <c r="M660" t="s">
        <v>28</v>
      </c>
      <c r="N660">
        <v>1</v>
      </c>
      <c r="O660">
        <v>4</v>
      </c>
      <c r="P660">
        <v>15</v>
      </c>
      <c r="Q660">
        <v>2</v>
      </c>
      <c r="R660" s="1">
        <v>44639</v>
      </c>
      <c r="S660" t="s">
        <v>37</v>
      </c>
      <c r="T660" t="str">
        <f t="shared" si="50"/>
        <v>Grade A</v>
      </c>
      <c r="U660">
        <f t="shared" si="51"/>
        <v>3</v>
      </c>
      <c r="V660" t="str">
        <f t="shared" si="52"/>
        <v>New Joiner</v>
      </c>
      <c r="W660" t="str">
        <f t="shared" si="53"/>
        <v>Already Left</v>
      </c>
      <c r="X660" t="str">
        <f t="shared" si="54"/>
        <v>Competitive</v>
      </c>
    </row>
    <row r="661" spans="1:24" x14ac:dyDescent="0.3">
      <c r="A661" t="s">
        <v>729</v>
      </c>
      <c r="B661" t="s">
        <v>39</v>
      </c>
      <c r="C661">
        <v>44</v>
      </c>
      <c r="D661" t="s">
        <v>88</v>
      </c>
      <c r="E661" t="s">
        <v>48</v>
      </c>
      <c r="F661" t="s">
        <v>78</v>
      </c>
      <c r="G661" t="s">
        <v>24</v>
      </c>
      <c r="H661" t="s">
        <v>76</v>
      </c>
      <c r="I661" t="s">
        <v>68</v>
      </c>
      <c r="J661" t="s">
        <v>60</v>
      </c>
      <c r="K661">
        <v>1</v>
      </c>
      <c r="L661">
        <v>78722</v>
      </c>
      <c r="M661" t="s">
        <v>45</v>
      </c>
      <c r="N661">
        <v>1</v>
      </c>
      <c r="O661">
        <v>2</v>
      </c>
      <c r="P661">
        <v>29</v>
      </c>
      <c r="Q661">
        <v>2</v>
      </c>
      <c r="R661" s="1">
        <v>44670</v>
      </c>
      <c r="S661" t="s">
        <v>29</v>
      </c>
      <c r="T661" t="str">
        <f t="shared" si="50"/>
        <v>Grade B</v>
      </c>
      <c r="U661">
        <f t="shared" si="51"/>
        <v>2</v>
      </c>
      <c r="V661" t="str">
        <f t="shared" si="52"/>
        <v>New Joiner</v>
      </c>
      <c r="W661" t="str">
        <f t="shared" si="53"/>
        <v>Medium Risk</v>
      </c>
      <c r="X661" t="str">
        <f t="shared" si="54"/>
        <v>Fair</v>
      </c>
    </row>
    <row r="662" spans="1:24" x14ac:dyDescent="0.3">
      <c r="A662" t="s">
        <v>730</v>
      </c>
      <c r="B662" t="s">
        <v>20</v>
      </c>
      <c r="C662">
        <v>46</v>
      </c>
      <c r="D662" t="s">
        <v>57</v>
      </c>
      <c r="E662" t="s">
        <v>40</v>
      </c>
      <c r="F662" t="s">
        <v>65</v>
      </c>
      <c r="G662" t="s">
        <v>42</v>
      </c>
      <c r="H662" t="s">
        <v>76</v>
      </c>
      <c r="I662" t="s">
        <v>54</v>
      </c>
      <c r="J662" t="s">
        <v>27</v>
      </c>
      <c r="K662">
        <v>5</v>
      </c>
      <c r="L662">
        <v>107908</v>
      </c>
      <c r="M662" t="s">
        <v>28</v>
      </c>
      <c r="N662">
        <v>2</v>
      </c>
      <c r="O662">
        <v>3</v>
      </c>
      <c r="P662">
        <v>26</v>
      </c>
      <c r="Q662">
        <v>2</v>
      </c>
      <c r="R662" s="1">
        <v>43137</v>
      </c>
      <c r="S662" t="s">
        <v>37</v>
      </c>
      <c r="T662" t="str">
        <f t="shared" si="50"/>
        <v>Grade A</v>
      </c>
      <c r="U662">
        <f t="shared" si="51"/>
        <v>3</v>
      </c>
      <c r="V662" t="str">
        <f t="shared" si="52"/>
        <v>Junior</v>
      </c>
      <c r="W662" t="str">
        <f t="shared" si="53"/>
        <v>Already Left</v>
      </c>
      <c r="X662" t="str">
        <f t="shared" si="54"/>
        <v>Competitive</v>
      </c>
    </row>
    <row r="663" spans="1:24" x14ac:dyDescent="0.3">
      <c r="A663" t="s">
        <v>731</v>
      </c>
      <c r="B663" t="s">
        <v>39</v>
      </c>
      <c r="C663">
        <v>53</v>
      </c>
      <c r="D663" t="s">
        <v>57</v>
      </c>
      <c r="E663" t="s">
        <v>48</v>
      </c>
      <c r="F663" t="s">
        <v>65</v>
      </c>
      <c r="G663" t="s">
        <v>58</v>
      </c>
      <c r="H663" t="s">
        <v>34</v>
      </c>
      <c r="I663" t="s">
        <v>54</v>
      </c>
      <c r="J663" t="s">
        <v>27</v>
      </c>
      <c r="K663">
        <v>2</v>
      </c>
      <c r="L663">
        <v>79967</v>
      </c>
      <c r="M663" t="s">
        <v>36</v>
      </c>
      <c r="N663">
        <v>2</v>
      </c>
      <c r="O663">
        <v>2</v>
      </c>
      <c r="P663">
        <v>23</v>
      </c>
      <c r="Q663">
        <v>1</v>
      </c>
      <c r="R663" s="1">
        <v>44513</v>
      </c>
      <c r="S663" t="s">
        <v>37</v>
      </c>
      <c r="T663" t="str">
        <f t="shared" si="50"/>
        <v>Grade B</v>
      </c>
      <c r="U663">
        <f t="shared" si="51"/>
        <v>1</v>
      </c>
      <c r="V663" t="str">
        <f t="shared" si="52"/>
        <v>New Joiner</v>
      </c>
      <c r="W663" t="str">
        <f t="shared" si="53"/>
        <v>Already Left</v>
      </c>
      <c r="X663" t="str">
        <f t="shared" si="54"/>
        <v>Fair</v>
      </c>
    </row>
    <row r="664" spans="1:24" x14ac:dyDescent="0.3">
      <c r="A664" t="s">
        <v>732</v>
      </c>
      <c r="B664" t="s">
        <v>20</v>
      </c>
      <c r="C664">
        <v>45</v>
      </c>
      <c r="D664" t="s">
        <v>88</v>
      </c>
      <c r="E664" t="s">
        <v>40</v>
      </c>
      <c r="F664" t="s">
        <v>75</v>
      </c>
      <c r="G664" t="s">
        <v>42</v>
      </c>
      <c r="H664" t="s">
        <v>83</v>
      </c>
      <c r="I664" t="s">
        <v>43</v>
      </c>
      <c r="J664" t="s">
        <v>44</v>
      </c>
      <c r="K664">
        <v>10</v>
      </c>
      <c r="L664">
        <v>108751</v>
      </c>
      <c r="M664" t="s">
        <v>51</v>
      </c>
      <c r="N664">
        <v>1</v>
      </c>
      <c r="O664">
        <v>2</v>
      </c>
      <c r="P664">
        <v>51</v>
      </c>
      <c r="Q664">
        <v>0</v>
      </c>
      <c r="R664" s="1">
        <v>41605</v>
      </c>
      <c r="S664" t="s">
        <v>37</v>
      </c>
      <c r="T664" t="str">
        <f t="shared" si="50"/>
        <v>Grade A</v>
      </c>
      <c r="U664">
        <f t="shared" si="51"/>
        <v>4</v>
      </c>
      <c r="V664" t="str">
        <f t="shared" si="52"/>
        <v>Mid Level</v>
      </c>
      <c r="W664" t="str">
        <f t="shared" si="53"/>
        <v>Already Left</v>
      </c>
      <c r="X664" t="str">
        <f t="shared" si="54"/>
        <v>Competitive</v>
      </c>
    </row>
    <row r="665" spans="1:24" x14ac:dyDescent="0.3">
      <c r="A665" t="s">
        <v>733</v>
      </c>
      <c r="B665" t="s">
        <v>20</v>
      </c>
      <c r="C665">
        <v>36</v>
      </c>
      <c r="D665" t="s">
        <v>47</v>
      </c>
      <c r="E665" t="s">
        <v>40</v>
      </c>
      <c r="F665" t="s">
        <v>75</v>
      </c>
      <c r="G665" t="s">
        <v>42</v>
      </c>
      <c r="H665" t="s">
        <v>67</v>
      </c>
      <c r="I665" t="s">
        <v>96</v>
      </c>
      <c r="J665" t="s">
        <v>44</v>
      </c>
      <c r="K665">
        <v>4</v>
      </c>
      <c r="L665">
        <v>109092</v>
      </c>
      <c r="M665" t="s">
        <v>28</v>
      </c>
      <c r="N665">
        <v>2</v>
      </c>
      <c r="O665">
        <v>4</v>
      </c>
      <c r="P665">
        <v>77</v>
      </c>
      <c r="Q665">
        <v>1</v>
      </c>
      <c r="R665" s="1">
        <v>43485</v>
      </c>
      <c r="S665" t="s">
        <v>29</v>
      </c>
      <c r="T665" t="str">
        <f t="shared" si="50"/>
        <v>Grade A</v>
      </c>
      <c r="U665">
        <f t="shared" si="51"/>
        <v>3</v>
      </c>
      <c r="V665" t="str">
        <f t="shared" si="52"/>
        <v>Junior</v>
      </c>
      <c r="W665" t="str">
        <f t="shared" si="53"/>
        <v>Medium Risk</v>
      </c>
      <c r="X665" t="str">
        <f t="shared" si="54"/>
        <v>Competitive</v>
      </c>
    </row>
    <row r="666" spans="1:24" x14ac:dyDescent="0.3">
      <c r="A666" t="s">
        <v>734</v>
      </c>
      <c r="B666" t="s">
        <v>39</v>
      </c>
      <c r="C666">
        <v>43</v>
      </c>
      <c r="D666" t="s">
        <v>47</v>
      </c>
      <c r="E666" t="s">
        <v>40</v>
      </c>
      <c r="F666" t="s">
        <v>23</v>
      </c>
      <c r="G666" t="s">
        <v>24</v>
      </c>
      <c r="H666" t="s">
        <v>83</v>
      </c>
      <c r="I666" t="s">
        <v>26</v>
      </c>
      <c r="J666" t="s">
        <v>27</v>
      </c>
      <c r="K666">
        <v>1</v>
      </c>
      <c r="L666">
        <v>67171</v>
      </c>
      <c r="M666" t="s">
        <v>28</v>
      </c>
      <c r="N666">
        <v>4</v>
      </c>
      <c r="O666">
        <v>2</v>
      </c>
      <c r="P666">
        <v>36</v>
      </c>
      <c r="Q666">
        <v>3</v>
      </c>
      <c r="R666" s="1">
        <v>44719</v>
      </c>
      <c r="S666" t="s">
        <v>29</v>
      </c>
      <c r="T666" t="str">
        <f t="shared" si="50"/>
        <v>Grade B</v>
      </c>
      <c r="U666">
        <f t="shared" si="51"/>
        <v>3</v>
      </c>
      <c r="V666" t="str">
        <f t="shared" si="52"/>
        <v>New Joiner</v>
      </c>
      <c r="W666" t="str">
        <f t="shared" si="53"/>
        <v>Medium Risk</v>
      </c>
      <c r="X666" t="str">
        <f t="shared" si="54"/>
        <v>Competitive</v>
      </c>
    </row>
    <row r="667" spans="1:24" x14ac:dyDescent="0.3">
      <c r="A667" t="s">
        <v>735</v>
      </c>
      <c r="B667" t="s">
        <v>20</v>
      </c>
      <c r="C667">
        <v>26</v>
      </c>
      <c r="D667" t="s">
        <v>88</v>
      </c>
      <c r="E667" t="s">
        <v>22</v>
      </c>
      <c r="F667" t="s">
        <v>65</v>
      </c>
      <c r="G667" t="s">
        <v>79</v>
      </c>
      <c r="H667" t="s">
        <v>25</v>
      </c>
      <c r="I667" t="s">
        <v>35</v>
      </c>
      <c r="J667" t="s">
        <v>27</v>
      </c>
      <c r="K667">
        <v>13</v>
      </c>
      <c r="L667">
        <v>70381</v>
      </c>
      <c r="M667" t="s">
        <v>28</v>
      </c>
      <c r="N667">
        <v>2</v>
      </c>
      <c r="O667">
        <v>3</v>
      </c>
      <c r="P667">
        <v>22</v>
      </c>
      <c r="Q667">
        <v>0</v>
      </c>
      <c r="R667" s="1">
        <v>40227</v>
      </c>
      <c r="S667" t="s">
        <v>29</v>
      </c>
      <c r="T667" t="str">
        <f t="shared" si="50"/>
        <v>Grade B</v>
      </c>
      <c r="U667">
        <f t="shared" si="51"/>
        <v>3</v>
      </c>
      <c r="V667" t="str">
        <f t="shared" si="52"/>
        <v>Senior</v>
      </c>
      <c r="W667" t="str">
        <f t="shared" si="53"/>
        <v>Medium Risk</v>
      </c>
      <c r="X667" t="str">
        <f t="shared" si="54"/>
        <v>Competitive</v>
      </c>
    </row>
    <row r="668" spans="1:24" x14ac:dyDescent="0.3">
      <c r="A668" t="s">
        <v>736</v>
      </c>
      <c r="B668" t="s">
        <v>20</v>
      </c>
      <c r="C668">
        <v>26</v>
      </c>
      <c r="D668" t="s">
        <v>47</v>
      </c>
      <c r="E668" t="s">
        <v>48</v>
      </c>
      <c r="F668" t="s">
        <v>32</v>
      </c>
      <c r="G668" t="s">
        <v>49</v>
      </c>
      <c r="H668" t="s">
        <v>83</v>
      </c>
      <c r="I668" t="s">
        <v>96</v>
      </c>
      <c r="J668" t="s">
        <v>44</v>
      </c>
      <c r="K668">
        <v>1</v>
      </c>
      <c r="L668">
        <v>51499</v>
      </c>
      <c r="M668" t="s">
        <v>45</v>
      </c>
      <c r="N668">
        <v>1</v>
      </c>
      <c r="O668">
        <v>2</v>
      </c>
      <c r="P668">
        <v>76</v>
      </c>
      <c r="Q668">
        <v>2</v>
      </c>
      <c r="R668" s="1">
        <v>44728</v>
      </c>
      <c r="S668" t="s">
        <v>29</v>
      </c>
      <c r="T668" t="str">
        <f t="shared" si="50"/>
        <v>Grade B</v>
      </c>
      <c r="U668">
        <f t="shared" si="51"/>
        <v>2</v>
      </c>
      <c r="V668" t="str">
        <f t="shared" si="52"/>
        <v>New Joiner</v>
      </c>
      <c r="W668" t="str">
        <f t="shared" si="53"/>
        <v>Medium Risk</v>
      </c>
      <c r="X668" t="str">
        <f t="shared" si="54"/>
        <v>Fair</v>
      </c>
    </row>
    <row r="669" spans="1:24" x14ac:dyDescent="0.3">
      <c r="A669" t="s">
        <v>737</v>
      </c>
      <c r="B669" t="s">
        <v>20</v>
      </c>
      <c r="C669">
        <v>48</v>
      </c>
      <c r="D669" t="s">
        <v>31</v>
      </c>
      <c r="E669" t="s">
        <v>22</v>
      </c>
      <c r="F669" t="s">
        <v>23</v>
      </c>
      <c r="G669" t="s">
        <v>33</v>
      </c>
      <c r="H669" t="s">
        <v>34</v>
      </c>
      <c r="I669" t="s">
        <v>43</v>
      </c>
      <c r="J669" t="s">
        <v>44</v>
      </c>
      <c r="K669">
        <v>10</v>
      </c>
      <c r="L669">
        <v>78619</v>
      </c>
      <c r="M669" t="s">
        <v>51</v>
      </c>
      <c r="N669">
        <v>3</v>
      </c>
      <c r="O669">
        <v>1</v>
      </c>
      <c r="P669">
        <v>27</v>
      </c>
      <c r="Q669">
        <v>1</v>
      </c>
      <c r="R669" s="1">
        <v>41626</v>
      </c>
      <c r="S669" t="s">
        <v>37</v>
      </c>
      <c r="T669" t="str">
        <f t="shared" si="50"/>
        <v>Grade B</v>
      </c>
      <c r="U669">
        <f t="shared" si="51"/>
        <v>4</v>
      </c>
      <c r="V669" t="str">
        <f t="shared" si="52"/>
        <v>Mid Level</v>
      </c>
      <c r="W669" t="str">
        <f t="shared" si="53"/>
        <v>Already Left</v>
      </c>
      <c r="X669" t="str">
        <f t="shared" si="54"/>
        <v>Fair</v>
      </c>
    </row>
    <row r="670" spans="1:24" x14ac:dyDescent="0.3">
      <c r="A670" t="s">
        <v>738</v>
      </c>
      <c r="B670" t="s">
        <v>39</v>
      </c>
      <c r="C670">
        <v>44</v>
      </c>
      <c r="D670" t="s">
        <v>21</v>
      </c>
      <c r="E670" t="s">
        <v>48</v>
      </c>
      <c r="F670" t="s">
        <v>65</v>
      </c>
      <c r="G670" t="s">
        <v>79</v>
      </c>
      <c r="H670" t="s">
        <v>83</v>
      </c>
      <c r="I670" t="s">
        <v>35</v>
      </c>
      <c r="J670" t="s">
        <v>27</v>
      </c>
      <c r="K670">
        <v>8</v>
      </c>
      <c r="L670">
        <v>64476</v>
      </c>
      <c r="M670" t="s">
        <v>28</v>
      </c>
      <c r="N670">
        <v>1</v>
      </c>
      <c r="O670">
        <v>4</v>
      </c>
      <c r="P670">
        <v>26</v>
      </c>
      <c r="Q670">
        <v>2</v>
      </c>
      <c r="R670" s="1">
        <v>42013</v>
      </c>
      <c r="S670" t="s">
        <v>29</v>
      </c>
      <c r="T670" t="str">
        <f t="shared" si="50"/>
        <v>Grade B</v>
      </c>
      <c r="U670">
        <f t="shared" si="51"/>
        <v>3</v>
      </c>
      <c r="V670" t="str">
        <f t="shared" si="52"/>
        <v>Mid Level</v>
      </c>
      <c r="W670" t="str">
        <f t="shared" si="53"/>
        <v>Medium Risk</v>
      </c>
      <c r="X670" t="str">
        <f t="shared" si="54"/>
        <v>Competitive</v>
      </c>
    </row>
    <row r="671" spans="1:24" x14ac:dyDescent="0.3">
      <c r="A671" t="s">
        <v>739</v>
      </c>
      <c r="B671" t="s">
        <v>39</v>
      </c>
      <c r="C671">
        <v>23</v>
      </c>
      <c r="D671" t="s">
        <v>21</v>
      </c>
      <c r="E671" t="s">
        <v>22</v>
      </c>
      <c r="F671" t="s">
        <v>41</v>
      </c>
      <c r="G671" t="s">
        <v>49</v>
      </c>
      <c r="H671" t="s">
        <v>83</v>
      </c>
      <c r="I671" t="s">
        <v>50</v>
      </c>
      <c r="J671" t="s">
        <v>44</v>
      </c>
      <c r="K671">
        <v>9</v>
      </c>
      <c r="L671">
        <v>69477</v>
      </c>
      <c r="M671" t="s">
        <v>36</v>
      </c>
      <c r="N671">
        <v>2</v>
      </c>
      <c r="O671">
        <v>4</v>
      </c>
      <c r="P671">
        <v>12</v>
      </c>
      <c r="Q671">
        <v>3</v>
      </c>
      <c r="R671" s="1">
        <v>41852</v>
      </c>
      <c r="S671" t="s">
        <v>37</v>
      </c>
      <c r="T671" t="str">
        <f t="shared" si="50"/>
        <v>Grade B</v>
      </c>
      <c r="U671">
        <f t="shared" si="51"/>
        <v>1</v>
      </c>
      <c r="V671" t="str">
        <f t="shared" si="52"/>
        <v>Mid Level</v>
      </c>
      <c r="W671" t="str">
        <f t="shared" si="53"/>
        <v>Already Left</v>
      </c>
      <c r="X671" t="str">
        <f t="shared" si="54"/>
        <v>Fair</v>
      </c>
    </row>
    <row r="672" spans="1:24" x14ac:dyDescent="0.3">
      <c r="A672" t="s">
        <v>740</v>
      </c>
      <c r="B672" t="s">
        <v>20</v>
      </c>
      <c r="C672">
        <v>29</v>
      </c>
      <c r="D672" t="s">
        <v>88</v>
      </c>
      <c r="E672" t="s">
        <v>48</v>
      </c>
      <c r="F672" t="s">
        <v>75</v>
      </c>
      <c r="G672" t="s">
        <v>63</v>
      </c>
      <c r="H672" t="s">
        <v>76</v>
      </c>
      <c r="I672" t="s">
        <v>50</v>
      </c>
      <c r="J672" t="s">
        <v>44</v>
      </c>
      <c r="K672">
        <v>7</v>
      </c>
      <c r="L672">
        <v>67007</v>
      </c>
      <c r="M672" t="s">
        <v>28</v>
      </c>
      <c r="N672">
        <v>3</v>
      </c>
      <c r="O672">
        <v>2</v>
      </c>
      <c r="P672">
        <v>53</v>
      </c>
      <c r="Q672">
        <v>3</v>
      </c>
      <c r="R672" s="1">
        <v>42678</v>
      </c>
      <c r="S672" t="s">
        <v>29</v>
      </c>
      <c r="T672" t="str">
        <f t="shared" si="50"/>
        <v>Grade B</v>
      </c>
      <c r="U672">
        <f t="shared" si="51"/>
        <v>3</v>
      </c>
      <c r="V672" t="str">
        <f t="shared" si="52"/>
        <v>Mid Level</v>
      </c>
      <c r="W672" t="str">
        <f t="shared" si="53"/>
        <v>Medium Risk</v>
      </c>
      <c r="X672" t="str">
        <f t="shared" si="54"/>
        <v>Competitive</v>
      </c>
    </row>
    <row r="673" spans="1:24" x14ac:dyDescent="0.3">
      <c r="A673" t="s">
        <v>741</v>
      </c>
      <c r="B673" t="s">
        <v>39</v>
      </c>
      <c r="C673">
        <v>22</v>
      </c>
      <c r="D673" t="s">
        <v>47</v>
      </c>
      <c r="E673" t="s">
        <v>22</v>
      </c>
      <c r="F673" t="s">
        <v>32</v>
      </c>
      <c r="G673" t="s">
        <v>58</v>
      </c>
      <c r="H673" t="s">
        <v>67</v>
      </c>
      <c r="I673" t="s">
        <v>50</v>
      </c>
      <c r="J673" t="s">
        <v>44</v>
      </c>
      <c r="K673">
        <v>10</v>
      </c>
      <c r="L673">
        <v>102442</v>
      </c>
      <c r="M673" t="s">
        <v>51</v>
      </c>
      <c r="N673">
        <v>1</v>
      </c>
      <c r="O673">
        <v>1</v>
      </c>
      <c r="P673">
        <v>26</v>
      </c>
      <c r="Q673">
        <v>3</v>
      </c>
      <c r="R673" s="1">
        <v>41368</v>
      </c>
      <c r="S673" t="s">
        <v>29</v>
      </c>
      <c r="T673" t="str">
        <f t="shared" si="50"/>
        <v>Grade A</v>
      </c>
      <c r="U673">
        <f t="shared" si="51"/>
        <v>4</v>
      </c>
      <c r="V673" t="str">
        <f t="shared" si="52"/>
        <v>Mid Level</v>
      </c>
      <c r="W673" t="str">
        <f t="shared" si="53"/>
        <v>Low Risk</v>
      </c>
      <c r="X673" t="str">
        <f t="shared" si="54"/>
        <v>Competitive</v>
      </c>
    </row>
    <row r="674" spans="1:24" x14ac:dyDescent="0.3">
      <c r="A674" t="s">
        <v>742</v>
      </c>
      <c r="B674" t="s">
        <v>20</v>
      </c>
      <c r="C674">
        <v>52</v>
      </c>
      <c r="D674" t="s">
        <v>21</v>
      </c>
      <c r="E674" t="s">
        <v>40</v>
      </c>
      <c r="F674" t="s">
        <v>62</v>
      </c>
      <c r="G674" t="s">
        <v>49</v>
      </c>
      <c r="H674" t="s">
        <v>83</v>
      </c>
      <c r="I674" t="s">
        <v>68</v>
      </c>
      <c r="J674" t="s">
        <v>60</v>
      </c>
      <c r="K674">
        <v>6</v>
      </c>
      <c r="L674">
        <v>61581</v>
      </c>
      <c r="M674" t="s">
        <v>45</v>
      </c>
      <c r="N674">
        <v>1</v>
      </c>
      <c r="O674">
        <v>1</v>
      </c>
      <c r="P674">
        <v>42</v>
      </c>
      <c r="Q674">
        <v>1</v>
      </c>
      <c r="R674" s="1">
        <v>42792</v>
      </c>
      <c r="S674" t="s">
        <v>29</v>
      </c>
      <c r="T674" t="str">
        <f t="shared" si="50"/>
        <v>Grade B</v>
      </c>
      <c r="U674">
        <f t="shared" si="51"/>
        <v>2</v>
      </c>
      <c r="V674" t="str">
        <f t="shared" si="52"/>
        <v>Mid Level</v>
      </c>
      <c r="W674" t="str">
        <f t="shared" si="53"/>
        <v>Medium Risk</v>
      </c>
      <c r="X674" t="str">
        <f t="shared" si="54"/>
        <v>Fair</v>
      </c>
    </row>
    <row r="675" spans="1:24" x14ac:dyDescent="0.3">
      <c r="A675" t="s">
        <v>743</v>
      </c>
      <c r="B675" t="s">
        <v>39</v>
      </c>
      <c r="C675">
        <v>55</v>
      </c>
      <c r="D675" t="s">
        <v>31</v>
      </c>
      <c r="E675" t="s">
        <v>48</v>
      </c>
      <c r="F675" t="s">
        <v>65</v>
      </c>
      <c r="G675" t="s">
        <v>42</v>
      </c>
      <c r="H675" t="s">
        <v>67</v>
      </c>
      <c r="I675" t="s">
        <v>96</v>
      </c>
      <c r="J675" t="s">
        <v>44</v>
      </c>
      <c r="K675">
        <v>12</v>
      </c>
      <c r="L675">
        <v>121023</v>
      </c>
      <c r="M675" t="s">
        <v>36</v>
      </c>
      <c r="N675">
        <v>1</v>
      </c>
      <c r="O675">
        <v>1</v>
      </c>
      <c r="P675">
        <v>54</v>
      </c>
      <c r="Q675">
        <v>3</v>
      </c>
      <c r="R675" s="1">
        <v>40578</v>
      </c>
      <c r="S675" t="s">
        <v>37</v>
      </c>
      <c r="T675" t="str">
        <f t="shared" si="50"/>
        <v>Grade A</v>
      </c>
      <c r="U675">
        <f t="shared" si="51"/>
        <v>1</v>
      </c>
      <c r="V675" t="str">
        <f t="shared" si="52"/>
        <v>Senior</v>
      </c>
      <c r="W675" t="str">
        <f t="shared" si="53"/>
        <v>Already Left</v>
      </c>
      <c r="X675" t="str">
        <f t="shared" si="54"/>
        <v>Overpaid</v>
      </c>
    </row>
    <row r="676" spans="1:24" x14ac:dyDescent="0.3">
      <c r="A676" t="s">
        <v>744</v>
      </c>
      <c r="B676" t="s">
        <v>39</v>
      </c>
      <c r="C676">
        <v>29</v>
      </c>
      <c r="D676" t="s">
        <v>31</v>
      </c>
      <c r="E676" t="s">
        <v>40</v>
      </c>
      <c r="F676" t="s">
        <v>78</v>
      </c>
      <c r="G676" t="s">
        <v>24</v>
      </c>
      <c r="H676" t="s">
        <v>25</v>
      </c>
      <c r="I676" t="s">
        <v>54</v>
      </c>
      <c r="J676" t="s">
        <v>27</v>
      </c>
      <c r="K676">
        <v>4</v>
      </c>
      <c r="L676">
        <v>90071</v>
      </c>
      <c r="M676" t="s">
        <v>51</v>
      </c>
      <c r="N676">
        <v>2</v>
      </c>
      <c r="O676">
        <v>1</v>
      </c>
      <c r="P676">
        <v>40</v>
      </c>
      <c r="Q676">
        <v>3</v>
      </c>
      <c r="R676" s="1">
        <v>43676</v>
      </c>
      <c r="S676" t="s">
        <v>29</v>
      </c>
      <c r="T676" t="str">
        <f t="shared" si="50"/>
        <v>Grade A</v>
      </c>
      <c r="U676">
        <f t="shared" si="51"/>
        <v>4</v>
      </c>
      <c r="V676" t="str">
        <f t="shared" si="52"/>
        <v>Junior</v>
      </c>
      <c r="W676" t="str">
        <f t="shared" si="53"/>
        <v>Low Risk</v>
      </c>
      <c r="X676" t="str">
        <f t="shared" si="54"/>
        <v>Competitive</v>
      </c>
    </row>
    <row r="677" spans="1:24" x14ac:dyDescent="0.3">
      <c r="A677" t="s">
        <v>745</v>
      </c>
      <c r="B677" t="s">
        <v>20</v>
      </c>
      <c r="C677">
        <v>27</v>
      </c>
      <c r="D677" t="s">
        <v>21</v>
      </c>
      <c r="E677" t="s">
        <v>48</v>
      </c>
      <c r="F677" t="s">
        <v>41</v>
      </c>
      <c r="G677" t="s">
        <v>58</v>
      </c>
      <c r="H677" t="s">
        <v>83</v>
      </c>
      <c r="I677" t="s">
        <v>96</v>
      </c>
      <c r="J677" t="s">
        <v>44</v>
      </c>
      <c r="K677">
        <v>14</v>
      </c>
      <c r="L677">
        <v>111857</v>
      </c>
      <c r="M677" t="s">
        <v>36</v>
      </c>
      <c r="N677">
        <v>4</v>
      </c>
      <c r="O677">
        <v>4</v>
      </c>
      <c r="P677">
        <v>12</v>
      </c>
      <c r="Q677">
        <v>3</v>
      </c>
      <c r="R677" s="1">
        <v>39986</v>
      </c>
      <c r="S677" t="s">
        <v>29</v>
      </c>
      <c r="T677" t="str">
        <f t="shared" si="50"/>
        <v>Grade A</v>
      </c>
      <c r="U677">
        <f t="shared" si="51"/>
        <v>1</v>
      </c>
      <c r="V677" t="str">
        <f t="shared" si="52"/>
        <v>Senior</v>
      </c>
      <c r="W677" t="str">
        <f t="shared" si="53"/>
        <v>Medium Risk</v>
      </c>
      <c r="X677" t="str">
        <f t="shared" si="54"/>
        <v>Overpaid</v>
      </c>
    </row>
    <row r="678" spans="1:24" x14ac:dyDescent="0.3">
      <c r="A678" t="s">
        <v>746</v>
      </c>
      <c r="B678" t="s">
        <v>39</v>
      </c>
      <c r="C678">
        <v>41</v>
      </c>
      <c r="D678" t="s">
        <v>21</v>
      </c>
      <c r="E678" t="s">
        <v>40</v>
      </c>
      <c r="F678" t="s">
        <v>78</v>
      </c>
      <c r="G678" t="s">
        <v>63</v>
      </c>
      <c r="H678" t="s">
        <v>83</v>
      </c>
      <c r="I678" t="s">
        <v>43</v>
      </c>
      <c r="J678" t="s">
        <v>44</v>
      </c>
      <c r="K678">
        <v>4</v>
      </c>
      <c r="L678">
        <v>49043</v>
      </c>
      <c r="M678" t="s">
        <v>28</v>
      </c>
      <c r="N678">
        <v>3</v>
      </c>
      <c r="O678">
        <v>1</v>
      </c>
      <c r="P678">
        <v>53</v>
      </c>
      <c r="Q678">
        <v>2</v>
      </c>
      <c r="R678" s="1">
        <v>43560</v>
      </c>
      <c r="S678" t="s">
        <v>29</v>
      </c>
      <c r="T678" t="str">
        <f t="shared" si="50"/>
        <v>Grade C</v>
      </c>
      <c r="U678">
        <f t="shared" si="51"/>
        <v>3</v>
      </c>
      <c r="V678" t="str">
        <f t="shared" si="52"/>
        <v>Junior</v>
      </c>
      <c r="W678" t="str">
        <f t="shared" si="53"/>
        <v>Medium Risk</v>
      </c>
      <c r="X678" t="str">
        <f t="shared" si="54"/>
        <v>Fair</v>
      </c>
    </row>
    <row r="679" spans="1:24" x14ac:dyDescent="0.3">
      <c r="A679" t="s">
        <v>747</v>
      </c>
      <c r="B679" t="s">
        <v>20</v>
      </c>
      <c r="C679">
        <v>40</v>
      </c>
      <c r="D679" t="s">
        <v>88</v>
      </c>
      <c r="E679" t="s">
        <v>48</v>
      </c>
      <c r="F679" t="s">
        <v>32</v>
      </c>
      <c r="G679" t="s">
        <v>63</v>
      </c>
      <c r="H679" t="s">
        <v>83</v>
      </c>
      <c r="I679" t="s">
        <v>54</v>
      </c>
      <c r="J679" t="s">
        <v>27</v>
      </c>
      <c r="K679">
        <v>12</v>
      </c>
      <c r="L679">
        <v>73009</v>
      </c>
      <c r="M679" t="s">
        <v>45</v>
      </c>
      <c r="N679">
        <v>4</v>
      </c>
      <c r="O679">
        <v>3</v>
      </c>
      <c r="P679">
        <v>30</v>
      </c>
      <c r="Q679">
        <v>3</v>
      </c>
      <c r="R679" s="1">
        <v>40857</v>
      </c>
      <c r="S679" t="s">
        <v>37</v>
      </c>
      <c r="T679" t="str">
        <f t="shared" si="50"/>
        <v>Grade B</v>
      </c>
      <c r="U679">
        <f t="shared" si="51"/>
        <v>2</v>
      </c>
      <c r="V679" t="str">
        <f t="shared" si="52"/>
        <v>Senior</v>
      </c>
      <c r="W679" t="str">
        <f t="shared" si="53"/>
        <v>Already Left</v>
      </c>
      <c r="X679" t="str">
        <f t="shared" si="54"/>
        <v>Fair</v>
      </c>
    </row>
    <row r="680" spans="1:24" x14ac:dyDescent="0.3">
      <c r="A680" t="s">
        <v>748</v>
      </c>
      <c r="B680" t="s">
        <v>20</v>
      </c>
      <c r="C680">
        <v>43</v>
      </c>
      <c r="D680" t="s">
        <v>88</v>
      </c>
      <c r="E680" t="s">
        <v>48</v>
      </c>
      <c r="F680" t="s">
        <v>32</v>
      </c>
      <c r="G680" t="s">
        <v>42</v>
      </c>
      <c r="H680" t="s">
        <v>67</v>
      </c>
      <c r="I680" t="s">
        <v>96</v>
      </c>
      <c r="J680" t="s">
        <v>44</v>
      </c>
      <c r="K680">
        <v>5</v>
      </c>
      <c r="L680">
        <v>97802</v>
      </c>
      <c r="M680" t="s">
        <v>51</v>
      </c>
      <c r="N680">
        <v>1</v>
      </c>
      <c r="O680">
        <v>3</v>
      </c>
      <c r="P680">
        <v>56</v>
      </c>
      <c r="Q680">
        <v>2</v>
      </c>
      <c r="R680" s="1">
        <v>43190</v>
      </c>
      <c r="S680" t="s">
        <v>29</v>
      </c>
      <c r="T680" t="str">
        <f t="shared" si="50"/>
        <v>Grade A</v>
      </c>
      <c r="U680">
        <f t="shared" si="51"/>
        <v>4</v>
      </c>
      <c r="V680" t="str">
        <f t="shared" si="52"/>
        <v>Junior</v>
      </c>
      <c r="W680" t="str">
        <f t="shared" si="53"/>
        <v>Low Risk</v>
      </c>
      <c r="X680" t="str">
        <f t="shared" si="54"/>
        <v>Competitive</v>
      </c>
    </row>
    <row r="681" spans="1:24" x14ac:dyDescent="0.3">
      <c r="A681" t="s">
        <v>749</v>
      </c>
      <c r="B681" t="s">
        <v>20</v>
      </c>
      <c r="C681">
        <v>23</v>
      </c>
      <c r="D681" t="s">
        <v>57</v>
      </c>
      <c r="E681" t="s">
        <v>22</v>
      </c>
      <c r="F681" t="s">
        <v>23</v>
      </c>
      <c r="G681" t="s">
        <v>66</v>
      </c>
      <c r="H681" t="s">
        <v>83</v>
      </c>
      <c r="I681" t="s">
        <v>80</v>
      </c>
      <c r="J681" t="s">
        <v>60</v>
      </c>
      <c r="K681">
        <v>10</v>
      </c>
      <c r="L681">
        <v>53667</v>
      </c>
      <c r="M681" t="s">
        <v>45</v>
      </c>
      <c r="N681">
        <v>4</v>
      </c>
      <c r="O681">
        <v>1</v>
      </c>
      <c r="P681">
        <v>55</v>
      </c>
      <c r="Q681">
        <v>3</v>
      </c>
      <c r="R681" s="1">
        <v>41415</v>
      </c>
      <c r="S681" t="s">
        <v>29</v>
      </c>
      <c r="T681" t="str">
        <f t="shared" si="50"/>
        <v>Grade B</v>
      </c>
      <c r="U681">
        <f t="shared" si="51"/>
        <v>2</v>
      </c>
      <c r="V681" t="str">
        <f t="shared" si="52"/>
        <v>Mid Level</v>
      </c>
      <c r="W681" t="str">
        <f t="shared" si="53"/>
        <v>Medium Risk</v>
      </c>
      <c r="X681" t="str">
        <f t="shared" si="54"/>
        <v>Fair</v>
      </c>
    </row>
    <row r="682" spans="1:24" x14ac:dyDescent="0.3">
      <c r="A682" t="s">
        <v>750</v>
      </c>
      <c r="B682" t="s">
        <v>20</v>
      </c>
      <c r="C682">
        <v>26</v>
      </c>
      <c r="D682" t="s">
        <v>57</v>
      </c>
      <c r="E682" t="s">
        <v>22</v>
      </c>
      <c r="F682" t="s">
        <v>32</v>
      </c>
      <c r="G682" t="s">
        <v>79</v>
      </c>
      <c r="H682" t="s">
        <v>76</v>
      </c>
      <c r="I682" t="s">
        <v>35</v>
      </c>
      <c r="J682" t="s">
        <v>27</v>
      </c>
      <c r="K682">
        <v>10</v>
      </c>
      <c r="L682">
        <v>59058</v>
      </c>
      <c r="M682" t="s">
        <v>51</v>
      </c>
      <c r="N682">
        <v>3</v>
      </c>
      <c r="O682">
        <v>3</v>
      </c>
      <c r="P682">
        <v>43</v>
      </c>
      <c r="Q682">
        <v>3</v>
      </c>
      <c r="R682" s="1">
        <v>41360</v>
      </c>
      <c r="S682" t="s">
        <v>29</v>
      </c>
      <c r="T682" t="str">
        <f t="shared" si="50"/>
        <v>Grade B</v>
      </c>
      <c r="U682">
        <f t="shared" si="51"/>
        <v>4</v>
      </c>
      <c r="V682" t="str">
        <f t="shared" si="52"/>
        <v>Mid Level</v>
      </c>
      <c r="W682" t="str">
        <f t="shared" si="53"/>
        <v>Low Risk</v>
      </c>
      <c r="X682" t="str">
        <f t="shared" si="54"/>
        <v>Fair</v>
      </c>
    </row>
    <row r="683" spans="1:24" x14ac:dyDescent="0.3">
      <c r="A683" t="s">
        <v>751</v>
      </c>
      <c r="B683" t="s">
        <v>39</v>
      </c>
      <c r="C683">
        <v>33</v>
      </c>
      <c r="D683" t="s">
        <v>88</v>
      </c>
      <c r="E683" t="s">
        <v>48</v>
      </c>
      <c r="F683" t="s">
        <v>32</v>
      </c>
      <c r="G683" t="s">
        <v>58</v>
      </c>
      <c r="H683" t="s">
        <v>67</v>
      </c>
      <c r="I683" t="s">
        <v>68</v>
      </c>
      <c r="J683" t="s">
        <v>60</v>
      </c>
      <c r="K683">
        <v>14</v>
      </c>
      <c r="L683">
        <v>110624</v>
      </c>
      <c r="M683" t="s">
        <v>28</v>
      </c>
      <c r="N683">
        <v>3</v>
      </c>
      <c r="O683">
        <v>1</v>
      </c>
      <c r="P683">
        <v>80</v>
      </c>
      <c r="Q683">
        <v>1</v>
      </c>
      <c r="R683" s="1">
        <v>39847</v>
      </c>
      <c r="S683" t="s">
        <v>37</v>
      </c>
      <c r="T683" t="str">
        <f t="shared" si="50"/>
        <v>Grade A</v>
      </c>
      <c r="U683">
        <f t="shared" si="51"/>
        <v>3</v>
      </c>
      <c r="V683" t="str">
        <f t="shared" si="52"/>
        <v>Senior</v>
      </c>
      <c r="W683" t="str">
        <f t="shared" si="53"/>
        <v>Already Left</v>
      </c>
      <c r="X683" t="str">
        <f t="shared" si="54"/>
        <v>Competitive</v>
      </c>
    </row>
    <row r="684" spans="1:24" x14ac:dyDescent="0.3">
      <c r="A684" t="s">
        <v>752</v>
      </c>
      <c r="B684" t="s">
        <v>39</v>
      </c>
      <c r="C684">
        <v>44</v>
      </c>
      <c r="D684" t="s">
        <v>21</v>
      </c>
      <c r="E684" t="s">
        <v>22</v>
      </c>
      <c r="F684" t="s">
        <v>62</v>
      </c>
      <c r="G684" t="s">
        <v>66</v>
      </c>
      <c r="H684" t="s">
        <v>25</v>
      </c>
      <c r="I684" t="s">
        <v>50</v>
      </c>
      <c r="J684" t="s">
        <v>44</v>
      </c>
      <c r="K684">
        <v>11</v>
      </c>
      <c r="L684">
        <v>64709</v>
      </c>
      <c r="M684" t="s">
        <v>51</v>
      </c>
      <c r="N684">
        <v>4</v>
      </c>
      <c r="O684">
        <v>1</v>
      </c>
      <c r="P684">
        <v>75</v>
      </c>
      <c r="Q684">
        <v>0</v>
      </c>
      <c r="R684" s="1">
        <v>40970</v>
      </c>
      <c r="S684" t="s">
        <v>37</v>
      </c>
      <c r="T684" t="str">
        <f t="shared" si="50"/>
        <v>Grade B</v>
      </c>
      <c r="U684">
        <f t="shared" si="51"/>
        <v>4</v>
      </c>
      <c r="V684" t="str">
        <f t="shared" si="52"/>
        <v>Senior</v>
      </c>
      <c r="W684" t="str">
        <f t="shared" si="53"/>
        <v>Already Left</v>
      </c>
      <c r="X684" t="str">
        <f t="shared" si="54"/>
        <v>Fair</v>
      </c>
    </row>
    <row r="685" spans="1:24" x14ac:dyDescent="0.3">
      <c r="A685" t="s">
        <v>753</v>
      </c>
      <c r="B685" t="s">
        <v>39</v>
      </c>
      <c r="C685">
        <v>23</v>
      </c>
      <c r="D685" t="s">
        <v>31</v>
      </c>
      <c r="E685" t="s">
        <v>40</v>
      </c>
      <c r="F685" t="s">
        <v>32</v>
      </c>
      <c r="G685" t="s">
        <v>63</v>
      </c>
      <c r="H685" t="s">
        <v>25</v>
      </c>
      <c r="I685" t="s">
        <v>59</v>
      </c>
      <c r="J685" t="s">
        <v>60</v>
      </c>
      <c r="K685">
        <v>14</v>
      </c>
      <c r="L685">
        <v>65339</v>
      </c>
      <c r="M685" t="s">
        <v>45</v>
      </c>
      <c r="N685">
        <v>3</v>
      </c>
      <c r="O685">
        <v>3</v>
      </c>
      <c r="P685">
        <v>62</v>
      </c>
      <c r="Q685">
        <v>2</v>
      </c>
      <c r="R685" s="1">
        <v>40038</v>
      </c>
      <c r="S685" t="s">
        <v>29</v>
      </c>
      <c r="T685" t="str">
        <f t="shared" si="50"/>
        <v>Grade B</v>
      </c>
      <c r="U685">
        <f t="shared" si="51"/>
        <v>2</v>
      </c>
      <c r="V685" t="str">
        <f t="shared" si="52"/>
        <v>Senior</v>
      </c>
      <c r="W685" t="str">
        <f t="shared" si="53"/>
        <v>Medium Risk</v>
      </c>
      <c r="X685" t="str">
        <f t="shared" si="54"/>
        <v>Fair</v>
      </c>
    </row>
    <row r="686" spans="1:24" x14ac:dyDescent="0.3">
      <c r="A686" t="s">
        <v>754</v>
      </c>
      <c r="B686" t="s">
        <v>39</v>
      </c>
      <c r="C686">
        <v>28</v>
      </c>
      <c r="D686" t="s">
        <v>88</v>
      </c>
      <c r="E686" t="s">
        <v>22</v>
      </c>
      <c r="F686" t="s">
        <v>62</v>
      </c>
      <c r="G686" t="s">
        <v>66</v>
      </c>
      <c r="H686" t="s">
        <v>34</v>
      </c>
      <c r="I686" t="s">
        <v>96</v>
      </c>
      <c r="J686" t="s">
        <v>44</v>
      </c>
      <c r="K686">
        <v>3</v>
      </c>
      <c r="L686">
        <v>32461</v>
      </c>
      <c r="M686" t="s">
        <v>51</v>
      </c>
      <c r="N686">
        <v>3</v>
      </c>
      <c r="O686">
        <v>3</v>
      </c>
      <c r="P686">
        <v>37</v>
      </c>
      <c r="Q686">
        <v>3</v>
      </c>
      <c r="R686" s="1">
        <v>44121</v>
      </c>
      <c r="S686" t="s">
        <v>29</v>
      </c>
      <c r="T686" t="str">
        <f t="shared" si="50"/>
        <v>Grade D</v>
      </c>
      <c r="U686">
        <f t="shared" si="51"/>
        <v>4</v>
      </c>
      <c r="V686" t="str">
        <f t="shared" si="52"/>
        <v>Junior</v>
      </c>
      <c r="W686" t="str">
        <f t="shared" si="53"/>
        <v>Low Risk</v>
      </c>
      <c r="X686" t="str">
        <f t="shared" si="54"/>
        <v>Underpaid</v>
      </c>
    </row>
    <row r="687" spans="1:24" x14ac:dyDescent="0.3">
      <c r="A687" t="s">
        <v>755</v>
      </c>
      <c r="B687" t="s">
        <v>20</v>
      </c>
      <c r="C687">
        <v>29</v>
      </c>
      <c r="D687" t="s">
        <v>88</v>
      </c>
      <c r="E687" t="s">
        <v>22</v>
      </c>
      <c r="F687" t="s">
        <v>23</v>
      </c>
      <c r="G687" t="s">
        <v>79</v>
      </c>
      <c r="H687" t="s">
        <v>67</v>
      </c>
      <c r="I687" t="s">
        <v>54</v>
      </c>
      <c r="J687" t="s">
        <v>27</v>
      </c>
      <c r="K687">
        <v>13</v>
      </c>
      <c r="L687">
        <v>58533</v>
      </c>
      <c r="M687" t="s">
        <v>36</v>
      </c>
      <c r="N687">
        <v>4</v>
      </c>
      <c r="O687">
        <v>4</v>
      </c>
      <c r="P687">
        <v>50</v>
      </c>
      <c r="Q687">
        <v>2</v>
      </c>
      <c r="R687" s="1">
        <v>40290</v>
      </c>
      <c r="S687" t="s">
        <v>29</v>
      </c>
      <c r="T687" t="str">
        <f t="shared" si="50"/>
        <v>Grade B</v>
      </c>
      <c r="U687">
        <f t="shared" si="51"/>
        <v>1</v>
      </c>
      <c r="V687" t="str">
        <f t="shared" si="52"/>
        <v>Senior</v>
      </c>
      <c r="W687" t="str">
        <f t="shared" si="53"/>
        <v>Medium Risk</v>
      </c>
      <c r="X687" t="str">
        <f t="shared" si="54"/>
        <v>Fair</v>
      </c>
    </row>
    <row r="688" spans="1:24" x14ac:dyDescent="0.3">
      <c r="A688" t="s">
        <v>756</v>
      </c>
      <c r="B688" t="s">
        <v>39</v>
      </c>
      <c r="C688">
        <v>37</v>
      </c>
      <c r="D688" t="s">
        <v>57</v>
      </c>
      <c r="E688" t="s">
        <v>40</v>
      </c>
      <c r="F688" t="s">
        <v>62</v>
      </c>
      <c r="G688" t="s">
        <v>66</v>
      </c>
      <c r="H688" t="s">
        <v>67</v>
      </c>
      <c r="I688" t="s">
        <v>59</v>
      </c>
      <c r="J688" t="s">
        <v>60</v>
      </c>
      <c r="K688">
        <v>4</v>
      </c>
      <c r="L688">
        <v>40565</v>
      </c>
      <c r="M688" t="s">
        <v>45</v>
      </c>
      <c r="N688">
        <v>4</v>
      </c>
      <c r="O688">
        <v>3</v>
      </c>
      <c r="P688">
        <v>20</v>
      </c>
      <c r="Q688">
        <v>2</v>
      </c>
      <c r="R688" s="1">
        <v>43671</v>
      </c>
      <c r="S688" t="s">
        <v>29</v>
      </c>
      <c r="T688" t="str">
        <f t="shared" si="50"/>
        <v>Grade C</v>
      </c>
      <c r="U688">
        <f t="shared" si="51"/>
        <v>2</v>
      </c>
      <c r="V688" t="str">
        <f t="shared" si="52"/>
        <v>Junior</v>
      </c>
      <c r="W688" t="str">
        <f t="shared" si="53"/>
        <v>Medium Risk</v>
      </c>
      <c r="X688" t="str">
        <f t="shared" si="54"/>
        <v>Fair</v>
      </c>
    </row>
    <row r="689" spans="1:24" x14ac:dyDescent="0.3">
      <c r="A689" t="s">
        <v>757</v>
      </c>
      <c r="B689" t="s">
        <v>39</v>
      </c>
      <c r="C689">
        <v>37</v>
      </c>
      <c r="D689" t="s">
        <v>57</v>
      </c>
      <c r="E689" t="s">
        <v>40</v>
      </c>
      <c r="F689" t="s">
        <v>41</v>
      </c>
      <c r="G689" t="s">
        <v>49</v>
      </c>
      <c r="H689" t="s">
        <v>25</v>
      </c>
      <c r="I689" t="s">
        <v>35</v>
      </c>
      <c r="J689" t="s">
        <v>27</v>
      </c>
      <c r="K689">
        <v>10</v>
      </c>
      <c r="L689">
        <v>74711</v>
      </c>
      <c r="M689" t="s">
        <v>36</v>
      </c>
      <c r="N689">
        <v>2</v>
      </c>
      <c r="O689">
        <v>3</v>
      </c>
      <c r="P689">
        <v>46</v>
      </c>
      <c r="Q689">
        <v>2</v>
      </c>
      <c r="R689" s="1">
        <v>41351</v>
      </c>
      <c r="S689" t="s">
        <v>37</v>
      </c>
      <c r="T689" t="str">
        <f t="shared" si="50"/>
        <v>Grade B</v>
      </c>
      <c r="U689">
        <f t="shared" si="51"/>
        <v>1</v>
      </c>
      <c r="V689" t="str">
        <f t="shared" si="52"/>
        <v>Mid Level</v>
      </c>
      <c r="W689" t="str">
        <f t="shared" si="53"/>
        <v>Already Left</v>
      </c>
      <c r="X689" t="str">
        <f t="shared" si="54"/>
        <v>Fair</v>
      </c>
    </row>
    <row r="690" spans="1:24" x14ac:dyDescent="0.3">
      <c r="A690" t="s">
        <v>758</v>
      </c>
      <c r="B690" t="s">
        <v>39</v>
      </c>
      <c r="C690">
        <v>51</v>
      </c>
      <c r="D690" t="s">
        <v>21</v>
      </c>
      <c r="E690" t="s">
        <v>22</v>
      </c>
      <c r="F690" t="s">
        <v>41</v>
      </c>
      <c r="G690" t="s">
        <v>24</v>
      </c>
      <c r="H690" t="s">
        <v>83</v>
      </c>
      <c r="I690" t="s">
        <v>72</v>
      </c>
      <c r="J690" t="s">
        <v>73</v>
      </c>
      <c r="K690">
        <v>7</v>
      </c>
      <c r="L690">
        <v>97874</v>
      </c>
      <c r="M690" t="s">
        <v>36</v>
      </c>
      <c r="N690">
        <v>1</v>
      </c>
      <c r="O690">
        <v>4</v>
      </c>
      <c r="P690">
        <v>43</v>
      </c>
      <c r="Q690">
        <v>3</v>
      </c>
      <c r="R690" s="1">
        <v>42636</v>
      </c>
      <c r="S690" t="s">
        <v>29</v>
      </c>
      <c r="T690" t="str">
        <f t="shared" si="50"/>
        <v>Grade A</v>
      </c>
      <c r="U690">
        <f t="shared" si="51"/>
        <v>1</v>
      </c>
      <c r="V690" t="str">
        <f t="shared" si="52"/>
        <v>Mid Level</v>
      </c>
      <c r="W690" t="str">
        <f t="shared" si="53"/>
        <v>Medium Risk</v>
      </c>
      <c r="X690" t="str">
        <f t="shared" si="54"/>
        <v>Overpaid</v>
      </c>
    </row>
    <row r="691" spans="1:24" x14ac:dyDescent="0.3">
      <c r="A691" t="s">
        <v>759</v>
      </c>
      <c r="B691" t="s">
        <v>20</v>
      </c>
      <c r="C691">
        <v>49</v>
      </c>
      <c r="D691" t="s">
        <v>31</v>
      </c>
      <c r="E691" t="s">
        <v>22</v>
      </c>
      <c r="F691" t="s">
        <v>53</v>
      </c>
      <c r="G691" t="s">
        <v>24</v>
      </c>
      <c r="H691" t="s">
        <v>83</v>
      </c>
      <c r="I691" t="s">
        <v>26</v>
      </c>
      <c r="J691" t="s">
        <v>27</v>
      </c>
      <c r="K691">
        <v>1</v>
      </c>
      <c r="L691">
        <v>69392</v>
      </c>
      <c r="M691" t="s">
        <v>36</v>
      </c>
      <c r="N691">
        <v>4</v>
      </c>
      <c r="O691">
        <v>2</v>
      </c>
      <c r="P691">
        <v>47</v>
      </c>
      <c r="Q691">
        <v>0</v>
      </c>
      <c r="R691" s="1">
        <v>44656</v>
      </c>
      <c r="S691" t="s">
        <v>29</v>
      </c>
      <c r="T691" t="str">
        <f t="shared" si="50"/>
        <v>Grade B</v>
      </c>
      <c r="U691">
        <f t="shared" si="51"/>
        <v>1</v>
      </c>
      <c r="V691" t="str">
        <f t="shared" si="52"/>
        <v>New Joiner</v>
      </c>
      <c r="W691" t="str">
        <f t="shared" si="53"/>
        <v>High Risk</v>
      </c>
      <c r="X691" t="str">
        <f t="shared" si="54"/>
        <v>Fair</v>
      </c>
    </row>
    <row r="692" spans="1:24" x14ac:dyDescent="0.3">
      <c r="A692" t="s">
        <v>760</v>
      </c>
      <c r="B692" t="s">
        <v>20</v>
      </c>
      <c r="C692">
        <v>50</v>
      </c>
      <c r="D692" t="s">
        <v>57</v>
      </c>
      <c r="E692" t="s">
        <v>48</v>
      </c>
      <c r="F692" t="s">
        <v>65</v>
      </c>
      <c r="G692" t="s">
        <v>58</v>
      </c>
      <c r="H692" t="s">
        <v>34</v>
      </c>
      <c r="I692" t="s">
        <v>72</v>
      </c>
      <c r="J692" t="s">
        <v>73</v>
      </c>
      <c r="K692">
        <v>12</v>
      </c>
      <c r="L692">
        <v>101416</v>
      </c>
      <c r="M692" t="s">
        <v>51</v>
      </c>
      <c r="N692">
        <v>4</v>
      </c>
      <c r="O692">
        <v>2</v>
      </c>
      <c r="P692">
        <v>33</v>
      </c>
      <c r="Q692">
        <v>0</v>
      </c>
      <c r="R692" s="1">
        <v>40683</v>
      </c>
      <c r="S692" t="s">
        <v>29</v>
      </c>
      <c r="T692" t="str">
        <f t="shared" si="50"/>
        <v>Grade A</v>
      </c>
      <c r="U692">
        <f t="shared" si="51"/>
        <v>4</v>
      </c>
      <c r="V692" t="str">
        <f t="shared" si="52"/>
        <v>Senior</v>
      </c>
      <c r="W692" t="str">
        <f t="shared" si="53"/>
        <v>Low Risk</v>
      </c>
      <c r="X692" t="str">
        <f t="shared" si="54"/>
        <v>Competitive</v>
      </c>
    </row>
    <row r="693" spans="1:24" x14ac:dyDescent="0.3">
      <c r="A693" t="s">
        <v>761</v>
      </c>
      <c r="B693" t="s">
        <v>39</v>
      </c>
      <c r="C693">
        <v>54</v>
      </c>
      <c r="D693" t="s">
        <v>88</v>
      </c>
      <c r="E693" t="s">
        <v>48</v>
      </c>
      <c r="F693" t="s">
        <v>23</v>
      </c>
      <c r="G693" t="s">
        <v>33</v>
      </c>
      <c r="H693" t="s">
        <v>34</v>
      </c>
      <c r="I693" t="s">
        <v>68</v>
      </c>
      <c r="J693" t="s">
        <v>60</v>
      </c>
      <c r="K693">
        <v>11</v>
      </c>
      <c r="L693">
        <v>84431</v>
      </c>
      <c r="M693" t="s">
        <v>45</v>
      </c>
      <c r="N693">
        <v>1</v>
      </c>
      <c r="O693">
        <v>2</v>
      </c>
      <c r="P693">
        <v>48</v>
      </c>
      <c r="Q693">
        <v>3</v>
      </c>
      <c r="R693" s="1">
        <v>41053</v>
      </c>
      <c r="S693" t="s">
        <v>29</v>
      </c>
      <c r="T693" t="str">
        <f t="shared" si="50"/>
        <v>Grade A</v>
      </c>
      <c r="U693">
        <f t="shared" si="51"/>
        <v>2</v>
      </c>
      <c r="V693" t="str">
        <f t="shared" si="52"/>
        <v>Senior</v>
      </c>
      <c r="W693" t="str">
        <f t="shared" si="53"/>
        <v>Medium Risk</v>
      </c>
      <c r="X693" t="str">
        <f t="shared" si="54"/>
        <v>Fair</v>
      </c>
    </row>
    <row r="694" spans="1:24" x14ac:dyDescent="0.3">
      <c r="A694" t="s">
        <v>762</v>
      </c>
      <c r="B694" t="s">
        <v>39</v>
      </c>
      <c r="C694">
        <v>35</v>
      </c>
      <c r="D694" t="s">
        <v>57</v>
      </c>
      <c r="E694" t="s">
        <v>40</v>
      </c>
      <c r="F694" t="s">
        <v>23</v>
      </c>
      <c r="G694" t="s">
        <v>66</v>
      </c>
      <c r="H694" t="s">
        <v>34</v>
      </c>
      <c r="I694" t="s">
        <v>72</v>
      </c>
      <c r="J694" t="s">
        <v>73</v>
      </c>
      <c r="K694">
        <v>5</v>
      </c>
      <c r="L694">
        <v>47585</v>
      </c>
      <c r="M694" t="s">
        <v>36</v>
      </c>
      <c r="N694">
        <v>3</v>
      </c>
      <c r="O694">
        <v>3</v>
      </c>
      <c r="P694">
        <v>22</v>
      </c>
      <c r="Q694">
        <v>2</v>
      </c>
      <c r="R694" s="1">
        <v>43394</v>
      </c>
      <c r="S694" t="s">
        <v>37</v>
      </c>
      <c r="T694" t="str">
        <f t="shared" si="50"/>
        <v>Grade C</v>
      </c>
      <c r="U694">
        <f t="shared" si="51"/>
        <v>1</v>
      </c>
      <c r="V694" t="str">
        <f t="shared" si="52"/>
        <v>Junior</v>
      </c>
      <c r="W694" t="str">
        <f t="shared" si="53"/>
        <v>Already Left</v>
      </c>
      <c r="X694" t="str">
        <f t="shared" si="54"/>
        <v>Fair</v>
      </c>
    </row>
    <row r="695" spans="1:24" x14ac:dyDescent="0.3">
      <c r="A695" t="s">
        <v>763</v>
      </c>
      <c r="B695" t="s">
        <v>20</v>
      </c>
      <c r="C695">
        <v>38</v>
      </c>
      <c r="D695" t="s">
        <v>88</v>
      </c>
      <c r="E695" t="s">
        <v>22</v>
      </c>
      <c r="F695" t="s">
        <v>53</v>
      </c>
      <c r="G695" t="s">
        <v>33</v>
      </c>
      <c r="H695" t="s">
        <v>83</v>
      </c>
      <c r="I695" t="s">
        <v>80</v>
      </c>
      <c r="J695" t="s">
        <v>60</v>
      </c>
      <c r="K695">
        <v>5</v>
      </c>
      <c r="L695">
        <v>74382</v>
      </c>
      <c r="M695" t="s">
        <v>45</v>
      </c>
      <c r="N695">
        <v>2</v>
      </c>
      <c r="O695">
        <v>3</v>
      </c>
      <c r="P695">
        <v>28</v>
      </c>
      <c r="Q695">
        <v>0</v>
      </c>
      <c r="R695" s="1">
        <v>43381</v>
      </c>
      <c r="S695" t="s">
        <v>29</v>
      </c>
      <c r="T695" t="str">
        <f t="shared" si="50"/>
        <v>Grade B</v>
      </c>
      <c r="U695">
        <f t="shared" si="51"/>
        <v>2</v>
      </c>
      <c r="V695" t="str">
        <f t="shared" si="52"/>
        <v>Junior</v>
      </c>
      <c r="W695" t="str">
        <f t="shared" si="53"/>
        <v>Medium Risk</v>
      </c>
      <c r="X695" t="str">
        <f t="shared" si="54"/>
        <v>Fair</v>
      </c>
    </row>
    <row r="696" spans="1:24" x14ac:dyDescent="0.3">
      <c r="A696" t="s">
        <v>764</v>
      </c>
      <c r="B696" t="s">
        <v>20</v>
      </c>
      <c r="C696">
        <v>35</v>
      </c>
      <c r="D696" t="s">
        <v>31</v>
      </c>
      <c r="E696" t="s">
        <v>40</v>
      </c>
      <c r="F696" t="s">
        <v>53</v>
      </c>
      <c r="G696" t="s">
        <v>49</v>
      </c>
      <c r="H696" t="s">
        <v>83</v>
      </c>
      <c r="I696" t="s">
        <v>59</v>
      </c>
      <c r="J696" t="s">
        <v>60</v>
      </c>
      <c r="K696">
        <v>15</v>
      </c>
      <c r="L696">
        <v>70218</v>
      </c>
      <c r="M696" t="s">
        <v>51</v>
      </c>
      <c r="N696">
        <v>4</v>
      </c>
      <c r="O696">
        <v>4</v>
      </c>
      <c r="P696">
        <v>76</v>
      </c>
      <c r="Q696">
        <v>1</v>
      </c>
      <c r="R696" s="1">
        <v>39804</v>
      </c>
      <c r="S696" t="s">
        <v>29</v>
      </c>
      <c r="T696" t="str">
        <f t="shared" si="50"/>
        <v>Grade B</v>
      </c>
      <c r="U696">
        <f t="shared" si="51"/>
        <v>4</v>
      </c>
      <c r="V696" t="str">
        <f t="shared" si="52"/>
        <v>Senior</v>
      </c>
      <c r="W696" t="str">
        <f t="shared" si="53"/>
        <v>Low Risk</v>
      </c>
      <c r="X696" t="str">
        <f t="shared" si="54"/>
        <v>Fair</v>
      </c>
    </row>
    <row r="697" spans="1:24" x14ac:dyDescent="0.3">
      <c r="A697" t="s">
        <v>765</v>
      </c>
      <c r="B697" t="s">
        <v>39</v>
      </c>
      <c r="C697">
        <v>39</v>
      </c>
      <c r="D697" t="s">
        <v>21</v>
      </c>
      <c r="E697" t="s">
        <v>48</v>
      </c>
      <c r="F697" t="s">
        <v>62</v>
      </c>
      <c r="G697" t="s">
        <v>63</v>
      </c>
      <c r="H697" t="s">
        <v>83</v>
      </c>
      <c r="I697" t="s">
        <v>96</v>
      </c>
      <c r="J697" t="s">
        <v>44</v>
      </c>
      <c r="K697">
        <v>8</v>
      </c>
      <c r="L697">
        <v>67162</v>
      </c>
      <c r="M697" t="s">
        <v>51</v>
      </c>
      <c r="N697">
        <v>1</v>
      </c>
      <c r="O697">
        <v>2</v>
      </c>
      <c r="P697">
        <v>19</v>
      </c>
      <c r="Q697">
        <v>2</v>
      </c>
      <c r="R697" s="1">
        <v>42328</v>
      </c>
      <c r="S697" t="s">
        <v>29</v>
      </c>
      <c r="T697" t="str">
        <f t="shared" si="50"/>
        <v>Grade B</v>
      </c>
      <c r="U697">
        <f t="shared" si="51"/>
        <v>4</v>
      </c>
      <c r="V697" t="str">
        <f t="shared" si="52"/>
        <v>Mid Level</v>
      </c>
      <c r="W697" t="str">
        <f t="shared" si="53"/>
        <v>Low Risk</v>
      </c>
      <c r="X697" t="str">
        <f t="shared" si="54"/>
        <v>Fair</v>
      </c>
    </row>
    <row r="698" spans="1:24" x14ac:dyDescent="0.3">
      <c r="A698" t="s">
        <v>766</v>
      </c>
      <c r="B698" t="s">
        <v>20</v>
      </c>
      <c r="C698">
        <v>34</v>
      </c>
      <c r="D698" t="s">
        <v>88</v>
      </c>
      <c r="E698" t="s">
        <v>40</v>
      </c>
      <c r="F698" t="s">
        <v>65</v>
      </c>
      <c r="G698" t="s">
        <v>79</v>
      </c>
      <c r="H698" t="s">
        <v>25</v>
      </c>
      <c r="I698" t="s">
        <v>68</v>
      </c>
      <c r="J698" t="s">
        <v>60</v>
      </c>
      <c r="K698">
        <v>11</v>
      </c>
      <c r="L698">
        <v>62315</v>
      </c>
      <c r="M698" t="s">
        <v>36</v>
      </c>
      <c r="N698">
        <v>1</v>
      </c>
      <c r="O698">
        <v>1</v>
      </c>
      <c r="P698">
        <v>41</v>
      </c>
      <c r="Q698">
        <v>1</v>
      </c>
      <c r="R698" s="1">
        <v>41226</v>
      </c>
      <c r="S698" t="s">
        <v>37</v>
      </c>
      <c r="T698" t="str">
        <f t="shared" si="50"/>
        <v>Grade B</v>
      </c>
      <c r="U698">
        <f t="shared" si="51"/>
        <v>1</v>
      </c>
      <c r="V698" t="str">
        <f t="shared" si="52"/>
        <v>Senior</v>
      </c>
      <c r="W698" t="str">
        <f t="shared" si="53"/>
        <v>Already Left</v>
      </c>
      <c r="X698" t="str">
        <f t="shared" si="54"/>
        <v>Fair</v>
      </c>
    </row>
    <row r="699" spans="1:24" x14ac:dyDescent="0.3">
      <c r="A699" t="s">
        <v>767</v>
      </c>
      <c r="B699" t="s">
        <v>20</v>
      </c>
      <c r="C699">
        <v>40</v>
      </c>
      <c r="D699" t="s">
        <v>47</v>
      </c>
      <c r="E699" t="s">
        <v>22</v>
      </c>
      <c r="F699" t="s">
        <v>75</v>
      </c>
      <c r="G699" t="s">
        <v>33</v>
      </c>
      <c r="H699" t="s">
        <v>67</v>
      </c>
      <c r="I699" t="s">
        <v>54</v>
      </c>
      <c r="J699" t="s">
        <v>27</v>
      </c>
      <c r="K699">
        <v>5</v>
      </c>
      <c r="L699">
        <v>64962</v>
      </c>
      <c r="M699" t="s">
        <v>28</v>
      </c>
      <c r="N699">
        <v>1</v>
      </c>
      <c r="O699">
        <v>2</v>
      </c>
      <c r="P699">
        <v>10</v>
      </c>
      <c r="Q699">
        <v>3</v>
      </c>
      <c r="R699" s="1">
        <v>43372</v>
      </c>
      <c r="S699" t="s">
        <v>29</v>
      </c>
      <c r="T699" t="str">
        <f t="shared" si="50"/>
        <v>Grade B</v>
      </c>
      <c r="U699">
        <f t="shared" si="51"/>
        <v>3</v>
      </c>
      <c r="V699" t="str">
        <f t="shared" si="52"/>
        <v>Junior</v>
      </c>
      <c r="W699" t="str">
        <f t="shared" si="53"/>
        <v>Medium Risk</v>
      </c>
      <c r="X699" t="str">
        <f t="shared" si="54"/>
        <v>Competitive</v>
      </c>
    </row>
    <row r="700" spans="1:24" x14ac:dyDescent="0.3">
      <c r="A700" t="s">
        <v>768</v>
      </c>
      <c r="B700" t="s">
        <v>20</v>
      </c>
      <c r="C700">
        <v>46</v>
      </c>
      <c r="D700" t="s">
        <v>88</v>
      </c>
      <c r="E700" t="s">
        <v>22</v>
      </c>
      <c r="F700" t="s">
        <v>78</v>
      </c>
      <c r="G700" t="s">
        <v>24</v>
      </c>
      <c r="H700" t="s">
        <v>34</v>
      </c>
      <c r="I700" t="s">
        <v>26</v>
      </c>
      <c r="J700" t="s">
        <v>27</v>
      </c>
      <c r="K700">
        <v>12</v>
      </c>
      <c r="L700">
        <v>90271</v>
      </c>
      <c r="M700" t="s">
        <v>28</v>
      </c>
      <c r="N700">
        <v>3</v>
      </c>
      <c r="O700">
        <v>4</v>
      </c>
      <c r="P700">
        <v>77</v>
      </c>
      <c r="Q700">
        <v>1</v>
      </c>
      <c r="R700" s="1">
        <v>40560</v>
      </c>
      <c r="S700" t="s">
        <v>29</v>
      </c>
      <c r="T700" t="str">
        <f t="shared" si="50"/>
        <v>Grade A</v>
      </c>
      <c r="U700">
        <f t="shared" si="51"/>
        <v>3</v>
      </c>
      <c r="V700" t="str">
        <f t="shared" si="52"/>
        <v>Senior</v>
      </c>
      <c r="W700" t="str">
        <f t="shared" si="53"/>
        <v>Medium Risk</v>
      </c>
      <c r="X700" t="str">
        <f t="shared" si="54"/>
        <v>Competitive</v>
      </c>
    </row>
    <row r="701" spans="1:24" x14ac:dyDescent="0.3">
      <c r="A701" t="s">
        <v>769</v>
      </c>
      <c r="B701" t="s">
        <v>20</v>
      </c>
      <c r="C701">
        <v>28</v>
      </c>
      <c r="D701" t="s">
        <v>47</v>
      </c>
      <c r="E701" t="s">
        <v>22</v>
      </c>
      <c r="F701" t="s">
        <v>32</v>
      </c>
      <c r="G701" t="s">
        <v>63</v>
      </c>
      <c r="H701" t="s">
        <v>25</v>
      </c>
      <c r="I701" t="s">
        <v>80</v>
      </c>
      <c r="J701" t="s">
        <v>60</v>
      </c>
      <c r="K701">
        <v>8</v>
      </c>
      <c r="L701">
        <v>70590</v>
      </c>
      <c r="M701" t="s">
        <v>36</v>
      </c>
      <c r="N701">
        <v>3</v>
      </c>
      <c r="O701">
        <v>4</v>
      </c>
      <c r="P701">
        <v>67</v>
      </c>
      <c r="Q701">
        <v>2</v>
      </c>
      <c r="R701" s="1">
        <v>42126</v>
      </c>
      <c r="S701" t="s">
        <v>29</v>
      </c>
      <c r="T701" t="str">
        <f t="shared" si="50"/>
        <v>Grade B</v>
      </c>
      <c r="U701">
        <f t="shared" si="51"/>
        <v>1</v>
      </c>
      <c r="V701" t="str">
        <f t="shared" si="52"/>
        <v>Mid Level</v>
      </c>
      <c r="W701" t="str">
        <f t="shared" si="53"/>
        <v>Medium Risk</v>
      </c>
      <c r="X701" t="str">
        <f t="shared" si="54"/>
        <v>Fair</v>
      </c>
    </row>
    <row r="702" spans="1:24" x14ac:dyDescent="0.3">
      <c r="A702" t="s">
        <v>770</v>
      </c>
      <c r="B702" t="s">
        <v>20</v>
      </c>
      <c r="C702">
        <v>30</v>
      </c>
      <c r="D702" t="s">
        <v>57</v>
      </c>
      <c r="E702" t="s">
        <v>48</v>
      </c>
      <c r="F702" t="s">
        <v>75</v>
      </c>
      <c r="G702" t="s">
        <v>66</v>
      </c>
      <c r="H702" t="s">
        <v>83</v>
      </c>
      <c r="I702" t="s">
        <v>59</v>
      </c>
      <c r="J702" t="s">
        <v>60</v>
      </c>
      <c r="K702">
        <v>8</v>
      </c>
      <c r="L702">
        <v>44720</v>
      </c>
      <c r="M702" t="s">
        <v>28</v>
      </c>
      <c r="N702">
        <v>4</v>
      </c>
      <c r="O702">
        <v>2</v>
      </c>
      <c r="P702">
        <v>13</v>
      </c>
      <c r="Q702">
        <v>2</v>
      </c>
      <c r="R702" s="1">
        <v>42016</v>
      </c>
      <c r="S702" t="s">
        <v>29</v>
      </c>
      <c r="T702" t="str">
        <f t="shared" si="50"/>
        <v>Grade C</v>
      </c>
      <c r="U702">
        <f t="shared" si="51"/>
        <v>3</v>
      </c>
      <c r="V702" t="str">
        <f t="shared" si="52"/>
        <v>Mid Level</v>
      </c>
      <c r="W702" t="str">
        <f t="shared" si="53"/>
        <v>Medium Risk</v>
      </c>
      <c r="X702" t="str">
        <f t="shared" si="54"/>
        <v>Fair</v>
      </c>
    </row>
    <row r="703" spans="1:24" x14ac:dyDescent="0.3">
      <c r="A703" t="s">
        <v>771</v>
      </c>
      <c r="B703" t="s">
        <v>20</v>
      </c>
      <c r="C703">
        <v>50</v>
      </c>
      <c r="D703" t="s">
        <v>57</v>
      </c>
      <c r="E703" t="s">
        <v>48</v>
      </c>
      <c r="F703" t="s">
        <v>32</v>
      </c>
      <c r="G703" t="s">
        <v>66</v>
      </c>
      <c r="H703" t="s">
        <v>76</v>
      </c>
      <c r="I703" t="s">
        <v>80</v>
      </c>
      <c r="J703" t="s">
        <v>60</v>
      </c>
      <c r="K703">
        <v>9</v>
      </c>
      <c r="L703">
        <v>51572</v>
      </c>
      <c r="M703" t="s">
        <v>51</v>
      </c>
      <c r="N703">
        <v>3</v>
      </c>
      <c r="O703">
        <v>1</v>
      </c>
      <c r="P703">
        <v>44</v>
      </c>
      <c r="Q703">
        <v>3</v>
      </c>
      <c r="R703" s="1">
        <v>41797</v>
      </c>
      <c r="S703" t="s">
        <v>29</v>
      </c>
      <c r="T703" t="str">
        <f t="shared" si="50"/>
        <v>Grade B</v>
      </c>
      <c r="U703">
        <f t="shared" si="51"/>
        <v>4</v>
      </c>
      <c r="V703" t="str">
        <f t="shared" si="52"/>
        <v>Mid Level</v>
      </c>
      <c r="W703" t="str">
        <f t="shared" si="53"/>
        <v>Low Risk</v>
      </c>
      <c r="X703" t="str">
        <f t="shared" si="54"/>
        <v>Fair</v>
      </c>
    </row>
    <row r="704" spans="1:24" x14ac:dyDescent="0.3">
      <c r="A704" t="s">
        <v>772</v>
      </c>
      <c r="B704" t="s">
        <v>39</v>
      </c>
      <c r="C704">
        <v>29</v>
      </c>
      <c r="D704" t="s">
        <v>88</v>
      </c>
      <c r="E704" t="s">
        <v>40</v>
      </c>
      <c r="F704" t="s">
        <v>65</v>
      </c>
      <c r="G704" t="s">
        <v>63</v>
      </c>
      <c r="H704" t="s">
        <v>83</v>
      </c>
      <c r="I704" t="s">
        <v>59</v>
      </c>
      <c r="J704" t="s">
        <v>60</v>
      </c>
      <c r="K704">
        <v>8</v>
      </c>
      <c r="L704">
        <v>58251</v>
      </c>
      <c r="M704" t="s">
        <v>45</v>
      </c>
      <c r="N704">
        <v>3</v>
      </c>
      <c r="O704">
        <v>2</v>
      </c>
      <c r="P704">
        <v>79</v>
      </c>
      <c r="Q704">
        <v>0</v>
      </c>
      <c r="R704" s="1">
        <v>42287</v>
      </c>
      <c r="S704" t="s">
        <v>29</v>
      </c>
      <c r="T704" t="str">
        <f t="shared" si="50"/>
        <v>Grade B</v>
      </c>
      <c r="U704">
        <f t="shared" si="51"/>
        <v>2</v>
      </c>
      <c r="V704" t="str">
        <f t="shared" si="52"/>
        <v>Mid Level</v>
      </c>
      <c r="W704" t="str">
        <f t="shared" si="53"/>
        <v>Medium Risk</v>
      </c>
      <c r="X704" t="str">
        <f t="shared" si="54"/>
        <v>Fair</v>
      </c>
    </row>
    <row r="705" spans="1:24" x14ac:dyDescent="0.3">
      <c r="A705" t="s">
        <v>773</v>
      </c>
      <c r="B705" t="s">
        <v>39</v>
      </c>
      <c r="C705">
        <v>55</v>
      </c>
      <c r="D705" t="s">
        <v>47</v>
      </c>
      <c r="E705" t="s">
        <v>48</v>
      </c>
      <c r="F705" t="s">
        <v>75</v>
      </c>
      <c r="G705" t="s">
        <v>66</v>
      </c>
      <c r="H705" t="s">
        <v>83</v>
      </c>
      <c r="I705" t="s">
        <v>50</v>
      </c>
      <c r="J705" t="s">
        <v>44</v>
      </c>
      <c r="K705">
        <v>15</v>
      </c>
      <c r="L705">
        <v>73117</v>
      </c>
      <c r="M705" t="s">
        <v>45</v>
      </c>
      <c r="N705">
        <v>2</v>
      </c>
      <c r="O705">
        <v>2</v>
      </c>
      <c r="P705">
        <v>78</v>
      </c>
      <c r="Q705">
        <v>3</v>
      </c>
      <c r="R705" s="1">
        <v>39482</v>
      </c>
      <c r="S705" t="s">
        <v>37</v>
      </c>
      <c r="T705" t="str">
        <f t="shared" si="50"/>
        <v>Grade B</v>
      </c>
      <c r="U705">
        <f t="shared" si="51"/>
        <v>2</v>
      </c>
      <c r="V705" t="str">
        <f t="shared" si="52"/>
        <v>Senior</v>
      </c>
      <c r="W705" t="str">
        <f t="shared" si="53"/>
        <v>Already Left</v>
      </c>
      <c r="X705" t="str">
        <f t="shared" si="54"/>
        <v>Fair</v>
      </c>
    </row>
    <row r="706" spans="1:24" x14ac:dyDescent="0.3">
      <c r="A706" t="s">
        <v>774</v>
      </c>
      <c r="B706" t="s">
        <v>39</v>
      </c>
      <c r="C706">
        <v>24</v>
      </c>
      <c r="D706" t="s">
        <v>21</v>
      </c>
      <c r="E706" t="s">
        <v>40</v>
      </c>
      <c r="F706" t="s">
        <v>62</v>
      </c>
      <c r="G706" t="s">
        <v>63</v>
      </c>
      <c r="H706" t="s">
        <v>67</v>
      </c>
      <c r="I706" t="s">
        <v>59</v>
      </c>
      <c r="J706" t="s">
        <v>60</v>
      </c>
      <c r="K706">
        <v>6</v>
      </c>
      <c r="L706">
        <v>54065</v>
      </c>
      <c r="M706" t="s">
        <v>45</v>
      </c>
      <c r="N706">
        <v>1</v>
      </c>
      <c r="O706">
        <v>4</v>
      </c>
      <c r="P706">
        <v>72</v>
      </c>
      <c r="Q706">
        <v>0</v>
      </c>
      <c r="R706" s="1">
        <v>42975</v>
      </c>
      <c r="S706" t="s">
        <v>29</v>
      </c>
      <c r="T706" t="str">
        <f t="shared" ref="T706:T769" si="55">IF(L706&gt;=80000,"Grade A",IF(L706&gt;=50000,"Grade B",IF(L706&gt;=35000,"Grade C","Grade D")))</f>
        <v>Grade B</v>
      </c>
      <c r="U706">
        <f t="shared" ref="U706:U769" si="56">IF(M706="Excellent",4,IF(M706="Good",3,IF(M706="Average",2,1)))</f>
        <v>2</v>
      </c>
      <c r="V706" t="str">
        <f t="shared" ref="V706:V769" si="57">IF(K706&lt;=2,"New Joiner",IF(K706&lt;=5,"Junior",IF(K706&lt;=10,"Mid Level","Senior")))</f>
        <v>Mid Level</v>
      </c>
      <c r="W706" t="str">
        <f t="shared" ref="W706:W769" si="58">IF(S706="Yes","Already Left",IF(AND(K706&lt;=2,M706="Poor"),"High Risk",IF(AND(K706&lt;=5,M706="Average"),"Medium Risk",IF(M706="Excellent","Low Risk","Medium Risk"))))</f>
        <v>Medium Risk</v>
      </c>
      <c r="X706" t="str">
        <f t="shared" ref="X706:X769" si="59">IF(AND(L706&gt;=80000,M706="Excellent"),"Competitive",IF(AND(L706&gt;=50000,M706="Good"),"Competitive",IF(AND(L706&lt;35000,M706="Excellent"),"Underpaid",IF(AND(L706&gt;=80000,M706="Poor"),"Overpaid","Fair"))))</f>
        <v>Fair</v>
      </c>
    </row>
    <row r="707" spans="1:24" x14ac:dyDescent="0.3">
      <c r="A707" t="s">
        <v>775</v>
      </c>
      <c r="B707" t="s">
        <v>20</v>
      </c>
      <c r="C707">
        <v>47</v>
      </c>
      <c r="D707" t="s">
        <v>47</v>
      </c>
      <c r="E707" t="s">
        <v>40</v>
      </c>
      <c r="F707" t="s">
        <v>62</v>
      </c>
      <c r="G707" t="s">
        <v>49</v>
      </c>
      <c r="H707" t="s">
        <v>25</v>
      </c>
      <c r="I707" t="s">
        <v>68</v>
      </c>
      <c r="J707" t="s">
        <v>60</v>
      </c>
      <c r="K707">
        <v>4</v>
      </c>
      <c r="L707">
        <v>49106</v>
      </c>
      <c r="M707" t="s">
        <v>51</v>
      </c>
      <c r="N707">
        <v>3</v>
      </c>
      <c r="O707">
        <v>1</v>
      </c>
      <c r="P707">
        <v>19</v>
      </c>
      <c r="Q707">
        <v>0</v>
      </c>
      <c r="R707" s="1">
        <v>43769</v>
      </c>
      <c r="S707" t="s">
        <v>29</v>
      </c>
      <c r="T707" t="str">
        <f t="shared" si="55"/>
        <v>Grade C</v>
      </c>
      <c r="U707">
        <f t="shared" si="56"/>
        <v>4</v>
      </c>
      <c r="V707" t="str">
        <f t="shared" si="57"/>
        <v>Junior</v>
      </c>
      <c r="W707" t="str">
        <f t="shared" si="58"/>
        <v>Low Risk</v>
      </c>
      <c r="X707" t="str">
        <f t="shared" si="59"/>
        <v>Fair</v>
      </c>
    </row>
    <row r="708" spans="1:24" x14ac:dyDescent="0.3">
      <c r="A708" t="s">
        <v>776</v>
      </c>
      <c r="B708" t="s">
        <v>39</v>
      </c>
      <c r="C708">
        <v>41</v>
      </c>
      <c r="D708" t="s">
        <v>31</v>
      </c>
      <c r="E708" t="s">
        <v>48</v>
      </c>
      <c r="F708" t="s">
        <v>75</v>
      </c>
      <c r="G708" t="s">
        <v>24</v>
      </c>
      <c r="H708" t="s">
        <v>83</v>
      </c>
      <c r="I708" t="s">
        <v>35</v>
      </c>
      <c r="J708" t="s">
        <v>27</v>
      </c>
      <c r="K708">
        <v>12</v>
      </c>
      <c r="L708">
        <v>92131</v>
      </c>
      <c r="M708" t="s">
        <v>51</v>
      </c>
      <c r="N708">
        <v>1</v>
      </c>
      <c r="O708">
        <v>3</v>
      </c>
      <c r="P708">
        <v>45</v>
      </c>
      <c r="Q708">
        <v>3</v>
      </c>
      <c r="R708" s="1">
        <v>40712</v>
      </c>
      <c r="S708" t="s">
        <v>29</v>
      </c>
      <c r="T708" t="str">
        <f t="shared" si="55"/>
        <v>Grade A</v>
      </c>
      <c r="U708">
        <f t="shared" si="56"/>
        <v>4</v>
      </c>
      <c r="V708" t="str">
        <f t="shared" si="57"/>
        <v>Senior</v>
      </c>
      <c r="W708" t="str">
        <f t="shared" si="58"/>
        <v>Low Risk</v>
      </c>
      <c r="X708" t="str">
        <f t="shared" si="59"/>
        <v>Competitive</v>
      </c>
    </row>
    <row r="709" spans="1:24" x14ac:dyDescent="0.3">
      <c r="A709" t="s">
        <v>777</v>
      </c>
      <c r="B709" t="s">
        <v>20</v>
      </c>
      <c r="C709">
        <v>52</v>
      </c>
      <c r="D709" t="s">
        <v>31</v>
      </c>
      <c r="E709" t="s">
        <v>40</v>
      </c>
      <c r="F709" t="s">
        <v>41</v>
      </c>
      <c r="G709" t="s">
        <v>42</v>
      </c>
      <c r="H709" t="s">
        <v>25</v>
      </c>
      <c r="I709" t="s">
        <v>59</v>
      </c>
      <c r="J709" t="s">
        <v>60</v>
      </c>
      <c r="K709">
        <v>7</v>
      </c>
      <c r="L709">
        <v>113074</v>
      </c>
      <c r="M709" t="s">
        <v>36</v>
      </c>
      <c r="N709">
        <v>2</v>
      </c>
      <c r="O709">
        <v>4</v>
      </c>
      <c r="P709">
        <v>12</v>
      </c>
      <c r="Q709">
        <v>3</v>
      </c>
      <c r="R709" s="1">
        <v>42529</v>
      </c>
      <c r="S709" t="s">
        <v>37</v>
      </c>
      <c r="T709" t="str">
        <f t="shared" si="55"/>
        <v>Grade A</v>
      </c>
      <c r="U709">
        <f t="shared" si="56"/>
        <v>1</v>
      </c>
      <c r="V709" t="str">
        <f t="shared" si="57"/>
        <v>Mid Level</v>
      </c>
      <c r="W709" t="str">
        <f t="shared" si="58"/>
        <v>Already Left</v>
      </c>
      <c r="X709" t="str">
        <f t="shared" si="59"/>
        <v>Overpaid</v>
      </c>
    </row>
    <row r="710" spans="1:24" x14ac:dyDescent="0.3">
      <c r="A710" t="s">
        <v>778</v>
      </c>
      <c r="B710" t="s">
        <v>39</v>
      </c>
      <c r="C710">
        <v>50</v>
      </c>
      <c r="D710" t="s">
        <v>31</v>
      </c>
      <c r="E710" t="s">
        <v>48</v>
      </c>
      <c r="F710" t="s">
        <v>65</v>
      </c>
      <c r="G710" t="s">
        <v>49</v>
      </c>
      <c r="H710" t="s">
        <v>34</v>
      </c>
      <c r="I710" t="s">
        <v>43</v>
      </c>
      <c r="J710" t="s">
        <v>44</v>
      </c>
      <c r="K710">
        <v>8</v>
      </c>
      <c r="L710">
        <v>74935</v>
      </c>
      <c r="M710" t="s">
        <v>51</v>
      </c>
      <c r="N710">
        <v>1</v>
      </c>
      <c r="O710">
        <v>3</v>
      </c>
      <c r="P710">
        <v>52</v>
      </c>
      <c r="Q710">
        <v>1</v>
      </c>
      <c r="R710" s="1">
        <v>42169</v>
      </c>
      <c r="S710" t="s">
        <v>37</v>
      </c>
      <c r="T710" t="str">
        <f t="shared" si="55"/>
        <v>Grade B</v>
      </c>
      <c r="U710">
        <f t="shared" si="56"/>
        <v>4</v>
      </c>
      <c r="V710" t="str">
        <f t="shared" si="57"/>
        <v>Mid Level</v>
      </c>
      <c r="W710" t="str">
        <f t="shared" si="58"/>
        <v>Already Left</v>
      </c>
      <c r="X710" t="str">
        <f t="shared" si="59"/>
        <v>Fair</v>
      </c>
    </row>
    <row r="711" spans="1:24" x14ac:dyDescent="0.3">
      <c r="A711" t="s">
        <v>779</v>
      </c>
      <c r="B711" t="s">
        <v>39</v>
      </c>
      <c r="C711">
        <v>47</v>
      </c>
      <c r="D711" t="s">
        <v>88</v>
      </c>
      <c r="E711" t="s">
        <v>48</v>
      </c>
      <c r="F711" t="s">
        <v>41</v>
      </c>
      <c r="G711" t="s">
        <v>33</v>
      </c>
      <c r="H711" t="s">
        <v>34</v>
      </c>
      <c r="I711" t="s">
        <v>26</v>
      </c>
      <c r="J711" t="s">
        <v>27</v>
      </c>
      <c r="K711">
        <v>4</v>
      </c>
      <c r="L711">
        <v>77444</v>
      </c>
      <c r="M711" t="s">
        <v>28</v>
      </c>
      <c r="N711">
        <v>2</v>
      </c>
      <c r="O711">
        <v>1</v>
      </c>
      <c r="P711">
        <v>73</v>
      </c>
      <c r="Q711">
        <v>2</v>
      </c>
      <c r="R711" s="1">
        <v>43790</v>
      </c>
      <c r="S711" t="s">
        <v>29</v>
      </c>
      <c r="T711" t="str">
        <f t="shared" si="55"/>
        <v>Grade B</v>
      </c>
      <c r="U711">
        <f t="shared" si="56"/>
        <v>3</v>
      </c>
      <c r="V711" t="str">
        <f t="shared" si="57"/>
        <v>Junior</v>
      </c>
      <c r="W711" t="str">
        <f t="shared" si="58"/>
        <v>Medium Risk</v>
      </c>
      <c r="X711" t="str">
        <f t="shared" si="59"/>
        <v>Competitive</v>
      </c>
    </row>
    <row r="712" spans="1:24" x14ac:dyDescent="0.3">
      <c r="A712" t="s">
        <v>780</v>
      </c>
      <c r="B712" t="s">
        <v>39</v>
      </c>
      <c r="C712">
        <v>39</v>
      </c>
      <c r="D712" t="s">
        <v>47</v>
      </c>
      <c r="E712" t="s">
        <v>40</v>
      </c>
      <c r="F712" t="s">
        <v>62</v>
      </c>
      <c r="G712" t="s">
        <v>66</v>
      </c>
      <c r="H712" t="s">
        <v>25</v>
      </c>
      <c r="I712" t="s">
        <v>43</v>
      </c>
      <c r="J712" t="s">
        <v>44</v>
      </c>
      <c r="K712">
        <v>1</v>
      </c>
      <c r="L712">
        <v>45524</v>
      </c>
      <c r="M712" t="s">
        <v>28</v>
      </c>
      <c r="N712">
        <v>4</v>
      </c>
      <c r="O712">
        <v>4</v>
      </c>
      <c r="P712">
        <v>50</v>
      </c>
      <c r="Q712">
        <v>1</v>
      </c>
      <c r="R712" s="1">
        <v>44719</v>
      </c>
      <c r="S712" t="s">
        <v>29</v>
      </c>
      <c r="T712" t="str">
        <f t="shared" si="55"/>
        <v>Grade C</v>
      </c>
      <c r="U712">
        <f t="shared" si="56"/>
        <v>3</v>
      </c>
      <c r="V712" t="str">
        <f t="shared" si="57"/>
        <v>New Joiner</v>
      </c>
      <c r="W712" t="str">
        <f t="shared" si="58"/>
        <v>Medium Risk</v>
      </c>
      <c r="X712" t="str">
        <f t="shared" si="59"/>
        <v>Fair</v>
      </c>
    </row>
    <row r="713" spans="1:24" x14ac:dyDescent="0.3">
      <c r="A713" t="s">
        <v>781</v>
      </c>
      <c r="B713" t="s">
        <v>39</v>
      </c>
      <c r="C713">
        <v>22</v>
      </c>
      <c r="D713" t="s">
        <v>47</v>
      </c>
      <c r="E713" t="s">
        <v>40</v>
      </c>
      <c r="F713" t="s">
        <v>78</v>
      </c>
      <c r="G713" t="s">
        <v>79</v>
      </c>
      <c r="H713" t="s">
        <v>76</v>
      </c>
      <c r="I713" t="s">
        <v>72</v>
      </c>
      <c r="J713" t="s">
        <v>73</v>
      </c>
      <c r="K713">
        <v>15</v>
      </c>
      <c r="L713">
        <v>73949</v>
      </c>
      <c r="M713" t="s">
        <v>51</v>
      </c>
      <c r="N713">
        <v>1</v>
      </c>
      <c r="O713">
        <v>2</v>
      </c>
      <c r="P713">
        <v>35</v>
      </c>
      <c r="Q713">
        <v>3</v>
      </c>
      <c r="R713" s="1">
        <v>39625</v>
      </c>
      <c r="S713" t="s">
        <v>37</v>
      </c>
      <c r="T713" t="str">
        <f t="shared" si="55"/>
        <v>Grade B</v>
      </c>
      <c r="U713">
        <f t="shared" si="56"/>
        <v>4</v>
      </c>
      <c r="V713" t="str">
        <f t="shared" si="57"/>
        <v>Senior</v>
      </c>
      <c r="W713" t="str">
        <f t="shared" si="58"/>
        <v>Already Left</v>
      </c>
      <c r="X713" t="str">
        <f t="shared" si="59"/>
        <v>Fair</v>
      </c>
    </row>
    <row r="714" spans="1:24" x14ac:dyDescent="0.3">
      <c r="A714" t="s">
        <v>782</v>
      </c>
      <c r="B714" t="s">
        <v>39</v>
      </c>
      <c r="C714">
        <v>40</v>
      </c>
      <c r="D714" t="s">
        <v>21</v>
      </c>
      <c r="E714" t="s">
        <v>48</v>
      </c>
      <c r="F714" t="s">
        <v>23</v>
      </c>
      <c r="G714" t="s">
        <v>33</v>
      </c>
      <c r="H714" t="s">
        <v>76</v>
      </c>
      <c r="I714" t="s">
        <v>26</v>
      </c>
      <c r="J714" t="s">
        <v>27</v>
      </c>
      <c r="K714">
        <v>3</v>
      </c>
      <c r="L714">
        <v>60583</v>
      </c>
      <c r="M714" t="s">
        <v>36</v>
      </c>
      <c r="N714">
        <v>3</v>
      </c>
      <c r="O714">
        <v>3</v>
      </c>
      <c r="P714">
        <v>76</v>
      </c>
      <c r="Q714">
        <v>2</v>
      </c>
      <c r="R714" s="1">
        <v>43993</v>
      </c>
      <c r="S714" t="s">
        <v>37</v>
      </c>
      <c r="T714" t="str">
        <f t="shared" si="55"/>
        <v>Grade B</v>
      </c>
      <c r="U714">
        <f t="shared" si="56"/>
        <v>1</v>
      </c>
      <c r="V714" t="str">
        <f t="shared" si="57"/>
        <v>Junior</v>
      </c>
      <c r="W714" t="str">
        <f t="shared" si="58"/>
        <v>Already Left</v>
      </c>
      <c r="X714" t="str">
        <f t="shared" si="59"/>
        <v>Fair</v>
      </c>
    </row>
    <row r="715" spans="1:24" x14ac:dyDescent="0.3">
      <c r="A715" t="s">
        <v>783</v>
      </c>
      <c r="B715" t="s">
        <v>20</v>
      </c>
      <c r="C715">
        <v>55</v>
      </c>
      <c r="D715" t="s">
        <v>88</v>
      </c>
      <c r="E715" t="s">
        <v>48</v>
      </c>
      <c r="F715" t="s">
        <v>65</v>
      </c>
      <c r="G715" t="s">
        <v>42</v>
      </c>
      <c r="H715" t="s">
        <v>34</v>
      </c>
      <c r="I715" t="s">
        <v>54</v>
      </c>
      <c r="J715" t="s">
        <v>27</v>
      </c>
      <c r="K715">
        <v>3</v>
      </c>
      <c r="L715">
        <v>108145</v>
      </c>
      <c r="M715" t="s">
        <v>28</v>
      </c>
      <c r="N715">
        <v>4</v>
      </c>
      <c r="O715">
        <v>4</v>
      </c>
      <c r="P715">
        <v>36</v>
      </c>
      <c r="Q715">
        <v>2</v>
      </c>
      <c r="R715" s="1">
        <v>43883</v>
      </c>
      <c r="S715" t="s">
        <v>29</v>
      </c>
      <c r="T715" t="str">
        <f t="shared" si="55"/>
        <v>Grade A</v>
      </c>
      <c r="U715">
        <f t="shared" si="56"/>
        <v>3</v>
      </c>
      <c r="V715" t="str">
        <f t="shared" si="57"/>
        <v>Junior</v>
      </c>
      <c r="W715" t="str">
        <f t="shared" si="58"/>
        <v>Medium Risk</v>
      </c>
      <c r="X715" t="str">
        <f t="shared" si="59"/>
        <v>Competitive</v>
      </c>
    </row>
    <row r="716" spans="1:24" x14ac:dyDescent="0.3">
      <c r="A716" t="s">
        <v>784</v>
      </c>
      <c r="B716" t="s">
        <v>39</v>
      </c>
      <c r="C716">
        <v>22</v>
      </c>
      <c r="D716" t="s">
        <v>31</v>
      </c>
      <c r="E716" t="s">
        <v>40</v>
      </c>
      <c r="F716" t="s">
        <v>53</v>
      </c>
      <c r="G716" t="s">
        <v>66</v>
      </c>
      <c r="H716" t="s">
        <v>34</v>
      </c>
      <c r="I716" t="s">
        <v>68</v>
      </c>
      <c r="J716" t="s">
        <v>60</v>
      </c>
      <c r="K716">
        <v>1</v>
      </c>
      <c r="L716">
        <v>40641</v>
      </c>
      <c r="M716" t="s">
        <v>36</v>
      </c>
      <c r="N716">
        <v>2</v>
      </c>
      <c r="O716">
        <v>2</v>
      </c>
      <c r="P716">
        <v>22</v>
      </c>
      <c r="Q716">
        <v>3</v>
      </c>
      <c r="R716" s="1">
        <v>44687</v>
      </c>
      <c r="S716" t="s">
        <v>37</v>
      </c>
      <c r="T716" t="str">
        <f t="shared" si="55"/>
        <v>Grade C</v>
      </c>
      <c r="U716">
        <f t="shared" si="56"/>
        <v>1</v>
      </c>
      <c r="V716" t="str">
        <f t="shared" si="57"/>
        <v>New Joiner</v>
      </c>
      <c r="W716" t="str">
        <f t="shared" si="58"/>
        <v>Already Left</v>
      </c>
      <c r="X716" t="str">
        <f t="shared" si="59"/>
        <v>Fair</v>
      </c>
    </row>
    <row r="717" spans="1:24" x14ac:dyDescent="0.3">
      <c r="A717" t="s">
        <v>785</v>
      </c>
      <c r="B717" t="s">
        <v>39</v>
      </c>
      <c r="C717">
        <v>44</v>
      </c>
      <c r="D717" t="s">
        <v>21</v>
      </c>
      <c r="E717" t="s">
        <v>22</v>
      </c>
      <c r="F717" t="s">
        <v>41</v>
      </c>
      <c r="G717" t="s">
        <v>24</v>
      </c>
      <c r="H717" t="s">
        <v>83</v>
      </c>
      <c r="I717" t="s">
        <v>72</v>
      </c>
      <c r="J717" t="s">
        <v>73</v>
      </c>
      <c r="K717">
        <v>10</v>
      </c>
      <c r="L717">
        <v>87187</v>
      </c>
      <c r="M717" t="s">
        <v>36</v>
      </c>
      <c r="N717">
        <v>3</v>
      </c>
      <c r="O717">
        <v>3</v>
      </c>
      <c r="P717">
        <v>64</v>
      </c>
      <c r="Q717">
        <v>2</v>
      </c>
      <c r="R717" s="1">
        <v>41356</v>
      </c>
      <c r="S717" t="s">
        <v>29</v>
      </c>
      <c r="T717" t="str">
        <f t="shared" si="55"/>
        <v>Grade A</v>
      </c>
      <c r="U717">
        <f t="shared" si="56"/>
        <v>1</v>
      </c>
      <c r="V717" t="str">
        <f t="shared" si="57"/>
        <v>Mid Level</v>
      </c>
      <c r="W717" t="str">
        <f t="shared" si="58"/>
        <v>Medium Risk</v>
      </c>
      <c r="X717" t="str">
        <f t="shared" si="59"/>
        <v>Overpaid</v>
      </c>
    </row>
    <row r="718" spans="1:24" x14ac:dyDescent="0.3">
      <c r="A718" t="s">
        <v>786</v>
      </c>
      <c r="B718" t="s">
        <v>39</v>
      </c>
      <c r="C718">
        <v>38</v>
      </c>
      <c r="D718" t="s">
        <v>88</v>
      </c>
      <c r="E718" t="s">
        <v>22</v>
      </c>
      <c r="F718" t="s">
        <v>75</v>
      </c>
      <c r="G718" t="s">
        <v>24</v>
      </c>
      <c r="H718" t="s">
        <v>25</v>
      </c>
      <c r="I718" t="s">
        <v>72</v>
      </c>
      <c r="J718" t="s">
        <v>73</v>
      </c>
      <c r="K718">
        <v>2</v>
      </c>
      <c r="L718">
        <v>72374</v>
      </c>
      <c r="M718" t="s">
        <v>28</v>
      </c>
      <c r="N718">
        <v>2</v>
      </c>
      <c r="O718">
        <v>4</v>
      </c>
      <c r="P718">
        <v>52</v>
      </c>
      <c r="Q718">
        <v>2</v>
      </c>
      <c r="R718" s="1">
        <v>44419</v>
      </c>
      <c r="S718" t="s">
        <v>29</v>
      </c>
      <c r="T718" t="str">
        <f t="shared" si="55"/>
        <v>Grade B</v>
      </c>
      <c r="U718">
        <f t="shared" si="56"/>
        <v>3</v>
      </c>
      <c r="V718" t="str">
        <f t="shared" si="57"/>
        <v>New Joiner</v>
      </c>
      <c r="W718" t="str">
        <f t="shared" si="58"/>
        <v>Medium Risk</v>
      </c>
      <c r="X718" t="str">
        <f t="shared" si="59"/>
        <v>Competitive</v>
      </c>
    </row>
    <row r="719" spans="1:24" x14ac:dyDescent="0.3">
      <c r="A719" t="s">
        <v>787</v>
      </c>
      <c r="B719" t="s">
        <v>39</v>
      </c>
      <c r="C719">
        <v>31</v>
      </c>
      <c r="D719" t="s">
        <v>47</v>
      </c>
      <c r="E719" t="s">
        <v>48</v>
      </c>
      <c r="F719" t="s">
        <v>78</v>
      </c>
      <c r="G719" t="s">
        <v>49</v>
      </c>
      <c r="H719" t="s">
        <v>67</v>
      </c>
      <c r="I719" t="s">
        <v>54</v>
      </c>
      <c r="J719" t="s">
        <v>27</v>
      </c>
      <c r="K719">
        <v>1</v>
      </c>
      <c r="L719">
        <v>49092</v>
      </c>
      <c r="M719" t="s">
        <v>28</v>
      </c>
      <c r="N719">
        <v>1</v>
      </c>
      <c r="O719">
        <v>3</v>
      </c>
      <c r="P719">
        <v>19</v>
      </c>
      <c r="Q719">
        <v>0</v>
      </c>
      <c r="R719" s="1">
        <v>44613</v>
      </c>
      <c r="S719" t="s">
        <v>37</v>
      </c>
      <c r="T719" t="str">
        <f t="shared" si="55"/>
        <v>Grade C</v>
      </c>
      <c r="U719">
        <f t="shared" si="56"/>
        <v>3</v>
      </c>
      <c r="V719" t="str">
        <f t="shared" si="57"/>
        <v>New Joiner</v>
      </c>
      <c r="W719" t="str">
        <f t="shared" si="58"/>
        <v>Already Left</v>
      </c>
      <c r="X719" t="str">
        <f t="shared" si="59"/>
        <v>Fair</v>
      </c>
    </row>
    <row r="720" spans="1:24" x14ac:dyDescent="0.3">
      <c r="A720" t="s">
        <v>788</v>
      </c>
      <c r="B720" t="s">
        <v>20</v>
      </c>
      <c r="C720">
        <v>46</v>
      </c>
      <c r="D720" t="s">
        <v>57</v>
      </c>
      <c r="E720" t="s">
        <v>40</v>
      </c>
      <c r="F720" t="s">
        <v>78</v>
      </c>
      <c r="G720" t="s">
        <v>42</v>
      </c>
      <c r="H720" t="s">
        <v>76</v>
      </c>
      <c r="I720" t="s">
        <v>68</v>
      </c>
      <c r="J720" t="s">
        <v>60</v>
      </c>
      <c r="K720">
        <v>6</v>
      </c>
      <c r="L720">
        <v>113396</v>
      </c>
      <c r="M720" t="s">
        <v>36</v>
      </c>
      <c r="N720">
        <v>4</v>
      </c>
      <c r="O720">
        <v>3</v>
      </c>
      <c r="P720">
        <v>49</v>
      </c>
      <c r="Q720">
        <v>2</v>
      </c>
      <c r="R720" s="1">
        <v>42816</v>
      </c>
      <c r="S720" t="s">
        <v>37</v>
      </c>
      <c r="T720" t="str">
        <f t="shared" si="55"/>
        <v>Grade A</v>
      </c>
      <c r="U720">
        <f t="shared" si="56"/>
        <v>1</v>
      </c>
      <c r="V720" t="str">
        <f t="shared" si="57"/>
        <v>Mid Level</v>
      </c>
      <c r="W720" t="str">
        <f t="shared" si="58"/>
        <v>Already Left</v>
      </c>
      <c r="X720" t="str">
        <f t="shared" si="59"/>
        <v>Overpaid</v>
      </c>
    </row>
    <row r="721" spans="1:24" x14ac:dyDescent="0.3">
      <c r="A721" t="s">
        <v>789</v>
      </c>
      <c r="B721" t="s">
        <v>20</v>
      </c>
      <c r="C721">
        <v>53</v>
      </c>
      <c r="D721" t="s">
        <v>31</v>
      </c>
      <c r="E721" t="s">
        <v>40</v>
      </c>
      <c r="F721" t="s">
        <v>41</v>
      </c>
      <c r="G721" t="s">
        <v>42</v>
      </c>
      <c r="H721" t="s">
        <v>34</v>
      </c>
      <c r="I721" t="s">
        <v>35</v>
      </c>
      <c r="J721" t="s">
        <v>27</v>
      </c>
      <c r="K721">
        <v>3</v>
      </c>
      <c r="L721">
        <v>95682</v>
      </c>
      <c r="M721" t="s">
        <v>28</v>
      </c>
      <c r="N721">
        <v>1</v>
      </c>
      <c r="O721">
        <v>4</v>
      </c>
      <c r="P721">
        <v>54</v>
      </c>
      <c r="Q721">
        <v>1</v>
      </c>
      <c r="R721" s="1">
        <v>43911</v>
      </c>
      <c r="S721" t="s">
        <v>29</v>
      </c>
      <c r="T721" t="str">
        <f t="shared" si="55"/>
        <v>Grade A</v>
      </c>
      <c r="U721">
        <f t="shared" si="56"/>
        <v>3</v>
      </c>
      <c r="V721" t="str">
        <f t="shared" si="57"/>
        <v>Junior</v>
      </c>
      <c r="W721" t="str">
        <f t="shared" si="58"/>
        <v>Medium Risk</v>
      </c>
      <c r="X721" t="str">
        <f t="shared" si="59"/>
        <v>Competitive</v>
      </c>
    </row>
    <row r="722" spans="1:24" x14ac:dyDescent="0.3">
      <c r="A722" t="s">
        <v>790</v>
      </c>
      <c r="B722" t="s">
        <v>39</v>
      </c>
      <c r="C722">
        <v>46</v>
      </c>
      <c r="D722" t="s">
        <v>31</v>
      </c>
      <c r="E722" t="s">
        <v>22</v>
      </c>
      <c r="F722" t="s">
        <v>65</v>
      </c>
      <c r="G722" t="s">
        <v>63</v>
      </c>
      <c r="H722" t="s">
        <v>76</v>
      </c>
      <c r="I722" t="s">
        <v>50</v>
      </c>
      <c r="J722" t="s">
        <v>44</v>
      </c>
      <c r="K722">
        <v>12</v>
      </c>
      <c r="L722">
        <v>66005</v>
      </c>
      <c r="M722" t="s">
        <v>45</v>
      </c>
      <c r="N722">
        <v>1</v>
      </c>
      <c r="O722">
        <v>2</v>
      </c>
      <c r="P722">
        <v>66</v>
      </c>
      <c r="Q722">
        <v>2</v>
      </c>
      <c r="R722" s="1">
        <v>40626</v>
      </c>
      <c r="S722" t="s">
        <v>29</v>
      </c>
      <c r="T722" t="str">
        <f t="shared" si="55"/>
        <v>Grade B</v>
      </c>
      <c r="U722">
        <f t="shared" si="56"/>
        <v>2</v>
      </c>
      <c r="V722" t="str">
        <f t="shared" si="57"/>
        <v>Senior</v>
      </c>
      <c r="W722" t="str">
        <f t="shared" si="58"/>
        <v>Medium Risk</v>
      </c>
      <c r="X722" t="str">
        <f t="shared" si="59"/>
        <v>Fair</v>
      </c>
    </row>
    <row r="723" spans="1:24" x14ac:dyDescent="0.3">
      <c r="A723" t="s">
        <v>791</v>
      </c>
      <c r="B723" t="s">
        <v>39</v>
      </c>
      <c r="C723">
        <v>39</v>
      </c>
      <c r="D723" t="s">
        <v>21</v>
      </c>
      <c r="E723" t="s">
        <v>40</v>
      </c>
      <c r="F723" t="s">
        <v>32</v>
      </c>
      <c r="G723" t="s">
        <v>79</v>
      </c>
      <c r="H723" t="s">
        <v>83</v>
      </c>
      <c r="I723" t="s">
        <v>35</v>
      </c>
      <c r="J723" t="s">
        <v>27</v>
      </c>
      <c r="K723">
        <v>6</v>
      </c>
      <c r="L723">
        <v>54087</v>
      </c>
      <c r="M723" t="s">
        <v>45</v>
      </c>
      <c r="N723">
        <v>3</v>
      </c>
      <c r="O723">
        <v>4</v>
      </c>
      <c r="P723">
        <v>60</v>
      </c>
      <c r="Q723">
        <v>0</v>
      </c>
      <c r="R723" s="1">
        <v>42845</v>
      </c>
      <c r="S723" t="s">
        <v>29</v>
      </c>
      <c r="T723" t="str">
        <f t="shared" si="55"/>
        <v>Grade B</v>
      </c>
      <c r="U723">
        <f t="shared" si="56"/>
        <v>2</v>
      </c>
      <c r="V723" t="str">
        <f t="shared" si="57"/>
        <v>Mid Level</v>
      </c>
      <c r="W723" t="str">
        <f t="shared" si="58"/>
        <v>Medium Risk</v>
      </c>
      <c r="X723" t="str">
        <f t="shared" si="59"/>
        <v>Fair</v>
      </c>
    </row>
    <row r="724" spans="1:24" x14ac:dyDescent="0.3">
      <c r="A724" t="s">
        <v>792</v>
      </c>
      <c r="B724" t="s">
        <v>39</v>
      </c>
      <c r="C724">
        <v>52</v>
      </c>
      <c r="D724" t="s">
        <v>88</v>
      </c>
      <c r="E724" t="s">
        <v>22</v>
      </c>
      <c r="F724" t="s">
        <v>62</v>
      </c>
      <c r="G724" t="s">
        <v>33</v>
      </c>
      <c r="H724" t="s">
        <v>83</v>
      </c>
      <c r="I724" t="s">
        <v>80</v>
      </c>
      <c r="J724" t="s">
        <v>60</v>
      </c>
      <c r="K724">
        <v>14</v>
      </c>
      <c r="L724">
        <v>97908</v>
      </c>
      <c r="M724" t="s">
        <v>51</v>
      </c>
      <c r="N724">
        <v>1</v>
      </c>
      <c r="O724">
        <v>3</v>
      </c>
      <c r="P724">
        <v>13</v>
      </c>
      <c r="Q724">
        <v>1</v>
      </c>
      <c r="R724" s="1">
        <v>39931</v>
      </c>
      <c r="S724" t="s">
        <v>29</v>
      </c>
      <c r="T724" t="str">
        <f t="shared" si="55"/>
        <v>Grade A</v>
      </c>
      <c r="U724">
        <f t="shared" si="56"/>
        <v>4</v>
      </c>
      <c r="V724" t="str">
        <f t="shared" si="57"/>
        <v>Senior</v>
      </c>
      <c r="W724" t="str">
        <f t="shared" si="58"/>
        <v>Low Risk</v>
      </c>
      <c r="X724" t="str">
        <f t="shared" si="59"/>
        <v>Competitive</v>
      </c>
    </row>
    <row r="725" spans="1:24" x14ac:dyDescent="0.3">
      <c r="A725" t="s">
        <v>793</v>
      </c>
      <c r="B725" t="s">
        <v>39</v>
      </c>
      <c r="C725">
        <v>42</v>
      </c>
      <c r="D725" t="s">
        <v>21</v>
      </c>
      <c r="E725" t="s">
        <v>40</v>
      </c>
      <c r="F725" t="s">
        <v>53</v>
      </c>
      <c r="G725" t="s">
        <v>79</v>
      </c>
      <c r="H725" t="s">
        <v>83</v>
      </c>
      <c r="I725" t="s">
        <v>68</v>
      </c>
      <c r="J725" t="s">
        <v>60</v>
      </c>
      <c r="K725">
        <v>14</v>
      </c>
      <c r="L725">
        <v>59836</v>
      </c>
      <c r="M725" t="s">
        <v>36</v>
      </c>
      <c r="N725">
        <v>3</v>
      </c>
      <c r="O725">
        <v>2</v>
      </c>
      <c r="P725">
        <v>12</v>
      </c>
      <c r="Q725">
        <v>2</v>
      </c>
      <c r="R725" s="1">
        <v>39819</v>
      </c>
      <c r="S725" t="s">
        <v>29</v>
      </c>
      <c r="T725" t="str">
        <f t="shared" si="55"/>
        <v>Grade B</v>
      </c>
      <c r="U725">
        <f t="shared" si="56"/>
        <v>1</v>
      </c>
      <c r="V725" t="str">
        <f t="shared" si="57"/>
        <v>Senior</v>
      </c>
      <c r="W725" t="str">
        <f t="shared" si="58"/>
        <v>Medium Risk</v>
      </c>
      <c r="X725" t="str">
        <f t="shared" si="59"/>
        <v>Fair</v>
      </c>
    </row>
    <row r="726" spans="1:24" x14ac:dyDescent="0.3">
      <c r="A726" t="s">
        <v>794</v>
      </c>
      <c r="B726" t="s">
        <v>39</v>
      </c>
      <c r="C726">
        <v>26</v>
      </c>
      <c r="D726" t="s">
        <v>47</v>
      </c>
      <c r="E726" t="s">
        <v>40</v>
      </c>
      <c r="F726" t="s">
        <v>53</v>
      </c>
      <c r="G726" t="s">
        <v>58</v>
      </c>
      <c r="H726" t="s">
        <v>34</v>
      </c>
      <c r="I726" t="s">
        <v>72</v>
      </c>
      <c r="J726" t="s">
        <v>73</v>
      </c>
      <c r="K726">
        <v>9</v>
      </c>
      <c r="L726">
        <v>106211</v>
      </c>
      <c r="M726" t="s">
        <v>45</v>
      </c>
      <c r="N726">
        <v>2</v>
      </c>
      <c r="O726">
        <v>3</v>
      </c>
      <c r="P726">
        <v>20</v>
      </c>
      <c r="Q726">
        <v>1</v>
      </c>
      <c r="R726" s="1">
        <v>41666</v>
      </c>
      <c r="S726" t="s">
        <v>29</v>
      </c>
      <c r="T726" t="str">
        <f t="shared" si="55"/>
        <v>Grade A</v>
      </c>
      <c r="U726">
        <f t="shared" si="56"/>
        <v>2</v>
      </c>
      <c r="V726" t="str">
        <f t="shared" si="57"/>
        <v>Mid Level</v>
      </c>
      <c r="W726" t="str">
        <f t="shared" si="58"/>
        <v>Medium Risk</v>
      </c>
      <c r="X726" t="str">
        <f t="shared" si="59"/>
        <v>Fair</v>
      </c>
    </row>
    <row r="727" spans="1:24" x14ac:dyDescent="0.3">
      <c r="A727" t="s">
        <v>795</v>
      </c>
      <c r="B727" t="s">
        <v>20</v>
      </c>
      <c r="C727">
        <v>44</v>
      </c>
      <c r="D727" t="s">
        <v>21</v>
      </c>
      <c r="E727" t="s">
        <v>48</v>
      </c>
      <c r="F727" t="s">
        <v>23</v>
      </c>
      <c r="G727" t="s">
        <v>63</v>
      </c>
      <c r="H727" t="s">
        <v>25</v>
      </c>
      <c r="I727" t="s">
        <v>96</v>
      </c>
      <c r="J727" t="s">
        <v>44</v>
      </c>
      <c r="K727">
        <v>12</v>
      </c>
      <c r="L727">
        <v>64667</v>
      </c>
      <c r="M727" t="s">
        <v>28</v>
      </c>
      <c r="N727">
        <v>4</v>
      </c>
      <c r="O727">
        <v>1</v>
      </c>
      <c r="P727">
        <v>69</v>
      </c>
      <c r="Q727">
        <v>0</v>
      </c>
      <c r="R727" s="1">
        <v>40753</v>
      </c>
      <c r="S727" t="s">
        <v>37</v>
      </c>
      <c r="T727" t="str">
        <f t="shared" si="55"/>
        <v>Grade B</v>
      </c>
      <c r="U727">
        <f t="shared" si="56"/>
        <v>3</v>
      </c>
      <c r="V727" t="str">
        <f t="shared" si="57"/>
        <v>Senior</v>
      </c>
      <c r="W727" t="str">
        <f t="shared" si="58"/>
        <v>Already Left</v>
      </c>
      <c r="X727" t="str">
        <f t="shared" si="59"/>
        <v>Competitive</v>
      </c>
    </row>
    <row r="728" spans="1:24" x14ac:dyDescent="0.3">
      <c r="A728" t="s">
        <v>796</v>
      </c>
      <c r="B728" t="s">
        <v>39</v>
      </c>
      <c r="C728">
        <v>35</v>
      </c>
      <c r="D728" t="s">
        <v>31</v>
      </c>
      <c r="E728" t="s">
        <v>48</v>
      </c>
      <c r="F728" t="s">
        <v>41</v>
      </c>
      <c r="G728" t="s">
        <v>66</v>
      </c>
      <c r="H728" t="s">
        <v>67</v>
      </c>
      <c r="I728" t="s">
        <v>26</v>
      </c>
      <c r="J728" t="s">
        <v>27</v>
      </c>
      <c r="K728">
        <v>3</v>
      </c>
      <c r="L728">
        <v>50370</v>
      </c>
      <c r="M728" t="s">
        <v>51</v>
      </c>
      <c r="N728">
        <v>1</v>
      </c>
      <c r="O728">
        <v>2</v>
      </c>
      <c r="P728">
        <v>49</v>
      </c>
      <c r="Q728">
        <v>1</v>
      </c>
      <c r="R728" s="1">
        <v>44111</v>
      </c>
      <c r="S728" t="s">
        <v>37</v>
      </c>
      <c r="T728" t="str">
        <f t="shared" si="55"/>
        <v>Grade B</v>
      </c>
      <c r="U728">
        <f t="shared" si="56"/>
        <v>4</v>
      </c>
      <c r="V728" t="str">
        <f t="shared" si="57"/>
        <v>Junior</v>
      </c>
      <c r="W728" t="str">
        <f t="shared" si="58"/>
        <v>Already Left</v>
      </c>
      <c r="X728" t="str">
        <f t="shared" si="59"/>
        <v>Fair</v>
      </c>
    </row>
    <row r="729" spans="1:24" x14ac:dyDescent="0.3">
      <c r="A729" t="s">
        <v>797</v>
      </c>
      <c r="B729" t="s">
        <v>20</v>
      </c>
      <c r="C729">
        <v>48</v>
      </c>
      <c r="D729" t="s">
        <v>47</v>
      </c>
      <c r="E729" t="s">
        <v>22</v>
      </c>
      <c r="F729" t="s">
        <v>62</v>
      </c>
      <c r="G729" t="s">
        <v>42</v>
      </c>
      <c r="H729" t="s">
        <v>83</v>
      </c>
      <c r="I729" t="s">
        <v>68</v>
      </c>
      <c r="J729" t="s">
        <v>60</v>
      </c>
      <c r="K729">
        <v>12</v>
      </c>
      <c r="L729">
        <v>114832</v>
      </c>
      <c r="M729" t="s">
        <v>36</v>
      </c>
      <c r="N729">
        <v>3</v>
      </c>
      <c r="O729">
        <v>2</v>
      </c>
      <c r="P729">
        <v>32</v>
      </c>
      <c r="Q729">
        <v>2</v>
      </c>
      <c r="R729" s="1">
        <v>40623</v>
      </c>
      <c r="S729" t="s">
        <v>37</v>
      </c>
      <c r="T729" t="str">
        <f t="shared" si="55"/>
        <v>Grade A</v>
      </c>
      <c r="U729">
        <f t="shared" si="56"/>
        <v>1</v>
      </c>
      <c r="V729" t="str">
        <f t="shared" si="57"/>
        <v>Senior</v>
      </c>
      <c r="W729" t="str">
        <f t="shared" si="58"/>
        <v>Already Left</v>
      </c>
      <c r="X729" t="str">
        <f t="shared" si="59"/>
        <v>Overpaid</v>
      </c>
    </row>
    <row r="730" spans="1:24" x14ac:dyDescent="0.3">
      <c r="A730" t="s">
        <v>798</v>
      </c>
      <c r="B730" t="s">
        <v>20</v>
      </c>
      <c r="C730">
        <v>32</v>
      </c>
      <c r="D730" t="s">
        <v>21</v>
      </c>
      <c r="E730" t="s">
        <v>40</v>
      </c>
      <c r="F730" t="s">
        <v>78</v>
      </c>
      <c r="G730" t="s">
        <v>66</v>
      </c>
      <c r="H730" t="s">
        <v>25</v>
      </c>
      <c r="I730" t="s">
        <v>80</v>
      </c>
      <c r="J730" t="s">
        <v>60</v>
      </c>
      <c r="K730">
        <v>8</v>
      </c>
      <c r="L730">
        <v>59962</v>
      </c>
      <c r="M730" t="s">
        <v>51</v>
      </c>
      <c r="N730">
        <v>4</v>
      </c>
      <c r="O730">
        <v>2</v>
      </c>
      <c r="P730">
        <v>78</v>
      </c>
      <c r="Q730">
        <v>1</v>
      </c>
      <c r="R730" s="1">
        <v>42194</v>
      </c>
      <c r="S730" t="s">
        <v>29</v>
      </c>
      <c r="T730" t="str">
        <f t="shared" si="55"/>
        <v>Grade B</v>
      </c>
      <c r="U730">
        <f t="shared" si="56"/>
        <v>4</v>
      </c>
      <c r="V730" t="str">
        <f t="shared" si="57"/>
        <v>Mid Level</v>
      </c>
      <c r="W730" t="str">
        <f t="shared" si="58"/>
        <v>Low Risk</v>
      </c>
      <c r="X730" t="str">
        <f t="shared" si="59"/>
        <v>Fair</v>
      </c>
    </row>
    <row r="731" spans="1:24" x14ac:dyDescent="0.3">
      <c r="A731" t="s">
        <v>799</v>
      </c>
      <c r="B731" t="s">
        <v>20</v>
      </c>
      <c r="C731">
        <v>35</v>
      </c>
      <c r="D731" t="s">
        <v>57</v>
      </c>
      <c r="E731" t="s">
        <v>48</v>
      </c>
      <c r="F731" t="s">
        <v>65</v>
      </c>
      <c r="G731" t="s">
        <v>42</v>
      </c>
      <c r="H731" t="s">
        <v>25</v>
      </c>
      <c r="I731" t="s">
        <v>43</v>
      </c>
      <c r="J731" t="s">
        <v>44</v>
      </c>
      <c r="K731">
        <v>6</v>
      </c>
      <c r="L731">
        <v>99973</v>
      </c>
      <c r="M731" t="s">
        <v>28</v>
      </c>
      <c r="N731">
        <v>1</v>
      </c>
      <c r="O731">
        <v>1</v>
      </c>
      <c r="P731">
        <v>76</v>
      </c>
      <c r="Q731">
        <v>1</v>
      </c>
      <c r="R731" s="1">
        <v>42995</v>
      </c>
      <c r="S731" t="s">
        <v>29</v>
      </c>
      <c r="T731" t="str">
        <f t="shared" si="55"/>
        <v>Grade A</v>
      </c>
      <c r="U731">
        <f t="shared" si="56"/>
        <v>3</v>
      </c>
      <c r="V731" t="str">
        <f t="shared" si="57"/>
        <v>Mid Level</v>
      </c>
      <c r="W731" t="str">
        <f t="shared" si="58"/>
        <v>Medium Risk</v>
      </c>
      <c r="X731" t="str">
        <f t="shared" si="59"/>
        <v>Competitive</v>
      </c>
    </row>
    <row r="732" spans="1:24" x14ac:dyDescent="0.3">
      <c r="A732" t="s">
        <v>800</v>
      </c>
      <c r="B732" t="s">
        <v>39</v>
      </c>
      <c r="C732">
        <v>44</v>
      </c>
      <c r="D732" t="s">
        <v>21</v>
      </c>
      <c r="E732" t="s">
        <v>22</v>
      </c>
      <c r="F732" t="s">
        <v>53</v>
      </c>
      <c r="G732" t="s">
        <v>63</v>
      </c>
      <c r="H732" t="s">
        <v>76</v>
      </c>
      <c r="I732" t="s">
        <v>96</v>
      </c>
      <c r="J732" t="s">
        <v>44</v>
      </c>
      <c r="K732">
        <v>6</v>
      </c>
      <c r="L732">
        <v>66280</v>
      </c>
      <c r="M732" t="s">
        <v>45</v>
      </c>
      <c r="N732">
        <v>4</v>
      </c>
      <c r="O732">
        <v>4</v>
      </c>
      <c r="P732">
        <v>52</v>
      </c>
      <c r="Q732">
        <v>2</v>
      </c>
      <c r="R732" s="1">
        <v>42937</v>
      </c>
      <c r="S732" t="s">
        <v>37</v>
      </c>
      <c r="T732" t="str">
        <f t="shared" si="55"/>
        <v>Grade B</v>
      </c>
      <c r="U732">
        <f t="shared" si="56"/>
        <v>2</v>
      </c>
      <c r="V732" t="str">
        <f t="shared" si="57"/>
        <v>Mid Level</v>
      </c>
      <c r="W732" t="str">
        <f t="shared" si="58"/>
        <v>Already Left</v>
      </c>
      <c r="X732" t="str">
        <f t="shared" si="59"/>
        <v>Fair</v>
      </c>
    </row>
    <row r="733" spans="1:24" x14ac:dyDescent="0.3">
      <c r="A733" t="s">
        <v>801</v>
      </c>
      <c r="B733" t="s">
        <v>20</v>
      </c>
      <c r="C733">
        <v>51</v>
      </c>
      <c r="D733" t="s">
        <v>88</v>
      </c>
      <c r="E733" t="s">
        <v>40</v>
      </c>
      <c r="F733" t="s">
        <v>53</v>
      </c>
      <c r="G733" t="s">
        <v>33</v>
      </c>
      <c r="H733" t="s">
        <v>25</v>
      </c>
      <c r="I733" t="s">
        <v>26</v>
      </c>
      <c r="J733" t="s">
        <v>27</v>
      </c>
      <c r="K733">
        <v>3</v>
      </c>
      <c r="L733">
        <v>73916</v>
      </c>
      <c r="M733" t="s">
        <v>45</v>
      </c>
      <c r="N733">
        <v>4</v>
      </c>
      <c r="O733">
        <v>4</v>
      </c>
      <c r="P733">
        <v>70</v>
      </c>
      <c r="Q733">
        <v>1</v>
      </c>
      <c r="R733" s="1">
        <v>44186</v>
      </c>
      <c r="S733" t="s">
        <v>29</v>
      </c>
      <c r="T733" t="str">
        <f t="shared" si="55"/>
        <v>Grade B</v>
      </c>
      <c r="U733">
        <f t="shared" si="56"/>
        <v>2</v>
      </c>
      <c r="V733" t="str">
        <f t="shared" si="57"/>
        <v>Junior</v>
      </c>
      <c r="W733" t="str">
        <f t="shared" si="58"/>
        <v>Medium Risk</v>
      </c>
      <c r="X733" t="str">
        <f t="shared" si="59"/>
        <v>Fair</v>
      </c>
    </row>
    <row r="734" spans="1:24" x14ac:dyDescent="0.3">
      <c r="A734" t="s">
        <v>802</v>
      </c>
      <c r="B734" t="s">
        <v>39</v>
      </c>
      <c r="C734">
        <v>48</v>
      </c>
      <c r="D734" t="s">
        <v>57</v>
      </c>
      <c r="E734" t="s">
        <v>48</v>
      </c>
      <c r="F734" t="s">
        <v>65</v>
      </c>
      <c r="G734" t="s">
        <v>63</v>
      </c>
      <c r="H734" t="s">
        <v>34</v>
      </c>
      <c r="I734" t="s">
        <v>80</v>
      </c>
      <c r="J734" t="s">
        <v>60</v>
      </c>
      <c r="K734">
        <v>8</v>
      </c>
      <c r="L734">
        <v>60836</v>
      </c>
      <c r="M734" t="s">
        <v>45</v>
      </c>
      <c r="N734">
        <v>4</v>
      </c>
      <c r="O734">
        <v>1</v>
      </c>
      <c r="P734">
        <v>30</v>
      </c>
      <c r="Q734">
        <v>1</v>
      </c>
      <c r="R734" s="1">
        <v>42253</v>
      </c>
      <c r="S734" t="s">
        <v>37</v>
      </c>
      <c r="T734" t="str">
        <f t="shared" si="55"/>
        <v>Grade B</v>
      </c>
      <c r="U734">
        <f t="shared" si="56"/>
        <v>2</v>
      </c>
      <c r="V734" t="str">
        <f t="shared" si="57"/>
        <v>Mid Level</v>
      </c>
      <c r="W734" t="str">
        <f t="shared" si="58"/>
        <v>Already Left</v>
      </c>
      <c r="X734" t="str">
        <f t="shared" si="59"/>
        <v>Fair</v>
      </c>
    </row>
    <row r="735" spans="1:24" x14ac:dyDescent="0.3">
      <c r="A735" t="s">
        <v>803</v>
      </c>
      <c r="B735" t="s">
        <v>39</v>
      </c>
      <c r="C735">
        <v>44</v>
      </c>
      <c r="D735" t="s">
        <v>57</v>
      </c>
      <c r="E735" t="s">
        <v>48</v>
      </c>
      <c r="F735" t="s">
        <v>32</v>
      </c>
      <c r="G735" t="s">
        <v>66</v>
      </c>
      <c r="H735" t="s">
        <v>34</v>
      </c>
      <c r="I735" t="s">
        <v>80</v>
      </c>
      <c r="J735" t="s">
        <v>60</v>
      </c>
      <c r="K735">
        <v>3</v>
      </c>
      <c r="L735">
        <v>32762</v>
      </c>
      <c r="M735" t="s">
        <v>28</v>
      </c>
      <c r="N735">
        <v>2</v>
      </c>
      <c r="O735">
        <v>4</v>
      </c>
      <c r="P735">
        <v>10</v>
      </c>
      <c r="Q735">
        <v>1</v>
      </c>
      <c r="R735" s="1">
        <v>44039</v>
      </c>
      <c r="S735" t="s">
        <v>37</v>
      </c>
      <c r="T735" t="str">
        <f t="shared" si="55"/>
        <v>Grade D</v>
      </c>
      <c r="U735">
        <f t="shared" si="56"/>
        <v>3</v>
      </c>
      <c r="V735" t="str">
        <f t="shared" si="57"/>
        <v>Junior</v>
      </c>
      <c r="W735" t="str">
        <f t="shared" si="58"/>
        <v>Already Left</v>
      </c>
      <c r="X735" t="str">
        <f t="shared" si="59"/>
        <v>Fair</v>
      </c>
    </row>
    <row r="736" spans="1:24" x14ac:dyDescent="0.3">
      <c r="A736" t="s">
        <v>804</v>
      </c>
      <c r="B736" t="s">
        <v>39</v>
      </c>
      <c r="C736">
        <v>37</v>
      </c>
      <c r="D736" t="s">
        <v>47</v>
      </c>
      <c r="E736" t="s">
        <v>40</v>
      </c>
      <c r="F736" t="s">
        <v>53</v>
      </c>
      <c r="G736" t="s">
        <v>24</v>
      </c>
      <c r="H736" t="s">
        <v>25</v>
      </c>
      <c r="I736" t="s">
        <v>59</v>
      </c>
      <c r="J736" t="s">
        <v>60</v>
      </c>
      <c r="K736">
        <v>2</v>
      </c>
      <c r="L736">
        <v>76739</v>
      </c>
      <c r="M736" t="s">
        <v>45</v>
      </c>
      <c r="N736">
        <v>3</v>
      </c>
      <c r="O736">
        <v>1</v>
      </c>
      <c r="P736">
        <v>71</v>
      </c>
      <c r="Q736">
        <v>1</v>
      </c>
      <c r="R736" s="1">
        <v>44339</v>
      </c>
      <c r="S736" t="s">
        <v>29</v>
      </c>
      <c r="T736" t="str">
        <f t="shared" si="55"/>
        <v>Grade B</v>
      </c>
      <c r="U736">
        <f t="shared" si="56"/>
        <v>2</v>
      </c>
      <c r="V736" t="str">
        <f t="shared" si="57"/>
        <v>New Joiner</v>
      </c>
      <c r="W736" t="str">
        <f t="shared" si="58"/>
        <v>Medium Risk</v>
      </c>
      <c r="X736" t="str">
        <f t="shared" si="59"/>
        <v>Fair</v>
      </c>
    </row>
    <row r="737" spans="1:24" x14ac:dyDescent="0.3">
      <c r="A737" t="s">
        <v>805</v>
      </c>
      <c r="B737" t="s">
        <v>39</v>
      </c>
      <c r="C737">
        <v>28</v>
      </c>
      <c r="D737" t="s">
        <v>57</v>
      </c>
      <c r="E737" t="s">
        <v>22</v>
      </c>
      <c r="F737" t="s">
        <v>41</v>
      </c>
      <c r="G737" t="s">
        <v>49</v>
      </c>
      <c r="H737" t="s">
        <v>76</v>
      </c>
      <c r="I737" t="s">
        <v>72</v>
      </c>
      <c r="J737" t="s">
        <v>73</v>
      </c>
      <c r="K737">
        <v>12</v>
      </c>
      <c r="L737">
        <v>79476</v>
      </c>
      <c r="M737" t="s">
        <v>36</v>
      </c>
      <c r="N737">
        <v>3</v>
      </c>
      <c r="O737">
        <v>2</v>
      </c>
      <c r="P737">
        <v>61</v>
      </c>
      <c r="Q737">
        <v>2</v>
      </c>
      <c r="R737" s="1">
        <v>40551</v>
      </c>
      <c r="S737" t="s">
        <v>37</v>
      </c>
      <c r="T737" t="str">
        <f t="shared" si="55"/>
        <v>Grade B</v>
      </c>
      <c r="U737">
        <f t="shared" si="56"/>
        <v>1</v>
      </c>
      <c r="V737" t="str">
        <f t="shared" si="57"/>
        <v>Senior</v>
      </c>
      <c r="W737" t="str">
        <f t="shared" si="58"/>
        <v>Already Left</v>
      </c>
      <c r="X737" t="str">
        <f t="shared" si="59"/>
        <v>Fair</v>
      </c>
    </row>
    <row r="738" spans="1:24" x14ac:dyDescent="0.3">
      <c r="A738" t="s">
        <v>806</v>
      </c>
      <c r="B738" t="s">
        <v>39</v>
      </c>
      <c r="C738">
        <v>36</v>
      </c>
      <c r="D738" t="s">
        <v>88</v>
      </c>
      <c r="E738" t="s">
        <v>22</v>
      </c>
      <c r="F738" t="s">
        <v>75</v>
      </c>
      <c r="G738" t="s">
        <v>79</v>
      </c>
      <c r="H738" t="s">
        <v>34</v>
      </c>
      <c r="I738" t="s">
        <v>80</v>
      </c>
      <c r="J738" t="s">
        <v>60</v>
      </c>
      <c r="K738">
        <v>9</v>
      </c>
      <c r="L738">
        <v>59366</v>
      </c>
      <c r="M738" t="s">
        <v>36</v>
      </c>
      <c r="N738">
        <v>2</v>
      </c>
      <c r="O738">
        <v>3</v>
      </c>
      <c r="P738">
        <v>56</v>
      </c>
      <c r="Q738">
        <v>2</v>
      </c>
      <c r="R738" s="1">
        <v>41707</v>
      </c>
      <c r="S738" t="s">
        <v>29</v>
      </c>
      <c r="T738" t="str">
        <f t="shared" si="55"/>
        <v>Grade B</v>
      </c>
      <c r="U738">
        <f t="shared" si="56"/>
        <v>1</v>
      </c>
      <c r="V738" t="str">
        <f t="shared" si="57"/>
        <v>Mid Level</v>
      </c>
      <c r="W738" t="str">
        <f t="shared" si="58"/>
        <v>Medium Risk</v>
      </c>
      <c r="X738" t="str">
        <f t="shared" si="59"/>
        <v>Fair</v>
      </c>
    </row>
    <row r="739" spans="1:24" x14ac:dyDescent="0.3">
      <c r="A739" t="s">
        <v>807</v>
      </c>
      <c r="B739" t="s">
        <v>39</v>
      </c>
      <c r="C739">
        <v>35</v>
      </c>
      <c r="D739" t="s">
        <v>31</v>
      </c>
      <c r="E739" t="s">
        <v>48</v>
      </c>
      <c r="F739" t="s">
        <v>23</v>
      </c>
      <c r="G739" t="s">
        <v>79</v>
      </c>
      <c r="H739" t="s">
        <v>34</v>
      </c>
      <c r="I739" t="s">
        <v>35</v>
      </c>
      <c r="J739" t="s">
        <v>27</v>
      </c>
      <c r="K739">
        <v>15</v>
      </c>
      <c r="L739">
        <v>67539</v>
      </c>
      <c r="M739" t="s">
        <v>36</v>
      </c>
      <c r="N739">
        <v>1</v>
      </c>
      <c r="O739">
        <v>3</v>
      </c>
      <c r="P739">
        <v>59</v>
      </c>
      <c r="Q739">
        <v>1</v>
      </c>
      <c r="R739" s="1">
        <v>39721</v>
      </c>
      <c r="S739" t="s">
        <v>37</v>
      </c>
      <c r="T739" t="str">
        <f t="shared" si="55"/>
        <v>Grade B</v>
      </c>
      <c r="U739">
        <f t="shared" si="56"/>
        <v>1</v>
      </c>
      <c r="V739" t="str">
        <f t="shared" si="57"/>
        <v>Senior</v>
      </c>
      <c r="W739" t="str">
        <f t="shared" si="58"/>
        <v>Already Left</v>
      </c>
      <c r="X739" t="str">
        <f t="shared" si="59"/>
        <v>Fair</v>
      </c>
    </row>
    <row r="740" spans="1:24" x14ac:dyDescent="0.3">
      <c r="A740" t="s">
        <v>808</v>
      </c>
      <c r="B740" t="s">
        <v>39</v>
      </c>
      <c r="C740">
        <v>32</v>
      </c>
      <c r="D740" t="s">
        <v>57</v>
      </c>
      <c r="E740" t="s">
        <v>40</v>
      </c>
      <c r="F740" t="s">
        <v>53</v>
      </c>
      <c r="G740" t="s">
        <v>33</v>
      </c>
      <c r="H740" t="s">
        <v>25</v>
      </c>
      <c r="I740" t="s">
        <v>43</v>
      </c>
      <c r="J740" t="s">
        <v>44</v>
      </c>
      <c r="K740">
        <v>7</v>
      </c>
      <c r="L740">
        <v>65141</v>
      </c>
      <c r="M740" t="s">
        <v>45</v>
      </c>
      <c r="N740">
        <v>1</v>
      </c>
      <c r="O740">
        <v>4</v>
      </c>
      <c r="P740">
        <v>20</v>
      </c>
      <c r="Q740">
        <v>2</v>
      </c>
      <c r="R740" s="1">
        <v>42522</v>
      </c>
      <c r="S740" t="s">
        <v>29</v>
      </c>
      <c r="T740" t="str">
        <f t="shared" si="55"/>
        <v>Grade B</v>
      </c>
      <c r="U740">
        <f t="shared" si="56"/>
        <v>2</v>
      </c>
      <c r="V740" t="str">
        <f t="shared" si="57"/>
        <v>Mid Level</v>
      </c>
      <c r="W740" t="str">
        <f t="shared" si="58"/>
        <v>Medium Risk</v>
      </c>
      <c r="X740" t="str">
        <f t="shared" si="59"/>
        <v>Fair</v>
      </c>
    </row>
    <row r="741" spans="1:24" x14ac:dyDescent="0.3">
      <c r="A741" t="s">
        <v>809</v>
      </c>
      <c r="B741" t="s">
        <v>20</v>
      </c>
      <c r="C741">
        <v>22</v>
      </c>
      <c r="D741" t="s">
        <v>57</v>
      </c>
      <c r="E741" t="s">
        <v>40</v>
      </c>
      <c r="F741" t="s">
        <v>75</v>
      </c>
      <c r="G741" t="s">
        <v>24</v>
      </c>
      <c r="H741" t="s">
        <v>83</v>
      </c>
      <c r="I741" t="s">
        <v>26</v>
      </c>
      <c r="J741" t="s">
        <v>27</v>
      </c>
      <c r="K741">
        <v>6</v>
      </c>
      <c r="L741">
        <v>95831</v>
      </c>
      <c r="M741" t="s">
        <v>28</v>
      </c>
      <c r="N741">
        <v>4</v>
      </c>
      <c r="O741">
        <v>4</v>
      </c>
      <c r="P741">
        <v>16</v>
      </c>
      <c r="Q741">
        <v>2</v>
      </c>
      <c r="R741" s="1">
        <v>42906</v>
      </c>
      <c r="S741" t="s">
        <v>29</v>
      </c>
      <c r="T741" t="str">
        <f t="shared" si="55"/>
        <v>Grade A</v>
      </c>
      <c r="U741">
        <f t="shared" si="56"/>
        <v>3</v>
      </c>
      <c r="V741" t="str">
        <f t="shared" si="57"/>
        <v>Mid Level</v>
      </c>
      <c r="W741" t="str">
        <f t="shared" si="58"/>
        <v>Medium Risk</v>
      </c>
      <c r="X741" t="str">
        <f t="shared" si="59"/>
        <v>Competitive</v>
      </c>
    </row>
    <row r="742" spans="1:24" x14ac:dyDescent="0.3">
      <c r="A742" t="s">
        <v>810</v>
      </c>
      <c r="B742" t="s">
        <v>39</v>
      </c>
      <c r="C742">
        <v>33</v>
      </c>
      <c r="D742" t="s">
        <v>57</v>
      </c>
      <c r="E742" t="s">
        <v>40</v>
      </c>
      <c r="F742" t="s">
        <v>62</v>
      </c>
      <c r="G742" t="s">
        <v>66</v>
      </c>
      <c r="H742" t="s">
        <v>83</v>
      </c>
      <c r="I742" t="s">
        <v>43</v>
      </c>
      <c r="J742" t="s">
        <v>44</v>
      </c>
      <c r="K742">
        <v>9</v>
      </c>
      <c r="L742">
        <v>58517</v>
      </c>
      <c r="M742" t="s">
        <v>36</v>
      </c>
      <c r="N742">
        <v>4</v>
      </c>
      <c r="O742">
        <v>1</v>
      </c>
      <c r="P742">
        <v>29</v>
      </c>
      <c r="Q742">
        <v>0</v>
      </c>
      <c r="R742" s="1">
        <v>41821</v>
      </c>
      <c r="S742" t="s">
        <v>29</v>
      </c>
      <c r="T742" t="str">
        <f t="shared" si="55"/>
        <v>Grade B</v>
      </c>
      <c r="U742">
        <f t="shared" si="56"/>
        <v>1</v>
      </c>
      <c r="V742" t="str">
        <f t="shared" si="57"/>
        <v>Mid Level</v>
      </c>
      <c r="W742" t="str">
        <f t="shared" si="58"/>
        <v>Medium Risk</v>
      </c>
      <c r="X742" t="str">
        <f t="shared" si="59"/>
        <v>Fair</v>
      </c>
    </row>
    <row r="743" spans="1:24" x14ac:dyDescent="0.3">
      <c r="A743" t="s">
        <v>811</v>
      </c>
      <c r="B743" t="s">
        <v>20</v>
      </c>
      <c r="C743">
        <v>51</v>
      </c>
      <c r="D743" t="s">
        <v>31</v>
      </c>
      <c r="E743" t="s">
        <v>22</v>
      </c>
      <c r="F743" t="s">
        <v>62</v>
      </c>
      <c r="G743" t="s">
        <v>58</v>
      </c>
      <c r="H743" t="s">
        <v>67</v>
      </c>
      <c r="I743" t="s">
        <v>72</v>
      </c>
      <c r="J743" t="s">
        <v>73</v>
      </c>
      <c r="K743">
        <v>7</v>
      </c>
      <c r="L743">
        <v>104229</v>
      </c>
      <c r="M743" t="s">
        <v>36</v>
      </c>
      <c r="N743">
        <v>3</v>
      </c>
      <c r="O743">
        <v>3</v>
      </c>
      <c r="P743">
        <v>64</v>
      </c>
      <c r="Q743">
        <v>2</v>
      </c>
      <c r="R743" s="1">
        <v>42675</v>
      </c>
      <c r="S743" t="s">
        <v>37</v>
      </c>
      <c r="T743" t="str">
        <f t="shared" si="55"/>
        <v>Grade A</v>
      </c>
      <c r="U743">
        <f t="shared" si="56"/>
        <v>1</v>
      </c>
      <c r="V743" t="str">
        <f t="shared" si="57"/>
        <v>Mid Level</v>
      </c>
      <c r="W743" t="str">
        <f t="shared" si="58"/>
        <v>Already Left</v>
      </c>
      <c r="X743" t="str">
        <f t="shared" si="59"/>
        <v>Overpaid</v>
      </c>
    </row>
    <row r="744" spans="1:24" x14ac:dyDescent="0.3">
      <c r="A744" t="s">
        <v>812</v>
      </c>
      <c r="B744" t="s">
        <v>20</v>
      </c>
      <c r="C744">
        <v>42</v>
      </c>
      <c r="D744" t="s">
        <v>31</v>
      </c>
      <c r="E744" t="s">
        <v>40</v>
      </c>
      <c r="F744" t="s">
        <v>23</v>
      </c>
      <c r="G744" t="s">
        <v>42</v>
      </c>
      <c r="H744" t="s">
        <v>34</v>
      </c>
      <c r="I744" t="s">
        <v>80</v>
      </c>
      <c r="J744" t="s">
        <v>60</v>
      </c>
      <c r="K744">
        <v>3</v>
      </c>
      <c r="L744">
        <v>102694</v>
      </c>
      <c r="M744" t="s">
        <v>45</v>
      </c>
      <c r="N744">
        <v>1</v>
      </c>
      <c r="O744">
        <v>1</v>
      </c>
      <c r="P744">
        <v>55</v>
      </c>
      <c r="Q744">
        <v>0</v>
      </c>
      <c r="R744" s="1">
        <v>44189</v>
      </c>
      <c r="S744" t="s">
        <v>29</v>
      </c>
      <c r="T744" t="str">
        <f t="shared" si="55"/>
        <v>Grade A</v>
      </c>
      <c r="U744">
        <f t="shared" si="56"/>
        <v>2</v>
      </c>
      <c r="V744" t="str">
        <f t="shared" si="57"/>
        <v>Junior</v>
      </c>
      <c r="W744" t="str">
        <f t="shared" si="58"/>
        <v>Medium Risk</v>
      </c>
      <c r="X744" t="str">
        <f t="shared" si="59"/>
        <v>Fair</v>
      </c>
    </row>
    <row r="745" spans="1:24" x14ac:dyDescent="0.3">
      <c r="A745" t="s">
        <v>813</v>
      </c>
      <c r="B745" t="s">
        <v>20</v>
      </c>
      <c r="C745">
        <v>49</v>
      </c>
      <c r="D745" t="s">
        <v>31</v>
      </c>
      <c r="E745" t="s">
        <v>48</v>
      </c>
      <c r="F745" t="s">
        <v>75</v>
      </c>
      <c r="G745" t="s">
        <v>79</v>
      </c>
      <c r="H745" t="s">
        <v>67</v>
      </c>
      <c r="I745" t="s">
        <v>35</v>
      </c>
      <c r="J745" t="s">
        <v>27</v>
      </c>
      <c r="K745">
        <v>2</v>
      </c>
      <c r="L745">
        <v>38130</v>
      </c>
      <c r="M745" t="s">
        <v>28</v>
      </c>
      <c r="N745">
        <v>4</v>
      </c>
      <c r="O745">
        <v>2</v>
      </c>
      <c r="P745">
        <v>77</v>
      </c>
      <c r="Q745">
        <v>3</v>
      </c>
      <c r="R745" s="1">
        <v>44238</v>
      </c>
      <c r="S745" t="s">
        <v>29</v>
      </c>
      <c r="T745" t="str">
        <f t="shared" si="55"/>
        <v>Grade C</v>
      </c>
      <c r="U745">
        <f t="shared" si="56"/>
        <v>3</v>
      </c>
      <c r="V745" t="str">
        <f t="shared" si="57"/>
        <v>New Joiner</v>
      </c>
      <c r="W745" t="str">
        <f t="shared" si="58"/>
        <v>Medium Risk</v>
      </c>
      <c r="X745" t="str">
        <f t="shared" si="59"/>
        <v>Fair</v>
      </c>
    </row>
    <row r="746" spans="1:24" x14ac:dyDescent="0.3">
      <c r="A746" t="s">
        <v>814</v>
      </c>
      <c r="B746" t="s">
        <v>39</v>
      </c>
      <c r="C746">
        <v>43</v>
      </c>
      <c r="D746" t="s">
        <v>31</v>
      </c>
      <c r="E746" t="s">
        <v>48</v>
      </c>
      <c r="F746" t="s">
        <v>41</v>
      </c>
      <c r="G746" t="s">
        <v>24</v>
      </c>
      <c r="H746" t="s">
        <v>25</v>
      </c>
      <c r="I746" t="s">
        <v>50</v>
      </c>
      <c r="J746" t="s">
        <v>44</v>
      </c>
      <c r="K746">
        <v>1</v>
      </c>
      <c r="L746">
        <v>86967</v>
      </c>
      <c r="M746" t="s">
        <v>45</v>
      </c>
      <c r="N746">
        <v>4</v>
      </c>
      <c r="O746">
        <v>1</v>
      </c>
      <c r="P746">
        <v>33</v>
      </c>
      <c r="Q746">
        <v>2</v>
      </c>
      <c r="R746" s="1">
        <v>44732</v>
      </c>
      <c r="S746" t="s">
        <v>37</v>
      </c>
      <c r="T746" t="str">
        <f t="shared" si="55"/>
        <v>Grade A</v>
      </c>
      <c r="U746">
        <f t="shared" si="56"/>
        <v>2</v>
      </c>
      <c r="V746" t="str">
        <f t="shared" si="57"/>
        <v>New Joiner</v>
      </c>
      <c r="W746" t="str">
        <f t="shared" si="58"/>
        <v>Already Left</v>
      </c>
      <c r="X746" t="str">
        <f t="shared" si="59"/>
        <v>Fair</v>
      </c>
    </row>
    <row r="747" spans="1:24" x14ac:dyDescent="0.3">
      <c r="A747" t="s">
        <v>815</v>
      </c>
      <c r="B747" t="s">
        <v>39</v>
      </c>
      <c r="C747">
        <v>25</v>
      </c>
      <c r="D747" t="s">
        <v>31</v>
      </c>
      <c r="E747" t="s">
        <v>40</v>
      </c>
      <c r="F747" t="s">
        <v>75</v>
      </c>
      <c r="G747" t="s">
        <v>42</v>
      </c>
      <c r="H747" t="s">
        <v>83</v>
      </c>
      <c r="I747" t="s">
        <v>26</v>
      </c>
      <c r="J747" t="s">
        <v>27</v>
      </c>
      <c r="K747">
        <v>10</v>
      </c>
      <c r="L747">
        <v>114935</v>
      </c>
      <c r="M747" t="s">
        <v>28</v>
      </c>
      <c r="N747">
        <v>4</v>
      </c>
      <c r="O747">
        <v>2</v>
      </c>
      <c r="P747">
        <v>65</v>
      </c>
      <c r="Q747">
        <v>2</v>
      </c>
      <c r="R747" s="1">
        <v>41379</v>
      </c>
      <c r="S747" t="s">
        <v>29</v>
      </c>
      <c r="T747" t="str">
        <f t="shared" si="55"/>
        <v>Grade A</v>
      </c>
      <c r="U747">
        <f t="shared" si="56"/>
        <v>3</v>
      </c>
      <c r="V747" t="str">
        <f t="shared" si="57"/>
        <v>Mid Level</v>
      </c>
      <c r="W747" t="str">
        <f t="shared" si="58"/>
        <v>Medium Risk</v>
      </c>
      <c r="X747" t="str">
        <f t="shared" si="59"/>
        <v>Competitive</v>
      </c>
    </row>
    <row r="748" spans="1:24" x14ac:dyDescent="0.3">
      <c r="A748" t="s">
        <v>816</v>
      </c>
      <c r="B748" t="s">
        <v>39</v>
      </c>
      <c r="C748">
        <v>48</v>
      </c>
      <c r="D748" t="s">
        <v>47</v>
      </c>
      <c r="E748" t="s">
        <v>22</v>
      </c>
      <c r="F748" t="s">
        <v>62</v>
      </c>
      <c r="G748" t="s">
        <v>63</v>
      </c>
      <c r="H748" t="s">
        <v>34</v>
      </c>
      <c r="I748" t="s">
        <v>68</v>
      </c>
      <c r="J748" t="s">
        <v>60</v>
      </c>
      <c r="K748">
        <v>10</v>
      </c>
      <c r="L748">
        <v>60939</v>
      </c>
      <c r="M748" t="s">
        <v>51</v>
      </c>
      <c r="N748">
        <v>4</v>
      </c>
      <c r="O748">
        <v>2</v>
      </c>
      <c r="P748">
        <v>45</v>
      </c>
      <c r="Q748">
        <v>2</v>
      </c>
      <c r="R748" s="1">
        <v>41503</v>
      </c>
      <c r="S748" t="s">
        <v>29</v>
      </c>
      <c r="T748" t="str">
        <f t="shared" si="55"/>
        <v>Grade B</v>
      </c>
      <c r="U748">
        <f t="shared" si="56"/>
        <v>4</v>
      </c>
      <c r="V748" t="str">
        <f t="shared" si="57"/>
        <v>Mid Level</v>
      </c>
      <c r="W748" t="str">
        <f t="shared" si="58"/>
        <v>Low Risk</v>
      </c>
      <c r="X748" t="str">
        <f t="shared" si="59"/>
        <v>Fair</v>
      </c>
    </row>
    <row r="749" spans="1:24" x14ac:dyDescent="0.3">
      <c r="A749" t="s">
        <v>817</v>
      </c>
      <c r="B749" t="s">
        <v>20</v>
      </c>
      <c r="C749">
        <v>51</v>
      </c>
      <c r="D749" t="s">
        <v>88</v>
      </c>
      <c r="E749" t="s">
        <v>48</v>
      </c>
      <c r="F749" t="s">
        <v>65</v>
      </c>
      <c r="G749" t="s">
        <v>58</v>
      </c>
      <c r="H749" t="s">
        <v>83</v>
      </c>
      <c r="I749" t="s">
        <v>96</v>
      </c>
      <c r="J749" t="s">
        <v>44</v>
      </c>
      <c r="K749">
        <v>4</v>
      </c>
      <c r="L749">
        <v>93636</v>
      </c>
      <c r="M749" t="s">
        <v>28</v>
      </c>
      <c r="N749">
        <v>3</v>
      </c>
      <c r="O749">
        <v>4</v>
      </c>
      <c r="P749">
        <v>70</v>
      </c>
      <c r="Q749">
        <v>0</v>
      </c>
      <c r="R749" s="1">
        <v>43800</v>
      </c>
      <c r="S749" t="s">
        <v>29</v>
      </c>
      <c r="T749" t="str">
        <f t="shared" si="55"/>
        <v>Grade A</v>
      </c>
      <c r="U749">
        <f t="shared" si="56"/>
        <v>3</v>
      </c>
      <c r="V749" t="str">
        <f t="shared" si="57"/>
        <v>Junior</v>
      </c>
      <c r="W749" t="str">
        <f t="shared" si="58"/>
        <v>Medium Risk</v>
      </c>
      <c r="X749" t="str">
        <f t="shared" si="59"/>
        <v>Competitive</v>
      </c>
    </row>
    <row r="750" spans="1:24" x14ac:dyDescent="0.3">
      <c r="A750" t="s">
        <v>818</v>
      </c>
      <c r="B750" t="s">
        <v>39</v>
      </c>
      <c r="C750">
        <v>32</v>
      </c>
      <c r="D750" t="s">
        <v>57</v>
      </c>
      <c r="E750" t="s">
        <v>48</v>
      </c>
      <c r="F750" t="s">
        <v>65</v>
      </c>
      <c r="G750" t="s">
        <v>33</v>
      </c>
      <c r="H750" t="s">
        <v>25</v>
      </c>
      <c r="I750" t="s">
        <v>72</v>
      </c>
      <c r="J750" t="s">
        <v>73</v>
      </c>
      <c r="K750">
        <v>14</v>
      </c>
      <c r="L750">
        <v>82973</v>
      </c>
      <c r="M750" t="s">
        <v>45</v>
      </c>
      <c r="N750">
        <v>4</v>
      </c>
      <c r="O750">
        <v>1</v>
      </c>
      <c r="P750">
        <v>20</v>
      </c>
      <c r="Q750">
        <v>3</v>
      </c>
      <c r="R750" s="1">
        <v>39927</v>
      </c>
      <c r="S750" t="s">
        <v>29</v>
      </c>
      <c r="T750" t="str">
        <f t="shared" si="55"/>
        <v>Grade A</v>
      </c>
      <c r="U750">
        <f t="shared" si="56"/>
        <v>2</v>
      </c>
      <c r="V750" t="str">
        <f t="shared" si="57"/>
        <v>Senior</v>
      </c>
      <c r="W750" t="str">
        <f t="shared" si="58"/>
        <v>Medium Risk</v>
      </c>
      <c r="X750" t="str">
        <f t="shared" si="59"/>
        <v>Fair</v>
      </c>
    </row>
    <row r="751" spans="1:24" x14ac:dyDescent="0.3">
      <c r="A751" t="s">
        <v>819</v>
      </c>
      <c r="B751" t="s">
        <v>20</v>
      </c>
      <c r="C751">
        <v>51</v>
      </c>
      <c r="D751" t="s">
        <v>21</v>
      </c>
      <c r="E751" t="s">
        <v>22</v>
      </c>
      <c r="F751" t="s">
        <v>65</v>
      </c>
      <c r="G751" t="s">
        <v>66</v>
      </c>
      <c r="H751" t="s">
        <v>83</v>
      </c>
      <c r="I751" t="s">
        <v>35</v>
      </c>
      <c r="J751" t="s">
        <v>27</v>
      </c>
      <c r="K751">
        <v>12</v>
      </c>
      <c r="L751">
        <v>58962</v>
      </c>
      <c r="M751" t="s">
        <v>28</v>
      </c>
      <c r="N751">
        <v>2</v>
      </c>
      <c r="O751">
        <v>3</v>
      </c>
      <c r="P751">
        <v>65</v>
      </c>
      <c r="Q751">
        <v>3</v>
      </c>
      <c r="R751" s="1">
        <v>40751</v>
      </c>
      <c r="S751" t="s">
        <v>29</v>
      </c>
      <c r="T751" t="str">
        <f t="shared" si="55"/>
        <v>Grade B</v>
      </c>
      <c r="U751">
        <f t="shared" si="56"/>
        <v>3</v>
      </c>
      <c r="V751" t="str">
        <f t="shared" si="57"/>
        <v>Senior</v>
      </c>
      <c r="W751" t="str">
        <f t="shared" si="58"/>
        <v>Medium Risk</v>
      </c>
      <c r="X751" t="str">
        <f t="shared" si="59"/>
        <v>Competitive</v>
      </c>
    </row>
    <row r="752" spans="1:24" x14ac:dyDescent="0.3">
      <c r="A752" t="s">
        <v>820</v>
      </c>
      <c r="B752" t="s">
        <v>39</v>
      </c>
      <c r="C752">
        <v>28</v>
      </c>
      <c r="D752" t="s">
        <v>57</v>
      </c>
      <c r="E752" t="s">
        <v>22</v>
      </c>
      <c r="F752" t="s">
        <v>62</v>
      </c>
      <c r="G752" t="s">
        <v>63</v>
      </c>
      <c r="H752" t="s">
        <v>34</v>
      </c>
      <c r="I752" t="s">
        <v>50</v>
      </c>
      <c r="J752" t="s">
        <v>44</v>
      </c>
      <c r="K752">
        <v>4</v>
      </c>
      <c r="L752">
        <v>60615</v>
      </c>
      <c r="M752" t="s">
        <v>36</v>
      </c>
      <c r="N752">
        <v>2</v>
      </c>
      <c r="O752">
        <v>1</v>
      </c>
      <c r="P752">
        <v>47</v>
      </c>
      <c r="Q752">
        <v>1</v>
      </c>
      <c r="R752" s="1">
        <v>43522</v>
      </c>
      <c r="S752" t="s">
        <v>37</v>
      </c>
      <c r="T752" t="str">
        <f t="shared" si="55"/>
        <v>Grade B</v>
      </c>
      <c r="U752">
        <f t="shared" si="56"/>
        <v>1</v>
      </c>
      <c r="V752" t="str">
        <f t="shared" si="57"/>
        <v>Junior</v>
      </c>
      <c r="W752" t="str">
        <f t="shared" si="58"/>
        <v>Already Left</v>
      </c>
      <c r="X752" t="str">
        <f t="shared" si="59"/>
        <v>Fair</v>
      </c>
    </row>
    <row r="753" spans="1:24" x14ac:dyDescent="0.3">
      <c r="A753" t="s">
        <v>821</v>
      </c>
      <c r="B753" t="s">
        <v>20</v>
      </c>
      <c r="C753">
        <v>28</v>
      </c>
      <c r="D753" t="s">
        <v>31</v>
      </c>
      <c r="E753" t="s">
        <v>40</v>
      </c>
      <c r="F753" t="s">
        <v>75</v>
      </c>
      <c r="G753" t="s">
        <v>49</v>
      </c>
      <c r="H753" t="s">
        <v>34</v>
      </c>
      <c r="I753" t="s">
        <v>68</v>
      </c>
      <c r="J753" t="s">
        <v>60</v>
      </c>
      <c r="K753">
        <v>6</v>
      </c>
      <c r="L753">
        <v>65702</v>
      </c>
      <c r="M753" t="s">
        <v>36</v>
      </c>
      <c r="N753">
        <v>4</v>
      </c>
      <c r="O753">
        <v>2</v>
      </c>
      <c r="P753">
        <v>61</v>
      </c>
      <c r="Q753">
        <v>3</v>
      </c>
      <c r="R753" s="1">
        <v>42939</v>
      </c>
      <c r="S753" t="s">
        <v>37</v>
      </c>
      <c r="T753" t="str">
        <f t="shared" si="55"/>
        <v>Grade B</v>
      </c>
      <c r="U753">
        <f t="shared" si="56"/>
        <v>1</v>
      </c>
      <c r="V753" t="str">
        <f t="shared" si="57"/>
        <v>Mid Level</v>
      </c>
      <c r="W753" t="str">
        <f t="shared" si="58"/>
        <v>Already Left</v>
      </c>
      <c r="X753" t="str">
        <f t="shared" si="59"/>
        <v>Fair</v>
      </c>
    </row>
    <row r="754" spans="1:24" x14ac:dyDescent="0.3">
      <c r="A754" t="s">
        <v>822</v>
      </c>
      <c r="B754" t="s">
        <v>20</v>
      </c>
      <c r="C754">
        <v>51</v>
      </c>
      <c r="D754" t="s">
        <v>47</v>
      </c>
      <c r="E754" t="s">
        <v>40</v>
      </c>
      <c r="F754" t="s">
        <v>62</v>
      </c>
      <c r="G754" t="s">
        <v>24</v>
      </c>
      <c r="H754" t="s">
        <v>76</v>
      </c>
      <c r="I754" t="s">
        <v>96</v>
      </c>
      <c r="J754" t="s">
        <v>44</v>
      </c>
      <c r="K754">
        <v>15</v>
      </c>
      <c r="L754">
        <v>108108</v>
      </c>
      <c r="M754" t="s">
        <v>28</v>
      </c>
      <c r="N754">
        <v>1</v>
      </c>
      <c r="O754">
        <v>4</v>
      </c>
      <c r="P754">
        <v>63</v>
      </c>
      <c r="Q754">
        <v>3</v>
      </c>
      <c r="R754" s="1">
        <v>39816</v>
      </c>
      <c r="S754" t="s">
        <v>29</v>
      </c>
      <c r="T754" t="str">
        <f t="shared" si="55"/>
        <v>Grade A</v>
      </c>
      <c r="U754">
        <f t="shared" si="56"/>
        <v>3</v>
      </c>
      <c r="V754" t="str">
        <f t="shared" si="57"/>
        <v>Senior</v>
      </c>
      <c r="W754" t="str">
        <f t="shared" si="58"/>
        <v>Medium Risk</v>
      </c>
      <c r="X754" t="str">
        <f t="shared" si="59"/>
        <v>Competitive</v>
      </c>
    </row>
    <row r="755" spans="1:24" x14ac:dyDescent="0.3">
      <c r="A755" t="s">
        <v>823</v>
      </c>
      <c r="B755" t="s">
        <v>39</v>
      </c>
      <c r="C755">
        <v>42</v>
      </c>
      <c r="D755" t="s">
        <v>88</v>
      </c>
      <c r="E755" t="s">
        <v>22</v>
      </c>
      <c r="F755" t="s">
        <v>32</v>
      </c>
      <c r="G755" t="s">
        <v>79</v>
      </c>
      <c r="H755" t="s">
        <v>83</v>
      </c>
      <c r="I755" t="s">
        <v>43</v>
      </c>
      <c r="J755" t="s">
        <v>44</v>
      </c>
      <c r="K755">
        <v>3</v>
      </c>
      <c r="L755">
        <v>55646</v>
      </c>
      <c r="M755" t="s">
        <v>28</v>
      </c>
      <c r="N755">
        <v>2</v>
      </c>
      <c r="O755">
        <v>4</v>
      </c>
      <c r="P755">
        <v>21</v>
      </c>
      <c r="Q755">
        <v>2</v>
      </c>
      <c r="R755" s="1">
        <v>43988</v>
      </c>
      <c r="S755" t="s">
        <v>29</v>
      </c>
      <c r="T755" t="str">
        <f t="shared" si="55"/>
        <v>Grade B</v>
      </c>
      <c r="U755">
        <f t="shared" si="56"/>
        <v>3</v>
      </c>
      <c r="V755" t="str">
        <f t="shared" si="57"/>
        <v>Junior</v>
      </c>
      <c r="W755" t="str">
        <f t="shared" si="58"/>
        <v>Medium Risk</v>
      </c>
      <c r="X755" t="str">
        <f t="shared" si="59"/>
        <v>Competitive</v>
      </c>
    </row>
    <row r="756" spans="1:24" x14ac:dyDescent="0.3">
      <c r="A756" t="s">
        <v>824</v>
      </c>
      <c r="B756" t="s">
        <v>39</v>
      </c>
      <c r="C756">
        <v>52</v>
      </c>
      <c r="D756" t="s">
        <v>47</v>
      </c>
      <c r="E756" t="s">
        <v>48</v>
      </c>
      <c r="F756" t="s">
        <v>75</v>
      </c>
      <c r="G756" t="s">
        <v>24</v>
      </c>
      <c r="H756" t="s">
        <v>34</v>
      </c>
      <c r="I756" t="s">
        <v>50</v>
      </c>
      <c r="J756" t="s">
        <v>44</v>
      </c>
      <c r="K756">
        <v>14</v>
      </c>
      <c r="L756">
        <v>108000</v>
      </c>
      <c r="M756" t="s">
        <v>28</v>
      </c>
      <c r="N756">
        <v>2</v>
      </c>
      <c r="O756">
        <v>3</v>
      </c>
      <c r="P756">
        <v>18</v>
      </c>
      <c r="Q756">
        <v>0</v>
      </c>
      <c r="R756" s="1">
        <v>40060</v>
      </c>
      <c r="S756" t="s">
        <v>29</v>
      </c>
      <c r="T756" t="str">
        <f t="shared" si="55"/>
        <v>Grade A</v>
      </c>
      <c r="U756">
        <f t="shared" si="56"/>
        <v>3</v>
      </c>
      <c r="V756" t="str">
        <f t="shared" si="57"/>
        <v>Senior</v>
      </c>
      <c r="W756" t="str">
        <f t="shared" si="58"/>
        <v>Medium Risk</v>
      </c>
      <c r="X756" t="str">
        <f t="shared" si="59"/>
        <v>Competitive</v>
      </c>
    </row>
    <row r="757" spans="1:24" x14ac:dyDescent="0.3">
      <c r="A757" t="s">
        <v>825</v>
      </c>
      <c r="B757" t="s">
        <v>39</v>
      </c>
      <c r="C757">
        <v>43</v>
      </c>
      <c r="D757" t="s">
        <v>47</v>
      </c>
      <c r="E757" t="s">
        <v>22</v>
      </c>
      <c r="F757" t="s">
        <v>78</v>
      </c>
      <c r="G757" t="s">
        <v>33</v>
      </c>
      <c r="H757" t="s">
        <v>76</v>
      </c>
      <c r="I757" t="s">
        <v>59</v>
      </c>
      <c r="J757" t="s">
        <v>60</v>
      </c>
      <c r="K757">
        <v>11</v>
      </c>
      <c r="L757">
        <v>79926</v>
      </c>
      <c r="M757" t="s">
        <v>28</v>
      </c>
      <c r="N757">
        <v>4</v>
      </c>
      <c r="O757">
        <v>1</v>
      </c>
      <c r="P757">
        <v>10</v>
      </c>
      <c r="Q757">
        <v>0</v>
      </c>
      <c r="R757" s="1">
        <v>41041</v>
      </c>
      <c r="S757" t="s">
        <v>29</v>
      </c>
      <c r="T757" t="str">
        <f t="shared" si="55"/>
        <v>Grade B</v>
      </c>
      <c r="U757">
        <f t="shared" si="56"/>
        <v>3</v>
      </c>
      <c r="V757" t="str">
        <f t="shared" si="57"/>
        <v>Senior</v>
      </c>
      <c r="W757" t="str">
        <f t="shared" si="58"/>
        <v>Medium Risk</v>
      </c>
      <c r="X757" t="str">
        <f t="shared" si="59"/>
        <v>Competitive</v>
      </c>
    </row>
    <row r="758" spans="1:24" x14ac:dyDescent="0.3">
      <c r="A758" t="s">
        <v>826</v>
      </c>
      <c r="B758" t="s">
        <v>39</v>
      </c>
      <c r="C758">
        <v>50</v>
      </c>
      <c r="D758" t="s">
        <v>57</v>
      </c>
      <c r="E758" t="s">
        <v>40</v>
      </c>
      <c r="F758" t="s">
        <v>78</v>
      </c>
      <c r="G758" t="s">
        <v>63</v>
      </c>
      <c r="H758" t="s">
        <v>76</v>
      </c>
      <c r="I758" t="s">
        <v>43</v>
      </c>
      <c r="J758" t="s">
        <v>44</v>
      </c>
      <c r="K758">
        <v>13</v>
      </c>
      <c r="L758">
        <v>69520</v>
      </c>
      <c r="M758" t="s">
        <v>51</v>
      </c>
      <c r="N758">
        <v>1</v>
      </c>
      <c r="O758">
        <v>3</v>
      </c>
      <c r="P758">
        <v>60</v>
      </c>
      <c r="Q758">
        <v>0</v>
      </c>
      <c r="R758" s="1">
        <v>40486</v>
      </c>
      <c r="S758" t="s">
        <v>29</v>
      </c>
      <c r="T758" t="str">
        <f t="shared" si="55"/>
        <v>Grade B</v>
      </c>
      <c r="U758">
        <f t="shared" si="56"/>
        <v>4</v>
      </c>
      <c r="V758" t="str">
        <f t="shared" si="57"/>
        <v>Senior</v>
      </c>
      <c r="W758" t="str">
        <f t="shared" si="58"/>
        <v>Low Risk</v>
      </c>
      <c r="X758" t="str">
        <f t="shared" si="59"/>
        <v>Fair</v>
      </c>
    </row>
    <row r="759" spans="1:24" x14ac:dyDescent="0.3">
      <c r="A759" t="s">
        <v>827</v>
      </c>
      <c r="B759" t="s">
        <v>39</v>
      </c>
      <c r="C759">
        <v>32</v>
      </c>
      <c r="D759" t="s">
        <v>31</v>
      </c>
      <c r="E759" t="s">
        <v>48</v>
      </c>
      <c r="F759" t="s">
        <v>75</v>
      </c>
      <c r="G759" t="s">
        <v>79</v>
      </c>
      <c r="H759" t="s">
        <v>34</v>
      </c>
      <c r="I759" t="s">
        <v>72</v>
      </c>
      <c r="J759" t="s">
        <v>73</v>
      </c>
      <c r="K759">
        <v>7</v>
      </c>
      <c r="L759">
        <v>47395</v>
      </c>
      <c r="M759" t="s">
        <v>36</v>
      </c>
      <c r="N759">
        <v>3</v>
      </c>
      <c r="O759">
        <v>2</v>
      </c>
      <c r="P759">
        <v>41</v>
      </c>
      <c r="Q759">
        <v>3</v>
      </c>
      <c r="R759" s="1">
        <v>42441</v>
      </c>
      <c r="S759" t="s">
        <v>37</v>
      </c>
      <c r="T759" t="str">
        <f t="shared" si="55"/>
        <v>Grade C</v>
      </c>
      <c r="U759">
        <f t="shared" si="56"/>
        <v>1</v>
      </c>
      <c r="V759" t="str">
        <f t="shared" si="57"/>
        <v>Mid Level</v>
      </c>
      <c r="W759" t="str">
        <f t="shared" si="58"/>
        <v>Already Left</v>
      </c>
      <c r="X759" t="str">
        <f t="shared" si="59"/>
        <v>Fair</v>
      </c>
    </row>
    <row r="760" spans="1:24" x14ac:dyDescent="0.3">
      <c r="A760" t="s">
        <v>828</v>
      </c>
      <c r="B760" t="s">
        <v>20</v>
      </c>
      <c r="C760">
        <v>43</v>
      </c>
      <c r="D760" t="s">
        <v>31</v>
      </c>
      <c r="E760" t="s">
        <v>40</v>
      </c>
      <c r="F760" t="s">
        <v>62</v>
      </c>
      <c r="G760" t="s">
        <v>79</v>
      </c>
      <c r="H760" t="s">
        <v>83</v>
      </c>
      <c r="I760" t="s">
        <v>59</v>
      </c>
      <c r="J760" t="s">
        <v>60</v>
      </c>
      <c r="K760">
        <v>11</v>
      </c>
      <c r="L760">
        <v>67015</v>
      </c>
      <c r="M760" t="s">
        <v>45</v>
      </c>
      <c r="N760">
        <v>4</v>
      </c>
      <c r="O760">
        <v>3</v>
      </c>
      <c r="P760">
        <v>67</v>
      </c>
      <c r="Q760">
        <v>2</v>
      </c>
      <c r="R760" s="1">
        <v>41152</v>
      </c>
      <c r="S760" t="s">
        <v>29</v>
      </c>
      <c r="T760" t="str">
        <f t="shared" si="55"/>
        <v>Grade B</v>
      </c>
      <c r="U760">
        <f t="shared" si="56"/>
        <v>2</v>
      </c>
      <c r="V760" t="str">
        <f t="shared" si="57"/>
        <v>Senior</v>
      </c>
      <c r="W760" t="str">
        <f t="shared" si="58"/>
        <v>Medium Risk</v>
      </c>
      <c r="X760" t="str">
        <f t="shared" si="59"/>
        <v>Fair</v>
      </c>
    </row>
    <row r="761" spans="1:24" x14ac:dyDescent="0.3">
      <c r="A761" t="s">
        <v>829</v>
      </c>
      <c r="B761" t="s">
        <v>39</v>
      </c>
      <c r="C761">
        <v>36</v>
      </c>
      <c r="D761" t="s">
        <v>31</v>
      </c>
      <c r="E761" t="s">
        <v>40</v>
      </c>
      <c r="F761" t="s">
        <v>62</v>
      </c>
      <c r="G761" t="s">
        <v>24</v>
      </c>
      <c r="H761" t="s">
        <v>34</v>
      </c>
      <c r="I761" t="s">
        <v>54</v>
      </c>
      <c r="J761" t="s">
        <v>27</v>
      </c>
      <c r="K761">
        <v>13</v>
      </c>
      <c r="L761">
        <v>95850</v>
      </c>
      <c r="M761" t="s">
        <v>51</v>
      </c>
      <c r="N761">
        <v>3</v>
      </c>
      <c r="O761">
        <v>3</v>
      </c>
      <c r="P761">
        <v>49</v>
      </c>
      <c r="Q761">
        <v>1</v>
      </c>
      <c r="R761" s="1">
        <v>40400</v>
      </c>
      <c r="S761" t="s">
        <v>29</v>
      </c>
      <c r="T761" t="str">
        <f t="shared" si="55"/>
        <v>Grade A</v>
      </c>
      <c r="U761">
        <f t="shared" si="56"/>
        <v>4</v>
      </c>
      <c r="V761" t="str">
        <f t="shared" si="57"/>
        <v>Senior</v>
      </c>
      <c r="W761" t="str">
        <f t="shared" si="58"/>
        <v>Low Risk</v>
      </c>
      <c r="X761" t="str">
        <f t="shared" si="59"/>
        <v>Competitive</v>
      </c>
    </row>
    <row r="762" spans="1:24" x14ac:dyDescent="0.3">
      <c r="A762" t="s">
        <v>830</v>
      </c>
      <c r="B762" t="s">
        <v>20</v>
      </c>
      <c r="C762">
        <v>46</v>
      </c>
      <c r="D762" t="s">
        <v>31</v>
      </c>
      <c r="E762" t="s">
        <v>40</v>
      </c>
      <c r="F762" t="s">
        <v>62</v>
      </c>
      <c r="G762" t="s">
        <v>42</v>
      </c>
      <c r="H762" t="s">
        <v>76</v>
      </c>
      <c r="I762" t="s">
        <v>54</v>
      </c>
      <c r="J762" t="s">
        <v>27</v>
      </c>
      <c r="K762">
        <v>11</v>
      </c>
      <c r="L762">
        <v>112060</v>
      </c>
      <c r="M762" t="s">
        <v>36</v>
      </c>
      <c r="N762">
        <v>2</v>
      </c>
      <c r="O762">
        <v>1</v>
      </c>
      <c r="P762">
        <v>37</v>
      </c>
      <c r="Q762">
        <v>2</v>
      </c>
      <c r="R762" s="1">
        <v>40966</v>
      </c>
      <c r="S762" t="s">
        <v>37</v>
      </c>
      <c r="T762" t="str">
        <f t="shared" si="55"/>
        <v>Grade A</v>
      </c>
      <c r="U762">
        <f t="shared" si="56"/>
        <v>1</v>
      </c>
      <c r="V762" t="str">
        <f t="shared" si="57"/>
        <v>Senior</v>
      </c>
      <c r="W762" t="str">
        <f t="shared" si="58"/>
        <v>Already Left</v>
      </c>
      <c r="X762" t="str">
        <f t="shared" si="59"/>
        <v>Overpaid</v>
      </c>
    </row>
    <row r="763" spans="1:24" x14ac:dyDescent="0.3">
      <c r="A763" t="s">
        <v>831</v>
      </c>
      <c r="B763" t="s">
        <v>20</v>
      </c>
      <c r="C763">
        <v>31</v>
      </c>
      <c r="D763" t="s">
        <v>88</v>
      </c>
      <c r="E763" t="s">
        <v>40</v>
      </c>
      <c r="F763" t="s">
        <v>23</v>
      </c>
      <c r="G763" t="s">
        <v>63</v>
      </c>
      <c r="H763" t="s">
        <v>25</v>
      </c>
      <c r="I763" t="s">
        <v>68</v>
      </c>
      <c r="J763" t="s">
        <v>60</v>
      </c>
      <c r="K763">
        <v>12</v>
      </c>
      <c r="L763">
        <v>74629</v>
      </c>
      <c r="M763" t="s">
        <v>45</v>
      </c>
      <c r="N763">
        <v>3</v>
      </c>
      <c r="O763">
        <v>3</v>
      </c>
      <c r="P763">
        <v>58</v>
      </c>
      <c r="Q763">
        <v>3</v>
      </c>
      <c r="R763" s="1">
        <v>40825</v>
      </c>
      <c r="S763" t="s">
        <v>29</v>
      </c>
      <c r="T763" t="str">
        <f t="shared" si="55"/>
        <v>Grade B</v>
      </c>
      <c r="U763">
        <f t="shared" si="56"/>
        <v>2</v>
      </c>
      <c r="V763" t="str">
        <f t="shared" si="57"/>
        <v>Senior</v>
      </c>
      <c r="W763" t="str">
        <f t="shared" si="58"/>
        <v>Medium Risk</v>
      </c>
      <c r="X763" t="str">
        <f t="shared" si="59"/>
        <v>Fair</v>
      </c>
    </row>
    <row r="764" spans="1:24" x14ac:dyDescent="0.3">
      <c r="A764" t="s">
        <v>832</v>
      </c>
      <c r="B764" t="s">
        <v>20</v>
      </c>
      <c r="C764">
        <v>35</v>
      </c>
      <c r="D764" t="s">
        <v>47</v>
      </c>
      <c r="E764" t="s">
        <v>22</v>
      </c>
      <c r="F764" t="s">
        <v>78</v>
      </c>
      <c r="G764" t="s">
        <v>63</v>
      </c>
      <c r="H764" t="s">
        <v>67</v>
      </c>
      <c r="I764" t="s">
        <v>68</v>
      </c>
      <c r="J764" t="s">
        <v>60</v>
      </c>
      <c r="K764">
        <v>15</v>
      </c>
      <c r="L764">
        <v>65466</v>
      </c>
      <c r="M764" t="s">
        <v>36</v>
      </c>
      <c r="N764">
        <v>3</v>
      </c>
      <c r="O764">
        <v>1</v>
      </c>
      <c r="P764">
        <v>35</v>
      </c>
      <c r="Q764">
        <v>2</v>
      </c>
      <c r="R764" s="1">
        <v>39702</v>
      </c>
      <c r="S764" t="s">
        <v>37</v>
      </c>
      <c r="T764" t="str">
        <f t="shared" si="55"/>
        <v>Grade B</v>
      </c>
      <c r="U764">
        <f t="shared" si="56"/>
        <v>1</v>
      </c>
      <c r="V764" t="str">
        <f t="shared" si="57"/>
        <v>Senior</v>
      </c>
      <c r="W764" t="str">
        <f t="shared" si="58"/>
        <v>Already Left</v>
      </c>
      <c r="X764" t="str">
        <f t="shared" si="59"/>
        <v>Fair</v>
      </c>
    </row>
    <row r="765" spans="1:24" x14ac:dyDescent="0.3">
      <c r="A765" t="s">
        <v>833</v>
      </c>
      <c r="B765" t="s">
        <v>39</v>
      </c>
      <c r="C765">
        <v>47</v>
      </c>
      <c r="D765" t="s">
        <v>21</v>
      </c>
      <c r="E765" t="s">
        <v>48</v>
      </c>
      <c r="F765" t="s">
        <v>78</v>
      </c>
      <c r="G765" t="s">
        <v>49</v>
      </c>
      <c r="H765" t="s">
        <v>34</v>
      </c>
      <c r="I765" t="s">
        <v>96</v>
      </c>
      <c r="J765" t="s">
        <v>44</v>
      </c>
      <c r="K765">
        <v>14</v>
      </c>
      <c r="L765">
        <v>74636</v>
      </c>
      <c r="M765" t="s">
        <v>51</v>
      </c>
      <c r="N765">
        <v>1</v>
      </c>
      <c r="O765">
        <v>3</v>
      </c>
      <c r="P765">
        <v>80</v>
      </c>
      <c r="Q765">
        <v>0</v>
      </c>
      <c r="R765" s="1">
        <v>39842</v>
      </c>
      <c r="S765" t="s">
        <v>29</v>
      </c>
      <c r="T765" t="str">
        <f t="shared" si="55"/>
        <v>Grade B</v>
      </c>
      <c r="U765">
        <f t="shared" si="56"/>
        <v>4</v>
      </c>
      <c r="V765" t="str">
        <f t="shared" si="57"/>
        <v>Senior</v>
      </c>
      <c r="W765" t="str">
        <f t="shared" si="58"/>
        <v>Low Risk</v>
      </c>
      <c r="X765" t="str">
        <f t="shared" si="59"/>
        <v>Fair</v>
      </c>
    </row>
    <row r="766" spans="1:24" x14ac:dyDescent="0.3">
      <c r="A766" t="s">
        <v>834</v>
      </c>
      <c r="B766" t="s">
        <v>20</v>
      </c>
      <c r="C766">
        <v>33</v>
      </c>
      <c r="D766" t="s">
        <v>21</v>
      </c>
      <c r="E766" t="s">
        <v>40</v>
      </c>
      <c r="F766" t="s">
        <v>78</v>
      </c>
      <c r="G766" t="s">
        <v>42</v>
      </c>
      <c r="H766" t="s">
        <v>34</v>
      </c>
      <c r="I766" t="s">
        <v>50</v>
      </c>
      <c r="J766" t="s">
        <v>44</v>
      </c>
      <c r="K766">
        <v>4</v>
      </c>
      <c r="L766">
        <v>98986</v>
      </c>
      <c r="M766" t="s">
        <v>28</v>
      </c>
      <c r="N766">
        <v>3</v>
      </c>
      <c r="O766">
        <v>3</v>
      </c>
      <c r="P766">
        <v>21</v>
      </c>
      <c r="Q766">
        <v>1</v>
      </c>
      <c r="R766" s="1">
        <v>43716</v>
      </c>
      <c r="S766" t="s">
        <v>29</v>
      </c>
      <c r="T766" t="str">
        <f t="shared" si="55"/>
        <v>Grade A</v>
      </c>
      <c r="U766">
        <f t="shared" si="56"/>
        <v>3</v>
      </c>
      <c r="V766" t="str">
        <f t="shared" si="57"/>
        <v>Junior</v>
      </c>
      <c r="W766" t="str">
        <f t="shared" si="58"/>
        <v>Medium Risk</v>
      </c>
      <c r="X766" t="str">
        <f t="shared" si="59"/>
        <v>Competitive</v>
      </c>
    </row>
    <row r="767" spans="1:24" x14ac:dyDescent="0.3">
      <c r="A767" t="s">
        <v>835</v>
      </c>
      <c r="B767" t="s">
        <v>20</v>
      </c>
      <c r="C767">
        <v>51</v>
      </c>
      <c r="D767" t="s">
        <v>21</v>
      </c>
      <c r="E767" t="s">
        <v>40</v>
      </c>
      <c r="F767" t="s">
        <v>53</v>
      </c>
      <c r="G767" t="s">
        <v>49</v>
      </c>
      <c r="H767" t="s">
        <v>34</v>
      </c>
      <c r="I767" t="s">
        <v>26</v>
      </c>
      <c r="J767" t="s">
        <v>27</v>
      </c>
      <c r="K767">
        <v>1</v>
      </c>
      <c r="L767">
        <v>49457</v>
      </c>
      <c r="M767" t="s">
        <v>45</v>
      </c>
      <c r="N767">
        <v>1</v>
      </c>
      <c r="O767">
        <v>3</v>
      </c>
      <c r="P767">
        <v>19</v>
      </c>
      <c r="Q767">
        <v>1</v>
      </c>
      <c r="R767" s="1">
        <v>44628</v>
      </c>
      <c r="S767" t="s">
        <v>29</v>
      </c>
      <c r="T767" t="str">
        <f t="shared" si="55"/>
        <v>Grade C</v>
      </c>
      <c r="U767">
        <f t="shared" si="56"/>
        <v>2</v>
      </c>
      <c r="V767" t="str">
        <f t="shared" si="57"/>
        <v>New Joiner</v>
      </c>
      <c r="W767" t="str">
        <f t="shared" si="58"/>
        <v>Medium Risk</v>
      </c>
      <c r="X767" t="str">
        <f t="shared" si="59"/>
        <v>Fair</v>
      </c>
    </row>
    <row r="768" spans="1:24" x14ac:dyDescent="0.3">
      <c r="A768" t="s">
        <v>836</v>
      </c>
      <c r="B768" t="s">
        <v>39</v>
      </c>
      <c r="C768">
        <v>53</v>
      </c>
      <c r="D768" t="s">
        <v>31</v>
      </c>
      <c r="E768" t="s">
        <v>40</v>
      </c>
      <c r="F768" t="s">
        <v>41</v>
      </c>
      <c r="G768" t="s">
        <v>49</v>
      </c>
      <c r="H768" t="s">
        <v>76</v>
      </c>
      <c r="I768" t="s">
        <v>96</v>
      </c>
      <c r="J768" t="s">
        <v>44</v>
      </c>
      <c r="K768">
        <v>8</v>
      </c>
      <c r="L768">
        <v>59272</v>
      </c>
      <c r="M768" t="s">
        <v>51</v>
      </c>
      <c r="N768">
        <v>1</v>
      </c>
      <c r="O768">
        <v>4</v>
      </c>
      <c r="P768">
        <v>24</v>
      </c>
      <c r="Q768">
        <v>3</v>
      </c>
      <c r="R768" s="1">
        <v>42071</v>
      </c>
      <c r="S768" t="s">
        <v>29</v>
      </c>
      <c r="T768" t="str">
        <f t="shared" si="55"/>
        <v>Grade B</v>
      </c>
      <c r="U768">
        <f t="shared" si="56"/>
        <v>4</v>
      </c>
      <c r="V768" t="str">
        <f t="shared" si="57"/>
        <v>Mid Level</v>
      </c>
      <c r="W768" t="str">
        <f t="shared" si="58"/>
        <v>Low Risk</v>
      </c>
      <c r="X768" t="str">
        <f t="shared" si="59"/>
        <v>Fair</v>
      </c>
    </row>
    <row r="769" spans="1:24" x14ac:dyDescent="0.3">
      <c r="A769" t="s">
        <v>837</v>
      </c>
      <c r="B769" t="s">
        <v>39</v>
      </c>
      <c r="C769">
        <v>43</v>
      </c>
      <c r="D769" t="s">
        <v>88</v>
      </c>
      <c r="E769" t="s">
        <v>48</v>
      </c>
      <c r="F769" t="s">
        <v>78</v>
      </c>
      <c r="G769" t="s">
        <v>63</v>
      </c>
      <c r="H769" t="s">
        <v>83</v>
      </c>
      <c r="I769" t="s">
        <v>59</v>
      </c>
      <c r="J769" t="s">
        <v>60</v>
      </c>
      <c r="K769">
        <v>13</v>
      </c>
      <c r="L769">
        <v>80705</v>
      </c>
      <c r="M769" t="s">
        <v>45</v>
      </c>
      <c r="N769">
        <v>3</v>
      </c>
      <c r="O769">
        <v>3</v>
      </c>
      <c r="P769">
        <v>43</v>
      </c>
      <c r="Q769">
        <v>1</v>
      </c>
      <c r="R769" s="1">
        <v>40295</v>
      </c>
      <c r="S769" t="s">
        <v>29</v>
      </c>
      <c r="T769" t="str">
        <f t="shared" si="55"/>
        <v>Grade A</v>
      </c>
      <c r="U769">
        <f t="shared" si="56"/>
        <v>2</v>
      </c>
      <c r="V769" t="str">
        <f t="shared" si="57"/>
        <v>Senior</v>
      </c>
      <c r="W769" t="str">
        <f t="shared" si="58"/>
        <v>Medium Risk</v>
      </c>
      <c r="X769" t="str">
        <f t="shared" si="59"/>
        <v>Fair</v>
      </c>
    </row>
    <row r="770" spans="1:24" x14ac:dyDescent="0.3">
      <c r="A770" t="s">
        <v>838</v>
      </c>
      <c r="B770" t="s">
        <v>39</v>
      </c>
      <c r="C770">
        <v>42</v>
      </c>
      <c r="D770" t="s">
        <v>88</v>
      </c>
      <c r="E770" t="s">
        <v>48</v>
      </c>
      <c r="F770" t="s">
        <v>62</v>
      </c>
      <c r="G770" t="s">
        <v>33</v>
      </c>
      <c r="H770" t="s">
        <v>34</v>
      </c>
      <c r="I770" t="s">
        <v>72</v>
      </c>
      <c r="J770" t="s">
        <v>73</v>
      </c>
      <c r="K770">
        <v>11</v>
      </c>
      <c r="L770">
        <v>75652</v>
      </c>
      <c r="M770" t="s">
        <v>45</v>
      </c>
      <c r="N770">
        <v>4</v>
      </c>
      <c r="O770">
        <v>2</v>
      </c>
      <c r="P770">
        <v>32</v>
      </c>
      <c r="Q770">
        <v>0</v>
      </c>
      <c r="R770" s="1">
        <v>41028</v>
      </c>
      <c r="S770" t="s">
        <v>29</v>
      </c>
      <c r="T770" t="str">
        <f t="shared" ref="T770:T833" si="60">IF(L770&gt;=80000,"Grade A",IF(L770&gt;=50000,"Grade B",IF(L770&gt;=35000,"Grade C","Grade D")))</f>
        <v>Grade B</v>
      </c>
      <c r="U770">
        <f t="shared" ref="U770:U833" si="61">IF(M770="Excellent",4,IF(M770="Good",3,IF(M770="Average",2,1)))</f>
        <v>2</v>
      </c>
      <c r="V770" t="str">
        <f t="shared" ref="V770:V833" si="62">IF(K770&lt;=2,"New Joiner",IF(K770&lt;=5,"Junior",IF(K770&lt;=10,"Mid Level","Senior")))</f>
        <v>Senior</v>
      </c>
      <c r="W770" t="str">
        <f t="shared" ref="W770:W833" si="63">IF(S770="Yes","Already Left",IF(AND(K770&lt;=2,M770="Poor"),"High Risk",IF(AND(K770&lt;=5,M770="Average"),"Medium Risk",IF(M770="Excellent","Low Risk","Medium Risk"))))</f>
        <v>Medium Risk</v>
      </c>
      <c r="X770" t="str">
        <f t="shared" ref="X770:X833" si="64">IF(AND(L770&gt;=80000,M770="Excellent"),"Competitive",IF(AND(L770&gt;=50000,M770="Good"),"Competitive",IF(AND(L770&lt;35000,M770="Excellent"),"Underpaid",IF(AND(L770&gt;=80000,M770="Poor"),"Overpaid","Fair"))))</f>
        <v>Fair</v>
      </c>
    </row>
    <row r="771" spans="1:24" x14ac:dyDescent="0.3">
      <c r="A771" t="s">
        <v>839</v>
      </c>
      <c r="B771" t="s">
        <v>20</v>
      </c>
      <c r="C771">
        <v>54</v>
      </c>
      <c r="D771" t="s">
        <v>31</v>
      </c>
      <c r="E771" t="s">
        <v>48</v>
      </c>
      <c r="F771" t="s">
        <v>62</v>
      </c>
      <c r="G771" t="s">
        <v>24</v>
      </c>
      <c r="H771" t="s">
        <v>83</v>
      </c>
      <c r="I771" t="s">
        <v>43</v>
      </c>
      <c r="J771" t="s">
        <v>44</v>
      </c>
      <c r="K771">
        <v>6</v>
      </c>
      <c r="L771">
        <v>83343</v>
      </c>
      <c r="M771" t="s">
        <v>36</v>
      </c>
      <c r="N771">
        <v>4</v>
      </c>
      <c r="O771">
        <v>1</v>
      </c>
      <c r="P771">
        <v>48</v>
      </c>
      <c r="Q771">
        <v>1</v>
      </c>
      <c r="R771" s="1">
        <v>42993</v>
      </c>
      <c r="S771" t="s">
        <v>37</v>
      </c>
      <c r="T771" t="str">
        <f t="shared" si="60"/>
        <v>Grade A</v>
      </c>
      <c r="U771">
        <f t="shared" si="61"/>
        <v>1</v>
      </c>
      <c r="V771" t="str">
        <f t="shared" si="62"/>
        <v>Mid Level</v>
      </c>
      <c r="W771" t="str">
        <f t="shared" si="63"/>
        <v>Already Left</v>
      </c>
      <c r="X771" t="str">
        <f t="shared" si="64"/>
        <v>Overpaid</v>
      </c>
    </row>
    <row r="772" spans="1:24" x14ac:dyDescent="0.3">
      <c r="A772" t="s">
        <v>840</v>
      </c>
      <c r="B772" t="s">
        <v>39</v>
      </c>
      <c r="C772">
        <v>42</v>
      </c>
      <c r="D772" t="s">
        <v>88</v>
      </c>
      <c r="E772" t="s">
        <v>48</v>
      </c>
      <c r="F772" t="s">
        <v>53</v>
      </c>
      <c r="G772" t="s">
        <v>63</v>
      </c>
      <c r="H772" t="s">
        <v>25</v>
      </c>
      <c r="I772" t="s">
        <v>54</v>
      </c>
      <c r="J772" t="s">
        <v>27</v>
      </c>
      <c r="K772">
        <v>4</v>
      </c>
      <c r="L772">
        <v>48628</v>
      </c>
      <c r="M772" t="s">
        <v>28</v>
      </c>
      <c r="N772">
        <v>4</v>
      </c>
      <c r="O772">
        <v>3</v>
      </c>
      <c r="P772">
        <v>39</v>
      </c>
      <c r="Q772">
        <v>2</v>
      </c>
      <c r="R772" s="1">
        <v>43520</v>
      </c>
      <c r="S772" t="s">
        <v>29</v>
      </c>
      <c r="T772" t="str">
        <f t="shared" si="60"/>
        <v>Grade C</v>
      </c>
      <c r="U772">
        <f t="shared" si="61"/>
        <v>3</v>
      </c>
      <c r="V772" t="str">
        <f t="shared" si="62"/>
        <v>Junior</v>
      </c>
      <c r="W772" t="str">
        <f t="shared" si="63"/>
        <v>Medium Risk</v>
      </c>
      <c r="X772" t="str">
        <f t="shared" si="64"/>
        <v>Fair</v>
      </c>
    </row>
    <row r="773" spans="1:24" x14ac:dyDescent="0.3">
      <c r="A773" t="s">
        <v>841</v>
      </c>
      <c r="B773" t="s">
        <v>20</v>
      </c>
      <c r="C773">
        <v>49</v>
      </c>
      <c r="D773" t="s">
        <v>88</v>
      </c>
      <c r="E773" t="s">
        <v>48</v>
      </c>
      <c r="F773" t="s">
        <v>62</v>
      </c>
      <c r="G773" t="s">
        <v>66</v>
      </c>
      <c r="H773" t="s">
        <v>25</v>
      </c>
      <c r="I773" t="s">
        <v>96</v>
      </c>
      <c r="J773" t="s">
        <v>44</v>
      </c>
      <c r="K773">
        <v>5</v>
      </c>
      <c r="L773">
        <v>46597</v>
      </c>
      <c r="M773" t="s">
        <v>28</v>
      </c>
      <c r="N773">
        <v>4</v>
      </c>
      <c r="O773">
        <v>1</v>
      </c>
      <c r="P773">
        <v>61</v>
      </c>
      <c r="Q773">
        <v>0</v>
      </c>
      <c r="R773" s="1">
        <v>43237</v>
      </c>
      <c r="S773" t="s">
        <v>29</v>
      </c>
      <c r="T773" t="str">
        <f t="shared" si="60"/>
        <v>Grade C</v>
      </c>
      <c r="U773">
        <f t="shared" si="61"/>
        <v>3</v>
      </c>
      <c r="V773" t="str">
        <f t="shared" si="62"/>
        <v>Junior</v>
      </c>
      <c r="W773" t="str">
        <f t="shared" si="63"/>
        <v>Medium Risk</v>
      </c>
      <c r="X773" t="str">
        <f t="shared" si="64"/>
        <v>Fair</v>
      </c>
    </row>
    <row r="774" spans="1:24" x14ac:dyDescent="0.3">
      <c r="A774" t="s">
        <v>842</v>
      </c>
      <c r="B774" t="s">
        <v>20</v>
      </c>
      <c r="C774">
        <v>40</v>
      </c>
      <c r="D774" t="s">
        <v>31</v>
      </c>
      <c r="E774" t="s">
        <v>22</v>
      </c>
      <c r="F774" t="s">
        <v>65</v>
      </c>
      <c r="G774" t="s">
        <v>42</v>
      </c>
      <c r="H774" t="s">
        <v>67</v>
      </c>
      <c r="I774" t="s">
        <v>43</v>
      </c>
      <c r="J774" t="s">
        <v>44</v>
      </c>
      <c r="K774">
        <v>13</v>
      </c>
      <c r="L774">
        <v>111638</v>
      </c>
      <c r="M774" t="s">
        <v>36</v>
      </c>
      <c r="N774">
        <v>3</v>
      </c>
      <c r="O774">
        <v>4</v>
      </c>
      <c r="P774">
        <v>58</v>
      </c>
      <c r="Q774">
        <v>2</v>
      </c>
      <c r="R774" s="1">
        <v>40209</v>
      </c>
      <c r="S774" t="s">
        <v>37</v>
      </c>
      <c r="T774" t="str">
        <f t="shared" si="60"/>
        <v>Grade A</v>
      </c>
      <c r="U774">
        <f t="shared" si="61"/>
        <v>1</v>
      </c>
      <c r="V774" t="str">
        <f t="shared" si="62"/>
        <v>Senior</v>
      </c>
      <c r="W774" t="str">
        <f t="shared" si="63"/>
        <v>Already Left</v>
      </c>
      <c r="X774" t="str">
        <f t="shared" si="64"/>
        <v>Overpaid</v>
      </c>
    </row>
    <row r="775" spans="1:24" x14ac:dyDescent="0.3">
      <c r="A775" t="s">
        <v>843</v>
      </c>
      <c r="B775" t="s">
        <v>20</v>
      </c>
      <c r="C775">
        <v>52</v>
      </c>
      <c r="D775" t="s">
        <v>88</v>
      </c>
      <c r="E775" t="s">
        <v>48</v>
      </c>
      <c r="F775" t="s">
        <v>32</v>
      </c>
      <c r="G775" t="s">
        <v>42</v>
      </c>
      <c r="H775" t="s">
        <v>67</v>
      </c>
      <c r="I775" t="s">
        <v>35</v>
      </c>
      <c r="J775" t="s">
        <v>27</v>
      </c>
      <c r="K775">
        <v>14</v>
      </c>
      <c r="L775">
        <v>116500</v>
      </c>
      <c r="M775" t="s">
        <v>36</v>
      </c>
      <c r="N775">
        <v>1</v>
      </c>
      <c r="O775">
        <v>4</v>
      </c>
      <c r="P775">
        <v>72</v>
      </c>
      <c r="Q775">
        <v>1</v>
      </c>
      <c r="R775" s="1">
        <v>40100</v>
      </c>
      <c r="S775" t="s">
        <v>37</v>
      </c>
      <c r="T775" t="str">
        <f t="shared" si="60"/>
        <v>Grade A</v>
      </c>
      <c r="U775">
        <f t="shared" si="61"/>
        <v>1</v>
      </c>
      <c r="V775" t="str">
        <f t="shared" si="62"/>
        <v>Senior</v>
      </c>
      <c r="W775" t="str">
        <f t="shared" si="63"/>
        <v>Already Left</v>
      </c>
      <c r="X775" t="str">
        <f t="shared" si="64"/>
        <v>Overpaid</v>
      </c>
    </row>
    <row r="776" spans="1:24" x14ac:dyDescent="0.3">
      <c r="A776" t="s">
        <v>844</v>
      </c>
      <c r="B776" t="s">
        <v>20</v>
      </c>
      <c r="C776">
        <v>40</v>
      </c>
      <c r="D776" t="s">
        <v>21</v>
      </c>
      <c r="E776" t="s">
        <v>48</v>
      </c>
      <c r="F776" t="s">
        <v>75</v>
      </c>
      <c r="G776" t="s">
        <v>66</v>
      </c>
      <c r="H776" t="s">
        <v>83</v>
      </c>
      <c r="I776" t="s">
        <v>80</v>
      </c>
      <c r="J776" t="s">
        <v>60</v>
      </c>
      <c r="K776">
        <v>1</v>
      </c>
      <c r="L776">
        <v>36045</v>
      </c>
      <c r="M776" t="s">
        <v>51</v>
      </c>
      <c r="N776">
        <v>2</v>
      </c>
      <c r="O776">
        <v>1</v>
      </c>
      <c r="P776">
        <v>51</v>
      </c>
      <c r="Q776">
        <v>3</v>
      </c>
      <c r="R776" s="1">
        <v>44738</v>
      </c>
      <c r="S776" t="s">
        <v>29</v>
      </c>
      <c r="T776" t="str">
        <f t="shared" si="60"/>
        <v>Grade C</v>
      </c>
      <c r="U776">
        <f t="shared" si="61"/>
        <v>4</v>
      </c>
      <c r="V776" t="str">
        <f t="shared" si="62"/>
        <v>New Joiner</v>
      </c>
      <c r="W776" t="str">
        <f t="shared" si="63"/>
        <v>Low Risk</v>
      </c>
      <c r="X776" t="str">
        <f t="shared" si="64"/>
        <v>Fair</v>
      </c>
    </row>
    <row r="777" spans="1:24" x14ac:dyDescent="0.3">
      <c r="A777" t="s">
        <v>845</v>
      </c>
      <c r="B777" t="s">
        <v>39</v>
      </c>
      <c r="C777">
        <v>42</v>
      </c>
      <c r="D777" t="s">
        <v>88</v>
      </c>
      <c r="E777" t="s">
        <v>40</v>
      </c>
      <c r="F777" t="s">
        <v>53</v>
      </c>
      <c r="G777" t="s">
        <v>49</v>
      </c>
      <c r="H777" t="s">
        <v>34</v>
      </c>
      <c r="I777" t="s">
        <v>68</v>
      </c>
      <c r="J777" t="s">
        <v>60</v>
      </c>
      <c r="K777">
        <v>10</v>
      </c>
      <c r="L777">
        <v>78410</v>
      </c>
      <c r="M777" t="s">
        <v>45</v>
      </c>
      <c r="N777">
        <v>3</v>
      </c>
      <c r="O777">
        <v>3</v>
      </c>
      <c r="P777">
        <v>12</v>
      </c>
      <c r="Q777">
        <v>1</v>
      </c>
      <c r="R777" s="1">
        <v>41418</v>
      </c>
      <c r="S777" t="s">
        <v>37</v>
      </c>
      <c r="T777" t="str">
        <f t="shared" si="60"/>
        <v>Grade B</v>
      </c>
      <c r="U777">
        <f t="shared" si="61"/>
        <v>2</v>
      </c>
      <c r="V777" t="str">
        <f t="shared" si="62"/>
        <v>Mid Level</v>
      </c>
      <c r="W777" t="str">
        <f t="shared" si="63"/>
        <v>Already Left</v>
      </c>
      <c r="X777" t="str">
        <f t="shared" si="64"/>
        <v>Fair</v>
      </c>
    </row>
    <row r="778" spans="1:24" x14ac:dyDescent="0.3">
      <c r="A778" t="s">
        <v>846</v>
      </c>
      <c r="B778" t="s">
        <v>20</v>
      </c>
      <c r="C778">
        <v>45</v>
      </c>
      <c r="D778" t="s">
        <v>31</v>
      </c>
      <c r="E778" t="s">
        <v>22</v>
      </c>
      <c r="F778" t="s">
        <v>65</v>
      </c>
      <c r="G778" t="s">
        <v>49</v>
      </c>
      <c r="H778" t="s">
        <v>25</v>
      </c>
      <c r="I778" t="s">
        <v>26</v>
      </c>
      <c r="J778" t="s">
        <v>27</v>
      </c>
      <c r="K778">
        <v>12</v>
      </c>
      <c r="L778">
        <v>70033</v>
      </c>
      <c r="M778" t="s">
        <v>36</v>
      </c>
      <c r="N778">
        <v>3</v>
      </c>
      <c r="O778">
        <v>3</v>
      </c>
      <c r="P778">
        <v>12</v>
      </c>
      <c r="Q778">
        <v>1</v>
      </c>
      <c r="R778" s="1">
        <v>40796</v>
      </c>
      <c r="S778" t="s">
        <v>37</v>
      </c>
      <c r="T778" t="str">
        <f t="shared" si="60"/>
        <v>Grade B</v>
      </c>
      <c r="U778">
        <f t="shared" si="61"/>
        <v>1</v>
      </c>
      <c r="V778" t="str">
        <f t="shared" si="62"/>
        <v>Senior</v>
      </c>
      <c r="W778" t="str">
        <f t="shared" si="63"/>
        <v>Already Left</v>
      </c>
      <c r="X778" t="str">
        <f t="shared" si="64"/>
        <v>Fair</v>
      </c>
    </row>
    <row r="779" spans="1:24" x14ac:dyDescent="0.3">
      <c r="A779" t="s">
        <v>847</v>
      </c>
      <c r="B779" t="s">
        <v>20</v>
      </c>
      <c r="C779">
        <v>23</v>
      </c>
      <c r="D779" t="s">
        <v>88</v>
      </c>
      <c r="E779" t="s">
        <v>48</v>
      </c>
      <c r="F779" t="s">
        <v>75</v>
      </c>
      <c r="G779" t="s">
        <v>33</v>
      </c>
      <c r="H779" t="s">
        <v>76</v>
      </c>
      <c r="I779" t="s">
        <v>26</v>
      </c>
      <c r="J779" t="s">
        <v>27</v>
      </c>
      <c r="K779">
        <v>13</v>
      </c>
      <c r="L779">
        <v>77573</v>
      </c>
      <c r="M779" t="s">
        <v>36</v>
      </c>
      <c r="N779">
        <v>1</v>
      </c>
      <c r="O779">
        <v>3</v>
      </c>
      <c r="P779">
        <v>78</v>
      </c>
      <c r="Q779">
        <v>3</v>
      </c>
      <c r="R779" s="1">
        <v>40285</v>
      </c>
      <c r="S779" t="s">
        <v>37</v>
      </c>
      <c r="T779" t="str">
        <f t="shared" si="60"/>
        <v>Grade B</v>
      </c>
      <c r="U779">
        <f t="shared" si="61"/>
        <v>1</v>
      </c>
      <c r="V779" t="str">
        <f t="shared" si="62"/>
        <v>Senior</v>
      </c>
      <c r="W779" t="str">
        <f t="shared" si="63"/>
        <v>Already Left</v>
      </c>
      <c r="X779" t="str">
        <f t="shared" si="64"/>
        <v>Fair</v>
      </c>
    </row>
    <row r="780" spans="1:24" x14ac:dyDescent="0.3">
      <c r="A780" t="s">
        <v>848</v>
      </c>
      <c r="B780" t="s">
        <v>39</v>
      </c>
      <c r="C780">
        <v>54</v>
      </c>
      <c r="D780" t="s">
        <v>21</v>
      </c>
      <c r="E780" t="s">
        <v>40</v>
      </c>
      <c r="F780" t="s">
        <v>65</v>
      </c>
      <c r="G780" t="s">
        <v>79</v>
      </c>
      <c r="H780" t="s">
        <v>83</v>
      </c>
      <c r="I780" t="s">
        <v>80</v>
      </c>
      <c r="J780" t="s">
        <v>60</v>
      </c>
      <c r="K780">
        <v>10</v>
      </c>
      <c r="L780">
        <v>68294</v>
      </c>
      <c r="M780" t="s">
        <v>51</v>
      </c>
      <c r="N780">
        <v>4</v>
      </c>
      <c r="O780">
        <v>2</v>
      </c>
      <c r="P780">
        <v>19</v>
      </c>
      <c r="Q780">
        <v>3</v>
      </c>
      <c r="R780" s="1">
        <v>41370</v>
      </c>
      <c r="S780" t="s">
        <v>37</v>
      </c>
      <c r="T780" t="str">
        <f t="shared" si="60"/>
        <v>Grade B</v>
      </c>
      <c r="U780">
        <f t="shared" si="61"/>
        <v>4</v>
      </c>
      <c r="V780" t="str">
        <f t="shared" si="62"/>
        <v>Mid Level</v>
      </c>
      <c r="W780" t="str">
        <f t="shared" si="63"/>
        <v>Already Left</v>
      </c>
      <c r="X780" t="str">
        <f t="shared" si="64"/>
        <v>Fair</v>
      </c>
    </row>
    <row r="781" spans="1:24" x14ac:dyDescent="0.3">
      <c r="A781" t="s">
        <v>849</v>
      </c>
      <c r="B781" t="s">
        <v>20</v>
      </c>
      <c r="C781">
        <v>51</v>
      </c>
      <c r="D781" t="s">
        <v>88</v>
      </c>
      <c r="E781" t="s">
        <v>40</v>
      </c>
      <c r="F781" t="s">
        <v>78</v>
      </c>
      <c r="G781" t="s">
        <v>66</v>
      </c>
      <c r="H781" t="s">
        <v>76</v>
      </c>
      <c r="I781" t="s">
        <v>80</v>
      </c>
      <c r="J781" t="s">
        <v>60</v>
      </c>
      <c r="K781">
        <v>11</v>
      </c>
      <c r="L781">
        <v>49392</v>
      </c>
      <c r="M781" t="s">
        <v>28</v>
      </c>
      <c r="N781">
        <v>4</v>
      </c>
      <c r="O781">
        <v>1</v>
      </c>
      <c r="P781">
        <v>61</v>
      </c>
      <c r="Q781">
        <v>2</v>
      </c>
      <c r="R781" s="1">
        <v>40946</v>
      </c>
      <c r="S781" t="s">
        <v>29</v>
      </c>
      <c r="T781" t="str">
        <f t="shared" si="60"/>
        <v>Grade C</v>
      </c>
      <c r="U781">
        <f t="shared" si="61"/>
        <v>3</v>
      </c>
      <c r="V781" t="str">
        <f t="shared" si="62"/>
        <v>Senior</v>
      </c>
      <c r="W781" t="str">
        <f t="shared" si="63"/>
        <v>Medium Risk</v>
      </c>
      <c r="X781" t="str">
        <f t="shared" si="64"/>
        <v>Fair</v>
      </c>
    </row>
    <row r="782" spans="1:24" x14ac:dyDescent="0.3">
      <c r="A782" t="s">
        <v>850</v>
      </c>
      <c r="B782" t="s">
        <v>39</v>
      </c>
      <c r="C782">
        <v>42</v>
      </c>
      <c r="D782" t="s">
        <v>88</v>
      </c>
      <c r="E782" t="s">
        <v>48</v>
      </c>
      <c r="F782" t="s">
        <v>75</v>
      </c>
      <c r="G782" t="s">
        <v>66</v>
      </c>
      <c r="H782" t="s">
        <v>83</v>
      </c>
      <c r="I782" t="s">
        <v>50</v>
      </c>
      <c r="J782" t="s">
        <v>44</v>
      </c>
      <c r="K782">
        <v>4</v>
      </c>
      <c r="L782">
        <v>46996</v>
      </c>
      <c r="M782" t="s">
        <v>51</v>
      </c>
      <c r="N782">
        <v>2</v>
      </c>
      <c r="O782">
        <v>3</v>
      </c>
      <c r="P782">
        <v>29</v>
      </c>
      <c r="Q782">
        <v>1</v>
      </c>
      <c r="R782" s="1">
        <v>43700</v>
      </c>
      <c r="S782" t="s">
        <v>29</v>
      </c>
      <c r="T782" t="str">
        <f t="shared" si="60"/>
        <v>Grade C</v>
      </c>
      <c r="U782">
        <f t="shared" si="61"/>
        <v>4</v>
      </c>
      <c r="V782" t="str">
        <f t="shared" si="62"/>
        <v>Junior</v>
      </c>
      <c r="W782" t="str">
        <f t="shared" si="63"/>
        <v>Low Risk</v>
      </c>
      <c r="X782" t="str">
        <f t="shared" si="64"/>
        <v>Fair</v>
      </c>
    </row>
    <row r="783" spans="1:24" x14ac:dyDescent="0.3">
      <c r="A783" t="s">
        <v>851</v>
      </c>
      <c r="B783" t="s">
        <v>39</v>
      </c>
      <c r="C783">
        <v>44</v>
      </c>
      <c r="D783" t="s">
        <v>21</v>
      </c>
      <c r="E783" t="s">
        <v>48</v>
      </c>
      <c r="F783" t="s">
        <v>32</v>
      </c>
      <c r="G783" t="s">
        <v>58</v>
      </c>
      <c r="H783" t="s">
        <v>25</v>
      </c>
      <c r="I783" t="s">
        <v>68</v>
      </c>
      <c r="J783" t="s">
        <v>60</v>
      </c>
      <c r="K783">
        <v>2</v>
      </c>
      <c r="L783">
        <v>96479</v>
      </c>
      <c r="M783" t="s">
        <v>28</v>
      </c>
      <c r="N783">
        <v>3</v>
      </c>
      <c r="O783">
        <v>2</v>
      </c>
      <c r="P783">
        <v>36</v>
      </c>
      <c r="Q783">
        <v>1</v>
      </c>
      <c r="R783" s="1">
        <v>44542</v>
      </c>
      <c r="S783" t="s">
        <v>29</v>
      </c>
      <c r="T783" t="str">
        <f t="shared" si="60"/>
        <v>Grade A</v>
      </c>
      <c r="U783">
        <f t="shared" si="61"/>
        <v>3</v>
      </c>
      <c r="V783" t="str">
        <f t="shared" si="62"/>
        <v>New Joiner</v>
      </c>
      <c r="W783" t="str">
        <f t="shared" si="63"/>
        <v>Medium Risk</v>
      </c>
      <c r="X783" t="str">
        <f t="shared" si="64"/>
        <v>Competitive</v>
      </c>
    </row>
    <row r="784" spans="1:24" x14ac:dyDescent="0.3">
      <c r="A784" t="s">
        <v>852</v>
      </c>
      <c r="B784" t="s">
        <v>20</v>
      </c>
      <c r="C784">
        <v>29</v>
      </c>
      <c r="D784" t="s">
        <v>57</v>
      </c>
      <c r="E784" t="s">
        <v>22</v>
      </c>
      <c r="F784" t="s">
        <v>53</v>
      </c>
      <c r="G784" t="s">
        <v>49</v>
      </c>
      <c r="H784" t="s">
        <v>76</v>
      </c>
      <c r="I784" t="s">
        <v>80</v>
      </c>
      <c r="J784" t="s">
        <v>60</v>
      </c>
      <c r="K784">
        <v>4</v>
      </c>
      <c r="L784">
        <v>59643</v>
      </c>
      <c r="M784" t="s">
        <v>45</v>
      </c>
      <c r="N784">
        <v>4</v>
      </c>
      <c r="O784">
        <v>2</v>
      </c>
      <c r="P784">
        <v>58</v>
      </c>
      <c r="Q784">
        <v>0</v>
      </c>
      <c r="R784" s="1">
        <v>43762</v>
      </c>
      <c r="S784" t="s">
        <v>37</v>
      </c>
      <c r="T784" t="str">
        <f t="shared" si="60"/>
        <v>Grade B</v>
      </c>
      <c r="U784">
        <f t="shared" si="61"/>
        <v>2</v>
      </c>
      <c r="V784" t="str">
        <f t="shared" si="62"/>
        <v>Junior</v>
      </c>
      <c r="W784" t="str">
        <f t="shared" si="63"/>
        <v>Already Left</v>
      </c>
      <c r="X784" t="str">
        <f t="shared" si="64"/>
        <v>Fair</v>
      </c>
    </row>
    <row r="785" spans="1:24" x14ac:dyDescent="0.3">
      <c r="A785" t="s">
        <v>853</v>
      </c>
      <c r="B785" t="s">
        <v>39</v>
      </c>
      <c r="C785">
        <v>54</v>
      </c>
      <c r="D785" t="s">
        <v>88</v>
      </c>
      <c r="E785" t="s">
        <v>40</v>
      </c>
      <c r="F785" t="s">
        <v>78</v>
      </c>
      <c r="G785" t="s">
        <v>63</v>
      </c>
      <c r="H785" t="s">
        <v>76</v>
      </c>
      <c r="I785" t="s">
        <v>96</v>
      </c>
      <c r="J785" t="s">
        <v>44</v>
      </c>
      <c r="K785">
        <v>4</v>
      </c>
      <c r="L785">
        <v>62340</v>
      </c>
      <c r="M785" t="s">
        <v>28</v>
      </c>
      <c r="N785">
        <v>1</v>
      </c>
      <c r="O785">
        <v>2</v>
      </c>
      <c r="P785">
        <v>36</v>
      </c>
      <c r="Q785">
        <v>0</v>
      </c>
      <c r="R785" s="1">
        <v>43785</v>
      </c>
      <c r="S785" t="s">
        <v>37</v>
      </c>
      <c r="T785" t="str">
        <f t="shared" si="60"/>
        <v>Grade B</v>
      </c>
      <c r="U785">
        <f t="shared" si="61"/>
        <v>3</v>
      </c>
      <c r="V785" t="str">
        <f t="shared" si="62"/>
        <v>Junior</v>
      </c>
      <c r="W785" t="str">
        <f t="shared" si="63"/>
        <v>Already Left</v>
      </c>
      <c r="X785" t="str">
        <f t="shared" si="64"/>
        <v>Competitive</v>
      </c>
    </row>
    <row r="786" spans="1:24" x14ac:dyDescent="0.3">
      <c r="A786" t="s">
        <v>854</v>
      </c>
      <c r="B786" t="s">
        <v>20</v>
      </c>
      <c r="C786">
        <v>54</v>
      </c>
      <c r="D786" t="s">
        <v>21</v>
      </c>
      <c r="E786" t="s">
        <v>48</v>
      </c>
      <c r="F786" t="s">
        <v>65</v>
      </c>
      <c r="G786" t="s">
        <v>49</v>
      </c>
      <c r="H786" t="s">
        <v>25</v>
      </c>
      <c r="I786" t="s">
        <v>96</v>
      </c>
      <c r="J786" t="s">
        <v>44</v>
      </c>
      <c r="K786">
        <v>4</v>
      </c>
      <c r="L786">
        <v>50975</v>
      </c>
      <c r="M786" t="s">
        <v>36</v>
      </c>
      <c r="N786">
        <v>1</v>
      </c>
      <c r="O786">
        <v>1</v>
      </c>
      <c r="P786">
        <v>58</v>
      </c>
      <c r="Q786">
        <v>3</v>
      </c>
      <c r="R786" s="1">
        <v>43588</v>
      </c>
      <c r="S786" t="s">
        <v>37</v>
      </c>
      <c r="T786" t="str">
        <f t="shared" si="60"/>
        <v>Grade B</v>
      </c>
      <c r="U786">
        <f t="shared" si="61"/>
        <v>1</v>
      </c>
      <c r="V786" t="str">
        <f t="shared" si="62"/>
        <v>Junior</v>
      </c>
      <c r="W786" t="str">
        <f t="shared" si="63"/>
        <v>Already Left</v>
      </c>
      <c r="X786" t="str">
        <f t="shared" si="64"/>
        <v>Fair</v>
      </c>
    </row>
    <row r="787" spans="1:24" x14ac:dyDescent="0.3">
      <c r="A787" t="s">
        <v>855</v>
      </c>
      <c r="B787" t="s">
        <v>39</v>
      </c>
      <c r="C787">
        <v>46</v>
      </c>
      <c r="D787" t="s">
        <v>57</v>
      </c>
      <c r="E787" t="s">
        <v>22</v>
      </c>
      <c r="F787" t="s">
        <v>41</v>
      </c>
      <c r="G787" t="s">
        <v>79</v>
      </c>
      <c r="H787" t="s">
        <v>25</v>
      </c>
      <c r="I787" t="s">
        <v>43</v>
      </c>
      <c r="J787" t="s">
        <v>44</v>
      </c>
      <c r="K787">
        <v>5</v>
      </c>
      <c r="L787">
        <v>54226</v>
      </c>
      <c r="M787" t="s">
        <v>45</v>
      </c>
      <c r="N787">
        <v>3</v>
      </c>
      <c r="O787">
        <v>3</v>
      </c>
      <c r="P787">
        <v>15</v>
      </c>
      <c r="Q787">
        <v>1</v>
      </c>
      <c r="R787" s="1">
        <v>43350</v>
      </c>
      <c r="S787" t="s">
        <v>29</v>
      </c>
      <c r="T787" t="str">
        <f t="shared" si="60"/>
        <v>Grade B</v>
      </c>
      <c r="U787">
        <f t="shared" si="61"/>
        <v>2</v>
      </c>
      <c r="V787" t="str">
        <f t="shared" si="62"/>
        <v>Junior</v>
      </c>
      <c r="W787" t="str">
        <f t="shared" si="63"/>
        <v>Medium Risk</v>
      </c>
      <c r="X787" t="str">
        <f t="shared" si="64"/>
        <v>Fair</v>
      </c>
    </row>
    <row r="788" spans="1:24" x14ac:dyDescent="0.3">
      <c r="A788" t="s">
        <v>856</v>
      </c>
      <c r="B788" t="s">
        <v>39</v>
      </c>
      <c r="C788">
        <v>35</v>
      </c>
      <c r="D788" t="s">
        <v>31</v>
      </c>
      <c r="E788" t="s">
        <v>48</v>
      </c>
      <c r="F788" t="s">
        <v>53</v>
      </c>
      <c r="G788" t="s">
        <v>24</v>
      </c>
      <c r="H788" t="s">
        <v>34</v>
      </c>
      <c r="I788" t="s">
        <v>59</v>
      </c>
      <c r="J788" t="s">
        <v>60</v>
      </c>
      <c r="K788">
        <v>3</v>
      </c>
      <c r="L788">
        <v>75594</v>
      </c>
      <c r="M788" t="s">
        <v>51</v>
      </c>
      <c r="N788">
        <v>4</v>
      </c>
      <c r="O788">
        <v>2</v>
      </c>
      <c r="P788">
        <v>63</v>
      </c>
      <c r="Q788">
        <v>1</v>
      </c>
      <c r="R788" s="1">
        <v>44178</v>
      </c>
      <c r="S788" t="s">
        <v>29</v>
      </c>
      <c r="T788" t="str">
        <f t="shared" si="60"/>
        <v>Grade B</v>
      </c>
      <c r="U788">
        <f t="shared" si="61"/>
        <v>4</v>
      </c>
      <c r="V788" t="str">
        <f t="shared" si="62"/>
        <v>Junior</v>
      </c>
      <c r="W788" t="str">
        <f t="shared" si="63"/>
        <v>Low Risk</v>
      </c>
      <c r="X788" t="str">
        <f t="shared" si="64"/>
        <v>Fair</v>
      </c>
    </row>
    <row r="789" spans="1:24" x14ac:dyDescent="0.3">
      <c r="A789" t="s">
        <v>857</v>
      </c>
      <c r="B789" t="s">
        <v>39</v>
      </c>
      <c r="C789">
        <v>41</v>
      </c>
      <c r="D789" t="s">
        <v>57</v>
      </c>
      <c r="E789" t="s">
        <v>40</v>
      </c>
      <c r="F789" t="s">
        <v>53</v>
      </c>
      <c r="G789" t="s">
        <v>79</v>
      </c>
      <c r="H789" t="s">
        <v>67</v>
      </c>
      <c r="I789" t="s">
        <v>68</v>
      </c>
      <c r="J789" t="s">
        <v>60</v>
      </c>
      <c r="K789">
        <v>15</v>
      </c>
      <c r="L789">
        <v>65320</v>
      </c>
      <c r="M789" t="s">
        <v>45</v>
      </c>
      <c r="N789">
        <v>3</v>
      </c>
      <c r="O789">
        <v>3</v>
      </c>
      <c r="P789">
        <v>51</v>
      </c>
      <c r="Q789">
        <v>0</v>
      </c>
      <c r="R789" s="1">
        <v>39563</v>
      </c>
      <c r="S789" t="s">
        <v>37</v>
      </c>
      <c r="T789" t="str">
        <f t="shared" si="60"/>
        <v>Grade B</v>
      </c>
      <c r="U789">
        <f t="shared" si="61"/>
        <v>2</v>
      </c>
      <c r="V789" t="str">
        <f t="shared" si="62"/>
        <v>Senior</v>
      </c>
      <c r="W789" t="str">
        <f t="shared" si="63"/>
        <v>Already Left</v>
      </c>
      <c r="X789" t="str">
        <f t="shared" si="64"/>
        <v>Fair</v>
      </c>
    </row>
    <row r="790" spans="1:24" x14ac:dyDescent="0.3">
      <c r="A790" t="s">
        <v>858</v>
      </c>
      <c r="B790" t="s">
        <v>39</v>
      </c>
      <c r="C790">
        <v>32</v>
      </c>
      <c r="D790" t="s">
        <v>21</v>
      </c>
      <c r="E790" t="s">
        <v>22</v>
      </c>
      <c r="F790" t="s">
        <v>65</v>
      </c>
      <c r="G790" t="s">
        <v>24</v>
      </c>
      <c r="H790" t="s">
        <v>83</v>
      </c>
      <c r="I790" t="s">
        <v>50</v>
      </c>
      <c r="J790" t="s">
        <v>44</v>
      </c>
      <c r="K790">
        <v>1</v>
      </c>
      <c r="L790">
        <v>80358</v>
      </c>
      <c r="M790" t="s">
        <v>36</v>
      </c>
      <c r="N790">
        <v>3</v>
      </c>
      <c r="O790">
        <v>2</v>
      </c>
      <c r="P790">
        <v>21</v>
      </c>
      <c r="Q790">
        <v>3</v>
      </c>
      <c r="R790" s="1">
        <v>44734</v>
      </c>
      <c r="S790" t="s">
        <v>29</v>
      </c>
      <c r="T790" t="str">
        <f t="shared" si="60"/>
        <v>Grade A</v>
      </c>
      <c r="U790">
        <f t="shared" si="61"/>
        <v>1</v>
      </c>
      <c r="V790" t="str">
        <f t="shared" si="62"/>
        <v>New Joiner</v>
      </c>
      <c r="W790" t="str">
        <f t="shared" si="63"/>
        <v>High Risk</v>
      </c>
      <c r="X790" t="str">
        <f t="shared" si="64"/>
        <v>Overpaid</v>
      </c>
    </row>
    <row r="791" spans="1:24" x14ac:dyDescent="0.3">
      <c r="A791" t="s">
        <v>859</v>
      </c>
      <c r="B791" t="s">
        <v>20</v>
      </c>
      <c r="C791">
        <v>52</v>
      </c>
      <c r="D791" t="s">
        <v>57</v>
      </c>
      <c r="E791" t="s">
        <v>48</v>
      </c>
      <c r="F791" t="s">
        <v>41</v>
      </c>
      <c r="G791" t="s">
        <v>33</v>
      </c>
      <c r="H791" t="s">
        <v>76</v>
      </c>
      <c r="I791" t="s">
        <v>26</v>
      </c>
      <c r="J791" t="s">
        <v>27</v>
      </c>
      <c r="K791">
        <v>7</v>
      </c>
      <c r="L791">
        <v>68404</v>
      </c>
      <c r="M791" t="s">
        <v>36</v>
      </c>
      <c r="N791">
        <v>2</v>
      </c>
      <c r="O791">
        <v>3</v>
      </c>
      <c r="P791">
        <v>79</v>
      </c>
      <c r="Q791">
        <v>2</v>
      </c>
      <c r="R791" s="1">
        <v>42737</v>
      </c>
      <c r="S791" t="s">
        <v>29</v>
      </c>
      <c r="T791" t="str">
        <f t="shared" si="60"/>
        <v>Grade B</v>
      </c>
      <c r="U791">
        <f t="shared" si="61"/>
        <v>1</v>
      </c>
      <c r="V791" t="str">
        <f t="shared" si="62"/>
        <v>Mid Level</v>
      </c>
      <c r="W791" t="str">
        <f t="shared" si="63"/>
        <v>Medium Risk</v>
      </c>
      <c r="X791" t="str">
        <f t="shared" si="64"/>
        <v>Fair</v>
      </c>
    </row>
    <row r="792" spans="1:24" x14ac:dyDescent="0.3">
      <c r="A792" t="s">
        <v>860</v>
      </c>
      <c r="B792" t="s">
        <v>39</v>
      </c>
      <c r="C792">
        <v>36</v>
      </c>
      <c r="D792" t="s">
        <v>21</v>
      </c>
      <c r="E792" t="s">
        <v>40</v>
      </c>
      <c r="F792" t="s">
        <v>41</v>
      </c>
      <c r="G792" t="s">
        <v>49</v>
      </c>
      <c r="H792" t="s">
        <v>76</v>
      </c>
      <c r="I792" t="s">
        <v>54</v>
      </c>
      <c r="J792" t="s">
        <v>27</v>
      </c>
      <c r="K792">
        <v>12</v>
      </c>
      <c r="L792">
        <v>68123</v>
      </c>
      <c r="M792" t="s">
        <v>36</v>
      </c>
      <c r="N792">
        <v>1</v>
      </c>
      <c r="O792">
        <v>4</v>
      </c>
      <c r="P792">
        <v>46</v>
      </c>
      <c r="Q792">
        <v>0</v>
      </c>
      <c r="R792" s="1">
        <v>40846</v>
      </c>
      <c r="S792" t="s">
        <v>29</v>
      </c>
      <c r="T792" t="str">
        <f t="shared" si="60"/>
        <v>Grade B</v>
      </c>
      <c r="U792">
        <f t="shared" si="61"/>
        <v>1</v>
      </c>
      <c r="V792" t="str">
        <f t="shared" si="62"/>
        <v>Senior</v>
      </c>
      <c r="W792" t="str">
        <f t="shared" si="63"/>
        <v>Medium Risk</v>
      </c>
      <c r="X792" t="str">
        <f t="shared" si="64"/>
        <v>Fair</v>
      </c>
    </row>
    <row r="793" spans="1:24" x14ac:dyDescent="0.3">
      <c r="A793" t="s">
        <v>861</v>
      </c>
      <c r="B793" t="s">
        <v>20</v>
      </c>
      <c r="C793">
        <v>30</v>
      </c>
      <c r="D793" t="s">
        <v>31</v>
      </c>
      <c r="E793" t="s">
        <v>48</v>
      </c>
      <c r="F793" t="s">
        <v>32</v>
      </c>
      <c r="G793" t="s">
        <v>42</v>
      </c>
      <c r="H793" t="s">
        <v>25</v>
      </c>
      <c r="I793" t="s">
        <v>59</v>
      </c>
      <c r="J793" t="s">
        <v>60</v>
      </c>
      <c r="K793">
        <v>12</v>
      </c>
      <c r="L793">
        <v>119768</v>
      </c>
      <c r="M793" t="s">
        <v>28</v>
      </c>
      <c r="N793">
        <v>3</v>
      </c>
      <c r="O793">
        <v>2</v>
      </c>
      <c r="P793">
        <v>14</v>
      </c>
      <c r="Q793">
        <v>3</v>
      </c>
      <c r="R793" s="1">
        <v>40570</v>
      </c>
      <c r="S793" t="s">
        <v>29</v>
      </c>
      <c r="T793" t="str">
        <f t="shared" si="60"/>
        <v>Grade A</v>
      </c>
      <c r="U793">
        <f t="shared" si="61"/>
        <v>3</v>
      </c>
      <c r="V793" t="str">
        <f t="shared" si="62"/>
        <v>Senior</v>
      </c>
      <c r="W793" t="str">
        <f t="shared" si="63"/>
        <v>Medium Risk</v>
      </c>
      <c r="X793" t="str">
        <f t="shared" si="64"/>
        <v>Competitive</v>
      </c>
    </row>
    <row r="794" spans="1:24" x14ac:dyDescent="0.3">
      <c r="A794" t="s">
        <v>862</v>
      </c>
      <c r="B794" t="s">
        <v>20</v>
      </c>
      <c r="C794">
        <v>22</v>
      </c>
      <c r="D794" t="s">
        <v>88</v>
      </c>
      <c r="E794" t="s">
        <v>48</v>
      </c>
      <c r="F794" t="s">
        <v>32</v>
      </c>
      <c r="G794" t="s">
        <v>58</v>
      </c>
      <c r="H794" t="s">
        <v>67</v>
      </c>
      <c r="I794" t="s">
        <v>50</v>
      </c>
      <c r="J794" t="s">
        <v>44</v>
      </c>
      <c r="K794">
        <v>3</v>
      </c>
      <c r="L794">
        <v>88793</v>
      </c>
      <c r="M794" t="s">
        <v>51</v>
      </c>
      <c r="N794">
        <v>4</v>
      </c>
      <c r="O794">
        <v>3</v>
      </c>
      <c r="P794">
        <v>34</v>
      </c>
      <c r="Q794">
        <v>3</v>
      </c>
      <c r="R794" s="1">
        <v>43994</v>
      </c>
      <c r="S794" t="s">
        <v>29</v>
      </c>
      <c r="T794" t="str">
        <f t="shared" si="60"/>
        <v>Grade A</v>
      </c>
      <c r="U794">
        <f t="shared" si="61"/>
        <v>4</v>
      </c>
      <c r="V794" t="str">
        <f t="shared" si="62"/>
        <v>Junior</v>
      </c>
      <c r="W794" t="str">
        <f t="shared" si="63"/>
        <v>Low Risk</v>
      </c>
      <c r="X794" t="str">
        <f t="shared" si="64"/>
        <v>Competitive</v>
      </c>
    </row>
    <row r="795" spans="1:24" x14ac:dyDescent="0.3">
      <c r="A795" t="s">
        <v>863</v>
      </c>
      <c r="B795" t="s">
        <v>20</v>
      </c>
      <c r="C795">
        <v>43</v>
      </c>
      <c r="D795" t="s">
        <v>47</v>
      </c>
      <c r="E795" t="s">
        <v>48</v>
      </c>
      <c r="F795" t="s">
        <v>32</v>
      </c>
      <c r="G795" t="s">
        <v>33</v>
      </c>
      <c r="H795" t="s">
        <v>76</v>
      </c>
      <c r="I795" t="s">
        <v>96</v>
      </c>
      <c r="J795" t="s">
        <v>44</v>
      </c>
      <c r="K795">
        <v>9</v>
      </c>
      <c r="L795">
        <v>71860</v>
      </c>
      <c r="M795" t="s">
        <v>45</v>
      </c>
      <c r="N795">
        <v>3</v>
      </c>
      <c r="O795">
        <v>4</v>
      </c>
      <c r="P795">
        <v>80</v>
      </c>
      <c r="Q795">
        <v>3</v>
      </c>
      <c r="R795" s="1">
        <v>41672</v>
      </c>
      <c r="S795" t="s">
        <v>29</v>
      </c>
      <c r="T795" t="str">
        <f t="shared" si="60"/>
        <v>Grade B</v>
      </c>
      <c r="U795">
        <f t="shared" si="61"/>
        <v>2</v>
      </c>
      <c r="V795" t="str">
        <f t="shared" si="62"/>
        <v>Mid Level</v>
      </c>
      <c r="W795" t="str">
        <f t="shared" si="63"/>
        <v>Medium Risk</v>
      </c>
      <c r="X795" t="str">
        <f t="shared" si="64"/>
        <v>Fair</v>
      </c>
    </row>
    <row r="796" spans="1:24" x14ac:dyDescent="0.3">
      <c r="A796" t="s">
        <v>864</v>
      </c>
      <c r="B796" t="s">
        <v>39</v>
      </c>
      <c r="C796">
        <v>28</v>
      </c>
      <c r="D796" t="s">
        <v>47</v>
      </c>
      <c r="E796" t="s">
        <v>48</v>
      </c>
      <c r="F796" t="s">
        <v>65</v>
      </c>
      <c r="G796" t="s">
        <v>66</v>
      </c>
      <c r="H796" t="s">
        <v>34</v>
      </c>
      <c r="I796" t="s">
        <v>26</v>
      </c>
      <c r="J796" t="s">
        <v>27</v>
      </c>
      <c r="K796">
        <v>2</v>
      </c>
      <c r="L796">
        <v>42976</v>
      </c>
      <c r="M796" t="s">
        <v>45</v>
      </c>
      <c r="N796">
        <v>1</v>
      </c>
      <c r="O796">
        <v>1</v>
      </c>
      <c r="P796">
        <v>80</v>
      </c>
      <c r="Q796">
        <v>2</v>
      </c>
      <c r="R796" s="1">
        <v>44284</v>
      </c>
      <c r="S796" t="s">
        <v>37</v>
      </c>
      <c r="T796" t="str">
        <f t="shared" si="60"/>
        <v>Grade C</v>
      </c>
      <c r="U796">
        <f t="shared" si="61"/>
        <v>2</v>
      </c>
      <c r="V796" t="str">
        <f t="shared" si="62"/>
        <v>New Joiner</v>
      </c>
      <c r="W796" t="str">
        <f t="shared" si="63"/>
        <v>Already Left</v>
      </c>
      <c r="X796" t="str">
        <f t="shared" si="64"/>
        <v>Fair</v>
      </c>
    </row>
    <row r="797" spans="1:24" x14ac:dyDescent="0.3">
      <c r="A797" t="s">
        <v>865</v>
      </c>
      <c r="B797" t="s">
        <v>39</v>
      </c>
      <c r="C797">
        <v>31</v>
      </c>
      <c r="D797" t="s">
        <v>47</v>
      </c>
      <c r="E797" t="s">
        <v>22</v>
      </c>
      <c r="F797" t="s">
        <v>65</v>
      </c>
      <c r="G797" t="s">
        <v>79</v>
      </c>
      <c r="H797" t="s">
        <v>25</v>
      </c>
      <c r="I797" t="s">
        <v>68</v>
      </c>
      <c r="J797" t="s">
        <v>60</v>
      </c>
      <c r="K797">
        <v>7</v>
      </c>
      <c r="L797">
        <v>60538</v>
      </c>
      <c r="M797" t="s">
        <v>36</v>
      </c>
      <c r="N797">
        <v>2</v>
      </c>
      <c r="O797">
        <v>3</v>
      </c>
      <c r="P797">
        <v>77</v>
      </c>
      <c r="Q797">
        <v>1</v>
      </c>
      <c r="R797" s="1">
        <v>42476</v>
      </c>
      <c r="S797" t="s">
        <v>37</v>
      </c>
      <c r="T797" t="str">
        <f t="shared" si="60"/>
        <v>Grade B</v>
      </c>
      <c r="U797">
        <f t="shared" si="61"/>
        <v>1</v>
      </c>
      <c r="V797" t="str">
        <f t="shared" si="62"/>
        <v>Mid Level</v>
      </c>
      <c r="W797" t="str">
        <f t="shared" si="63"/>
        <v>Already Left</v>
      </c>
      <c r="X797" t="str">
        <f t="shared" si="64"/>
        <v>Fair</v>
      </c>
    </row>
    <row r="798" spans="1:24" x14ac:dyDescent="0.3">
      <c r="A798" t="s">
        <v>866</v>
      </c>
      <c r="B798" t="s">
        <v>39</v>
      </c>
      <c r="C798">
        <v>28</v>
      </c>
      <c r="D798" t="s">
        <v>47</v>
      </c>
      <c r="E798" t="s">
        <v>40</v>
      </c>
      <c r="F798" t="s">
        <v>23</v>
      </c>
      <c r="G798" t="s">
        <v>49</v>
      </c>
      <c r="H798" t="s">
        <v>34</v>
      </c>
      <c r="I798" t="s">
        <v>54</v>
      </c>
      <c r="J798" t="s">
        <v>27</v>
      </c>
      <c r="K798">
        <v>9</v>
      </c>
      <c r="L798">
        <v>75395</v>
      </c>
      <c r="M798" t="s">
        <v>45</v>
      </c>
      <c r="N798">
        <v>2</v>
      </c>
      <c r="O798">
        <v>2</v>
      </c>
      <c r="P798">
        <v>79</v>
      </c>
      <c r="Q798">
        <v>3</v>
      </c>
      <c r="R798" s="1">
        <v>41816</v>
      </c>
      <c r="S798" t="s">
        <v>29</v>
      </c>
      <c r="T798" t="str">
        <f t="shared" si="60"/>
        <v>Grade B</v>
      </c>
      <c r="U798">
        <f t="shared" si="61"/>
        <v>2</v>
      </c>
      <c r="V798" t="str">
        <f t="shared" si="62"/>
        <v>Mid Level</v>
      </c>
      <c r="W798" t="str">
        <f t="shared" si="63"/>
        <v>Medium Risk</v>
      </c>
      <c r="X798" t="str">
        <f t="shared" si="64"/>
        <v>Fair</v>
      </c>
    </row>
    <row r="799" spans="1:24" x14ac:dyDescent="0.3">
      <c r="A799" t="s">
        <v>867</v>
      </c>
      <c r="B799" t="s">
        <v>20</v>
      </c>
      <c r="C799">
        <v>30</v>
      </c>
      <c r="D799" t="s">
        <v>31</v>
      </c>
      <c r="E799" t="s">
        <v>22</v>
      </c>
      <c r="F799" t="s">
        <v>62</v>
      </c>
      <c r="G799" t="s">
        <v>63</v>
      </c>
      <c r="H799" t="s">
        <v>83</v>
      </c>
      <c r="I799" t="s">
        <v>59</v>
      </c>
      <c r="J799" t="s">
        <v>60</v>
      </c>
      <c r="K799">
        <v>5</v>
      </c>
      <c r="L799">
        <v>62096</v>
      </c>
      <c r="M799" t="s">
        <v>36</v>
      </c>
      <c r="N799">
        <v>1</v>
      </c>
      <c r="O799">
        <v>3</v>
      </c>
      <c r="P799">
        <v>49</v>
      </c>
      <c r="Q799">
        <v>1</v>
      </c>
      <c r="R799" s="1">
        <v>43228</v>
      </c>
      <c r="S799" t="s">
        <v>37</v>
      </c>
      <c r="T799" t="str">
        <f t="shared" si="60"/>
        <v>Grade B</v>
      </c>
      <c r="U799">
        <f t="shared" si="61"/>
        <v>1</v>
      </c>
      <c r="V799" t="str">
        <f t="shared" si="62"/>
        <v>Junior</v>
      </c>
      <c r="W799" t="str">
        <f t="shared" si="63"/>
        <v>Already Left</v>
      </c>
      <c r="X799" t="str">
        <f t="shared" si="64"/>
        <v>Fair</v>
      </c>
    </row>
    <row r="800" spans="1:24" x14ac:dyDescent="0.3">
      <c r="A800" t="s">
        <v>868</v>
      </c>
      <c r="B800" t="s">
        <v>39</v>
      </c>
      <c r="C800">
        <v>48</v>
      </c>
      <c r="D800" t="s">
        <v>57</v>
      </c>
      <c r="E800" t="s">
        <v>40</v>
      </c>
      <c r="F800" t="s">
        <v>41</v>
      </c>
      <c r="G800" t="s">
        <v>24</v>
      </c>
      <c r="H800" t="s">
        <v>83</v>
      </c>
      <c r="I800" t="s">
        <v>54</v>
      </c>
      <c r="J800" t="s">
        <v>27</v>
      </c>
      <c r="K800">
        <v>3</v>
      </c>
      <c r="L800">
        <v>86759</v>
      </c>
      <c r="M800" t="s">
        <v>36</v>
      </c>
      <c r="N800">
        <v>2</v>
      </c>
      <c r="O800">
        <v>2</v>
      </c>
      <c r="P800">
        <v>54</v>
      </c>
      <c r="Q800">
        <v>0</v>
      </c>
      <c r="R800" s="1">
        <v>43997</v>
      </c>
      <c r="S800" t="s">
        <v>37</v>
      </c>
      <c r="T800" t="str">
        <f t="shared" si="60"/>
        <v>Grade A</v>
      </c>
      <c r="U800">
        <f t="shared" si="61"/>
        <v>1</v>
      </c>
      <c r="V800" t="str">
        <f t="shared" si="62"/>
        <v>Junior</v>
      </c>
      <c r="W800" t="str">
        <f t="shared" si="63"/>
        <v>Already Left</v>
      </c>
      <c r="X800" t="str">
        <f t="shared" si="64"/>
        <v>Overpaid</v>
      </c>
    </row>
    <row r="801" spans="1:24" x14ac:dyDescent="0.3">
      <c r="A801" t="s">
        <v>869</v>
      </c>
      <c r="B801" t="s">
        <v>20</v>
      </c>
      <c r="C801">
        <v>42</v>
      </c>
      <c r="D801" t="s">
        <v>21</v>
      </c>
      <c r="E801" t="s">
        <v>40</v>
      </c>
      <c r="F801" t="s">
        <v>62</v>
      </c>
      <c r="G801" t="s">
        <v>24</v>
      </c>
      <c r="H801" t="s">
        <v>67</v>
      </c>
      <c r="I801" t="s">
        <v>59</v>
      </c>
      <c r="J801" t="s">
        <v>60</v>
      </c>
      <c r="K801">
        <v>2</v>
      </c>
      <c r="L801">
        <v>75744</v>
      </c>
      <c r="M801" t="s">
        <v>36</v>
      </c>
      <c r="N801">
        <v>1</v>
      </c>
      <c r="O801">
        <v>3</v>
      </c>
      <c r="P801">
        <v>77</v>
      </c>
      <c r="Q801">
        <v>0</v>
      </c>
      <c r="R801" s="1">
        <v>44218</v>
      </c>
      <c r="S801" t="s">
        <v>37</v>
      </c>
      <c r="T801" t="str">
        <f t="shared" si="60"/>
        <v>Grade B</v>
      </c>
      <c r="U801">
        <f t="shared" si="61"/>
        <v>1</v>
      </c>
      <c r="V801" t="str">
        <f t="shared" si="62"/>
        <v>New Joiner</v>
      </c>
      <c r="W801" t="str">
        <f t="shared" si="63"/>
        <v>Already Left</v>
      </c>
      <c r="X801" t="str">
        <f t="shared" si="64"/>
        <v>Fair</v>
      </c>
    </row>
    <row r="802" spans="1:24" x14ac:dyDescent="0.3">
      <c r="A802" t="s">
        <v>870</v>
      </c>
      <c r="B802" t="s">
        <v>39</v>
      </c>
      <c r="C802">
        <v>43</v>
      </c>
      <c r="D802" t="s">
        <v>31</v>
      </c>
      <c r="E802" t="s">
        <v>22</v>
      </c>
      <c r="F802" t="s">
        <v>78</v>
      </c>
      <c r="G802" t="s">
        <v>79</v>
      </c>
      <c r="H802" t="s">
        <v>67</v>
      </c>
      <c r="I802" t="s">
        <v>54</v>
      </c>
      <c r="J802" t="s">
        <v>27</v>
      </c>
      <c r="K802">
        <v>5</v>
      </c>
      <c r="L802">
        <v>57735</v>
      </c>
      <c r="M802" t="s">
        <v>36</v>
      </c>
      <c r="N802">
        <v>4</v>
      </c>
      <c r="O802">
        <v>3</v>
      </c>
      <c r="P802">
        <v>24</v>
      </c>
      <c r="Q802">
        <v>3</v>
      </c>
      <c r="R802" s="1">
        <v>43389</v>
      </c>
      <c r="S802" t="s">
        <v>37</v>
      </c>
      <c r="T802" t="str">
        <f t="shared" si="60"/>
        <v>Grade B</v>
      </c>
      <c r="U802">
        <f t="shared" si="61"/>
        <v>1</v>
      </c>
      <c r="V802" t="str">
        <f t="shared" si="62"/>
        <v>Junior</v>
      </c>
      <c r="W802" t="str">
        <f t="shared" si="63"/>
        <v>Already Left</v>
      </c>
      <c r="X802" t="str">
        <f t="shared" si="64"/>
        <v>Fair</v>
      </c>
    </row>
    <row r="803" spans="1:24" x14ac:dyDescent="0.3">
      <c r="A803" t="s">
        <v>871</v>
      </c>
      <c r="B803" t="s">
        <v>20</v>
      </c>
      <c r="C803">
        <v>37</v>
      </c>
      <c r="D803" t="s">
        <v>57</v>
      </c>
      <c r="E803" t="s">
        <v>40</v>
      </c>
      <c r="F803" t="s">
        <v>53</v>
      </c>
      <c r="G803" t="s">
        <v>79</v>
      </c>
      <c r="H803" t="s">
        <v>76</v>
      </c>
      <c r="I803" t="s">
        <v>43</v>
      </c>
      <c r="J803" t="s">
        <v>44</v>
      </c>
      <c r="K803">
        <v>4</v>
      </c>
      <c r="L803">
        <v>40902</v>
      </c>
      <c r="M803" t="s">
        <v>45</v>
      </c>
      <c r="N803">
        <v>4</v>
      </c>
      <c r="O803">
        <v>4</v>
      </c>
      <c r="P803">
        <v>17</v>
      </c>
      <c r="Q803">
        <v>0</v>
      </c>
      <c r="R803" s="1">
        <v>43526</v>
      </c>
      <c r="S803" t="s">
        <v>29</v>
      </c>
      <c r="T803" t="str">
        <f t="shared" si="60"/>
        <v>Grade C</v>
      </c>
      <c r="U803">
        <f t="shared" si="61"/>
        <v>2</v>
      </c>
      <c r="V803" t="str">
        <f t="shared" si="62"/>
        <v>Junior</v>
      </c>
      <c r="W803" t="str">
        <f t="shared" si="63"/>
        <v>Medium Risk</v>
      </c>
      <c r="X803" t="str">
        <f t="shared" si="64"/>
        <v>Fair</v>
      </c>
    </row>
    <row r="804" spans="1:24" x14ac:dyDescent="0.3">
      <c r="A804" t="s">
        <v>872</v>
      </c>
      <c r="B804" t="s">
        <v>39</v>
      </c>
      <c r="C804">
        <v>53</v>
      </c>
      <c r="D804" t="s">
        <v>47</v>
      </c>
      <c r="E804" t="s">
        <v>40</v>
      </c>
      <c r="F804" t="s">
        <v>62</v>
      </c>
      <c r="G804" t="s">
        <v>42</v>
      </c>
      <c r="H804" t="s">
        <v>25</v>
      </c>
      <c r="I804" t="s">
        <v>80</v>
      </c>
      <c r="J804" t="s">
        <v>60</v>
      </c>
      <c r="K804">
        <v>7</v>
      </c>
      <c r="L804">
        <v>110687</v>
      </c>
      <c r="M804" t="s">
        <v>45</v>
      </c>
      <c r="N804">
        <v>4</v>
      </c>
      <c r="O804">
        <v>2</v>
      </c>
      <c r="P804">
        <v>65</v>
      </c>
      <c r="Q804">
        <v>2</v>
      </c>
      <c r="R804" s="1">
        <v>42731</v>
      </c>
      <c r="S804" t="s">
        <v>37</v>
      </c>
      <c r="T804" t="str">
        <f t="shared" si="60"/>
        <v>Grade A</v>
      </c>
      <c r="U804">
        <f t="shared" si="61"/>
        <v>2</v>
      </c>
      <c r="V804" t="str">
        <f t="shared" si="62"/>
        <v>Mid Level</v>
      </c>
      <c r="W804" t="str">
        <f t="shared" si="63"/>
        <v>Already Left</v>
      </c>
      <c r="X804" t="str">
        <f t="shared" si="64"/>
        <v>Fair</v>
      </c>
    </row>
    <row r="805" spans="1:24" x14ac:dyDescent="0.3">
      <c r="A805" t="s">
        <v>873</v>
      </c>
      <c r="B805" t="s">
        <v>39</v>
      </c>
      <c r="C805">
        <v>28</v>
      </c>
      <c r="D805" t="s">
        <v>21</v>
      </c>
      <c r="E805" t="s">
        <v>22</v>
      </c>
      <c r="F805" t="s">
        <v>78</v>
      </c>
      <c r="G805" t="s">
        <v>63</v>
      </c>
      <c r="H805" t="s">
        <v>34</v>
      </c>
      <c r="I805" t="s">
        <v>26</v>
      </c>
      <c r="J805" t="s">
        <v>27</v>
      </c>
      <c r="K805">
        <v>10</v>
      </c>
      <c r="L805">
        <v>56379</v>
      </c>
      <c r="M805" t="s">
        <v>36</v>
      </c>
      <c r="N805">
        <v>3</v>
      </c>
      <c r="O805">
        <v>4</v>
      </c>
      <c r="P805">
        <v>60</v>
      </c>
      <c r="Q805">
        <v>0</v>
      </c>
      <c r="R805" s="1">
        <v>41340</v>
      </c>
      <c r="S805" t="s">
        <v>37</v>
      </c>
      <c r="T805" t="str">
        <f t="shared" si="60"/>
        <v>Grade B</v>
      </c>
      <c r="U805">
        <f t="shared" si="61"/>
        <v>1</v>
      </c>
      <c r="V805" t="str">
        <f t="shared" si="62"/>
        <v>Mid Level</v>
      </c>
      <c r="W805" t="str">
        <f t="shared" si="63"/>
        <v>Already Left</v>
      </c>
      <c r="X805" t="str">
        <f t="shared" si="64"/>
        <v>Fair</v>
      </c>
    </row>
    <row r="806" spans="1:24" x14ac:dyDescent="0.3">
      <c r="A806" t="s">
        <v>874</v>
      </c>
      <c r="B806" t="s">
        <v>39</v>
      </c>
      <c r="C806">
        <v>23</v>
      </c>
      <c r="D806" t="s">
        <v>31</v>
      </c>
      <c r="E806" t="s">
        <v>22</v>
      </c>
      <c r="F806" t="s">
        <v>78</v>
      </c>
      <c r="G806" t="s">
        <v>63</v>
      </c>
      <c r="H806" t="s">
        <v>76</v>
      </c>
      <c r="I806" t="s">
        <v>72</v>
      </c>
      <c r="J806" t="s">
        <v>73</v>
      </c>
      <c r="K806">
        <v>7</v>
      </c>
      <c r="L806">
        <v>49840</v>
      </c>
      <c r="M806" t="s">
        <v>51</v>
      </c>
      <c r="N806">
        <v>3</v>
      </c>
      <c r="O806">
        <v>4</v>
      </c>
      <c r="P806">
        <v>13</v>
      </c>
      <c r="Q806">
        <v>3</v>
      </c>
      <c r="R806" s="1">
        <v>42447</v>
      </c>
      <c r="S806" t="s">
        <v>29</v>
      </c>
      <c r="T806" t="str">
        <f t="shared" si="60"/>
        <v>Grade C</v>
      </c>
      <c r="U806">
        <f t="shared" si="61"/>
        <v>4</v>
      </c>
      <c r="V806" t="str">
        <f t="shared" si="62"/>
        <v>Mid Level</v>
      </c>
      <c r="W806" t="str">
        <f t="shared" si="63"/>
        <v>Low Risk</v>
      </c>
      <c r="X806" t="str">
        <f t="shared" si="64"/>
        <v>Fair</v>
      </c>
    </row>
    <row r="807" spans="1:24" x14ac:dyDescent="0.3">
      <c r="A807" t="s">
        <v>875</v>
      </c>
      <c r="B807" t="s">
        <v>20</v>
      </c>
      <c r="C807">
        <v>38</v>
      </c>
      <c r="D807" t="s">
        <v>47</v>
      </c>
      <c r="E807" t="s">
        <v>22</v>
      </c>
      <c r="F807" t="s">
        <v>65</v>
      </c>
      <c r="G807" t="s">
        <v>42</v>
      </c>
      <c r="H807" t="s">
        <v>25</v>
      </c>
      <c r="I807" t="s">
        <v>80</v>
      </c>
      <c r="J807" t="s">
        <v>60</v>
      </c>
      <c r="K807">
        <v>4</v>
      </c>
      <c r="L807">
        <v>107614</v>
      </c>
      <c r="M807" t="s">
        <v>45</v>
      </c>
      <c r="N807">
        <v>3</v>
      </c>
      <c r="O807">
        <v>4</v>
      </c>
      <c r="P807">
        <v>54</v>
      </c>
      <c r="Q807">
        <v>1</v>
      </c>
      <c r="R807" s="1">
        <v>43666</v>
      </c>
      <c r="S807" t="s">
        <v>37</v>
      </c>
      <c r="T807" t="str">
        <f t="shared" si="60"/>
        <v>Grade A</v>
      </c>
      <c r="U807">
        <f t="shared" si="61"/>
        <v>2</v>
      </c>
      <c r="V807" t="str">
        <f t="shared" si="62"/>
        <v>Junior</v>
      </c>
      <c r="W807" t="str">
        <f t="shared" si="63"/>
        <v>Already Left</v>
      </c>
      <c r="X807" t="str">
        <f t="shared" si="64"/>
        <v>Fair</v>
      </c>
    </row>
    <row r="808" spans="1:24" x14ac:dyDescent="0.3">
      <c r="A808" t="s">
        <v>876</v>
      </c>
      <c r="B808" t="s">
        <v>39</v>
      </c>
      <c r="C808">
        <v>47</v>
      </c>
      <c r="D808" t="s">
        <v>31</v>
      </c>
      <c r="E808" t="s">
        <v>40</v>
      </c>
      <c r="F808" t="s">
        <v>41</v>
      </c>
      <c r="G808" t="s">
        <v>49</v>
      </c>
      <c r="H808" t="s">
        <v>25</v>
      </c>
      <c r="I808" t="s">
        <v>96</v>
      </c>
      <c r="J808" t="s">
        <v>44</v>
      </c>
      <c r="K808">
        <v>10</v>
      </c>
      <c r="L808">
        <v>70372</v>
      </c>
      <c r="M808" t="s">
        <v>45</v>
      </c>
      <c r="N808">
        <v>4</v>
      </c>
      <c r="O808">
        <v>2</v>
      </c>
      <c r="P808">
        <v>58</v>
      </c>
      <c r="Q808">
        <v>1</v>
      </c>
      <c r="R808" s="1">
        <v>41591</v>
      </c>
      <c r="S808" t="s">
        <v>29</v>
      </c>
      <c r="T808" t="str">
        <f t="shared" si="60"/>
        <v>Grade B</v>
      </c>
      <c r="U808">
        <f t="shared" si="61"/>
        <v>2</v>
      </c>
      <c r="V808" t="str">
        <f t="shared" si="62"/>
        <v>Mid Level</v>
      </c>
      <c r="W808" t="str">
        <f t="shared" si="63"/>
        <v>Medium Risk</v>
      </c>
      <c r="X808" t="str">
        <f t="shared" si="64"/>
        <v>Fair</v>
      </c>
    </row>
    <row r="809" spans="1:24" x14ac:dyDescent="0.3">
      <c r="A809" t="s">
        <v>877</v>
      </c>
      <c r="B809" t="s">
        <v>20</v>
      </c>
      <c r="C809">
        <v>23</v>
      </c>
      <c r="D809" t="s">
        <v>21</v>
      </c>
      <c r="E809" t="s">
        <v>22</v>
      </c>
      <c r="F809" t="s">
        <v>78</v>
      </c>
      <c r="G809" t="s">
        <v>33</v>
      </c>
      <c r="H809" t="s">
        <v>25</v>
      </c>
      <c r="I809" t="s">
        <v>80</v>
      </c>
      <c r="J809" t="s">
        <v>60</v>
      </c>
      <c r="K809">
        <v>13</v>
      </c>
      <c r="L809">
        <v>87844</v>
      </c>
      <c r="M809" t="s">
        <v>45</v>
      </c>
      <c r="N809">
        <v>3</v>
      </c>
      <c r="O809">
        <v>3</v>
      </c>
      <c r="P809">
        <v>78</v>
      </c>
      <c r="Q809">
        <v>1</v>
      </c>
      <c r="R809" s="1">
        <v>40461</v>
      </c>
      <c r="S809" t="s">
        <v>29</v>
      </c>
      <c r="T809" t="str">
        <f t="shared" si="60"/>
        <v>Grade A</v>
      </c>
      <c r="U809">
        <f t="shared" si="61"/>
        <v>2</v>
      </c>
      <c r="V809" t="str">
        <f t="shared" si="62"/>
        <v>Senior</v>
      </c>
      <c r="W809" t="str">
        <f t="shared" si="63"/>
        <v>Medium Risk</v>
      </c>
      <c r="X809" t="str">
        <f t="shared" si="64"/>
        <v>Fair</v>
      </c>
    </row>
    <row r="810" spans="1:24" x14ac:dyDescent="0.3">
      <c r="A810" t="s">
        <v>878</v>
      </c>
      <c r="B810" t="s">
        <v>20</v>
      </c>
      <c r="C810">
        <v>47</v>
      </c>
      <c r="D810" t="s">
        <v>47</v>
      </c>
      <c r="E810" t="s">
        <v>48</v>
      </c>
      <c r="F810" t="s">
        <v>41</v>
      </c>
      <c r="G810" t="s">
        <v>63</v>
      </c>
      <c r="H810" t="s">
        <v>67</v>
      </c>
      <c r="I810" t="s">
        <v>43</v>
      </c>
      <c r="J810" t="s">
        <v>44</v>
      </c>
      <c r="K810">
        <v>2</v>
      </c>
      <c r="L810">
        <v>47630</v>
      </c>
      <c r="M810" t="s">
        <v>51</v>
      </c>
      <c r="N810">
        <v>1</v>
      </c>
      <c r="O810">
        <v>3</v>
      </c>
      <c r="P810">
        <v>20</v>
      </c>
      <c r="Q810">
        <v>2</v>
      </c>
      <c r="R810" s="1">
        <v>44388</v>
      </c>
      <c r="S810" t="s">
        <v>29</v>
      </c>
      <c r="T810" t="str">
        <f t="shared" si="60"/>
        <v>Grade C</v>
      </c>
      <c r="U810">
        <f t="shared" si="61"/>
        <v>4</v>
      </c>
      <c r="V810" t="str">
        <f t="shared" si="62"/>
        <v>New Joiner</v>
      </c>
      <c r="W810" t="str">
        <f t="shared" si="63"/>
        <v>Low Risk</v>
      </c>
      <c r="X810" t="str">
        <f t="shared" si="64"/>
        <v>Fair</v>
      </c>
    </row>
    <row r="811" spans="1:24" x14ac:dyDescent="0.3">
      <c r="A811" t="s">
        <v>879</v>
      </c>
      <c r="B811" t="s">
        <v>39</v>
      </c>
      <c r="C811">
        <v>36</v>
      </c>
      <c r="D811" t="s">
        <v>47</v>
      </c>
      <c r="E811" t="s">
        <v>22</v>
      </c>
      <c r="F811" t="s">
        <v>78</v>
      </c>
      <c r="G811" t="s">
        <v>24</v>
      </c>
      <c r="H811" t="s">
        <v>83</v>
      </c>
      <c r="I811" t="s">
        <v>59</v>
      </c>
      <c r="J811" t="s">
        <v>60</v>
      </c>
      <c r="K811">
        <v>9</v>
      </c>
      <c r="L811">
        <v>91971</v>
      </c>
      <c r="M811" t="s">
        <v>28</v>
      </c>
      <c r="N811">
        <v>4</v>
      </c>
      <c r="O811">
        <v>2</v>
      </c>
      <c r="P811">
        <v>28</v>
      </c>
      <c r="Q811">
        <v>0</v>
      </c>
      <c r="R811" s="1">
        <v>41754</v>
      </c>
      <c r="S811" t="s">
        <v>37</v>
      </c>
      <c r="T811" t="str">
        <f t="shared" si="60"/>
        <v>Grade A</v>
      </c>
      <c r="U811">
        <f t="shared" si="61"/>
        <v>3</v>
      </c>
      <c r="V811" t="str">
        <f t="shared" si="62"/>
        <v>Mid Level</v>
      </c>
      <c r="W811" t="str">
        <f t="shared" si="63"/>
        <v>Already Left</v>
      </c>
      <c r="X811" t="str">
        <f t="shared" si="64"/>
        <v>Competitive</v>
      </c>
    </row>
    <row r="812" spans="1:24" x14ac:dyDescent="0.3">
      <c r="A812" t="s">
        <v>880</v>
      </c>
      <c r="B812" t="s">
        <v>39</v>
      </c>
      <c r="C812">
        <v>48</v>
      </c>
      <c r="D812" t="s">
        <v>47</v>
      </c>
      <c r="E812" t="s">
        <v>40</v>
      </c>
      <c r="F812" t="s">
        <v>32</v>
      </c>
      <c r="G812" t="s">
        <v>33</v>
      </c>
      <c r="H812" t="s">
        <v>83</v>
      </c>
      <c r="I812" t="s">
        <v>80</v>
      </c>
      <c r="J812" t="s">
        <v>60</v>
      </c>
      <c r="K812">
        <v>14</v>
      </c>
      <c r="L812">
        <v>91583</v>
      </c>
      <c r="M812" t="s">
        <v>36</v>
      </c>
      <c r="N812">
        <v>4</v>
      </c>
      <c r="O812">
        <v>4</v>
      </c>
      <c r="P812">
        <v>43</v>
      </c>
      <c r="Q812">
        <v>2</v>
      </c>
      <c r="R812" s="1">
        <v>39892</v>
      </c>
      <c r="S812" t="s">
        <v>29</v>
      </c>
      <c r="T812" t="str">
        <f t="shared" si="60"/>
        <v>Grade A</v>
      </c>
      <c r="U812">
        <f t="shared" si="61"/>
        <v>1</v>
      </c>
      <c r="V812" t="str">
        <f t="shared" si="62"/>
        <v>Senior</v>
      </c>
      <c r="W812" t="str">
        <f t="shared" si="63"/>
        <v>Medium Risk</v>
      </c>
      <c r="X812" t="str">
        <f t="shared" si="64"/>
        <v>Overpaid</v>
      </c>
    </row>
    <row r="813" spans="1:24" x14ac:dyDescent="0.3">
      <c r="A813" t="s">
        <v>881</v>
      </c>
      <c r="B813" t="s">
        <v>39</v>
      </c>
      <c r="C813">
        <v>30</v>
      </c>
      <c r="D813" t="s">
        <v>31</v>
      </c>
      <c r="E813" t="s">
        <v>40</v>
      </c>
      <c r="F813" t="s">
        <v>75</v>
      </c>
      <c r="G813" t="s">
        <v>49</v>
      </c>
      <c r="H813" t="s">
        <v>25</v>
      </c>
      <c r="I813" t="s">
        <v>80</v>
      </c>
      <c r="J813" t="s">
        <v>60</v>
      </c>
      <c r="K813">
        <v>15</v>
      </c>
      <c r="L813">
        <v>80490</v>
      </c>
      <c r="M813" t="s">
        <v>45</v>
      </c>
      <c r="N813">
        <v>2</v>
      </c>
      <c r="O813">
        <v>2</v>
      </c>
      <c r="P813">
        <v>22</v>
      </c>
      <c r="Q813">
        <v>3</v>
      </c>
      <c r="R813" s="1">
        <v>39635</v>
      </c>
      <c r="S813" t="s">
        <v>29</v>
      </c>
      <c r="T813" t="str">
        <f t="shared" si="60"/>
        <v>Grade A</v>
      </c>
      <c r="U813">
        <f t="shared" si="61"/>
        <v>2</v>
      </c>
      <c r="V813" t="str">
        <f t="shared" si="62"/>
        <v>Senior</v>
      </c>
      <c r="W813" t="str">
        <f t="shared" si="63"/>
        <v>Medium Risk</v>
      </c>
      <c r="X813" t="str">
        <f t="shared" si="64"/>
        <v>Fair</v>
      </c>
    </row>
    <row r="814" spans="1:24" x14ac:dyDescent="0.3">
      <c r="A814" t="s">
        <v>882</v>
      </c>
      <c r="B814" t="s">
        <v>20</v>
      </c>
      <c r="C814">
        <v>25</v>
      </c>
      <c r="D814" t="s">
        <v>57</v>
      </c>
      <c r="E814" t="s">
        <v>40</v>
      </c>
      <c r="F814" t="s">
        <v>65</v>
      </c>
      <c r="G814" t="s">
        <v>66</v>
      </c>
      <c r="H814" t="s">
        <v>83</v>
      </c>
      <c r="I814" t="s">
        <v>35</v>
      </c>
      <c r="J814" t="s">
        <v>27</v>
      </c>
      <c r="K814">
        <v>12</v>
      </c>
      <c r="L814">
        <v>67155</v>
      </c>
      <c r="M814" t="s">
        <v>28</v>
      </c>
      <c r="N814">
        <v>4</v>
      </c>
      <c r="O814">
        <v>4</v>
      </c>
      <c r="P814">
        <v>65</v>
      </c>
      <c r="Q814">
        <v>0</v>
      </c>
      <c r="R814" s="1">
        <v>40674</v>
      </c>
      <c r="S814" t="s">
        <v>29</v>
      </c>
      <c r="T814" t="str">
        <f t="shared" si="60"/>
        <v>Grade B</v>
      </c>
      <c r="U814">
        <f t="shared" si="61"/>
        <v>3</v>
      </c>
      <c r="V814" t="str">
        <f t="shared" si="62"/>
        <v>Senior</v>
      </c>
      <c r="W814" t="str">
        <f t="shared" si="63"/>
        <v>Medium Risk</v>
      </c>
      <c r="X814" t="str">
        <f t="shared" si="64"/>
        <v>Competitive</v>
      </c>
    </row>
    <row r="815" spans="1:24" x14ac:dyDescent="0.3">
      <c r="A815" t="s">
        <v>883</v>
      </c>
      <c r="B815" t="s">
        <v>39</v>
      </c>
      <c r="C815">
        <v>44</v>
      </c>
      <c r="D815" t="s">
        <v>21</v>
      </c>
      <c r="E815" t="s">
        <v>40</v>
      </c>
      <c r="F815" t="s">
        <v>23</v>
      </c>
      <c r="G815" t="s">
        <v>58</v>
      </c>
      <c r="H815" t="s">
        <v>34</v>
      </c>
      <c r="I815" t="s">
        <v>68</v>
      </c>
      <c r="J815" t="s">
        <v>60</v>
      </c>
      <c r="K815">
        <v>9</v>
      </c>
      <c r="L815">
        <v>104390</v>
      </c>
      <c r="M815" t="s">
        <v>36</v>
      </c>
      <c r="N815">
        <v>3</v>
      </c>
      <c r="O815">
        <v>3</v>
      </c>
      <c r="P815">
        <v>13</v>
      </c>
      <c r="Q815">
        <v>3</v>
      </c>
      <c r="R815" s="1">
        <v>41932</v>
      </c>
      <c r="S815" t="s">
        <v>29</v>
      </c>
      <c r="T815" t="str">
        <f t="shared" si="60"/>
        <v>Grade A</v>
      </c>
      <c r="U815">
        <f t="shared" si="61"/>
        <v>1</v>
      </c>
      <c r="V815" t="str">
        <f t="shared" si="62"/>
        <v>Mid Level</v>
      </c>
      <c r="W815" t="str">
        <f t="shared" si="63"/>
        <v>Medium Risk</v>
      </c>
      <c r="X815" t="str">
        <f t="shared" si="64"/>
        <v>Overpaid</v>
      </c>
    </row>
    <row r="816" spans="1:24" x14ac:dyDescent="0.3">
      <c r="A816" t="s">
        <v>884</v>
      </c>
      <c r="B816" t="s">
        <v>20</v>
      </c>
      <c r="C816">
        <v>43</v>
      </c>
      <c r="D816" t="s">
        <v>47</v>
      </c>
      <c r="E816" t="s">
        <v>40</v>
      </c>
      <c r="F816" t="s">
        <v>53</v>
      </c>
      <c r="G816" t="s">
        <v>33</v>
      </c>
      <c r="H816" t="s">
        <v>76</v>
      </c>
      <c r="I816" t="s">
        <v>43</v>
      </c>
      <c r="J816" t="s">
        <v>44</v>
      </c>
      <c r="K816">
        <v>11</v>
      </c>
      <c r="L816">
        <v>82152</v>
      </c>
      <c r="M816" t="s">
        <v>28</v>
      </c>
      <c r="N816">
        <v>4</v>
      </c>
      <c r="O816">
        <v>2</v>
      </c>
      <c r="P816">
        <v>79</v>
      </c>
      <c r="Q816">
        <v>2</v>
      </c>
      <c r="R816" s="1">
        <v>40921</v>
      </c>
      <c r="S816" t="s">
        <v>29</v>
      </c>
      <c r="T816" t="str">
        <f t="shared" si="60"/>
        <v>Grade A</v>
      </c>
      <c r="U816">
        <f t="shared" si="61"/>
        <v>3</v>
      </c>
      <c r="V816" t="str">
        <f t="shared" si="62"/>
        <v>Senior</v>
      </c>
      <c r="W816" t="str">
        <f t="shared" si="63"/>
        <v>Medium Risk</v>
      </c>
      <c r="X816" t="str">
        <f t="shared" si="64"/>
        <v>Competitive</v>
      </c>
    </row>
    <row r="817" spans="1:24" x14ac:dyDescent="0.3">
      <c r="A817" t="s">
        <v>885</v>
      </c>
      <c r="B817" t="s">
        <v>39</v>
      </c>
      <c r="C817">
        <v>34</v>
      </c>
      <c r="D817" t="s">
        <v>47</v>
      </c>
      <c r="E817" t="s">
        <v>40</v>
      </c>
      <c r="F817" t="s">
        <v>23</v>
      </c>
      <c r="G817" t="s">
        <v>79</v>
      </c>
      <c r="H817" t="s">
        <v>25</v>
      </c>
      <c r="I817" t="s">
        <v>50</v>
      </c>
      <c r="J817" t="s">
        <v>44</v>
      </c>
      <c r="K817">
        <v>13</v>
      </c>
      <c r="L817">
        <v>58084</v>
      </c>
      <c r="M817" t="s">
        <v>51</v>
      </c>
      <c r="N817">
        <v>2</v>
      </c>
      <c r="O817">
        <v>2</v>
      </c>
      <c r="P817">
        <v>13</v>
      </c>
      <c r="Q817">
        <v>3</v>
      </c>
      <c r="R817" s="1">
        <v>40336</v>
      </c>
      <c r="S817" t="s">
        <v>29</v>
      </c>
      <c r="T817" t="str">
        <f t="shared" si="60"/>
        <v>Grade B</v>
      </c>
      <c r="U817">
        <f t="shared" si="61"/>
        <v>4</v>
      </c>
      <c r="V817" t="str">
        <f t="shared" si="62"/>
        <v>Senior</v>
      </c>
      <c r="W817" t="str">
        <f t="shared" si="63"/>
        <v>Low Risk</v>
      </c>
      <c r="X817" t="str">
        <f t="shared" si="64"/>
        <v>Fair</v>
      </c>
    </row>
    <row r="818" spans="1:24" x14ac:dyDescent="0.3">
      <c r="A818" t="s">
        <v>886</v>
      </c>
      <c r="B818" t="s">
        <v>20</v>
      </c>
      <c r="C818">
        <v>30</v>
      </c>
      <c r="D818" t="s">
        <v>31</v>
      </c>
      <c r="E818" t="s">
        <v>22</v>
      </c>
      <c r="F818" t="s">
        <v>65</v>
      </c>
      <c r="G818" t="s">
        <v>63</v>
      </c>
      <c r="H818" t="s">
        <v>83</v>
      </c>
      <c r="I818" t="s">
        <v>26</v>
      </c>
      <c r="J818" t="s">
        <v>27</v>
      </c>
      <c r="K818">
        <v>7</v>
      </c>
      <c r="L818">
        <v>62355</v>
      </c>
      <c r="M818" t="s">
        <v>51</v>
      </c>
      <c r="N818">
        <v>1</v>
      </c>
      <c r="O818">
        <v>3</v>
      </c>
      <c r="P818">
        <v>55</v>
      </c>
      <c r="Q818">
        <v>1</v>
      </c>
      <c r="R818" s="1">
        <v>42381</v>
      </c>
      <c r="S818" t="s">
        <v>29</v>
      </c>
      <c r="T818" t="str">
        <f t="shared" si="60"/>
        <v>Grade B</v>
      </c>
      <c r="U818">
        <f t="shared" si="61"/>
        <v>4</v>
      </c>
      <c r="V818" t="str">
        <f t="shared" si="62"/>
        <v>Mid Level</v>
      </c>
      <c r="W818" t="str">
        <f t="shared" si="63"/>
        <v>Low Risk</v>
      </c>
      <c r="X818" t="str">
        <f t="shared" si="64"/>
        <v>Fair</v>
      </c>
    </row>
    <row r="819" spans="1:24" x14ac:dyDescent="0.3">
      <c r="A819" t="s">
        <v>887</v>
      </c>
      <c r="B819" t="s">
        <v>20</v>
      </c>
      <c r="C819">
        <v>27</v>
      </c>
      <c r="D819" t="s">
        <v>31</v>
      </c>
      <c r="E819" t="s">
        <v>48</v>
      </c>
      <c r="F819" t="s">
        <v>62</v>
      </c>
      <c r="G819" t="s">
        <v>42</v>
      </c>
      <c r="H819" t="s">
        <v>76</v>
      </c>
      <c r="I819" t="s">
        <v>43</v>
      </c>
      <c r="J819" t="s">
        <v>44</v>
      </c>
      <c r="K819">
        <v>3</v>
      </c>
      <c r="L819">
        <v>104153</v>
      </c>
      <c r="M819" t="s">
        <v>51</v>
      </c>
      <c r="N819">
        <v>1</v>
      </c>
      <c r="O819">
        <v>3</v>
      </c>
      <c r="P819">
        <v>12</v>
      </c>
      <c r="Q819">
        <v>0</v>
      </c>
      <c r="R819" s="1">
        <v>44081</v>
      </c>
      <c r="S819" t="s">
        <v>29</v>
      </c>
      <c r="T819" t="str">
        <f t="shared" si="60"/>
        <v>Grade A</v>
      </c>
      <c r="U819">
        <f t="shared" si="61"/>
        <v>4</v>
      </c>
      <c r="V819" t="str">
        <f t="shared" si="62"/>
        <v>Junior</v>
      </c>
      <c r="W819" t="str">
        <f t="shared" si="63"/>
        <v>Low Risk</v>
      </c>
      <c r="X819" t="str">
        <f t="shared" si="64"/>
        <v>Competitive</v>
      </c>
    </row>
    <row r="820" spans="1:24" x14ac:dyDescent="0.3">
      <c r="A820" t="s">
        <v>888</v>
      </c>
      <c r="B820" t="s">
        <v>20</v>
      </c>
      <c r="C820">
        <v>46</v>
      </c>
      <c r="D820" t="s">
        <v>31</v>
      </c>
      <c r="E820" t="s">
        <v>22</v>
      </c>
      <c r="F820" t="s">
        <v>23</v>
      </c>
      <c r="G820" t="s">
        <v>58</v>
      </c>
      <c r="H820" t="s">
        <v>25</v>
      </c>
      <c r="I820" t="s">
        <v>35</v>
      </c>
      <c r="J820" t="s">
        <v>27</v>
      </c>
      <c r="K820">
        <v>3</v>
      </c>
      <c r="L820">
        <v>98338</v>
      </c>
      <c r="M820" t="s">
        <v>51</v>
      </c>
      <c r="N820">
        <v>3</v>
      </c>
      <c r="O820">
        <v>1</v>
      </c>
      <c r="P820">
        <v>32</v>
      </c>
      <c r="Q820">
        <v>1</v>
      </c>
      <c r="R820" s="1">
        <v>44195</v>
      </c>
      <c r="S820" t="s">
        <v>37</v>
      </c>
      <c r="T820" t="str">
        <f t="shared" si="60"/>
        <v>Grade A</v>
      </c>
      <c r="U820">
        <f t="shared" si="61"/>
        <v>4</v>
      </c>
      <c r="V820" t="str">
        <f t="shared" si="62"/>
        <v>Junior</v>
      </c>
      <c r="W820" t="str">
        <f t="shared" si="63"/>
        <v>Already Left</v>
      </c>
      <c r="X820" t="str">
        <f t="shared" si="64"/>
        <v>Competitive</v>
      </c>
    </row>
    <row r="821" spans="1:24" x14ac:dyDescent="0.3">
      <c r="A821" t="s">
        <v>889</v>
      </c>
      <c r="B821" t="s">
        <v>39</v>
      </c>
      <c r="C821">
        <v>50</v>
      </c>
      <c r="D821" t="s">
        <v>47</v>
      </c>
      <c r="E821" t="s">
        <v>40</v>
      </c>
      <c r="F821" t="s">
        <v>78</v>
      </c>
      <c r="G821" t="s">
        <v>79</v>
      </c>
      <c r="H821" t="s">
        <v>67</v>
      </c>
      <c r="I821" t="s">
        <v>54</v>
      </c>
      <c r="J821" t="s">
        <v>27</v>
      </c>
      <c r="K821">
        <v>6</v>
      </c>
      <c r="L821">
        <v>47068</v>
      </c>
      <c r="M821" t="s">
        <v>28</v>
      </c>
      <c r="N821">
        <v>2</v>
      </c>
      <c r="O821">
        <v>4</v>
      </c>
      <c r="P821">
        <v>13</v>
      </c>
      <c r="Q821">
        <v>0</v>
      </c>
      <c r="R821" s="1">
        <v>42911</v>
      </c>
      <c r="S821" t="s">
        <v>29</v>
      </c>
      <c r="T821" t="str">
        <f t="shared" si="60"/>
        <v>Grade C</v>
      </c>
      <c r="U821">
        <f t="shared" si="61"/>
        <v>3</v>
      </c>
      <c r="V821" t="str">
        <f t="shared" si="62"/>
        <v>Mid Level</v>
      </c>
      <c r="W821" t="str">
        <f t="shared" si="63"/>
        <v>Medium Risk</v>
      </c>
      <c r="X821" t="str">
        <f t="shared" si="64"/>
        <v>Fair</v>
      </c>
    </row>
    <row r="822" spans="1:24" x14ac:dyDescent="0.3">
      <c r="A822" t="s">
        <v>890</v>
      </c>
      <c r="B822" t="s">
        <v>39</v>
      </c>
      <c r="C822">
        <v>28</v>
      </c>
      <c r="D822" t="s">
        <v>57</v>
      </c>
      <c r="E822" t="s">
        <v>22</v>
      </c>
      <c r="F822" t="s">
        <v>41</v>
      </c>
      <c r="G822" t="s">
        <v>66</v>
      </c>
      <c r="H822" t="s">
        <v>25</v>
      </c>
      <c r="I822" t="s">
        <v>35</v>
      </c>
      <c r="J822" t="s">
        <v>27</v>
      </c>
      <c r="K822">
        <v>2</v>
      </c>
      <c r="L822">
        <v>34911</v>
      </c>
      <c r="M822" t="s">
        <v>45</v>
      </c>
      <c r="N822">
        <v>2</v>
      </c>
      <c r="O822">
        <v>3</v>
      </c>
      <c r="P822">
        <v>68</v>
      </c>
      <c r="Q822">
        <v>3</v>
      </c>
      <c r="R822" s="1">
        <v>44297</v>
      </c>
      <c r="S822" t="s">
        <v>29</v>
      </c>
      <c r="T822" t="str">
        <f t="shared" si="60"/>
        <v>Grade D</v>
      </c>
      <c r="U822">
        <f t="shared" si="61"/>
        <v>2</v>
      </c>
      <c r="V822" t="str">
        <f t="shared" si="62"/>
        <v>New Joiner</v>
      </c>
      <c r="W822" t="str">
        <f t="shared" si="63"/>
        <v>Medium Risk</v>
      </c>
      <c r="X822" t="str">
        <f t="shared" si="64"/>
        <v>Fair</v>
      </c>
    </row>
    <row r="823" spans="1:24" x14ac:dyDescent="0.3">
      <c r="A823" t="s">
        <v>891</v>
      </c>
      <c r="B823" t="s">
        <v>20</v>
      </c>
      <c r="C823">
        <v>34</v>
      </c>
      <c r="D823" t="s">
        <v>57</v>
      </c>
      <c r="E823" t="s">
        <v>22</v>
      </c>
      <c r="F823" t="s">
        <v>41</v>
      </c>
      <c r="G823" t="s">
        <v>49</v>
      </c>
      <c r="H823" t="s">
        <v>34</v>
      </c>
      <c r="I823" t="s">
        <v>96</v>
      </c>
      <c r="J823" t="s">
        <v>44</v>
      </c>
      <c r="K823">
        <v>6</v>
      </c>
      <c r="L823">
        <v>63983</v>
      </c>
      <c r="M823" t="s">
        <v>51</v>
      </c>
      <c r="N823">
        <v>3</v>
      </c>
      <c r="O823">
        <v>1</v>
      </c>
      <c r="P823">
        <v>71</v>
      </c>
      <c r="Q823">
        <v>0</v>
      </c>
      <c r="R823" s="1">
        <v>42980</v>
      </c>
      <c r="S823" t="s">
        <v>29</v>
      </c>
      <c r="T823" t="str">
        <f t="shared" si="60"/>
        <v>Grade B</v>
      </c>
      <c r="U823">
        <f t="shared" si="61"/>
        <v>4</v>
      </c>
      <c r="V823" t="str">
        <f t="shared" si="62"/>
        <v>Mid Level</v>
      </c>
      <c r="W823" t="str">
        <f t="shared" si="63"/>
        <v>Low Risk</v>
      </c>
      <c r="X823" t="str">
        <f t="shared" si="64"/>
        <v>Fair</v>
      </c>
    </row>
    <row r="824" spans="1:24" x14ac:dyDescent="0.3">
      <c r="A824" t="s">
        <v>892</v>
      </c>
      <c r="B824" t="s">
        <v>39</v>
      </c>
      <c r="C824">
        <v>40</v>
      </c>
      <c r="D824" t="s">
        <v>57</v>
      </c>
      <c r="E824" t="s">
        <v>48</v>
      </c>
      <c r="F824" t="s">
        <v>41</v>
      </c>
      <c r="G824" t="s">
        <v>49</v>
      </c>
      <c r="H824" t="s">
        <v>25</v>
      </c>
      <c r="I824" t="s">
        <v>35</v>
      </c>
      <c r="J824" t="s">
        <v>27</v>
      </c>
      <c r="K824">
        <v>13</v>
      </c>
      <c r="L824">
        <v>75258</v>
      </c>
      <c r="M824" t="s">
        <v>36</v>
      </c>
      <c r="N824">
        <v>4</v>
      </c>
      <c r="O824">
        <v>4</v>
      </c>
      <c r="P824">
        <v>20</v>
      </c>
      <c r="Q824">
        <v>3</v>
      </c>
      <c r="R824" s="1">
        <v>40318</v>
      </c>
      <c r="S824" t="s">
        <v>37</v>
      </c>
      <c r="T824" t="str">
        <f t="shared" si="60"/>
        <v>Grade B</v>
      </c>
      <c r="U824">
        <f t="shared" si="61"/>
        <v>1</v>
      </c>
      <c r="V824" t="str">
        <f t="shared" si="62"/>
        <v>Senior</v>
      </c>
      <c r="W824" t="str">
        <f t="shared" si="63"/>
        <v>Already Left</v>
      </c>
      <c r="X824" t="str">
        <f t="shared" si="64"/>
        <v>Fair</v>
      </c>
    </row>
    <row r="825" spans="1:24" x14ac:dyDescent="0.3">
      <c r="A825" t="s">
        <v>893</v>
      </c>
      <c r="B825" t="s">
        <v>20</v>
      </c>
      <c r="C825">
        <v>40</v>
      </c>
      <c r="D825" t="s">
        <v>21</v>
      </c>
      <c r="E825" t="s">
        <v>40</v>
      </c>
      <c r="F825" t="s">
        <v>78</v>
      </c>
      <c r="G825" t="s">
        <v>33</v>
      </c>
      <c r="H825" t="s">
        <v>83</v>
      </c>
      <c r="I825" t="s">
        <v>50</v>
      </c>
      <c r="J825" t="s">
        <v>44</v>
      </c>
      <c r="K825">
        <v>9</v>
      </c>
      <c r="L825">
        <v>87977</v>
      </c>
      <c r="M825" t="s">
        <v>45</v>
      </c>
      <c r="N825">
        <v>1</v>
      </c>
      <c r="O825">
        <v>2</v>
      </c>
      <c r="P825">
        <v>21</v>
      </c>
      <c r="Q825">
        <v>2</v>
      </c>
      <c r="R825" s="1">
        <v>41851</v>
      </c>
      <c r="S825" t="s">
        <v>29</v>
      </c>
      <c r="T825" t="str">
        <f t="shared" si="60"/>
        <v>Grade A</v>
      </c>
      <c r="U825">
        <f t="shared" si="61"/>
        <v>2</v>
      </c>
      <c r="V825" t="str">
        <f t="shared" si="62"/>
        <v>Mid Level</v>
      </c>
      <c r="W825" t="str">
        <f t="shared" si="63"/>
        <v>Medium Risk</v>
      </c>
      <c r="X825" t="str">
        <f t="shared" si="64"/>
        <v>Fair</v>
      </c>
    </row>
    <row r="826" spans="1:24" x14ac:dyDescent="0.3">
      <c r="A826" t="s">
        <v>894</v>
      </c>
      <c r="B826" t="s">
        <v>39</v>
      </c>
      <c r="C826">
        <v>44</v>
      </c>
      <c r="D826" t="s">
        <v>88</v>
      </c>
      <c r="E826" t="s">
        <v>22</v>
      </c>
      <c r="F826" t="s">
        <v>53</v>
      </c>
      <c r="G826" t="s">
        <v>58</v>
      </c>
      <c r="H826" t="s">
        <v>25</v>
      </c>
      <c r="I826" t="s">
        <v>54</v>
      </c>
      <c r="J826" t="s">
        <v>27</v>
      </c>
      <c r="K826">
        <v>9</v>
      </c>
      <c r="L826">
        <v>94546</v>
      </c>
      <c r="M826" t="s">
        <v>51</v>
      </c>
      <c r="N826">
        <v>4</v>
      </c>
      <c r="O826">
        <v>2</v>
      </c>
      <c r="P826">
        <v>75</v>
      </c>
      <c r="Q826">
        <v>2</v>
      </c>
      <c r="R826" s="1">
        <v>41810</v>
      </c>
      <c r="S826" t="s">
        <v>29</v>
      </c>
      <c r="T826" t="str">
        <f t="shared" si="60"/>
        <v>Grade A</v>
      </c>
      <c r="U826">
        <f t="shared" si="61"/>
        <v>4</v>
      </c>
      <c r="V826" t="str">
        <f t="shared" si="62"/>
        <v>Mid Level</v>
      </c>
      <c r="W826" t="str">
        <f t="shared" si="63"/>
        <v>Low Risk</v>
      </c>
      <c r="X826" t="str">
        <f t="shared" si="64"/>
        <v>Competitive</v>
      </c>
    </row>
    <row r="827" spans="1:24" x14ac:dyDescent="0.3">
      <c r="A827" t="s">
        <v>895</v>
      </c>
      <c r="B827" t="s">
        <v>20</v>
      </c>
      <c r="C827">
        <v>35</v>
      </c>
      <c r="D827" t="s">
        <v>88</v>
      </c>
      <c r="E827" t="s">
        <v>40</v>
      </c>
      <c r="F827" t="s">
        <v>32</v>
      </c>
      <c r="G827" t="s">
        <v>49</v>
      </c>
      <c r="H827" t="s">
        <v>83</v>
      </c>
      <c r="I827" t="s">
        <v>50</v>
      </c>
      <c r="J827" t="s">
        <v>44</v>
      </c>
      <c r="K827">
        <v>3</v>
      </c>
      <c r="L827">
        <v>56495</v>
      </c>
      <c r="M827" t="s">
        <v>36</v>
      </c>
      <c r="N827">
        <v>1</v>
      </c>
      <c r="O827">
        <v>1</v>
      </c>
      <c r="P827">
        <v>58</v>
      </c>
      <c r="Q827">
        <v>1</v>
      </c>
      <c r="R827" s="1">
        <v>44093</v>
      </c>
      <c r="S827" t="s">
        <v>29</v>
      </c>
      <c r="T827" t="str">
        <f t="shared" si="60"/>
        <v>Grade B</v>
      </c>
      <c r="U827">
        <f t="shared" si="61"/>
        <v>1</v>
      </c>
      <c r="V827" t="str">
        <f t="shared" si="62"/>
        <v>Junior</v>
      </c>
      <c r="W827" t="str">
        <f t="shared" si="63"/>
        <v>Medium Risk</v>
      </c>
      <c r="X827" t="str">
        <f t="shared" si="64"/>
        <v>Fair</v>
      </c>
    </row>
    <row r="828" spans="1:24" x14ac:dyDescent="0.3">
      <c r="A828" t="s">
        <v>896</v>
      </c>
      <c r="B828" t="s">
        <v>20</v>
      </c>
      <c r="C828">
        <v>47</v>
      </c>
      <c r="D828" t="s">
        <v>21</v>
      </c>
      <c r="E828" t="s">
        <v>22</v>
      </c>
      <c r="F828" t="s">
        <v>62</v>
      </c>
      <c r="G828" t="s">
        <v>66</v>
      </c>
      <c r="H828" t="s">
        <v>83</v>
      </c>
      <c r="I828" t="s">
        <v>26</v>
      </c>
      <c r="J828" t="s">
        <v>27</v>
      </c>
      <c r="K828">
        <v>11</v>
      </c>
      <c r="L828">
        <v>52801</v>
      </c>
      <c r="M828" t="s">
        <v>28</v>
      </c>
      <c r="N828">
        <v>2</v>
      </c>
      <c r="O828">
        <v>2</v>
      </c>
      <c r="P828">
        <v>43</v>
      </c>
      <c r="Q828">
        <v>3</v>
      </c>
      <c r="R828" s="1">
        <v>41161</v>
      </c>
      <c r="S828" t="s">
        <v>29</v>
      </c>
      <c r="T828" t="str">
        <f t="shared" si="60"/>
        <v>Grade B</v>
      </c>
      <c r="U828">
        <f t="shared" si="61"/>
        <v>3</v>
      </c>
      <c r="V828" t="str">
        <f t="shared" si="62"/>
        <v>Senior</v>
      </c>
      <c r="W828" t="str">
        <f t="shared" si="63"/>
        <v>Medium Risk</v>
      </c>
      <c r="X828" t="str">
        <f t="shared" si="64"/>
        <v>Competitive</v>
      </c>
    </row>
    <row r="829" spans="1:24" x14ac:dyDescent="0.3">
      <c r="A829" t="s">
        <v>897</v>
      </c>
      <c r="B829" t="s">
        <v>20</v>
      </c>
      <c r="C829">
        <v>34</v>
      </c>
      <c r="D829" t="s">
        <v>57</v>
      </c>
      <c r="E829" t="s">
        <v>48</v>
      </c>
      <c r="F829" t="s">
        <v>62</v>
      </c>
      <c r="G829" t="s">
        <v>58</v>
      </c>
      <c r="H829" t="s">
        <v>67</v>
      </c>
      <c r="I829" t="s">
        <v>54</v>
      </c>
      <c r="J829" t="s">
        <v>27</v>
      </c>
      <c r="K829">
        <v>7</v>
      </c>
      <c r="L829">
        <v>102627</v>
      </c>
      <c r="M829" t="s">
        <v>45</v>
      </c>
      <c r="N829">
        <v>1</v>
      </c>
      <c r="O829">
        <v>4</v>
      </c>
      <c r="P829">
        <v>15</v>
      </c>
      <c r="Q829">
        <v>3</v>
      </c>
      <c r="R829" s="1">
        <v>42544</v>
      </c>
      <c r="S829" t="s">
        <v>29</v>
      </c>
      <c r="T829" t="str">
        <f t="shared" si="60"/>
        <v>Grade A</v>
      </c>
      <c r="U829">
        <f t="shared" si="61"/>
        <v>2</v>
      </c>
      <c r="V829" t="str">
        <f t="shared" si="62"/>
        <v>Mid Level</v>
      </c>
      <c r="W829" t="str">
        <f t="shared" si="63"/>
        <v>Medium Risk</v>
      </c>
      <c r="X829" t="str">
        <f t="shared" si="64"/>
        <v>Fair</v>
      </c>
    </row>
    <row r="830" spans="1:24" x14ac:dyDescent="0.3">
      <c r="A830" t="s">
        <v>898</v>
      </c>
      <c r="B830" t="s">
        <v>20</v>
      </c>
      <c r="C830">
        <v>32</v>
      </c>
      <c r="D830" t="s">
        <v>31</v>
      </c>
      <c r="E830" t="s">
        <v>40</v>
      </c>
      <c r="F830" t="s">
        <v>32</v>
      </c>
      <c r="G830" t="s">
        <v>24</v>
      </c>
      <c r="H830" t="s">
        <v>83</v>
      </c>
      <c r="I830" t="s">
        <v>68</v>
      </c>
      <c r="J830" t="s">
        <v>60</v>
      </c>
      <c r="K830">
        <v>2</v>
      </c>
      <c r="L830">
        <v>85008</v>
      </c>
      <c r="M830" t="s">
        <v>51</v>
      </c>
      <c r="N830">
        <v>4</v>
      </c>
      <c r="O830">
        <v>3</v>
      </c>
      <c r="P830">
        <v>78</v>
      </c>
      <c r="Q830">
        <v>2</v>
      </c>
      <c r="R830" s="1">
        <v>44469</v>
      </c>
      <c r="S830" t="s">
        <v>37</v>
      </c>
      <c r="T830" t="str">
        <f t="shared" si="60"/>
        <v>Grade A</v>
      </c>
      <c r="U830">
        <f t="shared" si="61"/>
        <v>4</v>
      </c>
      <c r="V830" t="str">
        <f t="shared" si="62"/>
        <v>New Joiner</v>
      </c>
      <c r="W830" t="str">
        <f t="shared" si="63"/>
        <v>Already Left</v>
      </c>
      <c r="X830" t="str">
        <f t="shared" si="64"/>
        <v>Competitive</v>
      </c>
    </row>
    <row r="831" spans="1:24" x14ac:dyDescent="0.3">
      <c r="A831" t="s">
        <v>899</v>
      </c>
      <c r="B831" t="s">
        <v>39</v>
      </c>
      <c r="C831">
        <v>30</v>
      </c>
      <c r="D831" t="s">
        <v>88</v>
      </c>
      <c r="E831" t="s">
        <v>22</v>
      </c>
      <c r="F831" t="s">
        <v>62</v>
      </c>
      <c r="G831" t="s">
        <v>49</v>
      </c>
      <c r="H831" t="s">
        <v>83</v>
      </c>
      <c r="I831" t="s">
        <v>80</v>
      </c>
      <c r="J831" t="s">
        <v>60</v>
      </c>
      <c r="K831">
        <v>7</v>
      </c>
      <c r="L831">
        <v>56834</v>
      </c>
      <c r="M831" t="s">
        <v>51</v>
      </c>
      <c r="N831">
        <v>4</v>
      </c>
      <c r="O831">
        <v>4</v>
      </c>
      <c r="P831">
        <v>23</v>
      </c>
      <c r="Q831">
        <v>0</v>
      </c>
      <c r="R831" s="1">
        <v>42483</v>
      </c>
      <c r="S831" t="s">
        <v>29</v>
      </c>
      <c r="T831" t="str">
        <f t="shared" si="60"/>
        <v>Grade B</v>
      </c>
      <c r="U831">
        <f t="shared" si="61"/>
        <v>4</v>
      </c>
      <c r="V831" t="str">
        <f t="shared" si="62"/>
        <v>Mid Level</v>
      </c>
      <c r="W831" t="str">
        <f t="shared" si="63"/>
        <v>Low Risk</v>
      </c>
      <c r="X831" t="str">
        <f t="shared" si="64"/>
        <v>Fair</v>
      </c>
    </row>
    <row r="832" spans="1:24" x14ac:dyDescent="0.3">
      <c r="A832" t="s">
        <v>900</v>
      </c>
      <c r="B832" t="s">
        <v>20</v>
      </c>
      <c r="C832">
        <v>50</v>
      </c>
      <c r="D832" t="s">
        <v>47</v>
      </c>
      <c r="E832" t="s">
        <v>48</v>
      </c>
      <c r="F832" t="s">
        <v>23</v>
      </c>
      <c r="G832" t="s">
        <v>79</v>
      </c>
      <c r="H832" t="s">
        <v>76</v>
      </c>
      <c r="I832" t="s">
        <v>59</v>
      </c>
      <c r="J832" t="s">
        <v>60</v>
      </c>
      <c r="K832">
        <v>2</v>
      </c>
      <c r="L832">
        <v>41921</v>
      </c>
      <c r="M832" t="s">
        <v>28</v>
      </c>
      <c r="N832">
        <v>1</v>
      </c>
      <c r="O832">
        <v>2</v>
      </c>
      <c r="P832">
        <v>36</v>
      </c>
      <c r="Q832">
        <v>2</v>
      </c>
      <c r="R832" s="1">
        <v>44247</v>
      </c>
      <c r="S832" t="s">
        <v>29</v>
      </c>
      <c r="T832" t="str">
        <f t="shared" si="60"/>
        <v>Grade C</v>
      </c>
      <c r="U832">
        <f t="shared" si="61"/>
        <v>3</v>
      </c>
      <c r="V832" t="str">
        <f t="shared" si="62"/>
        <v>New Joiner</v>
      </c>
      <c r="W832" t="str">
        <f t="shared" si="63"/>
        <v>Medium Risk</v>
      </c>
      <c r="X832" t="str">
        <f t="shared" si="64"/>
        <v>Fair</v>
      </c>
    </row>
    <row r="833" spans="1:24" x14ac:dyDescent="0.3">
      <c r="A833" t="s">
        <v>901</v>
      </c>
      <c r="B833" t="s">
        <v>39</v>
      </c>
      <c r="C833">
        <v>25</v>
      </c>
      <c r="D833" t="s">
        <v>57</v>
      </c>
      <c r="E833" t="s">
        <v>48</v>
      </c>
      <c r="F833" t="s">
        <v>23</v>
      </c>
      <c r="G833" t="s">
        <v>42</v>
      </c>
      <c r="H833" t="s">
        <v>67</v>
      </c>
      <c r="I833" t="s">
        <v>50</v>
      </c>
      <c r="J833" t="s">
        <v>44</v>
      </c>
      <c r="K833">
        <v>14</v>
      </c>
      <c r="L833">
        <v>118751</v>
      </c>
      <c r="M833" t="s">
        <v>45</v>
      </c>
      <c r="N833">
        <v>2</v>
      </c>
      <c r="O833">
        <v>3</v>
      </c>
      <c r="P833">
        <v>74</v>
      </c>
      <c r="Q833">
        <v>0</v>
      </c>
      <c r="R833" s="1">
        <v>39946</v>
      </c>
      <c r="S833" t="s">
        <v>29</v>
      </c>
      <c r="T833" t="str">
        <f t="shared" si="60"/>
        <v>Grade A</v>
      </c>
      <c r="U833">
        <f t="shared" si="61"/>
        <v>2</v>
      </c>
      <c r="V833" t="str">
        <f t="shared" si="62"/>
        <v>Senior</v>
      </c>
      <c r="W833" t="str">
        <f t="shared" si="63"/>
        <v>Medium Risk</v>
      </c>
      <c r="X833" t="str">
        <f t="shared" si="64"/>
        <v>Fair</v>
      </c>
    </row>
    <row r="834" spans="1:24" x14ac:dyDescent="0.3">
      <c r="A834" t="s">
        <v>902</v>
      </c>
      <c r="B834" t="s">
        <v>39</v>
      </c>
      <c r="C834">
        <v>55</v>
      </c>
      <c r="D834" t="s">
        <v>31</v>
      </c>
      <c r="E834" t="s">
        <v>40</v>
      </c>
      <c r="F834" t="s">
        <v>53</v>
      </c>
      <c r="G834" t="s">
        <v>33</v>
      </c>
      <c r="H834" t="s">
        <v>67</v>
      </c>
      <c r="I834" t="s">
        <v>59</v>
      </c>
      <c r="J834" t="s">
        <v>60</v>
      </c>
      <c r="K834">
        <v>11</v>
      </c>
      <c r="L834">
        <v>72829</v>
      </c>
      <c r="M834" t="s">
        <v>45</v>
      </c>
      <c r="N834">
        <v>2</v>
      </c>
      <c r="O834">
        <v>2</v>
      </c>
      <c r="P834">
        <v>80</v>
      </c>
      <c r="Q834">
        <v>2</v>
      </c>
      <c r="R834" s="1">
        <v>41242</v>
      </c>
      <c r="S834" t="s">
        <v>29</v>
      </c>
      <c r="T834" t="str">
        <f t="shared" ref="T834:T897" si="65">IF(L834&gt;=80000,"Grade A",IF(L834&gt;=50000,"Grade B",IF(L834&gt;=35000,"Grade C","Grade D")))</f>
        <v>Grade B</v>
      </c>
      <c r="U834">
        <f t="shared" ref="U834:U897" si="66">IF(M834="Excellent",4,IF(M834="Good",3,IF(M834="Average",2,1)))</f>
        <v>2</v>
      </c>
      <c r="V834" t="str">
        <f t="shared" ref="V834:V897" si="67">IF(K834&lt;=2,"New Joiner",IF(K834&lt;=5,"Junior",IF(K834&lt;=10,"Mid Level","Senior")))</f>
        <v>Senior</v>
      </c>
      <c r="W834" t="str">
        <f t="shared" ref="W834:W897" si="68">IF(S834="Yes","Already Left",IF(AND(K834&lt;=2,M834="Poor"),"High Risk",IF(AND(K834&lt;=5,M834="Average"),"Medium Risk",IF(M834="Excellent","Low Risk","Medium Risk"))))</f>
        <v>Medium Risk</v>
      </c>
      <c r="X834" t="str">
        <f t="shared" ref="X834:X897" si="69">IF(AND(L834&gt;=80000,M834="Excellent"),"Competitive",IF(AND(L834&gt;=50000,M834="Good"),"Competitive",IF(AND(L834&lt;35000,M834="Excellent"),"Underpaid",IF(AND(L834&gt;=80000,M834="Poor"),"Overpaid","Fair"))))</f>
        <v>Fair</v>
      </c>
    </row>
    <row r="835" spans="1:24" x14ac:dyDescent="0.3">
      <c r="A835" t="s">
        <v>903</v>
      </c>
      <c r="B835" t="s">
        <v>39</v>
      </c>
      <c r="C835">
        <v>28</v>
      </c>
      <c r="D835" t="s">
        <v>47</v>
      </c>
      <c r="E835" t="s">
        <v>22</v>
      </c>
      <c r="F835" t="s">
        <v>41</v>
      </c>
      <c r="G835" t="s">
        <v>58</v>
      </c>
      <c r="H835" t="s">
        <v>83</v>
      </c>
      <c r="I835" t="s">
        <v>50</v>
      </c>
      <c r="J835" t="s">
        <v>44</v>
      </c>
      <c r="K835">
        <v>9</v>
      </c>
      <c r="L835">
        <v>98567</v>
      </c>
      <c r="M835" t="s">
        <v>36</v>
      </c>
      <c r="N835">
        <v>4</v>
      </c>
      <c r="O835">
        <v>1</v>
      </c>
      <c r="P835">
        <v>17</v>
      </c>
      <c r="Q835">
        <v>3</v>
      </c>
      <c r="R835" s="1">
        <v>41988</v>
      </c>
      <c r="S835" t="s">
        <v>37</v>
      </c>
      <c r="T835" t="str">
        <f t="shared" si="65"/>
        <v>Grade A</v>
      </c>
      <c r="U835">
        <f t="shared" si="66"/>
        <v>1</v>
      </c>
      <c r="V835" t="str">
        <f t="shared" si="67"/>
        <v>Mid Level</v>
      </c>
      <c r="W835" t="str">
        <f t="shared" si="68"/>
        <v>Already Left</v>
      </c>
      <c r="X835" t="str">
        <f t="shared" si="69"/>
        <v>Overpaid</v>
      </c>
    </row>
    <row r="836" spans="1:24" x14ac:dyDescent="0.3">
      <c r="A836" t="s">
        <v>904</v>
      </c>
      <c r="B836" t="s">
        <v>20</v>
      </c>
      <c r="C836">
        <v>40</v>
      </c>
      <c r="D836" t="s">
        <v>88</v>
      </c>
      <c r="E836" t="s">
        <v>48</v>
      </c>
      <c r="F836" t="s">
        <v>41</v>
      </c>
      <c r="G836" t="s">
        <v>79</v>
      </c>
      <c r="H836" t="s">
        <v>67</v>
      </c>
      <c r="I836" t="s">
        <v>54</v>
      </c>
      <c r="J836" t="s">
        <v>27</v>
      </c>
      <c r="K836">
        <v>10</v>
      </c>
      <c r="L836">
        <v>50648</v>
      </c>
      <c r="M836" t="s">
        <v>51</v>
      </c>
      <c r="N836">
        <v>4</v>
      </c>
      <c r="O836">
        <v>2</v>
      </c>
      <c r="P836">
        <v>72</v>
      </c>
      <c r="Q836">
        <v>2</v>
      </c>
      <c r="R836" s="1">
        <v>41350</v>
      </c>
      <c r="S836" t="s">
        <v>29</v>
      </c>
      <c r="T836" t="str">
        <f t="shared" si="65"/>
        <v>Grade B</v>
      </c>
      <c r="U836">
        <f t="shared" si="66"/>
        <v>4</v>
      </c>
      <c r="V836" t="str">
        <f t="shared" si="67"/>
        <v>Mid Level</v>
      </c>
      <c r="W836" t="str">
        <f t="shared" si="68"/>
        <v>Low Risk</v>
      </c>
      <c r="X836" t="str">
        <f t="shared" si="69"/>
        <v>Fair</v>
      </c>
    </row>
    <row r="837" spans="1:24" x14ac:dyDescent="0.3">
      <c r="A837" t="s">
        <v>905</v>
      </c>
      <c r="B837" t="s">
        <v>39</v>
      </c>
      <c r="C837">
        <v>46</v>
      </c>
      <c r="D837" t="s">
        <v>31</v>
      </c>
      <c r="E837" t="s">
        <v>22</v>
      </c>
      <c r="F837" t="s">
        <v>78</v>
      </c>
      <c r="G837" t="s">
        <v>66</v>
      </c>
      <c r="H837" t="s">
        <v>76</v>
      </c>
      <c r="I837" t="s">
        <v>72</v>
      </c>
      <c r="J837" t="s">
        <v>73</v>
      </c>
      <c r="K837">
        <v>8</v>
      </c>
      <c r="L837">
        <v>48334</v>
      </c>
      <c r="M837" t="s">
        <v>28</v>
      </c>
      <c r="N837">
        <v>3</v>
      </c>
      <c r="O837">
        <v>1</v>
      </c>
      <c r="P837">
        <v>65</v>
      </c>
      <c r="Q837">
        <v>2</v>
      </c>
      <c r="R837" s="1">
        <v>42226</v>
      </c>
      <c r="S837" t="s">
        <v>29</v>
      </c>
      <c r="T837" t="str">
        <f t="shared" si="65"/>
        <v>Grade C</v>
      </c>
      <c r="U837">
        <f t="shared" si="66"/>
        <v>3</v>
      </c>
      <c r="V837" t="str">
        <f t="shared" si="67"/>
        <v>Mid Level</v>
      </c>
      <c r="W837" t="str">
        <f t="shared" si="68"/>
        <v>Medium Risk</v>
      </c>
      <c r="X837" t="str">
        <f t="shared" si="69"/>
        <v>Fair</v>
      </c>
    </row>
    <row r="838" spans="1:24" x14ac:dyDescent="0.3">
      <c r="A838" t="s">
        <v>906</v>
      </c>
      <c r="B838" t="s">
        <v>39</v>
      </c>
      <c r="C838">
        <v>47</v>
      </c>
      <c r="D838" t="s">
        <v>57</v>
      </c>
      <c r="E838" t="s">
        <v>48</v>
      </c>
      <c r="F838" t="s">
        <v>23</v>
      </c>
      <c r="G838" t="s">
        <v>49</v>
      </c>
      <c r="H838" t="s">
        <v>76</v>
      </c>
      <c r="I838" t="s">
        <v>68</v>
      </c>
      <c r="J838" t="s">
        <v>60</v>
      </c>
      <c r="K838">
        <v>12</v>
      </c>
      <c r="L838">
        <v>77180</v>
      </c>
      <c r="M838" t="s">
        <v>36</v>
      </c>
      <c r="N838">
        <v>4</v>
      </c>
      <c r="O838">
        <v>4</v>
      </c>
      <c r="P838">
        <v>66</v>
      </c>
      <c r="Q838">
        <v>3</v>
      </c>
      <c r="R838" s="1">
        <v>40732</v>
      </c>
      <c r="S838" t="s">
        <v>29</v>
      </c>
      <c r="T838" t="str">
        <f t="shared" si="65"/>
        <v>Grade B</v>
      </c>
      <c r="U838">
        <f t="shared" si="66"/>
        <v>1</v>
      </c>
      <c r="V838" t="str">
        <f t="shared" si="67"/>
        <v>Senior</v>
      </c>
      <c r="W838" t="str">
        <f t="shared" si="68"/>
        <v>Medium Risk</v>
      </c>
      <c r="X838" t="str">
        <f t="shared" si="69"/>
        <v>Fair</v>
      </c>
    </row>
    <row r="839" spans="1:24" x14ac:dyDescent="0.3">
      <c r="A839" t="s">
        <v>907</v>
      </c>
      <c r="B839" t="s">
        <v>39</v>
      </c>
      <c r="C839">
        <v>35</v>
      </c>
      <c r="D839" t="s">
        <v>47</v>
      </c>
      <c r="E839" t="s">
        <v>40</v>
      </c>
      <c r="F839" t="s">
        <v>65</v>
      </c>
      <c r="G839" t="s">
        <v>63</v>
      </c>
      <c r="H839" t="s">
        <v>25</v>
      </c>
      <c r="I839" t="s">
        <v>96</v>
      </c>
      <c r="J839" t="s">
        <v>44</v>
      </c>
      <c r="K839">
        <v>11</v>
      </c>
      <c r="L839">
        <v>61361</v>
      </c>
      <c r="M839" t="s">
        <v>45</v>
      </c>
      <c r="N839">
        <v>2</v>
      </c>
      <c r="O839">
        <v>3</v>
      </c>
      <c r="P839">
        <v>69</v>
      </c>
      <c r="Q839">
        <v>3</v>
      </c>
      <c r="R839" s="1">
        <v>41172</v>
      </c>
      <c r="S839" t="s">
        <v>29</v>
      </c>
      <c r="T839" t="str">
        <f t="shared" si="65"/>
        <v>Grade B</v>
      </c>
      <c r="U839">
        <f t="shared" si="66"/>
        <v>2</v>
      </c>
      <c r="V839" t="str">
        <f t="shared" si="67"/>
        <v>Senior</v>
      </c>
      <c r="W839" t="str">
        <f t="shared" si="68"/>
        <v>Medium Risk</v>
      </c>
      <c r="X839" t="str">
        <f t="shared" si="69"/>
        <v>Fair</v>
      </c>
    </row>
    <row r="840" spans="1:24" x14ac:dyDescent="0.3">
      <c r="A840" t="s">
        <v>908</v>
      </c>
      <c r="B840" t="s">
        <v>20</v>
      </c>
      <c r="C840">
        <v>48</v>
      </c>
      <c r="D840" t="s">
        <v>21</v>
      </c>
      <c r="E840" t="s">
        <v>22</v>
      </c>
      <c r="F840" t="s">
        <v>62</v>
      </c>
      <c r="G840" t="s">
        <v>33</v>
      </c>
      <c r="H840" t="s">
        <v>67</v>
      </c>
      <c r="I840" t="s">
        <v>72</v>
      </c>
      <c r="J840" t="s">
        <v>73</v>
      </c>
      <c r="K840">
        <v>3</v>
      </c>
      <c r="L840">
        <v>59560</v>
      </c>
      <c r="M840" t="s">
        <v>36</v>
      </c>
      <c r="N840">
        <v>2</v>
      </c>
      <c r="O840">
        <v>3</v>
      </c>
      <c r="P840">
        <v>80</v>
      </c>
      <c r="Q840">
        <v>1</v>
      </c>
      <c r="R840" s="1">
        <v>43966</v>
      </c>
      <c r="S840" t="s">
        <v>29</v>
      </c>
      <c r="T840" t="str">
        <f t="shared" si="65"/>
        <v>Grade B</v>
      </c>
      <c r="U840">
        <f t="shared" si="66"/>
        <v>1</v>
      </c>
      <c r="V840" t="str">
        <f t="shared" si="67"/>
        <v>Junior</v>
      </c>
      <c r="W840" t="str">
        <f t="shared" si="68"/>
        <v>Medium Risk</v>
      </c>
      <c r="X840" t="str">
        <f t="shared" si="69"/>
        <v>Fair</v>
      </c>
    </row>
    <row r="841" spans="1:24" x14ac:dyDescent="0.3">
      <c r="A841" t="s">
        <v>909</v>
      </c>
      <c r="B841" t="s">
        <v>20</v>
      </c>
      <c r="C841">
        <v>31</v>
      </c>
      <c r="D841" t="s">
        <v>57</v>
      </c>
      <c r="E841" t="s">
        <v>40</v>
      </c>
      <c r="F841" t="s">
        <v>75</v>
      </c>
      <c r="G841" t="s">
        <v>49</v>
      </c>
      <c r="H841" t="s">
        <v>67</v>
      </c>
      <c r="I841" t="s">
        <v>43</v>
      </c>
      <c r="J841" t="s">
        <v>44</v>
      </c>
      <c r="K841">
        <v>1</v>
      </c>
      <c r="L841">
        <v>54647</v>
      </c>
      <c r="M841" t="s">
        <v>36</v>
      </c>
      <c r="N841">
        <v>2</v>
      </c>
      <c r="O841">
        <v>2</v>
      </c>
      <c r="P841">
        <v>62</v>
      </c>
      <c r="Q841">
        <v>2</v>
      </c>
      <c r="R841" s="1">
        <v>44839</v>
      </c>
      <c r="S841" t="s">
        <v>29</v>
      </c>
      <c r="T841" t="str">
        <f t="shared" si="65"/>
        <v>Grade B</v>
      </c>
      <c r="U841">
        <f t="shared" si="66"/>
        <v>1</v>
      </c>
      <c r="V841" t="str">
        <f t="shared" si="67"/>
        <v>New Joiner</v>
      </c>
      <c r="W841" t="str">
        <f t="shared" si="68"/>
        <v>High Risk</v>
      </c>
      <c r="X841" t="str">
        <f t="shared" si="69"/>
        <v>Fair</v>
      </c>
    </row>
    <row r="842" spans="1:24" x14ac:dyDescent="0.3">
      <c r="A842" t="s">
        <v>910</v>
      </c>
      <c r="B842" t="s">
        <v>39</v>
      </c>
      <c r="C842">
        <v>25</v>
      </c>
      <c r="D842" t="s">
        <v>31</v>
      </c>
      <c r="E842" t="s">
        <v>22</v>
      </c>
      <c r="F842" t="s">
        <v>32</v>
      </c>
      <c r="G842" t="s">
        <v>58</v>
      </c>
      <c r="H842" t="s">
        <v>67</v>
      </c>
      <c r="I842" t="s">
        <v>96</v>
      </c>
      <c r="J842" t="s">
        <v>44</v>
      </c>
      <c r="K842">
        <v>6</v>
      </c>
      <c r="L842">
        <v>90180</v>
      </c>
      <c r="M842" t="s">
        <v>36</v>
      </c>
      <c r="N842">
        <v>3</v>
      </c>
      <c r="O842">
        <v>3</v>
      </c>
      <c r="P842">
        <v>35</v>
      </c>
      <c r="Q842">
        <v>1</v>
      </c>
      <c r="R842" s="1">
        <v>43092</v>
      </c>
      <c r="S842" t="s">
        <v>37</v>
      </c>
      <c r="T842" t="str">
        <f t="shared" si="65"/>
        <v>Grade A</v>
      </c>
      <c r="U842">
        <f t="shared" si="66"/>
        <v>1</v>
      </c>
      <c r="V842" t="str">
        <f t="shared" si="67"/>
        <v>Mid Level</v>
      </c>
      <c r="W842" t="str">
        <f t="shared" si="68"/>
        <v>Already Left</v>
      </c>
      <c r="X842" t="str">
        <f t="shared" si="69"/>
        <v>Overpaid</v>
      </c>
    </row>
    <row r="843" spans="1:24" x14ac:dyDescent="0.3">
      <c r="A843" t="s">
        <v>911</v>
      </c>
      <c r="B843" t="s">
        <v>20</v>
      </c>
      <c r="C843">
        <v>33</v>
      </c>
      <c r="D843" t="s">
        <v>31</v>
      </c>
      <c r="E843" t="s">
        <v>48</v>
      </c>
      <c r="F843" t="s">
        <v>62</v>
      </c>
      <c r="G843" t="s">
        <v>66</v>
      </c>
      <c r="H843" t="s">
        <v>83</v>
      </c>
      <c r="I843" t="s">
        <v>59</v>
      </c>
      <c r="J843" t="s">
        <v>60</v>
      </c>
      <c r="K843">
        <v>10</v>
      </c>
      <c r="L843">
        <v>64118</v>
      </c>
      <c r="M843" t="s">
        <v>45</v>
      </c>
      <c r="N843">
        <v>1</v>
      </c>
      <c r="O843">
        <v>2</v>
      </c>
      <c r="P843">
        <v>29</v>
      </c>
      <c r="Q843">
        <v>1</v>
      </c>
      <c r="R843" s="1">
        <v>41399</v>
      </c>
      <c r="S843" t="s">
        <v>29</v>
      </c>
      <c r="T843" t="str">
        <f t="shared" si="65"/>
        <v>Grade B</v>
      </c>
      <c r="U843">
        <f t="shared" si="66"/>
        <v>2</v>
      </c>
      <c r="V843" t="str">
        <f t="shared" si="67"/>
        <v>Mid Level</v>
      </c>
      <c r="W843" t="str">
        <f t="shared" si="68"/>
        <v>Medium Risk</v>
      </c>
      <c r="X843" t="str">
        <f t="shared" si="69"/>
        <v>Fair</v>
      </c>
    </row>
    <row r="844" spans="1:24" x14ac:dyDescent="0.3">
      <c r="A844" t="s">
        <v>912</v>
      </c>
      <c r="B844" t="s">
        <v>39</v>
      </c>
      <c r="C844">
        <v>50</v>
      </c>
      <c r="D844" t="s">
        <v>21</v>
      </c>
      <c r="E844" t="s">
        <v>22</v>
      </c>
      <c r="F844" t="s">
        <v>41</v>
      </c>
      <c r="G844" t="s">
        <v>33</v>
      </c>
      <c r="H844" t="s">
        <v>34</v>
      </c>
      <c r="I844" t="s">
        <v>43</v>
      </c>
      <c r="J844" t="s">
        <v>44</v>
      </c>
      <c r="K844">
        <v>3</v>
      </c>
      <c r="L844">
        <v>65215</v>
      </c>
      <c r="M844" t="s">
        <v>36</v>
      </c>
      <c r="N844">
        <v>2</v>
      </c>
      <c r="O844">
        <v>4</v>
      </c>
      <c r="P844">
        <v>70</v>
      </c>
      <c r="Q844">
        <v>3</v>
      </c>
      <c r="R844" s="1">
        <v>43858</v>
      </c>
      <c r="S844" t="s">
        <v>37</v>
      </c>
      <c r="T844" t="str">
        <f t="shared" si="65"/>
        <v>Grade B</v>
      </c>
      <c r="U844">
        <f t="shared" si="66"/>
        <v>1</v>
      </c>
      <c r="V844" t="str">
        <f t="shared" si="67"/>
        <v>Junior</v>
      </c>
      <c r="W844" t="str">
        <f t="shared" si="68"/>
        <v>Already Left</v>
      </c>
      <c r="X844" t="str">
        <f t="shared" si="69"/>
        <v>Fair</v>
      </c>
    </row>
    <row r="845" spans="1:24" x14ac:dyDescent="0.3">
      <c r="A845" t="s">
        <v>913</v>
      </c>
      <c r="B845" t="s">
        <v>20</v>
      </c>
      <c r="C845">
        <v>23</v>
      </c>
      <c r="D845" t="s">
        <v>57</v>
      </c>
      <c r="E845" t="s">
        <v>40</v>
      </c>
      <c r="F845" t="s">
        <v>53</v>
      </c>
      <c r="G845" t="s">
        <v>33</v>
      </c>
      <c r="H845" t="s">
        <v>83</v>
      </c>
      <c r="I845" t="s">
        <v>96</v>
      </c>
      <c r="J845" t="s">
        <v>44</v>
      </c>
      <c r="K845">
        <v>15</v>
      </c>
      <c r="L845">
        <v>99165</v>
      </c>
      <c r="M845" t="s">
        <v>45</v>
      </c>
      <c r="N845">
        <v>3</v>
      </c>
      <c r="O845">
        <v>3</v>
      </c>
      <c r="P845">
        <v>20</v>
      </c>
      <c r="Q845">
        <v>2</v>
      </c>
      <c r="R845" s="1">
        <v>39724</v>
      </c>
      <c r="S845" t="s">
        <v>29</v>
      </c>
      <c r="T845" t="str">
        <f t="shared" si="65"/>
        <v>Grade A</v>
      </c>
      <c r="U845">
        <f t="shared" si="66"/>
        <v>2</v>
      </c>
      <c r="V845" t="str">
        <f t="shared" si="67"/>
        <v>Senior</v>
      </c>
      <c r="W845" t="str">
        <f t="shared" si="68"/>
        <v>Medium Risk</v>
      </c>
      <c r="X845" t="str">
        <f t="shared" si="69"/>
        <v>Fair</v>
      </c>
    </row>
    <row r="846" spans="1:24" x14ac:dyDescent="0.3">
      <c r="A846" t="s">
        <v>914</v>
      </c>
      <c r="B846" t="s">
        <v>39</v>
      </c>
      <c r="C846">
        <v>42</v>
      </c>
      <c r="D846" t="s">
        <v>31</v>
      </c>
      <c r="E846" t="s">
        <v>40</v>
      </c>
      <c r="F846" t="s">
        <v>53</v>
      </c>
      <c r="G846" t="s">
        <v>63</v>
      </c>
      <c r="H846" t="s">
        <v>67</v>
      </c>
      <c r="I846" t="s">
        <v>26</v>
      </c>
      <c r="J846" t="s">
        <v>27</v>
      </c>
      <c r="K846">
        <v>11</v>
      </c>
      <c r="L846">
        <v>61898</v>
      </c>
      <c r="M846" t="s">
        <v>45</v>
      </c>
      <c r="N846">
        <v>1</v>
      </c>
      <c r="O846">
        <v>3</v>
      </c>
      <c r="P846">
        <v>73</v>
      </c>
      <c r="Q846">
        <v>0</v>
      </c>
      <c r="R846" s="1">
        <v>40935</v>
      </c>
      <c r="S846" t="s">
        <v>37</v>
      </c>
      <c r="T846" t="str">
        <f t="shared" si="65"/>
        <v>Grade B</v>
      </c>
      <c r="U846">
        <f t="shared" si="66"/>
        <v>2</v>
      </c>
      <c r="V846" t="str">
        <f t="shared" si="67"/>
        <v>Senior</v>
      </c>
      <c r="W846" t="str">
        <f t="shared" si="68"/>
        <v>Already Left</v>
      </c>
      <c r="X846" t="str">
        <f t="shared" si="69"/>
        <v>Fair</v>
      </c>
    </row>
    <row r="847" spans="1:24" x14ac:dyDescent="0.3">
      <c r="A847" t="s">
        <v>915</v>
      </c>
      <c r="B847" t="s">
        <v>39</v>
      </c>
      <c r="C847">
        <v>53</v>
      </c>
      <c r="D847" t="s">
        <v>31</v>
      </c>
      <c r="E847" t="s">
        <v>22</v>
      </c>
      <c r="F847" t="s">
        <v>75</v>
      </c>
      <c r="G847" t="s">
        <v>42</v>
      </c>
      <c r="H847" t="s">
        <v>67</v>
      </c>
      <c r="I847" t="s">
        <v>54</v>
      </c>
      <c r="J847" t="s">
        <v>27</v>
      </c>
      <c r="K847">
        <v>14</v>
      </c>
      <c r="L847">
        <v>119292</v>
      </c>
      <c r="M847" t="s">
        <v>45</v>
      </c>
      <c r="N847">
        <v>1</v>
      </c>
      <c r="O847">
        <v>2</v>
      </c>
      <c r="P847">
        <v>49</v>
      </c>
      <c r="Q847">
        <v>2</v>
      </c>
      <c r="R847" s="1">
        <v>40039</v>
      </c>
      <c r="S847" t="s">
        <v>29</v>
      </c>
      <c r="T847" t="str">
        <f t="shared" si="65"/>
        <v>Grade A</v>
      </c>
      <c r="U847">
        <f t="shared" si="66"/>
        <v>2</v>
      </c>
      <c r="V847" t="str">
        <f t="shared" si="67"/>
        <v>Senior</v>
      </c>
      <c r="W847" t="str">
        <f t="shared" si="68"/>
        <v>Medium Risk</v>
      </c>
      <c r="X847" t="str">
        <f t="shared" si="69"/>
        <v>Fair</v>
      </c>
    </row>
    <row r="848" spans="1:24" x14ac:dyDescent="0.3">
      <c r="A848" t="s">
        <v>916</v>
      </c>
      <c r="B848" t="s">
        <v>39</v>
      </c>
      <c r="C848">
        <v>30</v>
      </c>
      <c r="D848" t="s">
        <v>88</v>
      </c>
      <c r="E848" t="s">
        <v>22</v>
      </c>
      <c r="F848" t="s">
        <v>75</v>
      </c>
      <c r="G848" t="s">
        <v>33</v>
      </c>
      <c r="H848" t="s">
        <v>25</v>
      </c>
      <c r="I848" t="s">
        <v>96</v>
      </c>
      <c r="J848" t="s">
        <v>44</v>
      </c>
      <c r="K848">
        <v>5</v>
      </c>
      <c r="L848">
        <v>62629</v>
      </c>
      <c r="M848" t="s">
        <v>51</v>
      </c>
      <c r="N848">
        <v>1</v>
      </c>
      <c r="O848">
        <v>3</v>
      </c>
      <c r="P848">
        <v>58</v>
      </c>
      <c r="Q848">
        <v>1</v>
      </c>
      <c r="R848" s="1">
        <v>43185</v>
      </c>
      <c r="S848" t="s">
        <v>29</v>
      </c>
      <c r="T848" t="str">
        <f t="shared" si="65"/>
        <v>Grade B</v>
      </c>
      <c r="U848">
        <f t="shared" si="66"/>
        <v>4</v>
      </c>
      <c r="V848" t="str">
        <f t="shared" si="67"/>
        <v>Junior</v>
      </c>
      <c r="W848" t="str">
        <f t="shared" si="68"/>
        <v>Low Risk</v>
      </c>
      <c r="X848" t="str">
        <f t="shared" si="69"/>
        <v>Fair</v>
      </c>
    </row>
    <row r="849" spans="1:24" x14ac:dyDescent="0.3">
      <c r="A849" t="s">
        <v>917</v>
      </c>
      <c r="B849" t="s">
        <v>20</v>
      </c>
      <c r="C849">
        <v>48</v>
      </c>
      <c r="D849" t="s">
        <v>31</v>
      </c>
      <c r="E849" t="s">
        <v>22</v>
      </c>
      <c r="F849" t="s">
        <v>75</v>
      </c>
      <c r="G849" t="s">
        <v>42</v>
      </c>
      <c r="H849" t="s">
        <v>76</v>
      </c>
      <c r="I849" t="s">
        <v>96</v>
      </c>
      <c r="J849" t="s">
        <v>44</v>
      </c>
      <c r="K849">
        <v>12</v>
      </c>
      <c r="L849">
        <v>121292</v>
      </c>
      <c r="M849" t="s">
        <v>51</v>
      </c>
      <c r="N849">
        <v>3</v>
      </c>
      <c r="O849">
        <v>3</v>
      </c>
      <c r="P849">
        <v>80</v>
      </c>
      <c r="Q849">
        <v>1</v>
      </c>
      <c r="R849" s="1">
        <v>40725</v>
      </c>
      <c r="S849" t="s">
        <v>29</v>
      </c>
      <c r="T849" t="str">
        <f t="shared" si="65"/>
        <v>Grade A</v>
      </c>
      <c r="U849">
        <f t="shared" si="66"/>
        <v>4</v>
      </c>
      <c r="V849" t="str">
        <f t="shared" si="67"/>
        <v>Senior</v>
      </c>
      <c r="W849" t="str">
        <f t="shared" si="68"/>
        <v>Low Risk</v>
      </c>
      <c r="X849" t="str">
        <f t="shared" si="69"/>
        <v>Competitive</v>
      </c>
    </row>
    <row r="850" spans="1:24" x14ac:dyDescent="0.3">
      <c r="A850" t="s">
        <v>918</v>
      </c>
      <c r="B850" t="s">
        <v>39</v>
      </c>
      <c r="C850">
        <v>23</v>
      </c>
      <c r="D850" t="s">
        <v>47</v>
      </c>
      <c r="E850" t="s">
        <v>22</v>
      </c>
      <c r="F850" t="s">
        <v>62</v>
      </c>
      <c r="G850" t="s">
        <v>33</v>
      </c>
      <c r="H850" t="s">
        <v>25</v>
      </c>
      <c r="I850" t="s">
        <v>96</v>
      </c>
      <c r="J850" t="s">
        <v>44</v>
      </c>
      <c r="K850">
        <v>15</v>
      </c>
      <c r="L850">
        <v>82778</v>
      </c>
      <c r="M850" t="s">
        <v>51</v>
      </c>
      <c r="N850">
        <v>2</v>
      </c>
      <c r="O850">
        <v>1</v>
      </c>
      <c r="P850">
        <v>32</v>
      </c>
      <c r="Q850">
        <v>2</v>
      </c>
      <c r="R850" s="1">
        <v>39557</v>
      </c>
      <c r="S850" t="s">
        <v>29</v>
      </c>
      <c r="T850" t="str">
        <f t="shared" si="65"/>
        <v>Grade A</v>
      </c>
      <c r="U850">
        <f t="shared" si="66"/>
        <v>4</v>
      </c>
      <c r="V850" t="str">
        <f t="shared" si="67"/>
        <v>Senior</v>
      </c>
      <c r="W850" t="str">
        <f t="shared" si="68"/>
        <v>Low Risk</v>
      </c>
      <c r="X850" t="str">
        <f t="shared" si="69"/>
        <v>Competitive</v>
      </c>
    </row>
    <row r="851" spans="1:24" x14ac:dyDescent="0.3">
      <c r="A851" t="s">
        <v>919</v>
      </c>
      <c r="B851" t="s">
        <v>20</v>
      </c>
      <c r="C851">
        <v>26</v>
      </c>
      <c r="D851" t="s">
        <v>47</v>
      </c>
      <c r="E851" t="s">
        <v>40</v>
      </c>
      <c r="F851" t="s">
        <v>53</v>
      </c>
      <c r="G851" t="s">
        <v>79</v>
      </c>
      <c r="H851" t="s">
        <v>34</v>
      </c>
      <c r="I851" t="s">
        <v>26</v>
      </c>
      <c r="J851" t="s">
        <v>27</v>
      </c>
      <c r="K851">
        <v>13</v>
      </c>
      <c r="L851">
        <v>58471</v>
      </c>
      <c r="M851" t="s">
        <v>28</v>
      </c>
      <c r="N851">
        <v>4</v>
      </c>
      <c r="O851">
        <v>3</v>
      </c>
      <c r="P851">
        <v>23</v>
      </c>
      <c r="Q851">
        <v>0</v>
      </c>
      <c r="R851" s="1">
        <v>40541</v>
      </c>
      <c r="S851" t="s">
        <v>37</v>
      </c>
      <c r="T851" t="str">
        <f t="shared" si="65"/>
        <v>Grade B</v>
      </c>
      <c r="U851">
        <f t="shared" si="66"/>
        <v>3</v>
      </c>
      <c r="V851" t="str">
        <f t="shared" si="67"/>
        <v>Senior</v>
      </c>
      <c r="W851" t="str">
        <f t="shared" si="68"/>
        <v>Already Left</v>
      </c>
      <c r="X851" t="str">
        <f t="shared" si="69"/>
        <v>Competitive</v>
      </c>
    </row>
    <row r="852" spans="1:24" x14ac:dyDescent="0.3">
      <c r="A852" t="s">
        <v>920</v>
      </c>
      <c r="B852" t="s">
        <v>39</v>
      </c>
      <c r="C852">
        <v>35</v>
      </c>
      <c r="D852" t="s">
        <v>21</v>
      </c>
      <c r="E852" t="s">
        <v>40</v>
      </c>
      <c r="F852" t="s">
        <v>53</v>
      </c>
      <c r="G852" t="s">
        <v>79</v>
      </c>
      <c r="H852" t="s">
        <v>67</v>
      </c>
      <c r="I852" t="s">
        <v>50</v>
      </c>
      <c r="J852" t="s">
        <v>44</v>
      </c>
      <c r="K852">
        <v>3</v>
      </c>
      <c r="L852">
        <v>39001</v>
      </c>
      <c r="M852" t="s">
        <v>51</v>
      </c>
      <c r="N852">
        <v>1</v>
      </c>
      <c r="O852">
        <v>4</v>
      </c>
      <c r="P852">
        <v>51</v>
      </c>
      <c r="Q852">
        <v>1</v>
      </c>
      <c r="R852" s="1">
        <v>43976</v>
      </c>
      <c r="S852" t="s">
        <v>37</v>
      </c>
      <c r="T852" t="str">
        <f t="shared" si="65"/>
        <v>Grade C</v>
      </c>
      <c r="U852">
        <f t="shared" si="66"/>
        <v>4</v>
      </c>
      <c r="V852" t="str">
        <f t="shared" si="67"/>
        <v>Junior</v>
      </c>
      <c r="W852" t="str">
        <f t="shared" si="68"/>
        <v>Already Left</v>
      </c>
      <c r="X852" t="str">
        <f t="shared" si="69"/>
        <v>Fair</v>
      </c>
    </row>
    <row r="853" spans="1:24" x14ac:dyDescent="0.3">
      <c r="A853" t="s">
        <v>921</v>
      </c>
      <c r="B853" t="s">
        <v>39</v>
      </c>
      <c r="C853">
        <v>54</v>
      </c>
      <c r="D853" t="s">
        <v>21</v>
      </c>
      <c r="E853" t="s">
        <v>22</v>
      </c>
      <c r="F853" t="s">
        <v>32</v>
      </c>
      <c r="G853" t="s">
        <v>42</v>
      </c>
      <c r="H853" t="s">
        <v>76</v>
      </c>
      <c r="I853" t="s">
        <v>96</v>
      </c>
      <c r="J853" t="s">
        <v>44</v>
      </c>
      <c r="K853">
        <v>8</v>
      </c>
      <c r="L853">
        <v>120392</v>
      </c>
      <c r="M853" t="s">
        <v>28</v>
      </c>
      <c r="N853">
        <v>2</v>
      </c>
      <c r="O853">
        <v>2</v>
      </c>
      <c r="P853">
        <v>43</v>
      </c>
      <c r="Q853">
        <v>1</v>
      </c>
      <c r="R853" s="1">
        <v>42146</v>
      </c>
      <c r="S853" t="s">
        <v>37</v>
      </c>
      <c r="T853" t="str">
        <f t="shared" si="65"/>
        <v>Grade A</v>
      </c>
      <c r="U853">
        <f t="shared" si="66"/>
        <v>3</v>
      </c>
      <c r="V853" t="str">
        <f t="shared" si="67"/>
        <v>Mid Level</v>
      </c>
      <c r="W853" t="str">
        <f t="shared" si="68"/>
        <v>Already Left</v>
      </c>
      <c r="X853" t="str">
        <f t="shared" si="69"/>
        <v>Competitive</v>
      </c>
    </row>
    <row r="854" spans="1:24" x14ac:dyDescent="0.3">
      <c r="A854" t="s">
        <v>922</v>
      </c>
      <c r="B854" t="s">
        <v>20</v>
      </c>
      <c r="C854">
        <v>40</v>
      </c>
      <c r="D854" t="s">
        <v>88</v>
      </c>
      <c r="E854" t="s">
        <v>48</v>
      </c>
      <c r="F854" t="s">
        <v>32</v>
      </c>
      <c r="G854" t="s">
        <v>24</v>
      </c>
      <c r="H854" t="s">
        <v>83</v>
      </c>
      <c r="I854" t="s">
        <v>35</v>
      </c>
      <c r="J854" t="s">
        <v>27</v>
      </c>
      <c r="K854">
        <v>4</v>
      </c>
      <c r="L854">
        <v>83531</v>
      </c>
      <c r="M854" t="s">
        <v>51</v>
      </c>
      <c r="N854">
        <v>3</v>
      </c>
      <c r="O854">
        <v>2</v>
      </c>
      <c r="P854">
        <v>64</v>
      </c>
      <c r="Q854">
        <v>2</v>
      </c>
      <c r="R854" s="1">
        <v>43749</v>
      </c>
      <c r="S854" t="s">
        <v>29</v>
      </c>
      <c r="T854" t="str">
        <f t="shared" si="65"/>
        <v>Grade A</v>
      </c>
      <c r="U854">
        <f t="shared" si="66"/>
        <v>4</v>
      </c>
      <c r="V854" t="str">
        <f t="shared" si="67"/>
        <v>Junior</v>
      </c>
      <c r="W854" t="str">
        <f t="shared" si="68"/>
        <v>Low Risk</v>
      </c>
      <c r="X854" t="str">
        <f t="shared" si="69"/>
        <v>Competitive</v>
      </c>
    </row>
    <row r="855" spans="1:24" x14ac:dyDescent="0.3">
      <c r="A855" t="s">
        <v>923</v>
      </c>
      <c r="B855" t="s">
        <v>39</v>
      </c>
      <c r="C855">
        <v>26</v>
      </c>
      <c r="D855" t="s">
        <v>57</v>
      </c>
      <c r="E855" t="s">
        <v>48</v>
      </c>
      <c r="F855" t="s">
        <v>32</v>
      </c>
      <c r="G855" t="s">
        <v>42</v>
      </c>
      <c r="H855" t="s">
        <v>34</v>
      </c>
      <c r="I855" t="s">
        <v>72</v>
      </c>
      <c r="J855" t="s">
        <v>73</v>
      </c>
      <c r="K855">
        <v>11</v>
      </c>
      <c r="L855">
        <v>116222</v>
      </c>
      <c r="M855" t="s">
        <v>51</v>
      </c>
      <c r="N855">
        <v>1</v>
      </c>
      <c r="O855">
        <v>4</v>
      </c>
      <c r="P855">
        <v>20</v>
      </c>
      <c r="Q855">
        <v>3</v>
      </c>
      <c r="R855" s="1">
        <v>41244</v>
      </c>
      <c r="S855" t="s">
        <v>29</v>
      </c>
      <c r="T855" t="str">
        <f t="shared" si="65"/>
        <v>Grade A</v>
      </c>
      <c r="U855">
        <f t="shared" si="66"/>
        <v>4</v>
      </c>
      <c r="V855" t="str">
        <f t="shared" si="67"/>
        <v>Senior</v>
      </c>
      <c r="W855" t="str">
        <f t="shared" si="68"/>
        <v>Low Risk</v>
      </c>
      <c r="X855" t="str">
        <f t="shared" si="69"/>
        <v>Competitive</v>
      </c>
    </row>
    <row r="856" spans="1:24" x14ac:dyDescent="0.3">
      <c r="A856" t="s">
        <v>924</v>
      </c>
      <c r="B856" t="s">
        <v>20</v>
      </c>
      <c r="C856">
        <v>44</v>
      </c>
      <c r="D856" t="s">
        <v>57</v>
      </c>
      <c r="E856" t="s">
        <v>48</v>
      </c>
      <c r="F856" t="s">
        <v>41</v>
      </c>
      <c r="G856" t="s">
        <v>79</v>
      </c>
      <c r="H856" t="s">
        <v>25</v>
      </c>
      <c r="I856" t="s">
        <v>50</v>
      </c>
      <c r="J856" t="s">
        <v>44</v>
      </c>
      <c r="K856">
        <v>12</v>
      </c>
      <c r="L856">
        <v>72651</v>
      </c>
      <c r="M856" t="s">
        <v>45</v>
      </c>
      <c r="N856">
        <v>4</v>
      </c>
      <c r="O856">
        <v>3</v>
      </c>
      <c r="P856">
        <v>72</v>
      </c>
      <c r="Q856">
        <v>2</v>
      </c>
      <c r="R856" s="1">
        <v>40749</v>
      </c>
      <c r="S856" t="s">
        <v>29</v>
      </c>
      <c r="T856" t="str">
        <f t="shared" si="65"/>
        <v>Grade B</v>
      </c>
      <c r="U856">
        <f t="shared" si="66"/>
        <v>2</v>
      </c>
      <c r="V856" t="str">
        <f t="shared" si="67"/>
        <v>Senior</v>
      </c>
      <c r="W856" t="str">
        <f t="shared" si="68"/>
        <v>Medium Risk</v>
      </c>
      <c r="X856" t="str">
        <f t="shared" si="69"/>
        <v>Fair</v>
      </c>
    </row>
    <row r="857" spans="1:24" x14ac:dyDescent="0.3">
      <c r="A857" t="s">
        <v>925</v>
      </c>
      <c r="B857" t="s">
        <v>20</v>
      </c>
      <c r="C857">
        <v>47</v>
      </c>
      <c r="D857" t="s">
        <v>57</v>
      </c>
      <c r="E857" t="s">
        <v>48</v>
      </c>
      <c r="F857" t="s">
        <v>32</v>
      </c>
      <c r="G857" t="s">
        <v>66</v>
      </c>
      <c r="H857" t="s">
        <v>67</v>
      </c>
      <c r="I857" t="s">
        <v>35</v>
      </c>
      <c r="J857" t="s">
        <v>27</v>
      </c>
      <c r="K857">
        <v>1</v>
      </c>
      <c r="L857">
        <v>40426</v>
      </c>
      <c r="M857" t="s">
        <v>28</v>
      </c>
      <c r="N857">
        <v>4</v>
      </c>
      <c r="O857">
        <v>2</v>
      </c>
      <c r="P857">
        <v>28</v>
      </c>
      <c r="Q857">
        <v>3</v>
      </c>
      <c r="R857" s="1">
        <v>44691</v>
      </c>
      <c r="S857" t="s">
        <v>29</v>
      </c>
      <c r="T857" t="str">
        <f t="shared" si="65"/>
        <v>Grade C</v>
      </c>
      <c r="U857">
        <f t="shared" si="66"/>
        <v>3</v>
      </c>
      <c r="V857" t="str">
        <f t="shared" si="67"/>
        <v>New Joiner</v>
      </c>
      <c r="W857" t="str">
        <f t="shared" si="68"/>
        <v>Medium Risk</v>
      </c>
      <c r="X857" t="str">
        <f t="shared" si="69"/>
        <v>Fair</v>
      </c>
    </row>
    <row r="858" spans="1:24" x14ac:dyDescent="0.3">
      <c r="A858" t="s">
        <v>926</v>
      </c>
      <c r="B858" t="s">
        <v>20</v>
      </c>
      <c r="C858">
        <v>33</v>
      </c>
      <c r="D858" t="s">
        <v>47</v>
      </c>
      <c r="E858" t="s">
        <v>40</v>
      </c>
      <c r="F858" t="s">
        <v>23</v>
      </c>
      <c r="G858" t="s">
        <v>24</v>
      </c>
      <c r="H858" t="s">
        <v>67</v>
      </c>
      <c r="I858" t="s">
        <v>43</v>
      </c>
      <c r="J858" t="s">
        <v>44</v>
      </c>
      <c r="K858">
        <v>7</v>
      </c>
      <c r="L858">
        <v>92088</v>
      </c>
      <c r="M858" t="s">
        <v>45</v>
      </c>
      <c r="N858">
        <v>2</v>
      </c>
      <c r="O858">
        <v>2</v>
      </c>
      <c r="P858">
        <v>22</v>
      </c>
      <c r="Q858">
        <v>0</v>
      </c>
      <c r="R858" s="1">
        <v>42730</v>
      </c>
      <c r="S858" t="s">
        <v>29</v>
      </c>
      <c r="T858" t="str">
        <f t="shared" si="65"/>
        <v>Grade A</v>
      </c>
      <c r="U858">
        <f t="shared" si="66"/>
        <v>2</v>
      </c>
      <c r="V858" t="str">
        <f t="shared" si="67"/>
        <v>Mid Level</v>
      </c>
      <c r="W858" t="str">
        <f t="shared" si="68"/>
        <v>Medium Risk</v>
      </c>
      <c r="X858" t="str">
        <f t="shared" si="69"/>
        <v>Fair</v>
      </c>
    </row>
    <row r="859" spans="1:24" x14ac:dyDescent="0.3">
      <c r="A859" t="s">
        <v>927</v>
      </c>
      <c r="B859" t="s">
        <v>39</v>
      </c>
      <c r="C859">
        <v>41</v>
      </c>
      <c r="D859" t="s">
        <v>88</v>
      </c>
      <c r="E859" t="s">
        <v>48</v>
      </c>
      <c r="F859" t="s">
        <v>78</v>
      </c>
      <c r="G859" t="s">
        <v>49</v>
      </c>
      <c r="H859" t="s">
        <v>67</v>
      </c>
      <c r="I859" t="s">
        <v>43</v>
      </c>
      <c r="J859" t="s">
        <v>44</v>
      </c>
      <c r="K859">
        <v>6</v>
      </c>
      <c r="L859">
        <v>52710</v>
      </c>
      <c r="M859" t="s">
        <v>45</v>
      </c>
      <c r="N859">
        <v>2</v>
      </c>
      <c r="O859">
        <v>2</v>
      </c>
      <c r="P859">
        <v>72</v>
      </c>
      <c r="Q859">
        <v>3</v>
      </c>
      <c r="R859" s="1">
        <v>42902</v>
      </c>
      <c r="S859" t="s">
        <v>29</v>
      </c>
      <c r="T859" t="str">
        <f t="shared" si="65"/>
        <v>Grade B</v>
      </c>
      <c r="U859">
        <f t="shared" si="66"/>
        <v>2</v>
      </c>
      <c r="V859" t="str">
        <f t="shared" si="67"/>
        <v>Mid Level</v>
      </c>
      <c r="W859" t="str">
        <f t="shared" si="68"/>
        <v>Medium Risk</v>
      </c>
      <c r="X859" t="str">
        <f t="shared" si="69"/>
        <v>Fair</v>
      </c>
    </row>
    <row r="860" spans="1:24" x14ac:dyDescent="0.3">
      <c r="A860" t="s">
        <v>928</v>
      </c>
      <c r="B860" t="s">
        <v>20</v>
      </c>
      <c r="C860">
        <v>40</v>
      </c>
      <c r="D860" t="s">
        <v>47</v>
      </c>
      <c r="E860" t="s">
        <v>22</v>
      </c>
      <c r="F860" t="s">
        <v>75</v>
      </c>
      <c r="G860" t="s">
        <v>58</v>
      </c>
      <c r="H860" t="s">
        <v>67</v>
      </c>
      <c r="I860" t="s">
        <v>43</v>
      </c>
      <c r="J860" t="s">
        <v>44</v>
      </c>
      <c r="K860">
        <v>11</v>
      </c>
      <c r="L860">
        <v>108579</v>
      </c>
      <c r="M860" t="s">
        <v>36</v>
      </c>
      <c r="N860">
        <v>4</v>
      </c>
      <c r="O860">
        <v>2</v>
      </c>
      <c r="P860">
        <v>63</v>
      </c>
      <c r="Q860">
        <v>3</v>
      </c>
      <c r="R860" s="1">
        <v>41112</v>
      </c>
      <c r="S860" t="s">
        <v>37</v>
      </c>
      <c r="T860" t="str">
        <f t="shared" si="65"/>
        <v>Grade A</v>
      </c>
      <c r="U860">
        <f t="shared" si="66"/>
        <v>1</v>
      </c>
      <c r="V860" t="str">
        <f t="shared" si="67"/>
        <v>Senior</v>
      </c>
      <c r="W860" t="str">
        <f t="shared" si="68"/>
        <v>Already Left</v>
      </c>
      <c r="X860" t="str">
        <f t="shared" si="69"/>
        <v>Overpaid</v>
      </c>
    </row>
    <row r="861" spans="1:24" x14ac:dyDescent="0.3">
      <c r="A861" t="s">
        <v>929</v>
      </c>
      <c r="B861" t="s">
        <v>39</v>
      </c>
      <c r="C861">
        <v>55</v>
      </c>
      <c r="D861" t="s">
        <v>31</v>
      </c>
      <c r="E861" t="s">
        <v>48</v>
      </c>
      <c r="F861" t="s">
        <v>62</v>
      </c>
      <c r="G861" t="s">
        <v>42</v>
      </c>
      <c r="H861" t="s">
        <v>67</v>
      </c>
      <c r="I861" t="s">
        <v>50</v>
      </c>
      <c r="J861" t="s">
        <v>44</v>
      </c>
      <c r="K861">
        <v>11</v>
      </c>
      <c r="L861">
        <v>121057</v>
      </c>
      <c r="M861" t="s">
        <v>45</v>
      </c>
      <c r="N861">
        <v>3</v>
      </c>
      <c r="O861">
        <v>2</v>
      </c>
      <c r="P861">
        <v>57</v>
      </c>
      <c r="Q861">
        <v>3</v>
      </c>
      <c r="R861" s="1">
        <v>41215</v>
      </c>
      <c r="S861" t="s">
        <v>29</v>
      </c>
      <c r="T861" t="str">
        <f t="shared" si="65"/>
        <v>Grade A</v>
      </c>
      <c r="U861">
        <f t="shared" si="66"/>
        <v>2</v>
      </c>
      <c r="V861" t="str">
        <f t="shared" si="67"/>
        <v>Senior</v>
      </c>
      <c r="W861" t="str">
        <f t="shared" si="68"/>
        <v>Medium Risk</v>
      </c>
      <c r="X861" t="str">
        <f t="shared" si="69"/>
        <v>Fair</v>
      </c>
    </row>
    <row r="862" spans="1:24" x14ac:dyDescent="0.3">
      <c r="A862" t="s">
        <v>930</v>
      </c>
      <c r="B862" t="s">
        <v>39</v>
      </c>
      <c r="C862">
        <v>42</v>
      </c>
      <c r="D862" t="s">
        <v>57</v>
      </c>
      <c r="E862" t="s">
        <v>48</v>
      </c>
      <c r="F862" t="s">
        <v>23</v>
      </c>
      <c r="G862" t="s">
        <v>49</v>
      </c>
      <c r="H862" t="s">
        <v>76</v>
      </c>
      <c r="I862" t="s">
        <v>26</v>
      </c>
      <c r="J862" t="s">
        <v>27</v>
      </c>
      <c r="K862">
        <v>7</v>
      </c>
      <c r="L862">
        <v>60863</v>
      </c>
      <c r="M862" t="s">
        <v>45</v>
      </c>
      <c r="N862">
        <v>3</v>
      </c>
      <c r="O862">
        <v>3</v>
      </c>
      <c r="P862">
        <v>34</v>
      </c>
      <c r="Q862">
        <v>1</v>
      </c>
      <c r="R862" s="1">
        <v>42385</v>
      </c>
      <c r="S862" t="s">
        <v>29</v>
      </c>
      <c r="T862" t="str">
        <f t="shared" si="65"/>
        <v>Grade B</v>
      </c>
      <c r="U862">
        <f t="shared" si="66"/>
        <v>2</v>
      </c>
      <c r="V862" t="str">
        <f t="shared" si="67"/>
        <v>Mid Level</v>
      </c>
      <c r="W862" t="str">
        <f t="shared" si="68"/>
        <v>Medium Risk</v>
      </c>
      <c r="X862" t="str">
        <f t="shared" si="69"/>
        <v>Fair</v>
      </c>
    </row>
    <row r="863" spans="1:24" x14ac:dyDescent="0.3">
      <c r="A863" t="s">
        <v>931</v>
      </c>
      <c r="B863" t="s">
        <v>39</v>
      </c>
      <c r="C863">
        <v>42</v>
      </c>
      <c r="D863" t="s">
        <v>88</v>
      </c>
      <c r="E863" t="s">
        <v>22</v>
      </c>
      <c r="F863" t="s">
        <v>32</v>
      </c>
      <c r="G863" t="s">
        <v>49</v>
      </c>
      <c r="H863" t="s">
        <v>34</v>
      </c>
      <c r="I863" t="s">
        <v>72</v>
      </c>
      <c r="J863" t="s">
        <v>73</v>
      </c>
      <c r="K863">
        <v>14</v>
      </c>
      <c r="L863">
        <v>84010</v>
      </c>
      <c r="M863" t="s">
        <v>28</v>
      </c>
      <c r="N863">
        <v>4</v>
      </c>
      <c r="O863">
        <v>2</v>
      </c>
      <c r="P863">
        <v>51</v>
      </c>
      <c r="Q863">
        <v>0</v>
      </c>
      <c r="R863" s="1">
        <v>39942</v>
      </c>
      <c r="S863" t="s">
        <v>29</v>
      </c>
      <c r="T863" t="str">
        <f t="shared" si="65"/>
        <v>Grade A</v>
      </c>
      <c r="U863">
        <f t="shared" si="66"/>
        <v>3</v>
      </c>
      <c r="V863" t="str">
        <f t="shared" si="67"/>
        <v>Senior</v>
      </c>
      <c r="W863" t="str">
        <f t="shared" si="68"/>
        <v>Medium Risk</v>
      </c>
      <c r="X863" t="str">
        <f t="shared" si="69"/>
        <v>Competitive</v>
      </c>
    </row>
    <row r="864" spans="1:24" x14ac:dyDescent="0.3">
      <c r="A864" t="s">
        <v>932</v>
      </c>
      <c r="B864" t="s">
        <v>39</v>
      </c>
      <c r="C864">
        <v>45</v>
      </c>
      <c r="D864" t="s">
        <v>21</v>
      </c>
      <c r="E864" t="s">
        <v>48</v>
      </c>
      <c r="F864" t="s">
        <v>78</v>
      </c>
      <c r="G864" t="s">
        <v>33</v>
      </c>
      <c r="H864" t="s">
        <v>76</v>
      </c>
      <c r="I864" t="s">
        <v>35</v>
      </c>
      <c r="J864" t="s">
        <v>27</v>
      </c>
      <c r="K864">
        <v>2</v>
      </c>
      <c r="L864">
        <v>66765</v>
      </c>
      <c r="M864" t="s">
        <v>45</v>
      </c>
      <c r="N864">
        <v>2</v>
      </c>
      <c r="O864">
        <v>2</v>
      </c>
      <c r="P864">
        <v>10</v>
      </c>
      <c r="Q864">
        <v>2</v>
      </c>
      <c r="R864" s="1">
        <v>44421</v>
      </c>
      <c r="S864" t="s">
        <v>29</v>
      </c>
      <c r="T864" t="str">
        <f t="shared" si="65"/>
        <v>Grade B</v>
      </c>
      <c r="U864">
        <f t="shared" si="66"/>
        <v>2</v>
      </c>
      <c r="V864" t="str">
        <f t="shared" si="67"/>
        <v>New Joiner</v>
      </c>
      <c r="W864" t="str">
        <f t="shared" si="68"/>
        <v>Medium Risk</v>
      </c>
      <c r="X864" t="str">
        <f t="shared" si="69"/>
        <v>Fair</v>
      </c>
    </row>
    <row r="865" spans="1:24" x14ac:dyDescent="0.3">
      <c r="A865" t="s">
        <v>933</v>
      </c>
      <c r="B865" t="s">
        <v>39</v>
      </c>
      <c r="C865">
        <v>34</v>
      </c>
      <c r="D865" t="s">
        <v>88</v>
      </c>
      <c r="E865" t="s">
        <v>40</v>
      </c>
      <c r="F865" t="s">
        <v>78</v>
      </c>
      <c r="G865" t="s">
        <v>42</v>
      </c>
      <c r="H865" t="s">
        <v>34</v>
      </c>
      <c r="I865" t="s">
        <v>72</v>
      </c>
      <c r="J865" t="s">
        <v>73</v>
      </c>
      <c r="K865">
        <v>13</v>
      </c>
      <c r="L865">
        <v>121486</v>
      </c>
      <c r="M865" t="s">
        <v>28</v>
      </c>
      <c r="N865">
        <v>1</v>
      </c>
      <c r="O865">
        <v>3</v>
      </c>
      <c r="P865">
        <v>17</v>
      </c>
      <c r="Q865">
        <v>1</v>
      </c>
      <c r="R865" s="1">
        <v>40387</v>
      </c>
      <c r="S865" t="s">
        <v>29</v>
      </c>
      <c r="T865" t="str">
        <f t="shared" si="65"/>
        <v>Grade A</v>
      </c>
      <c r="U865">
        <f t="shared" si="66"/>
        <v>3</v>
      </c>
      <c r="V865" t="str">
        <f t="shared" si="67"/>
        <v>Senior</v>
      </c>
      <c r="W865" t="str">
        <f t="shared" si="68"/>
        <v>Medium Risk</v>
      </c>
      <c r="X865" t="str">
        <f t="shared" si="69"/>
        <v>Competitive</v>
      </c>
    </row>
    <row r="866" spans="1:24" x14ac:dyDescent="0.3">
      <c r="A866" t="s">
        <v>934</v>
      </c>
      <c r="B866" t="s">
        <v>20</v>
      </c>
      <c r="C866">
        <v>23</v>
      </c>
      <c r="D866" t="s">
        <v>21</v>
      </c>
      <c r="E866" t="s">
        <v>40</v>
      </c>
      <c r="F866" t="s">
        <v>62</v>
      </c>
      <c r="G866" t="s">
        <v>58</v>
      </c>
      <c r="H866" t="s">
        <v>67</v>
      </c>
      <c r="I866" t="s">
        <v>35</v>
      </c>
      <c r="J866" t="s">
        <v>27</v>
      </c>
      <c r="K866">
        <v>7</v>
      </c>
      <c r="L866">
        <v>98770</v>
      </c>
      <c r="M866" t="s">
        <v>36</v>
      </c>
      <c r="N866">
        <v>4</v>
      </c>
      <c r="O866">
        <v>1</v>
      </c>
      <c r="P866">
        <v>57</v>
      </c>
      <c r="Q866">
        <v>3</v>
      </c>
      <c r="R866" s="1">
        <v>42664</v>
      </c>
      <c r="S866" t="s">
        <v>37</v>
      </c>
      <c r="T866" t="str">
        <f t="shared" si="65"/>
        <v>Grade A</v>
      </c>
      <c r="U866">
        <f t="shared" si="66"/>
        <v>1</v>
      </c>
      <c r="V866" t="str">
        <f t="shared" si="67"/>
        <v>Mid Level</v>
      </c>
      <c r="W866" t="str">
        <f t="shared" si="68"/>
        <v>Already Left</v>
      </c>
      <c r="X866" t="str">
        <f t="shared" si="69"/>
        <v>Overpaid</v>
      </c>
    </row>
    <row r="867" spans="1:24" x14ac:dyDescent="0.3">
      <c r="A867" t="s">
        <v>935</v>
      </c>
      <c r="B867" t="s">
        <v>20</v>
      </c>
      <c r="C867">
        <v>39</v>
      </c>
      <c r="D867" t="s">
        <v>47</v>
      </c>
      <c r="E867" t="s">
        <v>40</v>
      </c>
      <c r="F867" t="s">
        <v>78</v>
      </c>
      <c r="G867" t="s">
        <v>33</v>
      </c>
      <c r="H867" t="s">
        <v>76</v>
      </c>
      <c r="I867" t="s">
        <v>68</v>
      </c>
      <c r="J867" t="s">
        <v>60</v>
      </c>
      <c r="K867">
        <v>10</v>
      </c>
      <c r="L867">
        <v>80292</v>
      </c>
      <c r="M867" t="s">
        <v>28</v>
      </c>
      <c r="N867">
        <v>4</v>
      </c>
      <c r="O867">
        <v>3</v>
      </c>
      <c r="P867">
        <v>30</v>
      </c>
      <c r="Q867">
        <v>1</v>
      </c>
      <c r="R867" s="1">
        <v>41502</v>
      </c>
      <c r="S867" t="s">
        <v>37</v>
      </c>
      <c r="T867" t="str">
        <f t="shared" si="65"/>
        <v>Grade A</v>
      </c>
      <c r="U867">
        <f t="shared" si="66"/>
        <v>3</v>
      </c>
      <c r="V867" t="str">
        <f t="shared" si="67"/>
        <v>Mid Level</v>
      </c>
      <c r="W867" t="str">
        <f t="shared" si="68"/>
        <v>Already Left</v>
      </c>
      <c r="X867" t="str">
        <f t="shared" si="69"/>
        <v>Competitive</v>
      </c>
    </row>
    <row r="868" spans="1:24" x14ac:dyDescent="0.3">
      <c r="A868" t="s">
        <v>936</v>
      </c>
      <c r="B868" t="s">
        <v>39</v>
      </c>
      <c r="C868">
        <v>42</v>
      </c>
      <c r="D868" t="s">
        <v>57</v>
      </c>
      <c r="E868" t="s">
        <v>40</v>
      </c>
      <c r="F868" t="s">
        <v>23</v>
      </c>
      <c r="G868" t="s">
        <v>66</v>
      </c>
      <c r="H868" t="s">
        <v>83</v>
      </c>
      <c r="I868" t="s">
        <v>72</v>
      </c>
      <c r="J868" t="s">
        <v>73</v>
      </c>
      <c r="K868">
        <v>14</v>
      </c>
      <c r="L868">
        <v>71106</v>
      </c>
      <c r="M868" t="s">
        <v>51</v>
      </c>
      <c r="N868">
        <v>1</v>
      </c>
      <c r="O868">
        <v>4</v>
      </c>
      <c r="P868">
        <v>51</v>
      </c>
      <c r="Q868">
        <v>3</v>
      </c>
      <c r="R868" s="1">
        <v>39994</v>
      </c>
      <c r="S868" t="s">
        <v>29</v>
      </c>
      <c r="T868" t="str">
        <f t="shared" si="65"/>
        <v>Grade B</v>
      </c>
      <c r="U868">
        <f t="shared" si="66"/>
        <v>4</v>
      </c>
      <c r="V868" t="str">
        <f t="shared" si="67"/>
        <v>Senior</v>
      </c>
      <c r="W868" t="str">
        <f t="shared" si="68"/>
        <v>Low Risk</v>
      </c>
      <c r="X868" t="str">
        <f t="shared" si="69"/>
        <v>Fair</v>
      </c>
    </row>
    <row r="869" spans="1:24" x14ac:dyDescent="0.3">
      <c r="A869" t="s">
        <v>937</v>
      </c>
      <c r="B869" t="s">
        <v>39</v>
      </c>
      <c r="C869">
        <v>54</v>
      </c>
      <c r="D869" t="s">
        <v>21</v>
      </c>
      <c r="E869" t="s">
        <v>40</v>
      </c>
      <c r="F869" t="s">
        <v>65</v>
      </c>
      <c r="G869" t="s">
        <v>42</v>
      </c>
      <c r="H869" t="s">
        <v>34</v>
      </c>
      <c r="I869" t="s">
        <v>68</v>
      </c>
      <c r="J869" t="s">
        <v>60</v>
      </c>
      <c r="K869">
        <v>11</v>
      </c>
      <c r="L869">
        <v>117617</v>
      </c>
      <c r="M869" t="s">
        <v>51</v>
      </c>
      <c r="N869">
        <v>2</v>
      </c>
      <c r="O869">
        <v>4</v>
      </c>
      <c r="P869">
        <v>18</v>
      </c>
      <c r="Q869">
        <v>0</v>
      </c>
      <c r="R869" s="1">
        <v>40986</v>
      </c>
      <c r="S869" t="s">
        <v>29</v>
      </c>
      <c r="T869" t="str">
        <f t="shared" si="65"/>
        <v>Grade A</v>
      </c>
      <c r="U869">
        <f t="shared" si="66"/>
        <v>4</v>
      </c>
      <c r="V869" t="str">
        <f t="shared" si="67"/>
        <v>Senior</v>
      </c>
      <c r="W869" t="str">
        <f t="shared" si="68"/>
        <v>Low Risk</v>
      </c>
      <c r="X869" t="str">
        <f t="shared" si="69"/>
        <v>Competitive</v>
      </c>
    </row>
    <row r="870" spans="1:24" x14ac:dyDescent="0.3">
      <c r="A870" t="s">
        <v>938</v>
      </c>
      <c r="B870" t="s">
        <v>20</v>
      </c>
      <c r="C870">
        <v>27</v>
      </c>
      <c r="D870" t="s">
        <v>57</v>
      </c>
      <c r="E870" t="s">
        <v>48</v>
      </c>
      <c r="F870" t="s">
        <v>53</v>
      </c>
      <c r="G870" t="s">
        <v>49</v>
      </c>
      <c r="H870" t="s">
        <v>83</v>
      </c>
      <c r="I870" t="s">
        <v>68</v>
      </c>
      <c r="J870" t="s">
        <v>60</v>
      </c>
      <c r="K870">
        <v>12</v>
      </c>
      <c r="L870">
        <v>67010</v>
      </c>
      <c r="M870" t="s">
        <v>28</v>
      </c>
      <c r="N870">
        <v>1</v>
      </c>
      <c r="O870">
        <v>4</v>
      </c>
      <c r="P870">
        <v>61</v>
      </c>
      <c r="Q870">
        <v>0</v>
      </c>
      <c r="R870" s="1">
        <v>40730</v>
      </c>
      <c r="S870" t="s">
        <v>29</v>
      </c>
      <c r="T870" t="str">
        <f t="shared" si="65"/>
        <v>Grade B</v>
      </c>
      <c r="U870">
        <f t="shared" si="66"/>
        <v>3</v>
      </c>
      <c r="V870" t="str">
        <f t="shared" si="67"/>
        <v>Senior</v>
      </c>
      <c r="W870" t="str">
        <f t="shared" si="68"/>
        <v>Medium Risk</v>
      </c>
      <c r="X870" t="str">
        <f t="shared" si="69"/>
        <v>Competitive</v>
      </c>
    </row>
    <row r="871" spans="1:24" x14ac:dyDescent="0.3">
      <c r="A871" t="s">
        <v>939</v>
      </c>
      <c r="B871" t="s">
        <v>39</v>
      </c>
      <c r="C871">
        <v>38</v>
      </c>
      <c r="D871" t="s">
        <v>47</v>
      </c>
      <c r="E871" t="s">
        <v>22</v>
      </c>
      <c r="F871" t="s">
        <v>75</v>
      </c>
      <c r="G871" t="s">
        <v>79</v>
      </c>
      <c r="H871" t="s">
        <v>76</v>
      </c>
      <c r="I871" t="s">
        <v>35</v>
      </c>
      <c r="J871" t="s">
        <v>27</v>
      </c>
      <c r="K871">
        <v>9</v>
      </c>
      <c r="L871">
        <v>54791</v>
      </c>
      <c r="M871" t="s">
        <v>28</v>
      </c>
      <c r="N871">
        <v>1</v>
      </c>
      <c r="O871">
        <v>1</v>
      </c>
      <c r="P871">
        <v>16</v>
      </c>
      <c r="Q871">
        <v>1</v>
      </c>
      <c r="R871" s="1">
        <v>41926</v>
      </c>
      <c r="S871" t="s">
        <v>29</v>
      </c>
      <c r="T871" t="str">
        <f t="shared" si="65"/>
        <v>Grade B</v>
      </c>
      <c r="U871">
        <f t="shared" si="66"/>
        <v>3</v>
      </c>
      <c r="V871" t="str">
        <f t="shared" si="67"/>
        <v>Mid Level</v>
      </c>
      <c r="W871" t="str">
        <f t="shared" si="68"/>
        <v>Medium Risk</v>
      </c>
      <c r="X871" t="str">
        <f t="shared" si="69"/>
        <v>Competitive</v>
      </c>
    </row>
    <row r="872" spans="1:24" x14ac:dyDescent="0.3">
      <c r="A872" t="s">
        <v>940</v>
      </c>
      <c r="B872" t="s">
        <v>20</v>
      </c>
      <c r="C872">
        <v>42</v>
      </c>
      <c r="D872" t="s">
        <v>57</v>
      </c>
      <c r="E872" t="s">
        <v>40</v>
      </c>
      <c r="F872" t="s">
        <v>23</v>
      </c>
      <c r="G872" t="s">
        <v>49</v>
      </c>
      <c r="H872" t="s">
        <v>83</v>
      </c>
      <c r="I872" t="s">
        <v>96</v>
      </c>
      <c r="J872" t="s">
        <v>44</v>
      </c>
      <c r="K872">
        <v>13</v>
      </c>
      <c r="L872">
        <v>71001</v>
      </c>
      <c r="M872" t="s">
        <v>28</v>
      </c>
      <c r="N872">
        <v>4</v>
      </c>
      <c r="O872">
        <v>1</v>
      </c>
      <c r="P872">
        <v>75</v>
      </c>
      <c r="Q872">
        <v>2</v>
      </c>
      <c r="R872" s="1">
        <v>40291</v>
      </c>
      <c r="S872" t="s">
        <v>29</v>
      </c>
      <c r="T872" t="str">
        <f t="shared" si="65"/>
        <v>Grade B</v>
      </c>
      <c r="U872">
        <f t="shared" si="66"/>
        <v>3</v>
      </c>
      <c r="V872" t="str">
        <f t="shared" si="67"/>
        <v>Senior</v>
      </c>
      <c r="W872" t="str">
        <f t="shared" si="68"/>
        <v>Medium Risk</v>
      </c>
      <c r="X872" t="str">
        <f t="shared" si="69"/>
        <v>Competitive</v>
      </c>
    </row>
    <row r="873" spans="1:24" x14ac:dyDescent="0.3">
      <c r="A873" t="s">
        <v>941</v>
      </c>
      <c r="B873" t="s">
        <v>39</v>
      </c>
      <c r="C873">
        <v>53</v>
      </c>
      <c r="D873" t="s">
        <v>21</v>
      </c>
      <c r="E873" t="s">
        <v>48</v>
      </c>
      <c r="F873" t="s">
        <v>23</v>
      </c>
      <c r="G873" t="s">
        <v>49</v>
      </c>
      <c r="H873" t="s">
        <v>76</v>
      </c>
      <c r="I873" t="s">
        <v>96</v>
      </c>
      <c r="J873" t="s">
        <v>44</v>
      </c>
      <c r="K873">
        <v>1</v>
      </c>
      <c r="L873">
        <v>61322</v>
      </c>
      <c r="M873" t="s">
        <v>51</v>
      </c>
      <c r="N873">
        <v>1</v>
      </c>
      <c r="O873">
        <v>3</v>
      </c>
      <c r="P873">
        <v>75</v>
      </c>
      <c r="Q873">
        <v>1</v>
      </c>
      <c r="R873" s="1">
        <v>44821</v>
      </c>
      <c r="S873" t="s">
        <v>37</v>
      </c>
      <c r="T873" t="str">
        <f t="shared" si="65"/>
        <v>Grade B</v>
      </c>
      <c r="U873">
        <f t="shared" si="66"/>
        <v>4</v>
      </c>
      <c r="V873" t="str">
        <f t="shared" si="67"/>
        <v>New Joiner</v>
      </c>
      <c r="W873" t="str">
        <f t="shared" si="68"/>
        <v>Already Left</v>
      </c>
      <c r="X873" t="str">
        <f t="shared" si="69"/>
        <v>Fair</v>
      </c>
    </row>
    <row r="874" spans="1:24" x14ac:dyDescent="0.3">
      <c r="A874" t="s">
        <v>942</v>
      </c>
      <c r="B874" t="s">
        <v>20</v>
      </c>
      <c r="C874">
        <v>32</v>
      </c>
      <c r="D874" t="s">
        <v>47</v>
      </c>
      <c r="E874" t="s">
        <v>40</v>
      </c>
      <c r="F874" t="s">
        <v>32</v>
      </c>
      <c r="G874" t="s">
        <v>42</v>
      </c>
      <c r="H874" t="s">
        <v>67</v>
      </c>
      <c r="I874" t="s">
        <v>43</v>
      </c>
      <c r="J874" t="s">
        <v>44</v>
      </c>
      <c r="K874">
        <v>15</v>
      </c>
      <c r="L874">
        <v>123704</v>
      </c>
      <c r="M874" t="s">
        <v>51</v>
      </c>
      <c r="N874">
        <v>3</v>
      </c>
      <c r="O874">
        <v>3</v>
      </c>
      <c r="P874">
        <v>35</v>
      </c>
      <c r="Q874">
        <v>2</v>
      </c>
      <c r="R874" s="1">
        <v>39626</v>
      </c>
      <c r="S874" t="s">
        <v>29</v>
      </c>
      <c r="T874" t="str">
        <f t="shared" si="65"/>
        <v>Grade A</v>
      </c>
      <c r="U874">
        <f t="shared" si="66"/>
        <v>4</v>
      </c>
      <c r="V874" t="str">
        <f t="shared" si="67"/>
        <v>Senior</v>
      </c>
      <c r="W874" t="str">
        <f t="shared" si="68"/>
        <v>Low Risk</v>
      </c>
      <c r="X874" t="str">
        <f t="shared" si="69"/>
        <v>Competitive</v>
      </c>
    </row>
    <row r="875" spans="1:24" x14ac:dyDescent="0.3">
      <c r="A875" t="s">
        <v>943</v>
      </c>
      <c r="B875" t="s">
        <v>20</v>
      </c>
      <c r="C875">
        <v>35</v>
      </c>
      <c r="D875" t="s">
        <v>47</v>
      </c>
      <c r="E875" t="s">
        <v>22</v>
      </c>
      <c r="F875" t="s">
        <v>75</v>
      </c>
      <c r="G875" t="s">
        <v>58</v>
      </c>
      <c r="H875" t="s">
        <v>83</v>
      </c>
      <c r="I875" t="s">
        <v>80</v>
      </c>
      <c r="J875" t="s">
        <v>60</v>
      </c>
      <c r="K875">
        <v>8</v>
      </c>
      <c r="L875">
        <v>105599</v>
      </c>
      <c r="M875" t="s">
        <v>45</v>
      </c>
      <c r="N875">
        <v>1</v>
      </c>
      <c r="O875">
        <v>4</v>
      </c>
      <c r="P875">
        <v>23</v>
      </c>
      <c r="Q875">
        <v>1</v>
      </c>
      <c r="R875" s="1">
        <v>42039</v>
      </c>
      <c r="S875" t="s">
        <v>29</v>
      </c>
      <c r="T875" t="str">
        <f t="shared" si="65"/>
        <v>Grade A</v>
      </c>
      <c r="U875">
        <f t="shared" si="66"/>
        <v>2</v>
      </c>
      <c r="V875" t="str">
        <f t="shared" si="67"/>
        <v>Mid Level</v>
      </c>
      <c r="W875" t="str">
        <f t="shared" si="68"/>
        <v>Medium Risk</v>
      </c>
      <c r="X875" t="str">
        <f t="shared" si="69"/>
        <v>Fair</v>
      </c>
    </row>
    <row r="876" spans="1:24" x14ac:dyDescent="0.3">
      <c r="A876" t="s">
        <v>944</v>
      </c>
      <c r="B876" t="s">
        <v>20</v>
      </c>
      <c r="C876">
        <v>35</v>
      </c>
      <c r="D876" t="s">
        <v>88</v>
      </c>
      <c r="E876" t="s">
        <v>22</v>
      </c>
      <c r="F876" t="s">
        <v>62</v>
      </c>
      <c r="G876" t="s">
        <v>33</v>
      </c>
      <c r="H876" t="s">
        <v>67</v>
      </c>
      <c r="I876" t="s">
        <v>59</v>
      </c>
      <c r="J876" t="s">
        <v>60</v>
      </c>
      <c r="K876">
        <v>6</v>
      </c>
      <c r="L876">
        <v>63781</v>
      </c>
      <c r="M876" t="s">
        <v>45</v>
      </c>
      <c r="N876">
        <v>3</v>
      </c>
      <c r="O876">
        <v>1</v>
      </c>
      <c r="P876">
        <v>37</v>
      </c>
      <c r="Q876">
        <v>1</v>
      </c>
      <c r="R876" s="1">
        <v>42812</v>
      </c>
      <c r="S876" t="s">
        <v>29</v>
      </c>
      <c r="T876" t="str">
        <f t="shared" si="65"/>
        <v>Grade B</v>
      </c>
      <c r="U876">
        <f t="shared" si="66"/>
        <v>2</v>
      </c>
      <c r="V876" t="str">
        <f t="shared" si="67"/>
        <v>Mid Level</v>
      </c>
      <c r="W876" t="str">
        <f t="shared" si="68"/>
        <v>Medium Risk</v>
      </c>
      <c r="X876" t="str">
        <f t="shared" si="69"/>
        <v>Fair</v>
      </c>
    </row>
    <row r="877" spans="1:24" x14ac:dyDescent="0.3">
      <c r="A877" t="s">
        <v>945</v>
      </c>
      <c r="B877" t="s">
        <v>20</v>
      </c>
      <c r="C877">
        <v>52</v>
      </c>
      <c r="D877" t="s">
        <v>88</v>
      </c>
      <c r="E877" t="s">
        <v>40</v>
      </c>
      <c r="F877" t="s">
        <v>32</v>
      </c>
      <c r="G877" t="s">
        <v>66</v>
      </c>
      <c r="H877" t="s">
        <v>76</v>
      </c>
      <c r="I877" t="s">
        <v>72</v>
      </c>
      <c r="J877" t="s">
        <v>73</v>
      </c>
      <c r="K877">
        <v>12</v>
      </c>
      <c r="L877">
        <v>64003</v>
      </c>
      <c r="M877" t="s">
        <v>36</v>
      </c>
      <c r="N877">
        <v>3</v>
      </c>
      <c r="O877">
        <v>2</v>
      </c>
      <c r="P877">
        <v>19</v>
      </c>
      <c r="Q877">
        <v>0</v>
      </c>
      <c r="R877" s="1">
        <v>40828</v>
      </c>
      <c r="S877" t="s">
        <v>29</v>
      </c>
      <c r="T877" t="str">
        <f t="shared" si="65"/>
        <v>Grade B</v>
      </c>
      <c r="U877">
        <f t="shared" si="66"/>
        <v>1</v>
      </c>
      <c r="V877" t="str">
        <f t="shared" si="67"/>
        <v>Senior</v>
      </c>
      <c r="W877" t="str">
        <f t="shared" si="68"/>
        <v>Medium Risk</v>
      </c>
      <c r="X877" t="str">
        <f t="shared" si="69"/>
        <v>Fair</v>
      </c>
    </row>
    <row r="878" spans="1:24" x14ac:dyDescent="0.3">
      <c r="A878" t="s">
        <v>946</v>
      </c>
      <c r="B878" t="s">
        <v>20</v>
      </c>
      <c r="C878">
        <v>46</v>
      </c>
      <c r="D878" t="s">
        <v>88</v>
      </c>
      <c r="E878" t="s">
        <v>22</v>
      </c>
      <c r="F878" t="s">
        <v>23</v>
      </c>
      <c r="G878" t="s">
        <v>58</v>
      </c>
      <c r="H878" t="s">
        <v>34</v>
      </c>
      <c r="I878" t="s">
        <v>50</v>
      </c>
      <c r="J878" t="s">
        <v>44</v>
      </c>
      <c r="K878">
        <v>14</v>
      </c>
      <c r="L878">
        <v>111986</v>
      </c>
      <c r="M878" t="s">
        <v>51</v>
      </c>
      <c r="N878">
        <v>1</v>
      </c>
      <c r="O878">
        <v>1</v>
      </c>
      <c r="P878">
        <v>57</v>
      </c>
      <c r="Q878">
        <v>1</v>
      </c>
      <c r="R878" s="1">
        <v>40027</v>
      </c>
      <c r="S878" t="s">
        <v>37</v>
      </c>
      <c r="T878" t="str">
        <f t="shared" si="65"/>
        <v>Grade A</v>
      </c>
      <c r="U878">
        <f t="shared" si="66"/>
        <v>4</v>
      </c>
      <c r="V878" t="str">
        <f t="shared" si="67"/>
        <v>Senior</v>
      </c>
      <c r="W878" t="str">
        <f t="shared" si="68"/>
        <v>Already Left</v>
      </c>
      <c r="X878" t="str">
        <f t="shared" si="69"/>
        <v>Competitive</v>
      </c>
    </row>
    <row r="879" spans="1:24" x14ac:dyDescent="0.3">
      <c r="A879" t="s">
        <v>947</v>
      </c>
      <c r="B879" t="s">
        <v>39</v>
      </c>
      <c r="C879">
        <v>41</v>
      </c>
      <c r="D879" t="s">
        <v>47</v>
      </c>
      <c r="E879" t="s">
        <v>48</v>
      </c>
      <c r="F879" t="s">
        <v>75</v>
      </c>
      <c r="G879" t="s">
        <v>63</v>
      </c>
      <c r="H879" t="s">
        <v>25</v>
      </c>
      <c r="I879" t="s">
        <v>59</v>
      </c>
      <c r="J879" t="s">
        <v>60</v>
      </c>
      <c r="K879">
        <v>5</v>
      </c>
      <c r="L879">
        <v>45733</v>
      </c>
      <c r="M879" t="s">
        <v>51</v>
      </c>
      <c r="N879">
        <v>4</v>
      </c>
      <c r="O879">
        <v>2</v>
      </c>
      <c r="P879">
        <v>25</v>
      </c>
      <c r="Q879">
        <v>0</v>
      </c>
      <c r="R879" s="1">
        <v>43450</v>
      </c>
      <c r="S879" t="s">
        <v>29</v>
      </c>
      <c r="T879" t="str">
        <f t="shared" si="65"/>
        <v>Grade C</v>
      </c>
      <c r="U879">
        <f t="shared" si="66"/>
        <v>4</v>
      </c>
      <c r="V879" t="str">
        <f t="shared" si="67"/>
        <v>Junior</v>
      </c>
      <c r="W879" t="str">
        <f t="shared" si="68"/>
        <v>Low Risk</v>
      </c>
      <c r="X879" t="str">
        <f t="shared" si="69"/>
        <v>Fair</v>
      </c>
    </row>
    <row r="880" spans="1:24" x14ac:dyDescent="0.3">
      <c r="A880" t="s">
        <v>948</v>
      </c>
      <c r="B880" t="s">
        <v>20</v>
      </c>
      <c r="C880">
        <v>39</v>
      </c>
      <c r="D880" t="s">
        <v>21</v>
      </c>
      <c r="E880" t="s">
        <v>40</v>
      </c>
      <c r="F880" t="s">
        <v>53</v>
      </c>
      <c r="G880" t="s">
        <v>49</v>
      </c>
      <c r="H880" t="s">
        <v>83</v>
      </c>
      <c r="I880" t="s">
        <v>96</v>
      </c>
      <c r="J880" t="s">
        <v>44</v>
      </c>
      <c r="K880">
        <v>2</v>
      </c>
      <c r="L880">
        <v>58917</v>
      </c>
      <c r="M880" t="s">
        <v>51</v>
      </c>
      <c r="N880">
        <v>4</v>
      </c>
      <c r="O880">
        <v>1</v>
      </c>
      <c r="P880">
        <v>29</v>
      </c>
      <c r="Q880">
        <v>1</v>
      </c>
      <c r="R880" s="1">
        <v>44207</v>
      </c>
      <c r="S880" t="s">
        <v>29</v>
      </c>
      <c r="T880" t="str">
        <f t="shared" si="65"/>
        <v>Grade B</v>
      </c>
      <c r="U880">
        <f t="shared" si="66"/>
        <v>4</v>
      </c>
      <c r="V880" t="str">
        <f t="shared" si="67"/>
        <v>New Joiner</v>
      </c>
      <c r="W880" t="str">
        <f t="shared" si="68"/>
        <v>Low Risk</v>
      </c>
      <c r="X880" t="str">
        <f t="shared" si="69"/>
        <v>Fair</v>
      </c>
    </row>
    <row r="881" spans="1:24" x14ac:dyDescent="0.3">
      <c r="A881" t="s">
        <v>949</v>
      </c>
      <c r="B881" t="s">
        <v>39</v>
      </c>
      <c r="C881">
        <v>22</v>
      </c>
      <c r="D881" t="s">
        <v>88</v>
      </c>
      <c r="E881" t="s">
        <v>22</v>
      </c>
      <c r="F881" t="s">
        <v>75</v>
      </c>
      <c r="G881" t="s">
        <v>33</v>
      </c>
      <c r="H881" t="s">
        <v>76</v>
      </c>
      <c r="I881" t="s">
        <v>26</v>
      </c>
      <c r="J881" t="s">
        <v>27</v>
      </c>
      <c r="K881">
        <v>1</v>
      </c>
      <c r="L881">
        <v>66171</v>
      </c>
      <c r="M881" t="s">
        <v>51</v>
      </c>
      <c r="N881">
        <v>1</v>
      </c>
      <c r="O881">
        <v>3</v>
      </c>
      <c r="P881">
        <v>46</v>
      </c>
      <c r="Q881">
        <v>3</v>
      </c>
      <c r="R881" s="1">
        <v>44716</v>
      </c>
      <c r="S881" t="s">
        <v>29</v>
      </c>
      <c r="T881" t="str">
        <f t="shared" si="65"/>
        <v>Grade B</v>
      </c>
      <c r="U881">
        <f t="shared" si="66"/>
        <v>4</v>
      </c>
      <c r="V881" t="str">
        <f t="shared" si="67"/>
        <v>New Joiner</v>
      </c>
      <c r="W881" t="str">
        <f t="shared" si="68"/>
        <v>Low Risk</v>
      </c>
      <c r="X881" t="str">
        <f t="shared" si="69"/>
        <v>Fair</v>
      </c>
    </row>
    <row r="882" spans="1:24" x14ac:dyDescent="0.3">
      <c r="A882" t="s">
        <v>950</v>
      </c>
      <c r="B882" t="s">
        <v>39</v>
      </c>
      <c r="C882">
        <v>49</v>
      </c>
      <c r="D882" t="s">
        <v>88</v>
      </c>
      <c r="E882" t="s">
        <v>40</v>
      </c>
      <c r="F882" t="s">
        <v>62</v>
      </c>
      <c r="G882" t="s">
        <v>49</v>
      </c>
      <c r="H882" t="s">
        <v>83</v>
      </c>
      <c r="I882" t="s">
        <v>59</v>
      </c>
      <c r="J882" t="s">
        <v>60</v>
      </c>
      <c r="K882">
        <v>14</v>
      </c>
      <c r="L882">
        <v>75694</v>
      </c>
      <c r="M882" t="s">
        <v>45</v>
      </c>
      <c r="N882">
        <v>4</v>
      </c>
      <c r="O882">
        <v>2</v>
      </c>
      <c r="P882">
        <v>16</v>
      </c>
      <c r="Q882">
        <v>2</v>
      </c>
      <c r="R882" s="1">
        <v>40182</v>
      </c>
      <c r="S882" t="s">
        <v>29</v>
      </c>
      <c r="T882" t="str">
        <f t="shared" si="65"/>
        <v>Grade B</v>
      </c>
      <c r="U882">
        <f t="shared" si="66"/>
        <v>2</v>
      </c>
      <c r="V882" t="str">
        <f t="shared" si="67"/>
        <v>Senior</v>
      </c>
      <c r="W882" t="str">
        <f t="shared" si="68"/>
        <v>Medium Risk</v>
      </c>
      <c r="X882" t="str">
        <f t="shared" si="69"/>
        <v>Fair</v>
      </c>
    </row>
    <row r="883" spans="1:24" x14ac:dyDescent="0.3">
      <c r="A883" t="s">
        <v>951</v>
      </c>
      <c r="B883" t="s">
        <v>20</v>
      </c>
      <c r="C883">
        <v>31</v>
      </c>
      <c r="D883" t="s">
        <v>31</v>
      </c>
      <c r="E883" t="s">
        <v>40</v>
      </c>
      <c r="F883" t="s">
        <v>41</v>
      </c>
      <c r="G883" t="s">
        <v>33</v>
      </c>
      <c r="H883" t="s">
        <v>34</v>
      </c>
      <c r="I883" t="s">
        <v>72</v>
      </c>
      <c r="J883" t="s">
        <v>73</v>
      </c>
      <c r="K883">
        <v>8</v>
      </c>
      <c r="L883">
        <v>83845</v>
      </c>
      <c r="M883" t="s">
        <v>45</v>
      </c>
      <c r="N883">
        <v>3</v>
      </c>
      <c r="O883">
        <v>4</v>
      </c>
      <c r="P883">
        <v>32</v>
      </c>
      <c r="Q883">
        <v>3</v>
      </c>
      <c r="R883" s="1">
        <v>42181</v>
      </c>
      <c r="S883" t="s">
        <v>29</v>
      </c>
      <c r="T883" t="str">
        <f t="shared" si="65"/>
        <v>Grade A</v>
      </c>
      <c r="U883">
        <f t="shared" si="66"/>
        <v>2</v>
      </c>
      <c r="V883" t="str">
        <f t="shared" si="67"/>
        <v>Mid Level</v>
      </c>
      <c r="W883" t="str">
        <f t="shared" si="68"/>
        <v>Medium Risk</v>
      </c>
      <c r="X883" t="str">
        <f t="shared" si="69"/>
        <v>Fair</v>
      </c>
    </row>
    <row r="884" spans="1:24" x14ac:dyDescent="0.3">
      <c r="A884" t="s">
        <v>952</v>
      </c>
      <c r="B884" t="s">
        <v>20</v>
      </c>
      <c r="C884">
        <v>27</v>
      </c>
      <c r="D884" t="s">
        <v>88</v>
      </c>
      <c r="E884" t="s">
        <v>48</v>
      </c>
      <c r="F884" t="s">
        <v>78</v>
      </c>
      <c r="G884" t="s">
        <v>33</v>
      </c>
      <c r="H884" t="s">
        <v>25</v>
      </c>
      <c r="I884" t="s">
        <v>72</v>
      </c>
      <c r="J884" t="s">
        <v>73</v>
      </c>
      <c r="K884">
        <v>3</v>
      </c>
      <c r="L884">
        <v>73769</v>
      </c>
      <c r="M884" t="s">
        <v>45</v>
      </c>
      <c r="N884">
        <v>2</v>
      </c>
      <c r="O884">
        <v>3</v>
      </c>
      <c r="P884">
        <v>55</v>
      </c>
      <c r="Q884">
        <v>3</v>
      </c>
      <c r="R884" s="1">
        <v>44013</v>
      </c>
      <c r="S884" t="s">
        <v>29</v>
      </c>
      <c r="T884" t="str">
        <f t="shared" si="65"/>
        <v>Grade B</v>
      </c>
      <c r="U884">
        <f t="shared" si="66"/>
        <v>2</v>
      </c>
      <c r="V884" t="str">
        <f t="shared" si="67"/>
        <v>Junior</v>
      </c>
      <c r="W884" t="str">
        <f t="shared" si="68"/>
        <v>Medium Risk</v>
      </c>
      <c r="X884" t="str">
        <f t="shared" si="69"/>
        <v>Fair</v>
      </c>
    </row>
    <row r="885" spans="1:24" x14ac:dyDescent="0.3">
      <c r="A885" t="s">
        <v>953</v>
      </c>
      <c r="B885" t="s">
        <v>39</v>
      </c>
      <c r="C885">
        <v>30</v>
      </c>
      <c r="D885" t="s">
        <v>47</v>
      </c>
      <c r="E885" t="s">
        <v>40</v>
      </c>
      <c r="F885" t="s">
        <v>53</v>
      </c>
      <c r="G885" t="s">
        <v>24</v>
      </c>
      <c r="H885" t="s">
        <v>83</v>
      </c>
      <c r="I885" t="s">
        <v>96</v>
      </c>
      <c r="J885" t="s">
        <v>44</v>
      </c>
      <c r="K885">
        <v>9</v>
      </c>
      <c r="L885">
        <v>102621</v>
      </c>
      <c r="M885" t="s">
        <v>45</v>
      </c>
      <c r="N885">
        <v>4</v>
      </c>
      <c r="O885">
        <v>1</v>
      </c>
      <c r="P885">
        <v>63</v>
      </c>
      <c r="Q885">
        <v>0</v>
      </c>
      <c r="R885" s="1">
        <v>41731</v>
      </c>
      <c r="S885" t="s">
        <v>29</v>
      </c>
      <c r="T885" t="str">
        <f t="shared" si="65"/>
        <v>Grade A</v>
      </c>
      <c r="U885">
        <f t="shared" si="66"/>
        <v>2</v>
      </c>
      <c r="V885" t="str">
        <f t="shared" si="67"/>
        <v>Mid Level</v>
      </c>
      <c r="W885" t="str">
        <f t="shared" si="68"/>
        <v>Medium Risk</v>
      </c>
      <c r="X885" t="str">
        <f t="shared" si="69"/>
        <v>Fair</v>
      </c>
    </row>
    <row r="886" spans="1:24" x14ac:dyDescent="0.3">
      <c r="A886" t="s">
        <v>954</v>
      </c>
      <c r="B886" t="s">
        <v>39</v>
      </c>
      <c r="C886">
        <v>36</v>
      </c>
      <c r="D886" t="s">
        <v>31</v>
      </c>
      <c r="E886" t="s">
        <v>48</v>
      </c>
      <c r="F886" t="s">
        <v>23</v>
      </c>
      <c r="G886" t="s">
        <v>58</v>
      </c>
      <c r="H886" t="s">
        <v>34</v>
      </c>
      <c r="I886" t="s">
        <v>35</v>
      </c>
      <c r="J886" t="s">
        <v>27</v>
      </c>
      <c r="K886">
        <v>10</v>
      </c>
      <c r="L886">
        <v>103346</v>
      </c>
      <c r="M886" t="s">
        <v>51</v>
      </c>
      <c r="N886">
        <v>1</v>
      </c>
      <c r="O886">
        <v>3</v>
      </c>
      <c r="P886">
        <v>57</v>
      </c>
      <c r="Q886">
        <v>3</v>
      </c>
      <c r="R886" s="1">
        <v>41302</v>
      </c>
      <c r="S886" t="s">
        <v>29</v>
      </c>
      <c r="T886" t="str">
        <f t="shared" si="65"/>
        <v>Grade A</v>
      </c>
      <c r="U886">
        <f t="shared" si="66"/>
        <v>4</v>
      </c>
      <c r="V886" t="str">
        <f t="shared" si="67"/>
        <v>Mid Level</v>
      </c>
      <c r="W886" t="str">
        <f t="shared" si="68"/>
        <v>Low Risk</v>
      </c>
      <c r="X886" t="str">
        <f t="shared" si="69"/>
        <v>Competitive</v>
      </c>
    </row>
    <row r="887" spans="1:24" x14ac:dyDescent="0.3">
      <c r="A887" t="s">
        <v>955</v>
      </c>
      <c r="B887" t="s">
        <v>20</v>
      </c>
      <c r="C887">
        <v>31</v>
      </c>
      <c r="D887" t="s">
        <v>47</v>
      </c>
      <c r="E887" t="s">
        <v>40</v>
      </c>
      <c r="F887" t="s">
        <v>75</v>
      </c>
      <c r="G887" t="s">
        <v>63</v>
      </c>
      <c r="H887" t="s">
        <v>67</v>
      </c>
      <c r="I887" t="s">
        <v>35</v>
      </c>
      <c r="J887" t="s">
        <v>27</v>
      </c>
      <c r="K887">
        <v>12</v>
      </c>
      <c r="L887">
        <v>62487</v>
      </c>
      <c r="M887" t="s">
        <v>45</v>
      </c>
      <c r="N887">
        <v>1</v>
      </c>
      <c r="O887">
        <v>1</v>
      </c>
      <c r="P887">
        <v>73</v>
      </c>
      <c r="Q887">
        <v>1</v>
      </c>
      <c r="R887" s="1">
        <v>40585</v>
      </c>
      <c r="S887" t="s">
        <v>29</v>
      </c>
      <c r="T887" t="str">
        <f t="shared" si="65"/>
        <v>Grade B</v>
      </c>
      <c r="U887">
        <f t="shared" si="66"/>
        <v>2</v>
      </c>
      <c r="V887" t="str">
        <f t="shared" si="67"/>
        <v>Senior</v>
      </c>
      <c r="W887" t="str">
        <f t="shared" si="68"/>
        <v>Medium Risk</v>
      </c>
      <c r="X887" t="str">
        <f t="shared" si="69"/>
        <v>Fair</v>
      </c>
    </row>
    <row r="888" spans="1:24" x14ac:dyDescent="0.3">
      <c r="A888" t="s">
        <v>956</v>
      </c>
      <c r="B888" t="s">
        <v>39</v>
      </c>
      <c r="C888">
        <v>23</v>
      </c>
      <c r="D888" t="s">
        <v>31</v>
      </c>
      <c r="E888" t="s">
        <v>22</v>
      </c>
      <c r="F888" t="s">
        <v>62</v>
      </c>
      <c r="G888" t="s">
        <v>49</v>
      </c>
      <c r="H888" t="s">
        <v>67</v>
      </c>
      <c r="I888" t="s">
        <v>26</v>
      </c>
      <c r="J888" t="s">
        <v>27</v>
      </c>
      <c r="K888">
        <v>5</v>
      </c>
      <c r="L888">
        <v>67759</v>
      </c>
      <c r="M888" t="s">
        <v>36</v>
      </c>
      <c r="N888">
        <v>2</v>
      </c>
      <c r="O888">
        <v>2</v>
      </c>
      <c r="P888">
        <v>19</v>
      </c>
      <c r="Q888">
        <v>0</v>
      </c>
      <c r="R888" s="1">
        <v>43455</v>
      </c>
      <c r="S888" t="s">
        <v>37</v>
      </c>
      <c r="T888" t="str">
        <f t="shared" si="65"/>
        <v>Grade B</v>
      </c>
      <c r="U888">
        <f t="shared" si="66"/>
        <v>1</v>
      </c>
      <c r="V888" t="str">
        <f t="shared" si="67"/>
        <v>Junior</v>
      </c>
      <c r="W888" t="str">
        <f t="shared" si="68"/>
        <v>Already Left</v>
      </c>
      <c r="X888" t="str">
        <f t="shared" si="69"/>
        <v>Fair</v>
      </c>
    </row>
    <row r="889" spans="1:24" x14ac:dyDescent="0.3">
      <c r="A889" t="s">
        <v>957</v>
      </c>
      <c r="B889" t="s">
        <v>20</v>
      </c>
      <c r="C889">
        <v>45</v>
      </c>
      <c r="D889" t="s">
        <v>47</v>
      </c>
      <c r="E889" t="s">
        <v>48</v>
      </c>
      <c r="F889" t="s">
        <v>78</v>
      </c>
      <c r="G889" t="s">
        <v>63</v>
      </c>
      <c r="H889" t="s">
        <v>83</v>
      </c>
      <c r="I889" t="s">
        <v>80</v>
      </c>
      <c r="J889" t="s">
        <v>60</v>
      </c>
      <c r="K889">
        <v>6</v>
      </c>
      <c r="L889">
        <v>47346</v>
      </c>
      <c r="M889" t="s">
        <v>36</v>
      </c>
      <c r="N889">
        <v>4</v>
      </c>
      <c r="O889">
        <v>4</v>
      </c>
      <c r="P889">
        <v>15</v>
      </c>
      <c r="Q889">
        <v>3</v>
      </c>
      <c r="R889" s="1">
        <v>42927</v>
      </c>
      <c r="S889" t="s">
        <v>37</v>
      </c>
      <c r="T889" t="str">
        <f t="shared" si="65"/>
        <v>Grade C</v>
      </c>
      <c r="U889">
        <f t="shared" si="66"/>
        <v>1</v>
      </c>
      <c r="V889" t="str">
        <f t="shared" si="67"/>
        <v>Mid Level</v>
      </c>
      <c r="W889" t="str">
        <f t="shared" si="68"/>
        <v>Already Left</v>
      </c>
      <c r="X889" t="str">
        <f t="shared" si="69"/>
        <v>Fair</v>
      </c>
    </row>
    <row r="890" spans="1:24" x14ac:dyDescent="0.3">
      <c r="A890" t="s">
        <v>958</v>
      </c>
      <c r="B890" t="s">
        <v>39</v>
      </c>
      <c r="C890">
        <v>49</v>
      </c>
      <c r="D890" t="s">
        <v>88</v>
      </c>
      <c r="E890" t="s">
        <v>40</v>
      </c>
      <c r="F890" t="s">
        <v>78</v>
      </c>
      <c r="G890" t="s">
        <v>42</v>
      </c>
      <c r="H890" t="s">
        <v>25</v>
      </c>
      <c r="I890" t="s">
        <v>50</v>
      </c>
      <c r="J890" t="s">
        <v>44</v>
      </c>
      <c r="K890">
        <v>1</v>
      </c>
      <c r="L890">
        <v>102518</v>
      </c>
      <c r="M890" t="s">
        <v>45</v>
      </c>
      <c r="N890">
        <v>3</v>
      </c>
      <c r="O890">
        <v>4</v>
      </c>
      <c r="P890">
        <v>13</v>
      </c>
      <c r="Q890">
        <v>3</v>
      </c>
      <c r="R890" s="1">
        <v>44652</v>
      </c>
      <c r="S890" t="s">
        <v>29</v>
      </c>
      <c r="T890" t="str">
        <f t="shared" si="65"/>
        <v>Grade A</v>
      </c>
      <c r="U890">
        <f t="shared" si="66"/>
        <v>2</v>
      </c>
      <c r="V890" t="str">
        <f t="shared" si="67"/>
        <v>New Joiner</v>
      </c>
      <c r="W890" t="str">
        <f t="shared" si="68"/>
        <v>Medium Risk</v>
      </c>
      <c r="X890" t="str">
        <f t="shared" si="69"/>
        <v>Fair</v>
      </c>
    </row>
    <row r="891" spans="1:24" x14ac:dyDescent="0.3">
      <c r="A891" t="s">
        <v>959</v>
      </c>
      <c r="B891" t="s">
        <v>39</v>
      </c>
      <c r="C891">
        <v>51</v>
      </c>
      <c r="D891" t="s">
        <v>57</v>
      </c>
      <c r="E891" t="s">
        <v>40</v>
      </c>
      <c r="F891" t="s">
        <v>78</v>
      </c>
      <c r="G891" t="s">
        <v>79</v>
      </c>
      <c r="H891" t="s">
        <v>83</v>
      </c>
      <c r="I891" t="s">
        <v>50</v>
      </c>
      <c r="J891" t="s">
        <v>44</v>
      </c>
      <c r="K891">
        <v>5</v>
      </c>
      <c r="L891">
        <v>42718</v>
      </c>
      <c r="M891" t="s">
        <v>36</v>
      </c>
      <c r="N891">
        <v>3</v>
      </c>
      <c r="O891">
        <v>2</v>
      </c>
      <c r="P891">
        <v>70</v>
      </c>
      <c r="Q891">
        <v>0</v>
      </c>
      <c r="R891" s="1">
        <v>43144</v>
      </c>
      <c r="S891" t="s">
        <v>29</v>
      </c>
      <c r="T891" t="str">
        <f t="shared" si="65"/>
        <v>Grade C</v>
      </c>
      <c r="U891">
        <f t="shared" si="66"/>
        <v>1</v>
      </c>
      <c r="V891" t="str">
        <f t="shared" si="67"/>
        <v>Junior</v>
      </c>
      <c r="W891" t="str">
        <f t="shared" si="68"/>
        <v>Medium Risk</v>
      </c>
      <c r="X891" t="str">
        <f t="shared" si="69"/>
        <v>Fair</v>
      </c>
    </row>
    <row r="892" spans="1:24" x14ac:dyDescent="0.3">
      <c r="A892" t="s">
        <v>960</v>
      </c>
      <c r="B892" t="s">
        <v>39</v>
      </c>
      <c r="C892">
        <v>54</v>
      </c>
      <c r="D892" t="s">
        <v>57</v>
      </c>
      <c r="E892" t="s">
        <v>22</v>
      </c>
      <c r="F892" t="s">
        <v>62</v>
      </c>
      <c r="G892" t="s">
        <v>63</v>
      </c>
      <c r="H892" t="s">
        <v>34</v>
      </c>
      <c r="I892" t="s">
        <v>72</v>
      </c>
      <c r="J892" t="s">
        <v>73</v>
      </c>
      <c r="K892">
        <v>4</v>
      </c>
      <c r="L892">
        <v>46111</v>
      </c>
      <c r="M892" t="s">
        <v>36</v>
      </c>
      <c r="N892">
        <v>2</v>
      </c>
      <c r="O892">
        <v>4</v>
      </c>
      <c r="P892">
        <v>45</v>
      </c>
      <c r="Q892">
        <v>3</v>
      </c>
      <c r="R892" s="1">
        <v>43767</v>
      </c>
      <c r="S892" t="s">
        <v>29</v>
      </c>
      <c r="T892" t="str">
        <f t="shared" si="65"/>
        <v>Grade C</v>
      </c>
      <c r="U892">
        <f t="shared" si="66"/>
        <v>1</v>
      </c>
      <c r="V892" t="str">
        <f t="shared" si="67"/>
        <v>Junior</v>
      </c>
      <c r="W892" t="str">
        <f t="shared" si="68"/>
        <v>Medium Risk</v>
      </c>
      <c r="X892" t="str">
        <f t="shared" si="69"/>
        <v>Fair</v>
      </c>
    </row>
    <row r="893" spans="1:24" x14ac:dyDescent="0.3">
      <c r="A893" t="s">
        <v>961</v>
      </c>
      <c r="B893" t="s">
        <v>39</v>
      </c>
      <c r="C893">
        <v>24</v>
      </c>
      <c r="D893" t="s">
        <v>31</v>
      </c>
      <c r="E893" t="s">
        <v>40</v>
      </c>
      <c r="F893" t="s">
        <v>23</v>
      </c>
      <c r="G893" t="s">
        <v>33</v>
      </c>
      <c r="H893" t="s">
        <v>25</v>
      </c>
      <c r="I893" t="s">
        <v>35</v>
      </c>
      <c r="J893" t="s">
        <v>27</v>
      </c>
      <c r="K893">
        <v>12</v>
      </c>
      <c r="L893">
        <v>79698</v>
      </c>
      <c r="M893" t="s">
        <v>51</v>
      </c>
      <c r="N893">
        <v>3</v>
      </c>
      <c r="O893">
        <v>4</v>
      </c>
      <c r="P893">
        <v>24</v>
      </c>
      <c r="Q893">
        <v>1</v>
      </c>
      <c r="R893" s="1">
        <v>40762</v>
      </c>
      <c r="S893" t="s">
        <v>29</v>
      </c>
      <c r="T893" t="str">
        <f t="shared" si="65"/>
        <v>Grade B</v>
      </c>
      <c r="U893">
        <f t="shared" si="66"/>
        <v>4</v>
      </c>
      <c r="V893" t="str">
        <f t="shared" si="67"/>
        <v>Senior</v>
      </c>
      <c r="W893" t="str">
        <f t="shared" si="68"/>
        <v>Low Risk</v>
      </c>
      <c r="X893" t="str">
        <f t="shared" si="69"/>
        <v>Fair</v>
      </c>
    </row>
    <row r="894" spans="1:24" x14ac:dyDescent="0.3">
      <c r="A894" t="s">
        <v>962</v>
      </c>
      <c r="B894" t="s">
        <v>20</v>
      </c>
      <c r="C894">
        <v>33</v>
      </c>
      <c r="D894" t="s">
        <v>47</v>
      </c>
      <c r="E894" t="s">
        <v>48</v>
      </c>
      <c r="F894" t="s">
        <v>32</v>
      </c>
      <c r="G894" t="s">
        <v>58</v>
      </c>
      <c r="H894" t="s">
        <v>76</v>
      </c>
      <c r="I894" t="s">
        <v>26</v>
      </c>
      <c r="J894" t="s">
        <v>27</v>
      </c>
      <c r="K894">
        <v>4</v>
      </c>
      <c r="L894">
        <v>95691</v>
      </c>
      <c r="M894" t="s">
        <v>36</v>
      </c>
      <c r="N894">
        <v>4</v>
      </c>
      <c r="O894">
        <v>2</v>
      </c>
      <c r="P894">
        <v>66</v>
      </c>
      <c r="Q894">
        <v>0</v>
      </c>
      <c r="R894" s="1">
        <v>43810</v>
      </c>
      <c r="S894" t="s">
        <v>37</v>
      </c>
      <c r="T894" t="str">
        <f t="shared" si="65"/>
        <v>Grade A</v>
      </c>
      <c r="U894">
        <f t="shared" si="66"/>
        <v>1</v>
      </c>
      <c r="V894" t="str">
        <f t="shared" si="67"/>
        <v>Junior</v>
      </c>
      <c r="W894" t="str">
        <f t="shared" si="68"/>
        <v>Already Left</v>
      </c>
      <c r="X894" t="str">
        <f t="shared" si="69"/>
        <v>Overpaid</v>
      </c>
    </row>
    <row r="895" spans="1:24" x14ac:dyDescent="0.3">
      <c r="A895" t="s">
        <v>963</v>
      </c>
      <c r="B895" t="s">
        <v>20</v>
      </c>
      <c r="C895">
        <v>23</v>
      </c>
      <c r="D895" t="s">
        <v>88</v>
      </c>
      <c r="E895" t="s">
        <v>40</v>
      </c>
      <c r="F895" t="s">
        <v>53</v>
      </c>
      <c r="G895" t="s">
        <v>58</v>
      </c>
      <c r="H895" t="s">
        <v>67</v>
      </c>
      <c r="I895" t="s">
        <v>26</v>
      </c>
      <c r="J895" t="s">
        <v>27</v>
      </c>
      <c r="K895">
        <v>12</v>
      </c>
      <c r="L895">
        <v>113355</v>
      </c>
      <c r="M895" t="s">
        <v>28</v>
      </c>
      <c r="N895">
        <v>3</v>
      </c>
      <c r="O895">
        <v>1</v>
      </c>
      <c r="P895">
        <v>63</v>
      </c>
      <c r="Q895">
        <v>3</v>
      </c>
      <c r="R895" s="1">
        <v>40725</v>
      </c>
      <c r="S895" t="s">
        <v>29</v>
      </c>
      <c r="T895" t="str">
        <f t="shared" si="65"/>
        <v>Grade A</v>
      </c>
      <c r="U895">
        <f t="shared" si="66"/>
        <v>3</v>
      </c>
      <c r="V895" t="str">
        <f t="shared" si="67"/>
        <v>Senior</v>
      </c>
      <c r="W895" t="str">
        <f t="shared" si="68"/>
        <v>Medium Risk</v>
      </c>
      <c r="X895" t="str">
        <f t="shared" si="69"/>
        <v>Competitive</v>
      </c>
    </row>
    <row r="896" spans="1:24" x14ac:dyDescent="0.3">
      <c r="A896" t="s">
        <v>964</v>
      </c>
      <c r="B896" t="s">
        <v>20</v>
      </c>
      <c r="C896">
        <v>47</v>
      </c>
      <c r="D896" t="s">
        <v>88</v>
      </c>
      <c r="E896" t="s">
        <v>22</v>
      </c>
      <c r="F896" t="s">
        <v>62</v>
      </c>
      <c r="G896" t="s">
        <v>79</v>
      </c>
      <c r="H896" t="s">
        <v>76</v>
      </c>
      <c r="I896" t="s">
        <v>50</v>
      </c>
      <c r="J896" t="s">
        <v>44</v>
      </c>
      <c r="K896">
        <v>2</v>
      </c>
      <c r="L896">
        <v>36858</v>
      </c>
      <c r="M896" t="s">
        <v>36</v>
      </c>
      <c r="N896">
        <v>2</v>
      </c>
      <c r="O896">
        <v>1</v>
      </c>
      <c r="P896">
        <v>13</v>
      </c>
      <c r="Q896">
        <v>1</v>
      </c>
      <c r="R896" s="1">
        <v>44379</v>
      </c>
      <c r="S896" t="s">
        <v>29</v>
      </c>
      <c r="T896" t="str">
        <f t="shared" si="65"/>
        <v>Grade C</v>
      </c>
      <c r="U896">
        <f t="shared" si="66"/>
        <v>1</v>
      </c>
      <c r="V896" t="str">
        <f t="shared" si="67"/>
        <v>New Joiner</v>
      </c>
      <c r="W896" t="str">
        <f t="shared" si="68"/>
        <v>High Risk</v>
      </c>
      <c r="X896" t="str">
        <f t="shared" si="69"/>
        <v>Fair</v>
      </c>
    </row>
    <row r="897" spans="1:24" x14ac:dyDescent="0.3">
      <c r="A897" t="s">
        <v>965</v>
      </c>
      <c r="B897" t="s">
        <v>39</v>
      </c>
      <c r="C897">
        <v>48</v>
      </c>
      <c r="D897" t="s">
        <v>21</v>
      </c>
      <c r="E897" t="s">
        <v>40</v>
      </c>
      <c r="F897" t="s">
        <v>53</v>
      </c>
      <c r="G897" t="s">
        <v>66</v>
      </c>
      <c r="H897" t="s">
        <v>67</v>
      </c>
      <c r="I897" t="s">
        <v>26</v>
      </c>
      <c r="J897" t="s">
        <v>27</v>
      </c>
      <c r="K897">
        <v>11</v>
      </c>
      <c r="L897">
        <v>65263</v>
      </c>
      <c r="M897" t="s">
        <v>36</v>
      </c>
      <c r="N897">
        <v>1</v>
      </c>
      <c r="O897">
        <v>2</v>
      </c>
      <c r="P897">
        <v>35</v>
      </c>
      <c r="Q897">
        <v>1</v>
      </c>
      <c r="R897" s="1">
        <v>41243</v>
      </c>
      <c r="S897" t="s">
        <v>37</v>
      </c>
      <c r="T897" t="str">
        <f t="shared" si="65"/>
        <v>Grade B</v>
      </c>
      <c r="U897">
        <f t="shared" si="66"/>
        <v>1</v>
      </c>
      <c r="V897" t="str">
        <f t="shared" si="67"/>
        <v>Senior</v>
      </c>
      <c r="W897" t="str">
        <f t="shared" si="68"/>
        <v>Already Left</v>
      </c>
      <c r="X897" t="str">
        <f t="shared" si="69"/>
        <v>Fair</v>
      </c>
    </row>
    <row r="898" spans="1:24" x14ac:dyDescent="0.3">
      <c r="A898" t="s">
        <v>966</v>
      </c>
      <c r="B898" t="s">
        <v>20</v>
      </c>
      <c r="C898">
        <v>55</v>
      </c>
      <c r="D898" t="s">
        <v>21</v>
      </c>
      <c r="E898" t="s">
        <v>48</v>
      </c>
      <c r="F898" t="s">
        <v>53</v>
      </c>
      <c r="G898" t="s">
        <v>58</v>
      </c>
      <c r="H898" t="s">
        <v>76</v>
      </c>
      <c r="I898" t="s">
        <v>80</v>
      </c>
      <c r="J898" t="s">
        <v>60</v>
      </c>
      <c r="K898">
        <v>6</v>
      </c>
      <c r="L898">
        <v>103718</v>
      </c>
      <c r="M898" t="s">
        <v>51</v>
      </c>
      <c r="N898">
        <v>2</v>
      </c>
      <c r="O898">
        <v>3</v>
      </c>
      <c r="P898">
        <v>41</v>
      </c>
      <c r="Q898">
        <v>3</v>
      </c>
      <c r="R898" s="1">
        <v>43045</v>
      </c>
      <c r="S898" t="s">
        <v>37</v>
      </c>
      <c r="T898" t="str">
        <f t="shared" ref="T898:T961" si="70">IF(L898&gt;=80000,"Grade A",IF(L898&gt;=50000,"Grade B",IF(L898&gt;=35000,"Grade C","Grade D")))</f>
        <v>Grade A</v>
      </c>
      <c r="U898">
        <f t="shared" ref="U898:U961" si="71">IF(M898="Excellent",4,IF(M898="Good",3,IF(M898="Average",2,1)))</f>
        <v>4</v>
      </c>
      <c r="V898" t="str">
        <f t="shared" ref="V898:V961" si="72">IF(K898&lt;=2,"New Joiner",IF(K898&lt;=5,"Junior",IF(K898&lt;=10,"Mid Level","Senior")))</f>
        <v>Mid Level</v>
      </c>
      <c r="W898" t="str">
        <f t="shared" ref="W898:W961" si="73">IF(S898="Yes","Already Left",IF(AND(K898&lt;=2,M898="Poor"),"High Risk",IF(AND(K898&lt;=5,M898="Average"),"Medium Risk",IF(M898="Excellent","Low Risk","Medium Risk"))))</f>
        <v>Already Left</v>
      </c>
      <c r="X898" t="str">
        <f t="shared" ref="X898:X961" si="74">IF(AND(L898&gt;=80000,M898="Excellent"),"Competitive",IF(AND(L898&gt;=50000,M898="Good"),"Competitive",IF(AND(L898&lt;35000,M898="Excellent"),"Underpaid",IF(AND(L898&gt;=80000,M898="Poor"),"Overpaid","Fair"))))</f>
        <v>Competitive</v>
      </c>
    </row>
    <row r="899" spans="1:24" x14ac:dyDescent="0.3">
      <c r="A899" t="s">
        <v>967</v>
      </c>
      <c r="B899" t="s">
        <v>39</v>
      </c>
      <c r="C899">
        <v>31</v>
      </c>
      <c r="D899" t="s">
        <v>47</v>
      </c>
      <c r="E899" t="s">
        <v>40</v>
      </c>
      <c r="F899" t="s">
        <v>32</v>
      </c>
      <c r="G899" t="s">
        <v>49</v>
      </c>
      <c r="H899" t="s">
        <v>76</v>
      </c>
      <c r="I899" t="s">
        <v>59</v>
      </c>
      <c r="J899" t="s">
        <v>60</v>
      </c>
      <c r="K899">
        <v>8</v>
      </c>
      <c r="L899">
        <v>59245</v>
      </c>
      <c r="M899" t="s">
        <v>36</v>
      </c>
      <c r="N899">
        <v>2</v>
      </c>
      <c r="O899">
        <v>1</v>
      </c>
      <c r="P899">
        <v>71</v>
      </c>
      <c r="Q899">
        <v>0</v>
      </c>
      <c r="R899" s="1">
        <v>42089</v>
      </c>
      <c r="S899" t="s">
        <v>37</v>
      </c>
      <c r="T899" t="str">
        <f t="shared" si="70"/>
        <v>Grade B</v>
      </c>
      <c r="U899">
        <f t="shared" si="71"/>
        <v>1</v>
      </c>
      <c r="V899" t="str">
        <f t="shared" si="72"/>
        <v>Mid Level</v>
      </c>
      <c r="W899" t="str">
        <f t="shared" si="73"/>
        <v>Already Left</v>
      </c>
      <c r="X899" t="str">
        <f t="shared" si="74"/>
        <v>Fair</v>
      </c>
    </row>
    <row r="900" spans="1:24" x14ac:dyDescent="0.3">
      <c r="A900" t="s">
        <v>968</v>
      </c>
      <c r="B900" t="s">
        <v>20</v>
      </c>
      <c r="C900">
        <v>24</v>
      </c>
      <c r="D900" t="s">
        <v>31</v>
      </c>
      <c r="E900" t="s">
        <v>48</v>
      </c>
      <c r="F900" t="s">
        <v>53</v>
      </c>
      <c r="G900" t="s">
        <v>66</v>
      </c>
      <c r="H900" t="s">
        <v>67</v>
      </c>
      <c r="I900" t="s">
        <v>54</v>
      </c>
      <c r="J900" t="s">
        <v>27</v>
      </c>
      <c r="K900">
        <v>14</v>
      </c>
      <c r="L900">
        <v>60384</v>
      </c>
      <c r="M900" t="s">
        <v>36</v>
      </c>
      <c r="N900">
        <v>1</v>
      </c>
      <c r="O900">
        <v>2</v>
      </c>
      <c r="P900">
        <v>57</v>
      </c>
      <c r="Q900">
        <v>3</v>
      </c>
      <c r="R900" s="1">
        <v>40152</v>
      </c>
      <c r="S900" t="s">
        <v>37</v>
      </c>
      <c r="T900" t="str">
        <f t="shared" si="70"/>
        <v>Grade B</v>
      </c>
      <c r="U900">
        <f t="shared" si="71"/>
        <v>1</v>
      </c>
      <c r="V900" t="str">
        <f t="shared" si="72"/>
        <v>Senior</v>
      </c>
      <c r="W900" t="str">
        <f t="shared" si="73"/>
        <v>Already Left</v>
      </c>
      <c r="X900" t="str">
        <f t="shared" si="74"/>
        <v>Fair</v>
      </c>
    </row>
    <row r="901" spans="1:24" x14ac:dyDescent="0.3">
      <c r="A901" t="s">
        <v>969</v>
      </c>
      <c r="B901" t="s">
        <v>20</v>
      </c>
      <c r="C901">
        <v>53</v>
      </c>
      <c r="D901" t="s">
        <v>21</v>
      </c>
      <c r="E901" t="s">
        <v>48</v>
      </c>
      <c r="F901" t="s">
        <v>32</v>
      </c>
      <c r="G901" t="s">
        <v>63</v>
      </c>
      <c r="H901" t="s">
        <v>67</v>
      </c>
      <c r="I901" t="s">
        <v>96</v>
      </c>
      <c r="J901" t="s">
        <v>44</v>
      </c>
      <c r="K901">
        <v>10</v>
      </c>
      <c r="L901">
        <v>60153</v>
      </c>
      <c r="M901" t="s">
        <v>36</v>
      </c>
      <c r="N901">
        <v>1</v>
      </c>
      <c r="O901">
        <v>4</v>
      </c>
      <c r="P901">
        <v>18</v>
      </c>
      <c r="Q901">
        <v>0</v>
      </c>
      <c r="R901" s="1">
        <v>41376</v>
      </c>
      <c r="S901" t="s">
        <v>29</v>
      </c>
      <c r="T901" t="str">
        <f t="shared" si="70"/>
        <v>Grade B</v>
      </c>
      <c r="U901">
        <f t="shared" si="71"/>
        <v>1</v>
      </c>
      <c r="V901" t="str">
        <f t="shared" si="72"/>
        <v>Mid Level</v>
      </c>
      <c r="W901" t="str">
        <f t="shared" si="73"/>
        <v>Medium Risk</v>
      </c>
      <c r="X901" t="str">
        <f t="shared" si="74"/>
        <v>Fair</v>
      </c>
    </row>
    <row r="902" spans="1:24" x14ac:dyDescent="0.3">
      <c r="A902" t="s">
        <v>970</v>
      </c>
      <c r="B902" t="s">
        <v>20</v>
      </c>
      <c r="C902">
        <v>41</v>
      </c>
      <c r="D902" t="s">
        <v>57</v>
      </c>
      <c r="E902" t="s">
        <v>40</v>
      </c>
      <c r="F902" t="s">
        <v>23</v>
      </c>
      <c r="G902" t="s">
        <v>42</v>
      </c>
      <c r="H902" t="s">
        <v>25</v>
      </c>
      <c r="I902" t="s">
        <v>68</v>
      </c>
      <c r="J902" t="s">
        <v>60</v>
      </c>
      <c r="K902">
        <v>7</v>
      </c>
      <c r="L902">
        <v>114220</v>
      </c>
      <c r="M902" t="s">
        <v>45</v>
      </c>
      <c r="N902">
        <v>4</v>
      </c>
      <c r="O902">
        <v>4</v>
      </c>
      <c r="P902">
        <v>27</v>
      </c>
      <c r="Q902">
        <v>3</v>
      </c>
      <c r="R902" s="1">
        <v>42582</v>
      </c>
      <c r="S902" t="s">
        <v>29</v>
      </c>
      <c r="T902" t="str">
        <f t="shared" si="70"/>
        <v>Grade A</v>
      </c>
      <c r="U902">
        <f t="shared" si="71"/>
        <v>2</v>
      </c>
      <c r="V902" t="str">
        <f t="shared" si="72"/>
        <v>Mid Level</v>
      </c>
      <c r="W902" t="str">
        <f t="shared" si="73"/>
        <v>Medium Risk</v>
      </c>
      <c r="X902" t="str">
        <f t="shared" si="74"/>
        <v>Fair</v>
      </c>
    </row>
    <row r="903" spans="1:24" x14ac:dyDescent="0.3">
      <c r="A903" t="s">
        <v>971</v>
      </c>
      <c r="B903" t="s">
        <v>20</v>
      </c>
      <c r="C903">
        <v>54</v>
      </c>
      <c r="D903" t="s">
        <v>47</v>
      </c>
      <c r="E903" t="s">
        <v>48</v>
      </c>
      <c r="F903" t="s">
        <v>41</v>
      </c>
      <c r="G903" t="s">
        <v>79</v>
      </c>
      <c r="H903" t="s">
        <v>76</v>
      </c>
      <c r="I903" t="s">
        <v>72</v>
      </c>
      <c r="J903" t="s">
        <v>73</v>
      </c>
      <c r="K903">
        <v>9</v>
      </c>
      <c r="L903">
        <v>56244</v>
      </c>
      <c r="M903" t="s">
        <v>45</v>
      </c>
      <c r="N903">
        <v>3</v>
      </c>
      <c r="O903">
        <v>2</v>
      </c>
      <c r="P903">
        <v>34</v>
      </c>
      <c r="Q903">
        <v>2</v>
      </c>
      <c r="R903" s="1">
        <v>41869</v>
      </c>
      <c r="S903" t="s">
        <v>29</v>
      </c>
      <c r="T903" t="str">
        <f t="shared" si="70"/>
        <v>Grade B</v>
      </c>
      <c r="U903">
        <f t="shared" si="71"/>
        <v>2</v>
      </c>
      <c r="V903" t="str">
        <f t="shared" si="72"/>
        <v>Mid Level</v>
      </c>
      <c r="W903" t="str">
        <f t="shared" si="73"/>
        <v>Medium Risk</v>
      </c>
      <c r="X903" t="str">
        <f t="shared" si="74"/>
        <v>Fair</v>
      </c>
    </row>
    <row r="904" spans="1:24" x14ac:dyDescent="0.3">
      <c r="A904" t="s">
        <v>972</v>
      </c>
      <c r="B904" t="s">
        <v>39</v>
      </c>
      <c r="C904">
        <v>30</v>
      </c>
      <c r="D904" t="s">
        <v>31</v>
      </c>
      <c r="E904" t="s">
        <v>22</v>
      </c>
      <c r="F904" t="s">
        <v>32</v>
      </c>
      <c r="G904" t="s">
        <v>42</v>
      </c>
      <c r="H904" t="s">
        <v>25</v>
      </c>
      <c r="I904" t="s">
        <v>80</v>
      </c>
      <c r="J904" t="s">
        <v>60</v>
      </c>
      <c r="K904">
        <v>5</v>
      </c>
      <c r="L904">
        <v>114587</v>
      </c>
      <c r="M904" t="s">
        <v>36</v>
      </c>
      <c r="N904">
        <v>3</v>
      </c>
      <c r="O904">
        <v>3</v>
      </c>
      <c r="P904">
        <v>36</v>
      </c>
      <c r="Q904">
        <v>3</v>
      </c>
      <c r="R904" s="1">
        <v>43130</v>
      </c>
      <c r="S904" t="s">
        <v>29</v>
      </c>
      <c r="T904" t="str">
        <f t="shared" si="70"/>
        <v>Grade A</v>
      </c>
      <c r="U904">
        <f t="shared" si="71"/>
        <v>1</v>
      </c>
      <c r="V904" t="str">
        <f t="shared" si="72"/>
        <v>Junior</v>
      </c>
      <c r="W904" t="str">
        <f t="shared" si="73"/>
        <v>Medium Risk</v>
      </c>
      <c r="X904" t="str">
        <f t="shared" si="74"/>
        <v>Overpaid</v>
      </c>
    </row>
    <row r="905" spans="1:24" x14ac:dyDescent="0.3">
      <c r="A905" t="s">
        <v>973</v>
      </c>
      <c r="B905" t="s">
        <v>20</v>
      </c>
      <c r="C905">
        <v>33</v>
      </c>
      <c r="D905" t="s">
        <v>57</v>
      </c>
      <c r="E905" t="s">
        <v>48</v>
      </c>
      <c r="F905" t="s">
        <v>53</v>
      </c>
      <c r="G905" t="s">
        <v>49</v>
      </c>
      <c r="H905" t="s">
        <v>83</v>
      </c>
      <c r="I905" t="s">
        <v>54</v>
      </c>
      <c r="J905" t="s">
        <v>27</v>
      </c>
      <c r="K905">
        <v>11</v>
      </c>
      <c r="L905">
        <v>68741</v>
      </c>
      <c r="M905" t="s">
        <v>45</v>
      </c>
      <c r="N905">
        <v>2</v>
      </c>
      <c r="O905">
        <v>4</v>
      </c>
      <c r="P905">
        <v>71</v>
      </c>
      <c r="Q905">
        <v>2</v>
      </c>
      <c r="R905" s="1">
        <v>40953</v>
      </c>
      <c r="S905" t="s">
        <v>29</v>
      </c>
      <c r="T905" t="str">
        <f t="shared" si="70"/>
        <v>Grade B</v>
      </c>
      <c r="U905">
        <f t="shared" si="71"/>
        <v>2</v>
      </c>
      <c r="V905" t="str">
        <f t="shared" si="72"/>
        <v>Senior</v>
      </c>
      <c r="W905" t="str">
        <f t="shared" si="73"/>
        <v>Medium Risk</v>
      </c>
      <c r="X905" t="str">
        <f t="shared" si="74"/>
        <v>Fair</v>
      </c>
    </row>
    <row r="906" spans="1:24" x14ac:dyDescent="0.3">
      <c r="A906" t="s">
        <v>974</v>
      </c>
      <c r="B906" t="s">
        <v>39</v>
      </c>
      <c r="C906">
        <v>46</v>
      </c>
      <c r="D906" t="s">
        <v>88</v>
      </c>
      <c r="E906" t="s">
        <v>48</v>
      </c>
      <c r="F906" t="s">
        <v>78</v>
      </c>
      <c r="G906" t="s">
        <v>42</v>
      </c>
      <c r="H906" t="s">
        <v>34</v>
      </c>
      <c r="I906" t="s">
        <v>54</v>
      </c>
      <c r="J906" t="s">
        <v>27</v>
      </c>
      <c r="K906">
        <v>3</v>
      </c>
      <c r="L906">
        <v>110856</v>
      </c>
      <c r="M906" t="s">
        <v>45</v>
      </c>
      <c r="N906">
        <v>1</v>
      </c>
      <c r="O906">
        <v>1</v>
      </c>
      <c r="P906">
        <v>34</v>
      </c>
      <c r="Q906">
        <v>2</v>
      </c>
      <c r="R906" s="1">
        <v>44068</v>
      </c>
      <c r="S906" t="s">
        <v>37</v>
      </c>
      <c r="T906" t="str">
        <f t="shared" si="70"/>
        <v>Grade A</v>
      </c>
      <c r="U906">
        <f t="shared" si="71"/>
        <v>2</v>
      </c>
      <c r="V906" t="str">
        <f t="shared" si="72"/>
        <v>Junior</v>
      </c>
      <c r="W906" t="str">
        <f t="shared" si="73"/>
        <v>Already Left</v>
      </c>
      <c r="X906" t="str">
        <f t="shared" si="74"/>
        <v>Fair</v>
      </c>
    </row>
    <row r="907" spans="1:24" x14ac:dyDescent="0.3">
      <c r="A907" t="s">
        <v>975</v>
      </c>
      <c r="B907" t="s">
        <v>20</v>
      </c>
      <c r="C907">
        <v>53</v>
      </c>
      <c r="D907" t="s">
        <v>88</v>
      </c>
      <c r="E907" t="s">
        <v>22</v>
      </c>
      <c r="F907" t="s">
        <v>78</v>
      </c>
      <c r="G907" t="s">
        <v>63</v>
      </c>
      <c r="H907" t="s">
        <v>34</v>
      </c>
      <c r="I907" t="s">
        <v>96</v>
      </c>
      <c r="J907" t="s">
        <v>44</v>
      </c>
      <c r="K907">
        <v>9</v>
      </c>
      <c r="L907">
        <v>59527</v>
      </c>
      <c r="M907" t="s">
        <v>45</v>
      </c>
      <c r="N907">
        <v>4</v>
      </c>
      <c r="O907">
        <v>4</v>
      </c>
      <c r="P907">
        <v>59</v>
      </c>
      <c r="Q907">
        <v>2</v>
      </c>
      <c r="R907" s="1">
        <v>41981</v>
      </c>
      <c r="S907" t="s">
        <v>29</v>
      </c>
      <c r="T907" t="str">
        <f t="shared" si="70"/>
        <v>Grade B</v>
      </c>
      <c r="U907">
        <f t="shared" si="71"/>
        <v>2</v>
      </c>
      <c r="V907" t="str">
        <f t="shared" si="72"/>
        <v>Mid Level</v>
      </c>
      <c r="W907" t="str">
        <f t="shared" si="73"/>
        <v>Medium Risk</v>
      </c>
      <c r="X907" t="str">
        <f t="shared" si="74"/>
        <v>Fair</v>
      </c>
    </row>
    <row r="908" spans="1:24" x14ac:dyDescent="0.3">
      <c r="A908" t="s">
        <v>976</v>
      </c>
      <c r="B908" t="s">
        <v>39</v>
      </c>
      <c r="C908">
        <v>39</v>
      </c>
      <c r="D908" t="s">
        <v>47</v>
      </c>
      <c r="E908" t="s">
        <v>22</v>
      </c>
      <c r="F908" t="s">
        <v>53</v>
      </c>
      <c r="G908" t="s">
        <v>58</v>
      </c>
      <c r="H908" t="s">
        <v>67</v>
      </c>
      <c r="I908" t="s">
        <v>26</v>
      </c>
      <c r="J908" t="s">
        <v>27</v>
      </c>
      <c r="K908">
        <v>6</v>
      </c>
      <c r="L908">
        <v>88344</v>
      </c>
      <c r="M908" t="s">
        <v>51</v>
      </c>
      <c r="N908">
        <v>4</v>
      </c>
      <c r="O908">
        <v>2</v>
      </c>
      <c r="P908">
        <v>15</v>
      </c>
      <c r="Q908">
        <v>0</v>
      </c>
      <c r="R908" s="1">
        <v>42960</v>
      </c>
      <c r="S908" t="s">
        <v>37</v>
      </c>
      <c r="T908" t="str">
        <f t="shared" si="70"/>
        <v>Grade A</v>
      </c>
      <c r="U908">
        <f t="shared" si="71"/>
        <v>4</v>
      </c>
      <c r="V908" t="str">
        <f t="shared" si="72"/>
        <v>Mid Level</v>
      </c>
      <c r="W908" t="str">
        <f t="shared" si="73"/>
        <v>Already Left</v>
      </c>
      <c r="X908" t="str">
        <f t="shared" si="74"/>
        <v>Competitive</v>
      </c>
    </row>
    <row r="909" spans="1:24" x14ac:dyDescent="0.3">
      <c r="A909" t="s">
        <v>977</v>
      </c>
      <c r="B909" t="s">
        <v>20</v>
      </c>
      <c r="C909">
        <v>44</v>
      </c>
      <c r="D909" t="s">
        <v>47</v>
      </c>
      <c r="E909" t="s">
        <v>22</v>
      </c>
      <c r="F909" t="s">
        <v>41</v>
      </c>
      <c r="G909" t="s">
        <v>63</v>
      </c>
      <c r="H909" t="s">
        <v>25</v>
      </c>
      <c r="I909" t="s">
        <v>50</v>
      </c>
      <c r="J909" t="s">
        <v>44</v>
      </c>
      <c r="K909">
        <v>5</v>
      </c>
      <c r="L909">
        <v>52886</v>
      </c>
      <c r="M909" t="s">
        <v>45</v>
      </c>
      <c r="N909">
        <v>1</v>
      </c>
      <c r="O909">
        <v>3</v>
      </c>
      <c r="P909">
        <v>38</v>
      </c>
      <c r="Q909">
        <v>1</v>
      </c>
      <c r="R909" s="1">
        <v>43355</v>
      </c>
      <c r="S909" t="s">
        <v>29</v>
      </c>
      <c r="T909" t="str">
        <f t="shared" si="70"/>
        <v>Grade B</v>
      </c>
      <c r="U909">
        <f t="shared" si="71"/>
        <v>2</v>
      </c>
      <c r="V909" t="str">
        <f t="shared" si="72"/>
        <v>Junior</v>
      </c>
      <c r="W909" t="str">
        <f t="shared" si="73"/>
        <v>Medium Risk</v>
      </c>
      <c r="X909" t="str">
        <f t="shared" si="74"/>
        <v>Fair</v>
      </c>
    </row>
    <row r="910" spans="1:24" x14ac:dyDescent="0.3">
      <c r="A910" t="s">
        <v>978</v>
      </c>
      <c r="B910" t="s">
        <v>20</v>
      </c>
      <c r="C910">
        <v>29</v>
      </c>
      <c r="D910" t="s">
        <v>21</v>
      </c>
      <c r="E910" t="s">
        <v>22</v>
      </c>
      <c r="F910" t="s">
        <v>32</v>
      </c>
      <c r="G910" t="s">
        <v>79</v>
      </c>
      <c r="H910" t="s">
        <v>34</v>
      </c>
      <c r="I910" t="s">
        <v>43</v>
      </c>
      <c r="J910" t="s">
        <v>44</v>
      </c>
      <c r="K910">
        <v>3</v>
      </c>
      <c r="L910">
        <v>54718</v>
      </c>
      <c r="M910" t="s">
        <v>51</v>
      </c>
      <c r="N910">
        <v>4</v>
      </c>
      <c r="O910">
        <v>2</v>
      </c>
      <c r="P910">
        <v>40</v>
      </c>
      <c r="Q910">
        <v>3</v>
      </c>
      <c r="R910" s="1">
        <v>44059</v>
      </c>
      <c r="S910" t="s">
        <v>29</v>
      </c>
      <c r="T910" t="str">
        <f t="shared" si="70"/>
        <v>Grade B</v>
      </c>
      <c r="U910">
        <f t="shared" si="71"/>
        <v>4</v>
      </c>
      <c r="V910" t="str">
        <f t="shared" si="72"/>
        <v>Junior</v>
      </c>
      <c r="W910" t="str">
        <f t="shared" si="73"/>
        <v>Low Risk</v>
      </c>
      <c r="X910" t="str">
        <f t="shared" si="74"/>
        <v>Fair</v>
      </c>
    </row>
    <row r="911" spans="1:24" x14ac:dyDescent="0.3">
      <c r="A911" t="s">
        <v>979</v>
      </c>
      <c r="B911" t="s">
        <v>20</v>
      </c>
      <c r="C911">
        <v>49</v>
      </c>
      <c r="D911" t="s">
        <v>88</v>
      </c>
      <c r="E911" t="s">
        <v>40</v>
      </c>
      <c r="F911" t="s">
        <v>53</v>
      </c>
      <c r="G911" t="s">
        <v>79</v>
      </c>
      <c r="H911" t="s">
        <v>67</v>
      </c>
      <c r="I911" t="s">
        <v>54</v>
      </c>
      <c r="J911" t="s">
        <v>27</v>
      </c>
      <c r="K911">
        <v>5</v>
      </c>
      <c r="L911">
        <v>40103</v>
      </c>
      <c r="M911" t="s">
        <v>28</v>
      </c>
      <c r="N911">
        <v>4</v>
      </c>
      <c r="O911">
        <v>4</v>
      </c>
      <c r="P911">
        <v>37</v>
      </c>
      <c r="Q911">
        <v>1</v>
      </c>
      <c r="R911" s="1">
        <v>43124</v>
      </c>
      <c r="S911" t="s">
        <v>29</v>
      </c>
      <c r="T911" t="str">
        <f t="shared" si="70"/>
        <v>Grade C</v>
      </c>
      <c r="U911">
        <f t="shared" si="71"/>
        <v>3</v>
      </c>
      <c r="V911" t="str">
        <f t="shared" si="72"/>
        <v>Junior</v>
      </c>
      <c r="W911" t="str">
        <f t="shared" si="73"/>
        <v>Medium Risk</v>
      </c>
      <c r="X911" t="str">
        <f t="shared" si="74"/>
        <v>Fair</v>
      </c>
    </row>
    <row r="912" spans="1:24" x14ac:dyDescent="0.3">
      <c r="A912" t="s">
        <v>980</v>
      </c>
      <c r="B912" t="s">
        <v>20</v>
      </c>
      <c r="C912">
        <v>35</v>
      </c>
      <c r="D912" t="s">
        <v>57</v>
      </c>
      <c r="E912" t="s">
        <v>48</v>
      </c>
      <c r="F912" t="s">
        <v>41</v>
      </c>
      <c r="G912" t="s">
        <v>24</v>
      </c>
      <c r="H912" t="s">
        <v>76</v>
      </c>
      <c r="I912" t="s">
        <v>26</v>
      </c>
      <c r="J912" t="s">
        <v>27</v>
      </c>
      <c r="K912">
        <v>8</v>
      </c>
      <c r="L912">
        <v>93598</v>
      </c>
      <c r="M912" t="s">
        <v>36</v>
      </c>
      <c r="N912">
        <v>3</v>
      </c>
      <c r="O912">
        <v>3</v>
      </c>
      <c r="P912">
        <v>12</v>
      </c>
      <c r="Q912">
        <v>3</v>
      </c>
      <c r="R912" s="1">
        <v>42361</v>
      </c>
      <c r="S912" t="s">
        <v>37</v>
      </c>
      <c r="T912" t="str">
        <f t="shared" si="70"/>
        <v>Grade A</v>
      </c>
      <c r="U912">
        <f t="shared" si="71"/>
        <v>1</v>
      </c>
      <c r="V912" t="str">
        <f t="shared" si="72"/>
        <v>Mid Level</v>
      </c>
      <c r="W912" t="str">
        <f t="shared" si="73"/>
        <v>Already Left</v>
      </c>
      <c r="X912" t="str">
        <f t="shared" si="74"/>
        <v>Overpaid</v>
      </c>
    </row>
    <row r="913" spans="1:24" x14ac:dyDescent="0.3">
      <c r="A913" t="s">
        <v>981</v>
      </c>
      <c r="B913" t="s">
        <v>20</v>
      </c>
      <c r="C913">
        <v>32</v>
      </c>
      <c r="D913" t="s">
        <v>57</v>
      </c>
      <c r="E913" t="s">
        <v>22</v>
      </c>
      <c r="F913" t="s">
        <v>75</v>
      </c>
      <c r="G913" t="s">
        <v>24</v>
      </c>
      <c r="H913" t="s">
        <v>76</v>
      </c>
      <c r="I913" t="s">
        <v>35</v>
      </c>
      <c r="J913" t="s">
        <v>27</v>
      </c>
      <c r="K913">
        <v>6</v>
      </c>
      <c r="L913">
        <v>79534</v>
      </c>
      <c r="M913" t="s">
        <v>28</v>
      </c>
      <c r="N913">
        <v>2</v>
      </c>
      <c r="O913">
        <v>3</v>
      </c>
      <c r="P913">
        <v>55</v>
      </c>
      <c r="Q913">
        <v>3</v>
      </c>
      <c r="R913" s="1">
        <v>42745</v>
      </c>
      <c r="S913" t="s">
        <v>29</v>
      </c>
      <c r="T913" t="str">
        <f t="shared" si="70"/>
        <v>Grade B</v>
      </c>
      <c r="U913">
        <f t="shared" si="71"/>
        <v>3</v>
      </c>
      <c r="V913" t="str">
        <f t="shared" si="72"/>
        <v>Mid Level</v>
      </c>
      <c r="W913" t="str">
        <f t="shared" si="73"/>
        <v>Medium Risk</v>
      </c>
      <c r="X913" t="str">
        <f t="shared" si="74"/>
        <v>Competitive</v>
      </c>
    </row>
    <row r="914" spans="1:24" x14ac:dyDescent="0.3">
      <c r="A914" t="s">
        <v>982</v>
      </c>
      <c r="B914" t="s">
        <v>39</v>
      </c>
      <c r="C914">
        <v>50</v>
      </c>
      <c r="D914" t="s">
        <v>21</v>
      </c>
      <c r="E914" t="s">
        <v>48</v>
      </c>
      <c r="F914" t="s">
        <v>32</v>
      </c>
      <c r="G914" t="s">
        <v>33</v>
      </c>
      <c r="H914" t="s">
        <v>25</v>
      </c>
      <c r="I914" t="s">
        <v>80</v>
      </c>
      <c r="J914" t="s">
        <v>60</v>
      </c>
      <c r="K914">
        <v>7</v>
      </c>
      <c r="L914">
        <v>64795</v>
      </c>
      <c r="M914" t="s">
        <v>28</v>
      </c>
      <c r="N914">
        <v>3</v>
      </c>
      <c r="O914">
        <v>3</v>
      </c>
      <c r="P914">
        <v>58</v>
      </c>
      <c r="Q914">
        <v>0</v>
      </c>
      <c r="R914" s="1">
        <v>42613</v>
      </c>
      <c r="S914" t="s">
        <v>29</v>
      </c>
      <c r="T914" t="str">
        <f t="shared" si="70"/>
        <v>Grade B</v>
      </c>
      <c r="U914">
        <f t="shared" si="71"/>
        <v>3</v>
      </c>
      <c r="V914" t="str">
        <f t="shared" si="72"/>
        <v>Mid Level</v>
      </c>
      <c r="W914" t="str">
        <f t="shared" si="73"/>
        <v>Medium Risk</v>
      </c>
      <c r="X914" t="str">
        <f t="shared" si="74"/>
        <v>Competitive</v>
      </c>
    </row>
    <row r="915" spans="1:24" x14ac:dyDescent="0.3">
      <c r="A915" t="s">
        <v>983</v>
      </c>
      <c r="B915" t="s">
        <v>20</v>
      </c>
      <c r="C915">
        <v>38</v>
      </c>
      <c r="D915" t="s">
        <v>57</v>
      </c>
      <c r="E915" t="s">
        <v>22</v>
      </c>
      <c r="F915" t="s">
        <v>75</v>
      </c>
      <c r="G915" t="s">
        <v>63</v>
      </c>
      <c r="H915" t="s">
        <v>76</v>
      </c>
      <c r="I915" t="s">
        <v>96</v>
      </c>
      <c r="J915" t="s">
        <v>44</v>
      </c>
      <c r="K915">
        <v>2</v>
      </c>
      <c r="L915">
        <v>47353</v>
      </c>
      <c r="M915" t="s">
        <v>36</v>
      </c>
      <c r="N915">
        <v>2</v>
      </c>
      <c r="O915">
        <v>2</v>
      </c>
      <c r="P915">
        <v>76</v>
      </c>
      <c r="Q915">
        <v>1</v>
      </c>
      <c r="R915" s="1">
        <v>44425</v>
      </c>
      <c r="S915" t="s">
        <v>37</v>
      </c>
      <c r="T915" t="str">
        <f t="shared" si="70"/>
        <v>Grade C</v>
      </c>
      <c r="U915">
        <f t="shared" si="71"/>
        <v>1</v>
      </c>
      <c r="V915" t="str">
        <f t="shared" si="72"/>
        <v>New Joiner</v>
      </c>
      <c r="W915" t="str">
        <f t="shared" si="73"/>
        <v>Already Left</v>
      </c>
      <c r="X915" t="str">
        <f t="shared" si="74"/>
        <v>Fair</v>
      </c>
    </row>
    <row r="916" spans="1:24" x14ac:dyDescent="0.3">
      <c r="A916" t="s">
        <v>984</v>
      </c>
      <c r="B916" t="s">
        <v>39</v>
      </c>
      <c r="C916">
        <v>38</v>
      </c>
      <c r="D916" t="s">
        <v>21</v>
      </c>
      <c r="E916" t="s">
        <v>40</v>
      </c>
      <c r="F916" t="s">
        <v>75</v>
      </c>
      <c r="G916" t="s">
        <v>49</v>
      </c>
      <c r="H916" t="s">
        <v>25</v>
      </c>
      <c r="I916" t="s">
        <v>50</v>
      </c>
      <c r="J916" t="s">
        <v>44</v>
      </c>
      <c r="K916">
        <v>13</v>
      </c>
      <c r="L916">
        <v>68948</v>
      </c>
      <c r="M916" t="s">
        <v>51</v>
      </c>
      <c r="N916">
        <v>3</v>
      </c>
      <c r="O916">
        <v>4</v>
      </c>
      <c r="P916">
        <v>29</v>
      </c>
      <c r="Q916">
        <v>2</v>
      </c>
      <c r="R916" s="1">
        <v>40500</v>
      </c>
      <c r="S916" t="s">
        <v>29</v>
      </c>
      <c r="T916" t="str">
        <f t="shared" si="70"/>
        <v>Grade B</v>
      </c>
      <c r="U916">
        <f t="shared" si="71"/>
        <v>4</v>
      </c>
      <c r="V916" t="str">
        <f t="shared" si="72"/>
        <v>Senior</v>
      </c>
      <c r="W916" t="str">
        <f t="shared" si="73"/>
        <v>Low Risk</v>
      </c>
      <c r="X916" t="str">
        <f t="shared" si="74"/>
        <v>Fair</v>
      </c>
    </row>
    <row r="917" spans="1:24" x14ac:dyDescent="0.3">
      <c r="A917" t="s">
        <v>985</v>
      </c>
      <c r="B917" t="s">
        <v>39</v>
      </c>
      <c r="C917">
        <v>36</v>
      </c>
      <c r="D917" t="s">
        <v>21</v>
      </c>
      <c r="E917" t="s">
        <v>40</v>
      </c>
      <c r="F917" t="s">
        <v>75</v>
      </c>
      <c r="G917" t="s">
        <v>63</v>
      </c>
      <c r="H917" t="s">
        <v>25</v>
      </c>
      <c r="I917" t="s">
        <v>68</v>
      </c>
      <c r="J917" t="s">
        <v>60</v>
      </c>
      <c r="K917">
        <v>4</v>
      </c>
      <c r="L917">
        <v>53210</v>
      </c>
      <c r="M917" t="s">
        <v>28</v>
      </c>
      <c r="N917">
        <v>1</v>
      </c>
      <c r="O917">
        <v>2</v>
      </c>
      <c r="P917">
        <v>46</v>
      </c>
      <c r="Q917">
        <v>3</v>
      </c>
      <c r="R917" s="1">
        <v>43566</v>
      </c>
      <c r="S917" t="s">
        <v>29</v>
      </c>
      <c r="T917" t="str">
        <f t="shared" si="70"/>
        <v>Grade B</v>
      </c>
      <c r="U917">
        <f t="shared" si="71"/>
        <v>3</v>
      </c>
      <c r="V917" t="str">
        <f t="shared" si="72"/>
        <v>Junior</v>
      </c>
      <c r="W917" t="str">
        <f t="shared" si="73"/>
        <v>Medium Risk</v>
      </c>
      <c r="X917" t="str">
        <f t="shared" si="74"/>
        <v>Competitive</v>
      </c>
    </row>
    <row r="918" spans="1:24" x14ac:dyDescent="0.3">
      <c r="A918" t="s">
        <v>986</v>
      </c>
      <c r="B918" t="s">
        <v>39</v>
      </c>
      <c r="C918">
        <v>39</v>
      </c>
      <c r="D918" t="s">
        <v>47</v>
      </c>
      <c r="E918" t="s">
        <v>40</v>
      </c>
      <c r="F918" t="s">
        <v>53</v>
      </c>
      <c r="G918" t="s">
        <v>49</v>
      </c>
      <c r="H918" t="s">
        <v>67</v>
      </c>
      <c r="I918" t="s">
        <v>43</v>
      </c>
      <c r="J918" t="s">
        <v>44</v>
      </c>
      <c r="K918">
        <v>13</v>
      </c>
      <c r="L918">
        <v>85747</v>
      </c>
      <c r="M918" t="s">
        <v>51</v>
      </c>
      <c r="N918">
        <v>1</v>
      </c>
      <c r="O918">
        <v>4</v>
      </c>
      <c r="P918">
        <v>80</v>
      </c>
      <c r="Q918">
        <v>2</v>
      </c>
      <c r="R918" s="1">
        <v>40513</v>
      </c>
      <c r="S918" t="s">
        <v>37</v>
      </c>
      <c r="T918" t="str">
        <f t="shared" si="70"/>
        <v>Grade A</v>
      </c>
      <c r="U918">
        <f t="shared" si="71"/>
        <v>4</v>
      </c>
      <c r="V918" t="str">
        <f t="shared" si="72"/>
        <v>Senior</v>
      </c>
      <c r="W918" t="str">
        <f t="shared" si="73"/>
        <v>Already Left</v>
      </c>
      <c r="X918" t="str">
        <f t="shared" si="74"/>
        <v>Competitive</v>
      </c>
    </row>
    <row r="919" spans="1:24" x14ac:dyDescent="0.3">
      <c r="A919" t="s">
        <v>987</v>
      </c>
      <c r="B919" t="s">
        <v>39</v>
      </c>
      <c r="C919">
        <v>54</v>
      </c>
      <c r="D919" t="s">
        <v>88</v>
      </c>
      <c r="E919" t="s">
        <v>22</v>
      </c>
      <c r="F919" t="s">
        <v>53</v>
      </c>
      <c r="G919" t="s">
        <v>58</v>
      </c>
      <c r="H919" t="s">
        <v>34</v>
      </c>
      <c r="I919" t="s">
        <v>68</v>
      </c>
      <c r="J919" t="s">
        <v>60</v>
      </c>
      <c r="K919">
        <v>4</v>
      </c>
      <c r="L919">
        <v>93665</v>
      </c>
      <c r="M919" t="s">
        <v>28</v>
      </c>
      <c r="N919">
        <v>4</v>
      </c>
      <c r="O919">
        <v>2</v>
      </c>
      <c r="P919">
        <v>31</v>
      </c>
      <c r="Q919">
        <v>0</v>
      </c>
      <c r="R919" s="1">
        <v>43693</v>
      </c>
      <c r="S919" t="s">
        <v>29</v>
      </c>
      <c r="T919" t="str">
        <f t="shared" si="70"/>
        <v>Grade A</v>
      </c>
      <c r="U919">
        <f t="shared" si="71"/>
        <v>3</v>
      </c>
      <c r="V919" t="str">
        <f t="shared" si="72"/>
        <v>Junior</v>
      </c>
      <c r="W919" t="str">
        <f t="shared" si="73"/>
        <v>Medium Risk</v>
      </c>
      <c r="X919" t="str">
        <f t="shared" si="74"/>
        <v>Competitive</v>
      </c>
    </row>
    <row r="920" spans="1:24" x14ac:dyDescent="0.3">
      <c r="A920" t="s">
        <v>988</v>
      </c>
      <c r="B920" t="s">
        <v>39</v>
      </c>
      <c r="C920">
        <v>51</v>
      </c>
      <c r="D920" t="s">
        <v>47</v>
      </c>
      <c r="E920" t="s">
        <v>40</v>
      </c>
      <c r="F920" t="s">
        <v>53</v>
      </c>
      <c r="G920" t="s">
        <v>66</v>
      </c>
      <c r="H920" t="s">
        <v>67</v>
      </c>
      <c r="I920" t="s">
        <v>96</v>
      </c>
      <c r="J920" t="s">
        <v>44</v>
      </c>
      <c r="K920">
        <v>14</v>
      </c>
      <c r="L920">
        <v>71804</v>
      </c>
      <c r="M920" t="s">
        <v>28</v>
      </c>
      <c r="N920">
        <v>1</v>
      </c>
      <c r="O920">
        <v>2</v>
      </c>
      <c r="P920">
        <v>30</v>
      </c>
      <c r="Q920">
        <v>0</v>
      </c>
      <c r="R920" s="1">
        <v>39946</v>
      </c>
      <c r="S920" t="s">
        <v>29</v>
      </c>
      <c r="T920" t="str">
        <f t="shared" si="70"/>
        <v>Grade B</v>
      </c>
      <c r="U920">
        <f t="shared" si="71"/>
        <v>3</v>
      </c>
      <c r="V920" t="str">
        <f t="shared" si="72"/>
        <v>Senior</v>
      </c>
      <c r="W920" t="str">
        <f t="shared" si="73"/>
        <v>Medium Risk</v>
      </c>
      <c r="X920" t="str">
        <f t="shared" si="74"/>
        <v>Competitive</v>
      </c>
    </row>
    <row r="921" spans="1:24" x14ac:dyDescent="0.3">
      <c r="A921" t="s">
        <v>989</v>
      </c>
      <c r="B921" t="s">
        <v>20</v>
      </c>
      <c r="C921">
        <v>47</v>
      </c>
      <c r="D921" t="s">
        <v>88</v>
      </c>
      <c r="E921" t="s">
        <v>48</v>
      </c>
      <c r="F921" t="s">
        <v>75</v>
      </c>
      <c r="G921" t="s">
        <v>33</v>
      </c>
      <c r="H921" t="s">
        <v>67</v>
      </c>
      <c r="I921" t="s">
        <v>26</v>
      </c>
      <c r="J921" t="s">
        <v>27</v>
      </c>
      <c r="K921">
        <v>5</v>
      </c>
      <c r="L921">
        <v>77330</v>
      </c>
      <c r="M921" t="s">
        <v>51</v>
      </c>
      <c r="N921">
        <v>3</v>
      </c>
      <c r="O921">
        <v>4</v>
      </c>
      <c r="P921">
        <v>42</v>
      </c>
      <c r="Q921">
        <v>3</v>
      </c>
      <c r="R921" s="1">
        <v>43121</v>
      </c>
      <c r="S921" t="s">
        <v>29</v>
      </c>
      <c r="T921" t="str">
        <f t="shared" si="70"/>
        <v>Grade B</v>
      </c>
      <c r="U921">
        <f t="shared" si="71"/>
        <v>4</v>
      </c>
      <c r="V921" t="str">
        <f t="shared" si="72"/>
        <v>Junior</v>
      </c>
      <c r="W921" t="str">
        <f t="shared" si="73"/>
        <v>Low Risk</v>
      </c>
      <c r="X921" t="str">
        <f t="shared" si="74"/>
        <v>Fair</v>
      </c>
    </row>
    <row r="922" spans="1:24" x14ac:dyDescent="0.3">
      <c r="A922" t="s">
        <v>990</v>
      </c>
      <c r="B922" t="s">
        <v>39</v>
      </c>
      <c r="C922">
        <v>48</v>
      </c>
      <c r="D922" t="s">
        <v>57</v>
      </c>
      <c r="E922" t="s">
        <v>48</v>
      </c>
      <c r="F922" t="s">
        <v>78</v>
      </c>
      <c r="G922" t="s">
        <v>79</v>
      </c>
      <c r="H922" t="s">
        <v>67</v>
      </c>
      <c r="I922" t="s">
        <v>68</v>
      </c>
      <c r="J922" t="s">
        <v>60</v>
      </c>
      <c r="K922">
        <v>4</v>
      </c>
      <c r="L922">
        <v>57654</v>
      </c>
      <c r="M922" t="s">
        <v>51</v>
      </c>
      <c r="N922">
        <v>3</v>
      </c>
      <c r="O922">
        <v>3</v>
      </c>
      <c r="P922">
        <v>13</v>
      </c>
      <c r="Q922">
        <v>2</v>
      </c>
      <c r="R922" s="1">
        <v>43680</v>
      </c>
      <c r="S922" t="s">
        <v>29</v>
      </c>
      <c r="T922" t="str">
        <f t="shared" si="70"/>
        <v>Grade B</v>
      </c>
      <c r="U922">
        <f t="shared" si="71"/>
        <v>4</v>
      </c>
      <c r="V922" t="str">
        <f t="shared" si="72"/>
        <v>Junior</v>
      </c>
      <c r="W922" t="str">
        <f t="shared" si="73"/>
        <v>Low Risk</v>
      </c>
      <c r="X922" t="str">
        <f t="shared" si="74"/>
        <v>Fair</v>
      </c>
    </row>
    <row r="923" spans="1:24" x14ac:dyDescent="0.3">
      <c r="A923" t="s">
        <v>991</v>
      </c>
      <c r="B923" t="s">
        <v>20</v>
      </c>
      <c r="C923">
        <v>47</v>
      </c>
      <c r="D923" t="s">
        <v>47</v>
      </c>
      <c r="E923" t="s">
        <v>22</v>
      </c>
      <c r="F923" t="s">
        <v>32</v>
      </c>
      <c r="G923" t="s">
        <v>24</v>
      </c>
      <c r="H923" t="s">
        <v>83</v>
      </c>
      <c r="I923" t="s">
        <v>96</v>
      </c>
      <c r="J923" t="s">
        <v>44</v>
      </c>
      <c r="K923">
        <v>7</v>
      </c>
      <c r="L923">
        <v>93743</v>
      </c>
      <c r="M923" t="s">
        <v>28</v>
      </c>
      <c r="N923">
        <v>1</v>
      </c>
      <c r="O923">
        <v>2</v>
      </c>
      <c r="P923">
        <v>66</v>
      </c>
      <c r="Q923">
        <v>2</v>
      </c>
      <c r="R923" s="1">
        <v>42666</v>
      </c>
      <c r="S923" t="s">
        <v>29</v>
      </c>
      <c r="T923" t="str">
        <f t="shared" si="70"/>
        <v>Grade A</v>
      </c>
      <c r="U923">
        <f t="shared" si="71"/>
        <v>3</v>
      </c>
      <c r="V923" t="str">
        <f t="shared" si="72"/>
        <v>Mid Level</v>
      </c>
      <c r="W923" t="str">
        <f t="shared" si="73"/>
        <v>Medium Risk</v>
      </c>
      <c r="X923" t="str">
        <f t="shared" si="74"/>
        <v>Competitive</v>
      </c>
    </row>
    <row r="924" spans="1:24" x14ac:dyDescent="0.3">
      <c r="A924" t="s">
        <v>992</v>
      </c>
      <c r="B924" t="s">
        <v>39</v>
      </c>
      <c r="C924">
        <v>31</v>
      </c>
      <c r="D924" t="s">
        <v>21</v>
      </c>
      <c r="E924" t="s">
        <v>48</v>
      </c>
      <c r="F924" t="s">
        <v>75</v>
      </c>
      <c r="G924" t="s">
        <v>49</v>
      </c>
      <c r="H924" t="s">
        <v>76</v>
      </c>
      <c r="I924" t="s">
        <v>96</v>
      </c>
      <c r="J924" t="s">
        <v>44</v>
      </c>
      <c r="K924">
        <v>6</v>
      </c>
      <c r="L924">
        <v>67181</v>
      </c>
      <c r="M924" t="s">
        <v>36</v>
      </c>
      <c r="N924">
        <v>3</v>
      </c>
      <c r="O924">
        <v>1</v>
      </c>
      <c r="P924">
        <v>54</v>
      </c>
      <c r="Q924">
        <v>3</v>
      </c>
      <c r="R924" s="1">
        <v>43076</v>
      </c>
      <c r="S924" t="s">
        <v>37</v>
      </c>
      <c r="T924" t="str">
        <f t="shared" si="70"/>
        <v>Grade B</v>
      </c>
      <c r="U924">
        <f t="shared" si="71"/>
        <v>1</v>
      </c>
      <c r="V924" t="str">
        <f t="shared" si="72"/>
        <v>Mid Level</v>
      </c>
      <c r="W924" t="str">
        <f t="shared" si="73"/>
        <v>Already Left</v>
      </c>
      <c r="X924" t="str">
        <f t="shared" si="74"/>
        <v>Fair</v>
      </c>
    </row>
    <row r="925" spans="1:24" x14ac:dyDescent="0.3">
      <c r="A925" t="s">
        <v>993</v>
      </c>
      <c r="B925" t="s">
        <v>20</v>
      </c>
      <c r="C925">
        <v>43</v>
      </c>
      <c r="D925" t="s">
        <v>47</v>
      </c>
      <c r="E925" t="s">
        <v>48</v>
      </c>
      <c r="F925" t="s">
        <v>75</v>
      </c>
      <c r="G925" t="s">
        <v>33</v>
      </c>
      <c r="H925" t="s">
        <v>83</v>
      </c>
      <c r="I925" t="s">
        <v>43</v>
      </c>
      <c r="J925" t="s">
        <v>44</v>
      </c>
      <c r="K925">
        <v>6</v>
      </c>
      <c r="L925">
        <v>63327</v>
      </c>
      <c r="M925" t="s">
        <v>45</v>
      </c>
      <c r="N925">
        <v>2</v>
      </c>
      <c r="O925">
        <v>1</v>
      </c>
      <c r="P925">
        <v>22</v>
      </c>
      <c r="Q925">
        <v>1</v>
      </c>
      <c r="R925" s="1">
        <v>43068</v>
      </c>
      <c r="S925" t="s">
        <v>29</v>
      </c>
      <c r="T925" t="str">
        <f t="shared" si="70"/>
        <v>Grade B</v>
      </c>
      <c r="U925">
        <f t="shared" si="71"/>
        <v>2</v>
      </c>
      <c r="V925" t="str">
        <f t="shared" si="72"/>
        <v>Mid Level</v>
      </c>
      <c r="W925" t="str">
        <f t="shared" si="73"/>
        <v>Medium Risk</v>
      </c>
      <c r="X925" t="str">
        <f t="shared" si="74"/>
        <v>Fair</v>
      </c>
    </row>
    <row r="926" spans="1:24" x14ac:dyDescent="0.3">
      <c r="A926" t="s">
        <v>994</v>
      </c>
      <c r="B926" t="s">
        <v>20</v>
      </c>
      <c r="C926">
        <v>47</v>
      </c>
      <c r="D926" t="s">
        <v>31</v>
      </c>
      <c r="E926" t="s">
        <v>40</v>
      </c>
      <c r="F926" t="s">
        <v>62</v>
      </c>
      <c r="G926" t="s">
        <v>49</v>
      </c>
      <c r="H926" t="s">
        <v>83</v>
      </c>
      <c r="I926" t="s">
        <v>35</v>
      </c>
      <c r="J926" t="s">
        <v>27</v>
      </c>
      <c r="K926">
        <v>9</v>
      </c>
      <c r="L926">
        <v>75075</v>
      </c>
      <c r="M926" t="s">
        <v>51</v>
      </c>
      <c r="N926">
        <v>4</v>
      </c>
      <c r="O926">
        <v>3</v>
      </c>
      <c r="P926">
        <v>51</v>
      </c>
      <c r="Q926">
        <v>2</v>
      </c>
      <c r="R926" s="1">
        <v>41995</v>
      </c>
      <c r="S926" t="s">
        <v>29</v>
      </c>
      <c r="T926" t="str">
        <f t="shared" si="70"/>
        <v>Grade B</v>
      </c>
      <c r="U926">
        <f t="shared" si="71"/>
        <v>4</v>
      </c>
      <c r="V926" t="str">
        <f t="shared" si="72"/>
        <v>Mid Level</v>
      </c>
      <c r="W926" t="str">
        <f t="shared" si="73"/>
        <v>Low Risk</v>
      </c>
      <c r="X926" t="str">
        <f t="shared" si="74"/>
        <v>Fair</v>
      </c>
    </row>
    <row r="927" spans="1:24" x14ac:dyDescent="0.3">
      <c r="A927" t="s">
        <v>995</v>
      </c>
      <c r="B927" t="s">
        <v>39</v>
      </c>
      <c r="C927">
        <v>54</v>
      </c>
      <c r="D927" t="s">
        <v>21</v>
      </c>
      <c r="E927" t="s">
        <v>22</v>
      </c>
      <c r="F927" t="s">
        <v>23</v>
      </c>
      <c r="G927" t="s">
        <v>33</v>
      </c>
      <c r="H927" t="s">
        <v>34</v>
      </c>
      <c r="I927" t="s">
        <v>72</v>
      </c>
      <c r="J927" t="s">
        <v>73</v>
      </c>
      <c r="K927">
        <v>15</v>
      </c>
      <c r="L927">
        <v>95974</v>
      </c>
      <c r="M927" t="s">
        <v>51</v>
      </c>
      <c r="N927">
        <v>4</v>
      </c>
      <c r="O927">
        <v>3</v>
      </c>
      <c r="P927">
        <v>66</v>
      </c>
      <c r="Q927">
        <v>2</v>
      </c>
      <c r="R927" s="1">
        <v>39554</v>
      </c>
      <c r="S927" t="s">
        <v>29</v>
      </c>
      <c r="T927" t="str">
        <f t="shared" si="70"/>
        <v>Grade A</v>
      </c>
      <c r="U927">
        <f t="shared" si="71"/>
        <v>4</v>
      </c>
      <c r="V927" t="str">
        <f t="shared" si="72"/>
        <v>Senior</v>
      </c>
      <c r="W927" t="str">
        <f t="shared" si="73"/>
        <v>Low Risk</v>
      </c>
      <c r="X927" t="str">
        <f t="shared" si="74"/>
        <v>Competitive</v>
      </c>
    </row>
    <row r="928" spans="1:24" x14ac:dyDescent="0.3">
      <c r="A928" t="s">
        <v>996</v>
      </c>
      <c r="B928" t="s">
        <v>39</v>
      </c>
      <c r="C928">
        <v>24</v>
      </c>
      <c r="D928" t="s">
        <v>31</v>
      </c>
      <c r="E928" t="s">
        <v>22</v>
      </c>
      <c r="F928" t="s">
        <v>53</v>
      </c>
      <c r="G928" t="s">
        <v>63</v>
      </c>
      <c r="H928" t="s">
        <v>67</v>
      </c>
      <c r="I928" t="s">
        <v>68</v>
      </c>
      <c r="J928" t="s">
        <v>60</v>
      </c>
      <c r="K928">
        <v>10</v>
      </c>
      <c r="L928">
        <v>64036</v>
      </c>
      <c r="M928" t="s">
        <v>51</v>
      </c>
      <c r="N928">
        <v>2</v>
      </c>
      <c r="O928">
        <v>2</v>
      </c>
      <c r="P928">
        <v>63</v>
      </c>
      <c r="Q928">
        <v>1</v>
      </c>
      <c r="R928" s="1">
        <v>41530</v>
      </c>
      <c r="S928" t="s">
        <v>29</v>
      </c>
      <c r="T928" t="str">
        <f t="shared" si="70"/>
        <v>Grade B</v>
      </c>
      <c r="U928">
        <f t="shared" si="71"/>
        <v>4</v>
      </c>
      <c r="V928" t="str">
        <f t="shared" si="72"/>
        <v>Mid Level</v>
      </c>
      <c r="W928" t="str">
        <f t="shared" si="73"/>
        <v>Low Risk</v>
      </c>
      <c r="X928" t="str">
        <f t="shared" si="74"/>
        <v>Fair</v>
      </c>
    </row>
    <row r="929" spans="1:24" x14ac:dyDescent="0.3">
      <c r="A929" t="s">
        <v>997</v>
      </c>
      <c r="B929" t="s">
        <v>39</v>
      </c>
      <c r="C929">
        <v>38</v>
      </c>
      <c r="D929" t="s">
        <v>57</v>
      </c>
      <c r="E929" t="s">
        <v>22</v>
      </c>
      <c r="F929" t="s">
        <v>53</v>
      </c>
      <c r="G929" t="s">
        <v>49</v>
      </c>
      <c r="H929" t="s">
        <v>76</v>
      </c>
      <c r="I929" t="s">
        <v>43</v>
      </c>
      <c r="J929" t="s">
        <v>44</v>
      </c>
      <c r="K929">
        <v>15</v>
      </c>
      <c r="L929">
        <v>70018</v>
      </c>
      <c r="M929" t="s">
        <v>45</v>
      </c>
      <c r="N929">
        <v>2</v>
      </c>
      <c r="O929">
        <v>4</v>
      </c>
      <c r="P929">
        <v>31</v>
      </c>
      <c r="Q929">
        <v>3</v>
      </c>
      <c r="R929" s="1">
        <v>39734</v>
      </c>
      <c r="S929" t="s">
        <v>37</v>
      </c>
      <c r="T929" t="str">
        <f t="shared" si="70"/>
        <v>Grade B</v>
      </c>
      <c r="U929">
        <f t="shared" si="71"/>
        <v>2</v>
      </c>
      <c r="V929" t="str">
        <f t="shared" si="72"/>
        <v>Senior</v>
      </c>
      <c r="W929" t="str">
        <f t="shared" si="73"/>
        <v>Already Left</v>
      </c>
      <c r="X929" t="str">
        <f t="shared" si="74"/>
        <v>Fair</v>
      </c>
    </row>
    <row r="930" spans="1:24" x14ac:dyDescent="0.3">
      <c r="A930" t="s">
        <v>998</v>
      </c>
      <c r="B930" t="s">
        <v>20</v>
      </c>
      <c r="C930">
        <v>42</v>
      </c>
      <c r="D930" t="s">
        <v>88</v>
      </c>
      <c r="E930" t="s">
        <v>22</v>
      </c>
      <c r="F930" t="s">
        <v>41</v>
      </c>
      <c r="G930" t="s">
        <v>66</v>
      </c>
      <c r="H930" t="s">
        <v>76</v>
      </c>
      <c r="I930" t="s">
        <v>26</v>
      </c>
      <c r="J930" t="s">
        <v>27</v>
      </c>
      <c r="K930">
        <v>10</v>
      </c>
      <c r="L930">
        <v>60365</v>
      </c>
      <c r="M930" t="s">
        <v>45</v>
      </c>
      <c r="N930">
        <v>3</v>
      </c>
      <c r="O930">
        <v>2</v>
      </c>
      <c r="P930">
        <v>38</v>
      </c>
      <c r="Q930">
        <v>0</v>
      </c>
      <c r="R930" s="1">
        <v>41347</v>
      </c>
      <c r="S930" t="s">
        <v>29</v>
      </c>
      <c r="T930" t="str">
        <f t="shared" si="70"/>
        <v>Grade B</v>
      </c>
      <c r="U930">
        <f t="shared" si="71"/>
        <v>2</v>
      </c>
      <c r="V930" t="str">
        <f t="shared" si="72"/>
        <v>Mid Level</v>
      </c>
      <c r="W930" t="str">
        <f t="shared" si="73"/>
        <v>Medium Risk</v>
      </c>
      <c r="X930" t="str">
        <f t="shared" si="74"/>
        <v>Fair</v>
      </c>
    </row>
    <row r="931" spans="1:24" x14ac:dyDescent="0.3">
      <c r="A931" t="s">
        <v>999</v>
      </c>
      <c r="B931" t="s">
        <v>20</v>
      </c>
      <c r="C931">
        <v>38</v>
      </c>
      <c r="D931" t="s">
        <v>21</v>
      </c>
      <c r="E931" t="s">
        <v>22</v>
      </c>
      <c r="F931" t="s">
        <v>78</v>
      </c>
      <c r="G931" t="s">
        <v>42</v>
      </c>
      <c r="H931" t="s">
        <v>25</v>
      </c>
      <c r="I931" t="s">
        <v>43</v>
      </c>
      <c r="J931" t="s">
        <v>44</v>
      </c>
      <c r="K931">
        <v>9</v>
      </c>
      <c r="L931">
        <v>119347</v>
      </c>
      <c r="M931" t="s">
        <v>45</v>
      </c>
      <c r="N931">
        <v>2</v>
      </c>
      <c r="O931">
        <v>2</v>
      </c>
      <c r="P931">
        <v>41</v>
      </c>
      <c r="Q931">
        <v>3</v>
      </c>
      <c r="R931" s="1">
        <v>41981</v>
      </c>
      <c r="S931" t="s">
        <v>29</v>
      </c>
      <c r="T931" t="str">
        <f t="shared" si="70"/>
        <v>Grade A</v>
      </c>
      <c r="U931">
        <f t="shared" si="71"/>
        <v>2</v>
      </c>
      <c r="V931" t="str">
        <f t="shared" si="72"/>
        <v>Mid Level</v>
      </c>
      <c r="W931" t="str">
        <f t="shared" si="73"/>
        <v>Medium Risk</v>
      </c>
      <c r="X931" t="str">
        <f t="shared" si="74"/>
        <v>Fair</v>
      </c>
    </row>
    <row r="932" spans="1:24" x14ac:dyDescent="0.3">
      <c r="A932" t="s">
        <v>1000</v>
      </c>
      <c r="B932" t="s">
        <v>20</v>
      </c>
      <c r="C932">
        <v>27</v>
      </c>
      <c r="D932" t="s">
        <v>47</v>
      </c>
      <c r="E932" t="s">
        <v>22</v>
      </c>
      <c r="F932" t="s">
        <v>41</v>
      </c>
      <c r="G932" t="s">
        <v>63</v>
      </c>
      <c r="H932" t="s">
        <v>34</v>
      </c>
      <c r="I932" t="s">
        <v>68</v>
      </c>
      <c r="J932" t="s">
        <v>60</v>
      </c>
      <c r="K932">
        <v>7</v>
      </c>
      <c r="L932">
        <v>62739</v>
      </c>
      <c r="M932" t="s">
        <v>45</v>
      </c>
      <c r="N932">
        <v>4</v>
      </c>
      <c r="O932">
        <v>1</v>
      </c>
      <c r="P932">
        <v>50</v>
      </c>
      <c r="Q932">
        <v>0</v>
      </c>
      <c r="R932" s="1">
        <v>42568</v>
      </c>
      <c r="S932" t="s">
        <v>29</v>
      </c>
      <c r="T932" t="str">
        <f t="shared" si="70"/>
        <v>Grade B</v>
      </c>
      <c r="U932">
        <f t="shared" si="71"/>
        <v>2</v>
      </c>
      <c r="V932" t="str">
        <f t="shared" si="72"/>
        <v>Mid Level</v>
      </c>
      <c r="W932" t="str">
        <f t="shared" si="73"/>
        <v>Medium Risk</v>
      </c>
      <c r="X932" t="str">
        <f t="shared" si="74"/>
        <v>Fair</v>
      </c>
    </row>
    <row r="933" spans="1:24" x14ac:dyDescent="0.3">
      <c r="A933" t="s">
        <v>1001</v>
      </c>
      <c r="B933" t="s">
        <v>39</v>
      </c>
      <c r="C933">
        <v>41</v>
      </c>
      <c r="D933" t="s">
        <v>47</v>
      </c>
      <c r="E933" t="s">
        <v>48</v>
      </c>
      <c r="F933" t="s">
        <v>75</v>
      </c>
      <c r="G933" t="s">
        <v>33</v>
      </c>
      <c r="H933" t="s">
        <v>76</v>
      </c>
      <c r="I933" t="s">
        <v>43</v>
      </c>
      <c r="J933" t="s">
        <v>44</v>
      </c>
      <c r="K933">
        <v>7</v>
      </c>
      <c r="L933">
        <v>65002</v>
      </c>
      <c r="M933" t="s">
        <v>28</v>
      </c>
      <c r="N933">
        <v>4</v>
      </c>
      <c r="O933">
        <v>4</v>
      </c>
      <c r="P933">
        <v>37</v>
      </c>
      <c r="Q933">
        <v>3</v>
      </c>
      <c r="R933" s="1">
        <v>42548</v>
      </c>
      <c r="S933" t="s">
        <v>29</v>
      </c>
      <c r="T933" t="str">
        <f t="shared" si="70"/>
        <v>Grade B</v>
      </c>
      <c r="U933">
        <f t="shared" si="71"/>
        <v>3</v>
      </c>
      <c r="V933" t="str">
        <f t="shared" si="72"/>
        <v>Mid Level</v>
      </c>
      <c r="W933" t="str">
        <f t="shared" si="73"/>
        <v>Medium Risk</v>
      </c>
      <c r="X933" t="str">
        <f t="shared" si="74"/>
        <v>Competitive</v>
      </c>
    </row>
    <row r="934" spans="1:24" x14ac:dyDescent="0.3">
      <c r="A934" t="s">
        <v>1002</v>
      </c>
      <c r="B934" t="s">
        <v>20</v>
      </c>
      <c r="C934">
        <v>46</v>
      </c>
      <c r="D934" t="s">
        <v>21</v>
      </c>
      <c r="E934" t="s">
        <v>22</v>
      </c>
      <c r="F934" t="s">
        <v>32</v>
      </c>
      <c r="G934" t="s">
        <v>24</v>
      </c>
      <c r="H934" t="s">
        <v>25</v>
      </c>
      <c r="I934" t="s">
        <v>43</v>
      </c>
      <c r="J934" t="s">
        <v>44</v>
      </c>
      <c r="K934">
        <v>10</v>
      </c>
      <c r="L934">
        <v>96013</v>
      </c>
      <c r="M934" t="s">
        <v>28</v>
      </c>
      <c r="N934">
        <v>1</v>
      </c>
      <c r="O934">
        <v>1</v>
      </c>
      <c r="P934">
        <v>11</v>
      </c>
      <c r="Q934">
        <v>1</v>
      </c>
      <c r="R934" s="1">
        <v>41336</v>
      </c>
      <c r="S934" t="s">
        <v>29</v>
      </c>
      <c r="T934" t="str">
        <f t="shared" si="70"/>
        <v>Grade A</v>
      </c>
      <c r="U934">
        <f t="shared" si="71"/>
        <v>3</v>
      </c>
      <c r="V934" t="str">
        <f t="shared" si="72"/>
        <v>Mid Level</v>
      </c>
      <c r="W934" t="str">
        <f t="shared" si="73"/>
        <v>Medium Risk</v>
      </c>
      <c r="X934" t="str">
        <f t="shared" si="74"/>
        <v>Competitive</v>
      </c>
    </row>
    <row r="935" spans="1:24" x14ac:dyDescent="0.3">
      <c r="A935" t="s">
        <v>1003</v>
      </c>
      <c r="B935" t="s">
        <v>39</v>
      </c>
      <c r="C935">
        <v>24</v>
      </c>
      <c r="D935" t="s">
        <v>47</v>
      </c>
      <c r="E935" t="s">
        <v>48</v>
      </c>
      <c r="F935" t="s">
        <v>75</v>
      </c>
      <c r="G935" t="s">
        <v>24</v>
      </c>
      <c r="H935" t="s">
        <v>76</v>
      </c>
      <c r="I935" t="s">
        <v>35</v>
      </c>
      <c r="J935" t="s">
        <v>27</v>
      </c>
      <c r="K935">
        <v>15</v>
      </c>
      <c r="L935">
        <v>96682</v>
      </c>
      <c r="M935" t="s">
        <v>51</v>
      </c>
      <c r="N935">
        <v>3</v>
      </c>
      <c r="O935">
        <v>3</v>
      </c>
      <c r="P935">
        <v>21</v>
      </c>
      <c r="Q935">
        <v>0</v>
      </c>
      <c r="R935" s="1">
        <v>39576</v>
      </c>
      <c r="S935" t="s">
        <v>37</v>
      </c>
      <c r="T935" t="str">
        <f t="shared" si="70"/>
        <v>Grade A</v>
      </c>
      <c r="U935">
        <f t="shared" si="71"/>
        <v>4</v>
      </c>
      <c r="V935" t="str">
        <f t="shared" si="72"/>
        <v>Senior</v>
      </c>
      <c r="W935" t="str">
        <f t="shared" si="73"/>
        <v>Already Left</v>
      </c>
      <c r="X935" t="str">
        <f t="shared" si="74"/>
        <v>Competitive</v>
      </c>
    </row>
    <row r="936" spans="1:24" x14ac:dyDescent="0.3">
      <c r="A936" t="s">
        <v>1004</v>
      </c>
      <c r="B936" t="s">
        <v>39</v>
      </c>
      <c r="C936">
        <v>32</v>
      </c>
      <c r="D936" t="s">
        <v>57</v>
      </c>
      <c r="E936" t="s">
        <v>48</v>
      </c>
      <c r="F936" t="s">
        <v>62</v>
      </c>
      <c r="G936" t="s">
        <v>79</v>
      </c>
      <c r="H936" t="s">
        <v>25</v>
      </c>
      <c r="I936" t="s">
        <v>68</v>
      </c>
      <c r="J936" t="s">
        <v>60</v>
      </c>
      <c r="K936">
        <v>1</v>
      </c>
      <c r="L936">
        <v>33294</v>
      </c>
      <c r="M936" t="s">
        <v>51</v>
      </c>
      <c r="N936">
        <v>1</v>
      </c>
      <c r="O936">
        <v>3</v>
      </c>
      <c r="P936">
        <v>47</v>
      </c>
      <c r="Q936">
        <v>0</v>
      </c>
      <c r="R936" s="1">
        <v>44927</v>
      </c>
      <c r="S936" t="s">
        <v>29</v>
      </c>
      <c r="T936" t="str">
        <f t="shared" si="70"/>
        <v>Grade D</v>
      </c>
      <c r="U936">
        <f t="shared" si="71"/>
        <v>4</v>
      </c>
      <c r="V936" t="str">
        <f t="shared" si="72"/>
        <v>New Joiner</v>
      </c>
      <c r="W936" t="str">
        <f t="shared" si="73"/>
        <v>Low Risk</v>
      </c>
      <c r="X936" t="str">
        <f t="shared" si="74"/>
        <v>Underpaid</v>
      </c>
    </row>
    <row r="937" spans="1:24" x14ac:dyDescent="0.3">
      <c r="A937" t="s">
        <v>1005</v>
      </c>
      <c r="B937" t="s">
        <v>20</v>
      </c>
      <c r="C937">
        <v>36</v>
      </c>
      <c r="D937" t="s">
        <v>31</v>
      </c>
      <c r="E937" t="s">
        <v>22</v>
      </c>
      <c r="F937" t="s">
        <v>62</v>
      </c>
      <c r="G937" t="s">
        <v>42</v>
      </c>
      <c r="H937" t="s">
        <v>67</v>
      </c>
      <c r="I937" t="s">
        <v>54</v>
      </c>
      <c r="J937" t="s">
        <v>27</v>
      </c>
      <c r="K937">
        <v>8</v>
      </c>
      <c r="L937">
        <v>106157</v>
      </c>
      <c r="M937" t="s">
        <v>51</v>
      </c>
      <c r="N937">
        <v>4</v>
      </c>
      <c r="O937">
        <v>3</v>
      </c>
      <c r="P937">
        <v>30</v>
      </c>
      <c r="Q937">
        <v>3</v>
      </c>
      <c r="R937" s="1">
        <v>42323</v>
      </c>
      <c r="S937" t="s">
        <v>29</v>
      </c>
      <c r="T937" t="str">
        <f t="shared" si="70"/>
        <v>Grade A</v>
      </c>
      <c r="U937">
        <f t="shared" si="71"/>
        <v>4</v>
      </c>
      <c r="V937" t="str">
        <f t="shared" si="72"/>
        <v>Mid Level</v>
      </c>
      <c r="W937" t="str">
        <f t="shared" si="73"/>
        <v>Low Risk</v>
      </c>
      <c r="X937" t="str">
        <f t="shared" si="74"/>
        <v>Competitive</v>
      </c>
    </row>
    <row r="938" spans="1:24" x14ac:dyDescent="0.3">
      <c r="A938" t="s">
        <v>1006</v>
      </c>
      <c r="B938" t="s">
        <v>20</v>
      </c>
      <c r="C938">
        <v>35</v>
      </c>
      <c r="D938" t="s">
        <v>47</v>
      </c>
      <c r="E938" t="s">
        <v>48</v>
      </c>
      <c r="F938" t="s">
        <v>65</v>
      </c>
      <c r="G938" t="s">
        <v>63</v>
      </c>
      <c r="H938" t="s">
        <v>34</v>
      </c>
      <c r="I938" t="s">
        <v>96</v>
      </c>
      <c r="J938" t="s">
        <v>44</v>
      </c>
      <c r="K938">
        <v>5</v>
      </c>
      <c r="L938">
        <v>58696</v>
      </c>
      <c r="M938" t="s">
        <v>45</v>
      </c>
      <c r="N938">
        <v>2</v>
      </c>
      <c r="O938">
        <v>2</v>
      </c>
      <c r="P938">
        <v>14</v>
      </c>
      <c r="Q938">
        <v>0</v>
      </c>
      <c r="R938" s="1">
        <v>43309</v>
      </c>
      <c r="S938" t="s">
        <v>29</v>
      </c>
      <c r="T938" t="str">
        <f t="shared" si="70"/>
        <v>Grade B</v>
      </c>
      <c r="U938">
        <f t="shared" si="71"/>
        <v>2</v>
      </c>
      <c r="V938" t="str">
        <f t="shared" si="72"/>
        <v>Junior</v>
      </c>
      <c r="W938" t="str">
        <f t="shared" si="73"/>
        <v>Medium Risk</v>
      </c>
      <c r="X938" t="str">
        <f t="shared" si="74"/>
        <v>Fair</v>
      </c>
    </row>
    <row r="939" spans="1:24" x14ac:dyDescent="0.3">
      <c r="A939" t="s">
        <v>1007</v>
      </c>
      <c r="B939" t="s">
        <v>20</v>
      </c>
      <c r="C939">
        <v>42</v>
      </c>
      <c r="D939" t="s">
        <v>88</v>
      </c>
      <c r="E939" t="s">
        <v>22</v>
      </c>
      <c r="F939" t="s">
        <v>41</v>
      </c>
      <c r="G939" t="s">
        <v>24</v>
      </c>
      <c r="H939" t="s">
        <v>67</v>
      </c>
      <c r="I939" t="s">
        <v>50</v>
      </c>
      <c r="J939" t="s">
        <v>44</v>
      </c>
      <c r="K939">
        <v>8</v>
      </c>
      <c r="L939">
        <v>85893</v>
      </c>
      <c r="M939" t="s">
        <v>51</v>
      </c>
      <c r="N939">
        <v>4</v>
      </c>
      <c r="O939">
        <v>4</v>
      </c>
      <c r="P939">
        <v>62</v>
      </c>
      <c r="Q939">
        <v>0</v>
      </c>
      <c r="R939" s="1">
        <v>42228</v>
      </c>
      <c r="S939" t="s">
        <v>37</v>
      </c>
      <c r="T939" t="str">
        <f t="shared" si="70"/>
        <v>Grade A</v>
      </c>
      <c r="U939">
        <f t="shared" si="71"/>
        <v>4</v>
      </c>
      <c r="V939" t="str">
        <f t="shared" si="72"/>
        <v>Mid Level</v>
      </c>
      <c r="W939" t="str">
        <f t="shared" si="73"/>
        <v>Already Left</v>
      </c>
      <c r="X939" t="str">
        <f t="shared" si="74"/>
        <v>Competitive</v>
      </c>
    </row>
    <row r="940" spans="1:24" x14ac:dyDescent="0.3">
      <c r="A940" t="s">
        <v>1008</v>
      </c>
      <c r="B940" t="s">
        <v>20</v>
      </c>
      <c r="C940">
        <v>26</v>
      </c>
      <c r="D940" t="s">
        <v>21</v>
      </c>
      <c r="E940" t="s">
        <v>22</v>
      </c>
      <c r="F940" t="s">
        <v>62</v>
      </c>
      <c r="G940" t="s">
        <v>58</v>
      </c>
      <c r="H940" t="s">
        <v>67</v>
      </c>
      <c r="I940" t="s">
        <v>35</v>
      </c>
      <c r="J940" t="s">
        <v>27</v>
      </c>
      <c r="K940">
        <v>11</v>
      </c>
      <c r="L940">
        <v>108934</v>
      </c>
      <c r="M940" t="s">
        <v>36</v>
      </c>
      <c r="N940">
        <v>3</v>
      </c>
      <c r="O940">
        <v>4</v>
      </c>
      <c r="P940">
        <v>33</v>
      </c>
      <c r="Q940">
        <v>3</v>
      </c>
      <c r="R940" s="1">
        <v>41179</v>
      </c>
      <c r="S940" t="s">
        <v>37</v>
      </c>
      <c r="T940" t="str">
        <f t="shared" si="70"/>
        <v>Grade A</v>
      </c>
      <c r="U940">
        <f t="shared" si="71"/>
        <v>1</v>
      </c>
      <c r="V940" t="str">
        <f t="shared" si="72"/>
        <v>Senior</v>
      </c>
      <c r="W940" t="str">
        <f t="shared" si="73"/>
        <v>Already Left</v>
      </c>
      <c r="X940" t="str">
        <f t="shared" si="74"/>
        <v>Overpaid</v>
      </c>
    </row>
    <row r="941" spans="1:24" x14ac:dyDescent="0.3">
      <c r="A941" t="s">
        <v>1009</v>
      </c>
      <c r="B941" t="s">
        <v>39</v>
      </c>
      <c r="C941">
        <v>22</v>
      </c>
      <c r="D941" t="s">
        <v>47</v>
      </c>
      <c r="E941" t="s">
        <v>48</v>
      </c>
      <c r="F941" t="s">
        <v>75</v>
      </c>
      <c r="G941" t="s">
        <v>66</v>
      </c>
      <c r="H941" t="s">
        <v>25</v>
      </c>
      <c r="I941" t="s">
        <v>96</v>
      </c>
      <c r="J941" t="s">
        <v>44</v>
      </c>
      <c r="K941">
        <v>3</v>
      </c>
      <c r="L941">
        <v>44839</v>
      </c>
      <c r="M941" t="s">
        <v>36</v>
      </c>
      <c r="N941">
        <v>4</v>
      </c>
      <c r="O941">
        <v>1</v>
      </c>
      <c r="P941">
        <v>72</v>
      </c>
      <c r="Q941">
        <v>2</v>
      </c>
      <c r="R941" s="1">
        <v>43839</v>
      </c>
      <c r="S941" t="s">
        <v>29</v>
      </c>
      <c r="T941" t="str">
        <f t="shared" si="70"/>
        <v>Grade C</v>
      </c>
      <c r="U941">
        <f t="shared" si="71"/>
        <v>1</v>
      </c>
      <c r="V941" t="str">
        <f t="shared" si="72"/>
        <v>Junior</v>
      </c>
      <c r="W941" t="str">
        <f t="shared" si="73"/>
        <v>Medium Risk</v>
      </c>
      <c r="X941" t="str">
        <f t="shared" si="74"/>
        <v>Fair</v>
      </c>
    </row>
    <row r="942" spans="1:24" x14ac:dyDescent="0.3">
      <c r="A942" t="s">
        <v>1010</v>
      </c>
      <c r="B942" t="s">
        <v>20</v>
      </c>
      <c r="C942">
        <v>24</v>
      </c>
      <c r="D942" t="s">
        <v>21</v>
      </c>
      <c r="E942" t="s">
        <v>40</v>
      </c>
      <c r="F942" t="s">
        <v>23</v>
      </c>
      <c r="G942" t="s">
        <v>33</v>
      </c>
      <c r="H942" t="s">
        <v>67</v>
      </c>
      <c r="I942" t="s">
        <v>68</v>
      </c>
      <c r="J942" t="s">
        <v>60</v>
      </c>
      <c r="K942">
        <v>9</v>
      </c>
      <c r="L942">
        <v>77104</v>
      </c>
      <c r="M942" t="s">
        <v>28</v>
      </c>
      <c r="N942">
        <v>3</v>
      </c>
      <c r="O942">
        <v>3</v>
      </c>
      <c r="P942">
        <v>57</v>
      </c>
      <c r="Q942">
        <v>2</v>
      </c>
      <c r="R942" s="1">
        <v>41915</v>
      </c>
      <c r="S942" t="s">
        <v>29</v>
      </c>
      <c r="T942" t="str">
        <f t="shared" si="70"/>
        <v>Grade B</v>
      </c>
      <c r="U942">
        <f t="shared" si="71"/>
        <v>3</v>
      </c>
      <c r="V942" t="str">
        <f t="shared" si="72"/>
        <v>Mid Level</v>
      </c>
      <c r="W942" t="str">
        <f t="shared" si="73"/>
        <v>Medium Risk</v>
      </c>
      <c r="X942" t="str">
        <f t="shared" si="74"/>
        <v>Competitive</v>
      </c>
    </row>
    <row r="943" spans="1:24" x14ac:dyDescent="0.3">
      <c r="A943" t="s">
        <v>1011</v>
      </c>
      <c r="B943" t="s">
        <v>20</v>
      </c>
      <c r="C943">
        <v>55</v>
      </c>
      <c r="D943" t="s">
        <v>88</v>
      </c>
      <c r="E943" t="s">
        <v>40</v>
      </c>
      <c r="F943" t="s">
        <v>41</v>
      </c>
      <c r="G943" t="s">
        <v>24</v>
      </c>
      <c r="H943" t="s">
        <v>76</v>
      </c>
      <c r="I943" t="s">
        <v>50</v>
      </c>
      <c r="J943" t="s">
        <v>44</v>
      </c>
      <c r="K943">
        <v>4</v>
      </c>
      <c r="L943">
        <v>83895</v>
      </c>
      <c r="M943" t="s">
        <v>28</v>
      </c>
      <c r="N943">
        <v>2</v>
      </c>
      <c r="O943">
        <v>4</v>
      </c>
      <c r="P943">
        <v>15</v>
      </c>
      <c r="Q943">
        <v>3</v>
      </c>
      <c r="R943" s="1">
        <v>43692</v>
      </c>
      <c r="S943" t="s">
        <v>29</v>
      </c>
      <c r="T943" t="str">
        <f t="shared" si="70"/>
        <v>Grade A</v>
      </c>
      <c r="U943">
        <f t="shared" si="71"/>
        <v>3</v>
      </c>
      <c r="V943" t="str">
        <f t="shared" si="72"/>
        <v>Junior</v>
      </c>
      <c r="W943" t="str">
        <f t="shared" si="73"/>
        <v>Medium Risk</v>
      </c>
      <c r="X943" t="str">
        <f t="shared" si="74"/>
        <v>Competitive</v>
      </c>
    </row>
    <row r="944" spans="1:24" x14ac:dyDescent="0.3">
      <c r="A944" t="s">
        <v>1012</v>
      </c>
      <c r="B944" t="s">
        <v>39</v>
      </c>
      <c r="C944">
        <v>52</v>
      </c>
      <c r="D944" t="s">
        <v>57</v>
      </c>
      <c r="E944" t="s">
        <v>48</v>
      </c>
      <c r="F944" t="s">
        <v>62</v>
      </c>
      <c r="G944" t="s">
        <v>42</v>
      </c>
      <c r="H944" t="s">
        <v>34</v>
      </c>
      <c r="I944" t="s">
        <v>54</v>
      </c>
      <c r="J944" t="s">
        <v>27</v>
      </c>
      <c r="K944">
        <v>1</v>
      </c>
      <c r="L944">
        <v>97898</v>
      </c>
      <c r="M944" t="s">
        <v>36</v>
      </c>
      <c r="N944">
        <v>2</v>
      </c>
      <c r="O944">
        <v>3</v>
      </c>
      <c r="P944">
        <v>38</v>
      </c>
      <c r="Q944">
        <v>3</v>
      </c>
      <c r="R944" s="1">
        <v>44626</v>
      </c>
      <c r="S944" t="s">
        <v>37</v>
      </c>
      <c r="T944" t="str">
        <f t="shared" si="70"/>
        <v>Grade A</v>
      </c>
      <c r="U944">
        <f t="shared" si="71"/>
        <v>1</v>
      </c>
      <c r="V944" t="str">
        <f t="shared" si="72"/>
        <v>New Joiner</v>
      </c>
      <c r="W944" t="str">
        <f t="shared" si="73"/>
        <v>Already Left</v>
      </c>
      <c r="X944" t="str">
        <f t="shared" si="74"/>
        <v>Overpaid</v>
      </c>
    </row>
    <row r="945" spans="1:24" x14ac:dyDescent="0.3">
      <c r="A945" t="s">
        <v>1013</v>
      </c>
      <c r="B945" t="s">
        <v>39</v>
      </c>
      <c r="C945">
        <v>24</v>
      </c>
      <c r="D945" t="s">
        <v>47</v>
      </c>
      <c r="E945" t="s">
        <v>48</v>
      </c>
      <c r="F945" t="s">
        <v>62</v>
      </c>
      <c r="G945" t="s">
        <v>42</v>
      </c>
      <c r="H945" t="s">
        <v>83</v>
      </c>
      <c r="I945" t="s">
        <v>80</v>
      </c>
      <c r="J945" t="s">
        <v>60</v>
      </c>
      <c r="K945">
        <v>11</v>
      </c>
      <c r="L945">
        <v>119937</v>
      </c>
      <c r="M945" t="s">
        <v>28</v>
      </c>
      <c r="N945">
        <v>2</v>
      </c>
      <c r="O945">
        <v>4</v>
      </c>
      <c r="P945">
        <v>10</v>
      </c>
      <c r="Q945">
        <v>3</v>
      </c>
      <c r="R945" s="1">
        <v>41275</v>
      </c>
      <c r="S945" t="s">
        <v>29</v>
      </c>
      <c r="T945" t="str">
        <f t="shared" si="70"/>
        <v>Grade A</v>
      </c>
      <c r="U945">
        <f t="shared" si="71"/>
        <v>3</v>
      </c>
      <c r="V945" t="str">
        <f t="shared" si="72"/>
        <v>Senior</v>
      </c>
      <c r="W945" t="str">
        <f t="shared" si="73"/>
        <v>Medium Risk</v>
      </c>
      <c r="X945" t="str">
        <f t="shared" si="74"/>
        <v>Competitive</v>
      </c>
    </row>
    <row r="946" spans="1:24" x14ac:dyDescent="0.3">
      <c r="A946" t="s">
        <v>1014</v>
      </c>
      <c r="B946" t="s">
        <v>39</v>
      </c>
      <c r="C946">
        <v>40</v>
      </c>
      <c r="D946" t="s">
        <v>21</v>
      </c>
      <c r="E946" t="s">
        <v>22</v>
      </c>
      <c r="F946" t="s">
        <v>41</v>
      </c>
      <c r="G946" t="s">
        <v>42</v>
      </c>
      <c r="H946" t="s">
        <v>25</v>
      </c>
      <c r="I946" t="s">
        <v>50</v>
      </c>
      <c r="J946" t="s">
        <v>44</v>
      </c>
      <c r="K946">
        <v>1</v>
      </c>
      <c r="L946">
        <v>106668</v>
      </c>
      <c r="M946" t="s">
        <v>36</v>
      </c>
      <c r="N946">
        <v>4</v>
      </c>
      <c r="O946">
        <v>3</v>
      </c>
      <c r="P946">
        <v>32</v>
      </c>
      <c r="Q946">
        <v>1</v>
      </c>
      <c r="R946" s="1">
        <v>44630</v>
      </c>
      <c r="S946" t="s">
        <v>37</v>
      </c>
      <c r="T946" t="str">
        <f t="shared" si="70"/>
        <v>Grade A</v>
      </c>
      <c r="U946">
        <f t="shared" si="71"/>
        <v>1</v>
      </c>
      <c r="V946" t="str">
        <f t="shared" si="72"/>
        <v>New Joiner</v>
      </c>
      <c r="W946" t="str">
        <f t="shared" si="73"/>
        <v>Already Left</v>
      </c>
      <c r="X946" t="str">
        <f t="shared" si="74"/>
        <v>Overpaid</v>
      </c>
    </row>
    <row r="947" spans="1:24" x14ac:dyDescent="0.3">
      <c r="A947" t="s">
        <v>1015</v>
      </c>
      <c r="B947" t="s">
        <v>39</v>
      </c>
      <c r="C947">
        <v>38</v>
      </c>
      <c r="D947" t="s">
        <v>47</v>
      </c>
      <c r="E947" t="s">
        <v>40</v>
      </c>
      <c r="F947" t="s">
        <v>75</v>
      </c>
      <c r="G947" t="s">
        <v>49</v>
      </c>
      <c r="H947" t="s">
        <v>83</v>
      </c>
      <c r="I947" t="s">
        <v>50</v>
      </c>
      <c r="J947" t="s">
        <v>44</v>
      </c>
      <c r="K947">
        <v>11</v>
      </c>
      <c r="L947">
        <v>77724</v>
      </c>
      <c r="M947" t="s">
        <v>45</v>
      </c>
      <c r="N947">
        <v>3</v>
      </c>
      <c r="O947">
        <v>3</v>
      </c>
      <c r="P947">
        <v>63</v>
      </c>
      <c r="Q947">
        <v>1</v>
      </c>
      <c r="R947" s="1">
        <v>41227</v>
      </c>
      <c r="S947" t="s">
        <v>37</v>
      </c>
      <c r="T947" t="str">
        <f t="shared" si="70"/>
        <v>Grade B</v>
      </c>
      <c r="U947">
        <f t="shared" si="71"/>
        <v>2</v>
      </c>
      <c r="V947" t="str">
        <f t="shared" si="72"/>
        <v>Senior</v>
      </c>
      <c r="W947" t="str">
        <f t="shared" si="73"/>
        <v>Already Left</v>
      </c>
      <c r="X947" t="str">
        <f t="shared" si="74"/>
        <v>Fair</v>
      </c>
    </row>
    <row r="948" spans="1:24" x14ac:dyDescent="0.3">
      <c r="A948" t="s">
        <v>1016</v>
      </c>
      <c r="B948" t="s">
        <v>39</v>
      </c>
      <c r="C948">
        <v>26</v>
      </c>
      <c r="D948" t="s">
        <v>47</v>
      </c>
      <c r="E948" t="s">
        <v>22</v>
      </c>
      <c r="F948" t="s">
        <v>32</v>
      </c>
      <c r="G948" t="s">
        <v>42</v>
      </c>
      <c r="H948" t="s">
        <v>67</v>
      </c>
      <c r="I948" t="s">
        <v>43</v>
      </c>
      <c r="J948" t="s">
        <v>44</v>
      </c>
      <c r="K948">
        <v>2</v>
      </c>
      <c r="L948">
        <v>99141</v>
      </c>
      <c r="M948" t="s">
        <v>45</v>
      </c>
      <c r="N948">
        <v>1</v>
      </c>
      <c r="O948">
        <v>2</v>
      </c>
      <c r="P948">
        <v>18</v>
      </c>
      <c r="Q948">
        <v>2</v>
      </c>
      <c r="R948" s="1">
        <v>44208</v>
      </c>
      <c r="S948" t="s">
        <v>29</v>
      </c>
      <c r="T948" t="str">
        <f t="shared" si="70"/>
        <v>Grade A</v>
      </c>
      <c r="U948">
        <f t="shared" si="71"/>
        <v>2</v>
      </c>
      <c r="V948" t="str">
        <f t="shared" si="72"/>
        <v>New Joiner</v>
      </c>
      <c r="W948" t="str">
        <f t="shared" si="73"/>
        <v>Medium Risk</v>
      </c>
      <c r="X948" t="str">
        <f t="shared" si="74"/>
        <v>Fair</v>
      </c>
    </row>
    <row r="949" spans="1:24" x14ac:dyDescent="0.3">
      <c r="A949" t="s">
        <v>1017</v>
      </c>
      <c r="B949" t="s">
        <v>20</v>
      </c>
      <c r="C949">
        <v>27</v>
      </c>
      <c r="D949" t="s">
        <v>31</v>
      </c>
      <c r="E949" t="s">
        <v>22</v>
      </c>
      <c r="F949" t="s">
        <v>41</v>
      </c>
      <c r="G949" t="s">
        <v>33</v>
      </c>
      <c r="H949" t="s">
        <v>76</v>
      </c>
      <c r="I949" t="s">
        <v>68</v>
      </c>
      <c r="J949" t="s">
        <v>60</v>
      </c>
      <c r="K949">
        <v>2</v>
      </c>
      <c r="L949">
        <v>70737</v>
      </c>
      <c r="M949" t="s">
        <v>45</v>
      </c>
      <c r="N949">
        <v>3</v>
      </c>
      <c r="O949">
        <v>2</v>
      </c>
      <c r="P949">
        <v>59</v>
      </c>
      <c r="Q949">
        <v>1</v>
      </c>
      <c r="R949" s="1">
        <v>44316</v>
      </c>
      <c r="S949" t="s">
        <v>37</v>
      </c>
      <c r="T949" t="str">
        <f t="shared" si="70"/>
        <v>Grade B</v>
      </c>
      <c r="U949">
        <f t="shared" si="71"/>
        <v>2</v>
      </c>
      <c r="V949" t="str">
        <f t="shared" si="72"/>
        <v>New Joiner</v>
      </c>
      <c r="W949" t="str">
        <f t="shared" si="73"/>
        <v>Already Left</v>
      </c>
      <c r="X949" t="str">
        <f t="shared" si="74"/>
        <v>Fair</v>
      </c>
    </row>
    <row r="950" spans="1:24" x14ac:dyDescent="0.3">
      <c r="A950" t="s">
        <v>1018</v>
      </c>
      <c r="B950" t="s">
        <v>39</v>
      </c>
      <c r="C950">
        <v>52</v>
      </c>
      <c r="D950" t="s">
        <v>31</v>
      </c>
      <c r="E950" t="s">
        <v>22</v>
      </c>
      <c r="F950" t="s">
        <v>62</v>
      </c>
      <c r="G950" t="s">
        <v>24</v>
      </c>
      <c r="H950" t="s">
        <v>83</v>
      </c>
      <c r="I950" t="s">
        <v>35</v>
      </c>
      <c r="J950" t="s">
        <v>27</v>
      </c>
      <c r="K950">
        <v>2</v>
      </c>
      <c r="L950">
        <v>73777</v>
      </c>
      <c r="M950" t="s">
        <v>51</v>
      </c>
      <c r="N950">
        <v>3</v>
      </c>
      <c r="O950">
        <v>4</v>
      </c>
      <c r="P950">
        <v>65</v>
      </c>
      <c r="Q950">
        <v>0</v>
      </c>
      <c r="R950" s="1">
        <v>44480</v>
      </c>
      <c r="S950" t="s">
        <v>29</v>
      </c>
      <c r="T950" t="str">
        <f t="shared" si="70"/>
        <v>Grade B</v>
      </c>
      <c r="U950">
        <f t="shared" si="71"/>
        <v>4</v>
      </c>
      <c r="V950" t="str">
        <f t="shared" si="72"/>
        <v>New Joiner</v>
      </c>
      <c r="W950" t="str">
        <f t="shared" si="73"/>
        <v>Low Risk</v>
      </c>
      <c r="X950" t="str">
        <f t="shared" si="74"/>
        <v>Fair</v>
      </c>
    </row>
    <row r="951" spans="1:24" x14ac:dyDescent="0.3">
      <c r="A951" t="s">
        <v>1019</v>
      </c>
      <c r="B951" t="s">
        <v>20</v>
      </c>
      <c r="C951">
        <v>51</v>
      </c>
      <c r="D951" t="s">
        <v>57</v>
      </c>
      <c r="E951" t="s">
        <v>48</v>
      </c>
      <c r="F951" t="s">
        <v>75</v>
      </c>
      <c r="G951" t="s">
        <v>33</v>
      </c>
      <c r="H951" t="s">
        <v>67</v>
      </c>
      <c r="I951" t="s">
        <v>35</v>
      </c>
      <c r="J951" t="s">
        <v>27</v>
      </c>
      <c r="K951">
        <v>4</v>
      </c>
      <c r="L951">
        <v>77213</v>
      </c>
      <c r="M951" t="s">
        <v>28</v>
      </c>
      <c r="N951">
        <v>3</v>
      </c>
      <c r="O951">
        <v>2</v>
      </c>
      <c r="P951">
        <v>15</v>
      </c>
      <c r="Q951">
        <v>0</v>
      </c>
      <c r="R951" s="1">
        <v>43716</v>
      </c>
      <c r="S951" t="s">
        <v>37</v>
      </c>
      <c r="T951" t="str">
        <f t="shared" si="70"/>
        <v>Grade B</v>
      </c>
      <c r="U951">
        <f t="shared" si="71"/>
        <v>3</v>
      </c>
      <c r="V951" t="str">
        <f t="shared" si="72"/>
        <v>Junior</v>
      </c>
      <c r="W951" t="str">
        <f t="shared" si="73"/>
        <v>Already Left</v>
      </c>
      <c r="X951" t="str">
        <f t="shared" si="74"/>
        <v>Competitive</v>
      </c>
    </row>
    <row r="952" spans="1:24" x14ac:dyDescent="0.3">
      <c r="A952" t="s">
        <v>1020</v>
      </c>
      <c r="B952" t="s">
        <v>20</v>
      </c>
      <c r="C952">
        <v>51</v>
      </c>
      <c r="D952" t="s">
        <v>21</v>
      </c>
      <c r="E952" t="s">
        <v>22</v>
      </c>
      <c r="F952" t="s">
        <v>32</v>
      </c>
      <c r="G952" t="s">
        <v>66</v>
      </c>
      <c r="H952" t="s">
        <v>83</v>
      </c>
      <c r="I952" t="s">
        <v>96</v>
      </c>
      <c r="J952" t="s">
        <v>44</v>
      </c>
      <c r="K952">
        <v>1</v>
      </c>
      <c r="L952">
        <v>38099</v>
      </c>
      <c r="M952" t="s">
        <v>45</v>
      </c>
      <c r="N952">
        <v>1</v>
      </c>
      <c r="O952">
        <v>1</v>
      </c>
      <c r="P952">
        <v>27</v>
      </c>
      <c r="Q952">
        <v>3</v>
      </c>
      <c r="R952" s="1">
        <v>44924</v>
      </c>
      <c r="S952" t="s">
        <v>29</v>
      </c>
      <c r="T952" t="str">
        <f t="shared" si="70"/>
        <v>Grade C</v>
      </c>
      <c r="U952">
        <f t="shared" si="71"/>
        <v>2</v>
      </c>
      <c r="V952" t="str">
        <f t="shared" si="72"/>
        <v>New Joiner</v>
      </c>
      <c r="W952" t="str">
        <f t="shared" si="73"/>
        <v>Medium Risk</v>
      </c>
      <c r="X952" t="str">
        <f t="shared" si="74"/>
        <v>Fair</v>
      </c>
    </row>
    <row r="953" spans="1:24" x14ac:dyDescent="0.3">
      <c r="A953" t="s">
        <v>1021</v>
      </c>
      <c r="B953" t="s">
        <v>20</v>
      </c>
      <c r="C953">
        <v>40</v>
      </c>
      <c r="D953" t="s">
        <v>21</v>
      </c>
      <c r="E953" t="s">
        <v>22</v>
      </c>
      <c r="F953" t="s">
        <v>65</v>
      </c>
      <c r="G953" t="s">
        <v>66</v>
      </c>
      <c r="H953" t="s">
        <v>83</v>
      </c>
      <c r="I953" t="s">
        <v>96</v>
      </c>
      <c r="J953" t="s">
        <v>44</v>
      </c>
      <c r="K953">
        <v>13</v>
      </c>
      <c r="L953">
        <v>59062</v>
      </c>
      <c r="M953" t="s">
        <v>51</v>
      </c>
      <c r="N953">
        <v>1</v>
      </c>
      <c r="O953">
        <v>3</v>
      </c>
      <c r="P953">
        <v>27</v>
      </c>
      <c r="Q953">
        <v>2</v>
      </c>
      <c r="R953" s="1">
        <v>40273</v>
      </c>
      <c r="S953" t="s">
        <v>29</v>
      </c>
      <c r="T953" t="str">
        <f t="shared" si="70"/>
        <v>Grade B</v>
      </c>
      <c r="U953">
        <f t="shared" si="71"/>
        <v>4</v>
      </c>
      <c r="V953" t="str">
        <f t="shared" si="72"/>
        <v>Senior</v>
      </c>
      <c r="W953" t="str">
        <f t="shared" si="73"/>
        <v>Low Risk</v>
      </c>
      <c r="X953" t="str">
        <f t="shared" si="74"/>
        <v>Fair</v>
      </c>
    </row>
    <row r="954" spans="1:24" x14ac:dyDescent="0.3">
      <c r="A954" t="s">
        <v>1022</v>
      </c>
      <c r="B954" t="s">
        <v>39</v>
      </c>
      <c r="C954">
        <v>53</v>
      </c>
      <c r="D954" t="s">
        <v>31</v>
      </c>
      <c r="E954" t="s">
        <v>40</v>
      </c>
      <c r="F954" t="s">
        <v>53</v>
      </c>
      <c r="G954" t="s">
        <v>63</v>
      </c>
      <c r="H954" t="s">
        <v>25</v>
      </c>
      <c r="I954" t="s">
        <v>43</v>
      </c>
      <c r="J954" t="s">
        <v>44</v>
      </c>
      <c r="K954">
        <v>14</v>
      </c>
      <c r="L954">
        <v>65437</v>
      </c>
      <c r="M954" t="s">
        <v>45</v>
      </c>
      <c r="N954">
        <v>3</v>
      </c>
      <c r="O954">
        <v>4</v>
      </c>
      <c r="P954">
        <v>12</v>
      </c>
      <c r="Q954">
        <v>0</v>
      </c>
      <c r="R954" s="1">
        <v>39996</v>
      </c>
      <c r="S954" t="s">
        <v>29</v>
      </c>
      <c r="T954" t="str">
        <f t="shared" si="70"/>
        <v>Grade B</v>
      </c>
      <c r="U954">
        <f t="shared" si="71"/>
        <v>2</v>
      </c>
      <c r="V954" t="str">
        <f t="shared" si="72"/>
        <v>Senior</v>
      </c>
      <c r="W954" t="str">
        <f t="shared" si="73"/>
        <v>Medium Risk</v>
      </c>
      <c r="X954" t="str">
        <f t="shared" si="74"/>
        <v>Fair</v>
      </c>
    </row>
    <row r="955" spans="1:24" x14ac:dyDescent="0.3">
      <c r="A955" t="s">
        <v>1023</v>
      </c>
      <c r="B955" t="s">
        <v>39</v>
      </c>
      <c r="C955">
        <v>45</v>
      </c>
      <c r="D955" t="s">
        <v>21</v>
      </c>
      <c r="E955" t="s">
        <v>22</v>
      </c>
      <c r="F955" t="s">
        <v>65</v>
      </c>
      <c r="G955" t="s">
        <v>24</v>
      </c>
      <c r="H955" t="s">
        <v>67</v>
      </c>
      <c r="I955" t="s">
        <v>80</v>
      </c>
      <c r="J955" t="s">
        <v>60</v>
      </c>
      <c r="K955">
        <v>14</v>
      </c>
      <c r="L955">
        <v>110201</v>
      </c>
      <c r="M955" t="s">
        <v>51</v>
      </c>
      <c r="N955">
        <v>3</v>
      </c>
      <c r="O955">
        <v>3</v>
      </c>
      <c r="P955">
        <v>50</v>
      </c>
      <c r="Q955">
        <v>0</v>
      </c>
      <c r="R955" s="1">
        <v>39876</v>
      </c>
      <c r="S955" t="s">
        <v>29</v>
      </c>
      <c r="T955" t="str">
        <f t="shared" si="70"/>
        <v>Grade A</v>
      </c>
      <c r="U955">
        <f t="shared" si="71"/>
        <v>4</v>
      </c>
      <c r="V955" t="str">
        <f t="shared" si="72"/>
        <v>Senior</v>
      </c>
      <c r="W955" t="str">
        <f t="shared" si="73"/>
        <v>Low Risk</v>
      </c>
      <c r="X955" t="str">
        <f t="shared" si="74"/>
        <v>Competitive</v>
      </c>
    </row>
    <row r="956" spans="1:24" x14ac:dyDescent="0.3">
      <c r="A956" t="s">
        <v>1024</v>
      </c>
      <c r="B956" t="s">
        <v>39</v>
      </c>
      <c r="C956">
        <v>41</v>
      </c>
      <c r="D956" t="s">
        <v>88</v>
      </c>
      <c r="E956" t="s">
        <v>40</v>
      </c>
      <c r="F956" t="s">
        <v>32</v>
      </c>
      <c r="G956" t="s">
        <v>58</v>
      </c>
      <c r="H956" t="s">
        <v>34</v>
      </c>
      <c r="I956" t="s">
        <v>68</v>
      </c>
      <c r="J956" t="s">
        <v>60</v>
      </c>
      <c r="K956">
        <v>4</v>
      </c>
      <c r="L956">
        <v>92060</v>
      </c>
      <c r="M956" t="s">
        <v>51</v>
      </c>
      <c r="N956">
        <v>3</v>
      </c>
      <c r="O956">
        <v>1</v>
      </c>
      <c r="P956">
        <v>61</v>
      </c>
      <c r="Q956">
        <v>0</v>
      </c>
      <c r="R956" s="1">
        <v>43551</v>
      </c>
      <c r="S956" t="s">
        <v>29</v>
      </c>
      <c r="T956" t="str">
        <f t="shared" si="70"/>
        <v>Grade A</v>
      </c>
      <c r="U956">
        <f t="shared" si="71"/>
        <v>4</v>
      </c>
      <c r="V956" t="str">
        <f t="shared" si="72"/>
        <v>Junior</v>
      </c>
      <c r="W956" t="str">
        <f t="shared" si="73"/>
        <v>Low Risk</v>
      </c>
      <c r="X956" t="str">
        <f t="shared" si="74"/>
        <v>Competitive</v>
      </c>
    </row>
    <row r="957" spans="1:24" x14ac:dyDescent="0.3">
      <c r="A957" t="s">
        <v>1025</v>
      </c>
      <c r="B957" t="s">
        <v>39</v>
      </c>
      <c r="C957">
        <v>28</v>
      </c>
      <c r="D957" t="s">
        <v>57</v>
      </c>
      <c r="E957" t="s">
        <v>22</v>
      </c>
      <c r="F957" t="s">
        <v>75</v>
      </c>
      <c r="G957" t="s">
        <v>58</v>
      </c>
      <c r="H957" t="s">
        <v>83</v>
      </c>
      <c r="I957" t="s">
        <v>80</v>
      </c>
      <c r="J957" t="s">
        <v>60</v>
      </c>
      <c r="K957">
        <v>5</v>
      </c>
      <c r="L957">
        <v>89485</v>
      </c>
      <c r="M957" t="s">
        <v>45</v>
      </c>
      <c r="N957">
        <v>4</v>
      </c>
      <c r="O957">
        <v>3</v>
      </c>
      <c r="P957">
        <v>61</v>
      </c>
      <c r="Q957">
        <v>0</v>
      </c>
      <c r="R957" s="1">
        <v>43419</v>
      </c>
      <c r="S957" t="s">
        <v>37</v>
      </c>
      <c r="T957" t="str">
        <f t="shared" si="70"/>
        <v>Grade A</v>
      </c>
      <c r="U957">
        <f t="shared" si="71"/>
        <v>2</v>
      </c>
      <c r="V957" t="str">
        <f t="shared" si="72"/>
        <v>Junior</v>
      </c>
      <c r="W957" t="str">
        <f t="shared" si="73"/>
        <v>Already Left</v>
      </c>
      <c r="X957" t="str">
        <f t="shared" si="74"/>
        <v>Fair</v>
      </c>
    </row>
    <row r="958" spans="1:24" x14ac:dyDescent="0.3">
      <c r="A958" t="s">
        <v>1026</v>
      </c>
      <c r="B958" t="s">
        <v>39</v>
      </c>
      <c r="C958">
        <v>23</v>
      </c>
      <c r="D958" t="s">
        <v>57</v>
      </c>
      <c r="E958" t="s">
        <v>22</v>
      </c>
      <c r="F958" t="s">
        <v>53</v>
      </c>
      <c r="G958" t="s">
        <v>66</v>
      </c>
      <c r="H958" t="s">
        <v>34</v>
      </c>
      <c r="I958" t="s">
        <v>80</v>
      </c>
      <c r="J958" t="s">
        <v>60</v>
      </c>
      <c r="K958">
        <v>2</v>
      </c>
      <c r="L958">
        <v>34517</v>
      </c>
      <c r="M958" t="s">
        <v>28</v>
      </c>
      <c r="N958">
        <v>2</v>
      </c>
      <c r="O958">
        <v>2</v>
      </c>
      <c r="P958">
        <v>75</v>
      </c>
      <c r="Q958">
        <v>1</v>
      </c>
      <c r="R958" s="1">
        <v>44230</v>
      </c>
      <c r="S958" t="s">
        <v>29</v>
      </c>
      <c r="T958" t="str">
        <f t="shared" si="70"/>
        <v>Grade D</v>
      </c>
      <c r="U958">
        <f t="shared" si="71"/>
        <v>3</v>
      </c>
      <c r="V958" t="str">
        <f t="shared" si="72"/>
        <v>New Joiner</v>
      </c>
      <c r="W958" t="str">
        <f t="shared" si="73"/>
        <v>Medium Risk</v>
      </c>
      <c r="X958" t="str">
        <f t="shared" si="74"/>
        <v>Fair</v>
      </c>
    </row>
    <row r="959" spans="1:24" x14ac:dyDescent="0.3">
      <c r="A959" t="s">
        <v>1027</v>
      </c>
      <c r="B959" t="s">
        <v>39</v>
      </c>
      <c r="C959">
        <v>49</v>
      </c>
      <c r="D959" t="s">
        <v>47</v>
      </c>
      <c r="E959" t="s">
        <v>40</v>
      </c>
      <c r="F959" t="s">
        <v>23</v>
      </c>
      <c r="G959" t="s">
        <v>49</v>
      </c>
      <c r="H959" t="s">
        <v>34</v>
      </c>
      <c r="I959" t="s">
        <v>43</v>
      </c>
      <c r="J959" t="s">
        <v>44</v>
      </c>
      <c r="K959">
        <v>10</v>
      </c>
      <c r="L959">
        <v>76143</v>
      </c>
      <c r="M959" t="s">
        <v>45</v>
      </c>
      <c r="N959">
        <v>4</v>
      </c>
      <c r="O959">
        <v>2</v>
      </c>
      <c r="P959">
        <v>77</v>
      </c>
      <c r="Q959">
        <v>2</v>
      </c>
      <c r="R959" s="1">
        <v>41521</v>
      </c>
      <c r="S959" t="s">
        <v>29</v>
      </c>
      <c r="T959" t="str">
        <f t="shared" si="70"/>
        <v>Grade B</v>
      </c>
      <c r="U959">
        <f t="shared" si="71"/>
        <v>2</v>
      </c>
      <c r="V959" t="str">
        <f t="shared" si="72"/>
        <v>Mid Level</v>
      </c>
      <c r="W959" t="str">
        <f t="shared" si="73"/>
        <v>Medium Risk</v>
      </c>
      <c r="X959" t="str">
        <f t="shared" si="74"/>
        <v>Fair</v>
      </c>
    </row>
    <row r="960" spans="1:24" x14ac:dyDescent="0.3">
      <c r="A960" t="s">
        <v>1028</v>
      </c>
      <c r="B960" t="s">
        <v>20</v>
      </c>
      <c r="C960">
        <v>38</v>
      </c>
      <c r="D960" t="s">
        <v>88</v>
      </c>
      <c r="E960" t="s">
        <v>48</v>
      </c>
      <c r="F960" t="s">
        <v>53</v>
      </c>
      <c r="G960" t="s">
        <v>42</v>
      </c>
      <c r="H960" t="s">
        <v>76</v>
      </c>
      <c r="I960" t="s">
        <v>72</v>
      </c>
      <c r="J960" t="s">
        <v>73</v>
      </c>
      <c r="K960">
        <v>15</v>
      </c>
      <c r="L960">
        <v>123826</v>
      </c>
      <c r="M960" t="s">
        <v>36</v>
      </c>
      <c r="N960">
        <v>1</v>
      </c>
      <c r="O960">
        <v>1</v>
      </c>
      <c r="P960">
        <v>61</v>
      </c>
      <c r="Q960">
        <v>1</v>
      </c>
      <c r="R960" s="1">
        <v>39754</v>
      </c>
      <c r="S960" t="s">
        <v>29</v>
      </c>
      <c r="T960" t="str">
        <f t="shared" si="70"/>
        <v>Grade A</v>
      </c>
      <c r="U960">
        <f t="shared" si="71"/>
        <v>1</v>
      </c>
      <c r="V960" t="str">
        <f t="shared" si="72"/>
        <v>Senior</v>
      </c>
      <c r="W960" t="str">
        <f t="shared" si="73"/>
        <v>Medium Risk</v>
      </c>
      <c r="X960" t="str">
        <f t="shared" si="74"/>
        <v>Overpaid</v>
      </c>
    </row>
    <row r="961" spans="1:24" x14ac:dyDescent="0.3">
      <c r="A961" t="s">
        <v>1029</v>
      </c>
      <c r="B961" t="s">
        <v>39</v>
      </c>
      <c r="C961">
        <v>36</v>
      </c>
      <c r="D961" t="s">
        <v>47</v>
      </c>
      <c r="E961" t="s">
        <v>40</v>
      </c>
      <c r="F961" t="s">
        <v>53</v>
      </c>
      <c r="G961" t="s">
        <v>79</v>
      </c>
      <c r="H961" t="s">
        <v>34</v>
      </c>
      <c r="I961" t="s">
        <v>80</v>
      </c>
      <c r="J961" t="s">
        <v>60</v>
      </c>
      <c r="K961">
        <v>14</v>
      </c>
      <c r="L961">
        <v>66152</v>
      </c>
      <c r="M961" t="s">
        <v>28</v>
      </c>
      <c r="N961">
        <v>1</v>
      </c>
      <c r="O961">
        <v>1</v>
      </c>
      <c r="P961">
        <v>60</v>
      </c>
      <c r="Q961">
        <v>1</v>
      </c>
      <c r="R961" s="1">
        <v>39818</v>
      </c>
      <c r="S961" t="s">
        <v>29</v>
      </c>
      <c r="T961" t="str">
        <f t="shared" si="70"/>
        <v>Grade B</v>
      </c>
      <c r="U961">
        <f t="shared" si="71"/>
        <v>3</v>
      </c>
      <c r="V961" t="str">
        <f t="shared" si="72"/>
        <v>Senior</v>
      </c>
      <c r="W961" t="str">
        <f t="shared" si="73"/>
        <v>Medium Risk</v>
      </c>
      <c r="X961" t="str">
        <f t="shared" si="74"/>
        <v>Competitive</v>
      </c>
    </row>
    <row r="962" spans="1:24" x14ac:dyDescent="0.3">
      <c r="A962" t="s">
        <v>1030</v>
      </c>
      <c r="B962" t="s">
        <v>39</v>
      </c>
      <c r="C962">
        <v>43</v>
      </c>
      <c r="D962" t="s">
        <v>47</v>
      </c>
      <c r="E962" t="s">
        <v>48</v>
      </c>
      <c r="F962" t="s">
        <v>62</v>
      </c>
      <c r="G962" t="s">
        <v>49</v>
      </c>
      <c r="H962" t="s">
        <v>83</v>
      </c>
      <c r="I962" t="s">
        <v>59</v>
      </c>
      <c r="J962" t="s">
        <v>60</v>
      </c>
      <c r="K962">
        <v>11</v>
      </c>
      <c r="L962">
        <v>65629</v>
      </c>
      <c r="M962" t="s">
        <v>51</v>
      </c>
      <c r="N962">
        <v>2</v>
      </c>
      <c r="O962">
        <v>2</v>
      </c>
      <c r="P962">
        <v>25</v>
      </c>
      <c r="Q962">
        <v>2</v>
      </c>
      <c r="R962" s="1">
        <v>41066</v>
      </c>
      <c r="S962" t="s">
        <v>37</v>
      </c>
      <c r="T962" t="str">
        <f t="shared" ref="T962:T1025" si="75">IF(L962&gt;=80000,"Grade A",IF(L962&gt;=50000,"Grade B",IF(L962&gt;=35000,"Grade C","Grade D")))</f>
        <v>Grade B</v>
      </c>
      <c r="U962">
        <f t="shared" ref="U962:U1025" si="76">IF(M962="Excellent",4,IF(M962="Good",3,IF(M962="Average",2,1)))</f>
        <v>4</v>
      </c>
      <c r="V962" t="str">
        <f t="shared" ref="V962:V1025" si="77">IF(K962&lt;=2,"New Joiner",IF(K962&lt;=5,"Junior",IF(K962&lt;=10,"Mid Level","Senior")))</f>
        <v>Senior</v>
      </c>
      <c r="W962" t="str">
        <f t="shared" ref="W962:W1025" si="78">IF(S962="Yes","Already Left",IF(AND(K962&lt;=2,M962="Poor"),"High Risk",IF(AND(K962&lt;=5,M962="Average"),"Medium Risk",IF(M962="Excellent","Low Risk","Medium Risk"))))</f>
        <v>Already Left</v>
      </c>
      <c r="X962" t="str">
        <f t="shared" ref="X962:X1025" si="79">IF(AND(L962&gt;=80000,M962="Excellent"),"Competitive",IF(AND(L962&gt;=50000,M962="Good"),"Competitive",IF(AND(L962&lt;35000,M962="Excellent"),"Underpaid",IF(AND(L962&gt;=80000,M962="Poor"),"Overpaid","Fair"))))</f>
        <v>Fair</v>
      </c>
    </row>
    <row r="963" spans="1:24" x14ac:dyDescent="0.3">
      <c r="A963" t="s">
        <v>1031</v>
      </c>
      <c r="B963" t="s">
        <v>20</v>
      </c>
      <c r="C963">
        <v>34</v>
      </c>
      <c r="D963" t="s">
        <v>47</v>
      </c>
      <c r="E963" t="s">
        <v>48</v>
      </c>
      <c r="F963" t="s">
        <v>75</v>
      </c>
      <c r="G963" t="s">
        <v>49</v>
      </c>
      <c r="H963" t="s">
        <v>76</v>
      </c>
      <c r="I963" t="s">
        <v>72</v>
      </c>
      <c r="J963" t="s">
        <v>73</v>
      </c>
      <c r="K963">
        <v>8</v>
      </c>
      <c r="L963">
        <v>60781</v>
      </c>
      <c r="M963" t="s">
        <v>45</v>
      </c>
      <c r="N963">
        <v>4</v>
      </c>
      <c r="O963">
        <v>3</v>
      </c>
      <c r="P963">
        <v>65</v>
      </c>
      <c r="Q963">
        <v>0</v>
      </c>
      <c r="R963" s="1">
        <v>42173</v>
      </c>
      <c r="S963" t="s">
        <v>29</v>
      </c>
      <c r="T963" t="str">
        <f t="shared" si="75"/>
        <v>Grade B</v>
      </c>
      <c r="U963">
        <f t="shared" si="76"/>
        <v>2</v>
      </c>
      <c r="V963" t="str">
        <f t="shared" si="77"/>
        <v>Mid Level</v>
      </c>
      <c r="W963" t="str">
        <f t="shared" si="78"/>
        <v>Medium Risk</v>
      </c>
      <c r="X963" t="str">
        <f t="shared" si="79"/>
        <v>Fair</v>
      </c>
    </row>
    <row r="964" spans="1:24" x14ac:dyDescent="0.3">
      <c r="A964" t="s">
        <v>1032</v>
      </c>
      <c r="B964" t="s">
        <v>39</v>
      </c>
      <c r="C964">
        <v>48</v>
      </c>
      <c r="D964" t="s">
        <v>21</v>
      </c>
      <c r="E964" t="s">
        <v>48</v>
      </c>
      <c r="F964" t="s">
        <v>23</v>
      </c>
      <c r="G964" t="s">
        <v>58</v>
      </c>
      <c r="H964" t="s">
        <v>76</v>
      </c>
      <c r="I964" t="s">
        <v>80</v>
      </c>
      <c r="J964" t="s">
        <v>60</v>
      </c>
      <c r="K964">
        <v>3</v>
      </c>
      <c r="L964">
        <v>82952</v>
      </c>
      <c r="M964" t="s">
        <v>36</v>
      </c>
      <c r="N964">
        <v>2</v>
      </c>
      <c r="O964">
        <v>3</v>
      </c>
      <c r="P964">
        <v>45</v>
      </c>
      <c r="Q964">
        <v>1</v>
      </c>
      <c r="R964" s="1">
        <v>44049</v>
      </c>
      <c r="S964" t="s">
        <v>29</v>
      </c>
      <c r="T964" t="str">
        <f t="shared" si="75"/>
        <v>Grade A</v>
      </c>
      <c r="U964">
        <f t="shared" si="76"/>
        <v>1</v>
      </c>
      <c r="V964" t="str">
        <f t="shared" si="77"/>
        <v>Junior</v>
      </c>
      <c r="W964" t="str">
        <f t="shared" si="78"/>
        <v>Medium Risk</v>
      </c>
      <c r="X964" t="str">
        <f t="shared" si="79"/>
        <v>Overpaid</v>
      </c>
    </row>
    <row r="965" spans="1:24" x14ac:dyDescent="0.3">
      <c r="A965" t="s">
        <v>1033</v>
      </c>
      <c r="B965" t="s">
        <v>39</v>
      </c>
      <c r="C965">
        <v>50</v>
      </c>
      <c r="D965" t="s">
        <v>47</v>
      </c>
      <c r="E965" t="s">
        <v>40</v>
      </c>
      <c r="F965" t="s">
        <v>23</v>
      </c>
      <c r="G965" t="s">
        <v>33</v>
      </c>
      <c r="H965" t="s">
        <v>76</v>
      </c>
      <c r="I965" t="s">
        <v>43</v>
      </c>
      <c r="J965" t="s">
        <v>44</v>
      </c>
      <c r="K965">
        <v>10</v>
      </c>
      <c r="L965">
        <v>81398</v>
      </c>
      <c r="M965" t="s">
        <v>51</v>
      </c>
      <c r="N965">
        <v>3</v>
      </c>
      <c r="O965">
        <v>4</v>
      </c>
      <c r="P965">
        <v>59</v>
      </c>
      <c r="Q965">
        <v>2</v>
      </c>
      <c r="R965" s="1">
        <v>41313</v>
      </c>
      <c r="S965" t="s">
        <v>29</v>
      </c>
      <c r="T965" t="str">
        <f t="shared" si="75"/>
        <v>Grade A</v>
      </c>
      <c r="U965">
        <f t="shared" si="76"/>
        <v>4</v>
      </c>
      <c r="V965" t="str">
        <f t="shared" si="77"/>
        <v>Mid Level</v>
      </c>
      <c r="W965" t="str">
        <f t="shared" si="78"/>
        <v>Low Risk</v>
      </c>
      <c r="X965" t="str">
        <f t="shared" si="79"/>
        <v>Competitive</v>
      </c>
    </row>
    <row r="966" spans="1:24" x14ac:dyDescent="0.3">
      <c r="A966" t="s">
        <v>1034</v>
      </c>
      <c r="B966" t="s">
        <v>20</v>
      </c>
      <c r="C966">
        <v>36</v>
      </c>
      <c r="D966" t="s">
        <v>88</v>
      </c>
      <c r="E966" t="s">
        <v>40</v>
      </c>
      <c r="F966" t="s">
        <v>78</v>
      </c>
      <c r="G966" t="s">
        <v>24</v>
      </c>
      <c r="H966" t="s">
        <v>67</v>
      </c>
      <c r="I966" t="s">
        <v>68</v>
      </c>
      <c r="J966" t="s">
        <v>60</v>
      </c>
      <c r="K966">
        <v>15</v>
      </c>
      <c r="L966">
        <v>95561</v>
      </c>
      <c r="M966" t="s">
        <v>36</v>
      </c>
      <c r="N966">
        <v>2</v>
      </c>
      <c r="O966">
        <v>1</v>
      </c>
      <c r="P966">
        <v>44</v>
      </c>
      <c r="Q966">
        <v>2</v>
      </c>
      <c r="R966" s="1">
        <v>39569</v>
      </c>
      <c r="S966" t="s">
        <v>29</v>
      </c>
      <c r="T966" t="str">
        <f t="shared" si="75"/>
        <v>Grade A</v>
      </c>
      <c r="U966">
        <f t="shared" si="76"/>
        <v>1</v>
      </c>
      <c r="V966" t="str">
        <f t="shared" si="77"/>
        <v>Senior</v>
      </c>
      <c r="W966" t="str">
        <f t="shared" si="78"/>
        <v>Medium Risk</v>
      </c>
      <c r="X966" t="str">
        <f t="shared" si="79"/>
        <v>Overpaid</v>
      </c>
    </row>
    <row r="967" spans="1:24" x14ac:dyDescent="0.3">
      <c r="A967" t="s">
        <v>1035</v>
      </c>
      <c r="B967" t="s">
        <v>39</v>
      </c>
      <c r="C967">
        <v>37</v>
      </c>
      <c r="D967" t="s">
        <v>31</v>
      </c>
      <c r="E967" t="s">
        <v>48</v>
      </c>
      <c r="F967" t="s">
        <v>62</v>
      </c>
      <c r="G967" t="s">
        <v>42</v>
      </c>
      <c r="H967" t="s">
        <v>83</v>
      </c>
      <c r="I967" t="s">
        <v>35</v>
      </c>
      <c r="J967" t="s">
        <v>27</v>
      </c>
      <c r="K967">
        <v>14</v>
      </c>
      <c r="L967">
        <v>126228</v>
      </c>
      <c r="M967" t="s">
        <v>45</v>
      </c>
      <c r="N967">
        <v>2</v>
      </c>
      <c r="O967">
        <v>2</v>
      </c>
      <c r="P967">
        <v>73</v>
      </c>
      <c r="Q967">
        <v>0</v>
      </c>
      <c r="R967" s="1">
        <v>40150</v>
      </c>
      <c r="S967" t="s">
        <v>37</v>
      </c>
      <c r="T967" t="str">
        <f t="shared" si="75"/>
        <v>Grade A</v>
      </c>
      <c r="U967">
        <f t="shared" si="76"/>
        <v>2</v>
      </c>
      <c r="V967" t="str">
        <f t="shared" si="77"/>
        <v>Senior</v>
      </c>
      <c r="W967" t="str">
        <f t="shared" si="78"/>
        <v>Already Left</v>
      </c>
      <c r="X967" t="str">
        <f t="shared" si="79"/>
        <v>Fair</v>
      </c>
    </row>
    <row r="968" spans="1:24" x14ac:dyDescent="0.3">
      <c r="A968" t="s">
        <v>1036</v>
      </c>
      <c r="B968" t="s">
        <v>39</v>
      </c>
      <c r="C968">
        <v>41</v>
      </c>
      <c r="D968" t="s">
        <v>57</v>
      </c>
      <c r="E968" t="s">
        <v>48</v>
      </c>
      <c r="F968" t="s">
        <v>23</v>
      </c>
      <c r="G968" t="s">
        <v>66</v>
      </c>
      <c r="H968" t="s">
        <v>25</v>
      </c>
      <c r="I968" t="s">
        <v>68</v>
      </c>
      <c r="J968" t="s">
        <v>60</v>
      </c>
      <c r="K968">
        <v>10</v>
      </c>
      <c r="L968">
        <v>45047</v>
      </c>
      <c r="M968" t="s">
        <v>36</v>
      </c>
      <c r="N968">
        <v>3</v>
      </c>
      <c r="O968">
        <v>2</v>
      </c>
      <c r="P968">
        <v>61</v>
      </c>
      <c r="Q968">
        <v>2</v>
      </c>
      <c r="R968" s="1">
        <v>41547</v>
      </c>
      <c r="S968" t="s">
        <v>37</v>
      </c>
      <c r="T968" t="str">
        <f t="shared" si="75"/>
        <v>Grade C</v>
      </c>
      <c r="U968">
        <f t="shared" si="76"/>
        <v>1</v>
      </c>
      <c r="V968" t="str">
        <f t="shared" si="77"/>
        <v>Mid Level</v>
      </c>
      <c r="W968" t="str">
        <f t="shared" si="78"/>
        <v>Already Left</v>
      </c>
      <c r="X968" t="str">
        <f t="shared" si="79"/>
        <v>Fair</v>
      </c>
    </row>
    <row r="969" spans="1:24" x14ac:dyDescent="0.3">
      <c r="A969" t="s">
        <v>1037</v>
      </c>
      <c r="B969" t="s">
        <v>20</v>
      </c>
      <c r="C969">
        <v>52</v>
      </c>
      <c r="D969" t="s">
        <v>47</v>
      </c>
      <c r="E969" t="s">
        <v>40</v>
      </c>
      <c r="F969" t="s">
        <v>75</v>
      </c>
      <c r="G969" t="s">
        <v>49</v>
      </c>
      <c r="H969" t="s">
        <v>76</v>
      </c>
      <c r="I969" t="s">
        <v>26</v>
      </c>
      <c r="J969" t="s">
        <v>27</v>
      </c>
      <c r="K969">
        <v>15</v>
      </c>
      <c r="L969">
        <v>80640</v>
      </c>
      <c r="M969" t="s">
        <v>28</v>
      </c>
      <c r="N969">
        <v>3</v>
      </c>
      <c r="O969">
        <v>4</v>
      </c>
      <c r="P969">
        <v>39</v>
      </c>
      <c r="Q969">
        <v>3</v>
      </c>
      <c r="R969" s="1">
        <v>39645</v>
      </c>
      <c r="S969" t="s">
        <v>37</v>
      </c>
      <c r="T969" t="str">
        <f t="shared" si="75"/>
        <v>Grade A</v>
      </c>
      <c r="U969">
        <f t="shared" si="76"/>
        <v>3</v>
      </c>
      <c r="V969" t="str">
        <f t="shared" si="77"/>
        <v>Senior</v>
      </c>
      <c r="W969" t="str">
        <f t="shared" si="78"/>
        <v>Already Left</v>
      </c>
      <c r="X969" t="str">
        <f t="shared" si="79"/>
        <v>Competitive</v>
      </c>
    </row>
    <row r="970" spans="1:24" x14ac:dyDescent="0.3">
      <c r="A970" t="s">
        <v>1038</v>
      </c>
      <c r="B970" t="s">
        <v>39</v>
      </c>
      <c r="C970">
        <v>51</v>
      </c>
      <c r="D970" t="s">
        <v>57</v>
      </c>
      <c r="E970" t="s">
        <v>40</v>
      </c>
      <c r="F970" t="s">
        <v>23</v>
      </c>
      <c r="G970" t="s">
        <v>24</v>
      </c>
      <c r="H970" t="s">
        <v>83</v>
      </c>
      <c r="I970" t="s">
        <v>35</v>
      </c>
      <c r="J970" t="s">
        <v>27</v>
      </c>
      <c r="K970">
        <v>10</v>
      </c>
      <c r="L970">
        <v>92579</v>
      </c>
      <c r="M970" t="s">
        <v>51</v>
      </c>
      <c r="N970">
        <v>1</v>
      </c>
      <c r="O970">
        <v>1</v>
      </c>
      <c r="P970">
        <v>80</v>
      </c>
      <c r="Q970">
        <v>3</v>
      </c>
      <c r="R970" s="1">
        <v>41620</v>
      </c>
      <c r="S970" t="s">
        <v>29</v>
      </c>
      <c r="T970" t="str">
        <f t="shared" si="75"/>
        <v>Grade A</v>
      </c>
      <c r="U970">
        <f t="shared" si="76"/>
        <v>4</v>
      </c>
      <c r="V970" t="str">
        <f t="shared" si="77"/>
        <v>Mid Level</v>
      </c>
      <c r="W970" t="str">
        <f t="shared" si="78"/>
        <v>Low Risk</v>
      </c>
      <c r="X970" t="str">
        <f t="shared" si="79"/>
        <v>Competitive</v>
      </c>
    </row>
    <row r="971" spans="1:24" x14ac:dyDescent="0.3">
      <c r="A971" t="s">
        <v>1039</v>
      </c>
      <c r="B971" t="s">
        <v>20</v>
      </c>
      <c r="C971">
        <v>29</v>
      </c>
      <c r="D971" t="s">
        <v>31</v>
      </c>
      <c r="E971" t="s">
        <v>40</v>
      </c>
      <c r="F971" t="s">
        <v>32</v>
      </c>
      <c r="G971" t="s">
        <v>79</v>
      </c>
      <c r="H971" t="s">
        <v>67</v>
      </c>
      <c r="I971" t="s">
        <v>68</v>
      </c>
      <c r="J971" t="s">
        <v>60</v>
      </c>
      <c r="K971">
        <v>6</v>
      </c>
      <c r="L971">
        <v>43199</v>
      </c>
      <c r="M971" t="s">
        <v>28</v>
      </c>
      <c r="N971">
        <v>4</v>
      </c>
      <c r="O971">
        <v>2</v>
      </c>
      <c r="P971">
        <v>21</v>
      </c>
      <c r="Q971">
        <v>2</v>
      </c>
      <c r="R971" s="1">
        <v>43097</v>
      </c>
      <c r="S971" t="s">
        <v>29</v>
      </c>
      <c r="T971" t="str">
        <f t="shared" si="75"/>
        <v>Grade C</v>
      </c>
      <c r="U971">
        <f t="shared" si="76"/>
        <v>3</v>
      </c>
      <c r="V971" t="str">
        <f t="shared" si="77"/>
        <v>Mid Level</v>
      </c>
      <c r="W971" t="str">
        <f t="shared" si="78"/>
        <v>Medium Risk</v>
      </c>
      <c r="X971" t="str">
        <f t="shared" si="79"/>
        <v>Fair</v>
      </c>
    </row>
    <row r="972" spans="1:24" x14ac:dyDescent="0.3">
      <c r="A972" t="s">
        <v>1040</v>
      </c>
      <c r="B972" t="s">
        <v>20</v>
      </c>
      <c r="C972">
        <v>32</v>
      </c>
      <c r="D972" t="s">
        <v>21</v>
      </c>
      <c r="E972" t="s">
        <v>48</v>
      </c>
      <c r="F972" t="s">
        <v>41</v>
      </c>
      <c r="G972" t="s">
        <v>49</v>
      </c>
      <c r="H972" t="s">
        <v>83</v>
      </c>
      <c r="I972" t="s">
        <v>59</v>
      </c>
      <c r="J972" t="s">
        <v>60</v>
      </c>
      <c r="K972">
        <v>13</v>
      </c>
      <c r="L972">
        <v>67447</v>
      </c>
      <c r="M972" t="s">
        <v>45</v>
      </c>
      <c r="N972">
        <v>2</v>
      </c>
      <c r="O972">
        <v>4</v>
      </c>
      <c r="P972">
        <v>52</v>
      </c>
      <c r="Q972">
        <v>0</v>
      </c>
      <c r="R972" s="1">
        <v>40195</v>
      </c>
      <c r="S972" t="s">
        <v>29</v>
      </c>
      <c r="T972" t="str">
        <f t="shared" si="75"/>
        <v>Grade B</v>
      </c>
      <c r="U972">
        <f t="shared" si="76"/>
        <v>2</v>
      </c>
      <c r="V972" t="str">
        <f t="shared" si="77"/>
        <v>Senior</v>
      </c>
      <c r="W972" t="str">
        <f t="shared" si="78"/>
        <v>Medium Risk</v>
      </c>
      <c r="X972" t="str">
        <f t="shared" si="79"/>
        <v>Fair</v>
      </c>
    </row>
    <row r="973" spans="1:24" x14ac:dyDescent="0.3">
      <c r="A973" t="s">
        <v>1041</v>
      </c>
      <c r="B973" t="s">
        <v>39</v>
      </c>
      <c r="C973">
        <v>23</v>
      </c>
      <c r="D973" t="s">
        <v>21</v>
      </c>
      <c r="E973" t="s">
        <v>40</v>
      </c>
      <c r="F973" t="s">
        <v>32</v>
      </c>
      <c r="G973" t="s">
        <v>63</v>
      </c>
      <c r="H973" t="s">
        <v>34</v>
      </c>
      <c r="I973" t="s">
        <v>26</v>
      </c>
      <c r="J973" t="s">
        <v>27</v>
      </c>
      <c r="K973">
        <v>1</v>
      </c>
      <c r="L973">
        <v>48434</v>
      </c>
      <c r="M973" t="s">
        <v>45</v>
      </c>
      <c r="N973">
        <v>1</v>
      </c>
      <c r="O973">
        <v>3</v>
      </c>
      <c r="P973">
        <v>34</v>
      </c>
      <c r="Q973">
        <v>1</v>
      </c>
      <c r="R973" s="1">
        <v>44696</v>
      </c>
      <c r="S973" t="s">
        <v>29</v>
      </c>
      <c r="T973" t="str">
        <f t="shared" si="75"/>
        <v>Grade C</v>
      </c>
      <c r="U973">
        <f t="shared" si="76"/>
        <v>2</v>
      </c>
      <c r="V973" t="str">
        <f t="shared" si="77"/>
        <v>New Joiner</v>
      </c>
      <c r="W973" t="str">
        <f t="shared" si="78"/>
        <v>Medium Risk</v>
      </c>
      <c r="X973" t="str">
        <f t="shared" si="79"/>
        <v>Fair</v>
      </c>
    </row>
    <row r="974" spans="1:24" x14ac:dyDescent="0.3">
      <c r="A974" t="s">
        <v>1042</v>
      </c>
      <c r="B974" t="s">
        <v>20</v>
      </c>
      <c r="C974">
        <v>25</v>
      </c>
      <c r="D974" t="s">
        <v>57</v>
      </c>
      <c r="E974" t="s">
        <v>22</v>
      </c>
      <c r="F974" t="s">
        <v>32</v>
      </c>
      <c r="G974" t="s">
        <v>49</v>
      </c>
      <c r="H974" t="s">
        <v>83</v>
      </c>
      <c r="I974" t="s">
        <v>68</v>
      </c>
      <c r="J974" t="s">
        <v>60</v>
      </c>
      <c r="K974">
        <v>4</v>
      </c>
      <c r="L974">
        <v>54476</v>
      </c>
      <c r="M974" t="s">
        <v>28</v>
      </c>
      <c r="N974">
        <v>2</v>
      </c>
      <c r="O974">
        <v>1</v>
      </c>
      <c r="P974">
        <v>25</v>
      </c>
      <c r="Q974">
        <v>1</v>
      </c>
      <c r="R974" s="1">
        <v>43681</v>
      </c>
      <c r="S974" t="s">
        <v>29</v>
      </c>
      <c r="T974" t="str">
        <f t="shared" si="75"/>
        <v>Grade B</v>
      </c>
      <c r="U974">
        <f t="shared" si="76"/>
        <v>3</v>
      </c>
      <c r="V974" t="str">
        <f t="shared" si="77"/>
        <v>Junior</v>
      </c>
      <c r="W974" t="str">
        <f t="shared" si="78"/>
        <v>Medium Risk</v>
      </c>
      <c r="X974" t="str">
        <f t="shared" si="79"/>
        <v>Competitive</v>
      </c>
    </row>
    <row r="975" spans="1:24" x14ac:dyDescent="0.3">
      <c r="A975" t="s">
        <v>1043</v>
      </c>
      <c r="B975" t="s">
        <v>39</v>
      </c>
      <c r="C975">
        <v>32</v>
      </c>
      <c r="D975" t="s">
        <v>31</v>
      </c>
      <c r="E975" t="s">
        <v>22</v>
      </c>
      <c r="F975" t="s">
        <v>62</v>
      </c>
      <c r="G975" t="s">
        <v>79</v>
      </c>
      <c r="H975" t="s">
        <v>76</v>
      </c>
      <c r="I975" t="s">
        <v>72</v>
      </c>
      <c r="J975" t="s">
        <v>73</v>
      </c>
      <c r="K975">
        <v>12</v>
      </c>
      <c r="L975">
        <v>59212</v>
      </c>
      <c r="M975" t="s">
        <v>28</v>
      </c>
      <c r="N975">
        <v>2</v>
      </c>
      <c r="O975">
        <v>4</v>
      </c>
      <c r="P975">
        <v>23</v>
      </c>
      <c r="Q975">
        <v>0</v>
      </c>
      <c r="R975" s="1">
        <v>40719</v>
      </c>
      <c r="S975" t="s">
        <v>29</v>
      </c>
      <c r="T975" t="str">
        <f t="shared" si="75"/>
        <v>Grade B</v>
      </c>
      <c r="U975">
        <f t="shared" si="76"/>
        <v>3</v>
      </c>
      <c r="V975" t="str">
        <f t="shared" si="77"/>
        <v>Senior</v>
      </c>
      <c r="W975" t="str">
        <f t="shared" si="78"/>
        <v>Medium Risk</v>
      </c>
      <c r="X975" t="str">
        <f t="shared" si="79"/>
        <v>Competitive</v>
      </c>
    </row>
    <row r="976" spans="1:24" x14ac:dyDescent="0.3">
      <c r="A976" t="s">
        <v>1044</v>
      </c>
      <c r="B976" t="s">
        <v>39</v>
      </c>
      <c r="C976">
        <v>39</v>
      </c>
      <c r="D976" t="s">
        <v>88</v>
      </c>
      <c r="E976" t="s">
        <v>40</v>
      </c>
      <c r="F976" t="s">
        <v>32</v>
      </c>
      <c r="G976" t="s">
        <v>79</v>
      </c>
      <c r="H976" t="s">
        <v>83</v>
      </c>
      <c r="I976" t="s">
        <v>68</v>
      </c>
      <c r="J976" t="s">
        <v>60</v>
      </c>
      <c r="K976">
        <v>7</v>
      </c>
      <c r="L976">
        <v>58241</v>
      </c>
      <c r="M976" t="s">
        <v>28</v>
      </c>
      <c r="N976">
        <v>3</v>
      </c>
      <c r="O976">
        <v>4</v>
      </c>
      <c r="P976">
        <v>30</v>
      </c>
      <c r="Q976">
        <v>1</v>
      </c>
      <c r="R976" s="1">
        <v>42379</v>
      </c>
      <c r="S976" t="s">
        <v>29</v>
      </c>
      <c r="T976" t="str">
        <f t="shared" si="75"/>
        <v>Grade B</v>
      </c>
      <c r="U976">
        <f t="shared" si="76"/>
        <v>3</v>
      </c>
      <c r="V976" t="str">
        <f t="shared" si="77"/>
        <v>Mid Level</v>
      </c>
      <c r="W976" t="str">
        <f t="shared" si="78"/>
        <v>Medium Risk</v>
      </c>
      <c r="X976" t="str">
        <f t="shared" si="79"/>
        <v>Competitive</v>
      </c>
    </row>
    <row r="977" spans="1:24" x14ac:dyDescent="0.3">
      <c r="A977" t="s">
        <v>1045</v>
      </c>
      <c r="B977" t="s">
        <v>39</v>
      </c>
      <c r="C977">
        <v>47</v>
      </c>
      <c r="D977" t="s">
        <v>31</v>
      </c>
      <c r="E977" t="s">
        <v>48</v>
      </c>
      <c r="F977" t="s">
        <v>75</v>
      </c>
      <c r="G977" t="s">
        <v>66</v>
      </c>
      <c r="H977" t="s">
        <v>67</v>
      </c>
      <c r="I977" t="s">
        <v>96</v>
      </c>
      <c r="J977" t="s">
        <v>44</v>
      </c>
      <c r="K977">
        <v>5</v>
      </c>
      <c r="L977">
        <v>43527</v>
      </c>
      <c r="M977" t="s">
        <v>36</v>
      </c>
      <c r="N977">
        <v>4</v>
      </c>
      <c r="O977">
        <v>1</v>
      </c>
      <c r="P977">
        <v>24</v>
      </c>
      <c r="Q977">
        <v>1</v>
      </c>
      <c r="R977" s="1">
        <v>43457</v>
      </c>
      <c r="S977" t="s">
        <v>37</v>
      </c>
      <c r="T977" t="str">
        <f t="shared" si="75"/>
        <v>Grade C</v>
      </c>
      <c r="U977">
        <f t="shared" si="76"/>
        <v>1</v>
      </c>
      <c r="V977" t="str">
        <f t="shared" si="77"/>
        <v>Junior</v>
      </c>
      <c r="W977" t="str">
        <f t="shared" si="78"/>
        <v>Already Left</v>
      </c>
      <c r="X977" t="str">
        <f t="shared" si="79"/>
        <v>Fair</v>
      </c>
    </row>
    <row r="978" spans="1:24" x14ac:dyDescent="0.3">
      <c r="A978" t="s">
        <v>1046</v>
      </c>
      <c r="B978" t="s">
        <v>39</v>
      </c>
      <c r="C978">
        <v>25</v>
      </c>
      <c r="D978" t="s">
        <v>88</v>
      </c>
      <c r="E978" t="s">
        <v>22</v>
      </c>
      <c r="F978" t="s">
        <v>32</v>
      </c>
      <c r="G978" t="s">
        <v>33</v>
      </c>
      <c r="H978" t="s">
        <v>34</v>
      </c>
      <c r="I978" t="s">
        <v>50</v>
      </c>
      <c r="J978" t="s">
        <v>44</v>
      </c>
      <c r="K978">
        <v>9</v>
      </c>
      <c r="L978">
        <v>80930</v>
      </c>
      <c r="M978" t="s">
        <v>51</v>
      </c>
      <c r="N978">
        <v>2</v>
      </c>
      <c r="O978">
        <v>2</v>
      </c>
      <c r="P978">
        <v>40</v>
      </c>
      <c r="Q978">
        <v>0</v>
      </c>
      <c r="R978" s="1">
        <v>41643</v>
      </c>
      <c r="S978" t="s">
        <v>29</v>
      </c>
      <c r="T978" t="str">
        <f t="shared" si="75"/>
        <v>Grade A</v>
      </c>
      <c r="U978">
        <f t="shared" si="76"/>
        <v>4</v>
      </c>
      <c r="V978" t="str">
        <f t="shared" si="77"/>
        <v>Mid Level</v>
      </c>
      <c r="W978" t="str">
        <f t="shared" si="78"/>
        <v>Low Risk</v>
      </c>
      <c r="X978" t="str">
        <f t="shared" si="79"/>
        <v>Competitive</v>
      </c>
    </row>
    <row r="979" spans="1:24" x14ac:dyDescent="0.3">
      <c r="A979" t="s">
        <v>1047</v>
      </c>
      <c r="B979" t="s">
        <v>39</v>
      </c>
      <c r="C979">
        <v>33</v>
      </c>
      <c r="D979" t="s">
        <v>21</v>
      </c>
      <c r="E979" t="s">
        <v>48</v>
      </c>
      <c r="F979" t="s">
        <v>41</v>
      </c>
      <c r="G979" t="s">
        <v>79</v>
      </c>
      <c r="H979" t="s">
        <v>67</v>
      </c>
      <c r="I979" t="s">
        <v>35</v>
      </c>
      <c r="J979" t="s">
        <v>27</v>
      </c>
      <c r="K979">
        <v>6</v>
      </c>
      <c r="L979">
        <v>50508</v>
      </c>
      <c r="M979" t="s">
        <v>51</v>
      </c>
      <c r="N979">
        <v>4</v>
      </c>
      <c r="O979">
        <v>2</v>
      </c>
      <c r="P979">
        <v>27</v>
      </c>
      <c r="Q979">
        <v>1</v>
      </c>
      <c r="R979" s="1">
        <v>42932</v>
      </c>
      <c r="S979" t="s">
        <v>29</v>
      </c>
      <c r="T979" t="str">
        <f t="shared" si="75"/>
        <v>Grade B</v>
      </c>
      <c r="U979">
        <f t="shared" si="76"/>
        <v>4</v>
      </c>
      <c r="V979" t="str">
        <f t="shared" si="77"/>
        <v>Mid Level</v>
      </c>
      <c r="W979" t="str">
        <f t="shared" si="78"/>
        <v>Low Risk</v>
      </c>
      <c r="X979" t="str">
        <f t="shared" si="79"/>
        <v>Fair</v>
      </c>
    </row>
    <row r="980" spans="1:24" x14ac:dyDescent="0.3">
      <c r="A980" t="s">
        <v>1048</v>
      </c>
      <c r="B980" t="s">
        <v>20</v>
      </c>
      <c r="C980">
        <v>32</v>
      </c>
      <c r="D980" t="s">
        <v>31</v>
      </c>
      <c r="E980" t="s">
        <v>48</v>
      </c>
      <c r="F980" t="s">
        <v>53</v>
      </c>
      <c r="G980" t="s">
        <v>63</v>
      </c>
      <c r="H980" t="s">
        <v>34</v>
      </c>
      <c r="I980" t="s">
        <v>26</v>
      </c>
      <c r="J980" t="s">
        <v>27</v>
      </c>
      <c r="K980">
        <v>2</v>
      </c>
      <c r="L980">
        <v>56915</v>
      </c>
      <c r="M980" t="s">
        <v>36</v>
      </c>
      <c r="N980">
        <v>1</v>
      </c>
      <c r="O980">
        <v>1</v>
      </c>
      <c r="P980">
        <v>11</v>
      </c>
      <c r="Q980">
        <v>0</v>
      </c>
      <c r="R980" s="1">
        <v>44398</v>
      </c>
      <c r="S980" t="s">
        <v>29</v>
      </c>
      <c r="T980" t="str">
        <f t="shared" si="75"/>
        <v>Grade B</v>
      </c>
      <c r="U980">
        <f t="shared" si="76"/>
        <v>1</v>
      </c>
      <c r="V980" t="str">
        <f t="shared" si="77"/>
        <v>New Joiner</v>
      </c>
      <c r="W980" t="str">
        <f t="shared" si="78"/>
        <v>High Risk</v>
      </c>
      <c r="X980" t="str">
        <f t="shared" si="79"/>
        <v>Fair</v>
      </c>
    </row>
    <row r="981" spans="1:24" x14ac:dyDescent="0.3">
      <c r="A981" t="s">
        <v>1049</v>
      </c>
      <c r="B981" t="s">
        <v>39</v>
      </c>
      <c r="C981">
        <v>50</v>
      </c>
      <c r="D981" t="s">
        <v>88</v>
      </c>
      <c r="E981" t="s">
        <v>40</v>
      </c>
      <c r="F981" t="s">
        <v>23</v>
      </c>
      <c r="G981" t="s">
        <v>79</v>
      </c>
      <c r="H981" t="s">
        <v>83</v>
      </c>
      <c r="I981" t="s">
        <v>50</v>
      </c>
      <c r="J981" t="s">
        <v>44</v>
      </c>
      <c r="K981">
        <v>3</v>
      </c>
      <c r="L981">
        <v>38707</v>
      </c>
      <c r="M981" t="s">
        <v>45</v>
      </c>
      <c r="N981">
        <v>3</v>
      </c>
      <c r="O981">
        <v>1</v>
      </c>
      <c r="P981">
        <v>13</v>
      </c>
      <c r="Q981">
        <v>1</v>
      </c>
      <c r="R981" s="1">
        <v>43951</v>
      </c>
      <c r="S981" t="s">
        <v>29</v>
      </c>
      <c r="T981" t="str">
        <f t="shared" si="75"/>
        <v>Grade C</v>
      </c>
      <c r="U981">
        <f t="shared" si="76"/>
        <v>2</v>
      </c>
      <c r="V981" t="str">
        <f t="shared" si="77"/>
        <v>Junior</v>
      </c>
      <c r="W981" t="str">
        <f t="shared" si="78"/>
        <v>Medium Risk</v>
      </c>
      <c r="X981" t="str">
        <f t="shared" si="79"/>
        <v>Fair</v>
      </c>
    </row>
    <row r="982" spans="1:24" x14ac:dyDescent="0.3">
      <c r="A982" t="s">
        <v>1050</v>
      </c>
      <c r="B982" t="s">
        <v>39</v>
      </c>
      <c r="C982">
        <v>31</v>
      </c>
      <c r="D982" t="s">
        <v>88</v>
      </c>
      <c r="E982" t="s">
        <v>40</v>
      </c>
      <c r="F982" t="s">
        <v>65</v>
      </c>
      <c r="G982" t="s">
        <v>42</v>
      </c>
      <c r="H982" t="s">
        <v>76</v>
      </c>
      <c r="I982" t="s">
        <v>72</v>
      </c>
      <c r="J982" t="s">
        <v>73</v>
      </c>
      <c r="K982">
        <v>13</v>
      </c>
      <c r="L982">
        <v>120572</v>
      </c>
      <c r="M982" t="s">
        <v>51</v>
      </c>
      <c r="N982">
        <v>4</v>
      </c>
      <c r="O982">
        <v>3</v>
      </c>
      <c r="P982">
        <v>72</v>
      </c>
      <c r="Q982">
        <v>0</v>
      </c>
      <c r="R982" s="1">
        <v>40466</v>
      </c>
      <c r="S982" t="s">
        <v>29</v>
      </c>
      <c r="T982" t="str">
        <f t="shared" si="75"/>
        <v>Grade A</v>
      </c>
      <c r="U982">
        <f t="shared" si="76"/>
        <v>4</v>
      </c>
      <c r="V982" t="str">
        <f t="shared" si="77"/>
        <v>Senior</v>
      </c>
      <c r="W982" t="str">
        <f t="shared" si="78"/>
        <v>Low Risk</v>
      </c>
      <c r="X982" t="str">
        <f t="shared" si="79"/>
        <v>Competitive</v>
      </c>
    </row>
    <row r="983" spans="1:24" x14ac:dyDescent="0.3">
      <c r="A983" t="s">
        <v>1051</v>
      </c>
      <c r="B983" t="s">
        <v>20</v>
      </c>
      <c r="C983">
        <v>51</v>
      </c>
      <c r="D983" t="s">
        <v>21</v>
      </c>
      <c r="E983" t="s">
        <v>22</v>
      </c>
      <c r="F983" t="s">
        <v>53</v>
      </c>
      <c r="G983" t="s">
        <v>63</v>
      </c>
      <c r="H983" t="s">
        <v>25</v>
      </c>
      <c r="I983" t="s">
        <v>68</v>
      </c>
      <c r="J983" t="s">
        <v>60</v>
      </c>
      <c r="K983">
        <v>6</v>
      </c>
      <c r="L983">
        <v>62364</v>
      </c>
      <c r="M983" t="s">
        <v>51</v>
      </c>
      <c r="N983">
        <v>1</v>
      </c>
      <c r="O983">
        <v>1</v>
      </c>
      <c r="P983">
        <v>43</v>
      </c>
      <c r="Q983">
        <v>1</v>
      </c>
      <c r="R983" s="1">
        <v>42843</v>
      </c>
      <c r="S983" t="s">
        <v>37</v>
      </c>
      <c r="T983" t="str">
        <f t="shared" si="75"/>
        <v>Grade B</v>
      </c>
      <c r="U983">
        <f t="shared" si="76"/>
        <v>4</v>
      </c>
      <c r="V983" t="str">
        <f t="shared" si="77"/>
        <v>Mid Level</v>
      </c>
      <c r="W983" t="str">
        <f t="shared" si="78"/>
        <v>Already Left</v>
      </c>
      <c r="X983" t="str">
        <f t="shared" si="79"/>
        <v>Fair</v>
      </c>
    </row>
    <row r="984" spans="1:24" x14ac:dyDescent="0.3">
      <c r="A984" t="s">
        <v>1052</v>
      </c>
      <c r="B984" t="s">
        <v>20</v>
      </c>
      <c r="C984">
        <v>29</v>
      </c>
      <c r="D984" t="s">
        <v>47</v>
      </c>
      <c r="E984" t="s">
        <v>48</v>
      </c>
      <c r="F984" t="s">
        <v>65</v>
      </c>
      <c r="G984" t="s">
        <v>42</v>
      </c>
      <c r="H984" t="s">
        <v>25</v>
      </c>
      <c r="I984" t="s">
        <v>43</v>
      </c>
      <c r="J984" t="s">
        <v>44</v>
      </c>
      <c r="K984">
        <v>6</v>
      </c>
      <c r="L984">
        <v>114368</v>
      </c>
      <c r="M984" t="s">
        <v>51</v>
      </c>
      <c r="N984">
        <v>2</v>
      </c>
      <c r="O984">
        <v>3</v>
      </c>
      <c r="P984">
        <v>75</v>
      </c>
      <c r="Q984">
        <v>1</v>
      </c>
      <c r="R984" s="1">
        <v>42895</v>
      </c>
      <c r="S984" t="s">
        <v>29</v>
      </c>
      <c r="T984" t="str">
        <f t="shared" si="75"/>
        <v>Grade A</v>
      </c>
      <c r="U984">
        <f t="shared" si="76"/>
        <v>4</v>
      </c>
      <c r="V984" t="str">
        <f t="shared" si="77"/>
        <v>Mid Level</v>
      </c>
      <c r="W984" t="str">
        <f t="shared" si="78"/>
        <v>Low Risk</v>
      </c>
      <c r="X984" t="str">
        <f t="shared" si="79"/>
        <v>Competitive</v>
      </c>
    </row>
    <row r="985" spans="1:24" x14ac:dyDescent="0.3">
      <c r="A985" t="s">
        <v>1053</v>
      </c>
      <c r="B985" t="s">
        <v>39</v>
      </c>
      <c r="C985">
        <v>52</v>
      </c>
      <c r="D985" t="s">
        <v>21</v>
      </c>
      <c r="E985" t="s">
        <v>48</v>
      </c>
      <c r="F985" t="s">
        <v>65</v>
      </c>
      <c r="G985" t="s">
        <v>24</v>
      </c>
      <c r="H985" t="s">
        <v>83</v>
      </c>
      <c r="I985" t="s">
        <v>72</v>
      </c>
      <c r="J985" t="s">
        <v>73</v>
      </c>
      <c r="K985">
        <v>5</v>
      </c>
      <c r="L985">
        <v>93901</v>
      </c>
      <c r="M985" t="s">
        <v>45</v>
      </c>
      <c r="N985">
        <v>2</v>
      </c>
      <c r="O985">
        <v>2</v>
      </c>
      <c r="P985">
        <v>62</v>
      </c>
      <c r="Q985">
        <v>3</v>
      </c>
      <c r="R985" s="1">
        <v>43446</v>
      </c>
      <c r="S985" t="s">
        <v>29</v>
      </c>
      <c r="T985" t="str">
        <f t="shared" si="75"/>
        <v>Grade A</v>
      </c>
      <c r="U985">
        <f t="shared" si="76"/>
        <v>2</v>
      </c>
      <c r="V985" t="str">
        <f t="shared" si="77"/>
        <v>Junior</v>
      </c>
      <c r="W985" t="str">
        <f t="shared" si="78"/>
        <v>Medium Risk</v>
      </c>
      <c r="X985" t="str">
        <f t="shared" si="79"/>
        <v>Fair</v>
      </c>
    </row>
    <row r="986" spans="1:24" x14ac:dyDescent="0.3">
      <c r="A986" t="s">
        <v>1054</v>
      </c>
      <c r="B986" t="s">
        <v>39</v>
      </c>
      <c r="C986">
        <v>47</v>
      </c>
      <c r="D986" t="s">
        <v>31</v>
      </c>
      <c r="E986" t="s">
        <v>40</v>
      </c>
      <c r="F986" t="s">
        <v>65</v>
      </c>
      <c r="G986" t="s">
        <v>79</v>
      </c>
      <c r="H986" t="s">
        <v>83</v>
      </c>
      <c r="I986" t="s">
        <v>54</v>
      </c>
      <c r="J986" t="s">
        <v>27</v>
      </c>
      <c r="K986">
        <v>3</v>
      </c>
      <c r="L986">
        <v>37989</v>
      </c>
      <c r="M986" t="s">
        <v>28</v>
      </c>
      <c r="N986">
        <v>1</v>
      </c>
      <c r="O986">
        <v>1</v>
      </c>
      <c r="P986">
        <v>43</v>
      </c>
      <c r="Q986">
        <v>2</v>
      </c>
      <c r="R986" s="1">
        <v>44173</v>
      </c>
      <c r="S986" t="s">
        <v>29</v>
      </c>
      <c r="T986" t="str">
        <f t="shared" si="75"/>
        <v>Grade C</v>
      </c>
      <c r="U986">
        <f t="shared" si="76"/>
        <v>3</v>
      </c>
      <c r="V986" t="str">
        <f t="shared" si="77"/>
        <v>Junior</v>
      </c>
      <c r="W986" t="str">
        <f t="shared" si="78"/>
        <v>Medium Risk</v>
      </c>
      <c r="X986" t="str">
        <f t="shared" si="79"/>
        <v>Fair</v>
      </c>
    </row>
    <row r="987" spans="1:24" x14ac:dyDescent="0.3">
      <c r="A987" t="s">
        <v>1055</v>
      </c>
      <c r="B987" t="s">
        <v>39</v>
      </c>
      <c r="C987">
        <v>47</v>
      </c>
      <c r="D987" t="s">
        <v>31</v>
      </c>
      <c r="E987" t="s">
        <v>22</v>
      </c>
      <c r="F987" t="s">
        <v>78</v>
      </c>
      <c r="G987" t="s">
        <v>49</v>
      </c>
      <c r="H987" t="s">
        <v>76</v>
      </c>
      <c r="I987" t="s">
        <v>68</v>
      </c>
      <c r="J987" t="s">
        <v>60</v>
      </c>
      <c r="K987">
        <v>9</v>
      </c>
      <c r="L987">
        <v>70389</v>
      </c>
      <c r="M987" t="s">
        <v>28</v>
      </c>
      <c r="N987">
        <v>2</v>
      </c>
      <c r="O987">
        <v>1</v>
      </c>
      <c r="P987">
        <v>28</v>
      </c>
      <c r="Q987">
        <v>3</v>
      </c>
      <c r="R987" s="1">
        <v>41737</v>
      </c>
      <c r="S987" t="s">
        <v>29</v>
      </c>
      <c r="T987" t="str">
        <f t="shared" si="75"/>
        <v>Grade B</v>
      </c>
      <c r="U987">
        <f t="shared" si="76"/>
        <v>3</v>
      </c>
      <c r="V987" t="str">
        <f t="shared" si="77"/>
        <v>Mid Level</v>
      </c>
      <c r="W987" t="str">
        <f t="shared" si="78"/>
        <v>Medium Risk</v>
      </c>
      <c r="X987" t="str">
        <f t="shared" si="79"/>
        <v>Competitive</v>
      </c>
    </row>
    <row r="988" spans="1:24" x14ac:dyDescent="0.3">
      <c r="A988" t="s">
        <v>1056</v>
      </c>
      <c r="B988" t="s">
        <v>20</v>
      </c>
      <c r="C988">
        <v>30</v>
      </c>
      <c r="D988" t="s">
        <v>31</v>
      </c>
      <c r="E988" t="s">
        <v>40</v>
      </c>
      <c r="F988" t="s">
        <v>62</v>
      </c>
      <c r="G988" t="s">
        <v>42</v>
      </c>
      <c r="H988" t="s">
        <v>67</v>
      </c>
      <c r="I988" t="s">
        <v>54</v>
      </c>
      <c r="J988" t="s">
        <v>27</v>
      </c>
      <c r="K988">
        <v>7</v>
      </c>
      <c r="L988">
        <v>104196</v>
      </c>
      <c r="M988" t="s">
        <v>45</v>
      </c>
      <c r="N988">
        <v>4</v>
      </c>
      <c r="O988">
        <v>2</v>
      </c>
      <c r="P988">
        <v>23</v>
      </c>
      <c r="Q988">
        <v>2</v>
      </c>
      <c r="R988" s="1">
        <v>42613</v>
      </c>
      <c r="S988" t="s">
        <v>37</v>
      </c>
      <c r="T988" t="str">
        <f t="shared" si="75"/>
        <v>Grade A</v>
      </c>
      <c r="U988">
        <f t="shared" si="76"/>
        <v>2</v>
      </c>
      <c r="V988" t="str">
        <f t="shared" si="77"/>
        <v>Mid Level</v>
      </c>
      <c r="W988" t="str">
        <f t="shared" si="78"/>
        <v>Already Left</v>
      </c>
      <c r="X988" t="str">
        <f t="shared" si="79"/>
        <v>Fair</v>
      </c>
    </row>
    <row r="989" spans="1:24" x14ac:dyDescent="0.3">
      <c r="A989" t="s">
        <v>1057</v>
      </c>
      <c r="B989" t="s">
        <v>20</v>
      </c>
      <c r="C989">
        <v>45</v>
      </c>
      <c r="D989" t="s">
        <v>31</v>
      </c>
      <c r="E989" t="s">
        <v>22</v>
      </c>
      <c r="F989" t="s">
        <v>41</v>
      </c>
      <c r="G989" t="s">
        <v>63</v>
      </c>
      <c r="H989" t="s">
        <v>76</v>
      </c>
      <c r="I989" t="s">
        <v>80</v>
      </c>
      <c r="J989" t="s">
        <v>60</v>
      </c>
      <c r="K989">
        <v>14</v>
      </c>
      <c r="L989">
        <v>72555</v>
      </c>
      <c r="M989" t="s">
        <v>51</v>
      </c>
      <c r="N989">
        <v>2</v>
      </c>
      <c r="O989">
        <v>4</v>
      </c>
      <c r="P989">
        <v>39</v>
      </c>
      <c r="Q989">
        <v>2</v>
      </c>
      <c r="R989" s="1">
        <v>40102</v>
      </c>
      <c r="S989" t="s">
        <v>29</v>
      </c>
      <c r="T989" t="str">
        <f t="shared" si="75"/>
        <v>Grade B</v>
      </c>
      <c r="U989">
        <f t="shared" si="76"/>
        <v>4</v>
      </c>
      <c r="V989" t="str">
        <f t="shared" si="77"/>
        <v>Senior</v>
      </c>
      <c r="W989" t="str">
        <f t="shared" si="78"/>
        <v>Low Risk</v>
      </c>
      <c r="X989" t="str">
        <f t="shared" si="79"/>
        <v>Fair</v>
      </c>
    </row>
    <row r="990" spans="1:24" x14ac:dyDescent="0.3">
      <c r="A990" t="s">
        <v>1058</v>
      </c>
      <c r="B990" t="s">
        <v>20</v>
      </c>
      <c r="C990">
        <v>48</v>
      </c>
      <c r="D990" t="s">
        <v>31</v>
      </c>
      <c r="E990" t="s">
        <v>48</v>
      </c>
      <c r="F990" t="s">
        <v>53</v>
      </c>
      <c r="G990" t="s">
        <v>58</v>
      </c>
      <c r="H990" t="s">
        <v>25</v>
      </c>
      <c r="I990" t="s">
        <v>72</v>
      </c>
      <c r="J990" t="s">
        <v>73</v>
      </c>
      <c r="K990">
        <v>14</v>
      </c>
      <c r="L990">
        <v>105772</v>
      </c>
      <c r="M990" t="s">
        <v>28</v>
      </c>
      <c r="N990">
        <v>1</v>
      </c>
      <c r="O990">
        <v>2</v>
      </c>
      <c r="P990">
        <v>23</v>
      </c>
      <c r="Q990">
        <v>2</v>
      </c>
      <c r="R990" s="1">
        <v>39989</v>
      </c>
      <c r="S990" t="s">
        <v>29</v>
      </c>
      <c r="T990" t="str">
        <f t="shared" si="75"/>
        <v>Grade A</v>
      </c>
      <c r="U990">
        <f t="shared" si="76"/>
        <v>3</v>
      </c>
      <c r="V990" t="str">
        <f t="shared" si="77"/>
        <v>Senior</v>
      </c>
      <c r="W990" t="str">
        <f t="shared" si="78"/>
        <v>Medium Risk</v>
      </c>
      <c r="X990" t="str">
        <f t="shared" si="79"/>
        <v>Competitive</v>
      </c>
    </row>
    <row r="991" spans="1:24" x14ac:dyDescent="0.3">
      <c r="A991" t="s">
        <v>1059</v>
      </c>
      <c r="B991" t="s">
        <v>39</v>
      </c>
      <c r="C991">
        <v>43</v>
      </c>
      <c r="D991" t="s">
        <v>21</v>
      </c>
      <c r="E991" t="s">
        <v>48</v>
      </c>
      <c r="F991" t="s">
        <v>53</v>
      </c>
      <c r="G991" t="s">
        <v>24</v>
      </c>
      <c r="H991" t="s">
        <v>25</v>
      </c>
      <c r="I991" t="s">
        <v>59</v>
      </c>
      <c r="J991" t="s">
        <v>60</v>
      </c>
      <c r="K991">
        <v>12</v>
      </c>
      <c r="L991">
        <v>104259</v>
      </c>
      <c r="M991" t="s">
        <v>45</v>
      </c>
      <c r="N991">
        <v>1</v>
      </c>
      <c r="O991">
        <v>3</v>
      </c>
      <c r="P991">
        <v>40</v>
      </c>
      <c r="Q991">
        <v>1</v>
      </c>
      <c r="R991" s="1">
        <v>40556</v>
      </c>
      <c r="S991" t="s">
        <v>29</v>
      </c>
      <c r="T991" t="str">
        <f t="shared" si="75"/>
        <v>Grade A</v>
      </c>
      <c r="U991">
        <f t="shared" si="76"/>
        <v>2</v>
      </c>
      <c r="V991" t="str">
        <f t="shared" si="77"/>
        <v>Senior</v>
      </c>
      <c r="W991" t="str">
        <f t="shared" si="78"/>
        <v>Medium Risk</v>
      </c>
      <c r="X991" t="str">
        <f t="shared" si="79"/>
        <v>Fair</v>
      </c>
    </row>
    <row r="992" spans="1:24" x14ac:dyDescent="0.3">
      <c r="A992" t="s">
        <v>1060</v>
      </c>
      <c r="B992" t="s">
        <v>39</v>
      </c>
      <c r="C992">
        <v>47</v>
      </c>
      <c r="D992" t="s">
        <v>47</v>
      </c>
      <c r="E992" t="s">
        <v>22</v>
      </c>
      <c r="F992" t="s">
        <v>32</v>
      </c>
      <c r="G992" t="s">
        <v>42</v>
      </c>
      <c r="H992" t="s">
        <v>25</v>
      </c>
      <c r="I992" t="s">
        <v>59</v>
      </c>
      <c r="J992" t="s">
        <v>60</v>
      </c>
      <c r="K992">
        <v>14</v>
      </c>
      <c r="L992">
        <v>132238</v>
      </c>
      <c r="M992" t="s">
        <v>28</v>
      </c>
      <c r="N992">
        <v>1</v>
      </c>
      <c r="O992">
        <v>1</v>
      </c>
      <c r="P992">
        <v>22</v>
      </c>
      <c r="Q992">
        <v>3</v>
      </c>
      <c r="R992" s="1">
        <v>39820</v>
      </c>
      <c r="S992" t="s">
        <v>29</v>
      </c>
      <c r="T992" t="str">
        <f t="shared" si="75"/>
        <v>Grade A</v>
      </c>
      <c r="U992">
        <f t="shared" si="76"/>
        <v>3</v>
      </c>
      <c r="V992" t="str">
        <f t="shared" si="77"/>
        <v>Senior</v>
      </c>
      <c r="W992" t="str">
        <f t="shared" si="78"/>
        <v>Medium Risk</v>
      </c>
      <c r="X992" t="str">
        <f t="shared" si="79"/>
        <v>Competitive</v>
      </c>
    </row>
    <row r="993" spans="1:24" x14ac:dyDescent="0.3">
      <c r="A993" t="s">
        <v>1061</v>
      </c>
      <c r="B993" t="s">
        <v>39</v>
      </c>
      <c r="C993">
        <v>53</v>
      </c>
      <c r="D993" t="s">
        <v>47</v>
      </c>
      <c r="E993" t="s">
        <v>22</v>
      </c>
      <c r="F993" t="s">
        <v>78</v>
      </c>
      <c r="G993" t="s">
        <v>49</v>
      </c>
      <c r="H993" t="s">
        <v>83</v>
      </c>
      <c r="I993" t="s">
        <v>35</v>
      </c>
      <c r="J993" t="s">
        <v>27</v>
      </c>
      <c r="K993">
        <v>10</v>
      </c>
      <c r="L993">
        <v>67900</v>
      </c>
      <c r="M993" t="s">
        <v>51</v>
      </c>
      <c r="N993">
        <v>4</v>
      </c>
      <c r="O993">
        <v>3</v>
      </c>
      <c r="P993">
        <v>38</v>
      </c>
      <c r="Q993">
        <v>0</v>
      </c>
      <c r="R993" s="1">
        <v>41596</v>
      </c>
      <c r="S993" t="s">
        <v>29</v>
      </c>
      <c r="T993" t="str">
        <f t="shared" si="75"/>
        <v>Grade B</v>
      </c>
      <c r="U993">
        <f t="shared" si="76"/>
        <v>4</v>
      </c>
      <c r="V993" t="str">
        <f t="shared" si="77"/>
        <v>Mid Level</v>
      </c>
      <c r="W993" t="str">
        <f t="shared" si="78"/>
        <v>Low Risk</v>
      </c>
      <c r="X993" t="str">
        <f t="shared" si="79"/>
        <v>Fair</v>
      </c>
    </row>
    <row r="994" spans="1:24" x14ac:dyDescent="0.3">
      <c r="A994" t="s">
        <v>1062</v>
      </c>
      <c r="B994" t="s">
        <v>20</v>
      </c>
      <c r="C994">
        <v>54</v>
      </c>
      <c r="D994" t="s">
        <v>57</v>
      </c>
      <c r="E994" t="s">
        <v>40</v>
      </c>
      <c r="F994" t="s">
        <v>23</v>
      </c>
      <c r="G994" t="s">
        <v>33</v>
      </c>
      <c r="H994" t="s">
        <v>83</v>
      </c>
      <c r="I994" t="s">
        <v>43</v>
      </c>
      <c r="J994" t="s">
        <v>44</v>
      </c>
      <c r="K994">
        <v>15</v>
      </c>
      <c r="L994">
        <v>90729</v>
      </c>
      <c r="M994" t="s">
        <v>51</v>
      </c>
      <c r="N994">
        <v>1</v>
      </c>
      <c r="O994">
        <v>1</v>
      </c>
      <c r="P994">
        <v>33</v>
      </c>
      <c r="Q994">
        <v>1</v>
      </c>
      <c r="R994" s="1">
        <v>39769</v>
      </c>
      <c r="S994" t="s">
        <v>29</v>
      </c>
      <c r="T994" t="str">
        <f t="shared" si="75"/>
        <v>Grade A</v>
      </c>
      <c r="U994">
        <f t="shared" si="76"/>
        <v>4</v>
      </c>
      <c r="V994" t="str">
        <f t="shared" si="77"/>
        <v>Senior</v>
      </c>
      <c r="W994" t="str">
        <f t="shared" si="78"/>
        <v>Low Risk</v>
      </c>
      <c r="X994" t="str">
        <f t="shared" si="79"/>
        <v>Competitive</v>
      </c>
    </row>
    <row r="995" spans="1:24" x14ac:dyDescent="0.3">
      <c r="A995" t="s">
        <v>1063</v>
      </c>
      <c r="B995" t="s">
        <v>39</v>
      </c>
      <c r="C995">
        <v>37</v>
      </c>
      <c r="D995" t="s">
        <v>57</v>
      </c>
      <c r="E995" t="s">
        <v>48</v>
      </c>
      <c r="F995" t="s">
        <v>23</v>
      </c>
      <c r="G995" t="s">
        <v>63</v>
      </c>
      <c r="H995" t="s">
        <v>34</v>
      </c>
      <c r="I995" t="s">
        <v>50</v>
      </c>
      <c r="J995" t="s">
        <v>44</v>
      </c>
      <c r="K995">
        <v>6</v>
      </c>
      <c r="L995">
        <v>50670</v>
      </c>
      <c r="M995" t="s">
        <v>51</v>
      </c>
      <c r="N995">
        <v>4</v>
      </c>
      <c r="O995">
        <v>4</v>
      </c>
      <c r="P995">
        <v>43</v>
      </c>
      <c r="Q995">
        <v>2</v>
      </c>
      <c r="R995" s="1">
        <v>43037</v>
      </c>
      <c r="S995" t="s">
        <v>29</v>
      </c>
      <c r="T995" t="str">
        <f t="shared" si="75"/>
        <v>Grade B</v>
      </c>
      <c r="U995">
        <f t="shared" si="76"/>
        <v>4</v>
      </c>
      <c r="V995" t="str">
        <f t="shared" si="77"/>
        <v>Mid Level</v>
      </c>
      <c r="W995" t="str">
        <f t="shared" si="78"/>
        <v>Low Risk</v>
      </c>
      <c r="X995" t="str">
        <f t="shared" si="79"/>
        <v>Fair</v>
      </c>
    </row>
    <row r="996" spans="1:24" x14ac:dyDescent="0.3">
      <c r="A996" t="s">
        <v>1064</v>
      </c>
      <c r="B996" t="s">
        <v>20</v>
      </c>
      <c r="C996">
        <v>30</v>
      </c>
      <c r="D996" t="s">
        <v>21</v>
      </c>
      <c r="E996" t="s">
        <v>22</v>
      </c>
      <c r="F996" t="s">
        <v>41</v>
      </c>
      <c r="G996" t="s">
        <v>49</v>
      </c>
      <c r="H996" t="s">
        <v>76</v>
      </c>
      <c r="I996" t="s">
        <v>54</v>
      </c>
      <c r="J996" t="s">
        <v>27</v>
      </c>
      <c r="K996">
        <v>15</v>
      </c>
      <c r="L996">
        <v>82837</v>
      </c>
      <c r="M996" t="s">
        <v>51</v>
      </c>
      <c r="N996">
        <v>3</v>
      </c>
      <c r="O996">
        <v>1</v>
      </c>
      <c r="P996">
        <v>25</v>
      </c>
      <c r="Q996">
        <v>2</v>
      </c>
      <c r="R996" s="1">
        <v>39505</v>
      </c>
      <c r="S996" t="s">
        <v>29</v>
      </c>
      <c r="T996" t="str">
        <f t="shared" si="75"/>
        <v>Grade A</v>
      </c>
      <c r="U996">
        <f t="shared" si="76"/>
        <v>4</v>
      </c>
      <c r="V996" t="str">
        <f t="shared" si="77"/>
        <v>Senior</v>
      </c>
      <c r="W996" t="str">
        <f t="shared" si="78"/>
        <v>Low Risk</v>
      </c>
      <c r="X996" t="str">
        <f t="shared" si="79"/>
        <v>Competitive</v>
      </c>
    </row>
    <row r="997" spans="1:24" x14ac:dyDescent="0.3">
      <c r="A997" t="s">
        <v>1065</v>
      </c>
      <c r="B997" t="s">
        <v>39</v>
      </c>
      <c r="C997">
        <v>48</v>
      </c>
      <c r="D997" t="s">
        <v>47</v>
      </c>
      <c r="E997" t="s">
        <v>22</v>
      </c>
      <c r="F997" t="s">
        <v>62</v>
      </c>
      <c r="G997" t="s">
        <v>33</v>
      </c>
      <c r="H997" t="s">
        <v>67</v>
      </c>
      <c r="I997" t="s">
        <v>26</v>
      </c>
      <c r="J997" t="s">
        <v>27</v>
      </c>
      <c r="K997">
        <v>7</v>
      </c>
      <c r="L997">
        <v>75237</v>
      </c>
      <c r="M997" t="s">
        <v>28</v>
      </c>
      <c r="N997">
        <v>2</v>
      </c>
      <c r="O997">
        <v>2</v>
      </c>
      <c r="P997">
        <v>74</v>
      </c>
      <c r="Q997">
        <v>1</v>
      </c>
      <c r="R997" s="1">
        <v>42437</v>
      </c>
      <c r="S997" t="s">
        <v>37</v>
      </c>
      <c r="T997" t="str">
        <f t="shared" si="75"/>
        <v>Grade B</v>
      </c>
      <c r="U997">
        <f t="shared" si="76"/>
        <v>3</v>
      </c>
      <c r="V997" t="str">
        <f t="shared" si="77"/>
        <v>Mid Level</v>
      </c>
      <c r="W997" t="str">
        <f t="shared" si="78"/>
        <v>Already Left</v>
      </c>
      <c r="X997" t="str">
        <f t="shared" si="79"/>
        <v>Competitive</v>
      </c>
    </row>
    <row r="998" spans="1:24" x14ac:dyDescent="0.3">
      <c r="A998" t="s">
        <v>1066</v>
      </c>
      <c r="B998" t="s">
        <v>20</v>
      </c>
      <c r="C998">
        <v>24</v>
      </c>
      <c r="D998" t="s">
        <v>31</v>
      </c>
      <c r="E998" t="s">
        <v>22</v>
      </c>
      <c r="F998" t="s">
        <v>32</v>
      </c>
      <c r="G998" t="s">
        <v>66</v>
      </c>
      <c r="H998" t="s">
        <v>76</v>
      </c>
      <c r="I998" t="s">
        <v>26</v>
      </c>
      <c r="J998" t="s">
        <v>27</v>
      </c>
      <c r="K998">
        <v>6</v>
      </c>
      <c r="L998">
        <v>50705</v>
      </c>
      <c r="M998" t="s">
        <v>45</v>
      </c>
      <c r="N998">
        <v>4</v>
      </c>
      <c r="O998">
        <v>1</v>
      </c>
      <c r="P998">
        <v>56</v>
      </c>
      <c r="Q998">
        <v>0</v>
      </c>
      <c r="R998" s="1">
        <v>43055</v>
      </c>
      <c r="S998" t="s">
        <v>37</v>
      </c>
      <c r="T998" t="str">
        <f t="shared" si="75"/>
        <v>Grade B</v>
      </c>
      <c r="U998">
        <f t="shared" si="76"/>
        <v>2</v>
      </c>
      <c r="V998" t="str">
        <f t="shared" si="77"/>
        <v>Mid Level</v>
      </c>
      <c r="W998" t="str">
        <f t="shared" si="78"/>
        <v>Already Left</v>
      </c>
      <c r="X998" t="str">
        <f t="shared" si="79"/>
        <v>Fair</v>
      </c>
    </row>
    <row r="999" spans="1:24" x14ac:dyDescent="0.3">
      <c r="A999" t="s">
        <v>1067</v>
      </c>
      <c r="B999" t="s">
        <v>39</v>
      </c>
      <c r="C999">
        <v>30</v>
      </c>
      <c r="D999" t="s">
        <v>57</v>
      </c>
      <c r="E999" t="s">
        <v>22</v>
      </c>
      <c r="F999" t="s">
        <v>32</v>
      </c>
      <c r="G999" t="s">
        <v>63</v>
      </c>
      <c r="H999" t="s">
        <v>76</v>
      </c>
      <c r="I999" t="s">
        <v>72</v>
      </c>
      <c r="J999" t="s">
        <v>73</v>
      </c>
      <c r="K999">
        <v>7</v>
      </c>
      <c r="L999">
        <v>50519</v>
      </c>
      <c r="M999" t="s">
        <v>36</v>
      </c>
      <c r="N999">
        <v>1</v>
      </c>
      <c r="O999">
        <v>2</v>
      </c>
      <c r="P999">
        <v>17</v>
      </c>
      <c r="Q999">
        <v>1</v>
      </c>
      <c r="R999" s="1">
        <v>42688</v>
      </c>
      <c r="S999" t="s">
        <v>29</v>
      </c>
      <c r="T999" t="str">
        <f t="shared" si="75"/>
        <v>Grade B</v>
      </c>
      <c r="U999">
        <f t="shared" si="76"/>
        <v>1</v>
      </c>
      <c r="V999" t="str">
        <f t="shared" si="77"/>
        <v>Mid Level</v>
      </c>
      <c r="W999" t="str">
        <f t="shared" si="78"/>
        <v>Medium Risk</v>
      </c>
      <c r="X999" t="str">
        <f t="shared" si="79"/>
        <v>Fair</v>
      </c>
    </row>
    <row r="1000" spans="1:24" x14ac:dyDescent="0.3">
      <c r="A1000" t="s">
        <v>1068</v>
      </c>
      <c r="B1000" t="s">
        <v>20</v>
      </c>
      <c r="C1000">
        <v>26</v>
      </c>
      <c r="D1000" t="s">
        <v>31</v>
      </c>
      <c r="E1000" t="s">
        <v>40</v>
      </c>
      <c r="F1000" t="s">
        <v>75</v>
      </c>
      <c r="G1000" t="s">
        <v>58</v>
      </c>
      <c r="H1000" t="s">
        <v>76</v>
      </c>
      <c r="I1000" t="s">
        <v>72</v>
      </c>
      <c r="J1000" t="s">
        <v>73</v>
      </c>
      <c r="K1000">
        <v>14</v>
      </c>
      <c r="L1000">
        <v>115657</v>
      </c>
      <c r="M1000" t="s">
        <v>51</v>
      </c>
      <c r="N1000">
        <v>2</v>
      </c>
      <c r="O1000">
        <v>1</v>
      </c>
      <c r="P1000">
        <v>32</v>
      </c>
      <c r="Q1000">
        <v>1</v>
      </c>
      <c r="R1000" s="1">
        <v>39832</v>
      </c>
      <c r="S1000" t="s">
        <v>29</v>
      </c>
      <c r="T1000" t="str">
        <f t="shared" si="75"/>
        <v>Grade A</v>
      </c>
      <c r="U1000">
        <f t="shared" si="76"/>
        <v>4</v>
      </c>
      <c r="V1000" t="str">
        <f t="shared" si="77"/>
        <v>Senior</v>
      </c>
      <c r="W1000" t="str">
        <f t="shared" si="78"/>
        <v>Low Risk</v>
      </c>
      <c r="X1000" t="str">
        <f t="shared" si="79"/>
        <v>Competitive</v>
      </c>
    </row>
    <row r="1001" spans="1:24" x14ac:dyDescent="0.3">
      <c r="A1001" t="s">
        <v>1069</v>
      </c>
      <c r="B1001" t="s">
        <v>20</v>
      </c>
      <c r="C1001">
        <v>28</v>
      </c>
      <c r="D1001" t="s">
        <v>57</v>
      </c>
      <c r="E1001" t="s">
        <v>40</v>
      </c>
      <c r="F1001" t="s">
        <v>65</v>
      </c>
      <c r="G1001" t="s">
        <v>63</v>
      </c>
      <c r="H1001" t="s">
        <v>25</v>
      </c>
      <c r="I1001" t="s">
        <v>80</v>
      </c>
      <c r="J1001" t="s">
        <v>60</v>
      </c>
      <c r="K1001">
        <v>14</v>
      </c>
      <c r="L1001">
        <v>79681</v>
      </c>
      <c r="M1001" t="s">
        <v>51</v>
      </c>
      <c r="N1001">
        <v>4</v>
      </c>
      <c r="O1001">
        <v>4</v>
      </c>
      <c r="P1001">
        <v>28</v>
      </c>
      <c r="Q1001">
        <v>1</v>
      </c>
      <c r="R1001" s="1">
        <v>40089</v>
      </c>
      <c r="S1001" t="s">
        <v>29</v>
      </c>
      <c r="T1001" t="str">
        <f t="shared" si="75"/>
        <v>Grade B</v>
      </c>
      <c r="U1001">
        <f t="shared" si="76"/>
        <v>4</v>
      </c>
      <c r="V1001" t="str">
        <f t="shared" si="77"/>
        <v>Senior</v>
      </c>
      <c r="W1001" t="str">
        <f t="shared" si="78"/>
        <v>Low Risk</v>
      </c>
      <c r="X1001" t="str">
        <f t="shared" si="79"/>
        <v>Fair</v>
      </c>
    </row>
    <row r="1002" spans="1:24" x14ac:dyDescent="0.3">
      <c r="A1002" t="s">
        <v>1070</v>
      </c>
      <c r="B1002" t="s">
        <v>20</v>
      </c>
      <c r="C1002">
        <v>34</v>
      </c>
      <c r="D1002" t="s">
        <v>31</v>
      </c>
      <c r="E1002" t="s">
        <v>48</v>
      </c>
      <c r="F1002" t="s">
        <v>62</v>
      </c>
      <c r="G1002" t="s">
        <v>49</v>
      </c>
      <c r="H1002" t="s">
        <v>25</v>
      </c>
      <c r="I1002" t="s">
        <v>35</v>
      </c>
      <c r="J1002" t="s">
        <v>27</v>
      </c>
      <c r="K1002">
        <v>2</v>
      </c>
      <c r="L1002">
        <v>53961</v>
      </c>
      <c r="M1002" t="s">
        <v>51</v>
      </c>
      <c r="N1002">
        <v>2</v>
      </c>
      <c r="O1002">
        <v>4</v>
      </c>
      <c r="P1002">
        <v>80</v>
      </c>
      <c r="Q1002">
        <v>1</v>
      </c>
      <c r="R1002" s="1">
        <v>44560</v>
      </c>
      <c r="S1002" t="s">
        <v>29</v>
      </c>
      <c r="T1002" t="str">
        <f t="shared" si="75"/>
        <v>Grade B</v>
      </c>
      <c r="U1002">
        <f t="shared" si="76"/>
        <v>4</v>
      </c>
      <c r="V1002" t="str">
        <f t="shared" si="77"/>
        <v>New Joiner</v>
      </c>
      <c r="W1002" t="str">
        <f t="shared" si="78"/>
        <v>Low Risk</v>
      </c>
      <c r="X1002" t="str">
        <f t="shared" si="79"/>
        <v>Fair</v>
      </c>
    </row>
    <row r="1003" spans="1:24" x14ac:dyDescent="0.3">
      <c r="A1003" t="s">
        <v>1071</v>
      </c>
      <c r="B1003" t="s">
        <v>20</v>
      </c>
      <c r="C1003">
        <v>50</v>
      </c>
      <c r="D1003" t="s">
        <v>21</v>
      </c>
      <c r="E1003" t="s">
        <v>40</v>
      </c>
      <c r="F1003" t="s">
        <v>23</v>
      </c>
      <c r="G1003" t="s">
        <v>66</v>
      </c>
      <c r="H1003" t="s">
        <v>67</v>
      </c>
      <c r="I1003" t="s">
        <v>43</v>
      </c>
      <c r="J1003" t="s">
        <v>44</v>
      </c>
      <c r="K1003">
        <v>11</v>
      </c>
      <c r="L1003">
        <v>51067</v>
      </c>
      <c r="M1003" t="s">
        <v>28</v>
      </c>
      <c r="N1003">
        <v>1</v>
      </c>
      <c r="O1003">
        <v>3</v>
      </c>
      <c r="P1003">
        <v>18</v>
      </c>
      <c r="Q1003">
        <v>2</v>
      </c>
      <c r="R1003" s="1">
        <v>41225</v>
      </c>
      <c r="S1003" t="s">
        <v>37</v>
      </c>
      <c r="T1003" t="str">
        <f t="shared" si="75"/>
        <v>Grade B</v>
      </c>
      <c r="U1003">
        <f t="shared" si="76"/>
        <v>3</v>
      </c>
      <c r="V1003" t="str">
        <f t="shared" si="77"/>
        <v>Senior</v>
      </c>
      <c r="W1003" t="str">
        <f t="shared" si="78"/>
        <v>Already Left</v>
      </c>
      <c r="X1003" t="str">
        <f t="shared" si="79"/>
        <v>Competitive</v>
      </c>
    </row>
    <row r="1004" spans="1:24" x14ac:dyDescent="0.3">
      <c r="A1004" t="s">
        <v>1072</v>
      </c>
      <c r="B1004" t="s">
        <v>20</v>
      </c>
      <c r="C1004">
        <v>46</v>
      </c>
      <c r="D1004" t="s">
        <v>31</v>
      </c>
      <c r="E1004" t="s">
        <v>40</v>
      </c>
      <c r="F1004" t="s">
        <v>53</v>
      </c>
      <c r="G1004" t="s">
        <v>24</v>
      </c>
      <c r="H1004" t="s">
        <v>83</v>
      </c>
      <c r="I1004" t="s">
        <v>80</v>
      </c>
      <c r="J1004" t="s">
        <v>60</v>
      </c>
      <c r="K1004">
        <v>5</v>
      </c>
      <c r="L1004">
        <v>88200</v>
      </c>
      <c r="M1004" t="s">
        <v>36</v>
      </c>
      <c r="N1004">
        <v>4</v>
      </c>
      <c r="O1004">
        <v>1</v>
      </c>
      <c r="P1004">
        <v>76</v>
      </c>
      <c r="Q1004">
        <v>2</v>
      </c>
      <c r="R1004" s="1">
        <v>43174</v>
      </c>
      <c r="S1004" t="s">
        <v>29</v>
      </c>
      <c r="T1004" t="str">
        <f t="shared" si="75"/>
        <v>Grade A</v>
      </c>
      <c r="U1004">
        <f t="shared" si="76"/>
        <v>1</v>
      </c>
      <c r="V1004" t="str">
        <f t="shared" si="77"/>
        <v>Junior</v>
      </c>
      <c r="W1004" t="str">
        <f t="shared" si="78"/>
        <v>Medium Risk</v>
      </c>
      <c r="X1004" t="str">
        <f t="shared" si="79"/>
        <v>Overpaid</v>
      </c>
    </row>
    <row r="1005" spans="1:24" x14ac:dyDescent="0.3">
      <c r="A1005" t="s">
        <v>1073</v>
      </c>
      <c r="B1005" t="s">
        <v>20</v>
      </c>
      <c r="C1005">
        <v>23</v>
      </c>
      <c r="D1005" t="s">
        <v>88</v>
      </c>
      <c r="E1005" t="s">
        <v>48</v>
      </c>
      <c r="F1005" t="s">
        <v>65</v>
      </c>
      <c r="G1005" t="s">
        <v>49</v>
      </c>
      <c r="H1005" t="s">
        <v>34</v>
      </c>
      <c r="I1005" t="s">
        <v>68</v>
      </c>
      <c r="J1005" t="s">
        <v>60</v>
      </c>
      <c r="K1005">
        <v>11</v>
      </c>
      <c r="L1005">
        <v>66814</v>
      </c>
      <c r="M1005" t="s">
        <v>36</v>
      </c>
      <c r="N1005">
        <v>2</v>
      </c>
      <c r="O1005">
        <v>2</v>
      </c>
      <c r="P1005">
        <v>34</v>
      </c>
      <c r="Q1005">
        <v>0</v>
      </c>
      <c r="R1005" s="1">
        <v>41225</v>
      </c>
      <c r="S1005" t="s">
        <v>29</v>
      </c>
      <c r="T1005" t="str">
        <f t="shared" si="75"/>
        <v>Grade B</v>
      </c>
      <c r="U1005">
        <f t="shared" si="76"/>
        <v>1</v>
      </c>
      <c r="V1005" t="str">
        <f t="shared" si="77"/>
        <v>Senior</v>
      </c>
      <c r="W1005" t="str">
        <f t="shared" si="78"/>
        <v>Medium Risk</v>
      </c>
      <c r="X1005" t="str">
        <f t="shared" si="79"/>
        <v>Fair</v>
      </c>
    </row>
    <row r="1006" spans="1:24" x14ac:dyDescent="0.3">
      <c r="A1006" t="s">
        <v>1074</v>
      </c>
      <c r="B1006" t="s">
        <v>39</v>
      </c>
      <c r="C1006">
        <v>48</v>
      </c>
      <c r="D1006" t="s">
        <v>88</v>
      </c>
      <c r="E1006" t="s">
        <v>40</v>
      </c>
      <c r="F1006" t="s">
        <v>32</v>
      </c>
      <c r="G1006" t="s">
        <v>63</v>
      </c>
      <c r="H1006" t="s">
        <v>25</v>
      </c>
      <c r="I1006" t="s">
        <v>68</v>
      </c>
      <c r="J1006" t="s">
        <v>60</v>
      </c>
      <c r="K1006">
        <v>13</v>
      </c>
      <c r="L1006">
        <v>74245</v>
      </c>
      <c r="M1006" t="s">
        <v>28</v>
      </c>
      <c r="N1006">
        <v>1</v>
      </c>
      <c r="O1006">
        <v>4</v>
      </c>
      <c r="P1006">
        <v>29</v>
      </c>
      <c r="Q1006">
        <v>3</v>
      </c>
      <c r="R1006" s="1">
        <v>40261</v>
      </c>
      <c r="S1006" t="s">
        <v>29</v>
      </c>
      <c r="T1006" t="str">
        <f t="shared" si="75"/>
        <v>Grade B</v>
      </c>
      <c r="U1006">
        <f t="shared" si="76"/>
        <v>3</v>
      </c>
      <c r="V1006" t="str">
        <f t="shared" si="77"/>
        <v>Senior</v>
      </c>
      <c r="W1006" t="str">
        <f t="shared" si="78"/>
        <v>Medium Risk</v>
      </c>
      <c r="X1006" t="str">
        <f t="shared" si="79"/>
        <v>Competitive</v>
      </c>
    </row>
    <row r="1007" spans="1:24" x14ac:dyDescent="0.3">
      <c r="A1007" t="s">
        <v>1075</v>
      </c>
      <c r="B1007" t="s">
        <v>39</v>
      </c>
      <c r="C1007">
        <v>55</v>
      </c>
      <c r="D1007" t="s">
        <v>88</v>
      </c>
      <c r="E1007" t="s">
        <v>22</v>
      </c>
      <c r="F1007" t="s">
        <v>78</v>
      </c>
      <c r="G1007" t="s">
        <v>33</v>
      </c>
      <c r="H1007" t="s">
        <v>76</v>
      </c>
      <c r="I1007" t="s">
        <v>26</v>
      </c>
      <c r="J1007" t="s">
        <v>27</v>
      </c>
      <c r="K1007">
        <v>11</v>
      </c>
      <c r="L1007">
        <v>77698</v>
      </c>
      <c r="M1007" t="s">
        <v>51</v>
      </c>
      <c r="N1007">
        <v>3</v>
      </c>
      <c r="O1007">
        <v>3</v>
      </c>
      <c r="P1007">
        <v>41</v>
      </c>
      <c r="Q1007">
        <v>1</v>
      </c>
      <c r="R1007" s="1">
        <v>41119</v>
      </c>
      <c r="S1007" t="s">
        <v>29</v>
      </c>
      <c r="T1007" t="str">
        <f t="shared" si="75"/>
        <v>Grade B</v>
      </c>
      <c r="U1007">
        <f t="shared" si="76"/>
        <v>4</v>
      </c>
      <c r="V1007" t="str">
        <f t="shared" si="77"/>
        <v>Senior</v>
      </c>
      <c r="W1007" t="str">
        <f t="shared" si="78"/>
        <v>Low Risk</v>
      </c>
      <c r="X1007" t="str">
        <f t="shared" si="79"/>
        <v>Fair</v>
      </c>
    </row>
    <row r="1008" spans="1:24" x14ac:dyDescent="0.3">
      <c r="A1008" t="s">
        <v>1076</v>
      </c>
      <c r="B1008" t="s">
        <v>20</v>
      </c>
      <c r="C1008">
        <v>43</v>
      </c>
      <c r="D1008" t="s">
        <v>21</v>
      </c>
      <c r="E1008" t="s">
        <v>40</v>
      </c>
      <c r="F1008" t="s">
        <v>23</v>
      </c>
      <c r="G1008" t="s">
        <v>66</v>
      </c>
      <c r="H1008" t="s">
        <v>25</v>
      </c>
      <c r="I1008" t="s">
        <v>35</v>
      </c>
      <c r="J1008" t="s">
        <v>27</v>
      </c>
      <c r="K1008">
        <v>15</v>
      </c>
      <c r="L1008">
        <v>68352</v>
      </c>
      <c r="M1008" t="s">
        <v>51</v>
      </c>
      <c r="N1008">
        <v>2</v>
      </c>
      <c r="O1008">
        <v>4</v>
      </c>
      <c r="P1008">
        <v>55</v>
      </c>
      <c r="Q1008">
        <v>1</v>
      </c>
      <c r="R1008" s="1">
        <v>39745</v>
      </c>
      <c r="S1008" t="s">
        <v>37</v>
      </c>
      <c r="T1008" t="str">
        <f t="shared" si="75"/>
        <v>Grade B</v>
      </c>
      <c r="U1008">
        <f t="shared" si="76"/>
        <v>4</v>
      </c>
      <c r="V1008" t="str">
        <f t="shared" si="77"/>
        <v>Senior</v>
      </c>
      <c r="W1008" t="str">
        <f t="shared" si="78"/>
        <v>Already Left</v>
      </c>
      <c r="X1008" t="str">
        <f t="shared" si="79"/>
        <v>Fair</v>
      </c>
    </row>
    <row r="1009" spans="1:24" x14ac:dyDescent="0.3">
      <c r="A1009" t="s">
        <v>1077</v>
      </c>
      <c r="B1009" t="s">
        <v>39</v>
      </c>
      <c r="C1009">
        <v>22</v>
      </c>
      <c r="D1009" t="s">
        <v>88</v>
      </c>
      <c r="E1009" t="s">
        <v>48</v>
      </c>
      <c r="F1009" t="s">
        <v>62</v>
      </c>
      <c r="G1009" t="s">
        <v>63</v>
      </c>
      <c r="H1009" t="s">
        <v>83</v>
      </c>
      <c r="I1009" t="s">
        <v>43</v>
      </c>
      <c r="J1009" t="s">
        <v>44</v>
      </c>
      <c r="K1009">
        <v>10</v>
      </c>
      <c r="L1009">
        <v>66295</v>
      </c>
      <c r="M1009" t="s">
        <v>36</v>
      </c>
      <c r="N1009">
        <v>4</v>
      </c>
      <c r="O1009">
        <v>1</v>
      </c>
      <c r="P1009">
        <v>28</v>
      </c>
      <c r="Q1009">
        <v>1</v>
      </c>
      <c r="R1009" s="1">
        <v>41605</v>
      </c>
      <c r="S1009" t="s">
        <v>29</v>
      </c>
      <c r="T1009" t="str">
        <f t="shared" si="75"/>
        <v>Grade B</v>
      </c>
      <c r="U1009">
        <f t="shared" si="76"/>
        <v>1</v>
      </c>
      <c r="V1009" t="str">
        <f t="shared" si="77"/>
        <v>Mid Level</v>
      </c>
      <c r="W1009" t="str">
        <f t="shared" si="78"/>
        <v>Medium Risk</v>
      </c>
      <c r="X1009" t="str">
        <f t="shared" si="79"/>
        <v>Fair</v>
      </c>
    </row>
    <row r="1010" spans="1:24" x14ac:dyDescent="0.3">
      <c r="A1010" t="s">
        <v>1078</v>
      </c>
      <c r="B1010" t="s">
        <v>20</v>
      </c>
      <c r="C1010">
        <v>31</v>
      </c>
      <c r="D1010" t="s">
        <v>47</v>
      </c>
      <c r="E1010" t="s">
        <v>40</v>
      </c>
      <c r="F1010" t="s">
        <v>65</v>
      </c>
      <c r="G1010" t="s">
        <v>79</v>
      </c>
      <c r="H1010" t="s">
        <v>34</v>
      </c>
      <c r="I1010" t="s">
        <v>35</v>
      </c>
      <c r="J1010" t="s">
        <v>27</v>
      </c>
      <c r="K1010">
        <v>15</v>
      </c>
      <c r="L1010">
        <v>68255</v>
      </c>
      <c r="M1010" t="s">
        <v>45</v>
      </c>
      <c r="N1010">
        <v>3</v>
      </c>
      <c r="O1010">
        <v>3</v>
      </c>
      <c r="P1010">
        <v>15</v>
      </c>
      <c r="Q1010">
        <v>0</v>
      </c>
      <c r="R1010" s="1">
        <v>39681</v>
      </c>
      <c r="S1010" t="s">
        <v>29</v>
      </c>
      <c r="T1010" t="str">
        <f t="shared" si="75"/>
        <v>Grade B</v>
      </c>
      <c r="U1010">
        <f t="shared" si="76"/>
        <v>2</v>
      </c>
      <c r="V1010" t="str">
        <f t="shared" si="77"/>
        <v>Senior</v>
      </c>
      <c r="W1010" t="str">
        <f t="shared" si="78"/>
        <v>Medium Risk</v>
      </c>
      <c r="X1010" t="str">
        <f t="shared" si="79"/>
        <v>Fair</v>
      </c>
    </row>
    <row r="1011" spans="1:24" x14ac:dyDescent="0.3">
      <c r="A1011" t="s">
        <v>1079</v>
      </c>
      <c r="B1011" t="s">
        <v>39</v>
      </c>
      <c r="C1011">
        <v>25</v>
      </c>
      <c r="D1011" t="s">
        <v>21</v>
      </c>
      <c r="E1011" t="s">
        <v>48</v>
      </c>
      <c r="F1011" t="s">
        <v>78</v>
      </c>
      <c r="G1011" t="s">
        <v>63</v>
      </c>
      <c r="H1011" t="s">
        <v>67</v>
      </c>
      <c r="I1011" t="s">
        <v>68</v>
      </c>
      <c r="J1011" t="s">
        <v>60</v>
      </c>
      <c r="K1011">
        <v>1</v>
      </c>
      <c r="L1011">
        <v>56673</v>
      </c>
      <c r="M1011" t="s">
        <v>51</v>
      </c>
      <c r="N1011">
        <v>2</v>
      </c>
      <c r="O1011">
        <v>1</v>
      </c>
      <c r="P1011">
        <v>20</v>
      </c>
      <c r="Q1011">
        <v>1</v>
      </c>
      <c r="R1011" s="1">
        <v>44728</v>
      </c>
      <c r="S1011" t="s">
        <v>29</v>
      </c>
      <c r="T1011" t="str">
        <f t="shared" si="75"/>
        <v>Grade B</v>
      </c>
      <c r="U1011">
        <f t="shared" si="76"/>
        <v>4</v>
      </c>
      <c r="V1011" t="str">
        <f t="shared" si="77"/>
        <v>New Joiner</v>
      </c>
      <c r="W1011" t="str">
        <f t="shared" si="78"/>
        <v>Low Risk</v>
      </c>
      <c r="X1011" t="str">
        <f t="shared" si="79"/>
        <v>Fair</v>
      </c>
    </row>
    <row r="1012" spans="1:24" x14ac:dyDescent="0.3">
      <c r="A1012" t="s">
        <v>1080</v>
      </c>
      <c r="B1012" t="s">
        <v>20</v>
      </c>
      <c r="C1012">
        <v>27</v>
      </c>
      <c r="D1012" t="s">
        <v>31</v>
      </c>
      <c r="E1012" t="s">
        <v>40</v>
      </c>
      <c r="F1012" t="s">
        <v>65</v>
      </c>
      <c r="G1012" t="s">
        <v>63</v>
      </c>
      <c r="H1012" t="s">
        <v>83</v>
      </c>
      <c r="I1012" t="s">
        <v>54</v>
      </c>
      <c r="J1012" t="s">
        <v>27</v>
      </c>
      <c r="K1012">
        <v>2</v>
      </c>
      <c r="L1012">
        <v>56295</v>
      </c>
      <c r="M1012" t="s">
        <v>51</v>
      </c>
      <c r="N1012">
        <v>1</v>
      </c>
      <c r="O1012">
        <v>3</v>
      </c>
      <c r="P1012">
        <v>16</v>
      </c>
      <c r="Q1012">
        <v>3</v>
      </c>
      <c r="R1012" s="1">
        <v>44249</v>
      </c>
      <c r="S1012" t="s">
        <v>37</v>
      </c>
      <c r="T1012" t="str">
        <f t="shared" si="75"/>
        <v>Grade B</v>
      </c>
      <c r="U1012">
        <f t="shared" si="76"/>
        <v>4</v>
      </c>
      <c r="V1012" t="str">
        <f t="shared" si="77"/>
        <v>New Joiner</v>
      </c>
      <c r="W1012" t="str">
        <f t="shared" si="78"/>
        <v>Already Left</v>
      </c>
      <c r="X1012" t="str">
        <f t="shared" si="79"/>
        <v>Fair</v>
      </c>
    </row>
    <row r="1013" spans="1:24" x14ac:dyDescent="0.3">
      <c r="A1013" t="s">
        <v>1081</v>
      </c>
      <c r="B1013" t="s">
        <v>20</v>
      </c>
      <c r="C1013">
        <v>36</v>
      </c>
      <c r="D1013" t="s">
        <v>31</v>
      </c>
      <c r="E1013" t="s">
        <v>48</v>
      </c>
      <c r="F1013" t="s">
        <v>53</v>
      </c>
      <c r="G1013" t="s">
        <v>33</v>
      </c>
      <c r="H1013" t="s">
        <v>34</v>
      </c>
      <c r="I1013" t="s">
        <v>43</v>
      </c>
      <c r="J1013" t="s">
        <v>44</v>
      </c>
      <c r="K1013">
        <v>14</v>
      </c>
      <c r="L1013">
        <v>91472</v>
      </c>
      <c r="M1013" t="s">
        <v>28</v>
      </c>
      <c r="N1013">
        <v>1</v>
      </c>
      <c r="O1013">
        <v>4</v>
      </c>
      <c r="P1013">
        <v>66</v>
      </c>
      <c r="Q1013">
        <v>3</v>
      </c>
      <c r="R1013" s="1">
        <v>40157</v>
      </c>
      <c r="S1013" t="s">
        <v>29</v>
      </c>
      <c r="T1013" t="str">
        <f t="shared" si="75"/>
        <v>Grade A</v>
      </c>
      <c r="U1013">
        <f t="shared" si="76"/>
        <v>3</v>
      </c>
      <c r="V1013" t="str">
        <f t="shared" si="77"/>
        <v>Senior</v>
      </c>
      <c r="W1013" t="str">
        <f t="shared" si="78"/>
        <v>Medium Risk</v>
      </c>
      <c r="X1013" t="str">
        <f t="shared" si="79"/>
        <v>Competitive</v>
      </c>
    </row>
    <row r="1014" spans="1:24" x14ac:dyDescent="0.3">
      <c r="A1014" t="s">
        <v>1082</v>
      </c>
      <c r="B1014" t="s">
        <v>39</v>
      </c>
      <c r="C1014">
        <v>30</v>
      </c>
      <c r="D1014" t="s">
        <v>31</v>
      </c>
      <c r="E1014" t="s">
        <v>22</v>
      </c>
      <c r="F1014" t="s">
        <v>62</v>
      </c>
      <c r="G1014" t="s">
        <v>33</v>
      </c>
      <c r="H1014" t="s">
        <v>76</v>
      </c>
      <c r="I1014" t="s">
        <v>54</v>
      </c>
      <c r="J1014" t="s">
        <v>27</v>
      </c>
      <c r="K1014">
        <v>1</v>
      </c>
      <c r="L1014">
        <v>56578</v>
      </c>
      <c r="M1014" t="s">
        <v>28</v>
      </c>
      <c r="N1014">
        <v>1</v>
      </c>
      <c r="O1014">
        <v>4</v>
      </c>
      <c r="P1014">
        <v>70</v>
      </c>
      <c r="Q1014">
        <v>3</v>
      </c>
      <c r="R1014" s="1">
        <v>44717</v>
      </c>
      <c r="S1014" t="s">
        <v>29</v>
      </c>
      <c r="T1014" t="str">
        <f t="shared" si="75"/>
        <v>Grade B</v>
      </c>
      <c r="U1014">
        <f t="shared" si="76"/>
        <v>3</v>
      </c>
      <c r="V1014" t="str">
        <f t="shared" si="77"/>
        <v>New Joiner</v>
      </c>
      <c r="W1014" t="str">
        <f t="shared" si="78"/>
        <v>Medium Risk</v>
      </c>
      <c r="X1014" t="str">
        <f t="shared" si="79"/>
        <v>Competitive</v>
      </c>
    </row>
    <row r="1015" spans="1:24" x14ac:dyDescent="0.3">
      <c r="A1015" t="s">
        <v>1083</v>
      </c>
      <c r="B1015" t="s">
        <v>20</v>
      </c>
      <c r="C1015">
        <v>26</v>
      </c>
      <c r="D1015" t="s">
        <v>47</v>
      </c>
      <c r="E1015" t="s">
        <v>22</v>
      </c>
      <c r="F1015" t="s">
        <v>53</v>
      </c>
      <c r="G1015" t="s">
        <v>42</v>
      </c>
      <c r="H1015" t="s">
        <v>34</v>
      </c>
      <c r="I1015" t="s">
        <v>50</v>
      </c>
      <c r="J1015" t="s">
        <v>44</v>
      </c>
      <c r="K1015">
        <v>13</v>
      </c>
      <c r="L1015">
        <v>111744</v>
      </c>
      <c r="M1015" t="s">
        <v>51</v>
      </c>
      <c r="N1015">
        <v>2</v>
      </c>
      <c r="O1015">
        <v>4</v>
      </c>
      <c r="P1015">
        <v>39</v>
      </c>
      <c r="Q1015">
        <v>0</v>
      </c>
      <c r="R1015" s="1">
        <v>40279</v>
      </c>
      <c r="S1015" t="s">
        <v>29</v>
      </c>
      <c r="T1015" t="str">
        <f t="shared" si="75"/>
        <v>Grade A</v>
      </c>
      <c r="U1015">
        <f t="shared" si="76"/>
        <v>4</v>
      </c>
      <c r="V1015" t="str">
        <f t="shared" si="77"/>
        <v>Senior</v>
      </c>
      <c r="W1015" t="str">
        <f t="shared" si="78"/>
        <v>Low Risk</v>
      </c>
      <c r="X1015" t="str">
        <f t="shared" si="79"/>
        <v>Competitive</v>
      </c>
    </row>
    <row r="1016" spans="1:24" x14ac:dyDescent="0.3">
      <c r="A1016" t="s">
        <v>1084</v>
      </c>
      <c r="B1016" t="s">
        <v>39</v>
      </c>
      <c r="C1016">
        <v>51</v>
      </c>
      <c r="D1016" t="s">
        <v>21</v>
      </c>
      <c r="E1016" t="s">
        <v>22</v>
      </c>
      <c r="F1016" t="s">
        <v>65</v>
      </c>
      <c r="G1016" t="s">
        <v>66</v>
      </c>
      <c r="H1016" t="s">
        <v>25</v>
      </c>
      <c r="I1016" t="s">
        <v>68</v>
      </c>
      <c r="J1016" t="s">
        <v>60</v>
      </c>
      <c r="K1016">
        <v>4</v>
      </c>
      <c r="L1016">
        <v>46150</v>
      </c>
      <c r="M1016" t="s">
        <v>28</v>
      </c>
      <c r="N1016">
        <v>2</v>
      </c>
      <c r="O1016">
        <v>1</v>
      </c>
      <c r="P1016">
        <v>20</v>
      </c>
      <c r="Q1016">
        <v>1</v>
      </c>
      <c r="R1016" s="1">
        <v>43593</v>
      </c>
      <c r="S1016" t="s">
        <v>37</v>
      </c>
      <c r="T1016" t="str">
        <f t="shared" si="75"/>
        <v>Grade C</v>
      </c>
      <c r="U1016">
        <f t="shared" si="76"/>
        <v>3</v>
      </c>
      <c r="V1016" t="str">
        <f t="shared" si="77"/>
        <v>Junior</v>
      </c>
      <c r="W1016" t="str">
        <f t="shared" si="78"/>
        <v>Already Left</v>
      </c>
      <c r="X1016" t="str">
        <f t="shared" si="79"/>
        <v>Fair</v>
      </c>
    </row>
    <row r="1017" spans="1:24" x14ac:dyDescent="0.3">
      <c r="A1017" t="s">
        <v>1085</v>
      </c>
      <c r="B1017" t="s">
        <v>20</v>
      </c>
      <c r="C1017">
        <v>30</v>
      </c>
      <c r="D1017" t="s">
        <v>57</v>
      </c>
      <c r="E1017" t="s">
        <v>48</v>
      </c>
      <c r="F1017" t="s">
        <v>75</v>
      </c>
      <c r="G1017" t="s">
        <v>63</v>
      </c>
      <c r="H1017" t="s">
        <v>83</v>
      </c>
      <c r="I1017" t="s">
        <v>50</v>
      </c>
      <c r="J1017" t="s">
        <v>44</v>
      </c>
      <c r="K1017">
        <v>13</v>
      </c>
      <c r="L1017">
        <v>68797</v>
      </c>
      <c r="M1017" t="s">
        <v>28</v>
      </c>
      <c r="N1017">
        <v>3</v>
      </c>
      <c r="O1017">
        <v>4</v>
      </c>
      <c r="P1017">
        <v>25</v>
      </c>
      <c r="Q1017">
        <v>1</v>
      </c>
      <c r="R1017" s="1">
        <v>40205</v>
      </c>
      <c r="S1017" t="s">
        <v>29</v>
      </c>
      <c r="T1017" t="str">
        <f t="shared" si="75"/>
        <v>Grade B</v>
      </c>
      <c r="U1017">
        <f t="shared" si="76"/>
        <v>3</v>
      </c>
      <c r="V1017" t="str">
        <f t="shared" si="77"/>
        <v>Senior</v>
      </c>
      <c r="W1017" t="str">
        <f t="shared" si="78"/>
        <v>Medium Risk</v>
      </c>
      <c r="X1017" t="str">
        <f t="shared" si="79"/>
        <v>Competitive</v>
      </c>
    </row>
    <row r="1018" spans="1:24" x14ac:dyDescent="0.3">
      <c r="A1018" t="s">
        <v>1086</v>
      </c>
      <c r="B1018" t="s">
        <v>20</v>
      </c>
      <c r="C1018">
        <v>25</v>
      </c>
      <c r="D1018" t="s">
        <v>47</v>
      </c>
      <c r="E1018" t="s">
        <v>48</v>
      </c>
      <c r="F1018" t="s">
        <v>78</v>
      </c>
      <c r="G1018" t="s">
        <v>42</v>
      </c>
      <c r="H1018" t="s">
        <v>83</v>
      </c>
      <c r="I1018" t="s">
        <v>59</v>
      </c>
      <c r="J1018" t="s">
        <v>60</v>
      </c>
      <c r="K1018">
        <v>5</v>
      </c>
      <c r="L1018">
        <v>114416</v>
      </c>
      <c r="M1018" t="s">
        <v>45</v>
      </c>
      <c r="N1018">
        <v>3</v>
      </c>
      <c r="O1018">
        <v>1</v>
      </c>
      <c r="P1018">
        <v>22</v>
      </c>
      <c r="Q1018">
        <v>3</v>
      </c>
      <c r="R1018" s="1">
        <v>43381</v>
      </c>
      <c r="S1018" t="s">
        <v>37</v>
      </c>
      <c r="T1018" t="str">
        <f t="shared" si="75"/>
        <v>Grade A</v>
      </c>
      <c r="U1018">
        <f t="shared" si="76"/>
        <v>2</v>
      </c>
      <c r="V1018" t="str">
        <f t="shared" si="77"/>
        <v>Junior</v>
      </c>
      <c r="W1018" t="str">
        <f t="shared" si="78"/>
        <v>Already Left</v>
      </c>
      <c r="X1018" t="str">
        <f t="shared" si="79"/>
        <v>Fair</v>
      </c>
    </row>
    <row r="1019" spans="1:24" x14ac:dyDescent="0.3">
      <c r="A1019" t="s">
        <v>1087</v>
      </c>
      <c r="B1019" t="s">
        <v>20</v>
      </c>
      <c r="C1019">
        <v>28</v>
      </c>
      <c r="D1019" t="s">
        <v>47</v>
      </c>
      <c r="E1019" t="s">
        <v>48</v>
      </c>
      <c r="F1019" t="s">
        <v>62</v>
      </c>
      <c r="G1019" t="s">
        <v>49</v>
      </c>
      <c r="H1019" t="s">
        <v>83</v>
      </c>
      <c r="I1019" t="s">
        <v>80</v>
      </c>
      <c r="J1019" t="s">
        <v>60</v>
      </c>
      <c r="K1019">
        <v>8</v>
      </c>
      <c r="L1019">
        <v>64196</v>
      </c>
      <c r="M1019" t="s">
        <v>28</v>
      </c>
      <c r="N1019">
        <v>4</v>
      </c>
      <c r="O1019">
        <v>2</v>
      </c>
      <c r="P1019">
        <v>33</v>
      </c>
      <c r="Q1019">
        <v>0</v>
      </c>
      <c r="R1019" s="1">
        <v>42169</v>
      </c>
      <c r="S1019" t="s">
        <v>37</v>
      </c>
      <c r="T1019" t="str">
        <f t="shared" si="75"/>
        <v>Grade B</v>
      </c>
      <c r="U1019">
        <f t="shared" si="76"/>
        <v>3</v>
      </c>
      <c r="V1019" t="str">
        <f t="shared" si="77"/>
        <v>Mid Level</v>
      </c>
      <c r="W1019" t="str">
        <f t="shared" si="78"/>
        <v>Already Left</v>
      </c>
      <c r="X1019" t="str">
        <f t="shared" si="79"/>
        <v>Competitive</v>
      </c>
    </row>
    <row r="1020" spans="1:24" x14ac:dyDescent="0.3">
      <c r="A1020" t="s">
        <v>1088</v>
      </c>
      <c r="B1020" t="s">
        <v>20</v>
      </c>
      <c r="C1020">
        <v>32</v>
      </c>
      <c r="D1020" t="s">
        <v>88</v>
      </c>
      <c r="E1020" t="s">
        <v>40</v>
      </c>
      <c r="F1020" t="s">
        <v>53</v>
      </c>
      <c r="G1020" t="s">
        <v>24</v>
      </c>
      <c r="H1020" t="s">
        <v>83</v>
      </c>
      <c r="I1020" t="s">
        <v>50</v>
      </c>
      <c r="J1020" t="s">
        <v>44</v>
      </c>
      <c r="K1020">
        <v>15</v>
      </c>
      <c r="L1020">
        <v>98353</v>
      </c>
      <c r="M1020" t="s">
        <v>36</v>
      </c>
      <c r="N1020">
        <v>3</v>
      </c>
      <c r="O1020">
        <v>4</v>
      </c>
      <c r="P1020">
        <v>66</v>
      </c>
      <c r="Q1020">
        <v>1</v>
      </c>
      <c r="R1020" s="1">
        <v>39552</v>
      </c>
      <c r="S1020" t="s">
        <v>37</v>
      </c>
      <c r="T1020" t="str">
        <f t="shared" si="75"/>
        <v>Grade A</v>
      </c>
      <c r="U1020">
        <f t="shared" si="76"/>
        <v>1</v>
      </c>
      <c r="V1020" t="str">
        <f t="shared" si="77"/>
        <v>Senior</v>
      </c>
      <c r="W1020" t="str">
        <f t="shared" si="78"/>
        <v>Already Left</v>
      </c>
      <c r="X1020" t="str">
        <f t="shared" si="79"/>
        <v>Overpaid</v>
      </c>
    </row>
    <row r="1021" spans="1:24" x14ac:dyDescent="0.3">
      <c r="A1021" t="s">
        <v>1089</v>
      </c>
      <c r="B1021" t="s">
        <v>20</v>
      </c>
      <c r="C1021">
        <v>48</v>
      </c>
      <c r="D1021" t="s">
        <v>21</v>
      </c>
      <c r="E1021" t="s">
        <v>48</v>
      </c>
      <c r="F1021" t="s">
        <v>32</v>
      </c>
      <c r="G1021" t="s">
        <v>79</v>
      </c>
      <c r="H1021" t="s">
        <v>34</v>
      </c>
      <c r="I1021" t="s">
        <v>43</v>
      </c>
      <c r="J1021" t="s">
        <v>44</v>
      </c>
      <c r="K1021">
        <v>15</v>
      </c>
      <c r="L1021">
        <v>76885</v>
      </c>
      <c r="M1021" t="s">
        <v>28</v>
      </c>
      <c r="N1021">
        <v>2</v>
      </c>
      <c r="O1021">
        <v>4</v>
      </c>
      <c r="P1021">
        <v>12</v>
      </c>
      <c r="Q1021">
        <v>3</v>
      </c>
      <c r="R1021" s="1">
        <v>39539</v>
      </c>
      <c r="S1021" t="s">
        <v>29</v>
      </c>
      <c r="T1021" t="str">
        <f t="shared" si="75"/>
        <v>Grade B</v>
      </c>
      <c r="U1021">
        <f t="shared" si="76"/>
        <v>3</v>
      </c>
      <c r="V1021" t="str">
        <f t="shared" si="77"/>
        <v>Senior</v>
      </c>
      <c r="W1021" t="str">
        <f t="shared" si="78"/>
        <v>Medium Risk</v>
      </c>
      <c r="X1021" t="str">
        <f t="shared" si="79"/>
        <v>Competitive</v>
      </c>
    </row>
    <row r="1022" spans="1:24" x14ac:dyDescent="0.3">
      <c r="A1022" t="s">
        <v>1090</v>
      </c>
      <c r="B1022" t="s">
        <v>39</v>
      </c>
      <c r="C1022">
        <v>47</v>
      </c>
      <c r="D1022" t="s">
        <v>88</v>
      </c>
      <c r="E1022" t="s">
        <v>22</v>
      </c>
      <c r="F1022" t="s">
        <v>75</v>
      </c>
      <c r="G1022" t="s">
        <v>33</v>
      </c>
      <c r="H1022" t="s">
        <v>76</v>
      </c>
      <c r="I1022" t="s">
        <v>54</v>
      </c>
      <c r="J1022" t="s">
        <v>27</v>
      </c>
      <c r="K1022">
        <v>8</v>
      </c>
      <c r="L1022">
        <v>68001</v>
      </c>
      <c r="M1022" t="s">
        <v>51</v>
      </c>
      <c r="N1022">
        <v>1</v>
      </c>
      <c r="O1022">
        <v>3</v>
      </c>
      <c r="P1022">
        <v>10</v>
      </c>
      <c r="Q1022">
        <v>3</v>
      </c>
      <c r="R1022" s="1">
        <v>42118</v>
      </c>
      <c r="S1022" t="s">
        <v>29</v>
      </c>
      <c r="T1022" t="str">
        <f t="shared" si="75"/>
        <v>Grade B</v>
      </c>
      <c r="U1022">
        <f t="shared" si="76"/>
        <v>4</v>
      </c>
      <c r="V1022" t="str">
        <f t="shared" si="77"/>
        <v>Mid Level</v>
      </c>
      <c r="W1022" t="str">
        <f t="shared" si="78"/>
        <v>Low Risk</v>
      </c>
      <c r="X1022" t="str">
        <f t="shared" si="79"/>
        <v>Fair</v>
      </c>
    </row>
    <row r="1023" spans="1:24" x14ac:dyDescent="0.3">
      <c r="A1023" t="s">
        <v>1091</v>
      </c>
      <c r="B1023" t="s">
        <v>39</v>
      </c>
      <c r="C1023">
        <v>27</v>
      </c>
      <c r="D1023" t="s">
        <v>57</v>
      </c>
      <c r="E1023" t="s">
        <v>40</v>
      </c>
      <c r="F1023" t="s">
        <v>53</v>
      </c>
      <c r="G1023" t="s">
        <v>49</v>
      </c>
      <c r="H1023" t="s">
        <v>83</v>
      </c>
      <c r="I1023" t="s">
        <v>35</v>
      </c>
      <c r="J1023" t="s">
        <v>27</v>
      </c>
      <c r="K1023">
        <v>3</v>
      </c>
      <c r="L1023">
        <v>57445</v>
      </c>
      <c r="M1023" t="s">
        <v>28</v>
      </c>
      <c r="N1023">
        <v>3</v>
      </c>
      <c r="O1023">
        <v>1</v>
      </c>
      <c r="P1023">
        <v>52</v>
      </c>
      <c r="Q1023">
        <v>3</v>
      </c>
      <c r="R1023" s="1">
        <v>43852</v>
      </c>
      <c r="S1023" t="s">
        <v>29</v>
      </c>
      <c r="T1023" t="str">
        <f t="shared" si="75"/>
        <v>Grade B</v>
      </c>
      <c r="U1023">
        <f t="shared" si="76"/>
        <v>3</v>
      </c>
      <c r="V1023" t="str">
        <f t="shared" si="77"/>
        <v>Junior</v>
      </c>
      <c r="W1023" t="str">
        <f t="shared" si="78"/>
        <v>Medium Risk</v>
      </c>
      <c r="X1023" t="str">
        <f t="shared" si="79"/>
        <v>Competitive</v>
      </c>
    </row>
    <row r="1024" spans="1:24" x14ac:dyDescent="0.3">
      <c r="A1024" t="s">
        <v>1092</v>
      </c>
      <c r="B1024" t="s">
        <v>39</v>
      </c>
      <c r="C1024">
        <v>42</v>
      </c>
      <c r="D1024" t="s">
        <v>88</v>
      </c>
      <c r="E1024" t="s">
        <v>48</v>
      </c>
      <c r="F1024" t="s">
        <v>62</v>
      </c>
      <c r="G1024" t="s">
        <v>79</v>
      </c>
      <c r="H1024" t="s">
        <v>76</v>
      </c>
      <c r="I1024" t="s">
        <v>26</v>
      </c>
      <c r="J1024" t="s">
        <v>27</v>
      </c>
      <c r="K1024">
        <v>12</v>
      </c>
      <c r="L1024">
        <v>71132</v>
      </c>
      <c r="M1024" t="s">
        <v>28</v>
      </c>
      <c r="N1024">
        <v>4</v>
      </c>
      <c r="O1024">
        <v>1</v>
      </c>
      <c r="P1024">
        <v>78</v>
      </c>
      <c r="Q1024">
        <v>2</v>
      </c>
      <c r="R1024" s="1">
        <v>40875</v>
      </c>
      <c r="S1024" t="s">
        <v>29</v>
      </c>
      <c r="T1024" t="str">
        <f t="shared" si="75"/>
        <v>Grade B</v>
      </c>
      <c r="U1024">
        <f t="shared" si="76"/>
        <v>3</v>
      </c>
      <c r="V1024" t="str">
        <f t="shared" si="77"/>
        <v>Senior</v>
      </c>
      <c r="W1024" t="str">
        <f t="shared" si="78"/>
        <v>Medium Risk</v>
      </c>
      <c r="X1024" t="str">
        <f t="shared" si="79"/>
        <v>Competitive</v>
      </c>
    </row>
    <row r="1025" spans="1:24" x14ac:dyDescent="0.3">
      <c r="A1025" t="s">
        <v>1093</v>
      </c>
      <c r="B1025" t="s">
        <v>20</v>
      </c>
      <c r="C1025">
        <v>24</v>
      </c>
      <c r="D1025" t="s">
        <v>88</v>
      </c>
      <c r="E1025" t="s">
        <v>40</v>
      </c>
      <c r="F1025" t="s">
        <v>75</v>
      </c>
      <c r="G1025" t="s">
        <v>58</v>
      </c>
      <c r="H1025" t="s">
        <v>34</v>
      </c>
      <c r="I1025" t="s">
        <v>59</v>
      </c>
      <c r="J1025" t="s">
        <v>60</v>
      </c>
      <c r="K1025">
        <v>13</v>
      </c>
      <c r="L1025">
        <v>106188</v>
      </c>
      <c r="M1025" t="s">
        <v>45</v>
      </c>
      <c r="N1025">
        <v>2</v>
      </c>
      <c r="O1025">
        <v>4</v>
      </c>
      <c r="P1025">
        <v>42</v>
      </c>
      <c r="Q1025">
        <v>2</v>
      </c>
      <c r="R1025" s="1">
        <v>40528</v>
      </c>
      <c r="S1025" t="s">
        <v>29</v>
      </c>
      <c r="T1025" t="str">
        <f t="shared" si="75"/>
        <v>Grade A</v>
      </c>
      <c r="U1025">
        <f t="shared" si="76"/>
        <v>2</v>
      </c>
      <c r="V1025" t="str">
        <f t="shared" si="77"/>
        <v>Senior</v>
      </c>
      <c r="W1025" t="str">
        <f t="shared" si="78"/>
        <v>Medium Risk</v>
      </c>
      <c r="X1025" t="str">
        <f t="shared" si="79"/>
        <v>Fair</v>
      </c>
    </row>
    <row r="1026" spans="1:24" x14ac:dyDescent="0.3">
      <c r="A1026" t="s">
        <v>1094</v>
      </c>
      <c r="B1026" t="s">
        <v>20</v>
      </c>
      <c r="C1026">
        <v>54</v>
      </c>
      <c r="D1026" t="s">
        <v>57</v>
      </c>
      <c r="E1026" t="s">
        <v>22</v>
      </c>
      <c r="F1026" t="s">
        <v>62</v>
      </c>
      <c r="G1026" t="s">
        <v>79</v>
      </c>
      <c r="H1026" t="s">
        <v>34</v>
      </c>
      <c r="I1026" t="s">
        <v>68</v>
      </c>
      <c r="J1026" t="s">
        <v>60</v>
      </c>
      <c r="K1026">
        <v>14</v>
      </c>
      <c r="L1026">
        <v>60752</v>
      </c>
      <c r="M1026" t="s">
        <v>45</v>
      </c>
      <c r="N1026">
        <v>4</v>
      </c>
      <c r="O1026">
        <v>1</v>
      </c>
      <c r="P1026">
        <v>55</v>
      </c>
      <c r="Q1026">
        <v>1</v>
      </c>
      <c r="R1026" s="1">
        <v>40005</v>
      </c>
      <c r="S1026" t="s">
        <v>29</v>
      </c>
      <c r="T1026" t="str">
        <f t="shared" ref="T1026:T1089" si="80">IF(L1026&gt;=80000,"Grade A",IF(L1026&gt;=50000,"Grade B",IF(L1026&gt;=35000,"Grade C","Grade D")))</f>
        <v>Grade B</v>
      </c>
      <c r="U1026">
        <f t="shared" ref="U1026:U1089" si="81">IF(M1026="Excellent",4,IF(M1026="Good",3,IF(M1026="Average",2,1)))</f>
        <v>2</v>
      </c>
      <c r="V1026" t="str">
        <f t="shared" ref="V1026:V1089" si="82">IF(K1026&lt;=2,"New Joiner",IF(K1026&lt;=5,"Junior",IF(K1026&lt;=10,"Mid Level","Senior")))</f>
        <v>Senior</v>
      </c>
      <c r="W1026" t="str">
        <f t="shared" ref="W1026:W1089" si="83">IF(S1026="Yes","Already Left",IF(AND(K1026&lt;=2,M1026="Poor"),"High Risk",IF(AND(K1026&lt;=5,M1026="Average"),"Medium Risk",IF(M1026="Excellent","Low Risk","Medium Risk"))))</f>
        <v>Medium Risk</v>
      </c>
      <c r="X1026" t="str">
        <f t="shared" ref="X1026:X1089" si="84">IF(AND(L1026&gt;=80000,M1026="Excellent"),"Competitive",IF(AND(L1026&gt;=50000,M1026="Good"),"Competitive",IF(AND(L1026&lt;35000,M1026="Excellent"),"Underpaid",IF(AND(L1026&gt;=80000,M1026="Poor"),"Overpaid","Fair"))))</f>
        <v>Fair</v>
      </c>
    </row>
    <row r="1027" spans="1:24" x14ac:dyDescent="0.3">
      <c r="A1027" t="s">
        <v>1095</v>
      </c>
      <c r="B1027" t="s">
        <v>20</v>
      </c>
      <c r="C1027">
        <v>39</v>
      </c>
      <c r="D1027" t="s">
        <v>57</v>
      </c>
      <c r="E1027" t="s">
        <v>22</v>
      </c>
      <c r="F1027" t="s">
        <v>75</v>
      </c>
      <c r="G1027" t="s">
        <v>49</v>
      </c>
      <c r="H1027" t="s">
        <v>76</v>
      </c>
      <c r="I1027" t="s">
        <v>59</v>
      </c>
      <c r="J1027" t="s">
        <v>60</v>
      </c>
      <c r="K1027">
        <v>8</v>
      </c>
      <c r="L1027">
        <v>73670</v>
      </c>
      <c r="M1027" t="s">
        <v>36</v>
      </c>
      <c r="N1027">
        <v>1</v>
      </c>
      <c r="O1027">
        <v>4</v>
      </c>
      <c r="P1027">
        <v>73</v>
      </c>
      <c r="Q1027">
        <v>3</v>
      </c>
      <c r="R1027" s="1">
        <v>42057</v>
      </c>
      <c r="S1027" t="s">
        <v>37</v>
      </c>
      <c r="T1027" t="str">
        <f t="shared" si="80"/>
        <v>Grade B</v>
      </c>
      <c r="U1027">
        <f t="shared" si="81"/>
        <v>1</v>
      </c>
      <c r="V1027" t="str">
        <f t="shared" si="82"/>
        <v>Mid Level</v>
      </c>
      <c r="W1027" t="str">
        <f t="shared" si="83"/>
        <v>Already Left</v>
      </c>
      <c r="X1027" t="str">
        <f t="shared" si="84"/>
        <v>Fair</v>
      </c>
    </row>
    <row r="1028" spans="1:24" x14ac:dyDescent="0.3">
      <c r="A1028" t="s">
        <v>1096</v>
      </c>
      <c r="B1028" t="s">
        <v>39</v>
      </c>
      <c r="C1028">
        <v>53</v>
      </c>
      <c r="D1028" t="s">
        <v>21</v>
      </c>
      <c r="E1028" t="s">
        <v>40</v>
      </c>
      <c r="F1028" t="s">
        <v>53</v>
      </c>
      <c r="G1028" t="s">
        <v>33</v>
      </c>
      <c r="H1028" t="s">
        <v>34</v>
      </c>
      <c r="I1028" t="s">
        <v>43</v>
      </c>
      <c r="J1028" t="s">
        <v>44</v>
      </c>
      <c r="K1028">
        <v>9</v>
      </c>
      <c r="L1028">
        <v>73043</v>
      </c>
      <c r="M1028" t="s">
        <v>36</v>
      </c>
      <c r="N1028">
        <v>3</v>
      </c>
      <c r="O1028">
        <v>1</v>
      </c>
      <c r="P1028">
        <v>61</v>
      </c>
      <c r="Q1028">
        <v>1</v>
      </c>
      <c r="R1028" s="1">
        <v>41743</v>
      </c>
      <c r="S1028" t="s">
        <v>37</v>
      </c>
      <c r="T1028" t="str">
        <f t="shared" si="80"/>
        <v>Grade B</v>
      </c>
      <c r="U1028">
        <f t="shared" si="81"/>
        <v>1</v>
      </c>
      <c r="V1028" t="str">
        <f t="shared" si="82"/>
        <v>Mid Level</v>
      </c>
      <c r="W1028" t="str">
        <f t="shared" si="83"/>
        <v>Already Left</v>
      </c>
      <c r="X1028" t="str">
        <f t="shared" si="84"/>
        <v>Fair</v>
      </c>
    </row>
    <row r="1029" spans="1:24" x14ac:dyDescent="0.3">
      <c r="A1029" t="s">
        <v>1097</v>
      </c>
      <c r="B1029" t="s">
        <v>20</v>
      </c>
      <c r="C1029">
        <v>51</v>
      </c>
      <c r="D1029" t="s">
        <v>88</v>
      </c>
      <c r="E1029" t="s">
        <v>22</v>
      </c>
      <c r="F1029" t="s">
        <v>65</v>
      </c>
      <c r="G1029" t="s">
        <v>58</v>
      </c>
      <c r="H1029" t="s">
        <v>83</v>
      </c>
      <c r="I1029" t="s">
        <v>59</v>
      </c>
      <c r="J1029" t="s">
        <v>60</v>
      </c>
      <c r="K1029">
        <v>15</v>
      </c>
      <c r="L1029">
        <v>116808</v>
      </c>
      <c r="M1029" t="s">
        <v>45</v>
      </c>
      <c r="N1029">
        <v>1</v>
      </c>
      <c r="O1029">
        <v>1</v>
      </c>
      <c r="P1029">
        <v>31</v>
      </c>
      <c r="Q1029">
        <v>2</v>
      </c>
      <c r="R1029" s="1">
        <v>39622</v>
      </c>
      <c r="S1029" t="s">
        <v>29</v>
      </c>
      <c r="T1029" t="str">
        <f t="shared" si="80"/>
        <v>Grade A</v>
      </c>
      <c r="U1029">
        <f t="shared" si="81"/>
        <v>2</v>
      </c>
      <c r="V1029" t="str">
        <f t="shared" si="82"/>
        <v>Senior</v>
      </c>
      <c r="W1029" t="str">
        <f t="shared" si="83"/>
        <v>Medium Risk</v>
      </c>
      <c r="X1029" t="str">
        <f t="shared" si="84"/>
        <v>Fair</v>
      </c>
    </row>
    <row r="1030" spans="1:24" x14ac:dyDescent="0.3">
      <c r="A1030" t="s">
        <v>1098</v>
      </c>
      <c r="B1030" t="s">
        <v>20</v>
      </c>
      <c r="C1030">
        <v>47</v>
      </c>
      <c r="D1030" t="s">
        <v>47</v>
      </c>
      <c r="E1030" t="s">
        <v>22</v>
      </c>
      <c r="F1030" t="s">
        <v>53</v>
      </c>
      <c r="G1030" t="s">
        <v>42</v>
      </c>
      <c r="H1030" t="s">
        <v>25</v>
      </c>
      <c r="I1030" t="s">
        <v>35</v>
      </c>
      <c r="J1030" t="s">
        <v>27</v>
      </c>
      <c r="K1030">
        <v>5</v>
      </c>
      <c r="L1030">
        <v>100981</v>
      </c>
      <c r="M1030" t="s">
        <v>45</v>
      </c>
      <c r="N1030">
        <v>3</v>
      </c>
      <c r="O1030">
        <v>3</v>
      </c>
      <c r="P1030">
        <v>33</v>
      </c>
      <c r="Q1030">
        <v>1</v>
      </c>
      <c r="R1030" s="1">
        <v>43266</v>
      </c>
      <c r="S1030" t="s">
        <v>29</v>
      </c>
      <c r="T1030" t="str">
        <f t="shared" si="80"/>
        <v>Grade A</v>
      </c>
      <c r="U1030">
        <f t="shared" si="81"/>
        <v>2</v>
      </c>
      <c r="V1030" t="str">
        <f t="shared" si="82"/>
        <v>Junior</v>
      </c>
      <c r="W1030" t="str">
        <f t="shared" si="83"/>
        <v>Medium Risk</v>
      </c>
      <c r="X1030" t="str">
        <f t="shared" si="84"/>
        <v>Fair</v>
      </c>
    </row>
    <row r="1031" spans="1:24" x14ac:dyDescent="0.3">
      <c r="A1031" t="s">
        <v>1099</v>
      </c>
      <c r="B1031" t="s">
        <v>20</v>
      </c>
      <c r="C1031">
        <v>47</v>
      </c>
      <c r="D1031" t="s">
        <v>47</v>
      </c>
      <c r="E1031" t="s">
        <v>48</v>
      </c>
      <c r="F1031" t="s">
        <v>62</v>
      </c>
      <c r="G1031" t="s">
        <v>49</v>
      </c>
      <c r="H1031" t="s">
        <v>76</v>
      </c>
      <c r="I1031" t="s">
        <v>68</v>
      </c>
      <c r="J1031" t="s">
        <v>60</v>
      </c>
      <c r="K1031">
        <v>14</v>
      </c>
      <c r="L1031">
        <v>85897</v>
      </c>
      <c r="M1031" t="s">
        <v>28</v>
      </c>
      <c r="N1031">
        <v>1</v>
      </c>
      <c r="O1031">
        <v>3</v>
      </c>
      <c r="P1031">
        <v>33</v>
      </c>
      <c r="Q1031">
        <v>2</v>
      </c>
      <c r="R1031" s="1">
        <v>40130</v>
      </c>
      <c r="S1031" t="s">
        <v>29</v>
      </c>
      <c r="T1031" t="str">
        <f t="shared" si="80"/>
        <v>Grade A</v>
      </c>
      <c r="U1031">
        <f t="shared" si="81"/>
        <v>3</v>
      </c>
      <c r="V1031" t="str">
        <f t="shared" si="82"/>
        <v>Senior</v>
      </c>
      <c r="W1031" t="str">
        <f t="shared" si="83"/>
        <v>Medium Risk</v>
      </c>
      <c r="X1031" t="str">
        <f t="shared" si="84"/>
        <v>Competitive</v>
      </c>
    </row>
    <row r="1032" spans="1:24" x14ac:dyDescent="0.3">
      <c r="A1032" t="s">
        <v>1100</v>
      </c>
      <c r="B1032" t="s">
        <v>39</v>
      </c>
      <c r="C1032">
        <v>43</v>
      </c>
      <c r="D1032" t="s">
        <v>88</v>
      </c>
      <c r="E1032" t="s">
        <v>40</v>
      </c>
      <c r="F1032" t="s">
        <v>53</v>
      </c>
      <c r="G1032" t="s">
        <v>24</v>
      </c>
      <c r="H1032" t="s">
        <v>25</v>
      </c>
      <c r="I1032" t="s">
        <v>96</v>
      </c>
      <c r="J1032" t="s">
        <v>44</v>
      </c>
      <c r="K1032">
        <v>3</v>
      </c>
      <c r="L1032">
        <v>84226</v>
      </c>
      <c r="M1032" t="s">
        <v>36</v>
      </c>
      <c r="N1032">
        <v>3</v>
      </c>
      <c r="O1032">
        <v>1</v>
      </c>
      <c r="P1032">
        <v>38</v>
      </c>
      <c r="Q1032">
        <v>0</v>
      </c>
      <c r="R1032" s="1">
        <v>43842</v>
      </c>
      <c r="S1032" t="s">
        <v>37</v>
      </c>
      <c r="T1032" t="str">
        <f t="shared" si="80"/>
        <v>Grade A</v>
      </c>
      <c r="U1032">
        <f t="shared" si="81"/>
        <v>1</v>
      </c>
      <c r="V1032" t="str">
        <f t="shared" si="82"/>
        <v>Junior</v>
      </c>
      <c r="W1032" t="str">
        <f t="shared" si="83"/>
        <v>Already Left</v>
      </c>
      <c r="X1032" t="str">
        <f t="shared" si="84"/>
        <v>Overpaid</v>
      </c>
    </row>
    <row r="1033" spans="1:24" x14ac:dyDescent="0.3">
      <c r="A1033" t="s">
        <v>1101</v>
      </c>
      <c r="B1033" t="s">
        <v>20</v>
      </c>
      <c r="C1033">
        <v>23</v>
      </c>
      <c r="D1033" t="s">
        <v>88</v>
      </c>
      <c r="E1033" t="s">
        <v>48</v>
      </c>
      <c r="F1033" t="s">
        <v>75</v>
      </c>
      <c r="G1033" t="s">
        <v>33</v>
      </c>
      <c r="H1033" t="s">
        <v>25</v>
      </c>
      <c r="I1033" t="s">
        <v>35</v>
      </c>
      <c r="J1033" t="s">
        <v>27</v>
      </c>
      <c r="K1033">
        <v>1</v>
      </c>
      <c r="L1033">
        <v>69004</v>
      </c>
      <c r="M1033" t="s">
        <v>45</v>
      </c>
      <c r="N1033">
        <v>4</v>
      </c>
      <c r="O1033">
        <v>3</v>
      </c>
      <c r="P1033">
        <v>43</v>
      </c>
      <c r="Q1033">
        <v>1</v>
      </c>
      <c r="R1033" s="1">
        <v>44730</v>
      </c>
      <c r="S1033" t="s">
        <v>29</v>
      </c>
      <c r="T1033" t="str">
        <f t="shared" si="80"/>
        <v>Grade B</v>
      </c>
      <c r="U1033">
        <f t="shared" si="81"/>
        <v>2</v>
      </c>
      <c r="V1033" t="str">
        <f t="shared" si="82"/>
        <v>New Joiner</v>
      </c>
      <c r="W1033" t="str">
        <f t="shared" si="83"/>
        <v>Medium Risk</v>
      </c>
      <c r="X1033" t="str">
        <f t="shared" si="84"/>
        <v>Fair</v>
      </c>
    </row>
    <row r="1034" spans="1:24" x14ac:dyDescent="0.3">
      <c r="A1034" t="s">
        <v>1102</v>
      </c>
      <c r="B1034" t="s">
        <v>20</v>
      </c>
      <c r="C1034">
        <v>32</v>
      </c>
      <c r="D1034" t="s">
        <v>21</v>
      </c>
      <c r="E1034" t="s">
        <v>22</v>
      </c>
      <c r="F1034" t="s">
        <v>32</v>
      </c>
      <c r="G1034" t="s">
        <v>79</v>
      </c>
      <c r="H1034" t="s">
        <v>25</v>
      </c>
      <c r="I1034" t="s">
        <v>50</v>
      </c>
      <c r="J1034" t="s">
        <v>44</v>
      </c>
      <c r="K1034">
        <v>15</v>
      </c>
      <c r="L1034">
        <v>63709</v>
      </c>
      <c r="M1034" t="s">
        <v>51</v>
      </c>
      <c r="N1034">
        <v>3</v>
      </c>
      <c r="O1034">
        <v>2</v>
      </c>
      <c r="P1034">
        <v>44</v>
      </c>
      <c r="Q1034">
        <v>0</v>
      </c>
      <c r="R1034" s="1">
        <v>39511</v>
      </c>
      <c r="S1034" t="s">
        <v>29</v>
      </c>
      <c r="T1034" t="str">
        <f t="shared" si="80"/>
        <v>Grade B</v>
      </c>
      <c r="U1034">
        <f t="shared" si="81"/>
        <v>4</v>
      </c>
      <c r="V1034" t="str">
        <f t="shared" si="82"/>
        <v>Senior</v>
      </c>
      <c r="W1034" t="str">
        <f t="shared" si="83"/>
        <v>Low Risk</v>
      </c>
      <c r="X1034" t="str">
        <f t="shared" si="84"/>
        <v>Fair</v>
      </c>
    </row>
    <row r="1035" spans="1:24" x14ac:dyDescent="0.3">
      <c r="A1035" t="s">
        <v>1103</v>
      </c>
      <c r="B1035" t="s">
        <v>20</v>
      </c>
      <c r="C1035">
        <v>42</v>
      </c>
      <c r="D1035" t="s">
        <v>47</v>
      </c>
      <c r="E1035" t="s">
        <v>22</v>
      </c>
      <c r="F1035" t="s">
        <v>65</v>
      </c>
      <c r="G1035" t="s">
        <v>79</v>
      </c>
      <c r="H1035" t="s">
        <v>67</v>
      </c>
      <c r="I1035" t="s">
        <v>26</v>
      </c>
      <c r="J1035" t="s">
        <v>27</v>
      </c>
      <c r="K1035">
        <v>5</v>
      </c>
      <c r="L1035">
        <v>50657</v>
      </c>
      <c r="M1035" t="s">
        <v>36</v>
      </c>
      <c r="N1035">
        <v>2</v>
      </c>
      <c r="O1035">
        <v>2</v>
      </c>
      <c r="P1035">
        <v>56</v>
      </c>
      <c r="Q1035">
        <v>1</v>
      </c>
      <c r="R1035" s="1">
        <v>43412</v>
      </c>
      <c r="S1035" t="s">
        <v>37</v>
      </c>
      <c r="T1035" t="str">
        <f t="shared" si="80"/>
        <v>Grade B</v>
      </c>
      <c r="U1035">
        <f t="shared" si="81"/>
        <v>1</v>
      </c>
      <c r="V1035" t="str">
        <f t="shared" si="82"/>
        <v>Junior</v>
      </c>
      <c r="W1035" t="str">
        <f t="shared" si="83"/>
        <v>Already Left</v>
      </c>
      <c r="X1035" t="str">
        <f t="shared" si="84"/>
        <v>Fair</v>
      </c>
    </row>
    <row r="1036" spans="1:24" x14ac:dyDescent="0.3">
      <c r="A1036" t="s">
        <v>1104</v>
      </c>
      <c r="B1036" t="s">
        <v>39</v>
      </c>
      <c r="C1036">
        <v>39</v>
      </c>
      <c r="D1036" t="s">
        <v>47</v>
      </c>
      <c r="E1036" t="s">
        <v>40</v>
      </c>
      <c r="F1036" t="s">
        <v>78</v>
      </c>
      <c r="G1036" t="s">
        <v>63</v>
      </c>
      <c r="H1036" t="s">
        <v>34</v>
      </c>
      <c r="I1036" t="s">
        <v>43</v>
      </c>
      <c r="J1036" t="s">
        <v>44</v>
      </c>
      <c r="K1036">
        <v>4</v>
      </c>
      <c r="L1036">
        <v>57658</v>
      </c>
      <c r="M1036" t="s">
        <v>51</v>
      </c>
      <c r="N1036">
        <v>1</v>
      </c>
      <c r="O1036">
        <v>3</v>
      </c>
      <c r="P1036">
        <v>21</v>
      </c>
      <c r="Q1036">
        <v>0</v>
      </c>
      <c r="R1036" s="1">
        <v>43809</v>
      </c>
      <c r="S1036" t="s">
        <v>29</v>
      </c>
      <c r="T1036" t="str">
        <f t="shared" si="80"/>
        <v>Grade B</v>
      </c>
      <c r="U1036">
        <f t="shared" si="81"/>
        <v>4</v>
      </c>
      <c r="V1036" t="str">
        <f t="shared" si="82"/>
        <v>Junior</v>
      </c>
      <c r="W1036" t="str">
        <f t="shared" si="83"/>
        <v>Low Risk</v>
      </c>
      <c r="X1036" t="str">
        <f t="shared" si="84"/>
        <v>Fair</v>
      </c>
    </row>
    <row r="1037" spans="1:24" x14ac:dyDescent="0.3">
      <c r="A1037" t="s">
        <v>1105</v>
      </c>
      <c r="B1037" t="s">
        <v>39</v>
      </c>
      <c r="C1037">
        <v>30</v>
      </c>
      <c r="D1037" t="s">
        <v>57</v>
      </c>
      <c r="E1037" t="s">
        <v>22</v>
      </c>
      <c r="F1037" t="s">
        <v>53</v>
      </c>
      <c r="G1037" t="s">
        <v>79</v>
      </c>
      <c r="H1037" t="s">
        <v>76</v>
      </c>
      <c r="I1037" t="s">
        <v>72</v>
      </c>
      <c r="J1037" t="s">
        <v>73</v>
      </c>
      <c r="K1037">
        <v>10</v>
      </c>
      <c r="L1037">
        <v>69389</v>
      </c>
      <c r="M1037" t="s">
        <v>36</v>
      </c>
      <c r="N1037">
        <v>3</v>
      </c>
      <c r="O1037">
        <v>3</v>
      </c>
      <c r="P1037">
        <v>26</v>
      </c>
      <c r="Q1037">
        <v>1</v>
      </c>
      <c r="R1037" s="1">
        <v>41355</v>
      </c>
      <c r="S1037" t="s">
        <v>37</v>
      </c>
      <c r="T1037" t="str">
        <f t="shared" si="80"/>
        <v>Grade B</v>
      </c>
      <c r="U1037">
        <f t="shared" si="81"/>
        <v>1</v>
      </c>
      <c r="V1037" t="str">
        <f t="shared" si="82"/>
        <v>Mid Level</v>
      </c>
      <c r="W1037" t="str">
        <f t="shared" si="83"/>
        <v>Already Left</v>
      </c>
      <c r="X1037" t="str">
        <f t="shared" si="84"/>
        <v>Fair</v>
      </c>
    </row>
    <row r="1038" spans="1:24" x14ac:dyDescent="0.3">
      <c r="A1038" t="s">
        <v>1106</v>
      </c>
      <c r="B1038" t="s">
        <v>20</v>
      </c>
      <c r="C1038">
        <v>25</v>
      </c>
      <c r="D1038" t="s">
        <v>31</v>
      </c>
      <c r="E1038" t="s">
        <v>40</v>
      </c>
      <c r="F1038" t="s">
        <v>65</v>
      </c>
      <c r="G1038" t="s">
        <v>24</v>
      </c>
      <c r="H1038" t="s">
        <v>76</v>
      </c>
      <c r="I1038" t="s">
        <v>35</v>
      </c>
      <c r="J1038" t="s">
        <v>27</v>
      </c>
      <c r="K1038">
        <v>15</v>
      </c>
      <c r="L1038">
        <v>105842</v>
      </c>
      <c r="M1038" t="s">
        <v>28</v>
      </c>
      <c r="N1038">
        <v>4</v>
      </c>
      <c r="O1038">
        <v>4</v>
      </c>
      <c r="P1038">
        <v>78</v>
      </c>
      <c r="Q1038">
        <v>3</v>
      </c>
      <c r="R1038" s="1">
        <v>39598</v>
      </c>
      <c r="S1038" t="s">
        <v>29</v>
      </c>
      <c r="T1038" t="str">
        <f t="shared" si="80"/>
        <v>Grade A</v>
      </c>
      <c r="U1038">
        <f t="shared" si="81"/>
        <v>3</v>
      </c>
      <c r="V1038" t="str">
        <f t="shared" si="82"/>
        <v>Senior</v>
      </c>
      <c r="W1038" t="str">
        <f t="shared" si="83"/>
        <v>Medium Risk</v>
      </c>
      <c r="X1038" t="str">
        <f t="shared" si="84"/>
        <v>Competitive</v>
      </c>
    </row>
    <row r="1039" spans="1:24" x14ac:dyDescent="0.3">
      <c r="A1039" t="s">
        <v>1107</v>
      </c>
      <c r="B1039" t="s">
        <v>20</v>
      </c>
      <c r="C1039">
        <v>43</v>
      </c>
      <c r="D1039" t="s">
        <v>88</v>
      </c>
      <c r="E1039" t="s">
        <v>48</v>
      </c>
      <c r="F1039" t="s">
        <v>62</v>
      </c>
      <c r="G1039" t="s">
        <v>66</v>
      </c>
      <c r="H1039" t="s">
        <v>67</v>
      </c>
      <c r="I1039" t="s">
        <v>80</v>
      </c>
      <c r="J1039" t="s">
        <v>60</v>
      </c>
      <c r="K1039">
        <v>8</v>
      </c>
      <c r="L1039">
        <v>57718</v>
      </c>
      <c r="M1039" t="s">
        <v>28</v>
      </c>
      <c r="N1039">
        <v>3</v>
      </c>
      <c r="O1039">
        <v>3</v>
      </c>
      <c r="P1039">
        <v>46</v>
      </c>
      <c r="Q1039">
        <v>1</v>
      </c>
      <c r="R1039" s="1">
        <v>42030</v>
      </c>
      <c r="S1039" t="s">
        <v>29</v>
      </c>
      <c r="T1039" t="str">
        <f t="shared" si="80"/>
        <v>Grade B</v>
      </c>
      <c r="U1039">
        <f t="shared" si="81"/>
        <v>3</v>
      </c>
      <c r="V1039" t="str">
        <f t="shared" si="82"/>
        <v>Mid Level</v>
      </c>
      <c r="W1039" t="str">
        <f t="shared" si="83"/>
        <v>Medium Risk</v>
      </c>
      <c r="X1039" t="str">
        <f t="shared" si="84"/>
        <v>Competitive</v>
      </c>
    </row>
    <row r="1040" spans="1:24" x14ac:dyDescent="0.3">
      <c r="A1040" t="s">
        <v>1108</v>
      </c>
      <c r="B1040" t="s">
        <v>39</v>
      </c>
      <c r="C1040">
        <v>24</v>
      </c>
      <c r="D1040" t="s">
        <v>21</v>
      </c>
      <c r="E1040" t="s">
        <v>22</v>
      </c>
      <c r="F1040" t="s">
        <v>53</v>
      </c>
      <c r="G1040" t="s">
        <v>63</v>
      </c>
      <c r="H1040" t="s">
        <v>25</v>
      </c>
      <c r="I1040" t="s">
        <v>35</v>
      </c>
      <c r="J1040" t="s">
        <v>27</v>
      </c>
      <c r="K1040">
        <v>2</v>
      </c>
      <c r="L1040">
        <v>49888</v>
      </c>
      <c r="M1040" t="s">
        <v>51</v>
      </c>
      <c r="N1040">
        <v>3</v>
      </c>
      <c r="O1040">
        <v>3</v>
      </c>
      <c r="P1040">
        <v>39</v>
      </c>
      <c r="Q1040">
        <v>1</v>
      </c>
      <c r="R1040" s="1">
        <v>44493</v>
      </c>
      <c r="S1040" t="s">
        <v>37</v>
      </c>
      <c r="T1040" t="str">
        <f t="shared" si="80"/>
        <v>Grade C</v>
      </c>
      <c r="U1040">
        <f t="shared" si="81"/>
        <v>4</v>
      </c>
      <c r="V1040" t="str">
        <f t="shared" si="82"/>
        <v>New Joiner</v>
      </c>
      <c r="W1040" t="str">
        <f t="shared" si="83"/>
        <v>Already Left</v>
      </c>
      <c r="X1040" t="str">
        <f t="shared" si="84"/>
        <v>Fair</v>
      </c>
    </row>
    <row r="1041" spans="1:24" x14ac:dyDescent="0.3">
      <c r="A1041" t="s">
        <v>1109</v>
      </c>
      <c r="B1041" t="s">
        <v>39</v>
      </c>
      <c r="C1041">
        <v>42</v>
      </c>
      <c r="D1041" t="s">
        <v>31</v>
      </c>
      <c r="E1041" t="s">
        <v>48</v>
      </c>
      <c r="F1041" t="s">
        <v>32</v>
      </c>
      <c r="G1041" t="s">
        <v>66</v>
      </c>
      <c r="H1041" t="s">
        <v>67</v>
      </c>
      <c r="I1041" t="s">
        <v>26</v>
      </c>
      <c r="J1041" t="s">
        <v>27</v>
      </c>
      <c r="K1041">
        <v>13</v>
      </c>
      <c r="L1041">
        <v>61399</v>
      </c>
      <c r="M1041" t="s">
        <v>51</v>
      </c>
      <c r="N1041">
        <v>1</v>
      </c>
      <c r="O1041">
        <v>2</v>
      </c>
      <c r="P1041">
        <v>64</v>
      </c>
      <c r="Q1041">
        <v>1</v>
      </c>
      <c r="R1041" s="1">
        <v>40441</v>
      </c>
      <c r="S1041" t="s">
        <v>37</v>
      </c>
      <c r="T1041" t="str">
        <f t="shared" si="80"/>
        <v>Grade B</v>
      </c>
      <c r="U1041">
        <f t="shared" si="81"/>
        <v>4</v>
      </c>
      <c r="V1041" t="str">
        <f t="shared" si="82"/>
        <v>Senior</v>
      </c>
      <c r="W1041" t="str">
        <f t="shared" si="83"/>
        <v>Already Left</v>
      </c>
      <c r="X1041" t="str">
        <f t="shared" si="84"/>
        <v>Fair</v>
      </c>
    </row>
    <row r="1042" spans="1:24" x14ac:dyDescent="0.3">
      <c r="A1042" t="s">
        <v>1110</v>
      </c>
      <c r="B1042" t="s">
        <v>20</v>
      </c>
      <c r="C1042">
        <v>31</v>
      </c>
      <c r="D1042" t="s">
        <v>57</v>
      </c>
      <c r="E1042" t="s">
        <v>40</v>
      </c>
      <c r="F1042" t="s">
        <v>62</v>
      </c>
      <c r="G1042" t="s">
        <v>63</v>
      </c>
      <c r="H1042" t="s">
        <v>25</v>
      </c>
      <c r="I1042" t="s">
        <v>26</v>
      </c>
      <c r="J1042" t="s">
        <v>27</v>
      </c>
      <c r="K1042">
        <v>14</v>
      </c>
      <c r="L1042">
        <v>75642</v>
      </c>
      <c r="M1042" t="s">
        <v>45</v>
      </c>
      <c r="N1042">
        <v>2</v>
      </c>
      <c r="O1042">
        <v>4</v>
      </c>
      <c r="P1042">
        <v>67</v>
      </c>
      <c r="Q1042">
        <v>3</v>
      </c>
      <c r="R1042" s="1">
        <v>39865</v>
      </c>
      <c r="S1042" t="s">
        <v>29</v>
      </c>
      <c r="T1042" t="str">
        <f t="shared" si="80"/>
        <v>Grade B</v>
      </c>
      <c r="U1042">
        <f t="shared" si="81"/>
        <v>2</v>
      </c>
      <c r="V1042" t="str">
        <f t="shared" si="82"/>
        <v>Senior</v>
      </c>
      <c r="W1042" t="str">
        <f t="shared" si="83"/>
        <v>Medium Risk</v>
      </c>
      <c r="X1042" t="str">
        <f t="shared" si="84"/>
        <v>Fair</v>
      </c>
    </row>
    <row r="1043" spans="1:24" x14ac:dyDescent="0.3">
      <c r="A1043" t="s">
        <v>1111</v>
      </c>
      <c r="B1043" t="s">
        <v>20</v>
      </c>
      <c r="C1043">
        <v>35</v>
      </c>
      <c r="D1043" t="s">
        <v>21</v>
      </c>
      <c r="E1043" t="s">
        <v>40</v>
      </c>
      <c r="F1043" t="s">
        <v>75</v>
      </c>
      <c r="G1043" t="s">
        <v>66</v>
      </c>
      <c r="H1043" t="s">
        <v>67</v>
      </c>
      <c r="I1043" t="s">
        <v>80</v>
      </c>
      <c r="J1043" t="s">
        <v>60</v>
      </c>
      <c r="K1043">
        <v>3</v>
      </c>
      <c r="L1043">
        <v>47885</v>
      </c>
      <c r="M1043" t="s">
        <v>51</v>
      </c>
      <c r="N1043">
        <v>2</v>
      </c>
      <c r="O1043">
        <v>2</v>
      </c>
      <c r="P1043">
        <v>79</v>
      </c>
      <c r="Q1043">
        <v>0</v>
      </c>
      <c r="R1043" s="1">
        <v>44009</v>
      </c>
      <c r="S1043" t="s">
        <v>29</v>
      </c>
      <c r="T1043" t="str">
        <f t="shared" si="80"/>
        <v>Grade C</v>
      </c>
      <c r="U1043">
        <f t="shared" si="81"/>
        <v>4</v>
      </c>
      <c r="V1043" t="str">
        <f t="shared" si="82"/>
        <v>Junior</v>
      </c>
      <c r="W1043" t="str">
        <f t="shared" si="83"/>
        <v>Low Risk</v>
      </c>
      <c r="X1043" t="str">
        <f t="shared" si="84"/>
        <v>Fair</v>
      </c>
    </row>
    <row r="1044" spans="1:24" x14ac:dyDescent="0.3">
      <c r="A1044" t="s">
        <v>1112</v>
      </c>
      <c r="B1044" t="s">
        <v>39</v>
      </c>
      <c r="C1044">
        <v>25</v>
      </c>
      <c r="D1044" t="s">
        <v>57</v>
      </c>
      <c r="E1044" t="s">
        <v>40</v>
      </c>
      <c r="F1044" t="s">
        <v>32</v>
      </c>
      <c r="G1044" t="s">
        <v>24</v>
      </c>
      <c r="H1044" t="s">
        <v>83</v>
      </c>
      <c r="I1044" t="s">
        <v>68</v>
      </c>
      <c r="J1044" t="s">
        <v>60</v>
      </c>
      <c r="K1044">
        <v>4</v>
      </c>
      <c r="L1044">
        <v>73232</v>
      </c>
      <c r="M1044" t="s">
        <v>28</v>
      </c>
      <c r="N1044">
        <v>1</v>
      </c>
      <c r="O1044">
        <v>1</v>
      </c>
      <c r="P1044">
        <v>76</v>
      </c>
      <c r="Q1044">
        <v>1</v>
      </c>
      <c r="R1044" s="1">
        <v>43513</v>
      </c>
      <c r="S1044" t="s">
        <v>29</v>
      </c>
      <c r="T1044" t="str">
        <f t="shared" si="80"/>
        <v>Grade B</v>
      </c>
      <c r="U1044">
        <f t="shared" si="81"/>
        <v>3</v>
      </c>
      <c r="V1044" t="str">
        <f t="shared" si="82"/>
        <v>Junior</v>
      </c>
      <c r="W1044" t="str">
        <f t="shared" si="83"/>
        <v>Medium Risk</v>
      </c>
      <c r="X1044" t="str">
        <f t="shared" si="84"/>
        <v>Competitive</v>
      </c>
    </row>
    <row r="1045" spans="1:24" x14ac:dyDescent="0.3">
      <c r="A1045" t="s">
        <v>1113</v>
      </c>
      <c r="B1045" t="s">
        <v>39</v>
      </c>
      <c r="C1045">
        <v>52</v>
      </c>
      <c r="D1045" t="s">
        <v>57</v>
      </c>
      <c r="E1045" t="s">
        <v>40</v>
      </c>
      <c r="F1045" t="s">
        <v>62</v>
      </c>
      <c r="G1045" t="s">
        <v>33</v>
      </c>
      <c r="H1045" t="s">
        <v>76</v>
      </c>
      <c r="I1045" t="s">
        <v>43</v>
      </c>
      <c r="J1045" t="s">
        <v>44</v>
      </c>
      <c r="K1045">
        <v>4</v>
      </c>
      <c r="L1045">
        <v>69305</v>
      </c>
      <c r="M1045" t="s">
        <v>28</v>
      </c>
      <c r="N1045">
        <v>1</v>
      </c>
      <c r="O1045">
        <v>4</v>
      </c>
      <c r="P1045">
        <v>32</v>
      </c>
      <c r="Q1045">
        <v>1</v>
      </c>
      <c r="R1045" s="1">
        <v>43560</v>
      </c>
      <c r="S1045" t="s">
        <v>37</v>
      </c>
      <c r="T1045" t="str">
        <f t="shared" si="80"/>
        <v>Grade B</v>
      </c>
      <c r="U1045">
        <f t="shared" si="81"/>
        <v>3</v>
      </c>
      <c r="V1045" t="str">
        <f t="shared" si="82"/>
        <v>Junior</v>
      </c>
      <c r="W1045" t="str">
        <f t="shared" si="83"/>
        <v>Already Left</v>
      </c>
      <c r="X1045" t="str">
        <f t="shared" si="84"/>
        <v>Competitive</v>
      </c>
    </row>
    <row r="1046" spans="1:24" x14ac:dyDescent="0.3">
      <c r="A1046" t="s">
        <v>1114</v>
      </c>
      <c r="B1046" t="s">
        <v>39</v>
      </c>
      <c r="C1046">
        <v>46</v>
      </c>
      <c r="D1046" t="s">
        <v>47</v>
      </c>
      <c r="E1046" t="s">
        <v>40</v>
      </c>
      <c r="F1046" t="s">
        <v>78</v>
      </c>
      <c r="G1046" t="s">
        <v>66</v>
      </c>
      <c r="H1046" t="s">
        <v>76</v>
      </c>
      <c r="I1046" t="s">
        <v>72</v>
      </c>
      <c r="J1046" t="s">
        <v>73</v>
      </c>
      <c r="K1046">
        <v>5</v>
      </c>
      <c r="L1046">
        <v>53416</v>
      </c>
      <c r="M1046" t="s">
        <v>45</v>
      </c>
      <c r="N1046">
        <v>1</v>
      </c>
      <c r="O1046">
        <v>3</v>
      </c>
      <c r="P1046">
        <v>28</v>
      </c>
      <c r="Q1046">
        <v>0</v>
      </c>
      <c r="R1046" s="1">
        <v>43220</v>
      </c>
      <c r="S1046" t="s">
        <v>29</v>
      </c>
      <c r="T1046" t="str">
        <f t="shared" si="80"/>
        <v>Grade B</v>
      </c>
      <c r="U1046">
        <f t="shared" si="81"/>
        <v>2</v>
      </c>
      <c r="V1046" t="str">
        <f t="shared" si="82"/>
        <v>Junior</v>
      </c>
      <c r="W1046" t="str">
        <f t="shared" si="83"/>
        <v>Medium Risk</v>
      </c>
      <c r="X1046" t="str">
        <f t="shared" si="84"/>
        <v>Fair</v>
      </c>
    </row>
    <row r="1047" spans="1:24" x14ac:dyDescent="0.3">
      <c r="A1047" t="s">
        <v>1115</v>
      </c>
      <c r="B1047" t="s">
        <v>39</v>
      </c>
      <c r="C1047">
        <v>50</v>
      </c>
      <c r="D1047" t="s">
        <v>21</v>
      </c>
      <c r="E1047" t="s">
        <v>40</v>
      </c>
      <c r="F1047" t="s">
        <v>78</v>
      </c>
      <c r="G1047" t="s">
        <v>79</v>
      </c>
      <c r="H1047" t="s">
        <v>76</v>
      </c>
      <c r="I1047" t="s">
        <v>35</v>
      </c>
      <c r="J1047" t="s">
        <v>27</v>
      </c>
      <c r="K1047">
        <v>12</v>
      </c>
      <c r="L1047">
        <v>66861</v>
      </c>
      <c r="M1047" t="s">
        <v>28</v>
      </c>
      <c r="N1047">
        <v>4</v>
      </c>
      <c r="O1047">
        <v>2</v>
      </c>
      <c r="P1047">
        <v>18</v>
      </c>
      <c r="Q1047">
        <v>3</v>
      </c>
      <c r="R1047" s="1">
        <v>40631</v>
      </c>
      <c r="S1047" t="s">
        <v>37</v>
      </c>
      <c r="T1047" t="str">
        <f t="shared" si="80"/>
        <v>Grade B</v>
      </c>
      <c r="U1047">
        <f t="shared" si="81"/>
        <v>3</v>
      </c>
      <c r="V1047" t="str">
        <f t="shared" si="82"/>
        <v>Senior</v>
      </c>
      <c r="W1047" t="str">
        <f t="shared" si="83"/>
        <v>Already Left</v>
      </c>
      <c r="X1047" t="str">
        <f t="shared" si="84"/>
        <v>Competitive</v>
      </c>
    </row>
    <row r="1048" spans="1:24" x14ac:dyDescent="0.3">
      <c r="A1048" t="s">
        <v>1116</v>
      </c>
      <c r="B1048" t="s">
        <v>39</v>
      </c>
      <c r="C1048">
        <v>31</v>
      </c>
      <c r="D1048" t="s">
        <v>88</v>
      </c>
      <c r="E1048" t="s">
        <v>40</v>
      </c>
      <c r="F1048" t="s">
        <v>32</v>
      </c>
      <c r="G1048" t="s">
        <v>24</v>
      </c>
      <c r="H1048" t="s">
        <v>76</v>
      </c>
      <c r="I1048" t="s">
        <v>59</v>
      </c>
      <c r="J1048" t="s">
        <v>60</v>
      </c>
      <c r="K1048">
        <v>15</v>
      </c>
      <c r="L1048">
        <v>95959</v>
      </c>
      <c r="M1048" t="s">
        <v>28</v>
      </c>
      <c r="N1048">
        <v>2</v>
      </c>
      <c r="O1048">
        <v>4</v>
      </c>
      <c r="P1048">
        <v>31</v>
      </c>
      <c r="Q1048">
        <v>0</v>
      </c>
      <c r="R1048" s="1">
        <v>39724</v>
      </c>
      <c r="S1048" t="s">
        <v>29</v>
      </c>
      <c r="T1048" t="str">
        <f t="shared" si="80"/>
        <v>Grade A</v>
      </c>
      <c r="U1048">
        <f t="shared" si="81"/>
        <v>3</v>
      </c>
      <c r="V1048" t="str">
        <f t="shared" si="82"/>
        <v>Senior</v>
      </c>
      <c r="W1048" t="str">
        <f t="shared" si="83"/>
        <v>Medium Risk</v>
      </c>
      <c r="X1048" t="str">
        <f t="shared" si="84"/>
        <v>Competitive</v>
      </c>
    </row>
    <row r="1049" spans="1:24" x14ac:dyDescent="0.3">
      <c r="A1049" t="s">
        <v>1117</v>
      </c>
      <c r="B1049" t="s">
        <v>39</v>
      </c>
      <c r="C1049">
        <v>37</v>
      </c>
      <c r="D1049" t="s">
        <v>47</v>
      </c>
      <c r="E1049" t="s">
        <v>48</v>
      </c>
      <c r="F1049" t="s">
        <v>65</v>
      </c>
      <c r="G1049" t="s">
        <v>42</v>
      </c>
      <c r="H1049" t="s">
        <v>34</v>
      </c>
      <c r="I1049" t="s">
        <v>43</v>
      </c>
      <c r="J1049" t="s">
        <v>44</v>
      </c>
      <c r="K1049">
        <v>11</v>
      </c>
      <c r="L1049">
        <v>114742</v>
      </c>
      <c r="M1049" t="s">
        <v>51</v>
      </c>
      <c r="N1049">
        <v>3</v>
      </c>
      <c r="O1049">
        <v>2</v>
      </c>
      <c r="P1049">
        <v>79</v>
      </c>
      <c r="Q1049">
        <v>1</v>
      </c>
      <c r="R1049" s="1">
        <v>40996</v>
      </c>
      <c r="S1049" t="s">
        <v>29</v>
      </c>
      <c r="T1049" t="str">
        <f t="shared" si="80"/>
        <v>Grade A</v>
      </c>
      <c r="U1049">
        <f t="shared" si="81"/>
        <v>4</v>
      </c>
      <c r="V1049" t="str">
        <f t="shared" si="82"/>
        <v>Senior</v>
      </c>
      <c r="W1049" t="str">
        <f t="shared" si="83"/>
        <v>Low Risk</v>
      </c>
      <c r="X1049" t="str">
        <f t="shared" si="84"/>
        <v>Competitive</v>
      </c>
    </row>
    <row r="1050" spans="1:24" x14ac:dyDescent="0.3">
      <c r="A1050" t="s">
        <v>1118</v>
      </c>
      <c r="B1050" t="s">
        <v>20</v>
      </c>
      <c r="C1050">
        <v>40</v>
      </c>
      <c r="D1050" t="s">
        <v>47</v>
      </c>
      <c r="E1050" t="s">
        <v>22</v>
      </c>
      <c r="F1050" t="s">
        <v>62</v>
      </c>
      <c r="G1050" t="s">
        <v>33</v>
      </c>
      <c r="H1050" t="s">
        <v>25</v>
      </c>
      <c r="I1050" t="s">
        <v>72</v>
      </c>
      <c r="J1050" t="s">
        <v>73</v>
      </c>
      <c r="K1050">
        <v>2</v>
      </c>
      <c r="L1050">
        <v>69172</v>
      </c>
      <c r="M1050" t="s">
        <v>36</v>
      </c>
      <c r="N1050">
        <v>3</v>
      </c>
      <c r="O1050">
        <v>3</v>
      </c>
      <c r="P1050">
        <v>42</v>
      </c>
      <c r="Q1050">
        <v>3</v>
      </c>
      <c r="R1050" s="1">
        <v>44480</v>
      </c>
      <c r="S1050" t="s">
        <v>37</v>
      </c>
      <c r="T1050" t="str">
        <f t="shared" si="80"/>
        <v>Grade B</v>
      </c>
      <c r="U1050">
        <f t="shared" si="81"/>
        <v>1</v>
      </c>
      <c r="V1050" t="str">
        <f t="shared" si="82"/>
        <v>New Joiner</v>
      </c>
      <c r="W1050" t="str">
        <f t="shared" si="83"/>
        <v>Already Left</v>
      </c>
      <c r="X1050" t="str">
        <f t="shared" si="84"/>
        <v>Fair</v>
      </c>
    </row>
    <row r="1051" spans="1:24" x14ac:dyDescent="0.3">
      <c r="A1051" t="s">
        <v>1119</v>
      </c>
      <c r="B1051" t="s">
        <v>20</v>
      </c>
      <c r="C1051">
        <v>26</v>
      </c>
      <c r="D1051" t="s">
        <v>47</v>
      </c>
      <c r="E1051" t="s">
        <v>22</v>
      </c>
      <c r="F1051" t="s">
        <v>41</v>
      </c>
      <c r="G1051" t="s">
        <v>33</v>
      </c>
      <c r="H1051" t="s">
        <v>67</v>
      </c>
      <c r="I1051" t="s">
        <v>54</v>
      </c>
      <c r="J1051" t="s">
        <v>27</v>
      </c>
      <c r="K1051">
        <v>10</v>
      </c>
      <c r="L1051">
        <v>70088</v>
      </c>
      <c r="M1051" t="s">
        <v>36</v>
      </c>
      <c r="N1051">
        <v>3</v>
      </c>
      <c r="O1051">
        <v>2</v>
      </c>
      <c r="P1051">
        <v>69</v>
      </c>
      <c r="Q1051">
        <v>3</v>
      </c>
      <c r="R1051" s="1">
        <v>41553</v>
      </c>
      <c r="S1051" t="s">
        <v>29</v>
      </c>
      <c r="T1051" t="str">
        <f t="shared" si="80"/>
        <v>Grade B</v>
      </c>
      <c r="U1051">
        <f t="shared" si="81"/>
        <v>1</v>
      </c>
      <c r="V1051" t="str">
        <f t="shared" si="82"/>
        <v>Mid Level</v>
      </c>
      <c r="W1051" t="str">
        <f t="shared" si="83"/>
        <v>Medium Risk</v>
      </c>
      <c r="X1051" t="str">
        <f t="shared" si="84"/>
        <v>Fair</v>
      </c>
    </row>
    <row r="1052" spans="1:24" x14ac:dyDescent="0.3">
      <c r="A1052" t="s">
        <v>1120</v>
      </c>
      <c r="B1052" t="s">
        <v>39</v>
      </c>
      <c r="C1052">
        <v>30</v>
      </c>
      <c r="D1052" t="s">
        <v>31</v>
      </c>
      <c r="E1052" t="s">
        <v>48</v>
      </c>
      <c r="F1052" t="s">
        <v>32</v>
      </c>
      <c r="G1052" t="s">
        <v>49</v>
      </c>
      <c r="H1052" t="s">
        <v>76</v>
      </c>
      <c r="I1052" t="s">
        <v>26</v>
      </c>
      <c r="J1052" t="s">
        <v>27</v>
      </c>
      <c r="K1052">
        <v>3</v>
      </c>
      <c r="L1052">
        <v>50281</v>
      </c>
      <c r="M1052" t="s">
        <v>45</v>
      </c>
      <c r="N1052">
        <v>1</v>
      </c>
      <c r="O1052">
        <v>2</v>
      </c>
      <c r="P1052">
        <v>32</v>
      </c>
      <c r="Q1052">
        <v>0</v>
      </c>
      <c r="R1052" s="1">
        <v>44183</v>
      </c>
      <c r="S1052" t="s">
        <v>29</v>
      </c>
      <c r="T1052" t="str">
        <f t="shared" si="80"/>
        <v>Grade B</v>
      </c>
      <c r="U1052">
        <f t="shared" si="81"/>
        <v>2</v>
      </c>
      <c r="V1052" t="str">
        <f t="shared" si="82"/>
        <v>Junior</v>
      </c>
      <c r="W1052" t="str">
        <f t="shared" si="83"/>
        <v>Medium Risk</v>
      </c>
      <c r="X1052" t="str">
        <f t="shared" si="84"/>
        <v>Fair</v>
      </c>
    </row>
    <row r="1053" spans="1:24" x14ac:dyDescent="0.3">
      <c r="A1053" t="s">
        <v>1121</v>
      </c>
      <c r="B1053" t="s">
        <v>20</v>
      </c>
      <c r="C1053">
        <v>44</v>
      </c>
      <c r="D1053" t="s">
        <v>47</v>
      </c>
      <c r="E1053" t="s">
        <v>40</v>
      </c>
      <c r="F1053" t="s">
        <v>62</v>
      </c>
      <c r="G1053" t="s">
        <v>33</v>
      </c>
      <c r="H1053" t="s">
        <v>34</v>
      </c>
      <c r="I1053" t="s">
        <v>50</v>
      </c>
      <c r="J1053" t="s">
        <v>44</v>
      </c>
      <c r="K1053">
        <v>10</v>
      </c>
      <c r="L1053">
        <v>86994</v>
      </c>
      <c r="M1053" t="s">
        <v>36</v>
      </c>
      <c r="N1053">
        <v>3</v>
      </c>
      <c r="O1053">
        <v>3</v>
      </c>
      <c r="P1053">
        <v>33</v>
      </c>
      <c r="Q1053">
        <v>1</v>
      </c>
      <c r="R1053" s="1">
        <v>41351</v>
      </c>
      <c r="S1053" t="s">
        <v>29</v>
      </c>
      <c r="T1053" t="str">
        <f t="shared" si="80"/>
        <v>Grade A</v>
      </c>
      <c r="U1053">
        <f t="shared" si="81"/>
        <v>1</v>
      </c>
      <c r="V1053" t="str">
        <f t="shared" si="82"/>
        <v>Mid Level</v>
      </c>
      <c r="W1053" t="str">
        <f t="shared" si="83"/>
        <v>Medium Risk</v>
      </c>
      <c r="X1053" t="str">
        <f t="shared" si="84"/>
        <v>Overpaid</v>
      </c>
    </row>
    <row r="1054" spans="1:24" x14ac:dyDescent="0.3">
      <c r="A1054" t="s">
        <v>1122</v>
      </c>
      <c r="B1054" t="s">
        <v>20</v>
      </c>
      <c r="C1054">
        <v>27</v>
      </c>
      <c r="D1054" t="s">
        <v>88</v>
      </c>
      <c r="E1054" t="s">
        <v>40</v>
      </c>
      <c r="F1054" t="s">
        <v>75</v>
      </c>
      <c r="G1054" t="s">
        <v>58</v>
      </c>
      <c r="H1054" t="s">
        <v>83</v>
      </c>
      <c r="I1054" t="s">
        <v>35</v>
      </c>
      <c r="J1054" t="s">
        <v>27</v>
      </c>
      <c r="K1054">
        <v>4</v>
      </c>
      <c r="L1054">
        <v>92113</v>
      </c>
      <c r="M1054" t="s">
        <v>51</v>
      </c>
      <c r="N1054">
        <v>3</v>
      </c>
      <c r="O1054">
        <v>1</v>
      </c>
      <c r="P1054">
        <v>68</v>
      </c>
      <c r="Q1054">
        <v>0</v>
      </c>
      <c r="R1054" s="1">
        <v>43712</v>
      </c>
      <c r="S1054" t="s">
        <v>29</v>
      </c>
      <c r="T1054" t="str">
        <f t="shared" si="80"/>
        <v>Grade A</v>
      </c>
      <c r="U1054">
        <f t="shared" si="81"/>
        <v>4</v>
      </c>
      <c r="V1054" t="str">
        <f t="shared" si="82"/>
        <v>Junior</v>
      </c>
      <c r="W1054" t="str">
        <f t="shared" si="83"/>
        <v>Low Risk</v>
      </c>
      <c r="X1054" t="str">
        <f t="shared" si="84"/>
        <v>Competitive</v>
      </c>
    </row>
    <row r="1055" spans="1:24" x14ac:dyDescent="0.3">
      <c r="A1055" t="s">
        <v>1123</v>
      </c>
      <c r="B1055" t="s">
        <v>20</v>
      </c>
      <c r="C1055">
        <v>23</v>
      </c>
      <c r="D1055" t="s">
        <v>21</v>
      </c>
      <c r="E1055" t="s">
        <v>48</v>
      </c>
      <c r="F1055" t="s">
        <v>53</v>
      </c>
      <c r="G1055" t="s">
        <v>24</v>
      </c>
      <c r="H1055" t="s">
        <v>67</v>
      </c>
      <c r="I1055" t="s">
        <v>72</v>
      </c>
      <c r="J1055" t="s">
        <v>73</v>
      </c>
      <c r="K1055">
        <v>1</v>
      </c>
      <c r="L1055">
        <v>85913</v>
      </c>
      <c r="M1055" t="s">
        <v>51</v>
      </c>
      <c r="N1055">
        <v>2</v>
      </c>
      <c r="O1055">
        <v>4</v>
      </c>
      <c r="P1055">
        <v>45</v>
      </c>
      <c r="Q1055">
        <v>1</v>
      </c>
      <c r="R1055" s="1">
        <v>44627</v>
      </c>
      <c r="S1055" t="s">
        <v>29</v>
      </c>
      <c r="T1055" t="str">
        <f t="shared" si="80"/>
        <v>Grade A</v>
      </c>
      <c r="U1055">
        <f t="shared" si="81"/>
        <v>4</v>
      </c>
      <c r="V1055" t="str">
        <f t="shared" si="82"/>
        <v>New Joiner</v>
      </c>
      <c r="W1055" t="str">
        <f t="shared" si="83"/>
        <v>Low Risk</v>
      </c>
      <c r="X1055" t="str">
        <f t="shared" si="84"/>
        <v>Competitive</v>
      </c>
    </row>
    <row r="1056" spans="1:24" x14ac:dyDescent="0.3">
      <c r="A1056" t="s">
        <v>1124</v>
      </c>
      <c r="B1056" t="s">
        <v>39</v>
      </c>
      <c r="C1056">
        <v>31</v>
      </c>
      <c r="D1056" t="s">
        <v>57</v>
      </c>
      <c r="E1056" t="s">
        <v>22</v>
      </c>
      <c r="F1056" t="s">
        <v>32</v>
      </c>
      <c r="G1056" t="s">
        <v>79</v>
      </c>
      <c r="H1056" t="s">
        <v>83</v>
      </c>
      <c r="I1056" t="s">
        <v>50</v>
      </c>
      <c r="J1056" t="s">
        <v>44</v>
      </c>
      <c r="K1056">
        <v>8</v>
      </c>
      <c r="L1056">
        <v>52894</v>
      </c>
      <c r="M1056" t="s">
        <v>36</v>
      </c>
      <c r="N1056">
        <v>2</v>
      </c>
      <c r="O1056">
        <v>2</v>
      </c>
      <c r="P1056">
        <v>24</v>
      </c>
      <c r="Q1056">
        <v>1</v>
      </c>
      <c r="R1056" s="1">
        <v>42325</v>
      </c>
      <c r="S1056" t="s">
        <v>37</v>
      </c>
      <c r="T1056" t="str">
        <f t="shared" si="80"/>
        <v>Grade B</v>
      </c>
      <c r="U1056">
        <f t="shared" si="81"/>
        <v>1</v>
      </c>
      <c r="V1056" t="str">
        <f t="shared" si="82"/>
        <v>Mid Level</v>
      </c>
      <c r="W1056" t="str">
        <f t="shared" si="83"/>
        <v>Already Left</v>
      </c>
      <c r="X1056" t="str">
        <f t="shared" si="84"/>
        <v>Fair</v>
      </c>
    </row>
    <row r="1057" spans="1:24" x14ac:dyDescent="0.3">
      <c r="A1057" t="s">
        <v>1125</v>
      </c>
      <c r="B1057" t="s">
        <v>39</v>
      </c>
      <c r="C1057">
        <v>29</v>
      </c>
      <c r="D1057" t="s">
        <v>21</v>
      </c>
      <c r="E1057" t="s">
        <v>48</v>
      </c>
      <c r="F1057" t="s">
        <v>41</v>
      </c>
      <c r="G1057" t="s">
        <v>24</v>
      </c>
      <c r="H1057" t="s">
        <v>76</v>
      </c>
      <c r="I1057" t="s">
        <v>68</v>
      </c>
      <c r="J1057" t="s">
        <v>60</v>
      </c>
      <c r="K1057">
        <v>8</v>
      </c>
      <c r="L1057">
        <v>82753</v>
      </c>
      <c r="M1057" t="s">
        <v>36</v>
      </c>
      <c r="N1057">
        <v>4</v>
      </c>
      <c r="O1057">
        <v>1</v>
      </c>
      <c r="P1057">
        <v>26</v>
      </c>
      <c r="Q1057">
        <v>1</v>
      </c>
      <c r="R1057" s="1">
        <v>42028</v>
      </c>
      <c r="S1057" t="s">
        <v>29</v>
      </c>
      <c r="T1057" t="str">
        <f t="shared" si="80"/>
        <v>Grade A</v>
      </c>
      <c r="U1057">
        <f t="shared" si="81"/>
        <v>1</v>
      </c>
      <c r="V1057" t="str">
        <f t="shared" si="82"/>
        <v>Mid Level</v>
      </c>
      <c r="W1057" t="str">
        <f t="shared" si="83"/>
        <v>Medium Risk</v>
      </c>
      <c r="X1057" t="str">
        <f t="shared" si="84"/>
        <v>Overpaid</v>
      </c>
    </row>
    <row r="1058" spans="1:24" x14ac:dyDescent="0.3">
      <c r="A1058" t="s">
        <v>1126</v>
      </c>
      <c r="B1058" t="s">
        <v>39</v>
      </c>
      <c r="C1058">
        <v>34</v>
      </c>
      <c r="D1058" t="s">
        <v>88</v>
      </c>
      <c r="E1058" t="s">
        <v>40</v>
      </c>
      <c r="F1058" t="s">
        <v>41</v>
      </c>
      <c r="G1058" t="s">
        <v>24</v>
      </c>
      <c r="H1058" t="s">
        <v>34</v>
      </c>
      <c r="I1058" t="s">
        <v>50</v>
      </c>
      <c r="J1058" t="s">
        <v>44</v>
      </c>
      <c r="K1058">
        <v>8</v>
      </c>
      <c r="L1058">
        <v>92237</v>
      </c>
      <c r="M1058" t="s">
        <v>51</v>
      </c>
      <c r="N1058">
        <v>2</v>
      </c>
      <c r="O1058">
        <v>1</v>
      </c>
      <c r="P1058">
        <v>47</v>
      </c>
      <c r="Q1058">
        <v>1</v>
      </c>
      <c r="R1058" s="1">
        <v>42148</v>
      </c>
      <c r="S1058" t="s">
        <v>29</v>
      </c>
      <c r="T1058" t="str">
        <f t="shared" si="80"/>
        <v>Grade A</v>
      </c>
      <c r="U1058">
        <f t="shared" si="81"/>
        <v>4</v>
      </c>
      <c r="V1058" t="str">
        <f t="shared" si="82"/>
        <v>Mid Level</v>
      </c>
      <c r="W1058" t="str">
        <f t="shared" si="83"/>
        <v>Low Risk</v>
      </c>
      <c r="X1058" t="str">
        <f t="shared" si="84"/>
        <v>Competitive</v>
      </c>
    </row>
    <row r="1059" spans="1:24" x14ac:dyDescent="0.3">
      <c r="A1059" t="s">
        <v>1127</v>
      </c>
      <c r="B1059" t="s">
        <v>20</v>
      </c>
      <c r="C1059">
        <v>55</v>
      </c>
      <c r="D1059" t="s">
        <v>21</v>
      </c>
      <c r="E1059" t="s">
        <v>22</v>
      </c>
      <c r="F1059" t="s">
        <v>75</v>
      </c>
      <c r="G1059" t="s">
        <v>58</v>
      </c>
      <c r="H1059" t="s">
        <v>25</v>
      </c>
      <c r="I1059" t="s">
        <v>43</v>
      </c>
      <c r="J1059" t="s">
        <v>44</v>
      </c>
      <c r="K1059">
        <v>9</v>
      </c>
      <c r="L1059">
        <v>98860</v>
      </c>
      <c r="M1059" t="s">
        <v>28</v>
      </c>
      <c r="N1059">
        <v>3</v>
      </c>
      <c r="O1059">
        <v>2</v>
      </c>
      <c r="P1059">
        <v>22</v>
      </c>
      <c r="Q1059">
        <v>0</v>
      </c>
      <c r="R1059" s="1">
        <v>41674</v>
      </c>
      <c r="S1059" t="s">
        <v>29</v>
      </c>
      <c r="T1059" t="str">
        <f t="shared" si="80"/>
        <v>Grade A</v>
      </c>
      <c r="U1059">
        <f t="shared" si="81"/>
        <v>3</v>
      </c>
      <c r="V1059" t="str">
        <f t="shared" si="82"/>
        <v>Mid Level</v>
      </c>
      <c r="W1059" t="str">
        <f t="shared" si="83"/>
        <v>Medium Risk</v>
      </c>
      <c r="X1059" t="str">
        <f t="shared" si="84"/>
        <v>Competitive</v>
      </c>
    </row>
    <row r="1060" spans="1:24" x14ac:dyDescent="0.3">
      <c r="A1060" t="s">
        <v>1128</v>
      </c>
      <c r="B1060" t="s">
        <v>20</v>
      </c>
      <c r="C1060">
        <v>30</v>
      </c>
      <c r="D1060" t="s">
        <v>47</v>
      </c>
      <c r="E1060" t="s">
        <v>40</v>
      </c>
      <c r="F1060" t="s">
        <v>23</v>
      </c>
      <c r="G1060" t="s">
        <v>24</v>
      </c>
      <c r="H1060" t="s">
        <v>34</v>
      </c>
      <c r="I1060" t="s">
        <v>80</v>
      </c>
      <c r="J1060" t="s">
        <v>60</v>
      </c>
      <c r="K1060">
        <v>11</v>
      </c>
      <c r="L1060">
        <v>98047</v>
      </c>
      <c r="M1060" t="s">
        <v>36</v>
      </c>
      <c r="N1060">
        <v>3</v>
      </c>
      <c r="O1060">
        <v>4</v>
      </c>
      <c r="P1060">
        <v>26</v>
      </c>
      <c r="Q1060">
        <v>0</v>
      </c>
      <c r="R1060" s="1">
        <v>40937</v>
      </c>
      <c r="S1060" t="s">
        <v>29</v>
      </c>
      <c r="T1060" t="str">
        <f t="shared" si="80"/>
        <v>Grade A</v>
      </c>
      <c r="U1060">
        <f t="shared" si="81"/>
        <v>1</v>
      </c>
      <c r="V1060" t="str">
        <f t="shared" si="82"/>
        <v>Senior</v>
      </c>
      <c r="W1060" t="str">
        <f t="shared" si="83"/>
        <v>Medium Risk</v>
      </c>
      <c r="X1060" t="str">
        <f t="shared" si="84"/>
        <v>Overpaid</v>
      </c>
    </row>
    <row r="1061" spans="1:24" x14ac:dyDescent="0.3">
      <c r="A1061" t="s">
        <v>1129</v>
      </c>
      <c r="B1061" t="s">
        <v>20</v>
      </c>
      <c r="C1061">
        <v>30</v>
      </c>
      <c r="D1061" t="s">
        <v>88</v>
      </c>
      <c r="E1061" t="s">
        <v>48</v>
      </c>
      <c r="F1061" t="s">
        <v>32</v>
      </c>
      <c r="G1061" t="s">
        <v>63</v>
      </c>
      <c r="H1061" t="s">
        <v>25</v>
      </c>
      <c r="I1061" t="s">
        <v>54</v>
      </c>
      <c r="J1061" t="s">
        <v>27</v>
      </c>
      <c r="K1061">
        <v>12</v>
      </c>
      <c r="L1061">
        <v>61163</v>
      </c>
      <c r="M1061" t="s">
        <v>45</v>
      </c>
      <c r="N1061">
        <v>1</v>
      </c>
      <c r="O1061">
        <v>1</v>
      </c>
      <c r="P1061">
        <v>39</v>
      </c>
      <c r="Q1061">
        <v>3</v>
      </c>
      <c r="R1061" s="1">
        <v>40803</v>
      </c>
      <c r="S1061" t="s">
        <v>37</v>
      </c>
      <c r="T1061" t="str">
        <f t="shared" si="80"/>
        <v>Grade B</v>
      </c>
      <c r="U1061">
        <f t="shared" si="81"/>
        <v>2</v>
      </c>
      <c r="V1061" t="str">
        <f t="shared" si="82"/>
        <v>Senior</v>
      </c>
      <c r="W1061" t="str">
        <f t="shared" si="83"/>
        <v>Already Left</v>
      </c>
      <c r="X1061" t="str">
        <f t="shared" si="84"/>
        <v>Fair</v>
      </c>
    </row>
    <row r="1062" spans="1:24" x14ac:dyDescent="0.3">
      <c r="A1062" t="s">
        <v>1130</v>
      </c>
      <c r="B1062" t="s">
        <v>20</v>
      </c>
      <c r="C1062">
        <v>46</v>
      </c>
      <c r="D1062" t="s">
        <v>31</v>
      </c>
      <c r="E1062" t="s">
        <v>22</v>
      </c>
      <c r="F1062" t="s">
        <v>53</v>
      </c>
      <c r="G1062" t="s">
        <v>66</v>
      </c>
      <c r="H1062" t="s">
        <v>25</v>
      </c>
      <c r="I1062" t="s">
        <v>26</v>
      </c>
      <c r="J1062" t="s">
        <v>27</v>
      </c>
      <c r="K1062">
        <v>7</v>
      </c>
      <c r="L1062">
        <v>57012</v>
      </c>
      <c r="M1062" t="s">
        <v>28</v>
      </c>
      <c r="N1062">
        <v>2</v>
      </c>
      <c r="O1062">
        <v>1</v>
      </c>
      <c r="P1062">
        <v>43</v>
      </c>
      <c r="Q1062">
        <v>0</v>
      </c>
      <c r="R1062" s="1">
        <v>42461</v>
      </c>
      <c r="S1062" t="s">
        <v>29</v>
      </c>
      <c r="T1062" t="str">
        <f t="shared" si="80"/>
        <v>Grade B</v>
      </c>
      <c r="U1062">
        <f t="shared" si="81"/>
        <v>3</v>
      </c>
      <c r="V1062" t="str">
        <f t="shared" si="82"/>
        <v>Mid Level</v>
      </c>
      <c r="W1062" t="str">
        <f t="shared" si="83"/>
        <v>Medium Risk</v>
      </c>
      <c r="X1062" t="str">
        <f t="shared" si="84"/>
        <v>Competitive</v>
      </c>
    </row>
    <row r="1063" spans="1:24" x14ac:dyDescent="0.3">
      <c r="A1063" t="s">
        <v>1131</v>
      </c>
      <c r="B1063" t="s">
        <v>39</v>
      </c>
      <c r="C1063">
        <v>52</v>
      </c>
      <c r="D1063" t="s">
        <v>47</v>
      </c>
      <c r="E1063" t="s">
        <v>40</v>
      </c>
      <c r="F1063" t="s">
        <v>23</v>
      </c>
      <c r="G1063" t="s">
        <v>58</v>
      </c>
      <c r="H1063" t="s">
        <v>67</v>
      </c>
      <c r="I1063" t="s">
        <v>68</v>
      </c>
      <c r="J1063" t="s">
        <v>60</v>
      </c>
      <c r="K1063">
        <v>15</v>
      </c>
      <c r="L1063">
        <v>118843</v>
      </c>
      <c r="M1063" t="s">
        <v>36</v>
      </c>
      <c r="N1063">
        <v>4</v>
      </c>
      <c r="O1063">
        <v>3</v>
      </c>
      <c r="P1063">
        <v>17</v>
      </c>
      <c r="Q1063">
        <v>1</v>
      </c>
      <c r="R1063" s="1">
        <v>39503</v>
      </c>
      <c r="S1063" t="s">
        <v>37</v>
      </c>
      <c r="T1063" t="str">
        <f t="shared" si="80"/>
        <v>Grade A</v>
      </c>
      <c r="U1063">
        <f t="shared" si="81"/>
        <v>1</v>
      </c>
      <c r="V1063" t="str">
        <f t="shared" si="82"/>
        <v>Senior</v>
      </c>
      <c r="W1063" t="str">
        <f t="shared" si="83"/>
        <v>Already Left</v>
      </c>
      <c r="X1063" t="str">
        <f t="shared" si="84"/>
        <v>Overpaid</v>
      </c>
    </row>
    <row r="1064" spans="1:24" x14ac:dyDescent="0.3">
      <c r="A1064" t="s">
        <v>1132</v>
      </c>
      <c r="B1064" t="s">
        <v>39</v>
      </c>
      <c r="C1064">
        <v>30</v>
      </c>
      <c r="D1064" t="s">
        <v>47</v>
      </c>
      <c r="E1064" t="s">
        <v>48</v>
      </c>
      <c r="F1064" t="s">
        <v>23</v>
      </c>
      <c r="G1064" t="s">
        <v>63</v>
      </c>
      <c r="H1064" t="s">
        <v>76</v>
      </c>
      <c r="I1064" t="s">
        <v>54</v>
      </c>
      <c r="J1064" t="s">
        <v>27</v>
      </c>
      <c r="K1064">
        <v>7</v>
      </c>
      <c r="L1064">
        <v>68359</v>
      </c>
      <c r="M1064" t="s">
        <v>51</v>
      </c>
      <c r="N1064">
        <v>1</v>
      </c>
      <c r="O1064">
        <v>3</v>
      </c>
      <c r="P1064">
        <v>50</v>
      </c>
      <c r="Q1064">
        <v>2</v>
      </c>
      <c r="R1064" s="1">
        <v>42526</v>
      </c>
      <c r="S1064" t="s">
        <v>37</v>
      </c>
      <c r="T1064" t="str">
        <f t="shared" si="80"/>
        <v>Grade B</v>
      </c>
      <c r="U1064">
        <f t="shared" si="81"/>
        <v>4</v>
      </c>
      <c r="V1064" t="str">
        <f t="shared" si="82"/>
        <v>Mid Level</v>
      </c>
      <c r="W1064" t="str">
        <f t="shared" si="83"/>
        <v>Already Left</v>
      </c>
      <c r="X1064" t="str">
        <f t="shared" si="84"/>
        <v>Fair</v>
      </c>
    </row>
    <row r="1065" spans="1:24" x14ac:dyDescent="0.3">
      <c r="A1065" t="s">
        <v>1133</v>
      </c>
      <c r="B1065" t="s">
        <v>20</v>
      </c>
      <c r="C1065">
        <v>47</v>
      </c>
      <c r="D1065" t="s">
        <v>57</v>
      </c>
      <c r="E1065" t="s">
        <v>40</v>
      </c>
      <c r="F1065" t="s">
        <v>23</v>
      </c>
      <c r="G1065" t="s">
        <v>49</v>
      </c>
      <c r="H1065" t="s">
        <v>67</v>
      </c>
      <c r="I1065" t="s">
        <v>68</v>
      </c>
      <c r="J1065" t="s">
        <v>60</v>
      </c>
      <c r="K1065">
        <v>1</v>
      </c>
      <c r="L1065">
        <v>43921</v>
      </c>
      <c r="M1065" t="s">
        <v>45</v>
      </c>
      <c r="N1065">
        <v>4</v>
      </c>
      <c r="O1065">
        <v>3</v>
      </c>
      <c r="P1065">
        <v>64</v>
      </c>
      <c r="Q1065">
        <v>2</v>
      </c>
      <c r="R1065" s="1">
        <v>44919</v>
      </c>
      <c r="S1065" t="s">
        <v>37</v>
      </c>
      <c r="T1065" t="str">
        <f t="shared" si="80"/>
        <v>Grade C</v>
      </c>
      <c r="U1065">
        <f t="shared" si="81"/>
        <v>2</v>
      </c>
      <c r="V1065" t="str">
        <f t="shared" si="82"/>
        <v>New Joiner</v>
      </c>
      <c r="W1065" t="str">
        <f t="shared" si="83"/>
        <v>Already Left</v>
      </c>
      <c r="X1065" t="str">
        <f t="shared" si="84"/>
        <v>Fair</v>
      </c>
    </row>
    <row r="1066" spans="1:24" x14ac:dyDescent="0.3">
      <c r="A1066" t="s">
        <v>1134</v>
      </c>
      <c r="B1066" t="s">
        <v>39</v>
      </c>
      <c r="C1066">
        <v>38</v>
      </c>
      <c r="D1066" t="s">
        <v>57</v>
      </c>
      <c r="E1066" t="s">
        <v>22</v>
      </c>
      <c r="F1066" t="s">
        <v>41</v>
      </c>
      <c r="G1066" t="s">
        <v>66</v>
      </c>
      <c r="H1066" t="s">
        <v>25</v>
      </c>
      <c r="I1066" t="s">
        <v>54</v>
      </c>
      <c r="J1066" t="s">
        <v>27</v>
      </c>
      <c r="K1066">
        <v>10</v>
      </c>
      <c r="L1066">
        <v>57188</v>
      </c>
      <c r="M1066" t="s">
        <v>36</v>
      </c>
      <c r="N1066">
        <v>2</v>
      </c>
      <c r="O1066">
        <v>3</v>
      </c>
      <c r="P1066">
        <v>69</v>
      </c>
      <c r="Q1066">
        <v>3</v>
      </c>
      <c r="R1066" s="1">
        <v>41554</v>
      </c>
      <c r="S1066" t="s">
        <v>37</v>
      </c>
      <c r="T1066" t="str">
        <f t="shared" si="80"/>
        <v>Grade B</v>
      </c>
      <c r="U1066">
        <f t="shared" si="81"/>
        <v>1</v>
      </c>
      <c r="V1066" t="str">
        <f t="shared" si="82"/>
        <v>Mid Level</v>
      </c>
      <c r="W1066" t="str">
        <f t="shared" si="83"/>
        <v>Already Left</v>
      </c>
      <c r="X1066" t="str">
        <f t="shared" si="84"/>
        <v>Fair</v>
      </c>
    </row>
    <row r="1067" spans="1:24" x14ac:dyDescent="0.3">
      <c r="A1067" t="s">
        <v>1135</v>
      </c>
      <c r="B1067" t="s">
        <v>39</v>
      </c>
      <c r="C1067">
        <v>23</v>
      </c>
      <c r="D1067" t="s">
        <v>57</v>
      </c>
      <c r="E1067" t="s">
        <v>40</v>
      </c>
      <c r="F1067" t="s">
        <v>41</v>
      </c>
      <c r="G1067" t="s">
        <v>79</v>
      </c>
      <c r="H1067" t="s">
        <v>83</v>
      </c>
      <c r="I1067" t="s">
        <v>50</v>
      </c>
      <c r="J1067" t="s">
        <v>44</v>
      </c>
      <c r="K1067">
        <v>13</v>
      </c>
      <c r="L1067">
        <v>72848</v>
      </c>
      <c r="M1067" t="s">
        <v>51</v>
      </c>
      <c r="N1067">
        <v>2</v>
      </c>
      <c r="O1067">
        <v>1</v>
      </c>
      <c r="P1067">
        <v>67</v>
      </c>
      <c r="Q1067">
        <v>3</v>
      </c>
      <c r="R1067" s="1">
        <v>40528</v>
      </c>
      <c r="S1067" t="s">
        <v>37</v>
      </c>
      <c r="T1067" t="str">
        <f t="shared" si="80"/>
        <v>Grade B</v>
      </c>
      <c r="U1067">
        <f t="shared" si="81"/>
        <v>4</v>
      </c>
      <c r="V1067" t="str">
        <f t="shared" si="82"/>
        <v>Senior</v>
      </c>
      <c r="W1067" t="str">
        <f t="shared" si="83"/>
        <v>Already Left</v>
      </c>
      <c r="X1067" t="str">
        <f t="shared" si="84"/>
        <v>Fair</v>
      </c>
    </row>
    <row r="1068" spans="1:24" x14ac:dyDescent="0.3">
      <c r="A1068" t="s">
        <v>1136</v>
      </c>
      <c r="B1068" t="s">
        <v>39</v>
      </c>
      <c r="C1068">
        <v>45</v>
      </c>
      <c r="D1068" t="s">
        <v>57</v>
      </c>
      <c r="E1068" t="s">
        <v>22</v>
      </c>
      <c r="F1068" t="s">
        <v>41</v>
      </c>
      <c r="G1068" t="s">
        <v>58</v>
      </c>
      <c r="H1068" t="s">
        <v>76</v>
      </c>
      <c r="I1068" t="s">
        <v>80</v>
      </c>
      <c r="J1068" t="s">
        <v>60</v>
      </c>
      <c r="K1068">
        <v>7</v>
      </c>
      <c r="L1068">
        <v>106838</v>
      </c>
      <c r="M1068" t="s">
        <v>28</v>
      </c>
      <c r="N1068">
        <v>2</v>
      </c>
      <c r="O1068">
        <v>1</v>
      </c>
      <c r="P1068">
        <v>23</v>
      </c>
      <c r="Q1068">
        <v>2</v>
      </c>
      <c r="R1068" s="1">
        <v>42473</v>
      </c>
      <c r="S1068" t="s">
        <v>37</v>
      </c>
      <c r="T1068" t="str">
        <f t="shared" si="80"/>
        <v>Grade A</v>
      </c>
      <c r="U1068">
        <f t="shared" si="81"/>
        <v>3</v>
      </c>
      <c r="V1068" t="str">
        <f t="shared" si="82"/>
        <v>Mid Level</v>
      </c>
      <c r="W1068" t="str">
        <f t="shared" si="83"/>
        <v>Already Left</v>
      </c>
      <c r="X1068" t="str">
        <f t="shared" si="84"/>
        <v>Competitive</v>
      </c>
    </row>
    <row r="1069" spans="1:24" x14ac:dyDescent="0.3">
      <c r="A1069" t="s">
        <v>1137</v>
      </c>
      <c r="B1069" t="s">
        <v>39</v>
      </c>
      <c r="C1069">
        <v>25</v>
      </c>
      <c r="D1069" t="s">
        <v>57</v>
      </c>
      <c r="E1069" t="s">
        <v>40</v>
      </c>
      <c r="F1069" t="s">
        <v>78</v>
      </c>
      <c r="G1069" t="s">
        <v>58</v>
      </c>
      <c r="H1069" t="s">
        <v>83</v>
      </c>
      <c r="I1069" t="s">
        <v>50</v>
      </c>
      <c r="J1069" t="s">
        <v>44</v>
      </c>
      <c r="K1069">
        <v>9</v>
      </c>
      <c r="L1069">
        <v>106388</v>
      </c>
      <c r="M1069" t="s">
        <v>28</v>
      </c>
      <c r="N1069">
        <v>2</v>
      </c>
      <c r="O1069">
        <v>3</v>
      </c>
      <c r="P1069">
        <v>20</v>
      </c>
      <c r="Q1069">
        <v>0</v>
      </c>
      <c r="R1069" s="1">
        <v>41955</v>
      </c>
      <c r="S1069" t="s">
        <v>29</v>
      </c>
      <c r="T1069" t="str">
        <f t="shared" si="80"/>
        <v>Grade A</v>
      </c>
      <c r="U1069">
        <f t="shared" si="81"/>
        <v>3</v>
      </c>
      <c r="V1069" t="str">
        <f t="shared" si="82"/>
        <v>Mid Level</v>
      </c>
      <c r="W1069" t="str">
        <f t="shared" si="83"/>
        <v>Medium Risk</v>
      </c>
      <c r="X1069" t="str">
        <f t="shared" si="84"/>
        <v>Competitive</v>
      </c>
    </row>
    <row r="1070" spans="1:24" x14ac:dyDescent="0.3">
      <c r="A1070" t="s">
        <v>1138</v>
      </c>
      <c r="B1070" t="s">
        <v>39</v>
      </c>
      <c r="C1070">
        <v>34</v>
      </c>
      <c r="D1070" t="s">
        <v>21</v>
      </c>
      <c r="E1070" t="s">
        <v>22</v>
      </c>
      <c r="F1070" t="s">
        <v>65</v>
      </c>
      <c r="G1070" t="s">
        <v>42</v>
      </c>
      <c r="H1070" t="s">
        <v>34</v>
      </c>
      <c r="I1070" t="s">
        <v>80</v>
      </c>
      <c r="J1070" t="s">
        <v>60</v>
      </c>
      <c r="K1070">
        <v>8</v>
      </c>
      <c r="L1070">
        <v>107537</v>
      </c>
      <c r="M1070" t="s">
        <v>45</v>
      </c>
      <c r="N1070">
        <v>4</v>
      </c>
      <c r="O1070">
        <v>2</v>
      </c>
      <c r="P1070">
        <v>54</v>
      </c>
      <c r="Q1070">
        <v>2</v>
      </c>
      <c r="R1070" s="1">
        <v>42283</v>
      </c>
      <c r="S1070" t="s">
        <v>29</v>
      </c>
      <c r="T1070" t="str">
        <f t="shared" si="80"/>
        <v>Grade A</v>
      </c>
      <c r="U1070">
        <f t="shared" si="81"/>
        <v>2</v>
      </c>
      <c r="V1070" t="str">
        <f t="shared" si="82"/>
        <v>Mid Level</v>
      </c>
      <c r="W1070" t="str">
        <f t="shared" si="83"/>
        <v>Medium Risk</v>
      </c>
      <c r="X1070" t="str">
        <f t="shared" si="84"/>
        <v>Fair</v>
      </c>
    </row>
    <row r="1071" spans="1:24" x14ac:dyDescent="0.3">
      <c r="A1071" t="s">
        <v>1139</v>
      </c>
      <c r="B1071" t="s">
        <v>39</v>
      </c>
      <c r="C1071">
        <v>43</v>
      </c>
      <c r="D1071" t="s">
        <v>47</v>
      </c>
      <c r="E1071" t="s">
        <v>40</v>
      </c>
      <c r="F1071" t="s">
        <v>75</v>
      </c>
      <c r="G1071" t="s">
        <v>58</v>
      </c>
      <c r="H1071" t="s">
        <v>76</v>
      </c>
      <c r="I1071" t="s">
        <v>96</v>
      </c>
      <c r="J1071" t="s">
        <v>44</v>
      </c>
      <c r="K1071">
        <v>8</v>
      </c>
      <c r="L1071">
        <v>97703</v>
      </c>
      <c r="M1071" t="s">
        <v>45</v>
      </c>
      <c r="N1071">
        <v>2</v>
      </c>
      <c r="O1071">
        <v>4</v>
      </c>
      <c r="P1071">
        <v>30</v>
      </c>
      <c r="Q1071">
        <v>3</v>
      </c>
      <c r="R1071" s="1">
        <v>42085</v>
      </c>
      <c r="S1071" t="s">
        <v>37</v>
      </c>
      <c r="T1071" t="str">
        <f t="shared" si="80"/>
        <v>Grade A</v>
      </c>
      <c r="U1071">
        <f t="shared" si="81"/>
        <v>2</v>
      </c>
      <c r="V1071" t="str">
        <f t="shared" si="82"/>
        <v>Mid Level</v>
      </c>
      <c r="W1071" t="str">
        <f t="shared" si="83"/>
        <v>Already Left</v>
      </c>
      <c r="X1071" t="str">
        <f t="shared" si="84"/>
        <v>Fair</v>
      </c>
    </row>
    <row r="1072" spans="1:24" x14ac:dyDescent="0.3">
      <c r="A1072" t="s">
        <v>1140</v>
      </c>
      <c r="B1072" t="s">
        <v>39</v>
      </c>
      <c r="C1072">
        <v>30</v>
      </c>
      <c r="D1072" t="s">
        <v>57</v>
      </c>
      <c r="E1072" t="s">
        <v>22</v>
      </c>
      <c r="F1072" t="s">
        <v>75</v>
      </c>
      <c r="G1072" t="s">
        <v>24</v>
      </c>
      <c r="H1072" t="s">
        <v>76</v>
      </c>
      <c r="I1072" t="s">
        <v>80</v>
      </c>
      <c r="J1072" t="s">
        <v>60</v>
      </c>
      <c r="K1072">
        <v>14</v>
      </c>
      <c r="L1072">
        <v>95586</v>
      </c>
      <c r="M1072" t="s">
        <v>36</v>
      </c>
      <c r="N1072">
        <v>1</v>
      </c>
      <c r="O1072">
        <v>1</v>
      </c>
      <c r="P1072">
        <v>44</v>
      </c>
      <c r="Q1072">
        <v>3</v>
      </c>
      <c r="R1072" s="1">
        <v>40150</v>
      </c>
      <c r="S1072" t="s">
        <v>29</v>
      </c>
      <c r="T1072" t="str">
        <f t="shared" si="80"/>
        <v>Grade A</v>
      </c>
      <c r="U1072">
        <f t="shared" si="81"/>
        <v>1</v>
      </c>
      <c r="V1072" t="str">
        <f t="shared" si="82"/>
        <v>Senior</v>
      </c>
      <c r="W1072" t="str">
        <f t="shared" si="83"/>
        <v>Medium Risk</v>
      </c>
      <c r="X1072" t="str">
        <f t="shared" si="84"/>
        <v>Overpaid</v>
      </c>
    </row>
    <row r="1073" spans="1:24" x14ac:dyDescent="0.3">
      <c r="A1073" t="s">
        <v>1141</v>
      </c>
      <c r="B1073" t="s">
        <v>20</v>
      </c>
      <c r="C1073">
        <v>53</v>
      </c>
      <c r="D1073" t="s">
        <v>57</v>
      </c>
      <c r="E1073" t="s">
        <v>22</v>
      </c>
      <c r="F1073" t="s">
        <v>75</v>
      </c>
      <c r="G1073" t="s">
        <v>58</v>
      </c>
      <c r="H1073" t="s">
        <v>83</v>
      </c>
      <c r="I1073" t="s">
        <v>43</v>
      </c>
      <c r="J1073" t="s">
        <v>44</v>
      </c>
      <c r="K1073">
        <v>6</v>
      </c>
      <c r="L1073">
        <v>89222</v>
      </c>
      <c r="M1073" t="s">
        <v>45</v>
      </c>
      <c r="N1073">
        <v>3</v>
      </c>
      <c r="O1073">
        <v>1</v>
      </c>
      <c r="P1073">
        <v>12</v>
      </c>
      <c r="Q1073">
        <v>2</v>
      </c>
      <c r="R1073" s="1">
        <v>43077</v>
      </c>
      <c r="S1073" t="s">
        <v>37</v>
      </c>
      <c r="T1073" t="str">
        <f t="shared" si="80"/>
        <v>Grade A</v>
      </c>
      <c r="U1073">
        <f t="shared" si="81"/>
        <v>2</v>
      </c>
      <c r="V1073" t="str">
        <f t="shared" si="82"/>
        <v>Mid Level</v>
      </c>
      <c r="W1073" t="str">
        <f t="shared" si="83"/>
        <v>Already Left</v>
      </c>
      <c r="X1073" t="str">
        <f t="shared" si="84"/>
        <v>Fair</v>
      </c>
    </row>
    <row r="1074" spans="1:24" x14ac:dyDescent="0.3">
      <c r="A1074" t="s">
        <v>1142</v>
      </c>
      <c r="B1074" t="s">
        <v>39</v>
      </c>
      <c r="C1074">
        <v>26</v>
      </c>
      <c r="D1074" t="s">
        <v>31</v>
      </c>
      <c r="E1074" t="s">
        <v>22</v>
      </c>
      <c r="F1074" t="s">
        <v>32</v>
      </c>
      <c r="G1074" t="s">
        <v>42</v>
      </c>
      <c r="H1074" t="s">
        <v>34</v>
      </c>
      <c r="I1074" t="s">
        <v>54</v>
      </c>
      <c r="J1074" t="s">
        <v>27</v>
      </c>
      <c r="K1074">
        <v>14</v>
      </c>
      <c r="L1074">
        <v>131814</v>
      </c>
      <c r="M1074" t="s">
        <v>51</v>
      </c>
      <c r="N1074">
        <v>1</v>
      </c>
      <c r="O1074">
        <v>3</v>
      </c>
      <c r="P1074">
        <v>74</v>
      </c>
      <c r="Q1074">
        <v>0</v>
      </c>
      <c r="R1074" s="1">
        <v>40021</v>
      </c>
      <c r="S1074" t="s">
        <v>37</v>
      </c>
      <c r="T1074" t="str">
        <f t="shared" si="80"/>
        <v>Grade A</v>
      </c>
      <c r="U1074">
        <f t="shared" si="81"/>
        <v>4</v>
      </c>
      <c r="V1074" t="str">
        <f t="shared" si="82"/>
        <v>Senior</v>
      </c>
      <c r="W1074" t="str">
        <f t="shared" si="83"/>
        <v>Already Left</v>
      </c>
      <c r="X1074" t="str">
        <f t="shared" si="84"/>
        <v>Competitive</v>
      </c>
    </row>
    <row r="1075" spans="1:24" x14ac:dyDescent="0.3">
      <c r="A1075" t="s">
        <v>1143</v>
      </c>
      <c r="B1075" t="s">
        <v>39</v>
      </c>
      <c r="C1075">
        <v>26</v>
      </c>
      <c r="D1075" t="s">
        <v>47</v>
      </c>
      <c r="E1075" t="s">
        <v>48</v>
      </c>
      <c r="F1075" t="s">
        <v>62</v>
      </c>
      <c r="G1075" t="s">
        <v>63</v>
      </c>
      <c r="H1075" t="s">
        <v>34</v>
      </c>
      <c r="I1075" t="s">
        <v>54</v>
      </c>
      <c r="J1075" t="s">
        <v>27</v>
      </c>
      <c r="K1075">
        <v>15</v>
      </c>
      <c r="L1075">
        <v>84860</v>
      </c>
      <c r="M1075" t="s">
        <v>36</v>
      </c>
      <c r="N1075">
        <v>4</v>
      </c>
      <c r="O1075">
        <v>1</v>
      </c>
      <c r="P1075">
        <v>63</v>
      </c>
      <c r="Q1075">
        <v>3</v>
      </c>
      <c r="R1075" s="1">
        <v>39490</v>
      </c>
      <c r="S1075" t="s">
        <v>37</v>
      </c>
      <c r="T1075" t="str">
        <f t="shared" si="80"/>
        <v>Grade A</v>
      </c>
      <c r="U1075">
        <f t="shared" si="81"/>
        <v>1</v>
      </c>
      <c r="V1075" t="str">
        <f t="shared" si="82"/>
        <v>Senior</v>
      </c>
      <c r="W1075" t="str">
        <f t="shared" si="83"/>
        <v>Already Left</v>
      </c>
      <c r="X1075" t="str">
        <f t="shared" si="84"/>
        <v>Overpaid</v>
      </c>
    </row>
    <row r="1076" spans="1:24" x14ac:dyDescent="0.3">
      <c r="A1076" t="s">
        <v>1144</v>
      </c>
      <c r="B1076" t="s">
        <v>20</v>
      </c>
      <c r="C1076">
        <v>25</v>
      </c>
      <c r="D1076" t="s">
        <v>57</v>
      </c>
      <c r="E1076" t="s">
        <v>48</v>
      </c>
      <c r="F1076" t="s">
        <v>62</v>
      </c>
      <c r="G1076" t="s">
        <v>63</v>
      </c>
      <c r="H1076" t="s">
        <v>83</v>
      </c>
      <c r="I1076" t="s">
        <v>54</v>
      </c>
      <c r="J1076" t="s">
        <v>27</v>
      </c>
      <c r="K1076">
        <v>15</v>
      </c>
      <c r="L1076">
        <v>68262</v>
      </c>
      <c r="M1076" t="s">
        <v>36</v>
      </c>
      <c r="N1076">
        <v>3</v>
      </c>
      <c r="O1076">
        <v>2</v>
      </c>
      <c r="P1076">
        <v>39</v>
      </c>
      <c r="Q1076">
        <v>1</v>
      </c>
      <c r="R1076" s="1">
        <v>39569</v>
      </c>
      <c r="S1076" t="s">
        <v>37</v>
      </c>
      <c r="T1076" t="str">
        <f t="shared" si="80"/>
        <v>Grade B</v>
      </c>
      <c r="U1076">
        <f t="shared" si="81"/>
        <v>1</v>
      </c>
      <c r="V1076" t="str">
        <f t="shared" si="82"/>
        <v>Senior</v>
      </c>
      <c r="W1076" t="str">
        <f t="shared" si="83"/>
        <v>Already Left</v>
      </c>
      <c r="X1076" t="str">
        <f t="shared" si="84"/>
        <v>Fair</v>
      </c>
    </row>
    <row r="1077" spans="1:24" x14ac:dyDescent="0.3">
      <c r="A1077" t="s">
        <v>1145</v>
      </c>
      <c r="B1077" t="s">
        <v>20</v>
      </c>
      <c r="C1077">
        <v>22</v>
      </c>
      <c r="D1077" t="s">
        <v>21</v>
      </c>
      <c r="E1077" t="s">
        <v>40</v>
      </c>
      <c r="F1077" t="s">
        <v>75</v>
      </c>
      <c r="G1077" t="s">
        <v>42</v>
      </c>
      <c r="H1077" t="s">
        <v>67</v>
      </c>
      <c r="I1077" t="s">
        <v>72</v>
      </c>
      <c r="J1077" t="s">
        <v>73</v>
      </c>
      <c r="K1077">
        <v>12</v>
      </c>
      <c r="L1077">
        <v>128099</v>
      </c>
      <c r="M1077" t="s">
        <v>28</v>
      </c>
      <c r="N1077">
        <v>3</v>
      </c>
      <c r="O1077">
        <v>2</v>
      </c>
      <c r="P1077">
        <v>65</v>
      </c>
      <c r="Q1077">
        <v>1</v>
      </c>
      <c r="R1077" s="1">
        <v>40854</v>
      </c>
      <c r="S1077" t="s">
        <v>29</v>
      </c>
      <c r="T1077" t="str">
        <f t="shared" si="80"/>
        <v>Grade A</v>
      </c>
      <c r="U1077">
        <f t="shared" si="81"/>
        <v>3</v>
      </c>
      <c r="V1077" t="str">
        <f t="shared" si="82"/>
        <v>Senior</v>
      </c>
      <c r="W1077" t="str">
        <f t="shared" si="83"/>
        <v>Medium Risk</v>
      </c>
      <c r="X1077" t="str">
        <f t="shared" si="84"/>
        <v>Competitive</v>
      </c>
    </row>
    <row r="1078" spans="1:24" x14ac:dyDescent="0.3">
      <c r="A1078" t="s">
        <v>1146</v>
      </c>
      <c r="B1078" t="s">
        <v>39</v>
      </c>
      <c r="C1078">
        <v>48</v>
      </c>
      <c r="D1078" t="s">
        <v>21</v>
      </c>
      <c r="E1078" t="s">
        <v>22</v>
      </c>
      <c r="F1078" t="s">
        <v>32</v>
      </c>
      <c r="G1078" t="s">
        <v>33</v>
      </c>
      <c r="H1078" t="s">
        <v>76</v>
      </c>
      <c r="I1078" t="s">
        <v>50</v>
      </c>
      <c r="J1078" t="s">
        <v>44</v>
      </c>
      <c r="K1078">
        <v>9</v>
      </c>
      <c r="L1078">
        <v>85712</v>
      </c>
      <c r="M1078" t="s">
        <v>51</v>
      </c>
      <c r="N1078">
        <v>1</v>
      </c>
      <c r="O1078">
        <v>3</v>
      </c>
      <c r="P1078">
        <v>22</v>
      </c>
      <c r="Q1078">
        <v>0</v>
      </c>
      <c r="R1078" s="1">
        <v>41953</v>
      </c>
      <c r="S1078" t="s">
        <v>29</v>
      </c>
      <c r="T1078" t="str">
        <f t="shared" si="80"/>
        <v>Grade A</v>
      </c>
      <c r="U1078">
        <f t="shared" si="81"/>
        <v>4</v>
      </c>
      <c r="V1078" t="str">
        <f t="shared" si="82"/>
        <v>Mid Level</v>
      </c>
      <c r="W1078" t="str">
        <f t="shared" si="83"/>
        <v>Low Risk</v>
      </c>
      <c r="X1078" t="str">
        <f t="shared" si="84"/>
        <v>Competitive</v>
      </c>
    </row>
    <row r="1079" spans="1:24" x14ac:dyDescent="0.3">
      <c r="A1079" t="s">
        <v>1147</v>
      </c>
      <c r="B1079" t="s">
        <v>20</v>
      </c>
      <c r="C1079">
        <v>54</v>
      </c>
      <c r="D1079" t="s">
        <v>21</v>
      </c>
      <c r="E1079" t="s">
        <v>22</v>
      </c>
      <c r="F1079" t="s">
        <v>65</v>
      </c>
      <c r="G1079" t="s">
        <v>24</v>
      </c>
      <c r="H1079" t="s">
        <v>34</v>
      </c>
      <c r="I1079" t="s">
        <v>59</v>
      </c>
      <c r="J1079" t="s">
        <v>60</v>
      </c>
      <c r="K1079">
        <v>15</v>
      </c>
      <c r="L1079">
        <v>98668</v>
      </c>
      <c r="M1079" t="s">
        <v>36</v>
      </c>
      <c r="N1079">
        <v>4</v>
      </c>
      <c r="O1079">
        <v>3</v>
      </c>
      <c r="P1079">
        <v>48</v>
      </c>
      <c r="Q1079">
        <v>1</v>
      </c>
      <c r="R1079" s="1">
        <v>39806</v>
      </c>
      <c r="S1079" t="s">
        <v>37</v>
      </c>
      <c r="T1079" t="str">
        <f t="shared" si="80"/>
        <v>Grade A</v>
      </c>
      <c r="U1079">
        <f t="shared" si="81"/>
        <v>1</v>
      </c>
      <c r="V1079" t="str">
        <f t="shared" si="82"/>
        <v>Senior</v>
      </c>
      <c r="W1079" t="str">
        <f t="shared" si="83"/>
        <v>Already Left</v>
      </c>
      <c r="X1079" t="str">
        <f t="shared" si="84"/>
        <v>Overpaid</v>
      </c>
    </row>
    <row r="1080" spans="1:24" x14ac:dyDescent="0.3">
      <c r="A1080" t="s">
        <v>1148</v>
      </c>
      <c r="B1080" t="s">
        <v>20</v>
      </c>
      <c r="C1080">
        <v>50</v>
      </c>
      <c r="D1080" t="s">
        <v>21</v>
      </c>
      <c r="E1080" t="s">
        <v>40</v>
      </c>
      <c r="F1080" t="s">
        <v>41</v>
      </c>
      <c r="G1080" t="s">
        <v>49</v>
      </c>
      <c r="H1080" t="s">
        <v>76</v>
      </c>
      <c r="I1080" t="s">
        <v>68</v>
      </c>
      <c r="J1080" t="s">
        <v>60</v>
      </c>
      <c r="K1080">
        <v>9</v>
      </c>
      <c r="L1080">
        <v>76713</v>
      </c>
      <c r="M1080" t="s">
        <v>45</v>
      </c>
      <c r="N1080">
        <v>2</v>
      </c>
      <c r="O1080">
        <v>1</v>
      </c>
      <c r="P1080">
        <v>13</v>
      </c>
      <c r="Q1080">
        <v>2</v>
      </c>
      <c r="R1080" s="1">
        <v>41748</v>
      </c>
      <c r="S1080" t="s">
        <v>29</v>
      </c>
      <c r="T1080" t="str">
        <f t="shared" si="80"/>
        <v>Grade B</v>
      </c>
      <c r="U1080">
        <f t="shared" si="81"/>
        <v>2</v>
      </c>
      <c r="V1080" t="str">
        <f t="shared" si="82"/>
        <v>Mid Level</v>
      </c>
      <c r="W1080" t="str">
        <f t="shared" si="83"/>
        <v>Medium Risk</v>
      </c>
      <c r="X1080" t="str">
        <f t="shared" si="84"/>
        <v>Fair</v>
      </c>
    </row>
    <row r="1081" spans="1:24" x14ac:dyDescent="0.3">
      <c r="A1081" t="s">
        <v>1149</v>
      </c>
      <c r="B1081" t="s">
        <v>39</v>
      </c>
      <c r="C1081">
        <v>41</v>
      </c>
      <c r="D1081" t="s">
        <v>88</v>
      </c>
      <c r="E1081" t="s">
        <v>48</v>
      </c>
      <c r="F1081" t="s">
        <v>23</v>
      </c>
      <c r="G1081" t="s">
        <v>33</v>
      </c>
      <c r="H1081" t="s">
        <v>76</v>
      </c>
      <c r="I1081" t="s">
        <v>35</v>
      </c>
      <c r="J1081" t="s">
        <v>27</v>
      </c>
      <c r="K1081">
        <v>6</v>
      </c>
      <c r="L1081">
        <v>65070</v>
      </c>
      <c r="M1081" t="s">
        <v>36</v>
      </c>
      <c r="N1081">
        <v>1</v>
      </c>
      <c r="O1081">
        <v>1</v>
      </c>
      <c r="P1081">
        <v>30</v>
      </c>
      <c r="Q1081">
        <v>3</v>
      </c>
      <c r="R1081" s="1">
        <v>42908</v>
      </c>
      <c r="S1081" t="s">
        <v>37</v>
      </c>
      <c r="T1081" t="str">
        <f t="shared" si="80"/>
        <v>Grade B</v>
      </c>
      <c r="U1081">
        <f t="shared" si="81"/>
        <v>1</v>
      </c>
      <c r="V1081" t="str">
        <f t="shared" si="82"/>
        <v>Mid Level</v>
      </c>
      <c r="W1081" t="str">
        <f t="shared" si="83"/>
        <v>Already Left</v>
      </c>
      <c r="X1081" t="str">
        <f t="shared" si="84"/>
        <v>Fair</v>
      </c>
    </row>
    <row r="1082" spans="1:24" x14ac:dyDescent="0.3">
      <c r="A1082" t="s">
        <v>1150</v>
      </c>
      <c r="B1082" t="s">
        <v>20</v>
      </c>
      <c r="C1082">
        <v>25</v>
      </c>
      <c r="D1082" t="s">
        <v>31</v>
      </c>
      <c r="E1082" t="s">
        <v>22</v>
      </c>
      <c r="F1082" t="s">
        <v>62</v>
      </c>
      <c r="G1082" t="s">
        <v>24</v>
      </c>
      <c r="H1082" t="s">
        <v>67</v>
      </c>
      <c r="I1082" t="s">
        <v>54</v>
      </c>
      <c r="J1082" t="s">
        <v>27</v>
      </c>
      <c r="K1082">
        <v>9</v>
      </c>
      <c r="L1082">
        <v>98183</v>
      </c>
      <c r="M1082" t="s">
        <v>36</v>
      </c>
      <c r="N1082">
        <v>3</v>
      </c>
      <c r="O1082">
        <v>2</v>
      </c>
      <c r="P1082">
        <v>25</v>
      </c>
      <c r="Q1082">
        <v>2</v>
      </c>
      <c r="R1082" s="1">
        <v>41664</v>
      </c>
      <c r="S1082" t="s">
        <v>29</v>
      </c>
      <c r="T1082" t="str">
        <f t="shared" si="80"/>
        <v>Grade A</v>
      </c>
      <c r="U1082">
        <f t="shared" si="81"/>
        <v>1</v>
      </c>
      <c r="V1082" t="str">
        <f t="shared" si="82"/>
        <v>Mid Level</v>
      </c>
      <c r="W1082" t="str">
        <f t="shared" si="83"/>
        <v>Medium Risk</v>
      </c>
      <c r="X1082" t="str">
        <f t="shared" si="84"/>
        <v>Overpaid</v>
      </c>
    </row>
    <row r="1083" spans="1:24" x14ac:dyDescent="0.3">
      <c r="A1083" t="s">
        <v>1151</v>
      </c>
      <c r="B1083" t="s">
        <v>39</v>
      </c>
      <c r="C1083">
        <v>33</v>
      </c>
      <c r="D1083" t="s">
        <v>57</v>
      </c>
      <c r="E1083" t="s">
        <v>48</v>
      </c>
      <c r="F1083" t="s">
        <v>75</v>
      </c>
      <c r="G1083" t="s">
        <v>58</v>
      </c>
      <c r="H1083" t="s">
        <v>83</v>
      </c>
      <c r="I1083" t="s">
        <v>26</v>
      </c>
      <c r="J1083" t="s">
        <v>27</v>
      </c>
      <c r="K1083">
        <v>7</v>
      </c>
      <c r="L1083">
        <v>105199</v>
      </c>
      <c r="M1083" t="s">
        <v>45</v>
      </c>
      <c r="N1083">
        <v>2</v>
      </c>
      <c r="O1083">
        <v>3</v>
      </c>
      <c r="P1083">
        <v>58</v>
      </c>
      <c r="Q1083">
        <v>2</v>
      </c>
      <c r="R1083" s="1">
        <v>42409</v>
      </c>
      <c r="S1083" t="s">
        <v>29</v>
      </c>
      <c r="T1083" t="str">
        <f t="shared" si="80"/>
        <v>Grade A</v>
      </c>
      <c r="U1083">
        <f t="shared" si="81"/>
        <v>2</v>
      </c>
      <c r="V1083" t="str">
        <f t="shared" si="82"/>
        <v>Mid Level</v>
      </c>
      <c r="W1083" t="str">
        <f t="shared" si="83"/>
        <v>Medium Risk</v>
      </c>
      <c r="X1083" t="str">
        <f t="shared" si="84"/>
        <v>Fair</v>
      </c>
    </row>
    <row r="1084" spans="1:24" x14ac:dyDescent="0.3">
      <c r="A1084" t="s">
        <v>1152</v>
      </c>
      <c r="B1084" t="s">
        <v>20</v>
      </c>
      <c r="C1084">
        <v>46</v>
      </c>
      <c r="D1084" t="s">
        <v>57</v>
      </c>
      <c r="E1084" t="s">
        <v>40</v>
      </c>
      <c r="F1084" t="s">
        <v>78</v>
      </c>
      <c r="G1084" t="s">
        <v>42</v>
      </c>
      <c r="H1084" t="s">
        <v>34</v>
      </c>
      <c r="I1084" t="s">
        <v>26</v>
      </c>
      <c r="J1084" t="s">
        <v>27</v>
      </c>
      <c r="K1084">
        <v>3</v>
      </c>
      <c r="L1084">
        <v>92480</v>
      </c>
      <c r="M1084" t="s">
        <v>36</v>
      </c>
      <c r="N1084">
        <v>2</v>
      </c>
      <c r="O1084">
        <v>3</v>
      </c>
      <c r="P1084">
        <v>64</v>
      </c>
      <c r="Q1084">
        <v>0</v>
      </c>
      <c r="R1084" s="1">
        <v>43838</v>
      </c>
      <c r="S1084" t="s">
        <v>37</v>
      </c>
      <c r="T1084" t="str">
        <f t="shared" si="80"/>
        <v>Grade A</v>
      </c>
      <c r="U1084">
        <f t="shared" si="81"/>
        <v>1</v>
      </c>
      <c r="V1084" t="str">
        <f t="shared" si="82"/>
        <v>Junior</v>
      </c>
      <c r="W1084" t="str">
        <f t="shared" si="83"/>
        <v>Already Left</v>
      </c>
      <c r="X1084" t="str">
        <f t="shared" si="84"/>
        <v>Overpaid</v>
      </c>
    </row>
    <row r="1085" spans="1:24" x14ac:dyDescent="0.3">
      <c r="A1085" t="s">
        <v>1153</v>
      </c>
      <c r="B1085" t="s">
        <v>20</v>
      </c>
      <c r="C1085">
        <v>28</v>
      </c>
      <c r="D1085" t="s">
        <v>57</v>
      </c>
      <c r="E1085" t="s">
        <v>22</v>
      </c>
      <c r="F1085" t="s">
        <v>78</v>
      </c>
      <c r="G1085" t="s">
        <v>79</v>
      </c>
      <c r="H1085" t="s">
        <v>34</v>
      </c>
      <c r="I1085" t="s">
        <v>80</v>
      </c>
      <c r="J1085" t="s">
        <v>60</v>
      </c>
      <c r="K1085">
        <v>3</v>
      </c>
      <c r="L1085">
        <v>50547</v>
      </c>
      <c r="M1085" t="s">
        <v>45</v>
      </c>
      <c r="N1085">
        <v>2</v>
      </c>
      <c r="O1085">
        <v>3</v>
      </c>
      <c r="P1085">
        <v>41</v>
      </c>
      <c r="Q1085">
        <v>3</v>
      </c>
      <c r="R1085" s="1">
        <v>44119</v>
      </c>
      <c r="S1085" t="s">
        <v>37</v>
      </c>
      <c r="T1085" t="str">
        <f t="shared" si="80"/>
        <v>Grade B</v>
      </c>
      <c r="U1085">
        <f t="shared" si="81"/>
        <v>2</v>
      </c>
      <c r="V1085" t="str">
        <f t="shared" si="82"/>
        <v>Junior</v>
      </c>
      <c r="W1085" t="str">
        <f t="shared" si="83"/>
        <v>Already Left</v>
      </c>
      <c r="X1085" t="str">
        <f t="shared" si="84"/>
        <v>Fair</v>
      </c>
    </row>
    <row r="1086" spans="1:24" x14ac:dyDescent="0.3">
      <c r="A1086" t="s">
        <v>1154</v>
      </c>
      <c r="B1086" t="s">
        <v>39</v>
      </c>
      <c r="C1086">
        <v>49</v>
      </c>
      <c r="D1086" t="s">
        <v>47</v>
      </c>
      <c r="E1086" t="s">
        <v>48</v>
      </c>
      <c r="F1086" t="s">
        <v>53</v>
      </c>
      <c r="G1086" t="s">
        <v>63</v>
      </c>
      <c r="H1086" t="s">
        <v>83</v>
      </c>
      <c r="I1086" t="s">
        <v>80</v>
      </c>
      <c r="J1086" t="s">
        <v>60</v>
      </c>
      <c r="K1086">
        <v>5</v>
      </c>
      <c r="L1086">
        <v>62455</v>
      </c>
      <c r="M1086" t="s">
        <v>28</v>
      </c>
      <c r="N1086">
        <v>4</v>
      </c>
      <c r="O1086">
        <v>4</v>
      </c>
      <c r="P1086">
        <v>29</v>
      </c>
      <c r="Q1086">
        <v>3</v>
      </c>
      <c r="R1086" s="1">
        <v>43351</v>
      </c>
      <c r="S1086" t="s">
        <v>29</v>
      </c>
      <c r="T1086" t="str">
        <f t="shared" si="80"/>
        <v>Grade B</v>
      </c>
      <c r="U1086">
        <f t="shared" si="81"/>
        <v>3</v>
      </c>
      <c r="V1086" t="str">
        <f t="shared" si="82"/>
        <v>Junior</v>
      </c>
      <c r="W1086" t="str">
        <f t="shared" si="83"/>
        <v>Medium Risk</v>
      </c>
      <c r="X1086" t="str">
        <f t="shared" si="84"/>
        <v>Competitive</v>
      </c>
    </row>
    <row r="1087" spans="1:24" x14ac:dyDescent="0.3">
      <c r="A1087" t="s">
        <v>1155</v>
      </c>
      <c r="B1087" t="s">
        <v>39</v>
      </c>
      <c r="C1087">
        <v>29</v>
      </c>
      <c r="D1087" t="s">
        <v>88</v>
      </c>
      <c r="E1087" t="s">
        <v>40</v>
      </c>
      <c r="F1087" t="s">
        <v>41</v>
      </c>
      <c r="G1087" t="s">
        <v>79</v>
      </c>
      <c r="H1087" t="s">
        <v>76</v>
      </c>
      <c r="I1087" t="s">
        <v>54</v>
      </c>
      <c r="J1087" t="s">
        <v>27</v>
      </c>
      <c r="K1087">
        <v>10</v>
      </c>
      <c r="L1087">
        <v>52922</v>
      </c>
      <c r="M1087" t="s">
        <v>51</v>
      </c>
      <c r="N1087">
        <v>2</v>
      </c>
      <c r="O1087">
        <v>3</v>
      </c>
      <c r="P1087">
        <v>30</v>
      </c>
      <c r="Q1087">
        <v>1</v>
      </c>
      <c r="R1087" s="1">
        <v>41605</v>
      </c>
      <c r="S1087" t="s">
        <v>29</v>
      </c>
      <c r="T1087" t="str">
        <f t="shared" si="80"/>
        <v>Grade B</v>
      </c>
      <c r="U1087">
        <f t="shared" si="81"/>
        <v>4</v>
      </c>
      <c r="V1087" t="str">
        <f t="shared" si="82"/>
        <v>Mid Level</v>
      </c>
      <c r="W1087" t="str">
        <f t="shared" si="83"/>
        <v>Low Risk</v>
      </c>
      <c r="X1087" t="str">
        <f t="shared" si="84"/>
        <v>Fair</v>
      </c>
    </row>
    <row r="1088" spans="1:24" x14ac:dyDescent="0.3">
      <c r="A1088" t="s">
        <v>1156</v>
      </c>
      <c r="B1088" t="s">
        <v>39</v>
      </c>
      <c r="C1088">
        <v>24</v>
      </c>
      <c r="D1088" t="s">
        <v>31</v>
      </c>
      <c r="E1088" t="s">
        <v>48</v>
      </c>
      <c r="F1088" t="s">
        <v>41</v>
      </c>
      <c r="G1088" t="s">
        <v>63</v>
      </c>
      <c r="H1088" t="s">
        <v>67</v>
      </c>
      <c r="I1088" t="s">
        <v>43</v>
      </c>
      <c r="J1088" t="s">
        <v>44</v>
      </c>
      <c r="K1088">
        <v>8</v>
      </c>
      <c r="L1088">
        <v>51013</v>
      </c>
      <c r="M1088" t="s">
        <v>28</v>
      </c>
      <c r="N1088">
        <v>1</v>
      </c>
      <c r="O1088">
        <v>4</v>
      </c>
      <c r="P1088">
        <v>52</v>
      </c>
      <c r="Q1088">
        <v>0</v>
      </c>
      <c r="R1088" s="1">
        <v>42277</v>
      </c>
      <c r="S1088" t="s">
        <v>29</v>
      </c>
      <c r="T1088" t="str">
        <f t="shared" si="80"/>
        <v>Grade B</v>
      </c>
      <c r="U1088">
        <f t="shared" si="81"/>
        <v>3</v>
      </c>
      <c r="V1088" t="str">
        <f t="shared" si="82"/>
        <v>Mid Level</v>
      </c>
      <c r="W1088" t="str">
        <f t="shared" si="83"/>
        <v>Medium Risk</v>
      </c>
      <c r="X1088" t="str">
        <f t="shared" si="84"/>
        <v>Competitive</v>
      </c>
    </row>
    <row r="1089" spans="1:24" x14ac:dyDescent="0.3">
      <c r="A1089" t="s">
        <v>1157</v>
      </c>
      <c r="B1089" t="s">
        <v>39</v>
      </c>
      <c r="C1089">
        <v>49</v>
      </c>
      <c r="D1089" t="s">
        <v>31</v>
      </c>
      <c r="E1089" t="s">
        <v>40</v>
      </c>
      <c r="F1089" t="s">
        <v>65</v>
      </c>
      <c r="G1089" t="s">
        <v>24</v>
      </c>
      <c r="H1089" t="s">
        <v>25</v>
      </c>
      <c r="I1089" t="s">
        <v>68</v>
      </c>
      <c r="J1089" t="s">
        <v>60</v>
      </c>
      <c r="K1089">
        <v>8</v>
      </c>
      <c r="L1089">
        <v>89591</v>
      </c>
      <c r="M1089" t="s">
        <v>45</v>
      </c>
      <c r="N1089">
        <v>1</v>
      </c>
      <c r="O1089">
        <v>2</v>
      </c>
      <c r="P1089">
        <v>47</v>
      </c>
      <c r="Q1089">
        <v>2</v>
      </c>
      <c r="R1089" s="1">
        <v>42057</v>
      </c>
      <c r="S1089" t="s">
        <v>37</v>
      </c>
      <c r="T1089" t="str">
        <f t="shared" si="80"/>
        <v>Grade A</v>
      </c>
      <c r="U1089">
        <f t="shared" si="81"/>
        <v>2</v>
      </c>
      <c r="V1089" t="str">
        <f t="shared" si="82"/>
        <v>Mid Level</v>
      </c>
      <c r="W1089" t="str">
        <f t="shared" si="83"/>
        <v>Already Left</v>
      </c>
      <c r="X1089" t="str">
        <f t="shared" si="84"/>
        <v>Fair</v>
      </c>
    </row>
    <row r="1090" spans="1:24" x14ac:dyDescent="0.3">
      <c r="A1090" t="s">
        <v>1158</v>
      </c>
      <c r="B1090" t="s">
        <v>20</v>
      </c>
      <c r="C1090">
        <v>24</v>
      </c>
      <c r="D1090" t="s">
        <v>88</v>
      </c>
      <c r="E1090" t="s">
        <v>40</v>
      </c>
      <c r="F1090" t="s">
        <v>75</v>
      </c>
      <c r="G1090" t="s">
        <v>33</v>
      </c>
      <c r="H1090" t="s">
        <v>76</v>
      </c>
      <c r="I1090" t="s">
        <v>50</v>
      </c>
      <c r="J1090" t="s">
        <v>44</v>
      </c>
      <c r="K1090">
        <v>8</v>
      </c>
      <c r="L1090">
        <v>68140</v>
      </c>
      <c r="M1090" t="s">
        <v>51</v>
      </c>
      <c r="N1090">
        <v>1</v>
      </c>
      <c r="O1090">
        <v>4</v>
      </c>
      <c r="P1090">
        <v>69</v>
      </c>
      <c r="Q1090">
        <v>1</v>
      </c>
      <c r="R1090" s="1">
        <v>42308</v>
      </c>
      <c r="S1090" t="s">
        <v>29</v>
      </c>
      <c r="T1090" t="str">
        <f t="shared" ref="T1090:T1153" si="85">IF(L1090&gt;=80000,"Grade A",IF(L1090&gt;=50000,"Grade B",IF(L1090&gt;=35000,"Grade C","Grade D")))</f>
        <v>Grade B</v>
      </c>
      <c r="U1090">
        <f t="shared" ref="U1090:U1153" si="86">IF(M1090="Excellent",4,IF(M1090="Good",3,IF(M1090="Average",2,1)))</f>
        <v>4</v>
      </c>
      <c r="V1090" t="str">
        <f t="shared" ref="V1090:V1153" si="87">IF(K1090&lt;=2,"New Joiner",IF(K1090&lt;=5,"Junior",IF(K1090&lt;=10,"Mid Level","Senior")))</f>
        <v>Mid Level</v>
      </c>
      <c r="W1090" t="str">
        <f t="shared" ref="W1090:W1153" si="88">IF(S1090="Yes","Already Left",IF(AND(K1090&lt;=2,M1090="Poor"),"High Risk",IF(AND(K1090&lt;=5,M1090="Average"),"Medium Risk",IF(M1090="Excellent","Low Risk","Medium Risk"))))</f>
        <v>Low Risk</v>
      </c>
      <c r="X1090" t="str">
        <f t="shared" ref="X1090:X1153" si="89">IF(AND(L1090&gt;=80000,M1090="Excellent"),"Competitive",IF(AND(L1090&gt;=50000,M1090="Good"),"Competitive",IF(AND(L1090&lt;35000,M1090="Excellent"),"Underpaid",IF(AND(L1090&gt;=80000,M1090="Poor"),"Overpaid","Fair"))))</f>
        <v>Fair</v>
      </c>
    </row>
    <row r="1091" spans="1:24" x14ac:dyDescent="0.3">
      <c r="A1091" t="s">
        <v>1159</v>
      </c>
      <c r="B1091" t="s">
        <v>39</v>
      </c>
      <c r="C1091">
        <v>47</v>
      </c>
      <c r="D1091" t="s">
        <v>57</v>
      </c>
      <c r="E1091" t="s">
        <v>48</v>
      </c>
      <c r="F1091" t="s">
        <v>62</v>
      </c>
      <c r="G1091" t="s">
        <v>63</v>
      </c>
      <c r="H1091" t="s">
        <v>83</v>
      </c>
      <c r="I1091" t="s">
        <v>26</v>
      </c>
      <c r="J1091" t="s">
        <v>27</v>
      </c>
      <c r="K1091">
        <v>5</v>
      </c>
      <c r="L1091">
        <v>61940</v>
      </c>
      <c r="M1091" t="s">
        <v>36</v>
      </c>
      <c r="N1091">
        <v>4</v>
      </c>
      <c r="O1091">
        <v>2</v>
      </c>
      <c r="P1091">
        <v>60</v>
      </c>
      <c r="Q1091">
        <v>3</v>
      </c>
      <c r="R1091" s="1">
        <v>43300</v>
      </c>
      <c r="S1091" t="s">
        <v>37</v>
      </c>
      <c r="T1091" t="str">
        <f t="shared" si="85"/>
        <v>Grade B</v>
      </c>
      <c r="U1091">
        <f t="shared" si="86"/>
        <v>1</v>
      </c>
      <c r="V1091" t="str">
        <f t="shared" si="87"/>
        <v>Junior</v>
      </c>
      <c r="W1091" t="str">
        <f t="shared" si="88"/>
        <v>Already Left</v>
      </c>
      <c r="X1091" t="str">
        <f t="shared" si="89"/>
        <v>Fair</v>
      </c>
    </row>
    <row r="1092" spans="1:24" x14ac:dyDescent="0.3">
      <c r="A1092" t="s">
        <v>1160</v>
      </c>
      <c r="B1092" t="s">
        <v>20</v>
      </c>
      <c r="C1092">
        <v>42</v>
      </c>
      <c r="D1092" t="s">
        <v>21</v>
      </c>
      <c r="E1092" t="s">
        <v>22</v>
      </c>
      <c r="F1092" t="s">
        <v>75</v>
      </c>
      <c r="G1092" t="s">
        <v>79</v>
      </c>
      <c r="H1092" t="s">
        <v>34</v>
      </c>
      <c r="I1092" t="s">
        <v>80</v>
      </c>
      <c r="J1092" t="s">
        <v>60</v>
      </c>
      <c r="K1092">
        <v>12</v>
      </c>
      <c r="L1092">
        <v>64725</v>
      </c>
      <c r="M1092" t="s">
        <v>45</v>
      </c>
      <c r="N1092">
        <v>1</v>
      </c>
      <c r="O1092">
        <v>2</v>
      </c>
      <c r="P1092">
        <v>33</v>
      </c>
      <c r="Q1092">
        <v>0</v>
      </c>
      <c r="R1092" s="1">
        <v>40611</v>
      </c>
      <c r="S1092" t="s">
        <v>29</v>
      </c>
      <c r="T1092" t="str">
        <f t="shared" si="85"/>
        <v>Grade B</v>
      </c>
      <c r="U1092">
        <f t="shared" si="86"/>
        <v>2</v>
      </c>
      <c r="V1092" t="str">
        <f t="shared" si="87"/>
        <v>Senior</v>
      </c>
      <c r="W1092" t="str">
        <f t="shared" si="88"/>
        <v>Medium Risk</v>
      </c>
      <c r="X1092" t="str">
        <f t="shared" si="89"/>
        <v>Fair</v>
      </c>
    </row>
    <row r="1093" spans="1:24" x14ac:dyDescent="0.3">
      <c r="A1093" t="s">
        <v>1161</v>
      </c>
      <c r="B1093" t="s">
        <v>39</v>
      </c>
      <c r="C1093">
        <v>49</v>
      </c>
      <c r="D1093" t="s">
        <v>21</v>
      </c>
      <c r="E1093" t="s">
        <v>22</v>
      </c>
      <c r="F1093" t="s">
        <v>65</v>
      </c>
      <c r="G1093" t="s">
        <v>58</v>
      </c>
      <c r="H1093" t="s">
        <v>67</v>
      </c>
      <c r="I1093" t="s">
        <v>96</v>
      </c>
      <c r="J1093" t="s">
        <v>44</v>
      </c>
      <c r="K1093">
        <v>15</v>
      </c>
      <c r="L1093">
        <v>116510</v>
      </c>
      <c r="M1093" t="s">
        <v>36</v>
      </c>
      <c r="N1093">
        <v>4</v>
      </c>
      <c r="O1093">
        <v>2</v>
      </c>
      <c r="P1093">
        <v>63</v>
      </c>
      <c r="Q1093">
        <v>2</v>
      </c>
      <c r="R1093" s="1">
        <v>39575</v>
      </c>
      <c r="S1093" t="s">
        <v>37</v>
      </c>
      <c r="T1093" t="str">
        <f t="shared" si="85"/>
        <v>Grade A</v>
      </c>
      <c r="U1093">
        <f t="shared" si="86"/>
        <v>1</v>
      </c>
      <c r="V1093" t="str">
        <f t="shared" si="87"/>
        <v>Senior</v>
      </c>
      <c r="W1093" t="str">
        <f t="shared" si="88"/>
        <v>Already Left</v>
      </c>
      <c r="X1093" t="str">
        <f t="shared" si="89"/>
        <v>Overpaid</v>
      </c>
    </row>
    <row r="1094" spans="1:24" x14ac:dyDescent="0.3">
      <c r="A1094" t="s">
        <v>1162</v>
      </c>
      <c r="B1094" t="s">
        <v>39</v>
      </c>
      <c r="C1094">
        <v>46</v>
      </c>
      <c r="D1094" t="s">
        <v>57</v>
      </c>
      <c r="E1094" t="s">
        <v>22</v>
      </c>
      <c r="F1094" t="s">
        <v>75</v>
      </c>
      <c r="G1094" t="s">
        <v>42</v>
      </c>
      <c r="H1094" t="s">
        <v>67</v>
      </c>
      <c r="I1094" t="s">
        <v>59</v>
      </c>
      <c r="J1094" t="s">
        <v>60</v>
      </c>
      <c r="K1094">
        <v>9</v>
      </c>
      <c r="L1094">
        <v>113736</v>
      </c>
      <c r="M1094" t="s">
        <v>51</v>
      </c>
      <c r="N1094">
        <v>1</v>
      </c>
      <c r="O1094">
        <v>1</v>
      </c>
      <c r="P1094">
        <v>48</v>
      </c>
      <c r="Q1094">
        <v>1</v>
      </c>
      <c r="R1094" s="1">
        <v>41701</v>
      </c>
      <c r="S1094" t="s">
        <v>29</v>
      </c>
      <c r="T1094" t="str">
        <f t="shared" si="85"/>
        <v>Grade A</v>
      </c>
      <c r="U1094">
        <f t="shared" si="86"/>
        <v>4</v>
      </c>
      <c r="V1094" t="str">
        <f t="shared" si="87"/>
        <v>Mid Level</v>
      </c>
      <c r="W1094" t="str">
        <f t="shared" si="88"/>
        <v>Low Risk</v>
      </c>
      <c r="X1094" t="str">
        <f t="shared" si="89"/>
        <v>Competitive</v>
      </c>
    </row>
    <row r="1095" spans="1:24" x14ac:dyDescent="0.3">
      <c r="A1095" t="s">
        <v>1163</v>
      </c>
      <c r="B1095" t="s">
        <v>20</v>
      </c>
      <c r="C1095">
        <v>49</v>
      </c>
      <c r="D1095" t="s">
        <v>57</v>
      </c>
      <c r="E1095" t="s">
        <v>48</v>
      </c>
      <c r="F1095" t="s">
        <v>62</v>
      </c>
      <c r="G1095" t="s">
        <v>63</v>
      </c>
      <c r="H1095" t="s">
        <v>67</v>
      </c>
      <c r="I1095" t="s">
        <v>80</v>
      </c>
      <c r="J1095" t="s">
        <v>60</v>
      </c>
      <c r="K1095">
        <v>5</v>
      </c>
      <c r="L1095">
        <v>57289</v>
      </c>
      <c r="M1095" t="s">
        <v>51</v>
      </c>
      <c r="N1095">
        <v>1</v>
      </c>
      <c r="O1095">
        <v>3</v>
      </c>
      <c r="P1095">
        <v>65</v>
      </c>
      <c r="Q1095">
        <v>2</v>
      </c>
      <c r="R1095" s="1">
        <v>43182</v>
      </c>
      <c r="S1095" t="s">
        <v>29</v>
      </c>
      <c r="T1095" t="str">
        <f t="shared" si="85"/>
        <v>Grade B</v>
      </c>
      <c r="U1095">
        <f t="shared" si="86"/>
        <v>4</v>
      </c>
      <c r="V1095" t="str">
        <f t="shared" si="87"/>
        <v>Junior</v>
      </c>
      <c r="W1095" t="str">
        <f t="shared" si="88"/>
        <v>Low Risk</v>
      </c>
      <c r="X1095" t="str">
        <f t="shared" si="89"/>
        <v>Fair</v>
      </c>
    </row>
    <row r="1096" spans="1:24" x14ac:dyDescent="0.3">
      <c r="A1096" t="s">
        <v>1164</v>
      </c>
      <c r="B1096" t="s">
        <v>39</v>
      </c>
      <c r="C1096">
        <v>50</v>
      </c>
      <c r="D1096" t="s">
        <v>31</v>
      </c>
      <c r="E1096" t="s">
        <v>48</v>
      </c>
      <c r="F1096" t="s">
        <v>23</v>
      </c>
      <c r="G1096" t="s">
        <v>66</v>
      </c>
      <c r="H1096" t="s">
        <v>25</v>
      </c>
      <c r="I1096" t="s">
        <v>68</v>
      </c>
      <c r="J1096" t="s">
        <v>60</v>
      </c>
      <c r="K1096">
        <v>7</v>
      </c>
      <c r="L1096">
        <v>55057</v>
      </c>
      <c r="M1096" t="s">
        <v>45</v>
      </c>
      <c r="N1096">
        <v>2</v>
      </c>
      <c r="O1096">
        <v>2</v>
      </c>
      <c r="P1096">
        <v>74</v>
      </c>
      <c r="Q1096">
        <v>0</v>
      </c>
      <c r="R1096" s="1">
        <v>42563</v>
      </c>
      <c r="S1096" t="s">
        <v>29</v>
      </c>
      <c r="T1096" t="str">
        <f t="shared" si="85"/>
        <v>Grade B</v>
      </c>
      <c r="U1096">
        <f t="shared" si="86"/>
        <v>2</v>
      </c>
      <c r="V1096" t="str">
        <f t="shared" si="87"/>
        <v>Mid Level</v>
      </c>
      <c r="W1096" t="str">
        <f t="shared" si="88"/>
        <v>Medium Risk</v>
      </c>
      <c r="X1096" t="str">
        <f t="shared" si="89"/>
        <v>Fair</v>
      </c>
    </row>
    <row r="1097" spans="1:24" x14ac:dyDescent="0.3">
      <c r="A1097" t="s">
        <v>1165</v>
      </c>
      <c r="B1097" t="s">
        <v>39</v>
      </c>
      <c r="C1097">
        <v>48</v>
      </c>
      <c r="D1097" t="s">
        <v>31</v>
      </c>
      <c r="E1097" t="s">
        <v>40</v>
      </c>
      <c r="F1097" t="s">
        <v>53</v>
      </c>
      <c r="G1097" t="s">
        <v>63</v>
      </c>
      <c r="H1097" t="s">
        <v>67</v>
      </c>
      <c r="I1097" t="s">
        <v>43</v>
      </c>
      <c r="J1097" t="s">
        <v>44</v>
      </c>
      <c r="K1097">
        <v>5</v>
      </c>
      <c r="L1097">
        <v>57493</v>
      </c>
      <c r="M1097" t="s">
        <v>45</v>
      </c>
      <c r="N1097">
        <v>3</v>
      </c>
      <c r="O1097">
        <v>1</v>
      </c>
      <c r="P1097">
        <v>23</v>
      </c>
      <c r="Q1097">
        <v>3</v>
      </c>
      <c r="R1097" s="1">
        <v>43143</v>
      </c>
      <c r="S1097" t="s">
        <v>29</v>
      </c>
      <c r="T1097" t="str">
        <f t="shared" si="85"/>
        <v>Grade B</v>
      </c>
      <c r="U1097">
        <f t="shared" si="86"/>
        <v>2</v>
      </c>
      <c r="V1097" t="str">
        <f t="shared" si="87"/>
        <v>Junior</v>
      </c>
      <c r="W1097" t="str">
        <f t="shared" si="88"/>
        <v>Medium Risk</v>
      </c>
      <c r="X1097" t="str">
        <f t="shared" si="89"/>
        <v>Fair</v>
      </c>
    </row>
    <row r="1098" spans="1:24" x14ac:dyDescent="0.3">
      <c r="A1098" t="s">
        <v>1166</v>
      </c>
      <c r="B1098" t="s">
        <v>39</v>
      </c>
      <c r="C1098">
        <v>31</v>
      </c>
      <c r="D1098" t="s">
        <v>31</v>
      </c>
      <c r="E1098" t="s">
        <v>22</v>
      </c>
      <c r="F1098" t="s">
        <v>65</v>
      </c>
      <c r="G1098" t="s">
        <v>63</v>
      </c>
      <c r="H1098" t="s">
        <v>67</v>
      </c>
      <c r="I1098" t="s">
        <v>72</v>
      </c>
      <c r="J1098" t="s">
        <v>73</v>
      </c>
      <c r="K1098">
        <v>1</v>
      </c>
      <c r="L1098">
        <v>42251</v>
      </c>
      <c r="M1098" t="s">
        <v>51</v>
      </c>
      <c r="N1098">
        <v>4</v>
      </c>
      <c r="O1098">
        <v>4</v>
      </c>
      <c r="P1098">
        <v>71</v>
      </c>
      <c r="Q1098">
        <v>3</v>
      </c>
      <c r="R1098" s="1">
        <v>44867</v>
      </c>
      <c r="S1098" t="s">
        <v>29</v>
      </c>
      <c r="T1098" t="str">
        <f t="shared" si="85"/>
        <v>Grade C</v>
      </c>
      <c r="U1098">
        <f t="shared" si="86"/>
        <v>4</v>
      </c>
      <c r="V1098" t="str">
        <f t="shared" si="87"/>
        <v>New Joiner</v>
      </c>
      <c r="W1098" t="str">
        <f t="shared" si="88"/>
        <v>Low Risk</v>
      </c>
      <c r="X1098" t="str">
        <f t="shared" si="89"/>
        <v>Fair</v>
      </c>
    </row>
    <row r="1099" spans="1:24" x14ac:dyDescent="0.3">
      <c r="A1099" t="s">
        <v>1167</v>
      </c>
      <c r="B1099" t="s">
        <v>39</v>
      </c>
      <c r="C1099">
        <v>33</v>
      </c>
      <c r="D1099" t="s">
        <v>31</v>
      </c>
      <c r="E1099" t="s">
        <v>40</v>
      </c>
      <c r="F1099" t="s">
        <v>75</v>
      </c>
      <c r="G1099" t="s">
        <v>79</v>
      </c>
      <c r="H1099" t="s">
        <v>67</v>
      </c>
      <c r="I1099" t="s">
        <v>80</v>
      </c>
      <c r="J1099" t="s">
        <v>60</v>
      </c>
      <c r="K1099">
        <v>10</v>
      </c>
      <c r="L1099">
        <v>62784</v>
      </c>
      <c r="M1099" t="s">
        <v>45</v>
      </c>
      <c r="N1099">
        <v>1</v>
      </c>
      <c r="O1099">
        <v>1</v>
      </c>
      <c r="P1099">
        <v>57</v>
      </c>
      <c r="Q1099">
        <v>2</v>
      </c>
      <c r="R1099" s="1">
        <v>41589</v>
      </c>
      <c r="S1099" t="s">
        <v>37</v>
      </c>
      <c r="T1099" t="str">
        <f t="shared" si="85"/>
        <v>Grade B</v>
      </c>
      <c r="U1099">
        <f t="shared" si="86"/>
        <v>2</v>
      </c>
      <c r="V1099" t="str">
        <f t="shared" si="87"/>
        <v>Mid Level</v>
      </c>
      <c r="W1099" t="str">
        <f t="shared" si="88"/>
        <v>Already Left</v>
      </c>
      <c r="X1099" t="str">
        <f t="shared" si="89"/>
        <v>Fair</v>
      </c>
    </row>
    <row r="1100" spans="1:24" x14ac:dyDescent="0.3">
      <c r="A1100" t="s">
        <v>1168</v>
      </c>
      <c r="B1100" t="s">
        <v>20</v>
      </c>
      <c r="C1100">
        <v>52</v>
      </c>
      <c r="D1100" t="s">
        <v>57</v>
      </c>
      <c r="E1100" t="s">
        <v>40</v>
      </c>
      <c r="F1100" t="s">
        <v>75</v>
      </c>
      <c r="G1100" t="s">
        <v>58</v>
      </c>
      <c r="H1100" t="s">
        <v>83</v>
      </c>
      <c r="I1100" t="s">
        <v>35</v>
      </c>
      <c r="J1100" t="s">
        <v>27</v>
      </c>
      <c r="K1100">
        <v>13</v>
      </c>
      <c r="L1100">
        <v>104550</v>
      </c>
      <c r="M1100" t="s">
        <v>51</v>
      </c>
      <c r="N1100">
        <v>2</v>
      </c>
      <c r="O1100">
        <v>2</v>
      </c>
      <c r="P1100">
        <v>20</v>
      </c>
      <c r="Q1100">
        <v>1</v>
      </c>
      <c r="R1100" s="1">
        <v>40246</v>
      </c>
      <c r="S1100" t="s">
        <v>29</v>
      </c>
      <c r="T1100" t="str">
        <f t="shared" si="85"/>
        <v>Grade A</v>
      </c>
      <c r="U1100">
        <f t="shared" si="86"/>
        <v>4</v>
      </c>
      <c r="V1100" t="str">
        <f t="shared" si="87"/>
        <v>Senior</v>
      </c>
      <c r="W1100" t="str">
        <f t="shared" si="88"/>
        <v>Low Risk</v>
      </c>
      <c r="X1100" t="str">
        <f t="shared" si="89"/>
        <v>Competitive</v>
      </c>
    </row>
    <row r="1101" spans="1:24" x14ac:dyDescent="0.3">
      <c r="A1101" t="s">
        <v>1169</v>
      </c>
      <c r="B1101" t="s">
        <v>20</v>
      </c>
      <c r="C1101">
        <v>32</v>
      </c>
      <c r="D1101" t="s">
        <v>57</v>
      </c>
      <c r="E1101" t="s">
        <v>22</v>
      </c>
      <c r="F1101" t="s">
        <v>65</v>
      </c>
      <c r="G1101" t="s">
        <v>42</v>
      </c>
      <c r="H1101" t="s">
        <v>76</v>
      </c>
      <c r="I1101" t="s">
        <v>54</v>
      </c>
      <c r="J1101" t="s">
        <v>27</v>
      </c>
      <c r="K1101">
        <v>15</v>
      </c>
      <c r="L1101">
        <v>129618</v>
      </c>
      <c r="M1101" t="s">
        <v>51</v>
      </c>
      <c r="N1101">
        <v>2</v>
      </c>
      <c r="O1101">
        <v>1</v>
      </c>
      <c r="P1101">
        <v>31</v>
      </c>
      <c r="Q1101">
        <v>0</v>
      </c>
      <c r="R1101" s="1">
        <v>39608</v>
      </c>
      <c r="S1101" t="s">
        <v>29</v>
      </c>
      <c r="T1101" t="str">
        <f t="shared" si="85"/>
        <v>Grade A</v>
      </c>
      <c r="U1101">
        <f t="shared" si="86"/>
        <v>4</v>
      </c>
      <c r="V1101" t="str">
        <f t="shared" si="87"/>
        <v>Senior</v>
      </c>
      <c r="W1101" t="str">
        <f t="shared" si="88"/>
        <v>Low Risk</v>
      </c>
      <c r="X1101" t="str">
        <f t="shared" si="89"/>
        <v>Competitive</v>
      </c>
    </row>
    <row r="1102" spans="1:24" x14ac:dyDescent="0.3">
      <c r="A1102" t="s">
        <v>1170</v>
      </c>
      <c r="B1102" t="s">
        <v>20</v>
      </c>
      <c r="C1102">
        <v>25</v>
      </c>
      <c r="D1102" t="s">
        <v>57</v>
      </c>
      <c r="E1102" t="s">
        <v>40</v>
      </c>
      <c r="F1102" t="s">
        <v>62</v>
      </c>
      <c r="G1102" t="s">
        <v>49</v>
      </c>
      <c r="H1102" t="s">
        <v>67</v>
      </c>
      <c r="I1102" t="s">
        <v>59</v>
      </c>
      <c r="J1102" t="s">
        <v>60</v>
      </c>
      <c r="K1102">
        <v>6</v>
      </c>
      <c r="L1102">
        <v>66092</v>
      </c>
      <c r="M1102" t="s">
        <v>36</v>
      </c>
      <c r="N1102">
        <v>3</v>
      </c>
      <c r="O1102">
        <v>2</v>
      </c>
      <c r="P1102">
        <v>57</v>
      </c>
      <c r="Q1102">
        <v>2</v>
      </c>
      <c r="R1102" s="1">
        <v>42801</v>
      </c>
      <c r="S1102" t="s">
        <v>29</v>
      </c>
      <c r="T1102" t="str">
        <f t="shared" si="85"/>
        <v>Grade B</v>
      </c>
      <c r="U1102">
        <f t="shared" si="86"/>
        <v>1</v>
      </c>
      <c r="V1102" t="str">
        <f t="shared" si="87"/>
        <v>Mid Level</v>
      </c>
      <c r="W1102" t="str">
        <f t="shared" si="88"/>
        <v>Medium Risk</v>
      </c>
      <c r="X1102" t="str">
        <f t="shared" si="89"/>
        <v>Fair</v>
      </c>
    </row>
    <row r="1103" spans="1:24" x14ac:dyDescent="0.3">
      <c r="A1103" t="s">
        <v>1171</v>
      </c>
      <c r="B1103" t="s">
        <v>20</v>
      </c>
      <c r="C1103">
        <v>39</v>
      </c>
      <c r="D1103" t="s">
        <v>21</v>
      </c>
      <c r="E1103" t="s">
        <v>22</v>
      </c>
      <c r="F1103" t="s">
        <v>53</v>
      </c>
      <c r="G1103" t="s">
        <v>49</v>
      </c>
      <c r="H1103" t="s">
        <v>25</v>
      </c>
      <c r="I1103" t="s">
        <v>35</v>
      </c>
      <c r="J1103" t="s">
        <v>27</v>
      </c>
      <c r="K1103">
        <v>2</v>
      </c>
      <c r="L1103">
        <v>60497</v>
      </c>
      <c r="M1103" t="s">
        <v>28</v>
      </c>
      <c r="N1103">
        <v>4</v>
      </c>
      <c r="O1103">
        <v>3</v>
      </c>
      <c r="P1103">
        <v>49</v>
      </c>
      <c r="Q1103">
        <v>2</v>
      </c>
      <c r="R1103" s="1">
        <v>44433</v>
      </c>
      <c r="S1103" t="s">
        <v>29</v>
      </c>
      <c r="T1103" t="str">
        <f t="shared" si="85"/>
        <v>Grade B</v>
      </c>
      <c r="U1103">
        <f t="shared" si="86"/>
        <v>3</v>
      </c>
      <c r="V1103" t="str">
        <f t="shared" si="87"/>
        <v>New Joiner</v>
      </c>
      <c r="W1103" t="str">
        <f t="shared" si="88"/>
        <v>Medium Risk</v>
      </c>
      <c r="X1103" t="str">
        <f t="shared" si="89"/>
        <v>Competitive</v>
      </c>
    </row>
    <row r="1104" spans="1:24" x14ac:dyDescent="0.3">
      <c r="A1104" t="s">
        <v>1172</v>
      </c>
      <c r="B1104" t="s">
        <v>39</v>
      </c>
      <c r="C1104">
        <v>31</v>
      </c>
      <c r="D1104" t="s">
        <v>57</v>
      </c>
      <c r="E1104" t="s">
        <v>48</v>
      </c>
      <c r="F1104" t="s">
        <v>78</v>
      </c>
      <c r="G1104" t="s">
        <v>49</v>
      </c>
      <c r="H1104" t="s">
        <v>25</v>
      </c>
      <c r="I1104" t="s">
        <v>80</v>
      </c>
      <c r="J1104" t="s">
        <v>60</v>
      </c>
      <c r="K1104">
        <v>14</v>
      </c>
      <c r="L1104">
        <v>70513</v>
      </c>
      <c r="M1104" t="s">
        <v>28</v>
      </c>
      <c r="N1104">
        <v>4</v>
      </c>
      <c r="O1104">
        <v>1</v>
      </c>
      <c r="P1104">
        <v>67</v>
      </c>
      <c r="Q1104">
        <v>3</v>
      </c>
      <c r="R1104" s="1">
        <v>40111</v>
      </c>
      <c r="S1104" t="s">
        <v>37</v>
      </c>
      <c r="T1104" t="str">
        <f t="shared" si="85"/>
        <v>Grade B</v>
      </c>
      <c r="U1104">
        <f t="shared" si="86"/>
        <v>3</v>
      </c>
      <c r="V1104" t="str">
        <f t="shared" si="87"/>
        <v>Senior</v>
      </c>
      <c r="W1104" t="str">
        <f t="shared" si="88"/>
        <v>Already Left</v>
      </c>
      <c r="X1104" t="str">
        <f t="shared" si="89"/>
        <v>Competitive</v>
      </c>
    </row>
    <row r="1105" spans="1:24" x14ac:dyDescent="0.3">
      <c r="A1105" t="s">
        <v>1173</v>
      </c>
      <c r="B1105" t="s">
        <v>39</v>
      </c>
      <c r="C1105">
        <v>46</v>
      </c>
      <c r="D1105" t="s">
        <v>47</v>
      </c>
      <c r="E1105" t="s">
        <v>22</v>
      </c>
      <c r="F1105" t="s">
        <v>32</v>
      </c>
      <c r="G1105" t="s">
        <v>24</v>
      </c>
      <c r="H1105" t="s">
        <v>67</v>
      </c>
      <c r="I1105" t="s">
        <v>43</v>
      </c>
      <c r="J1105" t="s">
        <v>44</v>
      </c>
      <c r="K1105">
        <v>11</v>
      </c>
      <c r="L1105">
        <v>103032</v>
      </c>
      <c r="M1105" t="s">
        <v>45</v>
      </c>
      <c r="N1105">
        <v>4</v>
      </c>
      <c r="O1105">
        <v>3</v>
      </c>
      <c r="P1105">
        <v>11</v>
      </c>
      <c r="Q1105">
        <v>0</v>
      </c>
      <c r="R1105" s="1">
        <v>41262</v>
      </c>
      <c r="S1105" t="s">
        <v>29</v>
      </c>
      <c r="T1105" t="str">
        <f t="shared" si="85"/>
        <v>Grade A</v>
      </c>
      <c r="U1105">
        <f t="shared" si="86"/>
        <v>2</v>
      </c>
      <c r="V1105" t="str">
        <f t="shared" si="87"/>
        <v>Senior</v>
      </c>
      <c r="W1105" t="str">
        <f t="shared" si="88"/>
        <v>Medium Risk</v>
      </c>
      <c r="X1105" t="str">
        <f t="shared" si="89"/>
        <v>Fair</v>
      </c>
    </row>
    <row r="1106" spans="1:24" x14ac:dyDescent="0.3">
      <c r="A1106" t="s">
        <v>1174</v>
      </c>
      <c r="B1106" t="s">
        <v>39</v>
      </c>
      <c r="C1106">
        <v>42</v>
      </c>
      <c r="D1106" t="s">
        <v>88</v>
      </c>
      <c r="E1106" t="s">
        <v>40</v>
      </c>
      <c r="F1106" t="s">
        <v>75</v>
      </c>
      <c r="G1106" t="s">
        <v>66</v>
      </c>
      <c r="H1106" t="s">
        <v>67</v>
      </c>
      <c r="I1106" t="s">
        <v>26</v>
      </c>
      <c r="J1106" t="s">
        <v>27</v>
      </c>
      <c r="K1106">
        <v>5</v>
      </c>
      <c r="L1106">
        <v>41368</v>
      </c>
      <c r="M1106" t="s">
        <v>51</v>
      </c>
      <c r="N1106">
        <v>2</v>
      </c>
      <c r="O1106">
        <v>3</v>
      </c>
      <c r="P1106">
        <v>39</v>
      </c>
      <c r="Q1106">
        <v>2</v>
      </c>
      <c r="R1106" s="1">
        <v>43270</v>
      </c>
      <c r="S1106" t="s">
        <v>37</v>
      </c>
      <c r="T1106" t="str">
        <f t="shared" si="85"/>
        <v>Grade C</v>
      </c>
      <c r="U1106">
        <f t="shared" si="86"/>
        <v>4</v>
      </c>
      <c r="V1106" t="str">
        <f t="shared" si="87"/>
        <v>Junior</v>
      </c>
      <c r="W1106" t="str">
        <f t="shared" si="88"/>
        <v>Already Left</v>
      </c>
      <c r="X1106" t="str">
        <f t="shared" si="89"/>
        <v>Fair</v>
      </c>
    </row>
    <row r="1107" spans="1:24" x14ac:dyDescent="0.3">
      <c r="A1107" t="s">
        <v>1175</v>
      </c>
      <c r="B1107" t="s">
        <v>20</v>
      </c>
      <c r="C1107">
        <v>52</v>
      </c>
      <c r="D1107" t="s">
        <v>88</v>
      </c>
      <c r="E1107" t="s">
        <v>48</v>
      </c>
      <c r="F1107" t="s">
        <v>62</v>
      </c>
      <c r="G1107" t="s">
        <v>79</v>
      </c>
      <c r="H1107" t="s">
        <v>83</v>
      </c>
      <c r="I1107" t="s">
        <v>59</v>
      </c>
      <c r="J1107" t="s">
        <v>60</v>
      </c>
      <c r="K1107">
        <v>14</v>
      </c>
      <c r="L1107">
        <v>74865</v>
      </c>
      <c r="M1107" t="s">
        <v>51</v>
      </c>
      <c r="N1107">
        <v>1</v>
      </c>
      <c r="O1107">
        <v>4</v>
      </c>
      <c r="P1107">
        <v>54</v>
      </c>
      <c r="Q1107">
        <v>1</v>
      </c>
      <c r="R1107" s="1">
        <v>39980</v>
      </c>
      <c r="S1107" t="s">
        <v>37</v>
      </c>
      <c r="T1107" t="str">
        <f t="shared" si="85"/>
        <v>Grade B</v>
      </c>
      <c r="U1107">
        <f t="shared" si="86"/>
        <v>4</v>
      </c>
      <c r="V1107" t="str">
        <f t="shared" si="87"/>
        <v>Senior</v>
      </c>
      <c r="W1107" t="str">
        <f t="shared" si="88"/>
        <v>Already Left</v>
      </c>
      <c r="X1107" t="str">
        <f t="shared" si="89"/>
        <v>Fair</v>
      </c>
    </row>
    <row r="1108" spans="1:24" x14ac:dyDescent="0.3">
      <c r="A1108" t="s">
        <v>1176</v>
      </c>
      <c r="B1108" t="s">
        <v>39</v>
      </c>
      <c r="C1108">
        <v>45</v>
      </c>
      <c r="D1108" t="s">
        <v>21</v>
      </c>
      <c r="E1108" t="s">
        <v>48</v>
      </c>
      <c r="F1108" t="s">
        <v>62</v>
      </c>
      <c r="G1108" t="s">
        <v>42</v>
      </c>
      <c r="H1108" t="s">
        <v>25</v>
      </c>
      <c r="I1108" t="s">
        <v>80</v>
      </c>
      <c r="J1108" t="s">
        <v>60</v>
      </c>
      <c r="K1108">
        <v>5</v>
      </c>
      <c r="L1108">
        <v>109008</v>
      </c>
      <c r="M1108" t="s">
        <v>45</v>
      </c>
      <c r="N1108">
        <v>2</v>
      </c>
      <c r="O1108">
        <v>4</v>
      </c>
      <c r="P1108">
        <v>80</v>
      </c>
      <c r="Q1108">
        <v>0</v>
      </c>
      <c r="R1108" s="1">
        <v>43195</v>
      </c>
      <c r="S1108" t="s">
        <v>37</v>
      </c>
      <c r="T1108" t="str">
        <f t="shared" si="85"/>
        <v>Grade A</v>
      </c>
      <c r="U1108">
        <f t="shared" si="86"/>
        <v>2</v>
      </c>
      <c r="V1108" t="str">
        <f t="shared" si="87"/>
        <v>Junior</v>
      </c>
      <c r="W1108" t="str">
        <f t="shared" si="88"/>
        <v>Already Left</v>
      </c>
      <c r="X1108" t="str">
        <f t="shared" si="89"/>
        <v>Fair</v>
      </c>
    </row>
    <row r="1109" spans="1:24" x14ac:dyDescent="0.3">
      <c r="A1109" t="s">
        <v>1177</v>
      </c>
      <c r="B1109" t="s">
        <v>20</v>
      </c>
      <c r="C1109">
        <v>46</v>
      </c>
      <c r="D1109" t="s">
        <v>88</v>
      </c>
      <c r="E1109" t="s">
        <v>40</v>
      </c>
      <c r="F1109" t="s">
        <v>65</v>
      </c>
      <c r="G1109" t="s">
        <v>33</v>
      </c>
      <c r="H1109" t="s">
        <v>67</v>
      </c>
      <c r="I1109" t="s">
        <v>50</v>
      </c>
      <c r="J1109" t="s">
        <v>44</v>
      </c>
      <c r="K1109">
        <v>3</v>
      </c>
      <c r="L1109">
        <v>72460</v>
      </c>
      <c r="M1109" t="s">
        <v>51</v>
      </c>
      <c r="N1109">
        <v>4</v>
      </c>
      <c r="O1109">
        <v>2</v>
      </c>
      <c r="P1109">
        <v>17</v>
      </c>
      <c r="Q1109">
        <v>2</v>
      </c>
      <c r="R1109" s="1">
        <v>43859</v>
      </c>
      <c r="S1109" t="s">
        <v>29</v>
      </c>
      <c r="T1109" t="str">
        <f t="shared" si="85"/>
        <v>Grade B</v>
      </c>
      <c r="U1109">
        <f t="shared" si="86"/>
        <v>4</v>
      </c>
      <c r="V1109" t="str">
        <f t="shared" si="87"/>
        <v>Junior</v>
      </c>
      <c r="W1109" t="str">
        <f t="shared" si="88"/>
        <v>Low Risk</v>
      </c>
      <c r="X1109" t="str">
        <f t="shared" si="89"/>
        <v>Fair</v>
      </c>
    </row>
    <row r="1110" spans="1:24" x14ac:dyDescent="0.3">
      <c r="A1110" t="s">
        <v>1178</v>
      </c>
      <c r="B1110" t="s">
        <v>39</v>
      </c>
      <c r="C1110">
        <v>38</v>
      </c>
      <c r="D1110" t="s">
        <v>57</v>
      </c>
      <c r="E1110" t="s">
        <v>22</v>
      </c>
      <c r="F1110" t="s">
        <v>78</v>
      </c>
      <c r="G1110" t="s">
        <v>33</v>
      </c>
      <c r="H1110" t="s">
        <v>34</v>
      </c>
      <c r="I1110" t="s">
        <v>72</v>
      </c>
      <c r="J1110" t="s">
        <v>73</v>
      </c>
      <c r="K1110">
        <v>14</v>
      </c>
      <c r="L1110">
        <v>81429</v>
      </c>
      <c r="M1110" t="s">
        <v>28</v>
      </c>
      <c r="N1110">
        <v>1</v>
      </c>
      <c r="O1110">
        <v>1</v>
      </c>
      <c r="P1110">
        <v>79</v>
      </c>
      <c r="Q1110">
        <v>3</v>
      </c>
      <c r="R1110" s="1">
        <v>39952</v>
      </c>
      <c r="S1110" t="s">
        <v>29</v>
      </c>
      <c r="T1110" t="str">
        <f t="shared" si="85"/>
        <v>Grade A</v>
      </c>
      <c r="U1110">
        <f t="shared" si="86"/>
        <v>3</v>
      </c>
      <c r="V1110" t="str">
        <f t="shared" si="87"/>
        <v>Senior</v>
      </c>
      <c r="W1110" t="str">
        <f t="shared" si="88"/>
        <v>Medium Risk</v>
      </c>
      <c r="X1110" t="str">
        <f t="shared" si="89"/>
        <v>Competitive</v>
      </c>
    </row>
    <row r="1111" spans="1:24" x14ac:dyDescent="0.3">
      <c r="A1111" t="s">
        <v>1179</v>
      </c>
      <c r="B1111" t="s">
        <v>20</v>
      </c>
      <c r="C1111">
        <v>32</v>
      </c>
      <c r="D1111" t="s">
        <v>88</v>
      </c>
      <c r="E1111" t="s">
        <v>22</v>
      </c>
      <c r="F1111" t="s">
        <v>53</v>
      </c>
      <c r="G1111" t="s">
        <v>49</v>
      </c>
      <c r="H1111" t="s">
        <v>25</v>
      </c>
      <c r="I1111" t="s">
        <v>80</v>
      </c>
      <c r="J1111" t="s">
        <v>60</v>
      </c>
      <c r="K1111">
        <v>15</v>
      </c>
      <c r="L1111">
        <v>88243</v>
      </c>
      <c r="M1111" t="s">
        <v>28</v>
      </c>
      <c r="N1111">
        <v>2</v>
      </c>
      <c r="O1111">
        <v>1</v>
      </c>
      <c r="P1111">
        <v>29</v>
      </c>
      <c r="Q1111">
        <v>0</v>
      </c>
      <c r="R1111" s="1">
        <v>39514</v>
      </c>
      <c r="S1111" t="s">
        <v>29</v>
      </c>
      <c r="T1111" t="str">
        <f t="shared" si="85"/>
        <v>Grade A</v>
      </c>
      <c r="U1111">
        <f t="shared" si="86"/>
        <v>3</v>
      </c>
      <c r="V1111" t="str">
        <f t="shared" si="87"/>
        <v>Senior</v>
      </c>
      <c r="W1111" t="str">
        <f t="shared" si="88"/>
        <v>Medium Risk</v>
      </c>
      <c r="X1111" t="str">
        <f t="shared" si="89"/>
        <v>Competitive</v>
      </c>
    </row>
    <row r="1112" spans="1:24" x14ac:dyDescent="0.3">
      <c r="A1112" t="s">
        <v>1180</v>
      </c>
      <c r="B1112" t="s">
        <v>39</v>
      </c>
      <c r="C1112">
        <v>35</v>
      </c>
      <c r="D1112" t="s">
        <v>47</v>
      </c>
      <c r="E1112" t="s">
        <v>22</v>
      </c>
      <c r="F1112" t="s">
        <v>78</v>
      </c>
      <c r="G1112" t="s">
        <v>24</v>
      </c>
      <c r="H1112" t="s">
        <v>83</v>
      </c>
      <c r="I1112" t="s">
        <v>35</v>
      </c>
      <c r="J1112" t="s">
        <v>27</v>
      </c>
      <c r="K1112">
        <v>15</v>
      </c>
      <c r="L1112">
        <v>113565</v>
      </c>
      <c r="M1112" t="s">
        <v>36</v>
      </c>
      <c r="N1112">
        <v>1</v>
      </c>
      <c r="O1112">
        <v>1</v>
      </c>
      <c r="P1112">
        <v>24</v>
      </c>
      <c r="Q1112">
        <v>0</v>
      </c>
      <c r="R1112" s="1">
        <v>39553</v>
      </c>
      <c r="S1112" t="s">
        <v>37</v>
      </c>
      <c r="T1112" t="str">
        <f t="shared" si="85"/>
        <v>Grade A</v>
      </c>
      <c r="U1112">
        <f t="shared" si="86"/>
        <v>1</v>
      </c>
      <c r="V1112" t="str">
        <f t="shared" si="87"/>
        <v>Senior</v>
      </c>
      <c r="W1112" t="str">
        <f t="shared" si="88"/>
        <v>Already Left</v>
      </c>
      <c r="X1112" t="str">
        <f t="shared" si="89"/>
        <v>Overpaid</v>
      </c>
    </row>
    <row r="1113" spans="1:24" x14ac:dyDescent="0.3">
      <c r="A1113" t="s">
        <v>1181</v>
      </c>
      <c r="B1113" t="s">
        <v>20</v>
      </c>
      <c r="C1113">
        <v>46</v>
      </c>
      <c r="D1113" t="s">
        <v>21</v>
      </c>
      <c r="E1113" t="s">
        <v>22</v>
      </c>
      <c r="F1113" t="s">
        <v>32</v>
      </c>
      <c r="G1113" t="s">
        <v>79</v>
      </c>
      <c r="H1113" t="s">
        <v>67</v>
      </c>
      <c r="I1113" t="s">
        <v>68</v>
      </c>
      <c r="J1113" t="s">
        <v>60</v>
      </c>
      <c r="K1113">
        <v>1</v>
      </c>
      <c r="L1113">
        <v>49105</v>
      </c>
      <c r="M1113" t="s">
        <v>51</v>
      </c>
      <c r="N1113">
        <v>1</v>
      </c>
      <c r="O1113">
        <v>4</v>
      </c>
      <c r="P1113">
        <v>59</v>
      </c>
      <c r="Q1113">
        <v>0</v>
      </c>
      <c r="R1113" s="1">
        <v>44691</v>
      </c>
      <c r="S1113" t="s">
        <v>29</v>
      </c>
      <c r="T1113" t="str">
        <f t="shared" si="85"/>
        <v>Grade C</v>
      </c>
      <c r="U1113">
        <f t="shared" si="86"/>
        <v>4</v>
      </c>
      <c r="V1113" t="str">
        <f t="shared" si="87"/>
        <v>New Joiner</v>
      </c>
      <c r="W1113" t="str">
        <f t="shared" si="88"/>
        <v>Low Risk</v>
      </c>
      <c r="X1113" t="str">
        <f t="shared" si="89"/>
        <v>Fair</v>
      </c>
    </row>
    <row r="1114" spans="1:24" x14ac:dyDescent="0.3">
      <c r="A1114" t="s">
        <v>1182</v>
      </c>
      <c r="B1114" t="s">
        <v>39</v>
      </c>
      <c r="C1114">
        <v>40</v>
      </c>
      <c r="D1114" t="s">
        <v>31</v>
      </c>
      <c r="E1114" t="s">
        <v>40</v>
      </c>
      <c r="F1114" t="s">
        <v>41</v>
      </c>
      <c r="G1114" t="s">
        <v>63</v>
      </c>
      <c r="H1114" t="s">
        <v>25</v>
      </c>
      <c r="I1114" t="s">
        <v>50</v>
      </c>
      <c r="J1114" t="s">
        <v>44</v>
      </c>
      <c r="K1114">
        <v>6</v>
      </c>
      <c r="L1114">
        <v>50045</v>
      </c>
      <c r="M1114" t="s">
        <v>28</v>
      </c>
      <c r="N1114">
        <v>2</v>
      </c>
      <c r="O1114">
        <v>1</v>
      </c>
      <c r="P1114">
        <v>75</v>
      </c>
      <c r="Q1114">
        <v>0</v>
      </c>
      <c r="R1114" s="1">
        <v>43071</v>
      </c>
      <c r="S1114" t="s">
        <v>29</v>
      </c>
      <c r="T1114" t="str">
        <f t="shared" si="85"/>
        <v>Grade B</v>
      </c>
      <c r="U1114">
        <f t="shared" si="86"/>
        <v>3</v>
      </c>
      <c r="V1114" t="str">
        <f t="shared" si="87"/>
        <v>Mid Level</v>
      </c>
      <c r="W1114" t="str">
        <f t="shared" si="88"/>
        <v>Medium Risk</v>
      </c>
      <c r="X1114" t="str">
        <f t="shared" si="89"/>
        <v>Competitive</v>
      </c>
    </row>
    <row r="1115" spans="1:24" x14ac:dyDescent="0.3">
      <c r="A1115" t="s">
        <v>1183</v>
      </c>
      <c r="B1115" t="s">
        <v>20</v>
      </c>
      <c r="C1115">
        <v>28</v>
      </c>
      <c r="D1115" t="s">
        <v>21</v>
      </c>
      <c r="E1115" t="s">
        <v>22</v>
      </c>
      <c r="F1115" t="s">
        <v>62</v>
      </c>
      <c r="G1115" t="s">
        <v>66</v>
      </c>
      <c r="H1115" t="s">
        <v>76</v>
      </c>
      <c r="I1115" t="s">
        <v>96</v>
      </c>
      <c r="J1115" t="s">
        <v>44</v>
      </c>
      <c r="K1115">
        <v>4</v>
      </c>
      <c r="L1115">
        <v>43136</v>
      </c>
      <c r="M1115" t="s">
        <v>28</v>
      </c>
      <c r="N1115">
        <v>2</v>
      </c>
      <c r="O1115">
        <v>1</v>
      </c>
      <c r="P1115">
        <v>68</v>
      </c>
      <c r="Q1115">
        <v>3</v>
      </c>
      <c r="R1115" s="1">
        <v>43531</v>
      </c>
      <c r="S1115" t="s">
        <v>29</v>
      </c>
      <c r="T1115" t="str">
        <f t="shared" si="85"/>
        <v>Grade C</v>
      </c>
      <c r="U1115">
        <f t="shared" si="86"/>
        <v>3</v>
      </c>
      <c r="V1115" t="str">
        <f t="shared" si="87"/>
        <v>Junior</v>
      </c>
      <c r="W1115" t="str">
        <f t="shared" si="88"/>
        <v>Medium Risk</v>
      </c>
      <c r="X1115" t="str">
        <f t="shared" si="89"/>
        <v>Fair</v>
      </c>
    </row>
    <row r="1116" spans="1:24" x14ac:dyDescent="0.3">
      <c r="A1116" t="s">
        <v>1184</v>
      </c>
      <c r="B1116" t="s">
        <v>39</v>
      </c>
      <c r="C1116">
        <v>24</v>
      </c>
      <c r="D1116" t="s">
        <v>57</v>
      </c>
      <c r="E1116" t="s">
        <v>48</v>
      </c>
      <c r="F1116" t="s">
        <v>23</v>
      </c>
      <c r="G1116" t="s">
        <v>63</v>
      </c>
      <c r="H1116" t="s">
        <v>25</v>
      </c>
      <c r="I1116" t="s">
        <v>68</v>
      </c>
      <c r="J1116" t="s">
        <v>60</v>
      </c>
      <c r="K1116">
        <v>6</v>
      </c>
      <c r="L1116">
        <v>61337</v>
      </c>
      <c r="M1116" t="s">
        <v>45</v>
      </c>
      <c r="N1116">
        <v>4</v>
      </c>
      <c r="O1116">
        <v>4</v>
      </c>
      <c r="P1116">
        <v>44</v>
      </c>
      <c r="Q1116">
        <v>0</v>
      </c>
      <c r="R1116" s="1">
        <v>42933</v>
      </c>
      <c r="S1116" t="s">
        <v>37</v>
      </c>
      <c r="T1116" t="str">
        <f t="shared" si="85"/>
        <v>Grade B</v>
      </c>
      <c r="U1116">
        <f t="shared" si="86"/>
        <v>2</v>
      </c>
      <c r="V1116" t="str">
        <f t="shared" si="87"/>
        <v>Mid Level</v>
      </c>
      <c r="W1116" t="str">
        <f t="shared" si="88"/>
        <v>Already Left</v>
      </c>
      <c r="X1116" t="str">
        <f t="shared" si="89"/>
        <v>Fair</v>
      </c>
    </row>
    <row r="1117" spans="1:24" x14ac:dyDescent="0.3">
      <c r="A1117" t="s">
        <v>1185</v>
      </c>
      <c r="B1117" t="s">
        <v>39</v>
      </c>
      <c r="C1117">
        <v>50</v>
      </c>
      <c r="D1117" t="s">
        <v>88</v>
      </c>
      <c r="E1117" t="s">
        <v>48</v>
      </c>
      <c r="F1117" t="s">
        <v>23</v>
      </c>
      <c r="G1117" t="s">
        <v>79</v>
      </c>
      <c r="H1117" t="s">
        <v>76</v>
      </c>
      <c r="I1117" t="s">
        <v>26</v>
      </c>
      <c r="J1117" t="s">
        <v>27</v>
      </c>
      <c r="K1117">
        <v>5</v>
      </c>
      <c r="L1117">
        <v>42958</v>
      </c>
      <c r="M1117" t="s">
        <v>45</v>
      </c>
      <c r="N1117">
        <v>1</v>
      </c>
      <c r="O1117">
        <v>4</v>
      </c>
      <c r="P1117">
        <v>44</v>
      </c>
      <c r="Q1117">
        <v>3</v>
      </c>
      <c r="R1117" s="1">
        <v>43323</v>
      </c>
      <c r="S1117" t="s">
        <v>29</v>
      </c>
      <c r="T1117" t="str">
        <f t="shared" si="85"/>
        <v>Grade C</v>
      </c>
      <c r="U1117">
        <f t="shared" si="86"/>
        <v>2</v>
      </c>
      <c r="V1117" t="str">
        <f t="shared" si="87"/>
        <v>Junior</v>
      </c>
      <c r="W1117" t="str">
        <f t="shared" si="88"/>
        <v>Medium Risk</v>
      </c>
      <c r="X1117" t="str">
        <f t="shared" si="89"/>
        <v>Fair</v>
      </c>
    </row>
    <row r="1118" spans="1:24" x14ac:dyDescent="0.3">
      <c r="A1118" t="s">
        <v>1186</v>
      </c>
      <c r="B1118" t="s">
        <v>39</v>
      </c>
      <c r="C1118">
        <v>46</v>
      </c>
      <c r="D1118" t="s">
        <v>88</v>
      </c>
      <c r="E1118" t="s">
        <v>40</v>
      </c>
      <c r="F1118" t="s">
        <v>23</v>
      </c>
      <c r="G1118" t="s">
        <v>63</v>
      </c>
      <c r="H1118" t="s">
        <v>25</v>
      </c>
      <c r="I1118" t="s">
        <v>50</v>
      </c>
      <c r="J1118" t="s">
        <v>44</v>
      </c>
      <c r="K1118">
        <v>7</v>
      </c>
      <c r="L1118">
        <v>66964</v>
      </c>
      <c r="M1118" t="s">
        <v>28</v>
      </c>
      <c r="N1118">
        <v>4</v>
      </c>
      <c r="O1118">
        <v>2</v>
      </c>
      <c r="P1118">
        <v>59</v>
      </c>
      <c r="Q1118">
        <v>3</v>
      </c>
      <c r="R1118" s="1">
        <v>42587</v>
      </c>
      <c r="S1118" t="s">
        <v>29</v>
      </c>
      <c r="T1118" t="str">
        <f t="shared" si="85"/>
        <v>Grade B</v>
      </c>
      <c r="U1118">
        <f t="shared" si="86"/>
        <v>3</v>
      </c>
      <c r="V1118" t="str">
        <f t="shared" si="87"/>
        <v>Mid Level</v>
      </c>
      <c r="W1118" t="str">
        <f t="shared" si="88"/>
        <v>Medium Risk</v>
      </c>
      <c r="X1118" t="str">
        <f t="shared" si="89"/>
        <v>Competitive</v>
      </c>
    </row>
    <row r="1119" spans="1:24" x14ac:dyDescent="0.3">
      <c r="A1119" t="s">
        <v>1187</v>
      </c>
      <c r="B1119" t="s">
        <v>20</v>
      </c>
      <c r="C1119">
        <v>26</v>
      </c>
      <c r="D1119" t="s">
        <v>31</v>
      </c>
      <c r="E1119" t="s">
        <v>22</v>
      </c>
      <c r="F1119" t="s">
        <v>32</v>
      </c>
      <c r="G1119" t="s">
        <v>79</v>
      </c>
      <c r="H1119" t="s">
        <v>34</v>
      </c>
      <c r="I1119" t="s">
        <v>50</v>
      </c>
      <c r="J1119" t="s">
        <v>44</v>
      </c>
      <c r="K1119">
        <v>9</v>
      </c>
      <c r="L1119">
        <v>63482</v>
      </c>
      <c r="M1119" t="s">
        <v>36</v>
      </c>
      <c r="N1119">
        <v>3</v>
      </c>
      <c r="O1119">
        <v>4</v>
      </c>
      <c r="P1119">
        <v>33</v>
      </c>
      <c r="Q1119">
        <v>2</v>
      </c>
      <c r="R1119" s="1">
        <v>41669</v>
      </c>
      <c r="S1119" t="s">
        <v>29</v>
      </c>
      <c r="T1119" t="str">
        <f t="shared" si="85"/>
        <v>Grade B</v>
      </c>
      <c r="U1119">
        <f t="shared" si="86"/>
        <v>1</v>
      </c>
      <c r="V1119" t="str">
        <f t="shared" si="87"/>
        <v>Mid Level</v>
      </c>
      <c r="W1119" t="str">
        <f t="shared" si="88"/>
        <v>Medium Risk</v>
      </c>
      <c r="X1119" t="str">
        <f t="shared" si="89"/>
        <v>Fair</v>
      </c>
    </row>
    <row r="1120" spans="1:24" x14ac:dyDescent="0.3">
      <c r="A1120" t="s">
        <v>1188</v>
      </c>
      <c r="B1120" t="s">
        <v>39</v>
      </c>
      <c r="C1120">
        <v>27</v>
      </c>
      <c r="D1120" t="s">
        <v>47</v>
      </c>
      <c r="E1120" t="s">
        <v>48</v>
      </c>
      <c r="F1120" t="s">
        <v>41</v>
      </c>
      <c r="G1120" t="s">
        <v>63</v>
      </c>
      <c r="H1120" t="s">
        <v>34</v>
      </c>
      <c r="I1120" t="s">
        <v>96</v>
      </c>
      <c r="J1120" t="s">
        <v>44</v>
      </c>
      <c r="K1120">
        <v>15</v>
      </c>
      <c r="L1120">
        <v>65765</v>
      </c>
      <c r="M1120" t="s">
        <v>36</v>
      </c>
      <c r="N1120">
        <v>3</v>
      </c>
      <c r="O1120">
        <v>4</v>
      </c>
      <c r="P1120">
        <v>76</v>
      </c>
      <c r="Q1120">
        <v>1</v>
      </c>
      <c r="R1120" s="1">
        <v>39753</v>
      </c>
      <c r="S1120" t="s">
        <v>37</v>
      </c>
      <c r="T1120" t="str">
        <f t="shared" si="85"/>
        <v>Grade B</v>
      </c>
      <c r="U1120">
        <f t="shared" si="86"/>
        <v>1</v>
      </c>
      <c r="V1120" t="str">
        <f t="shared" si="87"/>
        <v>Senior</v>
      </c>
      <c r="W1120" t="str">
        <f t="shared" si="88"/>
        <v>Already Left</v>
      </c>
      <c r="X1120" t="str">
        <f t="shared" si="89"/>
        <v>Fair</v>
      </c>
    </row>
    <row r="1121" spans="1:24" x14ac:dyDescent="0.3">
      <c r="A1121" t="s">
        <v>1189</v>
      </c>
      <c r="B1121" t="s">
        <v>39</v>
      </c>
      <c r="C1121">
        <v>51</v>
      </c>
      <c r="D1121" t="s">
        <v>31</v>
      </c>
      <c r="E1121" t="s">
        <v>48</v>
      </c>
      <c r="F1121" t="s">
        <v>23</v>
      </c>
      <c r="G1121" t="s">
        <v>58</v>
      </c>
      <c r="H1121" t="s">
        <v>25</v>
      </c>
      <c r="I1121" t="s">
        <v>43</v>
      </c>
      <c r="J1121" t="s">
        <v>44</v>
      </c>
      <c r="K1121">
        <v>9</v>
      </c>
      <c r="L1121">
        <v>111731</v>
      </c>
      <c r="M1121" t="s">
        <v>51</v>
      </c>
      <c r="N1121">
        <v>3</v>
      </c>
      <c r="O1121">
        <v>1</v>
      </c>
      <c r="P1121">
        <v>68</v>
      </c>
      <c r="Q1121">
        <v>3</v>
      </c>
      <c r="R1121" s="1">
        <v>41936</v>
      </c>
      <c r="S1121" t="s">
        <v>29</v>
      </c>
      <c r="T1121" t="str">
        <f t="shared" si="85"/>
        <v>Grade A</v>
      </c>
      <c r="U1121">
        <f t="shared" si="86"/>
        <v>4</v>
      </c>
      <c r="V1121" t="str">
        <f t="shared" si="87"/>
        <v>Mid Level</v>
      </c>
      <c r="W1121" t="str">
        <f t="shared" si="88"/>
        <v>Low Risk</v>
      </c>
      <c r="X1121" t="str">
        <f t="shared" si="89"/>
        <v>Competitive</v>
      </c>
    </row>
    <row r="1122" spans="1:24" x14ac:dyDescent="0.3">
      <c r="A1122" t="s">
        <v>1190</v>
      </c>
      <c r="B1122" t="s">
        <v>39</v>
      </c>
      <c r="C1122">
        <v>28</v>
      </c>
      <c r="D1122" t="s">
        <v>88</v>
      </c>
      <c r="E1122" t="s">
        <v>40</v>
      </c>
      <c r="F1122" t="s">
        <v>62</v>
      </c>
      <c r="G1122" t="s">
        <v>42</v>
      </c>
      <c r="H1122" t="s">
        <v>83</v>
      </c>
      <c r="I1122" t="s">
        <v>96</v>
      </c>
      <c r="J1122" t="s">
        <v>44</v>
      </c>
      <c r="K1122">
        <v>8</v>
      </c>
      <c r="L1122">
        <v>113618</v>
      </c>
      <c r="M1122" t="s">
        <v>28</v>
      </c>
      <c r="N1122">
        <v>2</v>
      </c>
      <c r="O1122">
        <v>3</v>
      </c>
      <c r="P1122">
        <v>21</v>
      </c>
      <c r="Q1122">
        <v>3</v>
      </c>
      <c r="R1122" s="1">
        <v>42278</v>
      </c>
      <c r="S1122" t="s">
        <v>29</v>
      </c>
      <c r="T1122" t="str">
        <f t="shared" si="85"/>
        <v>Grade A</v>
      </c>
      <c r="U1122">
        <f t="shared" si="86"/>
        <v>3</v>
      </c>
      <c r="V1122" t="str">
        <f t="shared" si="87"/>
        <v>Mid Level</v>
      </c>
      <c r="W1122" t="str">
        <f t="shared" si="88"/>
        <v>Medium Risk</v>
      </c>
      <c r="X1122" t="str">
        <f t="shared" si="89"/>
        <v>Competitive</v>
      </c>
    </row>
    <row r="1123" spans="1:24" x14ac:dyDescent="0.3">
      <c r="A1123" t="s">
        <v>1191</v>
      </c>
      <c r="B1123" t="s">
        <v>39</v>
      </c>
      <c r="C1123">
        <v>50</v>
      </c>
      <c r="D1123" t="s">
        <v>21</v>
      </c>
      <c r="E1123" t="s">
        <v>40</v>
      </c>
      <c r="F1123" t="s">
        <v>75</v>
      </c>
      <c r="G1123" t="s">
        <v>24</v>
      </c>
      <c r="H1123" t="s">
        <v>25</v>
      </c>
      <c r="I1123" t="s">
        <v>68</v>
      </c>
      <c r="J1123" t="s">
        <v>60</v>
      </c>
      <c r="K1123">
        <v>3</v>
      </c>
      <c r="L1123">
        <v>90764</v>
      </c>
      <c r="M1123" t="s">
        <v>28</v>
      </c>
      <c r="N1123">
        <v>3</v>
      </c>
      <c r="O1123">
        <v>3</v>
      </c>
      <c r="P1123">
        <v>44</v>
      </c>
      <c r="Q1123">
        <v>1</v>
      </c>
      <c r="R1123" s="1">
        <v>44026</v>
      </c>
      <c r="S1123" t="s">
        <v>29</v>
      </c>
      <c r="T1123" t="str">
        <f t="shared" si="85"/>
        <v>Grade A</v>
      </c>
      <c r="U1123">
        <f t="shared" si="86"/>
        <v>3</v>
      </c>
      <c r="V1123" t="str">
        <f t="shared" si="87"/>
        <v>Junior</v>
      </c>
      <c r="W1123" t="str">
        <f t="shared" si="88"/>
        <v>Medium Risk</v>
      </c>
      <c r="X1123" t="str">
        <f t="shared" si="89"/>
        <v>Competitive</v>
      </c>
    </row>
    <row r="1124" spans="1:24" x14ac:dyDescent="0.3">
      <c r="A1124" t="s">
        <v>1192</v>
      </c>
      <c r="B1124" t="s">
        <v>39</v>
      </c>
      <c r="C1124">
        <v>22</v>
      </c>
      <c r="D1124" t="s">
        <v>88</v>
      </c>
      <c r="E1124" t="s">
        <v>22</v>
      </c>
      <c r="F1124" t="s">
        <v>65</v>
      </c>
      <c r="G1124" t="s">
        <v>58</v>
      </c>
      <c r="H1124" t="s">
        <v>25</v>
      </c>
      <c r="I1124" t="s">
        <v>26</v>
      </c>
      <c r="J1124" t="s">
        <v>27</v>
      </c>
      <c r="K1124">
        <v>8</v>
      </c>
      <c r="L1124">
        <v>101451</v>
      </c>
      <c r="M1124" t="s">
        <v>45</v>
      </c>
      <c r="N1124">
        <v>2</v>
      </c>
      <c r="O1124">
        <v>3</v>
      </c>
      <c r="P1124">
        <v>73</v>
      </c>
      <c r="Q1124">
        <v>0</v>
      </c>
      <c r="R1124" s="1">
        <v>42114</v>
      </c>
      <c r="S1124" t="s">
        <v>29</v>
      </c>
      <c r="T1124" t="str">
        <f t="shared" si="85"/>
        <v>Grade A</v>
      </c>
      <c r="U1124">
        <f t="shared" si="86"/>
        <v>2</v>
      </c>
      <c r="V1124" t="str">
        <f t="shared" si="87"/>
        <v>Mid Level</v>
      </c>
      <c r="W1124" t="str">
        <f t="shared" si="88"/>
        <v>Medium Risk</v>
      </c>
      <c r="X1124" t="str">
        <f t="shared" si="89"/>
        <v>Fair</v>
      </c>
    </row>
    <row r="1125" spans="1:24" x14ac:dyDescent="0.3">
      <c r="A1125" t="s">
        <v>1193</v>
      </c>
      <c r="B1125" t="s">
        <v>20</v>
      </c>
      <c r="C1125">
        <v>25</v>
      </c>
      <c r="D1125" t="s">
        <v>57</v>
      </c>
      <c r="E1125" t="s">
        <v>22</v>
      </c>
      <c r="F1125" t="s">
        <v>23</v>
      </c>
      <c r="G1125" t="s">
        <v>63</v>
      </c>
      <c r="H1125" t="s">
        <v>83</v>
      </c>
      <c r="I1125" t="s">
        <v>54</v>
      </c>
      <c r="J1125" t="s">
        <v>27</v>
      </c>
      <c r="K1125">
        <v>11</v>
      </c>
      <c r="L1125">
        <v>64194</v>
      </c>
      <c r="M1125" t="s">
        <v>51</v>
      </c>
      <c r="N1125">
        <v>2</v>
      </c>
      <c r="O1125">
        <v>2</v>
      </c>
      <c r="P1125">
        <v>45</v>
      </c>
      <c r="Q1125">
        <v>3</v>
      </c>
      <c r="R1125" s="1">
        <v>41068</v>
      </c>
      <c r="S1125" t="s">
        <v>29</v>
      </c>
      <c r="T1125" t="str">
        <f t="shared" si="85"/>
        <v>Grade B</v>
      </c>
      <c r="U1125">
        <f t="shared" si="86"/>
        <v>4</v>
      </c>
      <c r="V1125" t="str">
        <f t="shared" si="87"/>
        <v>Senior</v>
      </c>
      <c r="W1125" t="str">
        <f t="shared" si="88"/>
        <v>Low Risk</v>
      </c>
      <c r="X1125" t="str">
        <f t="shared" si="89"/>
        <v>Fair</v>
      </c>
    </row>
    <row r="1126" spans="1:24" x14ac:dyDescent="0.3">
      <c r="A1126" t="s">
        <v>1194</v>
      </c>
      <c r="B1126" t="s">
        <v>20</v>
      </c>
      <c r="C1126">
        <v>55</v>
      </c>
      <c r="D1126" t="s">
        <v>88</v>
      </c>
      <c r="E1126" t="s">
        <v>22</v>
      </c>
      <c r="F1126" t="s">
        <v>53</v>
      </c>
      <c r="G1126" t="s">
        <v>42</v>
      </c>
      <c r="H1126" t="s">
        <v>34</v>
      </c>
      <c r="I1126" t="s">
        <v>68</v>
      </c>
      <c r="J1126" t="s">
        <v>60</v>
      </c>
      <c r="K1126">
        <v>15</v>
      </c>
      <c r="L1126">
        <v>115165</v>
      </c>
      <c r="M1126" t="s">
        <v>45</v>
      </c>
      <c r="N1126">
        <v>2</v>
      </c>
      <c r="O1126">
        <v>3</v>
      </c>
      <c r="P1126">
        <v>67</v>
      </c>
      <c r="Q1126">
        <v>1</v>
      </c>
      <c r="R1126" s="1">
        <v>39772</v>
      </c>
      <c r="S1126" t="s">
        <v>37</v>
      </c>
      <c r="T1126" t="str">
        <f t="shared" si="85"/>
        <v>Grade A</v>
      </c>
      <c r="U1126">
        <f t="shared" si="86"/>
        <v>2</v>
      </c>
      <c r="V1126" t="str">
        <f t="shared" si="87"/>
        <v>Senior</v>
      </c>
      <c r="W1126" t="str">
        <f t="shared" si="88"/>
        <v>Already Left</v>
      </c>
      <c r="X1126" t="str">
        <f t="shared" si="89"/>
        <v>Fair</v>
      </c>
    </row>
    <row r="1127" spans="1:24" x14ac:dyDescent="0.3">
      <c r="A1127" t="s">
        <v>1195</v>
      </c>
      <c r="B1127" t="s">
        <v>39</v>
      </c>
      <c r="C1127">
        <v>44</v>
      </c>
      <c r="D1127" t="s">
        <v>88</v>
      </c>
      <c r="E1127" t="s">
        <v>40</v>
      </c>
      <c r="F1127" t="s">
        <v>53</v>
      </c>
      <c r="G1127" t="s">
        <v>66</v>
      </c>
      <c r="H1127" t="s">
        <v>76</v>
      </c>
      <c r="I1127" t="s">
        <v>26</v>
      </c>
      <c r="J1127" t="s">
        <v>27</v>
      </c>
      <c r="K1127">
        <v>7</v>
      </c>
      <c r="L1127">
        <v>39204</v>
      </c>
      <c r="M1127" t="s">
        <v>51</v>
      </c>
      <c r="N1127">
        <v>1</v>
      </c>
      <c r="O1127">
        <v>1</v>
      </c>
      <c r="P1127">
        <v>24</v>
      </c>
      <c r="Q1127">
        <v>2</v>
      </c>
      <c r="R1127" s="1">
        <v>42704</v>
      </c>
      <c r="S1127" t="s">
        <v>29</v>
      </c>
      <c r="T1127" t="str">
        <f t="shared" si="85"/>
        <v>Grade C</v>
      </c>
      <c r="U1127">
        <f t="shared" si="86"/>
        <v>4</v>
      </c>
      <c r="V1127" t="str">
        <f t="shared" si="87"/>
        <v>Mid Level</v>
      </c>
      <c r="W1127" t="str">
        <f t="shared" si="88"/>
        <v>Low Risk</v>
      </c>
      <c r="X1127" t="str">
        <f t="shared" si="89"/>
        <v>Fair</v>
      </c>
    </row>
    <row r="1128" spans="1:24" x14ac:dyDescent="0.3">
      <c r="A1128" t="s">
        <v>1196</v>
      </c>
      <c r="B1128" t="s">
        <v>39</v>
      </c>
      <c r="C1128">
        <v>24</v>
      </c>
      <c r="D1128" t="s">
        <v>31</v>
      </c>
      <c r="E1128" t="s">
        <v>22</v>
      </c>
      <c r="F1128" t="s">
        <v>53</v>
      </c>
      <c r="G1128" t="s">
        <v>79</v>
      </c>
      <c r="H1128" t="s">
        <v>76</v>
      </c>
      <c r="I1128" t="s">
        <v>50</v>
      </c>
      <c r="J1128" t="s">
        <v>44</v>
      </c>
      <c r="K1128">
        <v>14</v>
      </c>
      <c r="L1128">
        <v>68321</v>
      </c>
      <c r="M1128" t="s">
        <v>51</v>
      </c>
      <c r="N1128">
        <v>4</v>
      </c>
      <c r="O1128">
        <v>1</v>
      </c>
      <c r="P1128">
        <v>27</v>
      </c>
      <c r="Q1128">
        <v>1</v>
      </c>
      <c r="R1128" s="1">
        <v>39964</v>
      </c>
      <c r="S1128" t="s">
        <v>29</v>
      </c>
      <c r="T1128" t="str">
        <f t="shared" si="85"/>
        <v>Grade B</v>
      </c>
      <c r="U1128">
        <f t="shared" si="86"/>
        <v>4</v>
      </c>
      <c r="V1128" t="str">
        <f t="shared" si="87"/>
        <v>Senior</v>
      </c>
      <c r="W1128" t="str">
        <f t="shared" si="88"/>
        <v>Low Risk</v>
      </c>
      <c r="X1128" t="str">
        <f t="shared" si="89"/>
        <v>Fair</v>
      </c>
    </row>
    <row r="1129" spans="1:24" x14ac:dyDescent="0.3">
      <c r="A1129" t="s">
        <v>1197</v>
      </c>
      <c r="B1129" t="s">
        <v>39</v>
      </c>
      <c r="C1129">
        <v>22</v>
      </c>
      <c r="D1129" t="s">
        <v>57</v>
      </c>
      <c r="E1129" t="s">
        <v>48</v>
      </c>
      <c r="F1129" t="s">
        <v>23</v>
      </c>
      <c r="G1129" t="s">
        <v>63</v>
      </c>
      <c r="H1129" t="s">
        <v>76</v>
      </c>
      <c r="I1129" t="s">
        <v>50</v>
      </c>
      <c r="J1129" t="s">
        <v>44</v>
      </c>
      <c r="K1129">
        <v>13</v>
      </c>
      <c r="L1129">
        <v>80452</v>
      </c>
      <c r="M1129" t="s">
        <v>51</v>
      </c>
      <c r="N1129">
        <v>1</v>
      </c>
      <c r="O1129">
        <v>3</v>
      </c>
      <c r="P1129">
        <v>51</v>
      </c>
      <c r="Q1129">
        <v>2</v>
      </c>
      <c r="R1129" s="1">
        <v>40199</v>
      </c>
      <c r="S1129" t="s">
        <v>29</v>
      </c>
      <c r="T1129" t="str">
        <f t="shared" si="85"/>
        <v>Grade A</v>
      </c>
      <c r="U1129">
        <f t="shared" si="86"/>
        <v>4</v>
      </c>
      <c r="V1129" t="str">
        <f t="shared" si="87"/>
        <v>Senior</v>
      </c>
      <c r="W1129" t="str">
        <f t="shared" si="88"/>
        <v>Low Risk</v>
      </c>
      <c r="X1129" t="str">
        <f t="shared" si="89"/>
        <v>Competitive</v>
      </c>
    </row>
    <row r="1130" spans="1:24" x14ac:dyDescent="0.3">
      <c r="A1130" t="s">
        <v>1198</v>
      </c>
      <c r="B1130" t="s">
        <v>20</v>
      </c>
      <c r="C1130">
        <v>39</v>
      </c>
      <c r="D1130" t="s">
        <v>57</v>
      </c>
      <c r="E1130" t="s">
        <v>22</v>
      </c>
      <c r="F1130" t="s">
        <v>53</v>
      </c>
      <c r="G1130" t="s">
        <v>49</v>
      </c>
      <c r="H1130" t="s">
        <v>34</v>
      </c>
      <c r="I1130" t="s">
        <v>59</v>
      </c>
      <c r="J1130" t="s">
        <v>60</v>
      </c>
      <c r="K1130">
        <v>7</v>
      </c>
      <c r="L1130">
        <v>67504</v>
      </c>
      <c r="M1130" t="s">
        <v>36</v>
      </c>
      <c r="N1130">
        <v>4</v>
      </c>
      <c r="O1130">
        <v>1</v>
      </c>
      <c r="P1130">
        <v>75</v>
      </c>
      <c r="Q1130">
        <v>1</v>
      </c>
      <c r="R1130" s="1">
        <v>42433</v>
      </c>
      <c r="S1130" t="s">
        <v>37</v>
      </c>
      <c r="T1130" t="str">
        <f t="shared" si="85"/>
        <v>Grade B</v>
      </c>
      <c r="U1130">
        <f t="shared" si="86"/>
        <v>1</v>
      </c>
      <c r="V1130" t="str">
        <f t="shared" si="87"/>
        <v>Mid Level</v>
      </c>
      <c r="W1130" t="str">
        <f t="shared" si="88"/>
        <v>Already Left</v>
      </c>
      <c r="X1130" t="str">
        <f t="shared" si="89"/>
        <v>Fair</v>
      </c>
    </row>
    <row r="1131" spans="1:24" x14ac:dyDescent="0.3">
      <c r="A1131" t="s">
        <v>1199</v>
      </c>
      <c r="B1131" t="s">
        <v>39</v>
      </c>
      <c r="C1131">
        <v>31</v>
      </c>
      <c r="D1131" t="s">
        <v>31</v>
      </c>
      <c r="E1131" t="s">
        <v>40</v>
      </c>
      <c r="F1131" t="s">
        <v>32</v>
      </c>
      <c r="G1131" t="s">
        <v>79</v>
      </c>
      <c r="H1131" t="s">
        <v>25</v>
      </c>
      <c r="I1131" t="s">
        <v>96</v>
      </c>
      <c r="J1131" t="s">
        <v>44</v>
      </c>
      <c r="K1131">
        <v>4</v>
      </c>
      <c r="L1131">
        <v>39163</v>
      </c>
      <c r="M1131" t="s">
        <v>51</v>
      </c>
      <c r="N1131">
        <v>4</v>
      </c>
      <c r="O1131">
        <v>2</v>
      </c>
      <c r="P1131">
        <v>33</v>
      </c>
      <c r="Q1131">
        <v>0</v>
      </c>
      <c r="R1131" s="1">
        <v>43662</v>
      </c>
      <c r="S1131" t="s">
        <v>29</v>
      </c>
      <c r="T1131" t="str">
        <f t="shared" si="85"/>
        <v>Grade C</v>
      </c>
      <c r="U1131">
        <f t="shared" si="86"/>
        <v>4</v>
      </c>
      <c r="V1131" t="str">
        <f t="shared" si="87"/>
        <v>Junior</v>
      </c>
      <c r="W1131" t="str">
        <f t="shared" si="88"/>
        <v>Low Risk</v>
      </c>
      <c r="X1131" t="str">
        <f t="shared" si="89"/>
        <v>Fair</v>
      </c>
    </row>
    <row r="1132" spans="1:24" x14ac:dyDescent="0.3">
      <c r="A1132" t="s">
        <v>1200</v>
      </c>
      <c r="B1132" t="s">
        <v>39</v>
      </c>
      <c r="C1132">
        <v>48</v>
      </c>
      <c r="D1132" t="s">
        <v>88</v>
      </c>
      <c r="E1132" t="s">
        <v>22</v>
      </c>
      <c r="F1132" t="s">
        <v>62</v>
      </c>
      <c r="G1132" t="s">
        <v>42</v>
      </c>
      <c r="H1132" t="s">
        <v>67</v>
      </c>
      <c r="I1132" t="s">
        <v>96</v>
      </c>
      <c r="J1132" t="s">
        <v>44</v>
      </c>
      <c r="K1132">
        <v>8</v>
      </c>
      <c r="L1132">
        <v>118171</v>
      </c>
      <c r="M1132" t="s">
        <v>45</v>
      </c>
      <c r="N1132">
        <v>4</v>
      </c>
      <c r="O1132">
        <v>3</v>
      </c>
      <c r="P1132">
        <v>79</v>
      </c>
      <c r="Q1132">
        <v>3</v>
      </c>
      <c r="R1132" s="1">
        <v>42200</v>
      </c>
      <c r="S1132" t="s">
        <v>29</v>
      </c>
      <c r="T1132" t="str">
        <f t="shared" si="85"/>
        <v>Grade A</v>
      </c>
      <c r="U1132">
        <f t="shared" si="86"/>
        <v>2</v>
      </c>
      <c r="V1132" t="str">
        <f t="shared" si="87"/>
        <v>Mid Level</v>
      </c>
      <c r="W1132" t="str">
        <f t="shared" si="88"/>
        <v>Medium Risk</v>
      </c>
      <c r="X1132" t="str">
        <f t="shared" si="89"/>
        <v>Fair</v>
      </c>
    </row>
    <row r="1133" spans="1:24" x14ac:dyDescent="0.3">
      <c r="A1133" t="s">
        <v>1201</v>
      </c>
      <c r="B1133" t="s">
        <v>39</v>
      </c>
      <c r="C1133">
        <v>41</v>
      </c>
      <c r="D1133" t="s">
        <v>47</v>
      </c>
      <c r="E1133" t="s">
        <v>48</v>
      </c>
      <c r="F1133" t="s">
        <v>75</v>
      </c>
      <c r="G1133" t="s">
        <v>49</v>
      </c>
      <c r="H1133" t="s">
        <v>76</v>
      </c>
      <c r="I1133" t="s">
        <v>50</v>
      </c>
      <c r="J1133" t="s">
        <v>44</v>
      </c>
      <c r="K1133">
        <v>10</v>
      </c>
      <c r="L1133">
        <v>68236</v>
      </c>
      <c r="M1133" t="s">
        <v>28</v>
      </c>
      <c r="N1133">
        <v>2</v>
      </c>
      <c r="O1133">
        <v>4</v>
      </c>
      <c r="P1133">
        <v>48</v>
      </c>
      <c r="Q1133">
        <v>3</v>
      </c>
      <c r="R1133" s="1">
        <v>41365</v>
      </c>
      <c r="S1133" t="s">
        <v>29</v>
      </c>
      <c r="T1133" t="str">
        <f t="shared" si="85"/>
        <v>Grade B</v>
      </c>
      <c r="U1133">
        <f t="shared" si="86"/>
        <v>3</v>
      </c>
      <c r="V1133" t="str">
        <f t="shared" si="87"/>
        <v>Mid Level</v>
      </c>
      <c r="W1133" t="str">
        <f t="shared" si="88"/>
        <v>Medium Risk</v>
      </c>
      <c r="X1133" t="str">
        <f t="shared" si="89"/>
        <v>Competitive</v>
      </c>
    </row>
    <row r="1134" spans="1:24" x14ac:dyDescent="0.3">
      <c r="A1134" t="s">
        <v>1202</v>
      </c>
      <c r="B1134" t="s">
        <v>39</v>
      </c>
      <c r="C1134">
        <v>47</v>
      </c>
      <c r="D1134" t="s">
        <v>31</v>
      </c>
      <c r="E1134" t="s">
        <v>48</v>
      </c>
      <c r="F1134" t="s">
        <v>23</v>
      </c>
      <c r="G1134" t="s">
        <v>33</v>
      </c>
      <c r="H1134" t="s">
        <v>25</v>
      </c>
      <c r="I1134" t="s">
        <v>68</v>
      </c>
      <c r="J1134" t="s">
        <v>60</v>
      </c>
      <c r="K1134">
        <v>1</v>
      </c>
      <c r="L1134">
        <v>66559</v>
      </c>
      <c r="M1134" t="s">
        <v>45</v>
      </c>
      <c r="N1134">
        <v>3</v>
      </c>
      <c r="O1134">
        <v>3</v>
      </c>
      <c r="P1134">
        <v>20</v>
      </c>
      <c r="Q1134">
        <v>2</v>
      </c>
      <c r="R1134" s="1">
        <v>44567</v>
      </c>
      <c r="S1134" t="s">
        <v>29</v>
      </c>
      <c r="T1134" t="str">
        <f t="shared" si="85"/>
        <v>Grade B</v>
      </c>
      <c r="U1134">
        <f t="shared" si="86"/>
        <v>2</v>
      </c>
      <c r="V1134" t="str">
        <f t="shared" si="87"/>
        <v>New Joiner</v>
      </c>
      <c r="W1134" t="str">
        <f t="shared" si="88"/>
        <v>Medium Risk</v>
      </c>
      <c r="X1134" t="str">
        <f t="shared" si="89"/>
        <v>Fair</v>
      </c>
    </row>
    <row r="1135" spans="1:24" x14ac:dyDescent="0.3">
      <c r="A1135" t="s">
        <v>1203</v>
      </c>
      <c r="B1135" t="s">
        <v>20</v>
      </c>
      <c r="C1135">
        <v>42</v>
      </c>
      <c r="D1135" t="s">
        <v>21</v>
      </c>
      <c r="E1135" t="s">
        <v>22</v>
      </c>
      <c r="F1135" t="s">
        <v>53</v>
      </c>
      <c r="G1135" t="s">
        <v>58</v>
      </c>
      <c r="H1135" t="s">
        <v>67</v>
      </c>
      <c r="I1135" t="s">
        <v>43</v>
      </c>
      <c r="J1135" t="s">
        <v>44</v>
      </c>
      <c r="K1135">
        <v>12</v>
      </c>
      <c r="L1135">
        <v>118466</v>
      </c>
      <c r="M1135" t="s">
        <v>28</v>
      </c>
      <c r="N1135">
        <v>4</v>
      </c>
      <c r="O1135">
        <v>3</v>
      </c>
      <c r="P1135">
        <v>13</v>
      </c>
      <c r="Q1135">
        <v>0</v>
      </c>
      <c r="R1135" s="1">
        <v>40636</v>
      </c>
      <c r="S1135" t="s">
        <v>37</v>
      </c>
      <c r="T1135" t="str">
        <f t="shared" si="85"/>
        <v>Grade A</v>
      </c>
      <c r="U1135">
        <f t="shared" si="86"/>
        <v>3</v>
      </c>
      <c r="V1135" t="str">
        <f t="shared" si="87"/>
        <v>Senior</v>
      </c>
      <c r="W1135" t="str">
        <f t="shared" si="88"/>
        <v>Already Left</v>
      </c>
      <c r="X1135" t="str">
        <f t="shared" si="89"/>
        <v>Competitive</v>
      </c>
    </row>
    <row r="1136" spans="1:24" x14ac:dyDescent="0.3">
      <c r="A1136" t="s">
        <v>1204</v>
      </c>
      <c r="B1136" t="s">
        <v>39</v>
      </c>
      <c r="C1136">
        <v>31</v>
      </c>
      <c r="D1136" t="s">
        <v>31</v>
      </c>
      <c r="E1136" t="s">
        <v>48</v>
      </c>
      <c r="F1136" t="s">
        <v>41</v>
      </c>
      <c r="G1136" t="s">
        <v>63</v>
      </c>
      <c r="H1136" t="s">
        <v>83</v>
      </c>
      <c r="I1136" t="s">
        <v>59</v>
      </c>
      <c r="J1136" t="s">
        <v>60</v>
      </c>
      <c r="K1136">
        <v>8</v>
      </c>
      <c r="L1136">
        <v>54104</v>
      </c>
      <c r="M1136" t="s">
        <v>51</v>
      </c>
      <c r="N1136">
        <v>4</v>
      </c>
      <c r="O1136">
        <v>4</v>
      </c>
      <c r="P1136">
        <v>16</v>
      </c>
      <c r="Q1136">
        <v>1</v>
      </c>
      <c r="R1136" s="1">
        <v>42021</v>
      </c>
      <c r="S1136" t="s">
        <v>29</v>
      </c>
      <c r="T1136" t="str">
        <f t="shared" si="85"/>
        <v>Grade B</v>
      </c>
      <c r="U1136">
        <f t="shared" si="86"/>
        <v>4</v>
      </c>
      <c r="V1136" t="str">
        <f t="shared" si="87"/>
        <v>Mid Level</v>
      </c>
      <c r="W1136" t="str">
        <f t="shared" si="88"/>
        <v>Low Risk</v>
      </c>
      <c r="X1136" t="str">
        <f t="shared" si="89"/>
        <v>Fair</v>
      </c>
    </row>
    <row r="1137" spans="1:24" x14ac:dyDescent="0.3">
      <c r="A1137" t="s">
        <v>1205</v>
      </c>
      <c r="B1137" t="s">
        <v>39</v>
      </c>
      <c r="C1137">
        <v>33</v>
      </c>
      <c r="D1137" t="s">
        <v>21</v>
      </c>
      <c r="E1137" t="s">
        <v>22</v>
      </c>
      <c r="F1137" t="s">
        <v>23</v>
      </c>
      <c r="G1137" t="s">
        <v>49</v>
      </c>
      <c r="H1137" t="s">
        <v>76</v>
      </c>
      <c r="I1137" t="s">
        <v>68</v>
      </c>
      <c r="J1137" t="s">
        <v>60</v>
      </c>
      <c r="K1137">
        <v>15</v>
      </c>
      <c r="L1137">
        <v>80326</v>
      </c>
      <c r="M1137" t="s">
        <v>45</v>
      </c>
      <c r="N1137">
        <v>2</v>
      </c>
      <c r="O1137">
        <v>2</v>
      </c>
      <c r="P1137">
        <v>66</v>
      </c>
      <c r="Q1137">
        <v>2</v>
      </c>
      <c r="R1137" s="1">
        <v>39460</v>
      </c>
      <c r="S1137" t="s">
        <v>29</v>
      </c>
      <c r="T1137" t="str">
        <f t="shared" si="85"/>
        <v>Grade A</v>
      </c>
      <c r="U1137">
        <f t="shared" si="86"/>
        <v>2</v>
      </c>
      <c r="V1137" t="str">
        <f t="shared" si="87"/>
        <v>Senior</v>
      </c>
      <c r="W1137" t="str">
        <f t="shared" si="88"/>
        <v>Medium Risk</v>
      </c>
      <c r="X1137" t="str">
        <f t="shared" si="89"/>
        <v>Fair</v>
      </c>
    </row>
    <row r="1138" spans="1:24" x14ac:dyDescent="0.3">
      <c r="A1138" t="s">
        <v>1206</v>
      </c>
      <c r="B1138" t="s">
        <v>39</v>
      </c>
      <c r="C1138">
        <v>43</v>
      </c>
      <c r="D1138" t="s">
        <v>47</v>
      </c>
      <c r="E1138" t="s">
        <v>40</v>
      </c>
      <c r="F1138" t="s">
        <v>65</v>
      </c>
      <c r="G1138" t="s">
        <v>63</v>
      </c>
      <c r="H1138" t="s">
        <v>83</v>
      </c>
      <c r="I1138" t="s">
        <v>54</v>
      </c>
      <c r="J1138" t="s">
        <v>27</v>
      </c>
      <c r="K1138">
        <v>3</v>
      </c>
      <c r="L1138">
        <v>42663</v>
      </c>
      <c r="M1138" t="s">
        <v>51</v>
      </c>
      <c r="N1138">
        <v>2</v>
      </c>
      <c r="O1138">
        <v>3</v>
      </c>
      <c r="P1138">
        <v>43</v>
      </c>
      <c r="Q1138">
        <v>3</v>
      </c>
      <c r="R1138" s="1">
        <v>44034</v>
      </c>
      <c r="S1138" t="s">
        <v>37</v>
      </c>
      <c r="T1138" t="str">
        <f t="shared" si="85"/>
        <v>Grade C</v>
      </c>
      <c r="U1138">
        <f t="shared" si="86"/>
        <v>4</v>
      </c>
      <c r="V1138" t="str">
        <f t="shared" si="87"/>
        <v>Junior</v>
      </c>
      <c r="W1138" t="str">
        <f t="shared" si="88"/>
        <v>Already Left</v>
      </c>
      <c r="X1138" t="str">
        <f t="shared" si="89"/>
        <v>Fair</v>
      </c>
    </row>
    <row r="1139" spans="1:24" x14ac:dyDescent="0.3">
      <c r="A1139" t="s">
        <v>1207</v>
      </c>
      <c r="B1139" t="s">
        <v>39</v>
      </c>
      <c r="C1139">
        <v>30</v>
      </c>
      <c r="D1139" t="s">
        <v>57</v>
      </c>
      <c r="E1139" t="s">
        <v>40</v>
      </c>
      <c r="F1139" t="s">
        <v>65</v>
      </c>
      <c r="G1139" t="s">
        <v>58</v>
      </c>
      <c r="H1139" t="s">
        <v>83</v>
      </c>
      <c r="I1139" t="s">
        <v>54</v>
      </c>
      <c r="J1139" t="s">
        <v>27</v>
      </c>
      <c r="K1139">
        <v>5</v>
      </c>
      <c r="L1139">
        <v>101132</v>
      </c>
      <c r="M1139" t="s">
        <v>36</v>
      </c>
      <c r="N1139">
        <v>1</v>
      </c>
      <c r="O1139">
        <v>3</v>
      </c>
      <c r="P1139">
        <v>56</v>
      </c>
      <c r="Q1139">
        <v>0</v>
      </c>
      <c r="R1139" s="1">
        <v>43107</v>
      </c>
      <c r="S1139" t="s">
        <v>37</v>
      </c>
      <c r="T1139" t="str">
        <f t="shared" si="85"/>
        <v>Grade A</v>
      </c>
      <c r="U1139">
        <f t="shared" si="86"/>
        <v>1</v>
      </c>
      <c r="V1139" t="str">
        <f t="shared" si="87"/>
        <v>Junior</v>
      </c>
      <c r="W1139" t="str">
        <f t="shared" si="88"/>
        <v>Already Left</v>
      </c>
      <c r="X1139" t="str">
        <f t="shared" si="89"/>
        <v>Overpaid</v>
      </c>
    </row>
    <row r="1140" spans="1:24" x14ac:dyDescent="0.3">
      <c r="A1140" t="s">
        <v>1208</v>
      </c>
      <c r="B1140" t="s">
        <v>39</v>
      </c>
      <c r="C1140">
        <v>29</v>
      </c>
      <c r="D1140" t="s">
        <v>21</v>
      </c>
      <c r="E1140" t="s">
        <v>48</v>
      </c>
      <c r="F1140" t="s">
        <v>41</v>
      </c>
      <c r="G1140" t="s">
        <v>42</v>
      </c>
      <c r="H1140" t="s">
        <v>83</v>
      </c>
      <c r="I1140" t="s">
        <v>59</v>
      </c>
      <c r="J1140" t="s">
        <v>60</v>
      </c>
      <c r="K1140">
        <v>7</v>
      </c>
      <c r="L1140">
        <v>106085</v>
      </c>
      <c r="M1140" t="s">
        <v>51</v>
      </c>
      <c r="N1140">
        <v>3</v>
      </c>
      <c r="O1140">
        <v>2</v>
      </c>
      <c r="P1140">
        <v>14</v>
      </c>
      <c r="Q1140">
        <v>1</v>
      </c>
      <c r="R1140" s="1">
        <v>42731</v>
      </c>
      <c r="S1140" t="s">
        <v>29</v>
      </c>
      <c r="T1140" t="str">
        <f t="shared" si="85"/>
        <v>Grade A</v>
      </c>
      <c r="U1140">
        <f t="shared" si="86"/>
        <v>4</v>
      </c>
      <c r="V1140" t="str">
        <f t="shared" si="87"/>
        <v>Mid Level</v>
      </c>
      <c r="W1140" t="str">
        <f t="shared" si="88"/>
        <v>Low Risk</v>
      </c>
      <c r="X1140" t="str">
        <f t="shared" si="89"/>
        <v>Competitive</v>
      </c>
    </row>
    <row r="1141" spans="1:24" x14ac:dyDescent="0.3">
      <c r="A1141" t="s">
        <v>1209</v>
      </c>
      <c r="B1141" t="s">
        <v>39</v>
      </c>
      <c r="C1141">
        <v>36</v>
      </c>
      <c r="D1141" t="s">
        <v>31</v>
      </c>
      <c r="E1141" t="s">
        <v>40</v>
      </c>
      <c r="F1141" t="s">
        <v>23</v>
      </c>
      <c r="G1141" t="s">
        <v>79</v>
      </c>
      <c r="H1141" t="s">
        <v>34</v>
      </c>
      <c r="I1141" t="s">
        <v>43</v>
      </c>
      <c r="J1141" t="s">
        <v>44</v>
      </c>
      <c r="K1141">
        <v>2</v>
      </c>
      <c r="L1141">
        <v>51785</v>
      </c>
      <c r="M1141" t="s">
        <v>45</v>
      </c>
      <c r="N1141">
        <v>2</v>
      </c>
      <c r="O1141">
        <v>3</v>
      </c>
      <c r="P1141">
        <v>54</v>
      </c>
      <c r="Q1141">
        <v>1</v>
      </c>
      <c r="R1141" s="1">
        <v>44242</v>
      </c>
      <c r="S1141" t="s">
        <v>29</v>
      </c>
      <c r="T1141" t="str">
        <f t="shared" si="85"/>
        <v>Grade B</v>
      </c>
      <c r="U1141">
        <f t="shared" si="86"/>
        <v>2</v>
      </c>
      <c r="V1141" t="str">
        <f t="shared" si="87"/>
        <v>New Joiner</v>
      </c>
      <c r="W1141" t="str">
        <f t="shared" si="88"/>
        <v>Medium Risk</v>
      </c>
      <c r="X1141" t="str">
        <f t="shared" si="89"/>
        <v>Fair</v>
      </c>
    </row>
    <row r="1142" spans="1:24" x14ac:dyDescent="0.3">
      <c r="A1142" t="s">
        <v>1210</v>
      </c>
      <c r="B1142" t="s">
        <v>20</v>
      </c>
      <c r="C1142">
        <v>53</v>
      </c>
      <c r="D1142" t="s">
        <v>88</v>
      </c>
      <c r="E1142" t="s">
        <v>40</v>
      </c>
      <c r="F1142" t="s">
        <v>65</v>
      </c>
      <c r="G1142" t="s">
        <v>63</v>
      </c>
      <c r="H1142" t="s">
        <v>67</v>
      </c>
      <c r="I1142" t="s">
        <v>72</v>
      </c>
      <c r="J1142" t="s">
        <v>73</v>
      </c>
      <c r="K1142">
        <v>6</v>
      </c>
      <c r="L1142">
        <v>49315</v>
      </c>
      <c r="M1142" t="s">
        <v>51</v>
      </c>
      <c r="N1142">
        <v>1</v>
      </c>
      <c r="O1142">
        <v>1</v>
      </c>
      <c r="P1142">
        <v>60</v>
      </c>
      <c r="Q1142">
        <v>3</v>
      </c>
      <c r="R1142" s="1">
        <v>43072</v>
      </c>
      <c r="S1142" t="s">
        <v>37</v>
      </c>
      <c r="T1142" t="str">
        <f t="shared" si="85"/>
        <v>Grade C</v>
      </c>
      <c r="U1142">
        <f t="shared" si="86"/>
        <v>4</v>
      </c>
      <c r="V1142" t="str">
        <f t="shared" si="87"/>
        <v>Mid Level</v>
      </c>
      <c r="W1142" t="str">
        <f t="shared" si="88"/>
        <v>Already Left</v>
      </c>
      <c r="X1142" t="str">
        <f t="shared" si="89"/>
        <v>Fair</v>
      </c>
    </row>
    <row r="1143" spans="1:24" x14ac:dyDescent="0.3">
      <c r="A1143" t="s">
        <v>1211</v>
      </c>
      <c r="B1143" t="s">
        <v>39</v>
      </c>
      <c r="C1143">
        <v>52</v>
      </c>
      <c r="D1143" t="s">
        <v>88</v>
      </c>
      <c r="E1143" t="s">
        <v>48</v>
      </c>
      <c r="F1143" t="s">
        <v>23</v>
      </c>
      <c r="G1143" t="s">
        <v>33</v>
      </c>
      <c r="H1143" t="s">
        <v>83</v>
      </c>
      <c r="I1143" t="s">
        <v>35</v>
      </c>
      <c r="J1143" t="s">
        <v>27</v>
      </c>
      <c r="K1143">
        <v>12</v>
      </c>
      <c r="L1143">
        <v>89646</v>
      </c>
      <c r="M1143" t="s">
        <v>36</v>
      </c>
      <c r="N1143">
        <v>2</v>
      </c>
      <c r="O1143">
        <v>2</v>
      </c>
      <c r="P1143">
        <v>34</v>
      </c>
      <c r="Q1143">
        <v>2</v>
      </c>
      <c r="R1143" s="1">
        <v>40556</v>
      </c>
      <c r="S1143" t="s">
        <v>37</v>
      </c>
      <c r="T1143" t="str">
        <f t="shared" si="85"/>
        <v>Grade A</v>
      </c>
      <c r="U1143">
        <f t="shared" si="86"/>
        <v>1</v>
      </c>
      <c r="V1143" t="str">
        <f t="shared" si="87"/>
        <v>Senior</v>
      </c>
      <c r="W1143" t="str">
        <f t="shared" si="88"/>
        <v>Already Left</v>
      </c>
      <c r="X1143" t="str">
        <f t="shared" si="89"/>
        <v>Overpaid</v>
      </c>
    </row>
    <row r="1144" spans="1:24" x14ac:dyDescent="0.3">
      <c r="A1144" t="s">
        <v>1212</v>
      </c>
      <c r="B1144" t="s">
        <v>39</v>
      </c>
      <c r="C1144">
        <v>43</v>
      </c>
      <c r="D1144" t="s">
        <v>31</v>
      </c>
      <c r="E1144" t="s">
        <v>22</v>
      </c>
      <c r="F1144" t="s">
        <v>65</v>
      </c>
      <c r="G1144" t="s">
        <v>63</v>
      </c>
      <c r="H1144" t="s">
        <v>67</v>
      </c>
      <c r="I1144" t="s">
        <v>80</v>
      </c>
      <c r="J1144" t="s">
        <v>60</v>
      </c>
      <c r="K1144">
        <v>1</v>
      </c>
      <c r="L1144">
        <v>53081</v>
      </c>
      <c r="M1144" t="s">
        <v>51</v>
      </c>
      <c r="N1144">
        <v>2</v>
      </c>
      <c r="O1144">
        <v>2</v>
      </c>
      <c r="P1144">
        <v>54</v>
      </c>
      <c r="Q1144">
        <v>0</v>
      </c>
      <c r="R1144" s="1">
        <v>44734</v>
      </c>
      <c r="S1144" t="s">
        <v>29</v>
      </c>
      <c r="T1144" t="str">
        <f t="shared" si="85"/>
        <v>Grade B</v>
      </c>
      <c r="U1144">
        <f t="shared" si="86"/>
        <v>4</v>
      </c>
      <c r="V1144" t="str">
        <f t="shared" si="87"/>
        <v>New Joiner</v>
      </c>
      <c r="W1144" t="str">
        <f t="shared" si="88"/>
        <v>Low Risk</v>
      </c>
      <c r="X1144" t="str">
        <f t="shared" si="89"/>
        <v>Fair</v>
      </c>
    </row>
    <row r="1145" spans="1:24" x14ac:dyDescent="0.3">
      <c r="A1145" t="s">
        <v>1213</v>
      </c>
      <c r="B1145" t="s">
        <v>39</v>
      </c>
      <c r="C1145">
        <v>51</v>
      </c>
      <c r="D1145" t="s">
        <v>88</v>
      </c>
      <c r="E1145" t="s">
        <v>48</v>
      </c>
      <c r="F1145" t="s">
        <v>78</v>
      </c>
      <c r="G1145" t="s">
        <v>42</v>
      </c>
      <c r="H1145" t="s">
        <v>67</v>
      </c>
      <c r="I1145" t="s">
        <v>26</v>
      </c>
      <c r="J1145" t="s">
        <v>27</v>
      </c>
      <c r="K1145">
        <v>6</v>
      </c>
      <c r="L1145">
        <v>101260</v>
      </c>
      <c r="M1145" t="s">
        <v>36</v>
      </c>
      <c r="N1145">
        <v>2</v>
      </c>
      <c r="O1145">
        <v>1</v>
      </c>
      <c r="P1145">
        <v>33</v>
      </c>
      <c r="Q1145">
        <v>1</v>
      </c>
      <c r="R1145" s="1">
        <v>42956</v>
      </c>
      <c r="S1145" t="s">
        <v>37</v>
      </c>
      <c r="T1145" t="str">
        <f t="shared" si="85"/>
        <v>Grade A</v>
      </c>
      <c r="U1145">
        <f t="shared" si="86"/>
        <v>1</v>
      </c>
      <c r="V1145" t="str">
        <f t="shared" si="87"/>
        <v>Mid Level</v>
      </c>
      <c r="W1145" t="str">
        <f t="shared" si="88"/>
        <v>Already Left</v>
      </c>
      <c r="X1145" t="str">
        <f t="shared" si="89"/>
        <v>Overpaid</v>
      </c>
    </row>
    <row r="1146" spans="1:24" x14ac:dyDescent="0.3">
      <c r="A1146" t="s">
        <v>1214</v>
      </c>
      <c r="B1146" t="s">
        <v>39</v>
      </c>
      <c r="C1146">
        <v>48</v>
      </c>
      <c r="D1146" t="s">
        <v>21</v>
      </c>
      <c r="E1146" t="s">
        <v>48</v>
      </c>
      <c r="F1146" t="s">
        <v>32</v>
      </c>
      <c r="G1146" t="s">
        <v>79</v>
      </c>
      <c r="H1146" t="s">
        <v>25</v>
      </c>
      <c r="I1146" t="s">
        <v>59</v>
      </c>
      <c r="J1146" t="s">
        <v>60</v>
      </c>
      <c r="K1146">
        <v>14</v>
      </c>
      <c r="L1146">
        <v>60285</v>
      </c>
      <c r="M1146" t="s">
        <v>45</v>
      </c>
      <c r="N1146">
        <v>2</v>
      </c>
      <c r="O1146">
        <v>1</v>
      </c>
      <c r="P1146">
        <v>79</v>
      </c>
      <c r="Q1146">
        <v>3</v>
      </c>
      <c r="R1146" s="1">
        <v>40166</v>
      </c>
      <c r="S1146" t="s">
        <v>37</v>
      </c>
      <c r="T1146" t="str">
        <f t="shared" si="85"/>
        <v>Grade B</v>
      </c>
      <c r="U1146">
        <f t="shared" si="86"/>
        <v>2</v>
      </c>
      <c r="V1146" t="str">
        <f t="shared" si="87"/>
        <v>Senior</v>
      </c>
      <c r="W1146" t="str">
        <f t="shared" si="88"/>
        <v>Already Left</v>
      </c>
      <c r="X1146" t="str">
        <f t="shared" si="89"/>
        <v>Fair</v>
      </c>
    </row>
    <row r="1147" spans="1:24" x14ac:dyDescent="0.3">
      <c r="A1147" t="s">
        <v>1215</v>
      </c>
      <c r="B1147" t="s">
        <v>20</v>
      </c>
      <c r="C1147">
        <v>36</v>
      </c>
      <c r="D1147" t="s">
        <v>47</v>
      </c>
      <c r="E1147" t="s">
        <v>40</v>
      </c>
      <c r="F1147" t="s">
        <v>62</v>
      </c>
      <c r="G1147" t="s">
        <v>79</v>
      </c>
      <c r="H1147" t="s">
        <v>67</v>
      </c>
      <c r="I1147" t="s">
        <v>35</v>
      </c>
      <c r="J1147" t="s">
        <v>27</v>
      </c>
      <c r="K1147">
        <v>3</v>
      </c>
      <c r="L1147">
        <v>38896</v>
      </c>
      <c r="M1147" t="s">
        <v>51</v>
      </c>
      <c r="N1147">
        <v>1</v>
      </c>
      <c r="O1147">
        <v>3</v>
      </c>
      <c r="P1147">
        <v>52</v>
      </c>
      <c r="Q1147">
        <v>3</v>
      </c>
      <c r="R1147" s="1">
        <v>43996</v>
      </c>
      <c r="S1147" t="s">
        <v>29</v>
      </c>
      <c r="T1147" t="str">
        <f t="shared" si="85"/>
        <v>Grade C</v>
      </c>
      <c r="U1147">
        <f t="shared" si="86"/>
        <v>4</v>
      </c>
      <c r="V1147" t="str">
        <f t="shared" si="87"/>
        <v>Junior</v>
      </c>
      <c r="W1147" t="str">
        <f t="shared" si="88"/>
        <v>Low Risk</v>
      </c>
      <c r="X1147" t="str">
        <f t="shared" si="89"/>
        <v>Fair</v>
      </c>
    </row>
    <row r="1148" spans="1:24" x14ac:dyDescent="0.3">
      <c r="A1148" t="s">
        <v>1216</v>
      </c>
      <c r="B1148" t="s">
        <v>20</v>
      </c>
      <c r="C1148">
        <v>32</v>
      </c>
      <c r="D1148" t="s">
        <v>57</v>
      </c>
      <c r="E1148" t="s">
        <v>22</v>
      </c>
      <c r="F1148" t="s">
        <v>78</v>
      </c>
      <c r="G1148" t="s">
        <v>24</v>
      </c>
      <c r="H1148" t="s">
        <v>25</v>
      </c>
      <c r="I1148" t="s">
        <v>72</v>
      </c>
      <c r="J1148" t="s">
        <v>73</v>
      </c>
      <c r="K1148">
        <v>2</v>
      </c>
      <c r="L1148">
        <v>88445</v>
      </c>
      <c r="M1148" t="s">
        <v>28</v>
      </c>
      <c r="N1148">
        <v>2</v>
      </c>
      <c r="O1148">
        <v>2</v>
      </c>
      <c r="P1148">
        <v>63</v>
      </c>
      <c r="Q1148">
        <v>1</v>
      </c>
      <c r="R1148" s="1">
        <v>44346</v>
      </c>
      <c r="S1148" t="s">
        <v>29</v>
      </c>
      <c r="T1148" t="str">
        <f t="shared" si="85"/>
        <v>Grade A</v>
      </c>
      <c r="U1148">
        <f t="shared" si="86"/>
        <v>3</v>
      </c>
      <c r="V1148" t="str">
        <f t="shared" si="87"/>
        <v>New Joiner</v>
      </c>
      <c r="W1148" t="str">
        <f t="shared" si="88"/>
        <v>Medium Risk</v>
      </c>
      <c r="X1148" t="str">
        <f t="shared" si="89"/>
        <v>Competitive</v>
      </c>
    </row>
    <row r="1149" spans="1:24" x14ac:dyDescent="0.3">
      <c r="A1149" t="s">
        <v>1217</v>
      </c>
      <c r="B1149" t="s">
        <v>20</v>
      </c>
      <c r="C1149">
        <v>23</v>
      </c>
      <c r="D1149" t="s">
        <v>88</v>
      </c>
      <c r="E1149" t="s">
        <v>22</v>
      </c>
      <c r="F1149" t="s">
        <v>53</v>
      </c>
      <c r="G1149" t="s">
        <v>24</v>
      </c>
      <c r="H1149" t="s">
        <v>76</v>
      </c>
      <c r="I1149" t="s">
        <v>50</v>
      </c>
      <c r="J1149" t="s">
        <v>44</v>
      </c>
      <c r="K1149">
        <v>6</v>
      </c>
      <c r="L1149">
        <v>79547</v>
      </c>
      <c r="M1149" t="s">
        <v>45</v>
      </c>
      <c r="N1149">
        <v>1</v>
      </c>
      <c r="O1149">
        <v>4</v>
      </c>
      <c r="P1149">
        <v>24</v>
      </c>
      <c r="Q1149">
        <v>0</v>
      </c>
      <c r="R1149" s="1">
        <v>42866</v>
      </c>
      <c r="S1149" t="s">
        <v>29</v>
      </c>
      <c r="T1149" t="str">
        <f t="shared" si="85"/>
        <v>Grade B</v>
      </c>
      <c r="U1149">
        <f t="shared" si="86"/>
        <v>2</v>
      </c>
      <c r="V1149" t="str">
        <f t="shared" si="87"/>
        <v>Mid Level</v>
      </c>
      <c r="W1149" t="str">
        <f t="shared" si="88"/>
        <v>Medium Risk</v>
      </c>
      <c r="X1149" t="str">
        <f t="shared" si="89"/>
        <v>Fair</v>
      </c>
    </row>
    <row r="1150" spans="1:24" x14ac:dyDescent="0.3">
      <c r="A1150" t="s">
        <v>1218</v>
      </c>
      <c r="B1150" t="s">
        <v>39</v>
      </c>
      <c r="C1150">
        <v>26</v>
      </c>
      <c r="D1150" t="s">
        <v>31</v>
      </c>
      <c r="E1150" t="s">
        <v>40</v>
      </c>
      <c r="F1150" t="s">
        <v>53</v>
      </c>
      <c r="G1150" t="s">
        <v>49</v>
      </c>
      <c r="H1150" t="s">
        <v>67</v>
      </c>
      <c r="I1150" t="s">
        <v>72</v>
      </c>
      <c r="J1150" t="s">
        <v>73</v>
      </c>
      <c r="K1150">
        <v>3</v>
      </c>
      <c r="L1150">
        <v>60137</v>
      </c>
      <c r="M1150" t="s">
        <v>51</v>
      </c>
      <c r="N1150">
        <v>1</v>
      </c>
      <c r="O1150">
        <v>4</v>
      </c>
      <c r="P1150">
        <v>10</v>
      </c>
      <c r="Q1150">
        <v>2</v>
      </c>
      <c r="R1150" s="1">
        <v>44147</v>
      </c>
      <c r="S1150" t="s">
        <v>29</v>
      </c>
      <c r="T1150" t="str">
        <f t="shared" si="85"/>
        <v>Grade B</v>
      </c>
      <c r="U1150">
        <f t="shared" si="86"/>
        <v>4</v>
      </c>
      <c r="V1150" t="str">
        <f t="shared" si="87"/>
        <v>Junior</v>
      </c>
      <c r="W1150" t="str">
        <f t="shared" si="88"/>
        <v>Low Risk</v>
      </c>
      <c r="X1150" t="str">
        <f t="shared" si="89"/>
        <v>Fair</v>
      </c>
    </row>
    <row r="1151" spans="1:24" x14ac:dyDescent="0.3">
      <c r="A1151" t="s">
        <v>1219</v>
      </c>
      <c r="B1151" t="s">
        <v>20</v>
      </c>
      <c r="C1151">
        <v>43</v>
      </c>
      <c r="D1151" t="s">
        <v>88</v>
      </c>
      <c r="E1151" t="s">
        <v>40</v>
      </c>
      <c r="F1151" t="s">
        <v>41</v>
      </c>
      <c r="G1151" t="s">
        <v>79</v>
      </c>
      <c r="H1151" t="s">
        <v>76</v>
      </c>
      <c r="I1151" t="s">
        <v>54</v>
      </c>
      <c r="J1151" t="s">
        <v>27</v>
      </c>
      <c r="K1151">
        <v>13</v>
      </c>
      <c r="L1151">
        <v>72486</v>
      </c>
      <c r="M1151" t="s">
        <v>51</v>
      </c>
      <c r="N1151">
        <v>1</v>
      </c>
      <c r="O1151">
        <v>3</v>
      </c>
      <c r="P1151">
        <v>69</v>
      </c>
      <c r="Q1151">
        <v>3</v>
      </c>
      <c r="R1151" s="1">
        <v>40439</v>
      </c>
      <c r="S1151" t="s">
        <v>29</v>
      </c>
      <c r="T1151" t="str">
        <f t="shared" si="85"/>
        <v>Grade B</v>
      </c>
      <c r="U1151">
        <f t="shared" si="86"/>
        <v>4</v>
      </c>
      <c r="V1151" t="str">
        <f t="shared" si="87"/>
        <v>Senior</v>
      </c>
      <c r="W1151" t="str">
        <f t="shared" si="88"/>
        <v>Low Risk</v>
      </c>
      <c r="X1151" t="str">
        <f t="shared" si="89"/>
        <v>Fair</v>
      </c>
    </row>
    <row r="1152" spans="1:24" x14ac:dyDescent="0.3">
      <c r="A1152" t="s">
        <v>1220</v>
      </c>
      <c r="B1152" t="s">
        <v>39</v>
      </c>
      <c r="C1152">
        <v>26</v>
      </c>
      <c r="D1152" t="s">
        <v>88</v>
      </c>
      <c r="E1152" t="s">
        <v>48</v>
      </c>
      <c r="F1152" t="s">
        <v>41</v>
      </c>
      <c r="G1152" t="s">
        <v>58</v>
      </c>
      <c r="H1152" t="s">
        <v>76</v>
      </c>
      <c r="I1152" t="s">
        <v>68</v>
      </c>
      <c r="J1152" t="s">
        <v>60</v>
      </c>
      <c r="K1152">
        <v>12</v>
      </c>
      <c r="L1152">
        <v>110130</v>
      </c>
      <c r="M1152" t="s">
        <v>51</v>
      </c>
      <c r="N1152">
        <v>2</v>
      </c>
      <c r="O1152">
        <v>4</v>
      </c>
      <c r="P1152">
        <v>32</v>
      </c>
      <c r="Q1152">
        <v>2</v>
      </c>
      <c r="R1152" s="1">
        <v>40667</v>
      </c>
      <c r="S1152" t="s">
        <v>29</v>
      </c>
      <c r="T1152" t="str">
        <f t="shared" si="85"/>
        <v>Grade A</v>
      </c>
      <c r="U1152">
        <f t="shared" si="86"/>
        <v>4</v>
      </c>
      <c r="V1152" t="str">
        <f t="shared" si="87"/>
        <v>Senior</v>
      </c>
      <c r="W1152" t="str">
        <f t="shared" si="88"/>
        <v>Low Risk</v>
      </c>
      <c r="X1152" t="str">
        <f t="shared" si="89"/>
        <v>Competitive</v>
      </c>
    </row>
    <row r="1153" spans="1:24" x14ac:dyDescent="0.3">
      <c r="A1153" t="s">
        <v>1221</v>
      </c>
      <c r="B1153" t="s">
        <v>39</v>
      </c>
      <c r="C1153">
        <v>25</v>
      </c>
      <c r="D1153" t="s">
        <v>47</v>
      </c>
      <c r="E1153" t="s">
        <v>40</v>
      </c>
      <c r="F1153" t="s">
        <v>62</v>
      </c>
      <c r="G1153" t="s">
        <v>24</v>
      </c>
      <c r="H1153" t="s">
        <v>83</v>
      </c>
      <c r="I1153" t="s">
        <v>72</v>
      </c>
      <c r="J1153" t="s">
        <v>73</v>
      </c>
      <c r="K1153">
        <v>9</v>
      </c>
      <c r="L1153">
        <v>88509</v>
      </c>
      <c r="M1153" t="s">
        <v>51</v>
      </c>
      <c r="N1153">
        <v>2</v>
      </c>
      <c r="O1153">
        <v>3</v>
      </c>
      <c r="P1153">
        <v>78</v>
      </c>
      <c r="Q1153">
        <v>1</v>
      </c>
      <c r="R1153" s="1">
        <v>41924</v>
      </c>
      <c r="S1153" t="s">
        <v>29</v>
      </c>
      <c r="T1153" t="str">
        <f t="shared" si="85"/>
        <v>Grade A</v>
      </c>
      <c r="U1153">
        <f t="shared" si="86"/>
        <v>4</v>
      </c>
      <c r="V1153" t="str">
        <f t="shared" si="87"/>
        <v>Mid Level</v>
      </c>
      <c r="W1153" t="str">
        <f t="shared" si="88"/>
        <v>Low Risk</v>
      </c>
      <c r="X1153" t="str">
        <f t="shared" si="89"/>
        <v>Competitive</v>
      </c>
    </row>
    <row r="1154" spans="1:24" x14ac:dyDescent="0.3">
      <c r="A1154" t="s">
        <v>1222</v>
      </c>
      <c r="B1154" t="s">
        <v>20</v>
      </c>
      <c r="C1154">
        <v>35</v>
      </c>
      <c r="D1154" t="s">
        <v>47</v>
      </c>
      <c r="E1154" t="s">
        <v>40</v>
      </c>
      <c r="F1154" t="s">
        <v>53</v>
      </c>
      <c r="G1154" t="s">
        <v>79</v>
      </c>
      <c r="H1154" t="s">
        <v>67</v>
      </c>
      <c r="I1154" t="s">
        <v>59</v>
      </c>
      <c r="J1154" t="s">
        <v>60</v>
      </c>
      <c r="K1154">
        <v>5</v>
      </c>
      <c r="L1154">
        <v>49090</v>
      </c>
      <c r="M1154" t="s">
        <v>51</v>
      </c>
      <c r="N1154">
        <v>1</v>
      </c>
      <c r="O1154">
        <v>1</v>
      </c>
      <c r="P1154">
        <v>63</v>
      </c>
      <c r="Q1154">
        <v>2</v>
      </c>
      <c r="R1154" s="1">
        <v>43218</v>
      </c>
      <c r="S1154" t="s">
        <v>29</v>
      </c>
      <c r="T1154" t="str">
        <f t="shared" ref="T1154:T1217" si="90">IF(L1154&gt;=80000,"Grade A",IF(L1154&gt;=50000,"Grade B",IF(L1154&gt;=35000,"Grade C","Grade D")))</f>
        <v>Grade C</v>
      </c>
      <c r="U1154">
        <f t="shared" ref="U1154:U1217" si="91">IF(M1154="Excellent",4,IF(M1154="Good",3,IF(M1154="Average",2,1)))</f>
        <v>4</v>
      </c>
      <c r="V1154" t="str">
        <f t="shared" ref="V1154:V1217" si="92">IF(K1154&lt;=2,"New Joiner",IF(K1154&lt;=5,"Junior",IF(K1154&lt;=10,"Mid Level","Senior")))</f>
        <v>Junior</v>
      </c>
      <c r="W1154" t="str">
        <f t="shared" ref="W1154:W1217" si="93">IF(S1154="Yes","Already Left",IF(AND(K1154&lt;=2,M1154="Poor"),"High Risk",IF(AND(K1154&lt;=5,M1154="Average"),"Medium Risk",IF(M1154="Excellent","Low Risk","Medium Risk"))))</f>
        <v>Low Risk</v>
      </c>
      <c r="X1154" t="str">
        <f t="shared" ref="X1154:X1217" si="94">IF(AND(L1154&gt;=80000,M1154="Excellent"),"Competitive",IF(AND(L1154&gt;=50000,M1154="Good"),"Competitive",IF(AND(L1154&lt;35000,M1154="Excellent"),"Underpaid",IF(AND(L1154&gt;=80000,M1154="Poor"),"Overpaid","Fair"))))</f>
        <v>Fair</v>
      </c>
    </row>
    <row r="1155" spans="1:24" x14ac:dyDescent="0.3">
      <c r="A1155" t="s">
        <v>1223</v>
      </c>
      <c r="B1155" t="s">
        <v>39</v>
      </c>
      <c r="C1155">
        <v>25</v>
      </c>
      <c r="D1155" t="s">
        <v>31</v>
      </c>
      <c r="E1155" t="s">
        <v>40</v>
      </c>
      <c r="F1155" t="s">
        <v>32</v>
      </c>
      <c r="G1155" t="s">
        <v>58</v>
      </c>
      <c r="H1155" t="s">
        <v>83</v>
      </c>
      <c r="I1155" t="s">
        <v>54</v>
      </c>
      <c r="J1155" t="s">
        <v>27</v>
      </c>
      <c r="K1155">
        <v>12</v>
      </c>
      <c r="L1155">
        <v>103180</v>
      </c>
      <c r="M1155" t="s">
        <v>28</v>
      </c>
      <c r="N1155">
        <v>2</v>
      </c>
      <c r="O1155">
        <v>2</v>
      </c>
      <c r="P1155">
        <v>26</v>
      </c>
      <c r="Q1155">
        <v>1</v>
      </c>
      <c r="R1155" s="1">
        <v>40588</v>
      </c>
      <c r="S1155" t="s">
        <v>37</v>
      </c>
      <c r="T1155" t="str">
        <f t="shared" si="90"/>
        <v>Grade A</v>
      </c>
      <c r="U1155">
        <f t="shared" si="91"/>
        <v>3</v>
      </c>
      <c r="V1155" t="str">
        <f t="shared" si="92"/>
        <v>Senior</v>
      </c>
      <c r="W1155" t="str">
        <f t="shared" si="93"/>
        <v>Already Left</v>
      </c>
      <c r="X1155" t="str">
        <f t="shared" si="94"/>
        <v>Competitive</v>
      </c>
    </row>
    <row r="1156" spans="1:24" x14ac:dyDescent="0.3">
      <c r="A1156" t="s">
        <v>1224</v>
      </c>
      <c r="B1156" t="s">
        <v>39</v>
      </c>
      <c r="C1156">
        <v>30</v>
      </c>
      <c r="D1156" t="s">
        <v>88</v>
      </c>
      <c r="E1156" t="s">
        <v>22</v>
      </c>
      <c r="F1156" t="s">
        <v>78</v>
      </c>
      <c r="G1156" t="s">
        <v>79</v>
      </c>
      <c r="H1156" t="s">
        <v>25</v>
      </c>
      <c r="I1156" t="s">
        <v>96</v>
      </c>
      <c r="J1156" t="s">
        <v>44</v>
      </c>
      <c r="K1156">
        <v>12</v>
      </c>
      <c r="L1156">
        <v>61985</v>
      </c>
      <c r="M1156" t="s">
        <v>28</v>
      </c>
      <c r="N1156">
        <v>4</v>
      </c>
      <c r="O1156">
        <v>3</v>
      </c>
      <c r="P1156">
        <v>16</v>
      </c>
      <c r="Q1156">
        <v>3</v>
      </c>
      <c r="R1156" s="1">
        <v>40813</v>
      </c>
      <c r="S1156" t="s">
        <v>29</v>
      </c>
      <c r="T1156" t="str">
        <f t="shared" si="90"/>
        <v>Grade B</v>
      </c>
      <c r="U1156">
        <f t="shared" si="91"/>
        <v>3</v>
      </c>
      <c r="V1156" t="str">
        <f t="shared" si="92"/>
        <v>Senior</v>
      </c>
      <c r="W1156" t="str">
        <f t="shared" si="93"/>
        <v>Medium Risk</v>
      </c>
      <c r="X1156" t="str">
        <f t="shared" si="94"/>
        <v>Competitive</v>
      </c>
    </row>
    <row r="1157" spans="1:24" x14ac:dyDescent="0.3">
      <c r="A1157" t="s">
        <v>1225</v>
      </c>
      <c r="B1157" t="s">
        <v>20</v>
      </c>
      <c r="C1157">
        <v>51</v>
      </c>
      <c r="D1157" t="s">
        <v>57</v>
      </c>
      <c r="E1157" t="s">
        <v>48</v>
      </c>
      <c r="F1157" t="s">
        <v>75</v>
      </c>
      <c r="G1157" t="s">
        <v>58</v>
      </c>
      <c r="H1157" t="s">
        <v>67</v>
      </c>
      <c r="I1157" t="s">
        <v>80</v>
      </c>
      <c r="J1157" t="s">
        <v>60</v>
      </c>
      <c r="K1157">
        <v>11</v>
      </c>
      <c r="L1157">
        <v>108286</v>
      </c>
      <c r="M1157" t="s">
        <v>51</v>
      </c>
      <c r="N1157">
        <v>4</v>
      </c>
      <c r="O1157">
        <v>1</v>
      </c>
      <c r="P1157">
        <v>78</v>
      </c>
      <c r="Q1157">
        <v>1</v>
      </c>
      <c r="R1157" s="1">
        <v>41159</v>
      </c>
      <c r="S1157" t="s">
        <v>29</v>
      </c>
      <c r="T1157" t="str">
        <f t="shared" si="90"/>
        <v>Grade A</v>
      </c>
      <c r="U1157">
        <f t="shared" si="91"/>
        <v>4</v>
      </c>
      <c r="V1157" t="str">
        <f t="shared" si="92"/>
        <v>Senior</v>
      </c>
      <c r="W1157" t="str">
        <f t="shared" si="93"/>
        <v>Low Risk</v>
      </c>
      <c r="X1157" t="str">
        <f t="shared" si="94"/>
        <v>Competitive</v>
      </c>
    </row>
    <row r="1158" spans="1:24" x14ac:dyDescent="0.3">
      <c r="A1158" t="s">
        <v>1226</v>
      </c>
      <c r="B1158" t="s">
        <v>20</v>
      </c>
      <c r="C1158">
        <v>46</v>
      </c>
      <c r="D1158" t="s">
        <v>88</v>
      </c>
      <c r="E1158" t="s">
        <v>22</v>
      </c>
      <c r="F1158" t="s">
        <v>41</v>
      </c>
      <c r="G1158" t="s">
        <v>79</v>
      </c>
      <c r="H1158" t="s">
        <v>83</v>
      </c>
      <c r="I1158" t="s">
        <v>68</v>
      </c>
      <c r="J1158" t="s">
        <v>60</v>
      </c>
      <c r="K1158">
        <v>10</v>
      </c>
      <c r="L1158">
        <v>63622</v>
      </c>
      <c r="M1158" t="s">
        <v>28</v>
      </c>
      <c r="N1158">
        <v>2</v>
      </c>
      <c r="O1158">
        <v>2</v>
      </c>
      <c r="P1158">
        <v>25</v>
      </c>
      <c r="Q1158">
        <v>0</v>
      </c>
      <c r="R1158" s="1">
        <v>41402</v>
      </c>
      <c r="S1158" t="s">
        <v>37</v>
      </c>
      <c r="T1158" t="str">
        <f t="shared" si="90"/>
        <v>Grade B</v>
      </c>
      <c r="U1158">
        <f t="shared" si="91"/>
        <v>3</v>
      </c>
      <c r="V1158" t="str">
        <f t="shared" si="92"/>
        <v>Mid Level</v>
      </c>
      <c r="W1158" t="str">
        <f t="shared" si="93"/>
        <v>Already Left</v>
      </c>
      <c r="X1158" t="str">
        <f t="shared" si="94"/>
        <v>Competitive</v>
      </c>
    </row>
    <row r="1159" spans="1:24" x14ac:dyDescent="0.3">
      <c r="A1159" t="s">
        <v>1227</v>
      </c>
      <c r="B1159" t="s">
        <v>39</v>
      </c>
      <c r="C1159">
        <v>34</v>
      </c>
      <c r="D1159" t="s">
        <v>21</v>
      </c>
      <c r="E1159" t="s">
        <v>48</v>
      </c>
      <c r="F1159" t="s">
        <v>32</v>
      </c>
      <c r="G1159" t="s">
        <v>63</v>
      </c>
      <c r="H1159" t="s">
        <v>34</v>
      </c>
      <c r="I1159" t="s">
        <v>80</v>
      </c>
      <c r="J1159" t="s">
        <v>60</v>
      </c>
      <c r="K1159">
        <v>2</v>
      </c>
      <c r="L1159">
        <v>51841</v>
      </c>
      <c r="M1159" t="s">
        <v>45</v>
      </c>
      <c r="N1159">
        <v>4</v>
      </c>
      <c r="O1159">
        <v>1</v>
      </c>
      <c r="P1159">
        <v>74</v>
      </c>
      <c r="Q1159">
        <v>0</v>
      </c>
      <c r="R1159" s="1">
        <v>44485</v>
      </c>
      <c r="S1159" t="s">
        <v>29</v>
      </c>
      <c r="T1159" t="str">
        <f t="shared" si="90"/>
        <v>Grade B</v>
      </c>
      <c r="U1159">
        <f t="shared" si="91"/>
        <v>2</v>
      </c>
      <c r="V1159" t="str">
        <f t="shared" si="92"/>
        <v>New Joiner</v>
      </c>
      <c r="W1159" t="str">
        <f t="shared" si="93"/>
        <v>Medium Risk</v>
      </c>
      <c r="X1159" t="str">
        <f t="shared" si="94"/>
        <v>Fair</v>
      </c>
    </row>
    <row r="1160" spans="1:24" x14ac:dyDescent="0.3">
      <c r="A1160" t="s">
        <v>1228</v>
      </c>
      <c r="B1160" t="s">
        <v>20</v>
      </c>
      <c r="C1160">
        <v>36</v>
      </c>
      <c r="D1160" t="s">
        <v>57</v>
      </c>
      <c r="E1160" t="s">
        <v>22</v>
      </c>
      <c r="F1160" t="s">
        <v>75</v>
      </c>
      <c r="G1160" t="s">
        <v>63</v>
      </c>
      <c r="H1160" t="s">
        <v>34</v>
      </c>
      <c r="I1160" t="s">
        <v>72</v>
      </c>
      <c r="J1160" t="s">
        <v>73</v>
      </c>
      <c r="K1160">
        <v>14</v>
      </c>
      <c r="L1160">
        <v>75886</v>
      </c>
      <c r="M1160" t="s">
        <v>45</v>
      </c>
      <c r="N1160">
        <v>1</v>
      </c>
      <c r="O1160">
        <v>4</v>
      </c>
      <c r="P1160">
        <v>56</v>
      </c>
      <c r="Q1160">
        <v>2</v>
      </c>
      <c r="R1160" s="1">
        <v>40162</v>
      </c>
      <c r="S1160" t="s">
        <v>29</v>
      </c>
      <c r="T1160" t="str">
        <f t="shared" si="90"/>
        <v>Grade B</v>
      </c>
      <c r="U1160">
        <f t="shared" si="91"/>
        <v>2</v>
      </c>
      <c r="V1160" t="str">
        <f t="shared" si="92"/>
        <v>Senior</v>
      </c>
      <c r="W1160" t="str">
        <f t="shared" si="93"/>
        <v>Medium Risk</v>
      </c>
      <c r="X1160" t="str">
        <f t="shared" si="94"/>
        <v>Fair</v>
      </c>
    </row>
    <row r="1161" spans="1:24" x14ac:dyDescent="0.3">
      <c r="A1161" t="s">
        <v>1229</v>
      </c>
      <c r="B1161" t="s">
        <v>20</v>
      </c>
      <c r="C1161">
        <v>47</v>
      </c>
      <c r="D1161" t="s">
        <v>47</v>
      </c>
      <c r="E1161" t="s">
        <v>40</v>
      </c>
      <c r="F1161" t="s">
        <v>62</v>
      </c>
      <c r="G1161" t="s">
        <v>42</v>
      </c>
      <c r="H1161" t="s">
        <v>34</v>
      </c>
      <c r="I1161" t="s">
        <v>50</v>
      </c>
      <c r="J1161" t="s">
        <v>44</v>
      </c>
      <c r="K1161">
        <v>13</v>
      </c>
      <c r="L1161">
        <v>120846</v>
      </c>
      <c r="M1161" t="s">
        <v>45</v>
      </c>
      <c r="N1161">
        <v>3</v>
      </c>
      <c r="O1161">
        <v>2</v>
      </c>
      <c r="P1161">
        <v>38</v>
      </c>
      <c r="Q1161">
        <v>3</v>
      </c>
      <c r="R1161" s="1">
        <v>40322</v>
      </c>
      <c r="S1161" t="s">
        <v>37</v>
      </c>
      <c r="T1161" t="str">
        <f t="shared" si="90"/>
        <v>Grade A</v>
      </c>
      <c r="U1161">
        <f t="shared" si="91"/>
        <v>2</v>
      </c>
      <c r="V1161" t="str">
        <f t="shared" si="92"/>
        <v>Senior</v>
      </c>
      <c r="W1161" t="str">
        <f t="shared" si="93"/>
        <v>Already Left</v>
      </c>
      <c r="X1161" t="str">
        <f t="shared" si="94"/>
        <v>Fair</v>
      </c>
    </row>
    <row r="1162" spans="1:24" x14ac:dyDescent="0.3">
      <c r="A1162" t="s">
        <v>1230</v>
      </c>
      <c r="B1162" t="s">
        <v>39</v>
      </c>
      <c r="C1162">
        <v>49</v>
      </c>
      <c r="D1162" t="s">
        <v>21</v>
      </c>
      <c r="E1162" t="s">
        <v>22</v>
      </c>
      <c r="F1162" t="s">
        <v>23</v>
      </c>
      <c r="G1162" t="s">
        <v>33</v>
      </c>
      <c r="H1162" t="s">
        <v>25</v>
      </c>
      <c r="I1162" t="s">
        <v>72</v>
      </c>
      <c r="J1162" t="s">
        <v>73</v>
      </c>
      <c r="K1162">
        <v>3</v>
      </c>
      <c r="L1162">
        <v>62218</v>
      </c>
      <c r="M1162" t="s">
        <v>36</v>
      </c>
      <c r="N1162">
        <v>3</v>
      </c>
      <c r="O1162">
        <v>2</v>
      </c>
      <c r="P1162">
        <v>42</v>
      </c>
      <c r="Q1162">
        <v>1</v>
      </c>
      <c r="R1162" s="1">
        <v>44000</v>
      </c>
      <c r="S1162" t="s">
        <v>37</v>
      </c>
      <c r="T1162" t="str">
        <f t="shared" si="90"/>
        <v>Grade B</v>
      </c>
      <c r="U1162">
        <f t="shared" si="91"/>
        <v>1</v>
      </c>
      <c r="V1162" t="str">
        <f t="shared" si="92"/>
        <v>Junior</v>
      </c>
      <c r="W1162" t="str">
        <f t="shared" si="93"/>
        <v>Already Left</v>
      </c>
      <c r="X1162" t="str">
        <f t="shared" si="94"/>
        <v>Fair</v>
      </c>
    </row>
    <row r="1163" spans="1:24" x14ac:dyDescent="0.3">
      <c r="A1163" t="s">
        <v>1231</v>
      </c>
      <c r="B1163" t="s">
        <v>39</v>
      </c>
      <c r="C1163">
        <v>53</v>
      </c>
      <c r="D1163" t="s">
        <v>88</v>
      </c>
      <c r="E1163" t="s">
        <v>40</v>
      </c>
      <c r="F1163" t="s">
        <v>53</v>
      </c>
      <c r="G1163" t="s">
        <v>24</v>
      </c>
      <c r="H1163" t="s">
        <v>25</v>
      </c>
      <c r="I1163" t="s">
        <v>43</v>
      </c>
      <c r="J1163" t="s">
        <v>44</v>
      </c>
      <c r="K1163">
        <v>5</v>
      </c>
      <c r="L1163">
        <v>78323</v>
      </c>
      <c r="M1163" t="s">
        <v>45</v>
      </c>
      <c r="N1163">
        <v>1</v>
      </c>
      <c r="O1163">
        <v>4</v>
      </c>
      <c r="P1163">
        <v>28</v>
      </c>
      <c r="Q1163">
        <v>1</v>
      </c>
      <c r="R1163" s="1">
        <v>43205</v>
      </c>
      <c r="S1163" t="s">
        <v>29</v>
      </c>
      <c r="T1163" t="str">
        <f t="shared" si="90"/>
        <v>Grade B</v>
      </c>
      <c r="U1163">
        <f t="shared" si="91"/>
        <v>2</v>
      </c>
      <c r="V1163" t="str">
        <f t="shared" si="92"/>
        <v>Junior</v>
      </c>
      <c r="W1163" t="str">
        <f t="shared" si="93"/>
        <v>Medium Risk</v>
      </c>
      <c r="X1163" t="str">
        <f t="shared" si="94"/>
        <v>Fair</v>
      </c>
    </row>
    <row r="1164" spans="1:24" x14ac:dyDescent="0.3">
      <c r="A1164" t="s">
        <v>1232</v>
      </c>
      <c r="B1164" t="s">
        <v>39</v>
      </c>
      <c r="C1164">
        <v>40</v>
      </c>
      <c r="D1164" t="s">
        <v>57</v>
      </c>
      <c r="E1164" t="s">
        <v>22</v>
      </c>
      <c r="F1164" t="s">
        <v>41</v>
      </c>
      <c r="G1164" t="s">
        <v>49</v>
      </c>
      <c r="H1164" t="s">
        <v>34</v>
      </c>
      <c r="I1164" t="s">
        <v>80</v>
      </c>
      <c r="J1164" t="s">
        <v>60</v>
      </c>
      <c r="K1164">
        <v>5</v>
      </c>
      <c r="L1164">
        <v>56586</v>
      </c>
      <c r="M1164" t="s">
        <v>36</v>
      </c>
      <c r="N1164">
        <v>3</v>
      </c>
      <c r="O1164">
        <v>1</v>
      </c>
      <c r="P1164">
        <v>56</v>
      </c>
      <c r="Q1164">
        <v>1</v>
      </c>
      <c r="R1164" s="1">
        <v>43345</v>
      </c>
      <c r="S1164" t="s">
        <v>37</v>
      </c>
      <c r="T1164" t="str">
        <f t="shared" si="90"/>
        <v>Grade B</v>
      </c>
      <c r="U1164">
        <f t="shared" si="91"/>
        <v>1</v>
      </c>
      <c r="V1164" t="str">
        <f t="shared" si="92"/>
        <v>Junior</v>
      </c>
      <c r="W1164" t="str">
        <f t="shared" si="93"/>
        <v>Already Left</v>
      </c>
      <c r="X1164" t="str">
        <f t="shared" si="94"/>
        <v>Fair</v>
      </c>
    </row>
    <row r="1165" spans="1:24" x14ac:dyDescent="0.3">
      <c r="A1165" t="s">
        <v>1233</v>
      </c>
      <c r="B1165" t="s">
        <v>20</v>
      </c>
      <c r="C1165">
        <v>55</v>
      </c>
      <c r="D1165" t="s">
        <v>57</v>
      </c>
      <c r="E1165" t="s">
        <v>48</v>
      </c>
      <c r="F1165" t="s">
        <v>32</v>
      </c>
      <c r="G1165" t="s">
        <v>58</v>
      </c>
      <c r="H1165" t="s">
        <v>25</v>
      </c>
      <c r="I1165" t="s">
        <v>59</v>
      </c>
      <c r="J1165" t="s">
        <v>60</v>
      </c>
      <c r="K1165">
        <v>14</v>
      </c>
      <c r="L1165">
        <v>110893</v>
      </c>
      <c r="M1165" t="s">
        <v>28</v>
      </c>
      <c r="N1165">
        <v>1</v>
      </c>
      <c r="O1165">
        <v>3</v>
      </c>
      <c r="P1165">
        <v>44</v>
      </c>
      <c r="Q1165">
        <v>2</v>
      </c>
      <c r="R1165" s="1">
        <v>40142</v>
      </c>
      <c r="S1165" t="s">
        <v>37</v>
      </c>
      <c r="T1165" t="str">
        <f t="shared" si="90"/>
        <v>Grade A</v>
      </c>
      <c r="U1165">
        <f t="shared" si="91"/>
        <v>3</v>
      </c>
      <c r="V1165" t="str">
        <f t="shared" si="92"/>
        <v>Senior</v>
      </c>
      <c r="W1165" t="str">
        <f t="shared" si="93"/>
        <v>Already Left</v>
      </c>
      <c r="X1165" t="str">
        <f t="shared" si="94"/>
        <v>Competitive</v>
      </c>
    </row>
    <row r="1166" spans="1:24" x14ac:dyDescent="0.3">
      <c r="A1166" t="s">
        <v>1234</v>
      </c>
      <c r="B1166" t="s">
        <v>20</v>
      </c>
      <c r="C1166">
        <v>43</v>
      </c>
      <c r="D1166" t="s">
        <v>47</v>
      </c>
      <c r="E1166" t="s">
        <v>48</v>
      </c>
      <c r="F1166" t="s">
        <v>75</v>
      </c>
      <c r="G1166" t="s">
        <v>66</v>
      </c>
      <c r="H1166" t="s">
        <v>34</v>
      </c>
      <c r="I1166" t="s">
        <v>96</v>
      </c>
      <c r="J1166" t="s">
        <v>44</v>
      </c>
      <c r="K1166">
        <v>8</v>
      </c>
      <c r="L1166">
        <v>55861</v>
      </c>
      <c r="M1166" t="s">
        <v>45</v>
      </c>
      <c r="N1166">
        <v>2</v>
      </c>
      <c r="O1166">
        <v>4</v>
      </c>
      <c r="P1166">
        <v>57</v>
      </c>
      <c r="Q1166">
        <v>3</v>
      </c>
      <c r="R1166" s="1">
        <v>42072</v>
      </c>
      <c r="S1166" t="s">
        <v>29</v>
      </c>
      <c r="T1166" t="str">
        <f t="shared" si="90"/>
        <v>Grade B</v>
      </c>
      <c r="U1166">
        <f t="shared" si="91"/>
        <v>2</v>
      </c>
      <c r="V1166" t="str">
        <f t="shared" si="92"/>
        <v>Mid Level</v>
      </c>
      <c r="W1166" t="str">
        <f t="shared" si="93"/>
        <v>Medium Risk</v>
      </c>
      <c r="X1166" t="str">
        <f t="shared" si="94"/>
        <v>Fair</v>
      </c>
    </row>
    <row r="1167" spans="1:24" x14ac:dyDescent="0.3">
      <c r="A1167" t="s">
        <v>1235</v>
      </c>
      <c r="B1167" t="s">
        <v>39</v>
      </c>
      <c r="C1167">
        <v>33</v>
      </c>
      <c r="D1167" t="s">
        <v>31</v>
      </c>
      <c r="E1167" t="s">
        <v>48</v>
      </c>
      <c r="F1167" t="s">
        <v>75</v>
      </c>
      <c r="G1167" t="s">
        <v>79</v>
      </c>
      <c r="H1167" t="s">
        <v>76</v>
      </c>
      <c r="I1167" t="s">
        <v>80</v>
      </c>
      <c r="J1167" t="s">
        <v>60</v>
      </c>
      <c r="K1167">
        <v>13</v>
      </c>
      <c r="L1167">
        <v>70119</v>
      </c>
      <c r="M1167" t="s">
        <v>36</v>
      </c>
      <c r="N1167">
        <v>3</v>
      </c>
      <c r="O1167">
        <v>1</v>
      </c>
      <c r="P1167">
        <v>78</v>
      </c>
      <c r="Q1167">
        <v>0</v>
      </c>
      <c r="R1167" s="1">
        <v>40483</v>
      </c>
      <c r="S1167" t="s">
        <v>37</v>
      </c>
      <c r="T1167" t="str">
        <f t="shared" si="90"/>
        <v>Grade B</v>
      </c>
      <c r="U1167">
        <f t="shared" si="91"/>
        <v>1</v>
      </c>
      <c r="V1167" t="str">
        <f t="shared" si="92"/>
        <v>Senior</v>
      </c>
      <c r="W1167" t="str">
        <f t="shared" si="93"/>
        <v>Already Left</v>
      </c>
      <c r="X1167" t="str">
        <f t="shared" si="94"/>
        <v>Fair</v>
      </c>
    </row>
    <row r="1168" spans="1:24" x14ac:dyDescent="0.3">
      <c r="A1168" t="s">
        <v>1236</v>
      </c>
      <c r="B1168" t="s">
        <v>39</v>
      </c>
      <c r="C1168">
        <v>42</v>
      </c>
      <c r="D1168" t="s">
        <v>31</v>
      </c>
      <c r="E1168" t="s">
        <v>40</v>
      </c>
      <c r="F1168" t="s">
        <v>65</v>
      </c>
      <c r="G1168" t="s">
        <v>79</v>
      </c>
      <c r="H1168" t="s">
        <v>34</v>
      </c>
      <c r="I1168" t="s">
        <v>54</v>
      </c>
      <c r="J1168" t="s">
        <v>27</v>
      </c>
      <c r="K1168">
        <v>9</v>
      </c>
      <c r="L1168">
        <v>59196</v>
      </c>
      <c r="M1168" t="s">
        <v>45</v>
      </c>
      <c r="N1168">
        <v>4</v>
      </c>
      <c r="O1168">
        <v>4</v>
      </c>
      <c r="P1168">
        <v>48</v>
      </c>
      <c r="Q1168">
        <v>3</v>
      </c>
      <c r="R1168" s="1">
        <v>41803</v>
      </c>
      <c r="S1168" t="s">
        <v>29</v>
      </c>
      <c r="T1168" t="str">
        <f t="shared" si="90"/>
        <v>Grade B</v>
      </c>
      <c r="U1168">
        <f t="shared" si="91"/>
        <v>2</v>
      </c>
      <c r="V1168" t="str">
        <f t="shared" si="92"/>
        <v>Mid Level</v>
      </c>
      <c r="W1168" t="str">
        <f t="shared" si="93"/>
        <v>Medium Risk</v>
      </c>
      <c r="X1168" t="str">
        <f t="shared" si="94"/>
        <v>Fair</v>
      </c>
    </row>
    <row r="1169" spans="1:24" x14ac:dyDescent="0.3">
      <c r="A1169" t="s">
        <v>1237</v>
      </c>
      <c r="B1169" t="s">
        <v>39</v>
      </c>
      <c r="C1169">
        <v>39</v>
      </c>
      <c r="D1169" t="s">
        <v>47</v>
      </c>
      <c r="E1169" t="s">
        <v>48</v>
      </c>
      <c r="F1169" t="s">
        <v>41</v>
      </c>
      <c r="G1169" t="s">
        <v>42</v>
      </c>
      <c r="H1169" t="s">
        <v>67</v>
      </c>
      <c r="I1169" t="s">
        <v>68</v>
      </c>
      <c r="J1169" t="s">
        <v>60</v>
      </c>
      <c r="K1169">
        <v>8</v>
      </c>
      <c r="L1169">
        <v>105479</v>
      </c>
      <c r="M1169" t="s">
        <v>51</v>
      </c>
      <c r="N1169">
        <v>1</v>
      </c>
      <c r="O1169">
        <v>3</v>
      </c>
      <c r="P1169">
        <v>16</v>
      </c>
      <c r="Q1169">
        <v>2</v>
      </c>
      <c r="R1169" s="1">
        <v>42184</v>
      </c>
      <c r="S1169" t="s">
        <v>29</v>
      </c>
      <c r="T1169" t="str">
        <f t="shared" si="90"/>
        <v>Grade A</v>
      </c>
      <c r="U1169">
        <f t="shared" si="91"/>
        <v>4</v>
      </c>
      <c r="V1169" t="str">
        <f t="shared" si="92"/>
        <v>Mid Level</v>
      </c>
      <c r="W1169" t="str">
        <f t="shared" si="93"/>
        <v>Low Risk</v>
      </c>
      <c r="X1169" t="str">
        <f t="shared" si="94"/>
        <v>Competitive</v>
      </c>
    </row>
    <row r="1170" spans="1:24" x14ac:dyDescent="0.3">
      <c r="A1170" t="s">
        <v>1238</v>
      </c>
      <c r="B1170" t="s">
        <v>39</v>
      </c>
      <c r="C1170">
        <v>25</v>
      </c>
      <c r="D1170" t="s">
        <v>57</v>
      </c>
      <c r="E1170" t="s">
        <v>40</v>
      </c>
      <c r="F1170" t="s">
        <v>32</v>
      </c>
      <c r="G1170" t="s">
        <v>79</v>
      </c>
      <c r="H1170" t="s">
        <v>67</v>
      </c>
      <c r="I1170" t="s">
        <v>35</v>
      </c>
      <c r="J1170" t="s">
        <v>27</v>
      </c>
      <c r="K1170">
        <v>7</v>
      </c>
      <c r="L1170">
        <v>53863</v>
      </c>
      <c r="M1170" t="s">
        <v>28</v>
      </c>
      <c r="N1170">
        <v>4</v>
      </c>
      <c r="O1170">
        <v>2</v>
      </c>
      <c r="P1170">
        <v>68</v>
      </c>
      <c r="Q1170">
        <v>1</v>
      </c>
      <c r="R1170" s="1">
        <v>42579</v>
      </c>
      <c r="S1170" t="s">
        <v>29</v>
      </c>
      <c r="T1170" t="str">
        <f t="shared" si="90"/>
        <v>Grade B</v>
      </c>
      <c r="U1170">
        <f t="shared" si="91"/>
        <v>3</v>
      </c>
      <c r="V1170" t="str">
        <f t="shared" si="92"/>
        <v>Mid Level</v>
      </c>
      <c r="W1170" t="str">
        <f t="shared" si="93"/>
        <v>Medium Risk</v>
      </c>
      <c r="X1170" t="str">
        <f t="shared" si="94"/>
        <v>Competitive</v>
      </c>
    </row>
    <row r="1171" spans="1:24" x14ac:dyDescent="0.3">
      <c r="A1171" t="s">
        <v>1239</v>
      </c>
      <c r="B1171" t="s">
        <v>39</v>
      </c>
      <c r="C1171">
        <v>45</v>
      </c>
      <c r="D1171" t="s">
        <v>88</v>
      </c>
      <c r="E1171" t="s">
        <v>48</v>
      </c>
      <c r="F1171" t="s">
        <v>23</v>
      </c>
      <c r="G1171" t="s">
        <v>66</v>
      </c>
      <c r="H1171" t="s">
        <v>83</v>
      </c>
      <c r="I1171" t="s">
        <v>26</v>
      </c>
      <c r="J1171" t="s">
        <v>27</v>
      </c>
      <c r="K1171">
        <v>8</v>
      </c>
      <c r="L1171">
        <v>46472</v>
      </c>
      <c r="M1171" t="s">
        <v>51</v>
      </c>
      <c r="N1171">
        <v>1</v>
      </c>
      <c r="O1171">
        <v>3</v>
      </c>
      <c r="P1171">
        <v>50</v>
      </c>
      <c r="Q1171">
        <v>1</v>
      </c>
      <c r="R1171" s="1">
        <v>42311</v>
      </c>
      <c r="S1171" t="s">
        <v>29</v>
      </c>
      <c r="T1171" t="str">
        <f t="shared" si="90"/>
        <v>Grade C</v>
      </c>
      <c r="U1171">
        <f t="shared" si="91"/>
        <v>4</v>
      </c>
      <c r="V1171" t="str">
        <f t="shared" si="92"/>
        <v>Mid Level</v>
      </c>
      <c r="W1171" t="str">
        <f t="shared" si="93"/>
        <v>Low Risk</v>
      </c>
      <c r="X1171" t="str">
        <f t="shared" si="94"/>
        <v>Fair</v>
      </c>
    </row>
    <row r="1172" spans="1:24" x14ac:dyDescent="0.3">
      <c r="A1172" t="s">
        <v>1240</v>
      </c>
      <c r="B1172" t="s">
        <v>20</v>
      </c>
      <c r="C1172">
        <v>25</v>
      </c>
      <c r="D1172" t="s">
        <v>21</v>
      </c>
      <c r="E1172" t="s">
        <v>48</v>
      </c>
      <c r="F1172" t="s">
        <v>65</v>
      </c>
      <c r="G1172" t="s">
        <v>33</v>
      </c>
      <c r="H1172" t="s">
        <v>25</v>
      </c>
      <c r="I1172" t="s">
        <v>59</v>
      </c>
      <c r="J1172" t="s">
        <v>60</v>
      </c>
      <c r="K1172">
        <v>7</v>
      </c>
      <c r="L1172">
        <v>72511</v>
      </c>
      <c r="M1172" t="s">
        <v>28</v>
      </c>
      <c r="N1172">
        <v>2</v>
      </c>
      <c r="O1172">
        <v>2</v>
      </c>
      <c r="P1172">
        <v>13</v>
      </c>
      <c r="Q1172">
        <v>3</v>
      </c>
      <c r="R1172" s="1">
        <v>42389</v>
      </c>
      <c r="S1172" t="s">
        <v>29</v>
      </c>
      <c r="T1172" t="str">
        <f t="shared" si="90"/>
        <v>Grade B</v>
      </c>
      <c r="U1172">
        <f t="shared" si="91"/>
        <v>3</v>
      </c>
      <c r="V1172" t="str">
        <f t="shared" si="92"/>
        <v>Mid Level</v>
      </c>
      <c r="W1172" t="str">
        <f t="shared" si="93"/>
        <v>Medium Risk</v>
      </c>
      <c r="X1172" t="str">
        <f t="shared" si="94"/>
        <v>Competitive</v>
      </c>
    </row>
    <row r="1173" spans="1:24" x14ac:dyDescent="0.3">
      <c r="A1173" t="s">
        <v>1241</v>
      </c>
      <c r="B1173" t="s">
        <v>20</v>
      </c>
      <c r="C1173">
        <v>48</v>
      </c>
      <c r="D1173" t="s">
        <v>47</v>
      </c>
      <c r="E1173" t="s">
        <v>22</v>
      </c>
      <c r="F1173" t="s">
        <v>53</v>
      </c>
      <c r="G1173" t="s">
        <v>33</v>
      </c>
      <c r="H1173" t="s">
        <v>67</v>
      </c>
      <c r="I1173" t="s">
        <v>72</v>
      </c>
      <c r="J1173" t="s">
        <v>73</v>
      </c>
      <c r="K1173">
        <v>8</v>
      </c>
      <c r="L1173">
        <v>70327</v>
      </c>
      <c r="M1173" t="s">
        <v>36</v>
      </c>
      <c r="N1173">
        <v>4</v>
      </c>
      <c r="O1173">
        <v>1</v>
      </c>
      <c r="P1173">
        <v>24</v>
      </c>
      <c r="Q1173">
        <v>2</v>
      </c>
      <c r="R1173" s="1">
        <v>42168</v>
      </c>
      <c r="S1173" t="s">
        <v>37</v>
      </c>
      <c r="T1173" t="str">
        <f t="shared" si="90"/>
        <v>Grade B</v>
      </c>
      <c r="U1173">
        <f t="shared" si="91"/>
        <v>1</v>
      </c>
      <c r="V1173" t="str">
        <f t="shared" si="92"/>
        <v>Mid Level</v>
      </c>
      <c r="W1173" t="str">
        <f t="shared" si="93"/>
        <v>Already Left</v>
      </c>
      <c r="X1173" t="str">
        <f t="shared" si="94"/>
        <v>Fair</v>
      </c>
    </row>
    <row r="1174" spans="1:24" x14ac:dyDescent="0.3">
      <c r="A1174" t="s">
        <v>1242</v>
      </c>
      <c r="B1174" t="s">
        <v>20</v>
      </c>
      <c r="C1174">
        <v>42</v>
      </c>
      <c r="D1174" t="s">
        <v>88</v>
      </c>
      <c r="E1174" t="s">
        <v>40</v>
      </c>
      <c r="F1174" t="s">
        <v>23</v>
      </c>
      <c r="G1174" t="s">
        <v>33</v>
      </c>
      <c r="H1174" t="s">
        <v>25</v>
      </c>
      <c r="I1174" t="s">
        <v>50</v>
      </c>
      <c r="J1174" t="s">
        <v>44</v>
      </c>
      <c r="K1174">
        <v>14</v>
      </c>
      <c r="L1174">
        <v>95596</v>
      </c>
      <c r="M1174" t="s">
        <v>28</v>
      </c>
      <c r="N1174">
        <v>1</v>
      </c>
      <c r="O1174">
        <v>1</v>
      </c>
      <c r="P1174">
        <v>13</v>
      </c>
      <c r="Q1174">
        <v>1</v>
      </c>
      <c r="R1174" s="1">
        <v>40170</v>
      </c>
      <c r="S1174" t="s">
        <v>37</v>
      </c>
      <c r="T1174" t="str">
        <f t="shared" si="90"/>
        <v>Grade A</v>
      </c>
      <c r="U1174">
        <f t="shared" si="91"/>
        <v>3</v>
      </c>
      <c r="V1174" t="str">
        <f t="shared" si="92"/>
        <v>Senior</v>
      </c>
      <c r="W1174" t="str">
        <f t="shared" si="93"/>
        <v>Already Left</v>
      </c>
      <c r="X1174" t="str">
        <f t="shared" si="94"/>
        <v>Competitive</v>
      </c>
    </row>
    <row r="1175" spans="1:24" x14ac:dyDescent="0.3">
      <c r="A1175" t="s">
        <v>1243</v>
      </c>
      <c r="B1175" t="s">
        <v>39</v>
      </c>
      <c r="C1175">
        <v>29</v>
      </c>
      <c r="D1175" t="s">
        <v>57</v>
      </c>
      <c r="E1175" t="s">
        <v>22</v>
      </c>
      <c r="F1175" t="s">
        <v>53</v>
      </c>
      <c r="G1175" t="s">
        <v>24</v>
      </c>
      <c r="H1175" t="s">
        <v>67</v>
      </c>
      <c r="I1175" t="s">
        <v>96</v>
      </c>
      <c r="J1175" t="s">
        <v>44</v>
      </c>
      <c r="K1175">
        <v>5</v>
      </c>
      <c r="L1175">
        <v>85478</v>
      </c>
      <c r="M1175" t="s">
        <v>51</v>
      </c>
      <c r="N1175">
        <v>3</v>
      </c>
      <c r="O1175">
        <v>2</v>
      </c>
      <c r="P1175">
        <v>25</v>
      </c>
      <c r="Q1175">
        <v>1</v>
      </c>
      <c r="R1175" s="1">
        <v>43128</v>
      </c>
      <c r="S1175" t="s">
        <v>29</v>
      </c>
      <c r="T1175" t="str">
        <f t="shared" si="90"/>
        <v>Grade A</v>
      </c>
      <c r="U1175">
        <f t="shared" si="91"/>
        <v>4</v>
      </c>
      <c r="V1175" t="str">
        <f t="shared" si="92"/>
        <v>Junior</v>
      </c>
      <c r="W1175" t="str">
        <f t="shared" si="93"/>
        <v>Low Risk</v>
      </c>
      <c r="X1175" t="str">
        <f t="shared" si="94"/>
        <v>Competitive</v>
      </c>
    </row>
    <row r="1176" spans="1:24" x14ac:dyDescent="0.3">
      <c r="A1176" t="s">
        <v>1244</v>
      </c>
      <c r="B1176" t="s">
        <v>20</v>
      </c>
      <c r="C1176">
        <v>44</v>
      </c>
      <c r="D1176" t="s">
        <v>31</v>
      </c>
      <c r="E1176" t="s">
        <v>40</v>
      </c>
      <c r="F1176" t="s">
        <v>41</v>
      </c>
      <c r="G1176" t="s">
        <v>58</v>
      </c>
      <c r="H1176" t="s">
        <v>76</v>
      </c>
      <c r="I1176" t="s">
        <v>43</v>
      </c>
      <c r="J1176" t="s">
        <v>44</v>
      </c>
      <c r="K1176">
        <v>15</v>
      </c>
      <c r="L1176">
        <v>111503</v>
      </c>
      <c r="M1176" t="s">
        <v>28</v>
      </c>
      <c r="N1176">
        <v>2</v>
      </c>
      <c r="O1176">
        <v>4</v>
      </c>
      <c r="P1176">
        <v>32</v>
      </c>
      <c r="Q1176">
        <v>0</v>
      </c>
      <c r="R1176" s="1">
        <v>39716</v>
      </c>
      <c r="S1176" t="s">
        <v>37</v>
      </c>
      <c r="T1176" t="str">
        <f t="shared" si="90"/>
        <v>Grade A</v>
      </c>
      <c r="U1176">
        <f t="shared" si="91"/>
        <v>3</v>
      </c>
      <c r="V1176" t="str">
        <f t="shared" si="92"/>
        <v>Senior</v>
      </c>
      <c r="W1176" t="str">
        <f t="shared" si="93"/>
        <v>Already Left</v>
      </c>
      <c r="X1176" t="str">
        <f t="shared" si="94"/>
        <v>Competitive</v>
      </c>
    </row>
    <row r="1177" spans="1:24" x14ac:dyDescent="0.3">
      <c r="A1177" t="s">
        <v>1245</v>
      </c>
      <c r="B1177" t="s">
        <v>20</v>
      </c>
      <c r="C1177">
        <v>35</v>
      </c>
      <c r="D1177" t="s">
        <v>47</v>
      </c>
      <c r="E1177" t="s">
        <v>22</v>
      </c>
      <c r="F1177" t="s">
        <v>53</v>
      </c>
      <c r="G1177" t="s">
        <v>49</v>
      </c>
      <c r="H1177" t="s">
        <v>34</v>
      </c>
      <c r="I1177" t="s">
        <v>54</v>
      </c>
      <c r="J1177" t="s">
        <v>27</v>
      </c>
      <c r="K1177">
        <v>13</v>
      </c>
      <c r="L1177">
        <v>77271</v>
      </c>
      <c r="M1177" t="s">
        <v>36</v>
      </c>
      <c r="N1177">
        <v>2</v>
      </c>
      <c r="O1177">
        <v>2</v>
      </c>
      <c r="P1177">
        <v>66</v>
      </c>
      <c r="Q1177">
        <v>1</v>
      </c>
      <c r="R1177" s="1">
        <v>40356</v>
      </c>
      <c r="S1177" t="s">
        <v>29</v>
      </c>
      <c r="T1177" t="str">
        <f t="shared" si="90"/>
        <v>Grade B</v>
      </c>
      <c r="U1177">
        <f t="shared" si="91"/>
        <v>1</v>
      </c>
      <c r="V1177" t="str">
        <f t="shared" si="92"/>
        <v>Senior</v>
      </c>
      <c r="W1177" t="str">
        <f t="shared" si="93"/>
        <v>Medium Risk</v>
      </c>
      <c r="X1177" t="str">
        <f t="shared" si="94"/>
        <v>Fair</v>
      </c>
    </row>
    <row r="1178" spans="1:24" x14ac:dyDescent="0.3">
      <c r="A1178" t="s">
        <v>1246</v>
      </c>
      <c r="B1178" t="s">
        <v>39</v>
      </c>
      <c r="C1178">
        <v>44</v>
      </c>
      <c r="D1178" t="s">
        <v>47</v>
      </c>
      <c r="E1178" t="s">
        <v>22</v>
      </c>
      <c r="F1178" t="s">
        <v>32</v>
      </c>
      <c r="G1178" t="s">
        <v>42</v>
      </c>
      <c r="H1178" t="s">
        <v>34</v>
      </c>
      <c r="I1178" t="s">
        <v>54</v>
      </c>
      <c r="J1178" t="s">
        <v>27</v>
      </c>
      <c r="K1178">
        <v>1</v>
      </c>
      <c r="L1178">
        <v>98914</v>
      </c>
      <c r="M1178" t="s">
        <v>28</v>
      </c>
      <c r="N1178">
        <v>2</v>
      </c>
      <c r="O1178">
        <v>4</v>
      </c>
      <c r="P1178">
        <v>64</v>
      </c>
      <c r="Q1178">
        <v>0</v>
      </c>
      <c r="R1178" s="1">
        <v>44574</v>
      </c>
      <c r="S1178" t="s">
        <v>29</v>
      </c>
      <c r="T1178" t="str">
        <f t="shared" si="90"/>
        <v>Grade A</v>
      </c>
      <c r="U1178">
        <f t="shared" si="91"/>
        <v>3</v>
      </c>
      <c r="V1178" t="str">
        <f t="shared" si="92"/>
        <v>New Joiner</v>
      </c>
      <c r="W1178" t="str">
        <f t="shared" si="93"/>
        <v>Medium Risk</v>
      </c>
      <c r="X1178" t="str">
        <f t="shared" si="94"/>
        <v>Competitive</v>
      </c>
    </row>
    <row r="1179" spans="1:24" x14ac:dyDescent="0.3">
      <c r="A1179" t="s">
        <v>1247</v>
      </c>
      <c r="B1179" t="s">
        <v>39</v>
      </c>
      <c r="C1179">
        <v>46</v>
      </c>
      <c r="D1179" t="s">
        <v>88</v>
      </c>
      <c r="E1179" t="s">
        <v>48</v>
      </c>
      <c r="F1179" t="s">
        <v>65</v>
      </c>
      <c r="G1179" t="s">
        <v>79</v>
      </c>
      <c r="H1179" t="s">
        <v>83</v>
      </c>
      <c r="I1179" t="s">
        <v>35</v>
      </c>
      <c r="J1179" t="s">
        <v>27</v>
      </c>
      <c r="K1179">
        <v>7</v>
      </c>
      <c r="L1179">
        <v>45604</v>
      </c>
      <c r="M1179" t="s">
        <v>36</v>
      </c>
      <c r="N1179">
        <v>1</v>
      </c>
      <c r="O1179">
        <v>2</v>
      </c>
      <c r="P1179">
        <v>35</v>
      </c>
      <c r="Q1179">
        <v>3</v>
      </c>
      <c r="R1179" s="1">
        <v>42714</v>
      </c>
      <c r="S1179" t="s">
        <v>37</v>
      </c>
      <c r="T1179" t="str">
        <f t="shared" si="90"/>
        <v>Grade C</v>
      </c>
      <c r="U1179">
        <f t="shared" si="91"/>
        <v>1</v>
      </c>
      <c r="V1179" t="str">
        <f t="shared" si="92"/>
        <v>Mid Level</v>
      </c>
      <c r="W1179" t="str">
        <f t="shared" si="93"/>
        <v>Already Left</v>
      </c>
      <c r="X1179" t="str">
        <f t="shared" si="94"/>
        <v>Fair</v>
      </c>
    </row>
    <row r="1180" spans="1:24" x14ac:dyDescent="0.3">
      <c r="A1180" t="s">
        <v>1248</v>
      </c>
      <c r="B1180" t="s">
        <v>39</v>
      </c>
      <c r="C1180">
        <v>33</v>
      </c>
      <c r="D1180" t="s">
        <v>21</v>
      </c>
      <c r="E1180" t="s">
        <v>48</v>
      </c>
      <c r="F1180" t="s">
        <v>41</v>
      </c>
      <c r="G1180" t="s">
        <v>24</v>
      </c>
      <c r="H1180" t="s">
        <v>83</v>
      </c>
      <c r="I1180" t="s">
        <v>50</v>
      </c>
      <c r="J1180" t="s">
        <v>44</v>
      </c>
      <c r="K1180">
        <v>2</v>
      </c>
      <c r="L1180">
        <v>81990</v>
      </c>
      <c r="M1180" t="s">
        <v>36</v>
      </c>
      <c r="N1180">
        <v>4</v>
      </c>
      <c r="O1180">
        <v>3</v>
      </c>
      <c r="P1180">
        <v>78</v>
      </c>
      <c r="Q1180">
        <v>2</v>
      </c>
      <c r="R1180" s="1">
        <v>44232</v>
      </c>
      <c r="S1180" t="s">
        <v>37</v>
      </c>
      <c r="T1180" t="str">
        <f t="shared" si="90"/>
        <v>Grade A</v>
      </c>
      <c r="U1180">
        <f t="shared" si="91"/>
        <v>1</v>
      </c>
      <c r="V1180" t="str">
        <f t="shared" si="92"/>
        <v>New Joiner</v>
      </c>
      <c r="W1180" t="str">
        <f t="shared" si="93"/>
        <v>Already Left</v>
      </c>
      <c r="X1180" t="str">
        <f t="shared" si="94"/>
        <v>Overpaid</v>
      </c>
    </row>
    <row r="1181" spans="1:24" x14ac:dyDescent="0.3">
      <c r="A1181" t="s">
        <v>1249</v>
      </c>
      <c r="B1181" t="s">
        <v>39</v>
      </c>
      <c r="C1181">
        <v>31</v>
      </c>
      <c r="D1181" t="s">
        <v>47</v>
      </c>
      <c r="E1181" t="s">
        <v>22</v>
      </c>
      <c r="F1181" t="s">
        <v>78</v>
      </c>
      <c r="G1181" t="s">
        <v>42</v>
      </c>
      <c r="H1181" t="s">
        <v>67</v>
      </c>
      <c r="I1181" t="s">
        <v>43</v>
      </c>
      <c r="J1181" t="s">
        <v>44</v>
      </c>
      <c r="K1181">
        <v>8</v>
      </c>
      <c r="L1181">
        <v>105293</v>
      </c>
      <c r="M1181" t="s">
        <v>45</v>
      </c>
      <c r="N1181">
        <v>1</v>
      </c>
      <c r="O1181">
        <v>1</v>
      </c>
      <c r="P1181">
        <v>47</v>
      </c>
      <c r="Q1181">
        <v>2</v>
      </c>
      <c r="R1181" s="1">
        <v>42265</v>
      </c>
      <c r="S1181" t="s">
        <v>29</v>
      </c>
      <c r="T1181" t="str">
        <f t="shared" si="90"/>
        <v>Grade A</v>
      </c>
      <c r="U1181">
        <f t="shared" si="91"/>
        <v>2</v>
      </c>
      <c r="V1181" t="str">
        <f t="shared" si="92"/>
        <v>Mid Level</v>
      </c>
      <c r="W1181" t="str">
        <f t="shared" si="93"/>
        <v>Medium Risk</v>
      </c>
      <c r="X1181" t="str">
        <f t="shared" si="94"/>
        <v>Fair</v>
      </c>
    </row>
    <row r="1182" spans="1:24" x14ac:dyDescent="0.3">
      <c r="A1182" t="s">
        <v>1250</v>
      </c>
      <c r="B1182" t="s">
        <v>39</v>
      </c>
      <c r="C1182">
        <v>46</v>
      </c>
      <c r="D1182" t="s">
        <v>47</v>
      </c>
      <c r="E1182" t="s">
        <v>40</v>
      </c>
      <c r="F1182" t="s">
        <v>65</v>
      </c>
      <c r="G1182" t="s">
        <v>24</v>
      </c>
      <c r="H1182" t="s">
        <v>34</v>
      </c>
      <c r="I1182" t="s">
        <v>68</v>
      </c>
      <c r="J1182" t="s">
        <v>60</v>
      </c>
      <c r="K1182">
        <v>12</v>
      </c>
      <c r="L1182">
        <v>94853</v>
      </c>
      <c r="M1182" t="s">
        <v>28</v>
      </c>
      <c r="N1182">
        <v>3</v>
      </c>
      <c r="O1182">
        <v>2</v>
      </c>
      <c r="P1182">
        <v>57</v>
      </c>
      <c r="Q1182">
        <v>0</v>
      </c>
      <c r="R1182" s="1">
        <v>40705</v>
      </c>
      <c r="S1182" t="s">
        <v>29</v>
      </c>
      <c r="T1182" t="str">
        <f t="shared" si="90"/>
        <v>Grade A</v>
      </c>
      <c r="U1182">
        <f t="shared" si="91"/>
        <v>3</v>
      </c>
      <c r="V1182" t="str">
        <f t="shared" si="92"/>
        <v>Senior</v>
      </c>
      <c r="W1182" t="str">
        <f t="shared" si="93"/>
        <v>Medium Risk</v>
      </c>
      <c r="X1182" t="str">
        <f t="shared" si="94"/>
        <v>Competitive</v>
      </c>
    </row>
    <row r="1183" spans="1:24" x14ac:dyDescent="0.3">
      <c r="A1183" t="s">
        <v>1251</v>
      </c>
      <c r="B1183" t="s">
        <v>20</v>
      </c>
      <c r="C1183">
        <v>53</v>
      </c>
      <c r="D1183" t="s">
        <v>31</v>
      </c>
      <c r="E1183" t="s">
        <v>22</v>
      </c>
      <c r="F1183" t="s">
        <v>32</v>
      </c>
      <c r="G1183" t="s">
        <v>79</v>
      </c>
      <c r="H1183" t="s">
        <v>76</v>
      </c>
      <c r="I1183" t="s">
        <v>43</v>
      </c>
      <c r="J1183" t="s">
        <v>44</v>
      </c>
      <c r="K1183">
        <v>2</v>
      </c>
      <c r="L1183">
        <v>51418</v>
      </c>
      <c r="M1183" t="s">
        <v>28</v>
      </c>
      <c r="N1183">
        <v>2</v>
      </c>
      <c r="O1183">
        <v>1</v>
      </c>
      <c r="P1183">
        <v>72</v>
      </c>
      <c r="Q1183">
        <v>2</v>
      </c>
      <c r="R1183" s="1">
        <v>44423</v>
      </c>
      <c r="S1183" t="s">
        <v>37</v>
      </c>
      <c r="T1183" t="str">
        <f t="shared" si="90"/>
        <v>Grade B</v>
      </c>
      <c r="U1183">
        <f t="shared" si="91"/>
        <v>3</v>
      </c>
      <c r="V1183" t="str">
        <f t="shared" si="92"/>
        <v>New Joiner</v>
      </c>
      <c r="W1183" t="str">
        <f t="shared" si="93"/>
        <v>Already Left</v>
      </c>
      <c r="X1183" t="str">
        <f t="shared" si="94"/>
        <v>Competitive</v>
      </c>
    </row>
    <row r="1184" spans="1:24" x14ac:dyDescent="0.3">
      <c r="A1184" t="s">
        <v>1252</v>
      </c>
      <c r="B1184" t="s">
        <v>39</v>
      </c>
      <c r="C1184">
        <v>47</v>
      </c>
      <c r="D1184" t="s">
        <v>21</v>
      </c>
      <c r="E1184" t="s">
        <v>40</v>
      </c>
      <c r="F1184" t="s">
        <v>62</v>
      </c>
      <c r="G1184" t="s">
        <v>58</v>
      </c>
      <c r="H1184" t="s">
        <v>83</v>
      </c>
      <c r="I1184" t="s">
        <v>59</v>
      </c>
      <c r="J1184" t="s">
        <v>60</v>
      </c>
      <c r="K1184">
        <v>3</v>
      </c>
      <c r="L1184">
        <v>83350</v>
      </c>
      <c r="M1184" t="s">
        <v>45</v>
      </c>
      <c r="N1184">
        <v>3</v>
      </c>
      <c r="O1184">
        <v>4</v>
      </c>
      <c r="P1184">
        <v>39</v>
      </c>
      <c r="Q1184">
        <v>3</v>
      </c>
      <c r="R1184" s="1">
        <v>44000</v>
      </c>
      <c r="S1184" t="s">
        <v>29</v>
      </c>
      <c r="T1184" t="str">
        <f t="shared" si="90"/>
        <v>Grade A</v>
      </c>
      <c r="U1184">
        <f t="shared" si="91"/>
        <v>2</v>
      </c>
      <c r="V1184" t="str">
        <f t="shared" si="92"/>
        <v>Junior</v>
      </c>
      <c r="W1184" t="str">
        <f t="shared" si="93"/>
        <v>Medium Risk</v>
      </c>
      <c r="X1184" t="str">
        <f t="shared" si="94"/>
        <v>Fair</v>
      </c>
    </row>
    <row r="1185" spans="1:24" x14ac:dyDescent="0.3">
      <c r="A1185" t="s">
        <v>1253</v>
      </c>
      <c r="B1185" t="s">
        <v>20</v>
      </c>
      <c r="C1185">
        <v>38</v>
      </c>
      <c r="D1185" t="s">
        <v>88</v>
      </c>
      <c r="E1185" t="s">
        <v>22</v>
      </c>
      <c r="F1185" t="s">
        <v>75</v>
      </c>
      <c r="G1185" t="s">
        <v>42</v>
      </c>
      <c r="H1185" t="s">
        <v>83</v>
      </c>
      <c r="I1185" t="s">
        <v>72</v>
      </c>
      <c r="J1185" t="s">
        <v>73</v>
      </c>
      <c r="K1185">
        <v>12</v>
      </c>
      <c r="L1185">
        <v>124602</v>
      </c>
      <c r="M1185" t="s">
        <v>45</v>
      </c>
      <c r="N1185">
        <v>2</v>
      </c>
      <c r="O1185">
        <v>1</v>
      </c>
      <c r="P1185">
        <v>57</v>
      </c>
      <c r="Q1185">
        <v>0</v>
      </c>
      <c r="R1185" s="1">
        <v>40727</v>
      </c>
      <c r="S1185" t="s">
        <v>37</v>
      </c>
      <c r="T1185" t="str">
        <f t="shared" si="90"/>
        <v>Grade A</v>
      </c>
      <c r="U1185">
        <f t="shared" si="91"/>
        <v>2</v>
      </c>
      <c r="V1185" t="str">
        <f t="shared" si="92"/>
        <v>Senior</v>
      </c>
      <c r="W1185" t="str">
        <f t="shared" si="93"/>
        <v>Already Left</v>
      </c>
      <c r="X1185" t="str">
        <f t="shared" si="94"/>
        <v>Fair</v>
      </c>
    </row>
    <row r="1186" spans="1:24" x14ac:dyDescent="0.3">
      <c r="A1186" t="s">
        <v>1254</v>
      </c>
      <c r="B1186" t="s">
        <v>39</v>
      </c>
      <c r="C1186">
        <v>27</v>
      </c>
      <c r="D1186" t="s">
        <v>88</v>
      </c>
      <c r="E1186" t="s">
        <v>40</v>
      </c>
      <c r="F1186" t="s">
        <v>62</v>
      </c>
      <c r="G1186" t="s">
        <v>66</v>
      </c>
      <c r="H1186" t="s">
        <v>83</v>
      </c>
      <c r="I1186" t="s">
        <v>43</v>
      </c>
      <c r="J1186" t="s">
        <v>44</v>
      </c>
      <c r="K1186">
        <v>10</v>
      </c>
      <c r="L1186">
        <v>55811</v>
      </c>
      <c r="M1186" t="s">
        <v>51</v>
      </c>
      <c r="N1186">
        <v>4</v>
      </c>
      <c r="O1186">
        <v>2</v>
      </c>
      <c r="P1186">
        <v>51</v>
      </c>
      <c r="Q1186">
        <v>3</v>
      </c>
      <c r="R1186" s="1">
        <v>41503</v>
      </c>
      <c r="S1186" t="s">
        <v>29</v>
      </c>
      <c r="T1186" t="str">
        <f t="shared" si="90"/>
        <v>Grade B</v>
      </c>
      <c r="U1186">
        <f t="shared" si="91"/>
        <v>4</v>
      </c>
      <c r="V1186" t="str">
        <f t="shared" si="92"/>
        <v>Mid Level</v>
      </c>
      <c r="W1186" t="str">
        <f t="shared" si="93"/>
        <v>Low Risk</v>
      </c>
      <c r="X1186" t="str">
        <f t="shared" si="94"/>
        <v>Fair</v>
      </c>
    </row>
    <row r="1187" spans="1:24" x14ac:dyDescent="0.3">
      <c r="A1187" t="s">
        <v>1255</v>
      </c>
      <c r="B1187" t="s">
        <v>20</v>
      </c>
      <c r="C1187">
        <v>32</v>
      </c>
      <c r="D1187" t="s">
        <v>57</v>
      </c>
      <c r="E1187" t="s">
        <v>22</v>
      </c>
      <c r="F1187" t="s">
        <v>78</v>
      </c>
      <c r="G1187" t="s">
        <v>33</v>
      </c>
      <c r="H1187" t="s">
        <v>25</v>
      </c>
      <c r="I1187" t="s">
        <v>35</v>
      </c>
      <c r="J1187" t="s">
        <v>27</v>
      </c>
      <c r="K1187">
        <v>1</v>
      </c>
      <c r="L1187">
        <v>52017</v>
      </c>
      <c r="M1187" t="s">
        <v>28</v>
      </c>
      <c r="N1187">
        <v>1</v>
      </c>
      <c r="O1187">
        <v>1</v>
      </c>
      <c r="P1187">
        <v>73</v>
      </c>
      <c r="Q1187">
        <v>0</v>
      </c>
      <c r="R1187" s="1">
        <v>44918</v>
      </c>
      <c r="S1187" t="s">
        <v>29</v>
      </c>
      <c r="T1187" t="str">
        <f t="shared" si="90"/>
        <v>Grade B</v>
      </c>
      <c r="U1187">
        <f t="shared" si="91"/>
        <v>3</v>
      </c>
      <c r="V1187" t="str">
        <f t="shared" si="92"/>
        <v>New Joiner</v>
      </c>
      <c r="W1187" t="str">
        <f t="shared" si="93"/>
        <v>Medium Risk</v>
      </c>
      <c r="X1187" t="str">
        <f t="shared" si="94"/>
        <v>Competitive</v>
      </c>
    </row>
    <row r="1188" spans="1:24" x14ac:dyDescent="0.3">
      <c r="A1188" t="s">
        <v>1256</v>
      </c>
      <c r="B1188" t="s">
        <v>20</v>
      </c>
      <c r="C1188">
        <v>51</v>
      </c>
      <c r="D1188" t="s">
        <v>88</v>
      </c>
      <c r="E1188" t="s">
        <v>40</v>
      </c>
      <c r="F1188" t="s">
        <v>41</v>
      </c>
      <c r="G1188" t="s">
        <v>49</v>
      </c>
      <c r="H1188" t="s">
        <v>67</v>
      </c>
      <c r="I1188" t="s">
        <v>68</v>
      </c>
      <c r="J1188" t="s">
        <v>60</v>
      </c>
      <c r="K1188">
        <v>2</v>
      </c>
      <c r="L1188">
        <v>62729</v>
      </c>
      <c r="M1188" t="s">
        <v>45</v>
      </c>
      <c r="N1188">
        <v>4</v>
      </c>
      <c r="O1188">
        <v>4</v>
      </c>
      <c r="P1188">
        <v>14</v>
      </c>
      <c r="Q1188">
        <v>3</v>
      </c>
      <c r="R1188" s="1">
        <v>44342</v>
      </c>
      <c r="S1188" t="s">
        <v>29</v>
      </c>
      <c r="T1188" t="str">
        <f t="shared" si="90"/>
        <v>Grade B</v>
      </c>
      <c r="U1188">
        <f t="shared" si="91"/>
        <v>2</v>
      </c>
      <c r="V1188" t="str">
        <f t="shared" si="92"/>
        <v>New Joiner</v>
      </c>
      <c r="W1188" t="str">
        <f t="shared" si="93"/>
        <v>Medium Risk</v>
      </c>
      <c r="X1188" t="str">
        <f t="shared" si="94"/>
        <v>Fair</v>
      </c>
    </row>
    <row r="1189" spans="1:24" x14ac:dyDescent="0.3">
      <c r="A1189" t="s">
        <v>1257</v>
      </c>
      <c r="B1189" t="s">
        <v>39</v>
      </c>
      <c r="C1189">
        <v>50</v>
      </c>
      <c r="D1189" t="s">
        <v>57</v>
      </c>
      <c r="E1189" t="s">
        <v>40</v>
      </c>
      <c r="F1189" t="s">
        <v>41</v>
      </c>
      <c r="G1189" t="s">
        <v>33</v>
      </c>
      <c r="H1189" t="s">
        <v>67</v>
      </c>
      <c r="I1189" t="s">
        <v>59</v>
      </c>
      <c r="J1189" t="s">
        <v>60</v>
      </c>
      <c r="K1189">
        <v>8</v>
      </c>
      <c r="L1189">
        <v>73580</v>
      </c>
      <c r="M1189" t="s">
        <v>36</v>
      </c>
      <c r="N1189">
        <v>1</v>
      </c>
      <c r="O1189">
        <v>4</v>
      </c>
      <c r="P1189">
        <v>53</v>
      </c>
      <c r="Q1189">
        <v>3</v>
      </c>
      <c r="R1189" s="1">
        <v>42278</v>
      </c>
      <c r="S1189" t="s">
        <v>29</v>
      </c>
      <c r="T1189" t="str">
        <f t="shared" si="90"/>
        <v>Grade B</v>
      </c>
      <c r="U1189">
        <f t="shared" si="91"/>
        <v>1</v>
      </c>
      <c r="V1189" t="str">
        <f t="shared" si="92"/>
        <v>Mid Level</v>
      </c>
      <c r="W1189" t="str">
        <f t="shared" si="93"/>
        <v>Medium Risk</v>
      </c>
      <c r="X1189" t="str">
        <f t="shared" si="94"/>
        <v>Fair</v>
      </c>
    </row>
    <row r="1190" spans="1:24" x14ac:dyDescent="0.3">
      <c r="A1190" t="s">
        <v>1258</v>
      </c>
      <c r="B1190" t="s">
        <v>39</v>
      </c>
      <c r="C1190">
        <v>27</v>
      </c>
      <c r="D1190" t="s">
        <v>57</v>
      </c>
      <c r="E1190" t="s">
        <v>48</v>
      </c>
      <c r="F1190" t="s">
        <v>75</v>
      </c>
      <c r="G1190" t="s">
        <v>49</v>
      </c>
      <c r="H1190" t="s">
        <v>25</v>
      </c>
      <c r="I1190" t="s">
        <v>35</v>
      </c>
      <c r="J1190" t="s">
        <v>27</v>
      </c>
      <c r="K1190">
        <v>14</v>
      </c>
      <c r="L1190">
        <v>86732</v>
      </c>
      <c r="M1190" t="s">
        <v>28</v>
      </c>
      <c r="N1190">
        <v>3</v>
      </c>
      <c r="O1190">
        <v>2</v>
      </c>
      <c r="P1190">
        <v>13</v>
      </c>
      <c r="Q1190">
        <v>2</v>
      </c>
      <c r="R1190" s="1">
        <v>40079</v>
      </c>
      <c r="S1190" t="s">
        <v>29</v>
      </c>
      <c r="T1190" t="str">
        <f t="shared" si="90"/>
        <v>Grade A</v>
      </c>
      <c r="U1190">
        <f t="shared" si="91"/>
        <v>3</v>
      </c>
      <c r="V1190" t="str">
        <f t="shared" si="92"/>
        <v>Senior</v>
      </c>
      <c r="W1190" t="str">
        <f t="shared" si="93"/>
        <v>Medium Risk</v>
      </c>
      <c r="X1190" t="str">
        <f t="shared" si="94"/>
        <v>Competitive</v>
      </c>
    </row>
    <row r="1191" spans="1:24" x14ac:dyDescent="0.3">
      <c r="A1191" t="s">
        <v>1259</v>
      </c>
      <c r="B1191" t="s">
        <v>20</v>
      </c>
      <c r="C1191">
        <v>23</v>
      </c>
      <c r="D1191" t="s">
        <v>31</v>
      </c>
      <c r="E1191" t="s">
        <v>48</v>
      </c>
      <c r="F1191" t="s">
        <v>32</v>
      </c>
      <c r="G1191" t="s">
        <v>24</v>
      </c>
      <c r="H1191" t="s">
        <v>83</v>
      </c>
      <c r="I1191" t="s">
        <v>68</v>
      </c>
      <c r="J1191" t="s">
        <v>60</v>
      </c>
      <c r="K1191">
        <v>1</v>
      </c>
      <c r="L1191">
        <v>70966</v>
      </c>
      <c r="M1191" t="s">
        <v>28</v>
      </c>
      <c r="N1191">
        <v>4</v>
      </c>
      <c r="O1191">
        <v>3</v>
      </c>
      <c r="P1191">
        <v>46</v>
      </c>
      <c r="Q1191">
        <v>3</v>
      </c>
      <c r="R1191" s="1">
        <v>44892</v>
      </c>
      <c r="S1191" t="s">
        <v>29</v>
      </c>
      <c r="T1191" t="str">
        <f t="shared" si="90"/>
        <v>Grade B</v>
      </c>
      <c r="U1191">
        <f t="shared" si="91"/>
        <v>3</v>
      </c>
      <c r="V1191" t="str">
        <f t="shared" si="92"/>
        <v>New Joiner</v>
      </c>
      <c r="W1191" t="str">
        <f t="shared" si="93"/>
        <v>Medium Risk</v>
      </c>
      <c r="X1191" t="str">
        <f t="shared" si="94"/>
        <v>Competitive</v>
      </c>
    </row>
    <row r="1192" spans="1:24" x14ac:dyDescent="0.3">
      <c r="A1192" t="s">
        <v>1260</v>
      </c>
      <c r="B1192" t="s">
        <v>20</v>
      </c>
      <c r="C1192">
        <v>41</v>
      </c>
      <c r="D1192" t="s">
        <v>31</v>
      </c>
      <c r="E1192" t="s">
        <v>40</v>
      </c>
      <c r="F1192" t="s">
        <v>78</v>
      </c>
      <c r="G1192" t="s">
        <v>24</v>
      </c>
      <c r="H1192" t="s">
        <v>83</v>
      </c>
      <c r="I1192" t="s">
        <v>80</v>
      </c>
      <c r="J1192" t="s">
        <v>60</v>
      </c>
      <c r="K1192">
        <v>1</v>
      </c>
      <c r="L1192">
        <v>80790</v>
      </c>
      <c r="M1192" t="s">
        <v>51</v>
      </c>
      <c r="N1192">
        <v>4</v>
      </c>
      <c r="O1192">
        <v>4</v>
      </c>
      <c r="P1192">
        <v>61</v>
      </c>
      <c r="Q1192">
        <v>2</v>
      </c>
      <c r="R1192" s="1">
        <v>44690</v>
      </c>
      <c r="S1192" t="s">
        <v>29</v>
      </c>
      <c r="T1192" t="str">
        <f t="shared" si="90"/>
        <v>Grade A</v>
      </c>
      <c r="U1192">
        <f t="shared" si="91"/>
        <v>4</v>
      </c>
      <c r="V1192" t="str">
        <f t="shared" si="92"/>
        <v>New Joiner</v>
      </c>
      <c r="W1192" t="str">
        <f t="shared" si="93"/>
        <v>Low Risk</v>
      </c>
      <c r="X1192" t="str">
        <f t="shared" si="94"/>
        <v>Competitive</v>
      </c>
    </row>
    <row r="1193" spans="1:24" x14ac:dyDescent="0.3">
      <c r="A1193" t="s">
        <v>1261</v>
      </c>
      <c r="B1193" t="s">
        <v>20</v>
      </c>
      <c r="C1193">
        <v>49</v>
      </c>
      <c r="D1193" t="s">
        <v>21</v>
      </c>
      <c r="E1193" t="s">
        <v>48</v>
      </c>
      <c r="F1193" t="s">
        <v>78</v>
      </c>
      <c r="G1193" t="s">
        <v>42</v>
      </c>
      <c r="H1193" t="s">
        <v>34</v>
      </c>
      <c r="I1193" t="s">
        <v>54</v>
      </c>
      <c r="J1193" t="s">
        <v>27</v>
      </c>
      <c r="K1193">
        <v>15</v>
      </c>
      <c r="L1193">
        <v>117917</v>
      </c>
      <c r="M1193" t="s">
        <v>36</v>
      </c>
      <c r="N1193">
        <v>3</v>
      </c>
      <c r="O1193">
        <v>1</v>
      </c>
      <c r="P1193">
        <v>12</v>
      </c>
      <c r="Q1193">
        <v>3</v>
      </c>
      <c r="R1193" s="1">
        <v>39620</v>
      </c>
      <c r="S1193" t="s">
        <v>37</v>
      </c>
      <c r="T1193" t="str">
        <f t="shared" si="90"/>
        <v>Grade A</v>
      </c>
      <c r="U1193">
        <f t="shared" si="91"/>
        <v>1</v>
      </c>
      <c r="V1193" t="str">
        <f t="shared" si="92"/>
        <v>Senior</v>
      </c>
      <c r="W1193" t="str">
        <f t="shared" si="93"/>
        <v>Already Left</v>
      </c>
      <c r="X1193" t="str">
        <f t="shared" si="94"/>
        <v>Overpaid</v>
      </c>
    </row>
    <row r="1194" spans="1:24" x14ac:dyDescent="0.3">
      <c r="A1194" t="s">
        <v>1262</v>
      </c>
      <c r="B1194" t="s">
        <v>20</v>
      </c>
      <c r="C1194">
        <v>49</v>
      </c>
      <c r="D1194" t="s">
        <v>88</v>
      </c>
      <c r="E1194" t="s">
        <v>22</v>
      </c>
      <c r="F1194" t="s">
        <v>65</v>
      </c>
      <c r="G1194" t="s">
        <v>49</v>
      </c>
      <c r="H1194" t="s">
        <v>25</v>
      </c>
      <c r="I1194" t="s">
        <v>59</v>
      </c>
      <c r="J1194" t="s">
        <v>60</v>
      </c>
      <c r="K1194">
        <v>8</v>
      </c>
      <c r="L1194">
        <v>57233</v>
      </c>
      <c r="M1194" t="s">
        <v>28</v>
      </c>
      <c r="N1194">
        <v>4</v>
      </c>
      <c r="O1194">
        <v>4</v>
      </c>
      <c r="P1194">
        <v>20</v>
      </c>
      <c r="Q1194">
        <v>0</v>
      </c>
      <c r="R1194" s="1">
        <v>42175</v>
      </c>
      <c r="S1194" t="s">
        <v>29</v>
      </c>
      <c r="T1194" t="str">
        <f t="shared" si="90"/>
        <v>Grade B</v>
      </c>
      <c r="U1194">
        <f t="shared" si="91"/>
        <v>3</v>
      </c>
      <c r="V1194" t="str">
        <f t="shared" si="92"/>
        <v>Mid Level</v>
      </c>
      <c r="W1194" t="str">
        <f t="shared" si="93"/>
        <v>Medium Risk</v>
      </c>
      <c r="X1194" t="str">
        <f t="shared" si="94"/>
        <v>Competitive</v>
      </c>
    </row>
    <row r="1195" spans="1:24" x14ac:dyDescent="0.3">
      <c r="A1195" t="s">
        <v>1263</v>
      </c>
      <c r="B1195" t="s">
        <v>20</v>
      </c>
      <c r="C1195">
        <v>22</v>
      </c>
      <c r="D1195" t="s">
        <v>47</v>
      </c>
      <c r="E1195" t="s">
        <v>48</v>
      </c>
      <c r="F1195" t="s">
        <v>65</v>
      </c>
      <c r="G1195" t="s">
        <v>66</v>
      </c>
      <c r="H1195" t="s">
        <v>67</v>
      </c>
      <c r="I1195" t="s">
        <v>54</v>
      </c>
      <c r="J1195" t="s">
        <v>27</v>
      </c>
      <c r="K1195">
        <v>4</v>
      </c>
      <c r="L1195">
        <v>39746</v>
      </c>
      <c r="M1195" t="s">
        <v>36</v>
      </c>
      <c r="N1195">
        <v>3</v>
      </c>
      <c r="O1195">
        <v>1</v>
      </c>
      <c r="P1195">
        <v>30</v>
      </c>
      <c r="Q1195">
        <v>1</v>
      </c>
      <c r="R1195" s="1">
        <v>43643</v>
      </c>
      <c r="S1195" t="s">
        <v>29</v>
      </c>
      <c r="T1195" t="str">
        <f t="shared" si="90"/>
        <v>Grade C</v>
      </c>
      <c r="U1195">
        <f t="shared" si="91"/>
        <v>1</v>
      </c>
      <c r="V1195" t="str">
        <f t="shared" si="92"/>
        <v>Junior</v>
      </c>
      <c r="W1195" t="str">
        <f t="shared" si="93"/>
        <v>Medium Risk</v>
      </c>
      <c r="X1195" t="str">
        <f t="shared" si="94"/>
        <v>Fair</v>
      </c>
    </row>
    <row r="1196" spans="1:24" x14ac:dyDescent="0.3">
      <c r="A1196" t="s">
        <v>1264</v>
      </c>
      <c r="B1196" t="s">
        <v>20</v>
      </c>
      <c r="C1196">
        <v>47</v>
      </c>
      <c r="D1196" t="s">
        <v>31</v>
      </c>
      <c r="E1196" t="s">
        <v>48</v>
      </c>
      <c r="F1196" t="s">
        <v>75</v>
      </c>
      <c r="G1196" t="s">
        <v>49</v>
      </c>
      <c r="H1196" t="s">
        <v>67</v>
      </c>
      <c r="I1196" t="s">
        <v>96</v>
      </c>
      <c r="J1196" t="s">
        <v>44</v>
      </c>
      <c r="K1196">
        <v>5</v>
      </c>
      <c r="L1196">
        <v>52567</v>
      </c>
      <c r="M1196" t="s">
        <v>36</v>
      </c>
      <c r="N1196">
        <v>4</v>
      </c>
      <c r="O1196">
        <v>4</v>
      </c>
      <c r="P1196">
        <v>41</v>
      </c>
      <c r="Q1196">
        <v>2</v>
      </c>
      <c r="R1196" s="1">
        <v>43319</v>
      </c>
      <c r="S1196" t="s">
        <v>29</v>
      </c>
      <c r="T1196" t="str">
        <f t="shared" si="90"/>
        <v>Grade B</v>
      </c>
      <c r="U1196">
        <f t="shared" si="91"/>
        <v>1</v>
      </c>
      <c r="V1196" t="str">
        <f t="shared" si="92"/>
        <v>Junior</v>
      </c>
      <c r="W1196" t="str">
        <f t="shared" si="93"/>
        <v>Medium Risk</v>
      </c>
      <c r="X1196" t="str">
        <f t="shared" si="94"/>
        <v>Fair</v>
      </c>
    </row>
    <row r="1197" spans="1:24" x14ac:dyDescent="0.3">
      <c r="A1197" t="s">
        <v>1265</v>
      </c>
      <c r="B1197" t="s">
        <v>39</v>
      </c>
      <c r="C1197">
        <v>47</v>
      </c>
      <c r="D1197" t="s">
        <v>88</v>
      </c>
      <c r="E1197" t="s">
        <v>40</v>
      </c>
      <c r="F1197" t="s">
        <v>62</v>
      </c>
      <c r="G1197" t="s">
        <v>42</v>
      </c>
      <c r="H1197" t="s">
        <v>25</v>
      </c>
      <c r="I1197" t="s">
        <v>72</v>
      </c>
      <c r="J1197" t="s">
        <v>73</v>
      </c>
      <c r="K1197">
        <v>5</v>
      </c>
      <c r="L1197">
        <v>97391</v>
      </c>
      <c r="M1197" t="s">
        <v>28</v>
      </c>
      <c r="N1197">
        <v>2</v>
      </c>
      <c r="O1197">
        <v>2</v>
      </c>
      <c r="P1197">
        <v>43</v>
      </c>
      <c r="Q1197">
        <v>2</v>
      </c>
      <c r="R1197" s="1">
        <v>43154</v>
      </c>
      <c r="S1197" t="s">
        <v>29</v>
      </c>
      <c r="T1197" t="str">
        <f t="shared" si="90"/>
        <v>Grade A</v>
      </c>
      <c r="U1197">
        <f t="shared" si="91"/>
        <v>3</v>
      </c>
      <c r="V1197" t="str">
        <f t="shared" si="92"/>
        <v>Junior</v>
      </c>
      <c r="W1197" t="str">
        <f t="shared" si="93"/>
        <v>Medium Risk</v>
      </c>
      <c r="X1197" t="str">
        <f t="shared" si="94"/>
        <v>Competitive</v>
      </c>
    </row>
    <row r="1198" spans="1:24" x14ac:dyDescent="0.3">
      <c r="A1198" t="s">
        <v>1266</v>
      </c>
      <c r="B1198" t="s">
        <v>39</v>
      </c>
      <c r="C1198">
        <v>31</v>
      </c>
      <c r="D1198" t="s">
        <v>47</v>
      </c>
      <c r="E1198" t="s">
        <v>22</v>
      </c>
      <c r="F1198" t="s">
        <v>78</v>
      </c>
      <c r="G1198" t="s">
        <v>42</v>
      </c>
      <c r="H1198" t="s">
        <v>25</v>
      </c>
      <c r="I1198" t="s">
        <v>54</v>
      </c>
      <c r="J1198" t="s">
        <v>27</v>
      </c>
      <c r="K1198">
        <v>10</v>
      </c>
      <c r="L1198">
        <v>118432</v>
      </c>
      <c r="M1198" t="s">
        <v>28</v>
      </c>
      <c r="N1198">
        <v>3</v>
      </c>
      <c r="O1198">
        <v>4</v>
      </c>
      <c r="P1198">
        <v>26</v>
      </c>
      <c r="Q1198">
        <v>3</v>
      </c>
      <c r="R1198" s="1">
        <v>41634</v>
      </c>
      <c r="S1198" t="s">
        <v>29</v>
      </c>
      <c r="T1198" t="str">
        <f t="shared" si="90"/>
        <v>Grade A</v>
      </c>
      <c r="U1198">
        <f t="shared" si="91"/>
        <v>3</v>
      </c>
      <c r="V1198" t="str">
        <f t="shared" si="92"/>
        <v>Mid Level</v>
      </c>
      <c r="W1198" t="str">
        <f t="shared" si="93"/>
        <v>Medium Risk</v>
      </c>
      <c r="X1198" t="str">
        <f t="shared" si="94"/>
        <v>Competitive</v>
      </c>
    </row>
    <row r="1199" spans="1:24" x14ac:dyDescent="0.3">
      <c r="A1199" t="s">
        <v>1267</v>
      </c>
      <c r="B1199" t="s">
        <v>39</v>
      </c>
      <c r="C1199">
        <v>25</v>
      </c>
      <c r="D1199" t="s">
        <v>47</v>
      </c>
      <c r="E1199" t="s">
        <v>22</v>
      </c>
      <c r="F1199" t="s">
        <v>62</v>
      </c>
      <c r="G1199" t="s">
        <v>79</v>
      </c>
      <c r="H1199" t="s">
        <v>83</v>
      </c>
      <c r="I1199" t="s">
        <v>59</v>
      </c>
      <c r="J1199" t="s">
        <v>60</v>
      </c>
      <c r="K1199">
        <v>3</v>
      </c>
      <c r="L1199">
        <v>36261</v>
      </c>
      <c r="M1199" t="s">
        <v>28</v>
      </c>
      <c r="N1199">
        <v>4</v>
      </c>
      <c r="O1199">
        <v>1</v>
      </c>
      <c r="P1199">
        <v>71</v>
      </c>
      <c r="Q1199">
        <v>2</v>
      </c>
      <c r="R1199" s="1">
        <v>43969</v>
      </c>
      <c r="S1199" t="s">
        <v>29</v>
      </c>
      <c r="T1199" t="str">
        <f t="shared" si="90"/>
        <v>Grade C</v>
      </c>
      <c r="U1199">
        <f t="shared" si="91"/>
        <v>3</v>
      </c>
      <c r="V1199" t="str">
        <f t="shared" si="92"/>
        <v>Junior</v>
      </c>
      <c r="W1199" t="str">
        <f t="shared" si="93"/>
        <v>Medium Risk</v>
      </c>
      <c r="X1199" t="str">
        <f t="shared" si="94"/>
        <v>Fair</v>
      </c>
    </row>
    <row r="1200" spans="1:24" x14ac:dyDescent="0.3">
      <c r="A1200" t="s">
        <v>1268</v>
      </c>
      <c r="B1200" t="s">
        <v>39</v>
      </c>
      <c r="C1200">
        <v>30</v>
      </c>
      <c r="D1200" t="s">
        <v>21</v>
      </c>
      <c r="E1200" t="s">
        <v>22</v>
      </c>
      <c r="F1200" t="s">
        <v>65</v>
      </c>
      <c r="G1200" t="s">
        <v>63</v>
      </c>
      <c r="H1200" t="s">
        <v>67</v>
      </c>
      <c r="I1200" t="s">
        <v>80</v>
      </c>
      <c r="J1200" t="s">
        <v>60</v>
      </c>
      <c r="K1200">
        <v>11</v>
      </c>
      <c r="L1200">
        <v>69141</v>
      </c>
      <c r="M1200" t="s">
        <v>45</v>
      </c>
      <c r="N1200">
        <v>1</v>
      </c>
      <c r="O1200">
        <v>1</v>
      </c>
      <c r="P1200">
        <v>48</v>
      </c>
      <c r="Q1200">
        <v>2</v>
      </c>
      <c r="R1200" s="1">
        <v>41036</v>
      </c>
      <c r="S1200" t="s">
        <v>29</v>
      </c>
      <c r="T1200" t="str">
        <f t="shared" si="90"/>
        <v>Grade B</v>
      </c>
      <c r="U1200">
        <f t="shared" si="91"/>
        <v>2</v>
      </c>
      <c r="V1200" t="str">
        <f t="shared" si="92"/>
        <v>Senior</v>
      </c>
      <c r="W1200" t="str">
        <f t="shared" si="93"/>
        <v>Medium Risk</v>
      </c>
      <c r="X1200" t="str">
        <f t="shared" si="94"/>
        <v>Fair</v>
      </c>
    </row>
    <row r="1201" spans="1:24" x14ac:dyDescent="0.3">
      <c r="A1201" t="s">
        <v>1269</v>
      </c>
      <c r="B1201" t="s">
        <v>39</v>
      </c>
      <c r="C1201">
        <v>23</v>
      </c>
      <c r="D1201" t="s">
        <v>47</v>
      </c>
      <c r="E1201" t="s">
        <v>40</v>
      </c>
      <c r="F1201" t="s">
        <v>75</v>
      </c>
      <c r="G1201" t="s">
        <v>79</v>
      </c>
      <c r="H1201" t="s">
        <v>25</v>
      </c>
      <c r="I1201" t="s">
        <v>54</v>
      </c>
      <c r="J1201" t="s">
        <v>27</v>
      </c>
      <c r="K1201">
        <v>15</v>
      </c>
      <c r="L1201">
        <v>64862</v>
      </c>
      <c r="M1201" t="s">
        <v>36</v>
      </c>
      <c r="N1201">
        <v>3</v>
      </c>
      <c r="O1201">
        <v>1</v>
      </c>
      <c r="P1201">
        <v>27</v>
      </c>
      <c r="Q1201">
        <v>0</v>
      </c>
      <c r="R1201" s="1">
        <v>39527</v>
      </c>
      <c r="S1201" t="s">
        <v>37</v>
      </c>
      <c r="T1201" t="str">
        <f t="shared" si="90"/>
        <v>Grade B</v>
      </c>
      <c r="U1201">
        <f t="shared" si="91"/>
        <v>1</v>
      </c>
      <c r="V1201" t="str">
        <f t="shared" si="92"/>
        <v>Senior</v>
      </c>
      <c r="W1201" t="str">
        <f t="shared" si="93"/>
        <v>Already Left</v>
      </c>
      <c r="X1201" t="str">
        <f t="shared" si="94"/>
        <v>Fair</v>
      </c>
    </row>
    <row r="1202" spans="1:24" x14ac:dyDescent="0.3">
      <c r="A1202" t="s">
        <v>1270</v>
      </c>
      <c r="B1202" t="s">
        <v>20</v>
      </c>
      <c r="C1202">
        <v>43</v>
      </c>
      <c r="D1202" t="s">
        <v>57</v>
      </c>
      <c r="E1202" t="s">
        <v>22</v>
      </c>
      <c r="F1202" t="s">
        <v>78</v>
      </c>
      <c r="G1202" t="s">
        <v>66</v>
      </c>
      <c r="H1202" t="s">
        <v>25</v>
      </c>
      <c r="I1202" t="s">
        <v>59</v>
      </c>
      <c r="J1202" t="s">
        <v>60</v>
      </c>
      <c r="K1202">
        <v>14</v>
      </c>
      <c r="L1202">
        <v>70326</v>
      </c>
      <c r="M1202" t="s">
        <v>36</v>
      </c>
      <c r="N1202">
        <v>4</v>
      </c>
      <c r="O1202">
        <v>1</v>
      </c>
      <c r="P1202">
        <v>37</v>
      </c>
      <c r="Q1202">
        <v>0</v>
      </c>
      <c r="R1202" s="1">
        <v>40085</v>
      </c>
      <c r="S1202" t="s">
        <v>37</v>
      </c>
      <c r="T1202" t="str">
        <f t="shared" si="90"/>
        <v>Grade B</v>
      </c>
      <c r="U1202">
        <f t="shared" si="91"/>
        <v>1</v>
      </c>
      <c r="V1202" t="str">
        <f t="shared" si="92"/>
        <v>Senior</v>
      </c>
      <c r="W1202" t="str">
        <f t="shared" si="93"/>
        <v>Already Left</v>
      </c>
      <c r="X1202" t="str">
        <f t="shared" si="94"/>
        <v>Fair</v>
      </c>
    </row>
    <row r="1203" spans="1:24" x14ac:dyDescent="0.3">
      <c r="A1203" t="s">
        <v>1271</v>
      </c>
      <c r="B1203" t="s">
        <v>39</v>
      </c>
      <c r="C1203">
        <v>27</v>
      </c>
      <c r="D1203" t="s">
        <v>21</v>
      </c>
      <c r="E1203" t="s">
        <v>22</v>
      </c>
      <c r="F1203" t="s">
        <v>65</v>
      </c>
      <c r="G1203" t="s">
        <v>42</v>
      </c>
      <c r="H1203" t="s">
        <v>34</v>
      </c>
      <c r="I1203" t="s">
        <v>80</v>
      </c>
      <c r="J1203" t="s">
        <v>60</v>
      </c>
      <c r="K1203">
        <v>4</v>
      </c>
      <c r="L1203">
        <v>103723</v>
      </c>
      <c r="M1203" t="s">
        <v>45</v>
      </c>
      <c r="N1203">
        <v>3</v>
      </c>
      <c r="O1203">
        <v>1</v>
      </c>
      <c r="P1203">
        <v>36</v>
      </c>
      <c r="Q1203">
        <v>2</v>
      </c>
      <c r="R1203" s="1">
        <v>43634</v>
      </c>
      <c r="S1203" t="s">
        <v>29</v>
      </c>
      <c r="T1203" t="str">
        <f t="shared" si="90"/>
        <v>Grade A</v>
      </c>
      <c r="U1203">
        <f t="shared" si="91"/>
        <v>2</v>
      </c>
      <c r="V1203" t="str">
        <f t="shared" si="92"/>
        <v>Junior</v>
      </c>
      <c r="W1203" t="str">
        <f t="shared" si="93"/>
        <v>Medium Risk</v>
      </c>
      <c r="X1203" t="str">
        <f t="shared" si="94"/>
        <v>Fair</v>
      </c>
    </row>
    <row r="1204" spans="1:24" x14ac:dyDescent="0.3">
      <c r="A1204" t="s">
        <v>1272</v>
      </c>
      <c r="B1204" t="s">
        <v>20</v>
      </c>
      <c r="C1204">
        <v>51</v>
      </c>
      <c r="D1204" t="s">
        <v>31</v>
      </c>
      <c r="E1204" t="s">
        <v>22</v>
      </c>
      <c r="F1204" t="s">
        <v>32</v>
      </c>
      <c r="G1204" t="s">
        <v>24</v>
      </c>
      <c r="H1204" t="s">
        <v>76</v>
      </c>
      <c r="I1204" t="s">
        <v>68</v>
      </c>
      <c r="J1204" t="s">
        <v>60</v>
      </c>
      <c r="K1204">
        <v>15</v>
      </c>
      <c r="L1204">
        <v>96097</v>
      </c>
      <c r="M1204" t="s">
        <v>28</v>
      </c>
      <c r="N1204">
        <v>3</v>
      </c>
      <c r="O1204">
        <v>4</v>
      </c>
      <c r="P1204">
        <v>36</v>
      </c>
      <c r="Q1204">
        <v>0</v>
      </c>
      <c r="R1204" s="1">
        <v>39718</v>
      </c>
      <c r="S1204" t="s">
        <v>29</v>
      </c>
      <c r="T1204" t="str">
        <f t="shared" si="90"/>
        <v>Grade A</v>
      </c>
      <c r="U1204">
        <f t="shared" si="91"/>
        <v>3</v>
      </c>
      <c r="V1204" t="str">
        <f t="shared" si="92"/>
        <v>Senior</v>
      </c>
      <c r="W1204" t="str">
        <f t="shared" si="93"/>
        <v>Medium Risk</v>
      </c>
      <c r="X1204" t="str">
        <f t="shared" si="94"/>
        <v>Competitive</v>
      </c>
    </row>
    <row r="1205" spans="1:24" x14ac:dyDescent="0.3">
      <c r="A1205" t="s">
        <v>1273</v>
      </c>
      <c r="B1205" t="s">
        <v>39</v>
      </c>
      <c r="C1205">
        <v>42</v>
      </c>
      <c r="D1205" t="s">
        <v>47</v>
      </c>
      <c r="E1205" t="s">
        <v>40</v>
      </c>
      <c r="F1205" t="s">
        <v>62</v>
      </c>
      <c r="G1205" t="s">
        <v>63</v>
      </c>
      <c r="H1205" t="s">
        <v>67</v>
      </c>
      <c r="I1205" t="s">
        <v>50</v>
      </c>
      <c r="J1205" t="s">
        <v>44</v>
      </c>
      <c r="K1205">
        <v>12</v>
      </c>
      <c r="L1205">
        <v>75529</v>
      </c>
      <c r="M1205" t="s">
        <v>36</v>
      </c>
      <c r="N1205">
        <v>3</v>
      </c>
      <c r="O1205">
        <v>4</v>
      </c>
      <c r="P1205">
        <v>16</v>
      </c>
      <c r="Q1205">
        <v>1</v>
      </c>
      <c r="R1205" s="1">
        <v>40898</v>
      </c>
      <c r="S1205" t="s">
        <v>29</v>
      </c>
      <c r="T1205" t="str">
        <f t="shared" si="90"/>
        <v>Grade B</v>
      </c>
      <c r="U1205">
        <f t="shared" si="91"/>
        <v>1</v>
      </c>
      <c r="V1205" t="str">
        <f t="shared" si="92"/>
        <v>Senior</v>
      </c>
      <c r="W1205" t="str">
        <f t="shared" si="93"/>
        <v>Medium Risk</v>
      </c>
      <c r="X1205" t="str">
        <f t="shared" si="94"/>
        <v>Fair</v>
      </c>
    </row>
    <row r="1206" spans="1:24" x14ac:dyDescent="0.3">
      <c r="A1206" t="s">
        <v>1274</v>
      </c>
      <c r="B1206" t="s">
        <v>20</v>
      </c>
      <c r="C1206">
        <v>35</v>
      </c>
      <c r="D1206" t="s">
        <v>31</v>
      </c>
      <c r="E1206" t="s">
        <v>22</v>
      </c>
      <c r="F1206" t="s">
        <v>78</v>
      </c>
      <c r="G1206" t="s">
        <v>33</v>
      </c>
      <c r="H1206" t="s">
        <v>76</v>
      </c>
      <c r="I1206" t="s">
        <v>26</v>
      </c>
      <c r="J1206" t="s">
        <v>27</v>
      </c>
      <c r="K1206">
        <v>2</v>
      </c>
      <c r="L1206">
        <v>62634</v>
      </c>
      <c r="M1206" t="s">
        <v>45</v>
      </c>
      <c r="N1206">
        <v>2</v>
      </c>
      <c r="O1206">
        <v>2</v>
      </c>
      <c r="P1206">
        <v>78</v>
      </c>
      <c r="Q1206">
        <v>2</v>
      </c>
      <c r="R1206" s="1">
        <v>44543</v>
      </c>
      <c r="S1206" t="s">
        <v>29</v>
      </c>
      <c r="T1206" t="str">
        <f t="shared" si="90"/>
        <v>Grade B</v>
      </c>
      <c r="U1206">
        <f t="shared" si="91"/>
        <v>2</v>
      </c>
      <c r="V1206" t="str">
        <f t="shared" si="92"/>
        <v>New Joiner</v>
      </c>
      <c r="W1206" t="str">
        <f t="shared" si="93"/>
        <v>Medium Risk</v>
      </c>
      <c r="X1206" t="str">
        <f t="shared" si="94"/>
        <v>Fair</v>
      </c>
    </row>
    <row r="1207" spans="1:24" x14ac:dyDescent="0.3">
      <c r="A1207" t="s">
        <v>1275</v>
      </c>
      <c r="B1207" t="s">
        <v>20</v>
      </c>
      <c r="C1207">
        <v>32</v>
      </c>
      <c r="D1207" t="s">
        <v>47</v>
      </c>
      <c r="E1207" t="s">
        <v>22</v>
      </c>
      <c r="F1207" t="s">
        <v>53</v>
      </c>
      <c r="G1207" t="s">
        <v>63</v>
      </c>
      <c r="H1207" t="s">
        <v>67</v>
      </c>
      <c r="I1207" t="s">
        <v>50</v>
      </c>
      <c r="J1207" t="s">
        <v>44</v>
      </c>
      <c r="K1207">
        <v>7</v>
      </c>
      <c r="L1207">
        <v>60086</v>
      </c>
      <c r="M1207" t="s">
        <v>45</v>
      </c>
      <c r="N1207">
        <v>2</v>
      </c>
      <c r="O1207">
        <v>2</v>
      </c>
      <c r="P1207">
        <v>39</v>
      </c>
      <c r="Q1207">
        <v>0</v>
      </c>
      <c r="R1207" s="1">
        <v>42508</v>
      </c>
      <c r="S1207" t="s">
        <v>29</v>
      </c>
      <c r="T1207" t="str">
        <f t="shared" si="90"/>
        <v>Grade B</v>
      </c>
      <c r="U1207">
        <f t="shared" si="91"/>
        <v>2</v>
      </c>
      <c r="V1207" t="str">
        <f t="shared" si="92"/>
        <v>Mid Level</v>
      </c>
      <c r="W1207" t="str">
        <f t="shared" si="93"/>
        <v>Medium Risk</v>
      </c>
      <c r="X1207" t="str">
        <f t="shared" si="94"/>
        <v>Fair</v>
      </c>
    </row>
    <row r="1208" spans="1:24" x14ac:dyDescent="0.3">
      <c r="A1208" t="s">
        <v>1276</v>
      </c>
      <c r="B1208" t="s">
        <v>39</v>
      </c>
      <c r="C1208">
        <v>23</v>
      </c>
      <c r="D1208" t="s">
        <v>47</v>
      </c>
      <c r="E1208" t="s">
        <v>22</v>
      </c>
      <c r="F1208" t="s">
        <v>23</v>
      </c>
      <c r="G1208" t="s">
        <v>79</v>
      </c>
      <c r="H1208" t="s">
        <v>67</v>
      </c>
      <c r="I1208" t="s">
        <v>68</v>
      </c>
      <c r="J1208" t="s">
        <v>60</v>
      </c>
      <c r="K1208">
        <v>7</v>
      </c>
      <c r="L1208">
        <v>51062</v>
      </c>
      <c r="M1208" t="s">
        <v>45</v>
      </c>
      <c r="N1208">
        <v>3</v>
      </c>
      <c r="O1208">
        <v>4</v>
      </c>
      <c r="P1208">
        <v>69</v>
      </c>
      <c r="Q1208">
        <v>3</v>
      </c>
      <c r="R1208" s="1">
        <v>42732</v>
      </c>
      <c r="S1208" t="s">
        <v>29</v>
      </c>
      <c r="T1208" t="str">
        <f t="shared" si="90"/>
        <v>Grade B</v>
      </c>
      <c r="U1208">
        <f t="shared" si="91"/>
        <v>2</v>
      </c>
      <c r="V1208" t="str">
        <f t="shared" si="92"/>
        <v>Mid Level</v>
      </c>
      <c r="W1208" t="str">
        <f t="shared" si="93"/>
        <v>Medium Risk</v>
      </c>
      <c r="X1208" t="str">
        <f t="shared" si="94"/>
        <v>Fair</v>
      </c>
    </row>
    <row r="1209" spans="1:24" x14ac:dyDescent="0.3">
      <c r="A1209" t="s">
        <v>1277</v>
      </c>
      <c r="B1209" t="s">
        <v>20</v>
      </c>
      <c r="C1209">
        <v>42</v>
      </c>
      <c r="D1209" t="s">
        <v>47</v>
      </c>
      <c r="E1209" t="s">
        <v>40</v>
      </c>
      <c r="F1209" t="s">
        <v>41</v>
      </c>
      <c r="G1209" t="s">
        <v>58</v>
      </c>
      <c r="H1209" t="s">
        <v>76</v>
      </c>
      <c r="I1209" t="s">
        <v>26</v>
      </c>
      <c r="J1209" t="s">
        <v>27</v>
      </c>
      <c r="K1209">
        <v>6</v>
      </c>
      <c r="L1209">
        <v>101337</v>
      </c>
      <c r="M1209" t="s">
        <v>36</v>
      </c>
      <c r="N1209">
        <v>1</v>
      </c>
      <c r="O1209">
        <v>2</v>
      </c>
      <c r="P1209">
        <v>45</v>
      </c>
      <c r="Q1209">
        <v>2</v>
      </c>
      <c r="R1209" s="1">
        <v>42858</v>
      </c>
      <c r="S1209" t="s">
        <v>37</v>
      </c>
      <c r="T1209" t="str">
        <f t="shared" si="90"/>
        <v>Grade A</v>
      </c>
      <c r="U1209">
        <f t="shared" si="91"/>
        <v>1</v>
      </c>
      <c r="V1209" t="str">
        <f t="shared" si="92"/>
        <v>Mid Level</v>
      </c>
      <c r="W1209" t="str">
        <f t="shared" si="93"/>
        <v>Already Left</v>
      </c>
      <c r="X1209" t="str">
        <f t="shared" si="94"/>
        <v>Overpaid</v>
      </c>
    </row>
    <row r="1210" spans="1:24" x14ac:dyDescent="0.3">
      <c r="A1210" t="s">
        <v>1278</v>
      </c>
      <c r="B1210" t="s">
        <v>20</v>
      </c>
      <c r="C1210">
        <v>32</v>
      </c>
      <c r="D1210" t="s">
        <v>47</v>
      </c>
      <c r="E1210" t="s">
        <v>22</v>
      </c>
      <c r="F1210" t="s">
        <v>23</v>
      </c>
      <c r="G1210" t="s">
        <v>49</v>
      </c>
      <c r="H1210" t="s">
        <v>83</v>
      </c>
      <c r="I1210" t="s">
        <v>59</v>
      </c>
      <c r="J1210" t="s">
        <v>60</v>
      </c>
      <c r="K1210">
        <v>15</v>
      </c>
      <c r="L1210">
        <v>89061</v>
      </c>
      <c r="M1210" t="s">
        <v>28</v>
      </c>
      <c r="N1210">
        <v>2</v>
      </c>
      <c r="O1210">
        <v>3</v>
      </c>
      <c r="P1210">
        <v>26</v>
      </c>
      <c r="Q1210">
        <v>0</v>
      </c>
      <c r="R1210" s="1">
        <v>39685</v>
      </c>
      <c r="S1210" t="s">
        <v>29</v>
      </c>
      <c r="T1210" t="str">
        <f t="shared" si="90"/>
        <v>Grade A</v>
      </c>
      <c r="U1210">
        <f t="shared" si="91"/>
        <v>3</v>
      </c>
      <c r="V1210" t="str">
        <f t="shared" si="92"/>
        <v>Senior</v>
      </c>
      <c r="W1210" t="str">
        <f t="shared" si="93"/>
        <v>Medium Risk</v>
      </c>
      <c r="X1210" t="str">
        <f t="shared" si="94"/>
        <v>Competitive</v>
      </c>
    </row>
    <row r="1211" spans="1:24" x14ac:dyDescent="0.3">
      <c r="A1211" t="s">
        <v>1279</v>
      </c>
      <c r="B1211" t="s">
        <v>39</v>
      </c>
      <c r="C1211">
        <v>30</v>
      </c>
      <c r="D1211" t="s">
        <v>31</v>
      </c>
      <c r="E1211" t="s">
        <v>22</v>
      </c>
      <c r="F1211" t="s">
        <v>62</v>
      </c>
      <c r="G1211" t="s">
        <v>58</v>
      </c>
      <c r="H1211" t="s">
        <v>76</v>
      </c>
      <c r="I1211" t="s">
        <v>68</v>
      </c>
      <c r="J1211" t="s">
        <v>60</v>
      </c>
      <c r="K1211">
        <v>13</v>
      </c>
      <c r="L1211">
        <v>103977</v>
      </c>
      <c r="M1211" t="s">
        <v>51</v>
      </c>
      <c r="N1211">
        <v>3</v>
      </c>
      <c r="O1211">
        <v>1</v>
      </c>
      <c r="P1211">
        <v>66</v>
      </c>
      <c r="Q1211">
        <v>3</v>
      </c>
      <c r="R1211" s="1">
        <v>40464</v>
      </c>
      <c r="S1211" t="s">
        <v>29</v>
      </c>
      <c r="T1211" t="str">
        <f t="shared" si="90"/>
        <v>Grade A</v>
      </c>
      <c r="U1211">
        <f t="shared" si="91"/>
        <v>4</v>
      </c>
      <c r="V1211" t="str">
        <f t="shared" si="92"/>
        <v>Senior</v>
      </c>
      <c r="W1211" t="str">
        <f t="shared" si="93"/>
        <v>Low Risk</v>
      </c>
      <c r="X1211" t="str">
        <f t="shared" si="94"/>
        <v>Competitive</v>
      </c>
    </row>
    <row r="1212" spans="1:24" x14ac:dyDescent="0.3">
      <c r="A1212" t="s">
        <v>1280</v>
      </c>
      <c r="B1212" t="s">
        <v>39</v>
      </c>
      <c r="C1212">
        <v>38</v>
      </c>
      <c r="D1212" t="s">
        <v>21</v>
      </c>
      <c r="E1212" t="s">
        <v>48</v>
      </c>
      <c r="F1212" t="s">
        <v>78</v>
      </c>
      <c r="G1212" t="s">
        <v>33</v>
      </c>
      <c r="H1212" t="s">
        <v>83</v>
      </c>
      <c r="I1212" t="s">
        <v>80</v>
      </c>
      <c r="J1212" t="s">
        <v>60</v>
      </c>
      <c r="K1212">
        <v>11</v>
      </c>
      <c r="L1212">
        <v>82522</v>
      </c>
      <c r="M1212" t="s">
        <v>36</v>
      </c>
      <c r="N1212">
        <v>3</v>
      </c>
      <c r="O1212">
        <v>2</v>
      </c>
      <c r="P1212">
        <v>78</v>
      </c>
      <c r="Q1212">
        <v>3</v>
      </c>
      <c r="R1212" s="1">
        <v>41223</v>
      </c>
      <c r="S1212" t="s">
        <v>37</v>
      </c>
      <c r="T1212" t="str">
        <f t="shared" si="90"/>
        <v>Grade A</v>
      </c>
      <c r="U1212">
        <f t="shared" si="91"/>
        <v>1</v>
      </c>
      <c r="V1212" t="str">
        <f t="shared" si="92"/>
        <v>Senior</v>
      </c>
      <c r="W1212" t="str">
        <f t="shared" si="93"/>
        <v>Already Left</v>
      </c>
      <c r="X1212" t="str">
        <f t="shared" si="94"/>
        <v>Overpaid</v>
      </c>
    </row>
    <row r="1213" spans="1:24" x14ac:dyDescent="0.3">
      <c r="A1213" t="s">
        <v>1281</v>
      </c>
      <c r="B1213" t="s">
        <v>39</v>
      </c>
      <c r="C1213">
        <v>43</v>
      </c>
      <c r="D1213" t="s">
        <v>57</v>
      </c>
      <c r="E1213" t="s">
        <v>48</v>
      </c>
      <c r="F1213" t="s">
        <v>78</v>
      </c>
      <c r="G1213" t="s">
        <v>79</v>
      </c>
      <c r="H1213" t="s">
        <v>67</v>
      </c>
      <c r="I1213" t="s">
        <v>68</v>
      </c>
      <c r="J1213" t="s">
        <v>60</v>
      </c>
      <c r="K1213">
        <v>9</v>
      </c>
      <c r="L1213">
        <v>53894</v>
      </c>
      <c r="M1213" t="s">
        <v>45</v>
      </c>
      <c r="N1213">
        <v>3</v>
      </c>
      <c r="O1213">
        <v>3</v>
      </c>
      <c r="P1213">
        <v>74</v>
      </c>
      <c r="Q1213">
        <v>1</v>
      </c>
      <c r="R1213" s="1">
        <v>41845</v>
      </c>
      <c r="S1213" t="s">
        <v>29</v>
      </c>
      <c r="T1213" t="str">
        <f t="shared" si="90"/>
        <v>Grade B</v>
      </c>
      <c r="U1213">
        <f t="shared" si="91"/>
        <v>2</v>
      </c>
      <c r="V1213" t="str">
        <f t="shared" si="92"/>
        <v>Mid Level</v>
      </c>
      <c r="W1213" t="str">
        <f t="shared" si="93"/>
        <v>Medium Risk</v>
      </c>
      <c r="X1213" t="str">
        <f t="shared" si="94"/>
        <v>Fair</v>
      </c>
    </row>
    <row r="1214" spans="1:24" x14ac:dyDescent="0.3">
      <c r="A1214" t="s">
        <v>1282</v>
      </c>
      <c r="B1214" t="s">
        <v>39</v>
      </c>
      <c r="C1214">
        <v>27</v>
      </c>
      <c r="D1214" t="s">
        <v>21</v>
      </c>
      <c r="E1214" t="s">
        <v>22</v>
      </c>
      <c r="F1214" t="s">
        <v>78</v>
      </c>
      <c r="G1214" t="s">
        <v>79</v>
      </c>
      <c r="H1214" t="s">
        <v>67</v>
      </c>
      <c r="I1214" t="s">
        <v>59</v>
      </c>
      <c r="J1214" t="s">
        <v>60</v>
      </c>
      <c r="K1214">
        <v>8</v>
      </c>
      <c r="L1214">
        <v>52104</v>
      </c>
      <c r="M1214" t="s">
        <v>28</v>
      </c>
      <c r="N1214">
        <v>4</v>
      </c>
      <c r="O1214">
        <v>1</v>
      </c>
      <c r="P1214">
        <v>40</v>
      </c>
      <c r="Q1214">
        <v>2</v>
      </c>
      <c r="R1214" s="1">
        <v>42306</v>
      </c>
      <c r="S1214" t="s">
        <v>37</v>
      </c>
      <c r="T1214" t="str">
        <f t="shared" si="90"/>
        <v>Grade B</v>
      </c>
      <c r="U1214">
        <f t="shared" si="91"/>
        <v>3</v>
      </c>
      <c r="V1214" t="str">
        <f t="shared" si="92"/>
        <v>Mid Level</v>
      </c>
      <c r="W1214" t="str">
        <f t="shared" si="93"/>
        <v>Already Left</v>
      </c>
      <c r="X1214" t="str">
        <f t="shared" si="94"/>
        <v>Competitive</v>
      </c>
    </row>
    <row r="1215" spans="1:24" x14ac:dyDescent="0.3">
      <c r="A1215" t="s">
        <v>1283</v>
      </c>
      <c r="B1215" t="s">
        <v>20</v>
      </c>
      <c r="C1215">
        <v>24</v>
      </c>
      <c r="D1215" t="s">
        <v>47</v>
      </c>
      <c r="E1215" t="s">
        <v>40</v>
      </c>
      <c r="F1215" t="s">
        <v>75</v>
      </c>
      <c r="G1215" t="s">
        <v>79</v>
      </c>
      <c r="H1215" t="s">
        <v>34</v>
      </c>
      <c r="I1215" t="s">
        <v>35</v>
      </c>
      <c r="J1215" t="s">
        <v>27</v>
      </c>
      <c r="K1215">
        <v>11</v>
      </c>
      <c r="L1215">
        <v>66890</v>
      </c>
      <c r="M1215" t="s">
        <v>51</v>
      </c>
      <c r="N1215">
        <v>2</v>
      </c>
      <c r="O1215">
        <v>3</v>
      </c>
      <c r="P1215">
        <v>23</v>
      </c>
      <c r="Q1215">
        <v>2</v>
      </c>
      <c r="R1215" s="1">
        <v>41029</v>
      </c>
      <c r="S1215" t="s">
        <v>37</v>
      </c>
      <c r="T1215" t="str">
        <f t="shared" si="90"/>
        <v>Grade B</v>
      </c>
      <c r="U1215">
        <f t="shared" si="91"/>
        <v>4</v>
      </c>
      <c r="V1215" t="str">
        <f t="shared" si="92"/>
        <v>Senior</v>
      </c>
      <c r="W1215" t="str">
        <f t="shared" si="93"/>
        <v>Already Left</v>
      </c>
      <c r="X1215" t="str">
        <f t="shared" si="94"/>
        <v>Fair</v>
      </c>
    </row>
    <row r="1216" spans="1:24" x14ac:dyDescent="0.3">
      <c r="A1216" t="s">
        <v>1284</v>
      </c>
      <c r="B1216" t="s">
        <v>39</v>
      </c>
      <c r="C1216">
        <v>31</v>
      </c>
      <c r="D1216" t="s">
        <v>57</v>
      </c>
      <c r="E1216" t="s">
        <v>48</v>
      </c>
      <c r="F1216" t="s">
        <v>53</v>
      </c>
      <c r="G1216" t="s">
        <v>79</v>
      </c>
      <c r="H1216" t="s">
        <v>34</v>
      </c>
      <c r="I1216" t="s">
        <v>72</v>
      </c>
      <c r="J1216" t="s">
        <v>73</v>
      </c>
      <c r="K1216">
        <v>12</v>
      </c>
      <c r="L1216">
        <v>70187</v>
      </c>
      <c r="M1216" t="s">
        <v>45</v>
      </c>
      <c r="N1216">
        <v>3</v>
      </c>
      <c r="O1216">
        <v>2</v>
      </c>
      <c r="P1216">
        <v>38</v>
      </c>
      <c r="Q1216">
        <v>3</v>
      </c>
      <c r="R1216" s="1">
        <v>40824</v>
      </c>
      <c r="S1216" t="s">
        <v>37</v>
      </c>
      <c r="T1216" t="str">
        <f t="shared" si="90"/>
        <v>Grade B</v>
      </c>
      <c r="U1216">
        <f t="shared" si="91"/>
        <v>2</v>
      </c>
      <c r="V1216" t="str">
        <f t="shared" si="92"/>
        <v>Senior</v>
      </c>
      <c r="W1216" t="str">
        <f t="shared" si="93"/>
        <v>Already Left</v>
      </c>
      <c r="X1216" t="str">
        <f t="shared" si="94"/>
        <v>Fair</v>
      </c>
    </row>
    <row r="1217" spans="1:24" x14ac:dyDescent="0.3">
      <c r="A1217" t="s">
        <v>1285</v>
      </c>
      <c r="B1217" t="s">
        <v>20</v>
      </c>
      <c r="C1217">
        <v>33</v>
      </c>
      <c r="D1217" t="s">
        <v>57</v>
      </c>
      <c r="E1217" t="s">
        <v>40</v>
      </c>
      <c r="F1217" t="s">
        <v>53</v>
      </c>
      <c r="G1217" t="s">
        <v>42</v>
      </c>
      <c r="H1217" t="s">
        <v>83</v>
      </c>
      <c r="I1217" t="s">
        <v>68</v>
      </c>
      <c r="J1217" t="s">
        <v>60</v>
      </c>
      <c r="K1217">
        <v>14</v>
      </c>
      <c r="L1217">
        <v>117903</v>
      </c>
      <c r="M1217" t="s">
        <v>45</v>
      </c>
      <c r="N1217">
        <v>3</v>
      </c>
      <c r="O1217">
        <v>3</v>
      </c>
      <c r="P1217">
        <v>58</v>
      </c>
      <c r="Q1217">
        <v>1</v>
      </c>
      <c r="R1217" s="1">
        <v>40125</v>
      </c>
      <c r="S1217" t="s">
        <v>29</v>
      </c>
      <c r="T1217" t="str">
        <f t="shared" si="90"/>
        <v>Grade A</v>
      </c>
      <c r="U1217">
        <f t="shared" si="91"/>
        <v>2</v>
      </c>
      <c r="V1217" t="str">
        <f t="shared" si="92"/>
        <v>Senior</v>
      </c>
      <c r="W1217" t="str">
        <f t="shared" si="93"/>
        <v>Medium Risk</v>
      </c>
      <c r="X1217" t="str">
        <f t="shared" si="94"/>
        <v>Fair</v>
      </c>
    </row>
    <row r="1218" spans="1:24" x14ac:dyDescent="0.3">
      <c r="A1218" t="s">
        <v>1286</v>
      </c>
      <c r="B1218" t="s">
        <v>39</v>
      </c>
      <c r="C1218">
        <v>41</v>
      </c>
      <c r="D1218" t="s">
        <v>88</v>
      </c>
      <c r="E1218" t="s">
        <v>40</v>
      </c>
      <c r="F1218" t="s">
        <v>23</v>
      </c>
      <c r="G1218" t="s">
        <v>42</v>
      </c>
      <c r="H1218" t="s">
        <v>34</v>
      </c>
      <c r="I1218" t="s">
        <v>59</v>
      </c>
      <c r="J1218" t="s">
        <v>60</v>
      </c>
      <c r="K1218">
        <v>4</v>
      </c>
      <c r="L1218">
        <v>102647</v>
      </c>
      <c r="M1218" t="s">
        <v>28</v>
      </c>
      <c r="N1218">
        <v>4</v>
      </c>
      <c r="O1218">
        <v>3</v>
      </c>
      <c r="P1218">
        <v>11</v>
      </c>
      <c r="Q1218">
        <v>2</v>
      </c>
      <c r="R1218" s="1">
        <v>43606</v>
      </c>
      <c r="S1218" t="s">
        <v>29</v>
      </c>
      <c r="T1218" t="str">
        <f t="shared" ref="T1218:T1281" si="95">IF(L1218&gt;=80000,"Grade A",IF(L1218&gt;=50000,"Grade B",IF(L1218&gt;=35000,"Grade C","Grade D")))</f>
        <v>Grade A</v>
      </c>
      <c r="U1218">
        <f t="shared" ref="U1218:U1281" si="96">IF(M1218="Excellent",4,IF(M1218="Good",3,IF(M1218="Average",2,1)))</f>
        <v>3</v>
      </c>
      <c r="V1218" t="str">
        <f t="shared" ref="V1218:V1281" si="97">IF(K1218&lt;=2,"New Joiner",IF(K1218&lt;=5,"Junior",IF(K1218&lt;=10,"Mid Level","Senior")))</f>
        <v>Junior</v>
      </c>
      <c r="W1218" t="str">
        <f t="shared" ref="W1218:W1281" si="98">IF(S1218="Yes","Already Left",IF(AND(K1218&lt;=2,M1218="Poor"),"High Risk",IF(AND(K1218&lt;=5,M1218="Average"),"Medium Risk",IF(M1218="Excellent","Low Risk","Medium Risk"))))</f>
        <v>Medium Risk</v>
      </c>
      <c r="X1218" t="str">
        <f t="shared" ref="X1218:X1281" si="99">IF(AND(L1218&gt;=80000,M1218="Excellent"),"Competitive",IF(AND(L1218&gt;=50000,M1218="Good"),"Competitive",IF(AND(L1218&lt;35000,M1218="Excellent"),"Underpaid",IF(AND(L1218&gt;=80000,M1218="Poor"),"Overpaid","Fair"))))</f>
        <v>Competitive</v>
      </c>
    </row>
    <row r="1219" spans="1:24" x14ac:dyDescent="0.3">
      <c r="A1219" t="s">
        <v>1287</v>
      </c>
      <c r="B1219" t="s">
        <v>20</v>
      </c>
      <c r="C1219">
        <v>26</v>
      </c>
      <c r="D1219" t="s">
        <v>88</v>
      </c>
      <c r="E1219" t="s">
        <v>48</v>
      </c>
      <c r="F1219" t="s">
        <v>23</v>
      </c>
      <c r="G1219" t="s">
        <v>66</v>
      </c>
      <c r="H1219" t="s">
        <v>67</v>
      </c>
      <c r="I1219" t="s">
        <v>96</v>
      </c>
      <c r="J1219" t="s">
        <v>44</v>
      </c>
      <c r="K1219">
        <v>14</v>
      </c>
      <c r="L1219">
        <v>65370</v>
      </c>
      <c r="M1219" t="s">
        <v>51</v>
      </c>
      <c r="N1219">
        <v>2</v>
      </c>
      <c r="O1219">
        <v>4</v>
      </c>
      <c r="P1219">
        <v>73</v>
      </c>
      <c r="Q1219">
        <v>2</v>
      </c>
      <c r="R1219" s="1">
        <v>39832</v>
      </c>
      <c r="S1219" t="s">
        <v>29</v>
      </c>
      <c r="T1219" t="str">
        <f t="shared" si="95"/>
        <v>Grade B</v>
      </c>
      <c r="U1219">
        <f t="shared" si="96"/>
        <v>4</v>
      </c>
      <c r="V1219" t="str">
        <f t="shared" si="97"/>
        <v>Senior</v>
      </c>
      <c r="W1219" t="str">
        <f t="shared" si="98"/>
        <v>Low Risk</v>
      </c>
      <c r="X1219" t="str">
        <f t="shared" si="99"/>
        <v>Fair</v>
      </c>
    </row>
    <row r="1220" spans="1:24" x14ac:dyDescent="0.3">
      <c r="A1220" t="s">
        <v>1288</v>
      </c>
      <c r="B1220" t="s">
        <v>20</v>
      </c>
      <c r="C1220">
        <v>36</v>
      </c>
      <c r="D1220" t="s">
        <v>31</v>
      </c>
      <c r="E1220" t="s">
        <v>22</v>
      </c>
      <c r="F1220" t="s">
        <v>53</v>
      </c>
      <c r="G1220" t="s">
        <v>49</v>
      </c>
      <c r="H1220" t="s">
        <v>76</v>
      </c>
      <c r="I1220" t="s">
        <v>54</v>
      </c>
      <c r="J1220" t="s">
        <v>27</v>
      </c>
      <c r="K1220">
        <v>11</v>
      </c>
      <c r="L1220">
        <v>67241</v>
      </c>
      <c r="M1220" t="s">
        <v>36</v>
      </c>
      <c r="N1220">
        <v>4</v>
      </c>
      <c r="O1220">
        <v>4</v>
      </c>
      <c r="P1220">
        <v>70</v>
      </c>
      <c r="Q1220">
        <v>2</v>
      </c>
      <c r="R1220" s="1">
        <v>41115</v>
      </c>
      <c r="S1220" t="s">
        <v>29</v>
      </c>
      <c r="T1220" t="str">
        <f t="shared" si="95"/>
        <v>Grade B</v>
      </c>
      <c r="U1220">
        <f t="shared" si="96"/>
        <v>1</v>
      </c>
      <c r="V1220" t="str">
        <f t="shared" si="97"/>
        <v>Senior</v>
      </c>
      <c r="W1220" t="str">
        <f t="shared" si="98"/>
        <v>Medium Risk</v>
      </c>
      <c r="X1220" t="str">
        <f t="shared" si="99"/>
        <v>Fair</v>
      </c>
    </row>
    <row r="1221" spans="1:24" x14ac:dyDescent="0.3">
      <c r="A1221" t="s">
        <v>1289</v>
      </c>
      <c r="B1221" t="s">
        <v>39</v>
      </c>
      <c r="C1221">
        <v>31</v>
      </c>
      <c r="D1221" t="s">
        <v>88</v>
      </c>
      <c r="E1221" t="s">
        <v>22</v>
      </c>
      <c r="F1221" t="s">
        <v>53</v>
      </c>
      <c r="G1221" t="s">
        <v>63</v>
      </c>
      <c r="H1221" t="s">
        <v>25</v>
      </c>
      <c r="I1221" t="s">
        <v>68</v>
      </c>
      <c r="J1221" t="s">
        <v>60</v>
      </c>
      <c r="K1221">
        <v>1</v>
      </c>
      <c r="L1221">
        <v>39639</v>
      </c>
      <c r="M1221" t="s">
        <v>28</v>
      </c>
      <c r="N1221">
        <v>1</v>
      </c>
      <c r="O1221">
        <v>3</v>
      </c>
      <c r="P1221">
        <v>30</v>
      </c>
      <c r="Q1221">
        <v>1</v>
      </c>
      <c r="R1221" s="1">
        <v>44749</v>
      </c>
      <c r="S1221" t="s">
        <v>29</v>
      </c>
      <c r="T1221" t="str">
        <f t="shared" si="95"/>
        <v>Grade C</v>
      </c>
      <c r="U1221">
        <f t="shared" si="96"/>
        <v>3</v>
      </c>
      <c r="V1221" t="str">
        <f t="shared" si="97"/>
        <v>New Joiner</v>
      </c>
      <c r="W1221" t="str">
        <f t="shared" si="98"/>
        <v>Medium Risk</v>
      </c>
      <c r="X1221" t="str">
        <f t="shared" si="99"/>
        <v>Fair</v>
      </c>
    </row>
    <row r="1222" spans="1:24" x14ac:dyDescent="0.3">
      <c r="A1222" t="s">
        <v>1290</v>
      </c>
      <c r="B1222" t="s">
        <v>20</v>
      </c>
      <c r="C1222">
        <v>42</v>
      </c>
      <c r="D1222" t="s">
        <v>88</v>
      </c>
      <c r="E1222" t="s">
        <v>48</v>
      </c>
      <c r="F1222" t="s">
        <v>62</v>
      </c>
      <c r="G1222" t="s">
        <v>63</v>
      </c>
      <c r="H1222" t="s">
        <v>83</v>
      </c>
      <c r="I1222" t="s">
        <v>54</v>
      </c>
      <c r="J1222" t="s">
        <v>27</v>
      </c>
      <c r="K1222">
        <v>6</v>
      </c>
      <c r="L1222">
        <v>54155</v>
      </c>
      <c r="M1222" t="s">
        <v>51</v>
      </c>
      <c r="N1222">
        <v>2</v>
      </c>
      <c r="O1222">
        <v>4</v>
      </c>
      <c r="P1222">
        <v>41</v>
      </c>
      <c r="Q1222">
        <v>3</v>
      </c>
      <c r="R1222" s="1">
        <v>43025</v>
      </c>
      <c r="S1222" t="s">
        <v>37</v>
      </c>
      <c r="T1222" t="str">
        <f t="shared" si="95"/>
        <v>Grade B</v>
      </c>
      <c r="U1222">
        <f t="shared" si="96"/>
        <v>4</v>
      </c>
      <c r="V1222" t="str">
        <f t="shared" si="97"/>
        <v>Mid Level</v>
      </c>
      <c r="W1222" t="str">
        <f t="shared" si="98"/>
        <v>Already Left</v>
      </c>
      <c r="X1222" t="str">
        <f t="shared" si="99"/>
        <v>Fair</v>
      </c>
    </row>
    <row r="1223" spans="1:24" x14ac:dyDescent="0.3">
      <c r="A1223" t="s">
        <v>1291</v>
      </c>
      <c r="B1223" t="s">
        <v>39</v>
      </c>
      <c r="C1223">
        <v>43</v>
      </c>
      <c r="D1223" t="s">
        <v>31</v>
      </c>
      <c r="E1223" t="s">
        <v>40</v>
      </c>
      <c r="F1223" t="s">
        <v>75</v>
      </c>
      <c r="G1223" t="s">
        <v>24</v>
      </c>
      <c r="H1223" t="s">
        <v>67</v>
      </c>
      <c r="I1223" t="s">
        <v>68</v>
      </c>
      <c r="J1223" t="s">
        <v>60</v>
      </c>
      <c r="K1223">
        <v>11</v>
      </c>
      <c r="L1223">
        <v>88400</v>
      </c>
      <c r="M1223" t="s">
        <v>45</v>
      </c>
      <c r="N1223">
        <v>1</v>
      </c>
      <c r="O1223">
        <v>3</v>
      </c>
      <c r="P1223">
        <v>22</v>
      </c>
      <c r="Q1223">
        <v>1</v>
      </c>
      <c r="R1223" s="1">
        <v>41084</v>
      </c>
      <c r="S1223" t="s">
        <v>29</v>
      </c>
      <c r="T1223" t="str">
        <f t="shared" si="95"/>
        <v>Grade A</v>
      </c>
      <c r="U1223">
        <f t="shared" si="96"/>
        <v>2</v>
      </c>
      <c r="V1223" t="str">
        <f t="shared" si="97"/>
        <v>Senior</v>
      </c>
      <c r="W1223" t="str">
        <f t="shared" si="98"/>
        <v>Medium Risk</v>
      </c>
      <c r="X1223" t="str">
        <f t="shared" si="99"/>
        <v>Fair</v>
      </c>
    </row>
    <row r="1224" spans="1:24" x14ac:dyDescent="0.3">
      <c r="A1224" t="s">
        <v>1292</v>
      </c>
      <c r="B1224" t="s">
        <v>39</v>
      </c>
      <c r="C1224">
        <v>26</v>
      </c>
      <c r="D1224" t="s">
        <v>21</v>
      </c>
      <c r="E1224" t="s">
        <v>22</v>
      </c>
      <c r="F1224" t="s">
        <v>41</v>
      </c>
      <c r="G1224" t="s">
        <v>42</v>
      </c>
      <c r="H1224" t="s">
        <v>67</v>
      </c>
      <c r="I1224" t="s">
        <v>59</v>
      </c>
      <c r="J1224" t="s">
        <v>60</v>
      </c>
      <c r="K1224">
        <v>1</v>
      </c>
      <c r="L1224">
        <v>105805</v>
      </c>
      <c r="M1224" t="s">
        <v>51</v>
      </c>
      <c r="N1224">
        <v>2</v>
      </c>
      <c r="O1224">
        <v>1</v>
      </c>
      <c r="P1224">
        <v>32</v>
      </c>
      <c r="Q1224">
        <v>0</v>
      </c>
      <c r="R1224" s="1">
        <v>44813</v>
      </c>
      <c r="S1224" t="s">
        <v>29</v>
      </c>
      <c r="T1224" t="str">
        <f t="shared" si="95"/>
        <v>Grade A</v>
      </c>
      <c r="U1224">
        <f t="shared" si="96"/>
        <v>4</v>
      </c>
      <c r="V1224" t="str">
        <f t="shared" si="97"/>
        <v>New Joiner</v>
      </c>
      <c r="W1224" t="str">
        <f t="shared" si="98"/>
        <v>Low Risk</v>
      </c>
      <c r="X1224" t="str">
        <f t="shared" si="99"/>
        <v>Competitive</v>
      </c>
    </row>
    <row r="1225" spans="1:24" x14ac:dyDescent="0.3">
      <c r="A1225" t="s">
        <v>1293</v>
      </c>
      <c r="B1225" t="s">
        <v>20</v>
      </c>
      <c r="C1225">
        <v>53</v>
      </c>
      <c r="D1225" t="s">
        <v>57</v>
      </c>
      <c r="E1225" t="s">
        <v>48</v>
      </c>
      <c r="F1225" t="s">
        <v>62</v>
      </c>
      <c r="G1225" t="s">
        <v>66</v>
      </c>
      <c r="H1225" t="s">
        <v>34</v>
      </c>
      <c r="I1225" t="s">
        <v>72</v>
      </c>
      <c r="J1225" t="s">
        <v>73</v>
      </c>
      <c r="K1225">
        <v>12</v>
      </c>
      <c r="L1225">
        <v>66639</v>
      </c>
      <c r="M1225" t="s">
        <v>51</v>
      </c>
      <c r="N1225">
        <v>1</v>
      </c>
      <c r="O1225">
        <v>1</v>
      </c>
      <c r="P1225">
        <v>24</v>
      </c>
      <c r="Q1225">
        <v>2</v>
      </c>
      <c r="R1225" s="1">
        <v>40690</v>
      </c>
      <c r="S1225" t="s">
        <v>29</v>
      </c>
      <c r="T1225" t="str">
        <f t="shared" si="95"/>
        <v>Grade B</v>
      </c>
      <c r="U1225">
        <f t="shared" si="96"/>
        <v>4</v>
      </c>
      <c r="V1225" t="str">
        <f t="shared" si="97"/>
        <v>Senior</v>
      </c>
      <c r="W1225" t="str">
        <f t="shared" si="98"/>
        <v>Low Risk</v>
      </c>
      <c r="X1225" t="str">
        <f t="shared" si="99"/>
        <v>Fair</v>
      </c>
    </row>
    <row r="1226" spans="1:24" x14ac:dyDescent="0.3">
      <c r="A1226" t="s">
        <v>1294</v>
      </c>
      <c r="B1226" t="s">
        <v>39</v>
      </c>
      <c r="C1226">
        <v>54</v>
      </c>
      <c r="D1226" t="s">
        <v>57</v>
      </c>
      <c r="E1226" t="s">
        <v>48</v>
      </c>
      <c r="F1226" t="s">
        <v>23</v>
      </c>
      <c r="G1226" t="s">
        <v>24</v>
      </c>
      <c r="H1226" t="s">
        <v>76</v>
      </c>
      <c r="I1226" t="s">
        <v>80</v>
      </c>
      <c r="J1226" t="s">
        <v>60</v>
      </c>
      <c r="K1226">
        <v>5</v>
      </c>
      <c r="L1226">
        <v>75031</v>
      </c>
      <c r="M1226" t="s">
        <v>45</v>
      </c>
      <c r="N1226">
        <v>4</v>
      </c>
      <c r="O1226">
        <v>2</v>
      </c>
      <c r="P1226">
        <v>50</v>
      </c>
      <c r="Q1226">
        <v>2</v>
      </c>
      <c r="R1226" s="1">
        <v>43269</v>
      </c>
      <c r="S1226" t="s">
        <v>37</v>
      </c>
      <c r="T1226" t="str">
        <f t="shared" si="95"/>
        <v>Grade B</v>
      </c>
      <c r="U1226">
        <f t="shared" si="96"/>
        <v>2</v>
      </c>
      <c r="V1226" t="str">
        <f t="shared" si="97"/>
        <v>Junior</v>
      </c>
      <c r="W1226" t="str">
        <f t="shared" si="98"/>
        <v>Already Left</v>
      </c>
      <c r="X1226" t="str">
        <f t="shared" si="99"/>
        <v>Fair</v>
      </c>
    </row>
    <row r="1227" spans="1:24" x14ac:dyDescent="0.3">
      <c r="A1227" t="s">
        <v>1295</v>
      </c>
      <c r="B1227" t="s">
        <v>39</v>
      </c>
      <c r="C1227">
        <v>40</v>
      </c>
      <c r="D1227" t="s">
        <v>47</v>
      </c>
      <c r="E1227" t="s">
        <v>22</v>
      </c>
      <c r="F1227" t="s">
        <v>75</v>
      </c>
      <c r="G1227" t="s">
        <v>42</v>
      </c>
      <c r="H1227" t="s">
        <v>25</v>
      </c>
      <c r="I1227" t="s">
        <v>43</v>
      </c>
      <c r="J1227" t="s">
        <v>44</v>
      </c>
      <c r="K1227">
        <v>12</v>
      </c>
      <c r="L1227">
        <v>112891</v>
      </c>
      <c r="M1227" t="s">
        <v>36</v>
      </c>
      <c r="N1227">
        <v>2</v>
      </c>
      <c r="O1227">
        <v>4</v>
      </c>
      <c r="P1227">
        <v>28</v>
      </c>
      <c r="Q1227">
        <v>1</v>
      </c>
      <c r="R1227" s="1">
        <v>40846</v>
      </c>
      <c r="S1227" t="s">
        <v>37</v>
      </c>
      <c r="T1227" t="str">
        <f t="shared" si="95"/>
        <v>Grade A</v>
      </c>
      <c r="U1227">
        <f t="shared" si="96"/>
        <v>1</v>
      </c>
      <c r="V1227" t="str">
        <f t="shared" si="97"/>
        <v>Senior</v>
      </c>
      <c r="W1227" t="str">
        <f t="shared" si="98"/>
        <v>Already Left</v>
      </c>
      <c r="X1227" t="str">
        <f t="shared" si="99"/>
        <v>Overpaid</v>
      </c>
    </row>
    <row r="1228" spans="1:24" x14ac:dyDescent="0.3">
      <c r="A1228" t="s">
        <v>1296</v>
      </c>
      <c r="B1228" t="s">
        <v>20</v>
      </c>
      <c r="C1228">
        <v>35</v>
      </c>
      <c r="D1228" t="s">
        <v>21</v>
      </c>
      <c r="E1228" t="s">
        <v>48</v>
      </c>
      <c r="F1228" t="s">
        <v>32</v>
      </c>
      <c r="G1228" t="s">
        <v>79</v>
      </c>
      <c r="H1228" t="s">
        <v>67</v>
      </c>
      <c r="I1228" t="s">
        <v>26</v>
      </c>
      <c r="J1228" t="s">
        <v>27</v>
      </c>
      <c r="K1228">
        <v>5</v>
      </c>
      <c r="L1228">
        <v>41490</v>
      </c>
      <c r="M1228" t="s">
        <v>51</v>
      </c>
      <c r="N1228">
        <v>4</v>
      </c>
      <c r="O1228">
        <v>1</v>
      </c>
      <c r="P1228">
        <v>21</v>
      </c>
      <c r="Q1228">
        <v>3</v>
      </c>
      <c r="R1228" s="1">
        <v>43384</v>
      </c>
      <c r="S1228" t="s">
        <v>29</v>
      </c>
      <c r="T1228" t="str">
        <f t="shared" si="95"/>
        <v>Grade C</v>
      </c>
      <c r="U1228">
        <f t="shared" si="96"/>
        <v>4</v>
      </c>
      <c r="V1228" t="str">
        <f t="shared" si="97"/>
        <v>Junior</v>
      </c>
      <c r="W1228" t="str">
        <f t="shared" si="98"/>
        <v>Low Risk</v>
      </c>
      <c r="X1228" t="str">
        <f t="shared" si="99"/>
        <v>Fair</v>
      </c>
    </row>
    <row r="1229" spans="1:24" x14ac:dyDescent="0.3">
      <c r="A1229" t="s">
        <v>1297</v>
      </c>
      <c r="B1229" t="s">
        <v>39</v>
      </c>
      <c r="C1229">
        <v>54</v>
      </c>
      <c r="D1229" t="s">
        <v>47</v>
      </c>
      <c r="E1229" t="s">
        <v>22</v>
      </c>
      <c r="F1229" t="s">
        <v>78</v>
      </c>
      <c r="G1229" t="s">
        <v>42</v>
      </c>
      <c r="H1229" t="s">
        <v>67</v>
      </c>
      <c r="I1229" t="s">
        <v>54</v>
      </c>
      <c r="J1229" t="s">
        <v>27</v>
      </c>
      <c r="K1229">
        <v>10</v>
      </c>
      <c r="L1229">
        <v>123853</v>
      </c>
      <c r="M1229" t="s">
        <v>36</v>
      </c>
      <c r="N1229">
        <v>1</v>
      </c>
      <c r="O1229">
        <v>1</v>
      </c>
      <c r="P1229">
        <v>38</v>
      </c>
      <c r="Q1229">
        <v>3</v>
      </c>
      <c r="R1229" s="1">
        <v>41309</v>
      </c>
      <c r="S1229" t="s">
        <v>37</v>
      </c>
      <c r="T1229" t="str">
        <f t="shared" si="95"/>
        <v>Grade A</v>
      </c>
      <c r="U1229">
        <f t="shared" si="96"/>
        <v>1</v>
      </c>
      <c r="V1229" t="str">
        <f t="shared" si="97"/>
        <v>Mid Level</v>
      </c>
      <c r="W1229" t="str">
        <f t="shared" si="98"/>
        <v>Already Left</v>
      </c>
      <c r="X1229" t="str">
        <f t="shared" si="99"/>
        <v>Overpaid</v>
      </c>
    </row>
    <row r="1230" spans="1:24" x14ac:dyDescent="0.3">
      <c r="A1230" t="s">
        <v>1298</v>
      </c>
      <c r="B1230" t="s">
        <v>39</v>
      </c>
      <c r="C1230">
        <v>32</v>
      </c>
      <c r="D1230" t="s">
        <v>88</v>
      </c>
      <c r="E1230" t="s">
        <v>48</v>
      </c>
      <c r="F1230" t="s">
        <v>75</v>
      </c>
      <c r="G1230" t="s">
        <v>58</v>
      </c>
      <c r="H1230" t="s">
        <v>83</v>
      </c>
      <c r="I1230" t="s">
        <v>43</v>
      </c>
      <c r="J1230" t="s">
        <v>44</v>
      </c>
      <c r="K1230">
        <v>12</v>
      </c>
      <c r="L1230">
        <v>101044</v>
      </c>
      <c r="M1230" t="s">
        <v>28</v>
      </c>
      <c r="N1230">
        <v>2</v>
      </c>
      <c r="O1230">
        <v>4</v>
      </c>
      <c r="P1230">
        <v>34</v>
      </c>
      <c r="Q1230">
        <v>0</v>
      </c>
      <c r="R1230" s="1">
        <v>40734</v>
      </c>
      <c r="S1230" t="s">
        <v>37</v>
      </c>
      <c r="T1230" t="str">
        <f t="shared" si="95"/>
        <v>Grade A</v>
      </c>
      <c r="U1230">
        <f t="shared" si="96"/>
        <v>3</v>
      </c>
      <c r="V1230" t="str">
        <f t="shared" si="97"/>
        <v>Senior</v>
      </c>
      <c r="W1230" t="str">
        <f t="shared" si="98"/>
        <v>Already Left</v>
      </c>
      <c r="X1230" t="str">
        <f t="shared" si="99"/>
        <v>Competitive</v>
      </c>
    </row>
    <row r="1231" spans="1:24" x14ac:dyDescent="0.3">
      <c r="A1231" t="s">
        <v>1299</v>
      </c>
      <c r="B1231" t="s">
        <v>39</v>
      </c>
      <c r="C1231">
        <v>22</v>
      </c>
      <c r="D1231" t="s">
        <v>31</v>
      </c>
      <c r="E1231" t="s">
        <v>40</v>
      </c>
      <c r="F1231" t="s">
        <v>65</v>
      </c>
      <c r="G1231" t="s">
        <v>24</v>
      </c>
      <c r="H1231" t="s">
        <v>83</v>
      </c>
      <c r="I1231" t="s">
        <v>50</v>
      </c>
      <c r="J1231" t="s">
        <v>44</v>
      </c>
      <c r="K1231">
        <v>13</v>
      </c>
      <c r="L1231">
        <v>99852</v>
      </c>
      <c r="M1231" t="s">
        <v>45</v>
      </c>
      <c r="N1231">
        <v>2</v>
      </c>
      <c r="O1231">
        <v>4</v>
      </c>
      <c r="P1231">
        <v>31</v>
      </c>
      <c r="Q1231">
        <v>0</v>
      </c>
      <c r="R1231" s="1">
        <v>40276</v>
      </c>
      <c r="S1231" t="s">
        <v>29</v>
      </c>
      <c r="T1231" t="str">
        <f t="shared" si="95"/>
        <v>Grade A</v>
      </c>
      <c r="U1231">
        <f t="shared" si="96"/>
        <v>2</v>
      </c>
      <c r="V1231" t="str">
        <f t="shared" si="97"/>
        <v>Senior</v>
      </c>
      <c r="W1231" t="str">
        <f t="shared" si="98"/>
        <v>Medium Risk</v>
      </c>
      <c r="X1231" t="str">
        <f t="shared" si="99"/>
        <v>Fair</v>
      </c>
    </row>
    <row r="1232" spans="1:24" x14ac:dyDescent="0.3">
      <c r="A1232" t="s">
        <v>1300</v>
      </c>
      <c r="B1232" t="s">
        <v>39</v>
      </c>
      <c r="C1232">
        <v>54</v>
      </c>
      <c r="D1232" t="s">
        <v>88</v>
      </c>
      <c r="E1232" t="s">
        <v>48</v>
      </c>
      <c r="F1232" t="s">
        <v>78</v>
      </c>
      <c r="G1232" t="s">
        <v>33</v>
      </c>
      <c r="H1232" t="s">
        <v>76</v>
      </c>
      <c r="I1232" t="s">
        <v>50</v>
      </c>
      <c r="J1232" t="s">
        <v>44</v>
      </c>
      <c r="K1232">
        <v>3</v>
      </c>
      <c r="L1232">
        <v>70291</v>
      </c>
      <c r="M1232" t="s">
        <v>36</v>
      </c>
      <c r="N1232">
        <v>2</v>
      </c>
      <c r="O1232">
        <v>2</v>
      </c>
      <c r="P1232">
        <v>71</v>
      </c>
      <c r="Q1232">
        <v>3</v>
      </c>
      <c r="R1232" s="1">
        <v>44107</v>
      </c>
      <c r="S1232" t="s">
        <v>37</v>
      </c>
      <c r="T1232" t="str">
        <f t="shared" si="95"/>
        <v>Grade B</v>
      </c>
      <c r="U1232">
        <f t="shared" si="96"/>
        <v>1</v>
      </c>
      <c r="V1232" t="str">
        <f t="shared" si="97"/>
        <v>Junior</v>
      </c>
      <c r="W1232" t="str">
        <f t="shared" si="98"/>
        <v>Already Left</v>
      </c>
      <c r="X1232" t="str">
        <f t="shared" si="99"/>
        <v>Fair</v>
      </c>
    </row>
    <row r="1233" spans="1:24" x14ac:dyDescent="0.3">
      <c r="A1233" t="s">
        <v>1301</v>
      </c>
      <c r="B1233" t="s">
        <v>20</v>
      </c>
      <c r="C1233">
        <v>28</v>
      </c>
      <c r="D1233" t="s">
        <v>21</v>
      </c>
      <c r="E1233" t="s">
        <v>22</v>
      </c>
      <c r="F1233" t="s">
        <v>65</v>
      </c>
      <c r="G1233" t="s">
        <v>63</v>
      </c>
      <c r="H1233" t="s">
        <v>83</v>
      </c>
      <c r="I1233" t="s">
        <v>26</v>
      </c>
      <c r="J1233" t="s">
        <v>27</v>
      </c>
      <c r="K1233">
        <v>3</v>
      </c>
      <c r="L1233">
        <v>55905</v>
      </c>
      <c r="M1233" t="s">
        <v>36</v>
      </c>
      <c r="N1233">
        <v>2</v>
      </c>
      <c r="O1233">
        <v>2</v>
      </c>
      <c r="P1233">
        <v>74</v>
      </c>
      <c r="Q1233">
        <v>1</v>
      </c>
      <c r="R1233" s="1">
        <v>43975</v>
      </c>
      <c r="S1233" t="s">
        <v>37</v>
      </c>
      <c r="T1233" t="str">
        <f t="shared" si="95"/>
        <v>Grade B</v>
      </c>
      <c r="U1233">
        <f t="shared" si="96"/>
        <v>1</v>
      </c>
      <c r="V1233" t="str">
        <f t="shared" si="97"/>
        <v>Junior</v>
      </c>
      <c r="W1233" t="str">
        <f t="shared" si="98"/>
        <v>Already Left</v>
      </c>
      <c r="X1233" t="str">
        <f t="shared" si="99"/>
        <v>Fair</v>
      </c>
    </row>
    <row r="1234" spans="1:24" x14ac:dyDescent="0.3">
      <c r="A1234" t="s">
        <v>1302</v>
      </c>
      <c r="B1234" t="s">
        <v>39</v>
      </c>
      <c r="C1234">
        <v>55</v>
      </c>
      <c r="D1234" t="s">
        <v>57</v>
      </c>
      <c r="E1234" t="s">
        <v>48</v>
      </c>
      <c r="F1234" t="s">
        <v>32</v>
      </c>
      <c r="G1234" t="s">
        <v>49</v>
      </c>
      <c r="H1234" t="s">
        <v>34</v>
      </c>
      <c r="I1234" t="s">
        <v>59</v>
      </c>
      <c r="J1234" t="s">
        <v>60</v>
      </c>
      <c r="K1234">
        <v>2</v>
      </c>
      <c r="L1234">
        <v>55446</v>
      </c>
      <c r="M1234" t="s">
        <v>28</v>
      </c>
      <c r="N1234">
        <v>1</v>
      </c>
      <c r="O1234">
        <v>4</v>
      </c>
      <c r="P1234">
        <v>71</v>
      </c>
      <c r="Q1234">
        <v>3</v>
      </c>
      <c r="R1234" s="1">
        <v>44326</v>
      </c>
      <c r="S1234" t="s">
        <v>29</v>
      </c>
      <c r="T1234" t="str">
        <f t="shared" si="95"/>
        <v>Grade B</v>
      </c>
      <c r="U1234">
        <f t="shared" si="96"/>
        <v>3</v>
      </c>
      <c r="V1234" t="str">
        <f t="shared" si="97"/>
        <v>New Joiner</v>
      </c>
      <c r="W1234" t="str">
        <f t="shared" si="98"/>
        <v>Medium Risk</v>
      </c>
      <c r="X1234" t="str">
        <f t="shared" si="99"/>
        <v>Competitive</v>
      </c>
    </row>
    <row r="1235" spans="1:24" x14ac:dyDescent="0.3">
      <c r="A1235" t="s">
        <v>1303</v>
      </c>
      <c r="B1235" t="s">
        <v>39</v>
      </c>
      <c r="C1235">
        <v>39</v>
      </c>
      <c r="D1235" t="s">
        <v>47</v>
      </c>
      <c r="E1235" t="s">
        <v>22</v>
      </c>
      <c r="F1235" t="s">
        <v>41</v>
      </c>
      <c r="G1235" t="s">
        <v>66</v>
      </c>
      <c r="H1235" t="s">
        <v>83</v>
      </c>
      <c r="I1235" t="s">
        <v>43</v>
      </c>
      <c r="J1235" t="s">
        <v>44</v>
      </c>
      <c r="K1235">
        <v>13</v>
      </c>
      <c r="L1235">
        <v>70071</v>
      </c>
      <c r="M1235" t="s">
        <v>36</v>
      </c>
      <c r="N1235">
        <v>2</v>
      </c>
      <c r="O1235">
        <v>4</v>
      </c>
      <c r="P1235">
        <v>66</v>
      </c>
      <c r="Q1235">
        <v>3</v>
      </c>
      <c r="R1235" s="1">
        <v>40222</v>
      </c>
      <c r="S1235" t="s">
        <v>37</v>
      </c>
      <c r="T1235" t="str">
        <f t="shared" si="95"/>
        <v>Grade B</v>
      </c>
      <c r="U1235">
        <f t="shared" si="96"/>
        <v>1</v>
      </c>
      <c r="V1235" t="str">
        <f t="shared" si="97"/>
        <v>Senior</v>
      </c>
      <c r="W1235" t="str">
        <f t="shared" si="98"/>
        <v>Already Left</v>
      </c>
      <c r="X1235" t="str">
        <f t="shared" si="99"/>
        <v>Fair</v>
      </c>
    </row>
    <row r="1236" spans="1:24" x14ac:dyDescent="0.3">
      <c r="A1236" t="s">
        <v>1304</v>
      </c>
      <c r="B1236" t="s">
        <v>39</v>
      </c>
      <c r="C1236">
        <v>41</v>
      </c>
      <c r="D1236" t="s">
        <v>31</v>
      </c>
      <c r="E1236" t="s">
        <v>40</v>
      </c>
      <c r="F1236" t="s">
        <v>78</v>
      </c>
      <c r="G1236" t="s">
        <v>63</v>
      </c>
      <c r="H1236" t="s">
        <v>34</v>
      </c>
      <c r="I1236" t="s">
        <v>26</v>
      </c>
      <c r="J1236" t="s">
        <v>27</v>
      </c>
      <c r="K1236">
        <v>6</v>
      </c>
      <c r="L1236">
        <v>65990</v>
      </c>
      <c r="M1236" t="s">
        <v>51</v>
      </c>
      <c r="N1236">
        <v>4</v>
      </c>
      <c r="O1236">
        <v>2</v>
      </c>
      <c r="P1236">
        <v>12</v>
      </c>
      <c r="Q1236">
        <v>1</v>
      </c>
      <c r="R1236" s="1">
        <v>42773</v>
      </c>
      <c r="S1236" t="s">
        <v>29</v>
      </c>
      <c r="T1236" t="str">
        <f t="shared" si="95"/>
        <v>Grade B</v>
      </c>
      <c r="U1236">
        <f t="shared" si="96"/>
        <v>4</v>
      </c>
      <c r="V1236" t="str">
        <f t="shared" si="97"/>
        <v>Mid Level</v>
      </c>
      <c r="W1236" t="str">
        <f t="shared" si="98"/>
        <v>Low Risk</v>
      </c>
      <c r="X1236" t="str">
        <f t="shared" si="99"/>
        <v>Fair</v>
      </c>
    </row>
    <row r="1237" spans="1:24" x14ac:dyDescent="0.3">
      <c r="A1237" t="s">
        <v>1305</v>
      </c>
      <c r="B1237" t="s">
        <v>39</v>
      </c>
      <c r="C1237">
        <v>30</v>
      </c>
      <c r="D1237" t="s">
        <v>31</v>
      </c>
      <c r="E1237" t="s">
        <v>48</v>
      </c>
      <c r="F1237" t="s">
        <v>75</v>
      </c>
      <c r="G1237" t="s">
        <v>63</v>
      </c>
      <c r="H1237" t="s">
        <v>25</v>
      </c>
      <c r="I1237" t="s">
        <v>43</v>
      </c>
      <c r="J1237" t="s">
        <v>44</v>
      </c>
      <c r="K1237">
        <v>9</v>
      </c>
      <c r="L1237">
        <v>58597</v>
      </c>
      <c r="M1237" t="s">
        <v>36</v>
      </c>
      <c r="N1237">
        <v>2</v>
      </c>
      <c r="O1237">
        <v>3</v>
      </c>
      <c r="P1237">
        <v>74</v>
      </c>
      <c r="Q1237">
        <v>1</v>
      </c>
      <c r="R1237" s="1">
        <v>41713</v>
      </c>
      <c r="S1237" t="s">
        <v>37</v>
      </c>
      <c r="T1237" t="str">
        <f t="shared" si="95"/>
        <v>Grade B</v>
      </c>
      <c r="U1237">
        <f t="shared" si="96"/>
        <v>1</v>
      </c>
      <c r="V1237" t="str">
        <f t="shared" si="97"/>
        <v>Mid Level</v>
      </c>
      <c r="W1237" t="str">
        <f t="shared" si="98"/>
        <v>Already Left</v>
      </c>
      <c r="X1237" t="str">
        <f t="shared" si="99"/>
        <v>Fair</v>
      </c>
    </row>
    <row r="1238" spans="1:24" x14ac:dyDescent="0.3">
      <c r="A1238" t="s">
        <v>1306</v>
      </c>
      <c r="B1238" t="s">
        <v>39</v>
      </c>
      <c r="C1238">
        <v>23</v>
      </c>
      <c r="D1238" t="s">
        <v>57</v>
      </c>
      <c r="E1238" t="s">
        <v>48</v>
      </c>
      <c r="F1238" t="s">
        <v>65</v>
      </c>
      <c r="G1238" t="s">
        <v>63</v>
      </c>
      <c r="H1238" t="s">
        <v>67</v>
      </c>
      <c r="I1238" t="s">
        <v>72</v>
      </c>
      <c r="J1238" t="s">
        <v>73</v>
      </c>
      <c r="K1238">
        <v>11</v>
      </c>
      <c r="L1238">
        <v>57295</v>
      </c>
      <c r="M1238" t="s">
        <v>45</v>
      </c>
      <c r="N1238">
        <v>4</v>
      </c>
      <c r="O1238">
        <v>2</v>
      </c>
      <c r="P1238">
        <v>62</v>
      </c>
      <c r="Q1238">
        <v>3</v>
      </c>
      <c r="R1238" s="1">
        <v>41125</v>
      </c>
      <c r="S1238" t="s">
        <v>29</v>
      </c>
      <c r="T1238" t="str">
        <f t="shared" si="95"/>
        <v>Grade B</v>
      </c>
      <c r="U1238">
        <f t="shared" si="96"/>
        <v>2</v>
      </c>
      <c r="V1238" t="str">
        <f t="shared" si="97"/>
        <v>Senior</v>
      </c>
      <c r="W1238" t="str">
        <f t="shared" si="98"/>
        <v>Medium Risk</v>
      </c>
      <c r="X1238" t="str">
        <f t="shared" si="99"/>
        <v>Fair</v>
      </c>
    </row>
    <row r="1239" spans="1:24" x14ac:dyDescent="0.3">
      <c r="A1239" t="s">
        <v>1307</v>
      </c>
      <c r="B1239" t="s">
        <v>20</v>
      </c>
      <c r="C1239">
        <v>41</v>
      </c>
      <c r="D1239" t="s">
        <v>57</v>
      </c>
      <c r="E1239" t="s">
        <v>48</v>
      </c>
      <c r="F1239" t="s">
        <v>62</v>
      </c>
      <c r="G1239" t="s">
        <v>63</v>
      </c>
      <c r="H1239" t="s">
        <v>83</v>
      </c>
      <c r="I1239" t="s">
        <v>54</v>
      </c>
      <c r="J1239" t="s">
        <v>27</v>
      </c>
      <c r="K1239">
        <v>10</v>
      </c>
      <c r="L1239">
        <v>70873</v>
      </c>
      <c r="M1239" t="s">
        <v>36</v>
      </c>
      <c r="N1239">
        <v>3</v>
      </c>
      <c r="O1239">
        <v>3</v>
      </c>
      <c r="P1239">
        <v>61</v>
      </c>
      <c r="Q1239">
        <v>2</v>
      </c>
      <c r="R1239" s="1">
        <v>41641</v>
      </c>
      <c r="S1239" t="s">
        <v>29</v>
      </c>
      <c r="T1239" t="str">
        <f t="shared" si="95"/>
        <v>Grade B</v>
      </c>
      <c r="U1239">
        <f t="shared" si="96"/>
        <v>1</v>
      </c>
      <c r="V1239" t="str">
        <f t="shared" si="97"/>
        <v>Mid Level</v>
      </c>
      <c r="W1239" t="str">
        <f t="shared" si="98"/>
        <v>Medium Risk</v>
      </c>
      <c r="X1239" t="str">
        <f t="shared" si="99"/>
        <v>Fair</v>
      </c>
    </row>
    <row r="1240" spans="1:24" x14ac:dyDescent="0.3">
      <c r="A1240" t="s">
        <v>1308</v>
      </c>
      <c r="B1240" t="s">
        <v>20</v>
      </c>
      <c r="C1240">
        <v>55</v>
      </c>
      <c r="D1240" t="s">
        <v>31</v>
      </c>
      <c r="E1240" t="s">
        <v>22</v>
      </c>
      <c r="F1240" t="s">
        <v>32</v>
      </c>
      <c r="G1240" t="s">
        <v>63</v>
      </c>
      <c r="H1240" t="s">
        <v>34</v>
      </c>
      <c r="I1240" t="s">
        <v>26</v>
      </c>
      <c r="J1240" t="s">
        <v>27</v>
      </c>
      <c r="K1240">
        <v>2</v>
      </c>
      <c r="L1240">
        <v>54140</v>
      </c>
      <c r="M1240" t="s">
        <v>45</v>
      </c>
      <c r="N1240">
        <v>4</v>
      </c>
      <c r="O1240">
        <v>1</v>
      </c>
      <c r="P1240">
        <v>58</v>
      </c>
      <c r="Q1240">
        <v>2</v>
      </c>
      <c r="R1240" s="1">
        <v>44415</v>
      </c>
      <c r="S1240" t="s">
        <v>29</v>
      </c>
      <c r="T1240" t="str">
        <f t="shared" si="95"/>
        <v>Grade B</v>
      </c>
      <c r="U1240">
        <f t="shared" si="96"/>
        <v>2</v>
      </c>
      <c r="V1240" t="str">
        <f t="shared" si="97"/>
        <v>New Joiner</v>
      </c>
      <c r="W1240" t="str">
        <f t="shared" si="98"/>
        <v>Medium Risk</v>
      </c>
      <c r="X1240" t="str">
        <f t="shared" si="99"/>
        <v>Fair</v>
      </c>
    </row>
    <row r="1241" spans="1:24" x14ac:dyDescent="0.3">
      <c r="A1241" t="s">
        <v>1309</v>
      </c>
      <c r="B1241" t="s">
        <v>20</v>
      </c>
      <c r="C1241">
        <v>22</v>
      </c>
      <c r="D1241" t="s">
        <v>31</v>
      </c>
      <c r="E1241" t="s">
        <v>22</v>
      </c>
      <c r="F1241" t="s">
        <v>23</v>
      </c>
      <c r="G1241" t="s">
        <v>58</v>
      </c>
      <c r="H1241" t="s">
        <v>25</v>
      </c>
      <c r="I1241" t="s">
        <v>54</v>
      </c>
      <c r="J1241" t="s">
        <v>27</v>
      </c>
      <c r="K1241">
        <v>6</v>
      </c>
      <c r="L1241">
        <v>106822</v>
      </c>
      <c r="M1241" t="s">
        <v>45</v>
      </c>
      <c r="N1241">
        <v>1</v>
      </c>
      <c r="O1241">
        <v>1</v>
      </c>
      <c r="P1241">
        <v>30</v>
      </c>
      <c r="Q1241">
        <v>3</v>
      </c>
      <c r="R1241" s="1">
        <v>42763</v>
      </c>
      <c r="S1241" t="s">
        <v>29</v>
      </c>
      <c r="T1241" t="str">
        <f t="shared" si="95"/>
        <v>Grade A</v>
      </c>
      <c r="U1241">
        <f t="shared" si="96"/>
        <v>2</v>
      </c>
      <c r="V1241" t="str">
        <f t="shared" si="97"/>
        <v>Mid Level</v>
      </c>
      <c r="W1241" t="str">
        <f t="shared" si="98"/>
        <v>Medium Risk</v>
      </c>
      <c r="X1241" t="str">
        <f t="shared" si="99"/>
        <v>Fair</v>
      </c>
    </row>
    <row r="1242" spans="1:24" x14ac:dyDescent="0.3">
      <c r="A1242" t="s">
        <v>1310</v>
      </c>
      <c r="B1242" t="s">
        <v>39</v>
      </c>
      <c r="C1242">
        <v>39</v>
      </c>
      <c r="D1242" t="s">
        <v>88</v>
      </c>
      <c r="E1242" t="s">
        <v>48</v>
      </c>
      <c r="F1242" t="s">
        <v>78</v>
      </c>
      <c r="G1242" t="s">
        <v>42</v>
      </c>
      <c r="H1242" t="s">
        <v>83</v>
      </c>
      <c r="I1242" t="s">
        <v>68</v>
      </c>
      <c r="J1242" t="s">
        <v>60</v>
      </c>
      <c r="K1242">
        <v>7</v>
      </c>
      <c r="L1242">
        <v>117116</v>
      </c>
      <c r="M1242" t="s">
        <v>36</v>
      </c>
      <c r="N1242">
        <v>3</v>
      </c>
      <c r="O1242">
        <v>1</v>
      </c>
      <c r="P1242">
        <v>38</v>
      </c>
      <c r="Q1242">
        <v>0</v>
      </c>
      <c r="R1242" s="1">
        <v>42728</v>
      </c>
      <c r="S1242" t="s">
        <v>37</v>
      </c>
      <c r="T1242" t="str">
        <f t="shared" si="95"/>
        <v>Grade A</v>
      </c>
      <c r="U1242">
        <f t="shared" si="96"/>
        <v>1</v>
      </c>
      <c r="V1242" t="str">
        <f t="shared" si="97"/>
        <v>Mid Level</v>
      </c>
      <c r="W1242" t="str">
        <f t="shared" si="98"/>
        <v>Already Left</v>
      </c>
      <c r="X1242" t="str">
        <f t="shared" si="99"/>
        <v>Overpaid</v>
      </c>
    </row>
    <row r="1243" spans="1:24" x14ac:dyDescent="0.3">
      <c r="A1243" t="s">
        <v>1311</v>
      </c>
      <c r="B1243" t="s">
        <v>20</v>
      </c>
      <c r="C1243">
        <v>38</v>
      </c>
      <c r="D1243" t="s">
        <v>21</v>
      </c>
      <c r="E1243" t="s">
        <v>40</v>
      </c>
      <c r="F1243" t="s">
        <v>32</v>
      </c>
      <c r="G1243" t="s">
        <v>42</v>
      </c>
      <c r="H1243" t="s">
        <v>83</v>
      </c>
      <c r="I1243" t="s">
        <v>35</v>
      </c>
      <c r="J1243" t="s">
        <v>27</v>
      </c>
      <c r="K1243">
        <v>8</v>
      </c>
      <c r="L1243">
        <v>118722</v>
      </c>
      <c r="M1243" t="s">
        <v>45</v>
      </c>
      <c r="N1243">
        <v>3</v>
      </c>
      <c r="O1243">
        <v>4</v>
      </c>
      <c r="P1243">
        <v>40</v>
      </c>
      <c r="Q1243">
        <v>0</v>
      </c>
      <c r="R1243" s="1">
        <v>42251</v>
      </c>
      <c r="S1243" t="s">
        <v>29</v>
      </c>
      <c r="T1243" t="str">
        <f t="shared" si="95"/>
        <v>Grade A</v>
      </c>
      <c r="U1243">
        <f t="shared" si="96"/>
        <v>2</v>
      </c>
      <c r="V1243" t="str">
        <f t="shared" si="97"/>
        <v>Mid Level</v>
      </c>
      <c r="W1243" t="str">
        <f t="shared" si="98"/>
        <v>Medium Risk</v>
      </c>
      <c r="X1243" t="str">
        <f t="shared" si="99"/>
        <v>Fair</v>
      </c>
    </row>
    <row r="1244" spans="1:24" x14ac:dyDescent="0.3">
      <c r="A1244" t="s">
        <v>1312</v>
      </c>
      <c r="B1244" t="s">
        <v>20</v>
      </c>
      <c r="C1244">
        <v>46</v>
      </c>
      <c r="D1244" t="s">
        <v>57</v>
      </c>
      <c r="E1244" t="s">
        <v>22</v>
      </c>
      <c r="F1244" t="s">
        <v>78</v>
      </c>
      <c r="G1244" t="s">
        <v>58</v>
      </c>
      <c r="H1244" t="s">
        <v>25</v>
      </c>
      <c r="I1244" t="s">
        <v>68</v>
      </c>
      <c r="J1244" t="s">
        <v>60</v>
      </c>
      <c r="K1244">
        <v>1</v>
      </c>
      <c r="L1244">
        <v>83974</v>
      </c>
      <c r="M1244" t="s">
        <v>51</v>
      </c>
      <c r="N1244">
        <v>3</v>
      </c>
      <c r="O1244">
        <v>2</v>
      </c>
      <c r="P1244">
        <v>12</v>
      </c>
      <c r="Q1244">
        <v>2</v>
      </c>
      <c r="R1244" s="1">
        <v>44580</v>
      </c>
      <c r="S1244" t="s">
        <v>37</v>
      </c>
      <c r="T1244" t="str">
        <f t="shared" si="95"/>
        <v>Grade A</v>
      </c>
      <c r="U1244">
        <f t="shared" si="96"/>
        <v>4</v>
      </c>
      <c r="V1244" t="str">
        <f t="shared" si="97"/>
        <v>New Joiner</v>
      </c>
      <c r="W1244" t="str">
        <f t="shared" si="98"/>
        <v>Already Left</v>
      </c>
      <c r="X1244" t="str">
        <f t="shared" si="99"/>
        <v>Competitive</v>
      </c>
    </row>
    <row r="1245" spans="1:24" x14ac:dyDescent="0.3">
      <c r="A1245" t="s">
        <v>1313</v>
      </c>
      <c r="B1245" t="s">
        <v>20</v>
      </c>
      <c r="C1245">
        <v>49</v>
      </c>
      <c r="D1245" t="s">
        <v>57</v>
      </c>
      <c r="E1245" t="s">
        <v>40</v>
      </c>
      <c r="F1245" t="s">
        <v>62</v>
      </c>
      <c r="G1245" t="s">
        <v>49</v>
      </c>
      <c r="H1245" t="s">
        <v>83</v>
      </c>
      <c r="I1245" t="s">
        <v>43</v>
      </c>
      <c r="J1245" t="s">
        <v>44</v>
      </c>
      <c r="K1245">
        <v>13</v>
      </c>
      <c r="L1245">
        <v>80361</v>
      </c>
      <c r="M1245" t="s">
        <v>45</v>
      </c>
      <c r="N1245">
        <v>1</v>
      </c>
      <c r="O1245">
        <v>4</v>
      </c>
      <c r="P1245">
        <v>12</v>
      </c>
      <c r="Q1245">
        <v>0</v>
      </c>
      <c r="R1245" s="1">
        <v>40207</v>
      </c>
      <c r="S1245" t="s">
        <v>29</v>
      </c>
      <c r="T1245" t="str">
        <f t="shared" si="95"/>
        <v>Grade A</v>
      </c>
      <c r="U1245">
        <f t="shared" si="96"/>
        <v>2</v>
      </c>
      <c r="V1245" t="str">
        <f t="shared" si="97"/>
        <v>Senior</v>
      </c>
      <c r="W1245" t="str">
        <f t="shared" si="98"/>
        <v>Medium Risk</v>
      </c>
      <c r="X1245" t="str">
        <f t="shared" si="99"/>
        <v>Fair</v>
      </c>
    </row>
    <row r="1246" spans="1:24" x14ac:dyDescent="0.3">
      <c r="A1246" t="s">
        <v>1314</v>
      </c>
      <c r="B1246" t="s">
        <v>20</v>
      </c>
      <c r="C1246">
        <v>45</v>
      </c>
      <c r="D1246" t="s">
        <v>21</v>
      </c>
      <c r="E1246" t="s">
        <v>22</v>
      </c>
      <c r="F1246" t="s">
        <v>78</v>
      </c>
      <c r="G1246" t="s">
        <v>58</v>
      </c>
      <c r="H1246" t="s">
        <v>67</v>
      </c>
      <c r="I1246" t="s">
        <v>35</v>
      </c>
      <c r="J1246" t="s">
        <v>27</v>
      </c>
      <c r="K1246">
        <v>15</v>
      </c>
      <c r="L1246">
        <v>106023</v>
      </c>
      <c r="M1246" t="s">
        <v>36</v>
      </c>
      <c r="N1246">
        <v>2</v>
      </c>
      <c r="O1246">
        <v>3</v>
      </c>
      <c r="P1246">
        <v>47</v>
      </c>
      <c r="Q1246">
        <v>2</v>
      </c>
      <c r="R1246" s="1">
        <v>39713</v>
      </c>
      <c r="S1246" t="s">
        <v>29</v>
      </c>
      <c r="T1246" t="str">
        <f t="shared" si="95"/>
        <v>Grade A</v>
      </c>
      <c r="U1246">
        <f t="shared" si="96"/>
        <v>1</v>
      </c>
      <c r="V1246" t="str">
        <f t="shared" si="97"/>
        <v>Senior</v>
      </c>
      <c r="W1246" t="str">
        <f t="shared" si="98"/>
        <v>Medium Risk</v>
      </c>
      <c r="X1246" t="str">
        <f t="shared" si="99"/>
        <v>Overpaid</v>
      </c>
    </row>
    <row r="1247" spans="1:24" x14ac:dyDescent="0.3">
      <c r="A1247" t="s">
        <v>1315</v>
      </c>
      <c r="B1247" t="s">
        <v>20</v>
      </c>
      <c r="C1247">
        <v>45</v>
      </c>
      <c r="D1247" t="s">
        <v>47</v>
      </c>
      <c r="E1247" t="s">
        <v>48</v>
      </c>
      <c r="F1247" t="s">
        <v>53</v>
      </c>
      <c r="G1247" t="s">
        <v>33</v>
      </c>
      <c r="H1247" t="s">
        <v>34</v>
      </c>
      <c r="I1247" t="s">
        <v>80</v>
      </c>
      <c r="J1247" t="s">
        <v>60</v>
      </c>
      <c r="K1247">
        <v>7</v>
      </c>
      <c r="L1247">
        <v>72986</v>
      </c>
      <c r="M1247" t="s">
        <v>51</v>
      </c>
      <c r="N1247">
        <v>1</v>
      </c>
      <c r="O1247">
        <v>4</v>
      </c>
      <c r="P1247">
        <v>28</v>
      </c>
      <c r="Q1247">
        <v>1</v>
      </c>
      <c r="R1247" s="1">
        <v>42521</v>
      </c>
      <c r="S1247" t="s">
        <v>29</v>
      </c>
      <c r="T1247" t="str">
        <f t="shared" si="95"/>
        <v>Grade B</v>
      </c>
      <c r="U1247">
        <f t="shared" si="96"/>
        <v>4</v>
      </c>
      <c r="V1247" t="str">
        <f t="shared" si="97"/>
        <v>Mid Level</v>
      </c>
      <c r="W1247" t="str">
        <f t="shared" si="98"/>
        <v>Low Risk</v>
      </c>
      <c r="X1247" t="str">
        <f t="shared" si="99"/>
        <v>Fair</v>
      </c>
    </row>
    <row r="1248" spans="1:24" x14ac:dyDescent="0.3">
      <c r="A1248" t="s">
        <v>1316</v>
      </c>
      <c r="B1248" t="s">
        <v>39</v>
      </c>
      <c r="C1248">
        <v>33</v>
      </c>
      <c r="D1248" t="s">
        <v>21</v>
      </c>
      <c r="E1248" t="s">
        <v>40</v>
      </c>
      <c r="F1248" t="s">
        <v>65</v>
      </c>
      <c r="G1248" t="s">
        <v>33</v>
      </c>
      <c r="H1248" t="s">
        <v>25</v>
      </c>
      <c r="I1248" t="s">
        <v>26</v>
      </c>
      <c r="J1248" t="s">
        <v>27</v>
      </c>
      <c r="K1248">
        <v>14</v>
      </c>
      <c r="L1248">
        <v>82486</v>
      </c>
      <c r="M1248" t="s">
        <v>36</v>
      </c>
      <c r="N1248">
        <v>1</v>
      </c>
      <c r="O1248">
        <v>3</v>
      </c>
      <c r="P1248">
        <v>40</v>
      </c>
      <c r="Q1248">
        <v>1</v>
      </c>
      <c r="R1248" s="1">
        <v>40091</v>
      </c>
      <c r="S1248" t="s">
        <v>37</v>
      </c>
      <c r="T1248" t="str">
        <f t="shared" si="95"/>
        <v>Grade A</v>
      </c>
      <c r="U1248">
        <f t="shared" si="96"/>
        <v>1</v>
      </c>
      <c r="V1248" t="str">
        <f t="shared" si="97"/>
        <v>Senior</v>
      </c>
      <c r="W1248" t="str">
        <f t="shared" si="98"/>
        <v>Already Left</v>
      </c>
      <c r="X1248" t="str">
        <f t="shared" si="99"/>
        <v>Overpaid</v>
      </c>
    </row>
    <row r="1249" spans="1:24" x14ac:dyDescent="0.3">
      <c r="A1249" t="s">
        <v>1317</v>
      </c>
      <c r="B1249" t="s">
        <v>20</v>
      </c>
      <c r="C1249">
        <v>42</v>
      </c>
      <c r="D1249" t="s">
        <v>31</v>
      </c>
      <c r="E1249" t="s">
        <v>40</v>
      </c>
      <c r="F1249" t="s">
        <v>78</v>
      </c>
      <c r="G1249" t="s">
        <v>42</v>
      </c>
      <c r="H1249" t="s">
        <v>83</v>
      </c>
      <c r="I1249" t="s">
        <v>80</v>
      </c>
      <c r="J1249" t="s">
        <v>60</v>
      </c>
      <c r="K1249">
        <v>8</v>
      </c>
      <c r="L1249">
        <v>116741</v>
      </c>
      <c r="M1249" t="s">
        <v>45</v>
      </c>
      <c r="N1249">
        <v>2</v>
      </c>
      <c r="O1249">
        <v>4</v>
      </c>
      <c r="P1249">
        <v>51</v>
      </c>
      <c r="Q1249">
        <v>1</v>
      </c>
      <c r="R1249" s="1">
        <v>42217</v>
      </c>
      <c r="S1249" t="s">
        <v>29</v>
      </c>
      <c r="T1249" t="str">
        <f t="shared" si="95"/>
        <v>Grade A</v>
      </c>
      <c r="U1249">
        <f t="shared" si="96"/>
        <v>2</v>
      </c>
      <c r="V1249" t="str">
        <f t="shared" si="97"/>
        <v>Mid Level</v>
      </c>
      <c r="W1249" t="str">
        <f t="shared" si="98"/>
        <v>Medium Risk</v>
      </c>
      <c r="X1249" t="str">
        <f t="shared" si="99"/>
        <v>Fair</v>
      </c>
    </row>
    <row r="1250" spans="1:24" x14ac:dyDescent="0.3">
      <c r="A1250" t="s">
        <v>1318</v>
      </c>
      <c r="B1250" t="s">
        <v>20</v>
      </c>
      <c r="C1250">
        <v>43</v>
      </c>
      <c r="D1250" t="s">
        <v>31</v>
      </c>
      <c r="E1250" t="s">
        <v>22</v>
      </c>
      <c r="F1250" t="s">
        <v>32</v>
      </c>
      <c r="G1250" t="s">
        <v>58</v>
      </c>
      <c r="H1250" t="s">
        <v>34</v>
      </c>
      <c r="I1250" t="s">
        <v>26</v>
      </c>
      <c r="J1250" t="s">
        <v>27</v>
      </c>
      <c r="K1250">
        <v>6</v>
      </c>
      <c r="L1250">
        <v>103026</v>
      </c>
      <c r="M1250" t="s">
        <v>28</v>
      </c>
      <c r="N1250">
        <v>1</v>
      </c>
      <c r="O1250">
        <v>2</v>
      </c>
      <c r="P1250">
        <v>17</v>
      </c>
      <c r="Q1250">
        <v>0</v>
      </c>
      <c r="R1250" s="1">
        <v>43032</v>
      </c>
      <c r="S1250" t="s">
        <v>37</v>
      </c>
      <c r="T1250" t="str">
        <f t="shared" si="95"/>
        <v>Grade A</v>
      </c>
      <c r="U1250">
        <f t="shared" si="96"/>
        <v>3</v>
      </c>
      <c r="V1250" t="str">
        <f t="shared" si="97"/>
        <v>Mid Level</v>
      </c>
      <c r="W1250" t="str">
        <f t="shared" si="98"/>
        <v>Already Left</v>
      </c>
      <c r="X1250" t="str">
        <f t="shared" si="99"/>
        <v>Competitive</v>
      </c>
    </row>
    <row r="1251" spans="1:24" x14ac:dyDescent="0.3">
      <c r="A1251" t="s">
        <v>1319</v>
      </c>
      <c r="B1251" t="s">
        <v>39</v>
      </c>
      <c r="C1251">
        <v>51</v>
      </c>
      <c r="D1251" t="s">
        <v>57</v>
      </c>
      <c r="E1251" t="s">
        <v>22</v>
      </c>
      <c r="F1251" t="s">
        <v>75</v>
      </c>
      <c r="G1251" t="s">
        <v>79</v>
      </c>
      <c r="H1251" t="s">
        <v>67</v>
      </c>
      <c r="I1251" t="s">
        <v>59</v>
      </c>
      <c r="J1251" t="s">
        <v>60</v>
      </c>
      <c r="K1251">
        <v>2</v>
      </c>
      <c r="L1251">
        <v>49476</v>
      </c>
      <c r="M1251" t="s">
        <v>28</v>
      </c>
      <c r="N1251">
        <v>4</v>
      </c>
      <c r="O1251">
        <v>3</v>
      </c>
      <c r="P1251">
        <v>78</v>
      </c>
      <c r="Q1251">
        <v>1</v>
      </c>
      <c r="R1251" s="1">
        <v>44235</v>
      </c>
      <c r="S1251" t="s">
        <v>29</v>
      </c>
      <c r="T1251" t="str">
        <f t="shared" si="95"/>
        <v>Grade C</v>
      </c>
      <c r="U1251">
        <f t="shared" si="96"/>
        <v>3</v>
      </c>
      <c r="V1251" t="str">
        <f t="shared" si="97"/>
        <v>New Joiner</v>
      </c>
      <c r="W1251" t="str">
        <f t="shared" si="98"/>
        <v>Medium Risk</v>
      </c>
      <c r="X1251" t="str">
        <f t="shared" si="99"/>
        <v>Fair</v>
      </c>
    </row>
    <row r="1252" spans="1:24" x14ac:dyDescent="0.3">
      <c r="A1252" t="s">
        <v>1320</v>
      </c>
      <c r="B1252" t="s">
        <v>39</v>
      </c>
      <c r="C1252">
        <v>41</v>
      </c>
      <c r="D1252" t="s">
        <v>47</v>
      </c>
      <c r="E1252" t="s">
        <v>40</v>
      </c>
      <c r="F1252" t="s">
        <v>65</v>
      </c>
      <c r="G1252" t="s">
        <v>66</v>
      </c>
      <c r="H1252" t="s">
        <v>34</v>
      </c>
      <c r="I1252" t="s">
        <v>54</v>
      </c>
      <c r="J1252" t="s">
        <v>27</v>
      </c>
      <c r="K1252">
        <v>12</v>
      </c>
      <c r="L1252">
        <v>67158</v>
      </c>
      <c r="M1252" t="s">
        <v>45</v>
      </c>
      <c r="N1252">
        <v>3</v>
      </c>
      <c r="O1252">
        <v>2</v>
      </c>
      <c r="P1252">
        <v>50</v>
      </c>
      <c r="Q1252">
        <v>0</v>
      </c>
      <c r="R1252" s="1">
        <v>40825</v>
      </c>
      <c r="S1252" t="s">
        <v>29</v>
      </c>
      <c r="T1252" t="str">
        <f t="shared" si="95"/>
        <v>Grade B</v>
      </c>
      <c r="U1252">
        <f t="shared" si="96"/>
        <v>2</v>
      </c>
      <c r="V1252" t="str">
        <f t="shared" si="97"/>
        <v>Senior</v>
      </c>
      <c r="W1252" t="str">
        <f t="shared" si="98"/>
        <v>Medium Risk</v>
      </c>
      <c r="X1252" t="str">
        <f t="shared" si="99"/>
        <v>Fair</v>
      </c>
    </row>
    <row r="1253" spans="1:24" x14ac:dyDescent="0.3">
      <c r="A1253" t="s">
        <v>1321</v>
      </c>
      <c r="B1253" t="s">
        <v>39</v>
      </c>
      <c r="C1253">
        <v>43</v>
      </c>
      <c r="D1253" t="s">
        <v>21</v>
      </c>
      <c r="E1253" t="s">
        <v>40</v>
      </c>
      <c r="F1253" t="s">
        <v>41</v>
      </c>
      <c r="G1253" t="s">
        <v>66</v>
      </c>
      <c r="H1253" t="s">
        <v>34</v>
      </c>
      <c r="I1253" t="s">
        <v>43</v>
      </c>
      <c r="J1253" t="s">
        <v>44</v>
      </c>
      <c r="K1253">
        <v>8</v>
      </c>
      <c r="L1253">
        <v>43753</v>
      </c>
      <c r="M1253" t="s">
        <v>45</v>
      </c>
      <c r="N1253">
        <v>1</v>
      </c>
      <c r="O1253">
        <v>3</v>
      </c>
      <c r="P1253">
        <v>49</v>
      </c>
      <c r="Q1253">
        <v>0</v>
      </c>
      <c r="R1253" s="1">
        <v>42338</v>
      </c>
      <c r="S1253" t="s">
        <v>29</v>
      </c>
      <c r="T1253" t="str">
        <f t="shared" si="95"/>
        <v>Grade C</v>
      </c>
      <c r="U1253">
        <f t="shared" si="96"/>
        <v>2</v>
      </c>
      <c r="V1253" t="str">
        <f t="shared" si="97"/>
        <v>Mid Level</v>
      </c>
      <c r="W1253" t="str">
        <f t="shared" si="98"/>
        <v>Medium Risk</v>
      </c>
      <c r="X1253" t="str">
        <f t="shared" si="99"/>
        <v>Fair</v>
      </c>
    </row>
    <row r="1254" spans="1:24" x14ac:dyDescent="0.3">
      <c r="A1254" t="s">
        <v>1322</v>
      </c>
      <c r="B1254" t="s">
        <v>39</v>
      </c>
      <c r="C1254">
        <v>44</v>
      </c>
      <c r="D1254" t="s">
        <v>47</v>
      </c>
      <c r="E1254" t="s">
        <v>48</v>
      </c>
      <c r="F1254" t="s">
        <v>78</v>
      </c>
      <c r="G1254" t="s">
        <v>33</v>
      </c>
      <c r="H1254" t="s">
        <v>76</v>
      </c>
      <c r="I1254" t="s">
        <v>80</v>
      </c>
      <c r="J1254" t="s">
        <v>60</v>
      </c>
      <c r="K1254">
        <v>5</v>
      </c>
      <c r="L1254">
        <v>67547</v>
      </c>
      <c r="M1254" t="s">
        <v>45</v>
      </c>
      <c r="N1254">
        <v>4</v>
      </c>
      <c r="O1254">
        <v>3</v>
      </c>
      <c r="P1254">
        <v>24</v>
      </c>
      <c r="Q1254">
        <v>3</v>
      </c>
      <c r="R1254" s="1">
        <v>43141</v>
      </c>
      <c r="S1254" t="s">
        <v>29</v>
      </c>
      <c r="T1254" t="str">
        <f t="shared" si="95"/>
        <v>Grade B</v>
      </c>
      <c r="U1254">
        <f t="shared" si="96"/>
        <v>2</v>
      </c>
      <c r="V1254" t="str">
        <f t="shared" si="97"/>
        <v>Junior</v>
      </c>
      <c r="W1254" t="str">
        <f t="shared" si="98"/>
        <v>Medium Risk</v>
      </c>
      <c r="X1254" t="str">
        <f t="shared" si="99"/>
        <v>Fair</v>
      </c>
    </row>
    <row r="1255" spans="1:24" x14ac:dyDescent="0.3">
      <c r="A1255" t="s">
        <v>1323</v>
      </c>
      <c r="B1255" t="s">
        <v>39</v>
      </c>
      <c r="C1255">
        <v>24</v>
      </c>
      <c r="D1255" t="s">
        <v>31</v>
      </c>
      <c r="E1255" t="s">
        <v>22</v>
      </c>
      <c r="F1255" t="s">
        <v>65</v>
      </c>
      <c r="G1255" t="s">
        <v>33</v>
      </c>
      <c r="H1255" t="s">
        <v>34</v>
      </c>
      <c r="I1255" t="s">
        <v>26</v>
      </c>
      <c r="J1255" t="s">
        <v>27</v>
      </c>
      <c r="K1255">
        <v>12</v>
      </c>
      <c r="L1255">
        <v>80535</v>
      </c>
      <c r="M1255" t="s">
        <v>45</v>
      </c>
      <c r="N1255">
        <v>4</v>
      </c>
      <c r="O1255">
        <v>1</v>
      </c>
      <c r="P1255">
        <v>38</v>
      </c>
      <c r="Q1255">
        <v>1</v>
      </c>
      <c r="R1255" s="1">
        <v>40764</v>
      </c>
      <c r="S1255" t="s">
        <v>29</v>
      </c>
      <c r="T1255" t="str">
        <f t="shared" si="95"/>
        <v>Grade A</v>
      </c>
      <c r="U1255">
        <f t="shared" si="96"/>
        <v>2</v>
      </c>
      <c r="V1255" t="str">
        <f t="shared" si="97"/>
        <v>Senior</v>
      </c>
      <c r="W1255" t="str">
        <f t="shared" si="98"/>
        <v>Medium Risk</v>
      </c>
      <c r="X1255" t="str">
        <f t="shared" si="99"/>
        <v>Fair</v>
      </c>
    </row>
    <row r="1256" spans="1:24" x14ac:dyDescent="0.3">
      <c r="A1256" t="s">
        <v>1324</v>
      </c>
      <c r="B1256" t="s">
        <v>39</v>
      </c>
      <c r="C1256">
        <v>49</v>
      </c>
      <c r="D1256" t="s">
        <v>21</v>
      </c>
      <c r="E1256" t="s">
        <v>40</v>
      </c>
      <c r="F1256" t="s">
        <v>32</v>
      </c>
      <c r="G1256" t="s">
        <v>79</v>
      </c>
      <c r="H1256" t="s">
        <v>76</v>
      </c>
      <c r="I1256" t="s">
        <v>26</v>
      </c>
      <c r="J1256" t="s">
        <v>27</v>
      </c>
      <c r="K1256">
        <v>14</v>
      </c>
      <c r="L1256">
        <v>64587</v>
      </c>
      <c r="M1256" t="s">
        <v>51</v>
      </c>
      <c r="N1256">
        <v>4</v>
      </c>
      <c r="O1256">
        <v>2</v>
      </c>
      <c r="P1256">
        <v>18</v>
      </c>
      <c r="Q1256">
        <v>2</v>
      </c>
      <c r="R1256" s="1">
        <v>39853</v>
      </c>
      <c r="S1256" t="s">
        <v>29</v>
      </c>
      <c r="T1256" t="str">
        <f t="shared" si="95"/>
        <v>Grade B</v>
      </c>
      <c r="U1256">
        <f t="shared" si="96"/>
        <v>4</v>
      </c>
      <c r="V1256" t="str">
        <f t="shared" si="97"/>
        <v>Senior</v>
      </c>
      <c r="W1256" t="str">
        <f t="shared" si="98"/>
        <v>Low Risk</v>
      </c>
      <c r="X1256" t="str">
        <f t="shared" si="99"/>
        <v>Fair</v>
      </c>
    </row>
    <row r="1257" spans="1:24" x14ac:dyDescent="0.3">
      <c r="A1257" t="s">
        <v>1325</v>
      </c>
      <c r="B1257" t="s">
        <v>20</v>
      </c>
      <c r="C1257">
        <v>26</v>
      </c>
      <c r="D1257" t="s">
        <v>31</v>
      </c>
      <c r="E1257" t="s">
        <v>22</v>
      </c>
      <c r="F1257" t="s">
        <v>78</v>
      </c>
      <c r="G1257" t="s">
        <v>58</v>
      </c>
      <c r="H1257" t="s">
        <v>34</v>
      </c>
      <c r="I1257" t="s">
        <v>68</v>
      </c>
      <c r="J1257" t="s">
        <v>60</v>
      </c>
      <c r="K1257">
        <v>4</v>
      </c>
      <c r="L1257">
        <v>92346</v>
      </c>
      <c r="M1257" t="s">
        <v>36</v>
      </c>
      <c r="N1257">
        <v>1</v>
      </c>
      <c r="O1257">
        <v>4</v>
      </c>
      <c r="P1257">
        <v>49</v>
      </c>
      <c r="Q1257">
        <v>3</v>
      </c>
      <c r="R1257" s="1">
        <v>43738</v>
      </c>
      <c r="S1257" t="s">
        <v>37</v>
      </c>
      <c r="T1257" t="str">
        <f t="shared" si="95"/>
        <v>Grade A</v>
      </c>
      <c r="U1257">
        <f t="shared" si="96"/>
        <v>1</v>
      </c>
      <c r="V1257" t="str">
        <f t="shared" si="97"/>
        <v>Junior</v>
      </c>
      <c r="W1257" t="str">
        <f t="shared" si="98"/>
        <v>Already Left</v>
      </c>
      <c r="X1257" t="str">
        <f t="shared" si="99"/>
        <v>Overpaid</v>
      </c>
    </row>
    <row r="1258" spans="1:24" x14ac:dyDescent="0.3">
      <c r="A1258" t="s">
        <v>1326</v>
      </c>
      <c r="B1258" t="s">
        <v>39</v>
      </c>
      <c r="C1258">
        <v>44</v>
      </c>
      <c r="D1258" t="s">
        <v>57</v>
      </c>
      <c r="E1258" t="s">
        <v>40</v>
      </c>
      <c r="F1258" t="s">
        <v>32</v>
      </c>
      <c r="G1258" t="s">
        <v>58</v>
      </c>
      <c r="H1258" t="s">
        <v>25</v>
      </c>
      <c r="I1258" t="s">
        <v>72</v>
      </c>
      <c r="J1258" t="s">
        <v>73</v>
      </c>
      <c r="K1258">
        <v>8</v>
      </c>
      <c r="L1258">
        <v>94326</v>
      </c>
      <c r="M1258" t="s">
        <v>28</v>
      </c>
      <c r="N1258">
        <v>4</v>
      </c>
      <c r="O1258">
        <v>2</v>
      </c>
      <c r="P1258">
        <v>47</v>
      </c>
      <c r="Q1258">
        <v>2</v>
      </c>
      <c r="R1258" s="1">
        <v>42083</v>
      </c>
      <c r="S1258" t="s">
        <v>29</v>
      </c>
      <c r="T1258" t="str">
        <f t="shared" si="95"/>
        <v>Grade A</v>
      </c>
      <c r="U1258">
        <f t="shared" si="96"/>
        <v>3</v>
      </c>
      <c r="V1258" t="str">
        <f t="shared" si="97"/>
        <v>Mid Level</v>
      </c>
      <c r="W1258" t="str">
        <f t="shared" si="98"/>
        <v>Medium Risk</v>
      </c>
      <c r="X1258" t="str">
        <f t="shared" si="99"/>
        <v>Competitive</v>
      </c>
    </row>
    <row r="1259" spans="1:24" x14ac:dyDescent="0.3">
      <c r="A1259" t="s">
        <v>1327</v>
      </c>
      <c r="B1259" t="s">
        <v>39</v>
      </c>
      <c r="C1259">
        <v>41</v>
      </c>
      <c r="D1259" t="s">
        <v>47</v>
      </c>
      <c r="E1259" t="s">
        <v>22</v>
      </c>
      <c r="F1259" t="s">
        <v>78</v>
      </c>
      <c r="G1259" t="s">
        <v>63</v>
      </c>
      <c r="H1259" t="s">
        <v>83</v>
      </c>
      <c r="I1259" t="s">
        <v>43</v>
      </c>
      <c r="J1259" t="s">
        <v>44</v>
      </c>
      <c r="K1259">
        <v>8</v>
      </c>
      <c r="L1259">
        <v>56327</v>
      </c>
      <c r="M1259" t="s">
        <v>36</v>
      </c>
      <c r="N1259">
        <v>4</v>
      </c>
      <c r="O1259">
        <v>2</v>
      </c>
      <c r="P1259">
        <v>42</v>
      </c>
      <c r="Q1259">
        <v>3</v>
      </c>
      <c r="R1259" s="1">
        <v>42071</v>
      </c>
      <c r="S1259" t="s">
        <v>37</v>
      </c>
      <c r="T1259" t="str">
        <f t="shared" si="95"/>
        <v>Grade B</v>
      </c>
      <c r="U1259">
        <f t="shared" si="96"/>
        <v>1</v>
      </c>
      <c r="V1259" t="str">
        <f t="shared" si="97"/>
        <v>Mid Level</v>
      </c>
      <c r="W1259" t="str">
        <f t="shared" si="98"/>
        <v>Already Left</v>
      </c>
      <c r="X1259" t="str">
        <f t="shared" si="99"/>
        <v>Fair</v>
      </c>
    </row>
    <row r="1260" spans="1:24" x14ac:dyDescent="0.3">
      <c r="A1260" t="s">
        <v>1328</v>
      </c>
      <c r="B1260" t="s">
        <v>20</v>
      </c>
      <c r="C1260">
        <v>52</v>
      </c>
      <c r="D1260" t="s">
        <v>47</v>
      </c>
      <c r="E1260" t="s">
        <v>40</v>
      </c>
      <c r="F1260" t="s">
        <v>62</v>
      </c>
      <c r="G1260" t="s">
        <v>58</v>
      </c>
      <c r="H1260" t="s">
        <v>25</v>
      </c>
      <c r="I1260" t="s">
        <v>43</v>
      </c>
      <c r="J1260" t="s">
        <v>44</v>
      </c>
      <c r="K1260">
        <v>10</v>
      </c>
      <c r="L1260">
        <v>96210</v>
      </c>
      <c r="M1260" t="s">
        <v>51</v>
      </c>
      <c r="N1260">
        <v>1</v>
      </c>
      <c r="O1260">
        <v>2</v>
      </c>
      <c r="P1260">
        <v>53</v>
      </c>
      <c r="Q1260">
        <v>1</v>
      </c>
      <c r="R1260" s="1">
        <v>41618</v>
      </c>
      <c r="S1260" t="s">
        <v>37</v>
      </c>
      <c r="T1260" t="str">
        <f t="shared" si="95"/>
        <v>Grade A</v>
      </c>
      <c r="U1260">
        <f t="shared" si="96"/>
        <v>4</v>
      </c>
      <c r="V1260" t="str">
        <f t="shared" si="97"/>
        <v>Mid Level</v>
      </c>
      <c r="W1260" t="str">
        <f t="shared" si="98"/>
        <v>Already Left</v>
      </c>
      <c r="X1260" t="str">
        <f t="shared" si="99"/>
        <v>Competitive</v>
      </c>
    </row>
    <row r="1261" spans="1:24" x14ac:dyDescent="0.3">
      <c r="A1261" t="s">
        <v>1329</v>
      </c>
      <c r="B1261" t="s">
        <v>20</v>
      </c>
      <c r="C1261">
        <v>39</v>
      </c>
      <c r="D1261" t="s">
        <v>88</v>
      </c>
      <c r="E1261" t="s">
        <v>40</v>
      </c>
      <c r="F1261" t="s">
        <v>41</v>
      </c>
      <c r="G1261" t="s">
        <v>42</v>
      </c>
      <c r="H1261" t="s">
        <v>34</v>
      </c>
      <c r="I1261" t="s">
        <v>26</v>
      </c>
      <c r="J1261" t="s">
        <v>27</v>
      </c>
      <c r="K1261">
        <v>11</v>
      </c>
      <c r="L1261">
        <v>116420</v>
      </c>
      <c r="M1261" t="s">
        <v>36</v>
      </c>
      <c r="N1261">
        <v>3</v>
      </c>
      <c r="O1261">
        <v>4</v>
      </c>
      <c r="P1261">
        <v>57</v>
      </c>
      <c r="Q1261">
        <v>3</v>
      </c>
      <c r="R1261" s="1">
        <v>41127</v>
      </c>
      <c r="S1261" t="s">
        <v>29</v>
      </c>
      <c r="T1261" t="str">
        <f t="shared" si="95"/>
        <v>Grade A</v>
      </c>
      <c r="U1261">
        <f t="shared" si="96"/>
        <v>1</v>
      </c>
      <c r="V1261" t="str">
        <f t="shared" si="97"/>
        <v>Senior</v>
      </c>
      <c r="W1261" t="str">
        <f t="shared" si="98"/>
        <v>Medium Risk</v>
      </c>
      <c r="X1261" t="str">
        <f t="shared" si="99"/>
        <v>Overpaid</v>
      </c>
    </row>
    <row r="1262" spans="1:24" x14ac:dyDescent="0.3">
      <c r="A1262" t="s">
        <v>1330</v>
      </c>
      <c r="B1262" t="s">
        <v>39</v>
      </c>
      <c r="C1262">
        <v>25</v>
      </c>
      <c r="D1262" t="s">
        <v>47</v>
      </c>
      <c r="E1262" t="s">
        <v>22</v>
      </c>
      <c r="F1262" t="s">
        <v>65</v>
      </c>
      <c r="G1262" t="s">
        <v>66</v>
      </c>
      <c r="H1262" t="s">
        <v>76</v>
      </c>
      <c r="I1262" t="s">
        <v>68</v>
      </c>
      <c r="J1262" t="s">
        <v>60</v>
      </c>
      <c r="K1262">
        <v>11</v>
      </c>
      <c r="L1262">
        <v>64036</v>
      </c>
      <c r="M1262" t="s">
        <v>45</v>
      </c>
      <c r="N1262">
        <v>1</v>
      </c>
      <c r="O1262">
        <v>4</v>
      </c>
      <c r="P1262">
        <v>69</v>
      </c>
      <c r="Q1262">
        <v>0</v>
      </c>
      <c r="R1262" s="1">
        <v>41012</v>
      </c>
      <c r="S1262" t="s">
        <v>29</v>
      </c>
      <c r="T1262" t="str">
        <f t="shared" si="95"/>
        <v>Grade B</v>
      </c>
      <c r="U1262">
        <f t="shared" si="96"/>
        <v>2</v>
      </c>
      <c r="V1262" t="str">
        <f t="shared" si="97"/>
        <v>Senior</v>
      </c>
      <c r="W1262" t="str">
        <f t="shared" si="98"/>
        <v>Medium Risk</v>
      </c>
      <c r="X1262" t="str">
        <f t="shared" si="99"/>
        <v>Fair</v>
      </c>
    </row>
    <row r="1263" spans="1:24" x14ac:dyDescent="0.3">
      <c r="A1263" t="s">
        <v>1331</v>
      </c>
      <c r="B1263" t="s">
        <v>20</v>
      </c>
      <c r="C1263">
        <v>55</v>
      </c>
      <c r="D1263" t="s">
        <v>31</v>
      </c>
      <c r="E1263" t="s">
        <v>48</v>
      </c>
      <c r="F1263" t="s">
        <v>62</v>
      </c>
      <c r="G1263" t="s">
        <v>33</v>
      </c>
      <c r="H1263" t="s">
        <v>34</v>
      </c>
      <c r="I1263" t="s">
        <v>68</v>
      </c>
      <c r="J1263" t="s">
        <v>60</v>
      </c>
      <c r="K1263">
        <v>11</v>
      </c>
      <c r="L1263">
        <v>74685</v>
      </c>
      <c r="M1263" t="s">
        <v>28</v>
      </c>
      <c r="N1263">
        <v>3</v>
      </c>
      <c r="O1263">
        <v>1</v>
      </c>
      <c r="P1263">
        <v>44</v>
      </c>
      <c r="Q1263">
        <v>1</v>
      </c>
      <c r="R1263" s="1">
        <v>41270</v>
      </c>
      <c r="S1263" t="s">
        <v>29</v>
      </c>
      <c r="T1263" t="str">
        <f t="shared" si="95"/>
        <v>Grade B</v>
      </c>
      <c r="U1263">
        <f t="shared" si="96"/>
        <v>3</v>
      </c>
      <c r="V1263" t="str">
        <f t="shared" si="97"/>
        <v>Senior</v>
      </c>
      <c r="W1263" t="str">
        <f t="shared" si="98"/>
        <v>Medium Risk</v>
      </c>
      <c r="X1263" t="str">
        <f t="shared" si="99"/>
        <v>Competitive</v>
      </c>
    </row>
    <row r="1264" spans="1:24" x14ac:dyDescent="0.3">
      <c r="A1264" t="s">
        <v>1332</v>
      </c>
      <c r="B1264" t="s">
        <v>39</v>
      </c>
      <c r="C1264">
        <v>35</v>
      </c>
      <c r="D1264" t="s">
        <v>88</v>
      </c>
      <c r="E1264" t="s">
        <v>40</v>
      </c>
      <c r="F1264" t="s">
        <v>78</v>
      </c>
      <c r="G1264" t="s">
        <v>79</v>
      </c>
      <c r="H1264" t="s">
        <v>67</v>
      </c>
      <c r="I1264" t="s">
        <v>43</v>
      </c>
      <c r="J1264" t="s">
        <v>44</v>
      </c>
      <c r="K1264">
        <v>9</v>
      </c>
      <c r="L1264">
        <v>50719</v>
      </c>
      <c r="M1264" t="s">
        <v>36</v>
      </c>
      <c r="N1264">
        <v>3</v>
      </c>
      <c r="O1264">
        <v>4</v>
      </c>
      <c r="P1264">
        <v>78</v>
      </c>
      <c r="Q1264">
        <v>0</v>
      </c>
      <c r="R1264" s="1">
        <v>41896</v>
      </c>
      <c r="S1264" t="s">
        <v>29</v>
      </c>
      <c r="T1264" t="str">
        <f t="shared" si="95"/>
        <v>Grade B</v>
      </c>
      <c r="U1264">
        <f t="shared" si="96"/>
        <v>1</v>
      </c>
      <c r="V1264" t="str">
        <f t="shared" si="97"/>
        <v>Mid Level</v>
      </c>
      <c r="W1264" t="str">
        <f t="shared" si="98"/>
        <v>Medium Risk</v>
      </c>
      <c r="X1264" t="str">
        <f t="shared" si="99"/>
        <v>Fair</v>
      </c>
    </row>
    <row r="1265" spans="1:24" x14ac:dyDescent="0.3">
      <c r="A1265" t="s">
        <v>1333</v>
      </c>
      <c r="B1265" t="s">
        <v>39</v>
      </c>
      <c r="C1265">
        <v>32</v>
      </c>
      <c r="D1265" t="s">
        <v>21</v>
      </c>
      <c r="E1265" t="s">
        <v>48</v>
      </c>
      <c r="F1265" t="s">
        <v>32</v>
      </c>
      <c r="G1265" t="s">
        <v>79</v>
      </c>
      <c r="H1265" t="s">
        <v>34</v>
      </c>
      <c r="I1265" t="s">
        <v>26</v>
      </c>
      <c r="J1265" t="s">
        <v>27</v>
      </c>
      <c r="K1265">
        <v>14</v>
      </c>
      <c r="L1265">
        <v>67014</v>
      </c>
      <c r="M1265" t="s">
        <v>36</v>
      </c>
      <c r="N1265">
        <v>4</v>
      </c>
      <c r="O1265">
        <v>1</v>
      </c>
      <c r="P1265">
        <v>57</v>
      </c>
      <c r="Q1265">
        <v>2</v>
      </c>
      <c r="R1265" s="1">
        <v>40177</v>
      </c>
      <c r="S1265" t="s">
        <v>29</v>
      </c>
      <c r="T1265" t="str">
        <f t="shared" si="95"/>
        <v>Grade B</v>
      </c>
      <c r="U1265">
        <f t="shared" si="96"/>
        <v>1</v>
      </c>
      <c r="V1265" t="str">
        <f t="shared" si="97"/>
        <v>Senior</v>
      </c>
      <c r="W1265" t="str">
        <f t="shared" si="98"/>
        <v>Medium Risk</v>
      </c>
      <c r="X1265" t="str">
        <f t="shared" si="99"/>
        <v>Fair</v>
      </c>
    </row>
    <row r="1266" spans="1:24" x14ac:dyDescent="0.3">
      <c r="A1266" t="s">
        <v>1334</v>
      </c>
      <c r="B1266" t="s">
        <v>39</v>
      </c>
      <c r="C1266">
        <v>51</v>
      </c>
      <c r="D1266" t="s">
        <v>21</v>
      </c>
      <c r="E1266" t="s">
        <v>40</v>
      </c>
      <c r="F1266" t="s">
        <v>75</v>
      </c>
      <c r="G1266" t="s">
        <v>66</v>
      </c>
      <c r="H1266" t="s">
        <v>76</v>
      </c>
      <c r="I1266" t="s">
        <v>68</v>
      </c>
      <c r="J1266" t="s">
        <v>60</v>
      </c>
      <c r="K1266">
        <v>4</v>
      </c>
      <c r="L1266">
        <v>35930</v>
      </c>
      <c r="M1266" t="s">
        <v>28</v>
      </c>
      <c r="N1266">
        <v>3</v>
      </c>
      <c r="O1266">
        <v>2</v>
      </c>
      <c r="P1266">
        <v>26</v>
      </c>
      <c r="Q1266">
        <v>3</v>
      </c>
      <c r="R1266" s="1">
        <v>43574</v>
      </c>
      <c r="S1266" t="s">
        <v>29</v>
      </c>
      <c r="T1266" t="str">
        <f t="shared" si="95"/>
        <v>Grade C</v>
      </c>
      <c r="U1266">
        <f t="shared" si="96"/>
        <v>3</v>
      </c>
      <c r="V1266" t="str">
        <f t="shared" si="97"/>
        <v>Junior</v>
      </c>
      <c r="W1266" t="str">
        <f t="shared" si="98"/>
        <v>Medium Risk</v>
      </c>
      <c r="X1266" t="str">
        <f t="shared" si="99"/>
        <v>Fair</v>
      </c>
    </row>
    <row r="1267" spans="1:24" x14ac:dyDescent="0.3">
      <c r="A1267" t="s">
        <v>1335</v>
      </c>
      <c r="B1267" t="s">
        <v>39</v>
      </c>
      <c r="C1267">
        <v>52</v>
      </c>
      <c r="D1267" t="s">
        <v>31</v>
      </c>
      <c r="E1267" t="s">
        <v>22</v>
      </c>
      <c r="F1267" t="s">
        <v>41</v>
      </c>
      <c r="G1267" t="s">
        <v>79</v>
      </c>
      <c r="H1267" t="s">
        <v>83</v>
      </c>
      <c r="I1267" t="s">
        <v>50</v>
      </c>
      <c r="J1267" t="s">
        <v>44</v>
      </c>
      <c r="K1267">
        <v>13</v>
      </c>
      <c r="L1267">
        <v>56341</v>
      </c>
      <c r="M1267" t="s">
        <v>28</v>
      </c>
      <c r="N1267">
        <v>3</v>
      </c>
      <c r="O1267">
        <v>3</v>
      </c>
      <c r="P1267">
        <v>25</v>
      </c>
      <c r="Q1267">
        <v>1</v>
      </c>
      <c r="R1267" s="1">
        <v>40275</v>
      </c>
      <c r="S1267" t="s">
        <v>29</v>
      </c>
      <c r="T1267" t="str">
        <f t="shared" si="95"/>
        <v>Grade B</v>
      </c>
      <c r="U1267">
        <f t="shared" si="96"/>
        <v>3</v>
      </c>
      <c r="V1267" t="str">
        <f t="shared" si="97"/>
        <v>Senior</v>
      </c>
      <c r="W1267" t="str">
        <f t="shared" si="98"/>
        <v>Medium Risk</v>
      </c>
      <c r="X1267" t="str">
        <f t="shared" si="99"/>
        <v>Competitive</v>
      </c>
    </row>
    <row r="1268" spans="1:24" x14ac:dyDescent="0.3">
      <c r="A1268" t="s">
        <v>1336</v>
      </c>
      <c r="B1268" t="s">
        <v>39</v>
      </c>
      <c r="C1268">
        <v>24</v>
      </c>
      <c r="D1268" t="s">
        <v>31</v>
      </c>
      <c r="E1268" t="s">
        <v>48</v>
      </c>
      <c r="F1268" t="s">
        <v>23</v>
      </c>
      <c r="G1268" t="s">
        <v>66</v>
      </c>
      <c r="H1268" t="s">
        <v>34</v>
      </c>
      <c r="I1268" t="s">
        <v>43</v>
      </c>
      <c r="J1268" t="s">
        <v>44</v>
      </c>
      <c r="K1268">
        <v>12</v>
      </c>
      <c r="L1268">
        <v>66531</v>
      </c>
      <c r="M1268" t="s">
        <v>51</v>
      </c>
      <c r="N1268">
        <v>1</v>
      </c>
      <c r="O1268">
        <v>2</v>
      </c>
      <c r="P1268">
        <v>48</v>
      </c>
      <c r="Q1268">
        <v>1</v>
      </c>
      <c r="R1268" s="1">
        <v>40655</v>
      </c>
      <c r="S1268" t="s">
        <v>37</v>
      </c>
      <c r="T1268" t="str">
        <f t="shared" si="95"/>
        <v>Grade B</v>
      </c>
      <c r="U1268">
        <f t="shared" si="96"/>
        <v>4</v>
      </c>
      <c r="V1268" t="str">
        <f t="shared" si="97"/>
        <v>Senior</v>
      </c>
      <c r="W1268" t="str">
        <f t="shared" si="98"/>
        <v>Already Left</v>
      </c>
      <c r="X1268" t="str">
        <f t="shared" si="99"/>
        <v>Fair</v>
      </c>
    </row>
    <row r="1269" spans="1:24" x14ac:dyDescent="0.3">
      <c r="A1269" t="s">
        <v>1337</v>
      </c>
      <c r="B1269" t="s">
        <v>20</v>
      </c>
      <c r="C1269">
        <v>47</v>
      </c>
      <c r="D1269" t="s">
        <v>47</v>
      </c>
      <c r="E1269" t="s">
        <v>48</v>
      </c>
      <c r="F1269" t="s">
        <v>32</v>
      </c>
      <c r="G1269" t="s">
        <v>66</v>
      </c>
      <c r="H1269" t="s">
        <v>76</v>
      </c>
      <c r="I1269" t="s">
        <v>96</v>
      </c>
      <c r="J1269" t="s">
        <v>44</v>
      </c>
      <c r="K1269">
        <v>15</v>
      </c>
      <c r="L1269">
        <v>72397</v>
      </c>
      <c r="M1269" t="s">
        <v>51</v>
      </c>
      <c r="N1269">
        <v>1</v>
      </c>
      <c r="O1269">
        <v>2</v>
      </c>
      <c r="P1269">
        <v>54</v>
      </c>
      <c r="Q1269">
        <v>3</v>
      </c>
      <c r="R1269" s="1">
        <v>39712</v>
      </c>
      <c r="S1269" t="s">
        <v>29</v>
      </c>
      <c r="T1269" t="str">
        <f t="shared" si="95"/>
        <v>Grade B</v>
      </c>
      <c r="U1269">
        <f t="shared" si="96"/>
        <v>4</v>
      </c>
      <c r="V1269" t="str">
        <f t="shared" si="97"/>
        <v>Senior</v>
      </c>
      <c r="W1269" t="str">
        <f t="shared" si="98"/>
        <v>Low Risk</v>
      </c>
      <c r="X1269" t="str">
        <f t="shared" si="99"/>
        <v>Fair</v>
      </c>
    </row>
    <row r="1270" spans="1:24" x14ac:dyDescent="0.3">
      <c r="A1270" t="s">
        <v>1338</v>
      </c>
      <c r="B1270" t="s">
        <v>20</v>
      </c>
      <c r="C1270">
        <v>49</v>
      </c>
      <c r="D1270" t="s">
        <v>21</v>
      </c>
      <c r="E1270" t="s">
        <v>48</v>
      </c>
      <c r="F1270" t="s">
        <v>32</v>
      </c>
      <c r="G1270" t="s">
        <v>58</v>
      </c>
      <c r="H1270" t="s">
        <v>67</v>
      </c>
      <c r="I1270" t="s">
        <v>54</v>
      </c>
      <c r="J1270" t="s">
        <v>27</v>
      </c>
      <c r="K1270">
        <v>4</v>
      </c>
      <c r="L1270">
        <v>83233</v>
      </c>
      <c r="M1270" t="s">
        <v>45</v>
      </c>
      <c r="N1270">
        <v>3</v>
      </c>
      <c r="O1270">
        <v>4</v>
      </c>
      <c r="P1270">
        <v>41</v>
      </c>
      <c r="Q1270">
        <v>0</v>
      </c>
      <c r="R1270" s="1">
        <v>43554</v>
      </c>
      <c r="S1270" t="s">
        <v>29</v>
      </c>
      <c r="T1270" t="str">
        <f t="shared" si="95"/>
        <v>Grade A</v>
      </c>
      <c r="U1270">
        <f t="shared" si="96"/>
        <v>2</v>
      </c>
      <c r="V1270" t="str">
        <f t="shared" si="97"/>
        <v>Junior</v>
      </c>
      <c r="W1270" t="str">
        <f t="shared" si="98"/>
        <v>Medium Risk</v>
      </c>
      <c r="X1270" t="str">
        <f t="shared" si="99"/>
        <v>Fair</v>
      </c>
    </row>
    <row r="1271" spans="1:24" x14ac:dyDescent="0.3">
      <c r="A1271" t="s">
        <v>1339</v>
      </c>
      <c r="B1271" t="s">
        <v>20</v>
      </c>
      <c r="C1271">
        <v>29</v>
      </c>
      <c r="D1271" t="s">
        <v>21</v>
      </c>
      <c r="E1271" t="s">
        <v>48</v>
      </c>
      <c r="F1271" t="s">
        <v>75</v>
      </c>
      <c r="G1271" t="s">
        <v>33</v>
      </c>
      <c r="H1271" t="s">
        <v>76</v>
      </c>
      <c r="I1271" t="s">
        <v>72</v>
      </c>
      <c r="J1271" t="s">
        <v>73</v>
      </c>
      <c r="K1271">
        <v>10</v>
      </c>
      <c r="L1271">
        <v>88615</v>
      </c>
      <c r="M1271" t="s">
        <v>28</v>
      </c>
      <c r="N1271">
        <v>3</v>
      </c>
      <c r="O1271">
        <v>2</v>
      </c>
      <c r="P1271">
        <v>60</v>
      </c>
      <c r="Q1271">
        <v>0</v>
      </c>
      <c r="R1271" s="1">
        <v>41460</v>
      </c>
      <c r="S1271" t="s">
        <v>29</v>
      </c>
      <c r="T1271" t="str">
        <f t="shared" si="95"/>
        <v>Grade A</v>
      </c>
      <c r="U1271">
        <f t="shared" si="96"/>
        <v>3</v>
      </c>
      <c r="V1271" t="str">
        <f t="shared" si="97"/>
        <v>Mid Level</v>
      </c>
      <c r="W1271" t="str">
        <f t="shared" si="98"/>
        <v>Medium Risk</v>
      </c>
      <c r="X1271" t="str">
        <f t="shared" si="99"/>
        <v>Competitive</v>
      </c>
    </row>
    <row r="1272" spans="1:24" x14ac:dyDescent="0.3">
      <c r="A1272" t="s">
        <v>1340</v>
      </c>
      <c r="B1272" t="s">
        <v>20</v>
      </c>
      <c r="C1272">
        <v>46</v>
      </c>
      <c r="D1272" t="s">
        <v>57</v>
      </c>
      <c r="E1272" t="s">
        <v>22</v>
      </c>
      <c r="F1272" t="s">
        <v>32</v>
      </c>
      <c r="G1272" t="s">
        <v>33</v>
      </c>
      <c r="H1272" t="s">
        <v>76</v>
      </c>
      <c r="I1272" t="s">
        <v>68</v>
      </c>
      <c r="J1272" t="s">
        <v>60</v>
      </c>
      <c r="K1272">
        <v>3</v>
      </c>
      <c r="L1272">
        <v>56923</v>
      </c>
      <c r="M1272" t="s">
        <v>36</v>
      </c>
      <c r="N1272">
        <v>3</v>
      </c>
      <c r="O1272">
        <v>2</v>
      </c>
      <c r="P1272">
        <v>47</v>
      </c>
      <c r="Q1272">
        <v>1</v>
      </c>
      <c r="R1272" s="1">
        <v>43893</v>
      </c>
      <c r="S1272" t="s">
        <v>29</v>
      </c>
      <c r="T1272" t="str">
        <f t="shared" si="95"/>
        <v>Grade B</v>
      </c>
      <c r="U1272">
        <f t="shared" si="96"/>
        <v>1</v>
      </c>
      <c r="V1272" t="str">
        <f t="shared" si="97"/>
        <v>Junior</v>
      </c>
      <c r="W1272" t="str">
        <f t="shared" si="98"/>
        <v>Medium Risk</v>
      </c>
      <c r="X1272" t="str">
        <f t="shared" si="99"/>
        <v>Fair</v>
      </c>
    </row>
    <row r="1273" spans="1:24" x14ac:dyDescent="0.3">
      <c r="A1273" t="s">
        <v>1341</v>
      </c>
      <c r="B1273" t="s">
        <v>39</v>
      </c>
      <c r="C1273">
        <v>51</v>
      </c>
      <c r="D1273" t="s">
        <v>31</v>
      </c>
      <c r="E1273" t="s">
        <v>40</v>
      </c>
      <c r="F1273" t="s">
        <v>41</v>
      </c>
      <c r="G1273" t="s">
        <v>79</v>
      </c>
      <c r="H1273" t="s">
        <v>76</v>
      </c>
      <c r="I1273" t="s">
        <v>35</v>
      </c>
      <c r="J1273" t="s">
        <v>27</v>
      </c>
      <c r="K1273">
        <v>5</v>
      </c>
      <c r="L1273">
        <v>53507</v>
      </c>
      <c r="M1273" t="s">
        <v>45</v>
      </c>
      <c r="N1273">
        <v>2</v>
      </c>
      <c r="O1273">
        <v>3</v>
      </c>
      <c r="P1273">
        <v>78</v>
      </c>
      <c r="Q1273">
        <v>2</v>
      </c>
      <c r="R1273" s="1">
        <v>43450</v>
      </c>
      <c r="S1273" t="s">
        <v>37</v>
      </c>
      <c r="T1273" t="str">
        <f t="shared" si="95"/>
        <v>Grade B</v>
      </c>
      <c r="U1273">
        <f t="shared" si="96"/>
        <v>2</v>
      </c>
      <c r="V1273" t="str">
        <f t="shared" si="97"/>
        <v>Junior</v>
      </c>
      <c r="W1273" t="str">
        <f t="shared" si="98"/>
        <v>Already Left</v>
      </c>
      <c r="X1273" t="str">
        <f t="shared" si="99"/>
        <v>Fair</v>
      </c>
    </row>
    <row r="1274" spans="1:24" x14ac:dyDescent="0.3">
      <c r="A1274" t="s">
        <v>1342</v>
      </c>
      <c r="B1274" t="s">
        <v>39</v>
      </c>
      <c r="C1274">
        <v>30</v>
      </c>
      <c r="D1274" t="s">
        <v>57</v>
      </c>
      <c r="E1274" t="s">
        <v>22</v>
      </c>
      <c r="F1274" t="s">
        <v>62</v>
      </c>
      <c r="G1274" t="s">
        <v>58</v>
      </c>
      <c r="H1274" t="s">
        <v>83</v>
      </c>
      <c r="I1274" t="s">
        <v>43</v>
      </c>
      <c r="J1274" t="s">
        <v>44</v>
      </c>
      <c r="K1274">
        <v>2</v>
      </c>
      <c r="L1274">
        <v>85190</v>
      </c>
      <c r="M1274" t="s">
        <v>45</v>
      </c>
      <c r="N1274">
        <v>1</v>
      </c>
      <c r="O1274">
        <v>3</v>
      </c>
      <c r="P1274">
        <v>28</v>
      </c>
      <c r="Q1274">
        <v>3</v>
      </c>
      <c r="R1274" s="1">
        <v>44283</v>
      </c>
      <c r="S1274" t="s">
        <v>29</v>
      </c>
      <c r="T1274" t="str">
        <f t="shared" si="95"/>
        <v>Grade A</v>
      </c>
      <c r="U1274">
        <f t="shared" si="96"/>
        <v>2</v>
      </c>
      <c r="V1274" t="str">
        <f t="shared" si="97"/>
        <v>New Joiner</v>
      </c>
      <c r="W1274" t="str">
        <f t="shared" si="98"/>
        <v>Medium Risk</v>
      </c>
      <c r="X1274" t="str">
        <f t="shared" si="99"/>
        <v>Fair</v>
      </c>
    </row>
    <row r="1275" spans="1:24" x14ac:dyDescent="0.3">
      <c r="A1275" t="s">
        <v>1343</v>
      </c>
      <c r="B1275" t="s">
        <v>20</v>
      </c>
      <c r="C1275">
        <v>51</v>
      </c>
      <c r="D1275" t="s">
        <v>21</v>
      </c>
      <c r="E1275" t="s">
        <v>40</v>
      </c>
      <c r="F1275" t="s">
        <v>32</v>
      </c>
      <c r="G1275" t="s">
        <v>79</v>
      </c>
      <c r="H1275" t="s">
        <v>76</v>
      </c>
      <c r="I1275" t="s">
        <v>43</v>
      </c>
      <c r="J1275" t="s">
        <v>44</v>
      </c>
      <c r="K1275">
        <v>15</v>
      </c>
      <c r="L1275">
        <v>68627</v>
      </c>
      <c r="M1275" t="s">
        <v>28</v>
      </c>
      <c r="N1275">
        <v>2</v>
      </c>
      <c r="O1275">
        <v>3</v>
      </c>
      <c r="P1275">
        <v>37</v>
      </c>
      <c r="Q1275">
        <v>0</v>
      </c>
      <c r="R1275" s="1">
        <v>39471</v>
      </c>
      <c r="S1275" t="s">
        <v>29</v>
      </c>
      <c r="T1275" t="str">
        <f t="shared" si="95"/>
        <v>Grade B</v>
      </c>
      <c r="U1275">
        <f t="shared" si="96"/>
        <v>3</v>
      </c>
      <c r="V1275" t="str">
        <f t="shared" si="97"/>
        <v>Senior</v>
      </c>
      <c r="W1275" t="str">
        <f t="shared" si="98"/>
        <v>Medium Risk</v>
      </c>
      <c r="X1275" t="str">
        <f t="shared" si="99"/>
        <v>Competitive</v>
      </c>
    </row>
    <row r="1276" spans="1:24" x14ac:dyDescent="0.3">
      <c r="A1276" t="s">
        <v>1344</v>
      </c>
      <c r="B1276" t="s">
        <v>39</v>
      </c>
      <c r="C1276">
        <v>33</v>
      </c>
      <c r="D1276" t="s">
        <v>47</v>
      </c>
      <c r="E1276" t="s">
        <v>40</v>
      </c>
      <c r="F1276" t="s">
        <v>75</v>
      </c>
      <c r="G1276" t="s">
        <v>33</v>
      </c>
      <c r="H1276" t="s">
        <v>34</v>
      </c>
      <c r="I1276" t="s">
        <v>54</v>
      </c>
      <c r="J1276" t="s">
        <v>27</v>
      </c>
      <c r="K1276">
        <v>7</v>
      </c>
      <c r="L1276">
        <v>77177</v>
      </c>
      <c r="M1276" t="s">
        <v>51</v>
      </c>
      <c r="N1276">
        <v>3</v>
      </c>
      <c r="O1276">
        <v>4</v>
      </c>
      <c r="P1276">
        <v>44</v>
      </c>
      <c r="Q1276">
        <v>2</v>
      </c>
      <c r="R1276" s="1">
        <v>42382</v>
      </c>
      <c r="S1276" t="s">
        <v>29</v>
      </c>
      <c r="T1276" t="str">
        <f t="shared" si="95"/>
        <v>Grade B</v>
      </c>
      <c r="U1276">
        <f t="shared" si="96"/>
        <v>4</v>
      </c>
      <c r="V1276" t="str">
        <f t="shared" si="97"/>
        <v>Mid Level</v>
      </c>
      <c r="W1276" t="str">
        <f t="shared" si="98"/>
        <v>Low Risk</v>
      </c>
      <c r="X1276" t="str">
        <f t="shared" si="99"/>
        <v>Fair</v>
      </c>
    </row>
    <row r="1277" spans="1:24" x14ac:dyDescent="0.3">
      <c r="A1277" t="s">
        <v>1345</v>
      </c>
      <c r="B1277" t="s">
        <v>20</v>
      </c>
      <c r="C1277">
        <v>39</v>
      </c>
      <c r="D1277" t="s">
        <v>47</v>
      </c>
      <c r="E1277" t="s">
        <v>22</v>
      </c>
      <c r="F1277" t="s">
        <v>41</v>
      </c>
      <c r="G1277" t="s">
        <v>33</v>
      </c>
      <c r="H1277" t="s">
        <v>67</v>
      </c>
      <c r="I1277" t="s">
        <v>72</v>
      </c>
      <c r="J1277" t="s">
        <v>73</v>
      </c>
      <c r="K1277">
        <v>9</v>
      </c>
      <c r="L1277">
        <v>72449</v>
      </c>
      <c r="M1277" t="s">
        <v>45</v>
      </c>
      <c r="N1277">
        <v>4</v>
      </c>
      <c r="O1277">
        <v>1</v>
      </c>
      <c r="P1277">
        <v>23</v>
      </c>
      <c r="Q1277">
        <v>3</v>
      </c>
      <c r="R1277" s="1">
        <v>41944</v>
      </c>
      <c r="S1277" t="s">
        <v>29</v>
      </c>
      <c r="T1277" t="str">
        <f t="shared" si="95"/>
        <v>Grade B</v>
      </c>
      <c r="U1277">
        <f t="shared" si="96"/>
        <v>2</v>
      </c>
      <c r="V1277" t="str">
        <f t="shared" si="97"/>
        <v>Mid Level</v>
      </c>
      <c r="W1277" t="str">
        <f t="shared" si="98"/>
        <v>Medium Risk</v>
      </c>
      <c r="X1277" t="str">
        <f t="shared" si="99"/>
        <v>Fair</v>
      </c>
    </row>
    <row r="1278" spans="1:24" x14ac:dyDescent="0.3">
      <c r="A1278" t="s">
        <v>1346</v>
      </c>
      <c r="B1278" t="s">
        <v>20</v>
      </c>
      <c r="C1278">
        <v>50</v>
      </c>
      <c r="D1278" t="s">
        <v>31</v>
      </c>
      <c r="E1278" t="s">
        <v>40</v>
      </c>
      <c r="F1278" t="s">
        <v>23</v>
      </c>
      <c r="G1278" t="s">
        <v>79</v>
      </c>
      <c r="H1278" t="s">
        <v>67</v>
      </c>
      <c r="I1278" t="s">
        <v>80</v>
      </c>
      <c r="J1278" t="s">
        <v>60</v>
      </c>
      <c r="K1278">
        <v>4</v>
      </c>
      <c r="L1278">
        <v>54621</v>
      </c>
      <c r="M1278" t="s">
        <v>45</v>
      </c>
      <c r="N1278">
        <v>2</v>
      </c>
      <c r="O1278">
        <v>2</v>
      </c>
      <c r="P1278">
        <v>37</v>
      </c>
      <c r="Q1278">
        <v>3</v>
      </c>
      <c r="R1278" s="1">
        <v>43727</v>
      </c>
      <c r="S1278" t="s">
        <v>29</v>
      </c>
      <c r="T1278" t="str">
        <f t="shared" si="95"/>
        <v>Grade B</v>
      </c>
      <c r="U1278">
        <f t="shared" si="96"/>
        <v>2</v>
      </c>
      <c r="V1278" t="str">
        <f t="shared" si="97"/>
        <v>Junior</v>
      </c>
      <c r="W1278" t="str">
        <f t="shared" si="98"/>
        <v>Medium Risk</v>
      </c>
      <c r="X1278" t="str">
        <f t="shared" si="99"/>
        <v>Fair</v>
      </c>
    </row>
    <row r="1279" spans="1:24" x14ac:dyDescent="0.3">
      <c r="A1279" t="s">
        <v>1347</v>
      </c>
      <c r="B1279" t="s">
        <v>39</v>
      </c>
      <c r="C1279">
        <v>29</v>
      </c>
      <c r="D1279" t="s">
        <v>31</v>
      </c>
      <c r="E1279" t="s">
        <v>22</v>
      </c>
      <c r="F1279" t="s">
        <v>78</v>
      </c>
      <c r="G1279" t="s">
        <v>42</v>
      </c>
      <c r="H1279" t="s">
        <v>76</v>
      </c>
      <c r="I1279" t="s">
        <v>80</v>
      </c>
      <c r="J1279" t="s">
        <v>60</v>
      </c>
      <c r="K1279">
        <v>14</v>
      </c>
      <c r="L1279">
        <v>116089</v>
      </c>
      <c r="M1279" t="s">
        <v>51</v>
      </c>
      <c r="N1279">
        <v>4</v>
      </c>
      <c r="O1279">
        <v>1</v>
      </c>
      <c r="P1279">
        <v>33</v>
      </c>
      <c r="Q1279">
        <v>1</v>
      </c>
      <c r="R1279" s="1">
        <v>40178</v>
      </c>
      <c r="S1279" t="s">
        <v>29</v>
      </c>
      <c r="T1279" t="str">
        <f t="shared" si="95"/>
        <v>Grade A</v>
      </c>
      <c r="U1279">
        <f t="shared" si="96"/>
        <v>4</v>
      </c>
      <c r="V1279" t="str">
        <f t="shared" si="97"/>
        <v>Senior</v>
      </c>
      <c r="W1279" t="str">
        <f t="shared" si="98"/>
        <v>Low Risk</v>
      </c>
      <c r="X1279" t="str">
        <f t="shared" si="99"/>
        <v>Competitive</v>
      </c>
    </row>
    <row r="1280" spans="1:24" x14ac:dyDescent="0.3">
      <c r="A1280" t="s">
        <v>1348</v>
      </c>
      <c r="B1280" t="s">
        <v>39</v>
      </c>
      <c r="C1280">
        <v>36</v>
      </c>
      <c r="D1280" t="s">
        <v>21</v>
      </c>
      <c r="E1280" t="s">
        <v>40</v>
      </c>
      <c r="F1280" t="s">
        <v>53</v>
      </c>
      <c r="G1280" t="s">
        <v>24</v>
      </c>
      <c r="H1280" t="s">
        <v>25</v>
      </c>
      <c r="I1280" t="s">
        <v>43</v>
      </c>
      <c r="J1280" t="s">
        <v>44</v>
      </c>
      <c r="K1280">
        <v>13</v>
      </c>
      <c r="L1280">
        <v>92294</v>
      </c>
      <c r="M1280" t="s">
        <v>45</v>
      </c>
      <c r="N1280">
        <v>1</v>
      </c>
      <c r="O1280">
        <v>3</v>
      </c>
      <c r="P1280">
        <v>67</v>
      </c>
      <c r="Q1280">
        <v>3</v>
      </c>
      <c r="R1280" s="1">
        <v>40513</v>
      </c>
      <c r="S1280" t="s">
        <v>29</v>
      </c>
      <c r="T1280" t="str">
        <f t="shared" si="95"/>
        <v>Grade A</v>
      </c>
      <c r="U1280">
        <f t="shared" si="96"/>
        <v>2</v>
      </c>
      <c r="V1280" t="str">
        <f t="shared" si="97"/>
        <v>Senior</v>
      </c>
      <c r="W1280" t="str">
        <f t="shared" si="98"/>
        <v>Medium Risk</v>
      </c>
      <c r="X1280" t="str">
        <f t="shared" si="99"/>
        <v>Fair</v>
      </c>
    </row>
    <row r="1281" spans="1:24" x14ac:dyDescent="0.3">
      <c r="A1281" t="s">
        <v>1349</v>
      </c>
      <c r="B1281" t="s">
        <v>20</v>
      </c>
      <c r="C1281">
        <v>28</v>
      </c>
      <c r="D1281" t="s">
        <v>88</v>
      </c>
      <c r="E1281" t="s">
        <v>22</v>
      </c>
      <c r="F1281" t="s">
        <v>23</v>
      </c>
      <c r="G1281" t="s">
        <v>58</v>
      </c>
      <c r="H1281" t="s">
        <v>25</v>
      </c>
      <c r="I1281" t="s">
        <v>68</v>
      </c>
      <c r="J1281" t="s">
        <v>60</v>
      </c>
      <c r="K1281">
        <v>2</v>
      </c>
      <c r="L1281">
        <v>80854</v>
      </c>
      <c r="M1281" t="s">
        <v>45</v>
      </c>
      <c r="N1281">
        <v>2</v>
      </c>
      <c r="O1281">
        <v>3</v>
      </c>
      <c r="P1281">
        <v>57</v>
      </c>
      <c r="Q1281">
        <v>1</v>
      </c>
      <c r="R1281" s="1">
        <v>44209</v>
      </c>
      <c r="S1281" t="s">
        <v>29</v>
      </c>
      <c r="T1281" t="str">
        <f t="shared" si="95"/>
        <v>Grade A</v>
      </c>
      <c r="U1281">
        <f t="shared" si="96"/>
        <v>2</v>
      </c>
      <c r="V1281" t="str">
        <f t="shared" si="97"/>
        <v>New Joiner</v>
      </c>
      <c r="W1281" t="str">
        <f t="shared" si="98"/>
        <v>Medium Risk</v>
      </c>
      <c r="X1281" t="str">
        <f t="shared" si="99"/>
        <v>Fair</v>
      </c>
    </row>
    <row r="1282" spans="1:24" x14ac:dyDescent="0.3">
      <c r="A1282" t="s">
        <v>1350</v>
      </c>
      <c r="B1282" t="s">
        <v>20</v>
      </c>
      <c r="C1282">
        <v>23</v>
      </c>
      <c r="D1282" t="s">
        <v>88</v>
      </c>
      <c r="E1282" t="s">
        <v>40</v>
      </c>
      <c r="F1282" t="s">
        <v>41</v>
      </c>
      <c r="G1282" t="s">
        <v>42</v>
      </c>
      <c r="H1282" t="s">
        <v>83</v>
      </c>
      <c r="I1282" t="s">
        <v>35</v>
      </c>
      <c r="J1282" t="s">
        <v>27</v>
      </c>
      <c r="K1282">
        <v>12</v>
      </c>
      <c r="L1282">
        <v>112237</v>
      </c>
      <c r="M1282" t="s">
        <v>36</v>
      </c>
      <c r="N1282">
        <v>4</v>
      </c>
      <c r="O1282">
        <v>2</v>
      </c>
      <c r="P1282">
        <v>59</v>
      </c>
      <c r="Q1282">
        <v>2</v>
      </c>
      <c r="R1282" s="1">
        <v>40771</v>
      </c>
      <c r="S1282" t="s">
        <v>37</v>
      </c>
      <c r="T1282" t="str">
        <f t="shared" ref="T1282:T1345" si="100">IF(L1282&gt;=80000,"Grade A",IF(L1282&gt;=50000,"Grade B",IF(L1282&gt;=35000,"Grade C","Grade D")))</f>
        <v>Grade A</v>
      </c>
      <c r="U1282">
        <f t="shared" ref="U1282:U1345" si="101">IF(M1282="Excellent",4,IF(M1282="Good",3,IF(M1282="Average",2,1)))</f>
        <v>1</v>
      </c>
      <c r="V1282" t="str">
        <f t="shared" ref="V1282:V1345" si="102">IF(K1282&lt;=2,"New Joiner",IF(K1282&lt;=5,"Junior",IF(K1282&lt;=10,"Mid Level","Senior")))</f>
        <v>Senior</v>
      </c>
      <c r="W1282" t="str">
        <f t="shared" ref="W1282:W1345" si="103">IF(S1282="Yes","Already Left",IF(AND(K1282&lt;=2,M1282="Poor"),"High Risk",IF(AND(K1282&lt;=5,M1282="Average"),"Medium Risk",IF(M1282="Excellent","Low Risk","Medium Risk"))))</f>
        <v>Already Left</v>
      </c>
      <c r="X1282" t="str">
        <f t="shared" ref="X1282:X1345" si="104">IF(AND(L1282&gt;=80000,M1282="Excellent"),"Competitive",IF(AND(L1282&gt;=50000,M1282="Good"),"Competitive",IF(AND(L1282&lt;35000,M1282="Excellent"),"Underpaid",IF(AND(L1282&gt;=80000,M1282="Poor"),"Overpaid","Fair"))))</f>
        <v>Overpaid</v>
      </c>
    </row>
    <row r="1283" spans="1:24" x14ac:dyDescent="0.3">
      <c r="A1283" t="s">
        <v>1351</v>
      </c>
      <c r="B1283" t="s">
        <v>39</v>
      </c>
      <c r="C1283">
        <v>33</v>
      </c>
      <c r="D1283" t="s">
        <v>31</v>
      </c>
      <c r="E1283" t="s">
        <v>22</v>
      </c>
      <c r="F1283" t="s">
        <v>75</v>
      </c>
      <c r="G1283" t="s">
        <v>66</v>
      </c>
      <c r="H1283" t="s">
        <v>67</v>
      </c>
      <c r="I1283" t="s">
        <v>54</v>
      </c>
      <c r="J1283" t="s">
        <v>27</v>
      </c>
      <c r="K1283">
        <v>3</v>
      </c>
      <c r="L1283">
        <v>33560</v>
      </c>
      <c r="M1283" t="s">
        <v>28</v>
      </c>
      <c r="N1283">
        <v>3</v>
      </c>
      <c r="O1283">
        <v>2</v>
      </c>
      <c r="P1283">
        <v>32</v>
      </c>
      <c r="Q1283">
        <v>3</v>
      </c>
      <c r="R1283" s="1">
        <v>44045</v>
      </c>
      <c r="S1283" t="s">
        <v>29</v>
      </c>
      <c r="T1283" t="str">
        <f t="shared" si="100"/>
        <v>Grade D</v>
      </c>
      <c r="U1283">
        <f t="shared" si="101"/>
        <v>3</v>
      </c>
      <c r="V1283" t="str">
        <f t="shared" si="102"/>
        <v>Junior</v>
      </c>
      <c r="W1283" t="str">
        <f t="shared" si="103"/>
        <v>Medium Risk</v>
      </c>
      <c r="X1283" t="str">
        <f t="shared" si="104"/>
        <v>Fair</v>
      </c>
    </row>
    <row r="1284" spans="1:24" x14ac:dyDescent="0.3">
      <c r="A1284" t="s">
        <v>1352</v>
      </c>
      <c r="B1284" t="s">
        <v>20</v>
      </c>
      <c r="C1284">
        <v>28</v>
      </c>
      <c r="D1284" t="s">
        <v>57</v>
      </c>
      <c r="E1284" t="s">
        <v>22</v>
      </c>
      <c r="F1284" t="s">
        <v>41</v>
      </c>
      <c r="G1284" t="s">
        <v>49</v>
      </c>
      <c r="H1284" t="s">
        <v>34</v>
      </c>
      <c r="I1284" t="s">
        <v>26</v>
      </c>
      <c r="J1284" t="s">
        <v>27</v>
      </c>
      <c r="K1284">
        <v>1</v>
      </c>
      <c r="L1284">
        <v>52009</v>
      </c>
      <c r="M1284" t="s">
        <v>51</v>
      </c>
      <c r="N1284">
        <v>1</v>
      </c>
      <c r="O1284">
        <v>4</v>
      </c>
      <c r="P1284">
        <v>11</v>
      </c>
      <c r="Q1284">
        <v>1</v>
      </c>
      <c r="R1284" s="1">
        <v>44658</v>
      </c>
      <c r="S1284" t="s">
        <v>29</v>
      </c>
      <c r="T1284" t="str">
        <f t="shared" si="100"/>
        <v>Grade B</v>
      </c>
      <c r="U1284">
        <f t="shared" si="101"/>
        <v>4</v>
      </c>
      <c r="V1284" t="str">
        <f t="shared" si="102"/>
        <v>New Joiner</v>
      </c>
      <c r="W1284" t="str">
        <f t="shared" si="103"/>
        <v>Low Risk</v>
      </c>
      <c r="X1284" t="str">
        <f t="shared" si="104"/>
        <v>Fair</v>
      </c>
    </row>
    <row r="1285" spans="1:24" x14ac:dyDescent="0.3">
      <c r="A1285" t="s">
        <v>1353</v>
      </c>
      <c r="B1285" t="s">
        <v>20</v>
      </c>
      <c r="C1285">
        <v>37</v>
      </c>
      <c r="D1285" t="s">
        <v>57</v>
      </c>
      <c r="E1285" t="s">
        <v>48</v>
      </c>
      <c r="F1285" t="s">
        <v>75</v>
      </c>
      <c r="G1285" t="s">
        <v>24</v>
      </c>
      <c r="H1285" t="s">
        <v>76</v>
      </c>
      <c r="I1285" t="s">
        <v>35</v>
      </c>
      <c r="J1285" t="s">
        <v>27</v>
      </c>
      <c r="K1285">
        <v>1</v>
      </c>
      <c r="L1285">
        <v>68151</v>
      </c>
      <c r="M1285" t="s">
        <v>28</v>
      </c>
      <c r="N1285">
        <v>2</v>
      </c>
      <c r="O1285">
        <v>1</v>
      </c>
      <c r="P1285">
        <v>56</v>
      </c>
      <c r="Q1285">
        <v>1</v>
      </c>
      <c r="R1285" s="1">
        <v>44623</v>
      </c>
      <c r="S1285" t="s">
        <v>37</v>
      </c>
      <c r="T1285" t="str">
        <f t="shared" si="100"/>
        <v>Grade B</v>
      </c>
      <c r="U1285">
        <f t="shared" si="101"/>
        <v>3</v>
      </c>
      <c r="V1285" t="str">
        <f t="shared" si="102"/>
        <v>New Joiner</v>
      </c>
      <c r="W1285" t="str">
        <f t="shared" si="103"/>
        <v>Already Left</v>
      </c>
      <c r="X1285" t="str">
        <f t="shared" si="104"/>
        <v>Competitive</v>
      </c>
    </row>
    <row r="1286" spans="1:24" x14ac:dyDescent="0.3">
      <c r="A1286" t="s">
        <v>1354</v>
      </c>
      <c r="B1286" t="s">
        <v>39</v>
      </c>
      <c r="C1286">
        <v>28</v>
      </c>
      <c r="D1286" t="s">
        <v>57</v>
      </c>
      <c r="E1286" t="s">
        <v>22</v>
      </c>
      <c r="F1286" t="s">
        <v>23</v>
      </c>
      <c r="G1286" t="s">
        <v>33</v>
      </c>
      <c r="H1286" t="s">
        <v>83</v>
      </c>
      <c r="I1286" t="s">
        <v>43</v>
      </c>
      <c r="J1286" t="s">
        <v>44</v>
      </c>
      <c r="K1286">
        <v>8</v>
      </c>
      <c r="L1286">
        <v>85821</v>
      </c>
      <c r="M1286" t="s">
        <v>45</v>
      </c>
      <c r="N1286">
        <v>2</v>
      </c>
      <c r="O1286">
        <v>3</v>
      </c>
      <c r="P1286">
        <v>11</v>
      </c>
      <c r="Q1286">
        <v>0</v>
      </c>
      <c r="R1286" s="1">
        <v>42357</v>
      </c>
      <c r="S1286" t="s">
        <v>29</v>
      </c>
      <c r="T1286" t="str">
        <f t="shared" si="100"/>
        <v>Grade A</v>
      </c>
      <c r="U1286">
        <f t="shared" si="101"/>
        <v>2</v>
      </c>
      <c r="V1286" t="str">
        <f t="shared" si="102"/>
        <v>Mid Level</v>
      </c>
      <c r="W1286" t="str">
        <f t="shared" si="103"/>
        <v>Medium Risk</v>
      </c>
      <c r="X1286" t="str">
        <f t="shared" si="104"/>
        <v>Fair</v>
      </c>
    </row>
    <row r="1287" spans="1:24" x14ac:dyDescent="0.3">
      <c r="A1287" t="s">
        <v>1355</v>
      </c>
      <c r="B1287" t="s">
        <v>39</v>
      </c>
      <c r="C1287">
        <v>28</v>
      </c>
      <c r="D1287" t="s">
        <v>47</v>
      </c>
      <c r="E1287" t="s">
        <v>40</v>
      </c>
      <c r="F1287" t="s">
        <v>32</v>
      </c>
      <c r="G1287" t="s">
        <v>49</v>
      </c>
      <c r="H1287" t="s">
        <v>34</v>
      </c>
      <c r="I1287" t="s">
        <v>96</v>
      </c>
      <c r="J1287" t="s">
        <v>44</v>
      </c>
      <c r="K1287">
        <v>2</v>
      </c>
      <c r="L1287">
        <v>45134</v>
      </c>
      <c r="M1287" t="s">
        <v>36</v>
      </c>
      <c r="N1287">
        <v>4</v>
      </c>
      <c r="O1287">
        <v>1</v>
      </c>
      <c r="P1287">
        <v>75</v>
      </c>
      <c r="Q1287">
        <v>3</v>
      </c>
      <c r="R1287" s="1">
        <v>44480</v>
      </c>
      <c r="S1287" t="s">
        <v>37</v>
      </c>
      <c r="T1287" t="str">
        <f t="shared" si="100"/>
        <v>Grade C</v>
      </c>
      <c r="U1287">
        <f t="shared" si="101"/>
        <v>1</v>
      </c>
      <c r="V1287" t="str">
        <f t="shared" si="102"/>
        <v>New Joiner</v>
      </c>
      <c r="W1287" t="str">
        <f t="shared" si="103"/>
        <v>Already Left</v>
      </c>
      <c r="X1287" t="str">
        <f t="shared" si="104"/>
        <v>Fair</v>
      </c>
    </row>
    <row r="1288" spans="1:24" x14ac:dyDescent="0.3">
      <c r="A1288" t="s">
        <v>1356</v>
      </c>
      <c r="B1288" t="s">
        <v>20</v>
      </c>
      <c r="C1288">
        <v>48</v>
      </c>
      <c r="D1288" t="s">
        <v>21</v>
      </c>
      <c r="E1288" t="s">
        <v>48</v>
      </c>
      <c r="F1288" t="s">
        <v>75</v>
      </c>
      <c r="G1288" t="s">
        <v>79</v>
      </c>
      <c r="H1288" t="s">
        <v>76</v>
      </c>
      <c r="I1288" t="s">
        <v>26</v>
      </c>
      <c r="J1288" t="s">
        <v>27</v>
      </c>
      <c r="K1288">
        <v>3</v>
      </c>
      <c r="L1288">
        <v>36817</v>
      </c>
      <c r="M1288" t="s">
        <v>28</v>
      </c>
      <c r="N1288">
        <v>1</v>
      </c>
      <c r="O1288">
        <v>2</v>
      </c>
      <c r="P1288">
        <v>80</v>
      </c>
      <c r="Q1288">
        <v>0</v>
      </c>
      <c r="R1288" s="1">
        <v>44036</v>
      </c>
      <c r="S1288" t="s">
        <v>29</v>
      </c>
      <c r="T1288" t="str">
        <f t="shared" si="100"/>
        <v>Grade C</v>
      </c>
      <c r="U1288">
        <f t="shared" si="101"/>
        <v>3</v>
      </c>
      <c r="V1288" t="str">
        <f t="shared" si="102"/>
        <v>Junior</v>
      </c>
      <c r="W1288" t="str">
        <f t="shared" si="103"/>
        <v>Medium Risk</v>
      </c>
      <c r="X1288" t="str">
        <f t="shared" si="104"/>
        <v>Fair</v>
      </c>
    </row>
    <row r="1289" spans="1:24" x14ac:dyDescent="0.3">
      <c r="A1289" t="s">
        <v>1357</v>
      </c>
      <c r="B1289" t="s">
        <v>39</v>
      </c>
      <c r="C1289">
        <v>41</v>
      </c>
      <c r="D1289" t="s">
        <v>31</v>
      </c>
      <c r="E1289" t="s">
        <v>22</v>
      </c>
      <c r="F1289" t="s">
        <v>23</v>
      </c>
      <c r="G1289" t="s">
        <v>49</v>
      </c>
      <c r="H1289" t="s">
        <v>76</v>
      </c>
      <c r="I1289" t="s">
        <v>96</v>
      </c>
      <c r="J1289" t="s">
        <v>44</v>
      </c>
      <c r="K1289">
        <v>5</v>
      </c>
      <c r="L1289">
        <v>63338</v>
      </c>
      <c r="M1289" t="s">
        <v>45</v>
      </c>
      <c r="N1289">
        <v>2</v>
      </c>
      <c r="O1289">
        <v>3</v>
      </c>
      <c r="P1289">
        <v>28</v>
      </c>
      <c r="Q1289">
        <v>0</v>
      </c>
      <c r="R1289" s="1">
        <v>43393</v>
      </c>
      <c r="S1289" t="s">
        <v>37</v>
      </c>
      <c r="T1289" t="str">
        <f t="shared" si="100"/>
        <v>Grade B</v>
      </c>
      <c r="U1289">
        <f t="shared" si="101"/>
        <v>2</v>
      </c>
      <c r="V1289" t="str">
        <f t="shared" si="102"/>
        <v>Junior</v>
      </c>
      <c r="W1289" t="str">
        <f t="shared" si="103"/>
        <v>Already Left</v>
      </c>
      <c r="X1289" t="str">
        <f t="shared" si="104"/>
        <v>Fair</v>
      </c>
    </row>
    <row r="1290" spans="1:24" x14ac:dyDescent="0.3">
      <c r="A1290" t="s">
        <v>1358</v>
      </c>
      <c r="B1290" t="s">
        <v>39</v>
      </c>
      <c r="C1290">
        <v>23</v>
      </c>
      <c r="D1290" t="s">
        <v>88</v>
      </c>
      <c r="E1290" t="s">
        <v>48</v>
      </c>
      <c r="F1290" t="s">
        <v>23</v>
      </c>
      <c r="G1290" t="s">
        <v>49</v>
      </c>
      <c r="H1290" t="s">
        <v>67</v>
      </c>
      <c r="I1290" t="s">
        <v>43</v>
      </c>
      <c r="J1290" t="s">
        <v>44</v>
      </c>
      <c r="K1290">
        <v>3</v>
      </c>
      <c r="L1290">
        <v>65258</v>
      </c>
      <c r="M1290" t="s">
        <v>45</v>
      </c>
      <c r="N1290">
        <v>3</v>
      </c>
      <c r="O1290">
        <v>4</v>
      </c>
      <c r="P1290">
        <v>70</v>
      </c>
      <c r="Q1290">
        <v>1</v>
      </c>
      <c r="R1290" s="1">
        <v>44155</v>
      </c>
      <c r="S1290" t="s">
        <v>29</v>
      </c>
      <c r="T1290" t="str">
        <f t="shared" si="100"/>
        <v>Grade B</v>
      </c>
      <c r="U1290">
        <f t="shared" si="101"/>
        <v>2</v>
      </c>
      <c r="V1290" t="str">
        <f t="shared" si="102"/>
        <v>Junior</v>
      </c>
      <c r="W1290" t="str">
        <f t="shared" si="103"/>
        <v>Medium Risk</v>
      </c>
      <c r="X1290" t="str">
        <f t="shared" si="104"/>
        <v>Fair</v>
      </c>
    </row>
    <row r="1291" spans="1:24" x14ac:dyDescent="0.3">
      <c r="A1291" t="s">
        <v>1359</v>
      </c>
      <c r="B1291" t="s">
        <v>39</v>
      </c>
      <c r="C1291">
        <v>52</v>
      </c>
      <c r="D1291" t="s">
        <v>57</v>
      </c>
      <c r="E1291" t="s">
        <v>22</v>
      </c>
      <c r="F1291" t="s">
        <v>23</v>
      </c>
      <c r="G1291" t="s">
        <v>66</v>
      </c>
      <c r="H1291" t="s">
        <v>67</v>
      </c>
      <c r="I1291" t="s">
        <v>43</v>
      </c>
      <c r="J1291" t="s">
        <v>44</v>
      </c>
      <c r="K1291">
        <v>7</v>
      </c>
      <c r="L1291">
        <v>49348</v>
      </c>
      <c r="M1291" t="s">
        <v>28</v>
      </c>
      <c r="N1291">
        <v>4</v>
      </c>
      <c r="O1291">
        <v>3</v>
      </c>
      <c r="P1291">
        <v>13</v>
      </c>
      <c r="Q1291">
        <v>1</v>
      </c>
      <c r="R1291" s="1">
        <v>42622</v>
      </c>
      <c r="S1291" t="s">
        <v>37</v>
      </c>
      <c r="T1291" t="str">
        <f t="shared" si="100"/>
        <v>Grade C</v>
      </c>
      <c r="U1291">
        <f t="shared" si="101"/>
        <v>3</v>
      </c>
      <c r="V1291" t="str">
        <f t="shared" si="102"/>
        <v>Mid Level</v>
      </c>
      <c r="W1291" t="str">
        <f t="shared" si="103"/>
        <v>Already Left</v>
      </c>
      <c r="X1291" t="str">
        <f t="shared" si="104"/>
        <v>Fair</v>
      </c>
    </row>
    <row r="1292" spans="1:24" x14ac:dyDescent="0.3">
      <c r="A1292" t="s">
        <v>1360</v>
      </c>
      <c r="B1292" t="s">
        <v>39</v>
      </c>
      <c r="C1292">
        <v>29</v>
      </c>
      <c r="D1292" t="s">
        <v>31</v>
      </c>
      <c r="E1292" t="s">
        <v>40</v>
      </c>
      <c r="F1292" t="s">
        <v>65</v>
      </c>
      <c r="G1292" t="s">
        <v>63</v>
      </c>
      <c r="H1292" t="s">
        <v>25</v>
      </c>
      <c r="I1292" t="s">
        <v>80</v>
      </c>
      <c r="J1292" t="s">
        <v>60</v>
      </c>
      <c r="K1292">
        <v>2</v>
      </c>
      <c r="L1292">
        <v>40214</v>
      </c>
      <c r="M1292" t="s">
        <v>45</v>
      </c>
      <c r="N1292">
        <v>1</v>
      </c>
      <c r="O1292">
        <v>2</v>
      </c>
      <c r="P1292">
        <v>65</v>
      </c>
      <c r="Q1292">
        <v>3</v>
      </c>
      <c r="R1292" s="1">
        <v>44508</v>
      </c>
      <c r="S1292" t="s">
        <v>29</v>
      </c>
      <c r="T1292" t="str">
        <f t="shared" si="100"/>
        <v>Grade C</v>
      </c>
      <c r="U1292">
        <f t="shared" si="101"/>
        <v>2</v>
      </c>
      <c r="V1292" t="str">
        <f t="shared" si="102"/>
        <v>New Joiner</v>
      </c>
      <c r="W1292" t="str">
        <f t="shared" si="103"/>
        <v>Medium Risk</v>
      </c>
      <c r="X1292" t="str">
        <f t="shared" si="104"/>
        <v>Fair</v>
      </c>
    </row>
    <row r="1293" spans="1:24" x14ac:dyDescent="0.3">
      <c r="A1293" t="s">
        <v>1361</v>
      </c>
      <c r="B1293" t="s">
        <v>20</v>
      </c>
      <c r="C1293">
        <v>46</v>
      </c>
      <c r="D1293" t="s">
        <v>21</v>
      </c>
      <c r="E1293" t="s">
        <v>22</v>
      </c>
      <c r="F1293" t="s">
        <v>75</v>
      </c>
      <c r="G1293" t="s">
        <v>63</v>
      </c>
      <c r="H1293" t="s">
        <v>25</v>
      </c>
      <c r="I1293" t="s">
        <v>80</v>
      </c>
      <c r="J1293" t="s">
        <v>60</v>
      </c>
      <c r="K1293">
        <v>9</v>
      </c>
      <c r="L1293">
        <v>69832</v>
      </c>
      <c r="M1293" t="s">
        <v>36</v>
      </c>
      <c r="N1293">
        <v>3</v>
      </c>
      <c r="O1293">
        <v>3</v>
      </c>
      <c r="P1293">
        <v>68</v>
      </c>
      <c r="Q1293">
        <v>2</v>
      </c>
      <c r="R1293" s="1">
        <v>41898</v>
      </c>
      <c r="S1293" t="s">
        <v>37</v>
      </c>
      <c r="T1293" t="str">
        <f t="shared" si="100"/>
        <v>Grade B</v>
      </c>
      <c r="U1293">
        <f t="shared" si="101"/>
        <v>1</v>
      </c>
      <c r="V1293" t="str">
        <f t="shared" si="102"/>
        <v>Mid Level</v>
      </c>
      <c r="W1293" t="str">
        <f t="shared" si="103"/>
        <v>Already Left</v>
      </c>
      <c r="X1293" t="str">
        <f t="shared" si="104"/>
        <v>Fair</v>
      </c>
    </row>
    <row r="1294" spans="1:24" x14ac:dyDescent="0.3">
      <c r="A1294" t="s">
        <v>1362</v>
      </c>
      <c r="B1294" t="s">
        <v>20</v>
      </c>
      <c r="C1294">
        <v>30</v>
      </c>
      <c r="D1294" t="s">
        <v>21</v>
      </c>
      <c r="E1294" t="s">
        <v>48</v>
      </c>
      <c r="F1294" t="s">
        <v>32</v>
      </c>
      <c r="G1294" t="s">
        <v>79</v>
      </c>
      <c r="H1294" t="s">
        <v>76</v>
      </c>
      <c r="I1294" t="s">
        <v>50</v>
      </c>
      <c r="J1294" t="s">
        <v>44</v>
      </c>
      <c r="K1294">
        <v>10</v>
      </c>
      <c r="L1294">
        <v>68739</v>
      </c>
      <c r="M1294" t="s">
        <v>51</v>
      </c>
      <c r="N1294">
        <v>3</v>
      </c>
      <c r="O1294">
        <v>1</v>
      </c>
      <c r="P1294">
        <v>16</v>
      </c>
      <c r="Q1294">
        <v>3</v>
      </c>
      <c r="R1294" s="1">
        <v>41391</v>
      </c>
      <c r="S1294" t="s">
        <v>37</v>
      </c>
      <c r="T1294" t="str">
        <f t="shared" si="100"/>
        <v>Grade B</v>
      </c>
      <c r="U1294">
        <f t="shared" si="101"/>
        <v>4</v>
      </c>
      <c r="V1294" t="str">
        <f t="shared" si="102"/>
        <v>Mid Level</v>
      </c>
      <c r="W1294" t="str">
        <f t="shared" si="103"/>
        <v>Already Left</v>
      </c>
      <c r="X1294" t="str">
        <f t="shared" si="104"/>
        <v>Fair</v>
      </c>
    </row>
    <row r="1295" spans="1:24" x14ac:dyDescent="0.3">
      <c r="A1295" t="s">
        <v>1363</v>
      </c>
      <c r="B1295" t="s">
        <v>20</v>
      </c>
      <c r="C1295">
        <v>54</v>
      </c>
      <c r="D1295" t="s">
        <v>57</v>
      </c>
      <c r="E1295" t="s">
        <v>48</v>
      </c>
      <c r="F1295" t="s">
        <v>32</v>
      </c>
      <c r="G1295" t="s">
        <v>49</v>
      </c>
      <c r="H1295" t="s">
        <v>76</v>
      </c>
      <c r="I1295" t="s">
        <v>54</v>
      </c>
      <c r="J1295" t="s">
        <v>27</v>
      </c>
      <c r="K1295">
        <v>14</v>
      </c>
      <c r="L1295">
        <v>78683</v>
      </c>
      <c r="M1295" t="s">
        <v>28</v>
      </c>
      <c r="N1295">
        <v>4</v>
      </c>
      <c r="O1295">
        <v>1</v>
      </c>
      <c r="P1295">
        <v>74</v>
      </c>
      <c r="Q1295">
        <v>1</v>
      </c>
      <c r="R1295" s="1">
        <v>40040</v>
      </c>
      <c r="S1295" t="s">
        <v>29</v>
      </c>
      <c r="T1295" t="str">
        <f t="shared" si="100"/>
        <v>Grade B</v>
      </c>
      <c r="U1295">
        <f t="shared" si="101"/>
        <v>3</v>
      </c>
      <c r="V1295" t="str">
        <f t="shared" si="102"/>
        <v>Senior</v>
      </c>
      <c r="W1295" t="str">
        <f t="shared" si="103"/>
        <v>Medium Risk</v>
      </c>
      <c r="X1295" t="str">
        <f t="shared" si="104"/>
        <v>Competitive</v>
      </c>
    </row>
    <row r="1296" spans="1:24" x14ac:dyDescent="0.3">
      <c r="A1296" t="s">
        <v>1364</v>
      </c>
      <c r="B1296" t="s">
        <v>39</v>
      </c>
      <c r="C1296">
        <v>32</v>
      </c>
      <c r="D1296" t="s">
        <v>21</v>
      </c>
      <c r="E1296" t="s">
        <v>22</v>
      </c>
      <c r="F1296" t="s">
        <v>32</v>
      </c>
      <c r="G1296" t="s">
        <v>42</v>
      </c>
      <c r="H1296" t="s">
        <v>34</v>
      </c>
      <c r="I1296" t="s">
        <v>26</v>
      </c>
      <c r="J1296" t="s">
        <v>27</v>
      </c>
      <c r="K1296">
        <v>6</v>
      </c>
      <c r="L1296">
        <v>111145</v>
      </c>
      <c r="M1296" t="s">
        <v>36</v>
      </c>
      <c r="N1296">
        <v>2</v>
      </c>
      <c r="O1296">
        <v>4</v>
      </c>
      <c r="P1296">
        <v>28</v>
      </c>
      <c r="Q1296">
        <v>0</v>
      </c>
      <c r="R1296" s="1">
        <v>42737</v>
      </c>
      <c r="S1296" t="s">
        <v>37</v>
      </c>
      <c r="T1296" t="str">
        <f t="shared" si="100"/>
        <v>Grade A</v>
      </c>
      <c r="U1296">
        <f t="shared" si="101"/>
        <v>1</v>
      </c>
      <c r="V1296" t="str">
        <f t="shared" si="102"/>
        <v>Mid Level</v>
      </c>
      <c r="W1296" t="str">
        <f t="shared" si="103"/>
        <v>Already Left</v>
      </c>
      <c r="X1296" t="str">
        <f t="shared" si="104"/>
        <v>Overpaid</v>
      </c>
    </row>
    <row r="1297" spans="1:24" x14ac:dyDescent="0.3">
      <c r="A1297" t="s">
        <v>1365</v>
      </c>
      <c r="B1297" t="s">
        <v>39</v>
      </c>
      <c r="C1297">
        <v>55</v>
      </c>
      <c r="D1297" t="s">
        <v>57</v>
      </c>
      <c r="E1297" t="s">
        <v>22</v>
      </c>
      <c r="F1297" t="s">
        <v>65</v>
      </c>
      <c r="G1297" t="s">
        <v>49</v>
      </c>
      <c r="H1297" t="s">
        <v>83</v>
      </c>
      <c r="I1297" t="s">
        <v>72</v>
      </c>
      <c r="J1297" t="s">
        <v>73</v>
      </c>
      <c r="K1297">
        <v>13</v>
      </c>
      <c r="L1297">
        <v>66064</v>
      </c>
      <c r="M1297" t="s">
        <v>28</v>
      </c>
      <c r="N1297">
        <v>3</v>
      </c>
      <c r="O1297">
        <v>4</v>
      </c>
      <c r="P1297">
        <v>68</v>
      </c>
      <c r="Q1297">
        <v>1</v>
      </c>
      <c r="R1297" s="1">
        <v>40537</v>
      </c>
      <c r="S1297" t="s">
        <v>37</v>
      </c>
      <c r="T1297" t="str">
        <f t="shared" si="100"/>
        <v>Grade B</v>
      </c>
      <c r="U1297">
        <f t="shared" si="101"/>
        <v>3</v>
      </c>
      <c r="V1297" t="str">
        <f t="shared" si="102"/>
        <v>Senior</v>
      </c>
      <c r="W1297" t="str">
        <f t="shared" si="103"/>
        <v>Already Left</v>
      </c>
      <c r="X1297" t="str">
        <f t="shared" si="104"/>
        <v>Competitive</v>
      </c>
    </row>
    <row r="1298" spans="1:24" x14ac:dyDescent="0.3">
      <c r="A1298" t="s">
        <v>1366</v>
      </c>
      <c r="B1298" t="s">
        <v>20</v>
      </c>
      <c r="C1298">
        <v>22</v>
      </c>
      <c r="D1298" t="s">
        <v>21</v>
      </c>
      <c r="E1298" t="s">
        <v>40</v>
      </c>
      <c r="F1298" t="s">
        <v>41</v>
      </c>
      <c r="G1298" t="s">
        <v>79</v>
      </c>
      <c r="H1298" t="s">
        <v>34</v>
      </c>
      <c r="I1298" t="s">
        <v>54</v>
      </c>
      <c r="J1298" t="s">
        <v>27</v>
      </c>
      <c r="K1298">
        <v>1</v>
      </c>
      <c r="L1298">
        <v>35975</v>
      </c>
      <c r="M1298" t="s">
        <v>51</v>
      </c>
      <c r="N1298">
        <v>1</v>
      </c>
      <c r="O1298">
        <v>4</v>
      </c>
      <c r="P1298">
        <v>29</v>
      </c>
      <c r="Q1298">
        <v>1</v>
      </c>
      <c r="R1298" s="1">
        <v>44867</v>
      </c>
      <c r="S1298" t="s">
        <v>29</v>
      </c>
      <c r="T1298" t="str">
        <f t="shared" si="100"/>
        <v>Grade C</v>
      </c>
      <c r="U1298">
        <f t="shared" si="101"/>
        <v>4</v>
      </c>
      <c r="V1298" t="str">
        <f t="shared" si="102"/>
        <v>New Joiner</v>
      </c>
      <c r="W1298" t="str">
        <f t="shared" si="103"/>
        <v>Low Risk</v>
      </c>
      <c r="X1298" t="str">
        <f t="shared" si="104"/>
        <v>Fair</v>
      </c>
    </row>
    <row r="1299" spans="1:24" x14ac:dyDescent="0.3">
      <c r="A1299" t="s">
        <v>1367</v>
      </c>
      <c r="B1299" t="s">
        <v>20</v>
      </c>
      <c r="C1299">
        <v>41</v>
      </c>
      <c r="D1299" t="s">
        <v>88</v>
      </c>
      <c r="E1299" t="s">
        <v>22</v>
      </c>
      <c r="F1299" t="s">
        <v>78</v>
      </c>
      <c r="G1299" t="s">
        <v>33</v>
      </c>
      <c r="H1299" t="s">
        <v>67</v>
      </c>
      <c r="I1299" t="s">
        <v>68</v>
      </c>
      <c r="J1299" t="s">
        <v>60</v>
      </c>
      <c r="K1299">
        <v>12</v>
      </c>
      <c r="L1299">
        <v>75465</v>
      </c>
      <c r="M1299" t="s">
        <v>36</v>
      </c>
      <c r="N1299">
        <v>4</v>
      </c>
      <c r="O1299">
        <v>4</v>
      </c>
      <c r="P1299">
        <v>43</v>
      </c>
      <c r="Q1299">
        <v>3</v>
      </c>
      <c r="R1299" s="1">
        <v>40635</v>
      </c>
      <c r="S1299" t="s">
        <v>37</v>
      </c>
      <c r="T1299" t="str">
        <f t="shared" si="100"/>
        <v>Grade B</v>
      </c>
      <c r="U1299">
        <f t="shared" si="101"/>
        <v>1</v>
      </c>
      <c r="V1299" t="str">
        <f t="shared" si="102"/>
        <v>Senior</v>
      </c>
      <c r="W1299" t="str">
        <f t="shared" si="103"/>
        <v>Already Left</v>
      </c>
      <c r="X1299" t="str">
        <f t="shared" si="104"/>
        <v>Fair</v>
      </c>
    </row>
    <row r="1300" spans="1:24" x14ac:dyDescent="0.3">
      <c r="A1300" t="s">
        <v>1368</v>
      </c>
      <c r="B1300" t="s">
        <v>39</v>
      </c>
      <c r="C1300">
        <v>28</v>
      </c>
      <c r="D1300" t="s">
        <v>47</v>
      </c>
      <c r="E1300" t="s">
        <v>48</v>
      </c>
      <c r="F1300" t="s">
        <v>23</v>
      </c>
      <c r="G1300" t="s">
        <v>42</v>
      </c>
      <c r="H1300" t="s">
        <v>83</v>
      </c>
      <c r="I1300" t="s">
        <v>59</v>
      </c>
      <c r="J1300" t="s">
        <v>60</v>
      </c>
      <c r="K1300">
        <v>15</v>
      </c>
      <c r="L1300">
        <v>122180</v>
      </c>
      <c r="M1300" t="s">
        <v>51</v>
      </c>
      <c r="N1300">
        <v>1</v>
      </c>
      <c r="O1300">
        <v>1</v>
      </c>
      <c r="P1300">
        <v>76</v>
      </c>
      <c r="Q1300">
        <v>0</v>
      </c>
      <c r="R1300" s="1">
        <v>39595</v>
      </c>
      <c r="S1300" t="s">
        <v>29</v>
      </c>
      <c r="T1300" t="str">
        <f t="shared" si="100"/>
        <v>Grade A</v>
      </c>
      <c r="U1300">
        <f t="shared" si="101"/>
        <v>4</v>
      </c>
      <c r="V1300" t="str">
        <f t="shared" si="102"/>
        <v>Senior</v>
      </c>
      <c r="W1300" t="str">
        <f t="shared" si="103"/>
        <v>Low Risk</v>
      </c>
      <c r="X1300" t="str">
        <f t="shared" si="104"/>
        <v>Competitive</v>
      </c>
    </row>
    <row r="1301" spans="1:24" x14ac:dyDescent="0.3">
      <c r="A1301" t="s">
        <v>1369</v>
      </c>
      <c r="B1301" t="s">
        <v>20</v>
      </c>
      <c r="C1301">
        <v>31</v>
      </c>
      <c r="D1301" t="s">
        <v>21</v>
      </c>
      <c r="E1301" t="s">
        <v>22</v>
      </c>
      <c r="F1301" t="s">
        <v>41</v>
      </c>
      <c r="G1301" t="s">
        <v>42</v>
      </c>
      <c r="H1301" t="s">
        <v>34</v>
      </c>
      <c r="I1301" t="s">
        <v>72</v>
      </c>
      <c r="J1301" t="s">
        <v>73</v>
      </c>
      <c r="K1301">
        <v>12</v>
      </c>
      <c r="L1301">
        <v>119804</v>
      </c>
      <c r="M1301" t="s">
        <v>45</v>
      </c>
      <c r="N1301">
        <v>3</v>
      </c>
      <c r="O1301">
        <v>1</v>
      </c>
      <c r="P1301">
        <v>18</v>
      </c>
      <c r="Q1301">
        <v>2</v>
      </c>
      <c r="R1301" s="1">
        <v>40840</v>
      </c>
      <c r="S1301" t="s">
        <v>29</v>
      </c>
      <c r="T1301" t="str">
        <f t="shared" si="100"/>
        <v>Grade A</v>
      </c>
      <c r="U1301">
        <f t="shared" si="101"/>
        <v>2</v>
      </c>
      <c r="V1301" t="str">
        <f t="shared" si="102"/>
        <v>Senior</v>
      </c>
      <c r="W1301" t="str">
        <f t="shared" si="103"/>
        <v>Medium Risk</v>
      </c>
      <c r="X1301" t="str">
        <f t="shared" si="104"/>
        <v>Fair</v>
      </c>
    </row>
    <row r="1302" spans="1:24" x14ac:dyDescent="0.3">
      <c r="A1302" t="s">
        <v>1370</v>
      </c>
      <c r="B1302" t="s">
        <v>20</v>
      </c>
      <c r="C1302">
        <v>38</v>
      </c>
      <c r="D1302" t="s">
        <v>31</v>
      </c>
      <c r="E1302" t="s">
        <v>40</v>
      </c>
      <c r="F1302" t="s">
        <v>65</v>
      </c>
      <c r="G1302" t="s">
        <v>63</v>
      </c>
      <c r="H1302" t="s">
        <v>67</v>
      </c>
      <c r="I1302" t="s">
        <v>59</v>
      </c>
      <c r="J1302" t="s">
        <v>60</v>
      </c>
      <c r="K1302">
        <v>7</v>
      </c>
      <c r="L1302">
        <v>49982</v>
      </c>
      <c r="M1302" t="s">
        <v>45</v>
      </c>
      <c r="N1302">
        <v>3</v>
      </c>
      <c r="O1302">
        <v>4</v>
      </c>
      <c r="P1302">
        <v>65</v>
      </c>
      <c r="Q1302">
        <v>3</v>
      </c>
      <c r="R1302" s="1">
        <v>42573</v>
      </c>
      <c r="S1302" t="s">
        <v>29</v>
      </c>
      <c r="T1302" t="str">
        <f t="shared" si="100"/>
        <v>Grade C</v>
      </c>
      <c r="U1302">
        <f t="shared" si="101"/>
        <v>2</v>
      </c>
      <c r="V1302" t="str">
        <f t="shared" si="102"/>
        <v>Mid Level</v>
      </c>
      <c r="W1302" t="str">
        <f t="shared" si="103"/>
        <v>Medium Risk</v>
      </c>
      <c r="X1302" t="str">
        <f t="shared" si="104"/>
        <v>Fair</v>
      </c>
    </row>
    <row r="1303" spans="1:24" x14ac:dyDescent="0.3">
      <c r="A1303" t="s">
        <v>1371</v>
      </c>
      <c r="B1303" t="s">
        <v>39</v>
      </c>
      <c r="C1303">
        <v>54</v>
      </c>
      <c r="D1303" t="s">
        <v>47</v>
      </c>
      <c r="E1303" t="s">
        <v>22</v>
      </c>
      <c r="F1303" t="s">
        <v>23</v>
      </c>
      <c r="G1303" t="s">
        <v>24</v>
      </c>
      <c r="H1303" t="s">
        <v>83</v>
      </c>
      <c r="I1303" t="s">
        <v>68</v>
      </c>
      <c r="J1303" t="s">
        <v>60</v>
      </c>
      <c r="K1303">
        <v>9</v>
      </c>
      <c r="L1303">
        <v>91748</v>
      </c>
      <c r="M1303" t="s">
        <v>51</v>
      </c>
      <c r="N1303">
        <v>2</v>
      </c>
      <c r="O1303">
        <v>4</v>
      </c>
      <c r="P1303">
        <v>46</v>
      </c>
      <c r="Q1303">
        <v>0</v>
      </c>
      <c r="R1303" s="1">
        <v>41936</v>
      </c>
      <c r="S1303" t="s">
        <v>37</v>
      </c>
      <c r="T1303" t="str">
        <f t="shared" si="100"/>
        <v>Grade A</v>
      </c>
      <c r="U1303">
        <f t="shared" si="101"/>
        <v>4</v>
      </c>
      <c r="V1303" t="str">
        <f t="shared" si="102"/>
        <v>Mid Level</v>
      </c>
      <c r="W1303" t="str">
        <f t="shared" si="103"/>
        <v>Already Left</v>
      </c>
      <c r="X1303" t="str">
        <f t="shared" si="104"/>
        <v>Competitive</v>
      </c>
    </row>
    <row r="1304" spans="1:24" x14ac:dyDescent="0.3">
      <c r="A1304" t="s">
        <v>1372</v>
      </c>
      <c r="B1304" t="s">
        <v>20</v>
      </c>
      <c r="C1304">
        <v>42</v>
      </c>
      <c r="D1304" t="s">
        <v>47</v>
      </c>
      <c r="E1304" t="s">
        <v>48</v>
      </c>
      <c r="F1304" t="s">
        <v>75</v>
      </c>
      <c r="G1304" t="s">
        <v>66</v>
      </c>
      <c r="H1304" t="s">
        <v>67</v>
      </c>
      <c r="I1304" t="s">
        <v>68</v>
      </c>
      <c r="J1304" t="s">
        <v>60</v>
      </c>
      <c r="K1304">
        <v>9</v>
      </c>
      <c r="L1304">
        <v>59410</v>
      </c>
      <c r="M1304" t="s">
        <v>51</v>
      </c>
      <c r="N1304">
        <v>2</v>
      </c>
      <c r="O1304">
        <v>3</v>
      </c>
      <c r="P1304">
        <v>34</v>
      </c>
      <c r="Q1304">
        <v>3</v>
      </c>
      <c r="R1304" s="1">
        <v>41753</v>
      </c>
      <c r="S1304" t="s">
        <v>37</v>
      </c>
      <c r="T1304" t="str">
        <f t="shared" si="100"/>
        <v>Grade B</v>
      </c>
      <c r="U1304">
        <f t="shared" si="101"/>
        <v>4</v>
      </c>
      <c r="V1304" t="str">
        <f t="shared" si="102"/>
        <v>Mid Level</v>
      </c>
      <c r="W1304" t="str">
        <f t="shared" si="103"/>
        <v>Already Left</v>
      </c>
      <c r="X1304" t="str">
        <f t="shared" si="104"/>
        <v>Fair</v>
      </c>
    </row>
    <row r="1305" spans="1:24" x14ac:dyDescent="0.3">
      <c r="A1305" t="s">
        <v>1373</v>
      </c>
      <c r="B1305" t="s">
        <v>39</v>
      </c>
      <c r="C1305">
        <v>28</v>
      </c>
      <c r="D1305" t="s">
        <v>88</v>
      </c>
      <c r="E1305" t="s">
        <v>22</v>
      </c>
      <c r="F1305" t="s">
        <v>53</v>
      </c>
      <c r="G1305" t="s">
        <v>58</v>
      </c>
      <c r="H1305" t="s">
        <v>67</v>
      </c>
      <c r="I1305" t="s">
        <v>80</v>
      </c>
      <c r="J1305" t="s">
        <v>60</v>
      </c>
      <c r="K1305">
        <v>8</v>
      </c>
      <c r="L1305">
        <v>91275</v>
      </c>
      <c r="M1305" t="s">
        <v>45</v>
      </c>
      <c r="N1305">
        <v>3</v>
      </c>
      <c r="O1305">
        <v>1</v>
      </c>
      <c r="P1305">
        <v>80</v>
      </c>
      <c r="Q1305">
        <v>0</v>
      </c>
      <c r="R1305" s="1">
        <v>42328</v>
      </c>
      <c r="S1305" t="s">
        <v>29</v>
      </c>
      <c r="T1305" t="str">
        <f t="shared" si="100"/>
        <v>Grade A</v>
      </c>
      <c r="U1305">
        <f t="shared" si="101"/>
        <v>2</v>
      </c>
      <c r="V1305" t="str">
        <f t="shared" si="102"/>
        <v>Mid Level</v>
      </c>
      <c r="W1305" t="str">
        <f t="shared" si="103"/>
        <v>Medium Risk</v>
      </c>
      <c r="X1305" t="str">
        <f t="shared" si="104"/>
        <v>Fair</v>
      </c>
    </row>
    <row r="1306" spans="1:24" x14ac:dyDescent="0.3">
      <c r="A1306" t="s">
        <v>1374</v>
      </c>
      <c r="B1306" t="s">
        <v>39</v>
      </c>
      <c r="C1306">
        <v>25</v>
      </c>
      <c r="D1306" t="s">
        <v>57</v>
      </c>
      <c r="E1306" t="s">
        <v>40</v>
      </c>
      <c r="F1306" t="s">
        <v>41</v>
      </c>
      <c r="G1306" t="s">
        <v>58</v>
      </c>
      <c r="H1306" t="s">
        <v>67</v>
      </c>
      <c r="I1306" t="s">
        <v>43</v>
      </c>
      <c r="J1306" t="s">
        <v>44</v>
      </c>
      <c r="K1306">
        <v>6</v>
      </c>
      <c r="L1306">
        <v>96399</v>
      </c>
      <c r="M1306" t="s">
        <v>45</v>
      </c>
      <c r="N1306">
        <v>2</v>
      </c>
      <c r="O1306">
        <v>2</v>
      </c>
      <c r="P1306">
        <v>17</v>
      </c>
      <c r="Q1306">
        <v>2</v>
      </c>
      <c r="R1306" s="1">
        <v>43044</v>
      </c>
      <c r="S1306" t="s">
        <v>29</v>
      </c>
      <c r="T1306" t="str">
        <f t="shared" si="100"/>
        <v>Grade A</v>
      </c>
      <c r="U1306">
        <f t="shared" si="101"/>
        <v>2</v>
      </c>
      <c r="V1306" t="str">
        <f t="shared" si="102"/>
        <v>Mid Level</v>
      </c>
      <c r="W1306" t="str">
        <f t="shared" si="103"/>
        <v>Medium Risk</v>
      </c>
      <c r="X1306" t="str">
        <f t="shared" si="104"/>
        <v>Fair</v>
      </c>
    </row>
    <row r="1307" spans="1:24" x14ac:dyDescent="0.3">
      <c r="A1307" t="s">
        <v>1375</v>
      </c>
      <c r="B1307" t="s">
        <v>39</v>
      </c>
      <c r="C1307">
        <v>51</v>
      </c>
      <c r="D1307" t="s">
        <v>21</v>
      </c>
      <c r="E1307" t="s">
        <v>22</v>
      </c>
      <c r="F1307" t="s">
        <v>75</v>
      </c>
      <c r="G1307" t="s">
        <v>24</v>
      </c>
      <c r="H1307" t="s">
        <v>83</v>
      </c>
      <c r="I1307" t="s">
        <v>43</v>
      </c>
      <c r="J1307" t="s">
        <v>44</v>
      </c>
      <c r="K1307">
        <v>2</v>
      </c>
      <c r="L1307">
        <v>87401</v>
      </c>
      <c r="M1307" t="s">
        <v>51</v>
      </c>
      <c r="N1307">
        <v>1</v>
      </c>
      <c r="O1307">
        <v>2</v>
      </c>
      <c r="P1307">
        <v>35</v>
      </c>
      <c r="Q1307">
        <v>1</v>
      </c>
      <c r="R1307" s="1">
        <v>44295</v>
      </c>
      <c r="S1307" t="s">
        <v>29</v>
      </c>
      <c r="T1307" t="str">
        <f t="shared" si="100"/>
        <v>Grade A</v>
      </c>
      <c r="U1307">
        <f t="shared" si="101"/>
        <v>4</v>
      </c>
      <c r="V1307" t="str">
        <f t="shared" si="102"/>
        <v>New Joiner</v>
      </c>
      <c r="W1307" t="str">
        <f t="shared" si="103"/>
        <v>Low Risk</v>
      </c>
      <c r="X1307" t="str">
        <f t="shared" si="104"/>
        <v>Competitive</v>
      </c>
    </row>
    <row r="1308" spans="1:24" x14ac:dyDescent="0.3">
      <c r="A1308" t="s">
        <v>1376</v>
      </c>
      <c r="B1308" t="s">
        <v>20</v>
      </c>
      <c r="C1308">
        <v>22</v>
      </c>
      <c r="D1308" t="s">
        <v>57</v>
      </c>
      <c r="E1308" t="s">
        <v>40</v>
      </c>
      <c r="F1308" t="s">
        <v>75</v>
      </c>
      <c r="G1308" t="s">
        <v>24</v>
      </c>
      <c r="H1308" t="s">
        <v>83</v>
      </c>
      <c r="I1308" t="s">
        <v>54</v>
      </c>
      <c r="J1308" t="s">
        <v>27</v>
      </c>
      <c r="K1308">
        <v>2</v>
      </c>
      <c r="L1308">
        <v>69962</v>
      </c>
      <c r="M1308" t="s">
        <v>45</v>
      </c>
      <c r="N1308">
        <v>4</v>
      </c>
      <c r="O1308">
        <v>4</v>
      </c>
      <c r="P1308">
        <v>51</v>
      </c>
      <c r="Q1308">
        <v>1</v>
      </c>
      <c r="R1308" s="1">
        <v>44290</v>
      </c>
      <c r="S1308" t="s">
        <v>29</v>
      </c>
      <c r="T1308" t="str">
        <f t="shared" si="100"/>
        <v>Grade B</v>
      </c>
      <c r="U1308">
        <f t="shared" si="101"/>
        <v>2</v>
      </c>
      <c r="V1308" t="str">
        <f t="shared" si="102"/>
        <v>New Joiner</v>
      </c>
      <c r="W1308" t="str">
        <f t="shared" si="103"/>
        <v>Medium Risk</v>
      </c>
      <c r="X1308" t="str">
        <f t="shared" si="104"/>
        <v>Fair</v>
      </c>
    </row>
    <row r="1309" spans="1:24" x14ac:dyDescent="0.3">
      <c r="A1309" t="s">
        <v>1377</v>
      </c>
      <c r="B1309" t="s">
        <v>20</v>
      </c>
      <c r="C1309">
        <v>36</v>
      </c>
      <c r="D1309" t="s">
        <v>31</v>
      </c>
      <c r="E1309" t="s">
        <v>48</v>
      </c>
      <c r="F1309" t="s">
        <v>62</v>
      </c>
      <c r="G1309" t="s">
        <v>42</v>
      </c>
      <c r="H1309" t="s">
        <v>76</v>
      </c>
      <c r="I1309" t="s">
        <v>80</v>
      </c>
      <c r="J1309" t="s">
        <v>60</v>
      </c>
      <c r="K1309">
        <v>15</v>
      </c>
      <c r="L1309">
        <v>120823</v>
      </c>
      <c r="M1309" t="s">
        <v>51</v>
      </c>
      <c r="N1309">
        <v>1</v>
      </c>
      <c r="O1309">
        <v>1</v>
      </c>
      <c r="P1309">
        <v>21</v>
      </c>
      <c r="Q1309">
        <v>2</v>
      </c>
      <c r="R1309" s="1">
        <v>39592</v>
      </c>
      <c r="S1309" t="s">
        <v>29</v>
      </c>
      <c r="T1309" t="str">
        <f t="shared" si="100"/>
        <v>Grade A</v>
      </c>
      <c r="U1309">
        <f t="shared" si="101"/>
        <v>4</v>
      </c>
      <c r="V1309" t="str">
        <f t="shared" si="102"/>
        <v>Senior</v>
      </c>
      <c r="W1309" t="str">
        <f t="shared" si="103"/>
        <v>Low Risk</v>
      </c>
      <c r="X1309" t="str">
        <f t="shared" si="104"/>
        <v>Competitive</v>
      </c>
    </row>
    <row r="1310" spans="1:24" x14ac:dyDescent="0.3">
      <c r="A1310" t="s">
        <v>1378</v>
      </c>
      <c r="B1310" t="s">
        <v>39</v>
      </c>
      <c r="C1310">
        <v>44</v>
      </c>
      <c r="D1310" t="s">
        <v>88</v>
      </c>
      <c r="E1310" t="s">
        <v>48</v>
      </c>
      <c r="F1310" t="s">
        <v>23</v>
      </c>
      <c r="G1310" t="s">
        <v>49</v>
      </c>
      <c r="H1310" t="s">
        <v>25</v>
      </c>
      <c r="I1310" t="s">
        <v>59</v>
      </c>
      <c r="J1310" t="s">
        <v>60</v>
      </c>
      <c r="K1310">
        <v>12</v>
      </c>
      <c r="L1310">
        <v>74129</v>
      </c>
      <c r="M1310" t="s">
        <v>36</v>
      </c>
      <c r="N1310">
        <v>1</v>
      </c>
      <c r="O1310">
        <v>4</v>
      </c>
      <c r="P1310">
        <v>62</v>
      </c>
      <c r="Q1310">
        <v>1</v>
      </c>
      <c r="R1310" s="1">
        <v>40780</v>
      </c>
      <c r="S1310" t="s">
        <v>37</v>
      </c>
      <c r="T1310" t="str">
        <f t="shared" si="100"/>
        <v>Grade B</v>
      </c>
      <c r="U1310">
        <f t="shared" si="101"/>
        <v>1</v>
      </c>
      <c r="V1310" t="str">
        <f t="shared" si="102"/>
        <v>Senior</v>
      </c>
      <c r="W1310" t="str">
        <f t="shared" si="103"/>
        <v>Already Left</v>
      </c>
      <c r="X1310" t="str">
        <f t="shared" si="104"/>
        <v>Fair</v>
      </c>
    </row>
    <row r="1311" spans="1:24" x14ac:dyDescent="0.3">
      <c r="A1311" t="s">
        <v>1379</v>
      </c>
      <c r="B1311" t="s">
        <v>39</v>
      </c>
      <c r="C1311">
        <v>54</v>
      </c>
      <c r="D1311" t="s">
        <v>57</v>
      </c>
      <c r="E1311" t="s">
        <v>48</v>
      </c>
      <c r="F1311" t="s">
        <v>65</v>
      </c>
      <c r="G1311" t="s">
        <v>33</v>
      </c>
      <c r="H1311" t="s">
        <v>83</v>
      </c>
      <c r="I1311" t="s">
        <v>68</v>
      </c>
      <c r="J1311" t="s">
        <v>60</v>
      </c>
      <c r="K1311">
        <v>14</v>
      </c>
      <c r="L1311">
        <v>84005</v>
      </c>
      <c r="M1311" t="s">
        <v>28</v>
      </c>
      <c r="N1311">
        <v>4</v>
      </c>
      <c r="O1311">
        <v>3</v>
      </c>
      <c r="P1311">
        <v>61</v>
      </c>
      <c r="Q1311">
        <v>1</v>
      </c>
      <c r="R1311" s="1">
        <v>39951</v>
      </c>
      <c r="S1311" t="s">
        <v>29</v>
      </c>
      <c r="T1311" t="str">
        <f t="shared" si="100"/>
        <v>Grade A</v>
      </c>
      <c r="U1311">
        <f t="shared" si="101"/>
        <v>3</v>
      </c>
      <c r="V1311" t="str">
        <f t="shared" si="102"/>
        <v>Senior</v>
      </c>
      <c r="W1311" t="str">
        <f t="shared" si="103"/>
        <v>Medium Risk</v>
      </c>
      <c r="X1311" t="str">
        <f t="shared" si="104"/>
        <v>Competitive</v>
      </c>
    </row>
    <row r="1312" spans="1:24" x14ac:dyDescent="0.3">
      <c r="A1312" t="s">
        <v>1380</v>
      </c>
      <c r="B1312" t="s">
        <v>20</v>
      </c>
      <c r="C1312">
        <v>52</v>
      </c>
      <c r="D1312" t="s">
        <v>57</v>
      </c>
      <c r="E1312" t="s">
        <v>22</v>
      </c>
      <c r="F1312" t="s">
        <v>62</v>
      </c>
      <c r="G1312" t="s">
        <v>63</v>
      </c>
      <c r="H1312" t="s">
        <v>83</v>
      </c>
      <c r="I1312" t="s">
        <v>68</v>
      </c>
      <c r="J1312" t="s">
        <v>60</v>
      </c>
      <c r="K1312">
        <v>15</v>
      </c>
      <c r="L1312">
        <v>82884</v>
      </c>
      <c r="M1312" t="s">
        <v>36</v>
      </c>
      <c r="N1312">
        <v>2</v>
      </c>
      <c r="O1312">
        <v>1</v>
      </c>
      <c r="P1312">
        <v>36</v>
      </c>
      <c r="Q1312">
        <v>2</v>
      </c>
      <c r="R1312" s="1">
        <v>39679</v>
      </c>
      <c r="S1312" t="s">
        <v>29</v>
      </c>
      <c r="T1312" t="str">
        <f t="shared" si="100"/>
        <v>Grade A</v>
      </c>
      <c r="U1312">
        <f t="shared" si="101"/>
        <v>1</v>
      </c>
      <c r="V1312" t="str">
        <f t="shared" si="102"/>
        <v>Senior</v>
      </c>
      <c r="W1312" t="str">
        <f t="shared" si="103"/>
        <v>Medium Risk</v>
      </c>
      <c r="X1312" t="str">
        <f t="shared" si="104"/>
        <v>Overpaid</v>
      </c>
    </row>
    <row r="1313" spans="1:24" x14ac:dyDescent="0.3">
      <c r="A1313" t="s">
        <v>1381</v>
      </c>
      <c r="B1313" t="s">
        <v>20</v>
      </c>
      <c r="C1313">
        <v>31</v>
      </c>
      <c r="D1313" t="s">
        <v>47</v>
      </c>
      <c r="E1313" t="s">
        <v>22</v>
      </c>
      <c r="F1313" t="s">
        <v>23</v>
      </c>
      <c r="G1313" t="s">
        <v>42</v>
      </c>
      <c r="H1313" t="s">
        <v>76</v>
      </c>
      <c r="I1313" t="s">
        <v>50</v>
      </c>
      <c r="J1313" t="s">
        <v>44</v>
      </c>
      <c r="K1313">
        <v>13</v>
      </c>
      <c r="L1313">
        <v>127403</v>
      </c>
      <c r="M1313" t="s">
        <v>51</v>
      </c>
      <c r="N1313">
        <v>3</v>
      </c>
      <c r="O1313">
        <v>3</v>
      </c>
      <c r="P1313">
        <v>36</v>
      </c>
      <c r="Q1313">
        <v>2</v>
      </c>
      <c r="R1313" s="1">
        <v>40300</v>
      </c>
      <c r="S1313" t="s">
        <v>29</v>
      </c>
      <c r="T1313" t="str">
        <f t="shared" si="100"/>
        <v>Grade A</v>
      </c>
      <c r="U1313">
        <f t="shared" si="101"/>
        <v>4</v>
      </c>
      <c r="V1313" t="str">
        <f t="shared" si="102"/>
        <v>Senior</v>
      </c>
      <c r="W1313" t="str">
        <f t="shared" si="103"/>
        <v>Low Risk</v>
      </c>
      <c r="X1313" t="str">
        <f t="shared" si="104"/>
        <v>Competitive</v>
      </c>
    </row>
    <row r="1314" spans="1:24" x14ac:dyDescent="0.3">
      <c r="A1314" t="s">
        <v>1382</v>
      </c>
      <c r="B1314" t="s">
        <v>20</v>
      </c>
      <c r="C1314">
        <v>38</v>
      </c>
      <c r="D1314" t="s">
        <v>88</v>
      </c>
      <c r="E1314" t="s">
        <v>40</v>
      </c>
      <c r="F1314" t="s">
        <v>62</v>
      </c>
      <c r="G1314" t="s">
        <v>24</v>
      </c>
      <c r="H1314" t="s">
        <v>76</v>
      </c>
      <c r="I1314" t="s">
        <v>50</v>
      </c>
      <c r="J1314" t="s">
        <v>44</v>
      </c>
      <c r="K1314">
        <v>9</v>
      </c>
      <c r="L1314">
        <v>86619</v>
      </c>
      <c r="M1314" t="s">
        <v>36</v>
      </c>
      <c r="N1314">
        <v>3</v>
      </c>
      <c r="O1314">
        <v>2</v>
      </c>
      <c r="P1314">
        <v>55</v>
      </c>
      <c r="Q1314">
        <v>2</v>
      </c>
      <c r="R1314" s="1">
        <v>41835</v>
      </c>
      <c r="S1314" t="s">
        <v>37</v>
      </c>
      <c r="T1314" t="str">
        <f t="shared" si="100"/>
        <v>Grade A</v>
      </c>
      <c r="U1314">
        <f t="shared" si="101"/>
        <v>1</v>
      </c>
      <c r="V1314" t="str">
        <f t="shared" si="102"/>
        <v>Mid Level</v>
      </c>
      <c r="W1314" t="str">
        <f t="shared" si="103"/>
        <v>Already Left</v>
      </c>
      <c r="X1314" t="str">
        <f t="shared" si="104"/>
        <v>Overpaid</v>
      </c>
    </row>
    <row r="1315" spans="1:24" x14ac:dyDescent="0.3">
      <c r="A1315" t="s">
        <v>1383</v>
      </c>
      <c r="B1315" t="s">
        <v>20</v>
      </c>
      <c r="C1315">
        <v>34</v>
      </c>
      <c r="D1315" t="s">
        <v>88</v>
      </c>
      <c r="E1315" t="s">
        <v>40</v>
      </c>
      <c r="F1315" t="s">
        <v>53</v>
      </c>
      <c r="G1315" t="s">
        <v>42</v>
      </c>
      <c r="H1315" t="s">
        <v>83</v>
      </c>
      <c r="I1315" t="s">
        <v>54</v>
      </c>
      <c r="J1315" t="s">
        <v>27</v>
      </c>
      <c r="K1315">
        <v>11</v>
      </c>
      <c r="L1315">
        <v>116275</v>
      </c>
      <c r="M1315" t="s">
        <v>36</v>
      </c>
      <c r="N1315">
        <v>1</v>
      </c>
      <c r="O1315">
        <v>2</v>
      </c>
      <c r="P1315">
        <v>69</v>
      </c>
      <c r="Q1315">
        <v>1</v>
      </c>
      <c r="R1315" s="1">
        <v>41226</v>
      </c>
      <c r="S1315" t="s">
        <v>37</v>
      </c>
      <c r="T1315" t="str">
        <f t="shared" si="100"/>
        <v>Grade A</v>
      </c>
      <c r="U1315">
        <f t="shared" si="101"/>
        <v>1</v>
      </c>
      <c r="V1315" t="str">
        <f t="shared" si="102"/>
        <v>Senior</v>
      </c>
      <c r="W1315" t="str">
        <f t="shared" si="103"/>
        <v>Already Left</v>
      </c>
      <c r="X1315" t="str">
        <f t="shared" si="104"/>
        <v>Overpaid</v>
      </c>
    </row>
    <row r="1316" spans="1:24" x14ac:dyDescent="0.3">
      <c r="A1316" t="s">
        <v>1384</v>
      </c>
      <c r="B1316" t="s">
        <v>39</v>
      </c>
      <c r="C1316">
        <v>26</v>
      </c>
      <c r="D1316" t="s">
        <v>88</v>
      </c>
      <c r="E1316" t="s">
        <v>40</v>
      </c>
      <c r="F1316" t="s">
        <v>75</v>
      </c>
      <c r="G1316" t="s">
        <v>66</v>
      </c>
      <c r="H1316" t="s">
        <v>67</v>
      </c>
      <c r="I1316" t="s">
        <v>50</v>
      </c>
      <c r="J1316" t="s">
        <v>44</v>
      </c>
      <c r="K1316">
        <v>4</v>
      </c>
      <c r="L1316">
        <v>52226</v>
      </c>
      <c r="M1316" t="s">
        <v>45</v>
      </c>
      <c r="N1316">
        <v>3</v>
      </c>
      <c r="O1316">
        <v>4</v>
      </c>
      <c r="P1316">
        <v>78</v>
      </c>
      <c r="Q1316">
        <v>0</v>
      </c>
      <c r="R1316" s="1">
        <v>43576</v>
      </c>
      <c r="S1316" t="s">
        <v>29</v>
      </c>
      <c r="T1316" t="str">
        <f t="shared" si="100"/>
        <v>Grade B</v>
      </c>
      <c r="U1316">
        <f t="shared" si="101"/>
        <v>2</v>
      </c>
      <c r="V1316" t="str">
        <f t="shared" si="102"/>
        <v>Junior</v>
      </c>
      <c r="W1316" t="str">
        <f t="shared" si="103"/>
        <v>Medium Risk</v>
      </c>
      <c r="X1316" t="str">
        <f t="shared" si="104"/>
        <v>Fair</v>
      </c>
    </row>
    <row r="1317" spans="1:24" x14ac:dyDescent="0.3">
      <c r="A1317" t="s">
        <v>1385</v>
      </c>
      <c r="B1317" t="s">
        <v>39</v>
      </c>
      <c r="C1317">
        <v>32</v>
      </c>
      <c r="D1317" t="s">
        <v>31</v>
      </c>
      <c r="E1317" t="s">
        <v>48</v>
      </c>
      <c r="F1317" t="s">
        <v>75</v>
      </c>
      <c r="G1317" t="s">
        <v>79</v>
      </c>
      <c r="H1317" t="s">
        <v>25</v>
      </c>
      <c r="I1317" t="s">
        <v>43</v>
      </c>
      <c r="J1317" t="s">
        <v>44</v>
      </c>
      <c r="K1317">
        <v>6</v>
      </c>
      <c r="L1317">
        <v>45301</v>
      </c>
      <c r="M1317" t="s">
        <v>51</v>
      </c>
      <c r="N1317">
        <v>2</v>
      </c>
      <c r="O1317">
        <v>3</v>
      </c>
      <c r="P1317">
        <v>20</v>
      </c>
      <c r="Q1317">
        <v>1</v>
      </c>
      <c r="R1317" s="1">
        <v>43009</v>
      </c>
      <c r="S1317" t="s">
        <v>37</v>
      </c>
      <c r="T1317" t="str">
        <f t="shared" si="100"/>
        <v>Grade C</v>
      </c>
      <c r="U1317">
        <f t="shared" si="101"/>
        <v>4</v>
      </c>
      <c r="V1317" t="str">
        <f t="shared" si="102"/>
        <v>Mid Level</v>
      </c>
      <c r="W1317" t="str">
        <f t="shared" si="103"/>
        <v>Already Left</v>
      </c>
      <c r="X1317" t="str">
        <f t="shared" si="104"/>
        <v>Fair</v>
      </c>
    </row>
    <row r="1318" spans="1:24" x14ac:dyDescent="0.3">
      <c r="A1318" t="s">
        <v>1386</v>
      </c>
      <c r="B1318" t="s">
        <v>20</v>
      </c>
      <c r="C1318">
        <v>31</v>
      </c>
      <c r="D1318" t="s">
        <v>21</v>
      </c>
      <c r="E1318" t="s">
        <v>40</v>
      </c>
      <c r="F1318" t="s">
        <v>23</v>
      </c>
      <c r="G1318" t="s">
        <v>42</v>
      </c>
      <c r="H1318" t="s">
        <v>83</v>
      </c>
      <c r="I1318" t="s">
        <v>59</v>
      </c>
      <c r="J1318" t="s">
        <v>60</v>
      </c>
      <c r="K1318">
        <v>1</v>
      </c>
      <c r="L1318">
        <v>104297</v>
      </c>
      <c r="M1318" t="s">
        <v>36</v>
      </c>
      <c r="N1318">
        <v>4</v>
      </c>
      <c r="O1318">
        <v>1</v>
      </c>
      <c r="P1318">
        <v>17</v>
      </c>
      <c r="Q1318">
        <v>1</v>
      </c>
      <c r="R1318" s="1">
        <v>44805</v>
      </c>
      <c r="S1318" t="s">
        <v>37</v>
      </c>
      <c r="T1318" t="str">
        <f t="shared" si="100"/>
        <v>Grade A</v>
      </c>
      <c r="U1318">
        <f t="shared" si="101"/>
        <v>1</v>
      </c>
      <c r="V1318" t="str">
        <f t="shared" si="102"/>
        <v>New Joiner</v>
      </c>
      <c r="W1318" t="str">
        <f t="shared" si="103"/>
        <v>Already Left</v>
      </c>
      <c r="X1318" t="str">
        <f t="shared" si="104"/>
        <v>Overpaid</v>
      </c>
    </row>
    <row r="1319" spans="1:24" x14ac:dyDescent="0.3">
      <c r="A1319" t="s">
        <v>1387</v>
      </c>
      <c r="B1319" t="s">
        <v>39</v>
      </c>
      <c r="C1319">
        <v>27</v>
      </c>
      <c r="D1319" t="s">
        <v>21</v>
      </c>
      <c r="E1319" t="s">
        <v>48</v>
      </c>
      <c r="F1319" t="s">
        <v>23</v>
      </c>
      <c r="G1319" t="s">
        <v>33</v>
      </c>
      <c r="H1319" t="s">
        <v>67</v>
      </c>
      <c r="I1319" t="s">
        <v>68</v>
      </c>
      <c r="J1319" t="s">
        <v>60</v>
      </c>
      <c r="K1319">
        <v>10</v>
      </c>
      <c r="L1319">
        <v>88047</v>
      </c>
      <c r="M1319" t="s">
        <v>51</v>
      </c>
      <c r="N1319">
        <v>1</v>
      </c>
      <c r="O1319">
        <v>1</v>
      </c>
      <c r="P1319">
        <v>36</v>
      </c>
      <c r="Q1319">
        <v>2</v>
      </c>
      <c r="R1319" s="1">
        <v>41324</v>
      </c>
      <c r="S1319" t="s">
        <v>29</v>
      </c>
      <c r="T1319" t="str">
        <f t="shared" si="100"/>
        <v>Grade A</v>
      </c>
      <c r="U1319">
        <f t="shared" si="101"/>
        <v>4</v>
      </c>
      <c r="V1319" t="str">
        <f t="shared" si="102"/>
        <v>Mid Level</v>
      </c>
      <c r="W1319" t="str">
        <f t="shared" si="103"/>
        <v>Low Risk</v>
      </c>
      <c r="X1319" t="str">
        <f t="shared" si="104"/>
        <v>Competitive</v>
      </c>
    </row>
    <row r="1320" spans="1:24" x14ac:dyDescent="0.3">
      <c r="A1320" t="s">
        <v>1388</v>
      </c>
      <c r="B1320" t="s">
        <v>20</v>
      </c>
      <c r="C1320">
        <v>24</v>
      </c>
      <c r="D1320" t="s">
        <v>21</v>
      </c>
      <c r="E1320" t="s">
        <v>40</v>
      </c>
      <c r="F1320" t="s">
        <v>41</v>
      </c>
      <c r="G1320" t="s">
        <v>33</v>
      </c>
      <c r="H1320" t="s">
        <v>67</v>
      </c>
      <c r="I1320" t="s">
        <v>96</v>
      </c>
      <c r="J1320" t="s">
        <v>44</v>
      </c>
      <c r="K1320">
        <v>13</v>
      </c>
      <c r="L1320">
        <v>79240</v>
      </c>
      <c r="M1320" t="s">
        <v>51</v>
      </c>
      <c r="N1320">
        <v>4</v>
      </c>
      <c r="O1320">
        <v>2</v>
      </c>
      <c r="P1320">
        <v>55</v>
      </c>
      <c r="Q1320">
        <v>0</v>
      </c>
      <c r="R1320" s="1">
        <v>40309</v>
      </c>
      <c r="S1320" t="s">
        <v>29</v>
      </c>
      <c r="T1320" t="str">
        <f t="shared" si="100"/>
        <v>Grade B</v>
      </c>
      <c r="U1320">
        <f t="shared" si="101"/>
        <v>4</v>
      </c>
      <c r="V1320" t="str">
        <f t="shared" si="102"/>
        <v>Senior</v>
      </c>
      <c r="W1320" t="str">
        <f t="shared" si="103"/>
        <v>Low Risk</v>
      </c>
      <c r="X1320" t="str">
        <f t="shared" si="104"/>
        <v>Fair</v>
      </c>
    </row>
    <row r="1321" spans="1:24" x14ac:dyDescent="0.3">
      <c r="A1321" t="s">
        <v>1389</v>
      </c>
      <c r="B1321" t="s">
        <v>39</v>
      </c>
      <c r="C1321">
        <v>29</v>
      </c>
      <c r="D1321" t="s">
        <v>21</v>
      </c>
      <c r="E1321" t="s">
        <v>22</v>
      </c>
      <c r="F1321" t="s">
        <v>62</v>
      </c>
      <c r="G1321" t="s">
        <v>33</v>
      </c>
      <c r="H1321" t="s">
        <v>83</v>
      </c>
      <c r="I1321" t="s">
        <v>35</v>
      </c>
      <c r="J1321" t="s">
        <v>27</v>
      </c>
      <c r="K1321">
        <v>14</v>
      </c>
      <c r="L1321">
        <v>95166</v>
      </c>
      <c r="M1321" t="s">
        <v>45</v>
      </c>
      <c r="N1321">
        <v>4</v>
      </c>
      <c r="O1321">
        <v>3</v>
      </c>
      <c r="P1321">
        <v>38</v>
      </c>
      <c r="Q1321">
        <v>2</v>
      </c>
      <c r="R1321" s="1">
        <v>39996</v>
      </c>
      <c r="S1321" t="s">
        <v>29</v>
      </c>
      <c r="T1321" t="str">
        <f t="shared" si="100"/>
        <v>Grade A</v>
      </c>
      <c r="U1321">
        <f t="shared" si="101"/>
        <v>2</v>
      </c>
      <c r="V1321" t="str">
        <f t="shared" si="102"/>
        <v>Senior</v>
      </c>
      <c r="W1321" t="str">
        <f t="shared" si="103"/>
        <v>Medium Risk</v>
      </c>
      <c r="X1321" t="str">
        <f t="shared" si="104"/>
        <v>Fair</v>
      </c>
    </row>
    <row r="1322" spans="1:24" x14ac:dyDescent="0.3">
      <c r="A1322" t="s">
        <v>1390</v>
      </c>
      <c r="B1322" t="s">
        <v>20</v>
      </c>
      <c r="C1322">
        <v>55</v>
      </c>
      <c r="D1322" t="s">
        <v>21</v>
      </c>
      <c r="E1322" t="s">
        <v>48</v>
      </c>
      <c r="F1322" t="s">
        <v>53</v>
      </c>
      <c r="G1322" t="s">
        <v>24</v>
      </c>
      <c r="H1322" t="s">
        <v>83</v>
      </c>
      <c r="I1322" t="s">
        <v>35</v>
      </c>
      <c r="J1322" t="s">
        <v>27</v>
      </c>
      <c r="K1322">
        <v>8</v>
      </c>
      <c r="L1322">
        <v>99288</v>
      </c>
      <c r="M1322" t="s">
        <v>51</v>
      </c>
      <c r="N1322">
        <v>2</v>
      </c>
      <c r="O1322">
        <v>4</v>
      </c>
      <c r="P1322">
        <v>17</v>
      </c>
      <c r="Q1322">
        <v>1</v>
      </c>
      <c r="R1322" s="1">
        <v>42026</v>
      </c>
      <c r="S1322" t="s">
        <v>29</v>
      </c>
      <c r="T1322" t="str">
        <f t="shared" si="100"/>
        <v>Grade A</v>
      </c>
      <c r="U1322">
        <f t="shared" si="101"/>
        <v>4</v>
      </c>
      <c r="V1322" t="str">
        <f t="shared" si="102"/>
        <v>Mid Level</v>
      </c>
      <c r="W1322" t="str">
        <f t="shared" si="103"/>
        <v>Low Risk</v>
      </c>
      <c r="X1322" t="str">
        <f t="shared" si="104"/>
        <v>Competitive</v>
      </c>
    </row>
    <row r="1323" spans="1:24" x14ac:dyDescent="0.3">
      <c r="A1323" t="s">
        <v>1391</v>
      </c>
      <c r="B1323" t="s">
        <v>20</v>
      </c>
      <c r="C1323">
        <v>31</v>
      </c>
      <c r="D1323" t="s">
        <v>47</v>
      </c>
      <c r="E1323" t="s">
        <v>22</v>
      </c>
      <c r="F1323" t="s">
        <v>41</v>
      </c>
      <c r="G1323" t="s">
        <v>58</v>
      </c>
      <c r="H1323" t="s">
        <v>76</v>
      </c>
      <c r="I1323" t="s">
        <v>96</v>
      </c>
      <c r="J1323" t="s">
        <v>44</v>
      </c>
      <c r="K1323">
        <v>7</v>
      </c>
      <c r="L1323">
        <v>107105</v>
      </c>
      <c r="M1323" t="s">
        <v>51</v>
      </c>
      <c r="N1323">
        <v>4</v>
      </c>
      <c r="O1323">
        <v>3</v>
      </c>
      <c r="P1323">
        <v>71</v>
      </c>
      <c r="Q1323">
        <v>3</v>
      </c>
      <c r="R1323" s="1">
        <v>42681</v>
      </c>
      <c r="S1323" t="s">
        <v>29</v>
      </c>
      <c r="T1323" t="str">
        <f t="shared" si="100"/>
        <v>Grade A</v>
      </c>
      <c r="U1323">
        <f t="shared" si="101"/>
        <v>4</v>
      </c>
      <c r="V1323" t="str">
        <f t="shared" si="102"/>
        <v>Mid Level</v>
      </c>
      <c r="W1323" t="str">
        <f t="shared" si="103"/>
        <v>Low Risk</v>
      </c>
      <c r="X1323" t="str">
        <f t="shared" si="104"/>
        <v>Competitive</v>
      </c>
    </row>
    <row r="1324" spans="1:24" x14ac:dyDescent="0.3">
      <c r="A1324" t="s">
        <v>1392</v>
      </c>
      <c r="B1324" t="s">
        <v>39</v>
      </c>
      <c r="C1324">
        <v>22</v>
      </c>
      <c r="D1324" t="s">
        <v>47</v>
      </c>
      <c r="E1324" t="s">
        <v>48</v>
      </c>
      <c r="F1324" t="s">
        <v>32</v>
      </c>
      <c r="G1324" t="s">
        <v>49</v>
      </c>
      <c r="H1324" t="s">
        <v>76</v>
      </c>
      <c r="I1324" t="s">
        <v>26</v>
      </c>
      <c r="J1324" t="s">
        <v>27</v>
      </c>
      <c r="K1324">
        <v>14</v>
      </c>
      <c r="L1324">
        <v>69321</v>
      </c>
      <c r="M1324" t="s">
        <v>45</v>
      </c>
      <c r="N1324">
        <v>1</v>
      </c>
      <c r="O1324">
        <v>3</v>
      </c>
      <c r="P1324">
        <v>55</v>
      </c>
      <c r="Q1324">
        <v>3</v>
      </c>
      <c r="R1324" s="1">
        <v>39968</v>
      </c>
      <c r="S1324" t="s">
        <v>29</v>
      </c>
      <c r="T1324" t="str">
        <f t="shared" si="100"/>
        <v>Grade B</v>
      </c>
      <c r="U1324">
        <f t="shared" si="101"/>
        <v>2</v>
      </c>
      <c r="V1324" t="str">
        <f t="shared" si="102"/>
        <v>Senior</v>
      </c>
      <c r="W1324" t="str">
        <f t="shared" si="103"/>
        <v>Medium Risk</v>
      </c>
      <c r="X1324" t="str">
        <f t="shared" si="104"/>
        <v>Fair</v>
      </c>
    </row>
    <row r="1325" spans="1:24" x14ac:dyDescent="0.3">
      <c r="A1325" t="s">
        <v>1393</v>
      </c>
      <c r="B1325" t="s">
        <v>39</v>
      </c>
      <c r="C1325">
        <v>47</v>
      </c>
      <c r="D1325" t="s">
        <v>47</v>
      </c>
      <c r="E1325" t="s">
        <v>22</v>
      </c>
      <c r="F1325" t="s">
        <v>23</v>
      </c>
      <c r="G1325" t="s">
        <v>42</v>
      </c>
      <c r="H1325" t="s">
        <v>83</v>
      </c>
      <c r="I1325" t="s">
        <v>35</v>
      </c>
      <c r="J1325" t="s">
        <v>27</v>
      </c>
      <c r="K1325">
        <v>11</v>
      </c>
      <c r="L1325">
        <v>116606</v>
      </c>
      <c r="M1325" t="s">
        <v>28</v>
      </c>
      <c r="N1325">
        <v>1</v>
      </c>
      <c r="O1325">
        <v>4</v>
      </c>
      <c r="P1325">
        <v>14</v>
      </c>
      <c r="Q1325">
        <v>3</v>
      </c>
      <c r="R1325" s="1">
        <v>41208</v>
      </c>
      <c r="S1325" t="s">
        <v>29</v>
      </c>
      <c r="T1325" t="str">
        <f t="shared" si="100"/>
        <v>Grade A</v>
      </c>
      <c r="U1325">
        <f t="shared" si="101"/>
        <v>3</v>
      </c>
      <c r="V1325" t="str">
        <f t="shared" si="102"/>
        <v>Senior</v>
      </c>
      <c r="W1325" t="str">
        <f t="shared" si="103"/>
        <v>Medium Risk</v>
      </c>
      <c r="X1325" t="str">
        <f t="shared" si="104"/>
        <v>Competitive</v>
      </c>
    </row>
    <row r="1326" spans="1:24" x14ac:dyDescent="0.3">
      <c r="A1326" t="s">
        <v>1394</v>
      </c>
      <c r="B1326" t="s">
        <v>20</v>
      </c>
      <c r="C1326">
        <v>23</v>
      </c>
      <c r="D1326" t="s">
        <v>57</v>
      </c>
      <c r="E1326" t="s">
        <v>48</v>
      </c>
      <c r="F1326" t="s">
        <v>75</v>
      </c>
      <c r="G1326" t="s">
        <v>33</v>
      </c>
      <c r="H1326" t="s">
        <v>34</v>
      </c>
      <c r="I1326" t="s">
        <v>54</v>
      </c>
      <c r="J1326" t="s">
        <v>27</v>
      </c>
      <c r="K1326">
        <v>14</v>
      </c>
      <c r="L1326">
        <v>86505</v>
      </c>
      <c r="M1326" t="s">
        <v>45</v>
      </c>
      <c r="N1326">
        <v>3</v>
      </c>
      <c r="O1326">
        <v>1</v>
      </c>
      <c r="P1326">
        <v>65</v>
      </c>
      <c r="Q1326">
        <v>0</v>
      </c>
      <c r="R1326" s="1">
        <v>39841</v>
      </c>
      <c r="S1326" t="s">
        <v>29</v>
      </c>
      <c r="T1326" t="str">
        <f t="shared" si="100"/>
        <v>Grade A</v>
      </c>
      <c r="U1326">
        <f t="shared" si="101"/>
        <v>2</v>
      </c>
      <c r="V1326" t="str">
        <f t="shared" si="102"/>
        <v>Senior</v>
      </c>
      <c r="W1326" t="str">
        <f t="shared" si="103"/>
        <v>Medium Risk</v>
      </c>
      <c r="X1326" t="str">
        <f t="shared" si="104"/>
        <v>Fair</v>
      </c>
    </row>
    <row r="1327" spans="1:24" x14ac:dyDescent="0.3">
      <c r="A1327" t="s">
        <v>1395</v>
      </c>
      <c r="B1327" t="s">
        <v>39</v>
      </c>
      <c r="C1327">
        <v>46</v>
      </c>
      <c r="D1327" t="s">
        <v>21</v>
      </c>
      <c r="E1327" t="s">
        <v>22</v>
      </c>
      <c r="F1327" t="s">
        <v>65</v>
      </c>
      <c r="G1327" t="s">
        <v>58</v>
      </c>
      <c r="H1327" t="s">
        <v>67</v>
      </c>
      <c r="I1327" t="s">
        <v>59</v>
      </c>
      <c r="J1327" t="s">
        <v>60</v>
      </c>
      <c r="K1327">
        <v>6</v>
      </c>
      <c r="L1327">
        <v>90782</v>
      </c>
      <c r="M1327" t="s">
        <v>51</v>
      </c>
      <c r="N1327">
        <v>4</v>
      </c>
      <c r="O1327">
        <v>1</v>
      </c>
      <c r="P1327">
        <v>37</v>
      </c>
      <c r="Q1327">
        <v>1</v>
      </c>
      <c r="R1327" s="1">
        <v>42950</v>
      </c>
      <c r="S1327" t="s">
        <v>29</v>
      </c>
      <c r="T1327" t="str">
        <f t="shared" si="100"/>
        <v>Grade A</v>
      </c>
      <c r="U1327">
        <f t="shared" si="101"/>
        <v>4</v>
      </c>
      <c r="V1327" t="str">
        <f t="shared" si="102"/>
        <v>Mid Level</v>
      </c>
      <c r="W1327" t="str">
        <f t="shared" si="103"/>
        <v>Low Risk</v>
      </c>
      <c r="X1327" t="str">
        <f t="shared" si="104"/>
        <v>Competitive</v>
      </c>
    </row>
    <row r="1328" spans="1:24" x14ac:dyDescent="0.3">
      <c r="A1328" t="s">
        <v>1396</v>
      </c>
      <c r="B1328" t="s">
        <v>39</v>
      </c>
      <c r="C1328">
        <v>36</v>
      </c>
      <c r="D1328" t="s">
        <v>88</v>
      </c>
      <c r="E1328" t="s">
        <v>22</v>
      </c>
      <c r="F1328" t="s">
        <v>23</v>
      </c>
      <c r="G1328" t="s">
        <v>24</v>
      </c>
      <c r="H1328" t="s">
        <v>34</v>
      </c>
      <c r="I1328" t="s">
        <v>72</v>
      </c>
      <c r="J1328" t="s">
        <v>73</v>
      </c>
      <c r="K1328">
        <v>15</v>
      </c>
      <c r="L1328">
        <v>104242</v>
      </c>
      <c r="M1328" t="s">
        <v>45</v>
      </c>
      <c r="N1328">
        <v>3</v>
      </c>
      <c r="O1328">
        <v>3</v>
      </c>
      <c r="P1328">
        <v>74</v>
      </c>
      <c r="Q1328">
        <v>0</v>
      </c>
      <c r="R1328" s="1">
        <v>39458</v>
      </c>
      <c r="S1328" t="s">
        <v>29</v>
      </c>
      <c r="T1328" t="str">
        <f t="shared" si="100"/>
        <v>Grade A</v>
      </c>
      <c r="U1328">
        <f t="shared" si="101"/>
        <v>2</v>
      </c>
      <c r="V1328" t="str">
        <f t="shared" si="102"/>
        <v>Senior</v>
      </c>
      <c r="W1328" t="str">
        <f t="shared" si="103"/>
        <v>Medium Risk</v>
      </c>
      <c r="X1328" t="str">
        <f t="shared" si="104"/>
        <v>Fair</v>
      </c>
    </row>
    <row r="1329" spans="1:24" x14ac:dyDescent="0.3">
      <c r="A1329" t="s">
        <v>1397</v>
      </c>
      <c r="B1329" t="s">
        <v>39</v>
      </c>
      <c r="C1329">
        <v>42</v>
      </c>
      <c r="D1329" t="s">
        <v>47</v>
      </c>
      <c r="E1329" t="s">
        <v>22</v>
      </c>
      <c r="F1329" t="s">
        <v>23</v>
      </c>
      <c r="G1329" t="s">
        <v>79</v>
      </c>
      <c r="H1329" t="s">
        <v>83</v>
      </c>
      <c r="I1329" t="s">
        <v>59</v>
      </c>
      <c r="J1329" t="s">
        <v>60</v>
      </c>
      <c r="K1329">
        <v>15</v>
      </c>
      <c r="L1329">
        <v>73929</v>
      </c>
      <c r="M1329" t="s">
        <v>45</v>
      </c>
      <c r="N1329">
        <v>2</v>
      </c>
      <c r="O1329">
        <v>1</v>
      </c>
      <c r="P1329">
        <v>57</v>
      </c>
      <c r="Q1329">
        <v>0</v>
      </c>
      <c r="R1329" s="1">
        <v>39779</v>
      </c>
      <c r="S1329" t="s">
        <v>29</v>
      </c>
      <c r="T1329" t="str">
        <f t="shared" si="100"/>
        <v>Grade B</v>
      </c>
      <c r="U1329">
        <f t="shared" si="101"/>
        <v>2</v>
      </c>
      <c r="V1329" t="str">
        <f t="shared" si="102"/>
        <v>Senior</v>
      </c>
      <c r="W1329" t="str">
        <f t="shared" si="103"/>
        <v>Medium Risk</v>
      </c>
      <c r="X1329" t="str">
        <f t="shared" si="104"/>
        <v>Fair</v>
      </c>
    </row>
    <row r="1330" spans="1:24" x14ac:dyDescent="0.3">
      <c r="A1330" t="s">
        <v>1398</v>
      </c>
      <c r="B1330" t="s">
        <v>20</v>
      </c>
      <c r="C1330">
        <v>36</v>
      </c>
      <c r="D1330" t="s">
        <v>31</v>
      </c>
      <c r="E1330" t="s">
        <v>40</v>
      </c>
      <c r="F1330" t="s">
        <v>78</v>
      </c>
      <c r="G1330" t="s">
        <v>42</v>
      </c>
      <c r="H1330" t="s">
        <v>25</v>
      </c>
      <c r="I1330" t="s">
        <v>43</v>
      </c>
      <c r="J1330" t="s">
        <v>44</v>
      </c>
      <c r="K1330">
        <v>12</v>
      </c>
      <c r="L1330">
        <v>122247</v>
      </c>
      <c r="M1330" t="s">
        <v>36</v>
      </c>
      <c r="N1330">
        <v>1</v>
      </c>
      <c r="O1330">
        <v>1</v>
      </c>
      <c r="P1330">
        <v>10</v>
      </c>
      <c r="Q1330">
        <v>2</v>
      </c>
      <c r="R1330" s="1">
        <v>40571</v>
      </c>
      <c r="S1330" t="s">
        <v>37</v>
      </c>
      <c r="T1330" t="str">
        <f t="shared" si="100"/>
        <v>Grade A</v>
      </c>
      <c r="U1330">
        <f t="shared" si="101"/>
        <v>1</v>
      </c>
      <c r="V1330" t="str">
        <f t="shared" si="102"/>
        <v>Senior</v>
      </c>
      <c r="W1330" t="str">
        <f t="shared" si="103"/>
        <v>Already Left</v>
      </c>
      <c r="X1330" t="str">
        <f t="shared" si="104"/>
        <v>Overpaid</v>
      </c>
    </row>
    <row r="1331" spans="1:24" x14ac:dyDescent="0.3">
      <c r="A1331" t="s">
        <v>1399</v>
      </c>
      <c r="B1331" t="s">
        <v>20</v>
      </c>
      <c r="C1331">
        <v>29</v>
      </c>
      <c r="D1331" t="s">
        <v>31</v>
      </c>
      <c r="E1331" t="s">
        <v>48</v>
      </c>
      <c r="F1331" t="s">
        <v>41</v>
      </c>
      <c r="G1331" t="s">
        <v>42</v>
      </c>
      <c r="H1331" t="s">
        <v>25</v>
      </c>
      <c r="I1331" t="s">
        <v>50</v>
      </c>
      <c r="J1331" t="s">
        <v>44</v>
      </c>
      <c r="K1331">
        <v>7</v>
      </c>
      <c r="L1331">
        <v>104094</v>
      </c>
      <c r="M1331" t="s">
        <v>36</v>
      </c>
      <c r="N1331">
        <v>2</v>
      </c>
      <c r="O1331">
        <v>3</v>
      </c>
      <c r="P1331">
        <v>51</v>
      </c>
      <c r="Q1331">
        <v>0</v>
      </c>
      <c r="R1331" s="1">
        <v>42438</v>
      </c>
      <c r="S1331" t="s">
        <v>29</v>
      </c>
      <c r="T1331" t="str">
        <f t="shared" si="100"/>
        <v>Grade A</v>
      </c>
      <c r="U1331">
        <f t="shared" si="101"/>
        <v>1</v>
      </c>
      <c r="V1331" t="str">
        <f t="shared" si="102"/>
        <v>Mid Level</v>
      </c>
      <c r="W1331" t="str">
        <f t="shared" si="103"/>
        <v>Medium Risk</v>
      </c>
      <c r="X1331" t="str">
        <f t="shared" si="104"/>
        <v>Overpaid</v>
      </c>
    </row>
    <row r="1332" spans="1:24" x14ac:dyDescent="0.3">
      <c r="A1332" t="s">
        <v>1400</v>
      </c>
      <c r="B1332" t="s">
        <v>20</v>
      </c>
      <c r="C1332">
        <v>54</v>
      </c>
      <c r="D1332" t="s">
        <v>21</v>
      </c>
      <c r="E1332" t="s">
        <v>48</v>
      </c>
      <c r="F1332" t="s">
        <v>41</v>
      </c>
      <c r="G1332" t="s">
        <v>79</v>
      </c>
      <c r="H1332" t="s">
        <v>76</v>
      </c>
      <c r="I1332" t="s">
        <v>68</v>
      </c>
      <c r="J1332" t="s">
        <v>60</v>
      </c>
      <c r="K1332">
        <v>6</v>
      </c>
      <c r="L1332">
        <v>46390</v>
      </c>
      <c r="M1332" t="s">
        <v>36</v>
      </c>
      <c r="N1332">
        <v>3</v>
      </c>
      <c r="O1332">
        <v>3</v>
      </c>
      <c r="P1332">
        <v>29</v>
      </c>
      <c r="Q1332">
        <v>3</v>
      </c>
      <c r="R1332" s="1">
        <v>42912</v>
      </c>
      <c r="S1332" t="s">
        <v>29</v>
      </c>
      <c r="T1332" t="str">
        <f t="shared" si="100"/>
        <v>Grade C</v>
      </c>
      <c r="U1332">
        <f t="shared" si="101"/>
        <v>1</v>
      </c>
      <c r="V1332" t="str">
        <f t="shared" si="102"/>
        <v>Mid Level</v>
      </c>
      <c r="W1332" t="str">
        <f t="shared" si="103"/>
        <v>Medium Risk</v>
      </c>
      <c r="X1332" t="str">
        <f t="shared" si="104"/>
        <v>Fair</v>
      </c>
    </row>
    <row r="1333" spans="1:24" x14ac:dyDescent="0.3">
      <c r="A1333" t="s">
        <v>1401</v>
      </c>
      <c r="B1333" t="s">
        <v>20</v>
      </c>
      <c r="C1333">
        <v>49</v>
      </c>
      <c r="D1333" t="s">
        <v>31</v>
      </c>
      <c r="E1333" t="s">
        <v>48</v>
      </c>
      <c r="F1333" t="s">
        <v>78</v>
      </c>
      <c r="G1333" t="s">
        <v>63</v>
      </c>
      <c r="H1333" t="s">
        <v>67</v>
      </c>
      <c r="I1333" t="s">
        <v>50</v>
      </c>
      <c r="J1333" t="s">
        <v>44</v>
      </c>
      <c r="K1333">
        <v>12</v>
      </c>
      <c r="L1333">
        <v>59618</v>
      </c>
      <c r="M1333" t="s">
        <v>28</v>
      </c>
      <c r="N1333">
        <v>4</v>
      </c>
      <c r="O1333">
        <v>4</v>
      </c>
      <c r="P1333">
        <v>69</v>
      </c>
      <c r="Q1333">
        <v>1</v>
      </c>
      <c r="R1333" s="1">
        <v>40761</v>
      </c>
      <c r="S1333" t="s">
        <v>29</v>
      </c>
      <c r="T1333" t="str">
        <f t="shared" si="100"/>
        <v>Grade B</v>
      </c>
      <c r="U1333">
        <f t="shared" si="101"/>
        <v>3</v>
      </c>
      <c r="V1333" t="str">
        <f t="shared" si="102"/>
        <v>Senior</v>
      </c>
      <c r="W1333" t="str">
        <f t="shared" si="103"/>
        <v>Medium Risk</v>
      </c>
      <c r="X1333" t="str">
        <f t="shared" si="104"/>
        <v>Competitive</v>
      </c>
    </row>
    <row r="1334" spans="1:24" x14ac:dyDescent="0.3">
      <c r="A1334" t="s">
        <v>1402</v>
      </c>
      <c r="B1334" t="s">
        <v>20</v>
      </c>
      <c r="C1334">
        <v>29</v>
      </c>
      <c r="D1334" t="s">
        <v>31</v>
      </c>
      <c r="E1334" t="s">
        <v>48</v>
      </c>
      <c r="F1334" t="s">
        <v>65</v>
      </c>
      <c r="G1334" t="s">
        <v>58</v>
      </c>
      <c r="H1334" t="s">
        <v>83</v>
      </c>
      <c r="I1334" t="s">
        <v>50</v>
      </c>
      <c r="J1334" t="s">
        <v>44</v>
      </c>
      <c r="K1334">
        <v>2</v>
      </c>
      <c r="L1334">
        <v>94095</v>
      </c>
      <c r="M1334" t="s">
        <v>36</v>
      </c>
      <c r="N1334">
        <v>3</v>
      </c>
      <c r="O1334">
        <v>4</v>
      </c>
      <c r="P1334">
        <v>78</v>
      </c>
      <c r="Q1334">
        <v>1</v>
      </c>
      <c r="R1334" s="1">
        <v>44306</v>
      </c>
      <c r="S1334" t="s">
        <v>37</v>
      </c>
      <c r="T1334" t="str">
        <f t="shared" si="100"/>
        <v>Grade A</v>
      </c>
      <c r="U1334">
        <f t="shared" si="101"/>
        <v>1</v>
      </c>
      <c r="V1334" t="str">
        <f t="shared" si="102"/>
        <v>New Joiner</v>
      </c>
      <c r="W1334" t="str">
        <f t="shared" si="103"/>
        <v>Already Left</v>
      </c>
      <c r="X1334" t="str">
        <f t="shared" si="104"/>
        <v>Overpaid</v>
      </c>
    </row>
    <row r="1335" spans="1:24" x14ac:dyDescent="0.3">
      <c r="A1335" t="s">
        <v>1403</v>
      </c>
      <c r="B1335" t="s">
        <v>39</v>
      </c>
      <c r="C1335">
        <v>33</v>
      </c>
      <c r="D1335" t="s">
        <v>57</v>
      </c>
      <c r="E1335" t="s">
        <v>48</v>
      </c>
      <c r="F1335" t="s">
        <v>23</v>
      </c>
      <c r="G1335" t="s">
        <v>66</v>
      </c>
      <c r="H1335" t="s">
        <v>67</v>
      </c>
      <c r="I1335" t="s">
        <v>96</v>
      </c>
      <c r="J1335" t="s">
        <v>44</v>
      </c>
      <c r="K1335">
        <v>8</v>
      </c>
      <c r="L1335">
        <v>51056</v>
      </c>
      <c r="M1335" t="s">
        <v>51</v>
      </c>
      <c r="N1335">
        <v>1</v>
      </c>
      <c r="O1335">
        <v>3</v>
      </c>
      <c r="P1335">
        <v>74</v>
      </c>
      <c r="Q1335">
        <v>2</v>
      </c>
      <c r="R1335" s="1">
        <v>42101</v>
      </c>
      <c r="S1335" t="s">
        <v>29</v>
      </c>
      <c r="T1335" t="str">
        <f t="shared" si="100"/>
        <v>Grade B</v>
      </c>
      <c r="U1335">
        <f t="shared" si="101"/>
        <v>4</v>
      </c>
      <c r="V1335" t="str">
        <f t="shared" si="102"/>
        <v>Mid Level</v>
      </c>
      <c r="W1335" t="str">
        <f t="shared" si="103"/>
        <v>Low Risk</v>
      </c>
      <c r="X1335" t="str">
        <f t="shared" si="104"/>
        <v>Fair</v>
      </c>
    </row>
    <row r="1336" spans="1:24" x14ac:dyDescent="0.3">
      <c r="A1336" t="s">
        <v>1404</v>
      </c>
      <c r="B1336" t="s">
        <v>20</v>
      </c>
      <c r="C1336">
        <v>31</v>
      </c>
      <c r="D1336" t="s">
        <v>57</v>
      </c>
      <c r="E1336" t="s">
        <v>22</v>
      </c>
      <c r="F1336" t="s">
        <v>53</v>
      </c>
      <c r="G1336" t="s">
        <v>24</v>
      </c>
      <c r="H1336" t="s">
        <v>76</v>
      </c>
      <c r="I1336" t="s">
        <v>96</v>
      </c>
      <c r="J1336" t="s">
        <v>44</v>
      </c>
      <c r="K1336">
        <v>3</v>
      </c>
      <c r="L1336">
        <v>81889</v>
      </c>
      <c r="M1336" t="s">
        <v>51</v>
      </c>
      <c r="N1336">
        <v>3</v>
      </c>
      <c r="O1336">
        <v>1</v>
      </c>
      <c r="P1336">
        <v>67</v>
      </c>
      <c r="Q1336">
        <v>3</v>
      </c>
      <c r="R1336" s="1">
        <v>43996</v>
      </c>
      <c r="S1336" t="s">
        <v>29</v>
      </c>
      <c r="T1336" t="str">
        <f t="shared" si="100"/>
        <v>Grade A</v>
      </c>
      <c r="U1336">
        <f t="shared" si="101"/>
        <v>4</v>
      </c>
      <c r="V1336" t="str">
        <f t="shared" si="102"/>
        <v>Junior</v>
      </c>
      <c r="W1336" t="str">
        <f t="shared" si="103"/>
        <v>Low Risk</v>
      </c>
      <c r="X1336" t="str">
        <f t="shared" si="104"/>
        <v>Competitive</v>
      </c>
    </row>
    <row r="1337" spans="1:24" x14ac:dyDescent="0.3">
      <c r="A1337" t="s">
        <v>1405</v>
      </c>
      <c r="B1337" t="s">
        <v>39</v>
      </c>
      <c r="C1337">
        <v>35</v>
      </c>
      <c r="D1337" t="s">
        <v>31</v>
      </c>
      <c r="E1337" t="s">
        <v>22</v>
      </c>
      <c r="F1337" t="s">
        <v>62</v>
      </c>
      <c r="G1337" t="s">
        <v>63</v>
      </c>
      <c r="H1337" t="s">
        <v>67</v>
      </c>
      <c r="I1337" t="s">
        <v>43</v>
      </c>
      <c r="J1337" t="s">
        <v>44</v>
      </c>
      <c r="K1337">
        <v>8</v>
      </c>
      <c r="L1337">
        <v>57778</v>
      </c>
      <c r="M1337" t="s">
        <v>51</v>
      </c>
      <c r="N1337">
        <v>4</v>
      </c>
      <c r="O1337">
        <v>4</v>
      </c>
      <c r="P1337">
        <v>63</v>
      </c>
      <c r="Q1337">
        <v>1</v>
      </c>
      <c r="R1337" s="1">
        <v>42128</v>
      </c>
      <c r="S1337" t="s">
        <v>29</v>
      </c>
      <c r="T1337" t="str">
        <f t="shared" si="100"/>
        <v>Grade B</v>
      </c>
      <c r="U1337">
        <f t="shared" si="101"/>
        <v>4</v>
      </c>
      <c r="V1337" t="str">
        <f t="shared" si="102"/>
        <v>Mid Level</v>
      </c>
      <c r="W1337" t="str">
        <f t="shared" si="103"/>
        <v>Low Risk</v>
      </c>
      <c r="X1337" t="str">
        <f t="shared" si="104"/>
        <v>Fair</v>
      </c>
    </row>
    <row r="1338" spans="1:24" x14ac:dyDescent="0.3">
      <c r="A1338" t="s">
        <v>1406</v>
      </c>
      <c r="B1338" t="s">
        <v>39</v>
      </c>
      <c r="C1338">
        <v>38</v>
      </c>
      <c r="D1338" t="s">
        <v>88</v>
      </c>
      <c r="E1338" t="s">
        <v>40</v>
      </c>
      <c r="F1338" t="s">
        <v>53</v>
      </c>
      <c r="G1338" t="s">
        <v>33</v>
      </c>
      <c r="H1338" t="s">
        <v>67</v>
      </c>
      <c r="I1338" t="s">
        <v>72</v>
      </c>
      <c r="J1338" t="s">
        <v>73</v>
      </c>
      <c r="K1338">
        <v>12</v>
      </c>
      <c r="L1338">
        <v>93902</v>
      </c>
      <c r="M1338" t="s">
        <v>36</v>
      </c>
      <c r="N1338">
        <v>4</v>
      </c>
      <c r="O1338">
        <v>2</v>
      </c>
      <c r="P1338">
        <v>32</v>
      </c>
      <c r="Q1338">
        <v>0</v>
      </c>
      <c r="R1338" s="1">
        <v>40569</v>
      </c>
      <c r="S1338" t="s">
        <v>37</v>
      </c>
      <c r="T1338" t="str">
        <f t="shared" si="100"/>
        <v>Grade A</v>
      </c>
      <c r="U1338">
        <f t="shared" si="101"/>
        <v>1</v>
      </c>
      <c r="V1338" t="str">
        <f t="shared" si="102"/>
        <v>Senior</v>
      </c>
      <c r="W1338" t="str">
        <f t="shared" si="103"/>
        <v>Already Left</v>
      </c>
      <c r="X1338" t="str">
        <f t="shared" si="104"/>
        <v>Overpaid</v>
      </c>
    </row>
    <row r="1339" spans="1:24" x14ac:dyDescent="0.3">
      <c r="A1339" t="s">
        <v>1407</v>
      </c>
      <c r="B1339" t="s">
        <v>39</v>
      </c>
      <c r="C1339">
        <v>52</v>
      </c>
      <c r="D1339" t="s">
        <v>47</v>
      </c>
      <c r="E1339" t="s">
        <v>40</v>
      </c>
      <c r="F1339" t="s">
        <v>65</v>
      </c>
      <c r="G1339" t="s">
        <v>66</v>
      </c>
      <c r="H1339" t="s">
        <v>67</v>
      </c>
      <c r="I1339" t="s">
        <v>72</v>
      </c>
      <c r="J1339" t="s">
        <v>73</v>
      </c>
      <c r="K1339">
        <v>1</v>
      </c>
      <c r="L1339">
        <v>27832</v>
      </c>
      <c r="M1339" t="s">
        <v>45</v>
      </c>
      <c r="N1339">
        <v>4</v>
      </c>
      <c r="O1339">
        <v>1</v>
      </c>
      <c r="P1339">
        <v>51</v>
      </c>
      <c r="Q1339">
        <v>3</v>
      </c>
      <c r="R1339" s="1">
        <v>44618</v>
      </c>
      <c r="S1339" t="s">
        <v>29</v>
      </c>
      <c r="T1339" t="str">
        <f t="shared" si="100"/>
        <v>Grade D</v>
      </c>
      <c r="U1339">
        <f t="shared" si="101"/>
        <v>2</v>
      </c>
      <c r="V1339" t="str">
        <f t="shared" si="102"/>
        <v>New Joiner</v>
      </c>
      <c r="W1339" t="str">
        <f t="shared" si="103"/>
        <v>Medium Risk</v>
      </c>
      <c r="X1339" t="str">
        <f t="shared" si="104"/>
        <v>Fair</v>
      </c>
    </row>
    <row r="1340" spans="1:24" x14ac:dyDescent="0.3">
      <c r="A1340" t="s">
        <v>1408</v>
      </c>
      <c r="B1340" t="s">
        <v>20</v>
      </c>
      <c r="C1340">
        <v>54</v>
      </c>
      <c r="D1340" t="s">
        <v>88</v>
      </c>
      <c r="E1340" t="s">
        <v>48</v>
      </c>
      <c r="F1340" t="s">
        <v>62</v>
      </c>
      <c r="G1340" t="s">
        <v>66</v>
      </c>
      <c r="H1340" t="s">
        <v>83</v>
      </c>
      <c r="I1340" t="s">
        <v>43</v>
      </c>
      <c r="J1340" t="s">
        <v>44</v>
      </c>
      <c r="K1340">
        <v>4</v>
      </c>
      <c r="L1340">
        <v>46483</v>
      </c>
      <c r="M1340" t="s">
        <v>45</v>
      </c>
      <c r="N1340">
        <v>4</v>
      </c>
      <c r="O1340">
        <v>3</v>
      </c>
      <c r="P1340">
        <v>54</v>
      </c>
      <c r="Q1340">
        <v>2</v>
      </c>
      <c r="R1340" s="1">
        <v>43803</v>
      </c>
      <c r="S1340" t="s">
        <v>29</v>
      </c>
      <c r="T1340" t="str">
        <f t="shared" si="100"/>
        <v>Grade C</v>
      </c>
      <c r="U1340">
        <f t="shared" si="101"/>
        <v>2</v>
      </c>
      <c r="V1340" t="str">
        <f t="shared" si="102"/>
        <v>Junior</v>
      </c>
      <c r="W1340" t="str">
        <f t="shared" si="103"/>
        <v>Medium Risk</v>
      </c>
      <c r="X1340" t="str">
        <f t="shared" si="104"/>
        <v>Fair</v>
      </c>
    </row>
    <row r="1341" spans="1:24" x14ac:dyDescent="0.3">
      <c r="A1341" t="s">
        <v>1409</v>
      </c>
      <c r="B1341" t="s">
        <v>39</v>
      </c>
      <c r="C1341">
        <v>47</v>
      </c>
      <c r="D1341" t="s">
        <v>47</v>
      </c>
      <c r="E1341" t="s">
        <v>48</v>
      </c>
      <c r="F1341" t="s">
        <v>75</v>
      </c>
      <c r="G1341" t="s">
        <v>42</v>
      </c>
      <c r="H1341" t="s">
        <v>83</v>
      </c>
      <c r="I1341" t="s">
        <v>68</v>
      </c>
      <c r="J1341" t="s">
        <v>60</v>
      </c>
      <c r="K1341">
        <v>4</v>
      </c>
      <c r="L1341">
        <v>97822</v>
      </c>
      <c r="M1341" t="s">
        <v>51</v>
      </c>
      <c r="N1341">
        <v>2</v>
      </c>
      <c r="O1341">
        <v>2</v>
      </c>
      <c r="P1341">
        <v>17</v>
      </c>
      <c r="Q1341">
        <v>1</v>
      </c>
      <c r="R1341" s="1">
        <v>43588</v>
      </c>
      <c r="S1341" t="s">
        <v>29</v>
      </c>
      <c r="T1341" t="str">
        <f t="shared" si="100"/>
        <v>Grade A</v>
      </c>
      <c r="U1341">
        <f t="shared" si="101"/>
        <v>4</v>
      </c>
      <c r="V1341" t="str">
        <f t="shared" si="102"/>
        <v>Junior</v>
      </c>
      <c r="W1341" t="str">
        <f t="shared" si="103"/>
        <v>Low Risk</v>
      </c>
      <c r="X1341" t="str">
        <f t="shared" si="104"/>
        <v>Competitive</v>
      </c>
    </row>
    <row r="1342" spans="1:24" x14ac:dyDescent="0.3">
      <c r="A1342" t="s">
        <v>1410</v>
      </c>
      <c r="B1342" t="s">
        <v>20</v>
      </c>
      <c r="C1342">
        <v>49</v>
      </c>
      <c r="D1342" t="s">
        <v>88</v>
      </c>
      <c r="E1342" t="s">
        <v>22</v>
      </c>
      <c r="F1342" t="s">
        <v>53</v>
      </c>
      <c r="G1342" t="s">
        <v>79</v>
      </c>
      <c r="H1342" t="s">
        <v>76</v>
      </c>
      <c r="I1342" t="s">
        <v>68</v>
      </c>
      <c r="J1342" t="s">
        <v>60</v>
      </c>
      <c r="K1342">
        <v>2</v>
      </c>
      <c r="L1342">
        <v>49230</v>
      </c>
      <c r="M1342" t="s">
        <v>51</v>
      </c>
      <c r="N1342">
        <v>4</v>
      </c>
      <c r="O1342">
        <v>1</v>
      </c>
      <c r="P1342">
        <v>64</v>
      </c>
      <c r="Q1342">
        <v>1</v>
      </c>
      <c r="R1342" s="1">
        <v>44229</v>
      </c>
      <c r="S1342" t="s">
        <v>29</v>
      </c>
      <c r="T1342" t="str">
        <f t="shared" si="100"/>
        <v>Grade C</v>
      </c>
      <c r="U1342">
        <f t="shared" si="101"/>
        <v>4</v>
      </c>
      <c r="V1342" t="str">
        <f t="shared" si="102"/>
        <v>New Joiner</v>
      </c>
      <c r="W1342" t="str">
        <f t="shared" si="103"/>
        <v>Low Risk</v>
      </c>
      <c r="X1342" t="str">
        <f t="shared" si="104"/>
        <v>Fair</v>
      </c>
    </row>
    <row r="1343" spans="1:24" x14ac:dyDescent="0.3">
      <c r="A1343" t="s">
        <v>1411</v>
      </c>
      <c r="B1343" t="s">
        <v>39</v>
      </c>
      <c r="C1343">
        <v>24</v>
      </c>
      <c r="D1343" t="s">
        <v>31</v>
      </c>
      <c r="E1343" t="s">
        <v>22</v>
      </c>
      <c r="F1343" t="s">
        <v>62</v>
      </c>
      <c r="G1343" t="s">
        <v>42</v>
      </c>
      <c r="H1343" t="s">
        <v>67</v>
      </c>
      <c r="I1343" t="s">
        <v>50</v>
      </c>
      <c r="J1343" t="s">
        <v>44</v>
      </c>
      <c r="K1343">
        <v>2</v>
      </c>
      <c r="L1343">
        <v>97788</v>
      </c>
      <c r="M1343" t="s">
        <v>45</v>
      </c>
      <c r="N1343">
        <v>1</v>
      </c>
      <c r="O1343">
        <v>4</v>
      </c>
      <c r="P1343">
        <v>11</v>
      </c>
      <c r="Q1343">
        <v>1</v>
      </c>
      <c r="R1343" s="1">
        <v>44356</v>
      </c>
      <c r="S1343" t="s">
        <v>29</v>
      </c>
      <c r="T1343" t="str">
        <f t="shared" si="100"/>
        <v>Grade A</v>
      </c>
      <c r="U1343">
        <f t="shared" si="101"/>
        <v>2</v>
      </c>
      <c r="V1343" t="str">
        <f t="shared" si="102"/>
        <v>New Joiner</v>
      </c>
      <c r="W1343" t="str">
        <f t="shared" si="103"/>
        <v>Medium Risk</v>
      </c>
      <c r="X1343" t="str">
        <f t="shared" si="104"/>
        <v>Fair</v>
      </c>
    </row>
    <row r="1344" spans="1:24" x14ac:dyDescent="0.3">
      <c r="A1344" t="s">
        <v>1412</v>
      </c>
      <c r="B1344" t="s">
        <v>39</v>
      </c>
      <c r="C1344">
        <v>28</v>
      </c>
      <c r="D1344" t="s">
        <v>31</v>
      </c>
      <c r="E1344" t="s">
        <v>22</v>
      </c>
      <c r="F1344" t="s">
        <v>53</v>
      </c>
      <c r="G1344" t="s">
        <v>24</v>
      </c>
      <c r="H1344" t="s">
        <v>67</v>
      </c>
      <c r="I1344" t="s">
        <v>54</v>
      </c>
      <c r="J1344" t="s">
        <v>27</v>
      </c>
      <c r="K1344">
        <v>15</v>
      </c>
      <c r="L1344">
        <v>108540</v>
      </c>
      <c r="M1344" t="s">
        <v>51</v>
      </c>
      <c r="N1344">
        <v>4</v>
      </c>
      <c r="O1344">
        <v>3</v>
      </c>
      <c r="P1344">
        <v>73</v>
      </c>
      <c r="Q1344">
        <v>0</v>
      </c>
      <c r="R1344" s="1">
        <v>39536</v>
      </c>
      <c r="S1344" t="s">
        <v>29</v>
      </c>
      <c r="T1344" t="str">
        <f t="shared" si="100"/>
        <v>Grade A</v>
      </c>
      <c r="U1344">
        <f t="shared" si="101"/>
        <v>4</v>
      </c>
      <c r="V1344" t="str">
        <f t="shared" si="102"/>
        <v>Senior</v>
      </c>
      <c r="W1344" t="str">
        <f t="shared" si="103"/>
        <v>Low Risk</v>
      </c>
      <c r="X1344" t="str">
        <f t="shared" si="104"/>
        <v>Competitive</v>
      </c>
    </row>
    <row r="1345" spans="1:24" x14ac:dyDescent="0.3">
      <c r="A1345" t="s">
        <v>1413</v>
      </c>
      <c r="B1345" t="s">
        <v>39</v>
      </c>
      <c r="C1345">
        <v>27</v>
      </c>
      <c r="D1345" t="s">
        <v>57</v>
      </c>
      <c r="E1345" t="s">
        <v>22</v>
      </c>
      <c r="F1345" t="s">
        <v>75</v>
      </c>
      <c r="G1345" t="s">
        <v>79</v>
      </c>
      <c r="H1345" t="s">
        <v>34</v>
      </c>
      <c r="I1345" t="s">
        <v>50</v>
      </c>
      <c r="J1345" t="s">
        <v>44</v>
      </c>
      <c r="K1345">
        <v>14</v>
      </c>
      <c r="L1345">
        <v>72764</v>
      </c>
      <c r="M1345" t="s">
        <v>51</v>
      </c>
      <c r="N1345">
        <v>4</v>
      </c>
      <c r="O1345">
        <v>1</v>
      </c>
      <c r="P1345">
        <v>53</v>
      </c>
      <c r="Q1345">
        <v>0</v>
      </c>
      <c r="R1345" s="1">
        <v>40173</v>
      </c>
      <c r="S1345" t="s">
        <v>29</v>
      </c>
      <c r="T1345" t="str">
        <f t="shared" si="100"/>
        <v>Grade B</v>
      </c>
      <c r="U1345">
        <f t="shared" si="101"/>
        <v>4</v>
      </c>
      <c r="V1345" t="str">
        <f t="shared" si="102"/>
        <v>Senior</v>
      </c>
      <c r="W1345" t="str">
        <f t="shared" si="103"/>
        <v>Low Risk</v>
      </c>
      <c r="X1345" t="str">
        <f t="shared" si="104"/>
        <v>Fair</v>
      </c>
    </row>
    <row r="1346" spans="1:24" x14ac:dyDescent="0.3">
      <c r="A1346" t="s">
        <v>1414</v>
      </c>
      <c r="B1346" t="s">
        <v>20</v>
      </c>
      <c r="C1346">
        <v>39</v>
      </c>
      <c r="D1346" t="s">
        <v>57</v>
      </c>
      <c r="E1346" t="s">
        <v>40</v>
      </c>
      <c r="F1346" t="s">
        <v>62</v>
      </c>
      <c r="G1346" t="s">
        <v>24</v>
      </c>
      <c r="H1346" t="s">
        <v>34</v>
      </c>
      <c r="I1346" t="s">
        <v>50</v>
      </c>
      <c r="J1346" t="s">
        <v>44</v>
      </c>
      <c r="K1346">
        <v>4</v>
      </c>
      <c r="L1346">
        <v>86541</v>
      </c>
      <c r="M1346" t="s">
        <v>28</v>
      </c>
      <c r="N1346">
        <v>2</v>
      </c>
      <c r="O1346">
        <v>1</v>
      </c>
      <c r="P1346">
        <v>66</v>
      </c>
      <c r="Q1346">
        <v>1</v>
      </c>
      <c r="R1346" s="1">
        <v>43739</v>
      </c>
      <c r="S1346" t="s">
        <v>29</v>
      </c>
      <c r="T1346" t="str">
        <f t="shared" ref="T1346:T1409" si="105">IF(L1346&gt;=80000,"Grade A",IF(L1346&gt;=50000,"Grade B",IF(L1346&gt;=35000,"Grade C","Grade D")))</f>
        <v>Grade A</v>
      </c>
      <c r="U1346">
        <f t="shared" ref="U1346:U1409" si="106">IF(M1346="Excellent",4,IF(M1346="Good",3,IF(M1346="Average",2,1)))</f>
        <v>3</v>
      </c>
      <c r="V1346" t="str">
        <f t="shared" ref="V1346:V1409" si="107">IF(K1346&lt;=2,"New Joiner",IF(K1346&lt;=5,"Junior",IF(K1346&lt;=10,"Mid Level","Senior")))</f>
        <v>Junior</v>
      </c>
      <c r="W1346" t="str">
        <f t="shared" ref="W1346:W1409" si="108">IF(S1346="Yes","Already Left",IF(AND(K1346&lt;=2,M1346="Poor"),"High Risk",IF(AND(K1346&lt;=5,M1346="Average"),"Medium Risk",IF(M1346="Excellent","Low Risk","Medium Risk"))))</f>
        <v>Medium Risk</v>
      </c>
      <c r="X1346" t="str">
        <f t="shared" ref="X1346:X1409" si="109">IF(AND(L1346&gt;=80000,M1346="Excellent"),"Competitive",IF(AND(L1346&gt;=50000,M1346="Good"),"Competitive",IF(AND(L1346&lt;35000,M1346="Excellent"),"Underpaid",IF(AND(L1346&gt;=80000,M1346="Poor"),"Overpaid","Fair"))))</f>
        <v>Competitive</v>
      </c>
    </row>
    <row r="1347" spans="1:24" x14ac:dyDescent="0.3">
      <c r="A1347" t="s">
        <v>1415</v>
      </c>
      <c r="B1347" t="s">
        <v>20</v>
      </c>
      <c r="C1347">
        <v>42</v>
      </c>
      <c r="D1347" t="s">
        <v>31</v>
      </c>
      <c r="E1347" t="s">
        <v>22</v>
      </c>
      <c r="F1347" t="s">
        <v>62</v>
      </c>
      <c r="G1347" t="s">
        <v>58</v>
      </c>
      <c r="H1347" t="s">
        <v>76</v>
      </c>
      <c r="I1347" t="s">
        <v>54</v>
      </c>
      <c r="J1347" t="s">
        <v>27</v>
      </c>
      <c r="K1347">
        <v>4</v>
      </c>
      <c r="L1347">
        <v>100692</v>
      </c>
      <c r="M1347" t="s">
        <v>36</v>
      </c>
      <c r="N1347">
        <v>2</v>
      </c>
      <c r="O1347">
        <v>3</v>
      </c>
      <c r="P1347">
        <v>80</v>
      </c>
      <c r="Q1347">
        <v>2</v>
      </c>
      <c r="R1347" s="1">
        <v>43816</v>
      </c>
      <c r="S1347" t="s">
        <v>29</v>
      </c>
      <c r="T1347" t="str">
        <f t="shared" si="105"/>
        <v>Grade A</v>
      </c>
      <c r="U1347">
        <f t="shared" si="106"/>
        <v>1</v>
      </c>
      <c r="V1347" t="str">
        <f t="shared" si="107"/>
        <v>Junior</v>
      </c>
      <c r="W1347" t="str">
        <f t="shared" si="108"/>
        <v>Medium Risk</v>
      </c>
      <c r="X1347" t="str">
        <f t="shared" si="109"/>
        <v>Overpaid</v>
      </c>
    </row>
    <row r="1348" spans="1:24" x14ac:dyDescent="0.3">
      <c r="A1348" t="s">
        <v>1416</v>
      </c>
      <c r="B1348" t="s">
        <v>39</v>
      </c>
      <c r="C1348">
        <v>32</v>
      </c>
      <c r="D1348" t="s">
        <v>88</v>
      </c>
      <c r="E1348" t="s">
        <v>22</v>
      </c>
      <c r="F1348" t="s">
        <v>32</v>
      </c>
      <c r="G1348" t="s">
        <v>33</v>
      </c>
      <c r="H1348" t="s">
        <v>34</v>
      </c>
      <c r="I1348" t="s">
        <v>26</v>
      </c>
      <c r="J1348" t="s">
        <v>27</v>
      </c>
      <c r="K1348">
        <v>3</v>
      </c>
      <c r="L1348">
        <v>61177</v>
      </c>
      <c r="M1348" t="s">
        <v>28</v>
      </c>
      <c r="N1348">
        <v>4</v>
      </c>
      <c r="O1348">
        <v>2</v>
      </c>
      <c r="P1348">
        <v>54</v>
      </c>
      <c r="Q1348">
        <v>0</v>
      </c>
      <c r="R1348" s="1">
        <v>44105</v>
      </c>
      <c r="S1348" t="s">
        <v>29</v>
      </c>
      <c r="T1348" t="str">
        <f t="shared" si="105"/>
        <v>Grade B</v>
      </c>
      <c r="U1348">
        <f t="shared" si="106"/>
        <v>3</v>
      </c>
      <c r="V1348" t="str">
        <f t="shared" si="107"/>
        <v>Junior</v>
      </c>
      <c r="W1348" t="str">
        <f t="shared" si="108"/>
        <v>Medium Risk</v>
      </c>
      <c r="X1348" t="str">
        <f t="shared" si="109"/>
        <v>Competitive</v>
      </c>
    </row>
    <row r="1349" spans="1:24" x14ac:dyDescent="0.3">
      <c r="A1349" t="s">
        <v>1417</v>
      </c>
      <c r="B1349" t="s">
        <v>20</v>
      </c>
      <c r="C1349">
        <v>32</v>
      </c>
      <c r="D1349" t="s">
        <v>57</v>
      </c>
      <c r="E1349" t="s">
        <v>22</v>
      </c>
      <c r="F1349" t="s">
        <v>75</v>
      </c>
      <c r="G1349" t="s">
        <v>63</v>
      </c>
      <c r="H1349" t="s">
        <v>83</v>
      </c>
      <c r="I1349" t="s">
        <v>80</v>
      </c>
      <c r="J1349" t="s">
        <v>60</v>
      </c>
      <c r="K1349">
        <v>14</v>
      </c>
      <c r="L1349">
        <v>76755</v>
      </c>
      <c r="M1349" t="s">
        <v>28</v>
      </c>
      <c r="N1349">
        <v>3</v>
      </c>
      <c r="O1349">
        <v>3</v>
      </c>
      <c r="P1349">
        <v>36</v>
      </c>
      <c r="Q1349">
        <v>3</v>
      </c>
      <c r="R1349" s="1">
        <v>39980</v>
      </c>
      <c r="S1349" t="s">
        <v>29</v>
      </c>
      <c r="T1349" t="str">
        <f t="shared" si="105"/>
        <v>Grade B</v>
      </c>
      <c r="U1349">
        <f t="shared" si="106"/>
        <v>3</v>
      </c>
      <c r="V1349" t="str">
        <f t="shared" si="107"/>
        <v>Senior</v>
      </c>
      <c r="W1349" t="str">
        <f t="shared" si="108"/>
        <v>Medium Risk</v>
      </c>
      <c r="X1349" t="str">
        <f t="shared" si="109"/>
        <v>Competitive</v>
      </c>
    </row>
    <row r="1350" spans="1:24" x14ac:dyDescent="0.3">
      <c r="A1350" t="s">
        <v>1418</v>
      </c>
      <c r="B1350" t="s">
        <v>39</v>
      </c>
      <c r="C1350">
        <v>48</v>
      </c>
      <c r="D1350" t="s">
        <v>57</v>
      </c>
      <c r="E1350" t="s">
        <v>48</v>
      </c>
      <c r="F1350" t="s">
        <v>65</v>
      </c>
      <c r="G1350" t="s">
        <v>58</v>
      </c>
      <c r="H1350" t="s">
        <v>83</v>
      </c>
      <c r="I1350" t="s">
        <v>80</v>
      </c>
      <c r="J1350" t="s">
        <v>60</v>
      </c>
      <c r="K1350">
        <v>12</v>
      </c>
      <c r="L1350">
        <v>115569</v>
      </c>
      <c r="M1350" t="s">
        <v>36</v>
      </c>
      <c r="N1350">
        <v>4</v>
      </c>
      <c r="O1350">
        <v>1</v>
      </c>
      <c r="P1350">
        <v>31</v>
      </c>
      <c r="Q1350">
        <v>0</v>
      </c>
      <c r="R1350" s="1">
        <v>40758</v>
      </c>
      <c r="S1350" t="s">
        <v>37</v>
      </c>
      <c r="T1350" t="str">
        <f t="shared" si="105"/>
        <v>Grade A</v>
      </c>
      <c r="U1350">
        <f t="shared" si="106"/>
        <v>1</v>
      </c>
      <c r="V1350" t="str">
        <f t="shared" si="107"/>
        <v>Senior</v>
      </c>
      <c r="W1350" t="str">
        <f t="shared" si="108"/>
        <v>Already Left</v>
      </c>
      <c r="X1350" t="str">
        <f t="shared" si="109"/>
        <v>Overpaid</v>
      </c>
    </row>
    <row r="1351" spans="1:24" x14ac:dyDescent="0.3">
      <c r="A1351" t="s">
        <v>1419</v>
      </c>
      <c r="B1351" t="s">
        <v>20</v>
      </c>
      <c r="C1351">
        <v>41</v>
      </c>
      <c r="D1351" t="s">
        <v>47</v>
      </c>
      <c r="E1351" t="s">
        <v>40</v>
      </c>
      <c r="F1351" t="s">
        <v>23</v>
      </c>
      <c r="G1351" t="s">
        <v>58</v>
      </c>
      <c r="H1351" t="s">
        <v>83</v>
      </c>
      <c r="I1351" t="s">
        <v>35</v>
      </c>
      <c r="J1351" t="s">
        <v>27</v>
      </c>
      <c r="K1351">
        <v>10</v>
      </c>
      <c r="L1351">
        <v>100436</v>
      </c>
      <c r="M1351" t="s">
        <v>28</v>
      </c>
      <c r="N1351">
        <v>1</v>
      </c>
      <c r="O1351">
        <v>3</v>
      </c>
      <c r="P1351">
        <v>43</v>
      </c>
      <c r="Q1351">
        <v>0</v>
      </c>
      <c r="R1351" s="1">
        <v>41603</v>
      </c>
      <c r="S1351" t="s">
        <v>29</v>
      </c>
      <c r="T1351" t="str">
        <f t="shared" si="105"/>
        <v>Grade A</v>
      </c>
      <c r="U1351">
        <f t="shared" si="106"/>
        <v>3</v>
      </c>
      <c r="V1351" t="str">
        <f t="shared" si="107"/>
        <v>Mid Level</v>
      </c>
      <c r="W1351" t="str">
        <f t="shared" si="108"/>
        <v>Medium Risk</v>
      </c>
      <c r="X1351" t="str">
        <f t="shared" si="109"/>
        <v>Competitive</v>
      </c>
    </row>
    <row r="1352" spans="1:24" x14ac:dyDescent="0.3">
      <c r="A1352" t="s">
        <v>1420</v>
      </c>
      <c r="B1352" t="s">
        <v>39</v>
      </c>
      <c r="C1352">
        <v>32</v>
      </c>
      <c r="D1352" t="s">
        <v>47</v>
      </c>
      <c r="E1352" t="s">
        <v>48</v>
      </c>
      <c r="F1352" t="s">
        <v>32</v>
      </c>
      <c r="G1352" t="s">
        <v>49</v>
      </c>
      <c r="H1352" t="s">
        <v>67</v>
      </c>
      <c r="I1352" t="s">
        <v>54</v>
      </c>
      <c r="J1352" t="s">
        <v>27</v>
      </c>
      <c r="K1352">
        <v>6</v>
      </c>
      <c r="L1352">
        <v>60102</v>
      </c>
      <c r="M1352" t="s">
        <v>28</v>
      </c>
      <c r="N1352">
        <v>1</v>
      </c>
      <c r="O1352">
        <v>1</v>
      </c>
      <c r="P1352">
        <v>29</v>
      </c>
      <c r="Q1352">
        <v>2</v>
      </c>
      <c r="R1352" s="1">
        <v>43014</v>
      </c>
      <c r="S1352" t="s">
        <v>29</v>
      </c>
      <c r="T1352" t="str">
        <f t="shared" si="105"/>
        <v>Grade B</v>
      </c>
      <c r="U1352">
        <f t="shared" si="106"/>
        <v>3</v>
      </c>
      <c r="V1352" t="str">
        <f t="shared" si="107"/>
        <v>Mid Level</v>
      </c>
      <c r="W1352" t="str">
        <f t="shared" si="108"/>
        <v>Medium Risk</v>
      </c>
      <c r="X1352" t="str">
        <f t="shared" si="109"/>
        <v>Competitive</v>
      </c>
    </row>
    <row r="1353" spans="1:24" x14ac:dyDescent="0.3">
      <c r="A1353" t="s">
        <v>1421</v>
      </c>
      <c r="B1353" t="s">
        <v>39</v>
      </c>
      <c r="C1353">
        <v>36</v>
      </c>
      <c r="D1353" t="s">
        <v>57</v>
      </c>
      <c r="E1353" t="s">
        <v>40</v>
      </c>
      <c r="F1353" t="s">
        <v>65</v>
      </c>
      <c r="G1353" t="s">
        <v>49</v>
      </c>
      <c r="H1353" t="s">
        <v>83</v>
      </c>
      <c r="I1353" t="s">
        <v>72</v>
      </c>
      <c r="J1353" t="s">
        <v>73</v>
      </c>
      <c r="K1353">
        <v>10</v>
      </c>
      <c r="L1353">
        <v>71063</v>
      </c>
      <c r="M1353" t="s">
        <v>51</v>
      </c>
      <c r="N1353">
        <v>3</v>
      </c>
      <c r="O1353">
        <v>2</v>
      </c>
      <c r="P1353">
        <v>34</v>
      </c>
      <c r="Q1353">
        <v>1</v>
      </c>
      <c r="R1353" s="1">
        <v>41474</v>
      </c>
      <c r="S1353" t="s">
        <v>29</v>
      </c>
      <c r="T1353" t="str">
        <f t="shared" si="105"/>
        <v>Grade B</v>
      </c>
      <c r="U1353">
        <f t="shared" si="106"/>
        <v>4</v>
      </c>
      <c r="V1353" t="str">
        <f t="shared" si="107"/>
        <v>Mid Level</v>
      </c>
      <c r="W1353" t="str">
        <f t="shared" si="108"/>
        <v>Low Risk</v>
      </c>
      <c r="X1353" t="str">
        <f t="shared" si="109"/>
        <v>Fair</v>
      </c>
    </row>
    <row r="1354" spans="1:24" x14ac:dyDescent="0.3">
      <c r="A1354" t="s">
        <v>1422</v>
      </c>
      <c r="B1354" t="s">
        <v>39</v>
      </c>
      <c r="C1354">
        <v>23</v>
      </c>
      <c r="D1354" t="s">
        <v>31</v>
      </c>
      <c r="E1354" t="s">
        <v>40</v>
      </c>
      <c r="F1354" t="s">
        <v>53</v>
      </c>
      <c r="G1354" t="s">
        <v>24</v>
      </c>
      <c r="H1354" t="s">
        <v>25</v>
      </c>
      <c r="I1354" t="s">
        <v>59</v>
      </c>
      <c r="J1354" t="s">
        <v>60</v>
      </c>
      <c r="K1354">
        <v>7</v>
      </c>
      <c r="L1354">
        <v>98401</v>
      </c>
      <c r="M1354" t="s">
        <v>28</v>
      </c>
      <c r="N1354">
        <v>2</v>
      </c>
      <c r="O1354">
        <v>1</v>
      </c>
      <c r="P1354">
        <v>26</v>
      </c>
      <c r="Q1354">
        <v>2</v>
      </c>
      <c r="R1354" s="1">
        <v>42670</v>
      </c>
      <c r="S1354" t="s">
        <v>29</v>
      </c>
      <c r="T1354" t="str">
        <f t="shared" si="105"/>
        <v>Grade A</v>
      </c>
      <c r="U1354">
        <f t="shared" si="106"/>
        <v>3</v>
      </c>
      <c r="V1354" t="str">
        <f t="shared" si="107"/>
        <v>Mid Level</v>
      </c>
      <c r="W1354" t="str">
        <f t="shared" si="108"/>
        <v>Medium Risk</v>
      </c>
      <c r="X1354" t="str">
        <f t="shared" si="109"/>
        <v>Competitive</v>
      </c>
    </row>
    <row r="1355" spans="1:24" x14ac:dyDescent="0.3">
      <c r="A1355" t="s">
        <v>1423</v>
      </c>
      <c r="B1355" t="s">
        <v>39</v>
      </c>
      <c r="C1355">
        <v>25</v>
      </c>
      <c r="D1355" t="s">
        <v>21</v>
      </c>
      <c r="E1355" t="s">
        <v>22</v>
      </c>
      <c r="F1355" t="s">
        <v>41</v>
      </c>
      <c r="G1355" t="s">
        <v>66</v>
      </c>
      <c r="H1355" t="s">
        <v>67</v>
      </c>
      <c r="I1355" t="s">
        <v>80</v>
      </c>
      <c r="J1355" t="s">
        <v>60</v>
      </c>
      <c r="K1355">
        <v>8</v>
      </c>
      <c r="L1355">
        <v>60609</v>
      </c>
      <c r="M1355" t="s">
        <v>51</v>
      </c>
      <c r="N1355">
        <v>2</v>
      </c>
      <c r="O1355">
        <v>4</v>
      </c>
      <c r="P1355">
        <v>61</v>
      </c>
      <c r="Q1355">
        <v>1</v>
      </c>
      <c r="R1355" s="1">
        <v>42212</v>
      </c>
      <c r="S1355" t="s">
        <v>29</v>
      </c>
      <c r="T1355" t="str">
        <f t="shared" si="105"/>
        <v>Grade B</v>
      </c>
      <c r="U1355">
        <f t="shared" si="106"/>
        <v>4</v>
      </c>
      <c r="V1355" t="str">
        <f t="shared" si="107"/>
        <v>Mid Level</v>
      </c>
      <c r="W1355" t="str">
        <f t="shared" si="108"/>
        <v>Low Risk</v>
      </c>
      <c r="X1355" t="str">
        <f t="shared" si="109"/>
        <v>Fair</v>
      </c>
    </row>
    <row r="1356" spans="1:24" x14ac:dyDescent="0.3">
      <c r="A1356" t="s">
        <v>1424</v>
      </c>
      <c r="B1356" t="s">
        <v>39</v>
      </c>
      <c r="C1356">
        <v>46</v>
      </c>
      <c r="D1356" t="s">
        <v>47</v>
      </c>
      <c r="E1356" t="s">
        <v>40</v>
      </c>
      <c r="F1356" t="s">
        <v>78</v>
      </c>
      <c r="G1356" t="s">
        <v>66</v>
      </c>
      <c r="H1356" t="s">
        <v>76</v>
      </c>
      <c r="I1356" t="s">
        <v>26</v>
      </c>
      <c r="J1356" t="s">
        <v>27</v>
      </c>
      <c r="K1356">
        <v>10</v>
      </c>
      <c r="L1356">
        <v>54104</v>
      </c>
      <c r="M1356" t="s">
        <v>45</v>
      </c>
      <c r="N1356">
        <v>3</v>
      </c>
      <c r="O1356">
        <v>1</v>
      </c>
      <c r="P1356">
        <v>36</v>
      </c>
      <c r="Q1356">
        <v>3</v>
      </c>
      <c r="R1356" s="1">
        <v>41609</v>
      </c>
      <c r="S1356" t="s">
        <v>29</v>
      </c>
      <c r="T1356" t="str">
        <f t="shared" si="105"/>
        <v>Grade B</v>
      </c>
      <c r="U1356">
        <f t="shared" si="106"/>
        <v>2</v>
      </c>
      <c r="V1356" t="str">
        <f t="shared" si="107"/>
        <v>Mid Level</v>
      </c>
      <c r="W1356" t="str">
        <f t="shared" si="108"/>
        <v>Medium Risk</v>
      </c>
      <c r="X1356" t="str">
        <f t="shared" si="109"/>
        <v>Fair</v>
      </c>
    </row>
    <row r="1357" spans="1:24" x14ac:dyDescent="0.3">
      <c r="A1357" t="s">
        <v>1425</v>
      </c>
      <c r="B1357" t="s">
        <v>39</v>
      </c>
      <c r="C1357">
        <v>28</v>
      </c>
      <c r="D1357" t="s">
        <v>57</v>
      </c>
      <c r="E1357" t="s">
        <v>48</v>
      </c>
      <c r="F1357" t="s">
        <v>41</v>
      </c>
      <c r="G1357" t="s">
        <v>63</v>
      </c>
      <c r="H1357" t="s">
        <v>34</v>
      </c>
      <c r="I1357" t="s">
        <v>72</v>
      </c>
      <c r="J1357" t="s">
        <v>73</v>
      </c>
      <c r="K1357">
        <v>3</v>
      </c>
      <c r="L1357">
        <v>55625</v>
      </c>
      <c r="M1357" t="s">
        <v>28</v>
      </c>
      <c r="N1357">
        <v>2</v>
      </c>
      <c r="O1357">
        <v>4</v>
      </c>
      <c r="P1357">
        <v>26</v>
      </c>
      <c r="Q1357">
        <v>3</v>
      </c>
      <c r="R1357" s="1">
        <v>43838</v>
      </c>
      <c r="S1357" t="s">
        <v>37</v>
      </c>
      <c r="T1357" t="str">
        <f t="shared" si="105"/>
        <v>Grade B</v>
      </c>
      <c r="U1357">
        <f t="shared" si="106"/>
        <v>3</v>
      </c>
      <c r="V1357" t="str">
        <f t="shared" si="107"/>
        <v>Junior</v>
      </c>
      <c r="W1357" t="str">
        <f t="shared" si="108"/>
        <v>Already Left</v>
      </c>
      <c r="X1357" t="str">
        <f t="shared" si="109"/>
        <v>Competitive</v>
      </c>
    </row>
    <row r="1358" spans="1:24" x14ac:dyDescent="0.3">
      <c r="A1358" t="s">
        <v>1426</v>
      </c>
      <c r="B1358" t="s">
        <v>39</v>
      </c>
      <c r="C1358">
        <v>23</v>
      </c>
      <c r="D1358" t="s">
        <v>88</v>
      </c>
      <c r="E1358" t="s">
        <v>48</v>
      </c>
      <c r="F1358" t="s">
        <v>78</v>
      </c>
      <c r="G1358" t="s">
        <v>63</v>
      </c>
      <c r="H1358" t="s">
        <v>25</v>
      </c>
      <c r="I1358" t="s">
        <v>80</v>
      </c>
      <c r="J1358" t="s">
        <v>60</v>
      </c>
      <c r="K1358">
        <v>11</v>
      </c>
      <c r="L1358">
        <v>65253</v>
      </c>
      <c r="M1358" t="s">
        <v>28</v>
      </c>
      <c r="N1358">
        <v>1</v>
      </c>
      <c r="O1358">
        <v>4</v>
      </c>
      <c r="P1358">
        <v>39</v>
      </c>
      <c r="Q1358">
        <v>0</v>
      </c>
      <c r="R1358" s="1">
        <v>41225</v>
      </c>
      <c r="S1358" t="s">
        <v>29</v>
      </c>
      <c r="T1358" t="str">
        <f t="shared" si="105"/>
        <v>Grade B</v>
      </c>
      <c r="U1358">
        <f t="shared" si="106"/>
        <v>3</v>
      </c>
      <c r="V1358" t="str">
        <f t="shared" si="107"/>
        <v>Senior</v>
      </c>
      <c r="W1358" t="str">
        <f t="shared" si="108"/>
        <v>Medium Risk</v>
      </c>
      <c r="X1358" t="str">
        <f t="shared" si="109"/>
        <v>Competitive</v>
      </c>
    </row>
    <row r="1359" spans="1:24" x14ac:dyDescent="0.3">
      <c r="A1359" t="s">
        <v>1427</v>
      </c>
      <c r="B1359" t="s">
        <v>39</v>
      </c>
      <c r="C1359">
        <v>28</v>
      </c>
      <c r="D1359" t="s">
        <v>21</v>
      </c>
      <c r="E1359" t="s">
        <v>48</v>
      </c>
      <c r="F1359" t="s">
        <v>53</v>
      </c>
      <c r="G1359" t="s">
        <v>24</v>
      </c>
      <c r="H1359" t="s">
        <v>34</v>
      </c>
      <c r="I1359" t="s">
        <v>50</v>
      </c>
      <c r="J1359" t="s">
        <v>44</v>
      </c>
      <c r="K1359">
        <v>6</v>
      </c>
      <c r="L1359">
        <v>85863</v>
      </c>
      <c r="M1359" t="s">
        <v>45</v>
      </c>
      <c r="N1359">
        <v>2</v>
      </c>
      <c r="O1359">
        <v>3</v>
      </c>
      <c r="P1359">
        <v>55</v>
      </c>
      <c r="Q1359">
        <v>0</v>
      </c>
      <c r="R1359" s="1">
        <v>43005</v>
      </c>
      <c r="S1359" t="s">
        <v>37</v>
      </c>
      <c r="T1359" t="str">
        <f t="shared" si="105"/>
        <v>Grade A</v>
      </c>
      <c r="U1359">
        <f t="shared" si="106"/>
        <v>2</v>
      </c>
      <c r="V1359" t="str">
        <f t="shared" si="107"/>
        <v>Mid Level</v>
      </c>
      <c r="W1359" t="str">
        <f t="shared" si="108"/>
        <v>Already Left</v>
      </c>
      <c r="X1359" t="str">
        <f t="shared" si="109"/>
        <v>Fair</v>
      </c>
    </row>
    <row r="1360" spans="1:24" x14ac:dyDescent="0.3">
      <c r="A1360" t="s">
        <v>1428</v>
      </c>
      <c r="B1360" t="s">
        <v>39</v>
      </c>
      <c r="C1360">
        <v>41</v>
      </c>
      <c r="D1360" t="s">
        <v>47</v>
      </c>
      <c r="E1360" t="s">
        <v>40</v>
      </c>
      <c r="F1360" t="s">
        <v>41</v>
      </c>
      <c r="G1360" t="s">
        <v>24</v>
      </c>
      <c r="H1360" t="s">
        <v>25</v>
      </c>
      <c r="I1360" t="s">
        <v>72</v>
      </c>
      <c r="J1360" t="s">
        <v>73</v>
      </c>
      <c r="K1360">
        <v>12</v>
      </c>
      <c r="L1360">
        <v>92288</v>
      </c>
      <c r="M1360" t="s">
        <v>28</v>
      </c>
      <c r="N1360">
        <v>1</v>
      </c>
      <c r="O1360">
        <v>4</v>
      </c>
      <c r="P1360">
        <v>72</v>
      </c>
      <c r="Q1360">
        <v>3</v>
      </c>
      <c r="R1360" s="1">
        <v>40585</v>
      </c>
      <c r="S1360" t="s">
        <v>29</v>
      </c>
      <c r="T1360" t="str">
        <f t="shared" si="105"/>
        <v>Grade A</v>
      </c>
      <c r="U1360">
        <f t="shared" si="106"/>
        <v>3</v>
      </c>
      <c r="V1360" t="str">
        <f t="shared" si="107"/>
        <v>Senior</v>
      </c>
      <c r="W1360" t="str">
        <f t="shared" si="108"/>
        <v>Medium Risk</v>
      </c>
      <c r="X1360" t="str">
        <f t="shared" si="109"/>
        <v>Competitive</v>
      </c>
    </row>
    <row r="1361" spans="1:24" x14ac:dyDescent="0.3">
      <c r="A1361" t="s">
        <v>1429</v>
      </c>
      <c r="B1361" t="s">
        <v>39</v>
      </c>
      <c r="C1361">
        <v>38</v>
      </c>
      <c r="D1361" t="s">
        <v>31</v>
      </c>
      <c r="E1361" t="s">
        <v>40</v>
      </c>
      <c r="F1361" t="s">
        <v>62</v>
      </c>
      <c r="G1361" t="s">
        <v>42</v>
      </c>
      <c r="H1361" t="s">
        <v>76</v>
      </c>
      <c r="I1361" t="s">
        <v>68</v>
      </c>
      <c r="J1361" t="s">
        <v>60</v>
      </c>
      <c r="K1361">
        <v>6</v>
      </c>
      <c r="L1361">
        <v>101302</v>
      </c>
      <c r="M1361" t="s">
        <v>28</v>
      </c>
      <c r="N1361">
        <v>1</v>
      </c>
      <c r="O1361">
        <v>2</v>
      </c>
      <c r="P1361">
        <v>10</v>
      </c>
      <c r="Q1361">
        <v>2</v>
      </c>
      <c r="R1361" s="1">
        <v>43055</v>
      </c>
      <c r="S1361" t="s">
        <v>29</v>
      </c>
      <c r="T1361" t="str">
        <f t="shared" si="105"/>
        <v>Grade A</v>
      </c>
      <c r="U1361">
        <f t="shared" si="106"/>
        <v>3</v>
      </c>
      <c r="V1361" t="str">
        <f t="shared" si="107"/>
        <v>Mid Level</v>
      </c>
      <c r="W1361" t="str">
        <f t="shared" si="108"/>
        <v>Medium Risk</v>
      </c>
      <c r="X1361" t="str">
        <f t="shared" si="109"/>
        <v>Competitive</v>
      </c>
    </row>
    <row r="1362" spans="1:24" x14ac:dyDescent="0.3">
      <c r="A1362" t="s">
        <v>1430</v>
      </c>
      <c r="B1362" t="s">
        <v>39</v>
      </c>
      <c r="C1362">
        <v>37</v>
      </c>
      <c r="D1362" t="s">
        <v>47</v>
      </c>
      <c r="E1362" t="s">
        <v>40</v>
      </c>
      <c r="F1362" t="s">
        <v>78</v>
      </c>
      <c r="G1362" t="s">
        <v>33</v>
      </c>
      <c r="H1362" t="s">
        <v>76</v>
      </c>
      <c r="I1362" t="s">
        <v>35</v>
      </c>
      <c r="J1362" t="s">
        <v>27</v>
      </c>
      <c r="K1362">
        <v>7</v>
      </c>
      <c r="L1362">
        <v>76524</v>
      </c>
      <c r="M1362" t="s">
        <v>51</v>
      </c>
      <c r="N1362">
        <v>4</v>
      </c>
      <c r="O1362">
        <v>3</v>
      </c>
      <c r="P1362">
        <v>22</v>
      </c>
      <c r="Q1362">
        <v>2</v>
      </c>
      <c r="R1362" s="1">
        <v>42636</v>
      </c>
      <c r="S1362" t="s">
        <v>29</v>
      </c>
      <c r="T1362" t="str">
        <f t="shared" si="105"/>
        <v>Grade B</v>
      </c>
      <c r="U1362">
        <f t="shared" si="106"/>
        <v>4</v>
      </c>
      <c r="V1362" t="str">
        <f t="shared" si="107"/>
        <v>Mid Level</v>
      </c>
      <c r="W1362" t="str">
        <f t="shared" si="108"/>
        <v>Low Risk</v>
      </c>
      <c r="X1362" t="str">
        <f t="shared" si="109"/>
        <v>Fair</v>
      </c>
    </row>
    <row r="1363" spans="1:24" x14ac:dyDescent="0.3">
      <c r="A1363" t="s">
        <v>1431</v>
      </c>
      <c r="B1363" t="s">
        <v>20</v>
      </c>
      <c r="C1363">
        <v>54</v>
      </c>
      <c r="D1363" t="s">
        <v>31</v>
      </c>
      <c r="E1363" t="s">
        <v>40</v>
      </c>
      <c r="F1363" t="s">
        <v>23</v>
      </c>
      <c r="G1363" t="s">
        <v>42</v>
      </c>
      <c r="H1363" t="s">
        <v>67</v>
      </c>
      <c r="I1363" t="s">
        <v>54</v>
      </c>
      <c r="J1363" t="s">
        <v>27</v>
      </c>
      <c r="K1363">
        <v>8</v>
      </c>
      <c r="L1363">
        <v>115198</v>
      </c>
      <c r="M1363" t="s">
        <v>45</v>
      </c>
      <c r="N1363">
        <v>2</v>
      </c>
      <c r="O1363">
        <v>2</v>
      </c>
      <c r="P1363">
        <v>51</v>
      </c>
      <c r="Q1363">
        <v>3</v>
      </c>
      <c r="R1363" s="1">
        <v>42343</v>
      </c>
      <c r="S1363" t="s">
        <v>29</v>
      </c>
      <c r="T1363" t="str">
        <f t="shared" si="105"/>
        <v>Grade A</v>
      </c>
      <c r="U1363">
        <f t="shared" si="106"/>
        <v>2</v>
      </c>
      <c r="V1363" t="str">
        <f t="shared" si="107"/>
        <v>Mid Level</v>
      </c>
      <c r="W1363" t="str">
        <f t="shared" si="108"/>
        <v>Medium Risk</v>
      </c>
      <c r="X1363" t="str">
        <f t="shared" si="109"/>
        <v>Fair</v>
      </c>
    </row>
    <row r="1364" spans="1:24" x14ac:dyDescent="0.3">
      <c r="A1364" t="s">
        <v>1432</v>
      </c>
      <c r="B1364" t="s">
        <v>39</v>
      </c>
      <c r="C1364">
        <v>45</v>
      </c>
      <c r="D1364" t="s">
        <v>31</v>
      </c>
      <c r="E1364" t="s">
        <v>22</v>
      </c>
      <c r="F1364" t="s">
        <v>53</v>
      </c>
      <c r="G1364" t="s">
        <v>42</v>
      </c>
      <c r="H1364" t="s">
        <v>76</v>
      </c>
      <c r="I1364" t="s">
        <v>96</v>
      </c>
      <c r="J1364" t="s">
        <v>44</v>
      </c>
      <c r="K1364">
        <v>1</v>
      </c>
      <c r="L1364">
        <v>100038</v>
      </c>
      <c r="M1364" t="s">
        <v>28</v>
      </c>
      <c r="N1364">
        <v>3</v>
      </c>
      <c r="O1364">
        <v>3</v>
      </c>
      <c r="P1364">
        <v>20</v>
      </c>
      <c r="Q1364">
        <v>3</v>
      </c>
      <c r="R1364" s="1">
        <v>44863</v>
      </c>
      <c r="S1364" t="s">
        <v>29</v>
      </c>
      <c r="T1364" t="str">
        <f t="shared" si="105"/>
        <v>Grade A</v>
      </c>
      <c r="U1364">
        <f t="shared" si="106"/>
        <v>3</v>
      </c>
      <c r="V1364" t="str">
        <f t="shared" si="107"/>
        <v>New Joiner</v>
      </c>
      <c r="W1364" t="str">
        <f t="shared" si="108"/>
        <v>Medium Risk</v>
      </c>
      <c r="X1364" t="str">
        <f t="shared" si="109"/>
        <v>Competitive</v>
      </c>
    </row>
    <row r="1365" spans="1:24" x14ac:dyDescent="0.3">
      <c r="A1365" t="s">
        <v>1433</v>
      </c>
      <c r="B1365" t="s">
        <v>39</v>
      </c>
      <c r="C1365">
        <v>44</v>
      </c>
      <c r="D1365" t="s">
        <v>57</v>
      </c>
      <c r="E1365" t="s">
        <v>22</v>
      </c>
      <c r="F1365" t="s">
        <v>53</v>
      </c>
      <c r="G1365" t="s">
        <v>66</v>
      </c>
      <c r="H1365" t="s">
        <v>67</v>
      </c>
      <c r="I1365" t="s">
        <v>68</v>
      </c>
      <c r="J1365" t="s">
        <v>60</v>
      </c>
      <c r="K1365">
        <v>14</v>
      </c>
      <c r="L1365">
        <v>53282</v>
      </c>
      <c r="M1365" t="s">
        <v>28</v>
      </c>
      <c r="N1365">
        <v>3</v>
      </c>
      <c r="O1365">
        <v>4</v>
      </c>
      <c r="P1365">
        <v>32</v>
      </c>
      <c r="Q1365">
        <v>3</v>
      </c>
      <c r="R1365" s="1">
        <v>39909</v>
      </c>
      <c r="S1365" t="s">
        <v>37</v>
      </c>
      <c r="T1365" t="str">
        <f t="shared" si="105"/>
        <v>Grade B</v>
      </c>
      <c r="U1365">
        <f t="shared" si="106"/>
        <v>3</v>
      </c>
      <c r="V1365" t="str">
        <f t="shared" si="107"/>
        <v>Senior</v>
      </c>
      <c r="W1365" t="str">
        <f t="shared" si="108"/>
        <v>Already Left</v>
      </c>
      <c r="X1365" t="str">
        <f t="shared" si="109"/>
        <v>Competitive</v>
      </c>
    </row>
    <row r="1366" spans="1:24" x14ac:dyDescent="0.3">
      <c r="A1366" t="s">
        <v>1434</v>
      </c>
      <c r="B1366" t="s">
        <v>39</v>
      </c>
      <c r="C1366">
        <v>40</v>
      </c>
      <c r="D1366" t="s">
        <v>88</v>
      </c>
      <c r="E1366" t="s">
        <v>40</v>
      </c>
      <c r="F1366" t="s">
        <v>62</v>
      </c>
      <c r="G1366" t="s">
        <v>24</v>
      </c>
      <c r="H1366" t="s">
        <v>67</v>
      </c>
      <c r="I1366" t="s">
        <v>59</v>
      </c>
      <c r="J1366" t="s">
        <v>60</v>
      </c>
      <c r="K1366">
        <v>2</v>
      </c>
      <c r="L1366">
        <v>74325</v>
      </c>
      <c r="M1366" t="s">
        <v>51</v>
      </c>
      <c r="N1366">
        <v>2</v>
      </c>
      <c r="O1366">
        <v>1</v>
      </c>
      <c r="P1366">
        <v>11</v>
      </c>
      <c r="Q1366">
        <v>3</v>
      </c>
      <c r="R1366" s="1">
        <v>44422</v>
      </c>
      <c r="S1366" t="s">
        <v>29</v>
      </c>
      <c r="T1366" t="str">
        <f t="shared" si="105"/>
        <v>Grade B</v>
      </c>
      <c r="U1366">
        <f t="shared" si="106"/>
        <v>4</v>
      </c>
      <c r="V1366" t="str">
        <f t="shared" si="107"/>
        <v>New Joiner</v>
      </c>
      <c r="W1366" t="str">
        <f t="shared" si="108"/>
        <v>Low Risk</v>
      </c>
      <c r="X1366" t="str">
        <f t="shared" si="109"/>
        <v>Fair</v>
      </c>
    </row>
    <row r="1367" spans="1:24" x14ac:dyDescent="0.3">
      <c r="A1367" t="s">
        <v>1435</v>
      </c>
      <c r="B1367" t="s">
        <v>20</v>
      </c>
      <c r="C1367">
        <v>25</v>
      </c>
      <c r="D1367" t="s">
        <v>88</v>
      </c>
      <c r="E1367" t="s">
        <v>48</v>
      </c>
      <c r="F1367" t="s">
        <v>53</v>
      </c>
      <c r="G1367" t="s">
        <v>63</v>
      </c>
      <c r="H1367" t="s">
        <v>76</v>
      </c>
      <c r="I1367" t="s">
        <v>43</v>
      </c>
      <c r="J1367" t="s">
        <v>44</v>
      </c>
      <c r="K1367">
        <v>3</v>
      </c>
      <c r="L1367">
        <v>54058</v>
      </c>
      <c r="M1367" t="s">
        <v>51</v>
      </c>
      <c r="N1367">
        <v>4</v>
      </c>
      <c r="O1367">
        <v>2</v>
      </c>
      <c r="P1367">
        <v>33</v>
      </c>
      <c r="Q1367">
        <v>0</v>
      </c>
      <c r="R1367" s="1">
        <v>44063</v>
      </c>
      <c r="S1367" t="s">
        <v>37</v>
      </c>
      <c r="T1367" t="str">
        <f t="shared" si="105"/>
        <v>Grade B</v>
      </c>
      <c r="U1367">
        <f t="shared" si="106"/>
        <v>4</v>
      </c>
      <c r="V1367" t="str">
        <f t="shared" si="107"/>
        <v>Junior</v>
      </c>
      <c r="W1367" t="str">
        <f t="shared" si="108"/>
        <v>Already Left</v>
      </c>
      <c r="X1367" t="str">
        <f t="shared" si="109"/>
        <v>Fair</v>
      </c>
    </row>
    <row r="1368" spans="1:24" x14ac:dyDescent="0.3">
      <c r="A1368" t="s">
        <v>1436</v>
      </c>
      <c r="B1368" t="s">
        <v>39</v>
      </c>
      <c r="C1368">
        <v>37</v>
      </c>
      <c r="D1368" t="s">
        <v>31</v>
      </c>
      <c r="E1368" t="s">
        <v>22</v>
      </c>
      <c r="F1368" t="s">
        <v>62</v>
      </c>
      <c r="G1368" t="s">
        <v>49</v>
      </c>
      <c r="H1368" t="s">
        <v>83</v>
      </c>
      <c r="I1368" t="s">
        <v>96</v>
      </c>
      <c r="J1368" t="s">
        <v>44</v>
      </c>
      <c r="K1368">
        <v>12</v>
      </c>
      <c r="L1368">
        <v>66453</v>
      </c>
      <c r="M1368" t="s">
        <v>51</v>
      </c>
      <c r="N1368">
        <v>2</v>
      </c>
      <c r="O1368">
        <v>2</v>
      </c>
      <c r="P1368">
        <v>30</v>
      </c>
      <c r="Q1368">
        <v>2</v>
      </c>
      <c r="R1368" s="1">
        <v>40869</v>
      </c>
      <c r="S1368" t="s">
        <v>37</v>
      </c>
      <c r="T1368" t="str">
        <f t="shared" si="105"/>
        <v>Grade B</v>
      </c>
      <c r="U1368">
        <f t="shared" si="106"/>
        <v>4</v>
      </c>
      <c r="V1368" t="str">
        <f t="shared" si="107"/>
        <v>Senior</v>
      </c>
      <c r="W1368" t="str">
        <f t="shared" si="108"/>
        <v>Already Left</v>
      </c>
      <c r="X1368" t="str">
        <f t="shared" si="109"/>
        <v>Fair</v>
      </c>
    </row>
    <row r="1369" spans="1:24" x14ac:dyDescent="0.3">
      <c r="A1369" t="s">
        <v>1437</v>
      </c>
      <c r="B1369" t="s">
        <v>39</v>
      </c>
      <c r="C1369">
        <v>51</v>
      </c>
      <c r="D1369" t="s">
        <v>57</v>
      </c>
      <c r="E1369" t="s">
        <v>40</v>
      </c>
      <c r="F1369" t="s">
        <v>41</v>
      </c>
      <c r="G1369" t="s">
        <v>58</v>
      </c>
      <c r="H1369" t="s">
        <v>83</v>
      </c>
      <c r="I1369" t="s">
        <v>96</v>
      </c>
      <c r="J1369" t="s">
        <v>44</v>
      </c>
      <c r="K1369">
        <v>7</v>
      </c>
      <c r="L1369">
        <v>90532</v>
      </c>
      <c r="M1369" t="s">
        <v>28</v>
      </c>
      <c r="N1369">
        <v>1</v>
      </c>
      <c r="O1369">
        <v>3</v>
      </c>
      <c r="P1369">
        <v>61</v>
      </c>
      <c r="Q1369">
        <v>2</v>
      </c>
      <c r="R1369" s="1">
        <v>42727</v>
      </c>
      <c r="S1369" t="s">
        <v>29</v>
      </c>
      <c r="T1369" t="str">
        <f t="shared" si="105"/>
        <v>Grade A</v>
      </c>
      <c r="U1369">
        <f t="shared" si="106"/>
        <v>3</v>
      </c>
      <c r="V1369" t="str">
        <f t="shared" si="107"/>
        <v>Mid Level</v>
      </c>
      <c r="W1369" t="str">
        <f t="shared" si="108"/>
        <v>Medium Risk</v>
      </c>
      <c r="X1369" t="str">
        <f t="shared" si="109"/>
        <v>Competitive</v>
      </c>
    </row>
    <row r="1370" spans="1:24" x14ac:dyDescent="0.3">
      <c r="A1370" t="s">
        <v>1438</v>
      </c>
      <c r="B1370" t="s">
        <v>39</v>
      </c>
      <c r="C1370">
        <v>55</v>
      </c>
      <c r="D1370" t="s">
        <v>31</v>
      </c>
      <c r="E1370" t="s">
        <v>22</v>
      </c>
      <c r="F1370" t="s">
        <v>41</v>
      </c>
      <c r="G1370" t="s">
        <v>63</v>
      </c>
      <c r="H1370" t="s">
        <v>76</v>
      </c>
      <c r="I1370" t="s">
        <v>43</v>
      </c>
      <c r="J1370" t="s">
        <v>44</v>
      </c>
      <c r="K1370">
        <v>8</v>
      </c>
      <c r="L1370">
        <v>55253</v>
      </c>
      <c r="M1370" t="s">
        <v>51</v>
      </c>
      <c r="N1370">
        <v>1</v>
      </c>
      <c r="O1370">
        <v>3</v>
      </c>
      <c r="P1370">
        <v>39</v>
      </c>
      <c r="Q1370">
        <v>3</v>
      </c>
      <c r="R1370" s="1">
        <v>42228</v>
      </c>
      <c r="S1370" t="s">
        <v>29</v>
      </c>
      <c r="T1370" t="str">
        <f t="shared" si="105"/>
        <v>Grade B</v>
      </c>
      <c r="U1370">
        <f t="shared" si="106"/>
        <v>4</v>
      </c>
      <c r="V1370" t="str">
        <f t="shared" si="107"/>
        <v>Mid Level</v>
      </c>
      <c r="W1370" t="str">
        <f t="shared" si="108"/>
        <v>Low Risk</v>
      </c>
      <c r="X1370" t="str">
        <f t="shared" si="109"/>
        <v>Fair</v>
      </c>
    </row>
    <row r="1371" spans="1:24" x14ac:dyDescent="0.3">
      <c r="A1371" t="s">
        <v>1439</v>
      </c>
      <c r="B1371" t="s">
        <v>39</v>
      </c>
      <c r="C1371">
        <v>35</v>
      </c>
      <c r="D1371" t="s">
        <v>47</v>
      </c>
      <c r="E1371" t="s">
        <v>48</v>
      </c>
      <c r="F1371" t="s">
        <v>32</v>
      </c>
      <c r="G1371" t="s">
        <v>33</v>
      </c>
      <c r="H1371" t="s">
        <v>25</v>
      </c>
      <c r="I1371" t="s">
        <v>68</v>
      </c>
      <c r="J1371" t="s">
        <v>60</v>
      </c>
      <c r="K1371">
        <v>2</v>
      </c>
      <c r="L1371">
        <v>67946</v>
      </c>
      <c r="M1371" t="s">
        <v>36</v>
      </c>
      <c r="N1371">
        <v>1</v>
      </c>
      <c r="O1371">
        <v>1</v>
      </c>
      <c r="P1371">
        <v>43</v>
      </c>
      <c r="Q1371">
        <v>2</v>
      </c>
      <c r="R1371" s="1">
        <v>44218</v>
      </c>
      <c r="S1371" t="s">
        <v>37</v>
      </c>
      <c r="T1371" t="str">
        <f t="shared" si="105"/>
        <v>Grade B</v>
      </c>
      <c r="U1371">
        <f t="shared" si="106"/>
        <v>1</v>
      </c>
      <c r="V1371" t="str">
        <f t="shared" si="107"/>
        <v>New Joiner</v>
      </c>
      <c r="W1371" t="str">
        <f t="shared" si="108"/>
        <v>Already Left</v>
      </c>
      <c r="X1371" t="str">
        <f t="shared" si="109"/>
        <v>Fair</v>
      </c>
    </row>
    <row r="1372" spans="1:24" x14ac:dyDescent="0.3">
      <c r="A1372" t="s">
        <v>1440</v>
      </c>
      <c r="B1372" t="s">
        <v>20</v>
      </c>
      <c r="C1372">
        <v>29</v>
      </c>
      <c r="D1372" t="s">
        <v>47</v>
      </c>
      <c r="E1372" t="s">
        <v>48</v>
      </c>
      <c r="F1372" t="s">
        <v>75</v>
      </c>
      <c r="G1372" t="s">
        <v>79</v>
      </c>
      <c r="H1372" t="s">
        <v>25</v>
      </c>
      <c r="I1372" t="s">
        <v>26</v>
      </c>
      <c r="J1372" t="s">
        <v>27</v>
      </c>
      <c r="K1372">
        <v>4</v>
      </c>
      <c r="L1372">
        <v>50749</v>
      </c>
      <c r="M1372" t="s">
        <v>28</v>
      </c>
      <c r="N1372">
        <v>2</v>
      </c>
      <c r="O1372">
        <v>4</v>
      </c>
      <c r="P1372">
        <v>70</v>
      </c>
      <c r="Q1372">
        <v>3</v>
      </c>
      <c r="R1372" s="1">
        <v>43691</v>
      </c>
      <c r="S1372" t="s">
        <v>29</v>
      </c>
      <c r="T1372" t="str">
        <f t="shared" si="105"/>
        <v>Grade B</v>
      </c>
      <c r="U1372">
        <f t="shared" si="106"/>
        <v>3</v>
      </c>
      <c r="V1372" t="str">
        <f t="shared" si="107"/>
        <v>Junior</v>
      </c>
      <c r="W1372" t="str">
        <f t="shared" si="108"/>
        <v>Medium Risk</v>
      </c>
      <c r="X1372" t="str">
        <f t="shared" si="109"/>
        <v>Competitive</v>
      </c>
    </row>
    <row r="1373" spans="1:24" x14ac:dyDescent="0.3">
      <c r="A1373" t="s">
        <v>1441</v>
      </c>
      <c r="B1373" t="s">
        <v>20</v>
      </c>
      <c r="C1373">
        <v>33</v>
      </c>
      <c r="D1373" t="s">
        <v>88</v>
      </c>
      <c r="E1373" t="s">
        <v>22</v>
      </c>
      <c r="F1373" t="s">
        <v>65</v>
      </c>
      <c r="G1373" t="s">
        <v>58</v>
      </c>
      <c r="H1373" t="s">
        <v>76</v>
      </c>
      <c r="I1373" t="s">
        <v>35</v>
      </c>
      <c r="J1373" t="s">
        <v>27</v>
      </c>
      <c r="K1373">
        <v>15</v>
      </c>
      <c r="L1373">
        <v>118827</v>
      </c>
      <c r="M1373" t="s">
        <v>36</v>
      </c>
      <c r="N1373">
        <v>3</v>
      </c>
      <c r="O1373">
        <v>4</v>
      </c>
      <c r="P1373">
        <v>18</v>
      </c>
      <c r="Q1373">
        <v>3</v>
      </c>
      <c r="R1373" s="1">
        <v>39508</v>
      </c>
      <c r="S1373" t="s">
        <v>37</v>
      </c>
      <c r="T1373" t="str">
        <f t="shared" si="105"/>
        <v>Grade A</v>
      </c>
      <c r="U1373">
        <f t="shared" si="106"/>
        <v>1</v>
      </c>
      <c r="V1373" t="str">
        <f t="shared" si="107"/>
        <v>Senior</v>
      </c>
      <c r="W1373" t="str">
        <f t="shared" si="108"/>
        <v>Already Left</v>
      </c>
      <c r="X1373" t="str">
        <f t="shared" si="109"/>
        <v>Overpaid</v>
      </c>
    </row>
    <row r="1374" spans="1:24" x14ac:dyDescent="0.3">
      <c r="A1374" t="s">
        <v>1442</v>
      </c>
      <c r="B1374" t="s">
        <v>39</v>
      </c>
      <c r="C1374">
        <v>33</v>
      </c>
      <c r="D1374" t="s">
        <v>31</v>
      </c>
      <c r="E1374" t="s">
        <v>40</v>
      </c>
      <c r="F1374" t="s">
        <v>65</v>
      </c>
      <c r="G1374" t="s">
        <v>79</v>
      </c>
      <c r="H1374" t="s">
        <v>83</v>
      </c>
      <c r="I1374" t="s">
        <v>72</v>
      </c>
      <c r="J1374" t="s">
        <v>73</v>
      </c>
      <c r="K1374">
        <v>1</v>
      </c>
      <c r="L1374">
        <v>48200</v>
      </c>
      <c r="M1374" t="s">
        <v>36</v>
      </c>
      <c r="N1374">
        <v>2</v>
      </c>
      <c r="O1374">
        <v>1</v>
      </c>
      <c r="P1374">
        <v>31</v>
      </c>
      <c r="Q1374">
        <v>2</v>
      </c>
      <c r="R1374" s="1">
        <v>44638</v>
      </c>
      <c r="S1374" t="s">
        <v>29</v>
      </c>
      <c r="T1374" t="str">
        <f t="shared" si="105"/>
        <v>Grade C</v>
      </c>
      <c r="U1374">
        <f t="shared" si="106"/>
        <v>1</v>
      </c>
      <c r="V1374" t="str">
        <f t="shared" si="107"/>
        <v>New Joiner</v>
      </c>
      <c r="W1374" t="str">
        <f t="shared" si="108"/>
        <v>High Risk</v>
      </c>
      <c r="X1374" t="str">
        <f t="shared" si="109"/>
        <v>Fair</v>
      </c>
    </row>
    <row r="1375" spans="1:24" x14ac:dyDescent="0.3">
      <c r="A1375" t="s">
        <v>1443</v>
      </c>
      <c r="B1375" t="s">
        <v>39</v>
      </c>
      <c r="C1375">
        <v>39</v>
      </c>
      <c r="D1375" t="s">
        <v>31</v>
      </c>
      <c r="E1375" t="s">
        <v>48</v>
      </c>
      <c r="F1375" t="s">
        <v>32</v>
      </c>
      <c r="G1375" t="s">
        <v>42</v>
      </c>
      <c r="H1375" t="s">
        <v>76</v>
      </c>
      <c r="I1375" t="s">
        <v>35</v>
      </c>
      <c r="J1375" t="s">
        <v>27</v>
      </c>
      <c r="K1375">
        <v>5</v>
      </c>
      <c r="L1375">
        <v>97548</v>
      </c>
      <c r="M1375" t="s">
        <v>45</v>
      </c>
      <c r="N1375">
        <v>3</v>
      </c>
      <c r="O1375">
        <v>2</v>
      </c>
      <c r="P1375">
        <v>74</v>
      </c>
      <c r="Q1375">
        <v>3</v>
      </c>
      <c r="R1375" s="1">
        <v>43381</v>
      </c>
      <c r="S1375" t="s">
        <v>29</v>
      </c>
      <c r="T1375" t="str">
        <f t="shared" si="105"/>
        <v>Grade A</v>
      </c>
      <c r="U1375">
        <f t="shared" si="106"/>
        <v>2</v>
      </c>
      <c r="V1375" t="str">
        <f t="shared" si="107"/>
        <v>Junior</v>
      </c>
      <c r="W1375" t="str">
        <f t="shared" si="108"/>
        <v>Medium Risk</v>
      </c>
      <c r="X1375" t="str">
        <f t="shared" si="109"/>
        <v>Fair</v>
      </c>
    </row>
    <row r="1376" spans="1:24" x14ac:dyDescent="0.3">
      <c r="A1376" t="s">
        <v>1444</v>
      </c>
      <c r="B1376" t="s">
        <v>39</v>
      </c>
      <c r="C1376">
        <v>46</v>
      </c>
      <c r="D1376" t="s">
        <v>47</v>
      </c>
      <c r="E1376" t="s">
        <v>48</v>
      </c>
      <c r="F1376" t="s">
        <v>62</v>
      </c>
      <c r="G1376" t="s">
        <v>66</v>
      </c>
      <c r="H1376" t="s">
        <v>76</v>
      </c>
      <c r="I1376" t="s">
        <v>54</v>
      </c>
      <c r="J1376" t="s">
        <v>27</v>
      </c>
      <c r="K1376">
        <v>3</v>
      </c>
      <c r="L1376">
        <v>40614</v>
      </c>
      <c r="M1376" t="s">
        <v>51</v>
      </c>
      <c r="N1376">
        <v>1</v>
      </c>
      <c r="O1376">
        <v>3</v>
      </c>
      <c r="P1376">
        <v>69</v>
      </c>
      <c r="Q1376">
        <v>1</v>
      </c>
      <c r="R1376" s="1">
        <v>44008</v>
      </c>
      <c r="S1376" t="s">
        <v>29</v>
      </c>
      <c r="T1376" t="str">
        <f t="shared" si="105"/>
        <v>Grade C</v>
      </c>
      <c r="U1376">
        <f t="shared" si="106"/>
        <v>4</v>
      </c>
      <c r="V1376" t="str">
        <f t="shared" si="107"/>
        <v>Junior</v>
      </c>
      <c r="W1376" t="str">
        <f t="shared" si="108"/>
        <v>Low Risk</v>
      </c>
      <c r="X1376" t="str">
        <f t="shared" si="109"/>
        <v>Fair</v>
      </c>
    </row>
    <row r="1377" spans="1:24" x14ac:dyDescent="0.3">
      <c r="A1377" t="s">
        <v>1445</v>
      </c>
      <c r="B1377" t="s">
        <v>39</v>
      </c>
      <c r="C1377">
        <v>54</v>
      </c>
      <c r="D1377" t="s">
        <v>31</v>
      </c>
      <c r="E1377" t="s">
        <v>40</v>
      </c>
      <c r="F1377" t="s">
        <v>75</v>
      </c>
      <c r="G1377" t="s">
        <v>58</v>
      </c>
      <c r="H1377" t="s">
        <v>25</v>
      </c>
      <c r="I1377" t="s">
        <v>59</v>
      </c>
      <c r="J1377" t="s">
        <v>60</v>
      </c>
      <c r="K1377">
        <v>11</v>
      </c>
      <c r="L1377">
        <v>97105</v>
      </c>
      <c r="M1377" t="s">
        <v>51</v>
      </c>
      <c r="N1377">
        <v>3</v>
      </c>
      <c r="O1377">
        <v>4</v>
      </c>
      <c r="P1377">
        <v>44</v>
      </c>
      <c r="Q1377">
        <v>1</v>
      </c>
      <c r="R1377" s="1">
        <v>41104</v>
      </c>
      <c r="S1377" t="s">
        <v>29</v>
      </c>
      <c r="T1377" t="str">
        <f t="shared" si="105"/>
        <v>Grade A</v>
      </c>
      <c r="U1377">
        <f t="shared" si="106"/>
        <v>4</v>
      </c>
      <c r="V1377" t="str">
        <f t="shared" si="107"/>
        <v>Senior</v>
      </c>
      <c r="W1377" t="str">
        <f t="shared" si="108"/>
        <v>Low Risk</v>
      </c>
      <c r="X1377" t="str">
        <f t="shared" si="109"/>
        <v>Competitive</v>
      </c>
    </row>
    <row r="1378" spans="1:24" x14ac:dyDescent="0.3">
      <c r="A1378" t="s">
        <v>1446</v>
      </c>
      <c r="B1378" t="s">
        <v>20</v>
      </c>
      <c r="C1378">
        <v>26</v>
      </c>
      <c r="D1378" t="s">
        <v>31</v>
      </c>
      <c r="E1378" t="s">
        <v>40</v>
      </c>
      <c r="F1378" t="s">
        <v>75</v>
      </c>
      <c r="G1378" t="s">
        <v>58</v>
      </c>
      <c r="H1378" t="s">
        <v>25</v>
      </c>
      <c r="I1378" t="s">
        <v>26</v>
      </c>
      <c r="J1378" t="s">
        <v>27</v>
      </c>
      <c r="K1378">
        <v>6</v>
      </c>
      <c r="L1378">
        <v>88065</v>
      </c>
      <c r="M1378" t="s">
        <v>28</v>
      </c>
      <c r="N1378">
        <v>4</v>
      </c>
      <c r="O1378">
        <v>1</v>
      </c>
      <c r="P1378">
        <v>49</v>
      </c>
      <c r="Q1378">
        <v>3</v>
      </c>
      <c r="R1378" s="1">
        <v>42990</v>
      </c>
      <c r="S1378" t="s">
        <v>29</v>
      </c>
      <c r="T1378" t="str">
        <f t="shared" si="105"/>
        <v>Grade A</v>
      </c>
      <c r="U1378">
        <f t="shared" si="106"/>
        <v>3</v>
      </c>
      <c r="V1378" t="str">
        <f t="shared" si="107"/>
        <v>Mid Level</v>
      </c>
      <c r="W1378" t="str">
        <f t="shared" si="108"/>
        <v>Medium Risk</v>
      </c>
      <c r="X1378" t="str">
        <f t="shared" si="109"/>
        <v>Competitive</v>
      </c>
    </row>
    <row r="1379" spans="1:24" x14ac:dyDescent="0.3">
      <c r="A1379" t="s">
        <v>1447</v>
      </c>
      <c r="B1379" t="s">
        <v>39</v>
      </c>
      <c r="C1379">
        <v>47</v>
      </c>
      <c r="D1379" t="s">
        <v>57</v>
      </c>
      <c r="E1379" t="s">
        <v>22</v>
      </c>
      <c r="F1379" t="s">
        <v>41</v>
      </c>
      <c r="G1379" t="s">
        <v>42</v>
      </c>
      <c r="H1379" t="s">
        <v>25</v>
      </c>
      <c r="I1379" t="s">
        <v>43</v>
      </c>
      <c r="J1379" t="s">
        <v>44</v>
      </c>
      <c r="K1379">
        <v>8</v>
      </c>
      <c r="L1379">
        <v>110037</v>
      </c>
      <c r="M1379" t="s">
        <v>28</v>
      </c>
      <c r="N1379">
        <v>4</v>
      </c>
      <c r="O1379">
        <v>3</v>
      </c>
      <c r="P1379">
        <v>63</v>
      </c>
      <c r="Q1379">
        <v>2</v>
      </c>
      <c r="R1379" s="1">
        <v>42138</v>
      </c>
      <c r="S1379" t="s">
        <v>29</v>
      </c>
      <c r="T1379" t="str">
        <f t="shared" si="105"/>
        <v>Grade A</v>
      </c>
      <c r="U1379">
        <f t="shared" si="106"/>
        <v>3</v>
      </c>
      <c r="V1379" t="str">
        <f t="shared" si="107"/>
        <v>Mid Level</v>
      </c>
      <c r="W1379" t="str">
        <f t="shared" si="108"/>
        <v>Medium Risk</v>
      </c>
      <c r="X1379" t="str">
        <f t="shared" si="109"/>
        <v>Competitive</v>
      </c>
    </row>
    <row r="1380" spans="1:24" x14ac:dyDescent="0.3">
      <c r="A1380" t="s">
        <v>1448</v>
      </c>
      <c r="B1380" t="s">
        <v>20</v>
      </c>
      <c r="C1380">
        <v>27</v>
      </c>
      <c r="D1380" t="s">
        <v>88</v>
      </c>
      <c r="E1380" t="s">
        <v>48</v>
      </c>
      <c r="F1380" t="s">
        <v>78</v>
      </c>
      <c r="G1380" t="s">
        <v>49</v>
      </c>
      <c r="H1380" t="s">
        <v>67</v>
      </c>
      <c r="I1380" t="s">
        <v>43</v>
      </c>
      <c r="J1380" t="s">
        <v>44</v>
      </c>
      <c r="K1380">
        <v>13</v>
      </c>
      <c r="L1380">
        <v>79242</v>
      </c>
      <c r="M1380" t="s">
        <v>36</v>
      </c>
      <c r="N1380">
        <v>1</v>
      </c>
      <c r="O1380">
        <v>1</v>
      </c>
      <c r="P1380">
        <v>29</v>
      </c>
      <c r="Q1380">
        <v>3</v>
      </c>
      <c r="R1380" s="1">
        <v>40359</v>
      </c>
      <c r="S1380" t="s">
        <v>37</v>
      </c>
      <c r="T1380" t="str">
        <f t="shared" si="105"/>
        <v>Grade B</v>
      </c>
      <c r="U1380">
        <f t="shared" si="106"/>
        <v>1</v>
      </c>
      <c r="V1380" t="str">
        <f t="shared" si="107"/>
        <v>Senior</v>
      </c>
      <c r="W1380" t="str">
        <f t="shared" si="108"/>
        <v>Already Left</v>
      </c>
      <c r="X1380" t="str">
        <f t="shared" si="109"/>
        <v>Fair</v>
      </c>
    </row>
    <row r="1381" spans="1:24" x14ac:dyDescent="0.3">
      <c r="A1381" t="s">
        <v>1449</v>
      </c>
      <c r="B1381" t="s">
        <v>20</v>
      </c>
      <c r="C1381">
        <v>46</v>
      </c>
      <c r="D1381" t="s">
        <v>21</v>
      </c>
      <c r="E1381" t="s">
        <v>48</v>
      </c>
      <c r="F1381" t="s">
        <v>53</v>
      </c>
      <c r="G1381" t="s">
        <v>42</v>
      </c>
      <c r="H1381" t="s">
        <v>34</v>
      </c>
      <c r="I1381" t="s">
        <v>96</v>
      </c>
      <c r="J1381" t="s">
        <v>44</v>
      </c>
      <c r="K1381">
        <v>1</v>
      </c>
      <c r="L1381">
        <v>97961</v>
      </c>
      <c r="M1381" t="s">
        <v>51</v>
      </c>
      <c r="N1381">
        <v>2</v>
      </c>
      <c r="O1381">
        <v>3</v>
      </c>
      <c r="P1381">
        <v>62</v>
      </c>
      <c r="Q1381">
        <v>3</v>
      </c>
      <c r="R1381" s="1">
        <v>44570</v>
      </c>
      <c r="S1381" t="s">
        <v>37</v>
      </c>
      <c r="T1381" t="str">
        <f t="shared" si="105"/>
        <v>Grade A</v>
      </c>
      <c r="U1381">
        <f t="shared" si="106"/>
        <v>4</v>
      </c>
      <c r="V1381" t="str">
        <f t="shared" si="107"/>
        <v>New Joiner</v>
      </c>
      <c r="W1381" t="str">
        <f t="shared" si="108"/>
        <v>Already Left</v>
      </c>
      <c r="X1381" t="str">
        <f t="shared" si="109"/>
        <v>Competitive</v>
      </c>
    </row>
    <row r="1382" spans="1:24" x14ac:dyDescent="0.3">
      <c r="A1382" t="s">
        <v>1450</v>
      </c>
      <c r="B1382" t="s">
        <v>39</v>
      </c>
      <c r="C1382">
        <v>35</v>
      </c>
      <c r="D1382" t="s">
        <v>21</v>
      </c>
      <c r="E1382" t="s">
        <v>48</v>
      </c>
      <c r="F1382" t="s">
        <v>65</v>
      </c>
      <c r="G1382" t="s">
        <v>49</v>
      </c>
      <c r="H1382" t="s">
        <v>83</v>
      </c>
      <c r="I1382" t="s">
        <v>50</v>
      </c>
      <c r="J1382" t="s">
        <v>44</v>
      </c>
      <c r="K1382">
        <v>12</v>
      </c>
      <c r="L1382">
        <v>78555</v>
      </c>
      <c r="M1382" t="s">
        <v>28</v>
      </c>
      <c r="N1382">
        <v>4</v>
      </c>
      <c r="O1382">
        <v>4</v>
      </c>
      <c r="P1382">
        <v>37</v>
      </c>
      <c r="Q1382">
        <v>0</v>
      </c>
      <c r="R1382" s="1">
        <v>40695</v>
      </c>
      <c r="S1382" t="s">
        <v>29</v>
      </c>
      <c r="T1382" t="str">
        <f t="shared" si="105"/>
        <v>Grade B</v>
      </c>
      <c r="U1382">
        <f t="shared" si="106"/>
        <v>3</v>
      </c>
      <c r="V1382" t="str">
        <f t="shared" si="107"/>
        <v>Senior</v>
      </c>
      <c r="W1382" t="str">
        <f t="shared" si="108"/>
        <v>Medium Risk</v>
      </c>
      <c r="X1382" t="str">
        <f t="shared" si="109"/>
        <v>Competitive</v>
      </c>
    </row>
    <row r="1383" spans="1:24" x14ac:dyDescent="0.3">
      <c r="A1383" t="s">
        <v>1451</v>
      </c>
      <c r="B1383" t="s">
        <v>20</v>
      </c>
      <c r="C1383">
        <v>27</v>
      </c>
      <c r="D1383" t="s">
        <v>88</v>
      </c>
      <c r="E1383" t="s">
        <v>22</v>
      </c>
      <c r="F1383" t="s">
        <v>78</v>
      </c>
      <c r="G1383" t="s">
        <v>24</v>
      </c>
      <c r="H1383" t="s">
        <v>83</v>
      </c>
      <c r="I1383" t="s">
        <v>43</v>
      </c>
      <c r="J1383" t="s">
        <v>44</v>
      </c>
      <c r="K1383">
        <v>3</v>
      </c>
      <c r="L1383">
        <v>84783</v>
      </c>
      <c r="M1383" t="s">
        <v>28</v>
      </c>
      <c r="N1383">
        <v>4</v>
      </c>
      <c r="O1383">
        <v>4</v>
      </c>
      <c r="P1383">
        <v>52</v>
      </c>
      <c r="Q1383">
        <v>1</v>
      </c>
      <c r="R1383" s="1">
        <v>43954</v>
      </c>
      <c r="S1383" t="s">
        <v>29</v>
      </c>
      <c r="T1383" t="str">
        <f t="shared" si="105"/>
        <v>Grade A</v>
      </c>
      <c r="U1383">
        <f t="shared" si="106"/>
        <v>3</v>
      </c>
      <c r="V1383" t="str">
        <f t="shared" si="107"/>
        <v>Junior</v>
      </c>
      <c r="W1383" t="str">
        <f t="shared" si="108"/>
        <v>Medium Risk</v>
      </c>
      <c r="X1383" t="str">
        <f t="shared" si="109"/>
        <v>Competitive</v>
      </c>
    </row>
    <row r="1384" spans="1:24" x14ac:dyDescent="0.3">
      <c r="A1384" t="s">
        <v>1452</v>
      </c>
      <c r="B1384" t="s">
        <v>39</v>
      </c>
      <c r="C1384">
        <v>41</v>
      </c>
      <c r="D1384" t="s">
        <v>47</v>
      </c>
      <c r="E1384" t="s">
        <v>40</v>
      </c>
      <c r="F1384" t="s">
        <v>65</v>
      </c>
      <c r="G1384" t="s">
        <v>33</v>
      </c>
      <c r="H1384" t="s">
        <v>34</v>
      </c>
      <c r="I1384" t="s">
        <v>35</v>
      </c>
      <c r="J1384" t="s">
        <v>27</v>
      </c>
      <c r="K1384">
        <v>7</v>
      </c>
      <c r="L1384">
        <v>70725</v>
      </c>
      <c r="M1384" t="s">
        <v>51</v>
      </c>
      <c r="N1384">
        <v>4</v>
      </c>
      <c r="O1384">
        <v>4</v>
      </c>
      <c r="P1384">
        <v>13</v>
      </c>
      <c r="Q1384">
        <v>2</v>
      </c>
      <c r="R1384" s="1">
        <v>42525</v>
      </c>
      <c r="S1384" t="s">
        <v>29</v>
      </c>
      <c r="T1384" t="str">
        <f t="shared" si="105"/>
        <v>Grade B</v>
      </c>
      <c r="U1384">
        <f t="shared" si="106"/>
        <v>4</v>
      </c>
      <c r="V1384" t="str">
        <f t="shared" si="107"/>
        <v>Mid Level</v>
      </c>
      <c r="W1384" t="str">
        <f t="shared" si="108"/>
        <v>Low Risk</v>
      </c>
      <c r="X1384" t="str">
        <f t="shared" si="109"/>
        <v>Fair</v>
      </c>
    </row>
    <row r="1385" spans="1:24" x14ac:dyDescent="0.3">
      <c r="A1385" t="s">
        <v>1453</v>
      </c>
      <c r="B1385" t="s">
        <v>20</v>
      </c>
      <c r="C1385">
        <v>26</v>
      </c>
      <c r="D1385" t="s">
        <v>88</v>
      </c>
      <c r="E1385" t="s">
        <v>48</v>
      </c>
      <c r="F1385" t="s">
        <v>23</v>
      </c>
      <c r="G1385" t="s">
        <v>79</v>
      </c>
      <c r="H1385" t="s">
        <v>25</v>
      </c>
      <c r="I1385" t="s">
        <v>72</v>
      </c>
      <c r="J1385" t="s">
        <v>73</v>
      </c>
      <c r="K1385">
        <v>3</v>
      </c>
      <c r="L1385">
        <v>50922</v>
      </c>
      <c r="M1385" t="s">
        <v>28</v>
      </c>
      <c r="N1385">
        <v>4</v>
      </c>
      <c r="O1385">
        <v>1</v>
      </c>
      <c r="P1385">
        <v>62</v>
      </c>
      <c r="Q1385">
        <v>3</v>
      </c>
      <c r="R1385" s="1">
        <v>44063</v>
      </c>
      <c r="S1385" t="s">
        <v>37</v>
      </c>
      <c r="T1385" t="str">
        <f t="shared" si="105"/>
        <v>Grade B</v>
      </c>
      <c r="U1385">
        <f t="shared" si="106"/>
        <v>3</v>
      </c>
      <c r="V1385" t="str">
        <f t="shared" si="107"/>
        <v>Junior</v>
      </c>
      <c r="W1385" t="str">
        <f t="shared" si="108"/>
        <v>Already Left</v>
      </c>
      <c r="X1385" t="str">
        <f t="shared" si="109"/>
        <v>Competitive</v>
      </c>
    </row>
    <row r="1386" spans="1:24" x14ac:dyDescent="0.3">
      <c r="A1386" t="s">
        <v>1454</v>
      </c>
      <c r="B1386" t="s">
        <v>39</v>
      </c>
      <c r="C1386">
        <v>33</v>
      </c>
      <c r="D1386" t="s">
        <v>88</v>
      </c>
      <c r="E1386" t="s">
        <v>40</v>
      </c>
      <c r="F1386" t="s">
        <v>53</v>
      </c>
      <c r="G1386" t="s">
        <v>24</v>
      </c>
      <c r="H1386" t="s">
        <v>83</v>
      </c>
      <c r="I1386" t="s">
        <v>59</v>
      </c>
      <c r="J1386" t="s">
        <v>60</v>
      </c>
      <c r="K1386">
        <v>7</v>
      </c>
      <c r="L1386">
        <v>97935</v>
      </c>
      <c r="M1386" t="s">
        <v>51</v>
      </c>
      <c r="N1386">
        <v>1</v>
      </c>
      <c r="O1386">
        <v>2</v>
      </c>
      <c r="P1386">
        <v>72</v>
      </c>
      <c r="Q1386">
        <v>0</v>
      </c>
      <c r="R1386" s="1">
        <v>42495</v>
      </c>
      <c r="S1386" t="s">
        <v>37</v>
      </c>
      <c r="T1386" t="str">
        <f t="shared" si="105"/>
        <v>Grade A</v>
      </c>
      <c r="U1386">
        <f t="shared" si="106"/>
        <v>4</v>
      </c>
      <c r="V1386" t="str">
        <f t="shared" si="107"/>
        <v>Mid Level</v>
      </c>
      <c r="W1386" t="str">
        <f t="shared" si="108"/>
        <v>Already Left</v>
      </c>
      <c r="X1386" t="str">
        <f t="shared" si="109"/>
        <v>Competitive</v>
      </c>
    </row>
    <row r="1387" spans="1:24" x14ac:dyDescent="0.3">
      <c r="A1387" t="s">
        <v>1455</v>
      </c>
      <c r="B1387" t="s">
        <v>20</v>
      </c>
      <c r="C1387">
        <v>22</v>
      </c>
      <c r="D1387" t="s">
        <v>88</v>
      </c>
      <c r="E1387" t="s">
        <v>48</v>
      </c>
      <c r="F1387" t="s">
        <v>53</v>
      </c>
      <c r="G1387" t="s">
        <v>49</v>
      </c>
      <c r="H1387" t="s">
        <v>76</v>
      </c>
      <c r="I1387" t="s">
        <v>35</v>
      </c>
      <c r="J1387" t="s">
        <v>27</v>
      </c>
      <c r="K1387">
        <v>15</v>
      </c>
      <c r="L1387">
        <v>77647</v>
      </c>
      <c r="M1387" t="s">
        <v>45</v>
      </c>
      <c r="N1387">
        <v>3</v>
      </c>
      <c r="O1387">
        <v>3</v>
      </c>
      <c r="P1387">
        <v>31</v>
      </c>
      <c r="Q1387">
        <v>3</v>
      </c>
      <c r="R1387" s="1">
        <v>39771</v>
      </c>
      <c r="S1387" t="s">
        <v>29</v>
      </c>
      <c r="T1387" t="str">
        <f t="shared" si="105"/>
        <v>Grade B</v>
      </c>
      <c r="U1387">
        <f t="shared" si="106"/>
        <v>2</v>
      </c>
      <c r="V1387" t="str">
        <f t="shared" si="107"/>
        <v>Senior</v>
      </c>
      <c r="W1387" t="str">
        <f t="shared" si="108"/>
        <v>Medium Risk</v>
      </c>
      <c r="X1387" t="str">
        <f t="shared" si="109"/>
        <v>Fair</v>
      </c>
    </row>
    <row r="1388" spans="1:24" x14ac:dyDescent="0.3">
      <c r="A1388" t="s">
        <v>1456</v>
      </c>
      <c r="B1388" t="s">
        <v>20</v>
      </c>
      <c r="C1388">
        <v>23</v>
      </c>
      <c r="D1388" t="s">
        <v>21</v>
      </c>
      <c r="E1388" t="s">
        <v>48</v>
      </c>
      <c r="F1388" t="s">
        <v>62</v>
      </c>
      <c r="G1388" t="s">
        <v>49</v>
      </c>
      <c r="H1388" t="s">
        <v>67</v>
      </c>
      <c r="I1388" t="s">
        <v>54</v>
      </c>
      <c r="J1388" t="s">
        <v>27</v>
      </c>
      <c r="K1388">
        <v>4</v>
      </c>
      <c r="L1388">
        <v>50854</v>
      </c>
      <c r="M1388" t="s">
        <v>51</v>
      </c>
      <c r="N1388">
        <v>3</v>
      </c>
      <c r="O1388">
        <v>4</v>
      </c>
      <c r="P1388">
        <v>67</v>
      </c>
      <c r="Q1388">
        <v>0</v>
      </c>
      <c r="R1388" s="1">
        <v>43665</v>
      </c>
      <c r="S1388" t="s">
        <v>29</v>
      </c>
      <c r="T1388" t="str">
        <f t="shared" si="105"/>
        <v>Grade B</v>
      </c>
      <c r="U1388">
        <f t="shared" si="106"/>
        <v>4</v>
      </c>
      <c r="V1388" t="str">
        <f t="shared" si="107"/>
        <v>Junior</v>
      </c>
      <c r="W1388" t="str">
        <f t="shared" si="108"/>
        <v>Low Risk</v>
      </c>
      <c r="X1388" t="str">
        <f t="shared" si="109"/>
        <v>Fair</v>
      </c>
    </row>
    <row r="1389" spans="1:24" x14ac:dyDescent="0.3">
      <c r="A1389" t="s">
        <v>1457</v>
      </c>
      <c r="B1389" t="s">
        <v>20</v>
      </c>
      <c r="C1389">
        <v>55</v>
      </c>
      <c r="D1389" t="s">
        <v>47</v>
      </c>
      <c r="E1389" t="s">
        <v>48</v>
      </c>
      <c r="F1389" t="s">
        <v>53</v>
      </c>
      <c r="G1389" t="s">
        <v>33</v>
      </c>
      <c r="H1389" t="s">
        <v>83</v>
      </c>
      <c r="I1389" t="s">
        <v>43</v>
      </c>
      <c r="J1389" t="s">
        <v>44</v>
      </c>
      <c r="K1389">
        <v>14</v>
      </c>
      <c r="L1389">
        <v>84221</v>
      </c>
      <c r="M1389" t="s">
        <v>45</v>
      </c>
      <c r="N1389">
        <v>2</v>
      </c>
      <c r="O1389">
        <v>3</v>
      </c>
      <c r="P1389">
        <v>41</v>
      </c>
      <c r="Q1389">
        <v>0</v>
      </c>
      <c r="R1389" s="1">
        <v>39994</v>
      </c>
      <c r="S1389" t="s">
        <v>37</v>
      </c>
      <c r="T1389" t="str">
        <f t="shared" si="105"/>
        <v>Grade A</v>
      </c>
      <c r="U1389">
        <f t="shared" si="106"/>
        <v>2</v>
      </c>
      <c r="V1389" t="str">
        <f t="shared" si="107"/>
        <v>Senior</v>
      </c>
      <c r="W1389" t="str">
        <f t="shared" si="108"/>
        <v>Already Left</v>
      </c>
      <c r="X1389" t="str">
        <f t="shared" si="109"/>
        <v>Fair</v>
      </c>
    </row>
    <row r="1390" spans="1:24" x14ac:dyDescent="0.3">
      <c r="A1390" t="s">
        <v>1458</v>
      </c>
      <c r="B1390" t="s">
        <v>20</v>
      </c>
      <c r="C1390">
        <v>39</v>
      </c>
      <c r="D1390" t="s">
        <v>47</v>
      </c>
      <c r="E1390" t="s">
        <v>40</v>
      </c>
      <c r="F1390" t="s">
        <v>41</v>
      </c>
      <c r="G1390" t="s">
        <v>33</v>
      </c>
      <c r="H1390" t="s">
        <v>76</v>
      </c>
      <c r="I1390" t="s">
        <v>68</v>
      </c>
      <c r="J1390" t="s">
        <v>60</v>
      </c>
      <c r="K1390">
        <v>7</v>
      </c>
      <c r="L1390">
        <v>80449</v>
      </c>
      <c r="M1390" t="s">
        <v>51</v>
      </c>
      <c r="N1390">
        <v>1</v>
      </c>
      <c r="O1390">
        <v>3</v>
      </c>
      <c r="P1390">
        <v>77</v>
      </c>
      <c r="Q1390">
        <v>0</v>
      </c>
      <c r="R1390" s="1">
        <v>42540</v>
      </c>
      <c r="S1390" t="s">
        <v>37</v>
      </c>
      <c r="T1390" t="str">
        <f t="shared" si="105"/>
        <v>Grade A</v>
      </c>
      <c r="U1390">
        <f t="shared" si="106"/>
        <v>4</v>
      </c>
      <c r="V1390" t="str">
        <f t="shared" si="107"/>
        <v>Mid Level</v>
      </c>
      <c r="W1390" t="str">
        <f t="shared" si="108"/>
        <v>Already Left</v>
      </c>
      <c r="X1390" t="str">
        <f t="shared" si="109"/>
        <v>Competitive</v>
      </c>
    </row>
    <row r="1391" spans="1:24" x14ac:dyDescent="0.3">
      <c r="A1391" t="s">
        <v>1459</v>
      </c>
      <c r="B1391" t="s">
        <v>20</v>
      </c>
      <c r="C1391">
        <v>24</v>
      </c>
      <c r="D1391" t="s">
        <v>21</v>
      </c>
      <c r="E1391" t="s">
        <v>48</v>
      </c>
      <c r="F1391" t="s">
        <v>75</v>
      </c>
      <c r="G1391" t="s">
        <v>79</v>
      </c>
      <c r="H1391" t="s">
        <v>25</v>
      </c>
      <c r="I1391" t="s">
        <v>26</v>
      </c>
      <c r="J1391" t="s">
        <v>27</v>
      </c>
      <c r="K1391">
        <v>15</v>
      </c>
      <c r="L1391">
        <v>70766</v>
      </c>
      <c r="M1391" t="s">
        <v>28</v>
      </c>
      <c r="N1391">
        <v>1</v>
      </c>
      <c r="O1391">
        <v>2</v>
      </c>
      <c r="P1391">
        <v>62</v>
      </c>
      <c r="Q1391">
        <v>2</v>
      </c>
      <c r="R1391" s="1">
        <v>39715</v>
      </c>
      <c r="S1391" t="s">
        <v>37</v>
      </c>
      <c r="T1391" t="str">
        <f t="shared" si="105"/>
        <v>Grade B</v>
      </c>
      <c r="U1391">
        <f t="shared" si="106"/>
        <v>3</v>
      </c>
      <c r="V1391" t="str">
        <f t="shared" si="107"/>
        <v>Senior</v>
      </c>
      <c r="W1391" t="str">
        <f t="shared" si="108"/>
        <v>Already Left</v>
      </c>
      <c r="X1391" t="str">
        <f t="shared" si="109"/>
        <v>Competitive</v>
      </c>
    </row>
    <row r="1392" spans="1:24" x14ac:dyDescent="0.3">
      <c r="A1392" t="s">
        <v>1460</v>
      </c>
      <c r="B1392" t="s">
        <v>39</v>
      </c>
      <c r="C1392">
        <v>47</v>
      </c>
      <c r="D1392" t="s">
        <v>47</v>
      </c>
      <c r="E1392" t="s">
        <v>40</v>
      </c>
      <c r="F1392" t="s">
        <v>78</v>
      </c>
      <c r="G1392" t="s">
        <v>58</v>
      </c>
      <c r="H1392" t="s">
        <v>83</v>
      </c>
      <c r="I1392" t="s">
        <v>50</v>
      </c>
      <c r="J1392" t="s">
        <v>44</v>
      </c>
      <c r="K1392">
        <v>1</v>
      </c>
      <c r="L1392">
        <v>93960</v>
      </c>
      <c r="M1392" t="s">
        <v>28</v>
      </c>
      <c r="N1392">
        <v>2</v>
      </c>
      <c r="O1392">
        <v>4</v>
      </c>
      <c r="P1392">
        <v>80</v>
      </c>
      <c r="Q1392">
        <v>1</v>
      </c>
      <c r="R1392" s="1">
        <v>44695</v>
      </c>
      <c r="S1392" t="s">
        <v>37</v>
      </c>
      <c r="T1392" t="str">
        <f t="shared" si="105"/>
        <v>Grade A</v>
      </c>
      <c r="U1392">
        <f t="shared" si="106"/>
        <v>3</v>
      </c>
      <c r="V1392" t="str">
        <f t="shared" si="107"/>
        <v>New Joiner</v>
      </c>
      <c r="W1392" t="str">
        <f t="shared" si="108"/>
        <v>Already Left</v>
      </c>
      <c r="X1392" t="str">
        <f t="shared" si="109"/>
        <v>Competitive</v>
      </c>
    </row>
    <row r="1393" spans="1:24" x14ac:dyDescent="0.3">
      <c r="A1393" t="s">
        <v>1461</v>
      </c>
      <c r="B1393" t="s">
        <v>20</v>
      </c>
      <c r="C1393">
        <v>33</v>
      </c>
      <c r="D1393" t="s">
        <v>57</v>
      </c>
      <c r="E1393" t="s">
        <v>40</v>
      </c>
      <c r="F1393" t="s">
        <v>62</v>
      </c>
      <c r="G1393" t="s">
        <v>58</v>
      </c>
      <c r="H1393" t="s">
        <v>34</v>
      </c>
      <c r="I1393" t="s">
        <v>80</v>
      </c>
      <c r="J1393" t="s">
        <v>60</v>
      </c>
      <c r="K1393">
        <v>13</v>
      </c>
      <c r="L1393">
        <v>101630</v>
      </c>
      <c r="M1393" t="s">
        <v>45</v>
      </c>
      <c r="N1393">
        <v>3</v>
      </c>
      <c r="O1393">
        <v>1</v>
      </c>
      <c r="P1393">
        <v>19</v>
      </c>
      <c r="Q1393">
        <v>3</v>
      </c>
      <c r="R1393" s="1">
        <v>40472</v>
      </c>
      <c r="S1393" t="s">
        <v>29</v>
      </c>
      <c r="T1393" t="str">
        <f t="shared" si="105"/>
        <v>Grade A</v>
      </c>
      <c r="U1393">
        <f t="shared" si="106"/>
        <v>2</v>
      </c>
      <c r="V1393" t="str">
        <f t="shared" si="107"/>
        <v>Senior</v>
      </c>
      <c r="W1393" t="str">
        <f t="shared" si="108"/>
        <v>Medium Risk</v>
      </c>
      <c r="X1393" t="str">
        <f t="shared" si="109"/>
        <v>Fair</v>
      </c>
    </row>
    <row r="1394" spans="1:24" x14ac:dyDescent="0.3">
      <c r="A1394" t="s">
        <v>1462</v>
      </c>
      <c r="B1394" t="s">
        <v>20</v>
      </c>
      <c r="C1394">
        <v>47</v>
      </c>
      <c r="D1394" t="s">
        <v>47</v>
      </c>
      <c r="E1394" t="s">
        <v>22</v>
      </c>
      <c r="F1394" t="s">
        <v>23</v>
      </c>
      <c r="G1394" t="s">
        <v>63</v>
      </c>
      <c r="H1394" t="s">
        <v>76</v>
      </c>
      <c r="I1394" t="s">
        <v>35</v>
      </c>
      <c r="J1394" t="s">
        <v>27</v>
      </c>
      <c r="K1394">
        <v>12</v>
      </c>
      <c r="L1394">
        <v>62610</v>
      </c>
      <c r="M1394" t="s">
        <v>51</v>
      </c>
      <c r="N1394">
        <v>1</v>
      </c>
      <c r="O1394">
        <v>2</v>
      </c>
      <c r="P1394">
        <v>12</v>
      </c>
      <c r="Q1394">
        <v>1</v>
      </c>
      <c r="R1394" s="1">
        <v>40671</v>
      </c>
      <c r="S1394" t="s">
        <v>29</v>
      </c>
      <c r="T1394" t="str">
        <f t="shared" si="105"/>
        <v>Grade B</v>
      </c>
      <c r="U1394">
        <f t="shared" si="106"/>
        <v>4</v>
      </c>
      <c r="V1394" t="str">
        <f t="shared" si="107"/>
        <v>Senior</v>
      </c>
      <c r="W1394" t="str">
        <f t="shared" si="108"/>
        <v>Low Risk</v>
      </c>
      <c r="X1394" t="str">
        <f t="shared" si="109"/>
        <v>Fair</v>
      </c>
    </row>
    <row r="1395" spans="1:24" x14ac:dyDescent="0.3">
      <c r="A1395" t="s">
        <v>1463</v>
      </c>
      <c r="B1395" t="s">
        <v>20</v>
      </c>
      <c r="C1395">
        <v>39</v>
      </c>
      <c r="D1395" t="s">
        <v>31</v>
      </c>
      <c r="E1395" t="s">
        <v>22</v>
      </c>
      <c r="F1395" t="s">
        <v>41</v>
      </c>
      <c r="G1395" t="s">
        <v>24</v>
      </c>
      <c r="H1395" t="s">
        <v>76</v>
      </c>
      <c r="I1395" t="s">
        <v>54</v>
      </c>
      <c r="J1395" t="s">
        <v>27</v>
      </c>
      <c r="K1395">
        <v>11</v>
      </c>
      <c r="L1395">
        <v>100804</v>
      </c>
      <c r="M1395" t="s">
        <v>51</v>
      </c>
      <c r="N1395">
        <v>3</v>
      </c>
      <c r="O1395">
        <v>4</v>
      </c>
      <c r="P1395">
        <v>33</v>
      </c>
      <c r="Q1395">
        <v>2</v>
      </c>
      <c r="R1395" s="1">
        <v>40933</v>
      </c>
      <c r="S1395" t="s">
        <v>29</v>
      </c>
      <c r="T1395" t="str">
        <f t="shared" si="105"/>
        <v>Grade A</v>
      </c>
      <c r="U1395">
        <f t="shared" si="106"/>
        <v>4</v>
      </c>
      <c r="V1395" t="str">
        <f t="shared" si="107"/>
        <v>Senior</v>
      </c>
      <c r="W1395" t="str">
        <f t="shared" si="108"/>
        <v>Low Risk</v>
      </c>
      <c r="X1395" t="str">
        <f t="shared" si="109"/>
        <v>Competitive</v>
      </c>
    </row>
    <row r="1396" spans="1:24" x14ac:dyDescent="0.3">
      <c r="A1396" t="s">
        <v>1464</v>
      </c>
      <c r="B1396" t="s">
        <v>39</v>
      </c>
      <c r="C1396">
        <v>45</v>
      </c>
      <c r="D1396" t="s">
        <v>47</v>
      </c>
      <c r="E1396" t="s">
        <v>48</v>
      </c>
      <c r="F1396" t="s">
        <v>78</v>
      </c>
      <c r="G1396" t="s">
        <v>58</v>
      </c>
      <c r="H1396" t="s">
        <v>83</v>
      </c>
      <c r="I1396" t="s">
        <v>72</v>
      </c>
      <c r="J1396" t="s">
        <v>73</v>
      </c>
      <c r="K1396">
        <v>3</v>
      </c>
      <c r="L1396">
        <v>90674</v>
      </c>
      <c r="M1396" t="s">
        <v>51</v>
      </c>
      <c r="N1396">
        <v>1</v>
      </c>
      <c r="O1396">
        <v>1</v>
      </c>
      <c r="P1396">
        <v>29</v>
      </c>
      <c r="Q1396">
        <v>1</v>
      </c>
      <c r="R1396" s="1">
        <v>44045</v>
      </c>
      <c r="S1396" t="s">
        <v>29</v>
      </c>
      <c r="T1396" t="str">
        <f t="shared" si="105"/>
        <v>Grade A</v>
      </c>
      <c r="U1396">
        <f t="shared" si="106"/>
        <v>4</v>
      </c>
      <c r="V1396" t="str">
        <f t="shared" si="107"/>
        <v>Junior</v>
      </c>
      <c r="W1396" t="str">
        <f t="shared" si="108"/>
        <v>Low Risk</v>
      </c>
      <c r="X1396" t="str">
        <f t="shared" si="109"/>
        <v>Competitive</v>
      </c>
    </row>
    <row r="1397" spans="1:24" x14ac:dyDescent="0.3">
      <c r="A1397" t="s">
        <v>1465</v>
      </c>
      <c r="B1397" t="s">
        <v>39</v>
      </c>
      <c r="C1397">
        <v>37</v>
      </c>
      <c r="D1397" t="s">
        <v>88</v>
      </c>
      <c r="E1397" t="s">
        <v>48</v>
      </c>
      <c r="F1397" t="s">
        <v>65</v>
      </c>
      <c r="G1397" t="s">
        <v>42</v>
      </c>
      <c r="H1397" t="s">
        <v>67</v>
      </c>
      <c r="I1397" t="s">
        <v>96</v>
      </c>
      <c r="J1397" t="s">
        <v>44</v>
      </c>
      <c r="K1397">
        <v>3</v>
      </c>
      <c r="L1397">
        <v>109673</v>
      </c>
      <c r="M1397" t="s">
        <v>51</v>
      </c>
      <c r="N1397">
        <v>4</v>
      </c>
      <c r="O1397">
        <v>1</v>
      </c>
      <c r="P1397">
        <v>26</v>
      </c>
      <c r="Q1397">
        <v>2</v>
      </c>
      <c r="R1397" s="1">
        <v>43990</v>
      </c>
      <c r="S1397" t="s">
        <v>29</v>
      </c>
      <c r="T1397" t="str">
        <f t="shared" si="105"/>
        <v>Grade A</v>
      </c>
      <c r="U1397">
        <f t="shared" si="106"/>
        <v>4</v>
      </c>
      <c r="V1397" t="str">
        <f t="shared" si="107"/>
        <v>Junior</v>
      </c>
      <c r="W1397" t="str">
        <f t="shared" si="108"/>
        <v>Low Risk</v>
      </c>
      <c r="X1397" t="str">
        <f t="shared" si="109"/>
        <v>Competitive</v>
      </c>
    </row>
    <row r="1398" spans="1:24" x14ac:dyDescent="0.3">
      <c r="A1398" t="s">
        <v>1466</v>
      </c>
      <c r="B1398" t="s">
        <v>39</v>
      </c>
      <c r="C1398">
        <v>49</v>
      </c>
      <c r="D1398" t="s">
        <v>31</v>
      </c>
      <c r="E1398" t="s">
        <v>40</v>
      </c>
      <c r="F1398" t="s">
        <v>75</v>
      </c>
      <c r="G1398" t="s">
        <v>42</v>
      </c>
      <c r="H1398" t="s">
        <v>25</v>
      </c>
      <c r="I1398" t="s">
        <v>59</v>
      </c>
      <c r="J1398" t="s">
        <v>60</v>
      </c>
      <c r="K1398">
        <v>14</v>
      </c>
      <c r="L1398">
        <v>114377</v>
      </c>
      <c r="M1398" t="s">
        <v>28</v>
      </c>
      <c r="N1398">
        <v>1</v>
      </c>
      <c r="O1398">
        <v>4</v>
      </c>
      <c r="P1398">
        <v>57</v>
      </c>
      <c r="Q1398">
        <v>2</v>
      </c>
      <c r="R1398" s="1">
        <v>40001</v>
      </c>
      <c r="S1398" t="s">
        <v>29</v>
      </c>
      <c r="T1398" t="str">
        <f t="shared" si="105"/>
        <v>Grade A</v>
      </c>
      <c r="U1398">
        <f t="shared" si="106"/>
        <v>3</v>
      </c>
      <c r="V1398" t="str">
        <f t="shared" si="107"/>
        <v>Senior</v>
      </c>
      <c r="W1398" t="str">
        <f t="shared" si="108"/>
        <v>Medium Risk</v>
      </c>
      <c r="X1398" t="str">
        <f t="shared" si="109"/>
        <v>Competitive</v>
      </c>
    </row>
    <row r="1399" spans="1:24" x14ac:dyDescent="0.3">
      <c r="A1399" t="s">
        <v>1467</v>
      </c>
      <c r="B1399" t="s">
        <v>20</v>
      </c>
      <c r="C1399">
        <v>53</v>
      </c>
      <c r="D1399" t="s">
        <v>47</v>
      </c>
      <c r="E1399" t="s">
        <v>40</v>
      </c>
      <c r="F1399" t="s">
        <v>32</v>
      </c>
      <c r="G1399" t="s">
        <v>24</v>
      </c>
      <c r="H1399" t="s">
        <v>76</v>
      </c>
      <c r="I1399" t="s">
        <v>50</v>
      </c>
      <c r="J1399" t="s">
        <v>44</v>
      </c>
      <c r="K1399">
        <v>14</v>
      </c>
      <c r="L1399">
        <v>96894</v>
      </c>
      <c r="M1399" t="s">
        <v>45</v>
      </c>
      <c r="N1399">
        <v>3</v>
      </c>
      <c r="O1399">
        <v>3</v>
      </c>
      <c r="P1399">
        <v>61</v>
      </c>
      <c r="Q1399">
        <v>3</v>
      </c>
      <c r="R1399" s="1">
        <v>39891</v>
      </c>
      <c r="S1399" t="s">
        <v>29</v>
      </c>
      <c r="T1399" t="str">
        <f t="shared" si="105"/>
        <v>Grade A</v>
      </c>
      <c r="U1399">
        <f t="shared" si="106"/>
        <v>2</v>
      </c>
      <c r="V1399" t="str">
        <f t="shared" si="107"/>
        <v>Senior</v>
      </c>
      <c r="W1399" t="str">
        <f t="shared" si="108"/>
        <v>Medium Risk</v>
      </c>
      <c r="X1399" t="str">
        <f t="shared" si="109"/>
        <v>Fair</v>
      </c>
    </row>
    <row r="1400" spans="1:24" x14ac:dyDescent="0.3">
      <c r="A1400" t="s">
        <v>1468</v>
      </c>
      <c r="B1400" t="s">
        <v>20</v>
      </c>
      <c r="C1400">
        <v>40</v>
      </c>
      <c r="D1400" t="s">
        <v>88</v>
      </c>
      <c r="E1400" t="s">
        <v>22</v>
      </c>
      <c r="F1400" t="s">
        <v>32</v>
      </c>
      <c r="G1400" t="s">
        <v>58</v>
      </c>
      <c r="H1400" t="s">
        <v>67</v>
      </c>
      <c r="I1400" t="s">
        <v>68</v>
      </c>
      <c r="J1400" t="s">
        <v>60</v>
      </c>
      <c r="K1400">
        <v>7</v>
      </c>
      <c r="L1400">
        <v>101489</v>
      </c>
      <c r="M1400" t="s">
        <v>28</v>
      </c>
      <c r="N1400">
        <v>2</v>
      </c>
      <c r="O1400">
        <v>3</v>
      </c>
      <c r="P1400">
        <v>49</v>
      </c>
      <c r="Q1400">
        <v>3</v>
      </c>
      <c r="R1400" s="1">
        <v>42500</v>
      </c>
      <c r="S1400" t="s">
        <v>29</v>
      </c>
      <c r="T1400" t="str">
        <f t="shared" si="105"/>
        <v>Grade A</v>
      </c>
      <c r="U1400">
        <f t="shared" si="106"/>
        <v>3</v>
      </c>
      <c r="V1400" t="str">
        <f t="shared" si="107"/>
        <v>Mid Level</v>
      </c>
      <c r="W1400" t="str">
        <f t="shared" si="108"/>
        <v>Medium Risk</v>
      </c>
      <c r="X1400" t="str">
        <f t="shared" si="109"/>
        <v>Competitive</v>
      </c>
    </row>
    <row r="1401" spans="1:24" x14ac:dyDescent="0.3">
      <c r="A1401" t="s">
        <v>1469</v>
      </c>
      <c r="B1401" t="s">
        <v>39</v>
      </c>
      <c r="C1401">
        <v>22</v>
      </c>
      <c r="D1401" t="s">
        <v>57</v>
      </c>
      <c r="E1401" t="s">
        <v>48</v>
      </c>
      <c r="F1401" t="s">
        <v>53</v>
      </c>
      <c r="G1401" t="s">
        <v>63</v>
      </c>
      <c r="H1401" t="s">
        <v>83</v>
      </c>
      <c r="I1401" t="s">
        <v>68</v>
      </c>
      <c r="J1401" t="s">
        <v>60</v>
      </c>
      <c r="K1401">
        <v>3</v>
      </c>
      <c r="L1401">
        <v>47046</v>
      </c>
      <c r="M1401" t="s">
        <v>45</v>
      </c>
      <c r="N1401">
        <v>4</v>
      </c>
      <c r="O1401">
        <v>1</v>
      </c>
      <c r="P1401">
        <v>68</v>
      </c>
      <c r="Q1401">
        <v>3</v>
      </c>
      <c r="R1401" s="1">
        <v>43987</v>
      </c>
      <c r="S1401" t="s">
        <v>29</v>
      </c>
      <c r="T1401" t="str">
        <f t="shared" si="105"/>
        <v>Grade C</v>
      </c>
      <c r="U1401">
        <f t="shared" si="106"/>
        <v>2</v>
      </c>
      <c r="V1401" t="str">
        <f t="shared" si="107"/>
        <v>Junior</v>
      </c>
      <c r="W1401" t="str">
        <f t="shared" si="108"/>
        <v>Medium Risk</v>
      </c>
      <c r="X1401" t="str">
        <f t="shared" si="109"/>
        <v>Fair</v>
      </c>
    </row>
    <row r="1402" spans="1:24" x14ac:dyDescent="0.3">
      <c r="A1402" t="s">
        <v>1470</v>
      </c>
      <c r="B1402" t="s">
        <v>39</v>
      </c>
      <c r="C1402">
        <v>35</v>
      </c>
      <c r="D1402" t="s">
        <v>31</v>
      </c>
      <c r="E1402" t="s">
        <v>40</v>
      </c>
      <c r="F1402" t="s">
        <v>32</v>
      </c>
      <c r="G1402" t="s">
        <v>24</v>
      </c>
      <c r="H1402" t="s">
        <v>25</v>
      </c>
      <c r="I1402" t="s">
        <v>68</v>
      </c>
      <c r="J1402" t="s">
        <v>60</v>
      </c>
      <c r="K1402">
        <v>10</v>
      </c>
      <c r="L1402">
        <v>104267</v>
      </c>
      <c r="M1402" t="s">
        <v>36</v>
      </c>
      <c r="N1402">
        <v>4</v>
      </c>
      <c r="O1402">
        <v>4</v>
      </c>
      <c r="P1402">
        <v>75</v>
      </c>
      <c r="Q1402">
        <v>3</v>
      </c>
      <c r="R1402" s="1">
        <v>41362</v>
      </c>
      <c r="S1402" t="s">
        <v>29</v>
      </c>
      <c r="T1402" t="str">
        <f t="shared" si="105"/>
        <v>Grade A</v>
      </c>
      <c r="U1402">
        <f t="shared" si="106"/>
        <v>1</v>
      </c>
      <c r="V1402" t="str">
        <f t="shared" si="107"/>
        <v>Mid Level</v>
      </c>
      <c r="W1402" t="str">
        <f t="shared" si="108"/>
        <v>Medium Risk</v>
      </c>
      <c r="X1402" t="str">
        <f t="shared" si="109"/>
        <v>Overpaid</v>
      </c>
    </row>
    <row r="1403" spans="1:24" x14ac:dyDescent="0.3">
      <c r="A1403" t="s">
        <v>1471</v>
      </c>
      <c r="B1403" t="s">
        <v>39</v>
      </c>
      <c r="C1403">
        <v>38</v>
      </c>
      <c r="D1403" t="s">
        <v>88</v>
      </c>
      <c r="E1403" t="s">
        <v>22</v>
      </c>
      <c r="F1403" t="s">
        <v>78</v>
      </c>
      <c r="G1403" t="s">
        <v>63</v>
      </c>
      <c r="H1403" t="s">
        <v>34</v>
      </c>
      <c r="I1403" t="s">
        <v>96</v>
      </c>
      <c r="J1403" t="s">
        <v>44</v>
      </c>
      <c r="K1403">
        <v>6</v>
      </c>
      <c r="L1403">
        <v>47404</v>
      </c>
      <c r="M1403" t="s">
        <v>28</v>
      </c>
      <c r="N1403">
        <v>1</v>
      </c>
      <c r="O1403">
        <v>3</v>
      </c>
      <c r="P1403">
        <v>41</v>
      </c>
      <c r="Q1403">
        <v>0</v>
      </c>
      <c r="R1403" s="1">
        <v>43040</v>
      </c>
      <c r="S1403" t="s">
        <v>29</v>
      </c>
      <c r="T1403" t="str">
        <f t="shared" si="105"/>
        <v>Grade C</v>
      </c>
      <c r="U1403">
        <f t="shared" si="106"/>
        <v>3</v>
      </c>
      <c r="V1403" t="str">
        <f t="shared" si="107"/>
        <v>Mid Level</v>
      </c>
      <c r="W1403" t="str">
        <f t="shared" si="108"/>
        <v>Medium Risk</v>
      </c>
      <c r="X1403" t="str">
        <f t="shared" si="109"/>
        <v>Fair</v>
      </c>
    </row>
    <row r="1404" spans="1:24" x14ac:dyDescent="0.3">
      <c r="A1404" t="s">
        <v>1472</v>
      </c>
      <c r="B1404" t="s">
        <v>39</v>
      </c>
      <c r="C1404">
        <v>23</v>
      </c>
      <c r="D1404" t="s">
        <v>21</v>
      </c>
      <c r="E1404" t="s">
        <v>22</v>
      </c>
      <c r="F1404" t="s">
        <v>32</v>
      </c>
      <c r="G1404" t="s">
        <v>79</v>
      </c>
      <c r="H1404" t="s">
        <v>34</v>
      </c>
      <c r="I1404" t="s">
        <v>72</v>
      </c>
      <c r="J1404" t="s">
        <v>73</v>
      </c>
      <c r="K1404">
        <v>13</v>
      </c>
      <c r="L1404">
        <v>61071</v>
      </c>
      <c r="M1404" t="s">
        <v>28</v>
      </c>
      <c r="N1404">
        <v>3</v>
      </c>
      <c r="O1404">
        <v>3</v>
      </c>
      <c r="P1404">
        <v>16</v>
      </c>
      <c r="Q1404">
        <v>3</v>
      </c>
      <c r="R1404" s="1">
        <v>40341</v>
      </c>
      <c r="S1404" t="s">
        <v>29</v>
      </c>
      <c r="T1404" t="str">
        <f t="shared" si="105"/>
        <v>Grade B</v>
      </c>
      <c r="U1404">
        <f t="shared" si="106"/>
        <v>3</v>
      </c>
      <c r="V1404" t="str">
        <f t="shared" si="107"/>
        <v>Senior</v>
      </c>
      <c r="W1404" t="str">
        <f t="shared" si="108"/>
        <v>Medium Risk</v>
      </c>
      <c r="X1404" t="str">
        <f t="shared" si="109"/>
        <v>Competitive</v>
      </c>
    </row>
    <row r="1405" spans="1:24" x14ac:dyDescent="0.3">
      <c r="A1405" t="s">
        <v>1473</v>
      </c>
      <c r="B1405" t="s">
        <v>39</v>
      </c>
      <c r="C1405">
        <v>35</v>
      </c>
      <c r="D1405" t="s">
        <v>31</v>
      </c>
      <c r="E1405" t="s">
        <v>22</v>
      </c>
      <c r="F1405" t="s">
        <v>53</v>
      </c>
      <c r="G1405" t="s">
        <v>42</v>
      </c>
      <c r="H1405" t="s">
        <v>34</v>
      </c>
      <c r="I1405" t="s">
        <v>43</v>
      </c>
      <c r="J1405" t="s">
        <v>44</v>
      </c>
      <c r="K1405">
        <v>13</v>
      </c>
      <c r="L1405">
        <v>118432</v>
      </c>
      <c r="M1405" t="s">
        <v>51</v>
      </c>
      <c r="N1405">
        <v>1</v>
      </c>
      <c r="O1405">
        <v>2</v>
      </c>
      <c r="P1405">
        <v>76</v>
      </c>
      <c r="Q1405">
        <v>3</v>
      </c>
      <c r="R1405" s="1">
        <v>40402</v>
      </c>
      <c r="S1405" t="s">
        <v>37</v>
      </c>
      <c r="T1405" t="str">
        <f t="shared" si="105"/>
        <v>Grade A</v>
      </c>
      <c r="U1405">
        <f t="shared" si="106"/>
        <v>4</v>
      </c>
      <c r="V1405" t="str">
        <f t="shared" si="107"/>
        <v>Senior</v>
      </c>
      <c r="W1405" t="str">
        <f t="shared" si="108"/>
        <v>Already Left</v>
      </c>
      <c r="X1405" t="str">
        <f t="shared" si="109"/>
        <v>Competitive</v>
      </c>
    </row>
    <row r="1406" spans="1:24" x14ac:dyDescent="0.3">
      <c r="A1406" t="s">
        <v>1474</v>
      </c>
      <c r="B1406" t="s">
        <v>20</v>
      </c>
      <c r="C1406">
        <v>46</v>
      </c>
      <c r="D1406" t="s">
        <v>31</v>
      </c>
      <c r="E1406" t="s">
        <v>22</v>
      </c>
      <c r="F1406" t="s">
        <v>53</v>
      </c>
      <c r="G1406" t="s">
        <v>58</v>
      </c>
      <c r="H1406" t="s">
        <v>34</v>
      </c>
      <c r="I1406" t="s">
        <v>72</v>
      </c>
      <c r="J1406" t="s">
        <v>73</v>
      </c>
      <c r="K1406">
        <v>3</v>
      </c>
      <c r="L1406">
        <v>100380</v>
      </c>
      <c r="M1406" t="s">
        <v>36</v>
      </c>
      <c r="N1406">
        <v>2</v>
      </c>
      <c r="O1406">
        <v>3</v>
      </c>
      <c r="P1406">
        <v>11</v>
      </c>
      <c r="Q1406">
        <v>2</v>
      </c>
      <c r="R1406" s="1">
        <v>43975</v>
      </c>
      <c r="S1406" t="s">
        <v>29</v>
      </c>
      <c r="T1406" t="str">
        <f t="shared" si="105"/>
        <v>Grade A</v>
      </c>
      <c r="U1406">
        <f t="shared" si="106"/>
        <v>1</v>
      </c>
      <c r="V1406" t="str">
        <f t="shared" si="107"/>
        <v>Junior</v>
      </c>
      <c r="W1406" t="str">
        <f t="shared" si="108"/>
        <v>Medium Risk</v>
      </c>
      <c r="X1406" t="str">
        <f t="shared" si="109"/>
        <v>Overpaid</v>
      </c>
    </row>
    <row r="1407" spans="1:24" x14ac:dyDescent="0.3">
      <c r="A1407" t="s">
        <v>1475</v>
      </c>
      <c r="B1407" t="s">
        <v>20</v>
      </c>
      <c r="C1407">
        <v>49</v>
      </c>
      <c r="D1407" t="s">
        <v>57</v>
      </c>
      <c r="E1407" t="s">
        <v>40</v>
      </c>
      <c r="F1407" t="s">
        <v>53</v>
      </c>
      <c r="G1407" t="s">
        <v>66</v>
      </c>
      <c r="H1407" t="s">
        <v>83</v>
      </c>
      <c r="I1407" t="s">
        <v>54</v>
      </c>
      <c r="J1407" t="s">
        <v>27</v>
      </c>
      <c r="K1407">
        <v>4</v>
      </c>
      <c r="L1407">
        <v>40606</v>
      </c>
      <c r="M1407" t="s">
        <v>28</v>
      </c>
      <c r="N1407">
        <v>1</v>
      </c>
      <c r="O1407">
        <v>3</v>
      </c>
      <c r="P1407">
        <v>61</v>
      </c>
      <c r="Q1407">
        <v>1</v>
      </c>
      <c r="R1407" s="1">
        <v>43541</v>
      </c>
      <c r="S1407" t="s">
        <v>37</v>
      </c>
      <c r="T1407" t="str">
        <f t="shared" si="105"/>
        <v>Grade C</v>
      </c>
      <c r="U1407">
        <f t="shared" si="106"/>
        <v>3</v>
      </c>
      <c r="V1407" t="str">
        <f t="shared" si="107"/>
        <v>Junior</v>
      </c>
      <c r="W1407" t="str">
        <f t="shared" si="108"/>
        <v>Already Left</v>
      </c>
      <c r="X1407" t="str">
        <f t="shared" si="109"/>
        <v>Fair</v>
      </c>
    </row>
    <row r="1408" spans="1:24" x14ac:dyDescent="0.3">
      <c r="A1408" t="s">
        <v>1476</v>
      </c>
      <c r="B1408" t="s">
        <v>20</v>
      </c>
      <c r="C1408">
        <v>37</v>
      </c>
      <c r="D1408" t="s">
        <v>21</v>
      </c>
      <c r="E1408" t="s">
        <v>48</v>
      </c>
      <c r="F1408" t="s">
        <v>23</v>
      </c>
      <c r="G1408" t="s">
        <v>24</v>
      </c>
      <c r="H1408" t="s">
        <v>25</v>
      </c>
      <c r="I1408" t="s">
        <v>54</v>
      </c>
      <c r="J1408" t="s">
        <v>27</v>
      </c>
      <c r="K1408">
        <v>9</v>
      </c>
      <c r="L1408">
        <v>83141</v>
      </c>
      <c r="M1408" t="s">
        <v>36</v>
      </c>
      <c r="N1408">
        <v>4</v>
      </c>
      <c r="O1408">
        <v>4</v>
      </c>
      <c r="P1408">
        <v>22</v>
      </c>
      <c r="Q1408">
        <v>3</v>
      </c>
      <c r="R1408" s="1">
        <v>41670</v>
      </c>
      <c r="S1408" t="s">
        <v>37</v>
      </c>
      <c r="T1408" t="str">
        <f t="shared" si="105"/>
        <v>Grade A</v>
      </c>
      <c r="U1408">
        <f t="shared" si="106"/>
        <v>1</v>
      </c>
      <c r="V1408" t="str">
        <f t="shared" si="107"/>
        <v>Mid Level</v>
      </c>
      <c r="W1408" t="str">
        <f t="shared" si="108"/>
        <v>Already Left</v>
      </c>
      <c r="X1408" t="str">
        <f t="shared" si="109"/>
        <v>Overpaid</v>
      </c>
    </row>
    <row r="1409" spans="1:24" x14ac:dyDescent="0.3">
      <c r="A1409" t="s">
        <v>1477</v>
      </c>
      <c r="B1409" t="s">
        <v>20</v>
      </c>
      <c r="C1409">
        <v>53</v>
      </c>
      <c r="D1409" t="s">
        <v>31</v>
      </c>
      <c r="E1409" t="s">
        <v>22</v>
      </c>
      <c r="F1409" t="s">
        <v>65</v>
      </c>
      <c r="G1409" t="s">
        <v>42</v>
      </c>
      <c r="H1409" t="s">
        <v>76</v>
      </c>
      <c r="I1409" t="s">
        <v>54</v>
      </c>
      <c r="J1409" t="s">
        <v>27</v>
      </c>
      <c r="K1409">
        <v>13</v>
      </c>
      <c r="L1409">
        <v>111220</v>
      </c>
      <c r="M1409" t="s">
        <v>28</v>
      </c>
      <c r="N1409">
        <v>2</v>
      </c>
      <c r="O1409">
        <v>3</v>
      </c>
      <c r="P1409">
        <v>38</v>
      </c>
      <c r="Q1409">
        <v>0</v>
      </c>
      <c r="R1409" s="1">
        <v>40421</v>
      </c>
      <c r="S1409" t="s">
        <v>29</v>
      </c>
      <c r="T1409" t="str">
        <f t="shared" si="105"/>
        <v>Grade A</v>
      </c>
      <c r="U1409">
        <f t="shared" si="106"/>
        <v>3</v>
      </c>
      <c r="V1409" t="str">
        <f t="shared" si="107"/>
        <v>Senior</v>
      </c>
      <c r="W1409" t="str">
        <f t="shared" si="108"/>
        <v>Medium Risk</v>
      </c>
      <c r="X1409" t="str">
        <f t="shared" si="109"/>
        <v>Competitive</v>
      </c>
    </row>
    <row r="1410" spans="1:24" x14ac:dyDescent="0.3">
      <c r="A1410" t="s">
        <v>1478</v>
      </c>
      <c r="B1410" t="s">
        <v>20</v>
      </c>
      <c r="C1410">
        <v>53</v>
      </c>
      <c r="D1410" t="s">
        <v>57</v>
      </c>
      <c r="E1410" t="s">
        <v>22</v>
      </c>
      <c r="F1410" t="s">
        <v>78</v>
      </c>
      <c r="G1410" t="s">
        <v>63</v>
      </c>
      <c r="H1410" t="s">
        <v>34</v>
      </c>
      <c r="I1410" t="s">
        <v>59</v>
      </c>
      <c r="J1410" t="s">
        <v>60</v>
      </c>
      <c r="K1410">
        <v>14</v>
      </c>
      <c r="L1410">
        <v>66176</v>
      </c>
      <c r="M1410" t="s">
        <v>45</v>
      </c>
      <c r="N1410">
        <v>2</v>
      </c>
      <c r="O1410">
        <v>1</v>
      </c>
      <c r="P1410">
        <v>73</v>
      </c>
      <c r="Q1410">
        <v>2</v>
      </c>
      <c r="R1410" s="1">
        <v>40156</v>
      </c>
      <c r="S1410" t="s">
        <v>37</v>
      </c>
      <c r="T1410" t="str">
        <f t="shared" ref="T1410:T1473" si="110">IF(L1410&gt;=80000,"Grade A",IF(L1410&gt;=50000,"Grade B",IF(L1410&gt;=35000,"Grade C","Grade D")))</f>
        <v>Grade B</v>
      </c>
      <c r="U1410">
        <f t="shared" ref="U1410:U1473" si="111">IF(M1410="Excellent",4,IF(M1410="Good",3,IF(M1410="Average",2,1)))</f>
        <v>2</v>
      </c>
      <c r="V1410" t="str">
        <f t="shared" ref="V1410:V1473" si="112">IF(K1410&lt;=2,"New Joiner",IF(K1410&lt;=5,"Junior",IF(K1410&lt;=10,"Mid Level","Senior")))</f>
        <v>Senior</v>
      </c>
      <c r="W1410" t="str">
        <f t="shared" ref="W1410:W1473" si="113">IF(S1410="Yes","Already Left",IF(AND(K1410&lt;=2,M1410="Poor"),"High Risk",IF(AND(K1410&lt;=5,M1410="Average"),"Medium Risk",IF(M1410="Excellent","Low Risk","Medium Risk"))))</f>
        <v>Already Left</v>
      </c>
      <c r="X1410" t="str">
        <f t="shared" ref="X1410:X1473" si="114">IF(AND(L1410&gt;=80000,M1410="Excellent"),"Competitive",IF(AND(L1410&gt;=50000,M1410="Good"),"Competitive",IF(AND(L1410&lt;35000,M1410="Excellent"),"Underpaid",IF(AND(L1410&gt;=80000,M1410="Poor"),"Overpaid","Fair"))))</f>
        <v>Fair</v>
      </c>
    </row>
    <row r="1411" spans="1:24" x14ac:dyDescent="0.3">
      <c r="A1411" t="s">
        <v>1479</v>
      </c>
      <c r="B1411" t="s">
        <v>20</v>
      </c>
      <c r="C1411">
        <v>26</v>
      </c>
      <c r="D1411" t="s">
        <v>88</v>
      </c>
      <c r="E1411" t="s">
        <v>22</v>
      </c>
      <c r="F1411" t="s">
        <v>32</v>
      </c>
      <c r="G1411" t="s">
        <v>24</v>
      </c>
      <c r="H1411" t="s">
        <v>76</v>
      </c>
      <c r="I1411" t="s">
        <v>50</v>
      </c>
      <c r="J1411" t="s">
        <v>44</v>
      </c>
      <c r="K1411">
        <v>13</v>
      </c>
      <c r="L1411">
        <v>92474</v>
      </c>
      <c r="M1411" t="s">
        <v>51</v>
      </c>
      <c r="N1411">
        <v>4</v>
      </c>
      <c r="O1411">
        <v>2</v>
      </c>
      <c r="P1411">
        <v>36</v>
      </c>
      <c r="Q1411">
        <v>3</v>
      </c>
      <c r="R1411" s="1">
        <v>40192</v>
      </c>
      <c r="S1411" t="s">
        <v>29</v>
      </c>
      <c r="T1411" t="str">
        <f t="shared" si="110"/>
        <v>Grade A</v>
      </c>
      <c r="U1411">
        <f t="shared" si="111"/>
        <v>4</v>
      </c>
      <c r="V1411" t="str">
        <f t="shared" si="112"/>
        <v>Senior</v>
      </c>
      <c r="W1411" t="str">
        <f t="shared" si="113"/>
        <v>Low Risk</v>
      </c>
      <c r="X1411" t="str">
        <f t="shared" si="114"/>
        <v>Competitive</v>
      </c>
    </row>
    <row r="1412" spans="1:24" x14ac:dyDescent="0.3">
      <c r="A1412" t="s">
        <v>1480</v>
      </c>
      <c r="B1412" t="s">
        <v>20</v>
      </c>
      <c r="C1412">
        <v>22</v>
      </c>
      <c r="D1412" t="s">
        <v>31</v>
      </c>
      <c r="E1412" t="s">
        <v>48</v>
      </c>
      <c r="F1412" t="s">
        <v>32</v>
      </c>
      <c r="G1412" t="s">
        <v>42</v>
      </c>
      <c r="H1412" t="s">
        <v>25</v>
      </c>
      <c r="I1412" t="s">
        <v>50</v>
      </c>
      <c r="J1412" t="s">
        <v>44</v>
      </c>
      <c r="K1412">
        <v>13</v>
      </c>
      <c r="L1412">
        <v>121174</v>
      </c>
      <c r="M1412" t="s">
        <v>28</v>
      </c>
      <c r="N1412">
        <v>4</v>
      </c>
      <c r="O1412">
        <v>1</v>
      </c>
      <c r="P1412">
        <v>66</v>
      </c>
      <c r="Q1412">
        <v>3</v>
      </c>
      <c r="R1412" s="1">
        <v>40318</v>
      </c>
      <c r="S1412" t="s">
        <v>29</v>
      </c>
      <c r="T1412" t="str">
        <f t="shared" si="110"/>
        <v>Grade A</v>
      </c>
      <c r="U1412">
        <f t="shared" si="111"/>
        <v>3</v>
      </c>
      <c r="V1412" t="str">
        <f t="shared" si="112"/>
        <v>Senior</v>
      </c>
      <c r="W1412" t="str">
        <f t="shared" si="113"/>
        <v>Medium Risk</v>
      </c>
      <c r="X1412" t="str">
        <f t="shared" si="114"/>
        <v>Competitive</v>
      </c>
    </row>
    <row r="1413" spans="1:24" x14ac:dyDescent="0.3">
      <c r="A1413" t="s">
        <v>1481</v>
      </c>
      <c r="B1413" t="s">
        <v>39</v>
      </c>
      <c r="C1413">
        <v>26</v>
      </c>
      <c r="D1413" t="s">
        <v>57</v>
      </c>
      <c r="E1413" t="s">
        <v>40</v>
      </c>
      <c r="F1413" t="s">
        <v>32</v>
      </c>
      <c r="G1413" t="s">
        <v>58</v>
      </c>
      <c r="H1413" t="s">
        <v>25</v>
      </c>
      <c r="I1413" t="s">
        <v>68</v>
      </c>
      <c r="J1413" t="s">
        <v>60</v>
      </c>
      <c r="K1413">
        <v>15</v>
      </c>
      <c r="L1413">
        <v>120415</v>
      </c>
      <c r="M1413" t="s">
        <v>51</v>
      </c>
      <c r="N1413">
        <v>1</v>
      </c>
      <c r="O1413">
        <v>3</v>
      </c>
      <c r="P1413">
        <v>21</v>
      </c>
      <c r="Q1413">
        <v>3</v>
      </c>
      <c r="R1413" s="1">
        <v>39653</v>
      </c>
      <c r="S1413" t="s">
        <v>29</v>
      </c>
      <c r="T1413" t="str">
        <f t="shared" si="110"/>
        <v>Grade A</v>
      </c>
      <c r="U1413">
        <f t="shared" si="111"/>
        <v>4</v>
      </c>
      <c r="V1413" t="str">
        <f t="shared" si="112"/>
        <v>Senior</v>
      </c>
      <c r="W1413" t="str">
        <f t="shared" si="113"/>
        <v>Low Risk</v>
      </c>
      <c r="X1413" t="str">
        <f t="shared" si="114"/>
        <v>Competitive</v>
      </c>
    </row>
    <row r="1414" spans="1:24" x14ac:dyDescent="0.3">
      <c r="A1414" t="s">
        <v>1482</v>
      </c>
      <c r="B1414" t="s">
        <v>20</v>
      </c>
      <c r="C1414">
        <v>24</v>
      </c>
      <c r="D1414" t="s">
        <v>88</v>
      </c>
      <c r="E1414" t="s">
        <v>22</v>
      </c>
      <c r="F1414" t="s">
        <v>53</v>
      </c>
      <c r="G1414" t="s">
        <v>42</v>
      </c>
      <c r="H1414" t="s">
        <v>34</v>
      </c>
      <c r="I1414" t="s">
        <v>59</v>
      </c>
      <c r="J1414" t="s">
        <v>60</v>
      </c>
      <c r="K1414">
        <v>2</v>
      </c>
      <c r="L1414">
        <v>100523</v>
      </c>
      <c r="M1414" t="s">
        <v>45</v>
      </c>
      <c r="N1414">
        <v>3</v>
      </c>
      <c r="O1414">
        <v>1</v>
      </c>
      <c r="P1414">
        <v>54</v>
      </c>
      <c r="Q1414">
        <v>2</v>
      </c>
      <c r="R1414" s="1">
        <v>44464</v>
      </c>
      <c r="S1414" t="s">
        <v>29</v>
      </c>
      <c r="T1414" t="str">
        <f t="shared" si="110"/>
        <v>Grade A</v>
      </c>
      <c r="U1414">
        <f t="shared" si="111"/>
        <v>2</v>
      </c>
      <c r="V1414" t="str">
        <f t="shared" si="112"/>
        <v>New Joiner</v>
      </c>
      <c r="W1414" t="str">
        <f t="shared" si="113"/>
        <v>Medium Risk</v>
      </c>
      <c r="X1414" t="str">
        <f t="shared" si="114"/>
        <v>Fair</v>
      </c>
    </row>
    <row r="1415" spans="1:24" x14ac:dyDescent="0.3">
      <c r="A1415" t="s">
        <v>1483</v>
      </c>
      <c r="B1415" t="s">
        <v>20</v>
      </c>
      <c r="C1415">
        <v>45</v>
      </c>
      <c r="D1415" t="s">
        <v>47</v>
      </c>
      <c r="E1415" t="s">
        <v>40</v>
      </c>
      <c r="F1415" t="s">
        <v>41</v>
      </c>
      <c r="G1415" t="s">
        <v>33</v>
      </c>
      <c r="H1415" t="s">
        <v>83</v>
      </c>
      <c r="I1415" t="s">
        <v>35</v>
      </c>
      <c r="J1415" t="s">
        <v>27</v>
      </c>
      <c r="K1415">
        <v>15</v>
      </c>
      <c r="L1415">
        <v>88538</v>
      </c>
      <c r="M1415" t="s">
        <v>45</v>
      </c>
      <c r="N1415">
        <v>1</v>
      </c>
      <c r="O1415">
        <v>4</v>
      </c>
      <c r="P1415">
        <v>16</v>
      </c>
      <c r="Q1415">
        <v>3</v>
      </c>
      <c r="R1415" s="1">
        <v>39500</v>
      </c>
      <c r="S1415" t="s">
        <v>29</v>
      </c>
      <c r="T1415" t="str">
        <f t="shared" si="110"/>
        <v>Grade A</v>
      </c>
      <c r="U1415">
        <f t="shared" si="111"/>
        <v>2</v>
      </c>
      <c r="V1415" t="str">
        <f t="shared" si="112"/>
        <v>Senior</v>
      </c>
      <c r="W1415" t="str">
        <f t="shared" si="113"/>
        <v>Medium Risk</v>
      </c>
      <c r="X1415" t="str">
        <f t="shared" si="114"/>
        <v>Fair</v>
      </c>
    </row>
    <row r="1416" spans="1:24" x14ac:dyDescent="0.3">
      <c r="A1416" t="s">
        <v>1484</v>
      </c>
      <c r="B1416" t="s">
        <v>20</v>
      </c>
      <c r="C1416">
        <v>29</v>
      </c>
      <c r="D1416" t="s">
        <v>88</v>
      </c>
      <c r="E1416" t="s">
        <v>48</v>
      </c>
      <c r="F1416" t="s">
        <v>23</v>
      </c>
      <c r="G1416" t="s">
        <v>49</v>
      </c>
      <c r="H1416" t="s">
        <v>83</v>
      </c>
      <c r="I1416" t="s">
        <v>96</v>
      </c>
      <c r="J1416" t="s">
        <v>44</v>
      </c>
      <c r="K1416">
        <v>1</v>
      </c>
      <c r="L1416">
        <v>42412</v>
      </c>
      <c r="M1416" t="s">
        <v>45</v>
      </c>
      <c r="N1416">
        <v>1</v>
      </c>
      <c r="O1416">
        <v>2</v>
      </c>
      <c r="P1416">
        <v>79</v>
      </c>
      <c r="Q1416">
        <v>1</v>
      </c>
      <c r="R1416" s="1">
        <v>44764</v>
      </c>
      <c r="S1416" t="s">
        <v>29</v>
      </c>
      <c r="T1416" t="str">
        <f t="shared" si="110"/>
        <v>Grade C</v>
      </c>
      <c r="U1416">
        <f t="shared" si="111"/>
        <v>2</v>
      </c>
      <c r="V1416" t="str">
        <f t="shared" si="112"/>
        <v>New Joiner</v>
      </c>
      <c r="W1416" t="str">
        <f t="shared" si="113"/>
        <v>Medium Risk</v>
      </c>
      <c r="X1416" t="str">
        <f t="shared" si="114"/>
        <v>Fair</v>
      </c>
    </row>
    <row r="1417" spans="1:24" x14ac:dyDescent="0.3">
      <c r="A1417" t="s">
        <v>1485</v>
      </c>
      <c r="B1417" t="s">
        <v>39</v>
      </c>
      <c r="C1417">
        <v>24</v>
      </c>
      <c r="D1417" t="s">
        <v>47</v>
      </c>
      <c r="E1417" t="s">
        <v>40</v>
      </c>
      <c r="F1417" t="s">
        <v>41</v>
      </c>
      <c r="G1417" t="s">
        <v>49</v>
      </c>
      <c r="H1417" t="s">
        <v>34</v>
      </c>
      <c r="I1417" t="s">
        <v>68</v>
      </c>
      <c r="J1417" t="s">
        <v>60</v>
      </c>
      <c r="K1417">
        <v>11</v>
      </c>
      <c r="L1417">
        <v>81286</v>
      </c>
      <c r="M1417" t="s">
        <v>51</v>
      </c>
      <c r="N1417">
        <v>3</v>
      </c>
      <c r="O1417">
        <v>4</v>
      </c>
      <c r="P1417">
        <v>45</v>
      </c>
      <c r="Q1417">
        <v>0</v>
      </c>
      <c r="R1417" s="1">
        <v>41076</v>
      </c>
      <c r="S1417" t="s">
        <v>29</v>
      </c>
      <c r="T1417" t="str">
        <f t="shared" si="110"/>
        <v>Grade A</v>
      </c>
      <c r="U1417">
        <f t="shared" si="111"/>
        <v>4</v>
      </c>
      <c r="V1417" t="str">
        <f t="shared" si="112"/>
        <v>Senior</v>
      </c>
      <c r="W1417" t="str">
        <f t="shared" si="113"/>
        <v>Low Risk</v>
      </c>
      <c r="X1417" t="str">
        <f t="shared" si="114"/>
        <v>Competitive</v>
      </c>
    </row>
    <row r="1418" spans="1:24" x14ac:dyDescent="0.3">
      <c r="A1418" t="s">
        <v>1486</v>
      </c>
      <c r="B1418" t="s">
        <v>20</v>
      </c>
      <c r="C1418">
        <v>49</v>
      </c>
      <c r="D1418" t="s">
        <v>88</v>
      </c>
      <c r="E1418" t="s">
        <v>22</v>
      </c>
      <c r="F1418" t="s">
        <v>23</v>
      </c>
      <c r="G1418" t="s">
        <v>24</v>
      </c>
      <c r="H1418" t="s">
        <v>67</v>
      </c>
      <c r="I1418" t="s">
        <v>96</v>
      </c>
      <c r="J1418" t="s">
        <v>44</v>
      </c>
      <c r="K1418">
        <v>6</v>
      </c>
      <c r="L1418">
        <v>96925</v>
      </c>
      <c r="M1418" t="s">
        <v>36</v>
      </c>
      <c r="N1418">
        <v>2</v>
      </c>
      <c r="O1418">
        <v>2</v>
      </c>
      <c r="P1418">
        <v>53</v>
      </c>
      <c r="Q1418">
        <v>3</v>
      </c>
      <c r="R1418" s="1">
        <v>42907</v>
      </c>
      <c r="S1418" t="s">
        <v>37</v>
      </c>
      <c r="T1418" t="str">
        <f t="shared" si="110"/>
        <v>Grade A</v>
      </c>
      <c r="U1418">
        <f t="shared" si="111"/>
        <v>1</v>
      </c>
      <c r="V1418" t="str">
        <f t="shared" si="112"/>
        <v>Mid Level</v>
      </c>
      <c r="W1418" t="str">
        <f t="shared" si="113"/>
        <v>Already Left</v>
      </c>
      <c r="X1418" t="str">
        <f t="shared" si="114"/>
        <v>Overpaid</v>
      </c>
    </row>
    <row r="1419" spans="1:24" x14ac:dyDescent="0.3">
      <c r="A1419" t="s">
        <v>1487</v>
      </c>
      <c r="B1419" t="s">
        <v>39</v>
      </c>
      <c r="C1419">
        <v>49</v>
      </c>
      <c r="D1419" t="s">
        <v>57</v>
      </c>
      <c r="E1419" t="s">
        <v>22</v>
      </c>
      <c r="F1419" t="s">
        <v>32</v>
      </c>
      <c r="G1419" t="s">
        <v>33</v>
      </c>
      <c r="H1419" t="s">
        <v>83</v>
      </c>
      <c r="I1419" t="s">
        <v>68</v>
      </c>
      <c r="J1419" t="s">
        <v>60</v>
      </c>
      <c r="K1419">
        <v>10</v>
      </c>
      <c r="L1419">
        <v>79829</v>
      </c>
      <c r="M1419" t="s">
        <v>28</v>
      </c>
      <c r="N1419">
        <v>4</v>
      </c>
      <c r="O1419">
        <v>1</v>
      </c>
      <c r="P1419">
        <v>31</v>
      </c>
      <c r="Q1419">
        <v>0</v>
      </c>
      <c r="R1419" s="1">
        <v>41632</v>
      </c>
      <c r="S1419" t="s">
        <v>29</v>
      </c>
      <c r="T1419" t="str">
        <f t="shared" si="110"/>
        <v>Grade B</v>
      </c>
      <c r="U1419">
        <f t="shared" si="111"/>
        <v>3</v>
      </c>
      <c r="V1419" t="str">
        <f t="shared" si="112"/>
        <v>Mid Level</v>
      </c>
      <c r="W1419" t="str">
        <f t="shared" si="113"/>
        <v>Medium Risk</v>
      </c>
      <c r="X1419" t="str">
        <f t="shared" si="114"/>
        <v>Competitive</v>
      </c>
    </row>
    <row r="1420" spans="1:24" x14ac:dyDescent="0.3">
      <c r="A1420" t="s">
        <v>1488</v>
      </c>
      <c r="B1420" t="s">
        <v>39</v>
      </c>
      <c r="C1420">
        <v>46</v>
      </c>
      <c r="D1420" t="s">
        <v>57</v>
      </c>
      <c r="E1420" t="s">
        <v>22</v>
      </c>
      <c r="F1420" t="s">
        <v>41</v>
      </c>
      <c r="G1420" t="s">
        <v>49</v>
      </c>
      <c r="H1420" t="s">
        <v>34</v>
      </c>
      <c r="I1420" t="s">
        <v>26</v>
      </c>
      <c r="J1420" t="s">
        <v>27</v>
      </c>
      <c r="K1420">
        <v>14</v>
      </c>
      <c r="L1420">
        <v>70584</v>
      </c>
      <c r="M1420" t="s">
        <v>45</v>
      </c>
      <c r="N1420">
        <v>1</v>
      </c>
      <c r="O1420">
        <v>3</v>
      </c>
      <c r="P1420">
        <v>78</v>
      </c>
      <c r="Q1420">
        <v>2</v>
      </c>
      <c r="R1420" s="1">
        <v>40080</v>
      </c>
      <c r="S1420" t="s">
        <v>37</v>
      </c>
      <c r="T1420" t="str">
        <f t="shared" si="110"/>
        <v>Grade B</v>
      </c>
      <c r="U1420">
        <f t="shared" si="111"/>
        <v>2</v>
      </c>
      <c r="V1420" t="str">
        <f t="shared" si="112"/>
        <v>Senior</v>
      </c>
      <c r="W1420" t="str">
        <f t="shared" si="113"/>
        <v>Already Left</v>
      </c>
      <c r="X1420" t="str">
        <f t="shared" si="114"/>
        <v>Fair</v>
      </c>
    </row>
    <row r="1421" spans="1:24" x14ac:dyDescent="0.3">
      <c r="A1421" t="s">
        <v>1489</v>
      </c>
      <c r="B1421" t="s">
        <v>39</v>
      </c>
      <c r="C1421">
        <v>29</v>
      </c>
      <c r="D1421" t="s">
        <v>88</v>
      </c>
      <c r="E1421" t="s">
        <v>40</v>
      </c>
      <c r="F1421" t="s">
        <v>65</v>
      </c>
      <c r="G1421" t="s">
        <v>24</v>
      </c>
      <c r="H1421" t="s">
        <v>34</v>
      </c>
      <c r="I1421" t="s">
        <v>35</v>
      </c>
      <c r="J1421" t="s">
        <v>27</v>
      </c>
      <c r="K1421">
        <v>6</v>
      </c>
      <c r="L1421">
        <v>90085</v>
      </c>
      <c r="M1421" t="s">
        <v>51</v>
      </c>
      <c r="N1421">
        <v>4</v>
      </c>
      <c r="O1421">
        <v>1</v>
      </c>
      <c r="P1421">
        <v>47</v>
      </c>
      <c r="Q1421">
        <v>3</v>
      </c>
      <c r="R1421" s="1">
        <v>43007</v>
      </c>
      <c r="S1421" t="s">
        <v>29</v>
      </c>
      <c r="T1421" t="str">
        <f t="shared" si="110"/>
        <v>Grade A</v>
      </c>
      <c r="U1421">
        <f t="shared" si="111"/>
        <v>4</v>
      </c>
      <c r="V1421" t="str">
        <f t="shared" si="112"/>
        <v>Mid Level</v>
      </c>
      <c r="W1421" t="str">
        <f t="shared" si="113"/>
        <v>Low Risk</v>
      </c>
      <c r="X1421" t="str">
        <f t="shared" si="114"/>
        <v>Competitive</v>
      </c>
    </row>
    <row r="1422" spans="1:24" x14ac:dyDescent="0.3">
      <c r="A1422" t="s">
        <v>1490</v>
      </c>
      <c r="B1422" t="s">
        <v>20</v>
      </c>
      <c r="C1422">
        <v>45</v>
      </c>
      <c r="D1422" t="s">
        <v>31</v>
      </c>
      <c r="E1422" t="s">
        <v>48</v>
      </c>
      <c r="F1422" t="s">
        <v>53</v>
      </c>
      <c r="G1422" t="s">
        <v>33</v>
      </c>
      <c r="H1422" t="s">
        <v>83</v>
      </c>
      <c r="I1422" t="s">
        <v>68</v>
      </c>
      <c r="J1422" t="s">
        <v>60</v>
      </c>
      <c r="K1422">
        <v>4</v>
      </c>
      <c r="L1422">
        <v>58229</v>
      </c>
      <c r="M1422" t="s">
        <v>45</v>
      </c>
      <c r="N1422">
        <v>4</v>
      </c>
      <c r="O1422">
        <v>1</v>
      </c>
      <c r="P1422">
        <v>78</v>
      </c>
      <c r="Q1422">
        <v>1</v>
      </c>
      <c r="R1422" s="1">
        <v>43588</v>
      </c>
      <c r="S1422" t="s">
        <v>29</v>
      </c>
      <c r="T1422" t="str">
        <f t="shared" si="110"/>
        <v>Grade B</v>
      </c>
      <c r="U1422">
        <f t="shared" si="111"/>
        <v>2</v>
      </c>
      <c r="V1422" t="str">
        <f t="shared" si="112"/>
        <v>Junior</v>
      </c>
      <c r="W1422" t="str">
        <f t="shared" si="113"/>
        <v>Medium Risk</v>
      </c>
      <c r="X1422" t="str">
        <f t="shared" si="114"/>
        <v>Fair</v>
      </c>
    </row>
    <row r="1423" spans="1:24" x14ac:dyDescent="0.3">
      <c r="A1423" t="s">
        <v>1491</v>
      </c>
      <c r="B1423" t="s">
        <v>20</v>
      </c>
      <c r="C1423">
        <v>37</v>
      </c>
      <c r="D1423" t="s">
        <v>88</v>
      </c>
      <c r="E1423" t="s">
        <v>48</v>
      </c>
      <c r="F1423" t="s">
        <v>41</v>
      </c>
      <c r="G1423" t="s">
        <v>63</v>
      </c>
      <c r="H1423" t="s">
        <v>76</v>
      </c>
      <c r="I1423" t="s">
        <v>59</v>
      </c>
      <c r="J1423" t="s">
        <v>60</v>
      </c>
      <c r="K1423">
        <v>5</v>
      </c>
      <c r="L1423">
        <v>47406</v>
      </c>
      <c r="M1423" t="s">
        <v>51</v>
      </c>
      <c r="N1423">
        <v>4</v>
      </c>
      <c r="O1423">
        <v>4</v>
      </c>
      <c r="P1423">
        <v>59</v>
      </c>
      <c r="Q1423">
        <v>3</v>
      </c>
      <c r="R1423" s="1">
        <v>43174</v>
      </c>
      <c r="S1423" t="s">
        <v>29</v>
      </c>
      <c r="T1423" t="str">
        <f t="shared" si="110"/>
        <v>Grade C</v>
      </c>
      <c r="U1423">
        <f t="shared" si="111"/>
        <v>4</v>
      </c>
      <c r="V1423" t="str">
        <f t="shared" si="112"/>
        <v>Junior</v>
      </c>
      <c r="W1423" t="str">
        <f t="shared" si="113"/>
        <v>Low Risk</v>
      </c>
      <c r="X1423" t="str">
        <f t="shared" si="114"/>
        <v>Fair</v>
      </c>
    </row>
    <row r="1424" spans="1:24" x14ac:dyDescent="0.3">
      <c r="A1424" t="s">
        <v>1492</v>
      </c>
      <c r="B1424" t="s">
        <v>39</v>
      </c>
      <c r="C1424">
        <v>30</v>
      </c>
      <c r="D1424" t="s">
        <v>57</v>
      </c>
      <c r="E1424" t="s">
        <v>22</v>
      </c>
      <c r="F1424" t="s">
        <v>75</v>
      </c>
      <c r="G1424" t="s">
        <v>63</v>
      </c>
      <c r="H1424" t="s">
        <v>67</v>
      </c>
      <c r="I1424" t="s">
        <v>68</v>
      </c>
      <c r="J1424" t="s">
        <v>60</v>
      </c>
      <c r="K1424">
        <v>6</v>
      </c>
      <c r="L1424">
        <v>47090</v>
      </c>
      <c r="M1424" t="s">
        <v>28</v>
      </c>
      <c r="N1424">
        <v>3</v>
      </c>
      <c r="O1424">
        <v>1</v>
      </c>
      <c r="P1424">
        <v>26</v>
      </c>
      <c r="Q1424">
        <v>2</v>
      </c>
      <c r="R1424" s="1">
        <v>42984</v>
      </c>
      <c r="S1424" t="s">
        <v>29</v>
      </c>
      <c r="T1424" t="str">
        <f t="shared" si="110"/>
        <v>Grade C</v>
      </c>
      <c r="U1424">
        <f t="shared" si="111"/>
        <v>3</v>
      </c>
      <c r="V1424" t="str">
        <f t="shared" si="112"/>
        <v>Mid Level</v>
      </c>
      <c r="W1424" t="str">
        <f t="shared" si="113"/>
        <v>Medium Risk</v>
      </c>
      <c r="X1424" t="str">
        <f t="shared" si="114"/>
        <v>Fair</v>
      </c>
    </row>
    <row r="1425" spans="1:24" x14ac:dyDescent="0.3">
      <c r="A1425" t="s">
        <v>1493</v>
      </c>
      <c r="B1425" t="s">
        <v>20</v>
      </c>
      <c r="C1425">
        <v>25</v>
      </c>
      <c r="D1425" t="s">
        <v>57</v>
      </c>
      <c r="E1425" t="s">
        <v>22</v>
      </c>
      <c r="F1425" t="s">
        <v>78</v>
      </c>
      <c r="G1425" t="s">
        <v>63</v>
      </c>
      <c r="H1425" t="s">
        <v>83</v>
      </c>
      <c r="I1425" t="s">
        <v>96</v>
      </c>
      <c r="J1425" t="s">
        <v>44</v>
      </c>
      <c r="K1425">
        <v>15</v>
      </c>
      <c r="L1425">
        <v>81938</v>
      </c>
      <c r="M1425" t="s">
        <v>28</v>
      </c>
      <c r="N1425">
        <v>1</v>
      </c>
      <c r="O1425">
        <v>4</v>
      </c>
      <c r="P1425">
        <v>60</v>
      </c>
      <c r="Q1425">
        <v>1</v>
      </c>
      <c r="R1425" s="1">
        <v>39793</v>
      </c>
      <c r="S1425" t="s">
        <v>29</v>
      </c>
      <c r="T1425" t="str">
        <f t="shared" si="110"/>
        <v>Grade A</v>
      </c>
      <c r="U1425">
        <f t="shared" si="111"/>
        <v>3</v>
      </c>
      <c r="V1425" t="str">
        <f t="shared" si="112"/>
        <v>Senior</v>
      </c>
      <c r="W1425" t="str">
        <f t="shared" si="113"/>
        <v>Medium Risk</v>
      </c>
      <c r="X1425" t="str">
        <f t="shared" si="114"/>
        <v>Competitive</v>
      </c>
    </row>
    <row r="1426" spans="1:24" x14ac:dyDescent="0.3">
      <c r="A1426" t="s">
        <v>1494</v>
      </c>
      <c r="B1426" t="s">
        <v>39</v>
      </c>
      <c r="C1426">
        <v>22</v>
      </c>
      <c r="D1426" t="s">
        <v>47</v>
      </c>
      <c r="E1426" t="s">
        <v>40</v>
      </c>
      <c r="F1426" t="s">
        <v>23</v>
      </c>
      <c r="G1426" t="s">
        <v>79</v>
      </c>
      <c r="H1426" t="s">
        <v>25</v>
      </c>
      <c r="I1426" t="s">
        <v>43</v>
      </c>
      <c r="J1426" t="s">
        <v>44</v>
      </c>
      <c r="K1426">
        <v>3</v>
      </c>
      <c r="L1426">
        <v>50055</v>
      </c>
      <c r="M1426" t="s">
        <v>51</v>
      </c>
      <c r="N1426">
        <v>1</v>
      </c>
      <c r="O1426">
        <v>1</v>
      </c>
      <c r="P1426">
        <v>31</v>
      </c>
      <c r="Q1426">
        <v>0</v>
      </c>
      <c r="R1426" s="1">
        <v>44193</v>
      </c>
      <c r="S1426" t="s">
        <v>29</v>
      </c>
      <c r="T1426" t="str">
        <f t="shared" si="110"/>
        <v>Grade B</v>
      </c>
      <c r="U1426">
        <f t="shared" si="111"/>
        <v>4</v>
      </c>
      <c r="V1426" t="str">
        <f t="shared" si="112"/>
        <v>Junior</v>
      </c>
      <c r="W1426" t="str">
        <f t="shared" si="113"/>
        <v>Low Risk</v>
      </c>
      <c r="X1426" t="str">
        <f t="shared" si="114"/>
        <v>Fair</v>
      </c>
    </row>
    <row r="1427" spans="1:24" x14ac:dyDescent="0.3">
      <c r="A1427" t="s">
        <v>1495</v>
      </c>
      <c r="B1427" t="s">
        <v>39</v>
      </c>
      <c r="C1427">
        <v>34</v>
      </c>
      <c r="D1427" t="s">
        <v>57</v>
      </c>
      <c r="E1427" t="s">
        <v>48</v>
      </c>
      <c r="F1427" t="s">
        <v>23</v>
      </c>
      <c r="G1427" t="s">
        <v>58</v>
      </c>
      <c r="H1427" t="s">
        <v>67</v>
      </c>
      <c r="I1427" t="s">
        <v>59</v>
      </c>
      <c r="J1427" t="s">
        <v>60</v>
      </c>
      <c r="K1427">
        <v>3</v>
      </c>
      <c r="L1427">
        <v>100933</v>
      </c>
      <c r="M1427" t="s">
        <v>45</v>
      </c>
      <c r="N1427">
        <v>4</v>
      </c>
      <c r="O1427">
        <v>3</v>
      </c>
      <c r="P1427">
        <v>39</v>
      </c>
      <c r="Q1427">
        <v>0</v>
      </c>
      <c r="R1427" s="1">
        <v>44024</v>
      </c>
      <c r="S1427" t="s">
        <v>29</v>
      </c>
      <c r="T1427" t="str">
        <f t="shared" si="110"/>
        <v>Grade A</v>
      </c>
      <c r="U1427">
        <f t="shared" si="111"/>
        <v>2</v>
      </c>
      <c r="V1427" t="str">
        <f t="shared" si="112"/>
        <v>Junior</v>
      </c>
      <c r="W1427" t="str">
        <f t="shared" si="113"/>
        <v>Medium Risk</v>
      </c>
      <c r="X1427" t="str">
        <f t="shared" si="114"/>
        <v>Fair</v>
      </c>
    </row>
    <row r="1428" spans="1:24" x14ac:dyDescent="0.3">
      <c r="A1428" t="s">
        <v>1496</v>
      </c>
      <c r="B1428" t="s">
        <v>20</v>
      </c>
      <c r="C1428">
        <v>53</v>
      </c>
      <c r="D1428" t="s">
        <v>31</v>
      </c>
      <c r="E1428" t="s">
        <v>40</v>
      </c>
      <c r="F1428" t="s">
        <v>53</v>
      </c>
      <c r="G1428" t="s">
        <v>63</v>
      </c>
      <c r="H1428" t="s">
        <v>76</v>
      </c>
      <c r="I1428" t="s">
        <v>54</v>
      </c>
      <c r="J1428" t="s">
        <v>27</v>
      </c>
      <c r="K1428">
        <v>1</v>
      </c>
      <c r="L1428">
        <v>38408</v>
      </c>
      <c r="M1428" t="s">
        <v>51</v>
      </c>
      <c r="N1428">
        <v>3</v>
      </c>
      <c r="O1428">
        <v>3</v>
      </c>
      <c r="P1428">
        <v>44</v>
      </c>
      <c r="Q1428">
        <v>1</v>
      </c>
      <c r="R1428" s="1">
        <v>44690</v>
      </c>
      <c r="S1428" t="s">
        <v>29</v>
      </c>
      <c r="T1428" t="str">
        <f t="shared" si="110"/>
        <v>Grade C</v>
      </c>
      <c r="U1428">
        <f t="shared" si="111"/>
        <v>4</v>
      </c>
      <c r="V1428" t="str">
        <f t="shared" si="112"/>
        <v>New Joiner</v>
      </c>
      <c r="W1428" t="str">
        <f t="shared" si="113"/>
        <v>Low Risk</v>
      </c>
      <c r="X1428" t="str">
        <f t="shared" si="114"/>
        <v>Fair</v>
      </c>
    </row>
    <row r="1429" spans="1:24" x14ac:dyDescent="0.3">
      <c r="A1429" t="s">
        <v>1497</v>
      </c>
      <c r="B1429" t="s">
        <v>39</v>
      </c>
      <c r="C1429">
        <v>29</v>
      </c>
      <c r="D1429" t="s">
        <v>88</v>
      </c>
      <c r="E1429" t="s">
        <v>22</v>
      </c>
      <c r="F1429" t="s">
        <v>65</v>
      </c>
      <c r="G1429" t="s">
        <v>42</v>
      </c>
      <c r="H1429" t="s">
        <v>25</v>
      </c>
      <c r="I1429" t="s">
        <v>50</v>
      </c>
      <c r="J1429" t="s">
        <v>44</v>
      </c>
      <c r="K1429">
        <v>12</v>
      </c>
      <c r="L1429">
        <v>119793</v>
      </c>
      <c r="M1429" t="s">
        <v>45</v>
      </c>
      <c r="N1429">
        <v>1</v>
      </c>
      <c r="O1429">
        <v>4</v>
      </c>
      <c r="P1429">
        <v>54</v>
      </c>
      <c r="Q1429">
        <v>2</v>
      </c>
      <c r="R1429" s="1">
        <v>40649</v>
      </c>
      <c r="S1429" t="s">
        <v>29</v>
      </c>
      <c r="T1429" t="str">
        <f t="shared" si="110"/>
        <v>Grade A</v>
      </c>
      <c r="U1429">
        <f t="shared" si="111"/>
        <v>2</v>
      </c>
      <c r="V1429" t="str">
        <f t="shared" si="112"/>
        <v>Senior</v>
      </c>
      <c r="W1429" t="str">
        <f t="shared" si="113"/>
        <v>Medium Risk</v>
      </c>
      <c r="X1429" t="str">
        <f t="shared" si="114"/>
        <v>Fair</v>
      </c>
    </row>
    <row r="1430" spans="1:24" x14ac:dyDescent="0.3">
      <c r="A1430" t="s">
        <v>1498</v>
      </c>
      <c r="B1430" t="s">
        <v>39</v>
      </c>
      <c r="C1430">
        <v>45</v>
      </c>
      <c r="D1430" t="s">
        <v>47</v>
      </c>
      <c r="E1430" t="s">
        <v>22</v>
      </c>
      <c r="F1430" t="s">
        <v>32</v>
      </c>
      <c r="G1430" t="s">
        <v>66</v>
      </c>
      <c r="H1430" t="s">
        <v>25</v>
      </c>
      <c r="I1430" t="s">
        <v>35</v>
      </c>
      <c r="J1430" t="s">
        <v>27</v>
      </c>
      <c r="K1430">
        <v>13</v>
      </c>
      <c r="L1430">
        <v>64046</v>
      </c>
      <c r="M1430" t="s">
        <v>45</v>
      </c>
      <c r="N1430">
        <v>4</v>
      </c>
      <c r="O1430">
        <v>4</v>
      </c>
      <c r="P1430">
        <v>16</v>
      </c>
      <c r="Q1430">
        <v>2</v>
      </c>
      <c r="R1430" s="1">
        <v>40467</v>
      </c>
      <c r="S1430" t="s">
        <v>29</v>
      </c>
      <c r="T1430" t="str">
        <f t="shared" si="110"/>
        <v>Grade B</v>
      </c>
      <c r="U1430">
        <f t="shared" si="111"/>
        <v>2</v>
      </c>
      <c r="V1430" t="str">
        <f t="shared" si="112"/>
        <v>Senior</v>
      </c>
      <c r="W1430" t="str">
        <f t="shared" si="113"/>
        <v>Medium Risk</v>
      </c>
      <c r="X1430" t="str">
        <f t="shared" si="114"/>
        <v>Fair</v>
      </c>
    </row>
    <row r="1431" spans="1:24" x14ac:dyDescent="0.3">
      <c r="A1431" t="s">
        <v>1499</v>
      </c>
      <c r="B1431" t="s">
        <v>20</v>
      </c>
      <c r="C1431">
        <v>49</v>
      </c>
      <c r="D1431" t="s">
        <v>21</v>
      </c>
      <c r="E1431" t="s">
        <v>48</v>
      </c>
      <c r="F1431" t="s">
        <v>75</v>
      </c>
      <c r="G1431" t="s">
        <v>63</v>
      </c>
      <c r="H1431" t="s">
        <v>83</v>
      </c>
      <c r="I1431" t="s">
        <v>43</v>
      </c>
      <c r="J1431" t="s">
        <v>44</v>
      </c>
      <c r="K1431">
        <v>13</v>
      </c>
      <c r="L1431">
        <v>64360</v>
      </c>
      <c r="M1431" t="s">
        <v>28</v>
      </c>
      <c r="N1431">
        <v>1</v>
      </c>
      <c r="O1431">
        <v>3</v>
      </c>
      <c r="P1431">
        <v>67</v>
      </c>
      <c r="Q1431">
        <v>1</v>
      </c>
      <c r="R1431" s="1">
        <v>40476</v>
      </c>
      <c r="S1431" t="s">
        <v>29</v>
      </c>
      <c r="T1431" t="str">
        <f t="shared" si="110"/>
        <v>Grade B</v>
      </c>
      <c r="U1431">
        <f t="shared" si="111"/>
        <v>3</v>
      </c>
      <c r="V1431" t="str">
        <f t="shared" si="112"/>
        <v>Senior</v>
      </c>
      <c r="W1431" t="str">
        <f t="shared" si="113"/>
        <v>Medium Risk</v>
      </c>
      <c r="X1431" t="str">
        <f t="shared" si="114"/>
        <v>Competitive</v>
      </c>
    </row>
    <row r="1432" spans="1:24" x14ac:dyDescent="0.3">
      <c r="A1432" t="s">
        <v>1500</v>
      </c>
      <c r="B1432" t="s">
        <v>20</v>
      </c>
      <c r="C1432">
        <v>23</v>
      </c>
      <c r="D1432" t="s">
        <v>21</v>
      </c>
      <c r="E1432" t="s">
        <v>48</v>
      </c>
      <c r="F1432" t="s">
        <v>75</v>
      </c>
      <c r="G1432" t="s">
        <v>66</v>
      </c>
      <c r="H1432" t="s">
        <v>83</v>
      </c>
      <c r="I1432" t="s">
        <v>43</v>
      </c>
      <c r="J1432" t="s">
        <v>44</v>
      </c>
      <c r="K1432">
        <v>4</v>
      </c>
      <c r="L1432">
        <v>35060</v>
      </c>
      <c r="M1432" t="s">
        <v>28</v>
      </c>
      <c r="N1432">
        <v>2</v>
      </c>
      <c r="O1432">
        <v>1</v>
      </c>
      <c r="P1432">
        <v>18</v>
      </c>
      <c r="Q1432">
        <v>3</v>
      </c>
      <c r="R1432" s="1">
        <v>43574</v>
      </c>
      <c r="S1432" t="s">
        <v>29</v>
      </c>
      <c r="T1432" t="str">
        <f t="shared" si="110"/>
        <v>Grade C</v>
      </c>
      <c r="U1432">
        <f t="shared" si="111"/>
        <v>3</v>
      </c>
      <c r="V1432" t="str">
        <f t="shared" si="112"/>
        <v>Junior</v>
      </c>
      <c r="W1432" t="str">
        <f t="shared" si="113"/>
        <v>Medium Risk</v>
      </c>
      <c r="X1432" t="str">
        <f t="shared" si="114"/>
        <v>Fair</v>
      </c>
    </row>
    <row r="1433" spans="1:24" x14ac:dyDescent="0.3">
      <c r="A1433" t="s">
        <v>1501</v>
      </c>
      <c r="B1433" t="s">
        <v>20</v>
      </c>
      <c r="C1433">
        <v>25</v>
      </c>
      <c r="D1433" t="s">
        <v>31</v>
      </c>
      <c r="E1433" t="s">
        <v>22</v>
      </c>
      <c r="F1433" t="s">
        <v>41</v>
      </c>
      <c r="G1433" t="s">
        <v>79</v>
      </c>
      <c r="H1433" t="s">
        <v>76</v>
      </c>
      <c r="I1433" t="s">
        <v>59</v>
      </c>
      <c r="J1433" t="s">
        <v>60</v>
      </c>
      <c r="K1433">
        <v>13</v>
      </c>
      <c r="L1433">
        <v>66355</v>
      </c>
      <c r="M1433" t="s">
        <v>36</v>
      </c>
      <c r="N1433">
        <v>2</v>
      </c>
      <c r="O1433">
        <v>3</v>
      </c>
      <c r="P1433">
        <v>48</v>
      </c>
      <c r="Q1433">
        <v>0</v>
      </c>
      <c r="R1433" s="1">
        <v>40370</v>
      </c>
      <c r="S1433" t="s">
        <v>37</v>
      </c>
      <c r="T1433" t="str">
        <f t="shared" si="110"/>
        <v>Grade B</v>
      </c>
      <c r="U1433">
        <f t="shared" si="111"/>
        <v>1</v>
      </c>
      <c r="V1433" t="str">
        <f t="shared" si="112"/>
        <v>Senior</v>
      </c>
      <c r="W1433" t="str">
        <f t="shared" si="113"/>
        <v>Already Left</v>
      </c>
      <c r="X1433" t="str">
        <f t="shared" si="114"/>
        <v>Fair</v>
      </c>
    </row>
    <row r="1434" spans="1:24" x14ac:dyDescent="0.3">
      <c r="A1434" t="s">
        <v>1502</v>
      </c>
      <c r="B1434" t="s">
        <v>20</v>
      </c>
      <c r="C1434">
        <v>38</v>
      </c>
      <c r="D1434" t="s">
        <v>31</v>
      </c>
      <c r="E1434" t="s">
        <v>22</v>
      </c>
      <c r="F1434" t="s">
        <v>32</v>
      </c>
      <c r="G1434" t="s">
        <v>33</v>
      </c>
      <c r="H1434" t="s">
        <v>34</v>
      </c>
      <c r="I1434" t="s">
        <v>59</v>
      </c>
      <c r="J1434" t="s">
        <v>60</v>
      </c>
      <c r="K1434">
        <v>5</v>
      </c>
      <c r="L1434">
        <v>78584</v>
      </c>
      <c r="M1434" t="s">
        <v>45</v>
      </c>
      <c r="N1434">
        <v>1</v>
      </c>
      <c r="O1434">
        <v>3</v>
      </c>
      <c r="P1434">
        <v>69</v>
      </c>
      <c r="Q1434">
        <v>0</v>
      </c>
      <c r="R1434" s="1">
        <v>43439</v>
      </c>
      <c r="S1434" t="s">
        <v>29</v>
      </c>
      <c r="T1434" t="str">
        <f t="shared" si="110"/>
        <v>Grade B</v>
      </c>
      <c r="U1434">
        <f t="shared" si="111"/>
        <v>2</v>
      </c>
      <c r="V1434" t="str">
        <f t="shared" si="112"/>
        <v>Junior</v>
      </c>
      <c r="W1434" t="str">
        <f t="shared" si="113"/>
        <v>Medium Risk</v>
      </c>
      <c r="X1434" t="str">
        <f t="shared" si="114"/>
        <v>Fair</v>
      </c>
    </row>
    <row r="1435" spans="1:24" x14ac:dyDescent="0.3">
      <c r="A1435" t="s">
        <v>1503</v>
      </c>
      <c r="B1435" t="s">
        <v>39</v>
      </c>
      <c r="C1435">
        <v>49</v>
      </c>
      <c r="D1435" t="s">
        <v>31</v>
      </c>
      <c r="E1435" t="s">
        <v>48</v>
      </c>
      <c r="F1435" t="s">
        <v>78</v>
      </c>
      <c r="G1435" t="s">
        <v>63</v>
      </c>
      <c r="H1435" t="s">
        <v>83</v>
      </c>
      <c r="I1435" t="s">
        <v>72</v>
      </c>
      <c r="J1435" t="s">
        <v>73</v>
      </c>
      <c r="K1435">
        <v>13</v>
      </c>
      <c r="L1435">
        <v>75245</v>
      </c>
      <c r="M1435" t="s">
        <v>51</v>
      </c>
      <c r="N1435">
        <v>1</v>
      </c>
      <c r="O1435">
        <v>2</v>
      </c>
      <c r="P1435">
        <v>34</v>
      </c>
      <c r="Q1435">
        <v>2</v>
      </c>
      <c r="R1435" s="1">
        <v>40340</v>
      </c>
      <c r="S1435" t="s">
        <v>29</v>
      </c>
      <c r="T1435" t="str">
        <f t="shared" si="110"/>
        <v>Grade B</v>
      </c>
      <c r="U1435">
        <f t="shared" si="111"/>
        <v>4</v>
      </c>
      <c r="V1435" t="str">
        <f t="shared" si="112"/>
        <v>Senior</v>
      </c>
      <c r="W1435" t="str">
        <f t="shared" si="113"/>
        <v>Low Risk</v>
      </c>
      <c r="X1435" t="str">
        <f t="shared" si="114"/>
        <v>Fair</v>
      </c>
    </row>
    <row r="1436" spans="1:24" x14ac:dyDescent="0.3">
      <c r="A1436" t="s">
        <v>1504</v>
      </c>
      <c r="B1436" t="s">
        <v>39</v>
      </c>
      <c r="C1436">
        <v>52</v>
      </c>
      <c r="D1436" t="s">
        <v>57</v>
      </c>
      <c r="E1436" t="s">
        <v>40</v>
      </c>
      <c r="F1436" t="s">
        <v>78</v>
      </c>
      <c r="G1436" t="s">
        <v>58</v>
      </c>
      <c r="H1436" t="s">
        <v>25</v>
      </c>
      <c r="I1436" t="s">
        <v>54</v>
      </c>
      <c r="J1436" t="s">
        <v>27</v>
      </c>
      <c r="K1436">
        <v>7</v>
      </c>
      <c r="L1436">
        <v>101263</v>
      </c>
      <c r="M1436" t="s">
        <v>36</v>
      </c>
      <c r="N1436">
        <v>1</v>
      </c>
      <c r="O1436">
        <v>3</v>
      </c>
      <c r="P1436">
        <v>41</v>
      </c>
      <c r="Q1436">
        <v>0</v>
      </c>
      <c r="R1436" s="1">
        <v>42642</v>
      </c>
      <c r="S1436" t="s">
        <v>37</v>
      </c>
      <c r="T1436" t="str">
        <f t="shared" si="110"/>
        <v>Grade A</v>
      </c>
      <c r="U1436">
        <f t="shared" si="111"/>
        <v>1</v>
      </c>
      <c r="V1436" t="str">
        <f t="shared" si="112"/>
        <v>Mid Level</v>
      </c>
      <c r="W1436" t="str">
        <f t="shared" si="113"/>
        <v>Already Left</v>
      </c>
      <c r="X1436" t="str">
        <f t="shared" si="114"/>
        <v>Overpaid</v>
      </c>
    </row>
    <row r="1437" spans="1:24" x14ac:dyDescent="0.3">
      <c r="A1437" t="s">
        <v>1505</v>
      </c>
      <c r="B1437" t="s">
        <v>39</v>
      </c>
      <c r="C1437">
        <v>34</v>
      </c>
      <c r="D1437" t="s">
        <v>47</v>
      </c>
      <c r="E1437" t="s">
        <v>40</v>
      </c>
      <c r="F1437" t="s">
        <v>53</v>
      </c>
      <c r="G1437" t="s">
        <v>66</v>
      </c>
      <c r="H1437" t="s">
        <v>67</v>
      </c>
      <c r="I1437" t="s">
        <v>26</v>
      </c>
      <c r="J1437" t="s">
        <v>27</v>
      </c>
      <c r="K1437">
        <v>10</v>
      </c>
      <c r="L1437">
        <v>59171</v>
      </c>
      <c r="M1437" t="s">
        <v>51</v>
      </c>
      <c r="N1437">
        <v>4</v>
      </c>
      <c r="O1437">
        <v>2</v>
      </c>
      <c r="P1437">
        <v>27</v>
      </c>
      <c r="Q1437">
        <v>1</v>
      </c>
      <c r="R1437" s="1">
        <v>41519</v>
      </c>
      <c r="S1437" t="s">
        <v>29</v>
      </c>
      <c r="T1437" t="str">
        <f t="shared" si="110"/>
        <v>Grade B</v>
      </c>
      <c r="U1437">
        <f t="shared" si="111"/>
        <v>4</v>
      </c>
      <c r="V1437" t="str">
        <f t="shared" si="112"/>
        <v>Mid Level</v>
      </c>
      <c r="W1437" t="str">
        <f t="shared" si="113"/>
        <v>Low Risk</v>
      </c>
      <c r="X1437" t="str">
        <f t="shared" si="114"/>
        <v>Fair</v>
      </c>
    </row>
    <row r="1438" spans="1:24" x14ac:dyDescent="0.3">
      <c r="A1438" t="s">
        <v>1506</v>
      </c>
      <c r="B1438" t="s">
        <v>39</v>
      </c>
      <c r="C1438">
        <v>32</v>
      </c>
      <c r="D1438" t="s">
        <v>57</v>
      </c>
      <c r="E1438" t="s">
        <v>48</v>
      </c>
      <c r="F1438" t="s">
        <v>75</v>
      </c>
      <c r="G1438" t="s">
        <v>24</v>
      </c>
      <c r="H1438" t="s">
        <v>25</v>
      </c>
      <c r="I1438" t="s">
        <v>54</v>
      </c>
      <c r="J1438" t="s">
        <v>27</v>
      </c>
      <c r="K1438">
        <v>1</v>
      </c>
      <c r="L1438">
        <v>85372</v>
      </c>
      <c r="M1438" t="s">
        <v>45</v>
      </c>
      <c r="N1438">
        <v>4</v>
      </c>
      <c r="O1438">
        <v>2</v>
      </c>
      <c r="P1438">
        <v>43</v>
      </c>
      <c r="Q1438">
        <v>1</v>
      </c>
      <c r="R1438" s="1">
        <v>44763</v>
      </c>
      <c r="S1438" t="s">
        <v>29</v>
      </c>
      <c r="T1438" t="str">
        <f t="shared" si="110"/>
        <v>Grade A</v>
      </c>
      <c r="U1438">
        <f t="shared" si="111"/>
        <v>2</v>
      </c>
      <c r="V1438" t="str">
        <f t="shared" si="112"/>
        <v>New Joiner</v>
      </c>
      <c r="W1438" t="str">
        <f t="shared" si="113"/>
        <v>Medium Risk</v>
      </c>
      <c r="X1438" t="str">
        <f t="shared" si="114"/>
        <v>Fair</v>
      </c>
    </row>
    <row r="1439" spans="1:24" x14ac:dyDescent="0.3">
      <c r="A1439" t="s">
        <v>1507</v>
      </c>
      <c r="B1439" t="s">
        <v>39</v>
      </c>
      <c r="C1439">
        <v>33</v>
      </c>
      <c r="D1439" t="s">
        <v>21</v>
      </c>
      <c r="E1439" t="s">
        <v>40</v>
      </c>
      <c r="F1439" t="s">
        <v>78</v>
      </c>
      <c r="G1439" t="s">
        <v>66</v>
      </c>
      <c r="H1439" t="s">
        <v>67</v>
      </c>
      <c r="I1439" t="s">
        <v>96</v>
      </c>
      <c r="J1439" t="s">
        <v>44</v>
      </c>
      <c r="K1439">
        <v>4</v>
      </c>
      <c r="L1439">
        <v>37610</v>
      </c>
      <c r="M1439" t="s">
        <v>28</v>
      </c>
      <c r="N1439">
        <v>1</v>
      </c>
      <c r="O1439">
        <v>3</v>
      </c>
      <c r="P1439">
        <v>10</v>
      </c>
      <c r="Q1439">
        <v>0</v>
      </c>
      <c r="R1439" s="1">
        <v>43763</v>
      </c>
      <c r="S1439" t="s">
        <v>37</v>
      </c>
      <c r="T1439" t="str">
        <f t="shared" si="110"/>
        <v>Grade C</v>
      </c>
      <c r="U1439">
        <f t="shared" si="111"/>
        <v>3</v>
      </c>
      <c r="V1439" t="str">
        <f t="shared" si="112"/>
        <v>Junior</v>
      </c>
      <c r="W1439" t="str">
        <f t="shared" si="113"/>
        <v>Already Left</v>
      </c>
      <c r="X1439" t="str">
        <f t="shared" si="114"/>
        <v>Fair</v>
      </c>
    </row>
    <row r="1440" spans="1:24" x14ac:dyDescent="0.3">
      <c r="A1440" t="s">
        <v>1508</v>
      </c>
      <c r="B1440" t="s">
        <v>20</v>
      </c>
      <c r="C1440">
        <v>53</v>
      </c>
      <c r="D1440" t="s">
        <v>21</v>
      </c>
      <c r="E1440" t="s">
        <v>40</v>
      </c>
      <c r="F1440" t="s">
        <v>32</v>
      </c>
      <c r="G1440" t="s">
        <v>42</v>
      </c>
      <c r="H1440" t="s">
        <v>67</v>
      </c>
      <c r="I1440" t="s">
        <v>43</v>
      </c>
      <c r="J1440" t="s">
        <v>44</v>
      </c>
      <c r="K1440">
        <v>9</v>
      </c>
      <c r="L1440">
        <v>112612</v>
      </c>
      <c r="M1440" t="s">
        <v>28</v>
      </c>
      <c r="N1440">
        <v>2</v>
      </c>
      <c r="O1440">
        <v>1</v>
      </c>
      <c r="P1440">
        <v>71</v>
      </c>
      <c r="Q1440">
        <v>2</v>
      </c>
      <c r="R1440" s="1">
        <v>41899</v>
      </c>
      <c r="S1440" t="s">
        <v>29</v>
      </c>
      <c r="T1440" t="str">
        <f t="shared" si="110"/>
        <v>Grade A</v>
      </c>
      <c r="U1440">
        <f t="shared" si="111"/>
        <v>3</v>
      </c>
      <c r="V1440" t="str">
        <f t="shared" si="112"/>
        <v>Mid Level</v>
      </c>
      <c r="W1440" t="str">
        <f t="shared" si="113"/>
        <v>Medium Risk</v>
      </c>
      <c r="X1440" t="str">
        <f t="shared" si="114"/>
        <v>Competitive</v>
      </c>
    </row>
    <row r="1441" spans="1:24" x14ac:dyDescent="0.3">
      <c r="A1441" t="s">
        <v>1509</v>
      </c>
      <c r="B1441" t="s">
        <v>20</v>
      </c>
      <c r="C1441">
        <v>42</v>
      </c>
      <c r="D1441" t="s">
        <v>57</v>
      </c>
      <c r="E1441" t="s">
        <v>40</v>
      </c>
      <c r="F1441" t="s">
        <v>41</v>
      </c>
      <c r="G1441" t="s">
        <v>66</v>
      </c>
      <c r="H1441" t="s">
        <v>25</v>
      </c>
      <c r="I1441" t="s">
        <v>72</v>
      </c>
      <c r="J1441" t="s">
        <v>73</v>
      </c>
      <c r="K1441">
        <v>12</v>
      </c>
      <c r="L1441">
        <v>53156</v>
      </c>
      <c r="M1441" t="s">
        <v>45</v>
      </c>
      <c r="N1441">
        <v>1</v>
      </c>
      <c r="O1441">
        <v>2</v>
      </c>
      <c r="P1441">
        <v>80</v>
      </c>
      <c r="Q1441">
        <v>1</v>
      </c>
      <c r="R1441" s="1">
        <v>40883</v>
      </c>
      <c r="S1441" t="s">
        <v>29</v>
      </c>
      <c r="T1441" t="str">
        <f t="shared" si="110"/>
        <v>Grade B</v>
      </c>
      <c r="U1441">
        <f t="shared" si="111"/>
        <v>2</v>
      </c>
      <c r="V1441" t="str">
        <f t="shared" si="112"/>
        <v>Senior</v>
      </c>
      <c r="W1441" t="str">
        <f t="shared" si="113"/>
        <v>Medium Risk</v>
      </c>
      <c r="X1441" t="str">
        <f t="shared" si="114"/>
        <v>Fair</v>
      </c>
    </row>
    <row r="1442" spans="1:24" x14ac:dyDescent="0.3">
      <c r="A1442" t="s">
        <v>1510</v>
      </c>
      <c r="B1442" t="s">
        <v>39</v>
      </c>
      <c r="C1442">
        <v>49</v>
      </c>
      <c r="D1442" t="s">
        <v>47</v>
      </c>
      <c r="E1442" t="s">
        <v>22</v>
      </c>
      <c r="F1442" t="s">
        <v>23</v>
      </c>
      <c r="G1442" t="s">
        <v>42</v>
      </c>
      <c r="H1442" t="s">
        <v>83</v>
      </c>
      <c r="I1442" t="s">
        <v>26</v>
      </c>
      <c r="J1442" t="s">
        <v>27</v>
      </c>
      <c r="K1442">
        <v>13</v>
      </c>
      <c r="L1442">
        <v>119056</v>
      </c>
      <c r="M1442" t="s">
        <v>36</v>
      </c>
      <c r="N1442">
        <v>4</v>
      </c>
      <c r="O1442">
        <v>4</v>
      </c>
      <c r="P1442">
        <v>69</v>
      </c>
      <c r="Q1442">
        <v>3</v>
      </c>
      <c r="R1442" s="1">
        <v>40468</v>
      </c>
      <c r="S1442" t="s">
        <v>29</v>
      </c>
      <c r="T1442" t="str">
        <f t="shared" si="110"/>
        <v>Grade A</v>
      </c>
      <c r="U1442">
        <f t="shared" si="111"/>
        <v>1</v>
      </c>
      <c r="V1442" t="str">
        <f t="shared" si="112"/>
        <v>Senior</v>
      </c>
      <c r="W1442" t="str">
        <f t="shared" si="113"/>
        <v>Medium Risk</v>
      </c>
      <c r="X1442" t="str">
        <f t="shared" si="114"/>
        <v>Overpaid</v>
      </c>
    </row>
    <row r="1443" spans="1:24" x14ac:dyDescent="0.3">
      <c r="A1443" t="s">
        <v>1511</v>
      </c>
      <c r="B1443" t="s">
        <v>39</v>
      </c>
      <c r="C1443">
        <v>50</v>
      </c>
      <c r="D1443" t="s">
        <v>21</v>
      </c>
      <c r="E1443" t="s">
        <v>22</v>
      </c>
      <c r="F1443" t="s">
        <v>32</v>
      </c>
      <c r="G1443" t="s">
        <v>58</v>
      </c>
      <c r="H1443" t="s">
        <v>83</v>
      </c>
      <c r="I1443" t="s">
        <v>59</v>
      </c>
      <c r="J1443" t="s">
        <v>60</v>
      </c>
      <c r="K1443">
        <v>15</v>
      </c>
      <c r="L1443">
        <v>118055</v>
      </c>
      <c r="M1443" t="s">
        <v>36</v>
      </c>
      <c r="N1443">
        <v>3</v>
      </c>
      <c r="O1443">
        <v>1</v>
      </c>
      <c r="P1443">
        <v>40</v>
      </c>
      <c r="Q1443">
        <v>3</v>
      </c>
      <c r="R1443" s="1">
        <v>39573</v>
      </c>
      <c r="S1443" t="s">
        <v>37</v>
      </c>
      <c r="T1443" t="str">
        <f t="shared" si="110"/>
        <v>Grade A</v>
      </c>
      <c r="U1443">
        <f t="shared" si="111"/>
        <v>1</v>
      </c>
      <c r="V1443" t="str">
        <f t="shared" si="112"/>
        <v>Senior</v>
      </c>
      <c r="W1443" t="str">
        <f t="shared" si="113"/>
        <v>Already Left</v>
      </c>
      <c r="X1443" t="str">
        <f t="shared" si="114"/>
        <v>Overpaid</v>
      </c>
    </row>
    <row r="1444" spans="1:24" x14ac:dyDescent="0.3">
      <c r="A1444" t="s">
        <v>1512</v>
      </c>
      <c r="B1444" t="s">
        <v>39</v>
      </c>
      <c r="C1444">
        <v>52</v>
      </c>
      <c r="D1444" t="s">
        <v>31</v>
      </c>
      <c r="E1444" t="s">
        <v>40</v>
      </c>
      <c r="F1444" t="s">
        <v>65</v>
      </c>
      <c r="G1444" t="s">
        <v>42</v>
      </c>
      <c r="H1444" t="s">
        <v>34</v>
      </c>
      <c r="I1444" t="s">
        <v>50</v>
      </c>
      <c r="J1444" t="s">
        <v>44</v>
      </c>
      <c r="K1444">
        <v>3</v>
      </c>
      <c r="L1444">
        <v>95432</v>
      </c>
      <c r="M1444" t="s">
        <v>45</v>
      </c>
      <c r="N1444">
        <v>1</v>
      </c>
      <c r="O1444">
        <v>2</v>
      </c>
      <c r="P1444">
        <v>73</v>
      </c>
      <c r="Q1444">
        <v>2</v>
      </c>
      <c r="R1444" s="1">
        <v>44154</v>
      </c>
      <c r="S1444" t="s">
        <v>29</v>
      </c>
      <c r="T1444" t="str">
        <f t="shared" si="110"/>
        <v>Grade A</v>
      </c>
      <c r="U1444">
        <f t="shared" si="111"/>
        <v>2</v>
      </c>
      <c r="V1444" t="str">
        <f t="shared" si="112"/>
        <v>Junior</v>
      </c>
      <c r="W1444" t="str">
        <f t="shared" si="113"/>
        <v>Medium Risk</v>
      </c>
      <c r="X1444" t="str">
        <f t="shared" si="114"/>
        <v>Fair</v>
      </c>
    </row>
    <row r="1445" spans="1:24" x14ac:dyDescent="0.3">
      <c r="A1445" t="s">
        <v>1513</v>
      </c>
      <c r="B1445" t="s">
        <v>39</v>
      </c>
      <c r="C1445">
        <v>45</v>
      </c>
      <c r="D1445" t="s">
        <v>88</v>
      </c>
      <c r="E1445" t="s">
        <v>22</v>
      </c>
      <c r="F1445" t="s">
        <v>75</v>
      </c>
      <c r="G1445" t="s">
        <v>24</v>
      </c>
      <c r="H1445" t="s">
        <v>76</v>
      </c>
      <c r="I1445" t="s">
        <v>50</v>
      </c>
      <c r="J1445" t="s">
        <v>44</v>
      </c>
      <c r="K1445">
        <v>9</v>
      </c>
      <c r="L1445">
        <v>97025</v>
      </c>
      <c r="M1445" t="s">
        <v>45</v>
      </c>
      <c r="N1445">
        <v>4</v>
      </c>
      <c r="O1445">
        <v>2</v>
      </c>
      <c r="P1445">
        <v>11</v>
      </c>
      <c r="Q1445">
        <v>0</v>
      </c>
      <c r="R1445" s="1">
        <v>41792</v>
      </c>
      <c r="S1445" t="s">
        <v>29</v>
      </c>
      <c r="T1445" t="str">
        <f t="shared" si="110"/>
        <v>Grade A</v>
      </c>
      <c r="U1445">
        <f t="shared" si="111"/>
        <v>2</v>
      </c>
      <c r="V1445" t="str">
        <f t="shared" si="112"/>
        <v>Mid Level</v>
      </c>
      <c r="W1445" t="str">
        <f t="shared" si="113"/>
        <v>Medium Risk</v>
      </c>
      <c r="X1445" t="str">
        <f t="shared" si="114"/>
        <v>Fair</v>
      </c>
    </row>
    <row r="1446" spans="1:24" x14ac:dyDescent="0.3">
      <c r="A1446" t="s">
        <v>1514</v>
      </c>
      <c r="B1446" t="s">
        <v>20</v>
      </c>
      <c r="C1446">
        <v>50</v>
      </c>
      <c r="D1446" t="s">
        <v>31</v>
      </c>
      <c r="E1446" t="s">
        <v>48</v>
      </c>
      <c r="F1446" t="s">
        <v>75</v>
      </c>
      <c r="G1446" t="s">
        <v>63</v>
      </c>
      <c r="H1446" t="s">
        <v>67</v>
      </c>
      <c r="I1446" t="s">
        <v>59</v>
      </c>
      <c r="J1446" t="s">
        <v>60</v>
      </c>
      <c r="K1446">
        <v>11</v>
      </c>
      <c r="L1446">
        <v>65597</v>
      </c>
      <c r="M1446" t="s">
        <v>45</v>
      </c>
      <c r="N1446">
        <v>4</v>
      </c>
      <c r="O1446">
        <v>2</v>
      </c>
      <c r="P1446">
        <v>23</v>
      </c>
      <c r="Q1446">
        <v>1</v>
      </c>
      <c r="R1446" s="1">
        <v>41241</v>
      </c>
      <c r="S1446" t="s">
        <v>29</v>
      </c>
      <c r="T1446" t="str">
        <f t="shared" si="110"/>
        <v>Grade B</v>
      </c>
      <c r="U1446">
        <f t="shared" si="111"/>
        <v>2</v>
      </c>
      <c r="V1446" t="str">
        <f t="shared" si="112"/>
        <v>Senior</v>
      </c>
      <c r="W1446" t="str">
        <f t="shared" si="113"/>
        <v>Medium Risk</v>
      </c>
      <c r="X1446" t="str">
        <f t="shared" si="114"/>
        <v>Fair</v>
      </c>
    </row>
    <row r="1447" spans="1:24" x14ac:dyDescent="0.3">
      <c r="A1447" t="s">
        <v>1515</v>
      </c>
      <c r="B1447" t="s">
        <v>20</v>
      </c>
      <c r="C1447">
        <v>24</v>
      </c>
      <c r="D1447" t="s">
        <v>88</v>
      </c>
      <c r="E1447" t="s">
        <v>40</v>
      </c>
      <c r="F1447" t="s">
        <v>78</v>
      </c>
      <c r="G1447" t="s">
        <v>79</v>
      </c>
      <c r="H1447" t="s">
        <v>34</v>
      </c>
      <c r="I1447" t="s">
        <v>54</v>
      </c>
      <c r="J1447" t="s">
        <v>27</v>
      </c>
      <c r="K1447">
        <v>14</v>
      </c>
      <c r="L1447">
        <v>66443</v>
      </c>
      <c r="M1447" t="s">
        <v>45</v>
      </c>
      <c r="N1447">
        <v>3</v>
      </c>
      <c r="O1447">
        <v>3</v>
      </c>
      <c r="P1447">
        <v>11</v>
      </c>
      <c r="Q1447">
        <v>2</v>
      </c>
      <c r="R1447" s="1">
        <v>39821</v>
      </c>
      <c r="S1447" t="s">
        <v>29</v>
      </c>
      <c r="T1447" t="str">
        <f t="shared" si="110"/>
        <v>Grade B</v>
      </c>
      <c r="U1447">
        <f t="shared" si="111"/>
        <v>2</v>
      </c>
      <c r="V1447" t="str">
        <f t="shared" si="112"/>
        <v>Senior</v>
      </c>
      <c r="W1447" t="str">
        <f t="shared" si="113"/>
        <v>Medium Risk</v>
      </c>
      <c r="X1447" t="str">
        <f t="shared" si="114"/>
        <v>Fair</v>
      </c>
    </row>
    <row r="1448" spans="1:24" x14ac:dyDescent="0.3">
      <c r="A1448" t="s">
        <v>1516</v>
      </c>
      <c r="B1448" t="s">
        <v>39</v>
      </c>
      <c r="C1448">
        <v>38</v>
      </c>
      <c r="D1448" t="s">
        <v>57</v>
      </c>
      <c r="E1448" t="s">
        <v>22</v>
      </c>
      <c r="F1448" t="s">
        <v>32</v>
      </c>
      <c r="G1448" t="s">
        <v>63</v>
      </c>
      <c r="H1448" t="s">
        <v>67</v>
      </c>
      <c r="I1448" t="s">
        <v>54</v>
      </c>
      <c r="J1448" t="s">
        <v>27</v>
      </c>
      <c r="K1448">
        <v>13</v>
      </c>
      <c r="L1448">
        <v>70718</v>
      </c>
      <c r="M1448" t="s">
        <v>36</v>
      </c>
      <c r="N1448">
        <v>2</v>
      </c>
      <c r="O1448">
        <v>1</v>
      </c>
      <c r="P1448">
        <v>30</v>
      </c>
      <c r="Q1448">
        <v>0</v>
      </c>
      <c r="R1448" s="1">
        <v>40480</v>
      </c>
      <c r="S1448" t="s">
        <v>37</v>
      </c>
      <c r="T1448" t="str">
        <f t="shared" si="110"/>
        <v>Grade B</v>
      </c>
      <c r="U1448">
        <f t="shared" si="111"/>
        <v>1</v>
      </c>
      <c r="V1448" t="str">
        <f t="shared" si="112"/>
        <v>Senior</v>
      </c>
      <c r="W1448" t="str">
        <f t="shared" si="113"/>
        <v>Already Left</v>
      </c>
      <c r="X1448" t="str">
        <f t="shared" si="114"/>
        <v>Fair</v>
      </c>
    </row>
    <row r="1449" spans="1:24" x14ac:dyDescent="0.3">
      <c r="A1449" t="s">
        <v>1517</v>
      </c>
      <c r="B1449" t="s">
        <v>39</v>
      </c>
      <c r="C1449">
        <v>26</v>
      </c>
      <c r="D1449" t="s">
        <v>47</v>
      </c>
      <c r="E1449" t="s">
        <v>40</v>
      </c>
      <c r="F1449" t="s">
        <v>65</v>
      </c>
      <c r="G1449" t="s">
        <v>66</v>
      </c>
      <c r="H1449" t="s">
        <v>34</v>
      </c>
      <c r="I1449" t="s">
        <v>26</v>
      </c>
      <c r="J1449" t="s">
        <v>27</v>
      </c>
      <c r="K1449">
        <v>9</v>
      </c>
      <c r="L1449">
        <v>50470</v>
      </c>
      <c r="M1449" t="s">
        <v>45</v>
      </c>
      <c r="N1449">
        <v>4</v>
      </c>
      <c r="O1449">
        <v>4</v>
      </c>
      <c r="P1449">
        <v>30</v>
      </c>
      <c r="Q1449">
        <v>1</v>
      </c>
      <c r="R1449" s="1">
        <v>41999</v>
      </c>
      <c r="S1449" t="s">
        <v>29</v>
      </c>
      <c r="T1449" t="str">
        <f t="shared" si="110"/>
        <v>Grade B</v>
      </c>
      <c r="U1449">
        <f t="shared" si="111"/>
        <v>2</v>
      </c>
      <c r="V1449" t="str">
        <f t="shared" si="112"/>
        <v>Mid Level</v>
      </c>
      <c r="W1449" t="str">
        <f t="shared" si="113"/>
        <v>Medium Risk</v>
      </c>
      <c r="X1449" t="str">
        <f t="shared" si="114"/>
        <v>Fair</v>
      </c>
    </row>
    <row r="1450" spans="1:24" x14ac:dyDescent="0.3">
      <c r="A1450" t="s">
        <v>1518</v>
      </c>
      <c r="B1450" t="s">
        <v>20</v>
      </c>
      <c r="C1450">
        <v>26</v>
      </c>
      <c r="D1450" t="s">
        <v>88</v>
      </c>
      <c r="E1450" t="s">
        <v>40</v>
      </c>
      <c r="F1450" t="s">
        <v>62</v>
      </c>
      <c r="G1450" t="s">
        <v>24</v>
      </c>
      <c r="H1450" t="s">
        <v>76</v>
      </c>
      <c r="I1450" t="s">
        <v>59</v>
      </c>
      <c r="J1450" t="s">
        <v>60</v>
      </c>
      <c r="K1450">
        <v>3</v>
      </c>
      <c r="L1450">
        <v>82174</v>
      </c>
      <c r="M1450" t="s">
        <v>45</v>
      </c>
      <c r="N1450">
        <v>2</v>
      </c>
      <c r="O1450">
        <v>2</v>
      </c>
      <c r="P1450">
        <v>36</v>
      </c>
      <c r="Q1450">
        <v>3</v>
      </c>
      <c r="R1450" s="1">
        <v>43961</v>
      </c>
      <c r="S1450" t="s">
        <v>29</v>
      </c>
      <c r="T1450" t="str">
        <f t="shared" si="110"/>
        <v>Grade A</v>
      </c>
      <c r="U1450">
        <f t="shared" si="111"/>
        <v>2</v>
      </c>
      <c r="V1450" t="str">
        <f t="shared" si="112"/>
        <v>Junior</v>
      </c>
      <c r="W1450" t="str">
        <f t="shared" si="113"/>
        <v>Medium Risk</v>
      </c>
      <c r="X1450" t="str">
        <f t="shared" si="114"/>
        <v>Fair</v>
      </c>
    </row>
    <row r="1451" spans="1:24" x14ac:dyDescent="0.3">
      <c r="A1451" t="s">
        <v>1519</v>
      </c>
      <c r="B1451" t="s">
        <v>39</v>
      </c>
      <c r="C1451">
        <v>46</v>
      </c>
      <c r="D1451" t="s">
        <v>21</v>
      </c>
      <c r="E1451" t="s">
        <v>40</v>
      </c>
      <c r="F1451" t="s">
        <v>78</v>
      </c>
      <c r="G1451" t="s">
        <v>42</v>
      </c>
      <c r="H1451" t="s">
        <v>83</v>
      </c>
      <c r="I1451" t="s">
        <v>35</v>
      </c>
      <c r="J1451" t="s">
        <v>27</v>
      </c>
      <c r="K1451">
        <v>11</v>
      </c>
      <c r="L1451">
        <v>109208</v>
      </c>
      <c r="M1451" t="s">
        <v>45</v>
      </c>
      <c r="N1451">
        <v>2</v>
      </c>
      <c r="O1451">
        <v>3</v>
      </c>
      <c r="P1451">
        <v>57</v>
      </c>
      <c r="Q1451">
        <v>3</v>
      </c>
      <c r="R1451" s="1">
        <v>41010</v>
      </c>
      <c r="S1451" t="s">
        <v>29</v>
      </c>
      <c r="T1451" t="str">
        <f t="shared" si="110"/>
        <v>Grade A</v>
      </c>
      <c r="U1451">
        <f t="shared" si="111"/>
        <v>2</v>
      </c>
      <c r="V1451" t="str">
        <f t="shared" si="112"/>
        <v>Senior</v>
      </c>
      <c r="W1451" t="str">
        <f t="shared" si="113"/>
        <v>Medium Risk</v>
      </c>
      <c r="X1451" t="str">
        <f t="shared" si="114"/>
        <v>Fair</v>
      </c>
    </row>
    <row r="1452" spans="1:24" x14ac:dyDescent="0.3">
      <c r="A1452" t="s">
        <v>1520</v>
      </c>
      <c r="B1452" t="s">
        <v>20</v>
      </c>
      <c r="C1452">
        <v>39</v>
      </c>
      <c r="D1452" t="s">
        <v>88</v>
      </c>
      <c r="E1452" t="s">
        <v>48</v>
      </c>
      <c r="F1452" t="s">
        <v>78</v>
      </c>
      <c r="G1452" t="s">
        <v>58</v>
      </c>
      <c r="H1452" t="s">
        <v>34</v>
      </c>
      <c r="I1452" t="s">
        <v>80</v>
      </c>
      <c r="J1452" t="s">
        <v>60</v>
      </c>
      <c r="K1452">
        <v>7</v>
      </c>
      <c r="L1452">
        <v>99635</v>
      </c>
      <c r="M1452" t="s">
        <v>45</v>
      </c>
      <c r="N1452">
        <v>2</v>
      </c>
      <c r="O1452">
        <v>2</v>
      </c>
      <c r="P1452">
        <v>10</v>
      </c>
      <c r="Q1452">
        <v>3</v>
      </c>
      <c r="R1452" s="1">
        <v>42518</v>
      </c>
      <c r="S1452" t="s">
        <v>29</v>
      </c>
      <c r="T1452" t="str">
        <f t="shared" si="110"/>
        <v>Grade A</v>
      </c>
      <c r="U1452">
        <f t="shared" si="111"/>
        <v>2</v>
      </c>
      <c r="V1452" t="str">
        <f t="shared" si="112"/>
        <v>Mid Level</v>
      </c>
      <c r="W1452" t="str">
        <f t="shared" si="113"/>
        <v>Medium Risk</v>
      </c>
      <c r="X1452" t="str">
        <f t="shared" si="114"/>
        <v>Fair</v>
      </c>
    </row>
    <row r="1453" spans="1:24" x14ac:dyDescent="0.3">
      <c r="A1453" t="s">
        <v>1521</v>
      </c>
      <c r="B1453" t="s">
        <v>39</v>
      </c>
      <c r="C1453">
        <v>46</v>
      </c>
      <c r="D1453" t="s">
        <v>57</v>
      </c>
      <c r="E1453" t="s">
        <v>22</v>
      </c>
      <c r="F1453" t="s">
        <v>32</v>
      </c>
      <c r="G1453" t="s">
        <v>58</v>
      </c>
      <c r="H1453" t="s">
        <v>76</v>
      </c>
      <c r="I1453" t="s">
        <v>68</v>
      </c>
      <c r="J1453" t="s">
        <v>60</v>
      </c>
      <c r="K1453">
        <v>1</v>
      </c>
      <c r="L1453">
        <v>95806</v>
      </c>
      <c r="M1453" t="s">
        <v>51</v>
      </c>
      <c r="N1453">
        <v>1</v>
      </c>
      <c r="O1453">
        <v>1</v>
      </c>
      <c r="P1453">
        <v>63</v>
      </c>
      <c r="Q1453">
        <v>2</v>
      </c>
      <c r="R1453" s="1">
        <v>44714</v>
      </c>
      <c r="S1453" t="s">
        <v>29</v>
      </c>
      <c r="T1453" t="str">
        <f t="shared" si="110"/>
        <v>Grade A</v>
      </c>
      <c r="U1453">
        <f t="shared" si="111"/>
        <v>4</v>
      </c>
      <c r="V1453" t="str">
        <f t="shared" si="112"/>
        <v>New Joiner</v>
      </c>
      <c r="W1453" t="str">
        <f t="shared" si="113"/>
        <v>Low Risk</v>
      </c>
      <c r="X1453" t="str">
        <f t="shared" si="114"/>
        <v>Competitive</v>
      </c>
    </row>
    <row r="1454" spans="1:24" x14ac:dyDescent="0.3">
      <c r="A1454" t="s">
        <v>1522</v>
      </c>
      <c r="B1454" t="s">
        <v>20</v>
      </c>
      <c r="C1454">
        <v>44</v>
      </c>
      <c r="D1454" t="s">
        <v>57</v>
      </c>
      <c r="E1454" t="s">
        <v>48</v>
      </c>
      <c r="F1454" t="s">
        <v>65</v>
      </c>
      <c r="G1454" t="s">
        <v>66</v>
      </c>
      <c r="H1454" t="s">
        <v>76</v>
      </c>
      <c r="I1454" t="s">
        <v>72</v>
      </c>
      <c r="J1454" t="s">
        <v>73</v>
      </c>
      <c r="K1454">
        <v>5</v>
      </c>
      <c r="L1454">
        <v>51359</v>
      </c>
      <c r="M1454" t="s">
        <v>36</v>
      </c>
      <c r="N1454">
        <v>1</v>
      </c>
      <c r="O1454">
        <v>2</v>
      </c>
      <c r="P1454">
        <v>42</v>
      </c>
      <c r="Q1454">
        <v>3</v>
      </c>
      <c r="R1454" s="1">
        <v>43302</v>
      </c>
      <c r="S1454" t="s">
        <v>37</v>
      </c>
      <c r="T1454" t="str">
        <f t="shared" si="110"/>
        <v>Grade B</v>
      </c>
      <c r="U1454">
        <f t="shared" si="111"/>
        <v>1</v>
      </c>
      <c r="V1454" t="str">
        <f t="shared" si="112"/>
        <v>Junior</v>
      </c>
      <c r="W1454" t="str">
        <f t="shared" si="113"/>
        <v>Already Left</v>
      </c>
      <c r="X1454" t="str">
        <f t="shared" si="114"/>
        <v>Fair</v>
      </c>
    </row>
    <row r="1455" spans="1:24" x14ac:dyDescent="0.3">
      <c r="A1455" t="s">
        <v>1523</v>
      </c>
      <c r="B1455" t="s">
        <v>20</v>
      </c>
      <c r="C1455">
        <v>55</v>
      </c>
      <c r="D1455" t="s">
        <v>47</v>
      </c>
      <c r="E1455" t="s">
        <v>48</v>
      </c>
      <c r="F1455" t="s">
        <v>62</v>
      </c>
      <c r="G1455" t="s">
        <v>63</v>
      </c>
      <c r="H1455" t="s">
        <v>83</v>
      </c>
      <c r="I1455" t="s">
        <v>43</v>
      </c>
      <c r="J1455" t="s">
        <v>44</v>
      </c>
      <c r="K1455">
        <v>1</v>
      </c>
      <c r="L1455">
        <v>54163</v>
      </c>
      <c r="M1455" t="s">
        <v>51</v>
      </c>
      <c r="N1455">
        <v>1</v>
      </c>
      <c r="O1455">
        <v>3</v>
      </c>
      <c r="P1455">
        <v>19</v>
      </c>
      <c r="Q1455">
        <v>3</v>
      </c>
      <c r="R1455" s="1">
        <v>44755</v>
      </c>
      <c r="S1455" t="s">
        <v>29</v>
      </c>
      <c r="T1455" t="str">
        <f t="shared" si="110"/>
        <v>Grade B</v>
      </c>
      <c r="U1455">
        <f t="shared" si="111"/>
        <v>4</v>
      </c>
      <c r="V1455" t="str">
        <f t="shared" si="112"/>
        <v>New Joiner</v>
      </c>
      <c r="W1455" t="str">
        <f t="shared" si="113"/>
        <v>Low Risk</v>
      </c>
      <c r="X1455" t="str">
        <f t="shared" si="114"/>
        <v>Fair</v>
      </c>
    </row>
    <row r="1456" spans="1:24" x14ac:dyDescent="0.3">
      <c r="A1456" t="s">
        <v>1524</v>
      </c>
      <c r="B1456" t="s">
        <v>20</v>
      </c>
      <c r="C1456">
        <v>26</v>
      </c>
      <c r="D1456" t="s">
        <v>88</v>
      </c>
      <c r="E1456" t="s">
        <v>40</v>
      </c>
      <c r="F1456" t="s">
        <v>65</v>
      </c>
      <c r="G1456" t="s">
        <v>24</v>
      </c>
      <c r="H1456" t="s">
        <v>25</v>
      </c>
      <c r="I1456" t="s">
        <v>43</v>
      </c>
      <c r="J1456" t="s">
        <v>44</v>
      </c>
      <c r="K1456">
        <v>2</v>
      </c>
      <c r="L1456">
        <v>74738</v>
      </c>
      <c r="M1456" t="s">
        <v>45</v>
      </c>
      <c r="N1456">
        <v>4</v>
      </c>
      <c r="O1456">
        <v>3</v>
      </c>
      <c r="P1456">
        <v>10</v>
      </c>
      <c r="Q1456">
        <v>1</v>
      </c>
      <c r="R1456" s="1">
        <v>44408</v>
      </c>
      <c r="S1456" t="s">
        <v>29</v>
      </c>
      <c r="T1456" t="str">
        <f t="shared" si="110"/>
        <v>Grade B</v>
      </c>
      <c r="U1456">
        <f t="shared" si="111"/>
        <v>2</v>
      </c>
      <c r="V1456" t="str">
        <f t="shared" si="112"/>
        <v>New Joiner</v>
      </c>
      <c r="W1456" t="str">
        <f t="shared" si="113"/>
        <v>Medium Risk</v>
      </c>
      <c r="X1456" t="str">
        <f t="shared" si="114"/>
        <v>Fair</v>
      </c>
    </row>
    <row r="1457" spans="1:24" x14ac:dyDescent="0.3">
      <c r="A1457" t="s">
        <v>1525</v>
      </c>
      <c r="B1457" t="s">
        <v>20</v>
      </c>
      <c r="C1457">
        <v>24</v>
      </c>
      <c r="D1457" t="s">
        <v>21</v>
      </c>
      <c r="E1457" t="s">
        <v>48</v>
      </c>
      <c r="F1457" t="s">
        <v>32</v>
      </c>
      <c r="G1457" t="s">
        <v>63</v>
      </c>
      <c r="H1457" t="s">
        <v>34</v>
      </c>
      <c r="I1457" t="s">
        <v>59</v>
      </c>
      <c r="J1457" t="s">
        <v>60</v>
      </c>
      <c r="K1457">
        <v>15</v>
      </c>
      <c r="L1457">
        <v>65556</v>
      </c>
      <c r="M1457" t="s">
        <v>36</v>
      </c>
      <c r="N1457">
        <v>1</v>
      </c>
      <c r="O1457">
        <v>2</v>
      </c>
      <c r="P1457">
        <v>62</v>
      </c>
      <c r="Q1457">
        <v>1</v>
      </c>
      <c r="R1457" s="1">
        <v>39655</v>
      </c>
      <c r="S1457" t="s">
        <v>37</v>
      </c>
      <c r="T1457" t="str">
        <f t="shared" si="110"/>
        <v>Grade B</v>
      </c>
      <c r="U1457">
        <f t="shared" si="111"/>
        <v>1</v>
      </c>
      <c r="V1457" t="str">
        <f t="shared" si="112"/>
        <v>Senior</v>
      </c>
      <c r="W1457" t="str">
        <f t="shared" si="113"/>
        <v>Already Left</v>
      </c>
      <c r="X1457" t="str">
        <f t="shared" si="114"/>
        <v>Fair</v>
      </c>
    </row>
    <row r="1458" spans="1:24" x14ac:dyDescent="0.3">
      <c r="A1458" t="s">
        <v>1526</v>
      </c>
      <c r="B1458" t="s">
        <v>39</v>
      </c>
      <c r="C1458">
        <v>24</v>
      </c>
      <c r="D1458" t="s">
        <v>31</v>
      </c>
      <c r="E1458" t="s">
        <v>40</v>
      </c>
      <c r="F1458" t="s">
        <v>62</v>
      </c>
      <c r="G1458" t="s">
        <v>49</v>
      </c>
      <c r="H1458" t="s">
        <v>25</v>
      </c>
      <c r="I1458" t="s">
        <v>50</v>
      </c>
      <c r="J1458" t="s">
        <v>44</v>
      </c>
      <c r="K1458">
        <v>15</v>
      </c>
      <c r="L1458">
        <v>86799</v>
      </c>
      <c r="M1458" t="s">
        <v>28</v>
      </c>
      <c r="N1458">
        <v>1</v>
      </c>
      <c r="O1458">
        <v>2</v>
      </c>
      <c r="P1458">
        <v>13</v>
      </c>
      <c r="Q1458">
        <v>2</v>
      </c>
      <c r="R1458" s="1">
        <v>39786</v>
      </c>
      <c r="S1458" t="s">
        <v>29</v>
      </c>
      <c r="T1458" t="str">
        <f t="shared" si="110"/>
        <v>Grade A</v>
      </c>
      <c r="U1458">
        <f t="shared" si="111"/>
        <v>3</v>
      </c>
      <c r="V1458" t="str">
        <f t="shared" si="112"/>
        <v>Senior</v>
      </c>
      <c r="W1458" t="str">
        <f t="shared" si="113"/>
        <v>Medium Risk</v>
      </c>
      <c r="X1458" t="str">
        <f t="shared" si="114"/>
        <v>Competitive</v>
      </c>
    </row>
    <row r="1459" spans="1:24" x14ac:dyDescent="0.3">
      <c r="A1459" t="s">
        <v>1527</v>
      </c>
      <c r="B1459" t="s">
        <v>20</v>
      </c>
      <c r="C1459">
        <v>53</v>
      </c>
      <c r="D1459" t="s">
        <v>47</v>
      </c>
      <c r="E1459" t="s">
        <v>48</v>
      </c>
      <c r="F1459" t="s">
        <v>32</v>
      </c>
      <c r="G1459" t="s">
        <v>63</v>
      </c>
      <c r="H1459" t="s">
        <v>25</v>
      </c>
      <c r="I1459" t="s">
        <v>26</v>
      </c>
      <c r="J1459" t="s">
        <v>27</v>
      </c>
      <c r="K1459">
        <v>10</v>
      </c>
      <c r="L1459">
        <v>57169</v>
      </c>
      <c r="M1459" t="s">
        <v>51</v>
      </c>
      <c r="N1459">
        <v>3</v>
      </c>
      <c r="O1459">
        <v>2</v>
      </c>
      <c r="P1459">
        <v>44</v>
      </c>
      <c r="Q1459">
        <v>0</v>
      </c>
      <c r="R1459" s="1">
        <v>41399</v>
      </c>
      <c r="S1459" t="s">
        <v>29</v>
      </c>
      <c r="T1459" t="str">
        <f t="shared" si="110"/>
        <v>Grade B</v>
      </c>
      <c r="U1459">
        <f t="shared" si="111"/>
        <v>4</v>
      </c>
      <c r="V1459" t="str">
        <f t="shared" si="112"/>
        <v>Mid Level</v>
      </c>
      <c r="W1459" t="str">
        <f t="shared" si="113"/>
        <v>Low Risk</v>
      </c>
      <c r="X1459" t="str">
        <f t="shared" si="114"/>
        <v>Fair</v>
      </c>
    </row>
    <row r="1460" spans="1:24" x14ac:dyDescent="0.3">
      <c r="A1460" t="s">
        <v>1528</v>
      </c>
      <c r="B1460" t="s">
        <v>20</v>
      </c>
      <c r="C1460">
        <v>35</v>
      </c>
      <c r="D1460" t="s">
        <v>31</v>
      </c>
      <c r="E1460" t="s">
        <v>48</v>
      </c>
      <c r="F1460" t="s">
        <v>65</v>
      </c>
      <c r="G1460" t="s">
        <v>58</v>
      </c>
      <c r="H1460" t="s">
        <v>76</v>
      </c>
      <c r="I1460" t="s">
        <v>59</v>
      </c>
      <c r="J1460" t="s">
        <v>60</v>
      </c>
      <c r="K1460">
        <v>9</v>
      </c>
      <c r="L1460">
        <v>102791</v>
      </c>
      <c r="M1460" t="s">
        <v>45</v>
      </c>
      <c r="N1460">
        <v>4</v>
      </c>
      <c r="O1460">
        <v>3</v>
      </c>
      <c r="P1460">
        <v>75</v>
      </c>
      <c r="Q1460">
        <v>0</v>
      </c>
      <c r="R1460" s="1">
        <v>41986</v>
      </c>
      <c r="S1460" t="s">
        <v>29</v>
      </c>
      <c r="T1460" t="str">
        <f t="shared" si="110"/>
        <v>Grade A</v>
      </c>
      <c r="U1460">
        <f t="shared" si="111"/>
        <v>2</v>
      </c>
      <c r="V1460" t="str">
        <f t="shared" si="112"/>
        <v>Mid Level</v>
      </c>
      <c r="W1460" t="str">
        <f t="shared" si="113"/>
        <v>Medium Risk</v>
      </c>
      <c r="X1460" t="str">
        <f t="shared" si="114"/>
        <v>Fair</v>
      </c>
    </row>
    <row r="1461" spans="1:24" x14ac:dyDescent="0.3">
      <c r="A1461" t="s">
        <v>1529</v>
      </c>
      <c r="B1461" t="s">
        <v>39</v>
      </c>
      <c r="C1461">
        <v>30</v>
      </c>
      <c r="D1461" t="s">
        <v>57</v>
      </c>
      <c r="E1461" t="s">
        <v>22</v>
      </c>
      <c r="F1461" t="s">
        <v>65</v>
      </c>
      <c r="G1461" t="s">
        <v>42</v>
      </c>
      <c r="H1461" t="s">
        <v>76</v>
      </c>
      <c r="I1461" t="s">
        <v>54</v>
      </c>
      <c r="J1461" t="s">
        <v>27</v>
      </c>
      <c r="K1461">
        <v>10</v>
      </c>
      <c r="L1461">
        <v>105617</v>
      </c>
      <c r="M1461" t="s">
        <v>28</v>
      </c>
      <c r="N1461">
        <v>2</v>
      </c>
      <c r="O1461">
        <v>3</v>
      </c>
      <c r="P1461">
        <v>44</v>
      </c>
      <c r="Q1461">
        <v>1</v>
      </c>
      <c r="R1461" s="1">
        <v>41343</v>
      </c>
      <c r="S1461" t="s">
        <v>29</v>
      </c>
      <c r="T1461" t="str">
        <f t="shared" si="110"/>
        <v>Grade A</v>
      </c>
      <c r="U1461">
        <f t="shared" si="111"/>
        <v>3</v>
      </c>
      <c r="V1461" t="str">
        <f t="shared" si="112"/>
        <v>Mid Level</v>
      </c>
      <c r="W1461" t="str">
        <f t="shared" si="113"/>
        <v>Medium Risk</v>
      </c>
      <c r="X1461" t="str">
        <f t="shared" si="114"/>
        <v>Competitive</v>
      </c>
    </row>
    <row r="1462" spans="1:24" x14ac:dyDescent="0.3">
      <c r="A1462" t="s">
        <v>1530</v>
      </c>
      <c r="B1462" t="s">
        <v>39</v>
      </c>
      <c r="C1462">
        <v>51</v>
      </c>
      <c r="D1462" t="s">
        <v>47</v>
      </c>
      <c r="E1462" t="s">
        <v>48</v>
      </c>
      <c r="F1462" t="s">
        <v>32</v>
      </c>
      <c r="G1462" t="s">
        <v>24</v>
      </c>
      <c r="H1462" t="s">
        <v>83</v>
      </c>
      <c r="I1462" t="s">
        <v>50</v>
      </c>
      <c r="J1462" t="s">
        <v>44</v>
      </c>
      <c r="K1462">
        <v>15</v>
      </c>
      <c r="L1462">
        <v>105883</v>
      </c>
      <c r="M1462" t="s">
        <v>45</v>
      </c>
      <c r="N1462">
        <v>2</v>
      </c>
      <c r="O1462">
        <v>1</v>
      </c>
      <c r="P1462">
        <v>39</v>
      </c>
      <c r="Q1462">
        <v>0</v>
      </c>
      <c r="R1462" s="1">
        <v>39674</v>
      </c>
      <c r="S1462" t="s">
        <v>29</v>
      </c>
      <c r="T1462" t="str">
        <f t="shared" si="110"/>
        <v>Grade A</v>
      </c>
      <c r="U1462">
        <f t="shared" si="111"/>
        <v>2</v>
      </c>
      <c r="V1462" t="str">
        <f t="shared" si="112"/>
        <v>Senior</v>
      </c>
      <c r="W1462" t="str">
        <f t="shared" si="113"/>
        <v>Medium Risk</v>
      </c>
      <c r="X1462" t="str">
        <f t="shared" si="114"/>
        <v>Fair</v>
      </c>
    </row>
    <row r="1463" spans="1:24" x14ac:dyDescent="0.3">
      <c r="A1463" t="s">
        <v>1531</v>
      </c>
      <c r="B1463" t="s">
        <v>39</v>
      </c>
      <c r="C1463">
        <v>41</v>
      </c>
      <c r="D1463" t="s">
        <v>21</v>
      </c>
      <c r="E1463" t="s">
        <v>40</v>
      </c>
      <c r="F1463" t="s">
        <v>78</v>
      </c>
      <c r="G1463" t="s">
        <v>63</v>
      </c>
      <c r="H1463" t="s">
        <v>76</v>
      </c>
      <c r="I1463" t="s">
        <v>54</v>
      </c>
      <c r="J1463" t="s">
        <v>27</v>
      </c>
      <c r="K1463">
        <v>5</v>
      </c>
      <c r="L1463">
        <v>60082</v>
      </c>
      <c r="M1463" t="s">
        <v>36</v>
      </c>
      <c r="N1463">
        <v>4</v>
      </c>
      <c r="O1463">
        <v>3</v>
      </c>
      <c r="P1463">
        <v>76</v>
      </c>
      <c r="Q1463">
        <v>1</v>
      </c>
      <c r="R1463" s="1">
        <v>43280</v>
      </c>
      <c r="S1463" t="s">
        <v>29</v>
      </c>
      <c r="T1463" t="str">
        <f t="shared" si="110"/>
        <v>Grade B</v>
      </c>
      <c r="U1463">
        <f t="shared" si="111"/>
        <v>1</v>
      </c>
      <c r="V1463" t="str">
        <f t="shared" si="112"/>
        <v>Junior</v>
      </c>
      <c r="W1463" t="str">
        <f t="shared" si="113"/>
        <v>Medium Risk</v>
      </c>
      <c r="X1463" t="str">
        <f t="shared" si="114"/>
        <v>Fair</v>
      </c>
    </row>
    <row r="1464" spans="1:24" x14ac:dyDescent="0.3">
      <c r="A1464" t="s">
        <v>1532</v>
      </c>
      <c r="B1464" t="s">
        <v>20</v>
      </c>
      <c r="C1464">
        <v>28</v>
      </c>
      <c r="D1464" t="s">
        <v>88</v>
      </c>
      <c r="E1464" t="s">
        <v>48</v>
      </c>
      <c r="F1464" t="s">
        <v>23</v>
      </c>
      <c r="G1464" t="s">
        <v>66</v>
      </c>
      <c r="H1464" t="s">
        <v>34</v>
      </c>
      <c r="I1464" t="s">
        <v>59</v>
      </c>
      <c r="J1464" t="s">
        <v>60</v>
      </c>
      <c r="K1464">
        <v>14</v>
      </c>
      <c r="L1464">
        <v>70039</v>
      </c>
      <c r="M1464" t="s">
        <v>28</v>
      </c>
      <c r="N1464">
        <v>2</v>
      </c>
      <c r="O1464">
        <v>2</v>
      </c>
      <c r="P1464">
        <v>38</v>
      </c>
      <c r="Q1464">
        <v>1</v>
      </c>
      <c r="R1464" s="1">
        <v>39826</v>
      </c>
      <c r="S1464" t="s">
        <v>29</v>
      </c>
      <c r="T1464" t="str">
        <f t="shared" si="110"/>
        <v>Grade B</v>
      </c>
      <c r="U1464">
        <f t="shared" si="111"/>
        <v>3</v>
      </c>
      <c r="V1464" t="str">
        <f t="shared" si="112"/>
        <v>Senior</v>
      </c>
      <c r="W1464" t="str">
        <f t="shared" si="113"/>
        <v>Medium Risk</v>
      </c>
      <c r="X1464" t="str">
        <f t="shared" si="114"/>
        <v>Competitive</v>
      </c>
    </row>
    <row r="1465" spans="1:24" x14ac:dyDescent="0.3">
      <c r="A1465" t="s">
        <v>1533</v>
      </c>
      <c r="B1465" t="s">
        <v>20</v>
      </c>
      <c r="C1465">
        <v>55</v>
      </c>
      <c r="D1465" t="s">
        <v>47</v>
      </c>
      <c r="E1465" t="s">
        <v>22</v>
      </c>
      <c r="F1465" t="s">
        <v>23</v>
      </c>
      <c r="G1465" t="s">
        <v>42</v>
      </c>
      <c r="H1465" t="s">
        <v>25</v>
      </c>
      <c r="I1465" t="s">
        <v>43</v>
      </c>
      <c r="J1465" t="s">
        <v>44</v>
      </c>
      <c r="K1465">
        <v>12</v>
      </c>
      <c r="L1465">
        <v>114431</v>
      </c>
      <c r="M1465" t="s">
        <v>36</v>
      </c>
      <c r="N1465">
        <v>4</v>
      </c>
      <c r="O1465">
        <v>2</v>
      </c>
      <c r="P1465">
        <v>10</v>
      </c>
      <c r="Q1465">
        <v>3</v>
      </c>
      <c r="R1465" s="1">
        <v>40666</v>
      </c>
      <c r="S1465" t="s">
        <v>37</v>
      </c>
      <c r="T1465" t="str">
        <f t="shared" si="110"/>
        <v>Grade A</v>
      </c>
      <c r="U1465">
        <f t="shared" si="111"/>
        <v>1</v>
      </c>
      <c r="V1465" t="str">
        <f t="shared" si="112"/>
        <v>Senior</v>
      </c>
      <c r="W1465" t="str">
        <f t="shared" si="113"/>
        <v>Already Left</v>
      </c>
      <c r="X1465" t="str">
        <f t="shared" si="114"/>
        <v>Overpaid</v>
      </c>
    </row>
    <row r="1466" spans="1:24" x14ac:dyDescent="0.3">
      <c r="A1466" t="s">
        <v>1534</v>
      </c>
      <c r="B1466" t="s">
        <v>39</v>
      </c>
      <c r="C1466">
        <v>51</v>
      </c>
      <c r="D1466" t="s">
        <v>88</v>
      </c>
      <c r="E1466" t="s">
        <v>40</v>
      </c>
      <c r="F1466" t="s">
        <v>53</v>
      </c>
      <c r="G1466" t="s">
        <v>79</v>
      </c>
      <c r="H1466" t="s">
        <v>34</v>
      </c>
      <c r="I1466" t="s">
        <v>43</v>
      </c>
      <c r="J1466" t="s">
        <v>44</v>
      </c>
      <c r="K1466">
        <v>11</v>
      </c>
      <c r="L1466">
        <v>64174</v>
      </c>
      <c r="M1466" t="s">
        <v>28</v>
      </c>
      <c r="N1466">
        <v>2</v>
      </c>
      <c r="O1466">
        <v>3</v>
      </c>
      <c r="P1466">
        <v>28</v>
      </c>
      <c r="Q1466">
        <v>3</v>
      </c>
      <c r="R1466" s="1">
        <v>41006</v>
      </c>
      <c r="S1466" t="s">
        <v>37</v>
      </c>
      <c r="T1466" t="str">
        <f t="shared" si="110"/>
        <v>Grade B</v>
      </c>
      <c r="U1466">
        <f t="shared" si="111"/>
        <v>3</v>
      </c>
      <c r="V1466" t="str">
        <f t="shared" si="112"/>
        <v>Senior</v>
      </c>
      <c r="W1466" t="str">
        <f t="shared" si="113"/>
        <v>Already Left</v>
      </c>
      <c r="X1466" t="str">
        <f t="shared" si="114"/>
        <v>Competitive</v>
      </c>
    </row>
    <row r="1467" spans="1:24" x14ac:dyDescent="0.3">
      <c r="A1467" t="s">
        <v>1535</v>
      </c>
      <c r="B1467" t="s">
        <v>39</v>
      </c>
      <c r="C1467">
        <v>51</v>
      </c>
      <c r="D1467" t="s">
        <v>47</v>
      </c>
      <c r="E1467" t="s">
        <v>22</v>
      </c>
      <c r="F1467" t="s">
        <v>65</v>
      </c>
      <c r="G1467" t="s">
        <v>58</v>
      </c>
      <c r="H1467" t="s">
        <v>34</v>
      </c>
      <c r="I1467" t="s">
        <v>72</v>
      </c>
      <c r="J1467" t="s">
        <v>73</v>
      </c>
      <c r="K1467">
        <v>7</v>
      </c>
      <c r="L1467">
        <v>102775</v>
      </c>
      <c r="M1467" t="s">
        <v>45</v>
      </c>
      <c r="N1467">
        <v>4</v>
      </c>
      <c r="O1467">
        <v>1</v>
      </c>
      <c r="P1467">
        <v>67</v>
      </c>
      <c r="Q1467">
        <v>0</v>
      </c>
      <c r="R1467" s="1">
        <v>42617</v>
      </c>
      <c r="S1467" t="s">
        <v>29</v>
      </c>
      <c r="T1467" t="str">
        <f t="shared" si="110"/>
        <v>Grade A</v>
      </c>
      <c r="U1467">
        <f t="shared" si="111"/>
        <v>2</v>
      </c>
      <c r="V1467" t="str">
        <f t="shared" si="112"/>
        <v>Mid Level</v>
      </c>
      <c r="W1467" t="str">
        <f t="shared" si="113"/>
        <v>Medium Risk</v>
      </c>
      <c r="X1467" t="str">
        <f t="shared" si="114"/>
        <v>Fair</v>
      </c>
    </row>
    <row r="1468" spans="1:24" x14ac:dyDescent="0.3">
      <c r="A1468" t="s">
        <v>1536</v>
      </c>
      <c r="B1468" t="s">
        <v>20</v>
      </c>
      <c r="C1468">
        <v>25</v>
      </c>
      <c r="D1468" t="s">
        <v>88</v>
      </c>
      <c r="E1468" t="s">
        <v>48</v>
      </c>
      <c r="F1468" t="s">
        <v>53</v>
      </c>
      <c r="G1468" t="s">
        <v>58</v>
      </c>
      <c r="H1468" t="s">
        <v>67</v>
      </c>
      <c r="I1468" t="s">
        <v>68</v>
      </c>
      <c r="J1468" t="s">
        <v>60</v>
      </c>
      <c r="K1468">
        <v>11</v>
      </c>
      <c r="L1468">
        <v>98176</v>
      </c>
      <c r="M1468" t="s">
        <v>36</v>
      </c>
      <c r="N1468">
        <v>4</v>
      </c>
      <c r="O1468">
        <v>4</v>
      </c>
      <c r="P1468">
        <v>51</v>
      </c>
      <c r="Q1468">
        <v>2</v>
      </c>
      <c r="R1468" s="1">
        <v>41138</v>
      </c>
      <c r="S1468" t="s">
        <v>37</v>
      </c>
      <c r="T1468" t="str">
        <f t="shared" si="110"/>
        <v>Grade A</v>
      </c>
      <c r="U1468">
        <f t="shared" si="111"/>
        <v>1</v>
      </c>
      <c r="V1468" t="str">
        <f t="shared" si="112"/>
        <v>Senior</v>
      </c>
      <c r="W1468" t="str">
        <f t="shared" si="113"/>
        <v>Already Left</v>
      </c>
      <c r="X1468" t="str">
        <f t="shared" si="114"/>
        <v>Overpaid</v>
      </c>
    </row>
    <row r="1469" spans="1:24" x14ac:dyDescent="0.3">
      <c r="A1469" t="s">
        <v>1537</v>
      </c>
      <c r="B1469" t="s">
        <v>39</v>
      </c>
      <c r="C1469">
        <v>50</v>
      </c>
      <c r="D1469" t="s">
        <v>47</v>
      </c>
      <c r="E1469" t="s">
        <v>48</v>
      </c>
      <c r="F1469" t="s">
        <v>78</v>
      </c>
      <c r="G1469" t="s">
        <v>66</v>
      </c>
      <c r="H1469" t="s">
        <v>76</v>
      </c>
      <c r="I1469" t="s">
        <v>26</v>
      </c>
      <c r="J1469" t="s">
        <v>27</v>
      </c>
      <c r="K1469">
        <v>6</v>
      </c>
      <c r="L1469">
        <v>43636</v>
      </c>
      <c r="M1469" t="s">
        <v>36</v>
      </c>
      <c r="N1469">
        <v>1</v>
      </c>
      <c r="O1469">
        <v>3</v>
      </c>
      <c r="P1469">
        <v>18</v>
      </c>
      <c r="Q1469">
        <v>2</v>
      </c>
      <c r="R1469" s="1">
        <v>43063</v>
      </c>
      <c r="S1469" t="s">
        <v>29</v>
      </c>
      <c r="T1469" t="str">
        <f t="shared" si="110"/>
        <v>Grade C</v>
      </c>
      <c r="U1469">
        <f t="shared" si="111"/>
        <v>1</v>
      </c>
      <c r="V1469" t="str">
        <f t="shared" si="112"/>
        <v>Mid Level</v>
      </c>
      <c r="W1469" t="str">
        <f t="shared" si="113"/>
        <v>Medium Risk</v>
      </c>
      <c r="X1469" t="str">
        <f t="shared" si="114"/>
        <v>Fair</v>
      </c>
    </row>
    <row r="1470" spans="1:24" x14ac:dyDescent="0.3">
      <c r="A1470" t="s">
        <v>1538</v>
      </c>
      <c r="B1470" t="s">
        <v>39</v>
      </c>
      <c r="C1470">
        <v>54</v>
      </c>
      <c r="D1470" t="s">
        <v>31</v>
      </c>
      <c r="E1470" t="s">
        <v>40</v>
      </c>
      <c r="F1470" t="s">
        <v>23</v>
      </c>
      <c r="G1470" t="s">
        <v>63</v>
      </c>
      <c r="H1470" t="s">
        <v>34</v>
      </c>
      <c r="I1470" t="s">
        <v>96</v>
      </c>
      <c r="J1470" t="s">
        <v>44</v>
      </c>
      <c r="K1470">
        <v>6</v>
      </c>
      <c r="L1470">
        <v>52493</v>
      </c>
      <c r="M1470" t="s">
        <v>45</v>
      </c>
      <c r="N1470">
        <v>4</v>
      </c>
      <c r="O1470">
        <v>4</v>
      </c>
      <c r="P1470">
        <v>36</v>
      </c>
      <c r="Q1470">
        <v>0</v>
      </c>
      <c r="R1470" s="1">
        <v>42821</v>
      </c>
      <c r="S1470" t="s">
        <v>29</v>
      </c>
      <c r="T1470" t="str">
        <f t="shared" si="110"/>
        <v>Grade B</v>
      </c>
      <c r="U1470">
        <f t="shared" si="111"/>
        <v>2</v>
      </c>
      <c r="V1470" t="str">
        <f t="shared" si="112"/>
        <v>Mid Level</v>
      </c>
      <c r="W1470" t="str">
        <f t="shared" si="113"/>
        <v>Medium Risk</v>
      </c>
      <c r="X1470" t="str">
        <f t="shared" si="114"/>
        <v>Fair</v>
      </c>
    </row>
    <row r="1471" spans="1:24" x14ac:dyDescent="0.3">
      <c r="A1471" t="s">
        <v>1539</v>
      </c>
      <c r="B1471" t="s">
        <v>39</v>
      </c>
      <c r="C1471">
        <v>33</v>
      </c>
      <c r="D1471" t="s">
        <v>21</v>
      </c>
      <c r="E1471" t="s">
        <v>40</v>
      </c>
      <c r="F1471" t="s">
        <v>23</v>
      </c>
      <c r="G1471" t="s">
        <v>24</v>
      </c>
      <c r="H1471" t="s">
        <v>76</v>
      </c>
      <c r="I1471" t="s">
        <v>68</v>
      </c>
      <c r="J1471" t="s">
        <v>60</v>
      </c>
      <c r="K1471">
        <v>2</v>
      </c>
      <c r="L1471">
        <v>76792</v>
      </c>
      <c r="M1471" t="s">
        <v>36</v>
      </c>
      <c r="N1471">
        <v>1</v>
      </c>
      <c r="O1471">
        <v>3</v>
      </c>
      <c r="P1471">
        <v>21</v>
      </c>
      <c r="Q1471">
        <v>0</v>
      </c>
      <c r="R1471" s="1">
        <v>44214</v>
      </c>
      <c r="S1471" t="s">
        <v>37</v>
      </c>
      <c r="T1471" t="str">
        <f t="shared" si="110"/>
        <v>Grade B</v>
      </c>
      <c r="U1471">
        <f t="shared" si="111"/>
        <v>1</v>
      </c>
      <c r="V1471" t="str">
        <f t="shared" si="112"/>
        <v>New Joiner</v>
      </c>
      <c r="W1471" t="str">
        <f t="shared" si="113"/>
        <v>Already Left</v>
      </c>
      <c r="X1471" t="str">
        <f t="shared" si="114"/>
        <v>Fair</v>
      </c>
    </row>
    <row r="1472" spans="1:24" x14ac:dyDescent="0.3">
      <c r="A1472" t="s">
        <v>1540</v>
      </c>
      <c r="B1472" t="s">
        <v>20</v>
      </c>
      <c r="C1472">
        <v>24</v>
      </c>
      <c r="D1472" t="s">
        <v>21</v>
      </c>
      <c r="E1472" t="s">
        <v>22</v>
      </c>
      <c r="F1472" t="s">
        <v>75</v>
      </c>
      <c r="G1472" t="s">
        <v>58</v>
      </c>
      <c r="H1472" t="s">
        <v>83</v>
      </c>
      <c r="I1472" t="s">
        <v>68</v>
      </c>
      <c r="J1472" t="s">
        <v>60</v>
      </c>
      <c r="K1472">
        <v>14</v>
      </c>
      <c r="L1472">
        <v>119005</v>
      </c>
      <c r="M1472" t="s">
        <v>28</v>
      </c>
      <c r="N1472">
        <v>4</v>
      </c>
      <c r="O1472">
        <v>2</v>
      </c>
      <c r="P1472">
        <v>38</v>
      </c>
      <c r="Q1472">
        <v>3</v>
      </c>
      <c r="R1472" s="1">
        <v>39977</v>
      </c>
      <c r="S1472" t="s">
        <v>37</v>
      </c>
      <c r="T1472" t="str">
        <f t="shared" si="110"/>
        <v>Grade A</v>
      </c>
      <c r="U1472">
        <f t="shared" si="111"/>
        <v>3</v>
      </c>
      <c r="V1472" t="str">
        <f t="shared" si="112"/>
        <v>Senior</v>
      </c>
      <c r="W1472" t="str">
        <f t="shared" si="113"/>
        <v>Already Left</v>
      </c>
      <c r="X1472" t="str">
        <f t="shared" si="114"/>
        <v>Competitive</v>
      </c>
    </row>
    <row r="1473" spans="1:24" x14ac:dyDescent="0.3">
      <c r="A1473" t="s">
        <v>1541</v>
      </c>
      <c r="B1473" t="s">
        <v>20</v>
      </c>
      <c r="C1473">
        <v>51</v>
      </c>
      <c r="D1473" t="s">
        <v>21</v>
      </c>
      <c r="E1473" t="s">
        <v>22</v>
      </c>
      <c r="F1473" t="s">
        <v>53</v>
      </c>
      <c r="G1473" t="s">
        <v>42</v>
      </c>
      <c r="H1473" t="s">
        <v>76</v>
      </c>
      <c r="I1473" t="s">
        <v>68</v>
      </c>
      <c r="J1473" t="s">
        <v>60</v>
      </c>
      <c r="K1473">
        <v>4</v>
      </c>
      <c r="L1473">
        <v>109756</v>
      </c>
      <c r="M1473" t="s">
        <v>28</v>
      </c>
      <c r="N1473">
        <v>3</v>
      </c>
      <c r="O1473">
        <v>1</v>
      </c>
      <c r="P1473">
        <v>63</v>
      </c>
      <c r="Q1473">
        <v>3</v>
      </c>
      <c r="R1473" s="1">
        <v>43494</v>
      </c>
      <c r="S1473" t="s">
        <v>29</v>
      </c>
      <c r="T1473" t="str">
        <f t="shared" si="110"/>
        <v>Grade A</v>
      </c>
      <c r="U1473">
        <f t="shared" si="111"/>
        <v>3</v>
      </c>
      <c r="V1473" t="str">
        <f t="shared" si="112"/>
        <v>Junior</v>
      </c>
      <c r="W1473" t="str">
        <f t="shared" si="113"/>
        <v>Medium Risk</v>
      </c>
      <c r="X1473" t="str">
        <f t="shared" si="114"/>
        <v>Competitive</v>
      </c>
    </row>
    <row r="1474" spans="1:24" x14ac:dyDescent="0.3">
      <c r="A1474" t="s">
        <v>1542</v>
      </c>
      <c r="B1474" t="s">
        <v>20</v>
      </c>
      <c r="C1474">
        <v>22</v>
      </c>
      <c r="D1474" t="s">
        <v>57</v>
      </c>
      <c r="E1474" t="s">
        <v>48</v>
      </c>
      <c r="F1474" t="s">
        <v>78</v>
      </c>
      <c r="G1474" t="s">
        <v>49</v>
      </c>
      <c r="H1474" t="s">
        <v>34</v>
      </c>
      <c r="I1474" t="s">
        <v>72</v>
      </c>
      <c r="J1474" t="s">
        <v>73</v>
      </c>
      <c r="K1474">
        <v>14</v>
      </c>
      <c r="L1474">
        <v>74258</v>
      </c>
      <c r="M1474" t="s">
        <v>36</v>
      </c>
      <c r="N1474">
        <v>2</v>
      </c>
      <c r="O1474">
        <v>1</v>
      </c>
      <c r="P1474">
        <v>31</v>
      </c>
      <c r="Q1474">
        <v>1</v>
      </c>
      <c r="R1474" s="1">
        <v>39829</v>
      </c>
      <c r="S1474" t="s">
        <v>37</v>
      </c>
      <c r="T1474" t="str">
        <f t="shared" ref="T1474:T1537" si="115">IF(L1474&gt;=80000,"Grade A",IF(L1474&gt;=50000,"Grade B",IF(L1474&gt;=35000,"Grade C","Grade D")))</f>
        <v>Grade B</v>
      </c>
      <c r="U1474">
        <f t="shared" ref="U1474:U1537" si="116">IF(M1474="Excellent",4,IF(M1474="Good",3,IF(M1474="Average",2,1)))</f>
        <v>1</v>
      </c>
      <c r="V1474" t="str">
        <f t="shared" ref="V1474:V1537" si="117">IF(K1474&lt;=2,"New Joiner",IF(K1474&lt;=5,"Junior",IF(K1474&lt;=10,"Mid Level","Senior")))</f>
        <v>Senior</v>
      </c>
      <c r="W1474" t="str">
        <f t="shared" ref="W1474:W1537" si="118">IF(S1474="Yes","Already Left",IF(AND(K1474&lt;=2,M1474="Poor"),"High Risk",IF(AND(K1474&lt;=5,M1474="Average"),"Medium Risk",IF(M1474="Excellent","Low Risk","Medium Risk"))))</f>
        <v>Already Left</v>
      </c>
      <c r="X1474" t="str">
        <f t="shared" ref="X1474:X1537" si="119">IF(AND(L1474&gt;=80000,M1474="Excellent"),"Competitive",IF(AND(L1474&gt;=50000,M1474="Good"),"Competitive",IF(AND(L1474&lt;35000,M1474="Excellent"),"Underpaid",IF(AND(L1474&gt;=80000,M1474="Poor"),"Overpaid","Fair"))))</f>
        <v>Fair</v>
      </c>
    </row>
    <row r="1475" spans="1:24" x14ac:dyDescent="0.3">
      <c r="A1475" t="s">
        <v>1543</v>
      </c>
      <c r="B1475" t="s">
        <v>39</v>
      </c>
      <c r="C1475">
        <v>44</v>
      </c>
      <c r="D1475" t="s">
        <v>47</v>
      </c>
      <c r="E1475" t="s">
        <v>40</v>
      </c>
      <c r="F1475" t="s">
        <v>65</v>
      </c>
      <c r="G1475" t="s">
        <v>58</v>
      </c>
      <c r="H1475" t="s">
        <v>25</v>
      </c>
      <c r="I1475" t="s">
        <v>26</v>
      </c>
      <c r="J1475" t="s">
        <v>27</v>
      </c>
      <c r="K1475">
        <v>11</v>
      </c>
      <c r="L1475">
        <v>107429</v>
      </c>
      <c r="M1475" t="s">
        <v>45</v>
      </c>
      <c r="N1475">
        <v>1</v>
      </c>
      <c r="O1475">
        <v>4</v>
      </c>
      <c r="P1475">
        <v>38</v>
      </c>
      <c r="Q1475">
        <v>2</v>
      </c>
      <c r="R1475" s="1">
        <v>40931</v>
      </c>
      <c r="S1475" t="s">
        <v>29</v>
      </c>
      <c r="T1475" t="str">
        <f t="shared" si="115"/>
        <v>Grade A</v>
      </c>
      <c r="U1475">
        <f t="shared" si="116"/>
        <v>2</v>
      </c>
      <c r="V1475" t="str">
        <f t="shared" si="117"/>
        <v>Senior</v>
      </c>
      <c r="W1475" t="str">
        <f t="shared" si="118"/>
        <v>Medium Risk</v>
      </c>
      <c r="X1475" t="str">
        <f t="shared" si="119"/>
        <v>Fair</v>
      </c>
    </row>
    <row r="1476" spans="1:24" x14ac:dyDescent="0.3">
      <c r="A1476" t="s">
        <v>1544</v>
      </c>
      <c r="B1476" t="s">
        <v>39</v>
      </c>
      <c r="C1476">
        <v>41</v>
      </c>
      <c r="D1476" t="s">
        <v>57</v>
      </c>
      <c r="E1476" t="s">
        <v>22</v>
      </c>
      <c r="F1476" t="s">
        <v>62</v>
      </c>
      <c r="G1476" t="s">
        <v>49</v>
      </c>
      <c r="H1476" t="s">
        <v>83</v>
      </c>
      <c r="I1476" t="s">
        <v>80</v>
      </c>
      <c r="J1476" t="s">
        <v>60</v>
      </c>
      <c r="K1476">
        <v>6</v>
      </c>
      <c r="L1476">
        <v>55429</v>
      </c>
      <c r="M1476" t="s">
        <v>45</v>
      </c>
      <c r="N1476">
        <v>1</v>
      </c>
      <c r="O1476">
        <v>2</v>
      </c>
      <c r="P1476">
        <v>39</v>
      </c>
      <c r="Q1476">
        <v>2</v>
      </c>
      <c r="R1476" s="1">
        <v>42943</v>
      </c>
      <c r="S1476" t="s">
        <v>37</v>
      </c>
      <c r="T1476" t="str">
        <f t="shared" si="115"/>
        <v>Grade B</v>
      </c>
      <c r="U1476">
        <f t="shared" si="116"/>
        <v>2</v>
      </c>
      <c r="V1476" t="str">
        <f t="shared" si="117"/>
        <v>Mid Level</v>
      </c>
      <c r="W1476" t="str">
        <f t="shared" si="118"/>
        <v>Already Left</v>
      </c>
      <c r="X1476" t="str">
        <f t="shared" si="119"/>
        <v>Fair</v>
      </c>
    </row>
    <row r="1477" spans="1:24" x14ac:dyDescent="0.3">
      <c r="A1477" t="s">
        <v>1545</v>
      </c>
      <c r="B1477" t="s">
        <v>39</v>
      </c>
      <c r="C1477">
        <v>50</v>
      </c>
      <c r="D1477" t="s">
        <v>57</v>
      </c>
      <c r="E1477" t="s">
        <v>40</v>
      </c>
      <c r="F1477" t="s">
        <v>32</v>
      </c>
      <c r="G1477" t="s">
        <v>66</v>
      </c>
      <c r="H1477" t="s">
        <v>76</v>
      </c>
      <c r="I1477" t="s">
        <v>50</v>
      </c>
      <c r="J1477" t="s">
        <v>44</v>
      </c>
      <c r="K1477">
        <v>2</v>
      </c>
      <c r="L1477">
        <v>41895</v>
      </c>
      <c r="M1477" t="s">
        <v>36</v>
      </c>
      <c r="N1477">
        <v>4</v>
      </c>
      <c r="O1477">
        <v>1</v>
      </c>
      <c r="P1477">
        <v>28</v>
      </c>
      <c r="Q1477">
        <v>1</v>
      </c>
      <c r="R1477" s="1">
        <v>44524</v>
      </c>
      <c r="S1477" t="s">
        <v>29</v>
      </c>
      <c r="T1477" t="str">
        <f t="shared" si="115"/>
        <v>Grade C</v>
      </c>
      <c r="U1477">
        <f t="shared" si="116"/>
        <v>1</v>
      </c>
      <c r="V1477" t="str">
        <f t="shared" si="117"/>
        <v>New Joiner</v>
      </c>
      <c r="W1477" t="str">
        <f t="shared" si="118"/>
        <v>High Risk</v>
      </c>
      <c r="X1477" t="str">
        <f t="shared" si="119"/>
        <v>Fair</v>
      </c>
    </row>
    <row r="1478" spans="1:24" x14ac:dyDescent="0.3">
      <c r="A1478" t="s">
        <v>1546</v>
      </c>
      <c r="B1478" t="s">
        <v>20</v>
      </c>
      <c r="C1478">
        <v>23</v>
      </c>
      <c r="D1478" t="s">
        <v>47</v>
      </c>
      <c r="E1478" t="s">
        <v>48</v>
      </c>
      <c r="F1478" t="s">
        <v>62</v>
      </c>
      <c r="G1478" t="s">
        <v>42</v>
      </c>
      <c r="H1478" t="s">
        <v>25</v>
      </c>
      <c r="I1478" t="s">
        <v>80</v>
      </c>
      <c r="J1478" t="s">
        <v>60</v>
      </c>
      <c r="K1478">
        <v>9</v>
      </c>
      <c r="L1478">
        <v>111631</v>
      </c>
      <c r="M1478" t="s">
        <v>36</v>
      </c>
      <c r="N1478">
        <v>4</v>
      </c>
      <c r="O1478">
        <v>3</v>
      </c>
      <c r="P1478">
        <v>12</v>
      </c>
      <c r="Q1478">
        <v>0</v>
      </c>
      <c r="R1478" s="1">
        <v>41713</v>
      </c>
      <c r="S1478" t="s">
        <v>37</v>
      </c>
      <c r="T1478" t="str">
        <f t="shared" si="115"/>
        <v>Grade A</v>
      </c>
      <c r="U1478">
        <f t="shared" si="116"/>
        <v>1</v>
      </c>
      <c r="V1478" t="str">
        <f t="shared" si="117"/>
        <v>Mid Level</v>
      </c>
      <c r="W1478" t="str">
        <f t="shared" si="118"/>
        <v>Already Left</v>
      </c>
      <c r="X1478" t="str">
        <f t="shared" si="119"/>
        <v>Overpaid</v>
      </c>
    </row>
    <row r="1479" spans="1:24" x14ac:dyDescent="0.3">
      <c r="A1479" t="s">
        <v>1547</v>
      </c>
      <c r="B1479" t="s">
        <v>39</v>
      </c>
      <c r="C1479">
        <v>29</v>
      </c>
      <c r="D1479" t="s">
        <v>31</v>
      </c>
      <c r="E1479" t="s">
        <v>40</v>
      </c>
      <c r="F1479" t="s">
        <v>32</v>
      </c>
      <c r="G1479" t="s">
        <v>49</v>
      </c>
      <c r="H1479" t="s">
        <v>67</v>
      </c>
      <c r="I1479" t="s">
        <v>43</v>
      </c>
      <c r="J1479" t="s">
        <v>44</v>
      </c>
      <c r="K1479">
        <v>8</v>
      </c>
      <c r="L1479">
        <v>72338</v>
      </c>
      <c r="M1479" t="s">
        <v>45</v>
      </c>
      <c r="N1479">
        <v>4</v>
      </c>
      <c r="O1479">
        <v>3</v>
      </c>
      <c r="P1479">
        <v>67</v>
      </c>
      <c r="Q1479">
        <v>1</v>
      </c>
      <c r="R1479" s="1">
        <v>42034</v>
      </c>
      <c r="S1479" t="s">
        <v>29</v>
      </c>
      <c r="T1479" t="str">
        <f t="shared" si="115"/>
        <v>Grade B</v>
      </c>
      <c r="U1479">
        <f t="shared" si="116"/>
        <v>2</v>
      </c>
      <c r="V1479" t="str">
        <f t="shared" si="117"/>
        <v>Mid Level</v>
      </c>
      <c r="W1479" t="str">
        <f t="shared" si="118"/>
        <v>Medium Risk</v>
      </c>
      <c r="X1479" t="str">
        <f t="shared" si="119"/>
        <v>Fair</v>
      </c>
    </row>
    <row r="1480" spans="1:24" x14ac:dyDescent="0.3">
      <c r="A1480" t="s">
        <v>1548</v>
      </c>
      <c r="B1480" t="s">
        <v>39</v>
      </c>
      <c r="C1480">
        <v>30</v>
      </c>
      <c r="D1480" t="s">
        <v>88</v>
      </c>
      <c r="E1480" t="s">
        <v>22</v>
      </c>
      <c r="F1480" t="s">
        <v>53</v>
      </c>
      <c r="G1480" t="s">
        <v>63</v>
      </c>
      <c r="H1480" t="s">
        <v>76</v>
      </c>
      <c r="I1480" t="s">
        <v>54</v>
      </c>
      <c r="J1480" t="s">
        <v>27</v>
      </c>
      <c r="K1480">
        <v>2</v>
      </c>
      <c r="L1480">
        <v>57335</v>
      </c>
      <c r="M1480" t="s">
        <v>28</v>
      </c>
      <c r="N1480">
        <v>3</v>
      </c>
      <c r="O1480">
        <v>3</v>
      </c>
      <c r="P1480">
        <v>48</v>
      </c>
      <c r="Q1480">
        <v>1</v>
      </c>
      <c r="R1480" s="1">
        <v>44199</v>
      </c>
      <c r="S1480" t="s">
        <v>29</v>
      </c>
      <c r="T1480" t="str">
        <f t="shared" si="115"/>
        <v>Grade B</v>
      </c>
      <c r="U1480">
        <f t="shared" si="116"/>
        <v>3</v>
      </c>
      <c r="V1480" t="str">
        <f t="shared" si="117"/>
        <v>New Joiner</v>
      </c>
      <c r="W1480" t="str">
        <f t="shared" si="118"/>
        <v>Medium Risk</v>
      </c>
      <c r="X1480" t="str">
        <f t="shared" si="119"/>
        <v>Competitive</v>
      </c>
    </row>
    <row r="1481" spans="1:24" x14ac:dyDescent="0.3">
      <c r="A1481" t="s">
        <v>1549</v>
      </c>
      <c r="B1481" t="s">
        <v>20</v>
      </c>
      <c r="C1481">
        <v>38</v>
      </c>
      <c r="D1481" t="s">
        <v>88</v>
      </c>
      <c r="E1481" t="s">
        <v>22</v>
      </c>
      <c r="F1481" t="s">
        <v>32</v>
      </c>
      <c r="G1481" t="s">
        <v>63</v>
      </c>
      <c r="H1481" t="s">
        <v>67</v>
      </c>
      <c r="I1481" t="s">
        <v>59</v>
      </c>
      <c r="J1481" t="s">
        <v>60</v>
      </c>
      <c r="K1481">
        <v>2</v>
      </c>
      <c r="L1481">
        <v>51217</v>
      </c>
      <c r="M1481" t="s">
        <v>45</v>
      </c>
      <c r="N1481">
        <v>4</v>
      </c>
      <c r="O1481">
        <v>4</v>
      </c>
      <c r="P1481">
        <v>13</v>
      </c>
      <c r="Q1481">
        <v>3</v>
      </c>
      <c r="R1481" s="1">
        <v>44281</v>
      </c>
      <c r="S1481" t="s">
        <v>37</v>
      </c>
      <c r="T1481" t="str">
        <f t="shared" si="115"/>
        <v>Grade B</v>
      </c>
      <c r="U1481">
        <f t="shared" si="116"/>
        <v>2</v>
      </c>
      <c r="V1481" t="str">
        <f t="shared" si="117"/>
        <v>New Joiner</v>
      </c>
      <c r="W1481" t="str">
        <f t="shared" si="118"/>
        <v>Already Left</v>
      </c>
      <c r="X1481" t="str">
        <f t="shared" si="119"/>
        <v>Fair</v>
      </c>
    </row>
    <row r="1482" spans="1:24" x14ac:dyDescent="0.3">
      <c r="A1482" t="s">
        <v>1550</v>
      </c>
      <c r="B1482" t="s">
        <v>20</v>
      </c>
      <c r="C1482">
        <v>44</v>
      </c>
      <c r="D1482" t="s">
        <v>88</v>
      </c>
      <c r="E1482" t="s">
        <v>48</v>
      </c>
      <c r="F1482" t="s">
        <v>62</v>
      </c>
      <c r="G1482" t="s">
        <v>33</v>
      </c>
      <c r="H1482" t="s">
        <v>25</v>
      </c>
      <c r="I1482" t="s">
        <v>59</v>
      </c>
      <c r="J1482" t="s">
        <v>60</v>
      </c>
      <c r="K1482">
        <v>14</v>
      </c>
      <c r="L1482">
        <v>86342</v>
      </c>
      <c r="M1482" t="s">
        <v>36</v>
      </c>
      <c r="N1482">
        <v>1</v>
      </c>
      <c r="O1482">
        <v>4</v>
      </c>
      <c r="P1482">
        <v>44</v>
      </c>
      <c r="Q1482">
        <v>0</v>
      </c>
      <c r="R1482" s="1">
        <v>40120</v>
      </c>
      <c r="S1482" t="s">
        <v>37</v>
      </c>
      <c r="T1482" t="str">
        <f t="shared" si="115"/>
        <v>Grade A</v>
      </c>
      <c r="U1482">
        <f t="shared" si="116"/>
        <v>1</v>
      </c>
      <c r="V1482" t="str">
        <f t="shared" si="117"/>
        <v>Senior</v>
      </c>
      <c r="W1482" t="str">
        <f t="shared" si="118"/>
        <v>Already Left</v>
      </c>
      <c r="X1482" t="str">
        <f t="shared" si="119"/>
        <v>Overpaid</v>
      </c>
    </row>
    <row r="1483" spans="1:24" x14ac:dyDescent="0.3">
      <c r="A1483" t="s">
        <v>1551</v>
      </c>
      <c r="B1483" t="s">
        <v>39</v>
      </c>
      <c r="C1483">
        <v>47</v>
      </c>
      <c r="D1483" t="s">
        <v>88</v>
      </c>
      <c r="E1483" t="s">
        <v>40</v>
      </c>
      <c r="F1483" t="s">
        <v>41</v>
      </c>
      <c r="G1483" t="s">
        <v>58</v>
      </c>
      <c r="H1483" t="s">
        <v>76</v>
      </c>
      <c r="I1483" t="s">
        <v>43</v>
      </c>
      <c r="J1483" t="s">
        <v>44</v>
      </c>
      <c r="K1483">
        <v>6</v>
      </c>
      <c r="L1483">
        <v>92294</v>
      </c>
      <c r="M1483" t="s">
        <v>51</v>
      </c>
      <c r="N1483">
        <v>1</v>
      </c>
      <c r="O1483">
        <v>3</v>
      </c>
      <c r="P1483">
        <v>22</v>
      </c>
      <c r="Q1483">
        <v>1</v>
      </c>
      <c r="R1483" s="1">
        <v>43063</v>
      </c>
      <c r="S1483" t="s">
        <v>29</v>
      </c>
      <c r="T1483" t="str">
        <f t="shared" si="115"/>
        <v>Grade A</v>
      </c>
      <c r="U1483">
        <f t="shared" si="116"/>
        <v>4</v>
      </c>
      <c r="V1483" t="str">
        <f t="shared" si="117"/>
        <v>Mid Level</v>
      </c>
      <c r="W1483" t="str">
        <f t="shared" si="118"/>
        <v>Low Risk</v>
      </c>
      <c r="X1483" t="str">
        <f t="shared" si="119"/>
        <v>Competitive</v>
      </c>
    </row>
    <row r="1484" spans="1:24" x14ac:dyDescent="0.3">
      <c r="A1484" t="s">
        <v>1552</v>
      </c>
      <c r="B1484" t="s">
        <v>20</v>
      </c>
      <c r="C1484">
        <v>50</v>
      </c>
      <c r="D1484" t="s">
        <v>31</v>
      </c>
      <c r="E1484" t="s">
        <v>22</v>
      </c>
      <c r="F1484" t="s">
        <v>62</v>
      </c>
      <c r="G1484" t="s">
        <v>58</v>
      </c>
      <c r="H1484" t="s">
        <v>76</v>
      </c>
      <c r="I1484" t="s">
        <v>80</v>
      </c>
      <c r="J1484" t="s">
        <v>60</v>
      </c>
      <c r="K1484">
        <v>12</v>
      </c>
      <c r="L1484">
        <v>118359</v>
      </c>
      <c r="M1484" t="s">
        <v>36</v>
      </c>
      <c r="N1484">
        <v>2</v>
      </c>
      <c r="O1484">
        <v>2</v>
      </c>
      <c r="P1484">
        <v>78</v>
      </c>
      <c r="Q1484">
        <v>3</v>
      </c>
      <c r="R1484" s="1">
        <v>40808</v>
      </c>
      <c r="S1484" t="s">
        <v>29</v>
      </c>
      <c r="T1484" t="str">
        <f t="shared" si="115"/>
        <v>Grade A</v>
      </c>
      <c r="U1484">
        <f t="shared" si="116"/>
        <v>1</v>
      </c>
      <c r="V1484" t="str">
        <f t="shared" si="117"/>
        <v>Senior</v>
      </c>
      <c r="W1484" t="str">
        <f t="shared" si="118"/>
        <v>Medium Risk</v>
      </c>
      <c r="X1484" t="str">
        <f t="shared" si="119"/>
        <v>Overpaid</v>
      </c>
    </row>
    <row r="1485" spans="1:24" x14ac:dyDescent="0.3">
      <c r="A1485" t="s">
        <v>1553</v>
      </c>
      <c r="B1485" t="s">
        <v>20</v>
      </c>
      <c r="C1485">
        <v>33</v>
      </c>
      <c r="D1485" t="s">
        <v>21</v>
      </c>
      <c r="E1485" t="s">
        <v>40</v>
      </c>
      <c r="F1485" t="s">
        <v>32</v>
      </c>
      <c r="G1485" t="s">
        <v>24</v>
      </c>
      <c r="H1485" t="s">
        <v>67</v>
      </c>
      <c r="I1485" t="s">
        <v>80</v>
      </c>
      <c r="J1485" t="s">
        <v>60</v>
      </c>
      <c r="K1485">
        <v>13</v>
      </c>
      <c r="L1485">
        <v>104918</v>
      </c>
      <c r="M1485" t="s">
        <v>51</v>
      </c>
      <c r="N1485">
        <v>2</v>
      </c>
      <c r="O1485">
        <v>4</v>
      </c>
      <c r="P1485">
        <v>58</v>
      </c>
      <c r="Q1485">
        <v>3</v>
      </c>
      <c r="R1485" s="1">
        <v>40532</v>
      </c>
      <c r="S1485" t="s">
        <v>29</v>
      </c>
      <c r="T1485" t="str">
        <f t="shared" si="115"/>
        <v>Grade A</v>
      </c>
      <c r="U1485">
        <f t="shared" si="116"/>
        <v>4</v>
      </c>
      <c r="V1485" t="str">
        <f t="shared" si="117"/>
        <v>Senior</v>
      </c>
      <c r="W1485" t="str">
        <f t="shared" si="118"/>
        <v>Low Risk</v>
      </c>
      <c r="X1485" t="str">
        <f t="shared" si="119"/>
        <v>Competitive</v>
      </c>
    </row>
    <row r="1486" spans="1:24" x14ac:dyDescent="0.3">
      <c r="A1486" t="s">
        <v>1554</v>
      </c>
      <c r="B1486" t="s">
        <v>20</v>
      </c>
      <c r="C1486">
        <v>47</v>
      </c>
      <c r="D1486" t="s">
        <v>47</v>
      </c>
      <c r="E1486" t="s">
        <v>48</v>
      </c>
      <c r="F1486" t="s">
        <v>41</v>
      </c>
      <c r="G1486" t="s">
        <v>63</v>
      </c>
      <c r="H1486" t="s">
        <v>34</v>
      </c>
      <c r="I1486" t="s">
        <v>96</v>
      </c>
      <c r="J1486" t="s">
        <v>44</v>
      </c>
      <c r="K1486">
        <v>7</v>
      </c>
      <c r="L1486">
        <v>63270</v>
      </c>
      <c r="M1486" t="s">
        <v>36</v>
      </c>
      <c r="N1486">
        <v>2</v>
      </c>
      <c r="O1486">
        <v>1</v>
      </c>
      <c r="P1486">
        <v>27</v>
      </c>
      <c r="Q1486">
        <v>1</v>
      </c>
      <c r="R1486" s="1">
        <v>42666</v>
      </c>
      <c r="S1486" t="s">
        <v>37</v>
      </c>
      <c r="T1486" t="str">
        <f t="shared" si="115"/>
        <v>Grade B</v>
      </c>
      <c r="U1486">
        <f t="shared" si="116"/>
        <v>1</v>
      </c>
      <c r="V1486" t="str">
        <f t="shared" si="117"/>
        <v>Mid Level</v>
      </c>
      <c r="W1486" t="str">
        <f t="shared" si="118"/>
        <v>Already Left</v>
      </c>
      <c r="X1486" t="str">
        <f t="shared" si="119"/>
        <v>Fair</v>
      </c>
    </row>
    <row r="1487" spans="1:24" x14ac:dyDescent="0.3">
      <c r="A1487" t="s">
        <v>1555</v>
      </c>
      <c r="B1487" t="s">
        <v>39</v>
      </c>
      <c r="C1487">
        <v>48</v>
      </c>
      <c r="D1487" t="s">
        <v>57</v>
      </c>
      <c r="E1487" t="s">
        <v>48</v>
      </c>
      <c r="F1487" t="s">
        <v>32</v>
      </c>
      <c r="G1487" t="s">
        <v>49</v>
      </c>
      <c r="H1487" t="s">
        <v>25</v>
      </c>
      <c r="I1487" t="s">
        <v>68</v>
      </c>
      <c r="J1487" t="s">
        <v>60</v>
      </c>
      <c r="K1487">
        <v>2</v>
      </c>
      <c r="L1487">
        <v>58343</v>
      </c>
      <c r="M1487" t="s">
        <v>51</v>
      </c>
      <c r="N1487">
        <v>1</v>
      </c>
      <c r="O1487">
        <v>1</v>
      </c>
      <c r="P1487">
        <v>70</v>
      </c>
      <c r="Q1487">
        <v>3</v>
      </c>
      <c r="R1487" s="1">
        <v>44279</v>
      </c>
      <c r="S1487" t="s">
        <v>29</v>
      </c>
      <c r="T1487" t="str">
        <f t="shared" si="115"/>
        <v>Grade B</v>
      </c>
      <c r="U1487">
        <f t="shared" si="116"/>
        <v>4</v>
      </c>
      <c r="V1487" t="str">
        <f t="shared" si="117"/>
        <v>New Joiner</v>
      </c>
      <c r="W1487" t="str">
        <f t="shared" si="118"/>
        <v>Low Risk</v>
      </c>
      <c r="X1487" t="str">
        <f t="shared" si="119"/>
        <v>Fair</v>
      </c>
    </row>
    <row r="1488" spans="1:24" x14ac:dyDescent="0.3">
      <c r="A1488" t="s">
        <v>1556</v>
      </c>
      <c r="B1488" t="s">
        <v>20</v>
      </c>
      <c r="C1488">
        <v>40</v>
      </c>
      <c r="D1488" t="s">
        <v>21</v>
      </c>
      <c r="E1488" t="s">
        <v>40</v>
      </c>
      <c r="F1488" t="s">
        <v>41</v>
      </c>
      <c r="G1488" t="s">
        <v>42</v>
      </c>
      <c r="H1488" t="s">
        <v>25</v>
      </c>
      <c r="I1488" t="s">
        <v>54</v>
      </c>
      <c r="J1488" t="s">
        <v>27</v>
      </c>
      <c r="K1488">
        <v>11</v>
      </c>
      <c r="L1488">
        <v>116046</v>
      </c>
      <c r="M1488" t="s">
        <v>28</v>
      </c>
      <c r="N1488">
        <v>2</v>
      </c>
      <c r="O1488">
        <v>2</v>
      </c>
      <c r="P1488">
        <v>41</v>
      </c>
      <c r="Q1488">
        <v>2</v>
      </c>
      <c r="R1488" s="1">
        <v>41216</v>
      </c>
      <c r="S1488" t="s">
        <v>29</v>
      </c>
      <c r="T1488" t="str">
        <f t="shared" si="115"/>
        <v>Grade A</v>
      </c>
      <c r="U1488">
        <f t="shared" si="116"/>
        <v>3</v>
      </c>
      <c r="V1488" t="str">
        <f t="shared" si="117"/>
        <v>Senior</v>
      </c>
      <c r="W1488" t="str">
        <f t="shared" si="118"/>
        <v>Medium Risk</v>
      </c>
      <c r="X1488" t="str">
        <f t="shared" si="119"/>
        <v>Competitive</v>
      </c>
    </row>
    <row r="1489" spans="1:24" x14ac:dyDescent="0.3">
      <c r="A1489" t="s">
        <v>1557</v>
      </c>
      <c r="B1489" t="s">
        <v>39</v>
      </c>
      <c r="C1489">
        <v>29</v>
      </c>
      <c r="D1489" t="s">
        <v>88</v>
      </c>
      <c r="E1489" t="s">
        <v>48</v>
      </c>
      <c r="F1489" t="s">
        <v>78</v>
      </c>
      <c r="G1489" t="s">
        <v>66</v>
      </c>
      <c r="H1489" t="s">
        <v>25</v>
      </c>
      <c r="I1489" t="s">
        <v>26</v>
      </c>
      <c r="J1489" t="s">
        <v>27</v>
      </c>
      <c r="K1489">
        <v>15</v>
      </c>
      <c r="L1489">
        <v>69230</v>
      </c>
      <c r="M1489" t="s">
        <v>36</v>
      </c>
      <c r="N1489">
        <v>2</v>
      </c>
      <c r="O1489">
        <v>4</v>
      </c>
      <c r="P1489">
        <v>26</v>
      </c>
      <c r="Q1489">
        <v>3</v>
      </c>
      <c r="R1489" s="1">
        <v>39625</v>
      </c>
      <c r="S1489" t="s">
        <v>37</v>
      </c>
      <c r="T1489" t="str">
        <f t="shared" si="115"/>
        <v>Grade B</v>
      </c>
      <c r="U1489">
        <f t="shared" si="116"/>
        <v>1</v>
      </c>
      <c r="V1489" t="str">
        <f t="shared" si="117"/>
        <v>Senior</v>
      </c>
      <c r="W1489" t="str">
        <f t="shared" si="118"/>
        <v>Already Left</v>
      </c>
      <c r="X1489" t="str">
        <f t="shared" si="119"/>
        <v>Fair</v>
      </c>
    </row>
    <row r="1490" spans="1:24" x14ac:dyDescent="0.3">
      <c r="A1490" t="s">
        <v>1558</v>
      </c>
      <c r="B1490" t="s">
        <v>39</v>
      </c>
      <c r="C1490">
        <v>33</v>
      </c>
      <c r="D1490" t="s">
        <v>57</v>
      </c>
      <c r="E1490" t="s">
        <v>40</v>
      </c>
      <c r="F1490" t="s">
        <v>41</v>
      </c>
      <c r="G1490" t="s">
        <v>63</v>
      </c>
      <c r="H1490" t="s">
        <v>34</v>
      </c>
      <c r="I1490" t="s">
        <v>59</v>
      </c>
      <c r="J1490" t="s">
        <v>60</v>
      </c>
      <c r="K1490">
        <v>12</v>
      </c>
      <c r="L1490">
        <v>69972</v>
      </c>
      <c r="M1490" t="s">
        <v>45</v>
      </c>
      <c r="N1490">
        <v>4</v>
      </c>
      <c r="O1490">
        <v>4</v>
      </c>
      <c r="P1490">
        <v>43</v>
      </c>
      <c r="Q1490">
        <v>0</v>
      </c>
      <c r="R1490" s="1">
        <v>40614</v>
      </c>
      <c r="S1490" t="s">
        <v>29</v>
      </c>
      <c r="T1490" t="str">
        <f t="shared" si="115"/>
        <v>Grade B</v>
      </c>
      <c r="U1490">
        <f t="shared" si="116"/>
        <v>2</v>
      </c>
      <c r="V1490" t="str">
        <f t="shared" si="117"/>
        <v>Senior</v>
      </c>
      <c r="W1490" t="str">
        <f t="shared" si="118"/>
        <v>Medium Risk</v>
      </c>
      <c r="X1490" t="str">
        <f t="shared" si="119"/>
        <v>Fair</v>
      </c>
    </row>
    <row r="1491" spans="1:24" x14ac:dyDescent="0.3">
      <c r="A1491" t="s">
        <v>1559</v>
      </c>
      <c r="B1491" t="s">
        <v>20</v>
      </c>
      <c r="C1491">
        <v>26</v>
      </c>
      <c r="D1491" t="s">
        <v>47</v>
      </c>
      <c r="E1491" t="s">
        <v>48</v>
      </c>
      <c r="F1491" t="s">
        <v>23</v>
      </c>
      <c r="G1491" t="s">
        <v>66</v>
      </c>
      <c r="H1491" t="s">
        <v>83</v>
      </c>
      <c r="I1491" t="s">
        <v>80</v>
      </c>
      <c r="J1491" t="s">
        <v>60</v>
      </c>
      <c r="K1491">
        <v>15</v>
      </c>
      <c r="L1491">
        <v>55081</v>
      </c>
      <c r="M1491" t="s">
        <v>28</v>
      </c>
      <c r="N1491">
        <v>3</v>
      </c>
      <c r="O1491">
        <v>3</v>
      </c>
      <c r="P1491">
        <v>80</v>
      </c>
      <c r="Q1491">
        <v>3</v>
      </c>
      <c r="R1491" s="1">
        <v>39646</v>
      </c>
      <c r="S1491" t="s">
        <v>29</v>
      </c>
      <c r="T1491" t="str">
        <f t="shared" si="115"/>
        <v>Grade B</v>
      </c>
      <c r="U1491">
        <f t="shared" si="116"/>
        <v>3</v>
      </c>
      <c r="V1491" t="str">
        <f t="shared" si="117"/>
        <v>Senior</v>
      </c>
      <c r="W1491" t="str">
        <f t="shared" si="118"/>
        <v>Medium Risk</v>
      </c>
      <c r="X1491" t="str">
        <f t="shared" si="119"/>
        <v>Competitive</v>
      </c>
    </row>
    <row r="1492" spans="1:24" x14ac:dyDescent="0.3">
      <c r="A1492" t="s">
        <v>1560</v>
      </c>
      <c r="B1492" t="s">
        <v>39</v>
      </c>
      <c r="C1492">
        <v>26</v>
      </c>
      <c r="D1492" t="s">
        <v>31</v>
      </c>
      <c r="E1492" t="s">
        <v>48</v>
      </c>
      <c r="F1492" t="s">
        <v>53</v>
      </c>
      <c r="G1492" t="s">
        <v>58</v>
      </c>
      <c r="H1492" t="s">
        <v>67</v>
      </c>
      <c r="I1492" t="s">
        <v>96</v>
      </c>
      <c r="J1492" t="s">
        <v>44</v>
      </c>
      <c r="K1492">
        <v>10</v>
      </c>
      <c r="L1492">
        <v>104853</v>
      </c>
      <c r="M1492" t="s">
        <v>28</v>
      </c>
      <c r="N1492">
        <v>3</v>
      </c>
      <c r="O1492">
        <v>4</v>
      </c>
      <c r="P1492">
        <v>20</v>
      </c>
      <c r="Q1492">
        <v>2</v>
      </c>
      <c r="R1492" s="1">
        <v>41519</v>
      </c>
      <c r="S1492" t="s">
        <v>29</v>
      </c>
      <c r="T1492" t="str">
        <f t="shared" si="115"/>
        <v>Grade A</v>
      </c>
      <c r="U1492">
        <f t="shared" si="116"/>
        <v>3</v>
      </c>
      <c r="V1492" t="str">
        <f t="shared" si="117"/>
        <v>Mid Level</v>
      </c>
      <c r="W1492" t="str">
        <f t="shared" si="118"/>
        <v>Medium Risk</v>
      </c>
      <c r="X1492" t="str">
        <f t="shared" si="119"/>
        <v>Competitive</v>
      </c>
    </row>
    <row r="1493" spans="1:24" x14ac:dyDescent="0.3">
      <c r="A1493" t="s">
        <v>1561</v>
      </c>
      <c r="B1493" t="s">
        <v>20</v>
      </c>
      <c r="C1493">
        <v>55</v>
      </c>
      <c r="D1493" t="s">
        <v>88</v>
      </c>
      <c r="E1493" t="s">
        <v>48</v>
      </c>
      <c r="F1493" t="s">
        <v>62</v>
      </c>
      <c r="G1493" t="s">
        <v>66</v>
      </c>
      <c r="H1493" t="s">
        <v>34</v>
      </c>
      <c r="I1493" t="s">
        <v>96</v>
      </c>
      <c r="J1493" t="s">
        <v>44</v>
      </c>
      <c r="K1493">
        <v>3</v>
      </c>
      <c r="L1493">
        <v>34040</v>
      </c>
      <c r="M1493" t="s">
        <v>28</v>
      </c>
      <c r="N1493">
        <v>3</v>
      </c>
      <c r="O1493">
        <v>2</v>
      </c>
      <c r="P1493">
        <v>18</v>
      </c>
      <c r="Q1493">
        <v>1</v>
      </c>
      <c r="R1493" s="1">
        <v>44064</v>
      </c>
      <c r="S1493" t="s">
        <v>37</v>
      </c>
      <c r="T1493" t="str">
        <f t="shared" si="115"/>
        <v>Grade D</v>
      </c>
      <c r="U1493">
        <f t="shared" si="116"/>
        <v>3</v>
      </c>
      <c r="V1493" t="str">
        <f t="shared" si="117"/>
        <v>Junior</v>
      </c>
      <c r="W1493" t="str">
        <f t="shared" si="118"/>
        <v>Already Left</v>
      </c>
      <c r="X1493" t="str">
        <f t="shared" si="119"/>
        <v>Fair</v>
      </c>
    </row>
    <row r="1494" spans="1:24" x14ac:dyDescent="0.3">
      <c r="A1494" t="s">
        <v>1562</v>
      </c>
      <c r="B1494" t="s">
        <v>20</v>
      </c>
      <c r="C1494">
        <v>49</v>
      </c>
      <c r="D1494" t="s">
        <v>21</v>
      </c>
      <c r="E1494" t="s">
        <v>40</v>
      </c>
      <c r="F1494" t="s">
        <v>62</v>
      </c>
      <c r="G1494" t="s">
        <v>49</v>
      </c>
      <c r="H1494" t="s">
        <v>83</v>
      </c>
      <c r="I1494" t="s">
        <v>50</v>
      </c>
      <c r="J1494" t="s">
        <v>44</v>
      </c>
      <c r="K1494">
        <v>5</v>
      </c>
      <c r="L1494">
        <v>64444</v>
      </c>
      <c r="M1494" t="s">
        <v>45</v>
      </c>
      <c r="N1494">
        <v>2</v>
      </c>
      <c r="O1494">
        <v>1</v>
      </c>
      <c r="P1494">
        <v>77</v>
      </c>
      <c r="Q1494">
        <v>2</v>
      </c>
      <c r="R1494" s="1">
        <v>43134</v>
      </c>
      <c r="S1494" t="s">
        <v>29</v>
      </c>
      <c r="T1494" t="str">
        <f t="shared" si="115"/>
        <v>Grade B</v>
      </c>
      <c r="U1494">
        <f t="shared" si="116"/>
        <v>2</v>
      </c>
      <c r="V1494" t="str">
        <f t="shared" si="117"/>
        <v>Junior</v>
      </c>
      <c r="W1494" t="str">
        <f t="shared" si="118"/>
        <v>Medium Risk</v>
      </c>
      <c r="X1494" t="str">
        <f t="shared" si="119"/>
        <v>Fair</v>
      </c>
    </row>
    <row r="1495" spans="1:24" x14ac:dyDescent="0.3">
      <c r="A1495" t="s">
        <v>1563</v>
      </c>
      <c r="B1495" t="s">
        <v>39</v>
      </c>
      <c r="C1495">
        <v>27</v>
      </c>
      <c r="D1495" t="s">
        <v>31</v>
      </c>
      <c r="E1495" t="s">
        <v>22</v>
      </c>
      <c r="F1495" t="s">
        <v>23</v>
      </c>
      <c r="G1495" t="s">
        <v>33</v>
      </c>
      <c r="H1495" t="s">
        <v>83</v>
      </c>
      <c r="I1495" t="s">
        <v>35</v>
      </c>
      <c r="J1495" t="s">
        <v>27</v>
      </c>
      <c r="K1495">
        <v>12</v>
      </c>
      <c r="L1495">
        <v>81969</v>
      </c>
      <c r="M1495" t="s">
        <v>51</v>
      </c>
      <c r="N1495">
        <v>1</v>
      </c>
      <c r="O1495">
        <v>3</v>
      </c>
      <c r="P1495">
        <v>39</v>
      </c>
      <c r="Q1495">
        <v>3</v>
      </c>
      <c r="R1495" s="1">
        <v>40753</v>
      </c>
      <c r="S1495" t="s">
        <v>37</v>
      </c>
      <c r="T1495" t="str">
        <f t="shared" si="115"/>
        <v>Grade A</v>
      </c>
      <c r="U1495">
        <f t="shared" si="116"/>
        <v>4</v>
      </c>
      <c r="V1495" t="str">
        <f t="shared" si="117"/>
        <v>Senior</v>
      </c>
      <c r="W1495" t="str">
        <f t="shared" si="118"/>
        <v>Already Left</v>
      </c>
      <c r="X1495" t="str">
        <f t="shared" si="119"/>
        <v>Competitive</v>
      </c>
    </row>
    <row r="1496" spans="1:24" x14ac:dyDescent="0.3">
      <c r="A1496" t="s">
        <v>1564</v>
      </c>
      <c r="B1496" t="s">
        <v>20</v>
      </c>
      <c r="C1496">
        <v>28</v>
      </c>
      <c r="D1496" t="s">
        <v>21</v>
      </c>
      <c r="E1496" t="s">
        <v>40</v>
      </c>
      <c r="F1496" t="s">
        <v>75</v>
      </c>
      <c r="G1496" t="s">
        <v>58</v>
      </c>
      <c r="H1496" t="s">
        <v>67</v>
      </c>
      <c r="I1496" t="s">
        <v>96</v>
      </c>
      <c r="J1496" t="s">
        <v>44</v>
      </c>
      <c r="K1496">
        <v>13</v>
      </c>
      <c r="L1496">
        <v>116921</v>
      </c>
      <c r="M1496" t="s">
        <v>51</v>
      </c>
      <c r="N1496">
        <v>4</v>
      </c>
      <c r="O1496">
        <v>3</v>
      </c>
      <c r="P1496">
        <v>64</v>
      </c>
      <c r="Q1496">
        <v>2</v>
      </c>
      <c r="R1496" s="1">
        <v>40508</v>
      </c>
      <c r="S1496" t="s">
        <v>29</v>
      </c>
      <c r="T1496" t="str">
        <f t="shared" si="115"/>
        <v>Grade A</v>
      </c>
      <c r="U1496">
        <f t="shared" si="116"/>
        <v>4</v>
      </c>
      <c r="V1496" t="str">
        <f t="shared" si="117"/>
        <v>Senior</v>
      </c>
      <c r="W1496" t="str">
        <f t="shared" si="118"/>
        <v>Low Risk</v>
      </c>
      <c r="X1496" t="str">
        <f t="shared" si="119"/>
        <v>Competitive</v>
      </c>
    </row>
    <row r="1497" spans="1:24" x14ac:dyDescent="0.3">
      <c r="A1497" t="s">
        <v>1565</v>
      </c>
      <c r="B1497" t="s">
        <v>39</v>
      </c>
      <c r="C1497">
        <v>37</v>
      </c>
      <c r="D1497" t="s">
        <v>21</v>
      </c>
      <c r="E1497" t="s">
        <v>48</v>
      </c>
      <c r="F1497" t="s">
        <v>65</v>
      </c>
      <c r="G1497" t="s">
        <v>58</v>
      </c>
      <c r="H1497" t="s">
        <v>76</v>
      </c>
      <c r="I1497" t="s">
        <v>68</v>
      </c>
      <c r="J1497" t="s">
        <v>60</v>
      </c>
      <c r="K1497">
        <v>7</v>
      </c>
      <c r="L1497">
        <v>93678</v>
      </c>
      <c r="M1497" t="s">
        <v>51</v>
      </c>
      <c r="N1497">
        <v>3</v>
      </c>
      <c r="O1497">
        <v>2</v>
      </c>
      <c r="P1497">
        <v>35</v>
      </c>
      <c r="Q1497">
        <v>0</v>
      </c>
      <c r="R1497" s="1">
        <v>42441</v>
      </c>
      <c r="S1497" t="s">
        <v>29</v>
      </c>
      <c r="T1497" t="str">
        <f t="shared" si="115"/>
        <v>Grade A</v>
      </c>
      <c r="U1497">
        <f t="shared" si="116"/>
        <v>4</v>
      </c>
      <c r="V1497" t="str">
        <f t="shared" si="117"/>
        <v>Mid Level</v>
      </c>
      <c r="W1497" t="str">
        <f t="shared" si="118"/>
        <v>Low Risk</v>
      </c>
      <c r="X1497" t="str">
        <f t="shared" si="119"/>
        <v>Competitive</v>
      </c>
    </row>
    <row r="1498" spans="1:24" x14ac:dyDescent="0.3">
      <c r="A1498" t="s">
        <v>1566</v>
      </c>
      <c r="B1498" t="s">
        <v>20</v>
      </c>
      <c r="C1498">
        <v>43</v>
      </c>
      <c r="D1498" t="s">
        <v>21</v>
      </c>
      <c r="E1498" t="s">
        <v>40</v>
      </c>
      <c r="F1498" t="s">
        <v>23</v>
      </c>
      <c r="G1498" t="s">
        <v>58</v>
      </c>
      <c r="H1498" t="s">
        <v>83</v>
      </c>
      <c r="I1498" t="s">
        <v>43</v>
      </c>
      <c r="J1498" t="s">
        <v>44</v>
      </c>
      <c r="K1498">
        <v>4</v>
      </c>
      <c r="L1498">
        <v>89062</v>
      </c>
      <c r="M1498" t="s">
        <v>28</v>
      </c>
      <c r="N1498">
        <v>3</v>
      </c>
      <c r="O1498">
        <v>2</v>
      </c>
      <c r="P1498">
        <v>31</v>
      </c>
      <c r="Q1498">
        <v>2</v>
      </c>
      <c r="R1498" s="1">
        <v>43611</v>
      </c>
      <c r="S1498" t="s">
        <v>29</v>
      </c>
      <c r="T1498" t="str">
        <f t="shared" si="115"/>
        <v>Grade A</v>
      </c>
      <c r="U1498">
        <f t="shared" si="116"/>
        <v>3</v>
      </c>
      <c r="V1498" t="str">
        <f t="shared" si="117"/>
        <v>Junior</v>
      </c>
      <c r="W1498" t="str">
        <f t="shared" si="118"/>
        <v>Medium Risk</v>
      </c>
      <c r="X1498" t="str">
        <f t="shared" si="119"/>
        <v>Competitive</v>
      </c>
    </row>
    <row r="1499" spans="1:24" x14ac:dyDescent="0.3">
      <c r="A1499" t="s">
        <v>1567</v>
      </c>
      <c r="B1499" t="s">
        <v>39</v>
      </c>
      <c r="C1499">
        <v>42</v>
      </c>
      <c r="D1499" t="s">
        <v>21</v>
      </c>
      <c r="E1499" t="s">
        <v>48</v>
      </c>
      <c r="F1499" t="s">
        <v>41</v>
      </c>
      <c r="G1499" t="s">
        <v>63</v>
      </c>
      <c r="H1499" t="s">
        <v>25</v>
      </c>
      <c r="I1499" t="s">
        <v>26</v>
      </c>
      <c r="J1499" t="s">
        <v>27</v>
      </c>
      <c r="K1499">
        <v>1</v>
      </c>
      <c r="L1499">
        <v>50397</v>
      </c>
      <c r="M1499" t="s">
        <v>28</v>
      </c>
      <c r="N1499">
        <v>3</v>
      </c>
      <c r="O1499">
        <v>2</v>
      </c>
      <c r="P1499">
        <v>12</v>
      </c>
      <c r="Q1499">
        <v>0</v>
      </c>
      <c r="R1499" s="1">
        <v>44909</v>
      </c>
      <c r="S1499" t="s">
        <v>29</v>
      </c>
      <c r="T1499" t="str">
        <f t="shared" si="115"/>
        <v>Grade B</v>
      </c>
      <c r="U1499">
        <f t="shared" si="116"/>
        <v>3</v>
      </c>
      <c r="V1499" t="str">
        <f t="shared" si="117"/>
        <v>New Joiner</v>
      </c>
      <c r="W1499" t="str">
        <f t="shared" si="118"/>
        <v>Medium Risk</v>
      </c>
      <c r="X1499" t="str">
        <f t="shared" si="119"/>
        <v>Competitive</v>
      </c>
    </row>
    <row r="1500" spans="1:24" x14ac:dyDescent="0.3">
      <c r="A1500" t="s">
        <v>1568</v>
      </c>
      <c r="B1500" t="s">
        <v>20</v>
      </c>
      <c r="C1500">
        <v>24</v>
      </c>
      <c r="D1500" t="s">
        <v>21</v>
      </c>
      <c r="E1500" t="s">
        <v>48</v>
      </c>
      <c r="F1500" t="s">
        <v>75</v>
      </c>
      <c r="G1500" t="s">
        <v>24</v>
      </c>
      <c r="H1500" t="s">
        <v>67</v>
      </c>
      <c r="I1500" t="s">
        <v>43</v>
      </c>
      <c r="J1500" t="s">
        <v>44</v>
      </c>
      <c r="K1500">
        <v>14</v>
      </c>
      <c r="L1500">
        <v>97218</v>
      </c>
      <c r="M1500" t="s">
        <v>28</v>
      </c>
      <c r="N1500">
        <v>2</v>
      </c>
      <c r="O1500">
        <v>2</v>
      </c>
      <c r="P1500">
        <v>33</v>
      </c>
      <c r="Q1500">
        <v>1</v>
      </c>
      <c r="R1500" s="1">
        <v>40113</v>
      </c>
      <c r="S1500" t="s">
        <v>29</v>
      </c>
      <c r="T1500" t="str">
        <f t="shared" si="115"/>
        <v>Grade A</v>
      </c>
      <c r="U1500">
        <f t="shared" si="116"/>
        <v>3</v>
      </c>
      <c r="V1500" t="str">
        <f t="shared" si="117"/>
        <v>Senior</v>
      </c>
      <c r="W1500" t="str">
        <f t="shared" si="118"/>
        <v>Medium Risk</v>
      </c>
      <c r="X1500" t="str">
        <f t="shared" si="119"/>
        <v>Competitive</v>
      </c>
    </row>
    <row r="1501" spans="1:24" x14ac:dyDescent="0.3">
      <c r="A1501" t="s">
        <v>1569</v>
      </c>
      <c r="B1501" t="s">
        <v>39</v>
      </c>
      <c r="C1501">
        <v>29</v>
      </c>
      <c r="D1501" t="s">
        <v>47</v>
      </c>
      <c r="E1501" t="s">
        <v>48</v>
      </c>
      <c r="F1501" t="s">
        <v>65</v>
      </c>
      <c r="G1501" t="s">
        <v>58</v>
      </c>
      <c r="H1501" t="s">
        <v>76</v>
      </c>
      <c r="I1501" t="s">
        <v>50</v>
      </c>
      <c r="J1501" t="s">
        <v>44</v>
      </c>
      <c r="K1501">
        <v>11</v>
      </c>
      <c r="L1501">
        <v>100132</v>
      </c>
      <c r="M1501" t="s">
        <v>28</v>
      </c>
      <c r="N1501">
        <v>3</v>
      </c>
      <c r="O1501">
        <v>2</v>
      </c>
      <c r="P1501">
        <v>38</v>
      </c>
      <c r="Q1501">
        <v>0</v>
      </c>
      <c r="R1501" s="1">
        <v>41254</v>
      </c>
      <c r="S1501" t="s">
        <v>29</v>
      </c>
      <c r="T1501" t="str">
        <f t="shared" si="115"/>
        <v>Grade A</v>
      </c>
      <c r="U1501">
        <f t="shared" si="116"/>
        <v>3</v>
      </c>
      <c r="V1501" t="str">
        <f t="shared" si="117"/>
        <v>Senior</v>
      </c>
      <c r="W1501" t="str">
        <f t="shared" si="118"/>
        <v>Medium Risk</v>
      </c>
      <c r="X1501" t="str">
        <f t="shared" si="119"/>
        <v>Competitive</v>
      </c>
    </row>
    <row r="1502" spans="1:24" x14ac:dyDescent="0.3">
      <c r="A1502" t="s">
        <v>1570</v>
      </c>
      <c r="B1502" t="s">
        <v>39</v>
      </c>
      <c r="C1502">
        <v>38</v>
      </c>
      <c r="D1502" t="s">
        <v>31</v>
      </c>
      <c r="E1502" t="s">
        <v>48</v>
      </c>
      <c r="F1502" t="s">
        <v>32</v>
      </c>
      <c r="G1502" t="s">
        <v>63</v>
      </c>
      <c r="H1502" t="s">
        <v>67</v>
      </c>
      <c r="I1502" t="s">
        <v>59</v>
      </c>
      <c r="J1502" t="s">
        <v>60</v>
      </c>
      <c r="K1502">
        <v>3</v>
      </c>
      <c r="L1502">
        <v>44825</v>
      </c>
      <c r="M1502" t="s">
        <v>45</v>
      </c>
      <c r="N1502">
        <v>3</v>
      </c>
      <c r="O1502">
        <v>3</v>
      </c>
      <c r="P1502">
        <v>26</v>
      </c>
      <c r="Q1502">
        <v>1</v>
      </c>
      <c r="R1502" s="1">
        <v>44116</v>
      </c>
      <c r="S1502" t="s">
        <v>29</v>
      </c>
      <c r="T1502" t="str">
        <f t="shared" si="115"/>
        <v>Grade C</v>
      </c>
      <c r="U1502">
        <f t="shared" si="116"/>
        <v>2</v>
      </c>
      <c r="V1502" t="str">
        <f t="shared" si="117"/>
        <v>Junior</v>
      </c>
      <c r="W1502" t="str">
        <f t="shared" si="118"/>
        <v>Medium Risk</v>
      </c>
      <c r="X1502" t="str">
        <f t="shared" si="119"/>
        <v>Fair</v>
      </c>
    </row>
    <row r="1503" spans="1:24" x14ac:dyDescent="0.3">
      <c r="A1503" t="s">
        <v>1571</v>
      </c>
      <c r="B1503" t="s">
        <v>39</v>
      </c>
      <c r="C1503">
        <v>38</v>
      </c>
      <c r="D1503" t="s">
        <v>88</v>
      </c>
      <c r="E1503" t="s">
        <v>40</v>
      </c>
      <c r="F1503" t="s">
        <v>53</v>
      </c>
      <c r="G1503" t="s">
        <v>42</v>
      </c>
      <c r="H1503" t="s">
        <v>34</v>
      </c>
      <c r="I1503" t="s">
        <v>80</v>
      </c>
      <c r="J1503" t="s">
        <v>60</v>
      </c>
      <c r="K1503">
        <v>5</v>
      </c>
      <c r="L1503">
        <v>114969</v>
      </c>
      <c r="M1503" t="s">
        <v>36</v>
      </c>
      <c r="N1503">
        <v>4</v>
      </c>
      <c r="O1503">
        <v>4</v>
      </c>
      <c r="P1503">
        <v>34</v>
      </c>
      <c r="Q1503">
        <v>2</v>
      </c>
      <c r="R1503" s="1">
        <v>43465</v>
      </c>
      <c r="S1503" t="s">
        <v>37</v>
      </c>
      <c r="T1503" t="str">
        <f t="shared" si="115"/>
        <v>Grade A</v>
      </c>
      <c r="U1503">
        <f t="shared" si="116"/>
        <v>1</v>
      </c>
      <c r="V1503" t="str">
        <f t="shared" si="117"/>
        <v>Junior</v>
      </c>
      <c r="W1503" t="str">
        <f t="shared" si="118"/>
        <v>Already Left</v>
      </c>
      <c r="X1503" t="str">
        <f t="shared" si="119"/>
        <v>Overpaid</v>
      </c>
    </row>
    <row r="1504" spans="1:24" x14ac:dyDescent="0.3">
      <c r="A1504" t="s">
        <v>1572</v>
      </c>
      <c r="B1504" t="s">
        <v>39</v>
      </c>
      <c r="C1504">
        <v>39</v>
      </c>
      <c r="D1504" t="s">
        <v>88</v>
      </c>
      <c r="E1504" t="s">
        <v>40</v>
      </c>
      <c r="F1504" t="s">
        <v>23</v>
      </c>
      <c r="G1504" t="s">
        <v>63</v>
      </c>
      <c r="H1504" t="s">
        <v>34</v>
      </c>
      <c r="I1504" t="s">
        <v>68</v>
      </c>
      <c r="J1504" t="s">
        <v>60</v>
      </c>
      <c r="K1504">
        <v>4</v>
      </c>
      <c r="L1504">
        <v>57870</v>
      </c>
      <c r="M1504" t="s">
        <v>45</v>
      </c>
      <c r="N1504">
        <v>3</v>
      </c>
      <c r="O1504">
        <v>2</v>
      </c>
      <c r="P1504">
        <v>70</v>
      </c>
      <c r="Q1504">
        <v>1</v>
      </c>
      <c r="R1504" s="1">
        <v>43512</v>
      </c>
      <c r="S1504" t="s">
        <v>29</v>
      </c>
      <c r="T1504" t="str">
        <f t="shared" si="115"/>
        <v>Grade B</v>
      </c>
      <c r="U1504">
        <f t="shared" si="116"/>
        <v>2</v>
      </c>
      <c r="V1504" t="str">
        <f t="shared" si="117"/>
        <v>Junior</v>
      </c>
      <c r="W1504" t="str">
        <f t="shared" si="118"/>
        <v>Medium Risk</v>
      </c>
      <c r="X1504" t="str">
        <f t="shared" si="119"/>
        <v>Fair</v>
      </c>
    </row>
    <row r="1505" spans="1:24" x14ac:dyDescent="0.3">
      <c r="A1505" t="s">
        <v>1573</v>
      </c>
      <c r="B1505" t="s">
        <v>20</v>
      </c>
      <c r="C1505">
        <v>26</v>
      </c>
      <c r="D1505" t="s">
        <v>31</v>
      </c>
      <c r="E1505" t="s">
        <v>48</v>
      </c>
      <c r="F1505" t="s">
        <v>75</v>
      </c>
      <c r="G1505" t="s">
        <v>24</v>
      </c>
      <c r="H1505" t="s">
        <v>83</v>
      </c>
      <c r="I1505" t="s">
        <v>72</v>
      </c>
      <c r="J1505" t="s">
        <v>73</v>
      </c>
      <c r="K1505">
        <v>12</v>
      </c>
      <c r="L1505">
        <v>101571</v>
      </c>
      <c r="M1505" t="s">
        <v>45</v>
      </c>
      <c r="N1505">
        <v>4</v>
      </c>
      <c r="O1505">
        <v>2</v>
      </c>
      <c r="P1505">
        <v>57</v>
      </c>
      <c r="Q1505">
        <v>1</v>
      </c>
      <c r="R1505" s="1">
        <v>40723</v>
      </c>
      <c r="S1505" t="s">
        <v>29</v>
      </c>
      <c r="T1505" t="str">
        <f t="shared" si="115"/>
        <v>Grade A</v>
      </c>
      <c r="U1505">
        <f t="shared" si="116"/>
        <v>2</v>
      </c>
      <c r="V1505" t="str">
        <f t="shared" si="117"/>
        <v>Senior</v>
      </c>
      <c r="W1505" t="str">
        <f t="shared" si="118"/>
        <v>Medium Risk</v>
      </c>
      <c r="X1505" t="str">
        <f t="shared" si="119"/>
        <v>Fair</v>
      </c>
    </row>
    <row r="1506" spans="1:24" x14ac:dyDescent="0.3">
      <c r="A1506" t="s">
        <v>1574</v>
      </c>
      <c r="B1506" t="s">
        <v>39</v>
      </c>
      <c r="C1506">
        <v>37</v>
      </c>
      <c r="D1506" t="s">
        <v>57</v>
      </c>
      <c r="E1506" t="s">
        <v>40</v>
      </c>
      <c r="F1506" t="s">
        <v>23</v>
      </c>
      <c r="G1506" t="s">
        <v>42</v>
      </c>
      <c r="H1506" t="s">
        <v>34</v>
      </c>
      <c r="I1506" t="s">
        <v>35</v>
      </c>
      <c r="J1506" t="s">
        <v>27</v>
      </c>
      <c r="K1506">
        <v>7</v>
      </c>
      <c r="L1506">
        <v>102448</v>
      </c>
      <c r="M1506" t="s">
        <v>36</v>
      </c>
      <c r="N1506">
        <v>3</v>
      </c>
      <c r="O1506">
        <v>2</v>
      </c>
      <c r="P1506">
        <v>46</v>
      </c>
      <c r="Q1506">
        <v>3</v>
      </c>
      <c r="R1506" s="1">
        <v>42548</v>
      </c>
      <c r="S1506" t="s">
        <v>37</v>
      </c>
      <c r="T1506" t="str">
        <f t="shared" si="115"/>
        <v>Grade A</v>
      </c>
      <c r="U1506">
        <f t="shared" si="116"/>
        <v>1</v>
      </c>
      <c r="V1506" t="str">
        <f t="shared" si="117"/>
        <v>Mid Level</v>
      </c>
      <c r="W1506" t="str">
        <f t="shared" si="118"/>
        <v>Already Left</v>
      </c>
      <c r="X1506" t="str">
        <f t="shared" si="119"/>
        <v>Overpaid</v>
      </c>
    </row>
    <row r="1507" spans="1:24" x14ac:dyDescent="0.3">
      <c r="A1507" t="s">
        <v>1575</v>
      </c>
      <c r="B1507" t="s">
        <v>20</v>
      </c>
      <c r="C1507">
        <v>30</v>
      </c>
      <c r="D1507" t="s">
        <v>88</v>
      </c>
      <c r="E1507" t="s">
        <v>40</v>
      </c>
      <c r="F1507" t="s">
        <v>75</v>
      </c>
      <c r="G1507" t="s">
        <v>49</v>
      </c>
      <c r="H1507" t="s">
        <v>76</v>
      </c>
      <c r="I1507" t="s">
        <v>80</v>
      </c>
      <c r="J1507" t="s">
        <v>60</v>
      </c>
      <c r="K1507">
        <v>11</v>
      </c>
      <c r="L1507">
        <v>73077</v>
      </c>
      <c r="M1507" t="s">
        <v>45</v>
      </c>
      <c r="N1507">
        <v>3</v>
      </c>
      <c r="O1507">
        <v>2</v>
      </c>
      <c r="P1507">
        <v>29</v>
      </c>
      <c r="Q1507">
        <v>2</v>
      </c>
      <c r="R1507" s="1">
        <v>40990</v>
      </c>
      <c r="S1507" t="s">
        <v>29</v>
      </c>
      <c r="T1507" t="str">
        <f t="shared" si="115"/>
        <v>Grade B</v>
      </c>
      <c r="U1507">
        <f t="shared" si="116"/>
        <v>2</v>
      </c>
      <c r="V1507" t="str">
        <f t="shared" si="117"/>
        <v>Senior</v>
      </c>
      <c r="W1507" t="str">
        <f t="shared" si="118"/>
        <v>Medium Risk</v>
      </c>
      <c r="X1507" t="str">
        <f t="shared" si="119"/>
        <v>Fair</v>
      </c>
    </row>
    <row r="1508" spans="1:24" x14ac:dyDescent="0.3">
      <c r="A1508" t="s">
        <v>1576</v>
      </c>
      <c r="B1508" t="s">
        <v>39</v>
      </c>
      <c r="C1508">
        <v>51</v>
      </c>
      <c r="D1508" t="s">
        <v>57</v>
      </c>
      <c r="E1508" t="s">
        <v>22</v>
      </c>
      <c r="F1508" t="s">
        <v>75</v>
      </c>
      <c r="G1508" t="s">
        <v>79</v>
      </c>
      <c r="H1508" t="s">
        <v>76</v>
      </c>
      <c r="I1508" t="s">
        <v>59</v>
      </c>
      <c r="J1508" t="s">
        <v>60</v>
      </c>
      <c r="K1508">
        <v>5</v>
      </c>
      <c r="L1508">
        <v>51100</v>
      </c>
      <c r="M1508" t="s">
        <v>28</v>
      </c>
      <c r="N1508">
        <v>2</v>
      </c>
      <c r="O1508">
        <v>3</v>
      </c>
      <c r="P1508">
        <v>44</v>
      </c>
      <c r="Q1508">
        <v>1</v>
      </c>
      <c r="R1508" s="1">
        <v>43426</v>
      </c>
      <c r="S1508" t="s">
        <v>29</v>
      </c>
      <c r="T1508" t="str">
        <f t="shared" si="115"/>
        <v>Grade B</v>
      </c>
      <c r="U1508">
        <f t="shared" si="116"/>
        <v>3</v>
      </c>
      <c r="V1508" t="str">
        <f t="shared" si="117"/>
        <v>Junior</v>
      </c>
      <c r="W1508" t="str">
        <f t="shared" si="118"/>
        <v>Medium Risk</v>
      </c>
      <c r="X1508" t="str">
        <f t="shared" si="119"/>
        <v>Competitive</v>
      </c>
    </row>
    <row r="1509" spans="1:24" x14ac:dyDescent="0.3">
      <c r="A1509" t="s">
        <v>1577</v>
      </c>
      <c r="B1509" t="s">
        <v>20</v>
      </c>
      <c r="C1509">
        <v>28</v>
      </c>
      <c r="D1509" t="s">
        <v>57</v>
      </c>
      <c r="E1509" t="s">
        <v>40</v>
      </c>
      <c r="F1509" t="s">
        <v>75</v>
      </c>
      <c r="G1509" t="s">
        <v>63</v>
      </c>
      <c r="H1509" t="s">
        <v>34</v>
      </c>
      <c r="I1509" t="s">
        <v>80</v>
      </c>
      <c r="J1509" t="s">
        <v>60</v>
      </c>
      <c r="K1509">
        <v>9</v>
      </c>
      <c r="L1509">
        <v>61072</v>
      </c>
      <c r="M1509" t="s">
        <v>45</v>
      </c>
      <c r="N1509">
        <v>2</v>
      </c>
      <c r="O1509">
        <v>3</v>
      </c>
      <c r="P1509">
        <v>70</v>
      </c>
      <c r="Q1509">
        <v>1</v>
      </c>
      <c r="R1509" s="1">
        <v>41994</v>
      </c>
      <c r="S1509" t="s">
        <v>29</v>
      </c>
      <c r="T1509" t="str">
        <f t="shared" si="115"/>
        <v>Grade B</v>
      </c>
      <c r="U1509">
        <f t="shared" si="116"/>
        <v>2</v>
      </c>
      <c r="V1509" t="str">
        <f t="shared" si="117"/>
        <v>Mid Level</v>
      </c>
      <c r="W1509" t="str">
        <f t="shared" si="118"/>
        <v>Medium Risk</v>
      </c>
      <c r="X1509" t="str">
        <f t="shared" si="119"/>
        <v>Fair</v>
      </c>
    </row>
    <row r="1510" spans="1:24" x14ac:dyDescent="0.3">
      <c r="A1510" t="s">
        <v>1578</v>
      </c>
      <c r="B1510" t="s">
        <v>20</v>
      </c>
      <c r="C1510">
        <v>54</v>
      </c>
      <c r="D1510" t="s">
        <v>47</v>
      </c>
      <c r="E1510" t="s">
        <v>40</v>
      </c>
      <c r="F1510" t="s">
        <v>41</v>
      </c>
      <c r="G1510" t="s">
        <v>49</v>
      </c>
      <c r="H1510" t="s">
        <v>76</v>
      </c>
      <c r="I1510" t="s">
        <v>54</v>
      </c>
      <c r="J1510" t="s">
        <v>27</v>
      </c>
      <c r="K1510">
        <v>6</v>
      </c>
      <c r="L1510">
        <v>68387</v>
      </c>
      <c r="M1510" t="s">
        <v>51</v>
      </c>
      <c r="N1510">
        <v>4</v>
      </c>
      <c r="O1510">
        <v>1</v>
      </c>
      <c r="P1510">
        <v>13</v>
      </c>
      <c r="Q1510">
        <v>1</v>
      </c>
      <c r="R1510" s="1">
        <v>43051</v>
      </c>
      <c r="S1510" t="s">
        <v>37</v>
      </c>
      <c r="T1510" t="str">
        <f t="shared" si="115"/>
        <v>Grade B</v>
      </c>
      <c r="U1510">
        <f t="shared" si="116"/>
        <v>4</v>
      </c>
      <c r="V1510" t="str">
        <f t="shared" si="117"/>
        <v>Mid Level</v>
      </c>
      <c r="W1510" t="str">
        <f t="shared" si="118"/>
        <v>Already Left</v>
      </c>
      <c r="X1510" t="str">
        <f t="shared" si="119"/>
        <v>Fair</v>
      </c>
    </row>
    <row r="1511" spans="1:24" x14ac:dyDescent="0.3">
      <c r="A1511" t="s">
        <v>1579</v>
      </c>
      <c r="B1511" t="s">
        <v>39</v>
      </c>
      <c r="C1511">
        <v>28</v>
      </c>
      <c r="D1511" t="s">
        <v>31</v>
      </c>
      <c r="E1511" t="s">
        <v>40</v>
      </c>
      <c r="F1511" t="s">
        <v>78</v>
      </c>
      <c r="G1511" t="s">
        <v>63</v>
      </c>
      <c r="H1511" t="s">
        <v>67</v>
      </c>
      <c r="I1511" t="s">
        <v>50</v>
      </c>
      <c r="J1511" t="s">
        <v>44</v>
      </c>
      <c r="K1511">
        <v>3</v>
      </c>
      <c r="L1511">
        <v>42931</v>
      </c>
      <c r="M1511" t="s">
        <v>36</v>
      </c>
      <c r="N1511">
        <v>4</v>
      </c>
      <c r="O1511">
        <v>4</v>
      </c>
      <c r="P1511">
        <v>80</v>
      </c>
      <c r="Q1511">
        <v>0</v>
      </c>
      <c r="R1511" s="1">
        <v>44112</v>
      </c>
      <c r="S1511" t="s">
        <v>29</v>
      </c>
      <c r="T1511" t="str">
        <f t="shared" si="115"/>
        <v>Grade C</v>
      </c>
      <c r="U1511">
        <f t="shared" si="116"/>
        <v>1</v>
      </c>
      <c r="V1511" t="str">
        <f t="shared" si="117"/>
        <v>Junior</v>
      </c>
      <c r="W1511" t="str">
        <f t="shared" si="118"/>
        <v>Medium Risk</v>
      </c>
      <c r="X1511" t="str">
        <f t="shared" si="119"/>
        <v>Fair</v>
      </c>
    </row>
    <row r="1512" spans="1:24" x14ac:dyDescent="0.3">
      <c r="A1512" t="s">
        <v>1580</v>
      </c>
      <c r="B1512" t="s">
        <v>20</v>
      </c>
      <c r="C1512">
        <v>47</v>
      </c>
      <c r="D1512" t="s">
        <v>47</v>
      </c>
      <c r="E1512" t="s">
        <v>40</v>
      </c>
      <c r="F1512" t="s">
        <v>53</v>
      </c>
      <c r="G1512" t="s">
        <v>49</v>
      </c>
      <c r="H1512" t="s">
        <v>76</v>
      </c>
      <c r="I1512" t="s">
        <v>35</v>
      </c>
      <c r="J1512" t="s">
        <v>27</v>
      </c>
      <c r="K1512">
        <v>10</v>
      </c>
      <c r="L1512">
        <v>63860</v>
      </c>
      <c r="M1512" t="s">
        <v>45</v>
      </c>
      <c r="N1512">
        <v>3</v>
      </c>
      <c r="O1512">
        <v>4</v>
      </c>
      <c r="P1512">
        <v>60</v>
      </c>
      <c r="Q1512">
        <v>1</v>
      </c>
      <c r="R1512" s="1">
        <v>41580</v>
      </c>
      <c r="S1512" t="s">
        <v>29</v>
      </c>
      <c r="T1512" t="str">
        <f t="shared" si="115"/>
        <v>Grade B</v>
      </c>
      <c r="U1512">
        <f t="shared" si="116"/>
        <v>2</v>
      </c>
      <c r="V1512" t="str">
        <f t="shared" si="117"/>
        <v>Mid Level</v>
      </c>
      <c r="W1512" t="str">
        <f t="shared" si="118"/>
        <v>Medium Risk</v>
      </c>
      <c r="X1512" t="str">
        <f t="shared" si="119"/>
        <v>Fair</v>
      </c>
    </row>
    <row r="1513" spans="1:24" x14ac:dyDescent="0.3">
      <c r="A1513" t="s">
        <v>1581</v>
      </c>
      <c r="B1513" t="s">
        <v>39</v>
      </c>
      <c r="C1513">
        <v>28</v>
      </c>
      <c r="D1513" t="s">
        <v>57</v>
      </c>
      <c r="E1513" t="s">
        <v>22</v>
      </c>
      <c r="F1513" t="s">
        <v>62</v>
      </c>
      <c r="G1513" t="s">
        <v>42</v>
      </c>
      <c r="H1513" t="s">
        <v>67</v>
      </c>
      <c r="I1513" t="s">
        <v>72</v>
      </c>
      <c r="J1513" t="s">
        <v>73</v>
      </c>
      <c r="K1513">
        <v>7</v>
      </c>
      <c r="L1513">
        <v>110287</v>
      </c>
      <c r="M1513" t="s">
        <v>28</v>
      </c>
      <c r="N1513">
        <v>3</v>
      </c>
      <c r="O1513">
        <v>1</v>
      </c>
      <c r="P1513">
        <v>37</v>
      </c>
      <c r="Q1513">
        <v>3</v>
      </c>
      <c r="R1513" s="1">
        <v>42632</v>
      </c>
      <c r="S1513" t="s">
        <v>29</v>
      </c>
      <c r="T1513" t="str">
        <f t="shared" si="115"/>
        <v>Grade A</v>
      </c>
      <c r="U1513">
        <f t="shared" si="116"/>
        <v>3</v>
      </c>
      <c r="V1513" t="str">
        <f t="shared" si="117"/>
        <v>Mid Level</v>
      </c>
      <c r="W1513" t="str">
        <f t="shared" si="118"/>
        <v>Medium Risk</v>
      </c>
      <c r="X1513" t="str">
        <f t="shared" si="119"/>
        <v>Competitive</v>
      </c>
    </row>
    <row r="1514" spans="1:24" x14ac:dyDescent="0.3">
      <c r="A1514" t="s">
        <v>1582</v>
      </c>
      <c r="B1514" t="s">
        <v>20</v>
      </c>
      <c r="C1514">
        <v>40</v>
      </c>
      <c r="D1514" t="s">
        <v>88</v>
      </c>
      <c r="E1514" t="s">
        <v>48</v>
      </c>
      <c r="F1514" t="s">
        <v>62</v>
      </c>
      <c r="G1514" t="s">
        <v>79</v>
      </c>
      <c r="H1514" t="s">
        <v>34</v>
      </c>
      <c r="I1514" t="s">
        <v>54</v>
      </c>
      <c r="J1514" t="s">
        <v>27</v>
      </c>
      <c r="K1514">
        <v>11</v>
      </c>
      <c r="L1514">
        <v>57948</v>
      </c>
      <c r="M1514" t="s">
        <v>51</v>
      </c>
      <c r="N1514">
        <v>1</v>
      </c>
      <c r="O1514">
        <v>4</v>
      </c>
      <c r="P1514">
        <v>67</v>
      </c>
      <c r="Q1514">
        <v>0</v>
      </c>
      <c r="R1514" s="1">
        <v>40918</v>
      </c>
      <c r="S1514" t="s">
        <v>29</v>
      </c>
      <c r="T1514" t="str">
        <f t="shared" si="115"/>
        <v>Grade B</v>
      </c>
      <c r="U1514">
        <f t="shared" si="116"/>
        <v>4</v>
      </c>
      <c r="V1514" t="str">
        <f t="shared" si="117"/>
        <v>Senior</v>
      </c>
      <c r="W1514" t="str">
        <f t="shared" si="118"/>
        <v>Low Risk</v>
      </c>
      <c r="X1514" t="str">
        <f t="shared" si="119"/>
        <v>Fair</v>
      </c>
    </row>
    <row r="1515" spans="1:24" x14ac:dyDescent="0.3">
      <c r="A1515" t="s">
        <v>1583</v>
      </c>
      <c r="B1515" t="s">
        <v>39</v>
      </c>
      <c r="C1515">
        <v>32</v>
      </c>
      <c r="D1515" t="s">
        <v>31</v>
      </c>
      <c r="E1515" t="s">
        <v>40</v>
      </c>
      <c r="F1515" t="s">
        <v>32</v>
      </c>
      <c r="G1515" t="s">
        <v>79</v>
      </c>
      <c r="H1515" t="s">
        <v>67</v>
      </c>
      <c r="I1515" t="s">
        <v>43</v>
      </c>
      <c r="J1515" t="s">
        <v>44</v>
      </c>
      <c r="K1515">
        <v>4</v>
      </c>
      <c r="L1515">
        <v>39076</v>
      </c>
      <c r="M1515" t="s">
        <v>45</v>
      </c>
      <c r="N1515">
        <v>1</v>
      </c>
      <c r="O1515">
        <v>1</v>
      </c>
      <c r="P1515">
        <v>61</v>
      </c>
      <c r="Q1515">
        <v>1</v>
      </c>
      <c r="R1515" s="1">
        <v>43633</v>
      </c>
      <c r="S1515" t="s">
        <v>37</v>
      </c>
      <c r="T1515" t="str">
        <f t="shared" si="115"/>
        <v>Grade C</v>
      </c>
      <c r="U1515">
        <f t="shared" si="116"/>
        <v>2</v>
      </c>
      <c r="V1515" t="str">
        <f t="shared" si="117"/>
        <v>Junior</v>
      </c>
      <c r="W1515" t="str">
        <f t="shared" si="118"/>
        <v>Already Left</v>
      </c>
      <c r="X1515" t="str">
        <f t="shared" si="119"/>
        <v>Fair</v>
      </c>
    </row>
    <row r="1516" spans="1:24" x14ac:dyDescent="0.3">
      <c r="A1516" t="s">
        <v>1584</v>
      </c>
      <c r="B1516" t="s">
        <v>20</v>
      </c>
      <c r="C1516">
        <v>39</v>
      </c>
      <c r="D1516" t="s">
        <v>47</v>
      </c>
      <c r="E1516" t="s">
        <v>48</v>
      </c>
      <c r="F1516" t="s">
        <v>62</v>
      </c>
      <c r="G1516" t="s">
        <v>79</v>
      </c>
      <c r="H1516" t="s">
        <v>34</v>
      </c>
      <c r="I1516" t="s">
        <v>54</v>
      </c>
      <c r="J1516" t="s">
        <v>27</v>
      </c>
      <c r="K1516">
        <v>13</v>
      </c>
      <c r="L1516">
        <v>62379</v>
      </c>
      <c r="M1516" t="s">
        <v>51</v>
      </c>
      <c r="N1516">
        <v>4</v>
      </c>
      <c r="O1516">
        <v>4</v>
      </c>
      <c r="P1516">
        <v>36</v>
      </c>
      <c r="Q1516">
        <v>2</v>
      </c>
      <c r="R1516" s="1">
        <v>40429</v>
      </c>
      <c r="S1516" t="s">
        <v>29</v>
      </c>
      <c r="T1516" t="str">
        <f t="shared" si="115"/>
        <v>Grade B</v>
      </c>
      <c r="U1516">
        <f t="shared" si="116"/>
        <v>4</v>
      </c>
      <c r="V1516" t="str">
        <f t="shared" si="117"/>
        <v>Senior</v>
      </c>
      <c r="W1516" t="str">
        <f t="shared" si="118"/>
        <v>Low Risk</v>
      </c>
      <c r="X1516" t="str">
        <f t="shared" si="119"/>
        <v>Fair</v>
      </c>
    </row>
    <row r="1517" spans="1:24" x14ac:dyDescent="0.3">
      <c r="A1517" t="s">
        <v>1585</v>
      </c>
      <c r="B1517" t="s">
        <v>20</v>
      </c>
      <c r="C1517">
        <v>53</v>
      </c>
      <c r="D1517" t="s">
        <v>88</v>
      </c>
      <c r="E1517" t="s">
        <v>22</v>
      </c>
      <c r="F1517" t="s">
        <v>41</v>
      </c>
      <c r="G1517" t="s">
        <v>42</v>
      </c>
      <c r="H1517" t="s">
        <v>25</v>
      </c>
      <c r="I1517" t="s">
        <v>35</v>
      </c>
      <c r="J1517" t="s">
        <v>27</v>
      </c>
      <c r="K1517">
        <v>14</v>
      </c>
      <c r="L1517">
        <v>115903</v>
      </c>
      <c r="M1517" t="s">
        <v>51</v>
      </c>
      <c r="N1517">
        <v>1</v>
      </c>
      <c r="O1517">
        <v>1</v>
      </c>
      <c r="P1517">
        <v>42</v>
      </c>
      <c r="Q1517">
        <v>0</v>
      </c>
      <c r="R1517" s="1">
        <v>40146</v>
      </c>
      <c r="S1517" t="s">
        <v>37</v>
      </c>
      <c r="T1517" t="str">
        <f t="shared" si="115"/>
        <v>Grade A</v>
      </c>
      <c r="U1517">
        <f t="shared" si="116"/>
        <v>4</v>
      </c>
      <c r="V1517" t="str">
        <f t="shared" si="117"/>
        <v>Senior</v>
      </c>
      <c r="W1517" t="str">
        <f t="shared" si="118"/>
        <v>Already Left</v>
      </c>
      <c r="X1517" t="str">
        <f t="shared" si="119"/>
        <v>Competitive</v>
      </c>
    </row>
    <row r="1518" spans="1:24" x14ac:dyDescent="0.3">
      <c r="A1518" t="s">
        <v>1586</v>
      </c>
      <c r="B1518" t="s">
        <v>39</v>
      </c>
      <c r="C1518">
        <v>24</v>
      </c>
      <c r="D1518" t="s">
        <v>47</v>
      </c>
      <c r="E1518" t="s">
        <v>40</v>
      </c>
      <c r="F1518" t="s">
        <v>75</v>
      </c>
      <c r="G1518" t="s">
        <v>79</v>
      </c>
      <c r="H1518" t="s">
        <v>83</v>
      </c>
      <c r="I1518" t="s">
        <v>26</v>
      </c>
      <c r="J1518" t="s">
        <v>27</v>
      </c>
      <c r="K1518">
        <v>10</v>
      </c>
      <c r="L1518">
        <v>50816</v>
      </c>
      <c r="M1518" t="s">
        <v>45</v>
      </c>
      <c r="N1518">
        <v>4</v>
      </c>
      <c r="O1518">
        <v>4</v>
      </c>
      <c r="P1518">
        <v>25</v>
      </c>
      <c r="Q1518">
        <v>3</v>
      </c>
      <c r="R1518" s="1">
        <v>41483</v>
      </c>
      <c r="S1518" t="s">
        <v>37</v>
      </c>
      <c r="T1518" t="str">
        <f t="shared" si="115"/>
        <v>Grade B</v>
      </c>
      <c r="U1518">
        <f t="shared" si="116"/>
        <v>2</v>
      </c>
      <c r="V1518" t="str">
        <f t="shared" si="117"/>
        <v>Mid Level</v>
      </c>
      <c r="W1518" t="str">
        <f t="shared" si="118"/>
        <v>Already Left</v>
      </c>
      <c r="X1518" t="str">
        <f t="shared" si="119"/>
        <v>Fair</v>
      </c>
    </row>
    <row r="1519" spans="1:24" x14ac:dyDescent="0.3">
      <c r="A1519" t="s">
        <v>1587</v>
      </c>
      <c r="B1519" t="s">
        <v>20</v>
      </c>
      <c r="C1519">
        <v>54</v>
      </c>
      <c r="D1519" t="s">
        <v>31</v>
      </c>
      <c r="E1519" t="s">
        <v>48</v>
      </c>
      <c r="F1519" t="s">
        <v>23</v>
      </c>
      <c r="G1519" t="s">
        <v>42</v>
      </c>
      <c r="H1519" t="s">
        <v>83</v>
      </c>
      <c r="I1519" t="s">
        <v>35</v>
      </c>
      <c r="J1519" t="s">
        <v>27</v>
      </c>
      <c r="K1519">
        <v>4</v>
      </c>
      <c r="L1519">
        <v>97731</v>
      </c>
      <c r="M1519" t="s">
        <v>51</v>
      </c>
      <c r="N1519">
        <v>3</v>
      </c>
      <c r="O1519">
        <v>2</v>
      </c>
      <c r="P1519">
        <v>17</v>
      </c>
      <c r="Q1519">
        <v>1</v>
      </c>
      <c r="R1519" s="1">
        <v>43730</v>
      </c>
      <c r="S1519" t="s">
        <v>37</v>
      </c>
      <c r="T1519" t="str">
        <f t="shared" si="115"/>
        <v>Grade A</v>
      </c>
      <c r="U1519">
        <f t="shared" si="116"/>
        <v>4</v>
      </c>
      <c r="V1519" t="str">
        <f t="shared" si="117"/>
        <v>Junior</v>
      </c>
      <c r="W1519" t="str">
        <f t="shared" si="118"/>
        <v>Already Left</v>
      </c>
      <c r="X1519" t="str">
        <f t="shared" si="119"/>
        <v>Competitive</v>
      </c>
    </row>
    <row r="1520" spans="1:24" x14ac:dyDescent="0.3">
      <c r="A1520" t="s">
        <v>1588</v>
      </c>
      <c r="B1520" t="s">
        <v>39</v>
      </c>
      <c r="C1520">
        <v>35</v>
      </c>
      <c r="D1520" t="s">
        <v>88</v>
      </c>
      <c r="E1520" t="s">
        <v>48</v>
      </c>
      <c r="F1520" t="s">
        <v>32</v>
      </c>
      <c r="G1520" t="s">
        <v>33</v>
      </c>
      <c r="H1520" t="s">
        <v>83</v>
      </c>
      <c r="I1520" t="s">
        <v>72</v>
      </c>
      <c r="J1520" t="s">
        <v>73</v>
      </c>
      <c r="K1520">
        <v>1</v>
      </c>
      <c r="L1520">
        <v>70529</v>
      </c>
      <c r="M1520" t="s">
        <v>36</v>
      </c>
      <c r="N1520">
        <v>1</v>
      </c>
      <c r="O1520">
        <v>1</v>
      </c>
      <c r="P1520">
        <v>51</v>
      </c>
      <c r="Q1520">
        <v>3</v>
      </c>
      <c r="R1520" s="1">
        <v>44625</v>
      </c>
      <c r="S1520" t="s">
        <v>37</v>
      </c>
      <c r="T1520" t="str">
        <f t="shared" si="115"/>
        <v>Grade B</v>
      </c>
      <c r="U1520">
        <f t="shared" si="116"/>
        <v>1</v>
      </c>
      <c r="V1520" t="str">
        <f t="shared" si="117"/>
        <v>New Joiner</v>
      </c>
      <c r="W1520" t="str">
        <f t="shared" si="118"/>
        <v>Already Left</v>
      </c>
      <c r="X1520" t="str">
        <f t="shared" si="119"/>
        <v>Fair</v>
      </c>
    </row>
    <row r="1521" spans="1:24" x14ac:dyDescent="0.3">
      <c r="A1521" t="s">
        <v>1589</v>
      </c>
      <c r="B1521" t="s">
        <v>20</v>
      </c>
      <c r="C1521">
        <v>23</v>
      </c>
      <c r="D1521" t="s">
        <v>47</v>
      </c>
      <c r="E1521" t="s">
        <v>48</v>
      </c>
      <c r="F1521" t="s">
        <v>41</v>
      </c>
      <c r="G1521" t="s">
        <v>24</v>
      </c>
      <c r="H1521" t="s">
        <v>76</v>
      </c>
      <c r="I1521" t="s">
        <v>26</v>
      </c>
      <c r="J1521" t="s">
        <v>27</v>
      </c>
      <c r="K1521">
        <v>4</v>
      </c>
      <c r="L1521">
        <v>76203</v>
      </c>
      <c r="M1521" t="s">
        <v>51</v>
      </c>
      <c r="N1521">
        <v>4</v>
      </c>
      <c r="O1521">
        <v>1</v>
      </c>
      <c r="P1521">
        <v>30</v>
      </c>
      <c r="Q1521">
        <v>0</v>
      </c>
      <c r="R1521" s="1">
        <v>43483</v>
      </c>
      <c r="S1521" t="s">
        <v>29</v>
      </c>
      <c r="T1521" t="str">
        <f t="shared" si="115"/>
        <v>Grade B</v>
      </c>
      <c r="U1521">
        <f t="shared" si="116"/>
        <v>4</v>
      </c>
      <c r="V1521" t="str">
        <f t="shared" si="117"/>
        <v>Junior</v>
      </c>
      <c r="W1521" t="str">
        <f t="shared" si="118"/>
        <v>Low Risk</v>
      </c>
      <c r="X1521" t="str">
        <f t="shared" si="119"/>
        <v>Fair</v>
      </c>
    </row>
    <row r="1522" spans="1:24" x14ac:dyDescent="0.3">
      <c r="A1522" t="s">
        <v>1590</v>
      </c>
      <c r="B1522" t="s">
        <v>20</v>
      </c>
      <c r="C1522">
        <v>26</v>
      </c>
      <c r="D1522" t="s">
        <v>88</v>
      </c>
      <c r="E1522" t="s">
        <v>22</v>
      </c>
      <c r="F1522" t="s">
        <v>41</v>
      </c>
      <c r="G1522" t="s">
        <v>33</v>
      </c>
      <c r="H1522" t="s">
        <v>83</v>
      </c>
      <c r="I1522" t="s">
        <v>80</v>
      </c>
      <c r="J1522" t="s">
        <v>60</v>
      </c>
      <c r="K1522">
        <v>14</v>
      </c>
      <c r="L1522">
        <v>87800</v>
      </c>
      <c r="M1522" t="s">
        <v>28</v>
      </c>
      <c r="N1522">
        <v>4</v>
      </c>
      <c r="O1522">
        <v>4</v>
      </c>
      <c r="P1522">
        <v>75</v>
      </c>
      <c r="Q1522">
        <v>2</v>
      </c>
      <c r="R1522" s="1">
        <v>40113</v>
      </c>
      <c r="S1522" t="s">
        <v>29</v>
      </c>
      <c r="T1522" t="str">
        <f t="shared" si="115"/>
        <v>Grade A</v>
      </c>
      <c r="U1522">
        <f t="shared" si="116"/>
        <v>3</v>
      </c>
      <c r="V1522" t="str">
        <f t="shared" si="117"/>
        <v>Senior</v>
      </c>
      <c r="W1522" t="str">
        <f t="shared" si="118"/>
        <v>Medium Risk</v>
      </c>
      <c r="X1522" t="str">
        <f t="shared" si="119"/>
        <v>Competitive</v>
      </c>
    </row>
    <row r="1523" spans="1:24" x14ac:dyDescent="0.3">
      <c r="A1523" t="s">
        <v>1591</v>
      </c>
      <c r="B1523" t="s">
        <v>20</v>
      </c>
      <c r="C1523">
        <v>41</v>
      </c>
      <c r="D1523" t="s">
        <v>88</v>
      </c>
      <c r="E1523" t="s">
        <v>22</v>
      </c>
      <c r="F1523" t="s">
        <v>75</v>
      </c>
      <c r="G1523" t="s">
        <v>79</v>
      </c>
      <c r="H1523" t="s">
        <v>25</v>
      </c>
      <c r="I1523" t="s">
        <v>96</v>
      </c>
      <c r="J1523" t="s">
        <v>44</v>
      </c>
      <c r="K1523">
        <v>4</v>
      </c>
      <c r="L1523">
        <v>45826</v>
      </c>
      <c r="M1523" t="s">
        <v>36</v>
      </c>
      <c r="N1523">
        <v>4</v>
      </c>
      <c r="O1523">
        <v>1</v>
      </c>
      <c r="P1523">
        <v>46</v>
      </c>
      <c r="Q1523">
        <v>1</v>
      </c>
      <c r="R1523" s="1">
        <v>43813</v>
      </c>
      <c r="S1523" t="s">
        <v>37</v>
      </c>
      <c r="T1523" t="str">
        <f t="shared" si="115"/>
        <v>Grade C</v>
      </c>
      <c r="U1523">
        <f t="shared" si="116"/>
        <v>1</v>
      </c>
      <c r="V1523" t="str">
        <f t="shared" si="117"/>
        <v>Junior</v>
      </c>
      <c r="W1523" t="str">
        <f t="shared" si="118"/>
        <v>Already Left</v>
      </c>
      <c r="X1523" t="str">
        <f t="shared" si="119"/>
        <v>Fair</v>
      </c>
    </row>
    <row r="1524" spans="1:24" x14ac:dyDescent="0.3">
      <c r="A1524" t="s">
        <v>1592</v>
      </c>
      <c r="B1524" t="s">
        <v>20</v>
      </c>
      <c r="C1524">
        <v>35</v>
      </c>
      <c r="D1524" t="s">
        <v>31</v>
      </c>
      <c r="E1524" t="s">
        <v>22</v>
      </c>
      <c r="F1524" t="s">
        <v>53</v>
      </c>
      <c r="G1524" t="s">
        <v>58</v>
      </c>
      <c r="H1524" t="s">
        <v>83</v>
      </c>
      <c r="I1524" t="s">
        <v>59</v>
      </c>
      <c r="J1524" t="s">
        <v>60</v>
      </c>
      <c r="K1524">
        <v>5</v>
      </c>
      <c r="L1524">
        <v>87494</v>
      </c>
      <c r="M1524" t="s">
        <v>45</v>
      </c>
      <c r="N1524">
        <v>4</v>
      </c>
      <c r="O1524">
        <v>4</v>
      </c>
      <c r="P1524">
        <v>33</v>
      </c>
      <c r="Q1524">
        <v>3</v>
      </c>
      <c r="R1524" s="1">
        <v>43425</v>
      </c>
      <c r="S1524" t="s">
        <v>29</v>
      </c>
      <c r="T1524" t="str">
        <f t="shared" si="115"/>
        <v>Grade A</v>
      </c>
      <c r="U1524">
        <f t="shared" si="116"/>
        <v>2</v>
      </c>
      <c r="V1524" t="str">
        <f t="shared" si="117"/>
        <v>Junior</v>
      </c>
      <c r="W1524" t="str">
        <f t="shared" si="118"/>
        <v>Medium Risk</v>
      </c>
      <c r="X1524" t="str">
        <f t="shared" si="119"/>
        <v>Fair</v>
      </c>
    </row>
    <row r="1525" spans="1:24" x14ac:dyDescent="0.3">
      <c r="A1525" t="s">
        <v>1593</v>
      </c>
      <c r="B1525" t="s">
        <v>39</v>
      </c>
      <c r="C1525">
        <v>53</v>
      </c>
      <c r="D1525" t="s">
        <v>31</v>
      </c>
      <c r="E1525" t="s">
        <v>22</v>
      </c>
      <c r="F1525" t="s">
        <v>75</v>
      </c>
      <c r="G1525" t="s">
        <v>66</v>
      </c>
      <c r="H1525" t="s">
        <v>34</v>
      </c>
      <c r="I1525" t="s">
        <v>26</v>
      </c>
      <c r="J1525" t="s">
        <v>27</v>
      </c>
      <c r="K1525">
        <v>14</v>
      </c>
      <c r="L1525">
        <v>64047</v>
      </c>
      <c r="M1525" t="s">
        <v>45</v>
      </c>
      <c r="N1525">
        <v>1</v>
      </c>
      <c r="O1525">
        <v>2</v>
      </c>
      <c r="P1525">
        <v>56</v>
      </c>
      <c r="Q1525">
        <v>2</v>
      </c>
      <c r="R1525" s="1">
        <v>40017</v>
      </c>
      <c r="S1525" t="s">
        <v>29</v>
      </c>
      <c r="T1525" t="str">
        <f t="shared" si="115"/>
        <v>Grade B</v>
      </c>
      <c r="U1525">
        <f t="shared" si="116"/>
        <v>2</v>
      </c>
      <c r="V1525" t="str">
        <f t="shared" si="117"/>
        <v>Senior</v>
      </c>
      <c r="W1525" t="str">
        <f t="shared" si="118"/>
        <v>Medium Risk</v>
      </c>
      <c r="X1525" t="str">
        <f t="shared" si="119"/>
        <v>Fair</v>
      </c>
    </row>
    <row r="1526" spans="1:24" x14ac:dyDescent="0.3">
      <c r="A1526" t="s">
        <v>1594</v>
      </c>
      <c r="B1526" t="s">
        <v>20</v>
      </c>
      <c r="C1526">
        <v>54</v>
      </c>
      <c r="D1526" t="s">
        <v>88</v>
      </c>
      <c r="E1526" t="s">
        <v>40</v>
      </c>
      <c r="F1526" t="s">
        <v>41</v>
      </c>
      <c r="G1526" t="s">
        <v>66</v>
      </c>
      <c r="H1526" t="s">
        <v>76</v>
      </c>
      <c r="I1526" t="s">
        <v>96</v>
      </c>
      <c r="J1526" t="s">
        <v>44</v>
      </c>
      <c r="K1526">
        <v>9</v>
      </c>
      <c r="L1526">
        <v>56956</v>
      </c>
      <c r="M1526" t="s">
        <v>45</v>
      </c>
      <c r="N1526">
        <v>2</v>
      </c>
      <c r="O1526">
        <v>1</v>
      </c>
      <c r="P1526">
        <v>13</v>
      </c>
      <c r="Q1526">
        <v>2</v>
      </c>
      <c r="R1526" s="1">
        <v>41698</v>
      </c>
      <c r="S1526" t="s">
        <v>29</v>
      </c>
      <c r="T1526" t="str">
        <f t="shared" si="115"/>
        <v>Grade B</v>
      </c>
      <c r="U1526">
        <f t="shared" si="116"/>
        <v>2</v>
      </c>
      <c r="V1526" t="str">
        <f t="shared" si="117"/>
        <v>Mid Level</v>
      </c>
      <c r="W1526" t="str">
        <f t="shared" si="118"/>
        <v>Medium Risk</v>
      </c>
      <c r="X1526" t="str">
        <f t="shared" si="119"/>
        <v>Fair</v>
      </c>
    </row>
    <row r="1527" spans="1:24" x14ac:dyDescent="0.3">
      <c r="A1527" t="s">
        <v>1595</v>
      </c>
      <c r="B1527" t="s">
        <v>20</v>
      </c>
      <c r="C1527">
        <v>31</v>
      </c>
      <c r="D1527" t="s">
        <v>47</v>
      </c>
      <c r="E1527" t="s">
        <v>48</v>
      </c>
      <c r="F1527" t="s">
        <v>65</v>
      </c>
      <c r="G1527" t="s">
        <v>63</v>
      </c>
      <c r="H1527" t="s">
        <v>76</v>
      </c>
      <c r="I1527" t="s">
        <v>26</v>
      </c>
      <c r="J1527" t="s">
        <v>27</v>
      </c>
      <c r="K1527">
        <v>6</v>
      </c>
      <c r="L1527">
        <v>53822</v>
      </c>
      <c r="M1527" t="s">
        <v>36</v>
      </c>
      <c r="N1527">
        <v>1</v>
      </c>
      <c r="O1527">
        <v>4</v>
      </c>
      <c r="P1527">
        <v>29</v>
      </c>
      <c r="Q1527">
        <v>3</v>
      </c>
      <c r="R1527" s="1">
        <v>42844</v>
      </c>
      <c r="S1527" t="s">
        <v>37</v>
      </c>
      <c r="T1527" t="str">
        <f t="shared" si="115"/>
        <v>Grade B</v>
      </c>
      <c r="U1527">
        <f t="shared" si="116"/>
        <v>1</v>
      </c>
      <c r="V1527" t="str">
        <f t="shared" si="117"/>
        <v>Mid Level</v>
      </c>
      <c r="W1527" t="str">
        <f t="shared" si="118"/>
        <v>Already Left</v>
      </c>
      <c r="X1527" t="str">
        <f t="shared" si="119"/>
        <v>Fair</v>
      </c>
    </row>
    <row r="1528" spans="1:24" x14ac:dyDescent="0.3">
      <c r="A1528" t="s">
        <v>1596</v>
      </c>
      <c r="B1528" t="s">
        <v>39</v>
      </c>
      <c r="C1528">
        <v>24</v>
      </c>
      <c r="D1528" t="s">
        <v>21</v>
      </c>
      <c r="E1528" t="s">
        <v>48</v>
      </c>
      <c r="F1528" t="s">
        <v>53</v>
      </c>
      <c r="G1528" t="s">
        <v>58</v>
      </c>
      <c r="H1528" t="s">
        <v>25</v>
      </c>
      <c r="I1528" t="s">
        <v>43</v>
      </c>
      <c r="J1528" t="s">
        <v>44</v>
      </c>
      <c r="K1528">
        <v>6</v>
      </c>
      <c r="L1528">
        <v>95486</v>
      </c>
      <c r="M1528" t="s">
        <v>36</v>
      </c>
      <c r="N1528">
        <v>3</v>
      </c>
      <c r="O1528">
        <v>1</v>
      </c>
      <c r="P1528">
        <v>38</v>
      </c>
      <c r="Q1528">
        <v>0</v>
      </c>
      <c r="R1528" s="1">
        <v>42859</v>
      </c>
      <c r="S1528" t="s">
        <v>37</v>
      </c>
      <c r="T1528" t="str">
        <f t="shared" si="115"/>
        <v>Grade A</v>
      </c>
      <c r="U1528">
        <f t="shared" si="116"/>
        <v>1</v>
      </c>
      <c r="V1528" t="str">
        <f t="shared" si="117"/>
        <v>Mid Level</v>
      </c>
      <c r="W1528" t="str">
        <f t="shared" si="118"/>
        <v>Already Left</v>
      </c>
      <c r="X1528" t="str">
        <f t="shared" si="119"/>
        <v>Overpaid</v>
      </c>
    </row>
    <row r="1529" spans="1:24" x14ac:dyDescent="0.3">
      <c r="A1529" t="s">
        <v>1597</v>
      </c>
      <c r="B1529" t="s">
        <v>20</v>
      </c>
      <c r="C1529">
        <v>48</v>
      </c>
      <c r="D1529" t="s">
        <v>88</v>
      </c>
      <c r="E1529" t="s">
        <v>40</v>
      </c>
      <c r="F1529" t="s">
        <v>75</v>
      </c>
      <c r="G1529" t="s">
        <v>33</v>
      </c>
      <c r="H1529" t="s">
        <v>67</v>
      </c>
      <c r="I1529" t="s">
        <v>43</v>
      </c>
      <c r="J1529" t="s">
        <v>44</v>
      </c>
      <c r="K1529">
        <v>1</v>
      </c>
      <c r="L1529">
        <v>55362</v>
      </c>
      <c r="M1529" t="s">
        <v>45</v>
      </c>
      <c r="N1529">
        <v>1</v>
      </c>
      <c r="O1529">
        <v>3</v>
      </c>
      <c r="P1529">
        <v>22</v>
      </c>
      <c r="Q1529">
        <v>3</v>
      </c>
      <c r="R1529" s="1">
        <v>44926</v>
      </c>
      <c r="S1529" t="s">
        <v>37</v>
      </c>
      <c r="T1529" t="str">
        <f t="shared" si="115"/>
        <v>Grade B</v>
      </c>
      <c r="U1529">
        <f t="shared" si="116"/>
        <v>2</v>
      </c>
      <c r="V1529" t="str">
        <f t="shared" si="117"/>
        <v>New Joiner</v>
      </c>
      <c r="W1529" t="str">
        <f t="shared" si="118"/>
        <v>Already Left</v>
      </c>
      <c r="X1529" t="str">
        <f t="shared" si="119"/>
        <v>Fair</v>
      </c>
    </row>
    <row r="1530" spans="1:24" x14ac:dyDescent="0.3">
      <c r="A1530" t="s">
        <v>1598</v>
      </c>
      <c r="B1530" t="s">
        <v>39</v>
      </c>
      <c r="C1530">
        <v>44</v>
      </c>
      <c r="D1530" t="s">
        <v>47</v>
      </c>
      <c r="E1530" t="s">
        <v>22</v>
      </c>
      <c r="F1530" t="s">
        <v>53</v>
      </c>
      <c r="G1530" t="s">
        <v>24</v>
      </c>
      <c r="H1530" t="s">
        <v>83</v>
      </c>
      <c r="I1530" t="s">
        <v>68</v>
      </c>
      <c r="J1530" t="s">
        <v>60</v>
      </c>
      <c r="K1530">
        <v>7</v>
      </c>
      <c r="L1530">
        <v>85297</v>
      </c>
      <c r="M1530" t="s">
        <v>36</v>
      </c>
      <c r="N1530">
        <v>2</v>
      </c>
      <c r="O1530">
        <v>2</v>
      </c>
      <c r="P1530">
        <v>80</v>
      </c>
      <c r="Q1530">
        <v>1</v>
      </c>
      <c r="R1530" s="1">
        <v>42681</v>
      </c>
      <c r="S1530" t="s">
        <v>29</v>
      </c>
      <c r="T1530" t="str">
        <f t="shared" si="115"/>
        <v>Grade A</v>
      </c>
      <c r="U1530">
        <f t="shared" si="116"/>
        <v>1</v>
      </c>
      <c r="V1530" t="str">
        <f t="shared" si="117"/>
        <v>Mid Level</v>
      </c>
      <c r="W1530" t="str">
        <f t="shared" si="118"/>
        <v>Medium Risk</v>
      </c>
      <c r="X1530" t="str">
        <f t="shared" si="119"/>
        <v>Overpaid</v>
      </c>
    </row>
    <row r="1531" spans="1:24" x14ac:dyDescent="0.3">
      <c r="A1531" t="s">
        <v>1599</v>
      </c>
      <c r="B1531" t="s">
        <v>20</v>
      </c>
      <c r="C1531">
        <v>31</v>
      </c>
      <c r="D1531" t="s">
        <v>88</v>
      </c>
      <c r="E1531" t="s">
        <v>22</v>
      </c>
      <c r="F1531" t="s">
        <v>53</v>
      </c>
      <c r="G1531" t="s">
        <v>58</v>
      </c>
      <c r="H1531" t="s">
        <v>34</v>
      </c>
      <c r="I1531" t="s">
        <v>68</v>
      </c>
      <c r="J1531" t="s">
        <v>60</v>
      </c>
      <c r="K1531">
        <v>5</v>
      </c>
      <c r="L1531">
        <v>102565</v>
      </c>
      <c r="M1531" t="s">
        <v>28</v>
      </c>
      <c r="N1531">
        <v>3</v>
      </c>
      <c r="O1531">
        <v>3</v>
      </c>
      <c r="P1531">
        <v>14</v>
      </c>
      <c r="Q1531">
        <v>0</v>
      </c>
      <c r="R1531" s="1">
        <v>43226</v>
      </c>
      <c r="S1531" t="s">
        <v>29</v>
      </c>
      <c r="T1531" t="str">
        <f t="shared" si="115"/>
        <v>Grade A</v>
      </c>
      <c r="U1531">
        <f t="shared" si="116"/>
        <v>3</v>
      </c>
      <c r="V1531" t="str">
        <f t="shared" si="117"/>
        <v>Junior</v>
      </c>
      <c r="W1531" t="str">
        <f t="shared" si="118"/>
        <v>Medium Risk</v>
      </c>
      <c r="X1531" t="str">
        <f t="shared" si="119"/>
        <v>Competitive</v>
      </c>
    </row>
    <row r="1532" spans="1:24" x14ac:dyDescent="0.3">
      <c r="A1532" t="s">
        <v>1600</v>
      </c>
      <c r="B1532" t="s">
        <v>39</v>
      </c>
      <c r="C1532">
        <v>37</v>
      </c>
      <c r="D1532" t="s">
        <v>31</v>
      </c>
      <c r="E1532" t="s">
        <v>40</v>
      </c>
      <c r="F1532" t="s">
        <v>41</v>
      </c>
      <c r="G1532" t="s">
        <v>79</v>
      </c>
      <c r="H1532" t="s">
        <v>83</v>
      </c>
      <c r="I1532" t="s">
        <v>80</v>
      </c>
      <c r="J1532" t="s">
        <v>60</v>
      </c>
      <c r="K1532">
        <v>8</v>
      </c>
      <c r="L1532">
        <v>53476</v>
      </c>
      <c r="M1532" t="s">
        <v>45</v>
      </c>
      <c r="N1532">
        <v>1</v>
      </c>
      <c r="O1532">
        <v>3</v>
      </c>
      <c r="P1532">
        <v>34</v>
      </c>
      <c r="Q1532">
        <v>2</v>
      </c>
      <c r="R1532" s="1">
        <v>42320</v>
      </c>
      <c r="S1532" t="s">
        <v>29</v>
      </c>
      <c r="T1532" t="str">
        <f t="shared" si="115"/>
        <v>Grade B</v>
      </c>
      <c r="U1532">
        <f t="shared" si="116"/>
        <v>2</v>
      </c>
      <c r="V1532" t="str">
        <f t="shared" si="117"/>
        <v>Mid Level</v>
      </c>
      <c r="W1532" t="str">
        <f t="shared" si="118"/>
        <v>Medium Risk</v>
      </c>
      <c r="X1532" t="str">
        <f t="shared" si="119"/>
        <v>Fair</v>
      </c>
    </row>
    <row r="1533" spans="1:24" x14ac:dyDescent="0.3">
      <c r="A1533" t="s">
        <v>1601</v>
      </c>
      <c r="B1533" t="s">
        <v>20</v>
      </c>
      <c r="C1533">
        <v>53</v>
      </c>
      <c r="D1533" t="s">
        <v>88</v>
      </c>
      <c r="E1533" t="s">
        <v>22</v>
      </c>
      <c r="F1533" t="s">
        <v>53</v>
      </c>
      <c r="G1533" t="s">
        <v>58</v>
      </c>
      <c r="H1533" t="s">
        <v>67</v>
      </c>
      <c r="I1533" t="s">
        <v>96</v>
      </c>
      <c r="J1533" t="s">
        <v>44</v>
      </c>
      <c r="K1533">
        <v>15</v>
      </c>
      <c r="L1533">
        <v>119309</v>
      </c>
      <c r="M1533" t="s">
        <v>28</v>
      </c>
      <c r="N1533">
        <v>4</v>
      </c>
      <c r="O1533">
        <v>2</v>
      </c>
      <c r="P1533">
        <v>13</v>
      </c>
      <c r="Q1533">
        <v>1</v>
      </c>
      <c r="R1533" s="1">
        <v>39757</v>
      </c>
      <c r="S1533" t="s">
        <v>29</v>
      </c>
      <c r="T1533" t="str">
        <f t="shared" si="115"/>
        <v>Grade A</v>
      </c>
      <c r="U1533">
        <f t="shared" si="116"/>
        <v>3</v>
      </c>
      <c r="V1533" t="str">
        <f t="shared" si="117"/>
        <v>Senior</v>
      </c>
      <c r="W1533" t="str">
        <f t="shared" si="118"/>
        <v>Medium Risk</v>
      </c>
      <c r="X1533" t="str">
        <f t="shared" si="119"/>
        <v>Competitive</v>
      </c>
    </row>
    <row r="1534" spans="1:24" x14ac:dyDescent="0.3">
      <c r="A1534" t="s">
        <v>1602</v>
      </c>
      <c r="B1534" t="s">
        <v>20</v>
      </c>
      <c r="C1534">
        <v>37</v>
      </c>
      <c r="D1534" t="s">
        <v>31</v>
      </c>
      <c r="E1534" t="s">
        <v>22</v>
      </c>
      <c r="F1534" t="s">
        <v>23</v>
      </c>
      <c r="G1534" t="s">
        <v>42</v>
      </c>
      <c r="H1534" t="s">
        <v>83</v>
      </c>
      <c r="I1534" t="s">
        <v>35</v>
      </c>
      <c r="J1534" t="s">
        <v>27</v>
      </c>
      <c r="K1534">
        <v>15</v>
      </c>
      <c r="L1534">
        <v>118353</v>
      </c>
      <c r="M1534" t="s">
        <v>51</v>
      </c>
      <c r="N1534">
        <v>3</v>
      </c>
      <c r="O1534">
        <v>2</v>
      </c>
      <c r="P1534">
        <v>75</v>
      </c>
      <c r="Q1534">
        <v>0</v>
      </c>
      <c r="R1534" s="1">
        <v>39670</v>
      </c>
      <c r="S1534" t="s">
        <v>29</v>
      </c>
      <c r="T1534" t="str">
        <f t="shared" si="115"/>
        <v>Grade A</v>
      </c>
      <c r="U1534">
        <f t="shared" si="116"/>
        <v>4</v>
      </c>
      <c r="V1534" t="str">
        <f t="shared" si="117"/>
        <v>Senior</v>
      </c>
      <c r="W1534" t="str">
        <f t="shared" si="118"/>
        <v>Low Risk</v>
      </c>
      <c r="X1534" t="str">
        <f t="shared" si="119"/>
        <v>Competitive</v>
      </c>
    </row>
    <row r="1535" spans="1:24" x14ac:dyDescent="0.3">
      <c r="A1535" t="s">
        <v>1603</v>
      </c>
      <c r="B1535" t="s">
        <v>39</v>
      </c>
      <c r="C1535">
        <v>27</v>
      </c>
      <c r="D1535" t="s">
        <v>88</v>
      </c>
      <c r="E1535" t="s">
        <v>40</v>
      </c>
      <c r="F1535" t="s">
        <v>62</v>
      </c>
      <c r="G1535" t="s">
        <v>33</v>
      </c>
      <c r="H1535" t="s">
        <v>76</v>
      </c>
      <c r="I1535" t="s">
        <v>80</v>
      </c>
      <c r="J1535" t="s">
        <v>60</v>
      </c>
      <c r="K1535">
        <v>13</v>
      </c>
      <c r="L1535">
        <v>85431</v>
      </c>
      <c r="M1535" t="s">
        <v>36</v>
      </c>
      <c r="N1535">
        <v>2</v>
      </c>
      <c r="O1535">
        <v>1</v>
      </c>
      <c r="P1535">
        <v>59</v>
      </c>
      <c r="Q1535">
        <v>1</v>
      </c>
      <c r="R1535" s="1">
        <v>40529</v>
      </c>
      <c r="S1535" t="s">
        <v>29</v>
      </c>
      <c r="T1535" t="str">
        <f t="shared" si="115"/>
        <v>Grade A</v>
      </c>
      <c r="U1535">
        <f t="shared" si="116"/>
        <v>1</v>
      </c>
      <c r="V1535" t="str">
        <f t="shared" si="117"/>
        <v>Senior</v>
      </c>
      <c r="W1535" t="str">
        <f t="shared" si="118"/>
        <v>Medium Risk</v>
      </c>
      <c r="X1535" t="str">
        <f t="shared" si="119"/>
        <v>Overpaid</v>
      </c>
    </row>
    <row r="1536" spans="1:24" x14ac:dyDescent="0.3">
      <c r="A1536" t="s">
        <v>1604</v>
      </c>
      <c r="B1536" t="s">
        <v>39</v>
      </c>
      <c r="C1536">
        <v>31</v>
      </c>
      <c r="D1536" t="s">
        <v>21</v>
      </c>
      <c r="E1536" t="s">
        <v>22</v>
      </c>
      <c r="F1536" t="s">
        <v>78</v>
      </c>
      <c r="G1536" t="s">
        <v>49</v>
      </c>
      <c r="H1536" t="s">
        <v>34</v>
      </c>
      <c r="I1536" t="s">
        <v>72</v>
      </c>
      <c r="J1536" t="s">
        <v>73</v>
      </c>
      <c r="K1536">
        <v>11</v>
      </c>
      <c r="L1536">
        <v>77225</v>
      </c>
      <c r="M1536" t="s">
        <v>51</v>
      </c>
      <c r="N1536">
        <v>4</v>
      </c>
      <c r="O1536">
        <v>3</v>
      </c>
      <c r="P1536">
        <v>40</v>
      </c>
      <c r="Q1536">
        <v>3</v>
      </c>
      <c r="R1536" s="1">
        <v>40978</v>
      </c>
      <c r="S1536" t="s">
        <v>29</v>
      </c>
      <c r="T1536" t="str">
        <f t="shared" si="115"/>
        <v>Grade B</v>
      </c>
      <c r="U1536">
        <f t="shared" si="116"/>
        <v>4</v>
      </c>
      <c r="V1536" t="str">
        <f t="shared" si="117"/>
        <v>Senior</v>
      </c>
      <c r="W1536" t="str">
        <f t="shared" si="118"/>
        <v>Low Risk</v>
      </c>
      <c r="X1536" t="str">
        <f t="shared" si="119"/>
        <v>Fair</v>
      </c>
    </row>
    <row r="1537" spans="1:24" x14ac:dyDescent="0.3">
      <c r="A1537" t="s">
        <v>1605</v>
      </c>
      <c r="B1537" t="s">
        <v>20</v>
      </c>
      <c r="C1537">
        <v>23</v>
      </c>
      <c r="D1537" t="s">
        <v>88</v>
      </c>
      <c r="E1537" t="s">
        <v>48</v>
      </c>
      <c r="F1537" t="s">
        <v>23</v>
      </c>
      <c r="G1537" t="s">
        <v>66</v>
      </c>
      <c r="H1537" t="s">
        <v>25</v>
      </c>
      <c r="I1537" t="s">
        <v>54</v>
      </c>
      <c r="J1537" t="s">
        <v>27</v>
      </c>
      <c r="K1537">
        <v>9</v>
      </c>
      <c r="L1537">
        <v>54287</v>
      </c>
      <c r="M1537" t="s">
        <v>45</v>
      </c>
      <c r="N1537">
        <v>2</v>
      </c>
      <c r="O1537">
        <v>1</v>
      </c>
      <c r="P1537">
        <v>63</v>
      </c>
      <c r="Q1537">
        <v>3</v>
      </c>
      <c r="R1537" s="1">
        <v>41817</v>
      </c>
      <c r="S1537" t="s">
        <v>29</v>
      </c>
      <c r="T1537" t="str">
        <f t="shared" si="115"/>
        <v>Grade B</v>
      </c>
      <c r="U1537">
        <f t="shared" si="116"/>
        <v>2</v>
      </c>
      <c r="V1537" t="str">
        <f t="shared" si="117"/>
        <v>Mid Level</v>
      </c>
      <c r="W1537" t="str">
        <f t="shared" si="118"/>
        <v>Medium Risk</v>
      </c>
      <c r="X1537" t="str">
        <f t="shared" si="119"/>
        <v>Fair</v>
      </c>
    </row>
    <row r="1538" spans="1:24" x14ac:dyDescent="0.3">
      <c r="A1538" t="s">
        <v>1606</v>
      </c>
      <c r="B1538" t="s">
        <v>20</v>
      </c>
      <c r="C1538">
        <v>22</v>
      </c>
      <c r="D1538" t="s">
        <v>57</v>
      </c>
      <c r="E1538" t="s">
        <v>22</v>
      </c>
      <c r="F1538" t="s">
        <v>23</v>
      </c>
      <c r="G1538" t="s">
        <v>24</v>
      </c>
      <c r="H1538" t="s">
        <v>25</v>
      </c>
      <c r="I1538" t="s">
        <v>54</v>
      </c>
      <c r="J1538" t="s">
        <v>27</v>
      </c>
      <c r="K1538">
        <v>15</v>
      </c>
      <c r="L1538">
        <v>112033</v>
      </c>
      <c r="M1538" t="s">
        <v>45</v>
      </c>
      <c r="N1538">
        <v>1</v>
      </c>
      <c r="O1538">
        <v>4</v>
      </c>
      <c r="P1538">
        <v>52</v>
      </c>
      <c r="Q1538">
        <v>3</v>
      </c>
      <c r="R1538" s="1">
        <v>39539</v>
      </c>
      <c r="S1538" t="s">
        <v>29</v>
      </c>
      <c r="T1538" t="str">
        <f t="shared" ref="T1538:T1601" si="120">IF(L1538&gt;=80000,"Grade A",IF(L1538&gt;=50000,"Grade B",IF(L1538&gt;=35000,"Grade C","Grade D")))</f>
        <v>Grade A</v>
      </c>
      <c r="U1538">
        <f t="shared" ref="U1538:U1601" si="121">IF(M1538="Excellent",4,IF(M1538="Good",3,IF(M1538="Average",2,1)))</f>
        <v>2</v>
      </c>
      <c r="V1538" t="str">
        <f t="shared" ref="V1538:V1601" si="122">IF(K1538&lt;=2,"New Joiner",IF(K1538&lt;=5,"Junior",IF(K1538&lt;=10,"Mid Level","Senior")))</f>
        <v>Senior</v>
      </c>
      <c r="W1538" t="str">
        <f t="shared" ref="W1538:W1601" si="123">IF(S1538="Yes","Already Left",IF(AND(K1538&lt;=2,M1538="Poor"),"High Risk",IF(AND(K1538&lt;=5,M1538="Average"),"Medium Risk",IF(M1538="Excellent","Low Risk","Medium Risk"))))</f>
        <v>Medium Risk</v>
      </c>
      <c r="X1538" t="str">
        <f t="shared" ref="X1538:X1601" si="124">IF(AND(L1538&gt;=80000,M1538="Excellent"),"Competitive",IF(AND(L1538&gt;=50000,M1538="Good"),"Competitive",IF(AND(L1538&lt;35000,M1538="Excellent"),"Underpaid",IF(AND(L1538&gt;=80000,M1538="Poor"),"Overpaid","Fair"))))</f>
        <v>Fair</v>
      </c>
    </row>
    <row r="1539" spans="1:24" x14ac:dyDescent="0.3">
      <c r="A1539" t="s">
        <v>1607</v>
      </c>
      <c r="B1539" t="s">
        <v>20</v>
      </c>
      <c r="C1539">
        <v>42</v>
      </c>
      <c r="D1539" t="s">
        <v>47</v>
      </c>
      <c r="E1539" t="s">
        <v>48</v>
      </c>
      <c r="F1539" t="s">
        <v>32</v>
      </c>
      <c r="G1539" t="s">
        <v>42</v>
      </c>
      <c r="H1539" t="s">
        <v>67</v>
      </c>
      <c r="I1539" t="s">
        <v>96</v>
      </c>
      <c r="J1539" t="s">
        <v>44</v>
      </c>
      <c r="K1539">
        <v>13</v>
      </c>
      <c r="L1539">
        <v>123165</v>
      </c>
      <c r="M1539" t="s">
        <v>36</v>
      </c>
      <c r="N1539">
        <v>4</v>
      </c>
      <c r="O1539">
        <v>1</v>
      </c>
      <c r="P1539">
        <v>38</v>
      </c>
      <c r="Q1539">
        <v>3</v>
      </c>
      <c r="R1539" s="1">
        <v>40505</v>
      </c>
      <c r="S1539" t="s">
        <v>37</v>
      </c>
      <c r="T1539" t="str">
        <f t="shared" si="120"/>
        <v>Grade A</v>
      </c>
      <c r="U1539">
        <f t="shared" si="121"/>
        <v>1</v>
      </c>
      <c r="V1539" t="str">
        <f t="shared" si="122"/>
        <v>Senior</v>
      </c>
      <c r="W1539" t="str">
        <f t="shared" si="123"/>
        <v>Already Left</v>
      </c>
      <c r="X1539" t="str">
        <f t="shared" si="124"/>
        <v>Overpaid</v>
      </c>
    </row>
    <row r="1540" spans="1:24" x14ac:dyDescent="0.3">
      <c r="A1540" t="s">
        <v>1608</v>
      </c>
      <c r="B1540" t="s">
        <v>20</v>
      </c>
      <c r="C1540">
        <v>34</v>
      </c>
      <c r="D1540" t="s">
        <v>57</v>
      </c>
      <c r="E1540" t="s">
        <v>40</v>
      </c>
      <c r="F1540" t="s">
        <v>41</v>
      </c>
      <c r="G1540" t="s">
        <v>66</v>
      </c>
      <c r="H1540" t="s">
        <v>25</v>
      </c>
      <c r="I1540" t="s">
        <v>35</v>
      </c>
      <c r="J1540" t="s">
        <v>27</v>
      </c>
      <c r="K1540">
        <v>3</v>
      </c>
      <c r="L1540">
        <v>38207</v>
      </c>
      <c r="M1540" t="s">
        <v>51</v>
      </c>
      <c r="N1540">
        <v>4</v>
      </c>
      <c r="O1540">
        <v>2</v>
      </c>
      <c r="P1540">
        <v>60</v>
      </c>
      <c r="Q1540">
        <v>2</v>
      </c>
      <c r="R1540" s="1">
        <v>43935</v>
      </c>
      <c r="S1540" t="s">
        <v>37</v>
      </c>
      <c r="T1540" t="str">
        <f t="shared" si="120"/>
        <v>Grade C</v>
      </c>
      <c r="U1540">
        <f t="shared" si="121"/>
        <v>4</v>
      </c>
      <c r="V1540" t="str">
        <f t="shared" si="122"/>
        <v>Junior</v>
      </c>
      <c r="W1540" t="str">
        <f t="shared" si="123"/>
        <v>Already Left</v>
      </c>
      <c r="X1540" t="str">
        <f t="shared" si="124"/>
        <v>Fair</v>
      </c>
    </row>
    <row r="1541" spans="1:24" x14ac:dyDescent="0.3">
      <c r="A1541" t="s">
        <v>1609</v>
      </c>
      <c r="B1541" t="s">
        <v>39</v>
      </c>
      <c r="C1541">
        <v>37</v>
      </c>
      <c r="D1541" t="s">
        <v>47</v>
      </c>
      <c r="E1541" t="s">
        <v>48</v>
      </c>
      <c r="F1541" t="s">
        <v>62</v>
      </c>
      <c r="G1541" t="s">
        <v>24</v>
      </c>
      <c r="H1541" t="s">
        <v>76</v>
      </c>
      <c r="I1541" t="s">
        <v>80</v>
      </c>
      <c r="J1541" t="s">
        <v>60</v>
      </c>
      <c r="K1541">
        <v>14</v>
      </c>
      <c r="L1541">
        <v>103587</v>
      </c>
      <c r="M1541" t="s">
        <v>36</v>
      </c>
      <c r="N1541">
        <v>2</v>
      </c>
      <c r="O1541">
        <v>2</v>
      </c>
      <c r="P1541">
        <v>48</v>
      </c>
      <c r="Q1541">
        <v>0</v>
      </c>
      <c r="R1541" s="1">
        <v>40038</v>
      </c>
      <c r="S1541" t="s">
        <v>29</v>
      </c>
      <c r="T1541" t="str">
        <f t="shared" si="120"/>
        <v>Grade A</v>
      </c>
      <c r="U1541">
        <f t="shared" si="121"/>
        <v>1</v>
      </c>
      <c r="V1541" t="str">
        <f t="shared" si="122"/>
        <v>Senior</v>
      </c>
      <c r="W1541" t="str">
        <f t="shared" si="123"/>
        <v>Medium Risk</v>
      </c>
      <c r="X1541" t="str">
        <f t="shared" si="124"/>
        <v>Overpaid</v>
      </c>
    </row>
    <row r="1542" spans="1:24" x14ac:dyDescent="0.3">
      <c r="A1542" t="s">
        <v>1610</v>
      </c>
      <c r="B1542" t="s">
        <v>20</v>
      </c>
      <c r="C1542">
        <v>37</v>
      </c>
      <c r="D1542" t="s">
        <v>57</v>
      </c>
      <c r="E1542" t="s">
        <v>40</v>
      </c>
      <c r="F1542" t="s">
        <v>62</v>
      </c>
      <c r="G1542" t="s">
        <v>24</v>
      </c>
      <c r="H1542" t="s">
        <v>83</v>
      </c>
      <c r="I1542" t="s">
        <v>50</v>
      </c>
      <c r="J1542" t="s">
        <v>44</v>
      </c>
      <c r="K1542">
        <v>12</v>
      </c>
      <c r="L1542">
        <v>99086</v>
      </c>
      <c r="M1542" t="s">
        <v>36</v>
      </c>
      <c r="N1542">
        <v>1</v>
      </c>
      <c r="O1542">
        <v>3</v>
      </c>
      <c r="P1542">
        <v>78</v>
      </c>
      <c r="Q1542">
        <v>2</v>
      </c>
      <c r="R1542" s="1">
        <v>40743</v>
      </c>
      <c r="S1542" t="s">
        <v>29</v>
      </c>
      <c r="T1542" t="str">
        <f t="shared" si="120"/>
        <v>Grade A</v>
      </c>
      <c r="U1542">
        <f t="shared" si="121"/>
        <v>1</v>
      </c>
      <c r="V1542" t="str">
        <f t="shared" si="122"/>
        <v>Senior</v>
      </c>
      <c r="W1542" t="str">
        <f t="shared" si="123"/>
        <v>Medium Risk</v>
      </c>
      <c r="X1542" t="str">
        <f t="shared" si="124"/>
        <v>Overpaid</v>
      </c>
    </row>
    <row r="1543" spans="1:24" x14ac:dyDescent="0.3">
      <c r="A1543" t="s">
        <v>1611</v>
      </c>
      <c r="B1543" t="s">
        <v>39</v>
      </c>
      <c r="C1543">
        <v>32</v>
      </c>
      <c r="D1543" t="s">
        <v>31</v>
      </c>
      <c r="E1543" t="s">
        <v>22</v>
      </c>
      <c r="F1543" t="s">
        <v>78</v>
      </c>
      <c r="G1543" t="s">
        <v>24</v>
      </c>
      <c r="H1543" t="s">
        <v>25</v>
      </c>
      <c r="I1543" t="s">
        <v>72</v>
      </c>
      <c r="J1543" t="s">
        <v>73</v>
      </c>
      <c r="K1543">
        <v>7</v>
      </c>
      <c r="L1543">
        <v>95350</v>
      </c>
      <c r="M1543" t="s">
        <v>51</v>
      </c>
      <c r="N1543">
        <v>3</v>
      </c>
      <c r="O1543">
        <v>4</v>
      </c>
      <c r="P1543">
        <v>17</v>
      </c>
      <c r="Q1543">
        <v>1</v>
      </c>
      <c r="R1543" s="1">
        <v>42544</v>
      </c>
      <c r="S1543" t="s">
        <v>29</v>
      </c>
      <c r="T1543" t="str">
        <f t="shared" si="120"/>
        <v>Grade A</v>
      </c>
      <c r="U1543">
        <f t="shared" si="121"/>
        <v>4</v>
      </c>
      <c r="V1543" t="str">
        <f t="shared" si="122"/>
        <v>Mid Level</v>
      </c>
      <c r="W1543" t="str">
        <f t="shared" si="123"/>
        <v>Low Risk</v>
      </c>
      <c r="X1543" t="str">
        <f t="shared" si="124"/>
        <v>Competitive</v>
      </c>
    </row>
    <row r="1544" spans="1:24" x14ac:dyDescent="0.3">
      <c r="A1544" t="s">
        <v>1612</v>
      </c>
      <c r="B1544" t="s">
        <v>39</v>
      </c>
      <c r="C1544">
        <v>42</v>
      </c>
      <c r="D1544" t="s">
        <v>88</v>
      </c>
      <c r="E1544" t="s">
        <v>22</v>
      </c>
      <c r="F1544" t="s">
        <v>32</v>
      </c>
      <c r="G1544" t="s">
        <v>42</v>
      </c>
      <c r="H1544" t="s">
        <v>67</v>
      </c>
      <c r="I1544" t="s">
        <v>59</v>
      </c>
      <c r="J1544" t="s">
        <v>60</v>
      </c>
      <c r="K1544">
        <v>11</v>
      </c>
      <c r="L1544">
        <v>118758</v>
      </c>
      <c r="M1544" t="s">
        <v>45</v>
      </c>
      <c r="N1544">
        <v>4</v>
      </c>
      <c r="O1544">
        <v>2</v>
      </c>
      <c r="P1544">
        <v>15</v>
      </c>
      <c r="Q1544">
        <v>2</v>
      </c>
      <c r="R1544" s="1">
        <v>41164</v>
      </c>
      <c r="S1544" t="s">
        <v>29</v>
      </c>
      <c r="T1544" t="str">
        <f t="shared" si="120"/>
        <v>Grade A</v>
      </c>
      <c r="U1544">
        <f t="shared" si="121"/>
        <v>2</v>
      </c>
      <c r="V1544" t="str">
        <f t="shared" si="122"/>
        <v>Senior</v>
      </c>
      <c r="W1544" t="str">
        <f t="shared" si="123"/>
        <v>Medium Risk</v>
      </c>
      <c r="X1544" t="str">
        <f t="shared" si="124"/>
        <v>Fair</v>
      </c>
    </row>
    <row r="1545" spans="1:24" x14ac:dyDescent="0.3">
      <c r="A1545" t="s">
        <v>1613</v>
      </c>
      <c r="B1545" t="s">
        <v>39</v>
      </c>
      <c r="C1545">
        <v>53</v>
      </c>
      <c r="D1545" t="s">
        <v>31</v>
      </c>
      <c r="E1545" t="s">
        <v>22</v>
      </c>
      <c r="F1545" t="s">
        <v>53</v>
      </c>
      <c r="G1545" t="s">
        <v>24</v>
      </c>
      <c r="H1545" t="s">
        <v>34</v>
      </c>
      <c r="I1545" t="s">
        <v>50</v>
      </c>
      <c r="J1545" t="s">
        <v>44</v>
      </c>
      <c r="K1545">
        <v>7</v>
      </c>
      <c r="L1545">
        <v>98663</v>
      </c>
      <c r="M1545" t="s">
        <v>36</v>
      </c>
      <c r="N1545">
        <v>2</v>
      </c>
      <c r="O1545">
        <v>2</v>
      </c>
      <c r="P1545">
        <v>13</v>
      </c>
      <c r="Q1545">
        <v>2</v>
      </c>
      <c r="R1545" s="1">
        <v>42657</v>
      </c>
      <c r="S1545" t="s">
        <v>37</v>
      </c>
      <c r="T1545" t="str">
        <f t="shared" si="120"/>
        <v>Grade A</v>
      </c>
      <c r="U1545">
        <f t="shared" si="121"/>
        <v>1</v>
      </c>
      <c r="V1545" t="str">
        <f t="shared" si="122"/>
        <v>Mid Level</v>
      </c>
      <c r="W1545" t="str">
        <f t="shared" si="123"/>
        <v>Already Left</v>
      </c>
      <c r="X1545" t="str">
        <f t="shared" si="124"/>
        <v>Overpaid</v>
      </c>
    </row>
    <row r="1546" spans="1:24" x14ac:dyDescent="0.3">
      <c r="A1546" t="s">
        <v>1614</v>
      </c>
      <c r="B1546" t="s">
        <v>39</v>
      </c>
      <c r="C1546">
        <v>47</v>
      </c>
      <c r="D1546" t="s">
        <v>57</v>
      </c>
      <c r="E1546" t="s">
        <v>40</v>
      </c>
      <c r="F1546" t="s">
        <v>75</v>
      </c>
      <c r="G1546" t="s">
        <v>79</v>
      </c>
      <c r="H1546" t="s">
        <v>76</v>
      </c>
      <c r="I1546" t="s">
        <v>26</v>
      </c>
      <c r="J1546" t="s">
        <v>27</v>
      </c>
      <c r="K1546">
        <v>15</v>
      </c>
      <c r="L1546">
        <v>71769</v>
      </c>
      <c r="M1546" t="s">
        <v>28</v>
      </c>
      <c r="N1546">
        <v>2</v>
      </c>
      <c r="O1546">
        <v>4</v>
      </c>
      <c r="P1546">
        <v>10</v>
      </c>
      <c r="Q1546">
        <v>3</v>
      </c>
      <c r="R1546" s="1">
        <v>39515</v>
      </c>
      <c r="S1546" t="s">
        <v>29</v>
      </c>
      <c r="T1546" t="str">
        <f t="shared" si="120"/>
        <v>Grade B</v>
      </c>
      <c r="U1546">
        <f t="shared" si="121"/>
        <v>3</v>
      </c>
      <c r="V1546" t="str">
        <f t="shared" si="122"/>
        <v>Senior</v>
      </c>
      <c r="W1546" t="str">
        <f t="shared" si="123"/>
        <v>Medium Risk</v>
      </c>
      <c r="X1546" t="str">
        <f t="shared" si="124"/>
        <v>Competitive</v>
      </c>
    </row>
    <row r="1547" spans="1:24" x14ac:dyDescent="0.3">
      <c r="A1547" t="s">
        <v>1615</v>
      </c>
      <c r="B1547" t="s">
        <v>39</v>
      </c>
      <c r="C1547">
        <v>41</v>
      </c>
      <c r="D1547" t="s">
        <v>88</v>
      </c>
      <c r="E1547" t="s">
        <v>48</v>
      </c>
      <c r="F1547" t="s">
        <v>53</v>
      </c>
      <c r="G1547" t="s">
        <v>79</v>
      </c>
      <c r="H1547" t="s">
        <v>25</v>
      </c>
      <c r="I1547" t="s">
        <v>59</v>
      </c>
      <c r="J1547" t="s">
        <v>60</v>
      </c>
      <c r="K1547">
        <v>4</v>
      </c>
      <c r="L1547">
        <v>45557</v>
      </c>
      <c r="M1547" t="s">
        <v>51</v>
      </c>
      <c r="N1547">
        <v>1</v>
      </c>
      <c r="O1547">
        <v>2</v>
      </c>
      <c r="P1547">
        <v>29</v>
      </c>
      <c r="Q1547">
        <v>0</v>
      </c>
      <c r="R1547" s="1">
        <v>43752</v>
      </c>
      <c r="S1547" t="s">
        <v>29</v>
      </c>
      <c r="T1547" t="str">
        <f t="shared" si="120"/>
        <v>Grade C</v>
      </c>
      <c r="U1547">
        <f t="shared" si="121"/>
        <v>4</v>
      </c>
      <c r="V1547" t="str">
        <f t="shared" si="122"/>
        <v>Junior</v>
      </c>
      <c r="W1547" t="str">
        <f t="shared" si="123"/>
        <v>Low Risk</v>
      </c>
      <c r="X1547" t="str">
        <f t="shared" si="124"/>
        <v>Fair</v>
      </c>
    </row>
    <row r="1548" spans="1:24" x14ac:dyDescent="0.3">
      <c r="A1548" t="s">
        <v>1616</v>
      </c>
      <c r="B1548" t="s">
        <v>39</v>
      </c>
      <c r="C1548">
        <v>53</v>
      </c>
      <c r="D1548" t="s">
        <v>88</v>
      </c>
      <c r="E1548" t="s">
        <v>48</v>
      </c>
      <c r="F1548" t="s">
        <v>41</v>
      </c>
      <c r="G1548" t="s">
        <v>49</v>
      </c>
      <c r="H1548" t="s">
        <v>34</v>
      </c>
      <c r="I1548" t="s">
        <v>43</v>
      </c>
      <c r="J1548" t="s">
        <v>44</v>
      </c>
      <c r="K1548">
        <v>2</v>
      </c>
      <c r="L1548">
        <v>51979</v>
      </c>
      <c r="M1548" t="s">
        <v>51</v>
      </c>
      <c r="N1548">
        <v>1</v>
      </c>
      <c r="O1548">
        <v>1</v>
      </c>
      <c r="P1548">
        <v>10</v>
      </c>
      <c r="Q1548">
        <v>0</v>
      </c>
      <c r="R1548" s="1">
        <v>44371</v>
      </c>
      <c r="S1548" t="s">
        <v>29</v>
      </c>
      <c r="T1548" t="str">
        <f t="shared" si="120"/>
        <v>Grade B</v>
      </c>
      <c r="U1548">
        <f t="shared" si="121"/>
        <v>4</v>
      </c>
      <c r="V1548" t="str">
        <f t="shared" si="122"/>
        <v>New Joiner</v>
      </c>
      <c r="W1548" t="str">
        <f t="shared" si="123"/>
        <v>Low Risk</v>
      </c>
      <c r="X1548" t="str">
        <f t="shared" si="124"/>
        <v>Fair</v>
      </c>
    </row>
    <row r="1549" spans="1:24" x14ac:dyDescent="0.3">
      <c r="A1549" t="s">
        <v>1617</v>
      </c>
      <c r="B1549" t="s">
        <v>20</v>
      </c>
      <c r="C1549">
        <v>46</v>
      </c>
      <c r="D1549" t="s">
        <v>31</v>
      </c>
      <c r="E1549" t="s">
        <v>40</v>
      </c>
      <c r="F1549" t="s">
        <v>53</v>
      </c>
      <c r="G1549" t="s">
        <v>79</v>
      </c>
      <c r="H1549" t="s">
        <v>34</v>
      </c>
      <c r="I1549" t="s">
        <v>50</v>
      </c>
      <c r="J1549" t="s">
        <v>44</v>
      </c>
      <c r="K1549">
        <v>7</v>
      </c>
      <c r="L1549">
        <v>56346</v>
      </c>
      <c r="M1549" t="s">
        <v>45</v>
      </c>
      <c r="N1549">
        <v>4</v>
      </c>
      <c r="O1549">
        <v>1</v>
      </c>
      <c r="P1549">
        <v>75</v>
      </c>
      <c r="Q1549">
        <v>2</v>
      </c>
      <c r="R1549" s="1">
        <v>42643</v>
      </c>
      <c r="S1549" t="s">
        <v>29</v>
      </c>
      <c r="T1549" t="str">
        <f t="shared" si="120"/>
        <v>Grade B</v>
      </c>
      <c r="U1549">
        <f t="shared" si="121"/>
        <v>2</v>
      </c>
      <c r="V1549" t="str">
        <f t="shared" si="122"/>
        <v>Mid Level</v>
      </c>
      <c r="W1549" t="str">
        <f t="shared" si="123"/>
        <v>Medium Risk</v>
      </c>
      <c r="X1549" t="str">
        <f t="shared" si="124"/>
        <v>Fair</v>
      </c>
    </row>
    <row r="1550" spans="1:24" x14ac:dyDescent="0.3">
      <c r="A1550" t="s">
        <v>1618</v>
      </c>
      <c r="B1550" t="s">
        <v>39</v>
      </c>
      <c r="C1550">
        <v>30</v>
      </c>
      <c r="D1550" t="s">
        <v>47</v>
      </c>
      <c r="E1550" t="s">
        <v>22</v>
      </c>
      <c r="F1550" t="s">
        <v>62</v>
      </c>
      <c r="G1550" t="s">
        <v>24</v>
      </c>
      <c r="H1550" t="s">
        <v>83</v>
      </c>
      <c r="I1550" t="s">
        <v>72</v>
      </c>
      <c r="J1550" t="s">
        <v>73</v>
      </c>
      <c r="K1550">
        <v>10</v>
      </c>
      <c r="L1550">
        <v>92435</v>
      </c>
      <c r="M1550" t="s">
        <v>36</v>
      </c>
      <c r="N1550">
        <v>4</v>
      </c>
      <c r="O1550">
        <v>4</v>
      </c>
      <c r="P1550">
        <v>69</v>
      </c>
      <c r="Q1550">
        <v>0</v>
      </c>
      <c r="R1550" s="1">
        <v>41466</v>
      </c>
      <c r="S1550" t="s">
        <v>37</v>
      </c>
      <c r="T1550" t="str">
        <f t="shared" si="120"/>
        <v>Grade A</v>
      </c>
      <c r="U1550">
        <f t="shared" si="121"/>
        <v>1</v>
      </c>
      <c r="V1550" t="str">
        <f t="shared" si="122"/>
        <v>Mid Level</v>
      </c>
      <c r="W1550" t="str">
        <f t="shared" si="123"/>
        <v>Already Left</v>
      </c>
      <c r="X1550" t="str">
        <f t="shared" si="124"/>
        <v>Overpaid</v>
      </c>
    </row>
    <row r="1551" spans="1:24" x14ac:dyDescent="0.3">
      <c r="A1551" t="s">
        <v>1619</v>
      </c>
      <c r="B1551" t="s">
        <v>39</v>
      </c>
      <c r="C1551">
        <v>40</v>
      </c>
      <c r="D1551" t="s">
        <v>31</v>
      </c>
      <c r="E1551" t="s">
        <v>22</v>
      </c>
      <c r="F1551" t="s">
        <v>65</v>
      </c>
      <c r="G1551" t="s">
        <v>42</v>
      </c>
      <c r="H1551" t="s">
        <v>76</v>
      </c>
      <c r="I1551" t="s">
        <v>80</v>
      </c>
      <c r="J1551" t="s">
        <v>60</v>
      </c>
      <c r="K1551">
        <v>8</v>
      </c>
      <c r="L1551">
        <v>109030</v>
      </c>
      <c r="M1551" t="s">
        <v>45</v>
      </c>
      <c r="N1551">
        <v>1</v>
      </c>
      <c r="O1551">
        <v>1</v>
      </c>
      <c r="P1551">
        <v>67</v>
      </c>
      <c r="Q1551">
        <v>3</v>
      </c>
      <c r="R1551" s="1">
        <v>42366</v>
      </c>
      <c r="S1551" t="s">
        <v>29</v>
      </c>
      <c r="T1551" t="str">
        <f t="shared" si="120"/>
        <v>Grade A</v>
      </c>
      <c r="U1551">
        <f t="shared" si="121"/>
        <v>2</v>
      </c>
      <c r="V1551" t="str">
        <f t="shared" si="122"/>
        <v>Mid Level</v>
      </c>
      <c r="W1551" t="str">
        <f t="shared" si="123"/>
        <v>Medium Risk</v>
      </c>
      <c r="X1551" t="str">
        <f t="shared" si="124"/>
        <v>Fair</v>
      </c>
    </row>
    <row r="1552" spans="1:24" x14ac:dyDescent="0.3">
      <c r="A1552" t="s">
        <v>1620</v>
      </c>
      <c r="B1552" t="s">
        <v>20</v>
      </c>
      <c r="C1552">
        <v>26</v>
      </c>
      <c r="D1552" t="s">
        <v>47</v>
      </c>
      <c r="E1552" t="s">
        <v>22</v>
      </c>
      <c r="F1552" t="s">
        <v>75</v>
      </c>
      <c r="G1552" t="s">
        <v>66</v>
      </c>
      <c r="H1552" t="s">
        <v>76</v>
      </c>
      <c r="I1552" t="s">
        <v>43</v>
      </c>
      <c r="J1552" t="s">
        <v>44</v>
      </c>
      <c r="K1552">
        <v>1</v>
      </c>
      <c r="L1552">
        <v>32793</v>
      </c>
      <c r="M1552" t="s">
        <v>45</v>
      </c>
      <c r="N1552">
        <v>2</v>
      </c>
      <c r="O1552">
        <v>1</v>
      </c>
      <c r="P1552">
        <v>51</v>
      </c>
      <c r="Q1552">
        <v>3</v>
      </c>
      <c r="R1552" s="1">
        <v>44596</v>
      </c>
      <c r="S1552" t="s">
        <v>29</v>
      </c>
      <c r="T1552" t="str">
        <f t="shared" si="120"/>
        <v>Grade D</v>
      </c>
      <c r="U1552">
        <f t="shared" si="121"/>
        <v>2</v>
      </c>
      <c r="V1552" t="str">
        <f t="shared" si="122"/>
        <v>New Joiner</v>
      </c>
      <c r="W1552" t="str">
        <f t="shared" si="123"/>
        <v>Medium Risk</v>
      </c>
      <c r="X1552" t="str">
        <f t="shared" si="124"/>
        <v>Fair</v>
      </c>
    </row>
    <row r="1553" spans="1:24" x14ac:dyDescent="0.3">
      <c r="A1553" t="s">
        <v>1621</v>
      </c>
      <c r="B1553" t="s">
        <v>39</v>
      </c>
      <c r="C1553">
        <v>29</v>
      </c>
      <c r="D1553" t="s">
        <v>57</v>
      </c>
      <c r="E1553" t="s">
        <v>48</v>
      </c>
      <c r="F1553" t="s">
        <v>23</v>
      </c>
      <c r="G1553" t="s">
        <v>58</v>
      </c>
      <c r="H1553" t="s">
        <v>76</v>
      </c>
      <c r="I1553" t="s">
        <v>35</v>
      </c>
      <c r="J1553" t="s">
        <v>27</v>
      </c>
      <c r="K1553">
        <v>13</v>
      </c>
      <c r="L1553">
        <v>106107</v>
      </c>
      <c r="M1553" t="s">
        <v>51</v>
      </c>
      <c r="N1553">
        <v>4</v>
      </c>
      <c r="O1553">
        <v>1</v>
      </c>
      <c r="P1553">
        <v>59</v>
      </c>
      <c r="Q1553">
        <v>3</v>
      </c>
      <c r="R1553" s="1">
        <v>40422</v>
      </c>
      <c r="S1553" t="s">
        <v>29</v>
      </c>
      <c r="T1553" t="str">
        <f t="shared" si="120"/>
        <v>Grade A</v>
      </c>
      <c r="U1553">
        <f t="shared" si="121"/>
        <v>4</v>
      </c>
      <c r="V1553" t="str">
        <f t="shared" si="122"/>
        <v>Senior</v>
      </c>
      <c r="W1553" t="str">
        <f t="shared" si="123"/>
        <v>Low Risk</v>
      </c>
      <c r="X1553" t="str">
        <f t="shared" si="124"/>
        <v>Competitive</v>
      </c>
    </row>
    <row r="1554" spans="1:24" x14ac:dyDescent="0.3">
      <c r="A1554" t="s">
        <v>1622</v>
      </c>
      <c r="B1554" t="s">
        <v>20</v>
      </c>
      <c r="C1554">
        <v>31</v>
      </c>
      <c r="D1554" t="s">
        <v>21</v>
      </c>
      <c r="E1554" t="s">
        <v>22</v>
      </c>
      <c r="F1554" t="s">
        <v>32</v>
      </c>
      <c r="G1554" t="s">
        <v>24</v>
      </c>
      <c r="H1554" t="s">
        <v>25</v>
      </c>
      <c r="I1554" t="s">
        <v>43</v>
      </c>
      <c r="J1554" t="s">
        <v>44</v>
      </c>
      <c r="K1554">
        <v>3</v>
      </c>
      <c r="L1554">
        <v>77501</v>
      </c>
      <c r="M1554" t="s">
        <v>28</v>
      </c>
      <c r="N1554">
        <v>4</v>
      </c>
      <c r="O1554">
        <v>3</v>
      </c>
      <c r="P1554">
        <v>75</v>
      </c>
      <c r="Q1554">
        <v>2</v>
      </c>
      <c r="R1554" s="1">
        <v>44134</v>
      </c>
      <c r="S1554" t="s">
        <v>29</v>
      </c>
      <c r="T1554" t="str">
        <f t="shared" si="120"/>
        <v>Grade B</v>
      </c>
      <c r="U1554">
        <f t="shared" si="121"/>
        <v>3</v>
      </c>
      <c r="V1554" t="str">
        <f t="shared" si="122"/>
        <v>Junior</v>
      </c>
      <c r="W1554" t="str">
        <f t="shared" si="123"/>
        <v>Medium Risk</v>
      </c>
      <c r="X1554" t="str">
        <f t="shared" si="124"/>
        <v>Competitive</v>
      </c>
    </row>
    <row r="1555" spans="1:24" x14ac:dyDescent="0.3">
      <c r="A1555" t="s">
        <v>1623</v>
      </c>
      <c r="B1555" t="s">
        <v>39</v>
      </c>
      <c r="C1555">
        <v>23</v>
      </c>
      <c r="D1555" t="s">
        <v>21</v>
      </c>
      <c r="E1555" t="s">
        <v>22</v>
      </c>
      <c r="F1555" t="s">
        <v>32</v>
      </c>
      <c r="G1555" t="s">
        <v>42</v>
      </c>
      <c r="H1555" t="s">
        <v>76</v>
      </c>
      <c r="I1555" t="s">
        <v>43</v>
      </c>
      <c r="J1555" t="s">
        <v>44</v>
      </c>
      <c r="K1555">
        <v>2</v>
      </c>
      <c r="L1555">
        <v>93988</v>
      </c>
      <c r="M1555" t="s">
        <v>51</v>
      </c>
      <c r="N1555">
        <v>2</v>
      </c>
      <c r="O1555">
        <v>4</v>
      </c>
      <c r="P1555">
        <v>53</v>
      </c>
      <c r="Q1555">
        <v>1</v>
      </c>
      <c r="R1555" s="1">
        <v>44403</v>
      </c>
      <c r="S1555" t="s">
        <v>29</v>
      </c>
      <c r="T1555" t="str">
        <f t="shared" si="120"/>
        <v>Grade A</v>
      </c>
      <c r="U1555">
        <f t="shared" si="121"/>
        <v>4</v>
      </c>
      <c r="V1555" t="str">
        <f t="shared" si="122"/>
        <v>New Joiner</v>
      </c>
      <c r="W1555" t="str">
        <f t="shared" si="123"/>
        <v>Low Risk</v>
      </c>
      <c r="X1555" t="str">
        <f t="shared" si="124"/>
        <v>Competitive</v>
      </c>
    </row>
    <row r="1556" spans="1:24" x14ac:dyDescent="0.3">
      <c r="A1556" t="s">
        <v>1624</v>
      </c>
      <c r="B1556" t="s">
        <v>20</v>
      </c>
      <c r="C1556">
        <v>46</v>
      </c>
      <c r="D1556" t="s">
        <v>88</v>
      </c>
      <c r="E1556" t="s">
        <v>22</v>
      </c>
      <c r="F1556" t="s">
        <v>53</v>
      </c>
      <c r="G1556" t="s">
        <v>24</v>
      </c>
      <c r="H1556" t="s">
        <v>67</v>
      </c>
      <c r="I1556" t="s">
        <v>54</v>
      </c>
      <c r="J1556" t="s">
        <v>27</v>
      </c>
      <c r="K1556">
        <v>4</v>
      </c>
      <c r="L1556">
        <v>81508</v>
      </c>
      <c r="M1556" t="s">
        <v>51</v>
      </c>
      <c r="N1556">
        <v>2</v>
      </c>
      <c r="O1556">
        <v>4</v>
      </c>
      <c r="P1556">
        <v>78</v>
      </c>
      <c r="Q1556">
        <v>2</v>
      </c>
      <c r="R1556" s="1">
        <v>43656</v>
      </c>
      <c r="S1556" t="s">
        <v>29</v>
      </c>
      <c r="T1556" t="str">
        <f t="shared" si="120"/>
        <v>Grade A</v>
      </c>
      <c r="U1556">
        <f t="shared" si="121"/>
        <v>4</v>
      </c>
      <c r="V1556" t="str">
        <f t="shared" si="122"/>
        <v>Junior</v>
      </c>
      <c r="W1556" t="str">
        <f t="shared" si="123"/>
        <v>Low Risk</v>
      </c>
      <c r="X1556" t="str">
        <f t="shared" si="124"/>
        <v>Competitive</v>
      </c>
    </row>
    <row r="1557" spans="1:24" x14ac:dyDescent="0.3">
      <c r="A1557" t="s">
        <v>1625</v>
      </c>
      <c r="B1557" t="s">
        <v>39</v>
      </c>
      <c r="C1557">
        <v>43</v>
      </c>
      <c r="D1557" t="s">
        <v>47</v>
      </c>
      <c r="E1557" t="s">
        <v>40</v>
      </c>
      <c r="F1557" t="s">
        <v>78</v>
      </c>
      <c r="G1557" t="s">
        <v>33</v>
      </c>
      <c r="H1557" t="s">
        <v>34</v>
      </c>
      <c r="I1557" t="s">
        <v>26</v>
      </c>
      <c r="J1557" t="s">
        <v>27</v>
      </c>
      <c r="K1557">
        <v>13</v>
      </c>
      <c r="L1557">
        <v>89524</v>
      </c>
      <c r="M1557" t="s">
        <v>28</v>
      </c>
      <c r="N1557">
        <v>2</v>
      </c>
      <c r="O1557">
        <v>1</v>
      </c>
      <c r="P1557">
        <v>22</v>
      </c>
      <c r="Q1557">
        <v>0</v>
      </c>
      <c r="R1557" s="1">
        <v>40256</v>
      </c>
      <c r="S1557" t="s">
        <v>29</v>
      </c>
      <c r="T1557" t="str">
        <f t="shared" si="120"/>
        <v>Grade A</v>
      </c>
      <c r="U1557">
        <f t="shared" si="121"/>
        <v>3</v>
      </c>
      <c r="V1557" t="str">
        <f t="shared" si="122"/>
        <v>Senior</v>
      </c>
      <c r="W1557" t="str">
        <f t="shared" si="123"/>
        <v>Medium Risk</v>
      </c>
      <c r="X1557" t="str">
        <f t="shared" si="124"/>
        <v>Competitive</v>
      </c>
    </row>
    <row r="1558" spans="1:24" x14ac:dyDescent="0.3">
      <c r="A1558" t="s">
        <v>1626</v>
      </c>
      <c r="B1558" t="s">
        <v>20</v>
      </c>
      <c r="C1558">
        <v>50</v>
      </c>
      <c r="D1558" t="s">
        <v>47</v>
      </c>
      <c r="E1558" t="s">
        <v>48</v>
      </c>
      <c r="F1558" t="s">
        <v>23</v>
      </c>
      <c r="G1558" t="s">
        <v>63</v>
      </c>
      <c r="H1558" t="s">
        <v>76</v>
      </c>
      <c r="I1558" t="s">
        <v>80</v>
      </c>
      <c r="J1558" t="s">
        <v>60</v>
      </c>
      <c r="K1558">
        <v>3</v>
      </c>
      <c r="L1558">
        <v>53875</v>
      </c>
      <c r="M1558" t="s">
        <v>45</v>
      </c>
      <c r="N1558">
        <v>1</v>
      </c>
      <c r="O1558">
        <v>2</v>
      </c>
      <c r="P1558">
        <v>72</v>
      </c>
      <c r="Q1558">
        <v>1</v>
      </c>
      <c r="R1558" s="1">
        <v>44103</v>
      </c>
      <c r="S1558" t="s">
        <v>29</v>
      </c>
      <c r="T1558" t="str">
        <f t="shared" si="120"/>
        <v>Grade B</v>
      </c>
      <c r="U1558">
        <f t="shared" si="121"/>
        <v>2</v>
      </c>
      <c r="V1558" t="str">
        <f t="shared" si="122"/>
        <v>Junior</v>
      </c>
      <c r="W1558" t="str">
        <f t="shared" si="123"/>
        <v>Medium Risk</v>
      </c>
      <c r="X1558" t="str">
        <f t="shared" si="124"/>
        <v>Fair</v>
      </c>
    </row>
    <row r="1559" spans="1:24" x14ac:dyDescent="0.3">
      <c r="A1559" t="s">
        <v>1627</v>
      </c>
      <c r="B1559" t="s">
        <v>20</v>
      </c>
      <c r="C1559">
        <v>42</v>
      </c>
      <c r="D1559" t="s">
        <v>57</v>
      </c>
      <c r="E1559" t="s">
        <v>40</v>
      </c>
      <c r="F1559" t="s">
        <v>65</v>
      </c>
      <c r="G1559" t="s">
        <v>49</v>
      </c>
      <c r="H1559" t="s">
        <v>25</v>
      </c>
      <c r="I1559" t="s">
        <v>80</v>
      </c>
      <c r="J1559" t="s">
        <v>60</v>
      </c>
      <c r="K1559">
        <v>13</v>
      </c>
      <c r="L1559">
        <v>82023</v>
      </c>
      <c r="M1559" t="s">
        <v>28</v>
      </c>
      <c r="N1559">
        <v>4</v>
      </c>
      <c r="O1559">
        <v>4</v>
      </c>
      <c r="P1559">
        <v>43</v>
      </c>
      <c r="Q1559">
        <v>3</v>
      </c>
      <c r="R1559" s="1">
        <v>40203</v>
      </c>
      <c r="S1559" t="s">
        <v>29</v>
      </c>
      <c r="T1559" t="str">
        <f t="shared" si="120"/>
        <v>Grade A</v>
      </c>
      <c r="U1559">
        <f t="shared" si="121"/>
        <v>3</v>
      </c>
      <c r="V1559" t="str">
        <f t="shared" si="122"/>
        <v>Senior</v>
      </c>
      <c r="W1559" t="str">
        <f t="shared" si="123"/>
        <v>Medium Risk</v>
      </c>
      <c r="X1559" t="str">
        <f t="shared" si="124"/>
        <v>Competitive</v>
      </c>
    </row>
    <row r="1560" spans="1:24" x14ac:dyDescent="0.3">
      <c r="A1560" t="s">
        <v>1628</v>
      </c>
      <c r="B1560" t="s">
        <v>20</v>
      </c>
      <c r="C1560">
        <v>29</v>
      </c>
      <c r="D1560" t="s">
        <v>21</v>
      </c>
      <c r="E1560" t="s">
        <v>48</v>
      </c>
      <c r="F1560" t="s">
        <v>62</v>
      </c>
      <c r="G1560" t="s">
        <v>24</v>
      </c>
      <c r="H1560" t="s">
        <v>34</v>
      </c>
      <c r="I1560" t="s">
        <v>35</v>
      </c>
      <c r="J1560" t="s">
        <v>27</v>
      </c>
      <c r="K1560">
        <v>3</v>
      </c>
      <c r="L1560">
        <v>80131</v>
      </c>
      <c r="M1560" t="s">
        <v>36</v>
      </c>
      <c r="N1560">
        <v>4</v>
      </c>
      <c r="O1560">
        <v>2</v>
      </c>
      <c r="P1560">
        <v>50</v>
      </c>
      <c r="Q1560">
        <v>0</v>
      </c>
      <c r="R1560" s="1">
        <v>43835</v>
      </c>
      <c r="S1560" t="s">
        <v>37</v>
      </c>
      <c r="T1560" t="str">
        <f t="shared" si="120"/>
        <v>Grade A</v>
      </c>
      <c r="U1560">
        <f t="shared" si="121"/>
        <v>1</v>
      </c>
      <c r="V1560" t="str">
        <f t="shared" si="122"/>
        <v>Junior</v>
      </c>
      <c r="W1560" t="str">
        <f t="shared" si="123"/>
        <v>Already Left</v>
      </c>
      <c r="X1560" t="str">
        <f t="shared" si="124"/>
        <v>Overpaid</v>
      </c>
    </row>
    <row r="1561" spans="1:24" x14ac:dyDescent="0.3">
      <c r="A1561" t="s">
        <v>1629</v>
      </c>
      <c r="B1561" t="s">
        <v>39</v>
      </c>
      <c r="C1561">
        <v>48</v>
      </c>
      <c r="D1561" t="s">
        <v>47</v>
      </c>
      <c r="E1561" t="s">
        <v>48</v>
      </c>
      <c r="F1561" t="s">
        <v>53</v>
      </c>
      <c r="G1561" t="s">
        <v>63</v>
      </c>
      <c r="H1561" t="s">
        <v>34</v>
      </c>
      <c r="I1561" t="s">
        <v>43</v>
      </c>
      <c r="J1561" t="s">
        <v>44</v>
      </c>
      <c r="K1561">
        <v>6</v>
      </c>
      <c r="L1561">
        <v>64492</v>
      </c>
      <c r="M1561" t="s">
        <v>36</v>
      </c>
      <c r="N1561">
        <v>4</v>
      </c>
      <c r="O1561">
        <v>4</v>
      </c>
      <c r="P1561">
        <v>32</v>
      </c>
      <c r="Q1561">
        <v>1</v>
      </c>
      <c r="R1561" s="1">
        <v>43029</v>
      </c>
      <c r="S1561" t="s">
        <v>37</v>
      </c>
      <c r="T1561" t="str">
        <f t="shared" si="120"/>
        <v>Grade B</v>
      </c>
      <c r="U1561">
        <f t="shared" si="121"/>
        <v>1</v>
      </c>
      <c r="V1561" t="str">
        <f t="shared" si="122"/>
        <v>Mid Level</v>
      </c>
      <c r="W1561" t="str">
        <f t="shared" si="123"/>
        <v>Already Left</v>
      </c>
      <c r="X1561" t="str">
        <f t="shared" si="124"/>
        <v>Fair</v>
      </c>
    </row>
    <row r="1562" spans="1:24" x14ac:dyDescent="0.3">
      <c r="A1562" t="s">
        <v>1630</v>
      </c>
      <c r="B1562" t="s">
        <v>39</v>
      </c>
      <c r="C1562">
        <v>29</v>
      </c>
      <c r="D1562" t="s">
        <v>31</v>
      </c>
      <c r="E1562" t="s">
        <v>48</v>
      </c>
      <c r="F1562" t="s">
        <v>23</v>
      </c>
      <c r="G1562" t="s">
        <v>49</v>
      </c>
      <c r="H1562" t="s">
        <v>34</v>
      </c>
      <c r="I1562" t="s">
        <v>72</v>
      </c>
      <c r="J1562" t="s">
        <v>73</v>
      </c>
      <c r="K1562">
        <v>10</v>
      </c>
      <c r="L1562">
        <v>68434</v>
      </c>
      <c r="M1562" t="s">
        <v>36</v>
      </c>
      <c r="N1562">
        <v>3</v>
      </c>
      <c r="O1562">
        <v>1</v>
      </c>
      <c r="P1562">
        <v>33</v>
      </c>
      <c r="Q1562">
        <v>1</v>
      </c>
      <c r="R1562" s="1">
        <v>41605</v>
      </c>
      <c r="S1562" t="s">
        <v>37</v>
      </c>
      <c r="T1562" t="str">
        <f t="shared" si="120"/>
        <v>Grade B</v>
      </c>
      <c r="U1562">
        <f t="shared" si="121"/>
        <v>1</v>
      </c>
      <c r="V1562" t="str">
        <f t="shared" si="122"/>
        <v>Mid Level</v>
      </c>
      <c r="W1562" t="str">
        <f t="shared" si="123"/>
        <v>Already Left</v>
      </c>
      <c r="X1562" t="str">
        <f t="shared" si="124"/>
        <v>Fair</v>
      </c>
    </row>
    <row r="1563" spans="1:24" x14ac:dyDescent="0.3">
      <c r="A1563" t="s">
        <v>1631</v>
      </c>
      <c r="B1563" t="s">
        <v>20</v>
      </c>
      <c r="C1563">
        <v>30</v>
      </c>
      <c r="D1563" t="s">
        <v>31</v>
      </c>
      <c r="E1563" t="s">
        <v>22</v>
      </c>
      <c r="F1563" t="s">
        <v>62</v>
      </c>
      <c r="G1563" t="s">
        <v>58</v>
      </c>
      <c r="H1563" t="s">
        <v>76</v>
      </c>
      <c r="I1563" t="s">
        <v>59</v>
      </c>
      <c r="J1563" t="s">
        <v>60</v>
      </c>
      <c r="K1563">
        <v>9</v>
      </c>
      <c r="L1563">
        <v>102400</v>
      </c>
      <c r="M1563" t="s">
        <v>36</v>
      </c>
      <c r="N1563">
        <v>3</v>
      </c>
      <c r="O1563">
        <v>1</v>
      </c>
      <c r="P1563">
        <v>68</v>
      </c>
      <c r="Q1563">
        <v>0</v>
      </c>
      <c r="R1563" s="1">
        <v>41717</v>
      </c>
      <c r="S1563" t="s">
        <v>37</v>
      </c>
      <c r="T1563" t="str">
        <f t="shared" si="120"/>
        <v>Grade A</v>
      </c>
      <c r="U1563">
        <f t="shared" si="121"/>
        <v>1</v>
      </c>
      <c r="V1563" t="str">
        <f t="shared" si="122"/>
        <v>Mid Level</v>
      </c>
      <c r="W1563" t="str">
        <f t="shared" si="123"/>
        <v>Already Left</v>
      </c>
      <c r="X1563" t="str">
        <f t="shared" si="124"/>
        <v>Overpaid</v>
      </c>
    </row>
    <row r="1564" spans="1:24" x14ac:dyDescent="0.3">
      <c r="A1564" t="s">
        <v>1632</v>
      </c>
      <c r="B1564" t="s">
        <v>39</v>
      </c>
      <c r="C1564">
        <v>37</v>
      </c>
      <c r="D1564" t="s">
        <v>47</v>
      </c>
      <c r="E1564" t="s">
        <v>48</v>
      </c>
      <c r="F1564" t="s">
        <v>32</v>
      </c>
      <c r="G1564" t="s">
        <v>42</v>
      </c>
      <c r="H1564" t="s">
        <v>34</v>
      </c>
      <c r="I1564" t="s">
        <v>59</v>
      </c>
      <c r="J1564" t="s">
        <v>60</v>
      </c>
      <c r="K1564">
        <v>2</v>
      </c>
      <c r="L1564">
        <v>103836</v>
      </c>
      <c r="M1564" t="s">
        <v>28</v>
      </c>
      <c r="N1564">
        <v>2</v>
      </c>
      <c r="O1564">
        <v>1</v>
      </c>
      <c r="P1564">
        <v>44</v>
      </c>
      <c r="Q1564">
        <v>2</v>
      </c>
      <c r="R1564" s="1">
        <v>44214</v>
      </c>
      <c r="S1564" t="s">
        <v>29</v>
      </c>
      <c r="T1564" t="str">
        <f t="shared" si="120"/>
        <v>Grade A</v>
      </c>
      <c r="U1564">
        <f t="shared" si="121"/>
        <v>3</v>
      </c>
      <c r="V1564" t="str">
        <f t="shared" si="122"/>
        <v>New Joiner</v>
      </c>
      <c r="W1564" t="str">
        <f t="shared" si="123"/>
        <v>Medium Risk</v>
      </c>
      <c r="X1564" t="str">
        <f t="shared" si="124"/>
        <v>Competitive</v>
      </c>
    </row>
    <row r="1565" spans="1:24" x14ac:dyDescent="0.3">
      <c r="A1565" t="s">
        <v>1633</v>
      </c>
      <c r="B1565" t="s">
        <v>39</v>
      </c>
      <c r="C1565">
        <v>30</v>
      </c>
      <c r="D1565" t="s">
        <v>88</v>
      </c>
      <c r="E1565" t="s">
        <v>48</v>
      </c>
      <c r="F1565" t="s">
        <v>75</v>
      </c>
      <c r="G1565" t="s">
        <v>33</v>
      </c>
      <c r="H1565" t="s">
        <v>76</v>
      </c>
      <c r="I1565" t="s">
        <v>26</v>
      </c>
      <c r="J1565" t="s">
        <v>27</v>
      </c>
      <c r="K1565">
        <v>13</v>
      </c>
      <c r="L1565">
        <v>76385</v>
      </c>
      <c r="M1565" t="s">
        <v>36</v>
      </c>
      <c r="N1565">
        <v>2</v>
      </c>
      <c r="O1565">
        <v>1</v>
      </c>
      <c r="P1565">
        <v>24</v>
      </c>
      <c r="Q1565">
        <v>0</v>
      </c>
      <c r="R1565" s="1">
        <v>40339</v>
      </c>
      <c r="S1565" t="s">
        <v>37</v>
      </c>
      <c r="T1565" t="str">
        <f t="shared" si="120"/>
        <v>Grade B</v>
      </c>
      <c r="U1565">
        <f t="shared" si="121"/>
        <v>1</v>
      </c>
      <c r="V1565" t="str">
        <f t="shared" si="122"/>
        <v>Senior</v>
      </c>
      <c r="W1565" t="str">
        <f t="shared" si="123"/>
        <v>Already Left</v>
      </c>
      <c r="X1565" t="str">
        <f t="shared" si="124"/>
        <v>Fair</v>
      </c>
    </row>
    <row r="1566" spans="1:24" x14ac:dyDescent="0.3">
      <c r="A1566" t="s">
        <v>1634</v>
      </c>
      <c r="B1566" t="s">
        <v>20</v>
      </c>
      <c r="C1566">
        <v>38</v>
      </c>
      <c r="D1566" t="s">
        <v>88</v>
      </c>
      <c r="E1566" t="s">
        <v>22</v>
      </c>
      <c r="F1566" t="s">
        <v>53</v>
      </c>
      <c r="G1566" t="s">
        <v>42</v>
      </c>
      <c r="H1566" t="s">
        <v>83</v>
      </c>
      <c r="I1566" t="s">
        <v>68</v>
      </c>
      <c r="J1566" t="s">
        <v>60</v>
      </c>
      <c r="K1566">
        <v>15</v>
      </c>
      <c r="L1566">
        <v>131494</v>
      </c>
      <c r="M1566" t="s">
        <v>51</v>
      </c>
      <c r="N1566">
        <v>2</v>
      </c>
      <c r="O1566">
        <v>2</v>
      </c>
      <c r="P1566">
        <v>64</v>
      </c>
      <c r="Q1566">
        <v>3</v>
      </c>
      <c r="R1566" s="1">
        <v>39753</v>
      </c>
      <c r="S1566" t="s">
        <v>29</v>
      </c>
      <c r="T1566" t="str">
        <f t="shared" si="120"/>
        <v>Grade A</v>
      </c>
      <c r="U1566">
        <f t="shared" si="121"/>
        <v>4</v>
      </c>
      <c r="V1566" t="str">
        <f t="shared" si="122"/>
        <v>Senior</v>
      </c>
      <c r="W1566" t="str">
        <f t="shared" si="123"/>
        <v>Low Risk</v>
      </c>
      <c r="X1566" t="str">
        <f t="shared" si="124"/>
        <v>Competitive</v>
      </c>
    </row>
    <row r="1567" spans="1:24" x14ac:dyDescent="0.3">
      <c r="A1567" t="s">
        <v>1635</v>
      </c>
      <c r="B1567" t="s">
        <v>39</v>
      </c>
      <c r="C1567">
        <v>46</v>
      </c>
      <c r="D1567" t="s">
        <v>21</v>
      </c>
      <c r="E1567" t="s">
        <v>48</v>
      </c>
      <c r="F1567" t="s">
        <v>75</v>
      </c>
      <c r="G1567" t="s">
        <v>63</v>
      </c>
      <c r="H1567" t="s">
        <v>83</v>
      </c>
      <c r="I1567" t="s">
        <v>54</v>
      </c>
      <c r="J1567" t="s">
        <v>27</v>
      </c>
      <c r="K1567">
        <v>12</v>
      </c>
      <c r="L1567">
        <v>75343</v>
      </c>
      <c r="M1567" t="s">
        <v>28</v>
      </c>
      <c r="N1567">
        <v>3</v>
      </c>
      <c r="O1567">
        <v>3</v>
      </c>
      <c r="P1567">
        <v>65</v>
      </c>
      <c r="Q1567">
        <v>1</v>
      </c>
      <c r="R1567" s="1">
        <v>40555</v>
      </c>
      <c r="S1567" t="s">
        <v>37</v>
      </c>
      <c r="T1567" t="str">
        <f t="shared" si="120"/>
        <v>Grade B</v>
      </c>
      <c r="U1567">
        <f t="shared" si="121"/>
        <v>3</v>
      </c>
      <c r="V1567" t="str">
        <f t="shared" si="122"/>
        <v>Senior</v>
      </c>
      <c r="W1567" t="str">
        <f t="shared" si="123"/>
        <v>Already Left</v>
      </c>
      <c r="X1567" t="str">
        <f t="shared" si="124"/>
        <v>Competitive</v>
      </c>
    </row>
    <row r="1568" spans="1:24" x14ac:dyDescent="0.3">
      <c r="A1568" t="s">
        <v>1636</v>
      </c>
      <c r="B1568" t="s">
        <v>20</v>
      </c>
      <c r="C1568">
        <v>45</v>
      </c>
      <c r="D1568" t="s">
        <v>21</v>
      </c>
      <c r="E1568" t="s">
        <v>40</v>
      </c>
      <c r="F1568" t="s">
        <v>65</v>
      </c>
      <c r="G1568" t="s">
        <v>58</v>
      </c>
      <c r="H1568" t="s">
        <v>76</v>
      </c>
      <c r="I1568" t="s">
        <v>50</v>
      </c>
      <c r="J1568" t="s">
        <v>44</v>
      </c>
      <c r="K1568">
        <v>10</v>
      </c>
      <c r="L1568">
        <v>98726</v>
      </c>
      <c r="M1568" t="s">
        <v>45</v>
      </c>
      <c r="N1568">
        <v>2</v>
      </c>
      <c r="O1568">
        <v>3</v>
      </c>
      <c r="P1568">
        <v>16</v>
      </c>
      <c r="Q1568">
        <v>0</v>
      </c>
      <c r="R1568" s="1">
        <v>41568</v>
      </c>
      <c r="S1568" t="s">
        <v>29</v>
      </c>
      <c r="T1568" t="str">
        <f t="shared" si="120"/>
        <v>Grade A</v>
      </c>
      <c r="U1568">
        <f t="shared" si="121"/>
        <v>2</v>
      </c>
      <c r="V1568" t="str">
        <f t="shared" si="122"/>
        <v>Mid Level</v>
      </c>
      <c r="W1568" t="str">
        <f t="shared" si="123"/>
        <v>Medium Risk</v>
      </c>
      <c r="X1568" t="str">
        <f t="shared" si="124"/>
        <v>Fair</v>
      </c>
    </row>
    <row r="1569" spans="1:24" x14ac:dyDescent="0.3">
      <c r="A1569" t="s">
        <v>1637</v>
      </c>
      <c r="B1569" t="s">
        <v>39</v>
      </c>
      <c r="C1569">
        <v>25</v>
      </c>
      <c r="D1569" t="s">
        <v>47</v>
      </c>
      <c r="E1569" t="s">
        <v>40</v>
      </c>
      <c r="F1569" t="s">
        <v>41</v>
      </c>
      <c r="G1569" t="s">
        <v>79</v>
      </c>
      <c r="H1569" t="s">
        <v>25</v>
      </c>
      <c r="I1569" t="s">
        <v>26</v>
      </c>
      <c r="J1569" t="s">
        <v>27</v>
      </c>
      <c r="K1569">
        <v>7</v>
      </c>
      <c r="L1569">
        <v>59571</v>
      </c>
      <c r="M1569" t="s">
        <v>45</v>
      </c>
      <c r="N1569">
        <v>1</v>
      </c>
      <c r="O1569">
        <v>3</v>
      </c>
      <c r="P1569">
        <v>42</v>
      </c>
      <c r="Q1569">
        <v>0</v>
      </c>
      <c r="R1569" s="1">
        <v>42466</v>
      </c>
      <c r="S1569" t="s">
        <v>29</v>
      </c>
      <c r="T1569" t="str">
        <f t="shared" si="120"/>
        <v>Grade B</v>
      </c>
      <c r="U1569">
        <f t="shared" si="121"/>
        <v>2</v>
      </c>
      <c r="V1569" t="str">
        <f t="shared" si="122"/>
        <v>Mid Level</v>
      </c>
      <c r="W1569" t="str">
        <f t="shared" si="123"/>
        <v>Medium Risk</v>
      </c>
      <c r="X1569" t="str">
        <f t="shared" si="124"/>
        <v>Fair</v>
      </c>
    </row>
    <row r="1570" spans="1:24" x14ac:dyDescent="0.3">
      <c r="A1570" t="s">
        <v>1638</v>
      </c>
      <c r="B1570" t="s">
        <v>20</v>
      </c>
      <c r="C1570">
        <v>26</v>
      </c>
      <c r="D1570" t="s">
        <v>47</v>
      </c>
      <c r="E1570" t="s">
        <v>48</v>
      </c>
      <c r="F1570" t="s">
        <v>62</v>
      </c>
      <c r="G1570" t="s">
        <v>79</v>
      </c>
      <c r="H1570" t="s">
        <v>83</v>
      </c>
      <c r="I1570" t="s">
        <v>50</v>
      </c>
      <c r="J1570" t="s">
        <v>44</v>
      </c>
      <c r="K1570">
        <v>4</v>
      </c>
      <c r="L1570">
        <v>49421</v>
      </c>
      <c r="M1570" t="s">
        <v>45</v>
      </c>
      <c r="N1570">
        <v>2</v>
      </c>
      <c r="O1570">
        <v>1</v>
      </c>
      <c r="P1570">
        <v>45</v>
      </c>
      <c r="Q1570">
        <v>1</v>
      </c>
      <c r="R1570" s="1">
        <v>43635</v>
      </c>
      <c r="S1570" t="s">
        <v>29</v>
      </c>
      <c r="T1570" t="str">
        <f t="shared" si="120"/>
        <v>Grade C</v>
      </c>
      <c r="U1570">
        <f t="shared" si="121"/>
        <v>2</v>
      </c>
      <c r="V1570" t="str">
        <f t="shared" si="122"/>
        <v>Junior</v>
      </c>
      <c r="W1570" t="str">
        <f t="shared" si="123"/>
        <v>Medium Risk</v>
      </c>
      <c r="X1570" t="str">
        <f t="shared" si="124"/>
        <v>Fair</v>
      </c>
    </row>
    <row r="1571" spans="1:24" x14ac:dyDescent="0.3">
      <c r="A1571" t="s">
        <v>1639</v>
      </c>
      <c r="B1571" t="s">
        <v>39</v>
      </c>
      <c r="C1571">
        <v>28</v>
      </c>
      <c r="D1571" t="s">
        <v>57</v>
      </c>
      <c r="E1571" t="s">
        <v>40</v>
      </c>
      <c r="F1571" t="s">
        <v>62</v>
      </c>
      <c r="G1571" t="s">
        <v>58</v>
      </c>
      <c r="H1571" t="s">
        <v>76</v>
      </c>
      <c r="I1571" t="s">
        <v>96</v>
      </c>
      <c r="J1571" t="s">
        <v>44</v>
      </c>
      <c r="K1571">
        <v>6</v>
      </c>
      <c r="L1571">
        <v>93458</v>
      </c>
      <c r="M1571" t="s">
        <v>45</v>
      </c>
      <c r="N1571">
        <v>3</v>
      </c>
      <c r="O1571">
        <v>4</v>
      </c>
      <c r="P1571">
        <v>46</v>
      </c>
      <c r="Q1571">
        <v>3</v>
      </c>
      <c r="R1571" s="1">
        <v>42783</v>
      </c>
      <c r="S1571" t="s">
        <v>37</v>
      </c>
      <c r="T1571" t="str">
        <f t="shared" si="120"/>
        <v>Grade A</v>
      </c>
      <c r="U1571">
        <f t="shared" si="121"/>
        <v>2</v>
      </c>
      <c r="V1571" t="str">
        <f t="shared" si="122"/>
        <v>Mid Level</v>
      </c>
      <c r="W1571" t="str">
        <f t="shared" si="123"/>
        <v>Already Left</v>
      </c>
      <c r="X1571" t="str">
        <f t="shared" si="124"/>
        <v>Fair</v>
      </c>
    </row>
    <row r="1572" spans="1:24" x14ac:dyDescent="0.3">
      <c r="A1572" t="s">
        <v>1640</v>
      </c>
      <c r="B1572" t="s">
        <v>20</v>
      </c>
      <c r="C1572">
        <v>28</v>
      </c>
      <c r="D1572" t="s">
        <v>57</v>
      </c>
      <c r="E1572" t="s">
        <v>40</v>
      </c>
      <c r="F1572" t="s">
        <v>78</v>
      </c>
      <c r="G1572" t="s">
        <v>79</v>
      </c>
      <c r="H1572" t="s">
        <v>76</v>
      </c>
      <c r="I1572" t="s">
        <v>26</v>
      </c>
      <c r="J1572" t="s">
        <v>27</v>
      </c>
      <c r="K1572">
        <v>1</v>
      </c>
      <c r="L1572">
        <v>51929</v>
      </c>
      <c r="M1572" t="s">
        <v>45</v>
      </c>
      <c r="N1572">
        <v>2</v>
      </c>
      <c r="O1572">
        <v>4</v>
      </c>
      <c r="P1572">
        <v>23</v>
      </c>
      <c r="Q1572">
        <v>3</v>
      </c>
      <c r="R1572" s="1">
        <v>44848</v>
      </c>
      <c r="S1572" t="s">
        <v>37</v>
      </c>
      <c r="T1572" t="str">
        <f t="shared" si="120"/>
        <v>Grade B</v>
      </c>
      <c r="U1572">
        <f t="shared" si="121"/>
        <v>2</v>
      </c>
      <c r="V1572" t="str">
        <f t="shared" si="122"/>
        <v>New Joiner</v>
      </c>
      <c r="W1572" t="str">
        <f t="shared" si="123"/>
        <v>Already Left</v>
      </c>
      <c r="X1572" t="str">
        <f t="shared" si="124"/>
        <v>Fair</v>
      </c>
    </row>
    <row r="1573" spans="1:24" x14ac:dyDescent="0.3">
      <c r="A1573" t="s">
        <v>1641</v>
      </c>
      <c r="B1573" t="s">
        <v>20</v>
      </c>
      <c r="C1573">
        <v>46</v>
      </c>
      <c r="D1573" t="s">
        <v>57</v>
      </c>
      <c r="E1573" t="s">
        <v>48</v>
      </c>
      <c r="F1573" t="s">
        <v>41</v>
      </c>
      <c r="G1573" t="s">
        <v>63</v>
      </c>
      <c r="H1573" t="s">
        <v>25</v>
      </c>
      <c r="I1573" t="s">
        <v>26</v>
      </c>
      <c r="J1573" t="s">
        <v>27</v>
      </c>
      <c r="K1573">
        <v>7</v>
      </c>
      <c r="L1573">
        <v>52696</v>
      </c>
      <c r="M1573" t="s">
        <v>36</v>
      </c>
      <c r="N1573">
        <v>2</v>
      </c>
      <c r="O1573">
        <v>2</v>
      </c>
      <c r="P1573">
        <v>30</v>
      </c>
      <c r="Q1573">
        <v>3</v>
      </c>
      <c r="R1573" s="1">
        <v>42445</v>
      </c>
      <c r="S1573" t="s">
        <v>29</v>
      </c>
      <c r="T1573" t="str">
        <f t="shared" si="120"/>
        <v>Grade B</v>
      </c>
      <c r="U1573">
        <f t="shared" si="121"/>
        <v>1</v>
      </c>
      <c r="V1573" t="str">
        <f t="shared" si="122"/>
        <v>Mid Level</v>
      </c>
      <c r="W1573" t="str">
        <f t="shared" si="123"/>
        <v>Medium Risk</v>
      </c>
      <c r="X1573" t="str">
        <f t="shared" si="124"/>
        <v>Fair</v>
      </c>
    </row>
    <row r="1574" spans="1:24" x14ac:dyDescent="0.3">
      <c r="A1574" t="s">
        <v>1642</v>
      </c>
      <c r="B1574" t="s">
        <v>20</v>
      </c>
      <c r="C1574">
        <v>34</v>
      </c>
      <c r="D1574" t="s">
        <v>31</v>
      </c>
      <c r="E1574" t="s">
        <v>48</v>
      </c>
      <c r="F1574" t="s">
        <v>78</v>
      </c>
      <c r="G1574" t="s">
        <v>58</v>
      </c>
      <c r="H1574" t="s">
        <v>83</v>
      </c>
      <c r="I1574" t="s">
        <v>26</v>
      </c>
      <c r="J1574" t="s">
        <v>27</v>
      </c>
      <c r="K1574">
        <v>14</v>
      </c>
      <c r="L1574">
        <v>113906</v>
      </c>
      <c r="M1574" t="s">
        <v>45</v>
      </c>
      <c r="N1574">
        <v>1</v>
      </c>
      <c r="O1574">
        <v>3</v>
      </c>
      <c r="P1574">
        <v>64</v>
      </c>
      <c r="Q1574">
        <v>2</v>
      </c>
      <c r="R1574" s="1">
        <v>40076</v>
      </c>
      <c r="S1574" t="s">
        <v>29</v>
      </c>
      <c r="T1574" t="str">
        <f t="shared" si="120"/>
        <v>Grade A</v>
      </c>
      <c r="U1574">
        <f t="shared" si="121"/>
        <v>2</v>
      </c>
      <c r="V1574" t="str">
        <f t="shared" si="122"/>
        <v>Senior</v>
      </c>
      <c r="W1574" t="str">
        <f t="shared" si="123"/>
        <v>Medium Risk</v>
      </c>
      <c r="X1574" t="str">
        <f t="shared" si="124"/>
        <v>Fair</v>
      </c>
    </row>
    <row r="1575" spans="1:24" x14ac:dyDescent="0.3">
      <c r="A1575" t="s">
        <v>1643</v>
      </c>
      <c r="B1575" t="s">
        <v>39</v>
      </c>
      <c r="C1575">
        <v>40</v>
      </c>
      <c r="D1575" t="s">
        <v>47</v>
      </c>
      <c r="E1575" t="s">
        <v>48</v>
      </c>
      <c r="F1575" t="s">
        <v>53</v>
      </c>
      <c r="G1575" t="s">
        <v>66</v>
      </c>
      <c r="H1575" t="s">
        <v>34</v>
      </c>
      <c r="I1575" t="s">
        <v>96</v>
      </c>
      <c r="J1575" t="s">
        <v>44</v>
      </c>
      <c r="K1575">
        <v>4</v>
      </c>
      <c r="L1575">
        <v>40845</v>
      </c>
      <c r="M1575" t="s">
        <v>45</v>
      </c>
      <c r="N1575">
        <v>4</v>
      </c>
      <c r="O1575">
        <v>2</v>
      </c>
      <c r="P1575">
        <v>22</v>
      </c>
      <c r="Q1575">
        <v>3</v>
      </c>
      <c r="R1575" s="1">
        <v>43536</v>
      </c>
      <c r="S1575" t="s">
        <v>29</v>
      </c>
      <c r="T1575" t="str">
        <f t="shared" si="120"/>
        <v>Grade C</v>
      </c>
      <c r="U1575">
        <f t="shared" si="121"/>
        <v>2</v>
      </c>
      <c r="V1575" t="str">
        <f t="shared" si="122"/>
        <v>Junior</v>
      </c>
      <c r="W1575" t="str">
        <f t="shared" si="123"/>
        <v>Medium Risk</v>
      </c>
      <c r="X1575" t="str">
        <f t="shared" si="124"/>
        <v>Fair</v>
      </c>
    </row>
    <row r="1576" spans="1:24" x14ac:dyDescent="0.3">
      <c r="A1576" t="s">
        <v>1644</v>
      </c>
      <c r="B1576" t="s">
        <v>20</v>
      </c>
      <c r="C1576">
        <v>53</v>
      </c>
      <c r="D1576" t="s">
        <v>88</v>
      </c>
      <c r="E1576" t="s">
        <v>22</v>
      </c>
      <c r="F1576" t="s">
        <v>65</v>
      </c>
      <c r="G1576" t="s">
        <v>66</v>
      </c>
      <c r="H1576" t="s">
        <v>34</v>
      </c>
      <c r="I1576" t="s">
        <v>96</v>
      </c>
      <c r="J1576" t="s">
        <v>44</v>
      </c>
      <c r="K1576">
        <v>2</v>
      </c>
      <c r="L1576">
        <v>46675</v>
      </c>
      <c r="M1576" t="s">
        <v>51</v>
      </c>
      <c r="N1576">
        <v>1</v>
      </c>
      <c r="O1576">
        <v>2</v>
      </c>
      <c r="P1576">
        <v>10</v>
      </c>
      <c r="Q1576">
        <v>1</v>
      </c>
      <c r="R1576" s="1">
        <v>44345</v>
      </c>
      <c r="S1576" t="s">
        <v>29</v>
      </c>
      <c r="T1576" t="str">
        <f t="shared" si="120"/>
        <v>Grade C</v>
      </c>
      <c r="U1576">
        <f t="shared" si="121"/>
        <v>4</v>
      </c>
      <c r="V1576" t="str">
        <f t="shared" si="122"/>
        <v>New Joiner</v>
      </c>
      <c r="W1576" t="str">
        <f t="shared" si="123"/>
        <v>Low Risk</v>
      </c>
      <c r="X1576" t="str">
        <f t="shared" si="124"/>
        <v>Fair</v>
      </c>
    </row>
    <row r="1577" spans="1:24" x14ac:dyDescent="0.3">
      <c r="A1577" t="s">
        <v>1645</v>
      </c>
      <c r="B1577" t="s">
        <v>20</v>
      </c>
      <c r="C1577">
        <v>36</v>
      </c>
      <c r="D1577" t="s">
        <v>31</v>
      </c>
      <c r="E1577" t="s">
        <v>48</v>
      </c>
      <c r="F1577" t="s">
        <v>65</v>
      </c>
      <c r="G1577" t="s">
        <v>33</v>
      </c>
      <c r="H1577" t="s">
        <v>67</v>
      </c>
      <c r="I1577" t="s">
        <v>35</v>
      </c>
      <c r="J1577" t="s">
        <v>27</v>
      </c>
      <c r="K1577">
        <v>15</v>
      </c>
      <c r="L1577">
        <v>85857</v>
      </c>
      <c r="M1577" t="s">
        <v>28</v>
      </c>
      <c r="N1577">
        <v>1</v>
      </c>
      <c r="O1577">
        <v>3</v>
      </c>
      <c r="P1577">
        <v>17</v>
      </c>
      <c r="Q1577">
        <v>1</v>
      </c>
      <c r="R1577" s="1">
        <v>39621</v>
      </c>
      <c r="S1577" t="s">
        <v>29</v>
      </c>
      <c r="T1577" t="str">
        <f t="shared" si="120"/>
        <v>Grade A</v>
      </c>
      <c r="U1577">
        <f t="shared" si="121"/>
        <v>3</v>
      </c>
      <c r="V1577" t="str">
        <f t="shared" si="122"/>
        <v>Senior</v>
      </c>
      <c r="W1577" t="str">
        <f t="shared" si="123"/>
        <v>Medium Risk</v>
      </c>
      <c r="X1577" t="str">
        <f t="shared" si="124"/>
        <v>Competitive</v>
      </c>
    </row>
    <row r="1578" spans="1:24" x14ac:dyDescent="0.3">
      <c r="A1578" t="s">
        <v>1646</v>
      </c>
      <c r="B1578" t="s">
        <v>20</v>
      </c>
      <c r="C1578">
        <v>34</v>
      </c>
      <c r="D1578" t="s">
        <v>21</v>
      </c>
      <c r="E1578" t="s">
        <v>40</v>
      </c>
      <c r="F1578" t="s">
        <v>53</v>
      </c>
      <c r="G1578" t="s">
        <v>63</v>
      </c>
      <c r="H1578" t="s">
        <v>34</v>
      </c>
      <c r="I1578" t="s">
        <v>72</v>
      </c>
      <c r="J1578" t="s">
        <v>73</v>
      </c>
      <c r="K1578">
        <v>5</v>
      </c>
      <c r="L1578">
        <v>48489</v>
      </c>
      <c r="M1578" t="s">
        <v>45</v>
      </c>
      <c r="N1578">
        <v>4</v>
      </c>
      <c r="O1578">
        <v>2</v>
      </c>
      <c r="P1578">
        <v>11</v>
      </c>
      <c r="Q1578">
        <v>3</v>
      </c>
      <c r="R1578" s="1">
        <v>43465</v>
      </c>
      <c r="S1578" t="s">
        <v>29</v>
      </c>
      <c r="T1578" t="str">
        <f t="shared" si="120"/>
        <v>Grade C</v>
      </c>
      <c r="U1578">
        <f t="shared" si="121"/>
        <v>2</v>
      </c>
      <c r="V1578" t="str">
        <f t="shared" si="122"/>
        <v>Junior</v>
      </c>
      <c r="W1578" t="str">
        <f t="shared" si="123"/>
        <v>Medium Risk</v>
      </c>
      <c r="X1578" t="str">
        <f t="shared" si="124"/>
        <v>Fair</v>
      </c>
    </row>
    <row r="1579" spans="1:24" x14ac:dyDescent="0.3">
      <c r="A1579" t="s">
        <v>1647</v>
      </c>
      <c r="B1579" t="s">
        <v>39</v>
      </c>
      <c r="C1579">
        <v>42</v>
      </c>
      <c r="D1579" t="s">
        <v>47</v>
      </c>
      <c r="E1579" t="s">
        <v>40</v>
      </c>
      <c r="F1579" t="s">
        <v>53</v>
      </c>
      <c r="G1579" t="s">
        <v>33</v>
      </c>
      <c r="H1579" t="s">
        <v>76</v>
      </c>
      <c r="I1579" t="s">
        <v>59</v>
      </c>
      <c r="J1579" t="s">
        <v>60</v>
      </c>
      <c r="K1579">
        <v>8</v>
      </c>
      <c r="L1579">
        <v>69799</v>
      </c>
      <c r="M1579" t="s">
        <v>36</v>
      </c>
      <c r="N1579">
        <v>4</v>
      </c>
      <c r="O1579">
        <v>4</v>
      </c>
      <c r="P1579">
        <v>35</v>
      </c>
      <c r="Q1579">
        <v>0</v>
      </c>
      <c r="R1579" s="1">
        <v>42223</v>
      </c>
      <c r="S1579" t="s">
        <v>29</v>
      </c>
      <c r="T1579" t="str">
        <f t="shared" si="120"/>
        <v>Grade B</v>
      </c>
      <c r="U1579">
        <f t="shared" si="121"/>
        <v>1</v>
      </c>
      <c r="V1579" t="str">
        <f t="shared" si="122"/>
        <v>Mid Level</v>
      </c>
      <c r="W1579" t="str">
        <f t="shared" si="123"/>
        <v>Medium Risk</v>
      </c>
      <c r="X1579" t="str">
        <f t="shared" si="124"/>
        <v>Fair</v>
      </c>
    </row>
    <row r="1580" spans="1:24" x14ac:dyDescent="0.3">
      <c r="A1580" t="s">
        <v>1648</v>
      </c>
      <c r="B1580" t="s">
        <v>20</v>
      </c>
      <c r="C1580">
        <v>31</v>
      </c>
      <c r="D1580" t="s">
        <v>47</v>
      </c>
      <c r="E1580" t="s">
        <v>48</v>
      </c>
      <c r="F1580" t="s">
        <v>23</v>
      </c>
      <c r="G1580" t="s">
        <v>79</v>
      </c>
      <c r="H1580" t="s">
        <v>83</v>
      </c>
      <c r="I1580" t="s">
        <v>54</v>
      </c>
      <c r="J1580" t="s">
        <v>27</v>
      </c>
      <c r="K1580">
        <v>15</v>
      </c>
      <c r="L1580">
        <v>64798</v>
      </c>
      <c r="M1580" t="s">
        <v>36</v>
      </c>
      <c r="N1580">
        <v>3</v>
      </c>
      <c r="O1580">
        <v>4</v>
      </c>
      <c r="P1580">
        <v>37</v>
      </c>
      <c r="Q1580">
        <v>0</v>
      </c>
      <c r="R1580" s="1">
        <v>39745</v>
      </c>
      <c r="S1580" t="s">
        <v>37</v>
      </c>
      <c r="T1580" t="str">
        <f t="shared" si="120"/>
        <v>Grade B</v>
      </c>
      <c r="U1580">
        <f t="shared" si="121"/>
        <v>1</v>
      </c>
      <c r="V1580" t="str">
        <f t="shared" si="122"/>
        <v>Senior</v>
      </c>
      <c r="W1580" t="str">
        <f t="shared" si="123"/>
        <v>Already Left</v>
      </c>
      <c r="X1580" t="str">
        <f t="shared" si="124"/>
        <v>Fair</v>
      </c>
    </row>
    <row r="1581" spans="1:24" x14ac:dyDescent="0.3">
      <c r="A1581" t="s">
        <v>1649</v>
      </c>
      <c r="B1581" t="s">
        <v>20</v>
      </c>
      <c r="C1581">
        <v>28</v>
      </c>
      <c r="D1581" t="s">
        <v>57</v>
      </c>
      <c r="E1581" t="s">
        <v>48</v>
      </c>
      <c r="F1581" t="s">
        <v>78</v>
      </c>
      <c r="G1581" t="s">
        <v>63</v>
      </c>
      <c r="H1581" t="s">
        <v>76</v>
      </c>
      <c r="I1581" t="s">
        <v>72</v>
      </c>
      <c r="J1581" t="s">
        <v>73</v>
      </c>
      <c r="K1581">
        <v>2</v>
      </c>
      <c r="L1581">
        <v>42942</v>
      </c>
      <c r="M1581" t="s">
        <v>36</v>
      </c>
      <c r="N1581">
        <v>4</v>
      </c>
      <c r="O1581">
        <v>3</v>
      </c>
      <c r="P1581">
        <v>61</v>
      </c>
      <c r="Q1581">
        <v>3</v>
      </c>
      <c r="R1581" s="1">
        <v>44239</v>
      </c>
      <c r="S1581" t="s">
        <v>29</v>
      </c>
      <c r="T1581" t="str">
        <f t="shared" si="120"/>
        <v>Grade C</v>
      </c>
      <c r="U1581">
        <f t="shared" si="121"/>
        <v>1</v>
      </c>
      <c r="V1581" t="str">
        <f t="shared" si="122"/>
        <v>New Joiner</v>
      </c>
      <c r="W1581" t="str">
        <f t="shared" si="123"/>
        <v>High Risk</v>
      </c>
      <c r="X1581" t="str">
        <f t="shared" si="124"/>
        <v>Fair</v>
      </c>
    </row>
    <row r="1582" spans="1:24" x14ac:dyDescent="0.3">
      <c r="A1582" t="s">
        <v>1650</v>
      </c>
      <c r="B1582" t="s">
        <v>20</v>
      </c>
      <c r="C1582">
        <v>39</v>
      </c>
      <c r="D1582" t="s">
        <v>21</v>
      </c>
      <c r="E1582" t="s">
        <v>22</v>
      </c>
      <c r="F1582" t="s">
        <v>75</v>
      </c>
      <c r="G1582" t="s">
        <v>63</v>
      </c>
      <c r="H1582" t="s">
        <v>25</v>
      </c>
      <c r="I1582" t="s">
        <v>96</v>
      </c>
      <c r="J1582" t="s">
        <v>44</v>
      </c>
      <c r="K1582">
        <v>10</v>
      </c>
      <c r="L1582">
        <v>72170</v>
      </c>
      <c r="M1582" t="s">
        <v>51</v>
      </c>
      <c r="N1582">
        <v>3</v>
      </c>
      <c r="O1582">
        <v>2</v>
      </c>
      <c r="P1582">
        <v>30</v>
      </c>
      <c r="Q1582">
        <v>2</v>
      </c>
      <c r="R1582" s="1">
        <v>41543</v>
      </c>
      <c r="S1582" t="s">
        <v>29</v>
      </c>
      <c r="T1582" t="str">
        <f t="shared" si="120"/>
        <v>Grade B</v>
      </c>
      <c r="U1582">
        <f t="shared" si="121"/>
        <v>4</v>
      </c>
      <c r="V1582" t="str">
        <f t="shared" si="122"/>
        <v>Mid Level</v>
      </c>
      <c r="W1582" t="str">
        <f t="shared" si="123"/>
        <v>Low Risk</v>
      </c>
      <c r="X1582" t="str">
        <f t="shared" si="124"/>
        <v>Fair</v>
      </c>
    </row>
    <row r="1583" spans="1:24" x14ac:dyDescent="0.3">
      <c r="A1583" t="s">
        <v>1651</v>
      </c>
      <c r="B1583" t="s">
        <v>39</v>
      </c>
      <c r="C1583">
        <v>26</v>
      </c>
      <c r="D1583" t="s">
        <v>31</v>
      </c>
      <c r="E1583" t="s">
        <v>22</v>
      </c>
      <c r="F1583" t="s">
        <v>75</v>
      </c>
      <c r="G1583" t="s">
        <v>33</v>
      </c>
      <c r="H1583" t="s">
        <v>25</v>
      </c>
      <c r="I1583" t="s">
        <v>68</v>
      </c>
      <c r="J1583" t="s">
        <v>60</v>
      </c>
      <c r="K1583">
        <v>13</v>
      </c>
      <c r="L1583">
        <v>82563</v>
      </c>
      <c r="M1583" t="s">
        <v>28</v>
      </c>
      <c r="N1583">
        <v>1</v>
      </c>
      <c r="O1583">
        <v>4</v>
      </c>
      <c r="P1583">
        <v>12</v>
      </c>
      <c r="Q1583">
        <v>2</v>
      </c>
      <c r="R1583" s="1">
        <v>40482</v>
      </c>
      <c r="S1583" t="s">
        <v>29</v>
      </c>
      <c r="T1583" t="str">
        <f t="shared" si="120"/>
        <v>Grade A</v>
      </c>
      <c r="U1583">
        <f t="shared" si="121"/>
        <v>3</v>
      </c>
      <c r="V1583" t="str">
        <f t="shared" si="122"/>
        <v>Senior</v>
      </c>
      <c r="W1583" t="str">
        <f t="shared" si="123"/>
        <v>Medium Risk</v>
      </c>
      <c r="X1583" t="str">
        <f t="shared" si="124"/>
        <v>Competitive</v>
      </c>
    </row>
    <row r="1584" spans="1:24" x14ac:dyDescent="0.3">
      <c r="A1584" t="s">
        <v>1652</v>
      </c>
      <c r="B1584" t="s">
        <v>39</v>
      </c>
      <c r="C1584">
        <v>27</v>
      </c>
      <c r="D1584" t="s">
        <v>31</v>
      </c>
      <c r="E1584" t="s">
        <v>22</v>
      </c>
      <c r="F1584" t="s">
        <v>78</v>
      </c>
      <c r="G1584" t="s">
        <v>79</v>
      </c>
      <c r="H1584" t="s">
        <v>67</v>
      </c>
      <c r="I1584" t="s">
        <v>80</v>
      </c>
      <c r="J1584" t="s">
        <v>60</v>
      </c>
      <c r="K1584">
        <v>1</v>
      </c>
      <c r="L1584">
        <v>42963</v>
      </c>
      <c r="M1584" t="s">
        <v>36</v>
      </c>
      <c r="N1584">
        <v>1</v>
      </c>
      <c r="O1584">
        <v>1</v>
      </c>
      <c r="P1584">
        <v>18</v>
      </c>
      <c r="Q1584">
        <v>3</v>
      </c>
      <c r="R1584" s="1">
        <v>44627</v>
      </c>
      <c r="S1584" t="s">
        <v>29</v>
      </c>
      <c r="T1584" t="str">
        <f t="shared" si="120"/>
        <v>Grade C</v>
      </c>
      <c r="U1584">
        <f t="shared" si="121"/>
        <v>1</v>
      </c>
      <c r="V1584" t="str">
        <f t="shared" si="122"/>
        <v>New Joiner</v>
      </c>
      <c r="W1584" t="str">
        <f t="shared" si="123"/>
        <v>High Risk</v>
      </c>
      <c r="X1584" t="str">
        <f t="shared" si="124"/>
        <v>Fair</v>
      </c>
    </row>
    <row r="1585" spans="1:24" x14ac:dyDescent="0.3">
      <c r="A1585" t="s">
        <v>1653</v>
      </c>
      <c r="B1585" t="s">
        <v>39</v>
      </c>
      <c r="C1585">
        <v>38</v>
      </c>
      <c r="D1585" t="s">
        <v>57</v>
      </c>
      <c r="E1585" t="s">
        <v>48</v>
      </c>
      <c r="F1585" t="s">
        <v>75</v>
      </c>
      <c r="G1585" t="s">
        <v>58</v>
      </c>
      <c r="H1585" t="s">
        <v>83</v>
      </c>
      <c r="I1585" t="s">
        <v>68</v>
      </c>
      <c r="J1585" t="s">
        <v>60</v>
      </c>
      <c r="K1585">
        <v>9</v>
      </c>
      <c r="L1585">
        <v>97408</v>
      </c>
      <c r="M1585" t="s">
        <v>51</v>
      </c>
      <c r="N1585">
        <v>4</v>
      </c>
      <c r="O1585">
        <v>2</v>
      </c>
      <c r="P1585">
        <v>38</v>
      </c>
      <c r="Q1585">
        <v>2</v>
      </c>
      <c r="R1585" s="1">
        <v>41829</v>
      </c>
      <c r="S1585" t="s">
        <v>29</v>
      </c>
      <c r="T1585" t="str">
        <f t="shared" si="120"/>
        <v>Grade A</v>
      </c>
      <c r="U1585">
        <f t="shared" si="121"/>
        <v>4</v>
      </c>
      <c r="V1585" t="str">
        <f t="shared" si="122"/>
        <v>Mid Level</v>
      </c>
      <c r="W1585" t="str">
        <f t="shared" si="123"/>
        <v>Low Risk</v>
      </c>
      <c r="X1585" t="str">
        <f t="shared" si="124"/>
        <v>Competitive</v>
      </c>
    </row>
    <row r="1586" spans="1:24" x14ac:dyDescent="0.3">
      <c r="A1586" t="s">
        <v>1654</v>
      </c>
      <c r="B1586" t="s">
        <v>20</v>
      </c>
      <c r="C1586">
        <v>52</v>
      </c>
      <c r="D1586" t="s">
        <v>88</v>
      </c>
      <c r="E1586" t="s">
        <v>22</v>
      </c>
      <c r="F1586" t="s">
        <v>32</v>
      </c>
      <c r="G1586" t="s">
        <v>79</v>
      </c>
      <c r="H1586" t="s">
        <v>25</v>
      </c>
      <c r="I1586" t="s">
        <v>80</v>
      </c>
      <c r="J1586" t="s">
        <v>60</v>
      </c>
      <c r="K1586">
        <v>15</v>
      </c>
      <c r="L1586">
        <v>79664</v>
      </c>
      <c r="M1586" t="s">
        <v>36</v>
      </c>
      <c r="N1586">
        <v>3</v>
      </c>
      <c r="O1586">
        <v>4</v>
      </c>
      <c r="P1586">
        <v>41</v>
      </c>
      <c r="Q1586">
        <v>3</v>
      </c>
      <c r="R1586" s="1">
        <v>39672</v>
      </c>
      <c r="S1586" t="s">
        <v>37</v>
      </c>
      <c r="T1586" t="str">
        <f t="shared" si="120"/>
        <v>Grade B</v>
      </c>
      <c r="U1586">
        <f t="shared" si="121"/>
        <v>1</v>
      </c>
      <c r="V1586" t="str">
        <f t="shared" si="122"/>
        <v>Senior</v>
      </c>
      <c r="W1586" t="str">
        <f t="shared" si="123"/>
        <v>Already Left</v>
      </c>
      <c r="X1586" t="str">
        <f t="shared" si="124"/>
        <v>Fair</v>
      </c>
    </row>
    <row r="1587" spans="1:24" x14ac:dyDescent="0.3">
      <c r="A1587" t="s">
        <v>1655</v>
      </c>
      <c r="B1587" t="s">
        <v>39</v>
      </c>
      <c r="C1587">
        <v>48</v>
      </c>
      <c r="D1587" t="s">
        <v>57</v>
      </c>
      <c r="E1587" t="s">
        <v>48</v>
      </c>
      <c r="F1587" t="s">
        <v>62</v>
      </c>
      <c r="G1587" t="s">
        <v>49</v>
      </c>
      <c r="H1587" t="s">
        <v>67</v>
      </c>
      <c r="I1587" t="s">
        <v>43</v>
      </c>
      <c r="J1587" t="s">
        <v>44</v>
      </c>
      <c r="K1587">
        <v>1</v>
      </c>
      <c r="L1587">
        <v>45002</v>
      </c>
      <c r="M1587" t="s">
        <v>28</v>
      </c>
      <c r="N1587">
        <v>2</v>
      </c>
      <c r="O1587">
        <v>2</v>
      </c>
      <c r="P1587">
        <v>49</v>
      </c>
      <c r="Q1587">
        <v>3</v>
      </c>
      <c r="R1587" s="1">
        <v>44573</v>
      </c>
      <c r="S1587" t="s">
        <v>29</v>
      </c>
      <c r="T1587" t="str">
        <f t="shared" si="120"/>
        <v>Grade C</v>
      </c>
      <c r="U1587">
        <f t="shared" si="121"/>
        <v>3</v>
      </c>
      <c r="V1587" t="str">
        <f t="shared" si="122"/>
        <v>New Joiner</v>
      </c>
      <c r="W1587" t="str">
        <f t="shared" si="123"/>
        <v>Medium Risk</v>
      </c>
      <c r="X1587" t="str">
        <f t="shared" si="124"/>
        <v>Fair</v>
      </c>
    </row>
    <row r="1588" spans="1:24" x14ac:dyDescent="0.3">
      <c r="A1588" t="s">
        <v>1656</v>
      </c>
      <c r="B1588" t="s">
        <v>39</v>
      </c>
      <c r="C1588">
        <v>24</v>
      </c>
      <c r="D1588" t="s">
        <v>47</v>
      </c>
      <c r="E1588" t="s">
        <v>22</v>
      </c>
      <c r="F1588" t="s">
        <v>65</v>
      </c>
      <c r="G1588" t="s">
        <v>33</v>
      </c>
      <c r="H1588" t="s">
        <v>25</v>
      </c>
      <c r="I1588" t="s">
        <v>35</v>
      </c>
      <c r="J1588" t="s">
        <v>27</v>
      </c>
      <c r="K1588">
        <v>12</v>
      </c>
      <c r="L1588">
        <v>78211</v>
      </c>
      <c r="M1588" t="s">
        <v>28</v>
      </c>
      <c r="N1588">
        <v>4</v>
      </c>
      <c r="O1588">
        <v>1</v>
      </c>
      <c r="P1588">
        <v>21</v>
      </c>
      <c r="Q1588">
        <v>2</v>
      </c>
      <c r="R1588" s="1">
        <v>40911</v>
      </c>
      <c r="S1588" t="s">
        <v>29</v>
      </c>
      <c r="T1588" t="str">
        <f t="shared" si="120"/>
        <v>Grade B</v>
      </c>
      <c r="U1588">
        <f t="shared" si="121"/>
        <v>3</v>
      </c>
      <c r="V1588" t="str">
        <f t="shared" si="122"/>
        <v>Senior</v>
      </c>
      <c r="W1588" t="str">
        <f t="shared" si="123"/>
        <v>Medium Risk</v>
      </c>
      <c r="X1588" t="str">
        <f t="shared" si="124"/>
        <v>Competitive</v>
      </c>
    </row>
    <row r="1589" spans="1:24" x14ac:dyDescent="0.3">
      <c r="A1589" t="s">
        <v>1657</v>
      </c>
      <c r="B1589" t="s">
        <v>39</v>
      </c>
      <c r="C1589">
        <v>31</v>
      </c>
      <c r="D1589" t="s">
        <v>57</v>
      </c>
      <c r="E1589" t="s">
        <v>22</v>
      </c>
      <c r="F1589" t="s">
        <v>23</v>
      </c>
      <c r="G1589" t="s">
        <v>58</v>
      </c>
      <c r="H1589" t="s">
        <v>25</v>
      </c>
      <c r="I1589" t="s">
        <v>43</v>
      </c>
      <c r="J1589" t="s">
        <v>44</v>
      </c>
      <c r="K1589">
        <v>10</v>
      </c>
      <c r="L1589">
        <v>113332</v>
      </c>
      <c r="M1589" t="s">
        <v>51</v>
      </c>
      <c r="N1589">
        <v>4</v>
      </c>
      <c r="O1589">
        <v>2</v>
      </c>
      <c r="P1589">
        <v>17</v>
      </c>
      <c r="Q1589">
        <v>1</v>
      </c>
      <c r="R1589" s="1">
        <v>41499</v>
      </c>
      <c r="S1589" t="s">
        <v>29</v>
      </c>
      <c r="T1589" t="str">
        <f t="shared" si="120"/>
        <v>Grade A</v>
      </c>
      <c r="U1589">
        <f t="shared" si="121"/>
        <v>4</v>
      </c>
      <c r="V1589" t="str">
        <f t="shared" si="122"/>
        <v>Mid Level</v>
      </c>
      <c r="W1589" t="str">
        <f t="shared" si="123"/>
        <v>Low Risk</v>
      </c>
      <c r="X1589" t="str">
        <f t="shared" si="124"/>
        <v>Competitive</v>
      </c>
    </row>
    <row r="1590" spans="1:24" x14ac:dyDescent="0.3">
      <c r="A1590" t="s">
        <v>1658</v>
      </c>
      <c r="B1590" t="s">
        <v>39</v>
      </c>
      <c r="C1590">
        <v>24</v>
      </c>
      <c r="D1590" t="s">
        <v>88</v>
      </c>
      <c r="E1590" t="s">
        <v>22</v>
      </c>
      <c r="F1590" t="s">
        <v>65</v>
      </c>
      <c r="G1590" t="s">
        <v>49</v>
      </c>
      <c r="H1590" t="s">
        <v>76</v>
      </c>
      <c r="I1590" t="s">
        <v>59</v>
      </c>
      <c r="J1590" t="s">
        <v>60</v>
      </c>
      <c r="K1590">
        <v>7</v>
      </c>
      <c r="L1590">
        <v>54421</v>
      </c>
      <c r="M1590" t="s">
        <v>28</v>
      </c>
      <c r="N1590">
        <v>2</v>
      </c>
      <c r="O1590">
        <v>1</v>
      </c>
      <c r="P1590">
        <v>80</v>
      </c>
      <c r="Q1590">
        <v>3</v>
      </c>
      <c r="R1590" s="1">
        <v>42708</v>
      </c>
      <c r="S1590" t="s">
        <v>37</v>
      </c>
      <c r="T1590" t="str">
        <f t="shared" si="120"/>
        <v>Grade B</v>
      </c>
      <c r="U1590">
        <f t="shared" si="121"/>
        <v>3</v>
      </c>
      <c r="V1590" t="str">
        <f t="shared" si="122"/>
        <v>Mid Level</v>
      </c>
      <c r="W1590" t="str">
        <f t="shared" si="123"/>
        <v>Already Left</v>
      </c>
      <c r="X1590" t="str">
        <f t="shared" si="124"/>
        <v>Competitive</v>
      </c>
    </row>
    <row r="1591" spans="1:24" x14ac:dyDescent="0.3">
      <c r="A1591" t="s">
        <v>1659</v>
      </c>
      <c r="B1591" t="s">
        <v>39</v>
      </c>
      <c r="C1591">
        <v>43</v>
      </c>
      <c r="D1591" t="s">
        <v>31</v>
      </c>
      <c r="E1591" t="s">
        <v>22</v>
      </c>
      <c r="F1591" t="s">
        <v>41</v>
      </c>
      <c r="G1591" t="s">
        <v>58</v>
      </c>
      <c r="H1591" t="s">
        <v>83</v>
      </c>
      <c r="I1591" t="s">
        <v>35</v>
      </c>
      <c r="J1591" t="s">
        <v>27</v>
      </c>
      <c r="K1591">
        <v>14</v>
      </c>
      <c r="L1591">
        <v>108684</v>
      </c>
      <c r="M1591" t="s">
        <v>45</v>
      </c>
      <c r="N1591">
        <v>3</v>
      </c>
      <c r="O1591">
        <v>2</v>
      </c>
      <c r="P1591">
        <v>16</v>
      </c>
      <c r="Q1591">
        <v>1</v>
      </c>
      <c r="R1591" s="1">
        <v>39853</v>
      </c>
      <c r="S1591" t="s">
        <v>29</v>
      </c>
      <c r="T1591" t="str">
        <f t="shared" si="120"/>
        <v>Grade A</v>
      </c>
      <c r="U1591">
        <f t="shared" si="121"/>
        <v>2</v>
      </c>
      <c r="V1591" t="str">
        <f t="shared" si="122"/>
        <v>Senior</v>
      </c>
      <c r="W1591" t="str">
        <f t="shared" si="123"/>
        <v>Medium Risk</v>
      </c>
      <c r="X1591" t="str">
        <f t="shared" si="124"/>
        <v>Fair</v>
      </c>
    </row>
    <row r="1592" spans="1:24" x14ac:dyDescent="0.3">
      <c r="A1592" t="s">
        <v>1660</v>
      </c>
      <c r="B1592" t="s">
        <v>39</v>
      </c>
      <c r="C1592">
        <v>23</v>
      </c>
      <c r="D1592" t="s">
        <v>88</v>
      </c>
      <c r="E1592" t="s">
        <v>22</v>
      </c>
      <c r="F1592" t="s">
        <v>62</v>
      </c>
      <c r="G1592" t="s">
        <v>63</v>
      </c>
      <c r="H1592" t="s">
        <v>67</v>
      </c>
      <c r="I1592" t="s">
        <v>50</v>
      </c>
      <c r="J1592" t="s">
        <v>44</v>
      </c>
      <c r="K1592">
        <v>7</v>
      </c>
      <c r="L1592">
        <v>51900</v>
      </c>
      <c r="M1592" t="s">
        <v>36</v>
      </c>
      <c r="N1592">
        <v>2</v>
      </c>
      <c r="O1592">
        <v>2</v>
      </c>
      <c r="P1592">
        <v>64</v>
      </c>
      <c r="Q1592">
        <v>0</v>
      </c>
      <c r="R1592" s="1">
        <v>42536</v>
      </c>
      <c r="S1592" t="s">
        <v>37</v>
      </c>
      <c r="T1592" t="str">
        <f t="shared" si="120"/>
        <v>Grade B</v>
      </c>
      <c r="U1592">
        <f t="shared" si="121"/>
        <v>1</v>
      </c>
      <c r="V1592" t="str">
        <f t="shared" si="122"/>
        <v>Mid Level</v>
      </c>
      <c r="W1592" t="str">
        <f t="shared" si="123"/>
        <v>Already Left</v>
      </c>
      <c r="X1592" t="str">
        <f t="shared" si="124"/>
        <v>Fair</v>
      </c>
    </row>
    <row r="1593" spans="1:24" x14ac:dyDescent="0.3">
      <c r="A1593" t="s">
        <v>1661</v>
      </c>
      <c r="B1593" t="s">
        <v>39</v>
      </c>
      <c r="C1593">
        <v>27</v>
      </c>
      <c r="D1593" t="s">
        <v>21</v>
      </c>
      <c r="E1593" t="s">
        <v>48</v>
      </c>
      <c r="F1593" t="s">
        <v>62</v>
      </c>
      <c r="G1593" t="s">
        <v>33</v>
      </c>
      <c r="H1593" t="s">
        <v>76</v>
      </c>
      <c r="I1593" t="s">
        <v>72</v>
      </c>
      <c r="J1593" t="s">
        <v>73</v>
      </c>
      <c r="K1593">
        <v>13</v>
      </c>
      <c r="L1593">
        <v>76122</v>
      </c>
      <c r="M1593" t="s">
        <v>45</v>
      </c>
      <c r="N1593">
        <v>2</v>
      </c>
      <c r="O1593">
        <v>2</v>
      </c>
      <c r="P1593">
        <v>11</v>
      </c>
      <c r="Q1593">
        <v>3</v>
      </c>
      <c r="R1593" s="1">
        <v>40435</v>
      </c>
      <c r="S1593" t="s">
        <v>29</v>
      </c>
      <c r="T1593" t="str">
        <f t="shared" si="120"/>
        <v>Grade B</v>
      </c>
      <c r="U1593">
        <f t="shared" si="121"/>
        <v>2</v>
      </c>
      <c r="V1593" t="str">
        <f t="shared" si="122"/>
        <v>Senior</v>
      </c>
      <c r="W1593" t="str">
        <f t="shared" si="123"/>
        <v>Medium Risk</v>
      </c>
      <c r="X1593" t="str">
        <f t="shared" si="124"/>
        <v>Fair</v>
      </c>
    </row>
    <row r="1594" spans="1:24" x14ac:dyDescent="0.3">
      <c r="A1594" t="s">
        <v>1662</v>
      </c>
      <c r="B1594" t="s">
        <v>39</v>
      </c>
      <c r="C1594">
        <v>41</v>
      </c>
      <c r="D1594" t="s">
        <v>47</v>
      </c>
      <c r="E1594" t="s">
        <v>40</v>
      </c>
      <c r="F1594" t="s">
        <v>32</v>
      </c>
      <c r="G1594" t="s">
        <v>42</v>
      </c>
      <c r="H1594" t="s">
        <v>34</v>
      </c>
      <c r="I1594" t="s">
        <v>96</v>
      </c>
      <c r="J1594" t="s">
        <v>44</v>
      </c>
      <c r="K1594">
        <v>10</v>
      </c>
      <c r="L1594">
        <v>109571</v>
      </c>
      <c r="M1594" t="s">
        <v>36</v>
      </c>
      <c r="N1594">
        <v>4</v>
      </c>
      <c r="O1594">
        <v>2</v>
      </c>
      <c r="P1594">
        <v>70</v>
      </c>
      <c r="Q1594">
        <v>3</v>
      </c>
      <c r="R1594" s="1">
        <v>41343</v>
      </c>
      <c r="S1594" t="s">
        <v>29</v>
      </c>
      <c r="T1594" t="str">
        <f t="shared" si="120"/>
        <v>Grade A</v>
      </c>
      <c r="U1594">
        <f t="shared" si="121"/>
        <v>1</v>
      </c>
      <c r="V1594" t="str">
        <f t="shared" si="122"/>
        <v>Mid Level</v>
      </c>
      <c r="W1594" t="str">
        <f t="shared" si="123"/>
        <v>Medium Risk</v>
      </c>
      <c r="X1594" t="str">
        <f t="shared" si="124"/>
        <v>Overpaid</v>
      </c>
    </row>
    <row r="1595" spans="1:24" x14ac:dyDescent="0.3">
      <c r="A1595" t="s">
        <v>1663</v>
      </c>
      <c r="B1595" t="s">
        <v>20</v>
      </c>
      <c r="C1595">
        <v>52</v>
      </c>
      <c r="D1595" t="s">
        <v>57</v>
      </c>
      <c r="E1595" t="s">
        <v>22</v>
      </c>
      <c r="F1595" t="s">
        <v>23</v>
      </c>
      <c r="G1595" t="s">
        <v>33</v>
      </c>
      <c r="H1595" t="s">
        <v>83</v>
      </c>
      <c r="I1595" t="s">
        <v>72</v>
      </c>
      <c r="J1595" t="s">
        <v>73</v>
      </c>
      <c r="K1595">
        <v>13</v>
      </c>
      <c r="L1595">
        <v>89996</v>
      </c>
      <c r="M1595" t="s">
        <v>36</v>
      </c>
      <c r="N1595">
        <v>2</v>
      </c>
      <c r="O1595">
        <v>4</v>
      </c>
      <c r="P1595">
        <v>40</v>
      </c>
      <c r="Q1595">
        <v>3</v>
      </c>
      <c r="R1595" s="1">
        <v>40497</v>
      </c>
      <c r="S1595" t="s">
        <v>29</v>
      </c>
      <c r="T1595" t="str">
        <f t="shared" si="120"/>
        <v>Grade A</v>
      </c>
      <c r="U1595">
        <f t="shared" si="121"/>
        <v>1</v>
      </c>
      <c r="V1595" t="str">
        <f t="shared" si="122"/>
        <v>Senior</v>
      </c>
      <c r="W1595" t="str">
        <f t="shared" si="123"/>
        <v>Medium Risk</v>
      </c>
      <c r="X1595" t="str">
        <f t="shared" si="124"/>
        <v>Overpaid</v>
      </c>
    </row>
    <row r="1596" spans="1:24" x14ac:dyDescent="0.3">
      <c r="A1596" t="s">
        <v>1664</v>
      </c>
      <c r="B1596" t="s">
        <v>39</v>
      </c>
      <c r="C1596">
        <v>32</v>
      </c>
      <c r="D1596" t="s">
        <v>47</v>
      </c>
      <c r="E1596" t="s">
        <v>48</v>
      </c>
      <c r="F1596" t="s">
        <v>65</v>
      </c>
      <c r="G1596" t="s">
        <v>63</v>
      </c>
      <c r="H1596" t="s">
        <v>83</v>
      </c>
      <c r="I1596" t="s">
        <v>35</v>
      </c>
      <c r="J1596" t="s">
        <v>27</v>
      </c>
      <c r="K1596">
        <v>12</v>
      </c>
      <c r="L1596">
        <v>64290</v>
      </c>
      <c r="M1596" t="s">
        <v>51</v>
      </c>
      <c r="N1596">
        <v>4</v>
      </c>
      <c r="O1596">
        <v>4</v>
      </c>
      <c r="P1596">
        <v>66</v>
      </c>
      <c r="Q1596">
        <v>0</v>
      </c>
      <c r="R1596" s="1">
        <v>40707</v>
      </c>
      <c r="S1596" t="s">
        <v>29</v>
      </c>
      <c r="T1596" t="str">
        <f t="shared" si="120"/>
        <v>Grade B</v>
      </c>
      <c r="U1596">
        <f t="shared" si="121"/>
        <v>4</v>
      </c>
      <c r="V1596" t="str">
        <f t="shared" si="122"/>
        <v>Senior</v>
      </c>
      <c r="W1596" t="str">
        <f t="shared" si="123"/>
        <v>Low Risk</v>
      </c>
      <c r="X1596" t="str">
        <f t="shared" si="124"/>
        <v>Fair</v>
      </c>
    </row>
    <row r="1597" spans="1:24" x14ac:dyDescent="0.3">
      <c r="A1597" t="s">
        <v>1665</v>
      </c>
      <c r="B1597" t="s">
        <v>39</v>
      </c>
      <c r="C1597">
        <v>51</v>
      </c>
      <c r="D1597" t="s">
        <v>31</v>
      </c>
      <c r="E1597" t="s">
        <v>40</v>
      </c>
      <c r="F1597" t="s">
        <v>32</v>
      </c>
      <c r="G1597" t="s">
        <v>63</v>
      </c>
      <c r="H1597" t="s">
        <v>76</v>
      </c>
      <c r="I1597" t="s">
        <v>54</v>
      </c>
      <c r="J1597" t="s">
        <v>27</v>
      </c>
      <c r="K1597">
        <v>2</v>
      </c>
      <c r="L1597">
        <v>49645</v>
      </c>
      <c r="M1597" t="s">
        <v>36</v>
      </c>
      <c r="N1597">
        <v>2</v>
      </c>
      <c r="O1597">
        <v>3</v>
      </c>
      <c r="P1597">
        <v>78</v>
      </c>
      <c r="Q1597">
        <v>0</v>
      </c>
      <c r="R1597" s="1">
        <v>44281</v>
      </c>
      <c r="S1597" t="s">
        <v>37</v>
      </c>
      <c r="T1597" t="str">
        <f t="shared" si="120"/>
        <v>Grade C</v>
      </c>
      <c r="U1597">
        <f t="shared" si="121"/>
        <v>1</v>
      </c>
      <c r="V1597" t="str">
        <f t="shared" si="122"/>
        <v>New Joiner</v>
      </c>
      <c r="W1597" t="str">
        <f t="shared" si="123"/>
        <v>Already Left</v>
      </c>
      <c r="X1597" t="str">
        <f t="shared" si="124"/>
        <v>Fair</v>
      </c>
    </row>
    <row r="1598" spans="1:24" x14ac:dyDescent="0.3">
      <c r="A1598" t="s">
        <v>1666</v>
      </c>
      <c r="B1598" t="s">
        <v>20</v>
      </c>
      <c r="C1598">
        <v>46</v>
      </c>
      <c r="D1598" t="s">
        <v>31</v>
      </c>
      <c r="E1598" t="s">
        <v>22</v>
      </c>
      <c r="F1598" t="s">
        <v>65</v>
      </c>
      <c r="G1598" t="s">
        <v>33</v>
      </c>
      <c r="H1598" t="s">
        <v>25</v>
      </c>
      <c r="I1598" t="s">
        <v>68</v>
      </c>
      <c r="J1598" t="s">
        <v>60</v>
      </c>
      <c r="K1598">
        <v>8</v>
      </c>
      <c r="L1598">
        <v>70990</v>
      </c>
      <c r="M1598" t="s">
        <v>36</v>
      </c>
      <c r="N1598">
        <v>2</v>
      </c>
      <c r="O1598">
        <v>3</v>
      </c>
      <c r="P1598">
        <v>78</v>
      </c>
      <c r="Q1598">
        <v>0</v>
      </c>
      <c r="R1598" s="1">
        <v>42064</v>
      </c>
      <c r="S1598" t="s">
        <v>37</v>
      </c>
      <c r="T1598" t="str">
        <f t="shared" si="120"/>
        <v>Grade B</v>
      </c>
      <c r="U1598">
        <f t="shared" si="121"/>
        <v>1</v>
      </c>
      <c r="V1598" t="str">
        <f t="shared" si="122"/>
        <v>Mid Level</v>
      </c>
      <c r="W1598" t="str">
        <f t="shared" si="123"/>
        <v>Already Left</v>
      </c>
      <c r="X1598" t="str">
        <f t="shared" si="124"/>
        <v>Fair</v>
      </c>
    </row>
    <row r="1599" spans="1:24" x14ac:dyDescent="0.3">
      <c r="A1599" t="s">
        <v>1667</v>
      </c>
      <c r="B1599" t="s">
        <v>20</v>
      </c>
      <c r="C1599">
        <v>34</v>
      </c>
      <c r="D1599" t="s">
        <v>88</v>
      </c>
      <c r="E1599" t="s">
        <v>22</v>
      </c>
      <c r="F1599" t="s">
        <v>23</v>
      </c>
      <c r="G1599" t="s">
        <v>33</v>
      </c>
      <c r="H1599" t="s">
        <v>83</v>
      </c>
      <c r="I1599" t="s">
        <v>72</v>
      </c>
      <c r="J1599" t="s">
        <v>73</v>
      </c>
      <c r="K1599">
        <v>2</v>
      </c>
      <c r="L1599">
        <v>57583</v>
      </c>
      <c r="M1599" t="s">
        <v>45</v>
      </c>
      <c r="N1599">
        <v>2</v>
      </c>
      <c r="O1599">
        <v>3</v>
      </c>
      <c r="P1599">
        <v>60</v>
      </c>
      <c r="Q1599">
        <v>2</v>
      </c>
      <c r="R1599" s="1">
        <v>44394</v>
      </c>
      <c r="S1599" t="s">
        <v>29</v>
      </c>
      <c r="T1599" t="str">
        <f t="shared" si="120"/>
        <v>Grade B</v>
      </c>
      <c r="U1599">
        <f t="shared" si="121"/>
        <v>2</v>
      </c>
      <c r="V1599" t="str">
        <f t="shared" si="122"/>
        <v>New Joiner</v>
      </c>
      <c r="W1599" t="str">
        <f t="shared" si="123"/>
        <v>Medium Risk</v>
      </c>
      <c r="X1599" t="str">
        <f t="shared" si="124"/>
        <v>Fair</v>
      </c>
    </row>
    <row r="1600" spans="1:24" x14ac:dyDescent="0.3">
      <c r="A1600" t="s">
        <v>1668</v>
      </c>
      <c r="B1600" t="s">
        <v>39</v>
      </c>
      <c r="C1600">
        <v>45</v>
      </c>
      <c r="D1600" t="s">
        <v>21</v>
      </c>
      <c r="E1600" t="s">
        <v>22</v>
      </c>
      <c r="F1600" t="s">
        <v>78</v>
      </c>
      <c r="G1600" t="s">
        <v>42</v>
      </c>
      <c r="H1600" t="s">
        <v>83</v>
      </c>
      <c r="I1600" t="s">
        <v>26</v>
      </c>
      <c r="J1600" t="s">
        <v>27</v>
      </c>
      <c r="K1600">
        <v>14</v>
      </c>
      <c r="L1600">
        <v>130222</v>
      </c>
      <c r="M1600" t="s">
        <v>51</v>
      </c>
      <c r="N1600">
        <v>2</v>
      </c>
      <c r="O1600">
        <v>3</v>
      </c>
      <c r="P1600">
        <v>44</v>
      </c>
      <c r="Q1600">
        <v>1</v>
      </c>
      <c r="R1600" s="1">
        <v>40162</v>
      </c>
      <c r="S1600" t="s">
        <v>29</v>
      </c>
      <c r="T1600" t="str">
        <f t="shared" si="120"/>
        <v>Grade A</v>
      </c>
      <c r="U1600">
        <f t="shared" si="121"/>
        <v>4</v>
      </c>
      <c r="V1600" t="str">
        <f t="shared" si="122"/>
        <v>Senior</v>
      </c>
      <c r="W1600" t="str">
        <f t="shared" si="123"/>
        <v>Low Risk</v>
      </c>
      <c r="X1600" t="str">
        <f t="shared" si="124"/>
        <v>Competitive</v>
      </c>
    </row>
    <row r="1601" spans="1:24" x14ac:dyDescent="0.3">
      <c r="A1601" t="s">
        <v>1669</v>
      </c>
      <c r="B1601" t="s">
        <v>39</v>
      </c>
      <c r="C1601">
        <v>34</v>
      </c>
      <c r="D1601" t="s">
        <v>21</v>
      </c>
      <c r="E1601" t="s">
        <v>22</v>
      </c>
      <c r="F1601" t="s">
        <v>78</v>
      </c>
      <c r="G1601" t="s">
        <v>33</v>
      </c>
      <c r="H1601" t="s">
        <v>34</v>
      </c>
      <c r="I1601" t="s">
        <v>35</v>
      </c>
      <c r="J1601" t="s">
        <v>27</v>
      </c>
      <c r="K1601">
        <v>6</v>
      </c>
      <c r="L1601">
        <v>63631</v>
      </c>
      <c r="M1601" t="s">
        <v>36</v>
      </c>
      <c r="N1601">
        <v>1</v>
      </c>
      <c r="O1601">
        <v>2</v>
      </c>
      <c r="P1601">
        <v>53</v>
      </c>
      <c r="Q1601">
        <v>0</v>
      </c>
      <c r="R1601" s="1">
        <v>43094</v>
      </c>
      <c r="S1601" t="s">
        <v>29</v>
      </c>
      <c r="T1601" t="str">
        <f t="shared" si="120"/>
        <v>Grade B</v>
      </c>
      <c r="U1601">
        <f t="shared" si="121"/>
        <v>1</v>
      </c>
      <c r="V1601" t="str">
        <f t="shared" si="122"/>
        <v>Mid Level</v>
      </c>
      <c r="W1601" t="str">
        <f t="shared" si="123"/>
        <v>Medium Risk</v>
      </c>
      <c r="X1601" t="str">
        <f t="shared" si="124"/>
        <v>Fair</v>
      </c>
    </row>
    <row r="1602" spans="1:24" x14ac:dyDescent="0.3">
      <c r="A1602" t="s">
        <v>1670</v>
      </c>
      <c r="B1602" t="s">
        <v>20</v>
      </c>
      <c r="C1602">
        <v>31</v>
      </c>
      <c r="D1602" t="s">
        <v>47</v>
      </c>
      <c r="E1602" t="s">
        <v>22</v>
      </c>
      <c r="F1602" t="s">
        <v>75</v>
      </c>
      <c r="G1602" t="s">
        <v>24</v>
      </c>
      <c r="H1602" t="s">
        <v>83</v>
      </c>
      <c r="I1602" t="s">
        <v>26</v>
      </c>
      <c r="J1602" t="s">
        <v>27</v>
      </c>
      <c r="K1602">
        <v>5</v>
      </c>
      <c r="L1602">
        <v>93730</v>
      </c>
      <c r="M1602" t="s">
        <v>36</v>
      </c>
      <c r="N1602">
        <v>2</v>
      </c>
      <c r="O1602">
        <v>2</v>
      </c>
      <c r="P1602">
        <v>62</v>
      </c>
      <c r="Q1602">
        <v>1</v>
      </c>
      <c r="R1602" s="1">
        <v>43129</v>
      </c>
      <c r="S1602" t="s">
        <v>37</v>
      </c>
      <c r="T1602" t="str">
        <f t="shared" ref="T1602:T1665" si="125">IF(L1602&gt;=80000,"Grade A",IF(L1602&gt;=50000,"Grade B",IF(L1602&gt;=35000,"Grade C","Grade D")))</f>
        <v>Grade A</v>
      </c>
      <c r="U1602">
        <f t="shared" ref="U1602:U1665" si="126">IF(M1602="Excellent",4,IF(M1602="Good",3,IF(M1602="Average",2,1)))</f>
        <v>1</v>
      </c>
      <c r="V1602" t="str">
        <f t="shared" ref="V1602:V1665" si="127">IF(K1602&lt;=2,"New Joiner",IF(K1602&lt;=5,"Junior",IF(K1602&lt;=10,"Mid Level","Senior")))</f>
        <v>Junior</v>
      </c>
      <c r="W1602" t="str">
        <f t="shared" ref="W1602:W1665" si="128">IF(S1602="Yes","Already Left",IF(AND(K1602&lt;=2,M1602="Poor"),"High Risk",IF(AND(K1602&lt;=5,M1602="Average"),"Medium Risk",IF(M1602="Excellent","Low Risk","Medium Risk"))))</f>
        <v>Already Left</v>
      </c>
      <c r="X1602" t="str">
        <f t="shared" ref="X1602:X1665" si="129">IF(AND(L1602&gt;=80000,M1602="Excellent"),"Competitive",IF(AND(L1602&gt;=50000,M1602="Good"),"Competitive",IF(AND(L1602&lt;35000,M1602="Excellent"),"Underpaid",IF(AND(L1602&gt;=80000,M1602="Poor"),"Overpaid","Fair"))))</f>
        <v>Overpaid</v>
      </c>
    </row>
    <row r="1603" spans="1:24" x14ac:dyDescent="0.3">
      <c r="A1603" t="s">
        <v>1671</v>
      </c>
      <c r="B1603" t="s">
        <v>39</v>
      </c>
      <c r="C1603">
        <v>23</v>
      </c>
      <c r="D1603" t="s">
        <v>47</v>
      </c>
      <c r="E1603" t="s">
        <v>48</v>
      </c>
      <c r="F1603" t="s">
        <v>23</v>
      </c>
      <c r="G1603" t="s">
        <v>58</v>
      </c>
      <c r="H1603" t="s">
        <v>76</v>
      </c>
      <c r="I1603" t="s">
        <v>26</v>
      </c>
      <c r="J1603" t="s">
        <v>27</v>
      </c>
      <c r="K1603">
        <v>15</v>
      </c>
      <c r="L1603">
        <v>105446</v>
      </c>
      <c r="M1603" t="s">
        <v>28</v>
      </c>
      <c r="N1603">
        <v>2</v>
      </c>
      <c r="O1603">
        <v>4</v>
      </c>
      <c r="P1603">
        <v>64</v>
      </c>
      <c r="Q1603">
        <v>1</v>
      </c>
      <c r="R1603" s="1">
        <v>39490</v>
      </c>
      <c r="S1603" t="s">
        <v>29</v>
      </c>
      <c r="T1603" t="str">
        <f t="shared" si="125"/>
        <v>Grade A</v>
      </c>
      <c r="U1603">
        <f t="shared" si="126"/>
        <v>3</v>
      </c>
      <c r="V1603" t="str">
        <f t="shared" si="127"/>
        <v>Senior</v>
      </c>
      <c r="W1603" t="str">
        <f t="shared" si="128"/>
        <v>Medium Risk</v>
      </c>
      <c r="X1603" t="str">
        <f t="shared" si="129"/>
        <v>Competitive</v>
      </c>
    </row>
    <row r="1604" spans="1:24" x14ac:dyDescent="0.3">
      <c r="A1604" t="s">
        <v>1672</v>
      </c>
      <c r="B1604" t="s">
        <v>39</v>
      </c>
      <c r="C1604">
        <v>39</v>
      </c>
      <c r="D1604" t="s">
        <v>31</v>
      </c>
      <c r="E1604" t="s">
        <v>48</v>
      </c>
      <c r="F1604" t="s">
        <v>78</v>
      </c>
      <c r="G1604" t="s">
        <v>42</v>
      </c>
      <c r="H1604" t="s">
        <v>25</v>
      </c>
      <c r="I1604" t="s">
        <v>80</v>
      </c>
      <c r="J1604" t="s">
        <v>60</v>
      </c>
      <c r="K1604">
        <v>8</v>
      </c>
      <c r="L1604">
        <v>101815</v>
      </c>
      <c r="M1604" t="s">
        <v>28</v>
      </c>
      <c r="N1604">
        <v>3</v>
      </c>
      <c r="O1604">
        <v>4</v>
      </c>
      <c r="P1604">
        <v>73</v>
      </c>
      <c r="Q1604">
        <v>2</v>
      </c>
      <c r="R1604" s="1">
        <v>42119</v>
      </c>
      <c r="S1604" t="s">
        <v>29</v>
      </c>
      <c r="T1604" t="str">
        <f t="shared" si="125"/>
        <v>Grade A</v>
      </c>
      <c r="U1604">
        <f t="shared" si="126"/>
        <v>3</v>
      </c>
      <c r="V1604" t="str">
        <f t="shared" si="127"/>
        <v>Mid Level</v>
      </c>
      <c r="W1604" t="str">
        <f t="shared" si="128"/>
        <v>Medium Risk</v>
      </c>
      <c r="X1604" t="str">
        <f t="shared" si="129"/>
        <v>Competitive</v>
      </c>
    </row>
    <row r="1605" spans="1:24" x14ac:dyDescent="0.3">
      <c r="A1605" t="s">
        <v>1673</v>
      </c>
      <c r="B1605" t="s">
        <v>39</v>
      </c>
      <c r="C1605">
        <v>38</v>
      </c>
      <c r="D1605" t="s">
        <v>31</v>
      </c>
      <c r="E1605" t="s">
        <v>40</v>
      </c>
      <c r="F1605" t="s">
        <v>75</v>
      </c>
      <c r="G1605" t="s">
        <v>49</v>
      </c>
      <c r="H1605" t="s">
        <v>34</v>
      </c>
      <c r="I1605" t="s">
        <v>50</v>
      </c>
      <c r="J1605" t="s">
        <v>44</v>
      </c>
      <c r="K1605">
        <v>13</v>
      </c>
      <c r="L1605">
        <v>77858</v>
      </c>
      <c r="M1605" t="s">
        <v>36</v>
      </c>
      <c r="N1605">
        <v>1</v>
      </c>
      <c r="O1605">
        <v>3</v>
      </c>
      <c r="P1605">
        <v>58</v>
      </c>
      <c r="Q1605">
        <v>3</v>
      </c>
      <c r="R1605" s="1">
        <v>40357</v>
      </c>
      <c r="S1605" t="s">
        <v>37</v>
      </c>
      <c r="T1605" t="str">
        <f t="shared" si="125"/>
        <v>Grade B</v>
      </c>
      <c r="U1605">
        <f t="shared" si="126"/>
        <v>1</v>
      </c>
      <c r="V1605" t="str">
        <f t="shared" si="127"/>
        <v>Senior</v>
      </c>
      <c r="W1605" t="str">
        <f t="shared" si="128"/>
        <v>Already Left</v>
      </c>
      <c r="X1605" t="str">
        <f t="shared" si="129"/>
        <v>Fair</v>
      </c>
    </row>
    <row r="1606" spans="1:24" x14ac:dyDescent="0.3">
      <c r="A1606" t="s">
        <v>1674</v>
      </c>
      <c r="B1606" t="s">
        <v>39</v>
      </c>
      <c r="C1606">
        <v>44</v>
      </c>
      <c r="D1606" t="s">
        <v>88</v>
      </c>
      <c r="E1606" t="s">
        <v>48</v>
      </c>
      <c r="F1606" t="s">
        <v>75</v>
      </c>
      <c r="G1606" t="s">
        <v>42</v>
      </c>
      <c r="H1606" t="s">
        <v>25</v>
      </c>
      <c r="I1606" t="s">
        <v>35</v>
      </c>
      <c r="J1606" t="s">
        <v>27</v>
      </c>
      <c r="K1606">
        <v>11</v>
      </c>
      <c r="L1606">
        <v>123602</v>
      </c>
      <c r="M1606" t="s">
        <v>28</v>
      </c>
      <c r="N1606">
        <v>2</v>
      </c>
      <c r="O1606">
        <v>4</v>
      </c>
      <c r="P1606">
        <v>73</v>
      </c>
      <c r="Q1606">
        <v>1</v>
      </c>
      <c r="R1606" s="1">
        <v>41126</v>
      </c>
      <c r="S1606" t="s">
        <v>29</v>
      </c>
      <c r="T1606" t="str">
        <f t="shared" si="125"/>
        <v>Grade A</v>
      </c>
      <c r="U1606">
        <f t="shared" si="126"/>
        <v>3</v>
      </c>
      <c r="V1606" t="str">
        <f t="shared" si="127"/>
        <v>Senior</v>
      </c>
      <c r="W1606" t="str">
        <f t="shared" si="128"/>
        <v>Medium Risk</v>
      </c>
      <c r="X1606" t="str">
        <f t="shared" si="129"/>
        <v>Competitive</v>
      </c>
    </row>
    <row r="1607" spans="1:24" x14ac:dyDescent="0.3">
      <c r="A1607" t="s">
        <v>1675</v>
      </c>
      <c r="B1607" t="s">
        <v>20</v>
      </c>
      <c r="C1607">
        <v>55</v>
      </c>
      <c r="D1607" t="s">
        <v>57</v>
      </c>
      <c r="E1607" t="s">
        <v>22</v>
      </c>
      <c r="F1607" t="s">
        <v>75</v>
      </c>
      <c r="G1607" t="s">
        <v>24</v>
      </c>
      <c r="H1607" t="s">
        <v>25</v>
      </c>
      <c r="I1607" t="s">
        <v>43</v>
      </c>
      <c r="J1607" t="s">
        <v>44</v>
      </c>
      <c r="K1607">
        <v>4</v>
      </c>
      <c r="L1607">
        <v>73960</v>
      </c>
      <c r="M1607" t="s">
        <v>45</v>
      </c>
      <c r="N1607">
        <v>3</v>
      </c>
      <c r="O1607">
        <v>2</v>
      </c>
      <c r="P1607">
        <v>30</v>
      </c>
      <c r="Q1607">
        <v>3</v>
      </c>
      <c r="R1607" s="1">
        <v>43590</v>
      </c>
      <c r="S1607" t="s">
        <v>29</v>
      </c>
      <c r="T1607" t="str">
        <f t="shared" si="125"/>
        <v>Grade B</v>
      </c>
      <c r="U1607">
        <f t="shared" si="126"/>
        <v>2</v>
      </c>
      <c r="V1607" t="str">
        <f t="shared" si="127"/>
        <v>Junior</v>
      </c>
      <c r="W1607" t="str">
        <f t="shared" si="128"/>
        <v>Medium Risk</v>
      </c>
      <c r="X1607" t="str">
        <f t="shared" si="129"/>
        <v>Fair</v>
      </c>
    </row>
    <row r="1608" spans="1:24" x14ac:dyDescent="0.3">
      <c r="A1608" t="s">
        <v>1676</v>
      </c>
      <c r="B1608" t="s">
        <v>39</v>
      </c>
      <c r="C1608">
        <v>44</v>
      </c>
      <c r="D1608" t="s">
        <v>21</v>
      </c>
      <c r="E1608" t="s">
        <v>40</v>
      </c>
      <c r="F1608" t="s">
        <v>32</v>
      </c>
      <c r="G1608" t="s">
        <v>63</v>
      </c>
      <c r="H1608" t="s">
        <v>25</v>
      </c>
      <c r="I1608" t="s">
        <v>54</v>
      </c>
      <c r="J1608" t="s">
        <v>27</v>
      </c>
      <c r="K1608">
        <v>4</v>
      </c>
      <c r="L1608">
        <v>62564</v>
      </c>
      <c r="M1608" t="s">
        <v>45</v>
      </c>
      <c r="N1608">
        <v>3</v>
      </c>
      <c r="O1608">
        <v>3</v>
      </c>
      <c r="P1608">
        <v>17</v>
      </c>
      <c r="Q1608">
        <v>2</v>
      </c>
      <c r="R1608" s="1">
        <v>43558</v>
      </c>
      <c r="S1608" t="s">
        <v>29</v>
      </c>
      <c r="T1608" t="str">
        <f t="shared" si="125"/>
        <v>Grade B</v>
      </c>
      <c r="U1608">
        <f t="shared" si="126"/>
        <v>2</v>
      </c>
      <c r="V1608" t="str">
        <f t="shared" si="127"/>
        <v>Junior</v>
      </c>
      <c r="W1608" t="str">
        <f t="shared" si="128"/>
        <v>Medium Risk</v>
      </c>
      <c r="X1608" t="str">
        <f t="shared" si="129"/>
        <v>Fair</v>
      </c>
    </row>
    <row r="1609" spans="1:24" x14ac:dyDescent="0.3">
      <c r="A1609" t="s">
        <v>1677</v>
      </c>
      <c r="B1609" t="s">
        <v>20</v>
      </c>
      <c r="C1609">
        <v>34</v>
      </c>
      <c r="D1609" t="s">
        <v>31</v>
      </c>
      <c r="E1609" t="s">
        <v>22</v>
      </c>
      <c r="F1609" t="s">
        <v>53</v>
      </c>
      <c r="G1609" t="s">
        <v>33</v>
      </c>
      <c r="H1609" t="s">
        <v>34</v>
      </c>
      <c r="I1609" t="s">
        <v>50</v>
      </c>
      <c r="J1609" t="s">
        <v>44</v>
      </c>
      <c r="K1609">
        <v>7</v>
      </c>
      <c r="L1609">
        <v>69412</v>
      </c>
      <c r="M1609" t="s">
        <v>45</v>
      </c>
      <c r="N1609">
        <v>2</v>
      </c>
      <c r="O1609">
        <v>1</v>
      </c>
      <c r="P1609">
        <v>69</v>
      </c>
      <c r="Q1609">
        <v>3</v>
      </c>
      <c r="R1609" s="1">
        <v>42711</v>
      </c>
      <c r="S1609" t="s">
        <v>37</v>
      </c>
      <c r="T1609" t="str">
        <f t="shared" si="125"/>
        <v>Grade B</v>
      </c>
      <c r="U1609">
        <f t="shared" si="126"/>
        <v>2</v>
      </c>
      <c r="V1609" t="str">
        <f t="shared" si="127"/>
        <v>Mid Level</v>
      </c>
      <c r="W1609" t="str">
        <f t="shared" si="128"/>
        <v>Already Left</v>
      </c>
      <c r="X1609" t="str">
        <f t="shared" si="129"/>
        <v>Fair</v>
      </c>
    </row>
    <row r="1610" spans="1:24" x14ac:dyDescent="0.3">
      <c r="A1610" t="s">
        <v>1678</v>
      </c>
      <c r="B1610" t="s">
        <v>39</v>
      </c>
      <c r="C1610">
        <v>26</v>
      </c>
      <c r="D1610" t="s">
        <v>57</v>
      </c>
      <c r="E1610" t="s">
        <v>22</v>
      </c>
      <c r="F1610" t="s">
        <v>78</v>
      </c>
      <c r="G1610" t="s">
        <v>66</v>
      </c>
      <c r="H1610" t="s">
        <v>67</v>
      </c>
      <c r="I1610" t="s">
        <v>59</v>
      </c>
      <c r="J1610" t="s">
        <v>60</v>
      </c>
      <c r="K1610">
        <v>5</v>
      </c>
      <c r="L1610">
        <v>35156</v>
      </c>
      <c r="M1610" t="s">
        <v>45</v>
      </c>
      <c r="N1610">
        <v>3</v>
      </c>
      <c r="O1610">
        <v>3</v>
      </c>
      <c r="P1610">
        <v>24</v>
      </c>
      <c r="Q1610">
        <v>2</v>
      </c>
      <c r="R1610" s="1">
        <v>43180</v>
      </c>
      <c r="S1610" t="s">
        <v>29</v>
      </c>
      <c r="T1610" t="str">
        <f t="shared" si="125"/>
        <v>Grade C</v>
      </c>
      <c r="U1610">
        <f t="shared" si="126"/>
        <v>2</v>
      </c>
      <c r="V1610" t="str">
        <f t="shared" si="127"/>
        <v>Junior</v>
      </c>
      <c r="W1610" t="str">
        <f t="shared" si="128"/>
        <v>Medium Risk</v>
      </c>
      <c r="X1610" t="str">
        <f t="shared" si="129"/>
        <v>Fair</v>
      </c>
    </row>
    <row r="1611" spans="1:24" x14ac:dyDescent="0.3">
      <c r="A1611" t="s">
        <v>1679</v>
      </c>
      <c r="B1611" t="s">
        <v>20</v>
      </c>
      <c r="C1611">
        <v>35</v>
      </c>
      <c r="D1611" t="s">
        <v>31</v>
      </c>
      <c r="E1611" t="s">
        <v>22</v>
      </c>
      <c r="F1611" t="s">
        <v>53</v>
      </c>
      <c r="G1611" t="s">
        <v>58</v>
      </c>
      <c r="H1611" t="s">
        <v>83</v>
      </c>
      <c r="I1611" t="s">
        <v>50</v>
      </c>
      <c r="J1611" t="s">
        <v>44</v>
      </c>
      <c r="K1611">
        <v>6</v>
      </c>
      <c r="L1611">
        <v>93061</v>
      </c>
      <c r="M1611" t="s">
        <v>45</v>
      </c>
      <c r="N1611">
        <v>1</v>
      </c>
      <c r="O1611">
        <v>2</v>
      </c>
      <c r="P1611">
        <v>69</v>
      </c>
      <c r="Q1611">
        <v>2</v>
      </c>
      <c r="R1611" s="1">
        <v>43054</v>
      </c>
      <c r="S1611" t="s">
        <v>29</v>
      </c>
      <c r="T1611" t="str">
        <f t="shared" si="125"/>
        <v>Grade A</v>
      </c>
      <c r="U1611">
        <f t="shared" si="126"/>
        <v>2</v>
      </c>
      <c r="V1611" t="str">
        <f t="shared" si="127"/>
        <v>Mid Level</v>
      </c>
      <c r="W1611" t="str">
        <f t="shared" si="128"/>
        <v>Medium Risk</v>
      </c>
      <c r="X1611" t="str">
        <f t="shared" si="129"/>
        <v>Fair</v>
      </c>
    </row>
    <row r="1612" spans="1:24" x14ac:dyDescent="0.3">
      <c r="A1612" t="s">
        <v>1680</v>
      </c>
      <c r="B1612" t="s">
        <v>39</v>
      </c>
      <c r="C1612">
        <v>44</v>
      </c>
      <c r="D1612" t="s">
        <v>88</v>
      </c>
      <c r="E1612" t="s">
        <v>22</v>
      </c>
      <c r="F1612" t="s">
        <v>32</v>
      </c>
      <c r="G1612" t="s">
        <v>79</v>
      </c>
      <c r="H1612" t="s">
        <v>76</v>
      </c>
      <c r="I1612" t="s">
        <v>59</v>
      </c>
      <c r="J1612" t="s">
        <v>60</v>
      </c>
      <c r="K1612">
        <v>4</v>
      </c>
      <c r="L1612">
        <v>41295</v>
      </c>
      <c r="M1612" t="s">
        <v>45</v>
      </c>
      <c r="N1612">
        <v>3</v>
      </c>
      <c r="O1612">
        <v>2</v>
      </c>
      <c r="P1612">
        <v>61</v>
      </c>
      <c r="Q1612">
        <v>2</v>
      </c>
      <c r="R1612" s="1">
        <v>43760</v>
      </c>
      <c r="S1612" t="s">
        <v>37</v>
      </c>
      <c r="T1612" t="str">
        <f t="shared" si="125"/>
        <v>Grade C</v>
      </c>
      <c r="U1612">
        <f t="shared" si="126"/>
        <v>2</v>
      </c>
      <c r="V1612" t="str">
        <f t="shared" si="127"/>
        <v>Junior</v>
      </c>
      <c r="W1612" t="str">
        <f t="shared" si="128"/>
        <v>Already Left</v>
      </c>
      <c r="X1612" t="str">
        <f t="shared" si="129"/>
        <v>Fair</v>
      </c>
    </row>
    <row r="1613" spans="1:24" x14ac:dyDescent="0.3">
      <c r="A1613" t="s">
        <v>1681</v>
      </c>
      <c r="B1613" t="s">
        <v>20</v>
      </c>
      <c r="C1613">
        <v>29</v>
      </c>
      <c r="D1613" t="s">
        <v>21</v>
      </c>
      <c r="E1613" t="s">
        <v>40</v>
      </c>
      <c r="F1613" t="s">
        <v>78</v>
      </c>
      <c r="G1613" t="s">
        <v>63</v>
      </c>
      <c r="H1613" t="s">
        <v>25</v>
      </c>
      <c r="I1613" t="s">
        <v>68</v>
      </c>
      <c r="J1613" t="s">
        <v>60</v>
      </c>
      <c r="K1613">
        <v>9</v>
      </c>
      <c r="L1613">
        <v>65461</v>
      </c>
      <c r="M1613" t="s">
        <v>28</v>
      </c>
      <c r="N1613">
        <v>3</v>
      </c>
      <c r="O1613">
        <v>4</v>
      </c>
      <c r="P1613">
        <v>38</v>
      </c>
      <c r="Q1613">
        <v>1</v>
      </c>
      <c r="R1613" s="1">
        <v>41666</v>
      </c>
      <c r="S1613" t="s">
        <v>29</v>
      </c>
      <c r="T1613" t="str">
        <f t="shared" si="125"/>
        <v>Grade B</v>
      </c>
      <c r="U1613">
        <f t="shared" si="126"/>
        <v>3</v>
      </c>
      <c r="V1613" t="str">
        <f t="shared" si="127"/>
        <v>Mid Level</v>
      </c>
      <c r="W1613" t="str">
        <f t="shared" si="128"/>
        <v>Medium Risk</v>
      </c>
      <c r="X1613" t="str">
        <f t="shared" si="129"/>
        <v>Competitive</v>
      </c>
    </row>
    <row r="1614" spans="1:24" x14ac:dyDescent="0.3">
      <c r="A1614" t="s">
        <v>1682</v>
      </c>
      <c r="B1614" t="s">
        <v>39</v>
      </c>
      <c r="C1614">
        <v>36</v>
      </c>
      <c r="D1614" t="s">
        <v>31</v>
      </c>
      <c r="E1614" t="s">
        <v>22</v>
      </c>
      <c r="F1614" t="s">
        <v>65</v>
      </c>
      <c r="G1614" t="s">
        <v>79</v>
      </c>
      <c r="H1614" t="s">
        <v>25</v>
      </c>
      <c r="I1614" t="s">
        <v>35</v>
      </c>
      <c r="J1614" t="s">
        <v>27</v>
      </c>
      <c r="K1614">
        <v>6</v>
      </c>
      <c r="L1614">
        <v>50504</v>
      </c>
      <c r="M1614" t="s">
        <v>45</v>
      </c>
      <c r="N1614">
        <v>1</v>
      </c>
      <c r="O1614">
        <v>4</v>
      </c>
      <c r="P1614">
        <v>48</v>
      </c>
      <c r="Q1614">
        <v>2</v>
      </c>
      <c r="R1614" s="1">
        <v>43082</v>
      </c>
      <c r="S1614" t="s">
        <v>29</v>
      </c>
      <c r="T1614" t="str">
        <f t="shared" si="125"/>
        <v>Grade B</v>
      </c>
      <c r="U1614">
        <f t="shared" si="126"/>
        <v>2</v>
      </c>
      <c r="V1614" t="str">
        <f t="shared" si="127"/>
        <v>Mid Level</v>
      </c>
      <c r="W1614" t="str">
        <f t="shared" si="128"/>
        <v>Medium Risk</v>
      </c>
      <c r="X1614" t="str">
        <f t="shared" si="129"/>
        <v>Fair</v>
      </c>
    </row>
    <row r="1615" spans="1:24" x14ac:dyDescent="0.3">
      <c r="A1615" t="s">
        <v>1683</v>
      </c>
      <c r="B1615" t="s">
        <v>39</v>
      </c>
      <c r="C1615">
        <v>48</v>
      </c>
      <c r="D1615" t="s">
        <v>57</v>
      </c>
      <c r="E1615" t="s">
        <v>22</v>
      </c>
      <c r="F1615" t="s">
        <v>65</v>
      </c>
      <c r="G1615" t="s">
        <v>58</v>
      </c>
      <c r="H1615" t="s">
        <v>67</v>
      </c>
      <c r="I1615" t="s">
        <v>72</v>
      </c>
      <c r="J1615" t="s">
        <v>73</v>
      </c>
      <c r="K1615">
        <v>12</v>
      </c>
      <c r="L1615">
        <v>112693</v>
      </c>
      <c r="M1615" t="s">
        <v>36</v>
      </c>
      <c r="N1615">
        <v>2</v>
      </c>
      <c r="O1615">
        <v>4</v>
      </c>
      <c r="P1615">
        <v>42</v>
      </c>
      <c r="Q1615">
        <v>3</v>
      </c>
      <c r="R1615" s="1">
        <v>40817</v>
      </c>
      <c r="S1615" t="s">
        <v>37</v>
      </c>
      <c r="T1615" t="str">
        <f t="shared" si="125"/>
        <v>Grade A</v>
      </c>
      <c r="U1615">
        <f t="shared" si="126"/>
        <v>1</v>
      </c>
      <c r="V1615" t="str">
        <f t="shared" si="127"/>
        <v>Senior</v>
      </c>
      <c r="W1615" t="str">
        <f t="shared" si="128"/>
        <v>Already Left</v>
      </c>
      <c r="X1615" t="str">
        <f t="shared" si="129"/>
        <v>Overpaid</v>
      </c>
    </row>
    <row r="1616" spans="1:24" x14ac:dyDescent="0.3">
      <c r="A1616" t="s">
        <v>1684</v>
      </c>
      <c r="B1616" t="s">
        <v>20</v>
      </c>
      <c r="C1616">
        <v>38</v>
      </c>
      <c r="D1616" t="s">
        <v>21</v>
      </c>
      <c r="E1616" t="s">
        <v>22</v>
      </c>
      <c r="F1616" t="s">
        <v>53</v>
      </c>
      <c r="G1616" t="s">
        <v>33</v>
      </c>
      <c r="H1616" t="s">
        <v>83</v>
      </c>
      <c r="I1616" t="s">
        <v>26</v>
      </c>
      <c r="J1616" t="s">
        <v>27</v>
      </c>
      <c r="K1616">
        <v>14</v>
      </c>
      <c r="L1616">
        <v>90273</v>
      </c>
      <c r="M1616" t="s">
        <v>45</v>
      </c>
      <c r="N1616">
        <v>4</v>
      </c>
      <c r="O1616">
        <v>1</v>
      </c>
      <c r="P1616">
        <v>75</v>
      </c>
      <c r="Q1616">
        <v>2</v>
      </c>
      <c r="R1616" s="1">
        <v>40097</v>
      </c>
      <c r="S1616" t="s">
        <v>29</v>
      </c>
      <c r="T1616" t="str">
        <f t="shared" si="125"/>
        <v>Grade A</v>
      </c>
      <c r="U1616">
        <f t="shared" si="126"/>
        <v>2</v>
      </c>
      <c r="V1616" t="str">
        <f t="shared" si="127"/>
        <v>Senior</v>
      </c>
      <c r="W1616" t="str">
        <f t="shared" si="128"/>
        <v>Medium Risk</v>
      </c>
      <c r="X1616" t="str">
        <f t="shared" si="129"/>
        <v>Fair</v>
      </c>
    </row>
    <row r="1617" spans="1:24" x14ac:dyDescent="0.3">
      <c r="A1617" t="s">
        <v>1685</v>
      </c>
      <c r="B1617" t="s">
        <v>20</v>
      </c>
      <c r="C1617">
        <v>36</v>
      </c>
      <c r="D1617" t="s">
        <v>21</v>
      </c>
      <c r="E1617" t="s">
        <v>40</v>
      </c>
      <c r="F1617" t="s">
        <v>41</v>
      </c>
      <c r="G1617" t="s">
        <v>24</v>
      </c>
      <c r="H1617" t="s">
        <v>34</v>
      </c>
      <c r="I1617" t="s">
        <v>35</v>
      </c>
      <c r="J1617" t="s">
        <v>27</v>
      </c>
      <c r="K1617">
        <v>7</v>
      </c>
      <c r="L1617">
        <v>79462</v>
      </c>
      <c r="M1617" t="s">
        <v>36</v>
      </c>
      <c r="N1617">
        <v>4</v>
      </c>
      <c r="O1617">
        <v>2</v>
      </c>
      <c r="P1617">
        <v>12</v>
      </c>
      <c r="Q1617">
        <v>1</v>
      </c>
      <c r="R1617" s="1">
        <v>42707</v>
      </c>
      <c r="S1617" t="s">
        <v>29</v>
      </c>
      <c r="T1617" t="str">
        <f t="shared" si="125"/>
        <v>Grade B</v>
      </c>
      <c r="U1617">
        <f t="shared" si="126"/>
        <v>1</v>
      </c>
      <c r="V1617" t="str">
        <f t="shared" si="127"/>
        <v>Mid Level</v>
      </c>
      <c r="W1617" t="str">
        <f t="shared" si="128"/>
        <v>Medium Risk</v>
      </c>
      <c r="X1617" t="str">
        <f t="shared" si="129"/>
        <v>Fair</v>
      </c>
    </row>
    <row r="1618" spans="1:24" x14ac:dyDescent="0.3">
      <c r="A1618" t="s">
        <v>1686</v>
      </c>
      <c r="B1618" t="s">
        <v>20</v>
      </c>
      <c r="C1618">
        <v>31</v>
      </c>
      <c r="D1618" t="s">
        <v>47</v>
      </c>
      <c r="E1618" t="s">
        <v>40</v>
      </c>
      <c r="F1618" t="s">
        <v>65</v>
      </c>
      <c r="G1618" t="s">
        <v>33</v>
      </c>
      <c r="H1618" t="s">
        <v>83</v>
      </c>
      <c r="I1618" t="s">
        <v>54</v>
      </c>
      <c r="J1618" t="s">
        <v>27</v>
      </c>
      <c r="K1618">
        <v>12</v>
      </c>
      <c r="L1618">
        <v>75943</v>
      </c>
      <c r="M1618" t="s">
        <v>36</v>
      </c>
      <c r="N1618">
        <v>4</v>
      </c>
      <c r="O1618">
        <v>4</v>
      </c>
      <c r="P1618">
        <v>39</v>
      </c>
      <c r="Q1618">
        <v>0</v>
      </c>
      <c r="R1618" s="1">
        <v>40896</v>
      </c>
      <c r="S1618" t="s">
        <v>37</v>
      </c>
      <c r="T1618" t="str">
        <f t="shared" si="125"/>
        <v>Grade B</v>
      </c>
      <c r="U1618">
        <f t="shared" si="126"/>
        <v>1</v>
      </c>
      <c r="V1618" t="str">
        <f t="shared" si="127"/>
        <v>Senior</v>
      </c>
      <c r="W1618" t="str">
        <f t="shared" si="128"/>
        <v>Already Left</v>
      </c>
      <c r="X1618" t="str">
        <f t="shared" si="129"/>
        <v>Fair</v>
      </c>
    </row>
    <row r="1619" spans="1:24" x14ac:dyDescent="0.3">
      <c r="A1619" t="s">
        <v>1687</v>
      </c>
      <c r="B1619" t="s">
        <v>39</v>
      </c>
      <c r="C1619">
        <v>40</v>
      </c>
      <c r="D1619" t="s">
        <v>47</v>
      </c>
      <c r="E1619" t="s">
        <v>22</v>
      </c>
      <c r="F1619" t="s">
        <v>32</v>
      </c>
      <c r="G1619" t="s">
        <v>58</v>
      </c>
      <c r="H1619" t="s">
        <v>25</v>
      </c>
      <c r="I1619" t="s">
        <v>68</v>
      </c>
      <c r="J1619" t="s">
        <v>60</v>
      </c>
      <c r="K1619">
        <v>14</v>
      </c>
      <c r="L1619">
        <v>113111</v>
      </c>
      <c r="M1619" t="s">
        <v>28</v>
      </c>
      <c r="N1619">
        <v>2</v>
      </c>
      <c r="O1619">
        <v>3</v>
      </c>
      <c r="P1619">
        <v>41</v>
      </c>
      <c r="Q1619">
        <v>3</v>
      </c>
      <c r="R1619" s="1">
        <v>40006</v>
      </c>
      <c r="S1619" t="s">
        <v>29</v>
      </c>
      <c r="T1619" t="str">
        <f t="shared" si="125"/>
        <v>Grade A</v>
      </c>
      <c r="U1619">
        <f t="shared" si="126"/>
        <v>3</v>
      </c>
      <c r="V1619" t="str">
        <f t="shared" si="127"/>
        <v>Senior</v>
      </c>
      <c r="W1619" t="str">
        <f t="shared" si="128"/>
        <v>Medium Risk</v>
      </c>
      <c r="X1619" t="str">
        <f t="shared" si="129"/>
        <v>Competitive</v>
      </c>
    </row>
    <row r="1620" spans="1:24" x14ac:dyDescent="0.3">
      <c r="A1620" t="s">
        <v>1688</v>
      </c>
      <c r="B1620" t="s">
        <v>20</v>
      </c>
      <c r="C1620">
        <v>30</v>
      </c>
      <c r="D1620" t="s">
        <v>57</v>
      </c>
      <c r="E1620" t="s">
        <v>48</v>
      </c>
      <c r="F1620" t="s">
        <v>65</v>
      </c>
      <c r="G1620" t="s">
        <v>24</v>
      </c>
      <c r="H1620" t="s">
        <v>83</v>
      </c>
      <c r="I1620" t="s">
        <v>80</v>
      </c>
      <c r="J1620" t="s">
        <v>60</v>
      </c>
      <c r="K1620">
        <v>9</v>
      </c>
      <c r="L1620">
        <v>90783</v>
      </c>
      <c r="M1620" t="s">
        <v>28</v>
      </c>
      <c r="N1620">
        <v>3</v>
      </c>
      <c r="O1620">
        <v>4</v>
      </c>
      <c r="P1620">
        <v>58</v>
      </c>
      <c r="Q1620">
        <v>3</v>
      </c>
      <c r="R1620" s="1">
        <v>41881</v>
      </c>
      <c r="S1620" t="s">
        <v>37</v>
      </c>
      <c r="T1620" t="str">
        <f t="shared" si="125"/>
        <v>Grade A</v>
      </c>
      <c r="U1620">
        <f t="shared" si="126"/>
        <v>3</v>
      </c>
      <c r="V1620" t="str">
        <f t="shared" si="127"/>
        <v>Mid Level</v>
      </c>
      <c r="W1620" t="str">
        <f t="shared" si="128"/>
        <v>Already Left</v>
      </c>
      <c r="X1620" t="str">
        <f t="shared" si="129"/>
        <v>Competitive</v>
      </c>
    </row>
    <row r="1621" spans="1:24" x14ac:dyDescent="0.3">
      <c r="A1621" t="s">
        <v>1689</v>
      </c>
      <c r="B1621" t="s">
        <v>39</v>
      </c>
      <c r="C1621">
        <v>55</v>
      </c>
      <c r="D1621" t="s">
        <v>47</v>
      </c>
      <c r="E1621" t="s">
        <v>40</v>
      </c>
      <c r="F1621" t="s">
        <v>41</v>
      </c>
      <c r="G1621" t="s">
        <v>58</v>
      </c>
      <c r="H1621" t="s">
        <v>83</v>
      </c>
      <c r="I1621" t="s">
        <v>68</v>
      </c>
      <c r="J1621" t="s">
        <v>60</v>
      </c>
      <c r="K1621">
        <v>5</v>
      </c>
      <c r="L1621">
        <v>94346</v>
      </c>
      <c r="M1621" t="s">
        <v>45</v>
      </c>
      <c r="N1621">
        <v>3</v>
      </c>
      <c r="O1621">
        <v>2</v>
      </c>
      <c r="P1621">
        <v>65</v>
      </c>
      <c r="Q1621">
        <v>2</v>
      </c>
      <c r="R1621" s="1">
        <v>43368</v>
      </c>
      <c r="S1621" t="s">
        <v>29</v>
      </c>
      <c r="T1621" t="str">
        <f t="shared" si="125"/>
        <v>Grade A</v>
      </c>
      <c r="U1621">
        <f t="shared" si="126"/>
        <v>2</v>
      </c>
      <c r="V1621" t="str">
        <f t="shared" si="127"/>
        <v>Junior</v>
      </c>
      <c r="W1621" t="str">
        <f t="shared" si="128"/>
        <v>Medium Risk</v>
      </c>
      <c r="X1621" t="str">
        <f t="shared" si="129"/>
        <v>Fair</v>
      </c>
    </row>
    <row r="1622" spans="1:24" x14ac:dyDescent="0.3">
      <c r="A1622" t="s">
        <v>1690</v>
      </c>
      <c r="B1622" t="s">
        <v>39</v>
      </c>
      <c r="C1622">
        <v>42</v>
      </c>
      <c r="D1622" t="s">
        <v>21</v>
      </c>
      <c r="E1622" t="s">
        <v>48</v>
      </c>
      <c r="F1622" t="s">
        <v>41</v>
      </c>
      <c r="G1622" t="s">
        <v>33</v>
      </c>
      <c r="H1622" t="s">
        <v>83</v>
      </c>
      <c r="I1622" t="s">
        <v>59</v>
      </c>
      <c r="J1622" t="s">
        <v>60</v>
      </c>
      <c r="K1622">
        <v>11</v>
      </c>
      <c r="L1622">
        <v>87848</v>
      </c>
      <c r="M1622" t="s">
        <v>28</v>
      </c>
      <c r="N1622">
        <v>2</v>
      </c>
      <c r="O1622">
        <v>1</v>
      </c>
      <c r="P1622">
        <v>69</v>
      </c>
      <c r="Q1622">
        <v>1</v>
      </c>
      <c r="R1622" s="1">
        <v>40930</v>
      </c>
      <c r="S1622" t="s">
        <v>37</v>
      </c>
      <c r="T1622" t="str">
        <f t="shared" si="125"/>
        <v>Grade A</v>
      </c>
      <c r="U1622">
        <f t="shared" si="126"/>
        <v>3</v>
      </c>
      <c r="V1622" t="str">
        <f t="shared" si="127"/>
        <v>Senior</v>
      </c>
      <c r="W1622" t="str">
        <f t="shared" si="128"/>
        <v>Already Left</v>
      </c>
      <c r="X1622" t="str">
        <f t="shared" si="129"/>
        <v>Competitive</v>
      </c>
    </row>
    <row r="1623" spans="1:24" x14ac:dyDescent="0.3">
      <c r="A1623" t="s">
        <v>1691</v>
      </c>
      <c r="B1623" t="s">
        <v>39</v>
      </c>
      <c r="C1623">
        <v>25</v>
      </c>
      <c r="D1623" t="s">
        <v>88</v>
      </c>
      <c r="E1623" t="s">
        <v>48</v>
      </c>
      <c r="F1623" t="s">
        <v>65</v>
      </c>
      <c r="G1623" t="s">
        <v>24</v>
      </c>
      <c r="H1623" t="s">
        <v>83</v>
      </c>
      <c r="I1623" t="s">
        <v>43</v>
      </c>
      <c r="J1623" t="s">
        <v>44</v>
      </c>
      <c r="K1623">
        <v>4</v>
      </c>
      <c r="L1623">
        <v>89686</v>
      </c>
      <c r="M1623" t="s">
        <v>36</v>
      </c>
      <c r="N1623">
        <v>2</v>
      </c>
      <c r="O1623">
        <v>2</v>
      </c>
      <c r="P1623">
        <v>30</v>
      </c>
      <c r="Q1623">
        <v>0</v>
      </c>
      <c r="R1623" s="1">
        <v>43760</v>
      </c>
      <c r="S1623" t="s">
        <v>37</v>
      </c>
      <c r="T1623" t="str">
        <f t="shared" si="125"/>
        <v>Grade A</v>
      </c>
      <c r="U1623">
        <f t="shared" si="126"/>
        <v>1</v>
      </c>
      <c r="V1623" t="str">
        <f t="shared" si="127"/>
        <v>Junior</v>
      </c>
      <c r="W1623" t="str">
        <f t="shared" si="128"/>
        <v>Already Left</v>
      </c>
      <c r="X1623" t="str">
        <f t="shared" si="129"/>
        <v>Overpaid</v>
      </c>
    </row>
    <row r="1624" spans="1:24" x14ac:dyDescent="0.3">
      <c r="A1624" t="s">
        <v>1692</v>
      </c>
      <c r="B1624" t="s">
        <v>20</v>
      </c>
      <c r="C1624">
        <v>49</v>
      </c>
      <c r="D1624" t="s">
        <v>57</v>
      </c>
      <c r="E1624" t="s">
        <v>22</v>
      </c>
      <c r="F1624" t="s">
        <v>32</v>
      </c>
      <c r="G1624" t="s">
        <v>66</v>
      </c>
      <c r="H1624" t="s">
        <v>76</v>
      </c>
      <c r="I1624" t="s">
        <v>54</v>
      </c>
      <c r="J1624" t="s">
        <v>27</v>
      </c>
      <c r="K1624">
        <v>13</v>
      </c>
      <c r="L1624">
        <v>65504</v>
      </c>
      <c r="M1624" t="s">
        <v>51</v>
      </c>
      <c r="N1624">
        <v>1</v>
      </c>
      <c r="O1624">
        <v>3</v>
      </c>
      <c r="P1624">
        <v>27</v>
      </c>
      <c r="Q1624">
        <v>3</v>
      </c>
      <c r="R1624" s="1">
        <v>40200</v>
      </c>
      <c r="S1624" t="s">
        <v>29</v>
      </c>
      <c r="T1624" t="str">
        <f t="shared" si="125"/>
        <v>Grade B</v>
      </c>
      <c r="U1624">
        <f t="shared" si="126"/>
        <v>4</v>
      </c>
      <c r="V1624" t="str">
        <f t="shared" si="127"/>
        <v>Senior</v>
      </c>
      <c r="W1624" t="str">
        <f t="shared" si="128"/>
        <v>Low Risk</v>
      </c>
      <c r="X1624" t="str">
        <f t="shared" si="129"/>
        <v>Fair</v>
      </c>
    </row>
    <row r="1625" spans="1:24" x14ac:dyDescent="0.3">
      <c r="A1625" t="s">
        <v>1693</v>
      </c>
      <c r="B1625" t="s">
        <v>20</v>
      </c>
      <c r="C1625">
        <v>39</v>
      </c>
      <c r="D1625" t="s">
        <v>31</v>
      </c>
      <c r="E1625" t="s">
        <v>22</v>
      </c>
      <c r="F1625" t="s">
        <v>23</v>
      </c>
      <c r="G1625" t="s">
        <v>79</v>
      </c>
      <c r="H1625" t="s">
        <v>76</v>
      </c>
      <c r="I1625" t="s">
        <v>96</v>
      </c>
      <c r="J1625" t="s">
        <v>44</v>
      </c>
      <c r="K1625">
        <v>6</v>
      </c>
      <c r="L1625">
        <v>54227</v>
      </c>
      <c r="M1625" t="s">
        <v>45</v>
      </c>
      <c r="N1625">
        <v>1</v>
      </c>
      <c r="O1625">
        <v>2</v>
      </c>
      <c r="P1625">
        <v>10</v>
      </c>
      <c r="Q1625">
        <v>1</v>
      </c>
      <c r="R1625" s="1">
        <v>43074</v>
      </c>
      <c r="S1625" t="s">
        <v>29</v>
      </c>
      <c r="T1625" t="str">
        <f t="shared" si="125"/>
        <v>Grade B</v>
      </c>
      <c r="U1625">
        <f t="shared" si="126"/>
        <v>2</v>
      </c>
      <c r="V1625" t="str">
        <f t="shared" si="127"/>
        <v>Mid Level</v>
      </c>
      <c r="W1625" t="str">
        <f t="shared" si="128"/>
        <v>Medium Risk</v>
      </c>
      <c r="X1625" t="str">
        <f t="shared" si="129"/>
        <v>Fair</v>
      </c>
    </row>
    <row r="1626" spans="1:24" x14ac:dyDescent="0.3">
      <c r="A1626" t="s">
        <v>1694</v>
      </c>
      <c r="B1626" t="s">
        <v>39</v>
      </c>
      <c r="C1626">
        <v>32</v>
      </c>
      <c r="D1626" t="s">
        <v>88</v>
      </c>
      <c r="E1626" t="s">
        <v>48</v>
      </c>
      <c r="F1626" t="s">
        <v>32</v>
      </c>
      <c r="G1626" t="s">
        <v>58</v>
      </c>
      <c r="H1626" t="s">
        <v>34</v>
      </c>
      <c r="I1626" t="s">
        <v>43</v>
      </c>
      <c r="J1626" t="s">
        <v>44</v>
      </c>
      <c r="K1626">
        <v>9</v>
      </c>
      <c r="L1626">
        <v>99981</v>
      </c>
      <c r="M1626" t="s">
        <v>36</v>
      </c>
      <c r="N1626">
        <v>4</v>
      </c>
      <c r="O1626">
        <v>4</v>
      </c>
      <c r="P1626">
        <v>60</v>
      </c>
      <c r="Q1626">
        <v>0</v>
      </c>
      <c r="R1626" s="1">
        <v>41830</v>
      </c>
      <c r="S1626" t="s">
        <v>29</v>
      </c>
      <c r="T1626" t="str">
        <f t="shared" si="125"/>
        <v>Grade A</v>
      </c>
      <c r="U1626">
        <f t="shared" si="126"/>
        <v>1</v>
      </c>
      <c r="V1626" t="str">
        <f t="shared" si="127"/>
        <v>Mid Level</v>
      </c>
      <c r="W1626" t="str">
        <f t="shared" si="128"/>
        <v>Medium Risk</v>
      </c>
      <c r="X1626" t="str">
        <f t="shared" si="129"/>
        <v>Overpaid</v>
      </c>
    </row>
    <row r="1627" spans="1:24" x14ac:dyDescent="0.3">
      <c r="A1627" t="s">
        <v>1695</v>
      </c>
      <c r="B1627" t="s">
        <v>20</v>
      </c>
      <c r="C1627">
        <v>44</v>
      </c>
      <c r="D1627" t="s">
        <v>31</v>
      </c>
      <c r="E1627" t="s">
        <v>40</v>
      </c>
      <c r="F1627" t="s">
        <v>23</v>
      </c>
      <c r="G1627" t="s">
        <v>49</v>
      </c>
      <c r="H1627" t="s">
        <v>25</v>
      </c>
      <c r="I1627" t="s">
        <v>59</v>
      </c>
      <c r="J1627" t="s">
        <v>60</v>
      </c>
      <c r="K1627">
        <v>10</v>
      </c>
      <c r="L1627">
        <v>68950</v>
      </c>
      <c r="M1627" t="s">
        <v>51</v>
      </c>
      <c r="N1627">
        <v>1</v>
      </c>
      <c r="O1627">
        <v>2</v>
      </c>
      <c r="P1627">
        <v>40</v>
      </c>
      <c r="Q1627">
        <v>3</v>
      </c>
      <c r="R1627" s="1">
        <v>41292</v>
      </c>
      <c r="S1627" t="s">
        <v>29</v>
      </c>
      <c r="T1627" t="str">
        <f t="shared" si="125"/>
        <v>Grade B</v>
      </c>
      <c r="U1627">
        <f t="shared" si="126"/>
        <v>4</v>
      </c>
      <c r="V1627" t="str">
        <f t="shared" si="127"/>
        <v>Mid Level</v>
      </c>
      <c r="W1627" t="str">
        <f t="shared" si="128"/>
        <v>Low Risk</v>
      </c>
      <c r="X1627" t="str">
        <f t="shared" si="129"/>
        <v>Fair</v>
      </c>
    </row>
    <row r="1628" spans="1:24" x14ac:dyDescent="0.3">
      <c r="A1628" t="s">
        <v>1696</v>
      </c>
      <c r="B1628" t="s">
        <v>39</v>
      </c>
      <c r="C1628">
        <v>26</v>
      </c>
      <c r="D1628" t="s">
        <v>21</v>
      </c>
      <c r="E1628" t="s">
        <v>48</v>
      </c>
      <c r="F1628" t="s">
        <v>41</v>
      </c>
      <c r="G1628" t="s">
        <v>49</v>
      </c>
      <c r="H1628" t="s">
        <v>83</v>
      </c>
      <c r="I1628" t="s">
        <v>35</v>
      </c>
      <c r="J1628" t="s">
        <v>27</v>
      </c>
      <c r="K1628">
        <v>15</v>
      </c>
      <c r="L1628">
        <v>88004</v>
      </c>
      <c r="M1628" t="s">
        <v>51</v>
      </c>
      <c r="N1628">
        <v>1</v>
      </c>
      <c r="O1628">
        <v>2</v>
      </c>
      <c r="P1628">
        <v>41</v>
      </c>
      <c r="Q1628">
        <v>2</v>
      </c>
      <c r="R1628" s="1">
        <v>39589</v>
      </c>
      <c r="S1628" t="s">
        <v>29</v>
      </c>
      <c r="T1628" t="str">
        <f t="shared" si="125"/>
        <v>Grade A</v>
      </c>
      <c r="U1628">
        <f t="shared" si="126"/>
        <v>4</v>
      </c>
      <c r="V1628" t="str">
        <f t="shared" si="127"/>
        <v>Senior</v>
      </c>
      <c r="W1628" t="str">
        <f t="shared" si="128"/>
        <v>Low Risk</v>
      </c>
      <c r="X1628" t="str">
        <f t="shared" si="129"/>
        <v>Competitive</v>
      </c>
    </row>
    <row r="1629" spans="1:24" x14ac:dyDescent="0.3">
      <c r="A1629" t="s">
        <v>1697</v>
      </c>
      <c r="B1629" t="s">
        <v>39</v>
      </c>
      <c r="C1629">
        <v>45</v>
      </c>
      <c r="D1629" t="s">
        <v>47</v>
      </c>
      <c r="E1629" t="s">
        <v>22</v>
      </c>
      <c r="F1629" t="s">
        <v>23</v>
      </c>
      <c r="G1629" t="s">
        <v>24</v>
      </c>
      <c r="H1629" t="s">
        <v>83</v>
      </c>
      <c r="I1629" t="s">
        <v>43</v>
      </c>
      <c r="J1629" t="s">
        <v>44</v>
      </c>
      <c r="K1629">
        <v>3</v>
      </c>
      <c r="L1629">
        <v>71095</v>
      </c>
      <c r="M1629" t="s">
        <v>45</v>
      </c>
      <c r="N1629">
        <v>1</v>
      </c>
      <c r="O1629">
        <v>2</v>
      </c>
      <c r="P1629">
        <v>19</v>
      </c>
      <c r="Q1629">
        <v>3</v>
      </c>
      <c r="R1629" s="1">
        <v>44077</v>
      </c>
      <c r="S1629" t="s">
        <v>37</v>
      </c>
      <c r="T1629" t="str">
        <f t="shared" si="125"/>
        <v>Grade B</v>
      </c>
      <c r="U1629">
        <f t="shared" si="126"/>
        <v>2</v>
      </c>
      <c r="V1629" t="str">
        <f t="shared" si="127"/>
        <v>Junior</v>
      </c>
      <c r="W1629" t="str">
        <f t="shared" si="128"/>
        <v>Already Left</v>
      </c>
      <c r="X1629" t="str">
        <f t="shared" si="129"/>
        <v>Fair</v>
      </c>
    </row>
    <row r="1630" spans="1:24" x14ac:dyDescent="0.3">
      <c r="A1630" t="s">
        <v>1698</v>
      </c>
      <c r="B1630" t="s">
        <v>39</v>
      </c>
      <c r="C1630">
        <v>52</v>
      </c>
      <c r="D1630" t="s">
        <v>47</v>
      </c>
      <c r="E1630" t="s">
        <v>40</v>
      </c>
      <c r="F1630" t="s">
        <v>41</v>
      </c>
      <c r="G1630" t="s">
        <v>58</v>
      </c>
      <c r="H1630" t="s">
        <v>76</v>
      </c>
      <c r="I1630" t="s">
        <v>35</v>
      </c>
      <c r="J1630" t="s">
        <v>27</v>
      </c>
      <c r="K1630">
        <v>7</v>
      </c>
      <c r="L1630">
        <v>96784</v>
      </c>
      <c r="M1630" t="s">
        <v>28</v>
      </c>
      <c r="N1630">
        <v>4</v>
      </c>
      <c r="O1630">
        <v>1</v>
      </c>
      <c r="P1630">
        <v>69</v>
      </c>
      <c r="Q1630">
        <v>2</v>
      </c>
      <c r="R1630" s="1">
        <v>42448</v>
      </c>
      <c r="S1630" t="s">
        <v>29</v>
      </c>
      <c r="T1630" t="str">
        <f t="shared" si="125"/>
        <v>Grade A</v>
      </c>
      <c r="U1630">
        <f t="shared" si="126"/>
        <v>3</v>
      </c>
      <c r="V1630" t="str">
        <f t="shared" si="127"/>
        <v>Mid Level</v>
      </c>
      <c r="W1630" t="str">
        <f t="shared" si="128"/>
        <v>Medium Risk</v>
      </c>
      <c r="X1630" t="str">
        <f t="shared" si="129"/>
        <v>Competitive</v>
      </c>
    </row>
    <row r="1631" spans="1:24" x14ac:dyDescent="0.3">
      <c r="A1631" t="s">
        <v>1699</v>
      </c>
      <c r="B1631" t="s">
        <v>39</v>
      </c>
      <c r="C1631">
        <v>38</v>
      </c>
      <c r="D1631" t="s">
        <v>21</v>
      </c>
      <c r="E1631" t="s">
        <v>22</v>
      </c>
      <c r="F1631" t="s">
        <v>75</v>
      </c>
      <c r="G1631" t="s">
        <v>58</v>
      </c>
      <c r="H1631" t="s">
        <v>76</v>
      </c>
      <c r="I1631" t="s">
        <v>96</v>
      </c>
      <c r="J1631" t="s">
        <v>44</v>
      </c>
      <c r="K1631">
        <v>1</v>
      </c>
      <c r="L1631">
        <v>77758</v>
      </c>
      <c r="M1631" t="s">
        <v>28</v>
      </c>
      <c r="N1631">
        <v>4</v>
      </c>
      <c r="O1631">
        <v>1</v>
      </c>
      <c r="P1631">
        <v>68</v>
      </c>
      <c r="Q1631">
        <v>0</v>
      </c>
      <c r="R1631" s="1">
        <v>44861</v>
      </c>
      <c r="S1631" t="s">
        <v>29</v>
      </c>
      <c r="T1631" t="str">
        <f t="shared" si="125"/>
        <v>Grade B</v>
      </c>
      <c r="U1631">
        <f t="shared" si="126"/>
        <v>3</v>
      </c>
      <c r="V1631" t="str">
        <f t="shared" si="127"/>
        <v>New Joiner</v>
      </c>
      <c r="W1631" t="str">
        <f t="shared" si="128"/>
        <v>Medium Risk</v>
      </c>
      <c r="X1631" t="str">
        <f t="shared" si="129"/>
        <v>Competitive</v>
      </c>
    </row>
    <row r="1632" spans="1:24" x14ac:dyDescent="0.3">
      <c r="A1632" t="s">
        <v>1700</v>
      </c>
      <c r="B1632" t="s">
        <v>39</v>
      </c>
      <c r="C1632">
        <v>33</v>
      </c>
      <c r="D1632" t="s">
        <v>47</v>
      </c>
      <c r="E1632" t="s">
        <v>48</v>
      </c>
      <c r="F1632" t="s">
        <v>32</v>
      </c>
      <c r="G1632" t="s">
        <v>58</v>
      </c>
      <c r="H1632" t="s">
        <v>25</v>
      </c>
      <c r="I1632" t="s">
        <v>43</v>
      </c>
      <c r="J1632" t="s">
        <v>44</v>
      </c>
      <c r="K1632">
        <v>14</v>
      </c>
      <c r="L1632">
        <v>120469</v>
      </c>
      <c r="M1632" t="s">
        <v>45</v>
      </c>
      <c r="N1632">
        <v>1</v>
      </c>
      <c r="O1632">
        <v>3</v>
      </c>
      <c r="P1632">
        <v>20</v>
      </c>
      <c r="Q1632">
        <v>0</v>
      </c>
      <c r="R1632" s="1">
        <v>40018</v>
      </c>
      <c r="S1632" t="s">
        <v>29</v>
      </c>
      <c r="T1632" t="str">
        <f t="shared" si="125"/>
        <v>Grade A</v>
      </c>
      <c r="U1632">
        <f t="shared" si="126"/>
        <v>2</v>
      </c>
      <c r="V1632" t="str">
        <f t="shared" si="127"/>
        <v>Senior</v>
      </c>
      <c r="W1632" t="str">
        <f t="shared" si="128"/>
        <v>Medium Risk</v>
      </c>
      <c r="X1632" t="str">
        <f t="shared" si="129"/>
        <v>Fair</v>
      </c>
    </row>
    <row r="1633" spans="1:24" x14ac:dyDescent="0.3">
      <c r="A1633" t="s">
        <v>1701</v>
      </c>
      <c r="B1633" t="s">
        <v>20</v>
      </c>
      <c r="C1633">
        <v>52</v>
      </c>
      <c r="D1633" t="s">
        <v>47</v>
      </c>
      <c r="E1633" t="s">
        <v>40</v>
      </c>
      <c r="F1633" t="s">
        <v>41</v>
      </c>
      <c r="G1633" t="s">
        <v>42</v>
      </c>
      <c r="H1633" t="s">
        <v>34</v>
      </c>
      <c r="I1633" t="s">
        <v>54</v>
      </c>
      <c r="J1633" t="s">
        <v>27</v>
      </c>
      <c r="K1633">
        <v>13</v>
      </c>
      <c r="L1633">
        <v>122855</v>
      </c>
      <c r="M1633" t="s">
        <v>45</v>
      </c>
      <c r="N1633">
        <v>4</v>
      </c>
      <c r="O1633">
        <v>3</v>
      </c>
      <c r="P1633">
        <v>53</v>
      </c>
      <c r="Q1633">
        <v>3</v>
      </c>
      <c r="R1633" s="1">
        <v>40361</v>
      </c>
      <c r="S1633" t="s">
        <v>29</v>
      </c>
      <c r="T1633" t="str">
        <f t="shared" si="125"/>
        <v>Grade A</v>
      </c>
      <c r="U1633">
        <f t="shared" si="126"/>
        <v>2</v>
      </c>
      <c r="V1633" t="str">
        <f t="shared" si="127"/>
        <v>Senior</v>
      </c>
      <c r="W1633" t="str">
        <f t="shared" si="128"/>
        <v>Medium Risk</v>
      </c>
      <c r="X1633" t="str">
        <f t="shared" si="129"/>
        <v>Fair</v>
      </c>
    </row>
    <row r="1634" spans="1:24" x14ac:dyDescent="0.3">
      <c r="A1634" t="s">
        <v>1702</v>
      </c>
      <c r="B1634" t="s">
        <v>39</v>
      </c>
      <c r="C1634">
        <v>54</v>
      </c>
      <c r="D1634" t="s">
        <v>88</v>
      </c>
      <c r="E1634" t="s">
        <v>48</v>
      </c>
      <c r="F1634" t="s">
        <v>53</v>
      </c>
      <c r="G1634" t="s">
        <v>79</v>
      </c>
      <c r="H1634" t="s">
        <v>76</v>
      </c>
      <c r="I1634" t="s">
        <v>26</v>
      </c>
      <c r="J1634" t="s">
        <v>27</v>
      </c>
      <c r="K1634">
        <v>8</v>
      </c>
      <c r="L1634">
        <v>53743</v>
      </c>
      <c r="M1634" t="s">
        <v>36</v>
      </c>
      <c r="N1634">
        <v>2</v>
      </c>
      <c r="O1634">
        <v>4</v>
      </c>
      <c r="P1634">
        <v>40</v>
      </c>
      <c r="Q1634">
        <v>2</v>
      </c>
      <c r="R1634" s="1">
        <v>42022</v>
      </c>
      <c r="S1634" t="s">
        <v>37</v>
      </c>
      <c r="T1634" t="str">
        <f t="shared" si="125"/>
        <v>Grade B</v>
      </c>
      <c r="U1634">
        <f t="shared" si="126"/>
        <v>1</v>
      </c>
      <c r="V1634" t="str">
        <f t="shared" si="127"/>
        <v>Mid Level</v>
      </c>
      <c r="W1634" t="str">
        <f t="shared" si="128"/>
        <v>Already Left</v>
      </c>
      <c r="X1634" t="str">
        <f t="shared" si="129"/>
        <v>Fair</v>
      </c>
    </row>
    <row r="1635" spans="1:24" x14ac:dyDescent="0.3">
      <c r="A1635" t="s">
        <v>1703</v>
      </c>
      <c r="B1635" t="s">
        <v>20</v>
      </c>
      <c r="C1635">
        <v>45</v>
      </c>
      <c r="D1635" t="s">
        <v>57</v>
      </c>
      <c r="E1635" t="s">
        <v>22</v>
      </c>
      <c r="F1635" t="s">
        <v>41</v>
      </c>
      <c r="G1635" t="s">
        <v>63</v>
      </c>
      <c r="H1635" t="s">
        <v>67</v>
      </c>
      <c r="I1635" t="s">
        <v>43</v>
      </c>
      <c r="J1635" t="s">
        <v>44</v>
      </c>
      <c r="K1635">
        <v>13</v>
      </c>
      <c r="L1635">
        <v>75438</v>
      </c>
      <c r="M1635" t="s">
        <v>36</v>
      </c>
      <c r="N1635">
        <v>4</v>
      </c>
      <c r="O1635">
        <v>1</v>
      </c>
      <c r="P1635">
        <v>35</v>
      </c>
      <c r="Q1635">
        <v>3</v>
      </c>
      <c r="R1635" s="1">
        <v>40535</v>
      </c>
      <c r="S1635" t="s">
        <v>37</v>
      </c>
      <c r="T1635" t="str">
        <f t="shared" si="125"/>
        <v>Grade B</v>
      </c>
      <c r="U1635">
        <f t="shared" si="126"/>
        <v>1</v>
      </c>
      <c r="V1635" t="str">
        <f t="shared" si="127"/>
        <v>Senior</v>
      </c>
      <c r="W1635" t="str">
        <f t="shared" si="128"/>
        <v>Already Left</v>
      </c>
      <c r="X1635" t="str">
        <f t="shared" si="129"/>
        <v>Fair</v>
      </c>
    </row>
    <row r="1636" spans="1:24" x14ac:dyDescent="0.3">
      <c r="A1636" t="s">
        <v>1704</v>
      </c>
      <c r="B1636" t="s">
        <v>20</v>
      </c>
      <c r="C1636">
        <v>47</v>
      </c>
      <c r="D1636" t="s">
        <v>57</v>
      </c>
      <c r="E1636" t="s">
        <v>22</v>
      </c>
      <c r="F1636" t="s">
        <v>23</v>
      </c>
      <c r="G1636" t="s">
        <v>42</v>
      </c>
      <c r="H1636" t="s">
        <v>67</v>
      </c>
      <c r="I1636" t="s">
        <v>80</v>
      </c>
      <c r="J1636" t="s">
        <v>60</v>
      </c>
      <c r="K1636">
        <v>4</v>
      </c>
      <c r="L1636">
        <v>105477</v>
      </c>
      <c r="M1636" t="s">
        <v>28</v>
      </c>
      <c r="N1636">
        <v>4</v>
      </c>
      <c r="O1636">
        <v>4</v>
      </c>
      <c r="P1636">
        <v>36</v>
      </c>
      <c r="Q1636">
        <v>1</v>
      </c>
      <c r="R1636" s="1">
        <v>43678</v>
      </c>
      <c r="S1636" t="s">
        <v>37</v>
      </c>
      <c r="T1636" t="str">
        <f t="shared" si="125"/>
        <v>Grade A</v>
      </c>
      <c r="U1636">
        <f t="shared" si="126"/>
        <v>3</v>
      </c>
      <c r="V1636" t="str">
        <f t="shared" si="127"/>
        <v>Junior</v>
      </c>
      <c r="W1636" t="str">
        <f t="shared" si="128"/>
        <v>Already Left</v>
      </c>
      <c r="X1636" t="str">
        <f t="shared" si="129"/>
        <v>Competitive</v>
      </c>
    </row>
    <row r="1637" spans="1:24" x14ac:dyDescent="0.3">
      <c r="A1637" t="s">
        <v>1705</v>
      </c>
      <c r="B1637" t="s">
        <v>20</v>
      </c>
      <c r="C1637">
        <v>33</v>
      </c>
      <c r="D1637" t="s">
        <v>21</v>
      </c>
      <c r="E1637" t="s">
        <v>48</v>
      </c>
      <c r="F1637" t="s">
        <v>62</v>
      </c>
      <c r="G1637" t="s">
        <v>33</v>
      </c>
      <c r="H1637" t="s">
        <v>83</v>
      </c>
      <c r="I1637" t="s">
        <v>50</v>
      </c>
      <c r="J1637" t="s">
        <v>44</v>
      </c>
      <c r="K1637">
        <v>13</v>
      </c>
      <c r="L1637">
        <v>89634</v>
      </c>
      <c r="M1637" t="s">
        <v>51</v>
      </c>
      <c r="N1637">
        <v>2</v>
      </c>
      <c r="O1637">
        <v>3</v>
      </c>
      <c r="P1637">
        <v>75</v>
      </c>
      <c r="Q1637">
        <v>1</v>
      </c>
      <c r="R1637" s="1">
        <v>40197</v>
      </c>
      <c r="S1637" t="s">
        <v>37</v>
      </c>
      <c r="T1637" t="str">
        <f t="shared" si="125"/>
        <v>Grade A</v>
      </c>
      <c r="U1637">
        <f t="shared" si="126"/>
        <v>4</v>
      </c>
      <c r="V1637" t="str">
        <f t="shared" si="127"/>
        <v>Senior</v>
      </c>
      <c r="W1637" t="str">
        <f t="shared" si="128"/>
        <v>Already Left</v>
      </c>
      <c r="X1637" t="str">
        <f t="shared" si="129"/>
        <v>Competitive</v>
      </c>
    </row>
    <row r="1638" spans="1:24" x14ac:dyDescent="0.3">
      <c r="A1638" t="s">
        <v>1706</v>
      </c>
      <c r="B1638" t="s">
        <v>20</v>
      </c>
      <c r="C1638">
        <v>42</v>
      </c>
      <c r="D1638" t="s">
        <v>57</v>
      </c>
      <c r="E1638" t="s">
        <v>40</v>
      </c>
      <c r="F1638" t="s">
        <v>75</v>
      </c>
      <c r="G1638" t="s">
        <v>63</v>
      </c>
      <c r="H1638" t="s">
        <v>34</v>
      </c>
      <c r="I1638" t="s">
        <v>26</v>
      </c>
      <c r="J1638" t="s">
        <v>27</v>
      </c>
      <c r="K1638">
        <v>4</v>
      </c>
      <c r="L1638">
        <v>51582</v>
      </c>
      <c r="M1638" t="s">
        <v>36</v>
      </c>
      <c r="N1638">
        <v>4</v>
      </c>
      <c r="O1638">
        <v>4</v>
      </c>
      <c r="P1638">
        <v>12</v>
      </c>
      <c r="Q1638">
        <v>1</v>
      </c>
      <c r="R1638" s="1">
        <v>43704</v>
      </c>
      <c r="S1638" t="s">
        <v>37</v>
      </c>
      <c r="T1638" t="str">
        <f t="shared" si="125"/>
        <v>Grade B</v>
      </c>
      <c r="U1638">
        <f t="shared" si="126"/>
        <v>1</v>
      </c>
      <c r="V1638" t="str">
        <f t="shared" si="127"/>
        <v>Junior</v>
      </c>
      <c r="W1638" t="str">
        <f t="shared" si="128"/>
        <v>Already Left</v>
      </c>
      <c r="X1638" t="str">
        <f t="shared" si="129"/>
        <v>Fair</v>
      </c>
    </row>
    <row r="1639" spans="1:24" x14ac:dyDescent="0.3">
      <c r="A1639" t="s">
        <v>1707</v>
      </c>
      <c r="B1639" t="s">
        <v>39</v>
      </c>
      <c r="C1639">
        <v>47</v>
      </c>
      <c r="D1639" t="s">
        <v>47</v>
      </c>
      <c r="E1639" t="s">
        <v>40</v>
      </c>
      <c r="F1639" t="s">
        <v>32</v>
      </c>
      <c r="G1639" t="s">
        <v>49</v>
      </c>
      <c r="H1639" t="s">
        <v>83</v>
      </c>
      <c r="I1639" t="s">
        <v>43</v>
      </c>
      <c r="J1639" t="s">
        <v>44</v>
      </c>
      <c r="K1639">
        <v>5</v>
      </c>
      <c r="L1639">
        <v>65939</v>
      </c>
      <c r="M1639" t="s">
        <v>51</v>
      </c>
      <c r="N1639">
        <v>1</v>
      </c>
      <c r="O1639">
        <v>3</v>
      </c>
      <c r="P1639">
        <v>33</v>
      </c>
      <c r="Q1639">
        <v>1</v>
      </c>
      <c r="R1639" s="1">
        <v>43139</v>
      </c>
      <c r="S1639" t="s">
        <v>29</v>
      </c>
      <c r="T1639" t="str">
        <f t="shared" si="125"/>
        <v>Grade B</v>
      </c>
      <c r="U1639">
        <f t="shared" si="126"/>
        <v>4</v>
      </c>
      <c r="V1639" t="str">
        <f t="shared" si="127"/>
        <v>Junior</v>
      </c>
      <c r="W1639" t="str">
        <f t="shared" si="128"/>
        <v>Low Risk</v>
      </c>
      <c r="X1639" t="str">
        <f t="shared" si="129"/>
        <v>Fair</v>
      </c>
    </row>
    <row r="1640" spans="1:24" x14ac:dyDescent="0.3">
      <c r="A1640" t="s">
        <v>1708</v>
      </c>
      <c r="B1640" t="s">
        <v>20</v>
      </c>
      <c r="C1640">
        <v>26</v>
      </c>
      <c r="D1640" t="s">
        <v>21</v>
      </c>
      <c r="E1640" t="s">
        <v>48</v>
      </c>
      <c r="F1640" t="s">
        <v>41</v>
      </c>
      <c r="G1640" t="s">
        <v>58</v>
      </c>
      <c r="H1640" t="s">
        <v>67</v>
      </c>
      <c r="I1640" t="s">
        <v>54</v>
      </c>
      <c r="J1640" t="s">
        <v>27</v>
      </c>
      <c r="K1640">
        <v>15</v>
      </c>
      <c r="L1640">
        <v>117560</v>
      </c>
      <c r="M1640" t="s">
        <v>36</v>
      </c>
      <c r="N1640">
        <v>1</v>
      </c>
      <c r="O1640">
        <v>4</v>
      </c>
      <c r="P1640">
        <v>28</v>
      </c>
      <c r="Q1640">
        <v>0</v>
      </c>
      <c r="R1640" s="1">
        <v>39703</v>
      </c>
      <c r="S1640" t="s">
        <v>29</v>
      </c>
      <c r="T1640" t="str">
        <f t="shared" si="125"/>
        <v>Grade A</v>
      </c>
      <c r="U1640">
        <f t="shared" si="126"/>
        <v>1</v>
      </c>
      <c r="V1640" t="str">
        <f t="shared" si="127"/>
        <v>Senior</v>
      </c>
      <c r="W1640" t="str">
        <f t="shared" si="128"/>
        <v>Medium Risk</v>
      </c>
      <c r="X1640" t="str">
        <f t="shared" si="129"/>
        <v>Overpaid</v>
      </c>
    </row>
    <row r="1641" spans="1:24" x14ac:dyDescent="0.3">
      <c r="A1641" t="s">
        <v>1709</v>
      </c>
      <c r="B1641" t="s">
        <v>39</v>
      </c>
      <c r="C1641">
        <v>23</v>
      </c>
      <c r="D1641" t="s">
        <v>21</v>
      </c>
      <c r="E1641" t="s">
        <v>40</v>
      </c>
      <c r="F1641" t="s">
        <v>78</v>
      </c>
      <c r="G1641" t="s">
        <v>24</v>
      </c>
      <c r="H1641" t="s">
        <v>67</v>
      </c>
      <c r="I1641" t="s">
        <v>26</v>
      </c>
      <c r="J1641" t="s">
        <v>27</v>
      </c>
      <c r="K1641">
        <v>9</v>
      </c>
      <c r="L1641">
        <v>92200</v>
      </c>
      <c r="M1641" t="s">
        <v>28</v>
      </c>
      <c r="N1641">
        <v>1</v>
      </c>
      <c r="O1641">
        <v>4</v>
      </c>
      <c r="P1641">
        <v>61</v>
      </c>
      <c r="Q1641">
        <v>0</v>
      </c>
      <c r="R1641" s="1">
        <v>41944</v>
      </c>
      <c r="S1641" t="s">
        <v>29</v>
      </c>
      <c r="T1641" t="str">
        <f t="shared" si="125"/>
        <v>Grade A</v>
      </c>
      <c r="U1641">
        <f t="shared" si="126"/>
        <v>3</v>
      </c>
      <c r="V1641" t="str">
        <f t="shared" si="127"/>
        <v>Mid Level</v>
      </c>
      <c r="W1641" t="str">
        <f t="shared" si="128"/>
        <v>Medium Risk</v>
      </c>
      <c r="X1641" t="str">
        <f t="shared" si="129"/>
        <v>Competitive</v>
      </c>
    </row>
    <row r="1642" spans="1:24" x14ac:dyDescent="0.3">
      <c r="A1642" t="s">
        <v>1710</v>
      </c>
      <c r="B1642" t="s">
        <v>20</v>
      </c>
      <c r="C1642">
        <v>25</v>
      </c>
      <c r="D1642" t="s">
        <v>31</v>
      </c>
      <c r="E1642" t="s">
        <v>22</v>
      </c>
      <c r="F1642" t="s">
        <v>65</v>
      </c>
      <c r="G1642" t="s">
        <v>33</v>
      </c>
      <c r="H1642" t="s">
        <v>76</v>
      </c>
      <c r="I1642" t="s">
        <v>96</v>
      </c>
      <c r="J1642" t="s">
        <v>44</v>
      </c>
      <c r="K1642">
        <v>14</v>
      </c>
      <c r="L1642">
        <v>87334</v>
      </c>
      <c r="M1642" t="s">
        <v>45</v>
      </c>
      <c r="N1642">
        <v>2</v>
      </c>
      <c r="O1642">
        <v>1</v>
      </c>
      <c r="P1642">
        <v>72</v>
      </c>
      <c r="Q1642">
        <v>0</v>
      </c>
      <c r="R1642" s="1">
        <v>39868</v>
      </c>
      <c r="S1642" t="s">
        <v>29</v>
      </c>
      <c r="T1642" t="str">
        <f t="shared" si="125"/>
        <v>Grade A</v>
      </c>
      <c r="U1642">
        <f t="shared" si="126"/>
        <v>2</v>
      </c>
      <c r="V1642" t="str">
        <f t="shared" si="127"/>
        <v>Senior</v>
      </c>
      <c r="W1642" t="str">
        <f t="shared" si="128"/>
        <v>Medium Risk</v>
      </c>
      <c r="X1642" t="str">
        <f t="shared" si="129"/>
        <v>Fair</v>
      </c>
    </row>
    <row r="1643" spans="1:24" x14ac:dyDescent="0.3">
      <c r="A1643" t="s">
        <v>1711</v>
      </c>
      <c r="B1643" t="s">
        <v>39</v>
      </c>
      <c r="C1643">
        <v>22</v>
      </c>
      <c r="D1643" t="s">
        <v>57</v>
      </c>
      <c r="E1643" t="s">
        <v>22</v>
      </c>
      <c r="F1643" t="s">
        <v>62</v>
      </c>
      <c r="G1643" t="s">
        <v>66</v>
      </c>
      <c r="H1643" t="s">
        <v>34</v>
      </c>
      <c r="I1643" t="s">
        <v>26</v>
      </c>
      <c r="J1643" t="s">
        <v>27</v>
      </c>
      <c r="K1643">
        <v>13</v>
      </c>
      <c r="L1643">
        <v>64680</v>
      </c>
      <c r="M1643" t="s">
        <v>36</v>
      </c>
      <c r="N1643">
        <v>4</v>
      </c>
      <c r="O1643">
        <v>2</v>
      </c>
      <c r="P1643">
        <v>50</v>
      </c>
      <c r="Q1643">
        <v>3</v>
      </c>
      <c r="R1643" s="1">
        <v>40499</v>
      </c>
      <c r="S1643" t="s">
        <v>29</v>
      </c>
      <c r="T1643" t="str">
        <f t="shared" si="125"/>
        <v>Grade B</v>
      </c>
      <c r="U1643">
        <f t="shared" si="126"/>
        <v>1</v>
      </c>
      <c r="V1643" t="str">
        <f t="shared" si="127"/>
        <v>Senior</v>
      </c>
      <c r="W1643" t="str">
        <f t="shared" si="128"/>
        <v>Medium Risk</v>
      </c>
      <c r="X1643" t="str">
        <f t="shared" si="129"/>
        <v>Fair</v>
      </c>
    </row>
    <row r="1644" spans="1:24" x14ac:dyDescent="0.3">
      <c r="A1644" t="s">
        <v>1712</v>
      </c>
      <c r="B1644" t="s">
        <v>20</v>
      </c>
      <c r="C1644">
        <v>44</v>
      </c>
      <c r="D1644" t="s">
        <v>57</v>
      </c>
      <c r="E1644" t="s">
        <v>22</v>
      </c>
      <c r="F1644" t="s">
        <v>41</v>
      </c>
      <c r="G1644" t="s">
        <v>79</v>
      </c>
      <c r="H1644" t="s">
        <v>76</v>
      </c>
      <c r="I1644" t="s">
        <v>59</v>
      </c>
      <c r="J1644" t="s">
        <v>60</v>
      </c>
      <c r="K1644">
        <v>14</v>
      </c>
      <c r="L1644">
        <v>63510</v>
      </c>
      <c r="M1644" t="s">
        <v>28</v>
      </c>
      <c r="N1644">
        <v>4</v>
      </c>
      <c r="O1644">
        <v>1</v>
      </c>
      <c r="P1644">
        <v>63</v>
      </c>
      <c r="Q1644">
        <v>2</v>
      </c>
      <c r="R1644" s="1">
        <v>39946</v>
      </c>
      <c r="S1644" t="s">
        <v>29</v>
      </c>
      <c r="T1644" t="str">
        <f t="shared" si="125"/>
        <v>Grade B</v>
      </c>
      <c r="U1644">
        <f t="shared" si="126"/>
        <v>3</v>
      </c>
      <c r="V1644" t="str">
        <f t="shared" si="127"/>
        <v>Senior</v>
      </c>
      <c r="W1644" t="str">
        <f t="shared" si="128"/>
        <v>Medium Risk</v>
      </c>
      <c r="X1644" t="str">
        <f t="shared" si="129"/>
        <v>Competitive</v>
      </c>
    </row>
    <row r="1645" spans="1:24" x14ac:dyDescent="0.3">
      <c r="A1645" t="s">
        <v>1713</v>
      </c>
      <c r="B1645" t="s">
        <v>39</v>
      </c>
      <c r="C1645">
        <v>47</v>
      </c>
      <c r="D1645" t="s">
        <v>88</v>
      </c>
      <c r="E1645" t="s">
        <v>22</v>
      </c>
      <c r="F1645" t="s">
        <v>75</v>
      </c>
      <c r="G1645" t="s">
        <v>79</v>
      </c>
      <c r="H1645" t="s">
        <v>67</v>
      </c>
      <c r="I1645" t="s">
        <v>54</v>
      </c>
      <c r="J1645" t="s">
        <v>27</v>
      </c>
      <c r="K1645">
        <v>15</v>
      </c>
      <c r="L1645">
        <v>62905</v>
      </c>
      <c r="M1645" t="s">
        <v>36</v>
      </c>
      <c r="N1645">
        <v>1</v>
      </c>
      <c r="O1645">
        <v>1</v>
      </c>
      <c r="P1645">
        <v>36</v>
      </c>
      <c r="Q1645">
        <v>0</v>
      </c>
      <c r="R1645" s="1">
        <v>39548</v>
      </c>
      <c r="S1645" t="s">
        <v>37</v>
      </c>
      <c r="T1645" t="str">
        <f t="shared" si="125"/>
        <v>Grade B</v>
      </c>
      <c r="U1645">
        <f t="shared" si="126"/>
        <v>1</v>
      </c>
      <c r="V1645" t="str">
        <f t="shared" si="127"/>
        <v>Senior</v>
      </c>
      <c r="W1645" t="str">
        <f t="shared" si="128"/>
        <v>Already Left</v>
      </c>
      <c r="X1645" t="str">
        <f t="shared" si="129"/>
        <v>Fair</v>
      </c>
    </row>
    <row r="1646" spans="1:24" x14ac:dyDescent="0.3">
      <c r="A1646" t="s">
        <v>1714</v>
      </c>
      <c r="B1646" t="s">
        <v>39</v>
      </c>
      <c r="C1646">
        <v>48</v>
      </c>
      <c r="D1646" t="s">
        <v>21</v>
      </c>
      <c r="E1646" t="s">
        <v>22</v>
      </c>
      <c r="F1646" t="s">
        <v>41</v>
      </c>
      <c r="G1646" t="s">
        <v>49</v>
      </c>
      <c r="H1646" t="s">
        <v>76</v>
      </c>
      <c r="I1646" t="s">
        <v>96</v>
      </c>
      <c r="J1646" t="s">
        <v>44</v>
      </c>
      <c r="K1646">
        <v>6</v>
      </c>
      <c r="L1646">
        <v>57627</v>
      </c>
      <c r="M1646" t="s">
        <v>36</v>
      </c>
      <c r="N1646">
        <v>1</v>
      </c>
      <c r="O1646">
        <v>4</v>
      </c>
      <c r="P1646">
        <v>77</v>
      </c>
      <c r="Q1646">
        <v>2</v>
      </c>
      <c r="R1646" s="1">
        <v>42989</v>
      </c>
      <c r="S1646" t="s">
        <v>37</v>
      </c>
      <c r="T1646" t="str">
        <f t="shared" si="125"/>
        <v>Grade B</v>
      </c>
      <c r="U1646">
        <f t="shared" si="126"/>
        <v>1</v>
      </c>
      <c r="V1646" t="str">
        <f t="shared" si="127"/>
        <v>Mid Level</v>
      </c>
      <c r="W1646" t="str">
        <f t="shared" si="128"/>
        <v>Already Left</v>
      </c>
      <c r="X1646" t="str">
        <f t="shared" si="129"/>
        <v>Fair</v>
      </c>
    </row>
    <row r="1647" spans="1:24" x14ac:dyDescent="0.3">
      <c r="A1647" t="s">
        <v>1715</v>
      </c>
      <c r="B1647" t="s">
        <v>39</v>
      </c>
      <c r="C1647">
        <v>44</v>
      </c>
      <c r="D1647" t="s">
        <v>31</v>
      </c>
      <c r="E1647" t="s">
        <v>48</v>
      </c>
      <c r="F1647" t="s">
        <v>23</v>
      </c>
      <c r="G1647" t="s">
        <v>58</v>
      </c>
      <c r="H1647" t="s">
        <v>83</v>
      </c>
      <c r="I1647" t="s">
        <v>80</v>
      </c>
      <c r="J1647" t="s">
        <v>60</v>
      </c>
      <c r="K1647">
        <v>12</v>
      </c>
      <c r="L1647">
        <v>106951</v>
      </c>
      <c r="M1647" t="s">
        <v>45</v>
      </c>
      <c r="N1647">
        <v>3</v>
      </c>
      <c r="O1647">
        <v>2</v>
      </c>
      <c r="P1647">
        <v>53</v>
      </c>
      <c r="Q1647">
        <v>3</v>
      </c>
      <c r="R1647" s="1">
        <v>40568</v>
      </c>
      <c r="S1647" t="s">
        <v>29</v>
      </c>
      <c r="T1647" t="str">
        <f t="shared" si="125"/>
        <v>Grade A</v>
      </c>
      <c r="U1647">
        <f t="shared" si="126"/>
        <v>2</v>
      </c>
      <c r="V1647" t="str">
        <f t="shared" si="127"/>
        <v>Senior</v>
      </c>
      <c r="W1647" t="str">
        <f t="shared" si="128"/>
        <v>Medium Risk</v>
      </c>
      <c r="X1647" t="str">
        <f t="shared" si="129"/>
        <v>Fair</v>
      </c>
    </row>
    <row r="1648" spans="1:24" x14ac:dyDescent="0.3">
      <c r="A1648" t="s">
        <v>1716</v>
      </c>
      <c r="B1648" t="s">
        <v>39</v>
      </c>
      <c r="C1648">
        <v>42</v>
      </c>
      <c r="D1648" t="s">
        <v>31</v>
      </c>
      <c r="E1648" t="s">
        <v>22</v>
      </c>
      <c r="F1648" t="s">
        <v>41</v>
      </c>
      <c r="G1648" t="s">
        <v>42</v>
      </c>
      <c r="H1648" t="s">
        <v>67</v>
      </c>
      <c r="I1648" t="s">
        <v>59</v>
      </c>
      <c r="J1648" t="s">
        <v>60</v>
      </c>
      <c r="K1648">
        <v>14</v>
      </c>
      <c r="L1648">
        <v>120137</v>
      </c>
      <c r="M1648" t="s">
        <v>36</v>
      </c>
      <c r="N1648">
        <v>4</v>
      </c>
      <c r="O1648">
        <v>3</v>
      </c>
      <c r="P1648">
        <v>18</v>
      </c>
      <c r="Q1648">
        <v>1</v>
      </c>
      <c r="R1648" s="1">
        <v>40104</v>
      </c>
      <c r="S1648" t="s">
        <v>29</v>
      </c>
      <c r="T1648" t="str">
        <f t="shared" si="125"/>
        <v>Grade A</v>
      </c>
      <c r="U1648">
        <f t="shared" si="126"/>
        <v>1</v>
      </c>
      <c r="V1648" t="str">
        <f t="shared" si="127"/>
        <v>Senior</v>
      </c>
      <c r="W1648" t="str">
        <f t="shared" si="128"/>
        <v>Medium Risk</v>
      </c>
      <c r="X1648" t="str">
        <f t="shared" si="129"/>
        <v>Overpaid</v>
      </c>
    </row>
    <row r="1649" spans="1:24" x14ac:dyDescent="0.3">
      <c r="A1649" t="s">
        <v>1717</v>
      </c>
      <c r="B1649" t="s">
        <v>39</v>
      </c>
      <c r="C1649">
        <v>47</v>
      </c>
      <c r="D1649" t="s">
        <v>21</v>
      </c>
      <c r="E1649" t="s">
        <v>22</v>
      </c>
      <c r="F1649" t="s">
        <v>41</v>
      </c>
      <c r="G1649" t="s">
        <v>63</v>
      </c>
      <c r="H1649" t="s">
        <v>25</v>
      </c>
      <c r="I1649" t="s">
        <v>72</v>
      </c>
      <c r="J1649" t="s">
        <v>73</v>
      </c>
      <c r="K1649">
        <v>14</v>
      </c>
      <c r="L1649">
        <v>68881</v>
      </c>
      <c r="M1649" t="s">
        <v>36</v>
      </c>
      <c r="N1649">
        <v>4</v>
      </c>
      <c r="O1649">
        <v>2</v>
      </c>
      <c r="P1649">
        <v>43</v>
      </c>
      <c r="Q1649">
        <v>2</v>
      </c>
      <c r="R1649" s="1">
        <v>40089</v>
      </c>
      <c r="S1649" t="s">
        <v>29</v>
      </c>
      <c r="T1649" t="str">
        <f t="shared" si="125"/>
        <v>Grade B</v>
      </c>
      <c r="U1649">
        <f t="shared" si="126"/>
        <v>1</v>
      </c>
      <c r="V1649" t="str">
        <f t="shared" si="127"/>
        <v>Senior</v>
      </c>
      <c r="W1649" t="str">
        <f t="shared" si="128"/>
        <v>Medium Risk</v>
      </c>
      <c r="X1649" t="str">
        <f t="shared" si="129"/>
        <v>Fair</v>
      </c>
    </row>
    <row r="1650" spans="1:24" x14ac:dyDescent="0.3">
      <c r="A1650" t="s">
        <v>1718</v>
      </c>
      <c r="B1650" t="s">
        <v>39</v>
      </c>
      <c r="C1650">
        <v>25</v>
      </c>
      <c r="D1650" t="s">
        <v>88</v>
      </c>
      <c r="E1650" t="s">
        <v>22</v>
      </c>
      <c r="F1650" t="s">
        <v>41</v>
      </c>
      <c r="G1650" t="s">
        <v>49</v>
      </c>
      <c r="H1650" t="s">
        <v>67</v>
      </c>
      <c r="I1650" t="s">
        <v>80</v>
      </c>
      <c r="J1650" t="s">
        <v>60</v>
      </c>
      <c r="K1650">
        <v>6</v>
      </c>
      <c r="L1650">
        <v>55074</v>
      </c>
      <c r="M1650" t="s">
        <v>45</v>
      </c>
      <c r="N1650">
        <v>1</v>
      </c>
      <c r="O1650">
        <v>4</v>
      </c>
      <c r="P1650">
        <v>61</v>
      </c>
      <c r="Q1650">
        <v>2</v>
      </c>
      <c r="R1650" s="1">
        <v>42903</v>
      </c>
      <c r="S1650" t="s">
        <v>29</v>
      </c>
      <c r="T1650" t="str">
        <f t="shared" si="125"/>
        <v>Grade B</v>
      </c>
      <c r="U1650">
        <f t="shared" si="126"/>
        <v>2</v>
      </c>
      <c r="V1650" t="str">
        <f t="shared" si="127"/>
        <v>Mid Level</v>
      </c>
      <c r="W1650" t="str">
        <f t="shared" si="128"/>
        <v>Medium Risk</v>
      </c>
      <c r="X1650" t="str">
        <f t="shared" si="129"/>
        <v>Fair</v>
      </c>
    </row>
    <row r="1651" spans="1:24" x14ac:dyDescent="0.3">
      <c r="A1651" t="s">
        <v>1719</v>
      </c>
      <c r="B1651" t="s">
        <v>39</v>
      </c>
      <c r="C1651">
        <v>39</v>
      </c>
      <c r="D1651" t="s">
        <v>21</v>
      </c>
      <c r="E1651" t="s">
        <v>40</v>
      </c>
      <c r="F1651" t="s">
        <v>23</v>
      </c>
      <c r="G1651" t="s">
        <v>42</v>
      </c>
      <c r="H1651" t="s">
        <v>34</v>
      </c>
      <c r="I1651" t="s">
        <v>54</v>
      </c>
      <c r="J1651" t="s">
        <v>27</v>
      </c>
      <c r="K1651">
        <v>12</v>
      </c>
      <c r="L1651">
        <v>120873</v>
      </c>
      <c r="M1651" t="s">
        <v>36</v>
      </c>
      <c r="N1651">
        <v>2</v>
      </c>
      <c r="O1651">
        <v>1</v>
      </c>
      <c r="P1651">
        <v>68</v>
      </c>
      <c r="Q1651">
        <v>3</v>
      </c>
      <c r="R1651" s="1">
        <v>40675</v>
      </c>
      <c r="S1651" t="s">
        <v>29</v>
      </c>
      <c r="T1651" t="str">
        <f t="shared" si="125"/>
        <v>Grade A</v>
      </c>
      <c r="U1651">
        <f t="shared" si="126"/>
        <v>1</v>
      </c>
      <c r="V1651" t="str">
        <f t="shared" si="127"/>
        <v>Senior</v>
      </c>
      <c r="W1651" t="str">
        <f t="shared" si="128"/>
        <v>Medium Risk</v>
      </c>
      <c r="X1651" t="str">
        <f t="shared" si="129"/>
        <v>Overpaid</v>
      </c>
    </row>
    <row r="1652" spans="1:24" x14ac:dyDescent="0.3">
      <c r="A1652" t="s">
        <v>1720</v>
      </c>
      <c r="B1652" t="s">
        <v>20</v>
      </c>
      <c r="C1652">
        <v>34</v>
      </c>
      <c r="D1652" t="s">
        <v>57</v>
      </c>
      <c r="E1652" t="s">
        <v>48</v>
      </c>
      <c r="F1652" t="s">
        <v>65</v>
      </c>
      <c r="G1652" t="s">
        <v>79</v>
      </c>
      <c r="H1652" t="s">
        <v>83</v>
      </c>
      <c r="I1652" t="s">
        <v>59</v>
      </c>
      <c r="J1652" t="s">
        <v>60</v>
      </c>
      <c r="K1652">
        <v>7</v>
      </c>
      <c r="L1652">
        <v>46180</v>
      </c>
      <c r="M1652" t="s">
        <v>36</v>
      </c>
      <c r="N1652">
        <v>1</v>
      </c>
      <c r="O1652">
        <v>4</v>
      </c>
      <c r="P1652">
        <v>27</v>
      </c>
      <c r="Q1652">
        <v>0</v>
      </c>
      <c r="R1652" s="1">
        <v>42419</v>
      </c>
      <c r="S1652" t="s">
        <v>37</v>
      </c>
      <c r="T1652" t="str">
        <f t="shared" si="125"/>
        <v>Grade C</v>
      </c>
      <c r="U1652">
        <f t="shared" si="126"/>
        <v>1</v>
      </c>
      <c r="V1652" t="str">
        <f t="shared" si="127"/>
        <v>Mid Level</v>
      </c>
      <c r="W1652" t="str">
        <f t="shared" si="128"/>
        <v>Already Left</v>
      </c>
      <c r="X1652" t="str">
        <f t="shared" si="129"/>
        <v>Fair</v>
      </c>
    </row>
    <row r="1653" spans="1:24" x14ac:dyDescent="0.3">
      <c r="A1653" t="s">
        <v>1721</v>
      </c>
      <c r="B1653" t="s">
        <v>39</v>
      </c>
      <c r="C1653">
        <v>32</v>
      </c>
      <c r="D1653" t="s">
        <v>31</v>
      </c>
      <c r="E1653" t="s">
        <v>22</v>
      </c>
      <c r="F1653" t="s">
        <v>32</v>
      </c>
      <c r="G1653" t="s">
        <v>24</v>
      </c>
      <c r="H1653" t="s">
        <v>25</v>
      </c>
      <c r="I1653" t="s">
        <v>96</v>
      </c>
      <c r="J1653" t="s">
        <v>44</v>
      </c>
      <c r="K1653">
        <v>12</v>
      </c>
      <c r="L1653">
        <v>99014</v>
      </c>
      <c r="M1653" t="s">
        <v>51</v>
      </c>
      <c r="N1653">
        <v>2</v>
      </c>
      <c r="O1653">
        <v>1</v>
      </c>
      <c r="P1653">
        <v>62</v>
      </c>
      <c r="Q1653">
        <v>1</v>
      </c>
      <c r="R1653" s="1">
        <v>40579</v>
      </c>
      <c r="S1653" t="s">
        <v>29</v>
      </c>
      <c r="T1653" t="str">
        <f t="shared" si="125"/>
        <v>Grade A</v>
      </c>
      <c r="U1653">
        <f t="shared" si="126"/>
        <v>4</v>
      </c>
      <c r="V1653" t="str">
        <f t="shared" si="127"/>
        <v>Senior</v>
      </c>
      <c r="W1653" t="str">
        <f t="shared" si="128"/>
        <v>Low Risk</v>
      </c>
      <c r="X1653" t="str">
        <f t="shared" si="129"/>
        <v>Competitive</v>
      </c>
    </row>
    <row r="1654" spans="1:24" x14ac:dyDescent="0.3">
      <c r="A1654" t="s">
        <v>1722</v>
      </c>
      <c r="B1654" t="s">
        <v>20</v>
      </c>
      <c r="C1654">
        <v>40</v>
      </c>
      <c r="D1654" t="s">
        <v>31</v>
      </c>
      <c r="E1654" t="s">
        <v>22</v>
      </c>
      <c r="F1654" t="s">
        <v>32</v>
      </c>
      <c r="G1654" t="s">
        <v>58</v>
      </c>
      <c r="H1654" t="s">
        <v>76</v>
      </c>
      <c r="I1654" t="s">
        <v>68</v>
      </c>
      <c r="J1654" t="s">
        <v>60</v>
      </c>
      <c r="K1654">
        <v>5</v>
      </c>
      <c r="L1654">
        <v>88084</v>
      </c>
      <c r="M1654" t="s">
        <v>45</v>
      </c>
      <c r="N1654">
        <v>3</v>
      </c>
      <c r="O1654">
        <v>3</v>
      </c>
      <c r="P1654">
        <v>29</v>
      </c>
      <c r="Q1654">
        <v>0</v>
      </c>
      <c r="R1654" s="1">
        <v>43416</v>
      </c>
      <c r="S1654" t="s">
        <v>29</v>
      </c>
      <c r="T1654" t="str">
        <f t="shared" si="125"/>
        <v>Grade A</v>
      </c>
      <c r="U1654">
        <f t="shared" si="126"/>
        <v>2</v>
      </c>
      <c r="V1654" t="str">
        <f t="shared" si="127"/>
        <v>Junior</v>
      </c>
      <c r="W1654" t="str">
        <f t="shared" si="128"/>
        <v>Medium Risk</v>
      </c>
      <c r="X1654" t="str">
        <f t="shared" si="129"/>
        <v>Fair</v>
      </c>
    </row>
    <row r="1655" spans="1:24" x14ac:dyDescent="0.3">
      <c r="A1655" t="s">
        <v>1723</v>
      </c>
      <c r="B1655" t="s">
        <v>39</v>
      </c>
      <c r="C1655">
        <v>29</v>
      </c>
      <c r="D1655" t="s">
        <v>88</v>
      </c>
      <c r="E1655" t="s">
        <v>48</v>
      </c>
      <c r="F1655" t="s">
        <v>62</v>
      </c>
      <c r="G1655" t="s">
        <v>42</v>
      </c>
      <c r="H1655" t="s">
        <v>67</v>
      </c>
      <c r="I1655" t="s">
        <v>68</v>
      </c>
      <c r="J1655" t="s">
        <v>60</v>
      </c>
      <c r="K1655">
        <v>1</v>
      </c>
      <c r="L1655">
        <v>101392</v>
      </c>
      <c r="M1655" t="s">
        <v>45</v>
      </c>
      <c r="N1655">
        <v>1</v>
      </c>
      <c r="O1655">
        <v>3</v>
      </c>
      <c r="P1655">
        <v>63</v>
      </c>
      <c r="Q1655">
        <v>2</v>
      </c>
      <c r="R1655" s="1">
        <v>44748</v>
      </c>
      <c r="S1655" t="s">
        <v>29</v>
      </c>
      <c r="T1655" t="str">
        <f t="shared" si="125"/>
        <v>Grade A</v>
      </c>
      <c r="U1655">
        <f t="shared" si="126"/>
        <v>2</v>
      </c>
      <c r="V1655" t="str">
        <f t="shared" si="127"/>
        <v>New Joiner</v>
      </c>
      <c r="W1655" t="str">
        <f t="shared" si="128"/>
        <v>Medium Risk</v>
      </c>
      <c r="X1655" t="str">
        <f t="shared" si="129"/>
        <v>Fair</v>
      </c>
    </row>
    <row r="1656" spans="1:24" x14ac:dyDescent="0.3">
      <c r="A1656" t="s">
        <v>1724</v>
      </c>
      <c r="B1656" t="s">
        <v>39</v>
      </c>
      <c r="C1656">
        <v>34</v>
      </c>
      <c r="D1656" t="s">
        <v>57</v>
      </c>
      <c r="E1656" t="s">
        <v>22</v>
      </c>
      <c r="F1656" t="s">
        <v>62</v>
      </c>
      <c r="G1656" t="s">
        <v>66</v>
      </c>
      <c r="H1656" t="s">
        <v>83</v>
      </c>
      <c r="I1656" t="s">
        <v>50</v>
      </c>
      <c r="J1656" t="s">
        <v>44</v>
      </c>
      <c r="K1656">
        <v>8</v>
      </c>
      <c r="L1656">
        <v>47304</v>
      </c>
      <c r="M1656" t="s">
        <v>45</v>
      </c>
      <c r="N1656">
        <v>3</v>
      </c>
      <c r="O1656">
        <v>3</v>
      </c>
      <c r="P1656">
        <v>27</v>
      </c>
      <c r="Q1656">
        <v>2</v>
      </c>
      <c r="R1656" s="1">
        <v>42096</v>
      </c>
      <c r="S1656" t="s">
        <v>29</v>
      </c>
      <c r="T1656" t="str">
        <f t="shared" si="125"/>
        <v>Grade C</v>
      </c>
      <c r="U1656">
        <f t="shared" si="126"/>
        <v>2</v>
      </c>
      <c r="V1656" t="str">
        <f t="shared" si="127"/>
        <v>Mid Level</v>
      </c>
      <c r="W1656" t="str">
        <f t="shared" si="128"/>
        <v>Medium Risk</v>
      </c>
      <c r="X1656" t="str">
        <f t="shared" si="129"/>
        <v>Fair</v>
      </c>
    </row>
    <row r="1657" spans="1:24" x14ac:dyDescent="0.3">
      <c r="A1657" t="s">
        <v>1725</v>
      </c>
      <c r="B1657" t="s">
        <v>39</v>
      </c>
      <c r="C1657">
        <v>23</v>
      </c>
      <c r="D1657" t="s">
        <v>47</v>
      </c>
      <c r="E1657" t="s">
        <v>48</v>
      </c>
      <c r="F1657" t="s">
        <v>41</v>
      </c>
      <c r="G1657" t="s">
        <v>24</v>
      </c>
      <c r="H1657" t="s">
        <v>34</v>
      </c>
      <c r="I1657" t="s">
        <v>72</v>
      </c>
      <c r="J1657" t="s">
        <v>73</v>
      </c>
      <c r="K1657">
        <v>9</v>
      </c>
      <c r="L1657">
        <v>95633</v>
      </c>
      <c r="M1657" t="s">
        <v>51</v>
      </c>
      <c r="N1657">
        <v>4</v>
      </c>
      <c r="O1657">
        <v>3</v>
      </c>
      <c r="P1657">
        <v>44</v>
      </c>
      <c r="Q1657">
        <v>1</v>
      </c>
      <c r="R1657" s="1">
        <v>41666</v>
      </c>
      <c r="S1657" t="s">
        <v>37</v>
      </c>
      <c r="T1657" t="str">
        <f t="shared" si="125"/>
        <v>Grade A</v>
      </c>
      <c r="U1657">
        <f t="shared" si="126"/>
        <v>4</v>
      </c>
      <c r="V1657" t="str">
        <f t="shared" si="127"/>
        <v>Mid Level</v>
      </c>
      <c r="W1657" t="str">
        <f t="shared" si="128"/>
        <v>Already Left</v>
      </c>
      <c r="X1657" t="str">
        <f t="shared" si="129"/>
        <v>Competitive</v>
      </c>
    </row>
    <row r="1658" spans="1:24" x14ac:dyDescent="0.3">
      <c r="A1658" t="s">
        <v>1726</v>
      </c>
      <c r="B1658" t="s">
        <v>20</v>
      </c>
      <c r="C1658">
        <v>33</v>
      </c>
      <c r="D1658" t="s">
        <v>47</v>
      </c>
      <c r="E1658" t="s">
        <v>40</v>
      </c>
      <c r="F1658" t="s">
        <v>53</v>
      </c>
      <c r="G1658" t="s">
        <v>33</v>
      </c>
      <c r="H1658" t="s">
        <v>83</v>
      </c>
      <c r="I1658" t="s">
        <v>54</v>
      </c>
      <c r="J1658" t="s">
        <v>27</v>
      </c>
      <c r="K1658">
        <v>4</v>
      </c>
      <c r="L1658">
        <v>70524</v>
      </c>
      <c r="M1658" t="s">
        <v>28</v>
      </c>
      <c r="N1658">
        <v>3</v>
      </c>
      <c r="O1658">
        <v>2</v>
      </c>
      <c r="P1658">
        <v>39</v>
      </c>
      <c r="Q1658">
        <v>3</v>
      </c>
      <c r="R1658" s="1">
        <v>43611</v>
      </c>
      <c r="S1658" t="s">
        <v>29</v>
      </c>
      <c r="T1658" t="str">
        <f t="shared" si="125"/>
        <v>Grade B</v>
      </c>
      <c r="U1658">
        <f t="shared" si="126"/>
        <v>3</v>
      </c>
      <c r="V1658" t="str">
        <f t="shared" si="127"/>
        <v>Junior</v>
      </c>
      <c r="W1658" t="str">
        <f t="shared" si="128"/>
        <v>Medium Risk</v>
      </c>
      <c r="X1658" t="str">
        <f t="shared" si="129"/>
        <v>Competitive</v>
      </c>
    </row>
    <row r="1659" spans="1:24" x14ac:dyDescent="0.3">
      <c r="A1659" t="s">
        <v>1727</v>
      </c>
      <c r="B1659" t="s">
        <v>39</v>
      </c>
      <c r="C1659">
        <v>41</v>
      </c>
      <c r="D1659" t="s">
        <v>47</v>
      </c>
      <c r="E1659" t="s">
        <v>48</v>
      </c>
      <c r="F1659" t="s">
        <v>62</v>
      </c>
      <c r="G1659" t="s">
        <v>49</v>
      </c>
      <c r="H1659" t="s">
        <v>83</v>
      </c>
      <c r="I1659" t="s">
        <v>26</v>
      </c>
      <c r="J1659" t="s">
        <v>27</v>
      </c>
      <c r="K1659">
        <v>11</v>
      </c>
      <c r="L1659">
        <v>81950</v>
      </c>
      <c r="M1659" t="s">
        <v>51</v>
      </c>
      <c r="N1659">
        <v>2</v>
      </c>
      <c r="O1659">
        <v>3</v>
      </c>
      <c r="P1659">
        <v>10</v>
      </c>
      <c r="Q1659">
        <v>3</v>
      </c>
      <c r="R1659" s="1">
        <v>40959</v>
      </c>
      <c r="S1659" t="s">
        <v>37</v>
      </c>
      <c r="T1659" t="str">
        <f t="shared" si="125"/>
        <v>Grade A</v>
      </c>
      <c r="U1659">
        <f t="shared" si="126"/>
        <v>4</v>
      </c>
      <c r="V1659" t="str">
        <f t="shared" si="127"/>
        <v>Senior</v>
      </c>
      <c r="W1659" t="str">
        <f t="shared" si="128"/>
        <v>Already Left</v>
      </c>
      <c r="X1659" t="str">
        <f t="shared" si="129"/>
        <v>Competitive</v>
      </c>
    </row>
    <row r="1660" spans="1:24" x14ac:dyDescent="0.3">
      <c r="A1660" t="s">
        <v>1728</v>
      </c>
      <c r="B1660" t="s">
        <v>39</v>
      </c>
      <c r="C1660">
        <v>37</v>
      </c>
      <c r="D1660" t="s">
        <v>31</v>
      </c>
      <c r="E1660" t="s">
        <v>22</v>
      </c>
      <c r="F1660" t="s">
        <v>53</v>
      </c>
      <c r="G1660" t="s">
        <v>63</v>
      </c>
      <c r="H1660" t="s">
        <v>34</v>
      </c>
      <c r="I1660" t="s">
        <v>43</v>
      </c>
      <c r="J1660" t="s">
        <v>44</v>
      </c>
      <c r="K1660">
        <v>5</v>
      </c>
      <c r="L1660">
        <v>51269</v>
      </c>
      <c r="M1660" t="s">
        <v>28</v>
      </c>
      <c r="N1660">
        <v>4</v>
      </c>
      <c r="O1660">
        <v>3</v>
      </c>
      <c r="P1660">
        <v>23</v>
      </c>
      <c r="Q1660">
        <v>3</v>
      </c>
      <c r="R1660" s="1">
        <v>43314</v>
      </c>
      <c r="S1660" t="s">
        <v>29</v>
      </c>
      <c r="T1660" t="str">
        <f t="shared" si="125"/>
        <v>Grade B</v>
      </c>
      <c r="U1660">
        <f t="shared" si="126"/>
        <v>3</v>
      </c>
      <c r="V1660" t="str">
        <f t="shared" si="127"/>
        <v>Junior</v>
      </c>
      <c r="W1660" t="str">
        <f t="shared" si="128"/>
        <v>Medium Risk</v>
      </c>
      <c r="X1660" t="str">
        <f t="shared" si="129"/>
        <v>Competitive</v>
      </c>
    </row>
    <row r="1661" spans="1:24" x14ac:dyDescent="0.3">
      <c r="A1661" t="s">
        <v>1729</v>
      </c>
      <c r="B1661" t="s">
        <v>39</v>
      </c>
      <c r="C1661">
        <v>46</v>
      </c>
      <c r="D1661" t="s">
        <v>88</v>
      </c>
      <c r="E1661" t="s">
        <v>22</v>
      </c>
      <c r="F1661" t="s">
        <v>62</v>
      </c>
      <c r="G1661" t="s">
        <v>66</v>
      </c>
      <c r="H1661" t="s">
        <v>83</v>
      </c>
      <c r="I1661" t="s">
        <v>43</v>
      </c>
      <c r="J1661" t="s">
        <v>44</v>
      </c>
      <c r="K1661">
        <v>13</v>
      </c>
      <c r="L1661">
        <v>60436</v>
      </c>
      <c r="M1661" t="s">
        <v>36</v>
      </c>
      <c r="N1661">
        <v>3</v>
      </c>
      <c r="O1661">
        <v>3</v>
      </c>
      <c r="P1661">
        <v>12</v>
      </c>
      <c r="Q1661">
        <v>3</v>
      </c>
      <c r="R1661" s="1">
        <v>40420</v>
      </c>
      <c r="S1661" t="s">
        <v>37</v>
      </c>
      <c r="T1661" t="str">
        <f t="shared" si="125"/>
        <v>Grade B</v>
      </c>
      <c r="U1661">
        <f t="shared" si="126"/>
        <v>1</v>
      </c>
      <c r="V1661" t="str">
        <f t="shared" si="127"/>
        <v>Senior</v>
      </c>
      <c r="W1661" t="str">
        <f t="shared" si="128"/>
        <v>Already Left</v>
      </c>
      <c r="X1661" t="str">
        <f t="shared" si="129"/>
        <v>Fair</v>
      </c>
    </row>
    <row r="1662" spans="1:24" x14ac:dyDescent="0.3">
      <c r="A1662" t="s">
        <v>1730</v>
      </c>
      <c r="B1662" t="s">
        <v>20</v>
      </c>
      <c r="C1662">
        <v>39</v>
      </c>
      <c r="D1662" t="s">
        <v>57</v>
      </c>
      <c r="E1662" t="s">
        <v>40</v>
      </c>
      <c r="F1662" t="s">
        <v>32</v>
      </c>
      <c r="G1662" t="s">
        <v>66</v>
      </c>
      <c r="H1662" t="s">
        <v>25</v>
      </c>
      <c r="I1662" t="s">
        <v>80</v>
      </c>
      <c r="J1662" t="s">
        <v>60</v>
      </c>
      <c r="K1662">
        <v>10</v>
      </c>
      <c r="L1662">
        <v>50344</v>
      </c>
      <c r="M1662" t="s">
        <v>51</v>
      </c>
      <c r="N1662">
        <v>1</v>
      </c>
      <c r="O1662">
        <v>2</v>
      </c>
      <c r="P1662">
        <v>64</v>
      </c>
      <c r="Q1662">
        <v>3</v>
      </c>
      <c r="R1662" s="1">
        <v>41318</v>
      </c>
      <c r="S1662" t="s">
        <v>29</v>
      </c>
      <c r="T1662" t="str">
        <f t="shared" si="125"/>
        <v>Grade B</v>
      </c>
      <c r="U1662">
        <f t="shared" si="126"/>
        <v>4</v>
      </c>
      <c r="V1662" t="str">
        <f t="shared" si="127"/>
        <v>Mid Level</v>
      </c>
      <c r="W1662" t="str">
        <f t="shared" si="128"/>
        <v>Low Risk</v>
      </c>
      <c r="X1662" t="str">
        <f t="shared" si="129"/>
        <v>Fair</v>
      </c>
    </row>
    <row r="1663" spans="1:24" x14ac:dyDescent="0.3">
      <c r="A1663" t="s">
        <v>1731</v>
      </c>
      <c r="B1663" t="s">
        <v>39</v>
      </c>
      <c r="C1663">
        <v>38</v>
      </c>
      <c r="D1663" t="s">
        <v>57</v>
      </c>
      <c r="E1663" t="s">
        <v>22</v>
      </c>
      <c r="F1663" t="s">
        <v>65</v>
      </c>
      <c r="G1663" t="s">
        <v>79</v>
      </c>
      <c r="H1663" t="s">
        <v>67</v>
      </c>
      <c r="I1663" t="s">
        <v>80</v>
      </c>
      <c r="J1663" t="s">
        <v>60</v>
      </c>
      <c r="K1663">
        <v>10</v>
      </c>
      <c r="L1663">
        <v>65411</v>
      </c>
      <c r="M1663" t="s">
        <v>45</v>
      </c>
      <c r="N1663">
        <v>2</v>
      </c>
      <c r="O1663">
        <v>1</v>
      </c>
      <c r="P1663">
        <v>14</v>
      </c>
      <c r="Q1663">
        <v>2</v>
      </c>
      <c r="R1663" s="1">
        <v>41474</v>
      </c>
      <c r="S1663" t="s">
        <v>29</v>
      </c>
      <c r="T1663" t="str">
        <f t="shared" si="125"/>
        <v>Grade B</v>
      </c>
      <c r="U1663">
        <f t="shared" si="126"/>
        <v>2</v>
      </c>
      <c r="V1663" t="str">
        <f t="shared" si="127"/>
        <v>Mid Level</v>
      </c>
      <c r="W1663" t="str">
        <f t="shared" si="128"/>
        <v>Medium Risk</v>
      </c>
      <c r="X1663" t="str">
        <f t="shared" si="129"/>
        <v>Fair</v>
      </c>
    </row>
    <row r="1664" spans="1:24" x14ac:dyDescent="0.3">
      <c r="A1664" t="s">
        <v>1732</v>
      </c>
      <c r="B1664" t="s">
        <v>20</v>
      </c>
      <c r="C1664">
        <v>55</v>
      </c>
      <c r="D1664" t="s">
        <v>57</v>
      </c>
      <c r="E1664" t="s">
        <v>48</v>
      </c>
      <c r="F1664" t="s">
        <v>53</v>
      </c>
      <c r="G1664" t="s">
        <v>42</v>
      </c>
      <c r="H1664" t="s">
        <v>34</v>
      </c>
      <c r="I1664" t="s">
        <v>80</v>
      </c>
      <c r="J1664" t="s">
        <v>60</v>
      </c>
      <c r="K1664">
        <v>4</v>
      </c>
      <c r="L1664">
        <v>102332</v>
      </c>
      <c r="M1664" t="s">
        <v>36</v>
      </c>
      <c r="N1664">
        <v>4</v>
      </c>
      <c r="O1664">
        <v>3</v>
      </c>
      <c r="P1664">
        <v>68</v>
      </c>
      <c r="Q1664">
        <v>0</v>
      </c>
      <c r="R1664" s="1">
        <v>43627</v>
      </c>
      <c r="S1664" t="s">
        <v>29</v>
      </c>
      <c r="T1664" t="str">
        <f t="shared" si="125"/>
        <v>Grade A</v>
      </c>
      <c r="U1664">
        <f t="shared" si="126"/>
        <v>1</v>
      </c>
      <c r="V1664" t="str">
        <f t="shared" si="127"/>
        <v>Junior</v>
      </c>
      <c r="W1664" t="str">
        <f t="shared" si="128"/>
        <v>Medium Risk</v>
      </c>
      <c r="X1664" t="str">
        <f t="shared" si="129"/>
        <v>Overpaid</v>
      </c>
    </row>
    <row r="1665" spans="1:24" x14ac:dyDescent="0.3">
      <c r="A1665" t="s">
        <v>1733</v>
      </c>
      <c r="B1665" t="s">
        <v>20</v>
      </c>
      <c r="C1665">
        <v>50</v>
      </c>
      <c r="D1665" t="s">
        <v>21</v>
      </c>
      <c r="E1665" t="s">
        <v>22</v>
      </c>
      <c r="F1665" t="s">
        <v>41</v>
      </c>
      <c r="G1665" t="s">
        <v>63</v>
      </c>
      <c r="H1665" t="s">
        <v>76</v>
      </c>
      <c r="I1665" t="s">
        <v>43</v>
      </c>
      <c r="J1665" t="s">
        <v>44</v>
      </c>
      <c r="K1665">
        <v>14</v>
      </c>
      <c r="L1665">
        <v>82144</v>
      </c>
      <c r="M1665" t="s">
        <v>51</v>
      </c>
      <c r="N1665">
        <v>1</v>
      </c>
      <c r="O1665">
        <v>2</v>
      </c>
      <c r="P1665">
        <v>77</v>
      </c>
      <c r="Q1665">
        <v>2</v>
      </c>
      <c r="R1665" s="1">
        <v>40139</v>
      </c>
      <c r="S1665" t="s">
        <v>37</v>
      </c>
      <c r="T1665" t="str">
        <f t="shared" si="125"/>
        <v>Grade A</v>
      </c>
      <c r="U1665">
        <f t="shared" si="126"/>
        <v>4</v>
      </c>
      <c r="V1665" t="str">
        <f t="shared" si="127"/>
        <v>Senior</v>
      </c>
      <c r="W1665" t="str">
        <f t="shared" si="128"/>
        <v>Already Left</v>
      </c>
      <c r="X1665" t="str">
        <f t="shared" si="129"/>
        <v>Competitive</v>
      </c>
    </row>
    <row r="1666" spans="1:24" x14ac:dyDescent="0.3">
      <c r="A1666" t="s">
        <v>1734</v>
      </c>
      <c r="B1666" t="s">
        <v>39</v>
      </c>
      <c r="C1666">
        <v>43</v>
      </c>
      <c r="D1666" t="s">
        <v>21</v>
      </c>
      <c r="E1666" t="s">
        <v>40</v>
      </c>
      <c r="F1666" t="s">
        <v>41</v>
      </c>
      <c r="G1666" t="s">
        <v>66</v>
      </c>
      <c r="H1666" t="s">
        <v>25</v>
      </c>
      <c r="I1666" t="s">
        <v>96</v>
      </c>
      <c r="J1666" t="s">
        <v>44</v>
      </c>
      <c r="K1666">
        <v>8</v>
      </c>
      <c r="L1666">
        <v>54724</v>
      </c>
      <c r="M1666" t="s">
        <v>36</v>
      </c>
      <c r="N1666">
        <v>4</v>
      </c>
      <c r="O1666">
        <v>1</v>
      </c>
      <c r="P1666">
        <v>22</v>
      </c>
      <c r="Q1666">
        <v>3</v>
      </c>
      <c r="R1666" s="1">
        <v>42206</v>
      </c>
      <c r="S1666" t="s">
        <v>29</v>
      </c>
      <c r="T1666" t="str">
        <f t="shared" ref="T1666:T1729" si="130">IF(L1666&gt;=80000,"Grade A",IF(L1666&gt;=50000,"Grade B",IF(L1666&gt;=35000,"Grade C","Grade D")))</f>
        <v>Grade B</v>
      </c>
      <c r="U1666">
        <f t="shared" ref="U1666:U1729" si="131">IF(M1666="Excellent",4,IF(M1666="Good",3,IF(M1666="Average",2,1)))</f>
        <v>1</v>
      </c>
      <c r="V1666" t="str">
        <f t="shared" ref="V1666:V1729" si="132">IF(K1666&lt;=2,"New Joiner",IF(K1666&lt;=5,"Junior",IF(K1666&lt;=10,"Mid Level","Senior")))</f>
        <v>Mid Level</v>
      </c>
      <c r="W1666" t="str">
        <f t="shared" ref="W1666:W1729" si="133">IF(S1666="Yes","Already Left",IF(AND(K1666&lt;=2,M1666="Poor"),"High Risk",IF(AND(K1666&lt;=5,M1666="Average"),"Medium Risk",IF(M1666="Excellent","Low Risk","Medium Risk"))))</f>
        <v>Medium Risk</v>
      </c>
      <c r="X1666" t="str">
        <f t="shared" ref="X1666:X1729" si="134">IF(AND(L1666&gt;=80000,M1666="Excellent"),"Competitive",IF(AND(L1666&gt;=50000,M1666="Good"),"Competitive",IF(AND(L1666&lt;35000,M1666="Excellent"),"Underpaid",IF(AND(L1666&gt;=80000,M1666="Poor"),"Overpaid","Fair"))))</f>
        <v>Fair</v>
      </c>
    </row>
    <row r="1667" spans="1:24" x14ac:dyDescent="0.3">
      <c r="A1667" t="s">
        <v>1735</v>
      </c>
      <c r="B1667" t="s">
        <v>20</v>
      </c>
      <c r="C1667">
        <v>55</v>
      </c>
      <c r="D1667" t="s">
        <v>31</v>
      </c>
      <c r="E1667" t="s">
        <v>22</v>
      </c>
      <c r="F1667" t="s">
        <v>62</v>
      </c>
      <c r="G1667" t="s">
        <v>42</v>
      </c>
      <c r="H1667" t="s">
        <v>25</v>
      </c>
      <c r="I1667" t="s">
        <v>96</v>
      </c>
      <c r="J1667" t="s">
        <v>44</v>
      </c>
      <c r="K1667">
        <v>4</v>
      </c>
      <c r="L1667">
        <v>99798</v>
      </c>
      <c r="M1667" t="s">
        <v>28</v>
      </c>
      <c r="N1667">
        <v>3</v>
      </c>
      <c r="O1667">
        <v>3</v>
      </c>
      <c r="P1667">
        <v>12</v>
      </c>
      <c r="Q1667">
        <v>2</v>
      </c>
      <c r="R1667" s="1">
        <v>43520</v>
      </c>
      <c r="S1667" t="s">
        <v>29</v>
      </c>
      <c r="T1667" t="str">
        <f t="shared" si="130"/>
        <v>Grade A</v>
      </c>
      <c r="U1667">
        <f t="shared" si="131"/>
        <v>3</v>
      </c>
      <c r="V1667" t="str">
        <f t="shared" si="132"/>
        <v>Junior</v>
      </c>
      <c r="W1667" t="str">
        <f t="shared" si="133"/>
        <v>Medium Risk</v>
      </c>
      <c r="X1667" t="str">
        <f t="shared" si="134"/>
        <v>Competitive</v>
      </c>
    </row>
    <row r="1668" spans="1:24" x14ac:dyDescent="0.3">
      <c r="A1668" t="s">
        <v>1736</v>
      </c>
      <c r="B1668" t="s">
        <v>20</v>
      </c>
      <c r="C1668">
        <v>33</v>
      </c>
      <c r="D1668" t="s">
        <v>88</v>
      </c>
      <c r="E1668" t="s">
        <v>48</v>
      </c>
      <c r="F1668" t="s">
        <v>75</v>
      </c>
      <c r="G1668" t="s">
        <v>66</v>
      </c>
      <c r="H1668" t="s">
        <v>34</v>
      </c>
      <c r="I1668" t="s">
        <v>43</v>
      </c>
      <c r="J1668" t="s">
        <v>44</v>
      </c>
      <c r="K1668">
        <v>8</v>
      </c>
      <c r="L1668">
        <v>51186</v>
      </c>
      <c r="M1668" t="s">
        <v>28</v>
      </c>
      <c r="N1668">
        <v>1</v>
      </c>
      <c r="O1668">
        <v>4</v>
      </c>
      <c r="P1668">
        <v>78</v>
      </c>
      <c r="Q1668">
        <v>1</v>
      </c>
      <c r="R1668" s="1">
        <v>42303</v>
      </c>
      <c r="S1668" t="s">
        <v>37</v>
      </c>
      <c r="T1668" t="str">
        <f t="shared" si="130"/>
        <v>Grade B</v>
      </c>
      <c r="U1668">
        <f t="shared" si="131"/>
        <v>3</v>
      </c>
      <c r="V1668" t="str">
        <f t="shared" si="132"/>
        <v>Mid Level</v>
      </c>
      <c r="W1668" t="str">
        <f t="shared" si="133"/>
        <v>Already Left</v>
      </c>
      <c r="X1668" t="str">
        <f t="shared" si="134"/>
        <v>Competitive</v>
      </c>
    </row>
    <row r="1669" spans="1:24" x14ac:dyDescent="0.3">
      <c r="A1669" t="s">
        <v>1737</v>
      </c>
      <c r="B1669" t="s">
        <v>39</v>
      </c>
      <c r="C1669">
        <v>42</v>
      </c>
      <c r="D1669" t="s">
        <v>57</v>
      </c>
      <c r="E1669" t="s">
        <v>48</v>
      </c>
      <c r="F1669" t="s">
        <v>78</v>
      </c>
      <c r="G1669" t="s">
        <v>24</v>
      </c>
      <c r="H1669" t="s">
        <v>83</v>
      </c>
      <c r="I1669" t="s">
        <v>72</v>
      </c>
      <c r="J1669" t="s">
        <v>73</v>
      </c>
      <c r="K1669">
        <v>1</v>
      </c>
      <c r="L1669">
        <v>77827</v>
      </c>
      <c r="M1669" t="s">
        <v>45</v>
      </c>
      <c r="N1669">
        <v>2</v>
      </c>
      <c r="O1669">
        <v>4</v>
      </c>
      <c r="P1669">
        <v>48</v>
      </c>
      <c r="Q1669">
        <v>0</v>
      </c>
      <c r="R1669" s="1">
        <v>44578</v>
      </c>
      <c r="S1669" t="s">
        <v>37</v>
      </c>
      <c r="T1669" t="str">
        <f t="shared" si="130"/>
        <v>Grade B</v>
      </c>
      <c r="U1669">
        <f t="shared" si="131"/>
        <v>2</v>
      </c>
      <c r="V1669" t="str">
        <f t="shared" si="132"/>
        <v>New Joiner</v>
      </c>
      <c r="W1669" t="str">
        <f t="shared" si="133"/>
        <v>Already Left</v>
      </c>
      <c r="X1669" t="str">
        <f t="shared" si="134"/>
        <v>Fair</v>
      </c>
    </row>
    <row r="1670" spans="1:24" x14ac:dyDescent="0.3">
      <c r="A1670" t="s">
        <v>1738</v>
      </c>
      <c r="B1670" t="s">
        <v>20</v>
      </c>
      <c r="C1670">
        <v>34</v>
      </c>
      <c r="D1670" t="s">
        <v>31</v>
      </c>
      <c r="E1670" t="s">
        <v>40</v>
      </c>
      <c r="F1670" t="s">
        <v>32</v>
      </c>
      <c r="G1670" t="s">
        <v>49</v>
      </c>
      <c r="H1670" t="s">
        <v>34</v>
      </c>
      <c r="I1670" t="s">
        <v>43</v>
      </c>
      <c r="J1670" t="s">
        <v>44</v>
      </c>
      <c r="K1670">
        <v>10</v>
      </c>
      <c r="L1670">
        <v>73343</v>
      </c>
      <c r="M1670" t="s">
        <v>45</v>
      </c>
      <c r="N1670">
        <v>3</v>
      </c>
      <c r="O1670">
        <v>2</v>
      </c>
      <c r="P1670">
        <v>12</v>
      </c>
      <c r="Q1670">
        <v>0</v>
      </c>
      <c r="R1670" s="1">
        <v>41616</v>
      </c>
      <c r="S1670" t="s">
        <v>29</v>
      </c>
      <c r="T1670" t="str">
        <f t="shared" si="130"/>
        <v>Grade B</v>
      </c>
      <c r="U1670">
        <f t="shared" si="131"/>
        <v>2</v>
      </c>
      <c r="V1670" t="str">
        <f t="shared" si="132"/>
        <v>Mid Level</v>
      </c>
      <c r="W1670" t="str">
        <f t="shared" si="133"/>
        <v>Medium Risk</v>
      </c>
      <c r="X1670" t="str">
        <f t="shared" si="134"/>
        <v>Fair</v>
      </c>
    </row>
    <row r="1671" spans="1:24" x14ac:dyDescent="0.3">
      <c r="A1671" t="s">
        <v>1739</v>
      </c>
      <c r="B1671" t="s">
        <v>39</v>
      </c>
      <c r="C1671">
        <v>22</v>
      </c>
      <c r="D1671" t="s">
        <v>31</v>
      </c>
      <c r="E1671" t="s">
        <v>40</v>
      </c>
      <c r="F1671" t="s">
        <v>41</v>
      </c>
      <c r="G1671" t="s">
        <v>63</v>
      </c>
      <c r="H1671" t="s">
        <v>67</v>
      </c>
      <c r="I1671" t="s">
        <v>50</v>
      </c>
      <c r="J1671" t="s">
        <v>44</v>
      </c>
      <c r="K1671">
        <v>9</v>
      </c>
      <c r="L1671">
        <v>72696</v>
      </c>
      <c r="M1671" t="s">
        <v>36</v>
      </c>
      <c r="N1671">
        <v>3</v>
      </c>
      <c r="O1671">
        <v>2</v>
      </c>
      <c r="P1671">
        <v>72</v>
      </c>
      <c r="Q1671">
        <v>3</v>
      </c>
      <c r="R1671" s="1">
        <v>41695</v>
      </c>
      <c r="S1671" t="s">
        <v>37</v>
      </c>
      <c r="T1671" t="str">
        <f t="shared" si="130"/>
        <v>Grade B</v>
      </c>
      <c r="U1671">
        <f t="shared" si="131"/>
        <v>1</v>
      </c>
      <c r="V1671" t="str">
        <f t="shared" si="132"/>
        <v>Mid Level</v>
      </c>
      <c r="W1671" t="str">
        <f t="shared" si="133"/>
        <v>Already Left</v>
      </c>
      <c r="X1671" t="str">
        <f t="shared" si="134"/>
        <v>Fair</v>
      </c>
    </row>
    <row r="1672" spans="1:24" x14ac:dyDescent="0.3">
      <c r="A1672" t="s">
        <v>1740</v>
      </c>
      <c r="B1672" t="s">
        <v>39</v>
      </c>
      <c r="C1672">
        <v>25</v>
      </c>
      <c r="D1672" t="s">
        <v>47</v>
      </c>
      <c r="E1672" t="s">
        <v>40</v>
      </c>
      <c r="F1672" t="s">
        <v>75</v>
      </c>
      <c r="G1672" t="s">
        <v>49</v>
      </c>
      <c r="H1672" t="s">
        <v>76</v>
      </c>
      <c r="I1672" t="s">
        <v>72</v>
      </c>
      <c r="J1672" t="s">
        <v>73</v>
      </c>
      <c r="K1672">
        <v>15</v>
      </c>
      <c r="L1672">
        <v>82690</v>
      </c>
      <c r="M1672" t="s">
        <v>51</v>
      </c>
      <c r="N1672">
        <v>4</v>
      </c>
      <c r="O1672">
        <v>2</v>
      </c>
      <c r="P1672">
        <v>42</v>
      </c>
      <c r="Q1672">
        <v>2</v>
      </c>
      <c r="R1672" s="1">
        <v>39605</v>
      </c>
      <c r="S1672" t="s">
        <v>29</v>
      </c>
      <c r="T1672" t="str">
        <f t="shared" si="130"/>
        <v>Grade A</v>
      </c>
      <c r="U1672">
        <f t="shared" si="131"/>
        <v>4</v>
      </c>
      <c r="V1672" t="str">
        <f t="shared" si="132"/>
        <v>Senior</v>
      </c>
      <c r="W1672" t="str">
        <f t="shared" si="133"/>
        <v>Low Risk</v>
      </c>
      <c r="X1672" t="str">
        <f t="shared" si="134"/>
        <v>Competitive</v>
      </c>
    </row>
    <row r="1673" spans="1:24" x14ac:dyDescent="0.3">
      <c r="A1673" t="s">
        <v>1741</v>
      </c>
      <c r="B1673" t="s">
        <v>39</v>
      </c>
      <c r="C1673">
        <v>31</v>
      </c>
      <c r="D1673" t="s">
        <v>47</v>
      </c>
      <c r="E1673" t="s">
        <v>22</v>
      </c>
      <c r="F1673" t="s">
        <v>32</v>
      </c>
      <c r="G1673" t="s">
        <v>63</v>
      </c>
      <c r="H1673" t="s">
        <v>34</v>
      </c>
      <c r="I1673" t="s">
        <v>80</v>
      </c>
      <c r="J1673" t="s">
        <v>60</v>
      </c>
      <c r="K1673">
        <v>7</v>
      </c>
      <c r="L1673">
        <v>57015</v>
      </c>
      <c r="M1673" t="s">
        <v>45</v>
      </c>
      <c r="N1673">
        <v>3</v>
      </c>
      <c r="O1673">
        <v>4</v>
      </c>
      <c r="P1673">
        <v>63</v>
      </c>
      <c r="Q1673">
        <v>0</v>
      </c>
      <c r="R1673" s="1">
        <v>42684</v>
      </c>
      <c r="S1673" t="s">
        <v>29</v>
      </c>
      <c r="T1673" t="str">
        <f t="shared" si="130"/>
        <v>Grade B</v>
      </c>
      <c r="U1673">
        <f t="shared" si="131"/>
        <v>2</v>
      </c>
      <c r="V1673" t="str">
        <f t="shared" si="132"/>
        <v>Mid Level</v>
      </c>
      <c r="W1673" t="str">
        <f t="shared" si="133"/>
        <v>Medium Risk</v>
      </c>
      <c r="X1673" t="str">
        <f t="shared" si="134"/>
        <v>Fair</v>
      </c>
    </row>
    <row r="1674" spans="1:24" x14ac:dyDescent="0.3">
      <c r="A1674" t="s">
        <v>1742</v>
      </c>
      <c r="B1674" t="s">
        <v>20</v>
      </c>
      <c r="C1674">
        <v>51</v>
      </c>
      <c r="D1674" t="s">
        <v>57</v>
      </c>
      <c r="E1674" t="s">
        <v>48</v>
      </c>
      <c r="F1674" t="s">
        <v>23</v>
      </c>
      <c r="G1674" t="s">
        <v>79</v>
      </c>
      <c r="H1674" t="s">
        <v>76</v>
      </c>
      <c r="I1674" t="s">
        <v>96</v>
      </c>
      <c r="J1674" t="s">
        <v>44</v>
      </c>
      <c r="K1674">
        <v>14</v>
      </c>
      <c r="L1674">
        <v>72630</v>
      </c>
      <c r="M1674" t="s">
        <v>28</v>
      </c>
      <c r="N1674">
        <v>2</v>
      </c>
      <c r="O1674">
        <v>4</v>
      </c>
      <c r="P1674">
        <v>27</v>
      </c>
      <c r="Q1674">
        <v>3</v>
      </c>
      <c r="R1674" s="1">
        <v>40039</v>
      </c>
      <c r="S1674" t="s">
        <v>29</v>
      </c>
      <c r="T1674" t="str">
        <f t="shared" si="130"/>
        <v>Grade B</v>
      </c>
      <c r="U1674">
        <f t="shared" si="131"/>
        <v>3</v>
      </c>
      <c r="V1674" t="str">
        <f t="shared" si="132"/>
        <v>Senior</v>
      </c>
      <c r="W1674" t="str">
        <f t="shared" si="133"/>
        <v>Medium Risk</v>
      </c>
      <c r="X1674" t="str">
        <f t="shared" si="134"/>
        <v>Competitive</v>
      </c>
    </row>
    <row r="1675" spans="1:24" x14ac:dyDescent="0.3">
      <c r="A1675" t="s">
        <v>1743</v>
      </c>
      <c r="B1675" t="s">
        <v>20</v>
      </c>
      <c r="C1675">
        <v>53</v>
      </c>
      <c r="D1675" t="s">
        <v>31</v>
      </c>
      <c r="E1675" t="s">
        <v>48</v>
      </c>
      <c r="F1675" t="s">
        <v>75</v>
      </c>
      <c r="G1675" t="s">
        <v>58</v>
      </c>
      <c r="H1675" t="s">
        <v>76</v>
      </c>
      <c r="I1675" t="s">
        <v>59</v>
      </c>
      <c r="J1675" t="s">
        <v>60</v>
      </c>
      <c r="K1675">
        <v>12</v>
      </c>
      <c r="L1675">
        <v>115693</v>
      </c>
      <c r="M1675" t="s">
        <v>45</v>
      </c>
      <c r="N1675">
        <v>3</v>
      </c>
      <c r="O1675">
        <v>3</v>
      </c>
      <c r="P1675">
        <v>46</v>
      </c>
      <c r="Q1675">
        <v>1</v>
      </c>
      <c r="R1675" s="1">
        <v>40629</v>
      </c>
      <c r="S1675" t="s">
        <v>29</v>
      </c>
      <c r="T1675" t="str">
        <f t="shared" si="130"/>
        <v>Grade A</v>
      </c>
      <c r="U1675">
        <f t="shared" si="131"/>
        <v>2</v>
      </c>
      <c r="V1675" t="str">
        <f t="shared" si="132"/>
        <v>Senior</v>
      </c>
      <c r="W1675" t="str">
        <f t="shared" si="133"/>
        <v>Medium Risk</v>
      </c>
      <c r="X1675" t="str">
        <f t="shared" si="134"/>
        <v>Fair</v>
      </c>
    </row>
    <row r="1676" spans="1:24" x14ac:dyDescent="0.3">
      <c r="A1676" t="s">
        <v>1744</v>
      </c>
      <c r="B1676" t="s">
        <v>39</v>
      </c>
      <c r="C1676">
        <v>37</v>
      </c>
      <c r="D1676" t="s">
        <v>57</v>
      </c>
      <c r="E1676" t="s">
        <v>48</v>
      </c>
      <c r="F1676" t="s">
        <v>65</v>
      </c>
      <c r="G1676" t="s">
        <v>49</v>
      </c>
      <c r="H1676" t="s">
        <v>67</v>
      </c>
      <c r="I1676" t="s">
        <v>80</v>
      </c>
      <c r="J1676" t="s">
        <v>60</v>
      </c>
      <c r="K1676">
        <v>14</v>
      </c>
      <c r="L1676">
        <v>82618</v>
      </c>
      <c r="M1676" t="s">
        <v>45</v>
      </c>
      <c r="N1676">
        <v>4</v>
      </c>
      <c r="O1676">
        <v>4</v>
      </c>
      <c r="P1676">
        <v>70</v>
      </c>
      <c r="Q1676">
        <v>2</v>
      </c>
      <c r="R1676" s="1">
        <v>40053</v>
      </c>
      <c r="S1676" t="s">
        <v>29</v>
      </c>
      <c r="T1676" t="str">
        <f t="shared" si="130"/>
        <v>Grade A</v>
      </c>
      <c r="U1676">
        <f t="shared" si="131"/>
        <v>2</v>
      </c>
      <c r="V1676" t="str">
        <f t="shared" si="132"/>
        <v>Senior</v>
      </c>
      <c r="W1676" t="str">
        <f t="shared" si="133"/>
        <v>Medium Risk</v>
      </c>
      <c r="X1676" t="str">
        <f t="shared" si="134"/>
        <v>Fair</v>
      </c>
    </row>
    <row r="1677" spans="1:24" x14ac:dyDescent="0.3">
      <c r="A1677" t="s">
        <v>1745</v>
      </c>
      <c r="B1677" t="s">
        <v>39</v>
      </c>
      <c r="C1677">
        <v>41</v>
      </c>
      <c r="D1677" t="s">
        <v>88</v>
      </c>
      <c r="E1677" t="s">
        <v>48</v>
      </c>
      <c r="F1677" t="s">
        <v>62</v>
      </c>
      <c r="G1677" t="s">
        <v>33</v>
      </c>
      <c r="H1677" t="s">
        <v>67</v>
      </c>
      <c r="I1677" t="s">
        <v>50</v>
      </c>
      <c r="J1677" t="s">
        <v>44</v>
      </c>
      <c r="K1677">
        <v>14</v>
      </c>
      <c r="L1677">
        <v>91803</v>
      </c>
      <c r="M1677" t="s">
        <v>51</v>
      </c>
      <c r="N1677">
        <v>3</v>
      </c>
      <c r="O1677">
        <v>2</v>
      </c>
      <c r="P1677">
        <v>48</v>
      </c>
      <c r="Q1677">
        <v>0</v>
      </c>
      <c r="R1677" s="1">
        <v>40001</v>
      </c>
      <c r="S1677" t="s">
        <v>29</v>
      </c>
      <c r="T1677" t="str">
        <f t="shared" si="130"/>
        <v>Grade A</v>
      </c>
      <c r="U1677">
        <f t="shared" si="131"/>
        <v>4</v>
      </c>
      <c r="V1677" t="str">
        <f t="shared" si="132"/>
        <v>Senior</v>
      </c>
      <c r="W1677" t="str">
        <f t="shared" si="133"/>
        <v>Low Risk</v>
      </c>
      <c r="X1677" t="str">
        <f t="shared" si="134"/>
        <v>Competitive</v>
      </c>
    </row>
    <row r="1678" spans="1:24" x14ac:dyDescent="0.3">
      <c r="A1678" t="s">
        <v>1746</v>
      </c>
      <c r="B1678" t="s">
        <v>39</v>
      </c>
      <c r="C1678">
        <v>24</v>
      </c>
      <c r="D1678" t="s">
        <v>21</v>
      </c>
      <c r="E1678" t="s">
        <v>40</v>
      </c>
      <c r="F1678" t="s">
        <v>65</v>
      </c>
      <c r="G1678" t="s">
        <v>49</v>
      </c>
      <c r="H1678" t="s">
        <v>76</v>
      </c>
      <c r="I1678" t="s">
        <v>26</v>
      </c>
      <c r="J1678" t="s">
        <v>27</v>
      </c>
      <c r="K1678">
        <v>11</v>
      </c>
      <c r="L1678">
        <v>63946</v>
      </c>
      <c r="M1678" t="s">
        <v>28</v>
      </c>
      <c r="N1678">
        <v>3</v>
      </c>
      <c r="O1678">
        <v>1</v>
      </c>
      <c r="P1678">
        <v>62</v>
      </c>
      <c r="Q1678">
        <v>2</v>
      </c>
      <c r="R1678" s="1">
        <v>40976</v>
      </c>
      <c r="S1678" t="s">
        <v>29</v>
      </c>
      <c r="T1678" t="str">
        <f t="shared" si="130"/>
        <v>Grade B</v>
      </c>
      <c r="U1678">
        <f t="shared" si="131"/>
        <v>3</v>
      </c>
      <c r="V1678" t="str">
        <f t="shared" si="132"/>
        <v>Senior</v>
      </c>
      <c r="W1678" t="str">
        <f t="shared" si="133"/>
        <v>Medium Risk</v>
      </c>
      <c r="X1678" t="str">
        <f t="shared" si="134"/>
        <v>Competitive</v>
      </c>
    </row>
    <row r="1679" spans="1:24" x14ac:dyDescent="0.3">
      <c r="A1679" t="s">
        <v>1747</v>
      </c>
      <c r="B1679" t="s">
        <v>20</v>
      </c>
      <c r="C1679">
        <v>49</v>
      </c>
      <c r="D1679" t="s">
        <v>31</v>
      </c>
      <c r="E1679" t="s">
        <v>22</v>
      </c>
      <c r="F1679" t="s">
        <v>65</v>
      </c>
      <c r="G1679" t="s">
        <v>42</v>
      </c>
      <c r="H1679" t="s">
        <v>34</v>
      </c>
      <c r="I1679" t="s">
        <v>43</v>
      </c>
      <c r="J1679" t="s">
        <v>44</v>
      </c>
      <c r="K1679">
        <v>4</v>
      </c>
      <c r="L1679">
        <v>101630</v>
      </c>
      <c r="M1679" t="s">
        <v>28</v>
      </c>
      <c r="N1679">
        <v>3</v>
      </c>
      <c r="O1679">
        <v>2</v>
      </c>
      <c r="P1679">
        <v>35</v>
      </c>
      <c r="Q1679">
        <v>1</v>
      </c>
      <c r="R1679" s="1">
        <v>43707</v>
      </c>
      <c r="S1679" t="s">
        <v>29</v>
      </c>
      <c r="T1679" t="str">
        <f t="shared" si="130"/>
        <v>Grade A</v>
      </c>
      <c r="U1679">
        <f t="shared" si="131"/>
        <v>3</v>
      </c>
      <c r="V1679" t="str">
        <f t="shared" si="132"/>
        <v>Junior</v>
      </c>
      <c r="W1679" t="str">
        <f t="shared" si="133"/>
        <v>Medium Risk</v>
      </c>
      <c r="X1679" t="str">
        <f t="shared" si="134"/>
        <v>Competitive</v>
      </c>
    </row>
    <row r="1680" spans="1:24" x14ac:dyDescent="0.3">
      <c r="A1680" t="s">
        <v>1748</v>
      </c>
      <c r="B1680" t="s">
        <v>39</v>
      </c>
      <c r="C1680">
        <v>26</v>
      </c>
      <c r="D1680" t="s">
        <v>21</v>
      </c>
      <c r="E1680" t="s">
        <v>40</v>
      </c>
      <c r="F1680" t="s">
        <v>75</v>
      </c>
      <c r="G1680" t="s">
        <v>58</v>
      </c>
      <c r="H1680" t="s">
        <v>83</v>
      </c>
      <c r="I1680" t="s">
        <v>43</v>
      </c>
      <c r="J1680" t="s">
        <v>44</v>
      </c>
      <c r="K1680">
        <v>14</v>
      </c>
      <c r="L1680">
        <v>111527</v>
      </c>
      <c r="M1680" t="s">
        <v>51</v>
      </c>
      <c r="N1680">
        <v>2</v>
      </c>
      <c r="O1680">
        <v>3</v>
      </c>
      <c r="P1680">
        <v>56</v>
      </c>
      <c r="Q1680">
        <v>3</v>
      </c>
      <c r="R1680" s="1">
        <v>40168</v>
      </c>
      <c r="S1680" t="s">
        <v>29</v>
      </c>
      <c r="T1680" t="str">
        <f t="shared" si="130"/>
        <v>Grade A</v>
      </c>
      <c r="U1680">
        <f t="shared" si="131"/>
        <v>4</v>
      </c>
      <c r="V1680" t="str">
        <f t="shared" si="132"/>
        <v>Senior</v>
      </c>
      <c r="W1680" t="str">
        <f t="shared" si="133"/>
        <v>Low Risk</v>
      </c>
      <c r="X1680" t="str">
        <f t="shared" si="134"/>
        <v>Competitive</v>
      </c>
    </row>
    <row r="1681" spans="1:24" x14ac:dyDescent="0.3">
      <c r="A1681" t="s">
        <v>1749</v>
      </c>
      <c r="B1681" t="s">
        <v>20</v>
      </c>
      <c r="C1681">
        <v>54</v>
      </c>
      <c r="D1681" t="s">
        <v>47</v>
      </c>
      <c r="E1681" t="s">
        <v>40</v>
      </c>
      <c r="F1681" t="s">
        <v>41</v>
      </c>
      <c r="G1681" t="s">
        <v>66</v>
      </c>
      <c r="H1681" t="s">
        <v>34</v>
      </c>
      <c r="I1681" t="s">
        <v>26</v>
      </c>
      <c r="J1681" t="s">
        <v>27</v>
      </c>
      <c r="K1681">
        <v>14</v>
      </c>
      <c r="L1681">
        <v>55632</v>
      </c>
      <c r="M1681" t="s">
        <v>36</v>
      </c>
      <c r="N1681">
        <v>4</v>
      </c>
      <c r="O1681">
        <v>3</v>
      </c>
      <c r="P1681">
        <v>61</v>
      </c>
      <c r="Q1681">
        <v>3</v>
      </c>
      <c r="R1681" s="1">
        <v>40130</v>
      </c>
      <c r="S1681" t="s">
        <v>29</v>
      </c>
      <c r="T1681" t="str">
        <f t="shared" si="130"/>
        <v>Grade B</v>
      </c>
      <c r="U1681">
        <f t="shared" si="131"/>
        <v>1</v>
      </c>
      <c r="V1681" t="str">
        <f t="shared" si="132"/>
        <v>Senior</v>
      </c>
      <c r="W1681" t="str">
        <f t="shared" si="133"/>
        <v>Medium Risk</v>
      </c>
      <c r="X1681" t="str">
        <f t="shared" si="134"/>
        <v>Fair</v>
      </c>
    </row>
    <row r="1682" spans="1:24" x14ac:dyDescent="0.3">
      <c r="A1682" t="s">
        <v>1750</v>
      </c>
      <c r="B1682" t="s">
        <v>20</v>
      </c>
      <c r="C1682">
        <v>54</v>
      </c>
      <c r="D1682" t="s">
        <v>57</v>
      </c>
      <c r="E1682" t="s">
        <v>40</v>
      </c>
      <c r="F1682" t="s">
        <v>62</v>
      </c>
      <c r="G1682" t="s">
        <v>63</v>
      </c>
      <c r="H1682" t="s">
        <v>25</v>
      </c>
      <c r="I1682" t="s">
        <v>26</v>
      </c>
      <c r="J1682" t="s">
        <v>27</v>
      </c>
      <c r="K1682">
        <v>8</v>
      </c>
      <c r="L1682">
        <v>54047</v>
      </c>
      <c r="M1682" t="s">
        <v>36</v>
      </c>
      <c r="N1682">
        <v>1</v>
      </c>
      <c r="O1682">
        <v>3</v>
      </c>
      <c r="P1682">
        <v>69</v>
      </c>
      <c r="Q1682">
        <v>3</v>
      </c>
      <c r="R1682" s="1">
        <v>42041</v>
      </c>
      <c r="S1682" t="s">
        <v>29</v>
      </c>
      <c r="T1682" t="str">
        <f t="shared" si="130"/>
        <v>Grade B</v>
      </c>
      <c r="U1682">
        <f t="shared" si="131"/>
        <v>1</v>
      </c>
      <c r="V1682" t="str">
        <f t="shared" si="132"/>
        <v>Mid Level</v>
      </c>
      <c r="W1682" t="str">
        <f t="shared" si="133"/>
        <v>Medium Risk</v>
      </c>
      <c r="X1682" t="str">
        <f t="shared" si="134"/>
        <v>Fair</v>
      </c>
    </row>
    <row r="1683" spans="1:24" x14ac:dyDescent="0.3">
      <c r="A1683" t="s">
        <v>1751</v>
      </c>
      <c r="B1683" t="s">
        <v>20</v>
      </c>
      <c r="C1683">
        <v>43</v>
      </c>
      <c r="D1683" t="s">
        <v>88</v>
      </c>
      <c r="E1683" t="s">
        <v>40</v>
      </c>
      <c r="F1683" t="s">
        <v>75</v>
      </c>
      <c r="G1683" t="s">
        <v>58</v>
      </c>
      <c r="H1683" t="s">
        <v>34</v>
      </c>
      <c r="I1683" t="s">
        <v>43</v>
      </c>
      <c r="J1683" t="s">
        <v>44</v>
      </c>
      <c r="K1683">
        <v>12</v>
      </c>
      <c r="L1683">
        <v>111218</v>
      </c>
      <c r="M1683" t="s">
        <v>28</v>
      </c>
      <c r="N1683">
        <v>3</v>
      </c>
      <c r="O1683">
        <v>1</v>
      </c>
      <c r="P1683">
        <v>77</v>
      </c>
      <c r="Q1683">
        <v>0</v>
      </c>
      <c r="R1683" s="1">
        <v>40724</v>
      </c>
      <c r="S1683" t="s">
        <v>29</v>
      </c>
      <c r="T1683" t="str">
        <f t="shared" si="130"/>
        <v>Grade A</v>
      </c>
      <c r="U1683">
        <f t="shared" si="131"/>
        <v>3</v>
      </c>
      <c r="V1683" t="str">
        <f t="shared" si="132"/>
        <v>Senior</v>
      </c>
      <c r="W1683" t="str">
        <f t="shared" si="133"/>
        <v>Medium Risk</v>
      </c>
      <c r="X1683" t="str">
        <f t="shared" si="134"/>
        <v>Competitive</v>
      </c>
    </row>
    <row r="1684" spans="1:24" x14ac:dyDescent="0.3">
      <c r="A1684" t="s">
        <v>1752</v>
      </c>
      <c r="B1684" t="s">
        <v>20</v>
      </c>
      <c r="C1684">
        <v>40</v>
      </c>
      <c r="D1684" t="s">
        <v>21</v>
      </c>
      <c r="E1684" t="s">
        <v>48</v>
      </c>
      <c r="F1684" t="s">
        <v>53</v>
      </c>
      <c r="G1684" t="s">
        <v>24</v>
      </c>
      <c r="H1684" t="s">
        <v>67</v>
      </c>
      <c r="I1684" t="s">
        <v>80</v>
      </c>
      <c r="J1684" t="s">
        <v>60</v>
      </c>
      <c r="K1684">
        <v>1</v>
      </c>
      <c r="L1684">
        <v>85817</v>
      </c>
      <c r="M1684" t="s">
        <v>28</v>
      </c>
      <c r="N1684">
        <v>3</v>
      </c>
      <c r="O1684">
        <v>4</v>
      </c>
      <c r="P1684">
        <v>40</v>
      </c>
      <c r="Q1684">
        <v>3</v>
      </c>
      <c r="R1684" s="1">
        <v>44673</v>
      </c>
      <c r="S1684" t="s">
        <v>29</v>
      </c>
      <c r="T1684" t="str">
        <f t="shared" si="130"/>
        <v>Grade A</v>
      </c>
      <c r="U1684">
        <f t="shared" si="131"/>
        <v>3</v>
      </c>
      <c r="V1684" t="str">
        <f t="shared" si="132"/>
        <v>New Joiner</v>
      </c>
      <c r="W1684" t="str">
        <f t="shared" si="133"/>
        <v>Medium Risk</v>
      </c>
      <c r="X1684" t="str">
        <f t="shared" si="134"/>
        <v>Competitive</v>
      </c>
    </row>
    <row r="1685" spans="1:24" x14ac:dyDescent="0.3">
      <c r="A1685" t="s">
        <v>1753</v>
      </c>
      <c r="B1685" t="s">
        <v>20</v>
      </c>
      <c r="C1685">
        <v>46</v>
      </c>
      <c r="D1685" t="s">
        <v>21</v>
      </c>
      <c r="E1685" t="s">
        <v>48</v>
      </c>
      <c r="F1685" t="s">
        <v>53</v>
      </c>
      <c r="G1685" t="s">
        <v>66</v>
      </c>
      <c r="H1685" t="s">
        <v>83</v>
      </c>
      <c r="I1685" t="s">
        <v>68</v>
      </c>
      <c r="J1685" t="s">
        <v>60</v>
      </c>
      <c r="K1685">
        <v>1</v>
      </c>
      <c r="L1685">
        <v>29203</v>
      </c>
      <c r="M1685" t="s">
        <v>45</v>
      </c>
      <c r="N1685">
        <v>4</v>
      </c>
      <c r="O1685">
        <v>3</v>
      </c>
      <c r="P1685">
        <v>67</v>
      </c>
      <c r="Q1685">
        <v>1</v>
      </c>
      <c r="R1685" s="1">
        <v>44882</v>
      </c>
      <c r="S1685" t="s">
        <v>29</v>
      </c>
      <c r="T1685" t="str">
        <f t="shared" si="130"/>
        <v>Grade D</v>
      </c>
      <c r="U1685">
        <f t="shared" si="131"/>
        <v>2</v>
      </c>
      <c r="V1685" t="str">
        <f t="shared" si="132"/>
        <v>New Joiner</v>
      </c>
      <c r="W1685" t="str">
        <f t="shared" si="133"/>
        <v>Medium Risk</v>
      </c>
      <c r="X1685" t="str">
        <f t="shared" si="134"/>
        <v>Fair</v>
      </c>
    </row>
    <row r="1686" spans="1:24" x14ac:dyDescent="0.3">
      <c r="A1686" t="s">
        <v>1754</v>
      </c>
      <c r="B1686" t="s">
        <v>20</v>
      </c>
      <c r="C1686">
        <v>30</v>
      </c>
      <c r="D1686" t="s">
        <v>21</v>
      </c>
      <c r="E1686" t="s">
        <v>22</v>
      </c>
      <c r="F1686" t="s">
        <v>41</v>
      </c>
      <c r="G1686" t="s">
        <v>66</v>
      </c>
      <c r="H1686" t="s">
        <v>25</v>
      </c>
      <c r="I1686" t="s">
        <v>59</v>
      </c>
      <c r="J1686" t="s">
        <v>60</v>
      </c>
      <c r="K1686">
        <v>12</v>
      </c>
      <c r="L1686">
        <v>54493</v>
      </c>
      <c r="M1686" t="s">
        <v>36</v>
      </c>
      <c r="N1686">
        <v>3</v>
      </c>
      <c r="O1686">
        <v>3</v>
      </c>
      <c r="P1686">
        <v>46</v>
      </c>
      <c r="Q1686">
        <v>0</v>
      </c>
      <c r="R1686" s="1">
        <v>40759</v>
      </c>
      <c r="S1686" t="s">
        <v>37</v>
      </c>
      <c r="T1686" t="str">
        <f t="shared" si="130"/>
        <v>Grade B</v>
      </c>
      <c r="U1686">
        <f t="shared" si="131"/>
        <v>1</v>
      </c>
      <c r="V1686" t="str">
        <f t="shared" si="132"/>
        <v>Senior</v>
      </c>
      <c r="W1686" t="str">
        <f t="shared" si="133"/>
        <v>Already Left</v>
      </c>
      <c r="X1686" t="str">
        <f t="shared" si="134"/>
        <v>Fair</v>
      </c>
    </row>
    <row r="1687" spans="1:24" x14ac:dyDescent="0.3">
      <c r="A1687" t="s">
        <v>1755</v>
      </c>
      <c r="B1687" t="s">
        <v>20</v>
      </c>
      <c r="C1687">
        <v>48</v>
      </c>
      <c r="D1687" t="s">
        <v>31</v>
      </c>
      <c r="E1687" t="s">
        <v>48</v>
      </c>
      <c r="F1687" t="s">
        <v>53</v>
      </c>
      <c r="G1687" t="s">
        <v>49</v>
      </c>
      <c r="H1687" t="s">
        <v>67</v>
      </c>
      <c r="I1687" t="s">
        <v>50</v>
      </c>
      <c r="J1687" t="s">
        <v>44</v>
      </c>
      <c r="K1687">
        <v>11</v>
      </c>
      <c r="L1687">
        <v>73709</v>
      </c>
      <c r="M1687" t="s">
        <v>36</v>
      </c>
      <c r="N1687">
        <v>4</v>
      </c>
      <c r="O1687">
        <v>3</v>
      </c>
      <c r="P1687">
        <v>22</v>
      </c>
      <c r="Q1687">
        <v>1</v>
      </c>
      <c r="R1687" s="1">
        <v>40928</v>
      </c>
      <c r="S1687" t="s">
        <v>29</v>
      </c>
      <c r="T1687" t="str">
        <f t="shared" si="130"/>
        <v>Grade B</v>
      </c>
      <c r="U1687">
        <f t="shared" si="131"/>
        <v>1</v>
      </c>
      <c r="V1687" t="str">
        <f t="shared" si="132"/>
        <v>Senior</v>
      </c>
      <c r="W1687" t="str">
        <f t="shared" si="133"/>
        <v>Medium Risk</v>
      </c>
      <c r="X1687" t="str">
        <f t="shared" si="134"/>
        <v>Fair</v>
      </c>
    </row>
    <row r="1688" spans="1:24" x14ac:dyDescent="0.3">
      <c r="A1688" t="s">
        <v>1756</v>
      </c>
      <c r="B1688" t="s">
        <v>20</v>
      </c>
      <c r="C1688">
        <v>34</v>
      </c>
      <c r="D1688" t="s">
        <v>31</v>
      </c>
      <c r="E1688" t="s">
        <v>48</v>
      </c>
      <c r="F1688" t="s">
        <v>32</v>
      </c>
      <c r="G1688" t="s">
        <v>49</v>
      </c>
      <c r="H1688" t="s">
        <v>25</v>
      </c>
      <c r="I1688" t="s">
        <v>26</v>
      </c>
      <c r="J1688" t="s">
        <v>27</v>
      </c>
      <c r="K1688">
        <v>9</v>
      </c>
      <c r="L1688">
        <v>58283</v>
      </c>
      <c r="M1688" t="s">
        <v>51</v>
      </c>
      <c r="N1688">
        <v>3</v>
      </c>
      <c r="O1688">
        <v>1</v>
      </c>
      <c r="P1688">
        <v>54</v>
      </c>
      <c r="Q1688">
        <v>1</v>
      </c>
      <c r="R1688" s="1">
        <v>41826</v>
      </c>
      <c r="S1688" t="s">
        <v>29</v>
      </c>
      <c r="T1688" t="str">
        <f t="shared" si="130"/>
        <v>Grade B</v>
      </c>
      <c r="U1688">
        <f t="shared" si="131"/>
        <v>4</v>
      </c>
      <c r="V1688" t="str">
        <f t="shared" si="132"/>
        <v>Mid Level</v>
      </c>
      <c r="W1688" t="str">
        <f t="shared" si="133"/>
        <v>Low Risk</v>
      </c>
      <c r="X1688" t="str">
        <f t="shared" si="134"/>
        <v>Fair</v>
      </c>
    </row>
    <row r="1689" spans="1:24" x14ac:dyDescent="0.3">
      <c r="A1689" t="s">
        <v>1757</v>
      </c>
      <c r="B1689" t="s">
        <v>39</v>
      </c>
      <c r="C1689">
        <v>55</v>
      </c>
      <c r="D1689" t="s">
        <v>31</v>
      </c>
      <c r="E1689" t="s">
        <v>40</v>
      </c>
      <c r="F1689" t="s">
        <v>65</v>
      </c>
      <c r="G1689" t="s">
        <v>66</v>
      </c>
      <c r="H1689" t="s">
        <v>67</v>
      </c>
      <c r="I1689" t="s">
        <v>54</v>
      </c>
      <c r="J1689" t="s">
        <v>27</v>
      </c>
      <c r="K1689">
        <v>8</v>
      </c>
      <c r="L1689">
        <v>52263</v>
      </c>
      <c r="M1689" t="s">
        <v>51</v>
      </c>
      <c r="N1689">
        <v>1</v>
      </c>
      <c r="O1689">
        <v>2</v>
      </c>
      <c r="P1689">
        <v>80</v>
      </c>
      <c r="Q1689">
        <v>3</v>
      </c>
      <c r="R1689" s="1">
        <v>42055</v>
      </c>
      <c r="S1689" t="s">
        <v>29</v>
      </c>
      <c r="T1689" t="str">
        <f t="shared" si="130"/>
        <v>Grade B</v>
      </c>
      <c r="U1689">
        <f t="shared" si="131"/>
        <v>4</v>
      </c>
      <c r="V1689" t="str">
        <f t="shared" si="132"/>
        <v>Mid Level</v>
      </c>
      <c r="W1689" t="str">
        <f t="shared" si="133"/>
        <v>Low Risk</v>
      </c>
      <c r="X1689" t="str">
        <f t="shared" si="134"/>
        <v>Fair</v>
      </c>
    </row>
    <row r="1690" spans="1:24" x14ac:dyDescent="0.3">
      <c r="A1690" t="s">
        <v>1758</v>
      </c>
      <c r="B1690" t="s">
        <v>39</v>
      </c>
      <c r="C1690">
        <v>35</v>
      </c>
      <c r="D1690" t="s">
        <v>21</v>
      </c>
      <c r="E1690" t="s">
        <v>40</v>
      </c>
      <c r="F1690" t="s">
        <v>65</v>
      </c>
      <c r="G1690" t="s">
        <v>33</v>
      </c>
      <c r="H1690" t="s">
        <v>34</v>
      </c>
      <c r="I1690" t="s">
        <v>72</v>
      </c>
      <c r="J1690" t="s">
        <v>73</v>
      </c>
      <c r="K1690">
        <v>7</v>
      </c>
      <c r="L1690">
        <v>75310</v>
      </c>
      <c r="M1690" t="s">
        <v>51</v>
      </c>
      <c r="N1690">
        <v>2</v>
      </c>
      <c r="O1690">
        <v>3</v>
      </c>
      <c r="P1690">
        <v>78</v>
      </c>
      <c r="Q1690">
        <v>0</v>
      </c>
      <c r="R1690" s="1">
        <v>42646</v>
      </c>
      <c r="S1690" t="s">
        <v>29</v>
      </c>
      <c r="T1690" t="str">
        <f t="shared" si="130"/>
        <v>Grade B</v>
      </c>
      <c r="U1690">
        <f t="shared" si="131"/>
        <v>4</v>
      </c>
      <c r="V1690" t="str">
        <f t="shared" si="132"/>
        <v>Mid Level</v>
      </c>
      <c r="W1690" t="str">
        <f t="shared" si="133"/>
        <v>Low Risk</v>
      </c>
      <c r="X1690" t="str">
        <f t="shared" si="134"/>
        <v>Fair</v>
      </c>
    </row>
    <row r="1691" spans="1:24" x14ac:dyDescent="0.3">
      <c r="A1691" t="s">
        <v>1759</v>
      </c>
      <c r="B1691" t="s">
        <v>20</v>
      </c>
      <c r="C1691">
        <v>30</v>
      </c>
      <c r="D1691" t="s">
        <v>88</v>
      </c>
      <c r="E1691" t="s">
        <v>22</v>
      </c>
      <c r="F1691" t="s">
        <v>23</v>
      </c>
      <c r="G1691" t="s">
        <v>79</v>
      </c>
      <c r="H1691" t="s">
        <v>83</v>
      </c>
      <c r="I1691" t="s">
        <v>35</v>
      </c>
      <c r="J1691" t="s">
        <v>27</v>
      </c>
      <c r="K1691">
        <v>9</v>
      </c>
      <c r="L1691">
        <v>56460</v>
      </c>
      <c r="M1691" t="s">
        <v>28</v>
      </c>
      <c r="N1691">
        <v>3</v>
      </c>
      <c r="O1691">
        <v>2</v>
      </c>
      <c r="P1691">
        <v>23</v>
      </c>
      <c r="Q1691">
        <v>2</v>
      </c>
      <c r="R1691" s="1">
        <v>41911</v>
      </c>
      <c r="S1691" t="s">
        <v>29</v>
      </c>
      <c r="T1691" t="str">
        <f t="shared" si="130"/>
        <v>Grade B</v>
      </c>
      <c r="U1691">
        <f t="shared" si="131"/>
        <v>3</v>
      </c>
      <c r="V1691" t="str">
        <f t="shared" si="132"/>
        <v>Mid Level</v>
      </c>
      <c r="W1691" t="str">
        <f t="shared" si="133"/>
        <v>Medium Risk</v>
      </c>
      <c r="X1691" t="str">
        <f t="shared" si="134"/>
        <v>Competitive</v>
      </c>
    </row>
    <row r="1692" spans="1:24" x14ac:dyDescent="0.3">
      <c r="A1692" t="s">
        <v>1760</v>
      </c>
      <c r="B1692" t="s">
        <v>20</v>
      </c>
      <c r="C1692">
        <v>31</v>
      </c>
      <c r="D1692" t="s">
        <v>57</v>
      </c>
      <c r="E1692" t="s">
        <v>22</v>
      </c>
      <c r="F1692" t="s">
        <v>78</v>
      </c>
      <c r="G1692" t="s">
        <v>79</v>
      </c>
      <c r="H1692" t="s">
        <v>67</v>
      </c>
      <c r="I1692" t="s">
        <v>54</v>
      </c>
      <c r="J1692" t="s">
        <v>27</v>
      </c>
      <c r="K1692">
        <v>14</v>
      </c>
      <c r="L1692">
        <v>63681</v>
      </c>
      <c r="M1692" t="s">
        <v>51</v>
      </c>
      <c r="N1692">
        <v>3</v>
      </c>
      <c r="O1692">
        <v>1</v>
      </c>
      <c r="P1692">
        <v>21</v>
      </c>
      <c r="Q1692">
        <v>2</v>
      </c>
      <c r="R1692" s="1">
        <v>39919</v>
      </c>
      <c r="S1692" t="s">
        <v>37</v>
      </c>
      <c r="T1692" t="str">
        <f t="shared" si="130"/>
        <v>Grade B</v>
      </c>
      <c r="U1692">
        <f t="shared" si="131"/>
        <v>4</v>
      </c>
      <c r="V1692" t="str">
        <f t="shared" si="132"/>
        <v>Senior</v>
      </c>
      <c r="W1692" t="str">
        <f t="shared" si="133"/>
        <v>Already Left</v>
      </c>
      <c r="X1692" t="str">
        <f t="shared" si="134"/>
        <v>Fair</v>
      </c>
    </row>
    <row r="1693" spans="1:24" x14ac:dyDescent="0.3">
      <c r="A1693" t="s">
        <v>1761</v>
      </c>
      <c r="B1693" t="s">
        <v>39</v>
      </c>
      <c r="C1693">
        <v>26</v>
      </c>
      <c r="D1693" t="s">
        <v>31</v>
      </c>
      <c r="E1693" t="s">
        <v>22</v>
      </c>
      <c r="F1693" t="s">
        <v>41</v>
      </c>
      <c r="G1693" t="s">
        <v>66</v>
      </c>
      <c r="H1693" t="s">
        <v>67</v>
      </c>
      <c r="I1693" t="s">
        <v>43</v>
      </c>
      <c r="J1693" t="s">
        <v>44</v>
      </c>
      <c r="K1693">
        <v>2</v>
      </c>
      <c r="L1693">
        <v>40677</v>
      </c>
      <c r="M1693" t="s">
        <v>28</v>
      </c>
      <c r="N1693">
        <v>1</v>
      </c>
      <c r="O1693">
        <v>2</v>
      </c>
      <c r="P1693">
        <v>17</v>
      </c>
      <c r="Q1693">
        <v>2</v>
      </c>
      <c r="R1693" s="1">
        <v>44462</v>
      </c>
      <c r="S1693" t="s">
        <v>29</v>
      </c>
      <c r="T1693" t="str">
        <f t="shared" si="130"/>
        <v>Grade C</v>
      </c>
      <c r="U1693">
        <f t="shared" si="131"/>
        <v>3</v>
      </c>
      <c r="V1693" t="str">
        <f t="shared" si="132"/>
        <v>New Joiner</v>
      </c>
      <c r="W1693" t="str">
        <f t="shared" si="133"/>
        <v>Medium Risk</v>
      </c>
      <c r="X1693" t="str">
        <f t="shared" si="134"/>
        <v>Fair</v>
      </c>
    </row>
    <row r="1694" spans="1:24" x14ac:dyDescent="0.3">
      <c r="A1694" t="s">
        <v>1762</v>
      </c>
      <c r="B1694" t="s">
        <v>20</v>
      </c>
      <c r="C1694">
        <v>41</v>
      </c>
      <c r="D1694" t="s">
        <v>31</v>
      </c>
      <c r="E1694" t="s">
        <v>48</v>
      </c>
      <c r="F1694" t="s">
        <v>23</v>
      </c>
      <c r="G1694" t="s">
        <v>79</v>
      </c>
      <c r="H1694" t="s">
        <v>76</v>
      </c>
      <c r="I1694" t="s">
        <v>80</v>
      </c>
      <c r="J1694" t="s">
        <v>60</v>
      </c>
      <c r="K1694">
        <v>9</v>
      </c>
      <c r="L1694">
        <v>51270</v>
      </c>
      <c r="M1694" t="s">
        <v>36</v>
      </c>
      <c r="N1694">
        <v>4</v>
      </c>
      <c r="O1694">
        <v>4</v>
      </c>
      <c r="P1694">
        <v>65</v>
      </c>
      <c r="Q1694">
        <v>1</v>
      </c>
      <c r="R1694" s="1">
        <v>41799</v>
      </c>
      <c r="S1694" t="s">
        <v>29</v>
      </c>
      <c r="T1694" t="str">
        <f t="shared" si="130"/>
        <v>Grade B</v>
      </c>
      <c r="U1694">
        <f t="shared" si="131"/>
        <v>1</v>
      </c>
      <c r="V1694" t="str">
        <f t="shared" si="132"/>
        <v>Mid Level</v>
      </c>
      <c r="W1694" t="str">
        <f t="shared" si="133"/>
        <v>Medium Risk</v>
      </c>
      <c r="X1694" t="str">
        <f t="shared" si="134"/>
        <v>Fair</v>
      </c>
    </row>
    <row r="1695" spans="1:24" x14ac:dyDescent="0.3">
      <c r="A1695" t="s">
        <v>1763</v>
      </c>
      <c r="B1695" t="s">
        <v>39</v>
      </c>
      <c r="C1695">
        <v>48</v>
      </c>
      <c r="D1695" t="s">
        <v>88</v>
      </c>
      <c r="E1695" t="s">
        <v>40</v>
      </c>
      <c r="F1695" t="s">
        <v>65</v>
      </c>
      <c r="G1695" t="s">
        <v>24</v>
      </c>
      <c r="H1695" t="s">
        <v>25</v>
      </c>
      <c r="I1695" t="s">
        <v>80</v>
      </c>
      <c r="J1695" t="s">
        <v>60</v>
      </c>
      <c r="K1695">
        <v>13</v>
      </c>
      <c r="L1695">
        <v>110583</v>
      </c>
      <c r="M1695" t="s">
        <v>51</v>
      </c>
      <c r="N1695">
        <v>3</v>
      </c>
      <c r="O1695">
        <v>3</v>
      </c>
      <c r="P1695">
        <v>29</v>
      </c>
      <c r="Q1695">
        <v>0</v>
      </c>
      <c r="R1695" s="1">
        <v>40497</v>
      </c>
      <c r="S1695" t="s">
        <v>29</v>
      </c>
      <c r="T1695" t="str">
        <f t="shared" si="130"/>
        <v>Grade A</v>
      </c>
      <c r="U1695">
        <f t="shared" si="131"/>
        <v>4</v>
      </c>
      <c r="V1695" t="str">
        <f t="shared" si="132"/>
        <v>Senior</v>
      </c>
      <c r="W1695" t="str">
        <f t="shared" si="133"/>
        <v>Low Risk</v>
      </c>
      <c r="X1695" t="str">
        <f t="shared" si="134"/>
        <v>Competitive</v>
      </c>
    </row>
    <row r="1696" spans="1:24" x14ac:dyDescent="0.3">
      <c r="A1696" t="s">
        <v>1764</v>
      </c>
      <c r="B1696" t="s">
        <v>20</v>
      </c>
      <c r="C1696">
        <v>27</v>
      </c>
      <c r="D1696" t="s">
        <v>21</v>
      </c>
      <c r="E1696" t="s">
        <v>22</v>
      </c>
      <c r="F1696" t="s">
        <v>62</v>
      </c>
      <c r="G1696" t="s">
        <v>63</v>
      </c>
      <c r="H1696" t="s">
        <v>83</v>
      </c>
      <c r="I1696" t="s">
        <v>43</v>
      </c>
      <c r="J1696" t="s">
        <v>44</v>
      </c>
      <c r="K1696">
        <v>1</v>
      </c>
      <c r="L1696">
        <v>40428</v>
      </c>
      <c r="M1696" t="s">
        <v>51</v>
      </c>
      <c r="N1696">
        <v>2</v>
      </c>
      <c r="O1696">
        <v>2</v>
      </c>
      <c r="P1696">
        <v>42</v>
      </c>
      <c r="Q1696">
        <v>1</v>
      </c>
      <c r="R1696" s="1">
        <v>44599</v>
      </c>
      <c r="S1696" t="s">
        <v>29</v>
      </c>
      <c r="T1696" t="str">
        <f t="shared" si="130"/>
        <v>Grade C</v>
      </c>
      <c r="U1696">
        <f t="shared" si="131"/>
        <v>4</v>
      </c>
      <c r="V1696" t="str">
        <f t="shared" si="132"/>
        <v>New Joiner</v>
      </c>
      <c r="W1696" t="str">
        <f t="shared" si="133"/>
        <v>Low Risk</v>
      </c>
      <c r="X1696" t="str">
        <f t="shared" si="134"/>
        <v>Fair</v>
      </c>
    </row>
    <row r="1697" spans="1:24" x14ac:dyDescent="0.3">
      <c r="A1697" t="s">
        <v>1765</v>
      </c>
      <c r="B1697" t="s">
        <v>20</v>
      </c>
      <c r="C1697">
        <v>44</v>
      </c>
      <c r="D1697" t="s">
        <v>57</v>
      </c>
      <c r="E1697" t="s">
        <v>22</v>
      </c>
      <c r="F1697" t="s">
        <v>75</v>
      </c>
      <c r="G1697" t="s">
        <v>24</v>
      </c>
      <c r="H1697" t="s">
        <v>34</v>
      </c>
      <c r="I1697" t="s">
        <v>26</v>
      </c>
      <c r="J1697" t="s">
        <v>27</v>
      </c>
      <c r="K1697">
        <v>7</v>
      </c>
      <c r="L1697">
        <v>83978</v>
      </c>
      <c r="M1697" t="s">
        <v>28</v>
      </c>
      <c r="N1697">
        <v>4</v>
      </c>
      <c r="O1697">
        <v>4</v>
      </c>
      <c r="P1697">
        <v>28</v>
      </c>
      <c r="Q1697">
        <v>0</v>
      </c>
      <c r="R1697" s="1">
        <v>42413</v>
      </c>
      <c r="S1697" t="s">
        <v>37</v>
      </c>
      <c r="T1697" t="str">
        <f t="shared" si="130"/>
        <v>Grade A</v>
      </c>
      <c r="U1697">
        <f t="shared" si="131"/>
        <v>3</v>
      </c>
      <c r="V1697" t="str">
        <f t="shared" si="132"/>
        <v>Mid Level</v>
      </c>
      <c r="W1697" t="str">
        <f t="shared" si="133"/>
        <v>Already Left</v>
      </c>
      <c r="X1697" t="str">
        <f t="shared" si="134"/>
        <v>Competitive</v>
      </c>
    </row>
    <row r="1698" spans="1:24" x14ac:dyDescent="0.3">
      <c r="A1698" t="s">
        <v>1766</v>
      </c>
      <c r="B1698" t="s">
        <v>39</v>
      </c>
      <c r="C1698">
        <v>30</v>
      </c>
      <c r="D1698" t="s">
        <v>31</v>
      </c>
      <c r="E1698" t="s">
        <v>48</v>
      </c>
      <c r="F1698" t="s">
        <v>32</v>
      </c>
      <c r="G1698" t="s">
        <v>79</v>
      </c>
      <c r="H1698" t="s">
        <v>25</v>
      </c>
      <c r="I1698" t="s">
        <v>35</v>
      </c>
      <c r="J1698" t="s">
        <v>27</v>
      </c>
      <c r="K1698">
        <v>10</v>
      </c>
      <c r="L1698">
        <v>50127</v>
      </c>
      <c r="M1698" t="s">
        <v>36</v>
      </c>
      <c r="N1698">
        <v>2</v>
      </c>
      <c r="O1698">
        <v>2</v>
      </c>
      <c r="P1698">
        <v>80</v>
      </c>
      <c r="Q1698">
        <v>3</v>
      </c>
      <c r="R1698" s="1">
        <v>41351</v>
      </c>
      <c r="S1698" t="s">
        <v>37</v>
      </c>
      <c r="T1698" t="str">
        <f t="shared" si="130"/>
        <v>Grade B</v>
      </c>
      <c r="U1698">
        <f t="shared" si="131"/>
        <v>1</v>
      </c>
      <c r="V1698" t="str">
        <f t="shared" si="132"/>
        <v>Mid Level</v>
      </c>
      <c r="W1698" t="str">
        <f t="shared" si="133"/>
        <v>Already Left</v>
      </c>
      <c r="X1698" t="str">
        <f t="shared" si="134"/>
        <v>Fair</v>
      </c>
    </row>
    <row r="1699" spans="1:24" x14ac:dyDescent="0.3">
      <c r="A1699" t="s">
        <v>1767</v>
      </c>
      <c r="B1699" t="s">
        <v>20</v>
      </c>
      <c r="C1699">
        <v>53</v>
      </c>
      <c r="D1699" t="s">
        <v>47</v>
      </c>
      <c r="E1699" t="s">
        <v>48</v>
      </c>
      <c r="F1699" t="s">
        <v>32</v>
      </c>
      <c r="G1699" t="s">
        <v>58</v>
      </c>
      <c r="H1699" t="s">
        <v>67</v>
      </c>
      <c r="I1699" t="s">
        <v>50</v>
      </c>
      <c r="J1699" t="s">
        <v>44</v>
      </c>
      <c r="K1699">
        <v>1</v>
      </c>
      <c r="L1699">
        <v>92181</v>
      </c>
      <c r="M1699" t="s">
        <v>28</v>
      </c>
      <c r="N1699">
        <v>2</v>
      </c>
      <c r="O1699">
        <v>4</v>
      </c>
      <c r="P1699">
        <v>25</v>
      </c>
      <c r="Q1699">
        <v>1</v>
      </c>
      <c r="R1699" s="1">
        <v>44641</v>
      </c>
      <c r="S1699" t="s">
        <v>29</v>
      </c>
      <c r="T1699" t="str">
        <f t="shared" si="130"/>
        <v>Grade A</v>
      </c>
      <c r="U1699">
        <f t="shared" si="131"/>
        <v>3</v>
      </c>
      <c r="V1699" t="str">
        <f t="shared" si="132"/>
        <v>New Joiner</v>
      </c>
      <c r="W1699" t="str">
        <f t="shared" si="133"/>
        <v>Medium Risk</v>
      </c>
      <c r="X1699" t="str">
        <f t="shared" si="134"/>
        <v>Competitive</v>
      </c>
    </row>
    <row r="1700" spans="1:24" x14ac:dyDescent="0.3">
      <c r="A1700" t="s">
        <v>1768</v>
      </c>
      <c r="B1700" t="s">
        <v>39</v>
      </c>
      <c r="C1700">
        <v>31</v>
      </c>
      <c r="D1700" t="s">
        <v>88</v>
      </c>
      <c r="E1700" t="s">
        <v>48</v>
      </c>
      <c r="F1700" t="s">
        <v>65</v>
      </c>
      <c r="G1700" t="s">
        <v>24</v>
      </c>
      <c r="H1700" t="s">
        <v>83</v>
      </c>
      <c r="I1700" t="s">
        <v>54</v>
      </c>
      <c r="J1700" t="s">
        <v>27</v>
      </c>
      <c r="K1700">
        <v>6</v>
      </c>
      <c r="L1700">
        <v>78464</v>
      </c>
      <c r="M1700" t="s">
        <v>45</v>
      </c>
      <c r="N1700">
        <v>1</v>
      </c>
      <c r="O1700">
        <v>4</v>
      </c>
      <c r="P1700">
        <v>15</v>
      </c>
      <c r="Q1700">
        <v>2</v>
      </c>
      <c r="R1700" s="1">
        <v>42756</v>
      </c>
      <c r="S1700" t="s">
        <v>29</v>
      </c>
      <c r="T1700" t="str">
        <f t="shared" si="130"/>
        <v>Grade B</v>
      </c>
      <c r="U1700">
        <f t="shared" si="131"/>
        <v>2</v>
      </c>
      <c r="V1700" t="str">
        <f t="shared" si="132"/>
        <v>Mid Level</v>
      </c>
      <c r="W1700" t="str">
        <f t="shared" si="133"/>
        <v>Medium Risk</v>
      </c>
      <c r="X1700" t="str">
        <f t="shared" si="134"/>
        <v>Fair</v>
      </c>
    </row>
    <row r="1701" spans="1:24" x14ac:dyDescent="0.3">
      <c r="A1701" t="s">
        <v>1769</v>
      </c>
      <c r="B1701" t="s">
        <v>20</v>
      </c>
      <c r="C1701">
        <v>38</v>
      </c>
      <c r="D1701" t="s">
        <v>57</v>
      </c>
      <c r="E1701" t="s">
        <v>48</v>
      </c>
      <c r="F1701" t="s">
        <v>23</v>
      </c>
      <c r="G1701" t="s">
        <v>58</v>
      </c>
      <c r="H1701" t="s">
        <v>67</v>
      </c>
      <c r="I1701" t="s">
        <v>35</v>
      </c>
      <c r="J1701" t="s">
        <v>27</v>
      </c>
      <c r="K1701">
        <v>5</v>
      </c>
      <c r="L1701">
        <v>98713</v>
      </c>
      <c r="M1701" t="s">
        <v>28</v>
      </c>
      <c r="N1701">
        <v>3</v>
      </c>
      <c r="O1701">
        <v>1</v>
      </c>
      <c r="P1701">
        <v>12</v>
      </c>
      <c r="Q1701">
        <v>2</v>
      </c>
      <c r="R1701" s="1">
        <v>43314</v>
      </c>
      <c r="S1701" t="s">
        <v>29</v>
      </c>
      <c r="T1701" t="str">
        <f t="shared" si="130"/>
        <v>Grade A</v>
      </c>
      <c r="U1701">
        <f t="shared" si="131"/>
        <v>3</v>
      </c>
      <c r="V1701" t="str">
        <f t="shared" si="132"/>
        <v>Junior</v>
      </c>
      <c r="W1701" t="str">
        <f t="shared" si="133"/>
        <v>Medium Risk</v>
      </c>
      <c r="X1701" t="str">
        <f t="shared" si="134"/>
        <v>Competitive</v>
      </c>
    </row>
    <row r="1702" spans="1:24" x14ac:dyDescent="0.3">
      <c r="A1702" t="s">
        <v>1770</v>
      </c>
      <c r="B1702" t="s">
        <v>20</v>
      </c>
      <c r="C1702">
        <v>44</v>
      </c>
      <c r="D1702" t="s">
        <v>57</v>
      </c>
      <c r="E1702" t="s">
        <v>22</v>
      </c>
      <c r="F1702" t="s">
        <v>65</v>
      </c>
      <c r="G1702" t="s">
        <v>42</v>
      </c>
      <c r="H1702" t="s">
        <v>76</v>
      </c>
      <c r="I1702" t="s">
        <v>26</v>
      </c>
      <c r="J1702" t="s">
        <v>27</v>
      </c>
      <c r="K1702">
        <v>12</v>
      </c>
      <c r="L1702">
        <v>115692</v>
      </c>
      <c r="M1702" t="s">
        <v>36</v>
      </c>
      <c r="N1702">
        <v>2</v>
      </c>
      <c r="O1702">
        <v>4</v>
      </c>
      <c r="P1702">
        <v>77</v>
      </c>
      <c r="Q1702">
        <v>3</v>
      </c>
      <c r="R1702" s="1">
        <v>40713</v>
      </c>
      <c r="S1702" t="s">
        <v>37</v>
      </c>
      <c r="T1702" t="str">
        <f t="shared" si="130"/>
        <v>Grade A</v>
      </c>
      <c r="U1702">
        <f t="shared" si="131"/>
        <v>1</v>
      </c>
      <c r="V1702" t="str">
        <f t="shared" si="132"/>
        <v>Senior</v>
      </c>
      <c r="W1702" t="str">
        <f t="shared" si="133"/>
        <v>Already Left</v>
      </c>
      <c r="X1702" t="str">
        <f t="shared" si="134"/>
        <v>Overpaid</v>
      </c>
    </row>
    <row r="1703" spans="1:24" x14ac:dyDescent="0.3">
      <c r="A1703" t="s">
        <v>1771</v>
      </c>
      <c r="B1703" t="s">
        <v>39</v>
      </c>
      <c r="C1703">
        <v>30</v>
      </c>
      <c r="D1703" t="s">
        <v>88</v>
      </c>
      <c r="E1703" t="s">
        <v>22</v>
      </c>
      <c r="F1703" t="s">
        <v>65</v>
      </c>
      <c r="G1703" t="s">
        <v>49</v>
      </c>
      <c r="H1703" t="s">
        <v>76</v>
      </c>
      <c r="I1703" t="s">
        <v>43</v>
      </c>
      <c r="J1703" t="s">
        <v>44</v>
      </c>
      <c r="K1703">
        <v>2</v>
      </c>
      <c r="L1703">
        <v>56758</v>
      </c>
      <c r="M1703" t="s">
        <v>28</v>
      </c>
      <c r="N1703">
        <v>1</v>
      </c>
      <c r="O1703">
        <v>1</v>
      </c>
      <c r="P1703">
        <v>34</v>
      </c>
      <c r="Q1703">
        <v>3</v>
      </c>
      <c r="R1703" s="1">
        <v>44349</v>
      </c>
      <c r="S1703" t="s">
        <v>37</v>
      </c>
      <c r="T1703" t="str">
        <f t="shared" si="130"/>
        <v>Grade B</v>
      </c>
      <c r="U1703">
        <f t="shared" si="131"/>
        <v>3</v>
      </c>
      <c r="V1703" t="str">
        <f t="shared" si="132"/>
        <v>New Joiner</v>
      </c>
      <c r="W1703" t="str">
        <f t="shared" si="133"/>
        <v>Already Left</v>
      </c>
      <c r="X1703" t="str">
        <f t="shared" si="134"/>
        <v>Competitive</v>
      </c>
    </row>
    <row r="1704" spans="1:24" x14ac:dyDescent="0.3">
      <c r="A1704" t="s">
        <v>1772</v>
      </c>
      <c r="B1704" t="s">
        <v>39</v>
      </c>
      <c r="C1704">
        <v>35</v>
      </c>
      <c r="D1704" t="s">
        <v>88</v>
      </c>
      <c r="E1704" t="s">
        <v>22</v>
      </c>
      <c r="F1704" t="s">
        <v>62</v>
      </c>
      <c r="G1704" t="s">
        <v>33</v>
      </c>
      <c r="H1704" t="s">
        <v>76</v>
      </c>
      <c r="I1704" t="s">
        <v>50</v>
      </c>
      <c r="J1704" t="s">
        <v>44</v>
      </c>
      <c r="K1704">
        <v>11</v>
      </c>
      <c r="L1704">
        <v>74609</v>
      </c>
      <c r="M1704" t="s">
        <v>45</v>
      </c>
      <c r="N1704">
        <v>2</v>
      </c>
      <c r="O1704">
        <v>3</v>
      </c>
      <c r="P1704">
        <v>25</v>
      </c>
      <c r="Q1704">
        <v>2</v>
      </c>
      <c r="R1704" s="1">
        <v>40962</v>
      </c>
      <c r="S1704" t="s">
        <v>29</v>
      </c>
      <c r="T1704" t="str">
        <f t="shared" si="130"/>
        <v>Grade B</v>
      </c>
      <c r="U1704">
        <f t="shared" si="131"/>
        <v>2</v>
      </c>
      <c r="V1704" t="str">
        <f t="shared" si="132"/>
        <v>Senior</v>
      </c>
      <c r="W1704" t="str">
        <f t="shared" si="133"/>
        <v>Medium Risk</v>
      </c>
      <c r="X1704" t="str">
        <f t="shared" si="134"/>
        <v>Fair</v>
      </c>
    </row>
    <row r="1705" spans="1:24" x14ac:dyDescent="0.3">
      <c r="A1705" t="s">
        <v>1773</v>
      </c>
      <c r="B1705" t="s">
        <v>39</v>
      </c>
      <c r="C1705">
        <v>38</v>
      </c>
      <c r="D1705" t="s">
        <v>57</v>
      </c>
      <c r="E1705" t="s">
        <v>40</v>
      </c>
      <c r="F1705" t="s">
        <v>65</v>
      </c>
      <c r="G1705" t="s">
        <v>42</v>
      </c>
      <c r="H1705" t="s">
        <v>67</v>
      </c>
      <c r="I1705" t="s">
        <v>35</v>
      </c>
      <c r="J1705" t="s">
        <v>27</v>
      </c>
      <c r="K1705">
        <v>12</v>
      </c>
      <c r="L1705">
        <v>119093</v>
      </c>
      <c r="M1705" t="s">
        <v>28</v>
      </c>
      <c r="N1705">
        <v>1</v>
      </c>
      <c r="O1705">
        <v>3</v>
      </c>
      <c r="P1705">
        <v>39</v>
      </c>
      <c r="Q1705">
        <v>2</v>
      </c>
      <c r="R1705" s="1">
        <v>40611</v>
      </c>
      <c r="S1705" t="s">
        <v>37</v>
      </c>
      <c r="T1705" t="str">
        <f t="shared" si="130"/>
        <v>Grade A</v>
      </c>
      <c r="U1705">
        <f t="shared" si="131"/>
        <v>3</v>
      </c>
      <c r="V1705" t="str">
        <f t="shared" si="132"/>
        <v>Senior</v>
      </c>
      <c r="W1705" t="str">
        <f t="shared" si="133"/>
        <v>Already Left</v>
      </c>
      <c r="X1705" t="str">
        <f t="shared" si="134"/>
        <v>Competitive</v>
      </c>
    </row>
    <row r="1706" spans="1:24" x14ac:dyDescent="0.3">
      <c r="A1706" t="s">
        <v>1774</v>
      </c>
      <c r="B1706" t="s">
        <v>39</v>
      </c>
      <c r="C1706">
        <v>25</v>
      </c>
      <c r="D1706" t="s">
        <v>88</v>
      </c>
      <c r="E1706" t="s">
        <v>48</v>
      </c>
      <c r="F1706" t="s">
        <v>53</v>
      </c>
      <c r="G1706" t="s">
        <v>66</v>
      </c>
      <c r="H1706" t="s">
        <v>34</v>
      </c>
      <c r="I1706" t="s">
        <v>96</v>
      </c>
      <c r="J1706" t="s">
        <v>44</v>
      </c>
      <c r="K1706">
        <v>10</v>
      </c>
      <c r="L1706">
        <v>48046</v>
      </c>
      <c r="M1706" t="s">
        <v>28</v>
      </c>
      <c r="N1706">
        <v>2</v>
      </c>
      <c r="O1706">
        <v>2</v>
      </c>
      <c r="P1706">
        <v>60</v>
      </c>
      <c r="Q1706">
        <v>3</v>
      </c>
      <c r="R1706" s="1">
        <v>41400</v>
      </c>
      <c r="S1706" t="s">
        <v>29</v>
      </c>
      <c r="T1706" t="str">
        <f t="shared" si="130"/>
        <v>Grade C</v>
      </c>
      <c r="U1706">
        <f t="shared" si="131"/>
        <v>3</v>
      </c>
      <c r="V1706" t="str">
        <f t="shared" si="132"/>
        <v>Mid Level</v>
      </c>
      <c r="W1706" t="str">
        <f t="shared" si="133"/>
        <v>Medium Risk</v>
      </c>
      <c r="X1706" t="str">
        <f t="shared" si="134"/>
        <v>Fair</v>
      </c>
    </row>
    <row r="1707" spans="1:24" x14ac:dyDescent="0.3">
      <c r="A1707" t="s">
        <v>1775</v>
      </c>
      <c r="B1707" t="s">
        <v>39</v>
      </c>
      <c r="C1707">
        <v>32</v>
      </c>
      <c r="D1707" t="s">
        <v>31</v>
      </c>
      <c r="E1707" t="s">
        <v>40</v>
      </c>
      <c r="F1707" t="s">
        <v>62</v>
      </c>
      <c r="G1707" t="s">
        <v>63</v>
      </c>
      <c r="H1707" t="s">
        <v>34</v>
      </c>
      <c r="I1707" t="s">
        <v>50</v>
      </c>
      <c r="J1707" t="s">
        <v>44</v>
      </c>
      <c r="K1707">
        <v>14</v>
      </c>
      <c r="L1707">
        <v>73870</v>
      </c>
      <c r="M1707" t="s">
        <v>36</v>
      </c>
      <c r="N1707">
        <v>2</v>
      </c>
      <c r="O1707">
        <v>2</v>
      </c>
      <c r="P1707">
        <v>77</v>
      </c>
      <c r="Q1707">
        <v>1</v>
      </c>
      <c r="R1707" s="1">
        <v>39844</v>
      </c>
      <c r="S1707" t="s">
        <v>29</v>
      </c>
      <c r="T1707" t="str">
        <f t="shared" si="130"/>
        <v>Grade B</v>
      </c>
      <c r="U1707">
        <f t="shared" si="131"/>
        <v>1</v>
      </c>
      <c r="V1707" t="str">
        <f t="shared" si="132"/>
        <v>Senior</v>
      </c>
      <c r="W1707" t="str">
        <f t="shared" si="133"/>
        <v>Medium Risk</v>
      </c>
      <c r="X1707" t="str">
        <f t="shared" si="134"/>
        <v>Fair</v>
      </c>
    </row>
    <row r="1708" spans="1:24" x14ac:dyDescent="0.3">
      <c r="A1708" t="s">
        <v>1776</v>
      </c>
      <c r="B1708" t="s">
        <v>20</v>
      </c>
      <c r="C1708">
        <v>54</v>
      </c>
      <c r="D1708" t="s">
        <v>88</v>
      </c>
      <c r="E1708" t="s">
        <v>48</v>
      </c>
      <c r="F1708" t="s">
        <v>23</v>
      </c>
      <c r="G1708" t="s">
        <v>49</v>
      </c>
      <c r="H1708" t="s">
        <v>83</v>
      </c>
      <c r="I1708" t="s">
        <v>35</v>
      </c>
      <c r="J1708" t="s">
        <v>27</v>
      </c>
      <c r="K1708">
        <v>3</v>
      </c>
      <c r="L1708">
        <v>58239</v>
      </c>
      <c r="M1708" t="s">
        <v>28</v>
      </c>
      <c r="N1708">
        <v>4</v>
      </c>
      <c r="O1708">
        <v>3</v>
      </c>
      <c r="P1708">
        <v>64</v>
      </c>
      <c r="Q1708">
        <v>3</v>
      </c>
      <c r="R1708" s="1">
        <v>44176</v>
      </c>
      <c r="S1708" t="s">
        <v>29</v>
      </c>
      <c r="T1708" t="str">
        <f t="shared" si="130"/>
        <v>Grade B</v>
      </c>
      <c r="U1708">
        <f t="shared" si="131"/>
        <v>3</v>
      </c>
      <c r="V1708" t="str">
        <f t="shared" si="132"/>
        <v>Junior</v>
      </c>
      <c r="W1708" t="str">
        <f t="shared" si="133"/>
        <v>Medium Risk</v>
      </c>
      <c r="X1708" t="str">
        <f t="shared" si="134"/>
        <v>Competitive</v>
      </c>
    </row>
    <row r="1709" spans="1:24" x14ac:dyDescent="0.3">
      <c r="A1709" t="s">
        <v>1777</v>
      </c>
      <c r="B1709" t="s">
        <v>39</v>
      </c>
      <c r="C1709">
        <v>52</v>
      </c>
      <c r="D1709" t="s">
        <v>31</v>
      </c>
      <c r="E1709" t="s">
        <v>40</v>
      </c>
      <c r="F1709" t="s">
        <v>78</v>
      </c>
      <c r="G1709" t="s">
        <v>63</v>
      </c>
      <c r="H1709" t="s">
        <v>34</v>
      </c>
      <c r="I1709" t="s">
        <v>43</v>
      </c>
      <c r="J1709" t="s">
        <v>44</v>
      </c>
      <c r="K1709">
        <v>10</v>
      </c>
      <c r="L1709">
        <v>64127</v>
      </c>
      <c r="M1709" t="s">
        <v>51</v>
      </c>
      <c r="N1709">
        <v>3</v>
      </c>
      <c r="O1709">
        <v>3</v>
      </c>
      <c r="P1709">
        <v>70</v>
      </c>
      <c r="Q1709">
        <v>2</v>
      </c>
      <c r="R1709" s="1">
        <v>41360</v>
      </c>
      <c r="S1709" t="s">
        <v>29</v>
      </c>
      <c r="T1709" t="str">
        <f t="shared" si="130"/>
        <v>Grade B</v>
      </c>
      <c r="U1709">
        <f t="shared" si="131"/>
        <v>4</v>
      </c>
      <c r="V1709" t="str">
        <f t="shared" si="132"/>
        <v>Mid Level</v>
      </c>
      <c r="W1709" t="str">
        <f t="shared" si="133"/>
        <v>Low Risk</v>
      </c>
      <c r="X1709" t="str">
        <f t="shared" si="134"/>
        <v>Fair</v>
      </c>
    </row>
    <row r="1710" spans="1:24" x14ac:dyDescent="0.3">
      <c r="A1710" t="s">
        <v>1778</v>
      </c>
      <c r="B1710" t="s">
        <v>20</v>
      </c>
      <c r="C1710">
        <v>43</v>
      </c>
      <c r="D1710" t="s">
        <v>88</v>
      </c>
      <c r="E1710" t="s">
        <v>40</v>
      </c>
      <c r="F1710" t="s">
        <v>41</v>
      </c>
      <c r="G1710" t="s">
        <v>49</v>
      </c>
      <c r="H1710" t="s">
        <v>67</v>
      </c>
      <c r="I1710" t="s">
        <v>68</v>
      </c>
      <c r="J1710" t="s">
        <v>60</v>
      </c>
      <c r="K1710">
        <v>11</v>
      </c>
      <c r="L1710">
        <v>64659</v>
      </c>
      <c r="M1710" t="s">
        <v>45</v>
      </c>
      <c r="N1710">
        <v>2</v>
      </c>
      <c r="O1710">
        <v>4</v>
      </c>
      <c r="P1710">
        <v>45</v>
      </c>
      <c r="Q1710">
        <v>3</v>
      </c>
      <c r="R1710" s="1">
        <v>41112</v>
      </c>
      <c r="S1710" t="s">
        <v>29</v>
      </c>
      <c r="T1710" t="str">
        <f t="shared" si="130"/>
        <v>Grade B</v>
      </c>
      <c r="U1710">
        <f t="shared" si="131"/>
        <v>2</v>
      </c>
      <c r="V1710" t="str">
        <f t="shared" si="132"/>
        <v>Senior</v>
      </c>
      <c r="W1710" t="str">
        <f t="shared" si="133"/>
        <v>Medium Risk</v>
      </c>
      <c r="X1710" t="str">
        <f t="shared" si="134"/>
        <v>Fair</v>
      </c>
    </row>
    <row r="1711" spans="1:24" x14ac:dyDescent="0.3">
      <c r="A1711" t="s">
        <v>1779</v>
      </c>
      <c r="B1711" t="s">
        <v>20</v>
      </c>
      <c r="C1711">
        <v>29</v>
      </c>
      <c r="D1711" t="s">
        <v>21</v>
      </c>
      <c r="E1711" t="s">
        <v>40</v>
      </c>
      <c r="F1711" t="s">
        <v>41</v>
      </c>
      <c r="G1711" t="s">
        <v>63</v>
      </c>
      <c r="H1711" t="s">
        <v>83</v>
      </c>
      <c r="I1711" t="s">
        <v>80</v>
      </c>
      <c r="J1711" t="s">
        <v>60</v>
      </c>
      <c r="K1711">
        <v>9</v>
      </c>
      <c r="L1711">
        <v>58127</v>
      </c>
      <c r="M1711" t="s">
        <v>45</v>
      </c>
      <c r="N1711">
        <v>4</v>
      </c>
      <c r="O1711">
        <v>4</v>
      </c>
      <c r="P1711">
        <v>42</v>
      </c>
      <c r="Q1711">
        <v>2</v>
      </c>
      <c r="R1711" s="1">
        <v>41780</v>
      </c>
      <c r="S1711" t="s">
        <v>29</v>
      </c>
      <c r="T1711" t="str">
        <f t="shared" si="130"/>
        <v>Grade B</v>
      </c>
      <c r="U1711">
        <f t="shared" si="131"/>
        <v>2</v>
      </c>
      <c r="V1711" t="str">
        <f t="shared" si="132"/>
        <v>Mid Level</v>
      </c>
      <c r="W1711" t="str">
        <f t="shared" si="133"/>
        <v>Medium Risk</v>
      </c>
      <c r="X1711" t="str">
        <f t="shared" si="134"/>
        <v>Fair</v>
      </c>
    </row>
    <row r="1712" spans="1:24" x14ac:dyDescent="0.3">
      <c r="A1712" t="s">
        <v>1780</v>
      </c>
      <c r="B1712" t="s">
        <v>20</v>
      </c>
      <c r="C1712">
        <v>29</v>
      </c>
      <c r="D1712" t="s">
        <v>88</v>
      </c>
      <c r="E1712" t="s">
        <v>48</v>
      </c>
      <c r="F1712" t="s">
        <v>62</v>
      </c>
      <c r="G1712" t="s">
        <v>66</v>
      </c>
      <c r="H1712" t="s">
        <v>34</v>
      </c>
      <c r="I1712" t="s">
        <v>59</v>
      </c>
      <c r="J1712" t="s">
        <v>60</v>
      </c>
      <c r="K1712">
        <v>6</v>
      </c>
      <c r="L1712">
        <v>39357</v>
      </c>
      <c r="M1712" t="s">
        <v>36</v>
      </c>
      <c r="N1712">
        <v>4</v>
      </c>
      <c r="O1712">
        <v>4</v>
      </c>
      <c r="P1712">
        <v>40</v>
      </c>
      <c r="Q1712">
        <v>0</v>
      </c>
      <c r="R1712" s="1">
        <v>42879</v>
      </c>
      <c r="S1712" t="s">
        <v>29</v>
      </c>
      <c r="T1712" t="str">
        <f t="shared" si="130"/>
        <v>Grade C</v>
      </c>
      <c r="U1712">
        <f t="shared" si="131"/>
        <v>1</v>
      </c>
      <c r="V1712" t="str">
        <f t="shared" si="132"/>
        <v>Mid Level</v>
      </c>
      <c r="W1712" t="str">
        <f t="shared" si="133"/>
        <v>Medium Risk</v>
      </c>
      <c r="X1712" t="str">
        <f t="shared" si="134"/>
        <v>Fair</v>
      </c>
    </row>
    <row r="1713" spans="1:24" x14ac:dyDescent="0.3">
      <c r="A1713" t="s">
        <v>1781</v>
      </c>
      <c r="B1713" t="s">
        <v>39</v>
      </c>
      <c r="C1713">
        <v>42</v>
      </c>
      <c r="D1713" t="s">
        <v>88</v>
      </c>
      <c r="E1713" t="s">
        <v>48</v>
      </c>
      <c r="F1713" t="s">
        <v>32</v>
      </c>
      <c r="G1713" t="s">
        <v>79</v>
      </c>
      <c r="H1713" t="s">
        <v>25</v>
      </c>
      <c r="I1713" t="s">
        <v>50</v>
      </c>
      <c r="J1713" t="s">
        <v>44</v>
      </c>
      <c r="K1713">
        <v>1</v>
      </c>
      <c r="L1713">
        <v>44976</v>
      </c>
      <c r="M1713" t="s">
        <v>28</v>
      </c>
      <c r="N1713">
        <v>2</v>
      </c>
      <c r="O1713">
        <v>2</v>
      </c>
      <c r="P1713">
        <v>45</v>
      </c>
      <c r="Q1713">
        <v>1</v>
      </c>
      <c r="R1713" s="1">
        <v>44908</v>
      </c>
      <c r="S1713" t="s">
        <v>29</v>
      </c>
      <c r="T1713" t="str">
        <f t="shared" si="130"/>
        <v>Grade C</v>
      </c>
      <c r="U1713">
        <f t="shared" si="131"/>
        <v>3</v>
      </c>
      <c r="V1713" t="str">
        <f t="shared" si="132"/>
        <v>New Joiner</v>
      </c>
      <c r="W1713" t="str">
        <f t="shared" si="133"/>
        <v>Medium Risk</v>
      </c>
      <c r="X1713" t="str">
        <f t="shared" si="134"/>
        <v>Fair</v>
      </c>
    </row>
    <row r="1714" spans="1:24" x14ac:dyDescent="0.3">
      <c r="A1714" t="s">
        <v>1782</v>
      </c>
      <c r="B1714" t="s">
        <v>39</v>
      </c>
      <c r="C1714">
        <v>55</v>
      </c>
      <c r="D1714" t="s">
        <v>31</v>
      </c>
      <c r="E1714" t="s">
        <v>48</v>
      </c>
      <c r="F1714" t="s">
        <v>62</v>
      </c>
      <c r="G1714" t="s">
        <v>24</v>
      </c>
      <c r="H1714" t="s">
        <v>34</v>
      </c>
      <c r="I1714" t="s">
        <v>68</v>
      </c>
      <c r="J1714" t="s">
        <v>60</v>
      </c>
      <c r="K1714">
        <v>5</v>
      </c>
      <c r="L1714">
        <v>90715</v>
      </c>
      <c r="M1714" t="s">
        <v>28</v>
      </c>
      <c r="N1714">
        <v>1</v>
      </c>
      <c r="O1714">
        <v>1</v>
      </c>
      <c r="P1714">
        <v>74</v>
      </c>
      <c r="Q1714">
        <v>0</v>
      </c>
      <c r="R1714" s="1">
        <v>43257</v>
      </c>
      <c r="S1714" t="s">
        <v>29</v>
      </c>
      <c r="T1714" t="str">
        <f t="shared" si="130"/>
        <v>Grade A</v>
      </c>
      <c r="U1714">
        <f t="shared" si="131"/>
        <v>3</v>
      </c>
      <c r="V1714" t="str">
        <f t="shared" si="132"/>
        <v>Junior</v>
      </c>
      <c r="W1714" t="str">
        <f t="shared" si="133"/>
        <v>Medium Risk</v>
      </c>
      <c r="X1714" t="str">
        <f t="shared" si="134"/>
        <v>Competitive</v>
      </c>
    </row>
    <row r="1715" spans="1:24" x14ac:dyDescent="0.3">
      <c r="A1715" t="s">
        <v>1783</v>
      </c>
      <c r="B1715" t="s">
        <v>20</v>
      </c>
      <c r="C1715">
        <v>36</v>
      </c>
      <c r="D1715" t="s">
        <v>57</v>
      </c>
      <c r="E1715" t="s">
        <v>40</v>
      </c>
      <c r="F1715" t="s">
        <v>23</v>
      </c>
      <c r="G1715" t="s">
        <v>42</v>
      </c>
      <c r="H1715" t="s">
        <v>67</v>
      </c>
      <c r="I1715" t="s">
        <v>80</v>
      </c>
      <c r="J1715" t="s">
        <v>60</v>
      </c>
      <c r="K1715">
        <v>15</v>
      </c>
      <c r="L1715">
        <v>133138</v>
      </c>
      <c r="M1715" t="s">
        <v>28</v>
      </c>
      <c r="N1715">
        <v>2</v>
      </c>
      <c r="O1715">
        <v>3</v>
      </c>
      <c r="P1715">
        <v>77</v>
      </c>
      <c r="Q1715">
        <v>3</v>
      </c>
      <c r="R1715" s="1">
        <v>39781</v>
      </c>
      <c r="S1715" t="s">
        <v>37</v>
      </c>
      <c r="T1715" t="str">
        <f t="shared" si="130"/>
        <v>Grade A</v>
      </c>
      <c r="U1715">
        <f t="shared" si="131"/>
        <v>3</v>
      </c>
      <c r="V1715" t="str">
        <f t="shared" si="132"/>
        <v>Senior</v>
      </c>
      <c r="W1715" t="str">
        <f t="shared" si="133"/>
        <v>Already Left</v>
      </c>
      <c r="X1715" t="str">
        <f t="shared" si="134"/>
        <v>Competitive</v>
      </c>
    </row>
    <row r="1716" spans="1:24" x14ac:dyDescent="0.3">
      <c r="A1716" t="s">
        <v>1784</v>
      </c>
      <c r="B1716" t="s">
        <v>20</v>
      </c>
      <c r="C1716">
        <v>37</v>
      </c>
      <c r="D1716" t="s">
        <v>88</v>
      </c>
      <c r="E1716" t="s">
        <v>22</v>
      </c>
      <c r="F1716" t="s">
        <v>78</v>
      </c>
      <c r="G1716" t="s">
        <v>42</v>
      </c>
      <c r="H1716" t="s">
        <v>83</v>
      </c>
      <c r="I1716" t="s">
        <v>43</v>
      </c>
      <c r="J1716" t="s">
        <v>44</v>
      </c>
      <c r="K1716">
        <v>6</v>
      </c>
      <c r="L1716">
        <v>105931</v>
      </c>
      <c r="M1716" t="s">
        <v>45</v>
      </c>
      <c r="N1716">
        <v>4</v>
      </c>
      <c r="O1716">
        <v>1</v>
      </c>
      <c r="P1716">
        <v>65</v>
      </c>
      <c r="Q1716">
        <v>3</v>
      </c>
      <c r="R1716" s="1">
        <v>43094</v>
      </c>
      <c r="S1716" t="s">
        <v>29</v>
      </c>
      <c r="T1716" t="str">
        <f t="shared" si="130"/>
        <v>Grade A</v>
      </c>
      <c r="U1716">
        <f t="shared" si="131"/>
        <v>2</v>
      </c>
      <c r="V1716" t="str">
        <f t="shared" si="132"/>
        <v>Mid Level</v>
      </c>
      <c r="W1716" t="str">
        <f t="shared" si="133"/>
        <v>Medium Risk</v>
      </c>
      <c r="X1716" t="str">
        <f t="shared" si="134"/>
        <v>Fair</v>
      </c>
    </row>
    <row r="1717" spans="1:24" x14ac:dyDescent="0.3">
      <c r="A1717" t="s">
        <v>1785</v>
      </c>
      <c r="B1717" t="s">
        <v>20</v>
      </c>
      <c r="C1717">
        <v>26</v>
      </c>
      <c r="D1717" t="s">
        <v>21</v>
      </c>
      <c r="E1717" t="s">
        <v>40</v>
      </c>
      <c r="F1717" t="s">
        <v>75</v>
      </c>
      <c r="G1717" t="s">
        <v>58</v>
      </c>
      <c r="H1717" t="s">
        <v>67</v>
      </c>
      <c r="I1717" t="s">
        <v>80</v>
      </c>
      <c r="J1717" t="s">
        <v>60</v>
      </c>
      <c r="K1717">
        <v>3</v>
      </c>
      <c r="L1717">
        <v>91903</v>
      </c>
      <c r="M1717" t="s">
        <v>36</v>
      </c>
      <c r="N1717">
        <v>2</v>
      </c>
      <c r="O1717">
        <v>3</v>
      </c>
      <c r="P1717">
        <v>62</v>
      </c>
      <c r="Q1717">
        <v>3</v>
      </c>
      <c r="R1717" s="1">
        <v>43841</v>
      </c>
      <c r="S1717" t="s">
        <v>37</v>
      </c>
      <c r="T1717" t="str">
        <f t="shared" si="130"/>
        <v>Grade A</v>
      </c>
      <c r="U1717">
        <f t="shared" si="131"/>
        <v>1</v>
      </c>
      <c r="V1717" t="str">
        <f t="shared" si="132"/>
        <v>Junior</v>
      </c>
      <c r="W1717" t="str">
        <f t="shared" si="133"/>
        <v>Already Left</v>
      </c>
      <c r="X1717" t="str">
        <f t="shared" si="134"/>
        <v>Overpaid</v>
      </c>
    </row>
    <row r="1718" spans="1:24" x14ac:dyDescent="0.3">
      <c r="A1718" t="s">
        <v>1786</v>
      </c>
      <c r="B1718" t="s">
        <v>39</v>
      </c>
      <c r="C1718">
        <v>23</v>
      </c>
      <c r="D1718" t="s">
        <v>57</v>
      </c>
      <c r="E1718" t="s">
        <v>48</v>
      </c>
      <c r="F1718" t="s">
        <v>65</v>
      </c>
      <c r="G1718" t="s">
        <v>66</v>
      </c>
      <c r="H1718" t="s">
        <v>83</v>
      </c>
      <c r="I1718" t="s">
        <v>68</v>
      </c>
      <c r="J1718" t="s">
        <v>60</v>
      </c>
      <c r="K1718">
        <v>2</v>
      </c>
      <c r="L1718">
        <v>39517</v>
      </c>
      <c r="M1718" t="s">
        <v>28</v>
      </c>
      <c r="N1718">
        <v>3</v>
      </c>
      <c r="O1718">
        <v>3</v>
      </c>
      <c r="P1718">
        <v>80</v>
      </c>
      <c r="Q1718">
        <v>1</v>
      </c>
      <c r="R1718" s="1">
        <v>44277</v>
      </c>
      <c r="S1718" t="s">
        <v>29</v>
      </c>
      <c r="T1718" t="str">
        <f t="shared" si="130"/>
        <v>Grade C</v>
      </c>
      <c r="U1718">
        <f t="shared" si="131"/>
        <v>3</v>
      </c>
      <c r="V1718" t="str">
        <f t="shared" si="132"/>
        <v>New Joiner</v>
      </c>
      <c r="W1718" t="str">
        <f t="shared" si="133"/>
        <v>Medium Risk</v>
      </c>
      <c r="X1718" t="str">
        <f t="shared" si="134"/>
        <v>Fair</v>
      </c>
    </row>
    <row r="1719" spans="1:24" x14ac:dyDescent="0.3">
      <c r="A1719" t="s">
        <v>1787</v>
      </c>
      <c r="B1719" t="s">
        <v>20</v>
      </c>
      <c r="C1719">
        <v>52</v>
      </c>
      <c r="D1719" t="s">
        <v>88</v>
      </c>
      <c r="E1719" t="s">
        <v>48</v>
      </c>
      <c r="F1719" t="s">
        <v>53</v>
      </c>
      <c r="G1719" t="s">
        <v>42</v>
      </c>
      <c r="H1719" t="s">
        <v>76</v>
      </c>
      <c r="I1719" t="s">
        <v>26</v>
      </c>
      <c r="J1719" t="s">
        <v>27</v>
      </c>
      <c r="K1719">
        <v>7</v>
      </c>
      <c r="L1719">
        <v>106128</v>
      </c>
      <c r="M1719" t="s">
        <v>28</v>
      </c>
      <c r="N1719">
        <v>3</v>
      </c>
      <c r="O1719">
        <v>4</v>
      </c>
      <c r="P1719">
        <v>10</v>
      </c>
      <c r="Q1719">
        <v>3</v>
      </c>
      <c r="R1719" s="1">
        <v>42548</v>
      </c>
      <c r="S1719" t="s">
        <v>29</v>
      </c>
      <c r="T1719" t="str">
        <f t="shared" si="130"/>
        <v>Grade A</v>
      </c>
      <c r="U1719">
        <f t="shared" si="131"/>
        <v>3</v>
      </c>
      <c r="V1719" t="str">
        <f t="shared" si="132"/>
        <v>Mid Level</v>
      </c>
      <c r="W1719" t="str">
        <f t="shared" si="133"/>
        <v>Medium Risk</v>
      </c>
      <c r="X1719" t="str">
        <f t="shared" si="134"/>
        <v>Competitive</v>
      </c>
    </row>
    <row r="1720" spans="1:24" x14ac:dyDescent="0.3">
      <c r="A1720" t="s">
        <v>1788</v>
      </c>
      <c r="B1720" t="s">
        <v>20</v>
      </c>
      <c r="C1720">
        <v>52</v>
      </c>
      <c r="D1720" t="s">
        <v>31</v>
      </c>
      <c r="E1720" t="s">
        <v>48</v>
      </c>
      <c r="F1720" t="s">
        <v>23</v>
      </c>
      <c r="G1720" t="s">
        <v>79</v>
      </c>
      <c r="H1720" t="s">
        <v>76</v>
      </c>
      <c r="I1720" t="s">
        <v>35</v>
      </c>
      <c r="J1720" t="s">
        <v>27</v>
      </c>
      <c r="K1720">
        <v>2</v>
      </c>
      <c r="L1720">
        <v>53895</v>
      </c>
      <c r="M1720" t="s">
        <v>45</v>
      </c>
      <c r="N1720">
        <v>1</v>
      </c>
      <c r="O1720">
        <v>2</v>
      </c>
      <c r="P1720">
        <v>45</v>
      </c>
      <c r="Q1720">
        <v>2</v>
      </c>
      <c r="R1720" s="1">
        <v>44529</v>
      </c>
      <c r="S1720" t="s">
        <v>29</v>
      </c>
      <c r="T1720" t="str">
        <f t="shared" si="130"/>
        <v>Grade B</v>
      </c>
      <c r="U1720">
        <f t="shared" si="131"/>
        <v>2</v>
      </c>
      <c r="V1720" t="str">
        <f t="shared" si="132"/>
        <v>New Joiner</v>
      </c>
      <c r="W1720" t="str">
        <f t="shared" si="133"/>
        <v>Medium Risk</v>
      </c>
      <c r="X1720" t="str">
        <f t="shared" si="134"/>
        <v>Fair</v>
      </c>
    </row>
    <row r="1721" spans="1:24" x14ac:dyDescent="0.3">
      <c r="A1721" t="s">
        <v>1789</v>
      </c>
      <c r="B1721" t="s">
        <v>39</v>
      </c>
      <c r="C1721">
        <v>55</v>
      </c>
      <c r="D1721" t="s">
        <v>47</v>
      </c>
      <c r="E1721" t="s">
        <v>40</v>
      </c>
      <c r="F1721" t="s">
        <v>62</v>
      </c>
      <c r="G1721" t="s">
        <v>49</v>
      </c>
      <c r="H1721" t="s">
        <v>34</v>
      </c>
      <c r="I1721" t="s">
        <v>26</v>
      </c>
      <c r="J1721" t="s">
        <v>27</v>
      </c>
      <c r="K1721">
        <v>6</v>
      </c>
      <c r="L1721">
        <v>55286</v>
      </c>
      <c r="M1721" t="s">
        <v>28</v>
      </c>
      <c r="N1721">
        <v>3</v>
      </c>
      <c r="O1721">
        <v>4</v>
      </c>
      <c r="P1721">
        <v>44</v>
      </c>
      <c r="Q1721">
        <v>3</v>
      </c>
      <c r="R1721" s="1">
        <v>42961</v>
      </c>
      <c r="S1721" t="s">
        <v>29</v>
      </c>
      <c r="T1721" t="str">
        <f t="shared" si="130"/>
        <v>Grade B</v>
      </c>
      <c r="U1721">
        <f t="shared" si="131"/>
        <v>3</v>
      </c>
      <c r="V1721" t="str">
        <f t="shared" si="132"/>
        <v>Mid Level</v>
      </c>
      <c r="W1721" t="str">
        <f t="shared" si="133"/>
        <v>Medium Risk</v>
      </c>
      <c r="X1721" t="str">
        <f t="shared" si="134"/>
        <v>Competitive</v>
      </c>
    </row>
    <row r="1722" spans="1:24" x14ac:dyDescent="0.3">
      <c r="A1722" t="s">
        <v>1790</v>
      </c>
      <c r="B1722" t="s">
        <v>20</v>
      </c>
      <c r="C1722">
        <v>42</v>
      </c>
      <c r="D1722" t="s">
        <v>31</v>
      </c>
      <c r="E1722" t="s">
        <v>40</v>
      </c>
      <c r="F1722" t="s">
        <v>75</v>
      </c>
      <c r="G1722" t="s">
        <v>66</v>
      </c>
      <c r="H1722" t="s">
        <v>25</v>
      </c>
      <c r="I1722" t="s">
        <v>96</v>
      </c>
      <c r="J1722" t="s">
        <v>44</v>
      </c>
      <c r="K1722">
        <v>13</v>
      </c>
      <c r="L1722">
        <v>70082</v>
      </c>
      <c r="M1722" t="s">
        <v>36</v>
      </c>
      <c r="N1722">
        <v>3</v>
      </c>
      <c r="O1722">
        <v>2</v>
      </c>
      <c r="P1722">
        <v>49</v>
      </c>
      <c r="Q1722">
        <v>1</v>
      </c>
      <c r="R1722" s="1">
        <v>40538</v>
      </c>
      <c r="S1722" t="s">
        <v>37</v>
      </c>
      <c r="T1722" t="str">
        <f t="shared" si="130"/>
        <v>Grade B</v>
      </c>
      <c r="U1722">
        <f t="shared" si="131"/>
        <v>1</v>
      </c>
      <c r="V1722" t="str">
        <f t="shared" si="132"/>
        <v>Senior</v>
      </c>
      <c r="W1722" t="str">
        <f t="shared" si="133"/>
        <v>Already Left</v>
      </c>
      <c r="X1722" t="str">
        <f t="shared" si="134"/>
        <v>Fair</v>
      </c>
    </row>
    <row r="1723" spans="1:24" x14ac:dyDescent="0.3">
      <c r="A1723" t="s">
        <v>1791</v>
      </c>
      <c r="B1723" t="s">
        <v>39</v>
      </c>
      <c r="C1723">
        <v>39</v>
      </c>
      <c r="D1723" t="s">
        <v>88</v>
      </c>
      <c r="E1723" t="s">
        <v>22</v>
      </c>
      <c r="F1723" t="s">
        <v>78</v>
      </c>
      <c r="G1723" t="s">
        <v>63</v>
      </c>
      <c r="H1723" t="s">
        <v>76</v>
      </c>
      <c r="I1723" t="s">
        <v>43</v>
      </c>
      <c r="J1723" t="s">
        <v>44</v>
      </c>
      <c r="K1723">
        <v>6</v>
      </c>
      <c r="L1723">
        <v>65470</v>
      </c>
      <c r="M1723" t="s">
        <v>51</v>
      </c>
      <c r="N1723">
        <v>4</v>
      </c>
      <c r="O1723">
        <v>4</v>
      </c>
      <c r="P1723">
        <v>40</v>
      </c>
      <c r="Q1723">
        <v>2</v>
      </c>
      <c r="R1723" s="1">
        <v>43030</v>
      </c>
      <c r="S1723" t="s">
        <v>29</v>
      </c>
      <c r="T1723" t="str">
        <f t="shared" si="130"/>
        <v>Grade B</v>
      </c>
      <c r="U1723">
        <f t="shared" si="131"/>
        <v>4</v>
      </c>
      <c r="V1723" t="str">
        <f t="shared" si="132"/>
        <v>Mid Level</v>
      </c>
      <c r="W1723" t="str">
        <f t="shared" si="133"/>
        <v>Low Risk</v>
      </c>
      <c r="X1723" t="str">
        <f t="shared" si="134"/>
        <v>Fair</v>
      </c>
    </row>
    <row r="1724" spans="1:24" x14ac:dyDescent="0.3">
      <c r="A1724" t="s">
        <v>1792</v>
      </c>
      <c r="B1724" t="s">
        <v>39</v>
      </c>
      <c r="C1724">
        <v>29</v>
      </c>
      <c r="D1724" t="s">
        <v>21</v>
      </c>
      <c r="E1724" t="s">
        <v>48</v>
      </c>
      <c r="F1724" t="s">
        <v>65</v>
      </c>
      <c r="G1724" t="s">
        <v>33</v>
      </c>
      <c r="H1724" t="s">
        <v>67</v>
      </c>
      <c r="I1724" t="s">
        <v>26</v>
      </c>
      <c r="J1724" t="s">
        <v>27</v>
      </c>
      <c r="K1724">
        <v>10</v>
      </c>
      <c r="L1724">
        <v>85290</v>
      </c>
      <c r="M1724" t="s">
        <v>45</v>
      </c>
      <c r="N1724">
        <v>3</v>
      </c>
      <c r="O1724">
        <v>4</v>
      </c>
      <c r="P1724">
        <v>68</v>
      </c>
      <c r="Q1724">
        <v>1</v>
      </c>
      <c r="R1724" s="1">
        <v>41616</v>
      </c>
      <c r="S1724" t="s">
        <v>37</v>
      </c>
      <c r="T1724" t="str">
        <f t="shared" si="130"/>
        <v>Grade A</v>
      </c>
      <c r="U1724">
        <f t="shared" si="131"/>
        <v>2</v>
      </c>
      <c r="V1724" t="str">
        <f t="shared" si="132"/>
        <v>Mid Level</v>
      </c>
      <c r="W1724" t="str">
        <f t="shared" si="133"/>
        <v>Already Left</v>
      </c>
      <c r="X1724" t="str">
        <f t="shared" si="134"/>
        <v>Fair</v>
      </c>
    </row>
    <row r="1725" spans="1:24" x14ac:dyDescent="0.3">
      <c r="A1725" t="s">
        <v>1793</v>
      </c>
      <c r="B1725" t="s">
        <v>39</v>
      </c>
      <c r="C1725">
        <v>44</v>
      </c>
      <c r="D1725" t="s">
        <v>31</v>
      </c>
      <c r="E1725" t="s">
        <v>48</v>
      </c>
      <c r="F1725" t="s">
        <v>62</v>
      </c>
      <c r="G1725" t="s">
        <v>42</v>
      </c>
      <c r="H1725" t="s">
        <v>67</v>
      </c>
      <c r="I1725" t="s">
        <v>80</v>
      </c>
      <c r="J1725" t="s">
        <v>60</v>
      </c>
      <c r="K1725">
        <v>14</v>
      </c>
      <c r="L1725">
        <v>130581</v>
      </c>
      <c r="M1725" t="s">
        <v>51</v>
      </c>
      <c r="N1725">
        <v>3</v>
      </c>
      <c r="O1725">
        <v>4</v>
      </c>
      <c r="P1725">
        <v>42</v>
      </c>
      <c r="Q1725">
        <v>0</v>
      </c>
      <c r="R1725" s="1">
        <v>40114</v>
      </c>
      <c r="S1725" t="s">
        <v>29</v>
      </c>
      <c r="T1725" t="str">
        <f t="shared" si="130"/>
        <v>Grade A</v>
      </c>
      <c r="U1725">
        <f t="shared" si="131"/>
        <v>4</v>
      </c>
      <c r="V1725" t="str">
        <f t="shared" si="132"/>
        <v>Senior</v>
      </c>
      <c r="W1725" t="str">
        <f t="shared" si="133"/>
        <v>Low Risk</v>
      </c>
      <c r="X1725" t="str">
        <f t="shared" si="134"/>
        <v>Competitive</v>
      </c>
    </row>
    <row r="1726" spans="1:24" x14ac:dyDescent="0.3">
      <c r="A1726" t="s">
        <v>1794</v>
      </c>
      <c r="B1726" t="s">
        <v>20</v>
      </c>
      <c r="C1726">
        <v>51</v>
      </c>
      <c r="D1726" t="s">
        <v>47</v>
      </c>
      <c r="E1726" t="s">
        <v>40</v>
      </c>
      <c r="F1726" t="s">
        <v>65</v>
      </c>
      <c r="G1726" t="s">
        <v>79</v>
      </c>
      <c r="H1726" t="s">
        <v>25</v>
      </c>
      <c r="I1726" t="s">
        <v>59</v>
      </c>
      <c r="J1726" t="s">
        <v>60</v>
      </c>
      <c r="K1726">
        <v>5</v>
      </c>
      <c r="L1726">
        <v>52894</v>
      </c>
      <c r="M1726" t="s">
        <v>36</v>
      </c>
      <c r="N1726">
        <v>3</v>
      </c>
      <c r="O1726">
        <v>2</v>
      </c>
      <c r="P1726">
        <v>40</v>
      </c>
      <c r="Q1726">
        <v>1</v>
      </c>
      <c r="R1726" s="1">
        <v>43135</v>
      </c>
      <c r="S1726" t="s">
        <v>37</v>
      </c>
      <c r="T1726" t="str">
        <f t="shared" si="130"/>
        <v>Grade B</v>
      </c>
      <c r="U1726">
        <f t="shared" si="131"/>
        <v>1</v>
      </c>
      <c r="V1726" t="str">
        <f t="shared" si="132"/>
        <v>Junior</v>
      </c>
      <c r="W1726" t="str">
        <f t="shared" si="133"/>
        <v>Already Left</v>
      </c>
      <c r="X1726" t="str">
        <f t="shared" si="134"/>
        <v>Fair</v>
      </c>
    </row>
    <row r="1727" spans="1:24" x14ac:dyDescent="0.3">
      <c r="A1727" t="s">
        <v>1795</v>
      </c>
      <c r="B1727" t="s">
        <v>20</v>
      </c>
      <c r="C1727">
        <v>53</v>
      </c>
      <c r="D1727" t="s">
        <v>31</v>
      </c>
      <c r="E1727" t="s">
        <v>40</v>
      </c>
      <c r="F1727" t="s">
        <v>65</v>
      </c>
      <c r="G1727" t="s">
        <v>58</v>
      </c>
      <c r="H1727" t="s">
        <v>25</v>
      </c>
      <c r="I1727" t="s">
        <v>35</v>
      </c>
      <c r="J1727" t="s">
        <v>27</v>
      </c>
      <c r="K1727">
        <v>9</v>
      </c>
      <c r="L1727">
        <v>112073</v>
      </c>
      <c r="M1727" t="s">
        <v>45</v>
      </c>
      <c r="N1727">
        <v>1</v>
      </c>
      <c r="O1727">
        <v>4</v>
      </c>
      <c r="P1727">
        <v>61</v>
      </c>
      <c r="Q1727">
        <v>0</v>
      </c>
      <c r="R1727" s="1">
        <v>41759</v>
      </c>
      <c r="S1727" t="s">
        <v>29</v>
      </c>
      <c r="T1727" t="str">
        <f t="shared" si="130"/>
        <v>Grade A</v>
      </c>
      <c r="U1727">
        <f t="shared" si="131"/>
        <v>2</v>
      </c>
      <c r="V1727" t="str">
        <f t="shared" si="132"/>
        <v>Mid Level</v>
      </c>
      <c r="W1727" t="str">
        <f t="shared" si="133"/>
        <v>Medium Risk</v>
      </c>
      <c r="X1727" t="str">
        <f t="shared" si="134"/>
        <v>Fair</v>
      </c>
    </row>
    <row r="1728" spans="1:24" x14ac:dyDescent="0.3">
      <c r="A1728" t="s">
        <v>1796</v>
      </c>
      <c r="B1728" t="s">
        <v>20</v>
      </c>
      <c r="C1728">
        <v>50</v>
      </c>
      <c r="D1728" t="s">
        <v>21</v>
      </c>
      <c r="E1728" t="s">
        <v>48</v>
      </c>
      <c r="F1728" t="s">
        <v>62</v>
      </c>
      <c r="G1728" t="s">
        <v>24</v>
      </c>
      <c r="H1728" t="s">
        <v>83</v>
      </c>
      <c r="I1728" t="s">
        <v>68</v>
      </c>
      <c r="J1728" t="s">
        <v>60</v>
      </c>
      <c r="K1728">
        <v>7</v>
      </c>
      <c r="L1728">
        <v>86809</v>
      </c>
      <c r="M1728" t="s">
        <v>28</v>
      </c>
      <c r="N1728">
        <v>1</v>
      </c>
      <c r="O1728">
        <v>4</v>
      </c>
      <c r="P1728">
        <v>23</v>
      </c>
      <c r="Q1728">
        <v>2</v>
      </c>
      <c r="R1728" s="1">
        <v>42402</v>
      </c>
      <c r="S1728" t="s">
        <v>29</v>
      </c>
      <c r="T1728" t="str">
        <f t="shared" si="130"/>
        <v>Grade A</v>
      </c>
      <c r="U1728">
        <f t="shared" si="131"/>
        <v>3</v>
      </c>
      <c r="V1728" t="str">
        <f t="shared" si="132"/>
        <v>Mid Level</v>
      </c>
      <c r="W1728" t="str">
        <f t="shared" si="133"/>
        <v>Medium Risk</v>
      </c>
      <c r="X1728" t="str">
        <f t="shared" si="134"/>
        <v>Competitive</v>
      </c>
    </row>
    <row r="1729" spans="1:24" x14ac:dyDescent="0.3">
      <c r="A1729" t="s">
        <v>1797</v>
      </c>
      <c r="B1729" t="s">
        <v>39</v>
      </c>
      <c r="C1729">
        <v>40</v>
      </c>
      <c r="D1729" t="s">
        <v>21</v>
      </c>
      <c r="E1729" t="s">
        <v>40</v>
      </c>
      <c r="F1729" t="s">
        <v>78</v>
      </c>
      <c r="G1729" t="s">
        <v>33</v>
      </c>
      <c r="H1729" t="s">
        <v>83</v>
      </c>
      <c r="I1729" t="s">
        <v>43</v>
      </c>
      <c r="J1729" t="s">
        <v>44</v>
      </c>
      <c r="K1729">
        <v>12</v>
      </c>
      <c r="L1729">
        <v>93328</v>
      </c>
      <c r="M1729" t="s">
        <v>45</v>
      </c>
      <c r="N1729">
        <v>3</v>
      </c>
      <c r="O1729">
        <v>3</v>
      </c>
      <c r="P1729">
        <v>53</v>
      </c>
      <c r="Q1729">
        <v>0</v>
      </c>
      <c r="R1729" s="1">
        <v>40557</v>
      </c>
      <c r="S1729" t="s">
        <v>29</v>
      </c>
      <c r="T1729" t="str">
        <f t="shared" si="130"/>
        <v>Grade A</v>
      </c>
      <c r="U1729">
        <f t="shared" si="131"/>
        <v>2</v>
      </c>
      <c r="V1729" t="str">
        <f t="shared" si="132"/>
        <v>Senior</v>
      </c>
      <c r="W1729" t="str">
        <f t="shared" si="133"/>
        <v>Medium Risk</v>
      </c>
      <c r="X1729" t="str">
        <f t="shared" si="134"/>
        <v>Fair</v>
      </c>
    </row>
    <row r="1730" spans="1:24" x14ac:dyDescent="0.3">
      <c r="A1730" t="s">
        <v>1798</v>
      </c>
      <c r="B1730" t="s">
        <v>39</v>
      </c>
      <c r="C1730">
        <v>34</v>
      </c>
      <c r="D1730" t="s">
        <v>88</v>
      </c>
      <c r="E1730" t="s">
        <v>48</v>
      </c>
      <c r="F1730" t="s">
        <v>32</v>
      </c>
      <c r="G1730" t="s">
        <v>63</v>
      </c>
      <c r="H1730" t="s">
        <v>76</v>
      </c>
      <c r="I1730" t="s">
        <v>35</v>
      </c>
      <c r="J1730" t="s">
        <v>27</v>
      </c>
      <c r="K1730">
        <v>6</v>
      </c>
      <c r="L1730">
        <v>48215</v>
      </c>
      <c r="M1730" t="s">
        <v>45</v>
      </c>
      <c r="N1730">
        <v>1</v>
      </c>
      <c r="O1730">
        <v>1</v>
      </c>
      <c r="P1730">
        <v>19</v>
      </c>
      <c r="Q1730">
        <v>3</v>
      </c>
      <c r="R1730" s="1">
        <v>42866</v>
      </c>
      <c r="S1730" t="s">
        <v>37</v>
      </c>
      <c r="T1730" t="str">
        <f t="shared" ref="T1730:T1793" si="135">IF(L1730&gt;=80000,"Grade A",IF(L1730&gt;=50000,"Grade B",IF(L1730&gt;=35000,"Grade C","Grade D")))</f>
        <v>Grade C</v>
      </c>
      <c r="U1730">
        <f t="shared" ref="U1730:U1793" si="136">IF(M1730="Excellent",4,IF(M1730="Good",3,IF(M1730="Average",2,1)))</f>
        <v>2</v>
      </c>
      <c r="V1730" t="str">
        <f t="shared" ref="V1730:V1793" si="137">IF(K1730&lt;=2,"New Joiner",IF(K1730&lt;=5,"Junior",IF(K1730&lt;=10,"Mid Level","Senior")))</f>
        <v>Mid Level</v>
      </c>
      <c r="W1730" t="str">
        <f t="shared" ref="W1730:W1793" si="138">IF(S1730="Yes","Already Left",IF(AND(K1730&lt;=2,M1730="Poor"),"High Risk",IF(AND(K1730&lt;=5,M1730="Average"),"Medium Risk",IF(M1730="Excellent","Low Risk","Medium Risk"))))</f>
        <v>Already Left</v>
      </c>
      <c r="X1730" t="str">
        <f t="shared" ref="X1730:X1793" si="139">IF(AND(L1730&gt;=80000,M1730="Excellent"),"Competitive",IF(AND(L1730&gt;=50000,M1730="Good"),"Competitive",IF(AND(L1730&lt;35000,M1730="Excellent"),"Underpaid",IF(AND(L1730&gt;=80000,M1730="Poor"),"Overpaid","Fair"))))</f>
        <v>Fair</v>
      </c>
    </row>
    <row r="1731" spans="1:24" x14ac:dyDescent="0.3">
      <c r="A1731" t="s">
        <v>1799</v>
      </c>
      <c r="B1731" t="s">
        <v>20</v>
      </c>
      <c r="C1731">
        <v>24</v>
      </c>
      <c r="D1731" t="s">
        <v>57</v>
      </c>
      <c r="E1731" t="s">
        <v>40</v>
      </c>
      <c r="F1731" t="s">
        <v>23</v>
      </c>
      <c r="G1731" t="s">
        <v>58</v>
      </c>
      <c r="H1731" t="s">
        <v>83</v>
      </c>
      <c r="I1731" t="s">
        <v>72</v>
      </c>
      <c r="J1731" t="s">
        <v>73</v>
      </c>
      <c r="K1731">
        <v>8</v>
      </c>
      <c r="L1731">
        <v>103557</v>
      </c>
      <c r="M1731" t="s">
        <v>51</v>
      </c>
      <c r="N1731">
        <v>4</v>
      </c>
      <c r="O1731">
        <v>2</v>
      </c>
      <c r="P1731">
        <v>77</v>
      </c>
      <c r="Q1731">
        <v>2</v>
      </c>
      <c r="R1731" s="1">
        <v>42079</v>
      </c>
      <c r="S1731" t="s">
        <v>29</v>
      </c>
      <c r="T1731" t="str">
        <f t="shared" si="135"/>
        <v>Grade A</v>
      </c>
      <c r="U1731">
        <f t="shared" si="136"/>
        <v>4</v>
      </c>
      <c r="V1731" t="str">
        <f t="shared" si="137"/>
        <v>Mid Level</v>
      </c>
      <c r="W1731" t="str">
        <f t="shared" si="138"/>
        <v>Low Risk</v>
      </c>
      <c r="X1731" t="str">
        <f t="shared" si="139"/>
        <v>Competitive</v>
      </c>
    </row>
    <row r="1732" spans="1:24" x14ac:dyDescent="0.3">
      <c r="A1732" t="s">
        <v>1800</v>
      </c>
      <c r="B1732" t="s">
        <v>20</v>
      </c>
      <c r="C1732">
        <v>50</v>
      </c>
      <c r="D1732" t="s">
        <v>57</v>
      </c>
      <c r="E1732" t="s">
        <v>40</v>
      </c>
      <c r="F1732" t="s">
        <v>41</v>
      </c>
      <c r="G1732" t="s">
        <v>66</v>
      </c>
      <c r="H1732" t="s">
        <v>76</v>
      </c>
      <c r="I1732" t="s">
        <v>72</v>
      </c>
      <c r="J1732" t="s">
        <v>73</v>
      </c>
      <c r="K1732">
        <v>2</v>
      </c>
      <c r="L1732">
        <v>47949</v>
      </c>
      <c r="M1732" t="s">
        <v>28</v>
      </c>
      <c r="N1732">
        <v>2</v>
      </c>
      <c r="O1732">
        <v>3</v>
      </c>
      <c r="P1732">
        <v>35</v>
      </c>
      <c r="Q1732">
        <v>3</v>
      </c>
      <c r="R1732" s="1">
        <v>44222</v>
      </c>
      <c r="S1732" t="s">
        <v>29</v>
      </c>
      <c r="T1732" t="str">
        <f t="shared" si="135"/>
        <v>Grade C</v>
      </c>
      <c r="U1732">
        <f t="shared" si="136"/>
        <v>3</v>
      </c>
      <c r="V1732" t="str">
        <f t="shared" si="137"/>
        <v>New Joiner</v>
      </c>
      <c r="W1732" t="str">
        <f t="shared" si="138"/>
        <v>Medium Risk</v>
      </c>
      <c r="X1732" t="str">
        <f t="shared" si="139"/>
        <v>Fair</v>
      </c>
    </row>
    <row r="1733" spans="1:24" x14ac:dyDescent="0.3">
      <c r="A1733" t="s">
        <v>1801</v>
      </c>
      <c r="B1733" t="s">
        <v>20</v>
      </c>
      <c r="C1733">
        <v>30</v>
      </c>
      <c r="D1733" t="s">
        <v>47</v>
      </c>
      <c r="E1733" t="s">
        <v>40</v>
      </c>
      <c r="F1733" t="s">
        <v>32</v>
      </c>
      <c r="G1733" t="s">
        <v>63</v>
      </c>
      <c r="H1733" t="s">
        <v>25</v>
      </c>
      <c r="I1733" t="s">
        <v>96</v>
      </c>
      <c r="J1733" t="s">
        <v>44</v>
      </c>
      <c r="K1733">
        <v>12</v>
      </c>
      <c r="L1733">
        <v>60490</v>
      </c>
      <c r="M1733" t="s">
        <v>45</v>
      </c>
      <c r="N1733">
        <v>2</v>
      </c>
      <c r="O1733">
        <v>3</v>
      </c>
      <c r="P1733">
        <v>20</v>
      </c>
      <c r="Q1733">
        <v>1</v>
      </c>
      <c r="R1733" s="1">
        <v>40883</v>
      </c>
      <c r="S1733" t="s">
        <v>29</v>
      </c>
      <c r="T1733" t="str">
        <f t="shared" si="135"/>
        <v>Grade B</v>
      </c>
      <c r="U1733">
        <f t="shared" si="136"/>
        <v>2</v>
      </c>
      <c r="V1733" t="str">
        <f t="shared" si="137"/>
        <v>Senior</v>
      </c>
      <c r="W1733" t="str">
        <f t="shared" si="138"/>
        <v>Medium Risk</v>
      </c>
      <c r="X1733" t="str">
        <f t="shared" si="139"/>
        <v>Fair</v>
      </c>
    </row>
    <row r="1734" spans="1:24" x14ac:dyDescent="0.3">
      <c r="A1734" t="s">
        <v>1802</v>
      </c>
      <c r="B1734" t="s">
        <v>39</v>
      </c>
      <c r="C1734">
        <v>51</v>
      </c>
      <c r="D1734" t="s">
        <v>31</v>
      </c>
      <c r="E1734" t="s">
        <v>22</v>
      </c>
      <c r="F1734" t="s">
        <v>65</v>
      </c>
      <c r="G1734" t="s">
        <v>58</v>
      </c>
      <c r="H1734" t="s">
        <v>83</v>
      </c>
      <c r="I1734" t="s">
        <v>59</v>
      </c>
      <c r="J1734" t="s">
        <v>60</v>
      </c>
      <c r="K1734">
        <v>10</v>
      </c>
      <c r="L1734">
        <v>97438</v>
      </c>
      <c r="M1734" t="s">
        <v>28</v>
      </c>
      <c r="N1734">
        <v>4</v>
      </c>
      <c r="O1734">
        <v>3</v>
      </c>
      <c r="P1734">
        <v>39</v>
      </c>
      <c r="Q1734">
        <v>3</v>
      </c>
      <c r="R1734" s="1">
        <v>41545</v>
      </c>
      <c r="S1734" t="s">
        <v>29</v>
      </c>
      <c r="T1734" t="str">
        <f t="shared" si="135"/>
        <v>Grade A</v>
      </c>
      <c r="U1734">
        <f t="shared" si="136"/>
        <v>3</v>
      </c>
      <c r="V1734" t="str">
        <f t="shared" si="137"/>
        <v>Mid Level</v>
      </c>
      <c r="W1734" t="str">
        <f t="shared" si="138"/>
        <v>Medium Risk</v>
      </c>
      <c r="X1734" t="str">
        <f t="shared" si="139"/>
        <v>Competitive</v>
      </c>
    </row>
    <row r="1735" spans="1:24" x14ac:dyDescent="0.3">
      <c r="A1735" t="s">
        <v>1803</v>
      </c>
      <c r="B1735" t="s">
        <v>39</v>
      </c>
      <c r="C1735">
        <v>34</v>
      </c>
      <c r="D1735" t="s">
        <v>21</v>
      </c>
      <c r="E1735" t="s">
        <v>40</v>
      </c>
      <c r="F1735" t="s">
        <v>32</v>
      </c>
      <c r="G1735" t="s">
        <v>63</v>
      </c>
      <c r="H1735" t="s">
        <v>25</v>
      </c>
      <c r="I1735" t="s">
        <v>43</v>
      </c>
      <c r="J1735" t="s">
        <v>44</v>
      </c>
      <c r="K1735">
        <v>12</v>
      </c>
      <c r="L1735">
        <v>73471</v>
      </c>
      <c r="M1735" t="s">
        <v>36</v>
      </c>
      <c r="N1735">
        <v>1</v>
      </c>
      <c r="O1735">
        <v>4</v>
      </c>
      <c r="P1735">
        <v>39</v>
      </c>
      <c r="Q1735">
        <v>2</v>
      </c>
      <c r="R1735" s="1">
        <v>40775</v>
      </c>
      <c r="S1735" t="s">
        <v>29</v>
      </c>
      <c r="T1735" t="str">
        <f t="shared" si="135"/>
        <v>Grade B</v>
      </c>
      <c r="U1735">
        <f t="shared" si="136"/>
        <v>1</v>
      </c>
      <c r="V1735" t="str">
        <f t="shared" si="137"/>
        <v>Senior</v>
      </c>
      <c r="W1735" t="str">
        <f t="shared" si="138"/>
        <v>Medium Risk</v>
      </c>
      <c r="X1735" t="str">
        <f t="shared" si="139"/>
        <v>Fair</v>
      </c>
    </row>
    <row r="1736" spans="1:24" x14ac:dyDescent="0.3">
      <c r="A1736" t="s">
        <v>1804</v>
      </c>
      <c r="B1736" t="s">
        <v>39</v>
      </c>
      <c r="C1736">
        <v>48</v>
      </c>
      <c r="D1736" t="s">
        <v>47</v>
      </c>
      <c r="E1736" t="s">
        <v>40</v>
      </c>
      <c r="F1736" t="s">
        <v>65</v>
      </c>
      <c r="G1736" t="s">
        <v>58</v>
      </c>
      <c r="H1736" t="s">
        <v>34</v>
      </c>
      <c r="I1736" t="s">
        <v>43</v>
      </c>
      <c r="J1736" t="s">
        <v>44</v>
      </c>
      <c r="K1736">
        <v>7</v>
      </c>
      <c r="L1736">
        <v>105831</v>
      </c>
      <c r="M1736" t="s">
        <v>28</v>
      </c>
      <c r="N1736">
        <v>4</v>
      </c>
      <c r="O1736">
        <v>3</v>
      </c>
      <c r="P1736">
        <v>18</v>
      </c>
      <c r="Q1736">
        <v>1</v>
      </c>
      <c r="R1736" s="1">
        <v>42562</v>
      </c>
      <c r="S1736" t="s">
        <v>29</v>
      </c>
      <c r="T1736" t="str">
        <f t="shared" si="135"/>
        <v>Grade A</v>
      </c>
      <c r="U1736">
        <f t="shared" si="136"/>
        <v>3</v>
      </c>
      <c r="V1736" t="str">
        <f t="shared" si="137"/>
        <v>Mid Level</v>
      </c>
      <c r="W1736" t="str">
        <f t="shared" si="138"/>
        <v>Medium Risk</v>
      </c>
      <c r="X1736" t="str">
        <f t="shared" si="139"/>
        <v>Competitive</v>
      </c>
    </row>
    <row r="1737" spans="1:24" x14ac:dyDescent="0.3">
      <c r="A1737" t="s">
        <v>1805</v>
      </c>
      <c r="B1737" t="s">
        <v>39</v>
      </c>
      <c r="C1737">
        <v>38</v>
      </c>
      <c r="D1737" t="s">
        <v>47</v>
      </c>
      <c r="E1737" t="s">
        <v>48</v>
      </c>
      <c r="F1737" t="s">
        <v>75</v>
      </c>
      <c r="G1737" t="s">
        <v>24</v>
      </c>
      <c r="H1737" t="s">
        <v>76</v>
      </c>
      <c r="I1737" t="s">
        <v>35</v>
      </c>
      <c r="J1737" t="s">
        <v>27</v>
      </c>
      <c r="K1737">
        <v>2</v>
      </c>
      <c r="L1737">
        <v>73208</v>
      </c>
      <c r="M1737" t="s">
        <v>51</v>
      </c>
      <c r="N1737">
        <v>2</v>
      </c>
      <c r="O1737">
        <v>4</v>
      </c>
      <c r="P1737">
        <v>20</v>
      </c>
      <c r="Q1737">
        <v>0</v>
      </c>
      <c r="R1737" s="1">
        <v>44477</v>
      </c>
      <c r="S1737" t="s">
        <v>29</v>
      </c>
      <c r="T1737" t="str">
        <f t="shared" si="135"/>
        <v>Grade B</v>
      </c>
      <c r="U1737">
        <f t="shared" si="136"/>
        <v>4</v>
      </c>
      <c r="V1737" t="str">
        <f t="shared" si="137"/>
        <v>New Joiner</v>
      </c>
      <c r="W1737" t="str">
        <f t="shared" si="138"/>
        <v>Low Risk</v>
      </c>
      <c r="X1737" t="str">
        <f t="shared" si="139"/>
        <v>Fair</v>
      </c>
    </row>
    <row r="1738" spans="1:24" x14ac:dyDescent="0.3">
      <c r="A1738" t="s">
        <v>1806</v>
      </c>
      <c r="B1738" t="s">
        <v>20</v>
      </c>
      <c r="C1738">
        <v>38</v>
      </c>
      <c r="D1738" t="s">
        <v>31</v>
      </c>
      <c r="E1738" t="s">
        <v>48</v>
      </c>
      <c r="F1738" t="s">
        <v>78</v>
      </c>
      <c r="G1738" t="s">
        <v>66</v>
      </c>
      <c r="H1738" t="s">
        <v>34</v>
      </c>
      <c r="I1738" t="s">
        <v>54</v>
      </c>
      <c r="J1738" t="s">
        <v>27</v>
      </c>
      <c r="K1738">
        <v>14</v>
      </c>
      <c r="L1738">
        <v>63031</v>
      </c>
      <c r="M1738" t="s">
        <v>28</v>
      </c>
      <c r="N1738">
        <v>3</v>
      </c>
      <c r="O1738">
        <v>2</v>
      </c>
      <c r="P1738">
        <v>33</v>
      </c>
      <c r="Q1738">
        <v>2</v>
      </c>
      <c r="R1738" s="1">
        <v>40019</v>
      </c>
      <c r="S1738" t="s">
        <v>29</v>
      </c>
      <c r="T1738" t="str">
        <f t="shared" si="135"/>
        <v>Grade B</v>
      </c>
      <c r="U1738">
        <f t="shared" si="136"/>
        <v>3</v>
      </c>
      <c r="V1738" t="str">
        <f t="shared" si="137"/>
        <v>Senior</v>
      </c>
      <c r="W1738" t="str">
        <f t="shared" si="138"/>
        <v>Medium Risk</v>
      </c>
      <c r="X1738" t="str">
        <f t="shared" si="139"/>
        <v>Competitive</v>
      </c>
    </row>
    <row r="1739" spans="1:24" x14ac:dyDescent="0.3">
      <c r="A1739" t="s">
        <v>1807</v>
      </c>
      <c r="B1739" t="s">
        <v>39</v>
      </c>
      <c r="C1739">
        <v>46</v>
      </c>
      <c r="D1739" t="s">
        <v>57</v>
      </c>
      <c r="E1739" t="s">
        <v>22</v>
      </c>
      <c r="F1739" t="s">
        <v>62</v>
      </c>
      <c r="G1739" t="s">
        <v>79</v>
      </c>
      <c r="H1739" t="s">
        <v>25</v>
      </c>
      <c r="I1739" t="s">
        <v>72</v>
      </c>
      <c r="J1739" t="s">
        <v>73</v>
      </c>
      <c r="K1739">
        <v>2</v>
      </c>
      <c r="L1739">
        <v>51443</v>
      </c>
      <c r="M1739" t="s">
        <v>51</v>
      </c>
      <c r="N1739">
        <v>1</v>
      </c>
      <c r="O1739">
        <v>3</v>
      </c>
      <c r="P1739">
        <v>28</v>
      </c>
      <c r="Q1739">
        <v>0</v>
      </c>
      <c r="R1739" s="1">
        <v>44519</v>
      </c>
      <c r="S1739" t="s">
        <v>29</v>
      </c>
      <c r="T1739" t="str">
        <f t="shared" si="135"/>
        <v>Grade B</v>
      </c>
      <c r="U1739">
        <f t="shared" si="136"/>
        <v>4</v>
      </c>
      <c r="V1739" t="str">
        <f t="shared" si="137"/>
        <v>New Joiner</v>
      </c>
      <c r="W1739" t="str">
        <f t="shared" si="138"/>
        <v>Low Risk</v>
      </c>
      <c r="X1739" t="str">
        <f t="shared" si="139"/>
        <v>Fair</v>
      </c>
    </row>
    <row r="1740" spans="1:24" x14ac:dyDescent="0.3">
      <c r="A1740" t="s">
        <v>1808</v>
      </c>
      <c r="B1740" t="s">
        <v>20</v>
      </c>
      <c r="C1740">
        <v>53</v>
      </c>
      <c r="D1740" t="s">
        <v>21</v>
      </c>
      <c r="E1740" t="s">
        <v>48</v>
      </c>
      <c r="F1740" t="s">
        <v>41</v>
      </c>
      <c r="G1740" t="s">
        <v>63</v>
      </c>
      <c r="H1740" t="s">
        <v>34</v>
      </c>
      <c r="I1740" t="s">
        <v>59</v>
      </c>
      <c r="J1740" t="s">
        <v>60</v>
      </c>
      <c r="K1740">
        <v>8</v>
      </c>
      <c r="L1740">
        <v>67809</v>
      </c>
      <c r="M1740" t="s">
        <v>28</v>
      </c>
      <c r="N1740">
        <v>4</v>
      </c>
      <c r="O1740">
        <v>2</v>
      </c>
      <c r="P1740">
        <v>31</v>
      </c>
      <c r="Q1740">
        <v>0</v>
      </c>
      <c r="R1740" s="1">
        <v>42321</v>
      </c>
      <c r="S1740" t="s">
        <v>29</v>
      </c>
      <c r="T1740" t="str">
        <f t="shared" si="135"/>
        <v>Grade B</v>
      </c>
      <c r="U1740">
        <f t="shared" si="136"/>
        <v>3</v>
      </c>
      <c r="V1740" t="str">
        <f t="shared" si="137"/>
        <v>Mid Level</v>
      </c>
      <c r="W1740" t="str">
        <f t="shared" si="138"/>
        <v>Medium Risk</v>
      </c>
      <c r="X1740" t="str">
        <f t="shared" si="139"/>
        <v>Competitive</v>
      </c>
    </row>
    <row r="1741" spans="1:24" x14ac:dyDescent="0.3">
      <c r="A1741" t="s">
        <v>1809</v>
      </c>
      <c r="B1741" t="s">
        <v>39</v>
      </c>
      <c r="C1741">
        <v>29</v>
      </c>
      <c r="D1741" t="s">
        <v>47</v>
      </c>
      <c r="E1741" t="s">
        <v>48</v>
      </c>
      <c r="F1741" t="s">
        <v>62</v>
      </c>
      <c r="G1741" t="s">
        <v>49</v>
      </c>
      <c r="H1741" t="s">
        <v>34</v>
      </c>
      <c r="I1741" t="s">
        <v>26</v>
      </c>
      <c r="J1741" t="s">
        <v>27</v>
      </c>
      <c r="K1741">
        <v>4</v>
      </c>
      <c r="L1741">
        <v>58605</v>
      </c>
      <c r="M1741" t="s">
        <v>28</v>
      </c>
      <c r="N1741">
        <v>2</v>
      </c>
      <c r="O1741">
        <v>2</v>
      </c>
      <c r="P1741">
        <v>59</v>
      </c>
      <c r="Q1741">
        <v>0</v>
      </c>
      <c r="R1741" s="1">
        <v>43802</v>
      </c>
      <c r="S1741" t="s">
        <v>29</v>
      </c>
      <c r="T1741" t="str">
        <f t="shared" si="135"/>
        <v>Grade B</v>
      </c>
      <c r="U1741">
        <f t="shared" si="136"/>
        <v>3</v>
      </c>
      <c r="V1741" t="str">
        <f t="shared" si="137"/>
        <v>Junior</v>
      </c>
      <c r="W1741" t="str">
        <f t="shared" si="138"/>
        <v>Medium Risk</v>
      </c>
      <c r="X1741" t="str">
        <f t="shared" si="139"/>
        <v>Competitive</v>
      </c>
    </row>
    <row r="1742" spans="1:24" x14ac:dyDescent="0.3">
      <c r="A1742" t="s">
        <v>1810</v>
      </c>
      <c r="B1742" t="s">
        <v>39</v>
      </c>
      <c r="C1742">
        <v>48</v>
      </c>
      <c r="D1742" t="s">
        <v>57</v>
      </c>
      <c r="E1742" t="s">
        <v>48</v>
      </c>
      <c r="F1742" t="s">
        <v>23</v>
      </c>
      <c r="G1742" t="s">
        <v>63</v>
      </c>
      <c r="H1742" t="s">
        <v>34</v>
      </c>
      <c r="I1742" t="s">
        <v>59</v>
      </c>
      <c r="J1742" t="s">
        <v>60</v>
      </c>
      <c r="K1742">
        <v>15</v>
      </c>
      <c r="L1742">
        <v>74538</v>
      </c>
      <c r="M1742" t="s">
        <v>36</v>
      </c>
      <c r="N1742">
        <v>1</v>
      </c>
      <c r="O1742">
        <v>2</v>
      </c>
      <c r="P1742">
        <v>69</v>
      </c>
      <c r="Q1742">
        <v>3</v>
      </c>
      <c r="R1742" s="1">
        <v>39794</v>
      </c>
      <c r="S1742" t="s">
        <v>37</v>
      </c>
      <c r="T1742" t="str">
        <f t="shared" si="135"/>
        <v>Grade B</v>
      </c>
      <c r="U1742">
        <f t="shared" si="136"/>
        <v>1</v>
      </c>
      <c r="V1742" t="str">
        <f t="shared" si="137"/>
        <v>Senior</v>
      </c>
      <c r="W1742" t="str">
        <f t="shared" si="138"/>
        <v>Already Left</v>
      </c>
      <c r="X1742" t="str">
        <f t="shared" si="139"/>
        <v>Fair</v>
      </c>
    </row>
    <row r="1743" spans="1:24" x14ac:dyDescent="0.3">
      <c r="A1743" t="s">
        <v>1811</v>
      </c>
      <c r="B1743" t="s">
        <v>20</v>
      </c>
      <c r="C1743">
        <v>31</v>
      </c>
      <c r="D1743" t="s">
        <v>21</v>
      </c>
      <c r="E1743" t="s">
        <v>48</v>
      </c>
      <c r="F1743" t="s">
        <v>65</v>
      </c>
      <c r="G1743" t="s">
        <v>33</v>
      </c>
      <c r="H1743" t="s">
        <v>83</v>
      </c>
      <c r="I1743" t="s">
        <v>68</v>
      </c>
      <c r="J1743" t="s">
        <v>60</v>
      </c>
      <c r="K1743">
        <v>7</v>
      </c>
      <c r="L1743">
        <v>66152</v>
      </c>
      <c r="M1743" t="s">
        <v>36</v>
      </c>
      <c r="N1743">
        <v>4</v>
      </c>
      <c r="O1743">
        <v>1</v>
      </c>
      <c r="P1743">
        <v>48</v>
      </c>
      <c r="Q1743">
        <v>0</v>
      </c>
      <c r="R1743" s="1">
        <v>42689</v>
      </c>
      <c r="S1743" t="s">
        <v>37</v>
      </c>
      <c r="T1743" t="str">
        <f t="shared" si="135"/>
        <v>Grade B</v>
      </c>
      <c r="U1743">
        <f t="shared" si="136"/>
        <v>1</v>
      </c>
      <c r="V1743" t="str">
        <f t="shared" si="137"/>
        <v>Mid Level</v>
      </c>
      <c r="W1743" t="str">
        <f t="shared" si="138"/>
        <v>Already Left</v>
      </c>
      <c r="X1743" t="str">
        <f t="shared" si="139"/>
        <v>Fair</v>
      </c>
    </row>
    <row r="1744" spans="1:24" x14ac:dyDescent="0.3">
      <c r="A1744" t="s">
        <v>1812</v>
      </c>
      <c r="B1744" t="s">
        <v>20</v>
      </c>
      <c r="C1744">
        <v>47</v>
      </c>
      <c r="D1744" t="s">
        <v>31</v>
      </c>
      <c r="E1744" t="s">
        <v>40</v>
      </c>
      <c r="F1744" t="s">
        <v>75</v>
      </c>
      <c r="G1744" t="s">
        <v>49</v>
      </c>
      <c r="H1744" t="s">
        <v>34</v>
      </c>
      <c r="I1744" t="s">
        <v>35</v>
      </c>
      <c r="J1744" t="s">
        <v>27</v>
      </c>
      <c r="K1744">
        <v>1</v>
      </c>
      <c r="L1744">
        <v>47303</v>
      </c>
      <c r="M1744" t="s">
        <v>28</v>
      </c>
      <c r="N1744">
        <v>4</v>
      </c>
      <c r="O1744">
        <v>4</v>
      </c>
      <c r="P1744">
        <v>48</v>
      </c>
      <c r="Q1744">
        <v>0</v>
      </c>
      <c r="R1744" s="1">
        <v>44775</v>
      </c>
      <c r="S1744" t="s">
        <v>29</v>
      </c>
      <c r="T1744" t="str">
        <f t="shared" si="135"/>
        <v>Grade C</v>
      </c>
      <c r="U1744">
        <f t="shared" si="136"/>
        <v>3</v>
      </c>
      <c r="V1744" t="str">
        <f t="shared" si="137"/>
        <v>New Joiner</v>
      </c>
      <c r="W1744" t="str">
        <f t="shared" si="138"/>
        <v>Medium Risk</v>
      </c>
      <c r="X1744" t="str">
        <f t="shared" si="139"/>
        <v>Fair</v>
      </c>
    </row>
    <row r="1745" spans="1:24" x14ac:dyDescent="0.3">
      <c r="A1745" t="s">
        <v>1813</v>
      </c>
      <c r="B1745" t="s">
        <v>20</v>
      </c>
      <c r="C1745">
        <v>24</v>
      </c>
      <c r="D1745" t="s">
        <v>88</v>
      </c>
      <c r="E1745" t="s">
        <v>40</v>
      </c>
      <c r="F1745" t="s">
        <v>41</v>
      </c>
      <c r="G1745" t="s">
        <v>49</v>
      </c>
      <c r="H1745" t="s">
        <v>76</v>
      </c>
      <c r="I1745" t="s">
        <v>54</v>
      </c>
      <c r="J1745" t="s">
        <v>27</v>
      </c>
      <c r="K1745">
        <v>6</v>
      </c>
      <c r="L1745">
        <v>71963</v>
      </c>
      <c r="M1745" t="s">
        <v>51</v>
      </c>
      <c r="N1745">
        <v>4</v>
      </c>
      <c r="O1745">
        <v>1</v>
      </c>
      <c r="P1745">
        <v>39</v>
      </c>
      <c r="Q1745">
        <v>2</v>
      </c>
      <c r="R1745" s="1">
        <v>42904</v>
      </c>
      <c r="S1745" t="s">
        <v>37</v>
      </c>
      <c r="T1745" t="str">
        <f t="shared" si="135"/>
        <v>Grade B</v>
      </c>
      <c r="U1745">
        <f t="shared" si="136"/>
        <v>4</v>
      </c>
      <c r="V1745" t="str">
        <f t="shared" si="137"/>
        <v>Mid Level</v>
      </c>
      <c r="W1745" t="str">
        <f t="shared" si="138"/>
        <v>Already Left</v>
      </c>
      <c r="X1745" t="str">
        <f t="shared" si="139"/>
        <v>Fair</v>
      </c>
    </row>
    <row r="1746" spans="1:24" x14ac:dyDescent="0.3">
      <c r="A1746" t="s">
        <v>1814</v>
      </c>
      <c r="B1746" t="s">
        <v>39</v>
      </c>
      <c r="C1746">
        <v>34</v>
      </c>
      <c r="D1746" t="s">
        <v>57</v>
      </c>
      <c r="E1746" t="s">
        <v>40</v>
      </c>
      <c r="F1746" t="s">
        <v>65</v>
      </c>
      <c r="G1746" t="s">
        <v>58</v>
      </c>
      <c r="H1746" t="s">
        <v>83</v>
      </c>
      <c r="I1746" t="s">
        <v>68</v>
      </c>
      <c r="J1746" t="s">
        <v>60</v>
      </c>
      <c r="K1746">
        <v>11</v>
      </c>
      <c r="L1746">
        <v>101043</v>
      </c>
      <c r="M1746" t="s">
        <v>36</v>
      </c>
      <c r="N1746">
        <v>2</v>
      </c>
      <c r="O1746">
        <v>4</v>
      </c>
      <c r="P1746">
        <v>69</v>
      </c>
      <c r="Q1746">
        <v>0</v>
      </c>
      <c r="R1746" s="1">
        <v>41086</v>
      </c>
      <c r="S1746" t="s">
        <v>37</v>
      </c>
      <c r="T1746" t="str">
        <f t="shared" si="135"/>
        <v>Grade A</v>
      </c>
      <c r="U1746">
        <f t="shared" si="136"/>
        <v>1</v>
      </c>
      <c r="V1746" t="str">
        <f t="shared" si="137"/>
        <v>Senior</v>
      </c>
      <c r="W1746" t="str">
        <f t="shared" si="138"/>
        <v>Already Left</v>
      </c>
      <c r="X1746" t="str">
        <f t="shared" si="139"/>
        <v>Overpaid</v>
      </c>
    </row>
    <row r="1747" spans="1:24" x14ac:dyDescent="0.3">
      <c r="A1747" t="s">
        <v>1815</v>
      </c>
      <c r="B1747" t="s">
        <v>20</v>
      </c>
      <c r="C1747">
        <v>30</v>
      </c>
      <c r="D1747" t="s">
        <v>31</v>
      </c>
      <c r="E1747" t="s">
        <v>22</v>
      </c>
      <c r="F1747" t="s">
        <v>62</v>
      </c>
      <c r="G1747" t="s">
        <v>49</v>
      </c>
      <c r="H1747" t="s">
        <v>67</v>
      </c>
      <c r="I1747" t="s">
        <v>96</v>
      </c>
      <c r="J1747" t="s">
        <v>44</v>
      </c>
      <c r="K1747">
        <v>6</v>
      </c>
      <c r="L1747">
        <v>54194</v>
      </c>
      <c r="M1747" t="s">
        <v>51</v>
      </c>
      <c r="N1747">
        <v>4</v>
      </c>
      <c r="O1747">
        <v>1</v>
      </c>
      <c r="P1747">
        <v>27</v>
      </c>
      <c r="Q1747">
        <v>1</v>
      </c>
      <c r="R1747" s="1">
        <v>42975</v>
      </c>
      <c r="S1747" t="s">
        <v>29</v>
      </c>
      <c r="T1747" t="str">
        <f t="shared" si="135"/>
        <v>Grade B</v>
      </c>
      <c r="U1747">
        <f t="shared" si="136"/>
        <v>4</v>
      </c>
      <c r="V1747" t="str">
        <f t="shared" si="137"/>
        <v>Mid Level</v>
      </c>
      <c r="W1747" t="str">
        <f t="shared" si="138"/>
        <v>Low Risk</v>
      </c>
      <c r="X1747" t="str">
        <f t="shared" si="139"/>
        <v>Fair</v>
      </c>
    </row>
    <row r="1748" spans="1:24" x14ac:dyDescent="0.3">
      <c r="A1748" t="s">
        <v>1816</v>
      </c>
      <c r="B1748" t="s">
        <v>39</v>
      </c>
      <c r="C1748">
        <v>31</v>
      </c>
      <c r="D1748" t="s">
        <v>88</v>
      </c>
      <c r="E1748" t="s">
        <v>22</v>
      </c>
      <c r="F1748" t="s">
        <v>75</v>
      </c>
      <c r="G1748" t="s">
        <v>33</v>
      </c>
      <c r="H1748" t="s">
        <v>34</v>
      </c>
      <c r="I1748" t="s">
        <v>26</v>
      </c>
      <c r="J1748" t="s">
        <v>27</v>
      </c>
      <c r="K1748">
        <v>9</v>
      </c>
      <c r="L1748">
        <v>80020</v>
      </c>
      <c r="M1748" t="s">
        <v>51</v>
      </c>
      <c r="N1748">
        <v>2</v>
      </c>
      <c r="O1748">
        <v>3</v>
      </c>
      <c r="P1748">
        <v>79</v>
      </c>
      <c r="Q1748">
        <v>1</v>
      </c>
      <c r="R1748" s="1">
        <v>41744</v>
      </c>
      <c r="S1748" t="s">
        <v>29</v>
      </c>
      <c r="T1748" t="str">
        <f t="shared" si="135"/>
        <v>Grade A</v>
      </c>
      <c r="U1748">
        <f t="shared" si="136"/>
        <v>4</v>
      </c>
      <c r="V1748" t="str">
        <f t="shared" si="137"/>
        <v>Mid Level</v>
      </c>
      <c r="W1748" t="str">
        <f t="shared" si="138"/>
        <v>Low Risk</v>
      </c>
      <c r="X1748" t="str">
        <f t="shared" si="139"/>
        <v>Competitive</v>
      </c>
    </row>
    <row r="1749" spans="1:24" x14ac:dyDescent="0.3">
      <c r="A1749" t="s">
        <v>1817</v>
      </c>
      <c r="B1749" t="s">
        <v>20</v>
      </c>
      <c r="C1749">
        <v>27</v>
      </c>
      <c r="D1749" t="s">
        <v>57</v>
      </c>
      <c r="E1749" t="s">
        <v>48</v>
      </c>
      <c r="F1749" t="s">
        <v>62</v>
      </c>
      <c r="G1749" t="s">
        <v>63</v>
      </c>
      <c r="H1749" t="s">
        <v>67</v>
      </c>
      <c r="I1749" t="s">
        <v>35</v>
      </c>
      <c r="J1749" t="s">
        <v>27</v>
      </c>
      <c r="K1749">
        <v>1</v>
      </c>
      <c r="L1749">
        <v>48864</v>
      </c>
      <c r="M1749" t="s">
        <v>51</v>
      </c>
      <c r="N1749">
        <v>3</v>
      </c>
      <c r="O1749">
        <v>3</v>
      </c>
      <c r="P1749">
        <v>58</v>
      </c>
      <c r="Q1749">
        <v>1</v>
      </c>
      <c r="R1749" s="1">
        <v>44805</v>
      </c>
      <c r="S1749" t="s">
        <v>29</v>
      </c>
      <c r="T1749" t="str">
        <f t="shared" si="135"/>
        <v>Grade C</v>
      </c>
      <c r="U1749">
        <f t="shared" si="136"/>
        <v>4</v>
      </c>
      <c r="V1749" t="str">
        <f t="shared" si="137"/>
        <v>New Joiner</v>
      </c>
      <c r="W1749" t="str">
        <f t="shared" si="138"/>
        <v>Low Risk</v>
      </c>
      <c r="X1749" t="str">
        <f t="shared" si="139"/>
        <v>Fair</v>
      </c>
    </row>
    <row r="1750" spans="1:24" x14ac:dyDescent="0.3">
      <c r="A1750" t="s">
        <v>1818</v>
      </c>
      <c r="B1750" t="s">
        <v>39</v>
      </c>
      <c r="C1750">
        <v>37</v>
      </c>
      <c r="D1750" t="s">
        <v>47</v>
      </c>
      <c r="E1750" t="s">
        <v>22</v>
      </c>
      <c r="F1750" t="s">
        <v>41</v>
      </c>
      <c r="G1750" t="s">
        <v>79</v>
      </c>
      <c r="H1750" t="s">
        <v>83</v>
      </c>
      <c r="I1750" t="s">
        <v>72</v>
      </c>
      <c r="J1750" t="s">
        <v>73</v>
      </c>
      <c r="K1750">
        <v>12</v>
      </c>
      <c r="L1750">
        <v>63969</v>
      </c>
      <c r="M1750" t="s">
        <v>28</v>
      </c>
      <c r="N1750">
        <v>3</v>
      </c>
      <c r="O1750">
        <v>3</v>
      </c>
      <c r="P1750">
        <v>75</v>
      </c>
      <c r="Q1750">
        <v>3</v>
      </c>
      <c r="R1750" s="1">
        <v>40867</v>
      </c>
      <c r="S1750" t="s">
        <v>37</v>
      </c>
      <c r="T1750" t="str">
        <f t="shared" si="135"/>
        <v>Grade B</v>
      </c>
      <c r="U1750">
        <f t="shared" si="136"/>
        <v>3</v>
      </c>
      <c r="V1750" t="str">
        <f t="shared" si="137"/>
        <v>Senior</v>
      </c>
      <c r="W1750" t="str">
        <f t="shared" si="138"/>
        <v>Already Left</v>
      </c>
      <c r="X1750" t="str">
        <f t="shared" si="139"/>
        <v>Competitive</v>
      </c>
    </row>
    <row r="1751" spans="1:24" x14ac:dyDescent="0.3">
      <c r="A1751" t="s">
        <v>1819</v>
      </c>
      <c r="B1751" t="s">
        <v>39</v>
      </c>
      <c r="C1751">
        <v>53</v>
      </c>
      <c r="D1751" t="s">
        <v>21</v>
      </c>
      <c r="E1751" t="s">
        <v>22</v>
      </c>
      <c r="F1751" t="s">
        <v>23</v>
      </c>
      <c r="G1751" t="s">
        <v>33</v>
      </c>
      <c r="H1751" t="s">
        <v>67</v>
      </c>
      <c r="I1751" t="s">
        <v>54</v>
      </c>
      <c r="J1751" t="s">
        <v>27</v>
      </c>
      <c r="K1751">
        <v>13</v>
      </c>
      <c r="L1751">
        <v>79275</v>
      </c>
      <c r="M1751" t="s">
        <v>45</v>
      </c>
      <c r="N1751">
        <v>1</v>
      </c>
      <c r="O1751">
        <v>3</v>
      </c>
      <c r="P1751">
        <v>62</v>
      </c>
      <c r="Q1751">
        <v>3</v>
      </c>
      <c r="R1751" s="1">
        <v>40295</v>
      </c>
      <c r="S1751" t="s">
        <v>29</v>
      </c>
      <c r="T1751" t="str">
        <f t="shared" si="135"/>
        <v>Grade B</v>
      </c>
      <c r="U1751">
        <f t="shared" si="136"/>
        <v>2</v>
      </c>
      <c r="V1751" t="str">
        <f t="shared" si="137"/>
        <v>Senior</v>
      </c>
      <c r="W1751" t="str">
        <f t="shared" si="138"/>
        <v>Medium Risk</v>
      </c>
      <c r="X1751" t="str">
        <f t="shared" si="139"/>
        <v>Fair</v>
      </c>
    </row>
    <row r="1752" spans="1:24" x14ac:dyDescent="0.3">
      <c r="A1752" t="s">
        <v>1820</v>
      </c>
      <c r="B1752" t="s">
        <v>20</v>
      </c>
      <c r="C1752">
        <v>38</v>
      </c>
      <c r="D1752" t="s">
        <v>88</v>
      </c>
      <c r="E1752" t="s">
        <v>22</v>
      </c>
      <c r="F1752" t="s">
        <v>62</v>
      </c>
      <c r="G1752" t="s">
        <v>63</v>
      </c>
      <c r="H1752" t="s">
        <v>83</v>
      </c>
      <c r="I1752" t="s">
        <v>50</v>
      </c>
      <c r="J1752" t="s">
        <v>44</v>
      </c>
      <c r="K1752">
        <v>5</v>
      </c>
      <c r="L1752">
        <v>45157</v>
      </c>
      <c r="M1752" t="s">
        <v>28</v>
      </c>
      <c r="N1752">
        <v>3</v>
      </c>
      <c r="O1752">
        <v>2</v>
      </c>
      <c r="P1752">
        <v>40</v>
      </c>
      <c r="Q1752">
        <v>3</v>
      </c>
      <c r="R1752" s="1">
        <v>43420</v>
      </c>
      <c r="S1752" t="s">
        <v>29</v>
      </c>
      <c r="T1752" t="str">
        <f t="shared" si="135"/>
        <v>Grade C</v>
      </c>
      <c r="U1752">
        <f t="shared" si="136"/>
        <v>3</v>
      </c>
      <c r="V1752" t="str">
        <f t="shared" si="137"/>
        <v>Junior</v>
      </c>
      <c r="W1752" t="str">
        <f t="shared" si="138"/>
        <v>Medium Risk</v>
      </c>
      <c r="X1752" t="str">
        <f t="shared" si="139"/>
        <v>Fair</v>
      </c>
    </row>
    <row r="1753" spans="1:24" x14ac:dyDescent="0.3">
      <c r="A1753" t="s">
        <v>1821</v>
      </c>
      <c r="B1753" t="s">
        <v>39</v>
      </c>
      <c r="C1753">
        <v>22</v>
      </c>
      <c r="D1753" t="s">
        <v>57</v>
      </c>
      <c r="E1753" t="s">
        <v>48</v>
      </c>
      <c r="F1753" t="s">
        <v>62</v>
      </c>
      <c r="G1753" t="s">
        <v>63</v>
      </c>
      <c r="H1753" t="s">
        <v>83</v>
      </c>
      <c r="I1753" t="s">
        <v>43</v>
      </c>
      <c r="J1753" t="s">
        <v>44</v>
      </c>
      <c r="K1753">
        <v>13</v>
      </c>
      <c r="L1753">
        <v>75991</v>
      </c>
      <c r="M1753" t="s">
        <v>36</v>
      </c>
      <c r="N1753">
        <v>2</v>
      </c>
      <c r="O1753">
        <v>3</v>
      </c>
      <c r="P1753">
        <v>51</v>
      </c>
      <c r="Q1753">
        <v>3</v>
      </c>
      <c r="R1753" s="1">
        <v>40324</v>
      </c>
      <c r="S1753" t="s">
        <v>29</v>
      </c>
      <c r="T1753" t="str">
        <f t="shared" si="135"/>
        <v>Grade B</v>
      </c>
      <c r="U1753">
        <f t="shared" si="136"/>
        <v>1</v>
      </c>
      <c r="V1753" t="str">
        <f t="shared" si="137"/>
        <v>Senior</v>
      </c>
      <c r="W1753" t="str">
        <f t="shared" si="138"/>
        <v>Medium Risk</v>
      </c>
      <c r="X1753" t="str">
        <f t="shared" si="139"/>
        <v>Fair</v>
      </c>
    </row>
    <row r="1754" spans="1:24" x14ac:dyDescent="0.3">
      <c r="A1754" t="s">
        <v>1822</v>
      </c>
      <c r="B1754" t="s">
        <v>20</v>
      </c>
      <c r="C1754">
        <v>50</v>
      </c>
      <c r="D1754" t="s">
        <v>31</v>
      </c>
      <c r="E1754" t="s">
        <v>48</v>
      </c>
      <c r="F1754" t="s">
        <v>41</v>
      </c>
      <c r="G1754" t="s">
        <v>49</v>
      </c>
      <c r="H1754" t="s">
        <v>76</v>
      </c>
      <c r="I1754" t="s">
        <v>59</v>
      </c>
      <c r="J1754" t="s">
        <v>60</v>
      </c>
      <c r="K1754">
        <v>1</v>
      </c>
      <c r="L1754">
        <v>49398</v>
      </c>
      <c r="M1754" t="s">
        <v>28</v>
      </c>
      <c r="N1754">
        <v>3</v>
      </c>
      <c r="O1754">
        <v>3</v>
      </c>
      <c r="P1754">
        <v>24</v>
      </c>
      <c r="Q1754">
        <v>0</v>
      </c>
      <c r="R1754" s="1">
        <v>44792</v>
      </c>
      <c r="S1754" t="s">
        <v>29</v>
      </c>
      <c r="T1754" t="str">
        <f t="shared" si="135"/>
        <v>Grade C</v>
      </c>
      <c r="U1754">
        <f t="shared" si="136"/>
        <v>3</v>
      </c>
      <c r="V1754" t="str">
        <f t="shared" si="137"/>
        <v>New Joiner</v>
      </c>
      <c r="W1754" t="str">
        <f t="shared" si="138"/>
        <v>Medium Risk</v>
      </c>
      <c r="X1754" t="str">
        <f t="shared" si="139"/>
        <v>Fair</v>
      </c>
    </row>
    <row r="1755" spans="1:24" x14ac:dyDescent="0.3">
      <c r="A1755" t="s">
        <v>1823</v>
      </c>
      <c r="B1755" t="s">
        <v>39</v>
      </c>
      <c r="C1755">
        <v>44</v>
      </c>
      <c r="D1755" t="s">
        <v>57</v>
      </c>
      <c r="E1755" t="s">
        <v>22</v>
      </c>
      <c r="F1755" t="s">
        <v>62</v>
      </c>
      <c r="G1755" t="s">
        <v>42</v>
      </c>
      <c r="H1755" t="s">
        <v>34</v>
      </c>
      <c r="I1755" t="s">
        <v>80</v>
      </c>
      <c r="J1755" t="s">
        <v>60</v>
      </c>
      <c r="K1755">
        <v>10</v>
      </c>
      <c r="L1755">
        <v>119378</v>
      </c>
      <c r="M1755" t="s">
        <v>51</v>
      </c>
      <c r="N1755">
        <v>3</v>
      </c>
      <c r="O1755">
        <v>3</v>
      </c>
      <c r="P1755">
        <v>30</v>
      </c>
      <c r="Q1755">
        <v>3</v>
      </c>
      <c r="R1755" s="1">
        <v>41583</v>
      </c>
      <c r="S1755" t="s">
        <v>29</v>
      </c>
      <c r="T1755" t="str">
        <f t="shared" si="135"/>
        <v>Grade A</v>
      </c>
      <c r="U1755">
        <f t="shared" si="136"/>
        <v>4</v>
      </c>
      <c r="V1755" t="str">
        <f t="shared" si="137"/>
        <v>Mid Level</v>
      </c>
      <c r="W1755" t="str">
        <f t="shared" si="138"/>
        <v>Low Risk</v>
      </c>
      <c r="X1755" t="str">
        <f t="shared" si="139"/>
        <v>Competitive</v>
      </c>
    </row>
    <row r="1756" spans="1:24" x14ac:dyDescent="0.3">
      <c r="A1756" t="s">
        <v>1824</v>
      </c>
      <c r="B1756" t="s">
        <v>39</v>
      </c>
      <c r="C1756">
        <v>28</v>
      </c>
      <c r="D1756" t="s">
        <v>21</v>
      </c>
      <c r="E1756" t="s">
        <v>48</v>
      </c>
      <c r="F1756" t="s">
        <v>78</v>
      </c>
      <c r="G1756" t="s">
        <v>42</v>
      </c>
      <c r="H1756" t="s">
        <v>34</v>
      </c>
      <c r="I1756" t="s">
        <v>50</v>
      </c>
      <c r="J1756" t="s">
        <v>44</v>
      </c>
      <c r="K1756">
        <v>14</v>
      </c>
      <c r="L1756">
        <v>128640</v>
      </c>
      <c r="M1756" t="s">
        <v>45</v>
      </c>
      <c r="N1756">
        <v>4</v>
      </c>
      <c r="O1756">
        <v>4</v>
      </c>
      <c r="P1756">
        <v>49</v>
      </c>
      <c r="Q1756">
        <v>3</v>
      </c>
      <c r="R1756" s="1">
        <v>40122</v>
      </c>
      <c r="S1756" t="s">
        <v>29</v>
      </c>
      <c r="T1756" t="str">
        <f t="shared" si="135"/>
        <v>Grade A</v>
      </c>
      <c r="U1756">
        <f t="shared" si="136"/>
        <v>2</v>
      </c>
      <c r="V1756" t="str">
        <f t="shared" si="137"/>
        <v>Senior</v>
      </c>
      <c r="W1756" t="str">
        <f t="shared" si="138"/>
        <v>Medium Risk</v>
      </c>
      <c r="X1756" t="str">
        <f t="shared" si="139"/>
        <v>Fair</v>
      </c>
    </row>
    <row r="1757" spans="1:24" x14ac:dyDescent="0.3">
      <c r="A1757" t="s">
        <v>1825</v>
      </c>
      <c r="B1757" t="s">
        <v>39</v>
      </c>
      <c r="C1757">
        <v>32</v>
      </c>
      <c r="D1757" t="s">
        <v>57</v>
      </c>
      <c r="E1757" t="s">
        <v>40</v>
      </c>
      <c r="F1757" t="s">
        <v>62</v>
      </c>
      <c r="G1757" t="s">
        <v>33</v>
      </c>
      <c r="H1757" t="s">
        <v>25</v>
      </c>
      <c r="I1757" t="s">
        <v>72</v>
      </c>
      <c r="J1757" t="s">
        <v>73</v>
      </c>
      <c r="K1757">
        <v>6</v>
      </c>
      <c r="L1757">
        <v>66910</v>
      </c>
      <c r="M1757" t="s">
        <v>36</v>
      </c>
      <c r="N1757">
        <v>2</v>
      </c>
      <c r="O1757">
        <v>3</v>
      </c>
      <c r="P1757">
        <v>74</v>
      </c>
      <c r="Q1757">
        <v>2</v>
      </c>
      <c r="R1757" s="1">
        <v>42869</v>
      </c>
      <c r="S1757" t="s">
        <v>29</v>
      </c>
      <c r="T1757" t="str">
        <f t="shared" si="135"/>
        <v>Grade B</v>
      </c>
      <c r="U1757">
        <f t="shared" si="136"/>
        <v>1</v>
      </c>
      <c r="V1757" t="str">
        <f t="shared" si="137"/>
        <v>Mid Level</v>
      </c>
      <c r="W1757" t="str">
        <f t="shared" si="138"/>
        <v>Medium Risk</v>
      </c>
      <c r="X1757" t="str">
        <f t="shared" si="139"/>
        <v>Fair</v>
      </c>
    </row>
    <row r="1758" spans="1:24" x14ac:dyDescent="0.3">
      <c r="A1758" t="s">
        <v>1826</v>
      </c>
      <c r="B1758" t="s">
        <v>20</v>
      </c>
      <c r="C1758">
        <v>22</v>
      </c>
      <c r="D1758" t="s">
        <v>57</v>
      </c>
      <c r="E1758" t="s">
        <v>48</v>
      </c>
      <c r="F1758" t="s">
        <v>23</v>
      </c>
      <c r="G1758" t="s">
        <v>42</v>
      </c>
      <c r="H1758" t="s">
        <v>67</v>
      </c>
      <c r="I1758" t="s">
        <v>80</v>
      </c>
      <c r="J1758" t="s">
        <v>60</v>
      </c>
      <c r="K1758">
        <v>10</v>
      </c>
      <c r="L1758">
        <v>117459</v>
      </c>
      <c r="M1758" t="s">
        <v>51</v>
      </c>
      <c r="N1758">
        <v>2</v>
      </c>
      <c r="O1758">
        <v>4</v>
      </c>
      <c r="P1758">
        <v>18</v>
      </c>
      <c r="Q1758">
        <v>1</v>
      </c>
      <c r="R1758" s="1">
        <v>41464</v>
      </c>
      <c r="S1758" t="s">
        <v>29</v>
      </c>
      <c r="T1758" t="str">
        <f t="shared" si="135"/>
        <v>Grade A</v>
      </c>
      <c r="U1758">
        <f t="shared" si="136"/>
        <v>4</v>
      </c>
      <c r="V1758" t="str">
        <f t="shared" si="137"/>
        <v>Mid Level</v>
      </c>
      <c r="W1758" t="str">
        <f t="shared" si="138"/>
        <v>Low Risk</v>
      </c>
      <c r="X1758" t="str">
        <f t="shared" si="139"/>
        <v>Competitive</v>
      </c>
    </row>
    <row r="1759" spans="1:24" x14ac:dyDescent="0.3">
      <c r="A1759" t="s">
        <v>1827</v>
      </c>
      <c r="B1759" t="s">
        <v>20</v>
      </c>
      <c r="C1759">
        <v>51</v>
      </c>
      <c r="D1759" t="s">
        <v>21</v>
      </c>
      <c r="E1759" t="s">
        <v>40</v>
      </c>
      <c r="F1759" t="s">
        <v>53</v>
      </c>
      <c r="G1759" t="s">
        <v>33</v>
      </c>
      <c r="H1759" t="s">
        <v>76</v>
      </c>
      <c r="I1759" t="s">
        <v>35</v>
      </c>
      <c r="J1759" t="s">
        <v>27</v>
      </c>
      <c r="K1759">
        <v>1</v>
      </c>
      <c r="L1759">
        <v>66441</v>
      </c>
      <c r="M1759" t="s">
        <v>36</v>
      </c>
      <c r="N1759">
        <v>2</v>
      </c>
      <c r="O1759">
        <v>4</v>
      </c>
      <c r="P1759">
        <v>28</v>
      </c>
      <c r="Q1759">
        <v>3</v>
      </c>
      <c r="R1759" s="1">
        <v>44622</v>
      </c>
      <c r="S1759" t="s">
        <v>37</v>
      </c>
      <c r="T1759" t="str">
        <f t="shared" si="135"/>
        <v>Grade B</v>
      </c>
      <c r="U1759">
        <f t="shared" si="136"/>
        <v>1</v>
      </c>
      <c r="V1759" t="str">
        <f t="shared" si="137"/>
        <v>New Joiner</v>
      </c>
      <c r="W1759" t="str">
        <f t="shared" si="138"/>
        <v>Already Left</v>
      </c>
      <c r="X1759" t="str">
        <f t="shared" si="139"/>
        <v>Fair</v>
      </c>
    </row>
    <row r="1760" spans="1:24" x14ac:dyDescent="0.3">
      <c r="A1760" t="s">
        <v>1828</v>
      </c>
      <c r="B1760" t="s">
        <v>20</v>
      </c>
      <c r="C1760">
        <v>37</v>
      </c>
      <c r="D1760" t="s">
        <v>31</v>
      </c>
      <c r="E1760" t="s">
        <v>22</v>
      </c>
      <c r="F1760" t="s">
        <v>78</v>
      </c>
      <c r="G1760" t="s">
        <v>33</v>
      </c>
      <c r="H1760" t="s">
        <v>76</v>
      </c>
      <c r="I1760" t="s">
        <v>59</v>
      </c>
      <c r="J1760" t="s">
        <v>60</v>
      </c>
      <c r="K1760">
        <v>15</v>
      </c>
      <c r="L1760">
        <v>82285</v>
      </c>
      <c r="M1760" t="s">
        <v>28</v>
      </c>
      <c r="N1760">
        <v>2</v>
      </c>
      <c r="O1760">
        <v>4</v>
      </c>
      <c r="P1760">
        <v>32</v>
      </c>
      <c r="Q1760">
        <v>1</v>
      </c>
      <c r="R1760" s="1">
        <v>39789</v>
      </c>
      <c r="S1760" t="s">
        <v>37</v>
      </c>
      <c r="T1760" t="str">
        <f t="shared" si="135"/>
        <v>Grade A</v>
      </c>
      <c r="U1760">
        <f t="shared" si="136"/>
        <v>3</v>
      </c>
      <c r="V1760" t="str">
        <f t="shared" si="137"/>
        <v>Senior</v>
      </c>
      <c r="W1760" t="str">
        <f t="shared" si="138"/>
        <v>Already Left</v>
      </c>
      <c r="X1760" t="str">
        <f t="shared" si="139"/>
        <v>Competitive</v>
      </c>
    </row>
    <row r="1761" spans="1:24" x14ac:dyDescent="0.3">
      <c r="A1761" t="s">
        <v>1829</v>
      </c>
      <c r="B1761" t="s">
        <v>39</v>
      </c>
      <c r="C1761">
        <v>25</v>
      </c>
      <c r="D1761" t="s">
        <v>47</v>
      </c>
      <c r="E1761" t="s">
        <v>22</v>
      </c>
      <c r="F1761" t="s">
        <v>75</v>
      </c>
      <c r="G1761" t="s">
        <v>49</v>
      </c>
      <c r="H1761" t="s">
        <v>34</v>
      </c>
      <c r="I1761" t="s">
        <v>50</v>
      </c>
      <c r="J1761" t="s">
        <v>44</v>
      </c>
      <c r="K1761">
        <v>5</v>
      </c>
      <c r="L1761">
        <v>55372</v>
      </c>
      <c r="M1761" t="s">
        <v>28</v>
      </c>
      <c r="N1761">
        <v>2</v>
      </c>
      <c r="O1761">
        <v>3</v>
      </c>
      <c r="P1761">
        <v>45</v>
      </c>
      <c r="Q1761">
        <v>3</v>
      </c>
      <c r="R1761" s="1">
        <v>43369</v>
      </c>
      <c r="S1761" t="s">
        <v>29</v>
      </c>
      <c r="T1761" t="str">
        <f t="shared" si="135"/>
        <v>Grade B</v>
      </c>
      <c r="U1761">
        <f t="shared" si="136"/>
        <v>3</v>
      </c>
      <c r="V1761" t="str">
        <f t="shared" si="137"/>
        <v>Junior</v>
      </c>
      <c r="W1761" t="str">
        <f t="shared" si="138"/>
        <v>Medium Risk</v>
      </c>
      <c r="X1761" t="str">
        <f t="shared" si="139"/>
        <v>Competitive</v>
      </c>
    </row>
    <row r="1762" spans="1:24" x14ac:dyDescent="0.3">
      <c r="A1762" t="s">
        <v>1830</v>
      </c>
      <c r="B1762" t="s">
        <v>20</v>
      </c>
      <c r="C1762">
        <v>30</v>
      </c>
      <c r="D1762" t="s">
        <v>47</v>
      </c>
      <c r="E1762" t="s">
        <v>48</v>
      </c>
      <c r="F1762" t="s">
        <v>75</v>
      </c>
      <c r="G1762" t="s">
        <v>42</v>
      </c>
      <c r="H1762" t="s">
        <v>83</v>
      </c>
      <c r="I1762" t="s">
        <v>50</v>
      </c>
      <c r="J1762" t="s">
        <v>44</v>
      </c>
      <c r="K1762">
        <v>10</v>
      </c>
      <c r="L1762">
        <v>112424</v>
      </c>
      <c r="M1762" t="s">
        <v>36</v>
      </c>
      <c r="N1762">
        <v>4</v>
      </c>
      <c r="O1762">
        <v>4</v>
      </c>
      <c r="P1762">
        <v>51</v>
      </c>
      <c r="Q1762">
        <v>1</v>
      </c>
      <c r="R1762" s="1">
        <v>41329</v>
      </c>
      <c r="S1762" t="s">
        <v>37</v>
      </c>
      <c r="T1762" t="str">
        <f t="shared" si="135"/>
        <v>Grade A</v>
      </c>
      <c r="U1762">
        <f t="shared" si="136"/>
        <v>1</v>
      </c>
      <c r="V1762" t="str">
        <f t="shared" si="137"/>
        <v>Mid Level</v>
      </c>
      <c r="W1762" t="str">
        <f t="shared" si="138"/>
        <v>Already Left</v>
      </c>
      <c r="X1762" t="str">
        <f t="shared" si="139"/>
        <v>Overpaid</v>
      </c>
    </row>
    <row r="1763" spans="1:24" x14ac:dyDescent="0.3">
      <c r="A1763" t="s">
        <v>1831</v>
      </c>
      <c r="B1763" t="s">
        <v>39</v>
      </c>
      <c r="C1763">
        <v>46</v>
      </c>
      <c r="D1763" t="s">
        <v>31</v>
      </c>
      <c r="E1763" t="s">
        <v>48</v>
      </c>
      <c r="F1763" t="s">
        <v>62</v>
      </c>
      <c r="G1763" t="s">
        <v>66</v>
      </c>
      <c r="H1763" t="s">
        <v>83</v>
      </c>
      <c r="I1763" t="s">
        <v>54</v>
      </c>
      <c r="J1763" t="s">
        <v>27</v>
      </c>
      <c r="K1763">
        <v>9</v>
      </c>
      <c r="L1763">
        <v>50944</v>
      </c>
      <c r="M1763" t="s">
        <v>28</v>
      </c>
      <c r="N1763">
        <v>3</v>
      </c>
      <c r="O1763">
        <v>3</v>
      </c>
      <c r="P1763">
        <v>78</v>
      </c>
      <c r="Q1763">
        <v>3</v>
      </c>
      <c r="R1763" s="1">
        <v>41983</v>
      </c>
      <c r="S1763" t="s">
        <v>29</v>
      </c>
      <c r="T1763" t="str">
        <f t="shared" si="135"/>
        <v>Grade B</v>
      </c>
      <c r="U1763">
        <f t="shared" si="136"/>
        <v>3</v>
      </c>
      <c r="V1763" t="str">
        <f t="shared" si="137"/>
        <v>Mid Level</v>
      </c>
      <c r="W1763" t="str">
        <f t="shared" si="138"/>
        <v>Medium Risk</v>
      </c>
      <c r="X1763" t="str">
        <f t="shared" si="139"/>
        <v>Competitive</v>
      </c>
    </row>
    <row r="1764" spans="1:24" x14ac:dyDescent="0.3">
      <c r="A1764" t="s">
        <v>1832</v>
      </c>
      <c r="B1764" t="s">
        <v>20</v>
      </c>
      <c r="C1764">
        <v>41</v>
      </c>
      <c r="D1764" t="s">
        <v>47</v>
      </c>
      <c r="E1764" t="s">
        <v>40</v>
      </c>
      <c r="F1764" t="s">
        <v>32</v>
      </c>
      <c r="G1764" t="s">
        <v>58</v>
      </c>
      <c r="H1764" t="s">
        <v>83</v>
      </c>
      <c r="I1764" t="s">
        <v>72</v>
      </c>
      <c r="J1764" t="s">
        <v>73</v>
      </c>
      <c r="K1764">
        <v>10</v>
      </c>
      <c r="L1764">
        <v>103386</v>
      </c>
      <c r="M1764" t="s">
        <v>51</v>
      </c>
      <c r="N1764">
        <v>1</v>
      </c>
      <c r="O1764">
        <v>3</v>
      </c>
      <c r="P1764">
        <v>41</v>
      </c>
      <c r="Q1764">
        <v>3</v>
      </c>
      <c r="R1764" s="1">
        <v>41457</v>
      </c>
      <c r="S1764" t="s">
        <v>29</v>
      </c>
      <c r="T1764" t="str">
        <f t="shared" si="135"/>
        <v>Grade A</v>
      </c>
      <c r="U1764">
        <f t="shared" si="136"/>
        <v>4</v>
      </c>
      <c r="V1764" t="str">
        <f t="shared" si="137"/>
        <v>Mid Level</v>
      </c>
      <c r="W1764" t="str">
        <f t="shared" si="138"/>
        <v>Low Risk</v>
      </c>
      <c r="X1764" t="str">
        <f t="shared" si="139"/>
        <v>Competitive</v>
      </c>
    </row>
    <row r="1765" spans="1:24" x14ac:dyDescent="0.3">
      <c r="A1765" t="s">
        <v>1833</v>
      </c>
      <c r="B1765" t="s">
        <v>20</v>
      </c>
      <c r="C1765">
        <v>47</v>
      </c>
      <c r="D1765" t="s">
        <v>21</v>
      </c>
      <c r="E1765" t="s">
        <v>40</v>
      </c>
      <c r="F1765" t="s">
        <v>62</v>
      </c>
      <c r="G1765" t="s">
        <v>58</v>
      </c>
      <c r="H1765" t="s">
        <v>67</v>
      </c>
      <c r="I1765" t="s">
        <v>43</v>
      </c>
      <c r="J1765" t="s">
        <v>44</v>
      </c>
      <c r="K1765">
        <v>6</v>
      </c>
      <c r="L1765">
        <v>102717</v>
      </c>
      <c r="M1765" t="s">
        <v>45</v>
      </c>
      <c r="N1765">
        <v>2</v>
      </c>
      <c r="O1765">
        <v>1</v>
      </c>
      <c r="P1765">
        <v>39</v>
      </c>
      <c r="Q1765">
        <v>1</v>
      </c>
      <c r="R1765" s="1">
        <v>42885</v>
      </c>
      <c r="S1765" t="s">
        <v>29</v>
      </c>
      <c r="T1765" t="str">
        <f t="shared" si="135"/>
        <v>Grade A</v>
      </c>
      <c r="U1765">
        <f t="shared" si="136"/>
        <v>2</v>
      </c>
      <c r="V1765" t="str">
        <f t="shared" si="137"/>
        <v>Mid Level</v>
      </c>
      <c r="W1765" t="str">
        <f t="shared" si="138"/>
        <v>Medium Risk</v>
      </c>
      <c r="X1765" t="str">
        <f t="shared" si="139"/>
        <v>Fair</v>
      </c>
    </row>
    <row r="1766" spans="1:24" x14ac:dyDescent="0.3">
      <c r="A1766" t="s">
        <v>1834</v>
      </c>
      <c r="B1766" t="s">
        <v>20</v>
      </c>
      <c r="C1766">
        <v>47</v>
      </c>
      <c r="D1766" t="s">
        <v>57</v>
      </c>
      <c r="E1766" t="s">
        <v>22</v>
      </c>
      <c r="F1766" t="s">
        <v>41</v>
      </c>
      <c r="G1766" t="s">
        <v>33</v>
      </c>
      <c r="H1766" t="s">
        <v>67</v>
      </c>
      <c r="I1766" t="s">
        <v>68</v>
      </c>
      <c r="J1766" t="s">
        <v>60</v>
      </c>
      <c r="K1766">
        <v>15</v>
      </c>
      <c r="L1766">
        <v>81120</v>
      </c>
      <c r="M1766" t="s">
        <v>51</v>
      </c>
      <c r="N1766">
        <v>2</v>
      </c>
      <c r="O1766">
        <v>4</v>
      </c>
      <c r="P1766">
        <v>77</v>
      </c>
      <c r="Q1766">
        <v>3</v>
      </c>
      <c r="R1766" s="1">
        <v>39499</v>
      </c>
      <c r="S1766" t="s">
        <v>37</v>
      </c>
      <c r="T1766" t="str">
        <f t="shared" si="135"/>
        <v>Grade A</v>
      </c>
      <c r="U1766">
        <f t="shared" si="136"/>
        <v>4</v>
      </c>
      <c r="V1766" t="str">
        <f t="shared" si="137"/>
        <v>Senior</v>
      </c>
      <c r="W1766" t="str">
        <f t="shared" si="138"/>
        <v>Already Left</v>
      </c>
      <c r="X1766" t="str">
        <f t="shared" si="139"/>
        <v>Competitive</v>
      </c>
    </row>
    <row r="1767" spans="1:24" x14ac:dyDescent="0.3">
      <c r="A1767" t="s">
        <v>1835</v>
      </c>
      <c r="B1767" t="s">
        <v>20</v>
      </c>
      <c r="C1767">
        <v>33</v>
      </c>
      <c r="D1767" t="s">
        <v>88</v>
      </c>
      <c r="E1767" t="s">
        <v>22</v>
      </c>
      <c r="F1767" t="s">
        <v>78</v>
      </c>
      <c r="G1767" t="s">
        <v>24</v>
      </c>
      <c r="H1767" t="s">
        <v>67</v>
      </c>
      <c r="I1767" t="s">
        <v>68</v>
      </c>
      <c r="J1767" t="s">
        <v>60</v>
      </c>
      <c r="K1767">
        <v>5</v>
      </c>
      <c r="L1767">
        <v>85148</v>
      </c>
      <c r="M1767" t="s">
        <v>51</v>
      </c>
      <c r="N1767">
        <v>4</v>
      </c>
      <c r="O1767">
        <v>4</v>
      </c>
      <c r="P1767">
        <v>49</v>
      </c>
      <c r="Q1767">
        <v>2</v>
      </c>
      <c r="R1767" s="1">
        <v>43282</v>
      </c>
      <c r="S1767" t="s">
        <v>29</v>
      </c>
      <c r="T1767" t="str">
        <f t="shared" si="135"/>
        <v>Grade A</v>
      </c>
      <c r="U1767">
        <f t="shared" si="136"/>
        <v>4</v>
      </c>
      <c r="V1767" t="str">
        <f t="shared" si="137"/>
        <v>Junior</v>
      </c>
      <c r="W1767" t="str">
        <f t="shared" si="138"/>
        <v>Low Risk</v>
      </c>
      <c r="X1767" t="str">
        <f t="shared" si="139"/>
        <v>Competitive</v>
      </c>
    </row>
    <row r="1768" spans="1:24" x14ac:dyDescent="0.3">
      <c r="A1768" t="s">
        <v>1836</v>
      </c>
      <c r="B1768" t="s">
        <v>39</v>
      </c>
      <c r="C1768">
        <v>52</v>
      </c>
      <c r="D1768" t="s">
        <v>21</v>
      </c>
      <c r="E1768" t="s">
        <v>22</v>
      </c>
      <c r="F1768" t="s">
        <v>75</v>
      </c>
      <c r="G1768" t="s">
        <v>24</v>
      </c>
      <c r="H1768" t="s">
        <v>83</v>
      </c>
      <c r="I1768" t="s">
        <v>26</v>
      </c>
      <c r="J1768" t="s">
        <v>27</v>
      </c>
      <c r="K1768">
        <v>4</v>
      </c>
      <c r="L1768">
        <v>90757</v>
      </c>
      <c r="M1768" t="s">
        <v>28</v>
      </c>
      <c r="N1768">
        <v>3</v>
      </c>
      <c r="O1768">
        <v>1</v>
      </c>
      <c r="P1768">
        <v>15</v>
      </c>
      <c r="Q1768">
        <v>1</v>
      </c>
      <c r="R1768" s="1">
        <v>43573</v>
      </c>
      <c r="S1768" t="s">
        <v>29</v>
      </c>
      <c r="T1768" t="str">
        <f t="shared" si="135"/>
        <v>Grade A</v>
      </c>
      <c r="U1768">
        <f t="shared" si="136"/>
        <v>3</v>
      </c>
      <c r="V1768" t="str">
        <f t="shared" si="137"/>
        <v>Junior</v>
      </c>
      <c r="W1768" t="str">
        <f t="shared" si="138"/>
        <v>Medium Risk</v>
      </c>
      <c r="X1768" t="str">
        <f t="shared" si="139"/>
        <v>Competitive</v>
      </c>
    </row>
    <row r="1769" spans="1:24" x14ac:dyDescent="0.3">
      <c r="A1769" t="s">
        <v>1837</v>
      </c>
      <c r="B1769" t="s">
        <v>39</v>
      </c>
      <c r="C1769">
        <v>22</v>
      </c>
      <c r="D1769" t="s">
        <v>21</v>
      </c>
      <c r="E1769" t="s">
        <v>40</v>
      </c>
      <c r="F1769" t="s">
        <v>78</v>
      </c>
      <c r="G1769" t="s">
        <v>79</v>
      </c>
      <c r="H1769" t="s">
        <v>25</v>
      </c>
      <c r="I1769" t="s">
        <v>35</v>
      </c>
      <c r="J1769" t="s">
        <v>27</v>
      </c>
      <c r="K1769">
        <v>11</v>
      </c>
      <c r="L1769">
        <v>56917</v>
      </c>
      <c r="M1769" t="s">
        <v>45</v>
      </c>
      <c r="N1769">
        <v>4</v>
      </c>
      <c r="O1769">
        <v>3</v>
      </c>
      <c r="P1769">
        <v>48</v>
      </c>
      <c r="Q1769">
        <v>2</v>
      </c>
      <c r="R1769" s="1">
        <v>41202</v>
      </c>
      <c r="S1769" t="s">
        <v>37</v>
      </c>
      <c r="T1769" t="str">
        <f t="shared" si="135"/>
        <v>Grade B</v>
      </c>
      <c r="U1769">
        <f t="shared" si="136"/>
        <v>2</v>
      </c>
      <c r="V1769" t="str">
        <f t="shared" si="137"/>
        <v>Senior</v>
      </c>
      <c r="W1769" t="str">
        <f t="shared" si="138"/>
        <v>Already Left</v>
      </c>
      <c r="X1769" t="str">
        <f t="shared" si="139"/>
        <v>Fair</v>
      </c>
    </row>
    <row r="1770" spans="1:24" x14ac:dyDescent="0.3">
      <c r="A1770" t="s">
        <v>1838</v>
      </c>
      <c r="B1770" t="s">
        <v>20</v>
      </c>
      <c r="C1770">
        <v>47</v>
      </c>
      <c r="D1770" t="s">
        <v>57</v>
      </c>
      <c r="E1770" t="s">
        <v>22</v>
      </c>
      <c r="F1770" t="s">
        <v>41</v>
      </c>
      <c r="G1770" t="s">
        <v>33</v>
      </c>
      <c r="H1770" t="s">
        <v>76</v>
      </c>
      <c r="I1770" t="s">
        <v>80</v>
      </c>
      <c r="J1770" t="s">
        <v>60</v>
      </c>
      <c r="K1770">
        <v>9</v>
      </c>
      <c r="L1770">
        <v>72505</v>
      </c>
      <c r="M1770" t="s">
        <v>45</v>
      </c>
      <c r="N1770">
        <v>4</v>
      </c>
      <c r="O1770">
        <v>3</v>
      </c>
      <c r="P1770">
        <v>12</v>
      </c>
      <c r="Q1770">
        <v>0</v>
      </c>
      <c r="R1770" s="1">
        <v>41979</v>
      </c>
      <c r="S1770" t="s">
        <v>37</v>
      </c>
      <c r="T1770" t="str">
        <f t="shared" si="135"/>
        <v>Grade B</v>
      </c>
      <c r="U1770">
        <f t="shared" si="136"/>
        <v>2</v>
      </c>
      <c r="V1770" t="str">
        <f t="shared" si="137"/>
        <v>Mid Level</v>
      </c>
      <c r="W1770" t="str">
        <f t="shared" si="138"/>
        <v>Already Left</v>
      </c>
      <c r="X1770" t="str">
        <f t="shared" si="139"/>
        <v>Fair</v>
      </c>
    </row>
    <row r="1771" spans="1:24" x14ac:dyDescent="0.3">
      <c r="A1771" t="s">
        <v>1839</v>
      </c>
      <c r="B1771" t="s">
        <v>39</v>
      </c>
      <c r="C1771">
        <v>52</v>
      </c>
      <c r="D1771" t="s">
        <v>88</v>
      </c>
      <c r="E1771" t="s">
        <v>48</v>
      </c>
      <c r="F1771" t="s">
        <v>53</v>
      </c>
      <c r="G1771" t="s">
        <v>42</v>
      </c>
      <c r="H1771" t="s">
        <v>76</v>
      </c>
      <c r="I1771" t="s">
        <v>72</v>
      </c>
      <c r="J1771" t="s">
        <v>73</v>
      </c>
      <c r="K1771">
        <v>5</v>
      </c>
      <c r="L1771">
        <v>100597</v>
      </c>
      <c r="M1771" t="s">
        <v>36</v>
      </c>
      <c r="N1771">
        <v>3</v>
      </c>
      <c r="O1771">
        <v>2</v>
      </c>
      <c r="P1771">
        <v>35</v>
      </c>
      <c r="Q1771">
        <v>0</v>
      </c>
      <c r="R1771" s="1">
        <v>43264</v>
      </c>
      <c r="S1771" t="s">
        <v>37</v>
      </c>
      <c r="T1771" t="str">
        <f t="shared" si="135"/>
        <v>Grade A</v>
      </c>
      <c r="U1771">
        <f t="shared" si="136"/>
        <v>1</v>
      </c>
      <c r="V1771" t="str">
        <f t="shared" si="137"/>
        <v>Junior</v>
      </c>
      <c r="W1771" t="str">
        <f t="shared" si="138"/>
        <v>Already Left</v>
      </c>
      <c r="X1771" t="str">
        <f t="shared" si="139"/>
        <v>Overpaid</v>
      </c>
    </row>
    <row r="1772" spans="1:24" x14ac:dyDescent="0.3">
      <c r="A1772" t="s">
        <v>1840</v>
      </c>
      <c r="B1772" t="s">
        <v>39</v>
      </c>
      <c r="C1772">
        <v>49</v>
      </c>
      <c r="D1772" t="s">
        <v>21</v>
      </c>
      <c r="E1772" t="s">
        <v>22</v>
      </c>
      <c r="F1772" t="s">
        <v>65</v>
      </c>
      <c r="G1772" t="s">
        <v>49</v>
      </c>
      <c r="H1772" t="s">
        <v>34</v>
      </c>
      <c r="I1772" t="s">
        <v>54</v>
      </c>
      <c r="J1772" t="s">
        <v>27</v>
      </c>
      <c r="K1772">
        <v>3</v>
      </c>
      <c r="L1772">
        <v>64199</v>
      </c>
      <c r="M1772" t="s">
        <v>36</v>
      </c>
      <c r="N1772">
        <v>3</v>
      </c>
      <c r="O1772">
        <v>3</v>
      </c>
      <c r="P1772">
        <v>67</v>
      </c>
      <c r="Q1772">
        <v>1</v>
      </c>
      <c r="R1772" s="1">
        <v>43924</v>
      </c>
      <c r="S1772" t="s">
        <v>37</v>
      </c>
      <c r="T1772" t="str">
        <f t="shared" si="135"/>
        <v>Grade B</v>
      </c>
      <c r="U1772">
        <f t="shared" si="136"/>
        <v>1</v>
      </c>
      <c r="V1772" t="str">
        <f t="shared" si="137"/>
        <v>Junior</v>
      </c>
      <c r="W1772" t="str">
        <f t="shared" si="138"/>
        <v>Already Left</v>
      </c>
      <c r="X1772" t="str">
        <f t="shared" si="139"/>
        <v>Fair</v>
      </c>
    </row>
    <row r="1773" spans="1:24" x14ac:dyDescent="0.3">
      <c r="A1773" t="s">
        <v>1841</v>
      </c>
      <c r="B1773" t="s">
        <v>39</v>
      </c>
      <c r="C1773">
        <v>51</v>
      </c>
      <c r="D1773" t="s">
        <v>21</v>
      </c>
      <c r="E1773" t="s">
        <v>22</v>
      </c>
      <c r="F1773" t="s">
        <v>53</v>
      </c>
      <c r="G1773" t="s">
        <v>42</v>
      </c>
      <c r="H1773" t="s">
        <v>76</v>
      </c>
      <c r="I1773" t="s">
        <v>59</v>
      </c>
      <c r="J1773" t="s">
        <v>60</v>
      </c>
      <c r="K1773">
        <v>2</v>
      </c>
      <c r="L1773">
        <v>106417</v>
      </c>
      <c r="M1773" t="s">
        <v>36</v>
      </c>
      <c r="N1773">
        <v>3</v>
      </c>
      <c r="O1773">
        <v>1</v>
      </c>
      <c r="P1773">
        <v>23</v>
      </c>
      <c r="Q1773">
        <v>3</v>
      </c>
      <c r="R1773" s="1">
        <v>44202</v>
      </c>
      <c r="S1773" t="s">
        <v>29</v>
      </c>
      <c r="T1773" t="str">
        <f t="shared" si="135"/>
        <v>Grade A</v>
      </c>
      <c r="U1773">
        <f t="shared" si="136"/>
        <v>1</v>
      </c>
      <c r="V1773" t="str">
        <f t="shared" si="137"/>
        <v>New Joiner</v>
      </c>
      <c r="W1773" t="str">
        <f t="shared" si="138"/>
        <v>High Risk</v>
      </c>
      <c r="X1773" t="str">
        <f t="shared" si="139"/>
        <v>Overpaid</v>
      </c>
    </row>
    <row r="1774" spans="1:24" x14ac:dyDescent="0.3">
      <c r="A1774" t="s">
        <v>1842</v>
      </c>
      <c r="B1774" t="s">
        <v>39</v>
      </c>
      <c r="C1774">
        <v>24</v>
      </c>
      <c r="D1774" t="s">
        <v>21</v>
      </c>
      <c r="E1774" t="s">
        <v>40</v>
      </c>
      <c r="F1774" t="s">
        <v>78</v>
      </c>
      <c r="G1774" t="s">
        <v>24</v>
      </c>
      <c r="H1774" t="s">
        <v>67</v>
      </c>
      <c r="I1774" t="s">
        <v>96</v>
      </c>
      <c r="J1774" t="s">
        <v>44</v>
      </c>
      <c r="K1774">
        <v>10</v>
      </c>
      <c r="L1774">
        <v>96481</v>
      </c>
      <c r="M1774" t="s">
        <v>51</v>
      </c>
      <c r="N1774">
        <v>2</v>
      </c>
      <c r="O1774">
        <v>3</v>
      </c>
      <c r="P1774">
        <v>26</v>
      </c>
      <c r="Q1774">
        <v>1</v>
      </c>
      <c r="R1774" s="1">
        <v>41350</v>
      </c>
      <c r="S1774" t="s">
        <v>37</v>
      </c>
      <c r="T1774" t="str">
        <f t="shared" si="135"/>
        <v>Grade A</v>
      </c>
      <c r="U1774">
        <f t="shared" si="136"/>
        <v>4</v>
      </c>
      <c r="V1774" t="str">
        <f t="shared" si="137"/>
        <v>Mid Level</v>
      </c>
      <c r="W1774" t="str">
        <f t="shared" si="138"/>
        <v>Already Left</v>
      </c>
      <c r="X1774" t="str">
        <f t="shared" si="139"/>
        <v>Competitive</v>
      </c>
    </row>
    <row r="1775" spans="1:24" x14ac:dyDescent="0.3">
      <c r="A1775" t="s">
        <v>1843</v>
      </c>
      <c r="B1775" t="s">
        <v>20</v>
      </c>
      <c r="C1775">
        <v>43</v>
      </c>
      <c r="D1775" t="s">
        <v>88</v>
      </c>
      <c r="E1775" t="s">
        <v>22</v>
      </c>
      <c r="F1775" t="s">
        <v>53</v>
      </c>
      <c r="G1775" t="s">
        <v>58</v>
      </c>
      <c r="H1775" t="s">
        <v>34</v>
      </c>
      <c r="I1775" t="s">
        <v>59</v>
      </c>
      <c r="J1775" t="s">
        <v>60</v>
      </c>
      <c r="K1775">
        <v>14</v>
      </c>
      <c r="L1775">
        <v>111803</v>
      </c>
      <c r="M1775" t="s">
        <v>36</v>
      </c>
      <c r="N1775">
        <v>1</v>
      </c>
      <c r="O1775">
        <v>3</v>
      </c>
      <c r="P1775">
        <v>78</v>
      </c>
      <c r="Q1775">
        <v>2</v>
      </c>
      <c r="R1775" s="1">
        <v>40081</v>
      </c>
      <c r="S1775" t="s">
        <v>29</v>
      </c>
      <c r="T1775" t="str">
        <f t="shared" si="135"/>
        <v>Grade A</v>
      </c>
      <c r="U1775">
        <f t="shared" si="136"/>
        <v>1</v>
      </c>
      <c r="V1775" t="str">
        <f t="shared" si="137"/>
        <v>Senior</v>
      </c>
      <c r="W1775" t="str">
        <f t="shared" si="138"/>
        <v>Medium Risk</v>
      </c>
      <c r="X1775" t="str">
        <f t="shared" si="139"/>
        <v>Overpaid</v>
      </c>
    </row>
    <row r="1776" spans="1:24" x14ac:dyDescent="0.3">
      <c r="A1776" t="s">
        <v>1844</v>
      </c>
      <c r="B1776" t="s">
        <v>39</v>
      </c>
      <c r="C1776">
        <v>23</v>
      </c>
      <c r="D1776" t="s">
        <v>57</v>
      </c>
      <c r="E1776" t="s">
        <v>48</v>
      </c>
      <c r="F1776" t="s">
        <v>41</v>
      </c>
      <c r="G1776" t="s">
        <v>49</v>
      </c>
      <c r="H1776" t="s">
        <v>83</v>
      </c>
      <c r="I1776" t="s">
        <v>72</v>
      </c>
      <c r="J1776" t="s">
        <v>73</v>
      </c>
      <c r="K1776">
        <v>14</v>
      </c>
      <c r="L1776">
        <v>87803</v>
      </c>
      <c r="M1776" t="s">
        <v>36</v>
      </c>
      <c r="N1776">
        <v>4</v>
      </c>
      <c r="O1776">
        <v>3</v>
      </c>
      <c r="P1776">
        <v>24</v>
      </c>
      <c r="Q1776">
        <v>2</v>
      </c>
      <c r="R1776" s="1">
        <v>40038</v>
      </c>
      <c r="S1776" t="s">
        <v>37</v>
      </c>
      <c r="T1776" t="str">
        <f t="shared" si="135"/>
        <v>Grade A</v>
      </c>
      <c r="U1776">
        <f t="shared" si="136"/>
        <v>1</v>
      </c>
      <c r="V1776" t="str">
        <f t="shared" si="137"/>
        <v>Senior</v>
      </c>
      <c r="W1776" t="str">
        <f t="shared" si="138"/>
        <v>Already Left</v>
      </c>
      <c r="X1776" t="str">
        <f t="shared" si="139"/>
        <v>Overpaid</v>
      </c>
    </row>
    <row r="1777" spans="1:24" x14ac:dyDescent="0.3">
      <c r="A1777" t="s">
        <v>1845</v>
      </c>
      <c r="B1777" t="s">
        <v>39</v>
      </c>
      <c r="C1777">
        <v>44</v>
      </c>
      <c r="D1777" t="s">
        <v>88</v>
      </c>
      <c r="E1777" t="s">
        <v>22</v>
      </c>
      <c r="F1777" t="s">
        <v>62</v>
      </c>
      <c r="G1777" t="s">
        <v>49</v>
      </c>
      <c r="H1777" t="s">
        <v>34</v>
      </c>
      <c r="I1777" t="s">
        <v>68</v>
      </c>
      <c r="J1777" t="s">
        <v>60</v>
      </c>
      <c r="K1777">
        <v>14</v>
      </c>
      <c r="L1777">
        <v>87097</v>
      </c>
      <c r="M1777" t="s">
        <v>36</v>
      </c>
      <c r="N1777">
        <v>2</v>
      </c>
      <c r="O1777">
        <v>1</v>
      </c>
      <c r="P1777">
        <v>32</v>
      </c>
      <c r="Q1777">
        <v>2</v>
      </c>
      <c r="R1777" s="1">
        <v>39985</v>
      </c>
      <c r="S1777" t="s">
        <v>37</v>
      </c>
      <c r="T1777" t="str">
        <f t="shared" si="135"/>
        <v>Grade A</v>
      </c>
      <c r="U1777">
        <f t="shared" si="136"/>
        <v>1</v>
      </c>
      <c r="V1777" t="str">
        <f t="shared" si="137"/>
        <v>Senior</v>
      </c>
      <c r="W1777" t="str">
        <f t="shared" si="138"/>
        <v>Already Left</v>
      </c>
      <c r="X1777" t="str">
        <f t="shared" si="139"/>
        <v>Overpaid</v>
      </c>
    </row>
    <row r="1778" spans="1:24" x14ac:dyDescent="0.3">
      <c r="A1778" t="s">
        <v>1846</v>
      </c>
      <c r="B1778" t="s">
        <v>20</v>
      </c>
      <c r="C1778">
        <v>41</v>
      </c>
      <c r="D1778" t="s">
        <v>47</v>
      </c>
      <c r="E1778" t="s">
        <v>40</v>
      </c>
      <c r="F1778" t="s">
        <v>78</v>
      </c>
      <c r="G1778" t="s">
        <v>63</v>
      </c>
      <c r="H1778" t="s">
        <v>76</v>
      </c>
      <c r="I1778" t="s">
        <v>54</v>
      </c>
      <c r="J1778" t="s">
        <v>27</v>
      </c>
      <c r="K1778">
        <v>13</v>
      </c>
      <c r="L1778">
        <v>76108</v>
      </c>
      <c r="M1778" t="s">
        <v>28</v>
      </c>
      <c r="N1778">
        <v>3</v>
      </c>
      <c r="O1778">
        <v>2</v>
      </c>
      <c r="P1778">
        <v>53</v>
      </c>
      <c r="Q1778">
        <v>2</v>
      </c>
      <c r="R1778" s="1">
        <v>40460</v>
      </c>
      <c r="S1778" t="s">
        <v>29</v>
      </c>
      <c r="T1778" t="str">
        <f t="shared" si="135"/>
        <v>Grade B</v>
      </c>
      <c r="U1778">
        <f t="shared" si="136"/>
        <v>3</v>
      </c>
      <c r="V1778" t="str">
        <f t="shared" si="137"/>
        <v>Senior</v>
      </c>
      <c r="W1778" t="str">
        <f t="shared" si="138"/>
        <v>Medium Risk</v>
      </c>
      <c r="X1778" t="str">
        <f t="shared" si="139"/>
        <v>Competitive</v>
      </c>
    </row>
    <row r="1779" spans="1:24" x14ac:dyDescent="0.3">
      <c r="A1779" t="s">
        <v>1847</v>
      </c>
      <c r="B1779" t="s">
        <v>20</v>
      </c>
      <c r="C1779">
        <v>41</v>
      </c>
      <c r="D1779" t="s">
        <v>47</v>
      </c>
      <c r="E1779" t="s">
        <v>40</v>
      </c>
      <c r="F1779" t="s">
        <v>78</v>
      </c>
      <c r="G1779" t="s">
        <v>63</v>
      </c>
      <c r="H1779" t="s">
        <v>34</v>
      </c>
      <c r="I1779" t="s">
        <v>54</v>
      </c>
      <c r="J1779" t="s">
        <v>27</v>
      </c>
      <c r="K1779">
        <v>3</v>
      </c>
      <c r="L1779">
        <v>52858</v>
      </c>
      <c r="M1779" t="s">
        <v>36</v>
      </c>
      <c r="N1779">
        <v>1</v>
      </c>
      <c r="O1779">
        <v>2</v>
      </c>
      <c r="P1779">
        <v>16</v>
      </c>
      <c r="Q1779">
        <v>1</v>
      </c>
      <c r="R1779" s="1">
        <v>44025</v>
      </c>
      <c r="S1779" t="s">
        <v>37</v>
      </c>
      <c r="T1779" t="str">
        <f t="shared" si="135"/>
        <v>Grade B</v>
      </c>
      <c r="U1779">
        <f t="shared" si="136"/>
        <v>1</v>
      </c>
      <c r="V1779" t="str">
        <f t="shared" si="137"/>
        <v>Junior</v>
      </c>
      <c r="W1779" t="str">
        <f t="shared" si="138"/>
        <v>Already Left</v>
      </c>
      <c r="X1779" t="str">
        <f t="shared" si="139"/>
        <v>Fair</v>
      </c>
    </row>
    <row r="1780" spans="1:24" x14ac:dyDescent="0.3">
      <c r="A1780" t="s">
        <v>1848</v>
      </c>
      <c r="B1780" t="s">
        <v>39</v>
      </c>
      <c r="C1780">
        <v>25</v>
      </c>
      <c r="D1780" t="s">
        <v>88</v>
      </c>
      <c r="E1780" t="s">
        <v>48</v>
      </c>
      <c r="F1780" t="s">
        <v>23</v>
      </c>
      <c r="G1780" t="s">
        <v>33</v>
      </c>
      <c r="H1780" t="s">
        <v>25</v>
      </c>
      <c r="I1780" t="s">
        <v>80</v>
      </c>
      <c r="J1780" t="s">
        <v>60</v>
      </c>
      <c r="K1780">
        <v>5</v>
      </c>
      <c r="L1780">
        <v>79044</v>
      </c>
      <c r="M1780" t="s">
        <v>28</v>
      </c>
      <c r="N1780">
        <v>1</v>
      </c>
      <c r="O1780">
        <v>1</v>
      </c>
      <c r="P1780">
        <v>63</v>
      </c>
      <c r="Q1780">
        <v>2</v>
      </c>
      <c r="R1780" s="1">
        <v>43442</v>
      </c>
      <c r="S1780" t="s">
        <v>29</v>
      </c>
      <c r="T1780" t="str">
        <f t="shared" si="135"/>
        <v>Grade B</v>
      </c>
      <c r="U1780">
        <f t="shared" si="136"/>
        <v>3</v>
      </c>
      <c r="V1780" t="str">
        <f t="shared" si="137"/>
        <v>Junior</v>
      </c>
      <c r="W1780" t="str">
        <f t="shared" si="138"/>
        <v>Medium Risk</v>
      </c>
      <c r="X1780" t="str">
        <f t="shared" si="139"/>
        <v>Competitive</v>
      </c>
    </row>
    <row r="1781" spans="1:24" x14ac:dyDescent="0.3">
      <c r="A1781" t="s">
        <v>1849</v>
      </c>
      <c r="B1781" t="s">
        <v>39</v>
      </c>
      <c r="C1781">
        <v>30</v>
      </c>
      <c r="D1781" t="s">
        <v>31</v>
      </c>
      <c r="E1781" t="s">
        <v>48</v>
      </c>
      <c r="F1781" t="s">
        <v>32</v>
      </c>
      <c r="G1781" t="s">
        <v>42</v>
      </c>
      <c r="H1781" t="s">
        <v>76</v>
      </c>
      <c r="I1781" t="s">
        <v>96</v>
      </c>
      <c r="J1781" t="s">
        <v>44</v>
      </c>
      <c r="K1781">
        <v>3</v>
      </c>
      <c r="L1781">
        <v>96498</v>
      </c>
      <c r="M1781" t="s">
        <v>36</v>
      </c>
      <c r="N1781">
        <v>2</v>
      </c>
      <c r="O1781">
        <v>1</v>
      </c>
      <c r="P1781">
        <v>38</v>
      </c>
      <c r="Q1781">
        <v>3</v>
      </c>
      <c r="R1781" s="1">
        <v>43842</v>
      </c>
      <c r="S1781" t="s">
        <v>37</v>
      </c>
      <c r="T1781" t="str">
        <f t="shared" si="135"/>
        <v>Grade A</v>
      </c>
      <c r="U1781">
        <f t="shared" si="136"/>
        <v>1</v>
      </c>
      <c r="V1781" t="str">
        <f t="shared" si="137"/>
        <v>Junior</v>
      </c>
      <c r="W1781" t="str">
        <f t="shared" si="138"/>
        <v>Already Left</v>
      </c>
      <c r="X1781" t="str">
        <f t="shared" si="139"/>
        <v>Overpaid</v>
      </c>
    </row>
    <row r="1782" spans="1:24" x14ac:dyDescent="0.3">
      <c r="A1782" t="s">
        <v>1850</v>
      </c>
      <c r="B1782" t="s">
        <v>20</v>
      </c>
      <c r="C1782">
        <v>31</v>
      </c>
      <c r="D1782" t="s">
        <v>57</v>
      </c>
      <c r="E1782" t="s">
        <v>22</v>
      </c>
      <c r="F1782" t="s">
        <v>32</v>
      </c>
      <c r="G1782" t="s">
        <v>42</v>
      </c>
      <c r="H1782" t="s">
        <v>83</v>
      </c>
      <c r="I1782" t="s">
        <v>54</v>
      </c>
      <c r="J1782" t="s">
        <v>27</v>
      </c>
      <c r="K1782">
        <v>12</v>
      </c>
      <c r="L1782">
        <v>110921</v>
      </c>
      <c r="M1782" t="s">
        <v>51</v>
      </c>
      <c r="N1782">
        <v>1</v>
      </c>
      <c r="O1782">
        <v>1</v>
      </c>
      <c r="P1782">
        <v>68</v>
      </c>
      <c r="Q1782">
        <v>1</v>
      </c>
      <c r="R1782" s="1">
        <v>40565</v>
      </c>
      <c r="S1782" t="s">
        <v>37</v>
      </c>
      <c r="T1782" t="str">
        <f t="shared" si="135"/>
        <v>Grade A</v>
      </c>
      <c r="U1782">
        <f t="shared" si="136"/>
        <v>4</v>
      </c>
      <c r="V1782" t="str">
        <f t="shared" si="137"/>
        <v>Senior</v>
      </c>
      <c r="W1782" t="str">
        <f t="shared" si="138"/>
        <v>Already Left</v>
      </c>
      <c r="X1782" t="str">
        <f t="shared" si="139"/>
        <v>Competitive</v>
      </c>
    </row>
    <row r="1783" spans="1:24" x14ac:dyDescent="0.3">
      <c r="A1783" t="s">
        <v>1851</v>
      </c>
      <c r="B1783" t="s">
        <v>39</v>
      </c>
      <c r="C1783">
        <v>22</v>
      </c>
      <c r="D1783" t="s">
        <v>21</v>
      </c>
      <c r="E1783" t="s">
        <v>40</v>
      </c>
      <c r="F1783" t="s">
        <v>75</v>
      </c>
      <c r="G1783" t="s">
        <v>33</v>
      </c>
      <c r="H1783" t="s">
        <v>25</v>
      </c>
      <c r="I1783" t="s">
        <v>68</v>
      </c>
      <c r="J1783" t="s">
        <v>60</v>
      </c>
      <c r="K1783">
        <v>5</v>
      </c>
      <c r="L1783">
        <v>70756</v>
      </c>
      <c r="M1783" t="s">
        <v>51</v>
      </c>
      <c r="N1783">
        <v>3</v>
      </c>
      <c r="O1783">
        <v>2</v>
      </c>
      <c r="P1783">
        <v>38</v>
      </c>
      <c r="Q1783">
        <v>1</v>
      </c>
      <c r="R1783" s="1">
        <v>43175</v>
      </c>
      <c r="S1783" t="s">
        <v>29</v>
      </c>
      <c r="T1783" t="str">
        <f t="shared" si="135"/>
        <v>Grade B</v>
      </c>
      <c r="U1783">
        <f t="shared" si="136"/>
        <v>4</v>
      </c>
      <c r="V1783" t="str">
        <f t="shared" si="137"/>
        <v>Junior</v>
      </c>
      <c r="W1783" t="str">
        <f t="shared" si="138"/>
        <v>Low Risk</v>
      </c>
      <c r="X1783" t="str">
        <f t="shared" si="139"/>
        <v>Fair</v>
      </c>
    </row>
    <row r="1784" spans="1:24" x14ac:dyDescent="0.3">
      <c r="A1784" t="s">
        <v>1852</v>
      </c>
      <c r="B1784" t="s">
        <v>39</v>
      </c>
      <c r="C1784">
        <v>42</v>
      </c>
      <c r="D1784" t="s">
        <v>88</v>
      </c>
      <c r="E1784" t="s">
        <v>48</v>
      </c>
      <c r="F1784" t="s">
        <v>62</v>
      </c>
      <c r="G1784" t="s">
        <v>24</v>
      </c>
      <c r="H1784" t="s">
        <v>76</v>
      </c>
      <c r="I1784" t="s">
        <v>72</v>
      </c>
      <c r="J1784" t="s">
        <v>73</v>
      </c>
      <c r="K1784">
        <v>3</v>
      </c>
      <c r="L1784">
        <v>89848</v>
      </c>
      <c r="M1784" t="s">
        <v>45</v>
      </c>
      <c r="N1784">
        <v>4</v>
      </c>
      <c r="O1784">
        <v>4</v>
      </c>
      <c r="P1784">
        <v>71</v>
      </c>
      <c r="Q1784">
        <v>0</v>
      </c>
      <c r="R1784" s="1">
        <v>43871</v>
      </c>
      <c r="S1784" t="s">
        <v>29</v>
      </c>
      <c r="T1784" t="str">
        <f t="shared" si="135"/>
        <v>Grade A</v>
      </c>
      <c r="U1784">
        <f t="shared" si="136"/>
        <v>2</v>
      </c>
      <c r="V1784" t="str">
        <f t="shared" si="137"/>
        <v>Junior</v>
      </c>
      <c r="W1784" t="str">
        <f t="shared" si="138"/>
        <v>Medium Risk</v>
      </c>
      <c r="X1784" t="str">
        <f t="shared" si="139"/>
        <v>Fair</v>
      </c>
    </row>
    <row r="1785" spans="1:24" x14ac:dyDescent="0.3">
      <c r="A1785" t="s">
        <v>1853</v>
      </c>
      <c r="B1785" t="s">
        <v>20</v>
      </c>
      <c r="C1785">
        <v>51</v>
      </c>
      <c r="D1785" t="s">
        <v>47</v>
      </c>
      <c r="E1785" t="s">
        <v>48</v>
      </c>
      <c r="F1785" t="s">
        <v>32</v>
      </c>
      <c r="G1785" t="s">
        <v>24</v>
      </c>
      <c r="H1785" t="s">
        <v>34</v>
      </c>
      <c r="I1785" t="s">
        <v>72</v>
      </c>
      <c r="J1785" t="s">
        <v>73</v>
      </c>
      <c r="K1785">
        <v>13</v>
      </c>
      <c r="L1785">
        <v>96444</v>
      </c>
      <c r="M1785" t="s">
        <v>51</v>
      </c>
      <c r="N1785">
        <v>3</v>
      </c>
      <c r="O1785">
        <v>1</v>
      </c>
      <c r="P1785">
        <v>15</v>
      </c>
      <c r="Q1785">
        <v>1</v>
      </c>
      <c r="R1785" s="1">
        <v>40464</v>
      </c>
      <c r="S1785" t="s">
        <v>29</v>
      </c>
      <c r="T1785" t="str">
        <f t="shared" si="135"/>
        <v>Grade A</v>
      </c>
      <c r="U1785">
        <f t="shared" si="136"/>
        <v>4</v>
      </c>
      <c r="V1785" t="str">
        <f t="shared" si="137"/>
        <v>Senior</v>
      </c>
      <c r="W1785" t="str">
        <f t="shared" si="138"/>
        <v>Low Risk</v>
      </c>
      <c r="X1785" t="str">
        <f t="shared" si="139"/>
        <v>Competitive</v>
      </c>
    </row>
    <row r="1786" spans="1:24" x14ac:dyDescent="0.3">
      <c r="A1786" t="s">
        <v>1854</v>
      </c>
      <c r="B1786" t="s">
        <v>20</v>
      </c>
      <c r="C1786">
        <v>26</v>
      </c>
      <c r="D1786" t="s">
        <v>31</v>
      </c>
      <c r="E1786" t="s">
        <v>48</v>
      </c>
      <c r="F1786" t="s">
        <v>23</v>
      </c>
      <c r="G1786" t="s">
        <v>58</v>
      </c>
      <c r="H1786" t="s">
        <v>34</v>
      </c>
      <c r="I1786" t="s">
        <v>68</v>
      </c>
      <c r="J1786" t="s">
        <v>60</v>
      </c>
      <c r="K1786">
        <v>12</v>
      </c>
      <c r="L1786">
        <v>113166</v>
      </c>
      <c r="M1786" t="s">
        <v>51</v>
      </c>
      <c r="N1786">
        <v>2</v>
      </c>
      <c r="O1786">
        <v>4</v>
      </c>
      <c r="P1786">
        <v>74</v>
      </c>
      <c r="Q1786">
        <v>3</v>
      </c>
      <c r="R1786" s="1">
        <v>40680</v>
      </c>
      <c r="S1786" t="s">
        <v>29</v>
      </c>
      <c r="T1786" t="str">
        <f t="shared" si="135"/>
        <v>Grade A</v>
      </c>
      <c r="U1786">
        <f t="shared" si="136"/>
        <v>4</v>
      </c>
      <c r="V1786" t="str">
        <f t="shared" si="137"/>
        <v>Senior</v>
      </c>
      <c r="W1786" t="str">
        <f t="shared" si="138"/>
        <v>Low Risk</v>
      </c>
      <c r="X1786" t="str">
        <f t="shared" si="139"/>
        <v>Competitive</v>
      </c>
    </row>
    <row r="1787" spans="1:24" x14ac:dyDescent="0.3">
      <c r="A1787" t="s">
        <v>1855</v>
      </c>
      <c r="B1787" t="s">
        <v>39</v>
      </c>
      <c r="C1787">
        <v>29</v>
      </c>
      <c r="D1787" t="s">
        <v>57</v>
      </c>
      <c r="E1787" t="s">
        <v>40</v>
      </c>
      <c r="F1787" t="s">
        <v>65</v>
      </c>
      <c r="G1787" t="s">
        <v>58</v>
      </c>
      <c r="H1787" t="s">
        <v>25</v>
      </c>
      <c r="I1787" t="s">
        <v>59</v>
      </c>
      <c r="J1787" t="s">
        <v>60</v>
      </c>
      <c r="K1787">
        <v>11</v>
      </c>
      <c r="L1787">
        <v>106310</v>
      </c>
      <c r="M1787" t="s">
        <v>45</v>
      </c>
      <c r="N1787">
        <v>4</v>
      </c>
      <c r="O1787">
        <v>2</v>
      </c>
      <c r="P1787">
        <v>17</v>
      </c>
      <c r="Q1787">
        <v>3</v>
      </c>
      <c r="R1787" s="1">
        <v>40949</v>
      </c>
      <c r="S1787" t="s">
        <v>29</v>
      </c>
      <c r="T1787" t="str">
        <f t="shared" si="135"/>
        <v>Grade A</v>
      </c>
      <c r="U1787">
        <f t="shared" si="136"/>
        <v>2</v>
      </c>
      <c r="V1787" t="str">
        <f t="shared" si="137"/>
        <v>Senior</v>
      </c>
      <c r="W1787" t="str">
        <f t="shared" si="138"/>
        <v>Medium Risk</v>
      </c>
      <c r="X1787" t="str">
        <f t="shared" si="139"/>
        <v>Fair</v>
      </c>
    </row>
    <row r="1788" spans="1:24" x14ac:dyDescent="0.3">
      <c r="A1788" t="s">
        <v>1856</v>
      </c>
      <c r="B1788" t="s">
        <v>20</v>
      </c>
      <c r="C1788">
        <v>23</v>
      </c>
      <c r="D1788" t="s">
        <v>31</v>
      </c>
      <c r="E1788" t="s">
        <v>48</v>
      </c>
      <c r="F1788" t="s">
        <v>65</v>
      </c>
      <c r="G1788" t="s">
        <v>49</v>
      </c>
      <c r="H1788" t="s">
        <v>25</v>
      </c>
      <c r="I1788" t="s">
        <v>96</v>
      </c>
      <c r="J1788" t="s">
        <v>44</v>
      </c>
      <c r="K1788">
        <v>10</v>
      </c>
      <c r="L1788">
        <v>70019</v>
      </c>
      <c r="M1788" t="s">
        <v>28</v>
      </c>
      <c r="N1788">
        <v>2</v>
      </c>
      <c r="O1788">
        <v>2</v>
      </c>
      <c r="P1788">
        <v>54</v>
      </c>
      <c r="Q1788">
        <v>1</v>
      </c>
      <c r="R1788" s="1">
        <v>41292</v>
      </c>
      <c r="S1788" t="s">
        <v>29</v>
      </c>
      <c r="T1788" t="str">
        <f t="shared" si="135"/>
        <v>Grade B</v>
      </c>
      <c r="U1788">
        <f t="shared" si="136"/>
        <v>3</v>
      </c>
      <c r="V1788" t="str">
        <f t="shared" si="137"/>
        <v>Mid Level</v>
      </c>
      <c r="W1788" t="str">
        <f t="shared" si="138"/>
        <v>Medium Risk</v>
      </c>
      <c r="X1788" t="str">
        <f t="shared" si="139"/>
        <v>Competitive</v>
      </c>
    </row>
    <row r="1789" spans="1:24" x14ac:dyDescent="0.3">
      <c r="A1789" t="s">
        <v>1857</v>
      </c>
      <c r="B1789" t="s">
        <v>39</v>
      </c>
      <c r="C1789">
        <v>36</v>
      </c>
      <c r="D1789" t="s">
        <v>47</v>
      </c>
      <c r="E1789" t="s">
        <v>22</v>
      </c>
      <c r="F1789" t="s">
        <v>78</v>
      </c>
      <c r="G1789" t="s">
        <v>33</v>
      </c>
      <c r="H1789" t="s">
        <v>34</v>
      </c>
      <c r="I1789" t="s">
        <v>35</v>
      </c>
      <c r="J1789" t="s">
        <v>27</v>
      </c>
      <c r="K1789">
        <v>6</v>
      </c>
      <c r="L1789">
        <v>68492</v>
      </c>
      <c r="M1789" t="s">
        <v>28</v>
      </c>
      <c r="N1789">
        <v>4</v>
      </c>
      <c r="O1789">
        <v>2</v>
      </c>
      <c r="P1789">
        <v>45</v>
      </c>
      <c r="Q1789">
        <v>2</v>
      </c>
      <c r="R1789" s="1">
        <v>42841</v>
      </c>
      <c r="S1789" t="s">
        <v>29</v>
      </c>
      <c r="T1789" t="str">
        <f t="shared" si="135"/>
        <v>Grade B</v>
      </c>
      <c r="U1789">
        <f t="shared" si="136"/>
        <v>3</v>
      </c>
      <c r="V1789" t="str">
        <f t="shared" si="137"/>
        <v>Mid Level</v>
      </c>
      <c r="W1789" t="str">
        <f t="shared" si="138"/>
        <v>Medium Risk</v>
      </c>
      <c r="X1789" t="str">
        <f t="shared" si="139"/>
        <v>Competitive</v>
      </c>
    </row>
    <row r="1790" spans="1:24" x14ac:dyDescent="0.3">
      <c r="A1790" t="s">
        <v>1858</v>
      </c>
      <c r="B1790" t="s">
        <v>39</v>
      </c>
      <c r="C1790">
        <v>40</v>
      </c>
      <c r="D1790" t="s">
        <v>57</v>
      </c>
      <c r="E1790" t="s">
        <v>48</v>
      </c>
      <c r="F1790" t="s">
        <v>32</v>
      </c>
      <c r="G1790" t="s">
        <v>63</v>
      </c>
      <c r="H1790" t="s">
        <v>83</v>
      </c>
      <c r="I1790" t="s">
        <v>59</v>
      </c>
      <c r="J1790" t="s">
        <v>60</v>
      </c>
      <c r="K1790">
        <v>4</v>
      </c>
      <c r="L1790">
        <v>53165</v>
      </c>
      <c r="M1790" t="s">
        <v>28</v>
      </c>
      <c r="N1790">
        <v>1</v>
      </c>
      <c r="O1790">
        <v>3</v>
      </c>
      <c r="P1790">
        <v>34</v>
      </c>
      <c r="Q1790">
        <v>3</v>
      </c>
      <c r="R1790" s="1">
        <v>43741</v>
      </c>
      <c r="S1790" t="s">
        <v>37</v>
      </c>
      <c r="T1790" t="str">
        <f t="shared" si="135"/>
        <v>Grade B</v>
      </c>
      <c r="U1790">
        <f t="shared" si="136"/>
        <v>3</v>
      </c>
      <c r="V1790" t="str">
        <f t="shared" si="137"/>
        <v>Junior</v>
      </c>
      <c r="W1790" t="str">
        <f t="shared" si="138"/>
        <v>Already Left</v>
      </c>
      <c r="X1790" t="str">
        <f t="shared" si="139"/>
        <v>Competitive</v>
      </c>
    </row>
    <row r="1791" spans="1:24" x14ac:dyDescent="0.3">
      <c r="A1791" t="s">
        <v>1859</v>
      </c>
      <c r="B1791" t="s">
        <v>39</v>
      </c>
      <c r="C1791">
        <v>30</v>
      </c>
      <c r="D1791" t="s">
        <v>47</v>
      </c>
      <c r="E1791" t="s">
        <v>22</v>
      </c>
      <c r="F1791" t="s">
        <v>23</v>
      </c>
      <c r="G1791" t="s">
        <v>58</v>
      </c>
      <c r="H1791" t="s">
        <v>67</v>
      </c>
      <c r="I1791" t="s">
        <v>68</v>
      </c>
      <c r="J1791" t="s">
        <v>60</v>
      </c>
      <c r="K1791">
        <v>6</v>
      </c>
      <c r="L1791">
        <v>97623</v>
      </c>
      <c r="M1791" t="s">
        <v>28</v>
      </c>
      <c r="N1791">
        <v>3</v>
      </c>
      <c r="O1791">
        <v>1</v>
      </c>
      <c r="P1791">
        <v>13</v>
      </c>
      <c r="Q1791">
        <v>3</v>
      </c>
      <c r="R1791" s="1">
        <v>42898</v>
      </c>
      <c r="S1791" t="s">
        <v>37</v>
      </c>
      <c r="T1791" t="str">
        <f t="shared" si="135"/>
        <v>Grade A</v>
      </c>
      <c r="U1791">
        <f t="shared" si="136"/>
        <v>3</v>
      </c>
      <c r="V1791" t="str">
        <f t="shared" si="137"/>
        <v>Mid Level</v>
      </c>
      <c r="W1791" t="str">
        <f t="shared" si="138"/>
        <v>Already Left</v>
      </c>
      <c r="X1791" t="str">
        <f t="shared" si="139"/>
        <v>Competitive</v>
      </c>
    </row>
    <row r="1792" spans="1:24" x14ac:dyDescent="0.3">
      <c r="A1792" t="s">
        <v>1860</v>
      </c>
      <c r="B1792" t="s">
        <v>39</v>
      </c>
      <c r="C1792">
        <v>39</v>
      </c>
      <c r="D1792" t="s">
        <v>47</v>
      </c>
      <c r="E1792" t="s">
        <v>22</v>
      </c>
      <c r="F1792" t="s">
        <v>65</v>
      </c>
      <c r="G1792" t="s">
        <v>33</v>
      </c>
      <c r="H1792" t="s">
        <v>25</v>
      </c>
      <c r="I1792" t="s">
        <v>26</v>
      </c>
      <c r="J1792" t="s">
        <v>27</v>
      </c>
      <c r="K1792">
        <v>9</v>
      </c>
      <c r="L1792">
        <v>69774</v>
      </c>
      <c r="M1792" t="s">
        <v>45</v>
      </c>
      <c r="N1792">
        <v>3</v>
      </c>
      <c r="O1792">
        <v>3</v>
      </c>
      <c r="P1792">
        <v>60</v>
      </c>
      <c r="Q1792">
        <v>2</v>
      </c>
      <c r="R1792" s="1">
        <v>41871</v>
      </c>
      <c r="S1792" t="s">
        <v>29</v>
      </c>
      <c r="T1792" t="str">
        <f t="shared" si="135"/>
        <v>Grade B</v>
      </c>
      <c r="U1792">
        <f t="shared" si="136"/>
        <v>2</v>
      </c>
      <c r="V1792" t="str">
        <f t="shared" si="137"/>
        <v>Mid Level</v>
      </c>
      <c r="W1792" t="str">
        <f t="shared" si="138"/>
        <v>Medium Risk</v>
      </c>
      <c r="X1792" t="str">
        <f t="shared" si="139"/>
        <v>Fair</v>
      </c>
    </row>
    <row r="1793" spans="1:24" x14ac:dyDescent="0.3">
      <c r="A1793" t="s">
        <v>1861</v>
      </c>
      <c r="B1793" t="s">
        <v>39</v>
      </c>
      <c r="C1793">
        <v>54</v>
      </c>
      <c r="D1793" t="s">
        <v>21</v>
      </c>
      <c r="E1793" t="s">
        <v>48</v>
      </c>
      <c r="F1793" t="s">
        <v>41</v>
      </c>
      <c r="G1793" t="s">
        <v>66</v>
      </c>
      <c r="H1793" t="s">
        <v>34</v>
      </c>
      <c r="I1793" t="s">
        <v>26</v>
      </c>
      <c r="J1793" t="s">
        <v>27</v>
      </c>
      <c r="K1793">
        <v>6</v>
      </c>
      <c r="L1793">
        <v>39870</v>
      </c>
      <c r="M1793" t="s">
        <v>28</v>
      </c>
      <c r="N1793">
        <v>1</v>
      </c>
      <c r="O1793">
        <v>1</v>
      </c>
      <c r="P1793">
        <v>41</v>
      </c>
      <c r="Q1793">
        <v>2</v>
      </c>
      <c r="R1793" s="1">
        <v>42938</v>
      </c>
      <c r="S1793" t="s">
        <v>29</v>
      </c>
      <c r="T1793" t="str">
        <f t="shared" si="135"/>
        <v>Grade C</v>
      </c>
      <c r="U1793">
        <f t="shared" si="136"/>
        <v>3</v>
      </c>
      <c r="V1793" t="str">
        <f t="shared" si="137"/>
        <v>Mid Level</v>
      </c>
      <c r="W1793" t="str">
        <f t="shared" si="138"/>
        <v>Medium Risk</v>
      </c>
      <c r="X1793" t="str">
        <f t="shared" si="139"/>
        <v>Fair</v>
      </c>
    </row>
    <row r="1794" spans="1:24" x14ac:dyDescent="0.3">
      <c r="A1794" t="s">
        <v>1862</v>
      </c>
      <c r="B1794" t="s">
        <v>20</v>
      </c>
      <c r="C1794">
        <v>29</v>
      </c>
      <c r="D1794" t="s">
        <v>31</v>
      </c>
      <c r="E1794" t="s">
        <v>40</v>
      </c>
      <c r="F1794" t="s">
        <v>65</v>
      </c>
      <c r="G1794" t="s">
        <v>42</v>
      </c>
      <c r="H1794" t="s">
        <v>67</v>
      </c>
      <c r="I1794" t="s">
        <v>50</v>
      </c>
      <c r="J1794" t="s">
        <v>44</v>
      </c>
      <c r="K1794">
        <v>10</v>
      </c>
      <c r="L1794">
        <v>107240</v>
      </c>
      <c r="M1794" t="s">
        <v>45</v>
      </c>
      <c r="N1794">
        <v>4</v>
      </c>
      <c r="O1794">
        <v>3</v>
      </c>
      <c r="P1794">
        <v>55</v>
      </c>
      <c r="Q1794">
        <v>3</v>
      </c>
      <c r="R1794" s="1">
        <v>41277</v>
      </c>
      <c r="S1794" t="s">
        <v>29</v>
      </c>
      <c r="T1794" t="str">
        <f t="shared" ref="T1794:T1857" si="140">IF(L1794&gt;=80000,"Grade A",IF(L1794&gt;=50000,"Grade B",IF(L1794&gt;=35000,"Grade C","Grade D")))</f>
        <v>Grade A</v>
      </c>
      <c r="U1794">
        <f t="shared" ref="U1794:U1857" si="141">IF(M1794="Excellent",4,IF(M1794="Good",3,IF(M1794="Average",2,1)))</f>
        <v>2</v>
      </c>
      <c r="V1794" t="str">
        <f t="shared" ref="V1794:V1857" si="142">IF(K1794&lt;=2,"New Joiner",IF(K1794&lt;=5,"Junior",IF(K1794&lt;=10,"Mid Level","Senior")))</f>
        <v>Mid Level</v>
      </c>
      <c r="W1794" t="str">
        <f t="shared" ref="W1794:W1857" si="143">IF(S1794="Yes","Already Left",IF(AND(K1794&lt;=2,M1794="Poor"),"High Risk",IF(AND(K1794&lt;=5,M1794="Average"),"Medium Risk",IF(M1794="Excellent","Low Risk","Medium Risk"))))</f>
        <v>Medium Risk</v>
      </c>
      <c r="X1794" t="str">
        <f t="shared" ref="X1794:X1857" si="144">IF(AND(L1794&gt;=80000,M1794="Excellent"),"Competitive",IF(AND(L1794&gt;=50000,M1794="Good"),"Competitive",IF(AND(L1794&lt;35000,M1794="Excellent"),"Underpaid",IF(AND(L1794&gt;=80000,M1794="Poor"),"Overpaid","Fair"))))</f>
        <v>Fair</v>
      </c>
    </row>
    <row r="1795" spans="1:24" x14ac:dyDescent="0.3">
      <c r="A1795" t="s">
        <v>1863</v>
      </c>
      <c r="B1795" t="s">
        <v>39</v>
      </c>
      <c r="C1795">
        <v>49</v>
      </c>
      <c r="D1795" t="s">
        <v>21</v>
      </c>
      <c r="E1795" t="s">
        <v>40</v>
      </c>
      <c r="F1795" t="s">
        <v>75</v>
      </c>
      <c r="G1795" t="s">
        <v>24</v>
      </c>
      <c r="H1795" t="s">
        <v>76</v>
      </c>
      <c r="I1795" t="s">
        <v>26</v>
      </c>
      <c r="J1795" t="s">
        <v>27</v>
      </c>
      <c r="K1795">
        <v>3</v>
      </c>
      <c r="L1795">
        <v>80098</v>
      </c>
      <c r="M1795" t="s">
        <v>28</v>
      </c>
      <c r="N1795">
        <v>4</v>
      </c>
      <c r="O1795">
        <v>2</v>
      </c>
      <c r="P1795">
        <v>19</v>
      </c>
      <c r="Q1795">
        <v>2</v>
      </c>
      <c r="R1795" s="1">
        <v>44072</v>
      </c>
      <c r="S1795" t="s">
        <v>29</v>
      </c>
      <c r="T1795" t="str">
        <f t="shared" si="140"/>
        <v>Grade A</v>
      </c>
      <c r="U1795">
        <f t="shared" si="141"/>
        <v>3</v>
      </c>
      <c r="V1795" t="str">
        <f t="shared" si="142"/>
        <v>Junior</v>
      </c>
      <c r="W1795" t="str">
        <f t="shared" si="143"/>
        <v>Medium Risk</v>
      </c>
      <c r="X1795" t="str">
        <f t="shared" si="144"/>
        <v>Competitive</v>
      </c>
    </row>
    <row r="1796" spans="1:24" x14ac:dyDescent="0.3">
      <c r="A1796" t="s">
        <v>1864</v>
      </c>
      <c r="B1796" t="s">
        <v>20</v>
      </c>
      <c r="C1796">
        <v>24</v>
      </c>
      <c r="D1796" t="s">
        <v>31</v>
      </c>
      <c r="E1796" t="s">
        <v>22</v>
      </c>
      <c r="F1796" t="s">
        <v>32</v>
      </c>
      <c r="G1796" t="s">
        <v>58</v>
      </c>
      <c r="H1796" t="s">
        <v>25</v>
      </c>
      <c r="I1796" t="s">
        <v>43</v>
      </c>
      <c r="J1796" t="s">
        <v>44</v>
      </c>
      <c r="K1796">
        <v>1</v>
      </c>
      <c r="L1796">
        <v>92014</v>
      </c>
      <c r="M1796" t="s">
        <v>28</v>
      </c>
      <c r="N1796">
        <v>1</v>
      </c>
      <c r="O1796">
        <v>3</v>
      </c>
      <c r="P1796">
        <v>59</v>
      </c>
      <c r="Q1796">
        <v>2</v>
      </c>
      <c r="R1796" s="1">
        <v>44890</v>
      </c>
      <c r="S1796" t="s">
        <v>29</v>
      </c>
      <c r="T1796" t="str">
        <f t="shared" si="140"/>
        <v>Grade A</v>
      </c>
      <c r="U1796">
        <f t="shared" si="141"/>
        <v>3</v>
      </c>
      <c r="V1796" t="str">
        <f t="shared" si="142"/>
        <v>New Joiner</v>
      </c>
      <c r="W1796" t="str">
        <f t="shared" si="143"/>
        <v>Medium Risk</v>
      </c>
      <c r="X1796" t="str">
        <f t="shared" si="144"/>
        <v>Competitive</v>
      </c>
    </row>
    <row r="1797" spans="1:24" x14ac:dyDescent="0.3">
      <c r="A1797" t="s">
        <v>1865</v>
      </c>
      <c r="B1797" t="s">
        <v>39</v>
      </c>
      <c r="C1797">
        <v>24</v>
      </c>
      <c r="D1797" t="s">
        <v>21</v>
      </c>
      <c r="E1797" t="s">
        <v>22</v>
      </c>
      <c r="F1797" t="s">
        <v>78</v>
      </c>
      <c r="G1797" t="s">
        <v>49</v>
      </c>
      <c r="H1797" t="s">
        <v>76</v>
      </c>
      <c r="I1797" t="s">
        <v>43</v>
      </c>
      <c r="J1797" t="s">
        <v>44</v>
      </c>
      <c r="K1797">
        <v>5</v>
      </c>
      <c r="L1797">
        <v>57070</v>
      </c>
      <c r="M1797" t="s">
        <v>51</v>
      </c>
      <c r="N1797">
        <v>1</v>
      </c>
      <c r="O1797">
        <v>3</v>
      </c>
      <c r="P1797">
        <v>63</v>
      </c>
      <c r="Q1797">
        <v>0</v>
      </c>
      <c r="R1797" s="1">
        <v>43455</v>
      </c>
      <c r="S1797" t="s">
        <v>29</v>
      </c>
      <c r="T1797" t="str">
        <f t="shared" si="140"/>
        <v>Grade B</v>
      </c>
      <c r="U1797">
        <f t="shared" si="141"/>
        <v>4</v>
      </c>
      <c r="V1797" t="str">
        <f t="shared" si="142"/>
        <v>Junior</v>
      </c>
      <c r="W1797" t="str">
        <f t="shared" si="143"/>
        <v>Low Risk</v>
      </c>
      <c r="X1797" t="str">
        <f t="shared" si="144"/>
        <v>Fair</v>
      </c>
    </row>
    <row r="1798" spans="1:24" x14ac:dyDescent="0.3">
      <c r="A1798" t="s">
        <v>1866</v>
      </c>
      <c r="B1798" t="s">
        <v>39</v>
      </c>
      <c r="C1798">
        <v>39</v>
      </c>
      <c r="D1798" t="s">
        <v>57</v>
      </c>
      <c r="E1798" t="s">
        <v>40</v>
      </c>
      <c r="F1798" t="s">
        <v>32</v>
      </c>
      <c r="G1798" t="s">
        <v>79</v>
      </c>
      <c r="H1798" t="s">
        <v>34</v>
      </c>
      <c r="I1798" t="s">
        <v>50</v>
      </c>
      <c r="J1798" t="s">
        <v>44</v>
      </c>
      <c r="K1798">
        <v>8</v>
      </c>
      <c r="L1798">
        <v>63627</v>
      </c>
      <c r="M1798" t="s">
        <v>28</v>
      </c>
      <c r="N1798">
        <v>1</v>
      </c>
      <c r="O1798">
        <v>4</v>
      </c>
      <c r="P1798">
        <v>41</v>
      </c>
      <c r="Q1798">
        <v>0</v>
      </c>
      <c r="R1798" s="1">
        <v>42266</v>
      </c>
      <c r="S1798" t="s">
        <v>29</v>
      </c>
      <c r="T1798" t="str">
        <f t="shared" si="140"/>
        <v>Grade B</v>
      </c>
      <c r="U1798">
        <f t="shared" si="141"/>
        <v>3</v>
      </c>
      <c r="V1798" t="str">
        <f t="shared" si="142"/>
        <v>Mid Level</v>
      </c>
      <c r="W1798" t="str">
        <f t="shared" si="143"/>
        <v>Medium Risk</v>
      </c>
      <c r="X1798" t="str">
        <f t="shared" si="144"/>
        <v>Competitive</v>
      </c>
    </row>
    <row r="1799" spans="1:24" x14ac:dyDescent="0.3">
      <c r="A1799" t="s">
        <v>1867</v>
      </c>
      <c r="B1799" t="s">
        <v>20</v>
      </c>
      <c r="C1799">
        <v>24</v>
      </c>
      <c r="D1799" t="s">
        <v>88</v>
      </c>
      <c r="E1799" t="s">
        <v>48</v>
      </c>
      <c r="F1799" t="s">
        <v>78</v>
      </c>
      <c r="G1799" t="s">
        <v>66</v>
      </c>
      <c r="H1799" t="s">
        <v>34</v>
      </c>
      <c r="I1799" t="s">
        <v>43</v>
      </c>
      <c r="J1799" t="s">
        <v>44</v>
      </c>
      <c r="K1799">
        <v>2</v>
      </c>
      <c r="L1799">
        <v>42777</v>
      </c>
      <c r="M1799" t="s">
        <v>45</v>
      </c>
      <c r="N1799">
        <v>3</v>
      </c>
      <c r="O1799">
        <v>4</v>
      </c>
      <c r="P1799">
        <v>78</v>
      </c>
      <c r="Q1799">
        <v>1</v>
      </c>
      <c r="R1799" s="1">
        <v>44539</v>
      </c>
      <c r="S1799" t="s">
        <v>29</v>
      </c>
      <c r="T1799" t="str">
        <f t="shared" si="140"/>
        <v>Grade C</v>
      </c>
      <c r="U1799">
        <f t="shared" si="141"/>
        <v>2</v>
      </c>
      <c r="V1799" t="str">
        <f t="shared" si="142"/>
        <v>New Joiner</v>
      </c>
      <c r="W1799" t="str">
        <f t="shared" si="143"/>
        <v>Medium Risk</v>
      </c>
      <c r="X1799" t="str">
        <f t="shared" si="144"/>
        <v>Fair</v>
      </c>
    </row>
    <row r="1800" spans="1:24" x14ac:dyDescent="0.3">
      <c r="A1800" t="s">
        <v>1868</v>
      </c>
      <c r="B1800" t="s">
        <v>39</v>
      </c>
      <c r="C1800">
        <v>29</v>
      </c>
      <c r="D1800" t="s">
        <v>31</v>
      </c>
      <c r="E1800" t="s">
        <v>48</v>
      </c>
      <c r="F1800" t="s">
        <v>78</v>
      </c>
      <c r="G1800" t="s">
        <v>33</v>
      </c>
      <c r="H1800" t="s">
        <v>67</v>
      </c>
      <c r="I1800" t="s">
        <v>43</v>
      </c>
      <c r="J1800" t="s">
        <v>44</v>
      </c>
      <c r="K1800">
        <v>1</v>
      </c>
      <c r="L1800">
        <v>57114</v>
      </c>
      <c r="M1800" t="s">
        <v>51</v>
      </c>
      <c r="N1800">
        <v>2</v>
      </c>
      <c r="O1800">
        <v>2</v>
      </c>
      <c r="P1800">
        <v>68</v>
      </c>
      <c r="Q1800">
        <v>1</v>
      </c>
      <c r="R1800" s="1">
        <v>44847</v>
      </c>
      <c r="S1800" t="s">
        <v>29</v>
      </c>
      <c r="T1800" t="str">
        <f t="shared" si="140"/>
        <v>Grade B</v>
      </c>
      <c r="U1800">
        <f t="shared" si="141"/>
        <v>4</v>
      </c>
      <c r="V1800" t="str">
        <f t="shared" si="142"/>
        <v>New Joiner</v>
      </c>
      <c r="W1800" t="str">
        <f t="shared" si="143"/>
        <v>Low Risk</v>
      </c>
      <c r="X1800" t="str">
        <f t="shared" si="144"/>
        <v>Fair</v>
      </c>
    </row>
    <row r="1801" spans="1:24" x14ac:dyDescent="0.3">
      <c r="A1801" t="s">
        <v>1869</v>
      </c>
      <c r="B1801" t="s">
        <v>39</v>
      </c>
      <c r="C1801">
        <v>47</v>
      </c>
      <c r="D1801" t="s">
        <v>88</v>
      </c>
      <c r="E1801" t="s">
        <v>48</v>
      </c>
      <c r="F1801" t="s">
        <v>75</v>
      </c>
      <c r="G1801" t="s">
        <v>49</v>
      </c>
      <c r="H1801" t="s">
        <v>25</v>
      </c>
      <c r="I1801" t="s">
        <v>72</v>
      </c>
      <c r="J1801" t="s">
        <v>73</v>
      </c>
      <c r="K1801">
        <v>8</v>
      </c>
      <c r="L1801">
        <v>56943</v>
      </c>
      <c r="M1801" t="s">
        <v>51</v>
      </c>
      <c r="N1801">
        <v>3</v>
      </c>
      <c r="O1801">
        <v>1</v>
      </c>
      <c r="P1801">
        <v>42</v>
      </c>
      <c r="Q1801">
        <v>2</v>
      </c>
      <c r="R1801" s="1">
        <v>42259</v>
      </c>
      <c r="S1801" t="s">
        <v>29</v>
      </c>
      <c r="T1801" t="str">
        <f t="shared" si="140"/>
        <v>Grade B</v>
      </c>
      <c r="U1801">
        <f t="shared" si="141"/>
        <v>4</v>
      </c>
      <c r="V1801" t="str">
        <f t="shared" si="142"/>
        <v>Mid Level</v>
      </c>
      <c r="W1801" t="str">
        <f t="shared" si="143"/>
        <v>Low Risk</v>
      </c>
      <c r="X1801" t="str">
        <f t="shared" si="144"/>
        <v>Fair</v>
      </c>
    </row>
    <row r="1802" spans="1:24" x14ac:dyDescent="0.3">
      <c r="A1802" t="s">
        <v>1870</v>
      </c>
      <c r="B1802" t="s">
        <v>39</v>
      </c>
      <c r="C1802">
        <v>49</v>
      </c>
      <c r="D1802" t="s">
        <v>57</v>
      </c>
      <c r="E1802" t="s">
        <v>40</v>
      </c>
      <c r="F1802" t="s">
        <v>32</v>
      </c>
      <c r="G1802" t="s">
        <v>79</v>
      </c>
      <c r="H1802" t="s">
        <v>76</v>
      </c>
      <c r="I1802" t="s">
        <v>80</v>
      </c>
      <c r="J1802" t="s">
        <v>60</v>
      </c>
      <c r="K1802">
        <v>15</v>
      </c>
      <c r="L1802">
        <v>68526</v>
      </c>
      <c r="M1802" t="s">
        <v>36</v>
      </c>
      <c r="N1802">
        <v>4</v>
      </c>
      <c r="O1802">
        <v>4</v>
      </c>
      <c r="P1802">
        <v>57</v>
      </c>
      <c r="Q1802">
        <v>0</v>
      </c>
      <c r="R1802" s="1">
        <v>39683</v>
      </c>
      <c r="S1802" t="s">
        <v>37</v>
      </c>
      <c r="T1802" t="str">
        <f t="shared" si="140"/>
        <v>Grade B</v>
      </c>
      <c r="U1802">
        <f t="shared" si="141"/>
        <v>1</v>
      </c>
      <c r="V1802" t="str">
        <f t="shared" si="142"/>
        <v>Senior</v>
      </c>
      <c r="W1802" t="str">
        <f t="shared" si="143"/>
        <v>Already Left</v>
      </c>
      <c r="X1802" t="str">
        <f t="shared" si="144"/>
        <v>Fair</v>
      </c>
    </row>
    <row r="1803" spans="1:24" x14ac:dyDescent="0.3">
      <c r="A1803" t="s">
        <v>1871</v>
      </c>
      <c r="B1803" t="s">
        <v>39</v>
      </c>
      <c r="C1803">
        <v>44</v>
      </c>
      <c r="D1803" t="s">
        <v>88</v>
      </c>
      <c r="E1803" t="s">
        <v>48</v>
      </c>
      <c r="F1803" t="s">
        <v>65</v>
      </c>
      <c r="G1803" t="s">
        <v>63</v>
      </c>
      <c r="H1803" t="s">
        <v>76</v>
      </c>
      <c r="I1803" t="s">
        <v>35</v>
      </c>
      <c r="J1803" t="s">
        <v>27</v>
      </c>
      <c r="K1803">
        <v>2</v>
      </c>
      <c r="L1803">
        <v>48972</v>
      </c>
      <c r="M1803" t="s">
        <v>51</v>
      </c>
      <c r="N1803">
        <v>4</v>
      </c>
      <c r="O1803">
        <v>2</v>
      </c>
      <c r="P1803">
        <v>48</v>
      </c>
      <c r="Q1803">
        <v>1</v>
      </c>
      <c r="R1803" s="1">
        <v>44342</v>
      </c>
      <c r="S1803" t="s">
        <v>29</v>
      </c>
      <c r="T1803" t="str">
        <f t="shared" si="140"/>
        <v>Grade C</v>
      </c>
      <c r="U1803">
        <f t="shared" si="141"/>
        <v>4</v>
      </c>
      <c r="V1803" t="str">
        <f t="shared" si="142"/>
        <v>New Joiner</v>
      </c>
      <c r="W1803" t="str">
        <f t="shared" si="143"/>
        <v>Low Risk</v>
      </c>
      <c r="X1803" t="str">
        <f t="shared" si="144"/>
        <v>Fair</v>
      </c>
    </row>
    <row r="1804" spans="1:24" x14ac:dyDescent="0.3">
      <c r="A1804" t="s">
        <v>1872</v>
      </c>
      <c r="B1804" t="s">
        <v>20</v>
      </c>
      <c r="C1804">
        <v>55</v>
      </c>
      <c r="D1804" t="s">
        <v>31</v>
      </c>
      <c r="E1804" t="s">
        <v>48</v>
      </c>
      <c r="F1804" t="s">
        <v>23</v>
      </c>
      <c r="G1804" t="s">
        <v>24</v>
      </c>
      <c r="H1804" t="s">
        <v>76</v>
      </c>
      <c r="I1804" t="s">
        <v>26</v>
      </c>
      <c r="J1804" t="s">
        <v>27</v>
      </c>
      <c r="K1804">
        <v>10</v>
      </c>
      <c r="L1804">
        <v>85532</v>
      </c>
      <c r="M1804" t="s">
        <v>28</v>
      </c>
      <c r="N1804">
        <v>3</v>
      </c>
      <c r="O1804">
        <v>2</v>
      </c>
      <c r="P1804">
        <v>40</v>
      </c>
      <c r="Q1804">
        <v>3</v>
      </c>
      <c r="R1804" s="1">
        <v>41574</v>
      </c>
      <c r="S1804" t="s">
        <v>37</v>
      </c>
      <c r="T1804" t="str">
        <f t="shared" si="140"/>
        <v>Grade A</v>
      </c>
      <c r="U1804">
        <f t="shared" si="141"/>
        <v>3</v>
      </c>
      <c r="V1804" t="str">
        <f t="shared" si="142"/>
        <v>Mid Level</v>
      </c>
      <c r="W1804" t="str">
        <f t="shared" si="143"/>
        <v>Already Left</v>
      </c>
      <c r="X1804" t="str">
        <f t="shared" si="144"/>
        <v>Competitive</v>
      </c>
    </row>
    <row r="1805" spans="1:24" x14ac:dyDescent="0.3">
      <c r="A1805" t="s">
        <v>1873</v>
      </c>
      <c r="B1805" t="s">
        <v>20</v>
      </c>
      <c r="C1805">
        <v>28</v>
      </c>
      <c r="D1805" t="s">
        <v>88</v>
      </c>
      <c r="E1805" t="s">
        <v>22</v>
      </c>
      <c r="F1805" t="s">
        <v>78</v>
      </c>
      <c r="G1805" t="s">
        <v>49</v>
      </c>
      <c r="H1805" t="s">
        <v>67</v>
      </c>
      <c r="I1805" t="s">
        <v>96</v>
      </c>
      <c r="J1805" t="s">
        <v>44</v>
      </c>
      <c r="K1805">
        <v>11</v>
      </c>
      <c r="L1805">
        <v>65257</v>
      </c>
      <c r="M1805" t="s">
        <v>51</v>
      </c>
      <c r="N1805">
        <v>4</v>
      </c>
      <c r="O1805">
        <v>1</v>
      </c>
      <c r="P1805">
        <v>57</v>
      </c>
      <c r="Q1805">
        <v>2</v>
      </c>
      <c r="R1805" s="1">
        <v>41024</v>
      </c>
      <c r="S1805" t="s">
        <v>29</v>
      </c>
      <c r="T1805" t="str">
        <f t="shared" si="140"/>
        <v>Grade B</v>
      </c>
      <c r="U1805">
        <f t="shared" si="141"/>
        <v>4</v>
      </c>
      <c r="V1805" t="str">
        <f t="shared" si="142"/>
        <v>Senior</v>
      </c>
      <c r="W1805" t="str">
        <f t="shared" si="143"/>
        <v>Low Risk</v>
      </c>
      <c r="X1805" t="str">
        <f t="shared" si="144"/>
        <v>Fair</v>
      </c>
    </row>
    <row r="1806" spans="1:24" x14ac:dyDescent="0.3">
      <c r="A1806" t="s">
        <v>1874</v>
      </c>
      <c r="B1806" t="s">
        <v>39</v>
      </c>
      <c r="C1806">
        <v>30</v>
      </c>
      <c r="D1806" t="s">
        <v>31</v>
      </c>
      <c r="E1806" t="s">
        <v>48</v>
      </c>
      <c r="F1806" t="s">
        <v>78</v>
      </c>
      <c r="G1806" t="s">
        <v>79</v>
      </c>
      <c r="H1806" t="s">
        <v>67</v>
      </c>
      <c r="I1806" t="s">
        <v>35</v>
      </c>
      <c r="J1806" t="s">
        <v>27</v>
      </c>
      <c r="K1806">
        <v>14</v>
      </c>
      <c r="L1806">
        <v>62704</v>
      </c>
      <c r="M1806" t="s">
        <v>51</v>
      </c>
      <c r="N1806">
        <v>3</v>
      </c>
      <c r="O1806">
        <v>3</v>
      </c>
      <c r="P1806">
        <v>13</v>
      </c>
      <c r="Q1806">
        <v>0</v>
      </c>
      <c r="R1806" s="1">
        <v>39842</v>
      </c>
      <c r="S1806" t="s">
        <v>29</v>
      </c>
      <c r="T1806" t="str">
        <f t="shared" si="140"/>
        <v>Grade B</v>
      </c>
      <c r="U1806">
        <f t="shared" si="141"/>
        <v>4</v>
      </c>
      <c r="V1806" t="str">
        <f t="shared" si="142"/>
        <v>Senior</v>
      </c>
      <c r="W1806" t="str">
        <f t="shared" si="143"/>
        <v>Low Risk</v>
      </c>
      <c r="X1806" t="str">
        <f t="shared" si="144"/>
        <v>Fair</v>
      </c>
    </row>
    <row r="1807" spans="1:24" x14ac:dyDescent="0.3">
      <c r="A1807" t="s">
        <v>1875</v>
      </c>
      <c r="B1807" t="s">
        <v>39</v>
      </c>
      <c r="C1807">
        <v>53</v>
      </c>
      <c r="D1807" t="s">
        <v>57</v>
      </c>
      <c r="E1807" t="s">
        <v>40</v>
      </c>
      <c r="F1807" t="s">
        <v>62</v>
      </c>
      <c r="G1807" t="s">
        <v>58</v>
      </c>
      <c r="H1807" t="s">
        <v>34</v>
      </c>
      <c r="I1807" t="s">
        <v>72</v>
      </c>
      <c r="J1807" t="s">
        <v>73</v>
      </c>
      <c r="K1807">
        <v>9</v>
      </c>
      <c r="L1807">
        <v>111467</v>
      </c>
      <c r="M1807" t="s">
        <v>51</v>
      </c>
      <c r="N1807">
        <v>4</v>
      </c>
      <c r="O1807">
        <v>2</v>
      </c>
      <c r="P1807">
        <v>76</v>
      </c>
      <c r="Q1807">
        <v>3</v>
      </c>
      <c r="R1807" s="1">
        <v>41726</v>
      </c>
      <c r="S1807" t="s">
        <v>29</v>
      </c>
      <c r="T1807" t="str">
        <f t="shared" si="140"/>
        <v>Grade A</v>
      </c>
      <c r="U1807">
        <f t="shared" si="141"/>
        <v>4</v>
      </c>
      <c r="V1807" t="str">
        <f t="shared" si="142"/>
        <v>Mid Level</v>
      </c>
      <c r="W1807" t="str">
        <f t="shared" si="143"/>
        <v>Low Risk</v>
      </c>
      <c r="X1807" t="str">
        <f t="shared" si="144"/>
        <v>Competitive</v>
      </c>
    </row>
    <row r="1808" spans="1:24" x14ac:dyDescent="0.3">
      <c r="A1808" t="s">
        <v>1876</v>
      </c>
      <c r="B1808" t="s">
        <v>39</v>
      </c>
      <c r="C1808">
        <v>55</v>
      </c>
      <c r="D1808" t="s">
        <v>47</v>
      </c>
      <c r="E1808" t="s">
        <v>40</v>
      </c>
      <c r="F1808" t="s">
        <v>62</v>
      </c>
      <c r="G1808" t="s">
        <v>49</v>
      </c>
      <c r="H1808" t="s">
        <v>76</v>
      </c>
      <c r="I1808" t="s">
        <v>68</v>
      </c>
      <c r="J1808" t="s">
        <v>60</v>
      </c>
      <c r="K1808">
        <v>7</v>
      </c>
      <c r="L1808">
        <v>54432</v>
      </c>
      <c r="M1808" t="s">
        <v>51</v>
      </c>
      <c r="N1808">
        <v>1</v>
      </c>
      <c r="O1808">
        <v>1</v>
      </c>
      <c r="P1808">
        <v>13</v>
      </c>
      <c r="Q1808">
        <v>0</v>
      </c>
      <c r="R1808" s="1">
        <v>42593</v>
      </c>
      <c r="S1808" t="s">
        <v>29</v>
      </c>
      <c r="T1808" t="str">
        <f t="shared" si="140"/>
        <v>Grade B</v>
      </c>
      <c r="U1808">
        <f t="shared" si="141"/>
        <v>4</v>
      </c>
      <c r="V1808" t="str">
        <f t="shared" si="142"/>
        <v>Mid Level</v>
      </c>
      <c r="W1808" t="str">
        <f t="shared" si="143"/>
        <v>Low Risk</v>
      </c>
      <c r="X1808" t="str">
        <f t="shared" si="144"/>
        <v>Fair</v>
      </c>
    </row>
    <row r="1809" spans="1:24" x14ac:dyDescent="0.3">
      <c r="A1809" t="s">
        <v>1877</v>
      </c>
      <c r="B1809" t="s">
        <v>20</v>
      </c>
      <c r="C1809">
        <v>28</v>
      </c>
      <c r="D1809" t="s">
        <v>57</v>
      </c>
      <c r="E1809" t="s">
        <v>40</v>
      </c>
      <c r="F1809" t="s">
        <v>32</v>
      </c>
      <c r="G1809" t="s">
        <v>42</v>
      </c>
      <c r="H1809" t="s">
        <v>25</v>
      </c>
      <c r="I1809" t="s">
        <v>80</v>
      </c>
      <c r="J1809" t="s">
        <v>60</v>
      </c>
      <c r="K1809">
        <v>10</v>
      </c>
      <c r="L1809">
        <v>112406</v>
      </c>
      <c r="M1809" t="s">
        <v>28</v>
      </c>
      <c r="N1809">
        <v>4</v>
      </c>
      <c r="O1809">
        <v>3</v>
      </c>
      <c r="P1809">
        <v>44</v>
      </c>
      <c r="Q1809">
        <v>3</v>
      </c>
      <c r="R1809" s="1">
        <v>41391</v>
      </c>
      <c r="S1809" t="s">
        <v>37</v>
      </c>
      <c r="T1809" t="str">
        <f t="shared" si="140"/>
        <v>Grade A</v>
      </c>
      <c r="U1809">
        <f t="shared" si="141"/>
        <v>3</v>
      </c>
      <c r="V1809" t="str">
        <f t="shared" si="142"/>
        <v>Mid Level</v>
      </c>
      <c r="W1809" t="str">
        <f t="shared" si="143"/>
        <v>Already Left</v>
      </c>
      <c r="X1809" t="str">
        <f t="shared" si="144"/>
        <v>Competitive</v>
      </c>
    </row>
    <row r="1810" spans="1:24" x14ac:dyDescent="0.3">
      <c r="A1810" t="s">
        <v>1878</v>
      </c>
      <c r="B1810" t="s">
        <v>20</v>
      </c>
      <c r="C1810">
        <v>32</v>
      </c>
      <c r="D1810" t="s">
        <v>47</v>
      </c>
      <c r="E1810" t="s">
        <v>48</v>
      </c>
      <c r="F1810" t="s">
        <v>53</v>
      </c>
      <c r="G1810" t="s">
        <v>49</v>
      </c>
      <c r="H1810" t="s">
        <v>34</v>
      </c>
      <c r="I1810" t="s">
        <v>43</v>
      </c>
      <c r="J1810" t="s">
        <v>44</v>
      </c>
      <c r="K1810">
        <v>12</v>
      </c>
      <c r="L1810">
        <v>75771</v>
      </c>
      <c r="M1810" t="s">
        <v>36</v>
      </c>
      <c r="N1810">
        <v>2</v>
      </c>
      <c r="O1810">
        <v>4</v>
      </c>
      <c r="P1810">
        <v>51</v>
      </c>
      <c r="Q1810">
        <v>3</v>
      </c>
      <c r="R1810" s="1">
        <v>40602</v>
      </c>
      <c r="S1810" t="s">
        <v>29</v>
      </c>
      <c r="T1810" t="str">
        <f t="shared" si="140"/>
        <v>Grade B</v>
      </c>
      <c r="U1810">
        <f t="shared" si="141"/>
        <v>1</v>
      </c>
      <c r="V1810" t="str">
        <f t="shared" si="142"/>
        <v>Senior</v>
      </c>
      <c r="W1810" t="str">
        <f t="shared" si="143"/>
        <v>Medium Risk</v>
      </c>
      <c r="X1810" t="str">
        <f t="shared" si="144"/>
        <v>Fair</v>
      </c>
    </row>
    <row r="1811" spans="1:24" x14ac:dyDescent="0.3">
      <c r="A1811" t="s">
        <v>1879</v>
      </c>
      <c r="B1811" t="s">
        <v>39</v>
      </c>
      <c r="C1811">
        <v>45</v>
      </c>
      <c r="D1811" t="s">
        <v>57</v>
      </c>
      <c r="E1811" t="s">
        <v>40</v>
      </c>
      <c r="F1811" t="s">
        <v>23</v>
      </c>
      <c r="G1811" t="s">
        <v>58</v>
      </c>
      <c r="H1811" t="s">
        <v>67</v>
      </c>
      <c r="I1811" t="s">
        <v>50</v>
      </c>
      <c r="J1811" t="s">
        <v>44</v>
      </c>
      <c r="K1811">
        <v>4</v>
      </c>
      <c r="L1811">
        <v>87248</v>
      </c>
      <c r="M1811" t="s">
        <v>28</v>
      </c>
      <c r="N1811">
        <v>4</v>
      </c>
      <c r="O1811">
        <v>4</v>
      </c>
      <c r="P1811">
        <v>23</v>
      </c>
      <c r="Q1811">
        <v>1</v>
      </c>
      <c r="R1811" s="1">
        <v>43686</v>
      </c>
      <c r="S1811" t="s">
        <v>29</v>
      </c>
      <c r="T1811" t="str">
        <f t="shared" si="140"/>
        <v>Grade A</v>
      </c>
      <c r="U1811">
        <f t="shared" si="141"/>
        <v>3</v>
      </c>
      <c r="V1811" t="str">
        <f t="shared" si="142"/>
        <v>Junior</v>
      </c>
      <c r="W1811" t="str">
        <f t="shared" si="143"/>
        <v>Medium Risk</v>
      </c>
      <c r="X1811" t="str">
        <f t="shared" si="144"/>
        <v>Competitive</v>
      </c>
    </row>
    <row r="1812" spans="1:24" x14ac:dyDescent="0.3">
      <c r="A1812" t="s">
        <v>1880</v>
      </c>
      <c r="B1812" t="s">
        <v>39</v>
      </c>
      <c r="C1812">
        <v>54</v>
      </c>
      <c r="D1812" t="s">
        <v>21</v>
      </c>
      <c r="E1812" t="s">
        <v>48</v>
      </c>
      <c r="F1812" t="s">
        <v>41</v>
      </c>
      <c r="G1812" t="s">
        <v>42</v>
      </c>
      <c r="H1812" t="s">
        <v>25</v>
      </c>
      <c r="I1812" t="s">
        <v>72</v>
      </c>
      <c r="J1812" t="s">
        <v>73</v>
      </c>
      <c r="K1812">
        <v>14</v>
      </c>
      <c r="L1812">
        <v>116351</v>
      </c>
      <c r="M1812" t="s">
        <v>51</v>
      </c>
      <c r="N1812">
        <v>1</v>
      </c>
      <c r="O1812">
        <v>4</v>
      </c>
      <c r="P1812">
        <v>61</v>
      </c>
      <c r="Q1812">
        <v>3</v>
      </c>
      <c r="R1812" s="1">
        <v>39860</v>
      </c>
      <c r="S1812" t="s">
        <v>29</v>
      </c>
      <c r="T1812" t="str">
        <f t="shared" si="140"/>
        <v>Grade A</v>
      </c>
      <c r="U1812">
        <f t="shared" si="141"/>
        <v>4</v>
      </c>
      <c r="V1812" t="str">
        <f t="shared" si="142"/>
        <v>Senior</v>
      </c>
      <c r="W1812" t="str">
        <f t="shared" si="143"/>
        <v>Low Risk</v>
      </c>
      <c r="X1812" t="str">
        <f t="shared" si="144"/>
        <v>Competitive</v>
      </c>
    </row>
    <row r="1813" spans="1:24" x14ac:dyDescent="0.3">
      <c r="A1813" t="s">
        <v>1881</v>
      </c>
      <c r="B1813" t="s">
        <v>20</v>
      </c>
      <c r="C1813">
        <v>39</v>
      </c>
      <c r="D1813" t="s">
        <v>57</v>
      </c>
      <c r="E1813" t="s">
        <v>40</v>
      </c>
      <c r="F1813" t="s">
        <v>41</v>
      </c>
      <c r="G1813" t="s">
        <v>24</v>
      </c>
      <c r="H1813" t="s">
        <v>67</v>
      </c>
      <c r="I1813" t="s">
        <v>50</v>
      </c>
      <c r="J1813" t="s">
        <v>44</v>
      </c>
      <c r="K1813">
        <v>10</v>
      </c>
      <c r="L1813">
        <v>100984</v>
      </c>
      <c r="M1813" t="s">
        <v>28</v>
      </c>
      <c r="N1813">
        <v>1</v>
      </c>
      <c r="O1813">
        <v>4</v>
      </c>
      <c r="P1813">
        <v>34</v>
      </c>
      <c r="Q1813">
        <v>3</v>
      </c>
      <c r="R1813" s="1">
        <v>41359</v>
      </c>
      <c r="S1813" t="s">
        <v>29</v>
      </c>
      <c r="T1813" t="str">
        <f t="shared" si="140"/>
        <v>Grade A</v>
      </c>
      <c r="U1813">
        <f t="shared" si="141"/>
        <v>3</v>
      </c>
      <c r="V1813" t="str">
        <f t="shared" si="142"/>
        <v>Mid Level</v>
      </c>
      <c r="W1813" t="str">
        <f t="shared" si="143"/>
        <v>Medium Risk</v>
      </c>
      <c r="X1813" t="str">
        <f t="shared" si="144"/>
        <v>Competitive</v>
      </c>
    </row>
    <row r="1814" spans="1:24" x14ac:dyDescent="0.3">
      <c r="A1814" t="s">
        <v>1882</v>
      </c>
      <c r="B1814" t="s">
        <v>39</v>
      </c>
      <c r="C1814">
        <v>22</v>
      </c>
      <c r="D1814" t="s">
        <v>47</v>
      </c>
      <c r="E1814" t="s">
        <v>22</v>
      </c>
      <c r="F1814" t="s">
        <v>65</v>
      </c>
      <c r="G1814" t="s">
        <v>66</v>
      </c>
      <c r="H1814" t="s">
        <v>67</v>
      </c>
      <c r="I1814" t="s">
        <v>26</v>
      </c>
      <c r="J1814" t="s">
        <v>27</v>
      </c>
      <c r="K1814">
        <v>7</v>
      </c>
      <c r="L1814">
        <v>57076</v>
      </c>
      <c r="M1814" t="s">
        <v>36</v>
      </c>
      <c r="N1814">
        <v>3</v>
      </c>
      <c r="O1814">
        <v>2</v>
      </c>
      <c r="P1814">
        <v>42</v>
      </c>
      <c r="Q1814">
        <v>3</v>
      </c>
      <c r="R1814" s="1">
        <v>42582</v>
      </c>
      <c r="S1814" t="s">
        <v>37</v>
      </c>
      <c r="T1814" t="str">
        <f t="shared" si="140"/>
        <v>Grade B</v>
      </c>
      <c r="U1814">
        <f t="shared" si="141"/>
        <v>1</v>
      </c>
      <c r="V1814" t="str">
        <f t="shared" si="142"/>
        <v>Mid Level</v>
      </c>
      <c r="W1814" t="str">
        <f t="shared" si="143"/>
        <v>Already Left</v>
      </c>
      <c r="X1814" t="str">
        <f t="shared" si="144"/>
        <v>Fair</v>
      </c>
    </row>
    <row r="1815" spans="1:24" x14ac:dyDescent="0.3">
      <c r="A1815" t="s">
        <v>1883</v>
      </c>
      <c r="B1815" t="s">
        <v>39</v>
      </c>
      <c r="C1815">
        <v>26</v>
      </c>
      <c r="D1815" t="s">
        <v>21</v>
      </c>
      <c r="E1815" t="s">
        <v>40</v>
      </c>
      <c r="F1815" t="s">
        <v>41</v>
      </c>
      <c r="G1815" t="s">
        <v>33</v>
      </c>
      <c r="H1815" t="s">
        <v>67</v>
      </c>
      <c r="I1815" t="s">
        <v>59</v>
      </c>
      <c r="J1815" t="s">
        <v>60</v>
      </c>
      <c r="K1815">
        <v>4</v>
      </c>
      <c r="L1815">
        <v>60516</v>
      </c>
      <c r="M1815" t="s">
        <v>36</v>
      </c>
      <c r="N1815">
        <v>1</v>
      </c>
      <c r="O1815">
        <v>2</v>
      </c>
      <c r="P1815">
        <v>58</v>
      </c>
      <c r="Q1815">
        <v>3</v>
      </c>
      <c r="R1815" s="1">
        <v>43811</v>
      </c>
      <c r="S1815" t="s">
        <v>37</v>
      </c>
      <c r="T1815" t="str">
        <f t="shared" si="140"/>
        <v>Grade B</v>
      </c>
      <c r="U1815">
        <f t="shared" si="141"/>
        <v>1</v>
      </c>
      <c r="V1815" t="str">
        <f t="shared" si="142"/>
        <v>Junior</v>
      </c>
      <c r="W1815" t="str">
        <f t="shared" si="143"/>
        <v>Already Left</v>
      </c>
      <c r="X1815" t="str">
        <f t="shared" si="144"/>
        <v>Fair</v>
      </c>
    </row>
    <row r="1816" spans="1:24" x14ac:dyDescent="0.3">
      <c r="A1816" t="s">
        <v>1884</v>
      </c>
      <c r="B1816" t="s">
        <v>20</v>
      </c>
      <c r="C1816">
        <v>27</v>
      </c>
      <c r="D1816" t="s">
        <v>21</v>
      </c>
      <c r="E1816" t="s">
        <v>48</v>
      </c>
      <c r="F1816" t="s">
        <v>41</v>
      </c>
      <c r="G1816" t="s">
        <v>49</v>
      </c>
      <c r="H1816" t="s">
        <v>25</v>
      </c>
      <c r="I1816" t="s">
        <v>54</v>
      </c>
      <c r="J1816" t="s">
        <v>27</v>
      </c>
      <c r="K1816">
        <v>10</v>
      </c>
      <c r="L1816">
        <v>78800</v>
      </c>
      <c r="M1816" t="s">
        <v>51</v>
      </c>
      <c r="N1816">
        <v>4</v>
      </c>
      <c r="O1816">
        <v>1</v>
      </c>
      <c r="P1816">
        <v>74</v>
      </c>
      <c r="Q1816">
        <v>0</v>
      </c>
      <c r="R1816" s="1">
        <v>41639</v>
      </c>
      <c r="S1816" t="s">
        <v>29</v>
      </c>
      <c r="T1816" t="str">
        <f t="shared" si="140"/>
        <v>Grade B</v>
      </c>
      <c r="U1816">
        <f t="shared" si="141"/>
        <v>4</v>
      </c>
      <c r="V1816" t="str">
        <f t="shared" si="142"/>
        <v>Mid Level</v>
      </c>
      <c r="W1816" t="str">
        <f t="shared" si="143"/>
        <v>Low Risk</v>
      </c>
      <c r="X1816" t="str">
        <f t="shared" si="144"/>
        <v>Fair</v>
      </c>
    </row>
    <row r="1817" spans="1:24" x14ac:dyDescent="0.3">
      <c r="A1817" t="s">
        <v>1885</v>
      </c>
      <c r="B1817" t="s">
        <v>39</v>
      </c>
      <c r="C1817">
        <v>40</v>
      </c>
      <c r="D1817" t="s">
        <v>21</v>
      </c>
      <c r="E1817" t="s">
        <v>22</v>
      </c>
      <c r="F1817" t="s">
        <v>53</v>
      </c>
      <c r="G1817" t="s">
        <v>24</v>
      </c>
      <c r="H1817" t="s">
        <v>25</v>
      </c>
      <c r="I1817" t="s">
        <v>26</v>
      </c>
      <c r="J1817" t="s">
        <v>27</v>
      </c>
      <c r="K1817">
        <v>11</v>
      </c>
      <c r="L1817">
        <v>96954</v>
      </c>
      <c r="M1817" t="s">
        <v>36</v>
      </c>
      <c r="N1817">
        <v>2</v>
      </c>
      <c r="O1817">
        <v>3</v>
      </c>
      <c r="P1817">
        <v>20</v>
      </c>
      <c r="Q1817">
        <v>2</v>
      </c>
      <c r="R1817" s="1">
        <v>40991</v>
      </c>
      <c r="S1817" t="s">
        <v>37</v>
      </c>
      <c r="T1817" t="str">
        <f t="shared" si="140"/>
        <v>Grade A</v>
      </c>
      <c r="U1817">
        <f t="shared" si="141"/>
        <v>1</v>
      </c>
      <c r="V1817" t="str">
        <f t="shared" si="142"/>
        <v>Senior</v>
      </c>
      <c r="W1817" t="str">
        <f t="shared" si="143"/>
        <v>Already Left</v>
      </c>
      <c r="X1817" t="str">
        <f t="shared" si="144"/>
        <v>Overpaid</v>
      </c>
    </row>
    <row r="1818" spans="1:24" x14ac:dyDescent="0.3">
      <c r="A1818" t="s">
        <v>1886</v>
      </c>
      <c r="B1818" t="s">
        <v>39</v>
      </c>
      <c r="C1818">
        <v>36</v>
      </c>
      <c r="D1818" t="s">
        <v>47</v>
      </c>
      <c r="E1818" t="s">
        <v>48</v>
      </c>
      <c r="F1818" t="s">
        <v>32</v>
      </c>
      <c r="G1818" t="s">
        <v>79</v>
      </c>
      <c r="H1818" t="s">
        <v>83</v>
      </c>
      <c r="I1818" t="s">
        <v>26</v>
      </c>
      <c r="J1818" t="s">
        <v>27</v>
      </c>
      <c r="K1818">
        <v>2</v>
      </c>
      <c r="L1818">
        <v>44225</v>
      </c>
      <c r="M1818" t="s">
        <v>51</v>
      </c>
      <c r="N1818">
        <v>1</v>
      </c>
      <c r="O1818">
        <v>4</v>
      </c>
      <c r="P1818">
        <v>10</v>
      </c>
      <c r="Q1818">
        <v>2</v>
      </c>
      <c r="R1818" s="1">
        <v>44387</v>
      </c>
      <c r="S1818" t="s">
        <v>37</v>
      </c>
      <c r="T1818" t="str">
        <f t="shared" si="140"/>
        <v>Grade C</v>
      </c>
      <c r="U1818">
        <f t="shared" si="141"/>
        <v>4</v>
      </c>
      <c r="V1818" t="str">
        <f t="shared" si="142"/>
        <v>New Joiner</v>
      </c>
      <c r="W1818" t="str">
        <f t="shared" si="143"/>
        <v>Already Left</v>
      </c>
      <c r="X1818" t="str">
        <f t="shared" si="144"/>
        <v>Fair</v>
      </c>
    </row>
    <row r="1819" spans="1:24" x14ac:dyDescent="0.3">
      <c r="A1819" t="s">
        <v>1887</v>
      </c>
      <c r="B1819" t="s">
        <v>20</v>
      </c>
      <c r="C1819">
        <v>51</v>
      </c>
      <c r="D1819" t="s">
        <v>21</v>
      </c>
      <c r="E1819" t="s">
        <v>48</v>
      </c>
      <c r="F1819" t="s">
        <v>78</v>
      </c>
      <c r="G1819" t="s">
        <v>58</v>
      </c>
      <c r="H1819" t="s">
        <v>83</v>
      </c>
      <c r="I1819" t="s">
        <v>80</v>
      </c>
      <c r="J1819" t="s">
        <v>60</v>
      </c>
      <c r="K1819">
        <v>7</v>
      </c>
      <c r="L1819">
        <v>107760</v>
      </c>
      <c r="M1819" t="s">
        <v>45</v>
      </c>
      <c r="N1819">
        <v>4</v>
      </c>
      <c r="O1819">
        <v>2</v>
      </c>
      <c r="P1819">
        <v>18</v>
      </c>
      <c r="Q1819">
        <v>0</v>
      </c>
      <c r="R1819" s="1">
        <v>42713</v>
      </c>
      <c r="S1819" t="s">
        <v>29</v>
      </c>
      <c r="T1819" t="str">
        <f t="shared" si="140"/>
        <v>Grade A</v>
      </c>
      <c r="U1819">
        <f t="shared" si="141"/>
        <v>2</v>
      </c>
      <c r="V1819" t="str">
        <f t="shared" si="142"/>
        <v>Mid Level</v>
      </c>
      <c r="W1819" t="str">
        <f t="shared" si="143"/>
        <v>Medium Risk</v>
      </c>
      <c r="X1819" t="str">
        <f t="shared" si="144"/>
        <v>Fair</v>
      </c>
    </row>
    <row r="1820" spans="1:24" x14ac:dyDescent="0.3">
      <c r="A1820" t="s">
        <v>1888</v>
      </c>
      <c r="B1820" t="s">
        <v>39</v>
      </c>
      <c r="C1820">
        <v>31</v>
      </c>
      <c r="D1820" t="s">
        <v>57</v>
      </c>
      <c r="E1820" t="s">
        <v>48</v>
      </c>
      <c r="F1820" t="s">
        <v>41</v>
      </c>
      <c r="G1820" t="s">
        <v>63</v>
      </c>
      <c r="H1820" t="s">
        <v>25</v>
      </c>
      <c r="I1820" t="s">
        <v>59</v>
      </c>
      <c r="J1820" t="s">
        <v>60</v>
      </c>
      <c r="K1820">
        <v>13</v>
      </c>
      <c r="L1820">
        <v>69905</v>
      </c>
      <c r="M1820" t="s">
        <v>45</v>
      </c>
      <c r="N1820">
        <v>4</v>
      </c>
      <c r="O1820">
        <v>3</v>
      </c>
      <c r="P1820">
        <v>16</v>
      </c>
      <c r="Q1820">
        <v>3</v>
      </c>
      <c r="R1820" s="1">
        <v>40305</v>
      </c>
      <c r="S1820" t="s">
        <v>29</v>
      </c>
      <c r="T1820" t="str">
        <f t="shared" si="140"/>
        <v>Grade B</v>
      </c>
      <c r="U1820">
        <f t="shared" si="141"/>
        <v>2</v>
      </c>
      <c r="V1820" t="str">
        <f t="shared" si="142"/>
        <v>Senior</v>
      </c>
      <c r="W1820" t="str">
        <f t="shared" si="143"/>
        <v>Medium Risk</v>
      </c>
      <c r="X1820" t="str">
        <f t="shared" si="144"/>
        <v>Fair</v>
      </c>
    </row>
    <row r="1821" spans="1:24" x14ac:dyDescent="0.3">
      <c r="A1821" t="s">
        <v>1889</v>
      </c>
      <c r="B1821" t="s">
        <v>20</v>
      </c>
      <c r="C1821">
        <v>22</v>
      </c>
      <c r="D1821" t="s">
        <v>88</v>
      </c>
      <c r="E1821" t="s">
        <v>22</v>
      </c>
      <c r="F1821" t="s">
        <v>23</v>
      </c>
      <c r="G1821" t="s">
        <v>33</v>
      </c>
      <c r="H1821" t="s">
        <v>67</v>
      </c>
      <c r="I1821" t="s">
        <v>80</v>
      </c>
      <c r="J1821" t="s">
        <v>60</v>
      </c>
      <c r="K1821">
        <v>14</v>
      </c>
      <c r="L1821">
        <v>86700</v>
      </c>
      <c r="M1821" t="s">
        <v>28</v>
      </c>
      <c r="N1821">
        <v>2</v>
      </c>
      <c r="O1821">
        <v>1</v>
      </c>
      <c r="P1821">
        <v>39</v>
      </c>
      <c r="Q1821">
        <v>3</v>
      </c>
      <c r="R1821" s="1">
        <v>39866</v>
      </c>
      <c r="S1821" t="s">
        <v>29</v>
      </c>
      <c r="T1821" t="str">
        <f t="shared" si="140"/>
        <v>Grade A</v>
      </c>
      <c r="U1821">
        <f t="shared" si="141"/>
        <v>3</v>
      </c>
      <c r="V1821" t="str">
        <f t="shared" si="142"/>
        <v>Senior</v>
      </c>
      <c r="W1821" t="str">
        <f t="shared" si="143"/>
        <v>Medium Risk</v>
      </c>
      <c r="X1821" t="str">
        <f t="shared" si="144"/>
        <v>Competitive</v>
      </c>
    </row>
    <row r="1822" spans="1:24" x14ac:dyDescent="0.3">
      <c r="A1822" t="s">
        <v>1890</v>
      </c>
      <c r="B1822" t="s">
        <v>20</v>
      </c>
      <c r="C1822">
        <v>23</v>
      </c>
      <c r="D1822" t="s">
        <v>47</v>
      </c>
      <c r="E1822" t="s">
        <v>22</v>
      </c>
      <c r="F1822" t="s">
        <v>62</v>
      </c>
      <c r="G1822" t="s">
        <v>63</v>
      </c>
      <c r="H1822" t="s">
        <v>83</v>
      </c>
      <c r="I1822" t="s">
        <v>54</v>
      </c>
      <c r="J1822" t="s">
        <v>27</v>
      </c>
      <c r="K1822">
        <v>14</v>
      </c>
      <c r="L1822">
        <v>72845</v>
      </c>
      <c r="M1822" t="s">
        <v>28</v>
      </c>
      <c r="N1822">
        <v>4</v>
      </c>
      <c r="O1822">
        <v>4</v>
      </c>
      <c r="P1822">
        <v>54</v>
      </c>
      <c r="Q1822">
        <v>1</v>
      </c>
      <c r="R1822" s="1">
        <v>40180</v>
      </c>
      <c r="S1822" t="s">
        <v>37</v>
      </c>
      <c r="T1822" t="str">
        <f t="shared" si="140"/>
        <v>Grade B</v>
      </c>
      <c r="U1822">
        <f t="shared" si="141"/>
        <v>3</v>
      </c>
      <c r="V1822" t="str">
        <f t="shared" si="142"/>
        <v>Senior</v>
      </c>
      <c r="W1822" t="str">
        <f t="shared" si="143"/>
        <v>Already Left</v>
      </c>
      <c r="X1822" t="str">
        <f t="shared" si="144"/>
        <v>Competitive</v>
      </c>
    </row>
    <row r="1823" spans="1:24" x14ac:dyDescent="0.3">
      <c r="A1823" t="s">
        <v>1891</v>
      </c>
      <c r="B1823" t="s">
        <v>39</v>
      </c>
      <c r="C1823">
        <v>23</v>
      </c>
      <c r="D1823" t="s">
        <v>88</v>
      </c>
      <c r="E1823" t="s">
        <v>40</v>
      </c>
      <c r="F1823" t="s">
        <v>23</v>
      </c>
      <c r="G1823" t="s">
        <v>63</v>
      </c>
      <c r="H1823" t="s">
        <v>25</v>
      </c>
      <c r="I1823" t="s">
        <v>26</v>
      </c>
      <c r="J1823" t="s">
        <v>27</v>
      </c>
      <c r="K1823">
        <v>15</v>
      </c>
      <c r="L1823">
        <v>72911</v>
      </c>
      <c r="M1823" t="s">
        <v>36</v>
      </c>
      <c r="N1823">
        <v>4</v>
      </c>
      <c r="O1823">
        <v>3</v>
      </c>
      <c r="P1823">
        <v>47</v>
      </c>
      <c r="Q1823">
        <v>3</v>
      </c>
      <c r="R1823" s="1">
        <v>39799</v>
      </c>
      <c r="S1823" t="s">
        <v>29</v>
      </c>
      <c r="T1823" t="str">
        <f t="shared" si="140"/>
        <v>Grade B</v>
      </c>
      <c r="U1823">
        <f t="shared" si="141"/>
        <v>1</v>
      </c>
      <c r="V1823" t="str">
        <f t="shared" si="142"/>
        <v>Senior</v>
      </c>
      <c r="W1823" t="str">
        <f t="shared" si="143"/>
        <v>Medium Risk</v>
      </c>
      <c r="X1823" t="str">
        <f t="shared" si="144"/>
        <v>Fair</v>
      </c>
    </row>
    <row r="1824" spans="1:24" x14ac:dyDescent="0.3">
      <c r="A1824" t="s">
        <v>1892</v>
      </c>
      <c r="B1824" t="s">
        <v>39</v>
      </c>
      <c r="C1824">
        <v>39</v>
      </c>
      <c r="D1824" t="s">
        <v>57</v>
      </c>
      <c r="E1824" t="s">
        <v>48</v>
      </c>
      <c r="F1824" t="s">
        <v>53</v>
      </c>
      <c r="G1824" t="s">
        <v>58</v>
      </c>
      <c r="H1824" t="s">
        <v>25</v>
      </c>
      <c r="I1824" t="s">
        <v>26</v>
      </c>
      <c r="J1824" t="s">
        <v>27</v>
      </c>
      <c r="K1824">
        <v>7</v>
      </c>
      <c r="L1824">
        <v>101730</v>
      </c>
      <c r="M1824" t="s">
        <v>28</v>
      </c>
      <c r="N1824">
        <v>4</v>
      </c>
      <c r="O1824">
        <v>4</v>
      </c>
      <c r="P1824">
        <v>48</v>
      </c>
      <c r="Q1824">
        <v>3</v>
      </c>
      <c r="R1824" s="1">
        <v>42727</v>
      </c>
      <c r="S1824" t="s">
        <v>29</v>
      </c>
      <c r="T1824" t="str">
        <f t="shared" si="140"/>
        <v>Grade A</v>
      </c>
      <c r="U1824">
        <f t="shared" si="141"/>
        <v>3</v>
      </c>
      <c r="V1824" t="str">
        <f t="shared" si="142"/>
        <v>Mid Level</v>
      </c>
      <c r="W1824" t="str">
        <f t="shared" si="143"/>
        <v>Medium Risk</v>
      </c>
      <c r="X1824" t="str">
        <f t="shared" si="144"/>
        <v>Competitive</v>
      </c>
    </row>
    <row r="1825" spans="1:24" x14ac:dyDescent="0.3">
      <c r="A1825" t="s">
        <v>1893</v>
      </c>
      <c r="B1825" t="s">
        <v>39</v>
      </c>
      <c r="C1825">
        <v>47</v>
      </c>
      <c r="D1825" t="s">
        <v>21</v>
      </c>
      <c r="E1825" t="s">
        <v>22</v>
      </c>
      <c r="F1825" t="s">
        <v>62</v>
      </c>
      <c r="G1825" t="s">
        <v>79</v>
      </c>
      <c r="H1825" t="s">
        <v>34</v>
      </c>
      <c r="I1825" t="s">
        <v>54</v>
      </c>
      <c r="J1825" t="s">
        <v>27</v>
      </c>
      <c r="K1825">
        <v>9</v>
      </c>
      <c r="L1825">
        <v>63312</v>
      </c>
      <c r="M1825" t="s">
        <v>45</v>
      </c>
      <c r="N1825">
        <v>1</v>
      </c>
      <c r="O1825">
        <v>4</v>
      </c>
      <c r="P1825">
        <v>69</v>
      </c>
      <c r="Q1825">
        <v>0</v>
      </c>
      <c r="R1825" s="1">
        <v>41675</v>
      </c>
      <c r="S1825" t="s">
        <v>37</v>
      </c>
      <c r="T1825" t="str">
        <f t="shared" si="140"/>
        <v>Grade B</v>
      </c>
      <c r="U1825">
        <f t="shared" si="141"/>
        <v>2</v>
      </c>
      <c r="V1825" t="str">
        <f t="shared" si="142"/>
        <v>Mid Level</v>
      </c>
      <c r="W1825" t="str">
        <f t="shared" si="143"/>
        <v>Already Left</v>
      </c>
      <c r="X1825" t="str">
        <f t="shared" si="144"/>
        <v>Fair</v>
      </c>
    </row>
    <row r="1826" spans="1:24" x14ac:dyDescent="0.3">
      <c r="A1826" t="s">
        <v>1894</v>
      </c>
      <c r="B1826" t="s">
        <v>39</v>
      </c>
      <c r="C1826">
        <v>34</v>
      </c>
      <c r="D1826" t="s">
        <v>21</v>
      </c>
      <c r="E1826" t="s">
        <v>48</v>
      </c>
      <c r="F1826" t="s">
        <v>78</v>
      </c>
      <c r="G1826" t="s">
        <v>33</v>
      </c>
      <c r="H1826" t="s">
        <v>76</v>
      </c>
      <c r="I1826" t="s">
        <v>26</v>
      </c>
      <c r="J1826" t="s">
        <v>27</v>
      </c>
      <c r="K1826">
        <v>11</v>
      </c>
      <c r="L1826">
        <v>82262</v>
      </c>
      <c r="M1826" t="s">
        <v>28</v>
      </c>
      <c r="N1826">
        <v>1</v>
      </c>
      <c r="O1826">
        <v>1</v>
      </c>
      <c r="P1826">
        <v>19</v>
      </c>
      <c r="Q1826">
        <v>3</v>
      </c>
      <c r="R1826" s="1">
        <v>41119</v>
      </c>
      <c r="S1826" t="s">
        <v>29</v>
      </c>
      <c r="T1826" t="str">
        <f t="shared" si="140"/>
        <v>Grade A</v>
      </c>
      <c r="U1826">
        <f t="shared" si="141"/>
        <v>3</v>
      </c>
      <c r="V1826" t="str">
        <f t="shared" si="142"/>
        <v>Senior</v>
      </c>
      <c r="W1826" t="str">
        <f t="shared" si="143"/>
        <v>Medium Risk</v>
      </c>
      <c r="X1826" t="str">
        <f t="shared" si="144"/>
        <v>Competitive</v>
      </c>
    </row>
    <row r="1827" spans="1:24" x14ac:dyDescent="0.3">
      <c r="A1827" t="s">
        <v>1895</v>
      </c>
      <c r="B1827" t="s">
        <v>20</v>
      </c>
      <c r="C1827">
        <v>40</v>
      </c>
      <c r="D1827" t="s">
        <v>21</v>
      </c>
      <c r="E1827" t="s">
        <v>48</v>
      </c>
      <c r="F1827" t="s">
        <v>75</v>
      </c>
      <c r="G1827" t="s">
        <v>58</v>
      </c>
      <c r="H1827" t="s">
        <v>83</v>
      </c>
      <c r="I1827" t="s">
        <v>26</v>
      </c>
      <c r="J1827" t="s">
        <v>27</v>
      </c>
      <c r="K1827">
        <v>5</v>
      </c>
      <c r="L1827">
        <v>90577</v>
      </c>
      <c r="M1827" t="s">
        <v>51</v>
      </c>
      <c r="N1827">
        <v>3</v>
      </c>
      <c r="O1827">
        <v>4</v>
      </c>
      <c r="P1827">
        <v>67</v>
      </c>
      <c r="Q1827">
        <v>2</v>
      </c>
      <c r="R1827" s="1">
        <v>43330</v>
      </c>
      <c r="S1827" t="s">
        <v>37</v>
      </c>
      <c r="T1827" t="str">
        <f t="shared" si="140"/>
        <v>Grade A</v>
      </c>
      <c r="U1827">
        <f t="shared" si="141"/>
        <v>4</v>
      </c>
      <c r="V1827" t="str">
        <f t="shared" si="142"/>
        <v>Junior</v>
      </c>
      <c r="W1827" t="str">
        <f t="shared" si="143"/>
        <v>Already Left</v>
      </c>
      <c r="X1827" t="str">
        <f t="shared" si="144"/>
        <v>Competitive</v>
      </c>
    </row>
    <row r="1828" spans="1:24" x14ac:dyDescent="0.3">
      <c r="A1828" t="s">
        <v>1896</v>
      </c>
      <c r="B1828" t="s">
        <v>39</v>
      </c>
      <c r="C1828">
        <v>28</v>
      </c>
      <c r="D1828" t="s">
        <v>57</v>
      </c>
      <c r="E1828" t="s">
        <v>40</v>
      </c>
      <c r="F1828" t="s">
        <v>32</v>
      </c>
      <c r="G1828" t="s">
        <v>63</v>
      </c>
      <c r="H1828" t="s">
        <v>67</v>
      </c>
      <c r="I1828" t="s">
        <v>59</v>
      </c>
      <c r="J1828" t="s">
        <v>60</v>
      </c>
      <c r="K1828">
        <v>11</v>
      </c>
      <c r="L1828">
        <v>68221</v>
      </c>
      <c r="M1828" t="s">
        <v>45</v>
      </c>
      <c r="N1828">
        <v>1</v>
      </c>
      <c r="O1828">
        <v>2</v>
      </c>
      <c r="P1828">
        <v>39</v>
      </c>
      <c r="Q1828">
        <v>2</v>
      </c>
      <c r="R1828" s="1">
        <v>41195</v>
      </c>
      <c r="S1828" t="s">
        <v>29</v>
      </c>
      <c r="T1828" t="str">
        <f t="shared" si="140"/>
        <v>Grade B</v>
      </c>
      <c r="U1828">
        <f t="shared" si="141"/>
        <v>2</v>
      </c>
      <c r="V1828" t="str">
        <f t="shared" si="142"/>
        <v>Senior</v>
      </c>
      <c r="W1828" t="str">
        <f t="shared" si="143"/>
        <v>Medium Risk</v>
      </c>
      <c r="X1828" t="str">
        <f t="shared" si="144"/>
        <v>Fair</v>
      </c>
    </row>
    <row r="1829" spans="1:24" x14ac:dyDescent="0.3">
      <c r="A1829" t="s">
        <v>1897</v>
      </c>
      <c r="B1829" t="s">
        <v>39</v>
      </c>
      <c r="C1829">
        <v>46</v>
      </c>
      <c r="D1829" t="s">
        <v>21</v>
      </c>
      <c r="E1829" t="s">
        <v>40</v>
      </c>
      <c r="F1829" t="s">
        <v>23</v>
      </c>
      <c r="G1829" t="s">
        <v>24</v>
      </c>
      <c r="H1829" t="s">
        <v>83</v>
      </c>
      <c r="I1829" t="s">
        <v>59</v>
      </c>
      <c r="J1829" t="s">
        <v>60</v>
      </c>
      <c r="K1829">
        <v>10</v>
      </c>
      <c r="L1829">
        <v>97606</v>
      </c>
      <c r="M1829" t="s">
        <v>45</v>
      </c>
      <c r="N1829">
        <v>4</v>
      </c>
      <c r="O1829">
        <v>4</v>
      </c>
      <c r="P1829">
        <v>40</v>
      </c>
      <c r="Q1829">
        <v>0</v>
      </c>
      <c r="R1829" s="1">
        <v>41464</v>
      </c>
      <c r="S1829" t="s">
        <v>29</v>
      </c>
      <c r="T1829" t="str">
        <f t="shared" si="140"/>
        <v>Grade A</v>
      </c>
      <c r="U1829">
        <f t="shared" si="141"/>
        <v>2</v>
      </c>
      <c r="V1829" t="str">
        <f t="shared" si="142"/>
        <v>Mid Level</v>
      </c>
      <c r="W1829" t="str">
        <f t="shared" si="143"/>
        <v>Medium Risk</v>
      </c>
      <c r="X1829" t="str">
        <f t="shared" si="144"/>
        <v>Fair</v>
      </c>
    </row>
    <row r="1830" spans="1:24" x14ac:dyDescent="0.3">
      <c r="A1830" t="s">
        <v>1898</v>
      </c>
      <c r="B1830" t="s">
        <v>20</v>
      </c>
      <c r="C1830">
        <v>31</v>
      </c>
      <c r="D1830" t="s">
        <v>47</v>
      </c>
      <c r="E1830" t="s">
        <v>40</v>
      </c>
      <c r="F1830" t="s">
        <v>32</v>
      </c>
      <c r="G1830" t="s">
        <v>63</v>
      </c>
      <c r="H1830" t="s">
        <v>34</v>
      </c>
      <c r="I1830" t="s">
        <v>96</v>
      </c>
      <c r="J1830" t="s">
        <v>44</v>
      </c>
      <c r="K1830">
        <v>13</v>
      </c>
      <c r="L1830">
        <v>66071</v>
      </c>
      <c r="M1830" t="s">
        <v>45</v>
      </c>
      <c r="N1830">
        <v>3</v>
      </c>
      <c r="O1830">
        <v>4</v>
      </c>
      <c r="P1830">
        <v>52</v>
      </c>
      <c r="Q1830">
        <v>1</v>
      </c>
      <c r="R1830" s="1">
        <v>40288</v>
      </c>
      <c r="S1830" t="s">
        <v>29</v>
      </c>
      <c r="T1830" t="str">
        <f t="shared" si="140"/>
        <v>Grade B</v>
      </c>
      <c r="U1830">
        <f t="shared" si="141"/>
        <v>2</v>
      </c>
      <c r="V1830" t="str">
        <f t="shared" si="142"/>
        <v>Senior</v>
      </c>
      <c r="W1830" t="str">
        <f t="shared" si="143"/>
        <v>Medium Risk</v>
      </c>
      <c r="X1830" t="str">
        <f t="shared" si="144"/>
        <v>Fair</v>
      </c>
    </row>
    <row r="1831" spans="1:24" x14ac:dyDescent="0.3">
      <c r="A1831" t="s">
        <v>1899</v>
      </c>
      <c r="B1831" t="s">
        <v>39</v>
      </c>
      <c r="C1831">
        <v>39</v>
      </c>
      <c r="D1831" t="s">
        <v>88</v>
      </c>
      <c r="E1831" t="s">
        <v>22</v>
      </c>
      <c r="F1831" t="s">
        <v>53</v>
      </c>
      <c r="G1831" t="s">
        <v>33</v>
      </c>
      <c r="H1831" t="s">
        <v>76</v>
      </c>
      <c r="I1831" t="s">
        <v>54</v>
      </c>
      <c r="J1831" t="s">
        <v>27</v>
      </c>
      <c r="K1831">
        <v>9</v>
      </c>
      <c r="L1831">
        <v>71030</v>
      </c>
      <c r="M1831" t="s">
        <v>36</v>
      </c>
      <c r="N1831">
        <v>1</v>
      </c>
      <c r="O1831">
        <v>4</v>
      </c>
      <c r="P1831">
        <v>59</v>
      </c>
      <c r="Q1831">
        <v>3</v>
      </c>
      <c r="R1831" s="1">
        <v>41967</v>
      </c>
      <c r="S1831" t="s">
        <v>29</v>
      </c>
      <c r="T1831" t="str">
        <f t="shared" si="140"/>
        <v>Grade B</v>
      </c>
      <c r="U1831">
        <f t="shared" si="141"/>
        <v>1</v>
      </c>
      <c r="V1831" t="str">
        <f t="shared" si="142"/>
        <v>Mid Level</v>
      </c>
      <c r="W1831" t="str">
        <f t="shared" si="143"/>
        <v>Medium Risk</v>
      </c>
      <c r="X1831" t="str">
        <f t="shared" si="144"/>
        <v>Fair</v>
      </c>
    </row>
    <row r="1832" spans="1:24" x14ac:dyDescent="0.3">
      <c r="A1832" t="s">
        <v>1900</v>
      </c>
      <c r="B1832" t="s">
        <v>20</v>
      </c>
      <c r="C1832">
        <v>30</v>
      </c>
      <c r="D1832" t="s">
        <v>21</v>
      </c>
      <c r="E1832" t="s">
        <v>40</v>
      </c>
      <c r="F1832" t="s">
        <v>75</v>
      </c>
      <c r="G1832" t="s">
        <v>79</v>
      </c>
      <c r="H1832" t="s">
        <v>83</v>
      </c>
      <c r="I1832" t="s">
        <v>50</v>
      </c>
      <c r="J1832" t="s">
        <v>44</v>
      </c>
      <c r="K1832">
        <v>6</v>
      </c>
      <c r="L1832">
        <v>57652</v>
      </c>
      <c r="M1832" t="s">
        <v>45</v>
      </c>
      <c r="N1832">
        <v>1</v>
      </c>
      <c r="O1832">
        <v>4</v>
      </c>
      <c r="P1832">
        <v>27</v>
      </c>
      <c r="Q1832">
        <v>2</v>
      </c>
      <c r="R1832" s="1">
        <v>42939</v>
      </c>
      <c r="S1832" t="s">
        <v>29</v>
      </c>
      <c r="T1832" t="str">
        <f t="shared" si="140"/>
        <v>Grade B</v>
      </c>
      <c r="U1832">
        <f t="shared" si="141"/>
        <v>2</v>
      </c>
      <c r="V1832" t="str">
        <f t="shared" si="142"/>
        <v>Mid Level</v>
      </c>
      <c r="W1832" t="str">
        <f t="shared" si="143"/>
        <v>Medium Risk</v>
      </c>
      <c r="X1832" t="str">
        <f t="shared" si="144"/>
        <v>Fair</v>
      </c>
    </row>
    <row r="1833" spans="1:24" x14ac:dyDescent="0.3">
      <c r="A1833" t="s">
        <v>1901</v>
      </c>
      <c r="B1833" t="s">
        <v>20</v>
      </c>
      <c r="C1833">
        <v>35</v>
      </c>
      <c r="D1833" t="s">
        <v>88</v>
      </c>
      <c r="E1833" t="s">
        <v>40</v>
      </c>
      <c r="F1833" t="s">
        <v>75</v>
      </c>
      <c r="G1833" t="s">
        <v>66</v>
      </c>
      <c r="H1833" t="s">
        <v>34</v>
      </c>
      <c r="I1833" t="s">
        <v>50</v>
      </c>
      <c r="J1833" t="s">
        <v>44</v>
      </c>
      <c r="K1833">
        <v>15</v>
      </c>
      <c r="L1833">
        <v>63617</v>
      </c>
      <c r="M1833" t="s">
        <v>28</v>
      </c>
      <c r="N1833">
        <v>4</v>
      </c>
      <c r="O1833">
        <v>1</v>
      </c>
      <c r="P1833">
        <v>23</v>
      </c>
      <c r="Q1833">
        <v>2</v>
      </c>
      <c r="R1833" s="1">
        <v>39663</v>
      </c>
      <c r="S1833" t="s">
        <v>29</v>
      </c>
      <c r="T1833" t="str">
        <f t="shared" si="140"/>
        <v>Grade B</v>
      </c>
      <c r="U1833">
        <f t="shared" si="141"/>
        <v>3</v>
      </c>
      <c r="V1833" t="str">
        <f t="shared" si="142"/>
        <v>Senior</v>
      </c>
      <c r="W1833" t="str">
        <f t="shared" si="143"/>
        <v>Medium Risk</v>
      </c>
      <c r="X1833" t="str">
        <f t="shared" si="144"/>
        <v>Competitive</v>
      </c>
    </row>
    <row r="1834" spans="1:24" x14ac:dyDescent="0.3">
      <c r="A1834" t="s">
        <v>1902</v>
      </c>
      <c r="B1834" t="s">
        <v>39</v>
      </c>
      <c r="C1834">
        <v>52</v>
      </c>
      <c r="D1834" t="s">
        <v>21</v>
      </c>
      <c r="E1834" t="s">
        <v>40</v>
      </c>
      <c r="F1834" t="s">
        <v>65</v>
      </c>
      <c r="G1834" t="s">
        <v>49</v>
      </c>
      <c r="H1834" t="s">
        <v>76</v>
      </c>
      <c r="I1834" t="s">
        <v>72</v>
      </c>
      <c r="J1834" t="s">
        <v>73</v>
      </c>
      <c r="K1834">
        <v>14</v>
      </c>
      <c r="L1834">
        <v>87637</v>
      </c>
      <c r="M1834" t="s">
        <v>51</v>
      </c>
      <c r="N1834">
        <v>4</v>
      </c>
      <c r="O1834">
        <v>4</v>
      </c>
      <c r="P1834">
        <v>29</v>
      </c>
      <c r="Q1834">
        <v>2</v>
      </c>
      <c r="R1834" s="1">
        <v>40054</v>
      </c>
      <c r="S1834" t="s">
        <v>29</v>
      </c>
      <c r="T1834" t="str">
        <f t="shared" si="140"/>
        <v>Grade A</v>
      </c>
      <c r="U1834">
        <f t="shared" si="141"/>
        <v>4</v>
      </c>
      <c r="V1834" t="str">
        <f t="shared" si="142"/>
        <v>Senior</v>
      </c>
      <c r="W1834" t="str">
        <f t="shared" si="143"/>
        <v>Low Risk</v>
      </c>
      <c r="X1834" t="str">
        <f t="shared" si="144"/>
        <v>Competitive</v>
      </c>
    </row>
    <row r="1835" spans="1:24" x14ac:dyDescent="0.3">
      <c r="A1835" t="s">
        <v>1903</v>
      </c>
      <c r="B1835" t="s">
        <v>39</v>
      </c>
      <c r="C1835">
        <v>25</v>
      </c>
      <c r="D1835" t="s">
        <v>21</v>
      </c>
      <c r="E1835" t="s">
        <v>22</v>
      </c>
      <c r="F1835" t="s">
        <v>53</v>
      </c>
      <c r="G1835" t="s">
        <v>58</v>
      </c>
      <c r="H1835" t="s">
        <v>34</v>
      </c>
      <c r="I1835" t="s">
        <v>72</v>
      </c>
      <c r="J1835" t="s">
        <v>73</v>
      </c>
      <c r="K1835">
        <v>6</v>
      </c>
      <c r="L1835">
        <v>92689</v>
      </c>
      <c r="M1835" t="s">
        <v>51</v>
      </c>
      <c r="N1835">
        <v>1</v>
      </c>
      <c r="O1835">
        <v>1</v>
      </c>
      <c r="P1835">
        <v>51</v>
      </c>
      <c r="Q1835">
        <v>3</v>
      </c>
      <c r="R1835" s="1">
        <v>43075</v>
      </c>
      <c r="S1835" t="s">
        <v>29</v>
      </c>
      <c r="T1835" t="str">
        <f t="shared" si="140"/>
        <v>Grade A</v>
      </c>
      <c r="U1835">
        <f t="shared" si="141"/>
        <v>4</v>
      </c>
      <c r="V1835" t="str">
        <f t="shared" si="142"/>
        <v>Mid Level</v>
      </c>
      <c r="W1835" t="str">
        <f t="shared" si="143"/>
        <v>Low Risk</v>
      </c>
      <c r="X1835" t="str">
        <f t="shared" si="144"/>
        <v>Competitive</v>
      </c>
    </row>
    <row r="1836" spans="1:24" x14ac:dyDescent="0.3">
      <c r="A1836" t="s">
        <v>1904</v>
      </c>
      <c r="B1836" t="s">
        <v>39</v>
      </c>
      <c r="C1836">
        <v>30</v>
      </c>
      <c r="D1836" t="s">
        <v>21</v>
      </c>
      <c r="E1836" t="s">
        <v>22</v>
      </c>
      <c r="F1836" t="s">
        <v>75</v>
      </c>
      <c r="G1836" t="s">
        <v>42</v>
      </c>
      <c r="H1836" t="s">
        <v>83</v>
      </c>
      <c r="I1836" t="s">
        <v>26</v>
      </c>
      <c r="J1836" t="s">
        <v>27</v>
      </c>
      <c r="K1836">
        <v>4</v>
      </c>
      <c r="L1836">
        <v>101269</v>
      </c>
      <c r="M1836" t="s">
        <v>36</v>
      </c>
      <c r="N1836">
        <v>1</v>
      </c>
      <c r="O1836">
        <v>1</v>
      </c>
      <c r="P1836">
        <v>75</v>
      </c>
      <c r="Q1836">
        <v>1</v>
      </c>
      <c r="R1836" s="1">
        <v>43569</v>
      </c>
      <c r="S1836" t="s">
        <v>29</v>
      </c>
      <c r="T1836" t="str">
        <f t="shared" si="140"/>
        <v>Grade A</v>
      </c>
      <c r="U1836">
        <f t="shared" si="141"/>
        <v>1</v>
      </c>
      <c r="V1836" t="str">
        <f t="shared" si="142"/>
        <v>Junior</v>
      </c>
      <c r="W1836" t="str">
        <f t="shared" si="143"/>
        <v>Medium Risk</v>
      </c>
      <c r="X1836" t="str">
        <f t="shared" si="144"/>
        <v>Overpaid</v>
      </c>
    </row>
    <row r="1837" spans="1:24" x14ac:dyDescent="0.3">
      <c r="A1837" t="s">
        <v>1905</v>
      </c>
      <c r="B1837" t="s">
        <v>39</v>
      </c>
      <c r="C1837">
        <v>26</v>
      </c>
      <c r="D1837" t="s">
        <v>21</v>
      </c>
      <c r="E1837" t="s">
        <v>48</v>
      </c>
      <c r="F1837" t="s">
        <v>62</v>
      </c>
      <c r="G1837" t="s">
        <v>63</v>
      </c>
      <c r="H1837" t="s">
        <v>76</v>
      </c>
      <c r="I1837" t="s">
        <v>59</v>
      </c>
      <c r="J1837" t="s">
        <v>60</v>
      </c>
      <c r="K1837">
        <v>13</v>
      </c>
      <c r="L1837">
        <v>76665</v>
      </c>
      <c r="M1837" t="s">
        <v>51</v>
      </c>
      <c r="N1837">
        <v>3</v>
      </c>
      <c r="O1837">
        <v>1</v>
      </c>
      <c r="P1837">
        <v>73</v>
      </c>
      <c r="Q1837">
        <v>3</v>
      </c>
      <c r="R1837" s="1">
        <v>40447</v>
      </c>
      <c r="S1837" t="s">
        <v>29</v>
      </c>
      <c r="T1837" t="str">
        <f t="shared" si="140"/>
        <v>Grade B</v>
      </c>
      <c r="U1837">
        <f t="shared" si="141"/>
        <v>4</v>
      </c>
      <c r="V1837" t="str">
        <f t="shared" si="142"/>
        <v>Senior</v>
      </c>
      <c r="W1837" t="str">
        <f t="shared" si="143"/>
        <v>Low Risk</v>
      </c>
      <c r="X1837" t="str">
        <f t="shared" si="144"/>
        <v>Fair</v>
      </c>
    </row>
    <row r="1838" spans="1:24" x14ac:dyDescent="0.3">
      <c r="A1838" t="s">
        <v>1906</v>
      </c>
      <c r="B1838" t="s">
        <v>39</v>
      </c>
      <c r="C1838">
        <v>26</v>
      </c>
      <c r="D1838" t="s">
        <v>88</v>
      </c>
      <c r="E1838" t="s">
        <v>40</v>
      </c>
      <c r="F1838" t="s">
        <v>75</v>
      </c>
      <c r="G1838" t="s">
        <v>63</v>
      </c>
      <c r="H1838" t="s">
        <v>25</v>
      </c>
      <c r="I1838" t="s">
        <v>59</v>
      </c>
      <c r="J1838" t="s">
        <v>60</v>
      </c>
      <c r="K1838">
        <v>12</v>
      </c>
      <c r="L1838">
        <v>61300</v>
      </c>
      <c r="M1838" t="s">
        <v>45</v>
      </c>
      <c r="N1838">
        <v>2</v>
      </c>
      <c r="O1838">
        <v>2</v>
      </c>
      <c r="P1838">
        <v>12</v>
      </c>
      <c r="Q1838">
        <v>3</v>
      </c>
      <c r="R1838" s="1">
        <v>40842</v>
      </c>
      <c r="S1838" t="s">
        <v>29</v>
      </c>
      <c r="T1838" t="str">
        <f t="shared" si="140"/>
        <v>Grade B</v>
      </c>
      <c r="U1838">
        <f t="shared" si="141"/>
        <v>2</v>
      </c>
      <c r="V1838" t="str">
        <f t="shared" si="142"/>
        <v>Senior</v>
      </c>
      <c r="W1838" t="str">
        <f t="shared" si="143"/>
        <v>Medium Risk</v>
      </c>
      <c r="X1838" t="str">
        <f t="shared" si="144"/>
        <v>Fair</v>
      </c>
    </row>
    <row r="1839" spans="1:24" x14ac:dyDescent="0.3">
      <c r="A1839" t="s">
        <v>1907</v>
      </c>
      <c r="B1839" t="s">
        <v>39</v>
      </c>
      <c r="C1839">
        <v>23</v>
      </c>
      <c r="D1839" t="s">
        <v>47</v>
      </c>
      <c r="E1839" t="s">
        <v>22</v>
      </c>
      <c r="F1839" t="s">
        <v>41</v>
      </c>
      <c r="G1839" t="s">
        <v>42</v>
      </c>
      <c r="H1839" t="s">
        <v>34</v>
      </c>
      <c r="I1839" t="s">
        <v>59</v>
      </c>
      <c r="J1839" t="s">
        <v>60</v>
      </c>
      <c r="K1839">
        <v>14</v>
      </c>
      <c r="L1839">
        <v>116983</v>
      </c>
      <c r="M1839" t="s">
        <v>36</v>
      </c>
      <c r="N1839">
        <v>4</v>
      </c>
      <c r="O1839">
        <v>3</v>
      </c>
      <c r="P1839">
        <v>24</v>
      </c>
      <c r="Q1839">
        <v>3</v>
      </c>
      <c r="R1839" s="1">
        <v>40150</v>
      </c>
      <c r="S1839" t="s">
        <v>37</v>
      </c>
      <c r="T1839" t="str">
        <f t="shared" si="140"/>
        <v>Grade A</v>
      </c>
      <c r="U1839">
        <f t="shared" si="141"/>
        <v>1</v>
      </c>
      <c r="V1839" t="str">
        <f t="shared" si="142"/>
        <v>Senior</v>
      </c>
      <c r="W1839" t="str">
        <f t="shared" si="143"/>
        <v>Already Left</v>
      </c>
      <c r="X1839" t="str">
        <f t="shared" si="144"/>
        <v>Overpaid</v>
      </c>
    </row>
    <row r="1840" spans="1:24" x14ac:dyDescent="0.3">
      <c r="A1840" t="s">
        <v>1908</v>
      </c>
      <c r="B1840" t="s">
        <v>20</v>
      </c>
      <c r="C1840">
        <v>22</v>
      </c>
      <c r="D1840" t="s">
        <v>47</v>
      </c>
      <c r="E1840" t="s">
        <v>22</v>
      </c>
      <c r="F1840" t="s">
        <v>32</v>
      </c>
      <c r="G1840" t="s">
        <v>79</v>
      </c>
      <c r="H1840" t="s">
        <v>76</v>
      </c>
      <c r="I1840" t="s">
        <v>54</v>
      </c>
      <c r="J1840" t="s">
        <v>27</v>
      </c>
      <c r="K1840">
        <v>6</v>
      </c>
      <c r="L1840">
        <v>55560</v>
      </c>
      <c r="M1840" t="s">
        <v>28</v>
      </c>
      <c r="N1840">
        <v>2</v>
      </c>
      <c r="O1840">
        <v>1</v>
      </c>
      <c r="P1840">
        <v>39</v>
      </c>
      <c r="Q1840">
        <v>1</v>
      </c>
      <c r="R1840" s="1">
        <v>42880</v>
      </c>
      <c r="S1840" t="s">
        <v>29</v>
      </c>
      <c r="T1840" t="str">
        <f t="shared" si="140"/>
        <v>Grade B</v>
      </c>
      <c r="U1840">
        <f t="shared" si="141"/>
        <v>3</v>
      </c>
      <c r="V1840" t="str">
        <f t="shared" si="142"/>
        <v>Mid Level</v>
      </c>
      <c r="W1840" t="str">
        <f t="shared" si="143"/>
        <v>Medium Risk</v>
      </c>
      <c r="X1840" t="str">
        <f t="shared" si="144"/>
        <v>Competitive</v>
      </c>
    </row>
    <row r="1841" spans="1:24" x14ac:dyDescent="0.3">
      <c r="A1841" t="s">
        <v>1909</v>
      </c>
      <c r="B1841" t="s">
        <v>20</v>
      </c>
      <c r="C1841">
        <v>37</v>
      </c>
      <c r="D1841" t="s">
        <v>57</v>
      </c>
      <c r="E1841" t="s">
        <v>40</v>
      </c>
      <c r="F1841" t="s">
        <v>53</v>
      </c>
      <c r="G1841" t="s">
        <v>63</v>
      </c>
      <c r="H1841" t="s">
        <v>34</v>
      </c>
      <c r="I1841" t="s">
        <v>72</v>
      </c>
      <c r="J1841" t="s">
        <v>73</v>
      </c>
      <c r="K1841">
        <v>15</v>
      </c>
      <c r="L1841">
        <v>79883</v>
      </c>
      <c r="M1841" t="s">
        <v>28</v>
      </c>
      <c r="N1841">
        <v>3</v>
      </c>
      <c r="O1841">
        <v>3</v>
      </c>
      <c r="P1841">
        <v>31</v>
      </c>
      <c r="Q1841">
        <v>1</v>
      </c>
      <c r="R1841" s="1">
        <v>39728</v>
      </c>
      <c r="S1841" t="s">
        <v>37</v>
      </c>
      <c r="T1841" t="str">
        <f t="shared" si="140"/>
        <v>Grade B</v>
      </c>
      <c r="U1841">
        <f t="shared" si="141"/>
        <v>3</v>
      </c>
      <c r="V1841" t="str">
        <f t="shared" si="142"/>
        <v>Senior</v>
      </c>
      <c r="W1841" t="str">
        <f t="shared" si="143"/>
        <v>Already Left</v>
      </c>
      <c r="X1841" t="str">
        <f t="shared" si="144"/>
        <v>Competitive</v>
      </c>
    </row>
    <row r="1842" spans="1:24" x14ac:dyDescent="0.3">
      <c r="A1842" t="s">
        <v>1910</v>
      </c>
      <c r="B1842" t="s">
        <v>20</v>
      </c>
      <c r="C1842">
        <v>37</v>
      </c>
      <c r="D1842" t="s">
        <v>57</v>
      </c>
      <c r="E1842" t="s">
        <v>40</v>
      </c>
      <c r="F1842" t="s">
        <v>53</v>
      </c>
      <c r="G1842" t="s">
        <v>42</v>
      </c>
      <c r="H1842" t="s">
        <v>34</v>
      </c>
      <c r="I1842" t="s">
        <v>72</v>
      </c>
      <c r="J1842" t="s">
        <v>73</v>
      </c>
      <c r="K1842">
        <v>13</v>
      </c>
      <c r="L1842">
        <v>119458</v>
      </c>
      <c r="M1842" t="s">
        <v>36</v>
      </c>
      <c r="N1842">
        <v>4</v>
      </c>
      <c r="O1842">
        <v>1</v>
      </c>
      <c r="P1842">
        <v>24</v>
      </c>
      <c r="Q1842">
        <v>0</v>
      </c>
      <c r="R1842" s="1">
        <v>40281</v>
      </c>
      <c r="S1842" t="s">
        <v>29</v>
      </c>
      <c r="T1842" t="str">
        <f t="shared" si="140"/>
        <v>Grade A</v>
      </c>
      <c r="U1842">
        <f t="shared" si="141"/>
        <v>1</v>
      </c>
      <c r="V1842" t="str">
        <f t="shared" si="142"/>
        <v>Senior</v>
      </c>
      <c r="W1842" t="str">
        <f t="shared" si="143"/>
        <v>Medium Risk</v>
      </c>
      <c r="X1842" t="str">
        <f t="shared" si="144"/>
        <v>Overpaid</v>
      </c>
    </row>
    <row r="1843" spans="1:24" x14ac:dyDescent="0.3">
      <c r="A1843" t="s">
        <v>1911</v>
      </c>
      <c r="B1843" t="s">
        <v>39</v>
      </c>
      <c r="C1843">
        <v>42</v>
      </c>
      <c r="D1843" t="s">
        <v>88</v>
      </c>
      <c r="E1843" t="s">
        <v>48</v>
      </c>
      <c r="F1843" t="s">
        <v>32</v>
      </c>
      <c r="G1843" t="s">
        <v>42</v>
      </c>
      <c r="H1843" t="s">
        <v>67</v>
      </c>
      <c r="I1843" t="s">
        <v>80</v>
      </c>
      <c r="J1843" t="s">
        <v>60</v>
      </c>
      <c r="K1843">
        <v>7</v>
      </c>
      <c r="L1843">
        <v>99796</v>
      </c>
      <c r="M1843" t="s">
        <v>51</v>
      </c>
      <c r="N1843">
        <v>4</v>
      </c>
      <c r="O1843">
        <v>1</v>
      </c>
      <c r="P1843">
        <v>52</v>
      </c>
      <c r="Q1843">
        <v>2</v>
      </c>
      <c r="R1843" s="1">
        <v>42375</v>
      </c>
      <c r="S1843" t="s">
        <v>29</v>
      </c>
      <c r="T1843" t="str">
        <f t="shared" si="140"/>
        <v>Grade A</v>
      </c>
      <c r="U1843">
        <f t="shared" si="141"/>
        <v>4</v>
      </c>
      <c r="V1843" t="str">
        <f t="shared" si="142"/>
        <v>Mid Level</v>
      </c>
      <c r="W1843" t="str">
        <f t="shared" si="143"/>
        <v>Low Risk</v>
      </c>
      <c r="X1843" t="str">
        <f t="shared" si="144"/>
        <v>Competitive</v>
      </c>
    </row>
    <row r="1844" spans="1:24" x14ac:dyDescent="0.3">
      <c r="A1844" t="s">
        <v>1912</v>
      </c>
      <c r="B1844" t="s">
        <v>39</v>
      </c>
      <c r="C1844">
        <v>32</v>
      </c>
      <c r="D1844" t="s">
        <v>31</v>
      </c>
      <c r="E1844" t="s">
        <v>40</v>
      </c>
      <c r="F1844" t="s">
        <v>23</v>
      </c>
      <c r="G1844" t="s">
        <v>33</v>
      </c>
      <c r="H1844" t="s">
        <v>76</v>
      </c>
      <c r="I1844" t="s">
        <v>72</v>
      </c>
      <c r="J1844" t="s">
        <v>73</v>
      </c>
      <c r="K1844">
        <v>13</v>
      </c>
      <c r="L1844">
        <v>93388</v>
      </c>
      <c r="M1844" t="s">
        <v>28</v>
      </c>
      <c r="N1844">
        <v>1</v>
      </c>
      <c r="O1844">
        <v>2</v>
      </c>
      <c r="P1844">
        <v>12</v>
      </c>
      <c r="Q1844">
        <v>2</v>
      </c>
      <c r="R1844" s="1">
        <v>40235</v>
      </c>
      <c r="S1844" t="s">
        <v>29</v>
      </c>
      <c r="T1844" t="str">
        <f t="shared" si="140"/>
        <v>Grade A</v>
      </c>
      <c r="U1844">
        <f t="shared" si="141"/>
        <v>3</v>
      </c>
      <c r="V1844" t="str">
        <f t="shared" si="142"/>
        <v>Senior</v>
      </c>
      <c r="W1844" t="str">
        <f t="shared" si="143"/>
        <v>Medium Risk</v>
      </c>
      <c r="X1844" t="str">
        <f t="shared" si="144"/>
        <v>Competitive</v>
      </c>
    </row>
    <row r="1845" spans="1:24" x14ac:dyDescent="0.3">
      <c r="A1845" t="s">
        <v>1913</v>
      </c>
      <c r="B1845" t="s">
        <v>39</v>
      </c>
      <c r="C1845">
        <v>35</v>
      </c>
      <c r="D1845" t="s">
        <v>47</v>
      </c>
      <c r="E1845" t="s">
        <v>22</v>
      </c>
      <c r="F1845" t="s">
        <v>32</v>
      </c>
      <c r="G1845" t="s">
        <v>63</v>
      </c>
      <c r="H1845" t="s">
        <v>76</v>
      </c>
      <c r="I1845" t="s">
        <v>43</v>
      </c>
      <c r="J1845" t="s">
        <v>44</v>
      </c>
      <c r="K1845">
        <v>2</v>
      </c>
      <c r="L1845">
        <v>44851</v>
      </c>
      <c r="M1845" t="s">
        <v>28</v>
      </c>
      <c r="N1845">
        <v>3</v>
      </c>
      <c r="O1845">
        <v>3</v>
      </c>
      <c r="P1845">
        <v>19</v>
      </c>
      <c r="Q1845">
        <v>0</v>
      </c>
      <c r="R1845" s="1">
        <v>44360</v>
      </c>
      <c r="S1845" t="s">
        <v>29</v>
      </c>
      <c r="T1845" t="str">
        <f t="shared" si="140"/>
        <v>Grade C</v>
      </c>
      <c r="U1845">
        <f t="shared" si="141"/>
        <v>3</v>
      </c>
      <c r="V1845" t="str">
        <f t="shared" si="142"/>
        <v>New Joiner</v>
      </c>
      <c r="W1845" t="str">
        <f t="shared" si="143"/>
        <v>Medium Risk</v>
      </c>
      <c r="X1845" t="str">
        <f t="shared" si="144"/>
        <v>Fair</v>
      </c>
    </row>
    <row r="1846" spans="1:24" x14ac:dyDescent="0.3">
      <c r="A1846" t="s">
        <v>1914</v>
      </c>
      <c r="B1846" t="s">
        <v>20</v>
      </c>
      <c r="C1846">
        <v>53</v>
      </c>
      <c r="D1846" t="s">
        <v>88</v>
      </c>
      <c r="E1846" t="s">
        <v>48</v>
      </c>
      <c r="F1846" t="s">
        <v>65</v>
      </c>
      <c r="G1846" t="s">
        <v>49</v>
      </c>
      <c r="H1846" t="s">
        <v>25</v>
      </c>
      <c r="I1846" t="s">
        <v>68</v>
      </c>
      <c r="J1846" t="s">
        <v>60</v>
      </c>
      <c r="K1846">
        <v>8</v>
      </c>
      <c r="L1846">
        <v>70921</v>
      </c>
      <c r="M1846" t="s">
        <v>36</v>
      </c>
      <c r="N1846">
        <v>3</v>
      </c>
      <c r="O1846">
        <v>1</v>
      </c>
      <c r="P1846">
        <v>28</v>
      </c>
      <c r="Q1846">
        <v>2</v>
      </c>
      <c r="R1846" s="1">
        <v>42064</v>
      </c>
      <c r="S1846" t="s">
        <v>37</v>
      </c>
      <c r="T1846" t="str">
        <f t="shared" si="140"/>
        <v>Grade B</v>
      </c>
      <c r="U1846">
        <f t="shared" si="141"/>
        <v>1</v>
      </c>
      <c r="V1846" t="str">
        <f t="shared" si="142"/>
        <v>Mid Level</v>
      </c>
      <c r="W1846" t="str">
        <f t="shared" si="143"/>
        <v>Already Left</v>
      </c>
      <c r="X1846" t="str">
        <f t="shared" si="144"/>
        <v>Fair</v>
      </c>
    </row>
    <row r="1847" spans="1:24" x14ac:dyDescent="0.3">
      <c r="A1847" t="s">
        <v>1915</v>
      </c>
      <c r="B1847" t="s">
        <v>39</v>
      </c>
      <c r="C1847">
        <v>35</v>
      </c>
      <c r="D1847" t="s">
        <v>88</v>
      </c>
      <c r="E1847" t="s">
        <v>48</v>
      </c>
      <c r="F1847" t="s">
        <v>62</v>
      </c>
      <c r="G1847" t="s">
        <v>33</v>
      </c>
      <c r="H1847" t="s">
        <v>83</v>
      </c>
      <c r="I1847" t="s">
        <v>96</v>
      </c>
      <c r="J1847" t="s">
        <v>44</v>
      </c>
      <c r="K1847">
        <v>2</v>
      </c>
      <c r="L1847">
        <v>61096</v>
      </c>
      <c r="M1847" t="s">
        <v>51</v>
      </c>
      <c r="N1847">
        <v>2</v>
      </c>
      <c r="O1847">
        <v>3</v>
      </c>
      <c r="P1847">
        <v>60</v>
      </c>
      <c r="Q1847">
        <v>3</v>
      </c>
      <c r="R1847" s="1">
        <v>44329</v>
      </c>
      <c r="S1847" t="s">
        <v>29</v>
      </c>
      <c r="T1847" t="str">
        <f t="shared" si="140"/>
        <v>Grade B</v>
      </c>
      <c r="U1847">
        <f t="shared" si="141"/>
        <v>4</v>
      </c>
      <c r="V1847" t="str">
        <f t="shared" si="142"/>
        <v>New Joiner</v>
      </c>
      <c r="W1847" t="str">
        <f t="shared" si="143"/>
        <v>Low Risk</v>
      </c>
      <c r="X1847" t="str">
        <f t="shared" si="144"/>
        <v>Fair</v>
      </c>
    </row>
    <row r="1848" spans="1:24" x14ac:dyDescent="0.3">
      <c r="A1848" t="s">
        <v>1916</v>
      </c>
      <c r="B1848" t="s">
        <v>39</v>
      </c>
      <c r="C1848">
        <v>22</v>
      </c>
      <c r="D1848" t="s">
        <v>88</v>
      </c>
      <c r="E1848" t="s">
        <v>22</v>
      </c>
      <c r="F1848" t="s">
        <v>41</v>
      </c>
      <c r="G1848" t="s">
        <v>42</v>
      </c>
      <c r="H1848" t="s">
        <v>83</v>
      </c>
      <c r="I1848" t="s">
        <v>43</v>
      </c>
      <c r="J1848" t="s">
        <v>44</v>
      </c>
      <c r="K1848">
        <v>6</v>
      </c>
      <c r="L1848">
        <v>102254</v>
      </c>
      <c r="M1848" t="s">
        <v>28</v>
      </c>
      <c r="N1848">
        <v>3</v>
      </c>
      <c r="O1848">
        <v>4</v>
      </c>
      <c r="P1848">
        <v>41</v>
      </c>
      <c r="Q1848">
        <v>0</v>
      </c>
      <c r="R1848" s="1">
        <v>42996</v>
      </c>
      <c r="S1848" t="s">
        <v>29</v>
      </c>
      <c r="T1848" t="str">
        <f t="shared" si="140"/>
        <v>Grade A</v>
      </c>
      <c r="U1848">
        <f t="shared" si="141"/>
        <v>3</v>
      </c>
      <c r="V1848" t="str">
        <f t="shared" si="142"/>
        <v>Mid Level</v>
      </c>
      <c r="W1848" t="str">
        <f t="shared" si="143"/>
        <v>Medium Risk</v>
      </c>
      <c r="X1848" t="str">
        <f t="shared" si="144"/>
        <v>Competitive</v>
      </c>
    </row>
    <row r="1849" spans="1:24" x14ac:dyDescent="0.3">
      <c r="A1849" t="s">
        <v>1917</v>
      </c>
      <c r="B1849" t="s">
        <v>20</v>
      </c>
      <c r="C1849">
        <v>36</v>
      </c>
      <c r="D1849" t="s">
        <v>47</v>
      </c>
      <c r="E1849" t="s">
        <v>22</v>
      </c>
      <c r="F1849" t="s">
        <v>53</v>
      </c>
      <c r="G1849" t="s">
        <v>42</v>
      </c>
      <c r="H1849" t="s">
        <v>34</v>
      </c>
      <c r="I1849" t="s">
        <v>35</v>
      </c>
      <c r="J1849" t="s">
        <v>27</v>
      </c>
      <c r="K1849">
        <v>11</v>
      </c>
      <c r="L1849">
        <v>125304</v>
      </c>
      <c r="M1849" t="s">
        <v>28</v>
      </c>
      <c r="N1849">
        <v>1</v>
      </c>
      <c r="O1849">
        <v>4</v>
      </c>
      <c r="P1849">
        <v>76</v>
      </c>
      <c r="Q1849">
        <v>1</v>
      </c>
      <c r="R1849" s="1">
        <v>41016</v>
      </c>
      <c r="S1849" t="s">
        <v>29</v>
      </c>
      <c r="T1849" t="str">
        <f t="shared" si="140"/>
        <v>Grade A</v>
      </c>
      <c r="U1849">
        <f t="shared" si="141"/>
        <v>3</v>
      </c>
      <c r="V1849" t="str">
        <f t="shared" si="142"/>
        <v>Senior</v>
      </c>
      <c r="W1849" t="str">
        <f t="shared" si="143"/>
        <v>Medium Risk</v>
      </c>
      <c r="X1849" t="str">
        <f t="shared" si="144"/>
        <v>Competitive</v>
      </c>
    </row>
    <row r="1850" spans="1:24" x14ac:dyDescent="0.3">
      <c r="A1850" t="s">
        <v>1918</v>
      </c>
      <c r="B1850" t="s">
        <v>20</v>
      </c>
      <c r="C1850">
        <v>31</v>
      </c>
      <c r="D1850" t="s">
        <v>47</v>
      </c>
      <c r="E1850" t="s">
        <v>22</v>
      </c>
      <c r="F1850" t="s">
        <v>53</v>
      </c>
      <c r="G1850" t="s">
        <v>63</v>
      </c>
      <c r="H1850" t="s">
        <v>76</v>
      </c>
      <c r="I1850" t="s">
        <v>26</v>
      </c>
      <c r="J1850" t="s">
        <v>27</v>
      </c>
      <c r="K1850">
        <v>12</v>
      </c>
      <c r="L1850">
        <v>70571</v>
      </c>
      <c r="M1850" t="s">
        <v>28</v>
      </c>
      <c r="N1850">
        <v>4</v>
      </c>
      <c r="O1850">
        <v>2</v>
      </c>
      <c r="P1850">
        <v>10</v>
      </c>
      <c r="Q1850">
        <v>0</v>
      </c>
      <c r="R1850" s="1">
        <v>40634</v>
      </c>
      <c r="S1850" t="s">
        <v>29</v>
      </c>
      <c r="T1850" t="str">
        <f t="shared" si="140"/>
        <v>Grade B</v>
      </c>
      <c r="U1850">
        <f t="shared" si="141"/>
        <v>3</v>
      </c>
      <c r="V1850" t="str">
        <f t="shared" si="142"/>
        <v>Senior</v>
      </c>
      <c r="W1850" t="str">
        <f t="shared" si="143"/>
        <v>Medium Risk</v>
      </c>
      <c r="X1850" t="str">
        <f t="shared" si="144"/>
        <v>Competitive</v>
      </c>
    </row>
    <row r="1851" spans="1:24" x14ac:dyDescent="0.3">
      <c r="A1851" t="s">
        <v>1919</v>
      </c>
      <c r="B1851" t="s">
        <v>39</v>
      </c>
      <c r="C1851">
        <v>53</v>
      </c>
      <c r="D1851" t="s">
        <v>88</v>
      </c>
      <c r="E1851" t="s">
        <v>40</v>
      </c>
      <c r="F1851" t="s">
        <v>78</v>
      </c>
      <c r="G1851" t="s">
        <v>33</v>
      </c>
      <c r="H1851" t="s">
        <v>83</v>
      </c>
      <c r="I1851" t="s">
        <v>54</v>
      </c>
      <c r="J1851" t="s">
        <v>27</v>
      </c>
      <c r="K1851">
        <v>3</v>
      </c>
      <c r="L1851">
        <v>64302</v>
      </c>
      <c r="M1851" t="s">
        <v>45</v>
      </c>
      <c r="N1851">
        <v>4</v>
      </c>
      <c r="O1851">
        <v>2</v>
      </c>
      <c r="P1851">
        <v>60</v>
      </c>
      <c r="Q1851">
        <v>2</v>
      </c>
      <c r="R1851" s="1">
        <v>43974</v>
      </c>
      <c r="S1851" t="s">
        <v>37</v>
      </c>
      <c r="T1851" t="str">
        <f t="shared" si="140"/>
        <v>Grade B</v>
      </c>
      <c r="U1851">
        <f t="shared" si="141"/>
        <v>2</v>
      </c>
      <c r="V1851" t="str">
        <f t="shared" si="142"/>
        <v>Junior</v>
      </c>
      <c r="W1851" t="str">
        <f t="shared" si="143"/>
        <v>Already Left</v>
      </c>
      <c r="X1851" t="str">
        <f t="shared" si="144"/>
        <v>Fair</v>
      </c>
    </row>
    <row r="1852" spans="1:24" x14ac:dyDescent="0.3">
      <c r="A1852" t="s">
        <v>1920</v>
      </c>
      <c r="B1852" t="s">
        <v>20</v>
      </c>
      <c r="C1852">
        <v>27</v>
      </c>
      <c r="D1852" t="s">
        <v>21</v>
      </c>
      <c r="E1852" t="s">
        <v>40</v>
      </c>
      <c r="F1852" t="s">
        <v>53</v>
      </c>
      <c r="G1852" t="s">
        <v>66</v>
      </c>
      <c r="H1852" t="s">
        <v>34</v>
      </c>
      <c r="I1852" t="s">
        <v>26</v>
      </c>
      <c r="J1852" t="s">
        <v>27</v>
      </c>
      <c r="K1852">
        <v>6</v>
      </c>
      <c r="L1852">
        <v>39994</v>
      </c>
      <c r="M1852" t="s">
        <v>45</v>
      </c>
      <c r="N1852">
        <v>1</v>
      </c>
      <c r="O1852">
        <v>3</v>
      </c>
      <c r="P1852">
        <v>78</v>
      </c>
      <c r="Q1852">
        <v>2</v>
      </c>
      <c r="R1852" s="1">
        <v>43093</v>
      </c>
      <c r="S1852" t="s">
        <v>37</v>
      </c>
      <c r="T1852" t="str">
        <f t="shared" si="140"/>
        <v>Grade C</v>
      </c>
      <c r="U1852">
        <f t="shared" si="141"/>
        <v>2</v>
      </c>
      <c r="V1852" t="str">
        <f t="shared" si="142"/>
        <v>Mid Level</v>
      </c>
      <c r="W1852" t="str">
        <f t="shared" si="143"/>
        <v>Already Left</v>
      </c>
      <c r="X1852" t="str">
        <f t="shared" si="144"/>
        <v>Fair</v>
      </c>
    </row>
    <row r="1853" spans="1:24" x14ac:dyDescent="0.3">
      <c r="A1853" t="s">
        <v>1921</v>
      </c>
      <c r="B1853" t="s">
        <v>39</v>
      </c>
      <c r="C1853">
        <v>50</v>
      </c>
      <c r="D1853" t="s">
        <v>47</v>
      </c>
      <c r="E1853" t="s">
        <v>22</v>
      </c>
      <c r="F1853" t="s">
        <v>53</v>
      </c>
      <c r="G1853" t="s">
        <v>58</v>
      </c>
      <c r="H1853" t="s">
        <v>76</v>
      </c>
      <c r="I1853" t="s">
        <v>68</v>
      </c>
      <c r="J1853" t="s">
        <v>60</v>
      </c>
      <c r="K1853">
        <v>4</v>
      </c>
      <c r="L1853">
        <v>83421</v>
      </c>
      <c r="M1853" t="s">
        <v>28</v>
      </c>
      <c r="N1853">
        <v>2</v>
      </c>
      <c r="O1853">
        <v>3</v>
      </c>
      <c r="P1853">
        <v>14</v>
      </c>
      <c r="Q1853">
        <v>1</v>
      </c>
      <c r="R1853" s="1">
        <v>43618</v>
      </c>
      <c r="S1853" t="s">
        <v>29</v>
      </c>
      <c r="T1853" t="str">
        <f t="shared" si="140"/>
        <v>Grade A</v>
      </c>
      <c r="U1853">
        <f t="shared" si="141"/>
        <v>3</v>
      </c>
      <c r="V1853" t="str">
        <f t="shared" si="142"/>
        <v>Junior</v>
      </c>
      <c r="W1853" t="str">
        <f t="shared" si="143"/>
        <v>Medium Risk</v>
      </c>
      <c r="X1853" t="str">
        <f t="shared" si="144"/>
        <v>Competitive</v>
      </c>
    </row>
    <row r="1854" spans="1:24" x14ac:dyDescent="0.3">
      <c r="A1854" t="s">
        <v>1922</v>
      </c>
      <c r="B1854" t="s">
        <v>20</v>
      </c>
      <c r="C1854">
        <v>43</v>
      </c>
      <c r="D1854" t="s">
        <v>47</v>
      </c>
      <c r="E1854" t="s">
        <v>40</v>
      </c>
      <c r="F1854" t="s">
        <v>32</v>
      </c>
      <c r="G1854" t="s">
        <v>42</v>
      </c>
      <c r="H1854" t="s">
        <v>83</v>
      </c>
      <c r="I1854" t="s">
        <v>35</v>
      </c>
      <c r="J1854" t="s">
        <v>27</v>
      </c>
      <c r="K1854">
        <v>11</v>
      </c>
      <c r="L1854">
        <v>111664</v>
      </c>
      <c r="M1854" t="s">
        <v>28</v>
      </c>
      <c r="N1854">
        <v>1</v>
      </c>
      <c r="O1854">
        <v>4</v>
      </c>
      <c r="P1854">
        <v>28</v>
      </c>
      <c r="Q1854">
        <v>0</v>
      </c>
      <c r="R1854" s="1">
        <v>41176</v>
      </c>
      <c r="S1854" t="s">
        <v>29</v>
      </c>
      <c r="T1854" t="str">
        <f t="shared" si="140"/>
        <v>Grade A</v>
      </c>
      <c r="U1854">
        <f t="shared" si="141"/>
        <v>3</v>
      </c>
      <c r="V1854" t="str">
        <f t="shared" si="142"/>
        <v>Senior</v>
      </c>
      <c r="W1854" t="str">
        <f t="shared" si="143"/>
        <v>Medium Risk</v>
      </c>
      <c r="X1854" t="str">
        <f t="shared" si="144"/>
        <v>Competitive</v>
      </c>
    </row>
    <row r="1855" spans="1:24" x14ac:dyDescent="0.3">
      <c r="A1855" t="s">
        <v>1923</v>
      </c>
      <c r="B1855" t="s">
        <v>20</v>
      </c>
      <c r="C1855">
        <v>41</v>
      </c>
      <c r="D1855" t="s">
        <v>21</v>
      </c>
      <c r="E1855" t="s">
        <v>22</v>
      </c>
      <c r="F1855" t="s">
        <v>41</v>
      </c>
      <c r="G1855" t="s">
        <v>79</v>
      </c>
      <c r="H1855" t="s">
        <v>76</v>
      </c>
      <c r="I1855" t="s">
        <v>54</v>
      </c>
      <c r="J1855" t="s">
        <v>27</v>
      </c>
      <c r="K1855">
        <v>4</v>
      </c>
      <c r="L1855">
        <v>51828</v>
      </c>
      <c r="M1855" t="s">
        <v>36</v>
      </c>
      <c r="N1855">
        <v>2</v>
      </c>
      <c r="O1855">
        <v>1</v>
      </c>
      <c r="P1855">
        <v>42</v>
      </c>
      <c r="Q1855">
        <v>2</v>
      </c>
      <c r="R1855" s="1">
        <v>43635</v>
      </c>
      <c r="S1855" t="s">
        <v>29</v>
      </c>
      <c r="T1855" t="str">
        <f t="shared" si="140"/>
        <v>Grade B</v>
      </c>
      <c r="U1855">
        <f t="shared" si="141"/>
        <v>1</v>
      </c>
      <c r="V1855" t="str">
        <f t="shared" si="142"/>
        <v>Junior</v>
      </c>
      <c r="W1855" t="str">
        <f t="shared" si="143"/>
        <v>Medium Risk</v>
      </c>
      <c r="X1855" t="str">
        <f t="shared" si="144"/>
        <v>Fair</v>
      </c>
    </row>
    <row r="1856" spans="1:24" x14ac:dyDescent="0.3">
      <c r="A1856" t="s">
        <v>1924</v>
      </c>
      <c r="B1856" t="s">
        <v>20</v>
      </c>
      <c r="C1856">
        <v>22</v>
      </c>
      <c r="D1856" t="s">
        <v>21</v>
      </c>
      <c r="E1856" t="s">
        <v>40</v>
      </c>
      <c r="F1856" t="s">
        <v>62</v>
      </c>
      <c r="G1856" t="s">
        <v>79</v>
      </c>
      <c r="H1856" t="s">
        <v>83</v>
      </c>
      <c r="I1856" t="s">
        <v>80</v>
      </c>
      <c r="J1856" t="s">
        <v>60</v>
      </c>
      <c r="K1856">
        <v>7</v>
      </c>
      <c r="L1856">
        <v>58283</v>
      </c>
      <c r="M1856" t="s">
        <v>51</v>
      </c>
      <c r="N1856">
        <v>3</v>
      </c>
      <c r="O1856">
        <v>3</v>
      </c>
      <c r="P1856">
        <v>52</v>
      </c>
      <c r="Q1856">
        <v>0</v>
      </c>
      <c r="R1856" s="1">
        <v>42602</v>
      </c>
      <c r="S1856" t="s">
        <v>29</v>
      </c>
      <c r="T1856" t="str">
        <f t="shared" si="140"/>
        <v>Grade B</v>
      </c>
      <c r="U1856">
        <f t="shared" si="141"/>
        <v>4</v>
      </c>
      <c r="V1856" t="str">
        <f t="shared" si="142"/>
        <v>Mid Level</v>
      </c>
      <c r="W1856" t="str">
        <f t="shared" si="143"/>
        <v>Low Risk</v>
      </c>
      <c r="X1856" t="str">
        <f t="shared" si="144"/>
        <v>Fair</v>
      </c>
    </row>
    <row r="1857" spans="1:24" x14ac:dyDescent="0.3">
      <c r="A1857" t="s">
        <v>1925</v>
      </c>
      <c r="B1857" t="s">
        <v>39</v>
      </c>
      <c r="C1857">
        <v>55</v>
      </c>
      <c r="D1857" t="s">
        <v>21</v>
      </c>
      <c r="E1857" t="s">
        <v>40</v>
      </c>
      <c r="F1857" t="s">
        <v>65</v>
      </c>
      <c r="G1857" t="s">
        <v>42</v>
      </c>
      <c r="H1857" t="s">
        <v>83</v>
      </c>
      <c r="I1857" t="s">
        <v>26</v>
      </c>
      <c r="J1857" t="s">
        <v>27</v>
      </c>
      <c r="K1857">
        <v>7</v>
      </c>
      <c r="L1857">
        <v>103676</v>
      </c>
      <c r="M1857" t="s">
        <v>36</v>
      </c>
      <c r="N1857">
        <v>2</v>
      </c>
      <c r="O1857">
        <v>3</v>
      </c>
      <c r="P1857">
        <v>22</v>
      </c>
      <c r="Q1857">
        <v>0</v>
      </c>
      <c r="R1857" s="1">
        <v>42383</v>
      </c>
      <c r="S1857" t="s">
        <v>37</v>
      </c>
      <c r="T1857" t="str">
        <f t="shared" si="140"/>
        <v>Grade A</v>
      </c>
      <c r="U1857">
        <f t="shared" si="141"/>
        <v>1</v>
      </c>
      <c r="V1857" t="str">
        <f t="shared" si="142"/>
        <v>Mid Level</v>
      </c>
      <c r="W1857" t="str">
        <f t="shared" si="143"/>
        <v>Already Left</v>
      </c>
      <c r="X1857" t="str">
        <f t="shared" si="144"/>
        <v>Overpaid</v>
      </c>
    </row>
    <row r="1858" spans="1:24" x14ac:dyDescent="0.3">
      <c r="A1858" t="s">
        <v>1926</v>
      </c>
      <c r="B1858" t="s">
        <v>39</v>
      </c>
      <c r="C1858">
        <v>29</v>
      </c>
      <c r="D1858" t="s">
        <v>31</v>
      </c>
      <c r="E1858" t="s">
        <v>22</v>
      </c>
      <c r="F1858" t="s">
        <v>23</v>
      </c>
      <c r="G1858" t="s">
        <v>63</v>
      </c>
      <c r="H1858" t="s">
        <v>25</v>
      </c>
      <c r="I1858" t="s">
        <v>72</v>
      </c>
      <c r="J1858" t="s">
        <v>73</v>
      </c>
      <c r="K1858">
        <v>11</v>
      </c>
      <c r="L1858">
        <v>75780</v>
      </c>
      <c r="M1858" t="s">
        <v>51</v>
      </c>
      <c r="N1858">
        <v>3</v>
      </c>
      <c r="O1858">
        <v>3</v>
      </c>
      <c r="P1858">
        <v>30</v>
      </c>
      <c r="Q1858">
        <v>1</v>
      </c>
      <c r="R1858" s="1">
        <v>41227</v>
      </c>
      <c r="S1858" t="s">
        <v>29</v>
      </c>
      <c r="T1858" t="str">
        <f t="shared" ref="T1858:T1921" si="145">IF(L1858&gt;=80000,"Grade A",IF(L1858&gt;=50000,"Grade B",IF(L1858&gt;=35000,"Grade C","Grade D")))</f>
        <v>Grade B</v>
      </c>
      <c r="U1858">
        <f t="shared" ref="U1858:U1921" si="146">IF(M1858="Excellent",4,IF(M1858="Good",3,IF(M1858="Average",2,1)))</f>
        <v>4</v>
      </c>
      <c r="V1858" t="str">
        <f t="shared" ref="V1858:V1921" si="147">IF(K1858&lt;=2,"New Joiner",IF(K1858&lt;=5,"Junior",IF(K1858&lt;=10,"Mid Level","Senior")))</f>
        <v>Senior</v>
      </c>
      <c r="W1858" t="str">
        <f t="shared" ref="W1858:W1921" si="148">IF(S1858="Yes","Already Left",IF(AND(K1858&lt;=2,M1858="Poor"),"High Risk",IF(AND(K1858&lt;=5,M1858="Average"),"Medium Risk",IF(M1858="Excellent","Low Risk","Medium Risk"))))</f>
        <v>Low Risk</v>
      </c>
      <c r="X1858" t="str">
        <f t="shared" ref="X1858:X1921" si="149">IF(AND(L1858&gt;=80000,M1858="Excellent"),"Competitive",IF(AND(L1858&gt;=50000,M1858="Good"),"Competitive",IF(AND(L1858&lt;35000,M1858="Excellent"),"Underpaid",IF(AND(L1858&gt;=80000,M1858="Poor"),"Overpaid","Fair"))))</f>
        <v>Fair</v>
      </c>
    </row>
    <row r="1859" spans="1:24" x14ac:dyDescent="0.3">
      <c r="A1859" t="s">
        <v>1927</v>
      </c>
      <c r="B1859" t="s">
        <v>20</v>
      </c>
      <c r="C1859">
        <v>37</v>
      </c>
      <c r="D1859" t="s">
        <v>31</v>
      </c>
      <c r="E1859" t="s">
        <v>48</v>
      </c>
      <c r="F1859" t="s">
        <v>53</v>
      </c>
      <c r="G1859" t="s">
        <v>49</v>
      </c>
      <c r="H1859" t="s">
        <v>34</v>
      </c>
      <c r="I1859" t="s">
        <v>68</v>
      </c>
      <c r="J1859" t="s">
        <v>60</v>
      </c>
      <c r="K1859">
        <v>6</v>
      </c>
      <c r="L1859">
        <v>66943</v>
      </c>
      <c r="M1859" t="s">
        <v>51</v>
      </c>
      <c r="N1859">
        <v>1</v>
      </c>
      <c r="O1859">
        <v>3</v>
      </c>
      <c r="P1859">
        <v>73</v>
      </c>
      <c r="Q1859">
        <v>3</v>
      </c>
      <c r="R1859" s="1">
        <v>42777</v>
      </c>
      <c r="S1859" t="s">
        <v>29</v>
      </c>
      <c r="T1859" t="str">
        <f t="shared" si="145"/>
        <v>Grade B</v>
      </c>
      <c r="U1859">
        <f t="shared" si="146"/>
        <v>4</v>
      </c>
      <c r="V1859" t="str">
        <f t="shared" si="147"/>
        <v>Mid Level</v>
      </c>
      <c r="W1859" t="str">
        <f t="shared" si="148"/>
        <v>Low Risk</v>
      </c>
      <c r="X1859" t="str">
        <f t="shared" si="149"/>
        <v>Fair</v>
      </c>
    </row>
    <row r="1860" spans="1:24" x14ac:dyDescent="0.3">
      <c r="A1860" t="s">
        <v>1928</v>
      </c>
      <c r="B1860" t="s">
        <v>39</v>
      </c>
      <c r="C1860">
        <v>42</v>
      </c>
      <c r="D1860" t="s">
        <v>31</v>
      </c>
      <c r="E1860" t="s">
        <v>40</v>
      </c>
      <c r="F1860" t="s">
        <v>65</v>
      </c>
      <c r="G1860" t="s">
        <v>79</v>
      </c>
      <c r="H1860" t="s">
        <v>67</v>
      </c>
      <c r="I1860" t="s">
        <v>68</v>
      </c>
      <c r="J1860" t="s">
        <v>60</v>
      </c>
      <c r="K1860">
        <v>1</v>
      </c>
      <c r="L1860">
        <v>34848</v>
      </c>
      <c r="M1860" t="s">
        <v>45</v>
      </c>
      <c r="N1860">
        <v>4</v>
      </c>
      <c r="O1860">
        <v>2</v>
      </c>
      <c r="P1860">
        <v>69</v>
      </c>
      <c r="Q1860">
        <v>3</v>
      </c>
      <c r="R1860" s="1">
        <v>44759</v>
      </c>
      <c r="S1860" t="s">
        <v>37</v>
      </c>
      <c r="T1860" t="str">
        <f t="shared" si="145"/>
        <v>Grade D</v>
      </c>
      <c r="U1860">
        <f t="shared" si="146"/>
        <v>2</v>
      </c>
      <c r="V1860" t="str">
        <f t="shared" si="147"/>
        <v>New Joiner</v>
      </c>
      <c r="W1860" t="str">
        <f t="shared" si="148"/>
        <v>Already Left</v>
      </c>
      <c r="X1860" t="str">
        <f t="shared" si="149"/>
        <v>Fair</v>
      </c>
    </row>
    <row r="1861" spans="1:24" x14ac:dyDescent="0.3">
      <c r="A1861" t="s">
        <v>1929</v>
      </c>
      <c r="B1861" t="s">
        <v>39</v>
      </c>
      <c r="C1861">
        <v>37</v>
      </c>
      <c r="D1861" t="s">
        <v>21</v>
      </c>
      <c r="E1861" t="s">
        <v>48</v>
      </c>
      <c r="F1861" t="s">
        <v>53</v>
      </c>
      <c r="G1861" t="s">
        <v>79</v>
      </c>
      <c r="H1861" t="s">
        <v>76</v>
      </c>
      <c r="I1861" t="s">
        <v>35</v>
      </c>
      <c r="J1861" t="s">
        <v>27</v>
      </c>
      <c r="K1861">
        <v>4</v>
      </c>
      <c r="L1861">
        <v>52586</v>
      </c>
      <c r="M1861" t="s">
        <v>51</v>
      </c>
      <c r="N1861">
        <v>3</v>
      </c>
      <c r="O1861">
        <v>1</v>
      </c>
      <c r="P1861">
        <v>70</v>
      </c>
      <c r="Q1861">
        <v>0</v>
      </c>
      <c r="R1861" s="1">
        <v>43560</v>
      </c>
      <c r="S1861" t="s">
        <v>29</v>
      </c>
      <c r="T1861" t="str">
        <f t="shared" si="145"/>
        <v>Grade B</v>
      </c>
      <c r="U1861">
        <f t="shared" si="146"/>
        <v>4</v>
      </c>
      <c r="V1861" t="str">
        <f t="shared" si="147"/>
        <v>Junior</v>
      </c>
      <c r="W1861" t="str">
        <f t="shared" si="148"/>
        <v>Low Risk</v>
      </c>
      <c r="X1861" t="str">
        <f t="shared" si="149"/>
        <v>Fair</v>
      </c>
    </row>
    <row r="1862" spans="1:24" x14ac:dyDescent="0.3">
      <c r="A1862" t="s">
        <v>1930</v>
      </c>
      <c r="B1862" t="s">
        <v>20</v>
      </c>
      <c r="C1862">
        <v>43</v>
      </c>
      <c r="D1862" t="s">
        <v>31</v>
      </c>
      <c r="E1862" t="s">
        <v>40</v>
      </c>
      <c r="F1862" t="s">
        <v>75</v>
      </c>
      <c r="G1862" t="s">
        <v>24</v>
      </c>
      <c r="H1862" t="s">
        <v>83</v>
      </c>
      <c r="I1862" t="s">
        <v>35</v>
      </c>
      <c r="J1862" t="s">
        <v>27</v>
      </c>
      <c r="K1862">
        <v>14</v>
      </c>
      <c r="L1862">
        <v>98835</v>
      </c>
      <c r="M1862" t="s">
        <v>45</v>
      </c>
      <c r="N1862">
        <v>3</v>
      </c>
      <c r="O1862">
        <v>2</v>
      </c>
      <c r="P1862">
        <v>15</v>
      </c>
      <c r="Q1862">
        <v>2</v>
      </c>
      <c r="R1862" s="1">
        <v>40070</v>
      </c>
      <c r="S1862" t="s">
        <v>29</v>
      </c>
      <c r="T1862" t="str">
        <f t="shared" si="145"/>
        <v>Grade A</v>
      </c>
      <c r="U1862">
        <f t="shared" si="146"/>
        <v>2</v>
      </c>
      <c r="V1862" t="str">
        <f t="shared" si="147"/>
        <v>Senior</v>
      </c>
      <c r="W1862" t="str">
        <f t="shared" si="148"/>
        <v>Medium Risk</v>
      </c>
      <c r="X1862" t="str">
        <f t="shared" si="149"/>
        <v>Fair</v>
      </c>
    </row>
    <row r="1863" spans="1:24" x14ac:dyDescent="0.3">
      <c r="A1863" t="s">
        <v>1931</v>
      </c>
      <c r="B1863" t="s">
        <v>39</v>
      </c>
      <c r="C1863">
        <v>34</v>
      </c>
      <c r="D1863" t="s">
        <v>57</v>
      </c>
      <c r="E1863" t="s">
        <v>40</v>
      </c>
      <c r="F1863" t="s">
        <v>75</v>
      </c>
      <c r="G1863" t="s">
        <v>33</v>
      </c>
      <c r="H1863" t="s">
        <v>76</v>
      </c>
      <c r="I1863" t="s">
        <v>72</v>
      </c>
      <c r="J1863" t="s">
        <v>73</v>
      </c>
      <c r="K1863">
        <v>8</v>
      </c>
      <c r="L1863">
        <v>85647</v>
      </c>
      <c r="M1863" t="s">
        <v>45</v>
      </c>
      <c r="N1863">
        <v>2</v>
      </c>
      <c r="O1863">
        <v>1</v>
      </c>
      <c r="P1863">
        <v>49</v>
      </c>
      <c r="Q1863">
        <v>2</v>
      </c>
      <c r="R1863" s="1">
        <v>42327</v>
      </c>
      <c r="S1863" t="s">
        <v>29</v>
      </c>
      <c r="T1863" t="str">
        <f t="shared" si="145"/>
        <v>Grade A</v>
      </c>
      <c r="U1863">
        <f t="shared" si="146"/>
        <v>2</v>
      </c>
      <c r="V1863" t="str">
        <f t="shared" si="147"/>
        <v>Mid Level</v>
      </c>
      <c r="W1863" t="str">
        <f t="shared" si="148"/>
        <v>Medium Risk</v>
      </c>
      <c r="X1863" t="str">
        <f t="shared" si="149"/>
        <v>Fair</v>
      </c>
    </row>
    <row r="1864" spans="1:24" x14ac:dyDescent="0.3">
      <c r="A1864" t="s">
        <v>1932</v>
      </c>
      <c r="B1864" t="s">
        <v>39</v>
      </c>
      <c r="C1864">
        <v>44</v>
      </c>
      <c r="D1864" t="s">
        <v>88</v>
      </c>
      <c r="E1864" t="s">
        <v>40</v>
      </c>
      <c r="F1864" t="s">
        <v>75</v>
      </c>
      <c r="G1864" t="s">
        <v>42</v>
      </c>
      <c r="H1864" t="s">
        <v>67</v>
      </c>
      <c r="I1864" t="s">
        <v>96</v>
      </c>
      <c r="J1864" t="s">
        <v>44</v>
      </c>
      <c r="K1864">
        <v>14</v>
      </c>
      <c r="L1864">
        <v>123654</v>
      </c>
      <c r="M1864" t="s">
        <v>36</v>
      </c>
      <c r="N1864">
        <v>4</v>
      </c>
      <c r="O1864">
        <v>1</v>
      </c>
      <c r="P1864">
        <v>23</v>
      </c>
      <c r="Q1864">
        <v>2</v>
      </c>
      <c r="R1864" s="1">
        <v>39983</v>
      </c>
      <c r="S1864" t="s">
        <v>37</v>
      </c>
      <c r="T1864" t="str">
        <f t="shared" si="145"/>
        <v>Grade A</v>
      </c>
      <c r="U1864">
        <f t="shared" si="146"/>
        <v>1</v>
      </c>
      <c r="V1864" t="str">
        <f t="shared" si="147"/>
        <v>Senior</v>
      </c>
      <c r="W1864" t="str">
        <f t="shared" si="148"/>
        <v>Already Left</v>
      </c>
      <c r="X1864" t="str">
        <f t="shared" si="149"/>
        <v>Overpaid</v>
      </c>
    </row>
    <row r="1865" spans="1:24" x14ac:dyDescent="0.3">
      <c r="A1865" t="s">
        <v>1933</v>
      </c>
      <c r="B1865" t="s">
        <v>39</v>
      </c>
      <c r="C1865">
        <v>22</v>
      </c>
      <c r="D1865" t="s">
        <v>88</v>
      </c>
      <c r="E1865" t="s">
        <v>22</v>
      </c>
      <c r="F1865" t="s">
        <v>53</v>
      </c>
      <c r="G1865" t="s">
        <v>63</v>
      </c>
      <c r="H1865" t="s">
        <v>83</v>
      </c>
      <c r="I1865" t="s">
        <v>68</v>
      </c>
      <c r="J1865" t="s">
        <v>60</v>
      </c>
      <c r="K1865">
        <v>4</v>
      </c>
      <c r="L1865">
        <v>60094</v>
      </c>
      <c r="M1865" t="s">
        <v>28</v>
      </c>
      <c r="N1865">
        <v>3</v>
      </c>
      <c r="O1865">
        <v>4</v>
      </c>
      <c r="P1865">
        <v>65</v>
      </c>
      <c r="Q1865">
        <v>0</v>
      </c>
      <c r="R1865" s="1">
        <v>43640</v>
      </c>
      <c r="S1865" t="s">
        <v>29</v>
      </c>
      <c r="T1865" t="str">
        <f t="shared" si="145"/>
        <v>Grade B</v>
      </c>
      <c r="U1865">
        <f t="shared" si="146"/>
        <v>3</v>
      </c>
      <c r="V1865" t="str">
        <f t="shared" si="147"/>
        <v>Junior</v>
      </c>
      <c r="W1865" t="str">
        <f t="shared" si="148"/>
        <v>Medium Risk</v>
      </c>
      <c r="X1865" t="str">
        <f t="shared" si="149"/>
        <v>Competitive</v>
      </c>
    </row>
    <row r="1866" spans="1:24" x14ac:dyDescent="0.3">
      <c r="A1866" t="s">
        <v>1934</v>
      </c>
      <c r="B1866" t="s">
        <v>20</v>
      </c>
      <c r="C1866">
        <v>30</v>
      </c>
      <c r="D1866" t="s">
        <v>57</v>
      </c>
      <c r="E1866" t="s">
        <v>22</v>
      </c>
      <c r="F1866" t="s">
        <v>32</v>
      </c>
      <c r="G1866" t="s">
        <v>63</v>
      </c>
      <c r="H1866" t="s">
        <v>83</v>
      </c>
      <c r="I1866" t="s">
        <v>68</v>
      </c>
      <c r="J1866" t="s">
        <v>60</v>
      </c>
      <c r="K1866">
        <v>5</v>
      </c>
      <c r="L1866">
        <v>48467</v>
      </c>
      <c r="M1866" t="s">
        <v>36</v>
      </c>
      <c r="N1866">
        <v>3</v>
      </c>
      <c r="O1866">
        <v>4</v>
      </c>
      <c r="P1866">
        <v>16</v>
      </c>
      <c r="Q1866">
        <v>1</v>
      </c>
      <c r="R1866" s="1">
        <v>43341</v>
      </c>
      <c r="S1866" t="s">
        <v>29</v>
      </c>
      <c r="T1866" t="str">
        <f t="shared" si="145"/>
        <v>Grade C</v>
      </c>
      <c r="U1866">
        <f t="shared" si="146"/>
        <v>1</v>
      </c>
      <c r="V1866" t="str">
        <f t="shared" si="147"/>
        <v>Junior</v>
      </c>
      <c r="W1866" t="str">
        <f t="shared" si="148"/>
        <v>Medium Risk</v>
      </c>
      <c r="X1866" t="str">
        <f t="shared" si="149"/>
        <v>Fair</v>
      </c>
    </row>
    <row r="1867" spans="1:24" x14ac:dyDescent="0.3">
      <c r="A1867" t="s">
        <v>1935</v>
      </c>
      <c r="B1867" t="s">
        <v>20</v>
      </c>
      <c r="C1867">
        <v>54</v>
      </c>
      <c r="D1867" t="s">
        <v>21</v>
      </c>
      <c r="E1867" t="s">
        <v>40</v>
      </c>
      <c r="F1867" t="s">
        <v>78</v>
      </c>
      <c r="G1867" t="s">
        <v>24</v>
      </c>
      <c r="H1867" t="s">
        <v>34</v>
      </c>
      <c r="I1867" t="s">
        <v>59</v>
      </c>
      <c r="J1867" t="s">
        <v>60</v>
      </c>
      <c r="K1867">
        <v>15</v>
      </c>
      <c r="L1867">
        <v>111821</v>
      </c>
      <c r="M1867" t="s">
        <v>45</v>
      </c>
      <c r="N1867">
        <v>3</v>
      </c>
      <c r="O1867">
        <v>2</v>
      </c>
      <c r="P1867">
        <v>69</v>
      </c>
      <c r="Q1867">
        <v>3</v>
      </c>
      <c r="R1867" s="1">
        <v>39488</v>
      </c>
      <c r="S1867" t="s">
        <v>29</v>
      </c>
      <c r="T1867" t="str">
        <f t="shared" si="145"/>
        <v>Grade A</v>
      </c>
      <c r="U1867">
        <f t="shared" si="146"/>
        <v>2</v>
      </c>
      <c r="V1867" t="str">
        <f t="shared" si="147"/>
        <v>Senior</v>
      </c>
      <c r="W1867" t="str">
        <f t="shared" si="148"/>
        <v>Medium Risk</v>
      </c>
      <c r="X1867" t="str">
        <f t="shared" si="149"/>
        <v>Fair</v>
      </c>
    </row>
    <row r="1868" spans="1:24" x14ac:dyDescent="0.3">
      <c r="A1868" t="s">
        <v>1936</v>
      </c>
      <c r="B1868" t="s">
        <v>20</v>
      </c>
      <c r="C1868">
        <v>41</v>
      </c>
      <c r="D1868" t="s">
        <v>31</v>
      </c>
      <c r="E1868" t="s">
        <v>48</v>
      </c>
      <c r="F1868" t="s">
        <v>23</v>
      </c>
      <c r="G1868" t="s">
        <v>58</v>
      </c>
      <c r="H1868" t="s">
        <v>34</v>
      </c>
      <c r="I1868" t="s">
        <v>59</v>
      </c>
      <c r="J1868" t="s">
        <v>60</v>
      </c>
      <c r="K1868">
        <v>11</v>
      </c>
      <c r="L1868">
        <v>112409</v>
      </c>
      <c r="M1868" t="s">
        <v>51</v>
      </c>
      <c r="N1868">
        <v>4</v>
      </c>
      <c r="O1868">
        <v>3</v>
      </c>
      <c r="P1868">
        <v>49</v>
      </c>
      <c r="Q1868">
        <v>2</v>
      </c>
      <c r="R1868" s="1">
        <v>41023</v>
      </c>
      <c r="S1868" t="s">
        <v>29</v>
      </c>
      <c r="T1868" t="str">
        <f t="shared" si="145"/>
        <v>Grade A</v>
      </c>
      <c r="U1868">
        <f t="shared" si="146"/>
        <v>4</v>
      </c>
      <c r="V1868" t="str">
        <f t="shared" si="147"/>
        <v>Senior</v>
      </c>
      <c r="W1868" t="str">
        <f t="shared" si="148"/>
        <v>Low Risk</v>
      </c>
      <c r="X1868" t="str">
        <f t="shared" si="149"/>
        <v>Competitive</v>
      </c>
    </row>
    <row r="1869" spans="1:24" x14ac:dyDescent="0.3">
      <c r="A1869" t="s">
        <v>1937</v>
      </c>
      <c r="B1869" t="s">
        <v>20</v>
      </c>
      <c r="C1869">
        <v>40</v>
      </c>
      <c r="D1869" t="s">
        <v>47</v>
      </c>
      <c r="E1869" t="s">
        <v>48</v>
      </c>
      <c r="F1869" t="s">
        <v>23</v>
      </c>
      <c r="G1869" t="s">
        <v>24</v>
      </c>
      <c r="H1869" t="s">
        <v>76</v>
      </c>
      <c r="I1869" t="s">
        <v>26</v>
      </c>
      <c r="J1869" t="s">
        <v>27</v>
      </c>
      <c r="K1869">
        <v>10</v>
      </c>
      <c r="L1869">
        <v>98960</v>
      </c>
      <c r="M1869" t="s">
        <v>36</v>
      </c>
      <c r="N1869">
        <v>4</v>
      </c>
      <c r="O1869">
        <v>3</v>
      </c>
      <c r="P1869">
        <v>23</v>
      </c>
      <c r="Q1869">
        <v>3</v>
      </c>
      <c r="R1869" s="1">
        <v>41315</v>
      </c>
      <c r="S1869" t="s">
        <v>37</v>
      </c>
      <c r="T1869" t="str">
        <f t="shared" si="145"/>
        <v>Grade A</v>
      </c>
      <c r="U1869">
        <f t="shared" si="146"/>
        <v>1</v>
      </c>
      <c r="V1869" t="str">
        <f t="shared" si="147"/>
        <v>Mid Level</v>
      </c>
      <c r="W1869" t="str">
        <f t="shared" si="148"/>
        <v>Already Left</v>
      </c>
      <c r="X1869" t="str">
        <f t="shared" si="149"/>
        <v>Overpaid</v>
      </c>
    </row>
    <row r="1870" spans="1:24" x14ac:dyDescent="0.3">
      <c r="A1870" t="s">
        <v>1938</v>
      </c>
      <c r="B1870" t="s">
        <v>39</v>
      </c>
      <c r="C1870">
        <v>51</v>
      </c>
      <c r="D1870" t="s">
        <v>88</v>
      </c>
      <c r="E1870" t="s">
        <v>40</v>
      </c>
      <c r="F1870" t="s">
        <v>62</v>
      </c>
      <c r="G1870" t="s">
        <v>49</v>
      </c>
      <c r="H1870" t="s">
        <v>67</v>
      </c>
      <c r="I1870" t="s">
        <v>50</v>
      </c>
      <c r="J1870" t="s">
        <v>44</v>
      </c>
      <c r="K1870">
        <v>10</v>
      </c>
      <c r="L1870">
        <v>76899</v>
      </c>
      <c r="M1870" t="s">
        <v>45</v>
      </c>
      <c r="N1870">
        <v>4</v>
      </c>
      <c r="O1870">
        <v>3</v>
      </c>
      <c r="P1870">
        <v>74</v>
      </c>
      <c r="Q1870">
        <v>2</v>
      </c>
      <c r="R1870" s="1">
        <v>41322</v>
      </c>
      <c r="S1870" t="s">
        <v>29</v>
      </c>
      <c r="T1870" t="str">
        <f t="shared" si="145"/>
        <v>Grade B</v>
      </c>
      <c r="U1870">
        <f t="shared" si="146"/>
        <v>2</v>
      </c>
      <c r="V1870" t="str">
        <f t="shared" si="147"/>
        <v>Mid Level</v>
      </c>
      <c r="W1870" t="str">
        <f t="shared" si="148"/>
        <v>Medium Risk</v>
      </c>
      <c r="X1870" t="str">
        <f t="shared" si="149"/>
        <v>Fair</v>
      </c>
    </row>
    <row r="1871" spans="1:24" x14ac:dyDescent="0.3">
      <c r="A1871" t="s">
        <v>1939</v>
      </c>
      <c r="B1871" t="s">
        <v>20</v>
      </c>
      <c r="C1871">
        <v>35</v>
      </c>
      <c r="D1871" t="s">
        <v>31</v>
      </c>
      <c r="E1871" t="s">
        <v>40</v>
      </c>
      <c r="F1871" t="s">
        <v>32</v>
      </c>
      <c r="G1871" t="s">
        <v>79</v>
      </c>
      <c r="H1871" t="s">
        <v>76</v>
      </c>
      <c r="I1871" t="s">
        <v>96</v>
      </c>
      <c r="J1871" t="s">
        <v>44</v>
      </c>
      <c r="K1871">
        <v>7</v>
      </c>
      <c r="L1871">
        <v>56399</v>
      </c>
      <c r="M1871" t="s">
        <v>45</v>
      </c>
      <c r="N1871">
        <v>1</v>
      </c>
      <c r="O1871">
        <v>4</v>
      </c>
      <c r="P1871">
        <v>36</v>
      </c>
      <c r="Q1871">
        <v>0</v>
      </c>
      <c r="R1871" s="1">
        <v>42468</v>
      </c>
      <c r="S1871" t="s">
        <v>29</v>
      </c>
      <c r="T1871" t="str">
        <f t="shared" si="145"/>
        <v>Grade B</v>
      </c>
      <c r="U1871">
        <f t="shared" si="146"/>
        <v>2</v>
      </c>
      <c r="V1871" t="str">
        <f t="shared" si="147"/>
        <v>Mid Level</v>
      </c>
      <c r="W1871" t="str">
        <f t="shared" si="148"/>
        <v>Medium Risk</v>
      </c>
      <c r="X1871" t="str">
        <f t="shared" si="149"/>
        <v>Fair</v>
      </c>
    </row>
    <row r="1872" spans="1:24" x14ac:dyDescent="0.3">
      <c r="A1872" t="s">
        <v>1940</v>
      </c>
      <c r="B1872" t="s">
        <v>39</v>
      </c>
      <c r="C1872">
        <v>53</v>
      </c>
      <c r="D1872" t="s">
        <v>88</v>
      </c>
      <c r="E1872" t="s">
        <v>40</v>
      </c>
      <c r="F1872" t="s">
        <v>41</v>
      </c>
      <c r="G1872" t="s">
        <v>79</v>
      </c>
      <c r="H1872" t="s">
        <v>76</v>
      </c>
      <c r="I1872" t="s">
        <v>96</v>
      </c>
      <c r="J1872" t="s">
        <v>44</v>
      </c>
      <c r="K1872">
        <v>7</v>
      </c>
      <c r="L1872">
        <v>50334</v>
      </c>
      <c r="M1872" t="s">
        <v>36</v>
      </c>
      <c r="N1872">
        <v>2</v>
      </c>
      <c r="O1872">
        <v>4</v>
      </c>
      <c r="P1872">
        <v>30</v>
      </c>
      <c r="Q1872">
        <v>1</v>
      </c>
      <c r="R1872" s="1">
        <v>42724</v>
      </c>
      <c r="S1872" t="s">
        <v>29</v>
      </c>
      <c r="T1872" t="str">
        <f t="shared" si="145"/>
        <v>Grade B</v>
      </c>
      <c r="U1872">
        <f t="shared" si="146"/>
        <v>1</v>
      </c>
      <c r="V1872" t="str">
        <f t="shared" si="147"/>
        <v>Mid Level</v>
      </c>
      <c r="W1872" t="str">
        <f t="shared" si="148"/>
        <v>Medium Risk</v>
      </c>
      <c r="X1872" t="str">
        <f t="shared" si="149"/>
        <v>Fair</v>
      </c>
    </row>
    <row r="1873" spans="1:24" x14ac:dyDescent="0.3">
      <c r="A1873" t="s">
        <v>1941</v>
      </c>
      <c r="B1873" t="s">
        <v>20</v>
      </c>
      <c r="C1873">
        <v>30</v>
      </c>
      <c r="D1873" t="s">
        <v>88</v>
      </c>
      <c r="E1873" t="s">
        <v>48</v>
      </c>
      <c r="F1873" t="s">
        <v>32</v>
      </c>
      <c r="G1873" t="s">
        <v>58</v>
      </c>
      <c r="H1873" t="s">
        <v>34</v>
      </c>
      <c r="I1873" t="s">
        <v>59</v>
      </c>
      <c r="J1873" t="s">
        <v>60</v>
      </c>
      <c r="K1873">
        <v>5</v>
      </c>
      <c r="L1873">
        <v>92742</v>
      </c>
      <c r="M1873" t="s">
        <v>45</v>
      </c>
      <c r="N1873">
        <v>1</v>
      </c>
      <c r="O1873">
        <v>2</v>
      </c>
      <c r="P1873">
        <v>38</v>
      </c>
      <c r="Q1873">
        <v>0</v>
      </c>
      <c r="R1873" s="1">
        <v>43258</v>
      </c>
      <c r="S1873" t="s">
        <v>29</v>
      </c>
      <c r="T1873" t="str">
        <f t="shared" si="145"/>
        <v>Grade A</v>
      </c>
      <c r="U1873">
        <f t="shared" si="146"/>
        <v>2</v>
      </c>
      <c r="V1873" t="str">
        <f t="shared" si="147"/>
        <v>Junior</v>
      </c>
      <c r="W1873" t="str">
        <f t="shared" si="148"/>
        <v>Medium Risk</v>
      </c>
      <c r="X1873" t="str">
        <f t="shared" si="149"/>
        <v>Fair</v>
      </c>
    </row>
    <row r="1874" spans="1:24" x14ac:dyDescent="0.3">
      <c r="A1874" t="s">
        <v>1942</v>
      </c>
      <c r="B1874" t="s">
        <v>20</v>
      </c>
      <c r="C1874">
        <v>29</v>
      </c>
      <c r="D1874" t="s">
        <v>31</v>
      </c>
      <c r="E1874" t="s">
        <v>40</v>
      </c>
      <c r="F1874" t="s">
        <v>75</v>
      </c>
      <c r="G1874" t="s">
        <v>33</v>
      </c>
      <c r="H1874" t="s">
        <v>25</v>
      </c>
      <c r="I1874" t="s">
        <v>68</v>
      </c>
      <c r="J1874" t="s">
        <v>60</v>
      </c>
      <c r="K1874">
        <v>3</v>
      </c>
      <c r="L1874">
        <v>63795</v>
      </c>
      <c r="M1874" t="s">
        <v>28</v>
      </c>
      <c r="N1874">
        <v>4</v>
      </c>
      <c r="O1874">
        <v>2</v>
      </c>
      <c r="P1874">
        <v>43</v>
      </c>
      <c r="Q1874">
        <v>0</v>
      </c>
      <c r="R1874" s="1">
        <v>43842</v>
      </c>
      <c r="S1874" t="s">
        <v>29</v>
      </c>
      <c r="T1874" t="str">
        <f t="shared" si="145"/>
        <v>Grade B</v>
      </c>
      <c r="U1874">
        <f t="shared" si="146"/>
        <v>3</v>
      </c>
      <c r="V1874" t="str">
        <f t="shared" si="147"/>
        <v>Junior</v>
      </c>
      <c r="W1874" t="str">
        <f t="shared" si="148"/>
        <v>Medium Risk</v>
      </c>
      <c r="X1874" t="str">
        <f t="shared" si="149"/>
        <v>Competitive</v>
      </c>
    </row>
    <row r="1875" spans="1:24" x14ac:dyDescent="0.3">
      <c r="A1875" t="s">
        <v>1943</v>
      </c>
      <c r="B1875" t="s">
        <v>20</v>
      </c>
      <c r="C1875">
        <v>43</v>
      </c>
      <c r="D1875" t="s">
        <v>21</v>
      </c>
      <c r="E1875" t="s">
        <v>40</v>
      </c>
      <c r="F1875" t="s">
        <v>53</v>
      </c>
      <c r="G1875" t="s">
        <v>33</v>
      </c>
      <c r="H1875" t="s">
        <v>67</v>
      </c>
      <c r="I1875" t="s">
        <v>59</v>
      </c>
      <c r="J1875" t="s">
        <v>60</v>
      </c>
      <c r="K1875">
        <v>5</v>
      </c>
      <c r="L1875">
        <v>75967</v>
      </c>
      <c r="M1875" t="s">
        <v>28</v>
      </c>
      <c r="N1875">
        <v>2</v>
      </c>
      <c r="O1875">
        <v>3</v>
      </c>
      <c r="P1875">
        <v>50</v>
      </c>
      <c r="Q1875">
        <v>2</v>
      </c>
      <c r="R1875" s="1">
        <v>43318</v>
      </c>
      <c r="S1875" t="s">
        <v>37</v>
      </c>
      <c r="T1875" t="str">
        <f t="shared" si="145"/>
        <v>Grade B</v>
      </c>
      <c r="U1875">
        <f t="shared" si="146"/>
        <v>3</v>
      </c>
      <c r="V1875" t="str">
        <f t="shared" si="147"/>
        <v>Junior</v>
      </c>
      <c r="W1875" t="str">
        <f t="shared" si="148"/>
        <v>Already Left</v>
      </c>
      <c r="X1875" t="str">
        <f t="shared" si="149"/>
        <v>Competitive</v>
      </c>
    </row>
    <row r="1876" spans="1:24" x14ac:dyDescent="0.3">
      <c r="A1876" t="s">
        <v>1944</v>
      </c>
      <c r="B1876" t="s">
        <v>20</v>
      </c>
      <c r="C1876">
        <v>26</v>
      </c>
      <c r="D1876" t="s">
        <v>47</v>
      </c>
      <c r="E1876" t="s">
        <v>48</v>
      </c>
      <c r="F1876" t="s">
        <v>78</v>
      </c>
      <c r="G1876" t="s">
        <v>58</v>
      </c>
      <c r="H1876" t="s">
        <v>83</v>
      </c>
      <c r="I1876" t="s">
        <v>72</v>
      </c>
      <c r="J1876" t="s">
        <v>73</v>
      </c>
      <c r="K1876">
        <v>1</v>
      </c>
      <c r="L1876">
        <v>90470</v>
      </c>
      <c r="M1876" t="s">
        <v>28</v>
      </c>
      <c r="N1876">
        <v>3</v>
      </c>
      <c r="O1876">
        <v>3</v>
      </c>
      <c r="P1876">
        <v>56</v>
      </c>
      <c r="Q1876">
        <v>2</v>
      </c>
      <c r="R1876" s="1">
        <v>44687</v>
      </c>
      <c r="S1876" t="s">
        <v>37</v>
      </c>
      <c r="T1876" t="str">
        <f t="shared" si="145"/>
        <v>Grade A</v>
      </c>
      <c r="U1876">
        <f t="shared" si="146"/>
        <v>3</v>
      </c>
      <c r="V1876" t="str">
        <f t="shared" si="147"/>
        <v>New Joiner</v>
      </c>
      <c r="W1876" t="str">
        <f t="shared" si="148"/>
        <v>Already Left</v>
      </c>
      <c r="X1876" t="str">
        <f t="shared" si="149"/>
        <v>Competitive</v>
      </c>
    </row>
    <row r="1877" spans="1:24" x14ac:dyDescent="0.3">
      <c r="A1877" t="s">
        <v>1945</v>
      </c>
      <c r="B1877" t="s">
        <v>39</v>
      </c>
      <c r="C1877">
        <v>52</v>
      </c>
      <c r="D1877" t="s">
        <v>21</v>
      </c>
      <c r="E1877" t="s">
        <v>48</v>
      </c>
      <c r="F1877" t="s">
        <v>75</v>
      </c>
      <c r="G1877" t="s">
        <v>49</v>
      </c>
      <c r="H1877" t="s">
        <v>83</v>
      </c>
      <c r="I1877" t="s">
        <v>96</v>
      </c>
      <c r="J1877" t="s">
        <v>44</v>
      </c>
      <c r="K1877">
        <v>2</v>
      </c>
      <c r="L1877">
        <v>63564</v>
      </c>
      <c r="M1877" t="s">
        <v>28</v>
      </c>
      <c r="N1877">
        <v>3</v>
      </c>
      <c r="O1877">
        <v>1</v>
      </c>
      <c r="P1877">
        <v>66</v>
      </c>
      <c r="Q1877">
        <v>3</v>
      </c>
      <c r="R1877" s="1">
        <v>44237</v>
      </c>
      <c r="S1877" t="s">
        <v>37</v>
      </c>
      <c r="T1877" t="str">
        <f t="shared" si="145"/>
        <v>Grade B</v>
      </c>
      <c r="U1877">
        <f t="shared" si="146"/>
        <v>3</v>
      </c>
      <c r="V1877" t="str">
        <f t="shared" si="147"/>
        <v>New Joiner</v>
      </c>
      <c r="W1877" t="str">
        <f t="shared" si="148"/>
        <v>Already Left</v>
      </c>
      <c r="X1877" t="str">
        <f t="shared" si="149"/>
        <v>Competitive</v>
      </c>
    </row>
    <row r="1878" spans="1:24" x14ac:dyDescent="0.3">
      <c r="A1878" t="s">
        <v>1946</v>
      </c>
      <c r="B1878" t="s">
        <v>20</v>
      </c>
      <c r="C1878">
        <v>40</v>
      </c>
      <c r="D1878" t="s">
        <v>57</v>
      </c>
      <c r="E1878" t="s">
        <v>40</v>
      </c>
      <c r="F1878" t="s">
        <v>53</v>
      </c>
      <c r="G1878" t="s">
        <v>49</v>
      </c>
      <c r="H1878" t="s">
        <v>67</v>
      </c>
      <c r="I1878" t="s">
        <v>26</v>
      </c>
      <c r="J1878" t="s">
        <v>27</v>
      </c>
      <c r="K1878">
        <v>15</v>
      </c>
      <c r="L1878">
        <v>70865</v>
      </c>
      <c r="M1878" t="s">
        <v>28</v>
      </c>
      <c r="N1878">
        <v>3</v>
      </c>
      <c r="O1878">
        <v>2</v>
      </c>
      <c r="P1878">
        <v>10</v>
      </c>
      <c r="Q1878">
        <v>2</v>
      </c>
      <c r="R1878" s="1">
        <v>39620</v>
      </c>
      <c r="S1878" t="s">
        <v>29</v>
      </c>
      <c r="T1878" t="str">
        <f t="shared" si="145"/>
        <v>Grade B</v>
      </c>
      <c r="U1878">
        <f t="shared" si="146"/>
        <v>3</v>
      </c>
      <c r="V1878" t="str">
        <f t="shared" si="147"/>
        <v>Senior</v>
      </c>
      <c r="W1878" t="str">
        <f t="shared" si="148"/>
        <v>Medium Risk</v>
      </c>
      <c r="X1878" t="str">
        <f t="shared" si="149"/>
        <v>Competitive</v>
      </c>
    </row>
    <row r="1879" spans="1:24" x14ac:dyDescent="0.3">
      <c r="A1879" t="s">
        <v>1947</v>
      </c>
      <c r="B1879" t="s">
        <v>39</v>
      </c>
      <c r="C1879">
        <v>43</v>
      </c>
      <c r="D1879" t="s">
        <v>57</v>
      </c>
      <c r="E1879" t="s">
        <v>22</v>
      </c>
      <c r="F1879" t="s">
        <v>65</v>
      </c>
      <c r="G1879" t="s">
        <v>66</v>
      </c>
      <c r="H1879" t="s">
        <v>25</v>
      </c>
      <c r="I1879" t="s">
        <v>72</v>
      </c>
      <c r="J1879" t="s">
        <v>73</v>
      </c>
      <c r="K1879">
        <v>10</v>
      </c>
      <c r="L1879">
        <v>46672</v>
      </c>
      <c r="M1879" t="s">
        <v>45</v>
      </c>
      <c r="N1879">
        <v>4</v>
      </c>
      <c r="O1879">
        <v>4</v>
      </c>
      <c r="P1879">
        <v>72</v>
      </c>
      <c r="Q1879">
        <v>2</v>
      </c>
      <c r="R1879" s="1">
        <v>41434</v>
      </c>
      <c r="S1879" t="s">
        <v>29</v>
      </c>
      <c r="T1879" t="str">
        <f t="shared" si="145"/>
        <v>Grade C</v>
      </c>
      <c r="U1879">
        <f t="shared" si="146"/>
        <v>2</v>
      </c>
      <c r="V1879" t="str">
        <f t="shared" si="147"/>
        <v>Mid Level</v>
      </c>
      <c r="W1879" t="str">
        <f t="shared" si="148"/>
        <v>Medium Risk</v>
      </c>
      <c r="X1879" t="str">
        <f t="shared" si="149"/>
        <v>Fair</v>
      </c>
    </row>
    <row r="1880" spans="1:24" x14ac:dyDescent="0.3">
      <c r="A1880" t="s">
        <v>1948</v>
      </c>
      <c r="B1880" t="s">
        <v>20</v>
      </c>
      <c r="C1880">
        <v>24</v>
      </c>
      <c r="D1880" t="s">
        <v>21</v>
      </c>
      <c r="E1880" t="s">
        <v>40</v>
      </c>
      <c r="F1880" t="s">
        <v>32</v>
      </c>
      <c r="G1880" t="s">
        <v>49</v>
      </c>
      <c r="H1880" t="s">
        <v>67</v>
      </c>
      <c r="I1880" t="s">
        <v>59</v>
      </c>
      <c r="J1880" t="s">
        <v>60</v>
      </c>
      <c r="K1880">
        <v>7</v>
      </c>
      <c r="L1880">
        <v>72892</v>
      </c>
      <c r="M1880" t="s">
        <v>36</v>
      </c>
      <c r="N1880">
        <v>2</v>
      </c>
      <c r="O1880">
        <v>2</v>
      </c>
      <c r="P1880">
        <v>61</v>
      </c>
      <c r="Q1880">
        <v>3</v>
      </c>
      <c r="R1880" s="1">
        <v>42603</v>
      </c>
      <c r="S1880" t="s">
        <v>37</v>
      </c>
      <c r="T1880" t="str">
        <f t="shared" si="145"/>
        <v>Grade B</v>
      </c>
      <c r="U1880">
        <f t="shared" si="146"/>
        <v>1</v>
      </c>
      <c r="V1880" t="str">
        <f t="shared" si="147"/>
        <v>Mid Level</v>
      </c>
      <c r="W1880" t="str">
        <f t="shared" si="148"/>
        <v>Already Left</v>
      </c>
      <c r="X1880" t="str">
        <f t="shared" si="149"/>
        <v>Fair</v>
      </c>
    </row>
    <row r="1881" spans="1:24" x14ac:dyDescent="0.3">
      <c r="A1881" t="s">
        <v>1949</v>
      </c>
      <c r="B1881" t="s">
        <v>20</v>
      </c>
      <c r="C1881">
        <v>45</v>
      </c>
      <c r="D1881" t="s">
        <v>31</v>
      </c>
      <c r="E1881" t="s">
        <v>40</v>
      </c>
      <c r="F1881" t="s">
        <v>75</v>
      </c>
      <c r="G1881" t="s">
        <v>24</v>
      </c>
      <c r="H1881" t="s">
        <v>34</v>
      </c>
      <c r="I1881" t="s">
        <v>68</v>
      </c>
      <c r="J1881" t="s">
        <v>60</v>
      </c>
      <c r="K1881">
        <v>3</v>
      </c>
      <c r="L1881">
        <v>75904</v>
      </c>
      <c r="M1881" t="s">
        <v>51</v>
      </c>
      <c r="N1881">
        <v>1</v>
      </c>
      <c r="O1881">
        <v>4</v>
      </c>
      <c r="P1881">
        <v>23</v>
      </c>
      <c r="Q1881">
        <v>3</v>
      </c>
      <c r="R1881" s="1">
        <v>43909</v>
      </c>
      <c r="S1881" t="s">
        <v>37</v>
      </c>
      <c r="T1881" t="str">
        <f t="shared" si="145"/>
        <v>Grade B</v>
      </c>
      <c r="U1881">
        <f t="shared" si="146"/>
        <v>4</v>
      </c>
      <c r="V1881" t="str">
        <f t="shared" si="147"/>
        <v>Junior</v>
      </c>
      <c r="W1881" t="str">
        <f t="shared" si="148"/>
        <v>Already Left</v>
      </c>
      <c r="X1881" t="str">
        <f t="shared" si="149"/>
        <v>Fair</v>
      </c>
    </row>
    <row r="1882" spans="1:24" x14ac:dyDescent="0.3">
      <c r="A1882" t="s">
        <v>1950</v>
      </c>
      <c r="B1882" t="s">
        <v>39</v>
      </c>
      <c r="C1882">
        <v>35</v>
      </c>
      <c r="D1882" t="s">
        <v>88</v>
      </c>
      <c r="E1882" t="s">
        <v>22</v>
      </c>
      <c r="F1882" t="s">
        <v>23</v>
      </c>
      <c r="G1882" t="s">
        <v>79</v>
      </c>
      <c r="H1882" t="s">
        <v>76</v>
      </c>
      <c r="I1882" t="s">
        <v>54</v>
      </c>
      <c r="J1882" t="s">
        <v>27</v>
      </c>
      <c r="K1882">
        <v>1</v>
      </c>
      <c r="L1882">
        <v>43166</v>
      </c>
      <c r="M1882" t="s">
        <v>36</v>
      </c>
      <c r="N1882">
        <v>3</v>
      </c>
      <c r="O1882">
        <v>3</v>
      </c>
      <c r="P1882">
        <v>14</v>
      </c>
      <c r="Q1882">
        <v>3</v>
      </c>
      <c r="R1882" s="1">
        <v>44908</v>
      </c>
      <c r="S1882" t="s">
        <v>37</v>
      </c>
      <c r="T1882" t="str">
        <f t="shared" si="145"/>
        <v>Grade C</v>
      </c>
      <c r="U1882">
        <f t="shared" si="146"/>
        <v>1</v>
      </c>
      <c r="V1882" t="str">
        <f t="shared" si="147"/>
        <v>New Joiner</v>
      </c>
      <c r="W1882" t="str">
        <f t="shared" si="148"/>
        <v>Already Left</v>
      </c>
      <c r="X1882" t="str">
        <f t="shared" si="149"/>
        <v>Fair</v>
      </c>
    </row>
    <row r="1883" spans="1:24" x14ac:dyDescent="0.3">
      <c r="A1883" t="s">
        <v>1951</v>
      </c>
      <c r="B1883" t="s">
        <v>39</v>
      </c>
      <c r="C1883">
        <v>37</v>
      </c>
      <c r="D1883" t="s">
        <v>47</v>
      </c>
      <c r="E1883" t="s">
        <v>40</v>
      </c>
      <c r="F1883" t="s">
        <v>78</v>
      </c>
      <c r="G1883" t="s">
        <v>24</v>
      </c>
      <c r="H1883" t="s">
        <v>67</v>
      </c>
      <c r="I1883" t="s">
        <v>43</v>
      </c>
      <c r="J1883" t="s">
        <v>44</v>
      </c>
      <c r="K1883">
        <v>7</v>
      </c>
      <c r="L1883">
        <v>81421</v>
      </c>
      <c r="M1883" t="s">
        <v>51</v>
      </c>
      <c r="N1883">
        <v>1</v>
      </c>
      <c r="O1883">
        <v>2</v>
      </c>
      <c r="P1883">
        <v>58</v>
      </c>
      <c r="Q1883">
        <v>1</v>
      </c>
      <c r="R1883" s="1">
        <v>42405</v>
      </c>
      <c r="S1883" t="s">
        <v>29</v>
      </c>
      <c r="T1883" t="str">
        <f t="shared" si="145"/>
        <v>Grade A</v>
      </c>
      <c r="U1883">
        <f t="shared" si="146"/>
        <v>4</v>
      </c>
      <c r="V1883" t="str">
        <f t="shared" si="147"/>
        <v>Mid Level</v>
      </c>
      <c r="W1883" t="str">
        <f t="shared" si="148"/>
        <v>Low Risk</v>
      </c>
      <c r="X1883" t="str">
        <f t="shared" si="149"/>
        <v>Competitive</v>
      </c>
    </row>
    <row r="1884" spans="1:24" x14ac:dyDescent="0.3">
      <c r="A1884" t="s">
        <v>1952</v>
      </c>
      <c r="B1884" t="s">
        <v>20</v>
      </c>
      <c r="C1884">
        <v>24</v>
      </c>
      <c r="D1884" t="s">
        <v>21</v>
      </c>
      <c r="E1884" t="s">
        <v>40</v>
      </c>
      <c r="F1884" t="s">
        <v>23</v>
      </c>
      <c r="G1884" t="s">
        <v>33</v>
      </c>
      <c r="H1884" t="s">
        <v>25</v>
      </c>
      <c r="I1884" t="s">
        <v>26</v>
      </c>
      <c r="J1884" t="s">
        <v>27</v>
      </c>
      <c r="K1884">
        <v>1</v>
      </c>
      <c r="L1884">
        <v>54786</v>
      </c>
      <c r="M1884" t="s">
        <v>28</v>
      </c>
      <c r="N1884">
        <v>2</v>
      </c>
      <c r="O1884">
        <v>2</v>
      </c>
      <c r="P1884">
        <v>75</v>
      </c>
      <c r="Q1884">
        <v>1</v>
      </c>
      <c r="R1884" s="1">
        <v>44839</v>
      </c>
      <c r="S1884" t="s">
        <v>29</v>
      </c>
      <c r="T1884" t="str">
        <f t="shared" si="145"/>
        <v>Grade B</v>
      </c>
      <c r="U1884">
        <f t="shared" si="146"/>
        <v>3</v>
      </c>
      <c r="V1884" t="str">
        <f t="shared" si="147"/>
        <v>New Joiner</v>
      </c>
      <c r="W1884" t="str">
        <f t="shared" si="148"/>
        <v>Medium Risk</v>
      </c>
      <c r="X1884" t="str">
        <f t="shared" si="149"/>
        <v>Competitive</v>
      </c>
    </row>
    <row r="1885" spans="1:24" x14ac:dyDescent="0.3">
      <c r="A1885" t="s">
        <v>1953</v>
      </c>
      <c r="B1885" t="s">
        <v>20</v>
      </c>
      <c r="C1885">
        <v>53</v>
      </c>
      <c r="D1885" t="s">
        <v>88</v>
      </c>
      <c r="E1885" t="s">
        <v>40</v>
      </c>
      <c r="F1885" t="s">
        <v>78</v>
      </c>
      <c r="G1885" t="s">
        <v>58</v>
      </c>
      <c r="H1885" t="s">
        <v>25</v>
      </c>
      <c r="I1885" t="s">
        <v>96</v>
      </c>
      <c r="J1885" t="s">
        <v>44</v>
      </c>
      <c r="K1885">
        <v>8</v>
      </c>
      <c r="L1885">
        <v>101340</v>
      </c>
      <c r="M1885" t="s">
        <v>28</v>
      </c>
      <c r="N1885">
        <v>4</v>
      </c>
      <c r="O1885">
        <v>2</v>
      </c>
      <c r="P1885">
        <v>80</v>
      </c>
      <c r="Q1885">
        <v>1</v>
      </c>
      <c r="R1885" s="1">
        <v>42055</v>
      </c>
      <c r="S1885" t="s">
        <v>29</v>
      </c>
      <c r="T1885" t="str">
        <f t="shared" si="145"/>
        <v>Grade A</v>
      </c>
      <c r="U1885">
        <f t="shared" si="146"/>
        <v>3</v>
      </c>
      <c r="V1885" t="str">
        <f t="shared" si="147"/>
        <v>Mid Level</v>
      </c>
      <c r="W1885" t="str">
        <f t="shared" si="148"/>
        <v>Medium Risk</v>
      </c>
      <c r="X1885" t="str">
        <f t="shared" si="149"/>
        <v>Competitive</v>
      </c>
    </row>
    <row r="1886" spans="1:24" x14ac:dyDescent="0.3">
      <c r="A1886" t="s">
        <v>1954</v>
      </c>
      <c r="B1886" t="s">
        <v>39</v>
      </c>
      <c r="C1886">
        <v>40</v>
      </c>
      <c r="D1886" t="s">
        <v>31</v>
      </c>
      <c r="E1886" t="s">
        <v>48</v>
      </c>
      <c r="F1886" t="s">
        <v>75</v>
      </c>
      <c r="G1886" t="s">
        <v>58</v>
      </c>
      <c r="H1886" t="s">
        <v>67</v>
      </c>
      <c r="I1886" t="s">
        <v>50</v>
      </c>
      <c r="J1886" t="s">
        <v>44</v>
      </c>
      <c r="K1886">
        <v>3</v>
      </c>
      <c r="L1886">
        <v>83593</v>
      </c>
      <c r="M1886" t="s">
        <v>28</v>
      </c>
      <c r="N1886">
        <v>4</v>
      </c>
      <c r="O1886">
        <v>3</v>
      </c>
      <c r="P1886">
        <v>74</v>
      </c>
      <c r="Q1886">
        <v>2</v>
      </c>
      <c r="R1886" s="1">
        <v>43982</v>
      </c>
      <c r="S1886" t="s">
        <v>29</v>
      </c>
      <c r="T1886" t="str">
        <f t="shared" si="145"/>
        <v>Grade A</v>
      </c>
      <c r="U1886">
        <f t="shared" si="146"/>
        <v>3</v>
      </c>
      <c r="V1886" t="str">
        <f t="shared" si="147"/>
        <v>Junior</v>
      </c>
      <c r="W1886" t="str">
        <f t="shared" si="148"/>
        <v>Medium Risk</v>
      </c>
      <c r="X1886" t="str">
        <f t="shared" si="149"/>
        <v>Competitive</v>
      </c>
    </row>
    <row r="1887" spans="1:24" x14ac:dyDescent="0.3">
      <c r="A1887" t="s">
        <v>1955</v>
      </c>
      <c r="B1887" t="s">
        <v>39</v>
      </c>
      <c r="C1887">
        <v>38</v>
      </c>
      <c r="D1887" t="s">
        <v>31</v>
      </c>
      <c r="E1887" t="s">
        <v>22</v>
      </c>
      <c r="F1887" t="s">
        <v>62</v>
      </c>
      <c r="G1887" t="s">
        <v>63</v>
      </c>
      <c r="H1887" t="s">
        <v>76</v>
      </c>
      <c r="I1887" t="s">
        <v>68</v>
      </c>
      <c r="J1887" t="s">
        <v>60</v>
      </c>
      <c r="K1887">
        <v>1</v>
      </c>
      <c r="L1887">
        <v>37637</v>
      </c>
      <c r="M1887" t="s">
        <v>36</v>
      </c>
      <c r="N1887">
        <v>3</v>
      </c>
      <c r="O1887">
        <v>4</v>
      </c>
      <c r="P1887">
        <v>37</v>
      </c>
      <c r="Q1887">
        <v>3</v>
      </c>
      <c r="R1887" s="1">
        <v>44702</v>
      </c>
      <c r="S1887" t="s">
        <v>37</v>
      </c>
      <c r="T1887" t="str">
        <f t="shared" si="145"/>
        <v>Grade C</v>
      </c>
      <c r="U1887">
        <f t="shared" si="146"/>
        <v>1</v>
      </c>
      <c r="V1887" t="str">
        <f t="shared" si="147"/>
        <v>New Joiner</v>
      </c>
      <c r="W1887" t="str">
        <f t="shared" si="148"/>
        <v>Already Left</v>
      </c>
      <c r="X1887" t="str">
        <f t="shared" si="149"/>
        <v>Fair</v>
      </c>
    </row>
    <row r="1888" spans="1:24" x14ac:dyDescent="0.3">
      <c r="A1888" t="s">
        <v>1956</v>
      </c>
      <c r="B1888" t="s">
        <v>20</v>
      </c>
      <c r="C1888">
        <v>48</v>
      </c>
      <c r="D1888" t="s">
        <v>31</v>
      </c>
      <c r="E1888" t="s">
        <v>48</v>
      </c>
      <c r="F1888" t="s">
        <v>78</v>
      </c>
      <c r="G1888" t="s">
        <v>42</v>
      </c>
      <c r="H1888" t="s">
        <v>25</v>
      </c>
      <c r="I1888" t="s">
        <v>35</v>
      </c>
      <c r="J1888" t="s">
        <v>27</v>
      </c>
      <c r="K1888">
        <v>8</v>
      </c>
      <c r="L1888">
        <v>101461</v>
      </c>
      <c r="M1888" t="s">
        <v>36</v>
      </c>
      <c r="N1888">
        <v>4</v>
      </c>
      <c r="O1888">
        <v>4</v>
      </c>
      <c r="P1888">
        <v>16</v>
      </c>
      <c r="Q1888">
        <v>3</v>
      </c>
      <c r="R1888" s="1">
        <v>42016</v>
      </c>
      <c r="S1888" t="s">
        <v>37</v>
      </c>
      <c r="T1888" t="str">
        <f t="shared" si="145"/>
        <v>Grade A</v>
      </c>
      <c r="U1888">
        <f t="shared" si="146"/>
        <v>1</v>
      </c>
      <c r="V1888" t="str">
        <f t="shared" si="147"/>
        <v>Mid Level</v>
      </c>
      <c r="W1888" t="str">
        <f t="shared" si="148"/>
        <v>Already Left</v>
      </c>
      <c r="X1888" t="str">
        <f t="shared" si="149"/>
        <v>Overpaid</v>
      </c>
    </row>
    <row r="1889" spans="1:24" x14ac:dyDescent="0.3">
      <c r="A1889" t="s">
        <v>1957</v>
      </c>
      <c r="B1889" t="s">
        <v>39</v>
      </c>
      <c r="C1889">
        <v>30</v>
      </c>
      <c r="D1889" t="s">
        <v>88</v>
      </c>
      <c r="E1889" t="s">
        <v>22</v>
      </c>
      <c r="F1889" t="s">
        <v>53</v>
      </c>
      <c r="G1889" t="s">
        <v>24</v>
      </c>
      <c r="H1889" t="s">
        <v>34</v>
      </c>
      <c r="I1889" t="s">
        <v>26</v>
      </c>
      <c r="J1889" t="s">
        <v>27</v>
      </c>
      <c r="K1889">
        <v>15</v>
      </c>
      <c r="L1889">
        <v>112883</v>
      </c>
      <c r="M1889" t="s">
        <v>36</v>
      </c>
      <c r="N1889">
        <v>4</v>
      </c>
      <c r="O1889">
        <v>1</v>
      </c>
      <c r="P1889">
        <v>58</v>
      </c>
      <c r="Q1889">
        <v>2</v>
      </c>
      <c r="R1889" s="1">
        <v>39613</v>
      </c>
      <c r="S1889" t="s">
        <v>37</v>
      </c>
      <c r="T1889" t="str">
        <f t="shared" si="145"/>
        <v>Grade A</v>
      </c>
      <c r="U1889">
        <f t="shared" si="146"/>
        <v>1</v>
      </c>
      <c r="V1889" t="str">
        <f t="shared" si="147"/>
        <v>Senior</v>
      </c>
      <c r="W1889" t="str">
        <f t="shared" si="148"/>
        <v>Already Left</v>
      </c>
      <c r="X1889" t="str">
        <f t="shared" si="149"/>
        <v>Overpaid</v>
      </c>
    </row>
    <row r="1890" spans="1:24" x14ac:dyDescent="0.3">
      <c r="A1890" t="s">
        <v>1958</v>
      </c>
      <c r="B1890" t="s">
        <v>20</v>
      </c>
      <c r="C1890">
        <v>24</v>
      </c>
      <c r="D1890" t="s">
        <v>31</v>
      </c>
      <c r="E1890" t="s">
        <v>48</v>
      </c>
      <c r="F1890" t="s">
        <v>78</v>
      </c>
      <c r="G1890" t="s">
        <v>49</v>
      </c>
      <c r="H1890" t="s">
        <v>83</v>
      </c>
      <c r="I1890" t="s">
        <v>26</v>
      </c>
      <c r="J1890" t="s">
        <v>27</v>
      </c>
      <c r="K1890">
        <v>6</v>
      </c>
      <c r="L1890">
        <v>68144</v>
      </c>
      <c r="M1890" t="s">
        <v>51</v>
      </c>
      <c r="N1890">
        <v>4</v>
      </c>
      <c r="O1890">
        <v>1</v>
      </c>
      <c r="P1890">
        <v>35</v>
      </c>
      <c r="Q1890">
        <v>0</v>
      </c>
      <c r="R1890" s="1">
        <v>42772</v>
      </c>
      <c r="S1890" t="s">
        <v>37</v>
      </c>
      <c r="T1890" t="str">
        <f t="shared" si="145"/>
        <v>Grade B</v>
      </c>
      <c r="U1890">
        <f t="shared" si="146"/>
        <v>4</v>
      </c>
      <c r="V1890" t="str">
        <f t="shared" si="147"/>
        <v>Mid Level</v>
      </c>
      <c r="W1890" t="str">
        <f t="shared" si="148"/>
        <v>Already Left</v>
      </c>
      <c r="X1890" t="str">
        <f t="shared" si="149"/>
        <v>Fair</v>
      </c>
    </row>
    <row r="1891" spans="1:24" x14ac:dyDescent="0.3">
      <c r="A1891" t="s">
        <v>1959</v>
      </c>
      <c r="B1891" t="s">
        <v>39</v>
      </c>
      <c r="C1891">
        <v>29</v>
      </c>
      <c r="D1891" t="s">
        <v>47</v>
      </c>
      <c r="E1891" t="s">
        <v>48</v>
      </c>
      <c r="F1891" t="s">
        <v>75</v>
      </c>
      <c r="G1891" t="s">
        <v>66</v>
      </c>
      <c r="H1891" t="s">
        <v>25</v>
      </c>
      <c r="I1891" t="s">
        <v>43</v>
      </c>
      <c r="J1891" t="s">
        <v>44</v>
      </c>
      <c r="K1891">
        <v>14</v>
      </c>
      <c r="L1891">
        <v>55100</v>
      </c>
      <c r="M1891" t="s">
        <v>36</v>
      </c>
      <c r="N1891">
        <v>2</v>
      </c>
      <c r="O1891">
        <v>3</v>
      </c>
      <c r="P1891">
        <v>40</v>
      </c>
      <c r="Q1891">
        <v>2</v>
      </c>
      <c r="R1891" s="1">
        <v>39884</v>
      </c>
      <c r="S1891" t="s">
        <v>37</v>
      </c>
      <c r="T1891" t="str">
        <f t="shared" si="145"/>
        <v>Grade B</v>
      </c>
      <c r="U1891">
        <f t="shared" si="146"/>
        <v>1</v>
      </c>
      <c r="V1891" t="str">
        <f t="shared" si="147"/>
        <v>Senior</v>
      </c>
      <c r="W1891" t="str">
        <f t="shared" si="148"/>
        <v>Already Left</v>
      </c>
      <c r="X1891" t="str">
        <f t="shared" si="149"/>
        <v>Fair</v>
      </c>
    </row>
    <row r="1892" spans="1:24" x14ac:dyDescent="0.3">
      <c r="A1892" t="s">
        <v>1960</v>
      </c>
      <c r="B1892" t="s">
        <v>39</v>
      </c>
      <c r="C1892">
        <v>55</v>
      </c>
      <c r="D1892" t="s">
        <v>57</v>
      </c>
      <c r="E1892" t="s">
        <v>22</v>
      </c>
      <c r="F1892" t="s">
        <v>41</v>
      </c>
      <c r="G1892" t="s">
        <v>79</v>
      </c>
      <c r="H1892" t="s">
        <v>76</v>
      </c>
      <c r="I1892" t="s">
        <v>80</v>
      </c>
      <c r="J1892" t="s">
        <v>60</v>
      </c>
      <c r="K1892">
        <v>2</v>
      </c>
      <c r="L1892">
        <v>52231</v>
      </c>
      <c r="M1892" t="s">
        <v>51</v>
      </c>
      <c r="N1892">
        <v>1</v>
      </c>
      <c r="O1892">
        <v>4</v>
      </c>
      <c r="P1892">
        <v>10</v>
      </c>
      <c r="Q1892">
        <v>3</v>
      </c>
      <c r="R1892" s="1">
        <v>44278</v>
      </c>
      <c r="S1892" t="s">
        <v>29</v>
      </c>
      <c r="T1892" t="str">
        <f t="shared" si="145"/>
        <v>Grade B</v>
      </c>
      <c r="U1892">
        <f t="shared" si="146"/>
        <v>4</v>
      </c>
      <c r="V1892" t="str">
        <f t="shared" si="147"/>
        <v>New Joiner</v>
      </c>
      <c r="W1892" t="str">
        <f t="shared" si="148"/>
        <v>Low Risk</v>
      </c>
      <c r="X1892" t="str">
        <f t="shared" si="149"/>
        <v>Fair</v>
      </c>
    </row>
    <row r="1893" spans="1:24" x14ac:dyDescent="0.3">
      <c r="A1893" t="s">
        <v>1961</v>
      </c>
      <c r="B1893" t="s">
        <v>20</v>
      </c>
      <c r="C1893">
        <v>40</v>
      </c>
      <c r="D1893" t="s">
        <v>21</v>
      </c>
      <c r="E1893" t="s">
        <v>48</v>
      </c>
      <c r="F1893" t="s">
        <v>41</v>
      </c>
      <c r="G1893" t="s">
        <v>33</v>
      </c>
      <c r="H1893" t="s">
        <v>25</v>
      </c>
      <c r="I1893" t="s">
        <v>96</v>
      </c>
      <c r="J1893" t="s">
        <v>44</v>
      </c>
      <c r="K1893">
        <v>1</v>
      </c>
      <c r="L1893">
        <v>67313</v>
      </c>
      <c r="M1893" t="s">
        <v>28</v>
      </c>
      <c r="N1893">
        <v>2</v>
      </c>
      <c r="O1893">
        <v>2</v>
      </c>
      <c r="P1893">
        <v>64</v>
      </c>
      <c r="Q1893">
        <v>2</v>
      </c>
      <c r="R1893" s="1">
        <v>44899</v>
      </c>
      <c r="S1893" t="s">
        <v>37</v>
      </c>
      <c r="T1893" t="str">
        <f t="shared" si="145"/>
        <v>Grade B</v>
      </c>
      <c r="U1893">
        <f t="shared" si="146"/>
        <v>3</v>
      </c>
      <c r="V1893" t="str">
        <f t="shared" si="147"/>
        <v>New Joiner</v>
      </c>
      <c r="W1893" t="str">
        <f t="shared" si="148"/>
        <v>Already Left</v>
      </c>
      <c r="X1893" t="str">
        <f t="shared" si="149"/>
        <v>Competitive</v>
      </c>
    </row>
    <row r="1894" spans="1:24" x14ac:dyDescent="0.3">
      <c r="A1894" t="s">
        <v>1962</v>
      </c>
      <c r="B1894" t="s">
        <v>39</v>
      </c>
      <c r="C1894">
        <v>42</v>
      </c>
      <c r="D1894" t="s">
        <v>21</v>
      </c>
      <c r="E1894" t="s">
        <v>22</v>
      </c>
      <c r="F1894" t="s">
        <v>75</v>
      </c>
      <c r="G1894" t="s">
        <v>42</v>
      </c>
      <c r="H1894" t="s">
        <v>76</v>
      </c>
      <c r="I1894" t="s">
        <v>96</v>
      </c>
      <c r="J1894" t="s">
        <v>44</v>
      </c>
      <c r="K1894">
        <v>11</v>
      </c>
      <c r="L1894">
        <v>120509</v>
      </c>
      <c r="M1894" t="s">
        <v>28</v>
      </c>
      <c r="N1894">
        <v>1</v>
      </c>
      <c r="O1894">
        <v>1</v>
      </c>
      <c r="P1894">
        <v>16</v>
      </c>
      <c r="Q1894">
        <v>3</v>
      </c>
      <c r="R1894" s="1">
        <v>40935</v>
      </c>
      <c r="S1894" t="s">
        <v>37</v>
      </c>
      <c r="T1894" t="str">
        <f t="shared" si="145"/>
        <v>Grade A</v>
      </c>
      <c r="U1894">
        <f t="shared" si="146"/>
        <v>3</v>
      </c>
      <c r="V1894" t="str">
        <f t="shared" si="147"/>
        <v>Senior</v>
      </c>
      <c r="W1894" t="str">
        <f t="shared" si="148"/>
        <v>Already Left</v>
      </c>
      <c r="X1894" t="str">
        <f t="shared" si="149"/>
        <v>Competitive</v>
      </c>
    </row>
    <row r="1895" spans="1:24" x14ac:dyDescent="0.3">
      <c r="A1895" t="s">
        <v>1963</v>
      </c>
      <c r="B1895" t="s">
        <v>39</v>
      </c>
      <c r="C1895">
        <v>44</v>
      </c>
      <c r="D1895" t="s">
        <v>31</v>
      </c>
      <c r="E1895" t="s">
        <v>40</v>
      </c>
      <c r="F1895" t="s">
        <v>41</v>
      </c>
      <c r="G1895" t="s">
        <v>24</v>
      </c>
      <c r="H1895" t="s">
        <v>76</v>
      </c>
      <c r="I1895" t="s">
        <v>50</v>
      </c>
      <c r="J1895" t="s">
        <v>44</v>
      </c>
      <c r="K1895">
        <v>1</v>
      </c>
      <c r="L1895">
        <v>67387</v>
      </c>
      <c r="M1895" t="s">
        <v>45</v>
      </c>
      <c r="N1895">
        <v>4</v>
      </c>
      <c r="O1895">
        <v>2</v>
      </c>
      <c r="P1895">
        <v>39</v>
      </c>
      <c r="Q1895">
        <v>1</v>
      </c>
      <c r="R1895" s="1">
        <v>44903</v>
      </c>
      <c r="S1895" t="s">
        <v>29</v>
      </c>
      <c r="T1895" t="str">
        <f t="shared" si="145"/>
        <v>Grade B</v>
      </c>
      <c r="U1895">
        <f t="shared" si="146"/>
        <v>2</v>
      </c>
      <c r="V1895" t="str">
        <f t="shared" si="147"/>
        <v>New Joiner</v>
      </c>
      <c r="W1895" t="str">
        <f t="shared" si="148"/>
        <v>Medium Risk</v>
      </c>
      <c r="X1895" t="str">
        <f t="shared" si="149"/>
        <v>Fair</v>
      </c>
    </row>
    <row r="1896" spans="1:24" x14ac:dyDescent="0.3">
      <c r="A1896" t="s">
        <v>1964</v>
      </c>
      <c r="B1896" t="s">
        <v>20</v>
      </c>
      <c r="C1896">
        <v>39</v>
      </c>
      <c r="D1896" t="s">
        <v>57</v>
      </c>
      <c r="E1896" t="s">
        <v>40</v>
      </c>
      <c r="F1896" t="s">
        <v>41</v>
      </c>
      <c r="G1896" t="s">
        <v>33</v>
      </c>
      <c r="H1896" t="s">
        <v>83</v>
      </c>
      <c r="I1896" t="s">
        <v>50</v>
      </c>
      <c r="J1896" t="s">
        <v>44</v>
      </c>
      <c r="K1896">
        <v>10</v>
      </c>
      <c r="L1896">
        <v>81943</v>
      </c>
      <c r="M1896" t="s">
        <v>28</v>
      </c>
      <c r="N1896">
        <v>3</v>
      </c>
      <c r="O1896">
        <v>2</v>
      </c>
      <c r="P1896">
        <v>64</v>
      </c>
      <c r="Q1896">
        <v>2</v>
      </c>
      <c r="R1896" s="1">
        <v>41334</v>
      </c>
      <c r="S1896" t="s">
        <v>29</v>
      </c>
      <c r="T1896" t="str">
        <f t="shared" si="145"/>
        <v>Grade A</v>
      </c>
      <c r="U1896">
        <f t="shared" si="146"/>
        <v>3</v>
      </c>
      <c r="V1896" t="str">
        <f t="shared" si="147"/>
        <v>Mid Level</v>
      </c>
      <c r="W1896" t="str">
        <f t="shared" si="148"/>
        <v>Medium Risk</v>
      </c>
      <c r="X1896" t="str">
        <f t="shared" si="149"/>
        <v>Competitive</v>
      </c>
    </row>
    <row r="1897" spans="1:24" x14ac:dyDescent="0.3">
      <c r="A1897" t="s">
        <v>1965</v>
      </c>
      <c r="B1897" t="s">
        <v>20</v>
      </c>
      <c r="C1897">
        <v>32</v>
      </c>
      <c r="D1897" t="s">
        <v>21</v>
      </c>
      <c r="E1897" t="s">
        <v>48</v>
      </c>
      <c r="F1897" t="s">
        <v>78</v>
      </c>
      <c r="G1897" t="s">
        <v>24</v>
      </c>
      <c r="H1897" t="s">
        <v>25</v>
      </c>
      <c r="I1897" t="s">
        <v>54</v>
      </c>
      <c r="J1897" t="s">
        <v>27</v>
      </c>
      <c r="K1897">
        <v>14</v>
      </c>
      <c r="L1897">
        <v>104355</v>
      </c>
      <c r="M1897" t="s">
        <v>45</v>
      </c>
      <c r="N1897">
        <v>1</v>
      </c>
      <c r="O1897">
        <v>4</v>
      </c>
      <c r="P1897">
        <v>46</v>
      </c>
      <c r="Q1897">
        <v>0</v>
      </c>
      <c r="R1897" s="1">
        <v>39986</v>
      </c>
      <c r="S1897" t="s">
        <v>29</v>
      </c>
      <c r="T1897" t="str">
        <f t="shared" si="145"/>
        <v>Grade A</v>
      </c>
      <c r="U1897">
        <f t="shared" si="146"/>
        <v>2</v>
      </c>
      <c r="V1897" t="str">
        <f t="shared" si="147"/>
        <v>Senior</v>
      </c>
      <c r="W1897" t="str">
        <f t="shared" si="148"/>
        <v>Medium Risk</v>
      </c>
      <c r="X1897" t="str">
        <f t="shared" si="149"/>
        <v>Fair</v>
      </c>
    </row>
    <row r="1898" spans="1:24" x14ac:dyDescent="0.3">
      <c r="A1898" t="s">
        <v>1966</v>
      </c>
      <c r="B1898" t="s">
        <v>20</v>
      </c>
      <c r="C1898">
        <v>36</v>
      </c>
      <c r="D1898" t="s">
        <v>57</v>
      </c>
      <c r="E1898" t="s">
        <v>48</v>
      </c>
      <c r="F1898" t="s">
        <v>32</v>
      </c>
      <c r="G1898" t="s">
        <v>66</v>
      </c>
      <c r="H1898" t="s">
        <v>76</v>
      </c>
      <c r="I1898" t="s">
        <v>72</v>
      </c>
      <c r="J1898" t="s">
        <v>73</v>
      </c>
      <c r="K1898">
        <v>1</v>
      </c>
      <c r="L1898">
        <v>30044</v>
      </c>
      <c r="M1898" t="s">
        <v>45</v>
      </c>
      <c r="N1898">
        <v>4</v>
      </c>
      <c r="O1898">
        <v>4</v>
      </c>
      <c r="P1898">
        <v>58</v>
      </c>
      <c r="Q1898">
        <v>0</v>
      </c>
      <c r="R1898" s="1">
        <v>44805</v>
      </c>
      <c r="S1898" t="s">
        <v>29</v>
      </c>
      <c r="T1898" t="str">
        <f t="shared" si="145"/>
        <v>Grade D</v>
      </c>
      <c r="U1898">
        <f t="shared" si="146"/>
        <v>2</v>
      </c>
      <c r="V1898" t="str">
        <f t="shared" si="147"/>
        <v>New Joiner</v>
      </c>
      <c r="W1898" t="str">
        <f t="shared" si="148"/>
        <v>Medium Risk</v>
      </c>
      <c r="X1898" t="str">
        <f t="shared" si="149"/>
        <v>Fair</v>
      </c>
    </row>
    <row r="1899" spans="1:24" x14ac:dyDescent="0.3">
      <c r="A1899" t="s">
        <v>1967</v>
      </c>
      <c r="B1899" t="s">
        <v>39</v>
      </c>
      <c r="C1899">
        <v>45</v>
      </c>
      <c r="D1899" t="s">
        <v>88</v>
      </c>
      <c r="E1899" t="s">
        <v>48</v>
      </c>
      <c r="F1899" t="s">
        <v>23</v>
      </c>
      <c r="G1899" t="s">
        <v>33</v>
      </c>
      <c r="H1899" t="s">
        <v>34</v>
      </c>
      <c r="I1899" t="s">
        <v>43</v>
      </c>
      <c r="J1899" t="s">
        <v>44</v>
      </c>
      <c r="K1899">
        <v>6</v>
      </c>
      <c r="L1899">
        <v>64896</v>
      </c>
      <c r="M1899" t="s">
        <v>45</v>
      </c>
      <c r="N1899">
        <v>4</v>
      </c>
      <c r="O1899">
        <v>1</v>
      </c>
      <c r="P1899">
        <v>45</v>
      </c>
      <c r="Q1899">
        <v>2</v>
      </c>
      <c r="R1899" s="1">
        <v>42948</v>
      </c>
      <c r="S1899" t="s">
        <v>29</v>
      </c>
      <c r="T1899" t="str">
        <f t="shared" si="145"/>
        <v>Grade B</v>
      </c>
      <c r="U1899">
        <f t="shared" si="146"/>
        <v>2</v>
      </c>
      <c r="V1899" t="str">
        <f t="shared" si="147"/>
        <v>Mid Level</v>
      </c>
      <c r="W1899" t="str">
        <f t="shared" si="148"/>
        <v>Medium Risk</v>
      </c>
      <c r="X1899" t="str">
        <f t="shared" si="149"/>
        <v>Fair</v>
      </c>
    </row>
    <row r="1900" spans="1:24" x14ac:dyDescent="0.3">
      <c r="A1900" t="s">
        <v>1968</v>
      </c>
      <c r="B1900" t="s">
        <v>20</v>
      </c>
      <c r="C1900">
        <v>24</v>
      </c>
      <c r="D1900" t="s">
        <v>31</v>
      </c>
      <c r="E1900" t="s">
        <v>48</v>
      </c>
      <c r="F1900" t="s">
        <v>23</v>
      </c>
      <c r="G1900" t="s">
        <v>66</v>
      </c>
      <c r="H1900" t="s">
        <v>34</v>
      </c>
      <c r="I1900" t="s">
        <v>54</v>
      </c>
      <c r="J1900" t="s">
        <v>27</v>
      </c>
      <c r="K1900">
        <v>4</v>
      </c>
      <c r="L1900">
        <v>49492</v>
      </c>
      <c r="M1900" t="s">
        <v>51</v>
      </c>
      <c r="N1900">
        <v>3</v>
      </c>
      <c r="O1900">
        <v>3</v>
      </c>
      <c r="P1900">
        <v>52</v>
      </c>
      <c r="Q1900">
        <v>0</v>
      </c>
      <c r="R1900" s="1">
        <v>43745</v>
      </c>
      <c r="S1900" t="s">
        <v>29</v>
      </c>
      <c r="T1900" t="str">
        <f t="shared" si="145"/>
        <v>Grade C</v>
      </c>
      <c r="U1900">
        <f t="shared" si="146"/>
        <v>4</v>
      </c>
      <c r="V1900" t="str">
        <f t="shared" si="147"/>
        <v>Junior</v>
      </c>
      <c r="W1900" t="str">
        <f t="shared" si="148"/>
        <v>Low Risk</v>
      </c>
      <c r="X1900" t="str">
        <f t="shared" si="149"/>
        <v>Fair</v>
      </c>
    </row>
    <row r="1901" spans="1:24" x14ac:dyDescent="0.3">
      <c r="A1901" t="s">
        <v>1969</v>
      </c>
      <c r="B1901" t="s">
        <v>20</v>
      </c>
      <c r="C1901">
        <v>28</v>
      </c>
      <c r="D1901" t="s">
        <v>21</v>
      </c>
      <c r="E1901" t="s">
        <v>22</v>
      </c>
      <c r="F1901" t="s">
        <v>75</v>
      </c>
      <c r="G1901" t="s">
        <v>66</v>
      </c>
      <c r="H1901" t="s">
        <v>67</v>
      </c>
      <c r="I1901" t="s">
        <v>54</v>
      </c>
      <c r="J1901" t="s">
        <v>27</v>
      </c>
      <c r="K1901">
        <v>5</v>
      </c>
      <c r="L1901">
        <v>42978</v>
      </c>
      <c r="M1901" t="s">
        <v>28</v>
      </c>
      <c r="N1901">
        <v>1</v>
      </c>
      <c r="O1901">
        <v>1</v>
      </c>
      <c r="P1901">
        <v>76</v>
      </c>
      <c r="Q1901">
        <v>2</v>
      </c>
      <c r="R1901" s="1">
        <v>43393</v>
      </c>
      <c r="S1901" t="s">
        <v>29</v>
      </c>
      <c r="T1901" t="str">
        <f t="shared" si="145"/>
        <v>Grade C</v>
      </c>
      <c r="U1901">
        <f t="shared" si="146"/>
        <v>3</v>
      </c>
      <c r="V1901" t="str">
        <f t="shared" si="147"/>
        <v>Junior</v>
      </c>
      <c r="W1901" t="str">
        <f t="shared" si="148"/>
        <v>Medium Risk</v>
      </c>
      <c r="X1901" t="str">
        <f t="shared" si="149"/>
        <v>Fair</v>
      </c>
    </row>
    <row r="1902" spans="1:24" x14ac:dyDescent="0.3">
      <c r="A1902" t="s">
        <v>1970</v>
      </c>
      <c r="B1902" t="s">
        <v>39</v>
      </c>
      <c r="C1902">
        <v>44</v>
      </c>
      <c r="D1902" t="s">
        <v>88</v>
      </c>
      <c r="E1902" t="s">
        <v>48</v>
      </c>
      <c r="F1902" t="s">
        <v>62</v>
      </c>
      <c r="G1902" t="s">
        <v>66</v>
      </c>
      <c r="H1902" t="s">
        <v>76</v>
      </c>
      <c r="I1902" t="s">
        <v>26</v>
      </c>
      <c r="J1902" t="s">
        <v>27</v>
      </c>
      <c r="K1902">
        <v>15</v>
      </c>
      <c r="L1902">
        <v>74544</v>
      </c>
      <c r="M1902" t="s">
        <v>36</v>
      </c>
      <c r="N1902">
        <v>1</v>
      </c>
      <c r="O1902">
        <v>2</v>
      </c>
      <c r="P1902">
        <v>16</v>
      </c>
      <c r="Q1902">
        <v>3</v>
      </c>
      <c r="R1902" s="1">
        <v>39778</v>
      </c>
      <c r="S1902" t="s">
        <v>37</v>
      </c>
      <c r="T1902" t="str">
        <f t="shared" si="145"/>
        <v>Grade B</v>
      </c>
      <c r="U1902">
        <f t="shared" si="146"/>
        <v>1</v>
      </c>
      <c r="V1902" t="str">
        <f t="shared" si="147"/>
        <v>Senior</v>
      </c>
      <c r="W1902" t="str">
        <f t="shared" si="148"/>
        <v>Already Left</v>
      </c>
      <c r="X1902" t="str">
        <f t="shared" si="149"/>
        <v>Fair</v>
      </c>
    </row>
    <row r="1903" spans="1:24" x14ac:dyDescent="0.3">
      <c r="A1903" t="s">
        <v>1971</v>
      </c>
      <c r="B1903" t="s">
        <v>20</v>
      </c>
      <c r="C1903">
        <v>38</v>
      </c>
      <c r="D1903" t="s">
        <v>47</v>
      </c>
      <c r="E1903" t="s">
        <v>48</v>
      </c>
      <c r="F1903" t="s">
        <v>62</v>
      </c>
      <c r="G1903" t="s">
        <v>58</v>
      </c>
      <c r="H1903" t="s">
        <v>34</v>
      </c>
      <c r="I1903" t="s">
        <v>59</v>
      </c>
      <c r="J1903" t="s">
        <v>60</v>
      </c>
      <c r="K1903">
        <v>15</v>
      </c>
      <c r="L1903">
        <v>110118</v>
      </c>
      <c r="M1903" t="s">
        <v>51</v>
      </c>
      <c r="N1903">
        <v>4</v>
      </c>
      <c r="O1903">
        <v>2</v>
      </c>
      <c r="P1903">
        <v>11</v>
      </c>
      <c r="Q1903">
        <v>2</v>
      </c>
      <c r="R1903" s="1">
        <v>39481</v>
      </c>
      <c r="S1903" t="s">
        <v>29</v>
      </c>
      <c r="T1903" t="str">
        <f t="shared" si="145"/>
        <v>Grade A</v>
      </c>
      <c r="U1903">
        <f t="shared" si="146"/>
        <v>4</v>
      </c>
      <c r="V1903" t="str">
        <f t="shared" si="147"/>
        <v>Senior</v>
      </c>
      <c r="W1903" t="str">
        <f t="shared" si="148"/>
        <v>Low Risk</v>
      </c>
      <c r="X1903" t="str">
        <f t="shared" si="149"/>
        <v>Competitive</v>
      </c>
    </row>
    <row r="1904" spans="1:24" x14ac:dyDescent="0.3">
      <c r="A1904" t="s">
        <v>1972</v>
      </c>
      <c r="B1904" t="s">
        <v>39</v>
      </c>
      <c r="C1904">
        <v>26</v>
      </c>
      <c r="D1904" t="s">
        <v>31</v>
      </c>
      <c r="E1904" t="s">
        <v>48</v>
      </c>
      <c r="F1904" t="s">
        <v>62</v>
      </c>
      <c r="G1904" t="s">
        <v>33</v>
      </c>
      <c r="H1904" t="s">
        <v>34</v>
      </c>
      <c r="I1904" t="s">
        <v>72</v>
      </c>
      <c r="J1904" t="s">
        <v>73</v>
      </c>
      <c r="K1904">
        <v>14</v>
      </c>
      <c r="L1904">
        <v>95958</v>
      </c>
      <c r="M1904" t="s">
        <v>28</v>
      </c>
      <c r="N1904">
        <v>3</v>
      </c>
      <c r="O1904">
        <v>3</v>
      </c>
      <c r="P1904">
        <v>67</v>
      </c>
      <c r="Q1904">
        <v>2</v>
      </c>
      <c r="R1904" s="1">
        <v>39870</v>
      </c>
      <c r="S1904" t="s">
        <v>37</v>
      </c>
      <c r="T1904" t="str">
        <f t="shared" si="145"/>
        <v>Grade A</v>
      </c>
      <c r="U1904">
        <f t="shared" si="146"/>
        <v>3</v>
      </c>
      <c r="V1904" t="str">
        <f t="shared" si="147"/>
        <v>Senior</v>
      </c>
      <c r="W1904" t="str">
        <f t="shared" si="148"/>
        <v>Already Left</v>
      </c>
      <c r="X1904" t="str">
        <f t="shared" si="149"/>
        <v>Competitive</v>
      </c>
    </row>
    <row r="1905" spans="1:24" x14ac:dyDescent="0.3">
      <c r="A1905" t="s">
        <v>1973</v>
      </c>
      <c r="B1905" t="s">
        <v>20</v>
      </c>
      <c r="C1905">
        <v>52</v>
      </c>
      <c r="D1905" t="s">
        <v>47</v>
      </c>
      <c r="E1905" t="s">
        <v>22</v>
      </c>
      <c r="F1905" t="s">
        <v>23</v>
      </c>
      <c r="G1905" t="s">
        <v>49</v>
      </c>
      <c r="H1905" t="s">
        <v>25</v>
      </c>
      <c r="I1905" t="s">
        <v>43</v>
      </c>
      <c r="J1905" t="s">
        <v>44</v>
      </c>
      <c r="K1905">
        <v>10</v>
      </c>
      <c r="L1905">
        <v>74931</v>
      </c>
      <c r="M1905" t="s">
        <v>28</v>
      </c>
      <c r="N1905">
        <v>3</v>
      </c>
      <c r="O1905">
        <v>4</v>
      </c>
      <c r="P1905">
        <v>20</v>
      </c>
      <c r="Q1905">
        <v>3</v>
      </c>
      <c r="R1905" s="1">
        <v>41396</v>
      </c>
      <c r="S1905" t="s">
        <v>37</v>
      </c>
      <c r="T1905" t="str">
        <f t="shared" si="145"/>
        <v>Grade B</v>
      </c>
      <c r="U1905">
        <f t="shared" si="146"/>
        <v>3</v>
      </c>
      <c r="V1905" t="str">
        <f t="shared" si="147"/>
        <v>Mid Level</v>
      </c>
      <c r="W1905" t="str">
        <f t="shared" si="148"/>
        <v>Already Left</v>
      </c>
      <c r="X1905" t="str">
        <f t="shared" si="149"/>
        <v>Competitive</v>
      </c>
    </row>
    <row r="1906" spans="1:24" x14ac:dyDescent="0.3">
      <c r="A1906" t="s">
        <v>1974</v>
      </c>
      <c r="B1906" t="s">
        <v>39</v>
      </c>
      <c r="C1906">
        <v>49</v>
      </c>
      <c r="D1906" t="s">
        <v>57</v>
      </c>
      <c r="E1906" t="s">
        <v>48</v>
      </c>
      <c r="F1906" t="s">
        <v>78</v>
      </c>
      <c r="G1906" t="s">
        <v>42</v>
      </c>
      <c r="H1906" t="s">
        <v>25</v>
      </c>
      <c r="I1906" t="s">
        <v>68</v>
      </c>
      <c r="J1906" t="s">
        <v>60</v>
      </c>
      <c r="K1906">
        <v>13</v>
      </c>
      <c r="L1906">
        <v>122276</v>
      </c>
      <c r="M1906" t="s">
        <v>51</v>
      </c>
      <c r="N1906">
        <v>4</v>
      </c>
      <c r="O1906">
        <v>4</v>
      </c>
      <c r="P1906">
        <v>70</v>
      </c>
      <c r="Q1906">
        <v>2</v>
      </c>
      <c r="R1906" s="1">
        <v>40229</v>
      </c>
      <c r="S1906" t="s">
        <v>29</v>
      </c>
      <c r="T1906" t="str">
        <f t="shared" si="145"/>
        <v>Grade A</v>
      </c>
      <c r="U1906">
        <f t="shared" si="146"/>
        <v>4</v>
      </c>
      <c r="V1906" t="str">
        <f t="shared" si="147"/>
        <v>Senior</v>
      </c>
      <c r="W1906" t="str">
        <f t="shared" si="148"/>
        <v>Low Risk</v>
      </c>
      <c r="X1906" t="str">
        <f t="shared" si="149"/>
        <v>Competitive</v>
      </c>
    </row>
    <row r="1907" spans="1:24" x14ac:dyDescent="0.3">
      <c r="A1907" t="s">
        <v>1975</v>
      </c>
      <c r="B1907" t="s">
        <v>20</v>
      </c>
      <c r="C1907">
        <v>22</v>
      </c>
      <c r="D1907" t="s">
        <v>21</v>
      </c>
      <c r="E1907" t="s">
        <v>40</v>
      </c>
      <c r="F1907" t="s">
        <v>62</v>
      </c>
      <c r="G1907" t="s">
        <v>33</v>
      </c>
      <c r="H1907" t="s">
        <v>25</v>
      </c>
      <c r="I1907" t="s">
        <v>80</v>
      </c>
      <c r="J1907" t="s">
        <v>60</v>
      </c>
      <c r="K1907">
        <v>15</v>
      </c>
      <c r="L1907">
        <v>89663</v>
      </c>
      <c r="M1907" t="s">
        <v>45</v>
      </c>
      <c r="N1907">
        <v>2</v>
      </c>
      <c r="O1907">
        <v>2</v>
      </c>
      <c r="P1907">
        <v>63</v>
      </c>
      <c r="Q1907">
        <v>0</v>
      </c>
      <c r="R1907" s="1">
        <v>39697</v>
      </c>
      <c r="S1907" t="s">
        <v>37</v>
      </c>
      <c r="T1907" t="str">
        <f t="shared" si="145"/>
        <v>Grade A</v>
      </c>
      <c r="U1907">
        <f t="shared" si="146"/>
        <v>2</v>
      </c>
      <c r="V1907" t="str">
        <f t="shared" si="147"/>
        <v>Senior</v>
      </c>
      <c r="W1907" t="str">
        <f t="shared" si="148"/>
        <v>Already Left</v>
      </c>
      <c r="X1907" t="str">
        <f t="shared" si="149"/>
        <v>Fair</v>
      </c>
    </row>
    <row r="1908" spans="1:24" x14ac:dyDescent="0.3">
      <c r="A1908" t="s">
        <v>1976</v>
      </c>
      <c r="B1908" t="s">
        <v>39</v>
      </c>
      <c r="C1908">
        <v>55</v>
      </c>
      <c r="D1908" t="s">
        <v>88</v>
      </c>
      <c r="E1908" t="s">
        <v>22</v>
      </c>
      <c r="F1908" t="s">
        <v>75</v>
      </c>
      <c r="G1908" t="s">
        <v>79</v>
      </c>
      <c r="H1908" t="s">
        <v>67</v>
      </c>
      <c r="I1908" t="s">
        <v>72</v>
      </c>
      <c r="J1908" t="s">
        <v>73</v>
      </c>
      <c r="K1908">
        <v>6</v>
      </c>
      <c r="L1908">
        <v>61052</v>
      </c>
      <c r="M1908" t="s">
        <v>36</v>
      </c>
      <c r="N1908">
        <v>1</v>
      </c>
      <c r="O1908">
        <v>2</v>
      </c>
      <c r="P1908">
        <v>45</v>
      </c>
      <c r="Q1908">
        <v>2</v>
      </c>
      <c r="R1908" s="1">
        <v>42910</v>
      </c>
      <c r="S1908" t="s">
        <v>37</v>
      </c>
      <c r="T1908" t="str">
        <f t="shared" si="145"/>
        <v>Grade B</v>
      </c>
      <c r="U1908">
        <f t="shared" si="146"/>
        <v>1</v>
      </c>
      <c r="V1908" t="str">
        <f t="shared" si="147"/>
        <v>Mid Level</v>
      </c>
      <c r="W1908" t="str">
        <f t="shared" si="148"/>
        <v>Already Left</v>
      </c>
      <c r="X1908" t="str">
        <f t="shared" si="149"/>
        <v>Fair</v>
      </c>
    </row>
    <row r="1909" spans="1:24" x14ac:dyDescent="0.3">
      <c r="A1909" t="s">
        <v>1977</v>
      </c>
      <c r="B1909" t="s">
        <v>20</v>
      </c>
      <c r="C1909">
        <v>48</v>
      </c>
      <c r="D1909" t="s">
        <v>88</v>
      </c>
      <c r="E1909" t="s">
        <v>48</v>
      </c>
      <c r="F1909" t="s">
        <v>78</v>
      </c>
      <c r="G1909" t="s">
        <v>66</v>
      </c>
      <c r="H1909" t="s">
        <v>34</v>
      </c>
      <c r="I1909" t="s">
        <v>80</v>
      </c>
      <c r="J1909" t="s">
        <v>60</v>
      </c>
      <c r="K1909">
        <v>7</v>
      </c>
      <c r="L1909">
        <v>52340</v>
      </c>
      <c r="M1909" t="s">
        <v>28</v>
      </c>
      <c r="N1909">
        <v>2</v>
      </c>
      <c r="O1909">
        <v>2</v>
      </c>
      <c r="P1909">
        <v>40</v>
      </c>
      <c r="Q1909">
        <v>0</v>
      </c>
      <c r="R1909" s="1">
        <v>42702</v>
      </c>
      <c r="S1909" t="s">
        <v>37</v>
      </c>
      <c r="T1909" t="str">
        <f t="shared" si="145"/>
        <v>Grade B</v>
      </c>
      <c r="U1909">
        <f t="shared" si="146"/>
        <v>3</v>
      </c>
      <c r="V1909" t="str">
        <f t="shared" si="147"/>
        <v>Mid Level</v>
      </c>
      <c r="W1909" t="str">
        <f t="shared" si="148"/>
        <v>Already Left</v>
      </c>
      <c r="X1909" t="str">
        <f t="shared" si="149"/>
        <v>Competitive</v>
      </c>
    </row>
    <row r="1910" spans="1:24" x14ac:dyDescent="0.3">
      <c r="A1910" t="s">
        <v>1978</v>
      </c>
      <c r="B1910" t="s">
        <v>39</v>
      </c>
      <c r="C1910">
        <v>28</v>
      </c>
      <c r="D1910" t="s">
        <v>57</v>
      </c>
      <c r="E1910" t="s">
        <v>22</v>
      </c>
      <c r="F1910" t="s">
        <v>23</v>
      </c>
      <c r="G1910" t="s">
        <v>42</v>
      </c>
      <c r="H1910" t="s">
        <v>76</v>
      </c>
      <c r="I1910" t="s">
        <v>96</v>
      </c>
      <c r="J1910" t="s">
        <v>44</v>
      </c>
      <c r="K1910">
        <v>10</v>
      </c>
      <c r="L1910">
        <v>121988</v>
      </c>
      <c r="M1910" t="s">
        <v>45</v>
      </c>
      <c r="N1910">
        <v>2</v>
      </c>
      <c r="O1910">
        <v>2</v>
      </c>
      <c r="P1910">
        <v>67</v>
      </c>
      <c r="Q1910">
        <v>2</v>
      </c>
      <c r="R1910" s="1">
        <v>41481</v>
      </c>
      <c r="S1910" t="s">
        <v>37</v>
      </c>
      <c r="T1910" t="str">
        <f t="shared" si="145"/>
        <v>Grade A</v>
      </c>
      <c r="U1910">
        <f t="shared" si="146"/>
        <v>2</v>
      </c>
      <c r="V1910" t="str">
        <f t="shared" si="147"/>
        <v>Mid Level</v>
      </c>
      <c r="W1910" t="str">
        <f t="shared" si="148"/>
        <v>Already Left</v>
      </c>
      <c r="X1910" t="str">
        <f t="shared" si="149"/>
        <v>Fair</v>
      </c>
    </row>
    <row r="1911" spans="1:24" x14ac:dyDescent="0.3">
      <c r="A1911" t="s">
        <v>1979</v>
      </c>
      <c r="B1911" t="s">
        <v>20</v>
      </c>
      <c r="C1911">
        <v>32</v>
      </c>
      <c r="D1911" t="s">
        <v>31</v>
      </c>
      <c r="E1911" t="s">
        <v>48</v>
      </c>
      <c r="F1911" t="s">
        <v>32</v>
      </c>
      <c r="G1911" t="s">
        <v>33</v>
      </c>
      <c r="H1911" t="s">
        <v>83</v>
      </c>
      <c r="I1911" t="s">
        <v>59</v>
      </c>
      <c r="J1911" t="s">
        <v>60</v>
      </c>
      <c r="K1911">
        <v>14</v>
      </c>
      <c r="L1911">
        <v>83775</v>
      </c>
      <c r="M1911" t="s">
        <v>28</v>
      </c>
      <c r="N1911">
        <v>4</v>
      </c>
      <c r="O1911">
        <v>3</v>
      </c>
      <c r="P1911">
        <v>63</v>
      </c>
      <c r="Q1911">
        <v>1</v>
      </c>
      <c r="R1911" s="1">
        <v>40148</v>
      </c>
      <c r="S1911" t="s">
        <v>29</v>
      </c>
      <c r="T1911" t="str">
        <f t="shared" si="145"/>
        <v>Grade A</v>
      </c>
      <c r="U1911">
        <f t="shared" si="146"/>
        <v>3</v>
      </c>
      <c r="V1911" t="str">
        <f t="shared" si="147"/>
        <v>Senior</v>
      </c>
      <c r="W1911" t="str">
        <f t="shared" si="148"/>
        <v>Medium Risk</v>
      </c>
      <c r="X1911" t="str">
        <f t="shared" si="149"/>
        <v>Competitive</v>
      </c>
    </row>
    <row r="1912" spans="1:24" x14ac:dyDescent="0.3">
      <c r="A1912" t="s">
        <v>1980</v>
      </c>
      <c r="B1912" t="s">
        <v>20</v>
      </c>
      <c r="C1912">
        <v>25</v>
      </c>
      <c r="D1912" t="s">
        <v>57</v>
      </c>
      <c r="E1912" t="s">
        <v>48</v>
      </c>
      <c r="F1912" t="s">
        <v>41</v>
      </c>
      <c r="G1912" t="s">
        <v>58</v>
      </c>
      <c r="H1912" t="s">
        <v>67</v>
      </c>
      <c r="I1912" t="s">
        <v>26</v>
      </c>
      <c r="J1912" t="s">
        <v>27</v>
      </c>
      <c r="K1912">
        <v>4</v>
      </c>
      <c r="L1912">
        <v>99106</v>
      </c>
      <c r="M1912" t="s">
        <v>51</v>
      </c>
      <c r="N1912">
        <v>1</v>
      </c>
      <c r="O1912">
        <v>3</v>
      </c>
      <c r="P1912">
        <v>48</v>
      </c>
      <c r="Q1912">
        <v>2</v>
      </c>
      <c r="R1912" s="1">
        <v>43737</v>
      </c>
      <c r="S1912" t="s">
        <v>29</v>
      </c>
      <c r="T1912" t="str">
        <f t="shared" si="145"/>
        <v>Grade A</v>
      </c>
      <c r="U1912">
        <f t="shared" si="146"/>
        <v>4</v>
      </c>
      <c r="V1912" t="str">
        <f t="shared" si="147"/>
        <v>Junior</v>
      </c>
      <c r="W1912" t="str">
        <f t="shared" si="148"/>
        <v>Low Risk</v>
      </c>
      <c r="X1912" t="str">
        <f t="shared" si="149"/>
        <v>Competitive</v>
      </c>
    </row>
    <row r="1913" spans="1:24" x14ac:dyDescent="0.3">
      <c r="A1913" t="s">
        <v>1981</v>
      </c>
      <c r="B1913" t="s">
        <v>20</v>
      </c>
      <c r="C1913">
        <v>27</v>
      </c>
      <c r="D1913" t="s">
        <v>88</v>
      </c>
      <c r="E1913" t="s">
        <v>22</v>
      </c>
      <c r="F1913" t="s">
        <v>65</v>
      </c>
      <c r="G1913" t="s">
        <v>49</v>
      </c>
      <c r="H1913" t="s">
        <v>34</v>
      </c>
      <c r="I1913" t="s">
        <v>54</v>
      </c>
      <c r="J1913" t="s">
        <v>27</v>
      </c>
      <c r="K1913">
        <v>7</v>
      </c>
      <c r="L1913">
        <v>65588</v>
      </c>
      <c r="M1913" t="s">
        <v>36</v>
      </c>
      <c r="N1913">
        <v>2</v>
      </c>
      <c r="O1913">
        <v>2</v>
      </c>
      <c r="P1913">
        <v>53</v>
      </c>
      <c r="Q1913">
        <v>1</v>
      </c>
      <c r="R1913" s="1">
        <v>42375</v>
      </c>
      <c r="S1913" t="s">
        <v>37</v>
      </c>
      <c r="T1913" t="str">
        <f t="shared" si="145"/>
        <v>Grade B</v>
      </c>
      <c r="U1913">
        <f t="shared" si="146"/>
        <v>1</v>
      </c>
      <c r="V1913" t="str">
        <f t="shared" si="147"/>
        <v>Mid Level</v>
      </c>
      <c r="W1913" t="str">
        <f t="shared" si="148"/>
        <v>Already Left</v>
      </c>
      <c r="X1913" t="str">
        <f t="shared" si="149"/>
        <v>Fair</v>
      </c>
    </row>
    <row r="1914" spans="1:24" x14ac:dyDescent="0.3">
      <c r="A1914" t="s">
        <v>1982</v>
      </c>
      <c r="B1914" t="s">
        <v>20</v>
      </c>
      <c r="C1914">
        <v>33</v>
      </c>
      <c r="D1914" t="s">
        <v>88</v>
      </c>
      <c r="E1914" t="s">
        <v>40</v>
      </c>
      <c r="F1914" t="s">
        <v>53</v>
      </c>
      <c r="G1914" t="s">
        <v>58</v>
      </c>
      <c r="H1914" t="s">
        <v>34</v>
      </c>
      <c r="I1914" t="s">
        <v>26</v>
      </c>
      <c r="J1914" t="s">
        <v>27</v>
      </c>
      <c r="K1914">
        <v>7</v>
      </c>
      <c r="L1914">
        <v>99357</v>
      </c>
      <c r="M1914" t="s">
        <v>36</v>
      </c>
      <c r="N1914">
        <v>2</v>
      </c>
      <c r="O1914">
        <v>3</v>
      </c>
      <c r="P1914">
        <v>67</v>
      </c>
      <c r="Q1914">
        <v>0</v>
      </c>
      <c r="R1914" s="1">
        <v>42538</v>
      </c>
      <c r="S1914" t="s">
        <v>37</v>
      </c>
      <c r="T1914" t="str">
        <f t="shared" si="145"/>
        <v>Grade A</v>
      </c>
      <c r="U1914">
        <f t="shared" si="146"/>
        <v>1</v>
      </c>
      <c r="V1914" t="str">
        <f t="shared" si="147"/>
        <v>Mid Level</v>
      </c>
      <c r="W1914" t="str">
        <f t="shared" si="148"/>
        <v>Already Left</v>
      </c>
      <c r="X1914" t="str">
        <f t="shared" si="149"/>
        <v>Overpaid</v>
      </c>
    </row>
    <row r="1915" spans="1:24" x14ac:dyDescent="0.3">
      <c r="A1915" t="s">
        <v>1983</v>
      </c>
      <c r="B1915" t="s">
        <v>20</v>
      </c>
      <c r="C1915">
        <v>27</v>
      </c>
      <c r="D1915" t="s">
        <v>47</v>
      </c>
      <c r="E1915" t="s">
        <v>22</v>
      </c>
      <c r="F1915" t="s">
        <v>53</v>
      </c>
      <c r="G1915" t="s">
        <v>49</v>
      </c>
      <c r="H1915" t="s">
        <v>83</v>
      </c>
      <c r="I1915" t="s">
        <v>72</v>
      </c>
      <c r="J1915" t="s">
        <v>73</v>
      </c>
      <c r="K1915">
        <v>2</v>
      </c>
      <c r="L1915">
        <v>49490</v>
      </c>
      <c r="M1915" t="s">
        <v>28</v>
      </c>
      <c r="N1915">
        <v>2</v>
      </c>
      <c r="O1915">
        <v>1</v>
      </c>
      <c r="P1915">
        <v>36</v>
      </c>
      <c r="Q1915">
        <v>3</v>
      </c>
      <c r="R1915" s="1">
        <v>44286</v>
      </c>
      <c r="S1915" t="s">
        <v>29</v>
      </c>
      <c r="T1915" t="str">
        <f t="shared" si="145"/>
        <v>Grade C</v>
      </c>
      <c r="U1915">
        <f t="shared" si="146"/>
        <v>3</v>
      </c>
      <c r="V1915" t="str">
        <f t="shared" si="147"/>
        <v>New Joiner</v>
      </c>
      <c r="W1915" t="str">
        <f t="shared" si="148"/>
        <v>Medium Risk</v>
      </c>
      <c r="X1915" t="str">
        <f t="shared" si="149"/>
        <v>Fair</v>
      </c>
    </row>
    <row r="1916" spans="1:24" x14ac:dyDescent="0.3">
      <c r="A1916" t="s">
        <v>1984</v>
      </c>
      <c r="B1916" t="s">
        <v>39</v>
      </c>
      <c r="C1916">
        <v>49</v>
      </c>
      <c r="D1916" t="s">
        <v>88</v>
      </c>
      <c r="E1916" t="s">
        <v>40</v>
      </c>
      <c r="F1916" t="s">
        <v>75</v>
      </c>
      <c r="G1916" t="s">
        <v>33</v>
      </c>
      <c r="H1916" t="s">
        <v>25</v>
      </c>
      <c r="I1916" t="s">
        <v>43</v>
      </c>
      <c r="J1916" t="s">
        <v>44</v>
      </c>
      <c r="K1916">
        <v>13</v>
      </c>
      <c r="L1916">
        <v>91746</v>
      </c>
      <c r="M1916" t="s">
        <v>28</v>
      </c>
      <c r="N1916">
        <v>3</v>
      </c>
      <c r="O1916">
        <v>2</v>
      </c>
      <c r="P1916">
        <v>70</v>
      </c>
      <c r="Q1916">
        <v>1</v>
      </c>
      <c r="R1916" s="1">
        <v>40348</v>
      </c>
      <c r="S1916" t="s">
        <v>29</v>
      </c>
      <c r="T1916" t="str">
        <f t="shared" si="145"/>
        <v>Grade A</v>
      </c>
      <c r="U1916">
        <f t="shared" si="146"/>
        <v>3</v>
      </c>
      <c r="V1916" t="str">
        <f t="shared" si="147"/>
        <v>Senior</v>
      </c>
      <c r="W1916" t="str">
        <f t="shared" si="148"/>
        <v>Medium Risk</v>
      </c>
      <c r="X1916" t="str">
        <f t="shared" si="149"/>
        <v>Competitive</v>
      </c>
    </row>
    <row r="1917" spans="1:24" x14ac:dyDescent="0.3">
      <c r="A1917" t="s">
        <v>1985</v>
      </c>
      <c r="B1917" t="s">
        <v>20</v>
      </c>
      <c r="C1917">
        <v>50</v>
      </c>
      <c r="D1917" t="s">
        <v>88</v>
      </c>
      <c r="E1917" t="s">
        <v>22</v>
      </c>
      <c r="F1917" t="s">
        <v>78</v>
      </c>
      <c r="G1917" t="s">
        <v>49</v>
      </c>
      <c r="H1917" t="s">
        <v>76</v>
      </c>
      <c r="I1917" t="s">
        <v>35</v>
      </c>
      <c r="J1917" t="s">
        <v>27</v>
      </c>
      <c r="K1917">
        <v>12</v>
      </c>
      <c r="L1917">
        <v>68900</v>
      </c>
      <c r="M1917" t="s">
        <v>51</v>
      </c>
      <c r="N1917">
        <v>3</v>
      </c>
      <c r="O1917">
        <v>4</v>
      </c>
      <c r="P1917">
        <v>20</v>
      </c>
      <c r="Q1917">
        <v>0</v>
      </c>
      <c r="R1917" s="1">
        <v>40654</v>
      </c>
      <c r="S1917" t="s">
        <v>37</v>
      </c>
      <c r="T1917" t="str">
        <f t="shared" si="145"/>
        <v>Grade B</v>
      </c>
      <c r="U1917">
        <f t="shared" si="146"/>
        <v>4</v>
      </c>
      <c r="V1917" t="str">
        <f t="shared" si="147"/>
        <v>Senior</v>
      </c>
      <c r="W1917" t="str">
        <f t="shared" si="148"/>
        <v>Already Left</v>
      </c>
      <c r="X1917" t="str">
        <f t="shared" si="149"/>
        <v>Fair</v>
      </c>
    </row>
    <row r="1918" spans="1:24" x14ac:dyDescent="0.3">
      <c r="A1918" t="s">
        <v>1986</v>
      </c>
      <c r="B1918" t="s">
        <v>20</v>
      </c>
      <c r="C1918">
        <v>52</v>
      </c>
      <c r="D1918" t="s">
        <v>47</v>
      </c>
      <c r="E1918" t="s">
        <v>48</v>
      </c>
      <c r="F1918" t="s">
        <v>53</v>
      </c>
      <c r="G1918" t="s">
        <v>49</v>
      </c>
      <c r="H1918" t="s">
        <v>34</v>
      </c>
      <c r="I1918" t="s">
        <v>43</v>
      </c>
      <c r="J1918" t="s">
        <v>44</v>
      </c>
      <c r="K1918">
        <v>14</v>
      </c>
      <c r="L1918">
        <v>76714</v>
      </c>
      <c r="M1918" t="s">
        <v>28</v>
      </c>
      <c r="N1918">
        <v>4</v>
      </c>
      <c r="O1918">
        <v>2</v>
      </c>
      <c r="P1918">
        <v>34</v>
      </c>
      <c r="Q1918">
        <v>1</v>
      </c>
      <c r="R1918" s="1">
        <v>39857</v>
      </c>
      <c r="S1918" t="s">
        <v>29</v>
      </c>
      <c r="T1918" t="str">
        <f t="shared" si="145"/>
        <v>Grade B</v>
      </c>
      <c r="U1918">
        <f t="shared" si="146"/>
        <v>3</v>
      </c>
      <c r="V1918" t="str">
        <f t="shared" si="147"/>
        <v>Senior</v>
      </c>
      <c r="W1918" t="str">
        <f t="shared" si="148"/>
        <v>Medium Risk</v>
      </c>
      <c r="X1918" t="str">
        <f t="shared" si="149"/>
        <v>Competitive</v>
      </c>
    </row>
    <row r="1919" spans="1:24" x14ac:dyDescent="0.3">
      <c r="A1919" t="s">
        <v>1987</v>
      </c>
      <c r="B1919" t="s">
        <v>20</v>
      </c>
      <c r="C1919">
        <v>52</v>
      </c>
      <c r="D1919" t="s">
        <v>47</v>
      </c>
      <c r="E1919" t="s">
        <v>22</v>
      </c>
      <c r="F1919" t="s">
        <v>78</v>
      </c>
      <c r="G1919" t="s">
        <v>66</v>
      </c>
      <c r="H1919" t="s">
        <v>83</v>
      </c>
      <c r="I1919" t="s">
        <v>96</v>
      </c>
      <c r="J1919" t="s">
        <v>44</v>
      </c>
      <c r="K1919">
        <v>5</v>
      </c>
      <c r="L1919">
        <v>41978</v>
      </c>
      <c r="M1919" t="s">
        <v>51</v>
      </c>
      <c r="N1919">
        <v>2</v>
      </c>
      <c r="O1919">
        <v>4</v>
      </c>
      <c r="P1919">
        <v>38</v>
      </c>
      <c r="Q1919">
        <v>1</v>
      </c>
      <c r="R1919" s="1">
        <v>43196</v>
      </c>
      <c r="S1919" t="s">
        <v>29</v>
      </c>
      <c r="T1919" t="str">
        <f t="shared" si="145"/>
        <v>Grade C</v>
      </c>
      <c r="U1919">
        <f t="shared" si="146"/>
        <v>4</v>
      </c>
      <c r="V1919" t="str">
        <f t="shared" si="147"/>
        <v>Junior</v>
      </c>
      <c r="W1919" t="str">
        <f t="shared" si="148"/>
        <v>Low Risk</v>
      </c>
      <c r="X1919" t="str">
        <f t="shared" si="149"/>
        <v>Fair</v>
      </c>
    </row>
    <row r="1920" spans="1:24" x14ac:dyDescent="0.3">
      <c r="A1920" t="s">
        <v>1988</v>
      </c>
      <c r="B1920" t="s">
        <v>20</v>
      </c>
      <c r="C1920">
        <v>43</v>
      </c>
      <c r="D1920" t="s">
        <v>31</v>
      </c>
      <c r="E1920" t="s">
        <v>48</v>
      </c>
      <c r="F1920" t="s">
        <v>65</v>
      </c>
      <c r="G1920" t="s">
        <v>24</v>
      </c>
      <c r="H1920" t="s">
        <v>76</v>
      </c>
      <c r="I1920" t="s">
        <v>68</v>
      </c>
      <c r="J1920" t="s">
        <v>60</v>
      </c>
      <c r="K1920">
        <v>5</v>
      </c>
      <c r="L1920">
        <v>83341</v>
      </c>
      <c r="M1920" t="s">
        <v>51</v>
      </c>
      <c r="N1920">
        <v>4</v>
      </c>
      <c r="O1920">
        <v>2</v>
      </c>
      <c r="P1920">
        <v>67</v>
      </c>
      <c r="Q1920">
        <v>3</v>
      </c>
      <c r="R1920" s="1">
        <v>43389</v>
      </c>
      <c r="S1920" t="s">
        <v>37</v>
      </c>
      <c r="T1920" t="str">
        <f t="shared" si="145"/>
        <v>Grade A</v>
      </c>
      <c r="U1920">
        <f t="shared" si="146"/>
        <v>4</v>
      </c>
      <c r="V1920" t="str">
        <f t="shared" si="147"/>
        <v>Junior</v>
      </c>
      <c r="W1920" t="str">
        <f t="shared" si="148"/>
        <v>Already Left</v>
      </c>
      <c r="X1920" t="str">
        <f t="shared" si="149"/>
        <v>Competitive</v>
      </c>
    </row>
    <row r="1921" spans="1:24" x14ac:dyDescent="0.3">
      <c r="A1921" t="s">
        <v>1989</v>
      </c>
      <c r="B1921" t="s">
        <v>20</v>
      </c>
      <c r="C1921">
        <v>48</v>
      </c>
      <c r="D1921" t="s">
        <v>31</v>
      </c>
      <c r="E1921" t="s">
        <v>48</v>
      </c>
      <c r="F1921" t="s">
        <v>62</v>
      </c>
      <c r="G1921" t="s">
        <v>33</v>
      </c>
      <c r="H1921" t="s">
        <v>83</v>
      </c>
      <c r="I1921" t="s">
        <v>50</v>
      </c>
      <c r="J1921" t="s">
        <v>44</v>
      </c>
      <c r="K1921">
        <v>7</v>
      </c>
      <c r="L1921">
        <v>82281</v>
      </c>
      <c r="M1921" t="s">
        <v>51</v>
      </c>
      <c r="N1921">
        <v>4</v>
      </c>
      <c r="O1921">
        <v>2</v>
      </c>
      <c r="P1921">
        <v>77</v>
      </c>
      <c r="Q1921">
        <v>3</v>
      </c>
      <c r="R1921" s="1">
        <v>42702</v>
      </c>
      <c r="S1921" t="s">
        <v>29</v>
      </c>
      <c r="T1921" t="str">
        <f t="shared" si="145"/>
        <v>Grade A</v>
      </c>
      <c r="U1921">
        <f t="shared" si="146"/>
        <v>4</v>
      </c>
      <c r="V1921" t="str">
        <f t="shared" si="147"/>
        <v>Mid Level</v>
      </c>
      <c r="W1921" t="str">
        <f t="shared" si="148"/>
        <v>Low Risk</v>
      </c>
      <c r="X1921" t="str">
        <f t="shared" si="149"/>
        <v>Competitive</v>
      </c>
    </row>
    <row r="1922" spans="1:24" x14ac:dyDescent="0.3">
      <c r="A1922" t="s">
        <v>1990</v>
      </c>
      <c r="B1922" t="s">
        <v>20</v>
      </c>
      <c r="C1922">
        <v>53</v>
      </c>
      <c r="D1922" t="s">
        <v>47</v>
      </c>
      <c r="E1922" t="s">
        <v>22</v>
      </c>
      <c r="F1922" t="s">
        <v>75</v>
      </c>
      <c r="G1922" t="s">
        <v>42</v>
      </c>
      <c r="H1922" t="s">
        <v>34</v>
      </c>
      <c r="I1922" t="s">
        <v>72</v>
      </c>
      <c r="J1922" t="s">
        <v>73</v>
      </c>
      <c r="K1922">
        <v>5</v>
      </c>
      <c r="L1922">
        <v>111872</v>
      </c>
      <c r="M1922" t="s">
        <v>51</v>
      </c>
      <c r="N1922">
        <v>2</v>
      </c>
      <c r="O1922">
        <v>2</v>
      </c>
      <c r="P1922">
        <v>19</v>
      </c>
      <c r="Q1922">
        <v>1</v>
      </c>
      <c r="R1922" s="1">
        <v>43124</v>
      </c>
      <c r="S1922" t="s">
        <v>29</v>
      </c>
      <c r="T1922" t="str">
        <f t="shared" ref="T1922:T1985" si="150">IF(L1922&gt;=80000,"Grade A",IF(L1922&gt;=50000,"Grade B",IF(L1922&gt;=35000,"Grade C","Grade D")))</f>
        <v>Grade A</v>
      </c>
      <c r="U1922">
        <f t="shared" ref="U1922:U1985" si="151">IF(M1922="Excellent",4,IF(M1922="Good",3,IF(M1922="Average",2,1)))</f>
        <v>4</v>
      </c>
      <c r="V1922" t="str">
        <f t="shared" ref="V1922:V1985" si="152">IF(K1922&lt;=2,"New Joiner",IF(K1922&lt;=5,"Junior",IF(K1922&lt;=10,"Mid Level","Senior")))</f>
        <v>Junior</v>
      </c>
      <c r="W1922" t="str">
        <f t="shared" ref="W1922:W1985" si="153">IF(S1922="Yes","Already Left",IF(AND(K1922&lt;=2,M1922="Poor"),"High Risk",IF(AND(K1922&lt;=5,M1922="Average"),"Medium Risk",IF(M1922="Excellent","Low Risk","Medium Risk"))))</f>
        <v>Low Risk</v>
      </c>
      <c r="X1922" t="str">
        <f t="shared" ref="X1922:X1985" si="154">IF(AND(L1922&gt;=80000,M1922="Excellent"),"Competitive",IF(AND(L1922&gt;=50000,M1922="Good"),"Competitive",IF(AND(L1922&lt;35000,M1922="Excellent"),"Underpaid",IF(AND(L1922&gt;=80000,M1922="Poor"),"Overpaid","Fair"))))</f>
        <v>Competitive</v>
      </c>
    </row>
    <row r="1923" spans="1:24" x14ac:dyDescent="0.3">
      <c r="A1923" t="s">
        <v>1991</v>
      </c>
      <c r="B1923" t="s">
        <v>39</v>
      </c>
      <c r="C1923">
        <v>37</v>
      </c>
      <c r="D1923" t="s">
        <v>88</v>
      </c>
      <c r="E1923" t="s">
        <v>48</v>
      </c>
      <c r="F1923" t="s">
        <v>65</v>
      </c>
      <c r="G1923" t="s">
        <v>33</v>
      </c>
      <c r="H1923" t="s">
        <v>25</v>
      </c>
      <c r="I1923" t="s">
        <v>80</v>
      </c>
      <c r="J1923" t="s">
        <v>60</v>
      </c>
      <c r="K1923">
        <v>15</v>
      </c>
      <c r="L1923">
        <v>80950</v>
      </c>
      <c r="M1923" t="s">
        <v>36</v>
      </c>
      <c r="N1923">
        <v>3</v>
      </c>
      <c r="O1923">
        <v>3</v>
      </c>
      <c r="P1923">
        <v>30</v>
      </c>
      <c r="Q1923">
        <v>3</v>
      </c>
      <c r="R1923" s="1">
        <v>39601</v>
      </c>
      <c r="S1923" t="s">
        <v>29</v>
      </c>
      <c r="T1923" t="str">
        <f t="shared" si="150"/>
        <v>Grade A</v>
      </c>
      <c r="U1923">
        <f t="shared" si="151"/>
        <v>1</v>
      </c>
      <c r="V1923" t="str">
        <f t="shared" si="152"/>
        <v>Senior</v>
      </c>
      <c r="W1923" t="str">
        <f t="shared" si="153"/>
        <v>Medium Risk</v>
      </c>
      <c r="X1923" t="str">
        <f t="shared" si="154"/>
        <v>Overpaid</v>
      </c>
    </row>
    <row r="1924" spans="1:24" x14ac:dyDescent="0.3">
      <c r="A1924" t="s">
        <v>1992</v>
      </c>
      <c r="B1924" t="s">
        <v>39</v>
      </c>
      <c r="C1924">
        <v>36</v>
      </c>
      <c r="D1924" t="s">
        <v>47</v>
      </c>
      <c r="E1924" t="s">
        <v>40</v>
      </c>
      <c r="F1924" t="s">
        <v>23</v>
      </c>
      <c r="G1924" t="s">
        <v>66</v>
      </c>
      <c r="H1924" t="s">
        <v>76</v>
      </c>
      <c r="I1924" t="s">
        <v>80</v>
      </c>
      <c r="J1924" t="s">
        <v>60</v>
      </c>
      <c r="K1924">
        <v>1</v>
      </c>
      <c r="L1924">
        <v>33760</v>
      </c>
      <c r="M1924" t="s">
        <v>36</v>
      </c>
      <c r="N1924">
        <v>1</v>
      </c>
      <c r="O1924">
        <v>1</v>
      </c>
      <c r="P1924">
        <v>40</v>
      </c>
      <c r="Q1924">
        <v>3</v>
      </c>
      <c r="R1924" s="1">
        <v>44862</v>
      </c>
      <c r="S1924" t="s">
        <v>37</v>
      </c>
      <c r="T1924" t="str">
        <f t="shared" si="150"/>
        <v>Grade D</v>
      </c>
      <c r="U1924">
        <f t="shared" si="151"/>
        <v>1</v>
      </c>
      <c r="V1924" t="str">
        <f t="shared" si="152"/>
        <v>New Joiner</v>
      </c>
      <c r="W1924" t="str">
        <f t="shared" si="153"/>
        <v>Already Left</v>
      </c>
      <c r="X1924" t="str">
        <f t="shared" si="154"/>
        <v>Fair</v>
      </c>
    </row>
    <row r="1925" spans="1:24" x14ac:dyDescent="0.3">
      <c r="A1925" t="s">
        <v>1993</v>
      </c>
      <c r="B1925" t="s">
        <v>39</v>
      </c>
      <c r="C1925">
        <v>42</v>
      </c>
      <c r="D1925" t="s">
        <v>88</v>
      </c>
      <c r="E1925" t="s">
        <v>22</v>
      </c>
      <c r="F1925" t="s">
        <v>75</v>
      </c>
      <c r="G1925" t="s">
        <v>66</v>
      </c>
      <c r="H1925" t="s">
        <v>67</v>
      </c>
      <c r="I1925" t="s">
        <v>26</v>
      </c>
      <c r="J1925" t="s">
        <v>27</v>
      </c>
      <c r="K1925">
        <v>4</v>
      </c>
      <c r="L1925">
        <v>46903</v>
      </c>
      <c r="M1925" t="s">
        <v>28</v>
      </c>
      <c r="N1925">
        <v>1</v>
      </c>
      <c r="O1925">
        <v>1</v>
      </c>
      <c r="P1925">
        <v>24</v>
      </c>
      <c r="Q1925">
        <v>2</v>
      </c>
      <c r="R1925" s="1">
        <v>43513</v>
      </c>
      <c r="S1925" t="s">
        <v>29</v>
      </c>
      <c r="T1925" t="str">
        <f t="shared" si="150"/>
        <v>Grade C</v>
      </c>
      <c r="U1925">
        <f t="shared" si="151"/>
        <v>3</v>
      </c>
      <c r="V1925" t="str">
        <f t="shared" si="152"/>
        <v>Junior</v>
      </c>
      <c r="W1925" t="str">
        <f t="shared" si="153"/>
        <v>Medium Risk</v>
      </c>
      <c r="X1925" t="str">
        <f t="shared" si="154"/>
        <v>Fair</v>
      </c>
    </row>
    <row r="1926" spans="1:24" x14ac:dyDescent="0.3">
      <c r="A1926" t="s">
        <v>1994</v>
      </c>
      <c r="B1926" t="s">
        <v>39</v>
      </c>
      <c r="C1926">
        <v>30</v>
      </c>
      <c r="D1926" t="s">
        <v>57</v>
      </c>
      <c r="E1926" t="s">
        <v>48</v>
      </c>
      <c r="F1926" t="s">
        <v>32</v>
      </c>
      <c r="G1926" t="s">
        <v>49</v>
      </c>
      <c r="H1926" t="s">
        <v>76</v>
      </c>
      <c r="I1926" t="s">
        <v>59</v>
      </c>
      <c r="J1926" t="s">
        <v>60</v>
      </c>
      <c r="K1926">
        <v>14</v>
      </c>
      <c r="L1926">
        <v>78684</v>
      </c>
      <c r="M1926" t="s">
        <v>45</v>
      </c>
      <c r="N1926">
        <v>2</v>
      </c>
      <c r="O1926">
        <v>4</v>
      </c>
      <c r="P1926">
        <v>19</v>
      </c>
      <c r="Q1926">
        <v>2</v>
      </c>
      <c r="R1926" s="1">
        <v>39948</v>
      </c>
      <c r="S1926" t="s">
        <v>29</v>
      </c>
      <c r="T1926" t="str">
        <f t="shared" si="150"/>
        <v>Grade B</v>
      </c>
      <c r="U1926">
        <f t="shared" si="151"/>
        <v>2</v>
      </c>
      <c r="V1926" t="str">
        <f t="shared" si="152"/>
        <v>Senior</v>
      </c>
      <c r="W1926" t="str">
        <f t="shared" si="153"/>
        <v>Medium Risk</v>
      </c>
      <c r="X1926" t="str">
        <f t="shared" si="154"/>
        <v>Fair</v>
      </c>
    </row>
    <row r="1927" spans="1:24" x14ac:dyDescent="0.3">
      <c r="A1927" t="s">
        <v>1995</v>
      </c>
      <c r="B1927" t="s">
        <v>20</v>
      </c>
      <c r="C1927">
        <v>53</v>
      </c>
      <c r="D1927" t="s">
        <v>31</v>
      </c>
      <c r="E1927" t="s">
        <v>40</v>
      </c>
      <c r="F1927" t="s">
        <v>65</v>
      </c>
      <c r="G1927" t="s">
        <v>66</v>
      </c>
      <c r="H1927" t="s">
        <v>34</v>
      </c>
      <c r="I1927" t="s">
        <v>43</v>
      </c>
      <c r="J1927" t="s">
        <v>44</v>
      </c>
      <c r="K1927">
        <v>11</v>
      </c>
      <c r="L1927">
        <v>62161</v>
      </c>
      <c r="M1927" t="s">
        <v>36</v>
      </c>
      <c r="N1927">
        <v>3</v>
      </c>
      <c r="O1927">
        <v>3</v>
      </c>
      <c r="P1927">
        <v>57</v>
      </c>
      <c r="Q1927">
        <v>0</v>
      </c>
      <c r="R1927" s="1">
        <v>41126</v>
      </c>
      <c r="S1927" t="s">
        <v>29</v>
      </c>
      <c r="T1927" t="str">
        <f t="shared" si="150"/>
        <v>Grade B</v>
      </c>
      <c r="U1927">
        <f t="shared" si="151"/>
        <v>1</v>
      </c>
      <c r="V1927" t="str">
        <f t="shared" si="152"/>
        <v>Senior</v>
      </c>
      <c r="W1927" t="str">
        <f t="shared" si="153"/>
        <v>Medium Risk</v>
      </c>
      <c r="X1927" t="str">
        <f t="shared" si="154"/>
        <v>Fair</v>
      </c>
    </row>
    <row r="1928" spans="1:24" x14ac:dyDescent="0.3">
      <c r="A1928" t="s">
        <v>1996</v>
      </c>
      <c r="B1928" t="s">
        <v>20</v>
      </c>
      <c r="C1928">
        <v>40</v>
      </c>
      <c r="D1928" t="s">
        <v>21</v>
      </c>
      <c r="E1928" t="s">
        <v>40</v>
      </c>
      <c r="F1928" t="s">
        <v>65</v>
      </c>
      <c r="G1928" t="s">
        <v>79</v>
      </c>
      <c r="H1928" t="s">
        <v>67</v>
      </c>
      <c r="I1928" t="s">
        <v>72</v>
      </c>
      <c r="J1928" t="s">
        <v>73</v>
      </c>
      <c r="K1928">
        <v>3</v>
      </c>
      <c r="L1928">
        <v>50519</v>
      </c>
      <c r="M1928" t="s">
        <v>36</v>
      </c>
      <c r="N1928">
        <v>2</v>
      </c>
      <c r="O1928">
        <v>3</v>
      </c>
      <c r="P1928">
        <v>30</v>
      </c>
      <c r="Q1928">
        <v>2</v>
      </c>
      <c r="R1928" s="1">
        <v>43934</v>
      </c>
      <c r="S1928" t="s">
        <v>37</v>
      </c>
      <c r="T1928" t="str">
        <f t="shared" si="150"/>
        <v>Grade B</v>
      </c>
      <c r="U1928">
        <f t="shared" si="151"/>
        <v>1</v>
      </c>
      <c r="V1928" t="str">
        <f t="shared" si="152"/>
        <v>Junior</v>
      </c>
      <c r="W1928" t="str">
        <f t="shared" si="153"/>
        <v>Already Left</v>
      </c>
      <c r="X1928" t="str">
        <f t="shared" si="154"/>
        <v>Fair</v>
      </c>
    </row>
    <row r="1929" spans="1:24" x14ac:dyDescent="0.3">
      <c r="A1929" t="s">
        <v>1997</v>
      </c>
      <c r="B1929" t="s">
        <v>20</v>
      </c>
      <c r="C1929">
        <v>28</v>
      </c>
      <c r="D1929" t="s">
        <v>21</v>
      </c>
      <c r="E1929" t="s">
        <v>40</v>
      </c>
      <c r="F1929" t="s">
        <v>65</v>
      </c>
      <c r="G1929" t="s">
        <v>24</v>
      </c>
      <c r="H1929" t="s">
        <v>67</v>
      </c>
      <c r="I1929" t="s">
        <v>68</v>
      </c>
      <c r="J1929" t="s">
        <v>60</v>
      </c>
      <c r="K1929">
        <v>8</v>
      </c>
      <c r="L1929">
        <v>83434</v>
      </c>
      <c r="M1929" t="s">
        <v>51</v>
      </c>
      <c r="N1929">
        <v>2</v>
      </c>
      <c r="O1929">
        <v>1</v>
      </c>
      <c r="P1929">
        <v>48</v>
      </c>
      <c r="Q1929">
        <v>2</v>
      </c>
      <c r="R1929" s="1">
        <v>42040</v>
      </c>
      <c r="S1929" t="s">
        <v>29</v>
      </c>
      <c r="T1929" t="str">
        <f t="shared" si="150"/>
        <v>Grade A</v>
      </c>
      <c r="U1929">
        <f t="shared" si="151"/>
        <v>4</v>
      </c>
      <c r="V1929" t="str">
        <f t="shared" si="152"/>
        <v>Mid Level</v>
      </c>
      <c r="W1929" t="str">
        <f t="shared" si="153"/>
        <v>Low Risk</v>
      </c>
      <c r="X1929" t="str">
        <f t="shared" si="154"/>
        <v>Competitive</v>
      </c>
    </row>
    <row r="1930" spans="1:24" x14ac:dyDescent="0.3">
      <c r="A1930" t="s">
        <v>1998</v>
      </c>
      <c r="B1930" t="s">
        <v>39</v>
      </c>
      <c r="C1930">
        <v>52</v>
      </c>
      <c r="D1930" t="s">
        <v>57</v>
      </c>
      <c r="E1930" t="s">
        <v>40</v>
      </c>
      <c r="F1930" t="s">
        <v>62</v>
      </c>
      <c r="G1930" t="s">
        <v>58</v>
      </c>
      <c r="H1930" t="s">
        <v>25</v>
      </c>
      <c r="I1930" t="s">
        <v>96</v>
      </c>
      <c r="J1930" t="s">
        <v>44</v>
      </c>
      <c r="K1930">
        <v>3</v>
      </c>
      <c r="L1930">
        <v>87701</v>
      </c>
      <c r="M1930" t="s">
        <v>45</v>
      </c>
      <c r="N1930">
        <v>3</v>
      </c>
      <c r="O1930">
        <v>4</v>
      </c>
      <c r="P1930">
        <v>35</v>
      </c>
      <c r="Q1930">
        <v>0</v>
      </c>
      <c r="R1930" s="1">
        <v>43857</v>
      </c>
      <c r="S1930" t="s">
        <v>37</v>
      </c>
      <c r="T1930" t="str">
        <f t="shared" si="150"/>
        <v>Grade A</v>
      </c>
      <c r="U1930">
        <f t="shared" si="151"/>
        <v>2</v>
      </c>
      <c r="V1930" t="str">
        <f t="shared" si="152"/>
        <v>Junior</v>
      </c>
      <c r="W1930" t="str">
        <f t="shared" si="153"/>
        <v>Already Left</v>
      </c>
      <c r="X1930" t="str">
        <f t="shared" si="154"/>
        <v>Fair</v>
      </c>
    </row>
    <row r="1931" spans="1:24" x14ac:dyDescent="0.3">
      <c r="A1931" t="s">
        <v>1999</v>
      </c>
      <c r="B1931" t="s">
        <v>39</v>
      </c>
      <c r="C1931">
        <v>40</v>
      </c>
      <c r="D1931" t="s">
        <v>31</v>
      </c>
      <c r="E1931" t="s">
        <v>22</v>
      </c>
      <c r="F1931" t="s">
        <v>53</v>
      </c>
      <c r="G1931" t="s">
        <v>66</v>
      </c>
      <c r="H1931" t="s">
        <v>25</v>
      </c>
      <c r="I1931" t="s">
        <v>35</v>
      </c>
      <c r="J1931" t="s">
        <v>27</v>
      </c>
      <c r="K1931">
        <v>4</v>
      </c>
      <c r="L1931">
        <v>40928</v>
      </c>
      <c r="M1931" t="s">
        <v>51</v>
      </c>
      <c r="N1931">
        <v>2</v>
      </c>
      <c r="O1931">
        <v>2</v>
      </c>
      <c r="P1931">
        <v>65</v>
      </c>
      <c r="Q1931">
        <v>1</v>
      </c>
      <c r="R1931" s="1">
        <v>43786</v>
      </c>
      <c r="S1931" t="s">
        <v>29</v>
      </c>
      <c r="T1931" t="str">
        <f t="shared" si="150"/>
        <v>Grade C</v>
      </c>
      <c r="U1931">
        <f t="shared" si="151"/>
        <v>4</v>
      </c>
      <c r="V1931" t="str">
        <f t="shared" si="152"/>
        <v>Junior</v>
      </c>
      <c r="W1931" t="str">
        <f t="shared" si="153"/>
        <v>Low Risk</v>
      </c>
      <c r="X1931" t="str">
        <f t="shared" si="154"/>
        <v>Fair</v>
      </c>
    </row>
    <row r="1932" spans="1:24" x14ac:dyDescent="0.3">
      <c r="A1932" t="s">
        <v>2000</v>
      </c>
      <c r="B1932" t="s">
        <v>20</v>
      </c>
      <c r="C1932">
        <v>32</v>
      </c>
      <c r="D1932" t="s">
        <v>31</v>
      </c>
      <c r="E1932" t="s">
        <v>48</v>
      </c>
      <c r="F1932" t="s">
        <v>23</v>
      </c>
      <c r="G1932" t="s">
        <v>24</v>
      </c>
      <c r="H1932" t="s">
        <v>34</v>
      </c>
      <c r="I1932" t="s">
        <v>80</v>
      </c>
      <c r="J1932" t="s">
        <v>60</v>
      </c>
      <c r="K1932">
        <v>2</v>
      </c>
      <c r="L1932">
        <v>71901</v>
      </c>
      <c r="M1932" t="s">
        <v>45</v>
      </c>
      <c r="N1932">
        <v>3</v>
      </c>
      <c r="O1932">
        <v>1</v>
      </c>
      <c r="P1932">
        <v>13</v>
      </c>
      <c r="Q1932">
        <v>2</v>
      </c>
      <c r="R1932" s="1">
        <v>44543</v>
      </c>
      <c r="S1932" t="s">
        <v>29</v>
      </c>
      <c r="T1932" t="str">
        <f t="shared" si="150"/>
        <v>Grade B</v>
      </c>
      <c r="U1932">
        <f t="shared" si="151"/>
        <v>2</v>
      </c>
      <c r="V1932" t="str">
        <f t="shared" si="152"/>
        <v>New Joiner</v>
      </c>
      <c r="W1932" t="str">
        <f t="shared" si="153"/>
        <v>Medium Risk</v>
      </c>
      <c r="X1932" t="str">
        <f t="shared" si="154"/>
        <v>Fair</v>
      </c>
    </row>
    <row r="1933" spans="1:24" x14ac:dyDescent="0.3">
      <c r="A1933" t="s">
        <v>2001</v>
      </c>
      <c r="B1933" t="s">
        <v>20</v>
      </c>
      <c r="C1933">
        <v>22</v>
      </c>
      <c r="D1933" t="s">
        <v>21</v>
      </c>
      <c r="E1933" t="s">
        <v>40</v>
      </c>
      <c r="F1933" t="s">
        <v>62</v>
      </c>
      <c r="G1933" t="s">
        <v>49</v>
      </c>
      <c r="H1933" t="s">
        <v>83</v>
      </c>
      <c r="I1933" t="s">
        <v>96</v>
      </c>
      <c r="J1933" t="s">
        <v>44</v>
      </c>
      <c r="K1933">
        <v>13</v>
      </c>
      <c r="L1933">
        <v>71041</v>
      </c>
      <c r="M1933" t="s">
        <v>28</v>
      </c>
      <c r="N1933">
        <v>1</v>
      </c>
      <c r="O1933">
        <v>1</v>
      </c>
      <c r="P1933">
        <v>36</v>
      </c>
      <c r="Q1933">
        <v>2</v>
      </c>
      <c r="R1933" s="1">
        <v>40393</v>
      </c>
      <c r="S1933" t="s">
        <v>29</v>
      </c>
      <c r="T1933" t="str">
        <f t="shared" si="150"/>
        <v>Grade B</v>
      </c>
      <c r="U1933">
        <f t="shared" si="151"/>
        <v>3</v>
      </c>
      <c r="V1933" t="str">
        <f t="shared" si="152"/>
        <v>Senior</v>
      </c>
      <c r="W1933" t="str">
        <f t="shared" si="153"/>
        <v>Medium Risk</v>
      </c>
      <c r="X1933" t="str">
        <f t="shared" si="154"/>
        <v>Competitive</v>
      </c>
    </row>
    <row r="1934" spans="1:24" x14ac:dyDescent="0.3">
      <c r="A1934" t="s">
        <v>2002</v>
      </c>
      <c r="B1934" t="s">
        <v>20</v>
      </c>
      <c r="C1934">
        <v>33</v>
      </c>
      <c r="D1934" t="s">
        <v>57</v>
      </c>
      <c r="E1934" t="s">
        <v>48</v>
      </c>
      <c r="F1934" t="s">
        <v>62</v>
      </c>
      <c r="G1934" t="s">
        <v>79</v>
      </c>
      <c r="H1934" t="s">
        <v>34</v>
      </c>
      <c r="I1934" t="s">
        <v>59</v>
      </c>
      <c r="J1934" t="s">
        <v>60</v>
      </c>
      <c r="K1934">
        <v>8</v>
      </c>
      <c r="L1934">
        <v>52623</v>
      </c>
      <c r="M1934" t="s">
        <v>45</v>
      </c>
      <c r="N1934">
        <v>4</v>
      </c>
      <c r="O1934">
        <v>1</v>
      </c>
      <c r="P1934">
        <v>33</v>
      </c>
      <c r="Q1934">
        <v>3</v>
      </c>
      <c r="R1934" s="1">
        <v>42065</v>
      </c>
      <c r="S1934" t="s">
        <v>29</v>
      </c>
      <c r="T1934" t="str">
        <f t="shared" si="150"/>
        <v>Grade B</v>
      </c>
      <c r="U1934">
        <f t="shared" si="151"/>
        <v>2</v>
      </c>
      <c r="V1934" t="str">
        <f t="shared" si="152"/>
        <v>Mid Level</v>
      </c>
      <c r="W1934" t="str">
        <f t="shared" si="153"/>
        <v>Medium Risk</v>
      </c>
      <c r="X1934" t="str">
        <f t="shared" si="154"/>
        <v>Fair</v>
      </c>
    </row>
    <row r="1935" spans="1:24" x14ac:dyDescent="0.3">
      <c r="A1935" t="s">
        <v>2003</v>
      </c>
      <c r="B1935" t="s">
        <v>39</v>
      </c>
      <c r="C1935">
        <v>35</v>
      </c>
      <c r="D1935" t="s">
        <v>88</v>
      </c>
      <c r="E1935" t="s">
        <v>22</v>
      </c>
      <c r="F1935" t="s">
        <v>62</v>
      </c>
      <c r="G1935" t="s">
        <v>79</v>
      </c>
      <c r="H1935" t="s">
        <v>67</v>
      </c>
      <c r="I1935" t="s">
        <v>59</v>
      </c>
      <c r="J1935" t="s">
        <v>60</v>
      </c>
      <c r="K1935">
        <v>13</v>
      </c>
      <c r="L1935">
        <v>60939</v>
      </c>
      <c r="M1935" t="s">
        <v>51</v>
      </c>
      <c r="N1935">
        <v>2</v>
      </c>
      <c r="O1935">
        <v>1</v>
      </c>
      <c r="P1935">
        <v>21</v>
      </c>
      <c r="Q1935">
        <v>2</v>
      </c>
      <c r="R1935" s="1">
        <v>40463</v>
      </c>
      <c r="S1935" t="s">
        <v>37</v>
      </c>
      <c r="T1935" t="str">
        <f t="shared" si="150"/>
        <v>Grade B</v>
      </c>
      <c r="U1935">
        <f t="shared" si="151"/>
        <v>4</v>
      </c>
      <c r="V1935" t="str">
        <f t="shared" si="152"/>
        <v>Senior</v>
      </c>
      <c r="W1935" t="str">
        <f t="shared" si="153"/>
        <v>Already Left</v>
      </c>
      <c r="X1935" t="str">
        <f t="shared" si="154"/>
        <v>Fair</v>
      </c>
    </row>
    <row r="1936" spans="1:24" x14ac:dyDescent="0.3">
      <c r="A1936" t="s">
        <v>2004</v>
      </c>
      <c r="B1936" t="s">
        <v>39</v>
      </c>
      <c r="C1936">
        <v>46</v>
      </c>
      <c r="D1936" t="s">
        <v>57</v>
      </c>
      <c r="E1936" t="s">
        <v>48</v>
      </c>
      <c r="F1936" t="s">
        <v>62</v>
      </c>
      <c r="G1936" t="s">
        <v>58</v>
      </c>
      <c r="H1936" t="s">
        <v>34</v>
      </c>
      <c r="I1936" t="s">
        <v>54</v>
      </c>
      <c r="J1936" t="s">
        <v>27</v>
      </c>
      <c r="K1936">
        <v>3</v>
      </c>
      <c r="L1936">
        <v>99220</v>
      </c>
      <c r="M1936" t="s">
        <v>51</v>
      </c>
      <c r="N1936">
        <v>3</v>
      </c>
      <c r="O1936">
        <v>2</v>
      </c>
      <c r="P1936">
        <v>34</v>
      </c>
      <c r="Q1936">
        <v>0</v>
      </c>
      <c r="R1936" s="1">
        <v>43867</v>
      </c>
      <c r="S1936" t="s">
        <v>29</v>
      </c>
      <c r="T1936" t="str">
        <f t="shared" si="150"/>
        <v>Grade A</v>
      </c>
      <c r="U1936">
        <f t="shared" si="151"/>
        <v>4</v>
      </c>
      <c r="V1936" t="str">
        <f t="shared" si="152"/>
        <v>Junior</v>
      </c>
      <c r="W1936" t="str">
        <f t="shared" si="153"/>
        <v>Low Risk</v>
      </c>
      <c r="X1936" t="str">
        <f t="shared" si="154"/>
        <v>Competitive</v>
      </c>
    </row>
    <row r="1937" spans="1:24" x14ac:dyDescent="0.3">
      <c r="A1937" t="s">
        <v>2005</v>
      </c>
      <c r="B1937" t="s">
        <v>20</v>
      </c>
      <c r="C1937">
        <v>47</v>
      </c>
      <c r="D1937" t="s">
        <v>88</v>
      </c>
      <c r="E1937" t="s">
        <v>40</v>
      </c>
      <c r="F1937" t="s">
        <v>41</v>
      </c>
      <c r="G1937" t="s">
        <v>24</v>
      </c>
      <c r="H1937" t="s">
        <v>34</v>
      </c>
      <c r="I1937" t="s">
        <v>54</v>
      </c>
      <c r="J1937" t="s">
        <v>27</v>
      </c>
      <c r="K1937">
        <v>9</v>
      </c>
      <c r="L1937">
        <v>85297</v>
      </c>
      <c r="M1937" t="s">
        <v>51</v>
      </c>
      <c r="N1937">
        <v>2</v>
      </c>
      <c r="O1937">
        <v>1</v>
      </c>
      <c r="P1937">
        <v>66</v>
      </c>
      <c r="Q1937">
        <v>1</v>
      </c>
      <c r="R1937" s="1">
        <v>41909</v>
      </c>
      <c r="S1937" t="s">
        <v>29</v>
      </c>
      <c r="T1937" t="str">
        <f t="shared" si="150"/>
        <v>Grade A</v>
      </c>
      <c r="U1937">
        <f t="shared" si="151"/>
        <v>4</v>
      </c>
      <c r="V1937" t="str">
        <f t="shared" si="152"/>
        <v>Mid Level</v>
      </c>
      <c r="W1937" t="str">
        <f t="shared" si="153"/>
        <v>Low Risk</v>
      </c>
      <c r="X1937" t="str">
        <f t="shared" si="154"/>
        <v>Competitive</v>
      </c>
    </row>
    <row r="1938" spans="1:24" x14ac:dyDescent="0.3">
      <c r="A1938" t="s">
        <v>2006</v>
      </c>
      <c r="B1938" t="s">
        <v>39</v>
      </c>
      <c r="C1938">
        <v>27</v>
      </c>
      <c r="D1938" t="s">
        <v>88</v>
      </c>
      <c r="E1938" t="s">
        <v>22</v>
      </c>
      <c r="F1938" t="s">
        <v>75</v>
      </c>
      <c r="G1938" t="s">
        <v>42</v>
      </c>
      <c r="H1938" t="s">
        <v>76</v>
      </c>
      <c r="I1938" t="s">
        <v>59</v>
      </c>
      <c r="J1938" t="s">
        <v>60</v>
      </c>
      <c r="K1938">
        <v>1</v>
      </c>
      <c r="L1938">
        <v>89267</v>
      </c>
      <c r="M1938" t="s">
        <v>36</v>
      </c>
      <c r="N1938">
        <v>4</v>
      </c>
      <c r="O1938">
        <v>3</v>
      </c>
      <c r="P1938">
        <v>14</v>
      </c>
      <c r="Q1938">
        <v>2</v>
      </c>
      <c r="R1938" s="1">
        <v>44922</v>
      </c>
      <c r="S1938" t="s">
        <v>37</v>
      </c>
      <c r="T1938" t="str">
        <f t="shared" si="150"/>
        <v>Grade A</v>
      </c>
      <c r="U1938">
        <f t="shared" si="151"/>
        <v>1</v>
      </c>
      <c r="V1938" t="str">
        <f t="shared" si="152"/>
        <v>New Joiner</v>
      </c>
      <c r="W1938" t="str">
        <f t="shared" si="153"/>
        <v>Already Left</v>
      </c>
      <c r="X1938" t="str">
        <f t="shared" si="154"/>
        <v>Overpaid</v>
      </c>
    </row>
    <row r="1939" spans="1:24" x14ac:dyDescent="0.3">
      <c r="A1939" t="s">
        <v>2007</v>
      </c>
      <c r="B1939" t="s">
        <v>20</v>
      </c>
      <c r="C1939">
        <v>45</v>
      </c>
      <c r="D1939" t="s">
        <v>57</v>
      </c>
      <c r="E1939" t="s">
        <v>22</v>
      </c>
      <c r="F1939" t="s">
        <v>41</v>
      </c>
      <c r="G1939" t="s">
        <v>24</v>
      </c>
      <c r="H1939" t="s">
        <v>67</v>
      </c>
      <c r="I1939" t="s">
        <v>50</v>
      </c>
      <c r="J1939" t="s">
        <v>44</v>
      </c>
      <c r="K1939">
        <v>13</v>
      </c>
      <c r="L1939">
        <v>91751</v>
      </c>
      <c r="M1939" t="s">
        <v>28</v>
      </c>
      <c r="N1939">
        <v>4</v>
      </c>
      <c r="O1939">
        <v>1</v>
      </c>
      <c r="P1939">
        <v>42</v>
      </c>
      <c r="Q1939">
        <v>3</v>
      </c>
      <c r="R1939" s="1">
        <v>40408</v>
      </c>
      <c r="S1939" t="s">
        <v>29</v>
      </c>
      <c r="T1939" t="str">
        <f t="shared" si="150"/>
        <v>Grade A</v>
      </c>
      <c r="U1939">
        <f t="shared" si="151"/>
        <v>3</v>
      </c>
      <c r="V1939" t="str">
        <f t="shared" si="152"/>
        <v>Senior</v>
      </c>
      <c r="W1939" t="str">
        <f t="shared" si="153"/>
        <v>Medium Risk</v>
      </c>
      <c r="X1939" t="str">
        <f t="shared" si="154"/>
        <v>Competitive</v>
      </c>
    </row>
    <row r="1940" spans="1:24" x14ac:dyDescent="0.3">
      <c r="A1940" t="s">
        <v>2008</v>
      </c>
      <c r="B1940" t="s">
        <v>20</v>
      </c>
      <c r="C1940">
        <v>31</v>
      </c>
      <c r="D1940" t="s">
        <v>47</v>
      </c>
      <c r="E1940" t="s">
        <v>22</v>
      </c>
      <c r="F1940" t="s">
        <v>65</v>
      </c>
      <c r="G1940" t="s">
        <v>66</v>
      </c>
      <c r="H1940" t="s">
        <v>83</v>
      </c>
      <c r="I1940" t="s">
        <v>43</v>
      </c>
      <c r="J1940" t="s">
        <v>44</v>
      </c>
      <c r="K1940">
        <v>8</v>
      </c>
      <c r="L1940">
        <v>46029</v>
      </c>
      <c r="M1940" t="s">
        <v>36</v>
      </c>
      <c r="N1940">
        <v>4</v>
      </c>
      <c r="O1940">
        <v>2</v>
      </c>
      <c r="P1940">
        <v>25</v>
      </c>
      <c r="Q1940">
        <v>3</v>
      </c>
      <c r="R1940" s="1">
        <v>42038</v>
      </c>
      <c r="S1940" t="s">
        <v>29</v>
      </c>
      <c r="T1940" t="str">
        <f t="shared" si="150"/>
        <v>Grade C</v>
      </c>
      <c r="U1940">
        <f t="shared" si="151"/>
        <v>1</v>
      </c>
      <c r="V1940" t="str">
        <f t="shared" si="152"/>
        <v>Mid Level</v>
      </c>
      <c r="W1940" t="str">
        <f t="shared" si="153"/>
        <v>Medium Risk</v>
      </c>
      <c r="X1940" t="str">
        <f t="shared" si="154"/>
        <v>Fair</v>
      </c>
    </row>
    <row r="1941" spans="1:24" x14ac:dyDescent="0.3">
      <c r="A1941" t="s">
        <v>2009</v>
      </c>
      <c r="B1941" t="s">
        <v>39</v>
      </c>
      <c r="C1941">
        <v>46</v>
      </c>
      <c r="D1941" t="s">
        <v>47</v>
      </c>
      <c r="E1941" t="s">
        <v>22</v>
      </c>
      <c r="F1941" t="s">
        <v>32</v>
      </c>
      <c r="G1941" t="s">
        <v>58</v>
      </c>
      <c r="H1941" t="s">
        <v>76</v>
      </c>
      <c r="I1941" t="s">
        <v>50</v>
      </c>
      <c r="J1941" t="s">
        <v>44</v>
      </c>
      <c r="K1941">
        <v>2</v>
      </c>
      <c r="L1941">
        <v>89336</v>
      </c>
      <c r="M1941" t="s">
        <v>51</v>
      </c>
      <c r="N1941">
        <v>4</v>
      </c>
      <c r="O1941">
        <v>4</v>
      </c>
      <c r="P1941">
        <v>69</v>
      </c>
      <c r="Q1941">
        <v>0</v>
      </c>
      <c r="R1941" s="1">
        <v>44547</v>
      </c>
      <c r="S1941" t="s">
        <v>29</v>
      </c>
      <c r="T1941" t="str">
        <f t="shared" si="150"/>
        <v>Grade A</v>
      </c>
      <c r="U1941">
        <f t="shared" si="151"/>
        <v>4</v>
      </c>
      <c r="V1941" t="str">
        <f t="shared" si="152"/>
        <v>New Joiner</v>
      </c>
      <c r="W1941" t="str">
        <f t="shared" si="153"/>
        <v>Low Risk</v>
      </c>
      <c r="X1941" t="str">
        <f t="shared" si="154"/>
        <v>Competitive</v>
      </c>
    </row>
    <row r="1942" spans="1:24" x14ac:dyDescent="0.3">
      <c r="A1942" t="s">
        <v>2010</v>
      </c>
      <c r="B1942" t="s">
        <v>39</v>
      </c>
      <c r="C1942">
        <v>37</v>
      </c>
      <c r="D1942" t="s">
        <v>47</v>
      </c>
      <c r="E1942" t="s">
        <v>40</v>
      </c>
      <c r="F1942" t="s">
        <v>65</v>
      </c>
      <c r="G1942" t="s">
        <v>63</v>
      </c>
      <c r="H1942" t="s">
        <v>34</v>
      </c>
      <c r="I1942" t="s">
        <v>50</v>
      </c>
      <c r="J1942" t="s">
        <v>44</v>
      </c>
      <c r="K1942">
        <v>7</v>
      </c>
      <c r="L1942">
        <v>62015</v>
      </c>
      <c r="M1942" t="s">
        <v>45</v>
      </c>
      <c r="N1942">
        <v>4</v>
      </c>
      <c r="O1942">
        <v>1</v>
      </c>
      <c r="P1942">
        <v>13</v>
      </c>
      <c r="Q1942">
        <v>3</v>
      </c>
      <c r="R1942" s="1">
        <v>42612</v>
      </c>
      <c r="S1942" t="s">
        <v>29</v>
      </c>
      <c r="T1942" t="str">
        <f t="shared" si="150"/>
        <v>Grade B</v>
      </c>
      <c r="U1942">
        <f t="shared" si="151"/>
        <v>2</v>
      </c>
      <c r="V1942" t="str">
        <f t="shared" si="152"/>
        <v>Mid Level</v>
      </c>
      <c r="W1942" t="str">
        <f t="shared" si="153"/>
        <v>Medium Risk</v>
      </c>
      <c r="X1942" t="str">
        <f t="shared" si="154"/>
        <v>Fair</v>
      </c>
    </row>
    <row r="1943" spans="1:24" x14ac:dyDescent="0.3">
      <c r="A1943" t="s">
        <v>2011</v>
      </c>
      <c r="B1943" t="s">
        <v>20</v>
      </c>
      <c r="C1943">
        <v>25</v>
      </c>
      <c r="D1943" t="s">
        <v>88</v>
      </c>
      <c r="E1943" t="s">
        <v>48</v>
      </c>
      <c r="F1943" t="s">
        <v>65</v>
      </c>
      <c r="G1943" t="s">
        <v>58</v>
      </c>
      <c r="H1943" t="s">
        <v>34</v>
      </c>
      <c r="I1943" t="s">
        <v>26</v>
      </c>
      <c r="J1943" t="s">
        <v>27</v>
      </c>
      <c r="K1943">
        <v>13</v>
      </c>
      <c r="L1943">
        <v>120005</v>
      </c>
      <c r="M1943" t="s">
        <v>51</v>
      </c>
      <c r="N1943">
        <v>2</v>
      </c>
      <c r="O1943">
        <v>2</v>
      </c>
      <c r="P1943">
        <v>33</v>
      </c>
      <c r="Q1943">
        <v>1</v>
      </c>
      <c r="R1943" s="1">
        <v>40514</v>
      </c>
      <c r="S1943" t="s">
        <v>29</v>
      </c>
      <c r="T1943" t="str">
        <f t="shared" si="150"/>
        <v>Grade A</v>
      </c>
      <c r="U1943">
        <f t="shared" si="151"/>
        <v>4</v>
      </c>
      <c r="V1943" t="str">
        <f t="shared" si="152"/>
        <v>Senior</v>
      </c>
      <c r="W1943" t="str">
        <f t="shared" si="153"/>
        <v>Low Risk</v>
      </c>
      <c r="X1943" t="str">
        <f t="shared" si="154"/>
        <v>Competitive</v>
      </c>
    </row>
    <row r="1944" spans="1:24" x14ac:dyDescent="0.3">
      <c r="A1944" t="s">
        <v>2012</v>
      </c>
      <c r="B1944" t="s">
        <v>39</v>
      </c>
      <c r="C1944">
        <v>32</v>
      </c>
      <c r="D1944" t="s">
        <v>47</v>
      </c>
      <c r="E1944" t="s">
        <v>48</v>
      </c>
      <c r="F1944" t="s">
        <v>32</v>
      </c>
      <c r="G1944" t="s">
        <v>33</v>
      </c>
      <c r="H1944" t="s">
        <v>83</v>
      </c>
      <c r="I1944" t="s">
        <v>80</v>
      </c>
      <c r="J1944" t="s">
        <v>60</v>
      </c>
      <c r="K1944">
        <v>6</v>
      </c>
      <c r="L1944">
        <v>71606</v>
      </c>
      <c r="M1944" t="s">
        <v>36</v>
      </c>
      <c r="N1944">
        <v>3</v>
      </c>
      <c r="O1944">
        <v>1</v>
      </c>
      <c r="P1944">
        <v>73</v>
      </c>
      <c r="Q1944">
        <v>1</v>
      </c>
      <c r="R1944" s="1">
        <v>42825</v>
      </c>
      <c r="S1944" t="s">
        <v>29</v>
      </c>
      <c r="T1944" t="str">
        <f t="shared" si="150"/>
        <v>Grade B</v>
      </c>
      <c r="U1944">
        <f t="shared" si="151"/>
        <v>1</v>
      </c>
      <c r="V1944" t="str">
        <f t="shared" si="152"/>
        <v>Mid Level</v>
      </c>
      <c r="W1944" t="str">
        <f t="shared" si="153"/>
        <v>Medium Risk</v>
      </c>
      <c r="X1944" t="str">
        <f t="shared" si="154"/>
        <v>Fair</v>
      </c>
    </row>
    <row r="1945" spans="1:24" x14ac:dyDescent="0.3">
      <c r="A1945" t="s">
        <v>2013</v>
      </c>
      <c r="B1945" t="s">
        <v>20</v>
      </c>
      <c r="C1945">
        <v>42</v>
      </c>
      <c r="D1945" t="s">
        <v>21</v>
      </c>
      <c r="E1945" t="s">
        <v>22</v>
      </c>
      <c r="F1945" t="s">
        <v>65</v>
      </c>
      <c r="G1945" t="s">
        <v>66</v>
      </c>
      <c r="H1945" t="s">
        <v>34</v>
      </c>
      <c r="I1945" t="s">
        <v>68</v>
      </c>
      <c r="J1945" t="s">
        <v>60</v>
      </c>
      <c r="K1945">
        <v>11</v>
      </c>
      <c r="L1945">
        <v>65035</v>
      </c>
      <c r="M1945" t="s">
        <v>28</v>
      </c>
      <c r="N1945">
        <v>1</v>
      </c>
      <c r="O1945">
        <v>4</v>
      </c>
      <c r="P1945">
        <v>13</v>
      </c>
      <c r="Q1945">
        <v>1</v>
      </c>
      <c r="R1945" s="1">
        <v>41137</v>
      </c>
      <c r="S1945" t="s">
        <v>29</v>
      </c>
      <c r="T1945" t="str">
        <f t="shared" si="150"/>
        <v>Grade B</v>
      </c>
      <c r="U1945">
        <f t="shared" si="151"/>
        <v>3</v>
      </c>
      <c r="V1945" t="str">
        <f t="shared" si="152"/>
        <v>Senior</v>
      </c>
      <c r="W1945" t="str">
        <f t="shared" si="153"/>
        <v>Medium Risk</v>
      </c>
      <c r="X1945" t="str">
        <f t="shared" si="154"/>
        <v>Competitive</v>
      </c>
    </row>
    <row r="1946" spans="1:24" x14ac:dyDescent="0.3">
      <c r="A1946" t="s">
        <v>2014</v>
      </c>
      <c r="B1946" t="s">
        <v>39</v>
      </c>
      <c r="C1946">
        <v>31</v>
      </c>
      <c r="D1946" t="s">
        <v>47</v>
      </c>
      <c r="E1946" t="s">
        <v>40</v>
      </c>
      <c r="F1946" t="s">
        <v>53</v>
      </c>
      <c r="G1946" t="s">
        <v>49</v>
      </c>
      <c r="H1946" t="s">
        <v>67</v>
      </c>
      <c r="I1946" t="s">
        <v>80</v>
      </c>
      <c r="J1946" t="s">
        <v>60</v>
      </c>
      <c r="K1946">
        <v>8</v>
      </c>
      <c r="L1946">
        <v>73950</v>
      </c>
      <c r="M1946" t="s">
        <v>36</v>
      </c>
      <c r="N1946">
        <v>1</v>
      </c>
      <c r="O1946">
        <v>1</v>
      </c>
      <c r="P1946">
        <v>43</v>
      </c>
      <c r="Q1946">
        <v>1</v>
      </c>
      <c r="R1946" s="1">
        <v>42170</v>
      </c>
      <c r="S1946" t="s">
        <v>37</v>
      </c>
      <c r="T1946" t="str">
        <f t="shared" si="150"/>
        <v>Grade B</v>
      </c>
      <c r="U1946">
        <f t="shared" si="151"/>
        <v>1</v>
      </c>
      <c r="V1946" t="str">
        <f t="shared" si="152"/>
        <v>Mid Level</v>
      </c>
      <c r="W1946" t="str">
        <f t="shared" si="153"/>
        <v>Already Left</v>
      </c>
      <c r="X1946" t="str">
        <f t="shared" si="154"/>
        <v>Fair</v>
      </c>
    </row>
    <row r="1947" spans="1:24" x14ac:dyDescent="0.3">
      <c r="A1947" t="s">
        <v>2015</v>
      </c>
      <c r="B1947" t="s">
        <v>20</v>
      </c>
      <c r="C1947">
        <v>52</v>
      </c>
      <c r="D1947" t="s">
        <v>31</v>
      </c>
      <c r="E1947" t="s">
        <v>22</v>
      </c>
      <c r="F1947" t="s">
        <v>62</v>
      </c>
      <c r="G1947" t="s">
        <v>42</v>
      </c>
      <c r="H1947" t="s">
        <v>76</v>
      </c>
      <c r="I1947" t="s">
        <v>43</v>
      </c>
      <c r="J1947" t="s">
        <v>44</v>
      </c>
      <c r="K1947">
        <v>9</v>
      </c>
      <c r="L1947">
        <v>116542</v>
      </c>
      <c r="M1947" t="s">
        <v>45</v>
      </c>
      <c r="N1947">
        <v>4</v>
      </c>
      <c r="O1947">
        <v>2</v>
      </c>
      <c r="P1947">
        <v>72</v>
      </c>
      <c r="Q1947">
        <v>0</v>
      </c>
      <c r="R1947" s="1">
        <v>41867</v>
      </c>
      <c r="S1947" t="s">
        <v>29</v>
      </c>
      <c r="T1947" t="str">
        <f t="shared" si="150"/>
        <v>Grade A</v>
      </c>
      <c r="U1947">
        <f t="shared" si="151"/>
        <v>2</v>
      </c>
      <c r="V1947" t="str">
        <f t="shared" si="152"/>
        <v>Mid Level</v>
      </c>
      <c r="W1947" t="str">
        <f t="shared" si="153"/>
        <v>Medium Risk</v>
      </c>
      <c r="X1947" t="str">
        <f t="shared" si="154"/>
        <v>Fair</v>
      </c>
    </row>
    <row r="1948" spans="1:24" x14ac:dyDescent="0.3">
      <c r="A1948" t="s">
        <v>2016</v>
      </c>
      <c r="B1948" t="s">
        <v>20</v>
      </c>
      <c r="C1948">
        <v>52</v>
      </c>
      <c r="D1948" t="s">
        <v>57</v>
      </c>
      <c r="E1948" t="s">
        <v>22</v>
      </c>
      <c r="F1948" t="s">
        <v>23</v>
      </c>
      <c r="G1948" t="s">
        <v>33</v>
      </c>
      <c r="H1948" t="s">
        <v>76</v>
      </c>
      <c r="I1948" t="s">
        <v>68</v>
      </c>
      <c r="J1948" t="s">
        <v>60</v>
      </c>
      <c r="K1948">
        <v>2</v>
      </c>
      <c r="L1948">
        <v>64909</v>
      </c>
      <c r="M1948" t="s">
        <v>28</v>
      </c>
      <c r="N1948">
        <v>1</v>
      </c>
      <c r="O1948">
        <v>3</v>
      </c>
      <c r="P1948">
        <v>55</v>
      </c>
      <c r="Q1948">
        <v>2</v>
      </c>
      <c r="R1948" s="1">
        <v>44476</v>
      </c>
      <c r="S1948" t="s">
        <v>29</v>
      </c>
      <c r="T1948" t="str">
        <f t="shared" si="150"/>
        <v>Grade B</v>
      </c>
      <c r="U1948">
        <f t="shared" si="151"/>
        <v>3</v>
      </c>
      <c r="V1948" t="str">
        <f t="shared" si="152"/>
        <v>New Joiner</v>
      </c>
      <c r="W1948" t="str">
        <f t="shared" si="153"/>
        <v>Medium Risk</v>
      </c>
      <c r="X1948" t="str">
        <f t="shared" si="154"/>
        <v>Competitive</v>
      </c>
    </row>
    <row r="1949" spans="1:24" x14ac:dyDescent="0.3">
      <c r="A1949" t="s">
        <v>2017</v>
      </c>
      <c r="B1949" t="s">
        <v>39</v>
      </c>
      <c r="C1949">
        <v>41</v>
      </c>
      <c r="D1949" t="s">
        <v>47</v>
      </c>
      <c r="E1949" t="s">
        <v>40</v>
      </c>
      <c r="F1949" t="s">
        <v>41</v>
      </c>
      <c r="G1949" t="s">
        <v>79</v>
      </c>
      <c r="H1949" t="s">
        <v>83</v>
      </c>
      <c r="I1949" t="s">
        <v>50</v>
      </c>
      <c r="J1949" t="s">
        <v>44</v>
      </c>
      <c r="K1949">
        <v>5</v>
      </c>
      <c r="L1949">
        <v>52119</v>
      </c>
      <c r="M1949" t="s">
        <v>45</v>
      </c>
      <c r="N1949">
        <v>4</v>
      </c>
      <c r="O1949">
        <v>1</v>
      </c>
      <c r="P1949">
        <v>19</v>
      </c>
      <c r="Q1949">
        <v>3</v>
      </c>
      <c r="R1949" s="1">
        <v>43376</v>
      </c>
      <c r="S1949" t="s">
        <v>29</v>
      </c>
      <c r="T1949" t="str">
        <f t="shared" si="150"/>
        <v>Grade B</v>
      </c>
      <c r="U1949">
        <f t="shared" si="151"/>
        <v>2</v>
      </c>
      <c r="V1949" t="str">
        <f t="shared" si="152"/>
        <v>Junior</v>
      </c>
      <c r="W1949" t="str">
        <f t="shared" si="153"/>
        <v>Medium Risk</v>
      </c>
      <c r="X1949" t="str">
        <f t="shared" si="154"/>
        <v>Fair</v>
      </c>
    </row>
    <row r="1950" spans="1:24" x14ac:dyDescent="0.3">
      <c r="A1950" t="s">
        <v>2018</v>
      </c>
      <c r="B1950" t="s">
        <v>39</v>
      </c>
      <c r="C1950">
        <v>27</v>
      </c>
      <c r="D1950" t="s">
        <v>88</v>
      </c>
      <c r="E1950" t="s">
        <v>40</v>
      </c>
      <c r="F1950" t="s">
        <v>75</v>
      </c>
      <c r="G1950" t="s">
        <v>63</v>
      </c>
      <c r="H1950" t="s">
        <v>83</v>
      </c>
      <c r="I1950" t="s">
        <v>35</v>
      </c>
      <c r="J1950" t="s">
        <v>27</v>
      </c>
      <c r="K1950">
        <v>5</v>
      </c>
      <c r="L1950">
        <v>46017</v>
      </c>
      <c r="M1950" t="s">
        <v>51</v>
      </c>
      <c r="N1950">
        <v>2</v>
      </c>
      <c r="O1950">
        <v>4</v>
      </c>
      <c r="P1950">
        <v>12</v>
      </c>
      <c r="Q1950">
        <v>2</v>
      </c>
      <c r="R1950" s="1">
        <v>43275</v>
      </c>
      <c r="S1950" t="s">
        <v>29</v>
      </c>
      <c r="T1950" t="str">
        <f t="shared" si="150"/>
        <v>Grade C</v>
      </c>
      <c r="U1950">
        <f t="shared" si="151"/>
        <v>4</v>
      </c>
      <c r="V1950" t="str">
        <f t="shared" si="152"/>
        <v>Junior</v>
      </c>
      <c r="W1950" t="str">
        <f t="shared" si="153"/>
        <v>Low Risk</v>
      </c>
      <c r="X1950" t="str">
        <f t="shared" si="154"/>
        <v>Fair</v>
      </c>
    </row>
    <row r="1951" spans="1:24" x14ac:dyDescent="0.3">
      <c r="A1951" t="s">
        <v>2019</v>
      </c>
      <c r="B1951" t="s">
        <v>20</v>
      </c>
      <c r="C1951">
        <v>54</v>
      </c>
      <c r="D1951" t="s">
        <v>31</v>
      </c>
      <c r="E1951" t="s">
        <v>22</v>
      </c>
      <c r="F1951" t="s">
        <v>65</v>
      </c>
      <c r="G1951" t="s">
        <v>42</v>
      </c>
      <c r="H1951" t="s">
        <v>25</v>
      </c>
      <c r="I1951" t="s">
        <v>72</v>
      </c>
      <c r="J1951" t="s">
        <v>73</v>
      </c>
      <c r="K1951">
        <v>6</v>
      </c>
      <c r="L1951">
        <v>102749</v>
      </c>
      <c r="M1951" t="s">
        <v>36</v>
      </c>
      <c r="N1951">
        <v>4</v>
      </c>
      <c r="O1951">
        <v>4</v>
      </c>
      <c r="P1951">
        <v>21</v>
      </c>
      <c r="Q1951">
        <v>2</v>
      </c>
      <c r="R1951" s="1">
        <v>42976</v>
      </c>
      <c r="S1951" t="s">
        <v>29</v>
      </c>
      <c r="T1951" t="str">
        <f t="shared" si="150"/>
        <v>Grade A</v>
      </c>
      <c r="U1951">
        <f t="shared" si="151"/>
        <v>1</v>
      </c>
      <c r="V1951" t="str">
        <f t="shared" si="152"/>
        <v>Mid Level</v>
      </c>
      <c r="W1951" t="str">
        <f t="shared" si="153"/>
        <v>Medium Risk</v>
      </c>
      <c r="X1951" t="str">
        <f t="shared" si="154"/>
        <v>Overpaid</v>
      </c>
    </row>
    <row r="1952" spans="1:24" x14ac:dyDescent="0.3">
      <c r="A1952" t="s">
        <v>2020</v>
      </c>
      <c r="B1952" t="s">
        <v>20</v>
      </c>
      <c r="C1952">
        <v>48</v>
      </c>
      <c r="D1952" t="s">
        <v>57</v>
      </c>
      <c r="E1952" t="s">
        <v>22</v>
      </c>
      <c r="F1952" t="s">
        <v>32</v>
      </c>
      <c r="G1952" t="s">
        <v>66</v>
      </c>
      <c r="H1952" t="s">
        <v>25</v>
      </c>
      <c r="I1952" t="s">
        <v>50</v>
      </c>
      <c r="J1952" t="s">
        <v>44</v>
      </c>
      <c r="K1952">
        <v>11</v>
      </c>
      <c r="L1952">
        <v>56201</v>
      </c>
      <c r="M1952" t="s">
        <v>45</v>
      </c>
      <c r="N1952">
        <v>1</v>
      </c>
      <c r="O1952">
        <v>2</v>
      </c>
      <c r="P1952">
        <v>10</v>
      </c>
      <c r="Q1952">
        <v>0</v>
      </c>
      <c r="R1952" s="1">
        <v>40987</v>
      </c>
      <c r="S1952" t="s">
        <v>29</v>
      </c>
      <c r="T1952" t="str">
        <f t="shared" si="150"/>
        <v>Grade B</v>
      </c>
      <c r="U1952">
        <f t="shared" si="151"/>
        <v>2</v>
      </c>
      <c r="V1952" t="str">
        <f t="shared" si="152"/>
        <v>Senior</v>
      </c>
      <c r="W1952" t="str">
        <f t="shared" si="153"/>
        <v>Medium Risk</v>
      </c>
      <c r="X1952" t="str">
        <f t="shared" si="154"/>
        <v>Fair</v>
      </c>
    </row>
    <row r="1953" spans="1:24" x14ac:dyDescent="0.3">
      <c r="A1953" t="s">
        <v>2021</v>
      </c>
      <c r="B1953" t="s">
        <v>20</v>
      </c>
      <c r="C1953">
        <v>39</v>
      </c>
      <c r="D1953" t="s">
        <v>47</v>
      </c>
      <c r="E1953" t="s">
        <v>40</v>
      </c>
      <c r="F1953" t="s">
        <v>75</v>
      </c>
      <c r="G1953" t="s">
        <v>24</v>
      </c>
      <c r="H1953" t="s">
        <v>67</v>
      </c>
      <c r="I1953" t="s">
        <v>26</v>
      </c>
      <c r="J1953" t="s">
        <v>27</v>
      </c>
      <c r="K1953">
        <v>8</v>
      </c>
      <c r="L1953">
        <v>88226</v>
      </c>
      <c r="M1953" t="s">
        <v>28</v>
      </c>
      <c r="N1953">
        <v>1</v>
      </c>
      <c r="O1953">
        <v>4</v>
      </c>
      <c r="P1953">
        <v>36</v>
      </c>
      <c r="Q1953">
        <v>3</v>
      </c>
      <c r="R1953" s="1">
        <v>42180</v>
      </c>
      <c r="S1953" t="s">
        <v>29</v>
      </c>
      <c r="T1953" t="str">
        <f t="shared" si="150"/>
        <v>Grade A</v>
      </c>
      <c r="U1953">
        <f t="shared" si="151"/>
        <v>3</v>
      </c>
      <c r="V1953" t="str">
        <f t="shared" si="152"/>
        <v>Mid Level</v>
      </c>
      <c r="W1953" t="str">
        <f t="shared" si="153"/>
        <v>Medium Risk</v>
      </c>
      <c r="X1953" t="str">
        <f t="shared" si="154"/>
        <v>Competitive</v>
      </c>
    </row>
    <row r="1954" spans="1:24" x14ac:dyDescent="0.3">
      <c r="A1954" t="s">
        <v>2022</v>
      </c>
      <c r="B1954" t="s">
        <v>20</v>
      </c>
      <c r="C1954">
        <v>23</v>
      </c>
      <c r="D1954" t="s">
        <v>88</v>
      </c>
      <c r="E1954" t="s">
        <v>22</v>
      </c>
      <c r="F1954" t="s">
        <v>32</v>
      </c>
      <c r="G1954" t="s">
        <v>58</v>
      </c>
      <c r="H1954" t="s">
        <v>34</v>
      </c>
      <c r="I1954" t="s">
        <v>35</v>
      </c>
      <c r="J1954" t="s">
        <v>27</v>
      </c>
      <c r="K1954">
        <v>11</v>
      </c>
      <c r="L1954">
        <v>116035</v>
      </c>
      <c r="M1954" t="s">
        <v>45</v>
      </c>
      <c r="N1954">
        <v>3</v>
      </c>
      <c r="O1954">
        <v>1</v>
      </c>
      <c r="P1954">
        <v>20</v>
      </c>
      <c r="Q1954">
        <v>3</v>
      </c>
      <c r="R1954" s="1">
        <v>40930</v>
      </c>
      <c r="S1954" t="s">
        <v>29</v>
      </c>
      <c r="T1954" t="str">
        <f t="shared" si="150"/>
        <v>Grade A</v>
      </c>
      <c r="U1954">
        <f t="shared" si="151"/>
        <v>2</v>
      </c>
      <c r="V1954" t="str">
        <f t="shared" si="152"/>
        <v>Senior</v>
      </c>
      <c r="W1954" t="str">
        <f t="shared" si="153"/>
        <v>Medium Risk</v>
      </c>
      <c r="X1954" t="str">
        <f t="shared" si="154"/>
        <v>Fair</v>
      </c>
    </row>
    <row r="1955" spans="1:24" x14ac:dyDescent="0.3">
      <c r="A1955" t="s">
        <v>2023</v>
      </c>
      <c r="B1955" t="s">
        <v>39</v>
      </c>
      <c r="C1955">
        <v>39</v>
      </c>
      <c r="D1955" t="s">
        <v>88</v>
      </c>
      <c r="E1955" t="s">
        <v>40</v>
      </c>
      <c r="F1955" t="s">
        <v>23</v>
      </c>
      <c r="G1955" t="s">
        <v>49</v>
      </c>
      <c r="H1955" t="s">
        <v>34</v>
      </c>
      <c r="I1955" t="s">
        <v>72</v>
      </c>
      <c r="J1955" t="s">
        <v>73</v>
      </c>
      <c r="K1955">
        <v>2</v>
      </c>
      <c r="L1955">
        <v>57495</v>
      </c>
      <c r="M1955" t="s">
        <v>51</v>
      </c>
      <c r="N1955">
        <v>3</v>
      </c>
      <c r="O1955">
        <v>3</v>
      </c>
      <c r="P1955">
        <v>34</v>
      </c>
      <c r="Q1955">
        <v>3</v>
      </c>
      <c r="R1955" s="1">
        <v>44553</v>
      </c>
      <c r="S1955" t="s">
        <v>29</v>
      </c>
      <c r="T1955" t="str">
        <f t="shared" si="150"/>
        <v>Grade B</v>
      </c>
      <c r="U1955">
        <f t="shared" si="151"/>
        <v>4</v>
      </c>
      <c r="V1955" t="str">
        <f t="shared" si="152"/>
        <v>New Joiner</v>
      </c>
      <c r="W1955" t="str">
        <f t="shared" si="153"/>
        <v>Low Risk</v>
      </c>
      <c r="X1955" t="str">
        <f t="shared" si="154"/>
        <v>Fair</v>
      </c>
    </row>
    <row r="1956" spans="1:24" x14ac:dyDescent="0.3">
      <c r="A1956" t="s">
        <v>2024</v>
      </c>
      <c r="B1956" t="s">
        <v>20</v>
      </c>
      <c r="C1956">
        <v>29</v>
      </c>
      <c r="D1956" t="s">
        <v>31</v>
      </c>
      <c r="E1956" t="s">
        <v>22</v>
      </c>
      <c r="F1956" t="s">
        <v>23</v>
      </c>
      <c r="G1956" t="s">
        <v>33</v>
      </c>
      <c r="H1956" t="s">
        <v>83</v>
      </c>
      <c r="I1956" t="s">
        <v>96</v>
      </c>
      <c r="J1956" t="s">
        <v>44</v>
      </c>
      <c r="K1956">
        <v>3</v>
      </c>
      <c r="L1956">
        <v>74691</v>
      </c>
      <c r="M1956" t="s">
        <v>36</v>
      </c>
      <c r="N1956">
        <v>3</v>
      </c>
      <c r="O1956">
        <v>3</v>
      </c>
      <c r="P1956">
        <v>46</v>
      </c>
      <c r="Q1956">
        <v>3</v>
      </c>
      <c r="R1956" s="1">
        <v>43859</v>
      </c>
      <c r="S1956" t="s">
        <v>29</v>
      </c>
      <c r="T1956" t="str">
        <f t="shared" si="150"/>
        <v>Grade B</v>
      </c>
      <c r="U1956">
        <f t="shared" si="151"/>
        <v>1</v>
      </c>
      <c r="V1956" t="str">
        <f t="shared" si="152"/>
        <v>Junior</v>
      </c>
      <c r="W1956" t="str">
        <f t="shared" si="153"/>
        <v>Medium Risk</v>
      </c>
      <c r="X1956" t="str">
        <f t="shared" si="154"/>
        <v>Fair</v>
      </c>
    </row>
    <row r="1957" spans="1:24" x14ac:dyDescent="0.3">
      <c r="A1957" t="s">
        <v>2025</v>
      </c>
      <c r="B1957" t="s">
        <v>39</v>
      </c>
      <c r="C1957">
        <v>52</v>
      </c>
      <c r="D1957" t="s">
        <v>31</v>
      </c>
      <c r="E1957" t="s">
        <v>22</v>
      </c>
      <c r="F1957" t="s">
        <v>65</v>
      </c>
      <c r="G1957" t="s">
        <v>79</v>
      </c>
      <c r="H1957" t="s">
        <v>25</v>
      </c>
      <c r="I1957" t="s">
        <v>43</v>
      </c>
      <c r="J1957" t="s">
        <v>44</v>
      </c>
      <c r="K1957">
        <v>14</v>
      </c>
      <c r="L1957">
        <v>73596</v>
      </c>
      <c r="M1957" t="s">
        <v>28</v>
      </c>
      <c r="N1957">
        <v>1</v>
      </c>
      <c r="O1957">
        <v>1</v>
      </c>
      <c r="P1957">
        <v>24</v>
      </c>
      <c r="Q1957">
        <v>3</v>
      </c>
      <c r="R1957" s="1">
        <v>39960</v>
      </c>
      <c r="S1957" t="s">
        <v>29</v>
      </c>
      <c r="T1957" t="str">
        <f t="shared" si="150"/>
        <v>Grade B</v>
      </c>
      <c r="U1957">
        <f t="shared" si="151"/>
        <v>3</v>
      </c>
      <c r="V1957" t="str">
        <f t="shared" si="152"/>
        <v>Senior</v>
      </c>
      <c r="W1957" t="str">
        <f t="shared" si="153"/>
        <v>Medium Risk</v>
      </c>
      <c r="X1957" t="str">
        <f t="shared" si="154"/>
        <v>Competitive</v>
      </c>
    </row>
    <row r="1958" spans="1:24" x14ac:dyDescent="0.3">
      <c r="A1958" t="s">
        <v>2026</v>
      </c>
      <c r="B1958" t="s">
        <v>20</v>
      </c>
      <c r="C1958">
        <v>33</v>
      </c>
      <c r="D1958" t="s">
        <v>47</v>
      </c>
      <c r="E1958" t="s">
        <v>48</v>
      </c>
      <c r="F1958" t="s">
        <v>78</v>
      </c>
      <c r="G1958" t="s">
        <v>33</v>
      </c>
      <c r="H1958" t="s">
        <v>67</v>
      </c>
      <c r="I1958" t="s">
        <v>26</v>
      </c>
      <c r="J1958" t="s">
        <v>27</v>
      </c>
      <c r="K1958">
        <v>5</v>
      </c>
      <c r="L1958">
        <v>79004</v>
      </c>
      <c r="M1958" t="s">
        <v>45</v>
      </c>
      <c r="N1958">
        <v>1</v>
      </c>
      <c r="O1958">
        <v>4</v>
      </c>
      <c r="P1958">
        <v>37</v>
      </c>
      <c r="Q1958">
        <v>1</v>
      </c>
      <c r="R1958" s="1">
        <v>43111</v>
      </c>
      <c r="S1958" t="s">
        <v>29</v>
      </c>
      <c r="T1958" t="str">
        <f t="shared" si="150"/>
        <v>Grade B</v>
      </c>
      <c r="U1958">
        <f t="shared" si="151"/>
        <v>2</v>
      </c>
      <c r="V1958" t="str">
        <f t="shared" si="152"/>
        <v>Junior</v>
      </c>
      <c r="W1958" t="str">
        <f t="shared" si="153"/>
        <v>Medium Risk</v>
      </c>
      <c r="X1958" t="str">
        <f t="shared" si="154"/>
        <v>Fair</v>
      </c>
    </row>
    <row r="1959" spans="1:24" x14ac:dyDescent="0.3">
      <c r="A1959" t="s">
        <v>2027</v>
      </c>
      <c r="B1959" t="s">
        <v>39</v>
      </c>
      <c r="C1959">
        <v>51</v>
      </c>
      <c r="D1959" t="s">
        <v>88</v>
      </c>
      <c r="E1959" t="s">
        <v>22</v>
      </c>
      <c r="F1959" t="s">
        <v>75</v>
      </c>
      <c r="G1959" t="s">
        <v>79</v>
      </c>
      <c r="H1959" t="s">
        <v>25</v>
      </c>
      <c r="I1959" t="s">
        <v>68</v>
      </c>
      <c r="J1959" t="s">
        <v>60</v>
      </c>
      <c r="K1959">
        <v>12</v>
      </c>
      <c r="L1959">
        <v>55513</v>
      </c>
      <c r="M1959" t="s">
        <v>36</v>
      </c>
      <c r="N1959">
        <v>2</v>
      </c>
      <c r="O1959">
        <v>3</v>
      </c>
      <c r="P1959">
        <v>53</v>
      </c>
      <c r="Q1959">
        <v>3</v>
      </c>
      <c r="R1959" s="1">
        <v>40685</v>
      </c>
      <c r="S1959" t="s">
        <v>37</v>
      </c>
      <c r="T1959" t="str">
        <f t="shared" si="150"/>
        <v>Grade B</v>
      </c>
      <c r="U1959">
        <f t="shared" si="151"/>
        <v>1</v>
      </c>
      <c r="V1959" t="str">
        <f t="shared" si="152"/>
        <v>Senior</v>
      </c>
      <c r="W1959" t="str">
        <f t="shared" si="153"/>
        <v>Already Left</v>
      </c>
      <c r="X1959" t="str">
        <f t="shared" si="154"/>
        <v>Fair</v>
      </c>
    </row>
    <row r="1960" spans="1:24" x14ac:dyDescent="0.3">
      <c r="A1960" t="s">
        <v>2028</v>
      </c>
      <c r="B1960" t="s">
        <v>20</v>
      </c>
      <c r="C1960">
        <v>27</v>
      </c>
      <c r="D1960" t="s">
        <v>31</v>
      </c>
      <c r="E1960" t="s">
        <v>22</v>
      </c>
      <c r="F1960" t="s">
        <v>41</v>
      </c>
      <c r="G1960" t="s">
        <v>42</v>
      </c>
      <c r="H1960" t="s">
        <v>67</v>
      </c>
      <c r="I1960" t="s">
        <v>43</v>
      </c>
      <c r="J1960" t="s">
        <v>44</v>
      </c>
      <c r="K1960">
        <v>14</v>
      </c>
      <c r="L1960">
        <v>131555</v>
      </c>
      <c r="M1960" t="s">
        <v>51</v>
      </c>
      <c r="N1960">
        <v>2</v>
      </c>
      <c r="O1960">
        <v>3</v>
      </c>
      <c r="P1960">
        <v>54</v>
      </c>
      <c r="Q1960">
        <v>1</v>
      </c>
      <c r="R1960" s="1">
        <v>39896</v>
      </c>
      <c r="S1960" t="s">
        <v>29</v>
      </c>
      <c r="T1960" t="str">
        <f t="shared" si="150"/>
        <v>Grade A</v>
      </c>
      <c r="U1960">
        <f t="shared" si="151"/>
        <v>4</v>
      </c>
      <c r="V1960" t="str">
        <f t="shared" si="152"/>
        <v>Senior</v>
      </c>
      <c r="W1960" t="str">
        <f t="shared" si="153"/>
        <v>Low Risk</v>
      </c>
      <c r="X1960" t="str">
        <f t="shared" si="154"/>
        <v>Competitive</v>
      </c>
    </row>
    <row r="1961" spans="1:24" x14ac:dyDescent="0.3">
      <c r="A1961" t="s">
        <v>2029</v>
      </c>
      <c r="B1961" t="s">
        <v>39</v>
      </c>
      <c r="C1961">
        <v>35</v>
      </c>
      <c r="D1961" t="s">
        <v>21</v>
      </c>
      <c r="E1961" t="s">
        <v>22</v>
      </c>
      <c r="F1961" t="s">
        <v>32</v>
      </c>
      <c r="G1961" t="s">
        <v>33</v>
      </c>
      <c r="H1961" t="s">
        <v>67</v>
      </c>
      <c r="I1961" t="s">
        <v>35</v>
      </c>
      <c r="J1961" t="s">
        <v>27</v>
      </c>
      <c r="K1961">
        <v>3</v>
      </c>
      <c r="L1961">
        <v>67770</v>
      </c>
      <c r="M1961" t="s">
        <v>36</v>
      </c>
      <c r="N1961">
        <v>4</v>
      </c>
      <c r="O1961">
        <v>3</v>
      </c>
      <c r="P1961">
        <v>58</v>
      </c>
      <c r="Q1961">
        <v>2</v>
      </c>
      <c r="R1961" s="1">
        <v>43946</v>
      </c>
      <c r="S1961" t="s">
        <v>29</v>
      </c>
      <c r="T1961" t="str">
        <f t="shared" si="150"/>
        <v>Grade B</v>
      </c>
      <c r="U1961">
        <f t="shared" si="151"/>
        <v>1</v>
      </c>
      <c r="V1961" t="str">
        <f t="shared" si="152"/>
        <v>Junior</v>
      </c>
      <c r="W1961" t="str">
        <f t="shared" si="153"/>
        <v>Medium Risk</v>
      </c>
      <c r="X1961" t="str">
        <f t="shared" si="154"/>
        <v>Fair</v>
      </c>
    </row>
    <row r="1962" spans="1:24" x14ac:dyDescent="0.3">
      <c r="A1962" t="s">
        <v>2030</v>
      </c>
      <c r="B1962" t="s">
        <v>39</v>
      </c>
      <c r="C1962">
        <v>55</v>
      </c>
      <c r="D1962" t="s">
        <v>88</v>
      </c>
      <c r="E1962" t="s">
        <v>48</v>
      </c>
      <c r="F1962" t="s">
        <v>78</v>
      </c>
      <c r="G1962" t="s">
        <v>24</v>
      </c>
      <c r="H1962" t="s">
        <v>83</v>
      </c>
      <c r="I1962" t="s">
        <v>96</v>
      </c>
      <c r="J1962" t="s">
        <v>44</v>
      </c>
      <c r="K1962">
        <v>6</v>
      </c>
      <c r="L1962">
        <v>79121</v>
      </c>
      <c r="M1962" t="s">
        <v>51</v>
      </c>
      <c r="N1962">
        <v>1</v>
      </c>
      <c r="O1962">
        <v>1</v>
      </c>
      <c r="P1962">
        <v>72</v>
      </c>
      <c r="Q1962">
        <v>0</v>
      </c>
      <c r="R1962" s="1">
        <v>42863</v>
      </c>
      <c r="S1962" t="s">
        <v>29</v>
      </c>
      <c r="T1962" t="str">
        <f t="shared" si="150"/>
        <v>Grade B</v>
      </c>
      <c r="U1962">
        <f t="shared" si="151"/>
        <v>4</v>
      </c>
      <c r="V1962" t="str">
        <f t="shared" si="152"/>
        <v>Mid Level</v>
      </c>
      <c r="W1962" t="str">
        <f t="shared" si="153"/>
        <v>Low Risk</v>
      </c>
      <c r="X1962" t="str">
        <f t="shared" si="154"/>
        <v>Fair</v>
      </c>
    </row>
    <row r="1963" spans="1:24" x14ac:dyDescent="0.3">
      <c r="A1963" t="s">
        <v>2031</v>
      </c>
      <c r="B1963" t="s">
        <v>39</v>
      </c>
      <c r="C1963">
        <v>28</v>
      </c>
      <c r="D1963" t="s">
        <v>88</v>
      </c>
      <c r="E1963" t="s">
        <v>40</v>
      </c>
      <c r="F1963" t="s">
        <v>75</v>
      </c>
      <c r="G1963" t="s">
        <v>63</v>
      </c>
      <c r="H1963" t="s">
        <v>83</v>
      </c>
      <c r="I1963" t="s">
        <v>26</v>
      </c>
      <c r="J1963" t="s">
        <v>27</v>
      </c>
      <c r="K1963">
        <v>5</v>
      </c>
      <c r="L1963">
        <v>53447</v>
      </c>
      <c r="M1963" t="s">
        <v>51</v>
      </c>
      <c r="N1963">
        <v>2</v>
      </c>
      <c r="O1963">
        <v>1</v>
      </c>
      <c r="P1963">
        <v>68</v>
      </c>
      <c r="Q1963">
        <v>2</v>
      </c>
      <c r="R1963" s="1">
        <v>43272</v>
      </c>
      <c r="S1963" t="s">
        <v>29</v>
      </c>
      <c r="T1963" t="str">
        <f t="shared" si="150"/>
        <v>Grade B</v>
      </c>
      <c r="U1963">
        <f t="shared" si="151"/>
        <v>4</v>
      </c>
      <c r="V1963" t="str">
        <f t="shared" si="152"/>
        <v>Junior</v>
      </c>
      <c r="W1963" t="str">
        <f t="shared" si="153"/>
        <v>Low Risk</v>
      </c>
      <c r="X1963" t="str">
        <f t="shared" si="154"/>
        <v>Fair</v>
      </c>
    </row>
    <row r="1964" spans="1:24" x14ac:dyDescent="0.3">
      <c r="A1964" t="s">
        <v>2032</v>
      </c>
      <c r="B1964" t="s">
        <v>20</v>
      </c>
      <c r="C1964">
        <v>40</v>
      </c>
      <c r="D1964" t="s">
        <v>88</v>
      </c>
      <c r="E1964" t="s">
        <v>40</v>
      </c>
      <c r="F1964" t="s">
        <v>53</v>
      </c>
      <c r="G1964" t="s">
        <v>66</v>
      </c>
      <c r="H1964" t="s">
        <v>25</v>
      </c>
      <c r="I1964" t="s">
        <v>80</v>
      </c>
      <c r="J1964" t="s">
        <v>60</v>
      </c>
      <c r="K1964">
        <v>4</v>
      </c>
      <c r="L1964">
        <v>39053</v>
      </c>
      <c r="M1964" t="s">
        <v>36</v>
      </c>
      <c r="N1964">
        <v>4</v>
      </c>
      <c r="O1964">
        <v>4</v>
      </c>
      <c r="P1964">
        <v>10</v>
      </c>
      <c r="Q1964">
        <v>0</v>
      </c>
      <c r="R1964" s="1">
        <v>43490</v>
      </c>
      <c r="S1964" t="s">
        <v>37</v>
      </c>
      <c r="T1964" t="str">
        <f t="shared" si="150"/>
        <v>Grade C</v>
      </c>
      <c r="U1964">
        <f t="shared" si="151"/>
        <v>1</v>
      </c>
      <c r="V1964" t="str">
        <f t="shared" si="152"/>
        <v>Junior</v>
      </c>
      <c r="W1964" t="str">
        <f t="shared" si="153"/>
        <v>Already Left</v>
      </c>
      <c r="X1964" t="str">
        <f t="shared" si="154"/>
        <v>Fair</v>
      </c>
    </row>
    <row r="1965" spans="1:24" x14ac:dyDescent="0.3">
      <c r="A1965" t="s">
        <v>2033</v>
      </c>
      <c r="B1965" t="s">
        <v>39</v>
      </c>
      <c r="C1965">
        <v>23</v>
      </c>
      <c r="D1965" t="s">
        <v>88</v>
      </c>
      <c r="E1965" t="s">
        <v>22</v>
      </c>
      <c r="F1965" t="s">
        <v>41</v>
      </c>
      <c r="G1965" t="s">
        <v>24</v>
      </c>
      <c r="H1965" t="s">
        <v>67</v>
      </c>
      <c r="I1965" t="s">
        <v>96</v>
      </c>
      <c r="J1965" t="s">
        <v>44</v>
      </c>
      <c r="K1965">
        <v>4</v>
      </c>
      <c r="L1965">
        <v>83955</v>
      </c>
      <c r="M1965" t="s">
        <v>45</v>
      </c>
      <c r="N1965">
        <v>2</v>
      </c>
      <c r="O1965">
        <v>4</v>
      </c>
      <c r="P1965">
        <v>71</v>
      </c>
      <c r="Q1965">
        <v>0</v>
      </c>
      <c r="R1965" s="1">
        <v>43752</v>
      </c>
      <c r="S1965" t="s">
        <v>37</v>
      </c>
      <c r="T1965" t="str">
        <f t="shared" si="150"/>
        <v>Grade A</v>
      </c>
      <c r="U1965">
        <f t="shared" si="151"/>
        <v>2</v>
      </c>
      <c r="V1965" t="str">
        <f t="shared" si="152"/>
        <v>Junior</v>
      </c>
      <c r="W1965" t="str">
        <f t="shared" si="153"/>
        <v>Already Left</v>
      </c>
      <c r="X1965" t="str">
        <f t="shared" si="154"/>
        <v>Fair</v>
      </c>
    </row>
    <row r="1966" spans="1:24" x14ac:dyDescent="0.3">
      <c r="A1966" t="s">
        <v>2034</v>
      </c>
      <c r="B1966" t="s">
        <v>39</v>
      </c>
      <c r="C1966">
        <v>35</v>
      </c>
      <c r="D1966" t="s">
        <v>88</v>
      </c>
      <c r="E1966" t="s">
        <v>40</v>
      </c>
      <c r="F1966" t="s">
        <v>75</v>
      </c>
      <c r="G1966" t="s">
        <v>58</v>
      </c>
      <c r="H1966" t="s">
        <v>76</v>
      </c>
      <c r="I1966" t="s">
        <v>54</v>
      </c>
      <c r="J1966" t="s">
        <v>27</v>
      </c>
      <c r="K1966">
        <v>12</v>
      </c>
      <c r="L1966">
        <v>103862</v>
      </c>
      <c r="M1966" t="s">
        <v>36</v>
      </c>
      <c r="N1966">
        <v>3</v>
      </c>
      <c r="O1966">
        <v>4</v>
      </c>
      <c r="P1966">
        <v>18</v>
      </c>
      <c r="Q1966">
        <v>3</v>
      </c>
      <c r="R1966" s="1">
        <v>40728</v>
      </c>
      <c r="S1966" t="s">
        <v>37</v>
      </c>
      <c r="T1966" t="str">
        <f t="shared" si="150"/>
        <v>Grade A</v>
      </c>
      <c r="U1966">
        <f t="shared" si="151"/>
        <v>1</v>
      </c>
      <c r="V1966" t="str">
        <f t="shared" si="152"/>
        <v>Senior</v>
      </c>
      <c r="W1966" t="str">
        <f t="shared" si="153"/>
        <v>Already Left</v>
      </c>
      <c r="X1966" t="str">
        <f t="shared" si="154"/>
        <v>Overpaid</v>
      </c>
    </row>
    <row r="1967" spans="1:24" x14ac:dyDescent="0.3">
      <c r="A1967" t="s">
        <v>2035</v>
      </c>
      <c r="B1967" t="s">
        <v>20</v>
      </c>
      <c r="C1967">
        <v>22</v>
      </c>
      <c r="D1967" t="s">
        <v>88</v>
      </c>
      <c r="E1967" t="s">
        <v>22</v>
      </c>
      <c r="F1967" t="s">
        <v>75</v>
      </c>
      <c r="G1967" t="s">
        <v>58</v>
      </c>
      <c r="H1967" t="s">
        <v>34</v>
      </c>
      <c r="I1967" t="s">
        <v>80</v>
      </c>
      <c r="J1967" t="s">
        <v>60</v>
      </c>
      <c r="K1967">
        <v>2</v>
      </c>
      <c r="L1967">
        <v>79454</v>
      </c>
      <c r="M1967" t="s">
        <v>28</v>
      </c>
      <c r="N1967">
        <v>4</v>
      </c>
      <c r="O1967">
        <v>1</v>
      </c>
      <c r="P1967">
        <v>41</v>
      </c>
      <c r="Q1967">
        <v>3</v>
      </c>
      <c r="R1967" s="1">
        <v>44213</v>
      </c>
      <c r="S1967" t="s">
        <v>29</v>
      </c>
      <c r="T1967" t="str">
        <f t="shared" si="150"/>
        <v>Grade B</v>
      </c>
      <c r="U1967">
        <f t="shared" si="151"/>
        <v>3</v>
      </c>
      <c r="V1967" t="str">
        <f t="shared" si="152"/>
        <v>New Joiner</v>
      </c>
      <c r="W1967" t="str">
        <f t="shared" si="153"/>
        <v>Medium Risk</v>
      </c>
      <c r="X1967" t="str">
        <f t="shared" si="154"/>
        <v>Competitive</v>
      </c>
    </row>
    <row r="1968" spans="1:24" x14ac:dyDescent="0.3">
      <c r="A1968" t="s">
        <v>2036</v>
      </c>
      <c r="B1968" t="s">
        <v>20</v>
      </c>
      <c r="C1968">
        <v>24</v>
      </c>
      <c r="D1968" t="s">
        <v>88</v>
      </c>
      <c r="E1968" t="s">
        <v>40</v>
      </c>
      <c r="F1968" t="s">
        <v>23</v>
      </c>
      <c r="G1968" t="s">
        <v>63</v>
      </c>
      <c r="H1968" t="s">
        <v>34</v>
      </c>
      <c r="I1968" t="s">
        <v>35</v>
      </c>
      <c r="J1968" t="s">
        <v>27</v>
      </c>
      <c r="K1968">
        <v>15</v>
      </c>
      <c r="L1968">
        <v>84006</v>
      </c>
      <c r="M1968" t="s">
        <v>36</v>
      </c>
      <c r="N1968">
        <v>2</v>
      </c>
      <c r="O1968">
        <v>3</v>
      </c>
      <c r="P1968">
        <v>74</v>
      </c>
      <c r="Q1968">
        <v>2</v>
      </c>
      <c r="R1968" s="1">
        <v>39799</v>
      </c>
      <c r="S1968" t="s">
        <v>37</v>
      </c>
      <c r="T1968" t="str">
        <f t="shared" si="150"/>
        <v>Grade A</v>
      </c>
      <c r="U1968">
        <f t="shared" si="151"/>
        <v>1</v>
      </c>
      <c r="V1968" t="str">
        <f t="shared" si="152"/>
        <v>Senior</v>
      </c>
      <c r="W1968" t="str">
        <f t="shared" si="153"/>
        <v>Already Left</v>
      </c>
      <c r="X1968" t="str">
        <f t="shared" si="154"/>
        <v>Overpaid</v>
      </c>
    </row>
    <row r="1969" spans="1:24" x14ac:dyDescent="0.3">
      <c r="A1969" t="s">
        <v>2037</v>
      </c>
      <c r="B1969" t="s">
        <v>39</v>
      </c>
      <c r="C1969">
        <v>48</v>
      </c>
      <c r="D1969" t="s">
        <v>31</v>
      </c>
      <c r="E1969" t="s">
        <v>22</v>
      </c>
      <c r="F1969" t="s">
        <v>53</v>
      </c>
      <c r="G1969" t="s">
        <v>42</v>
      </c>
      <c r="H1969" t="s">
        <v>76</v>
      </c>
      <c r="I1969" t="s">
        <v>54</v>
      </c>
      <c r="J1969" t="s">
        <v>27</v>
      </c>
      <c r="K1969">
        <v>12</v>
      </c>
      <c r="L1969">
        <v>126721</v>
      </c>
      <c r="M1969" t="s">
        <v>36</v>
      </c>
      <c r="N1969">
        <v>4</v>
      </c>
      <c r="O1969">
        <v>3</v>
      </c>
      <c r="P1969">
        <v>44</v>
      </c>
      <c r="Q1969">
        <v>2</v>
      </c>
      <c r="R1969" s="1">
        <v>40562</v>
      </c>
      <c r="S1969" t="s">
        <v>37</v>
      </c>
      <c r="T1969" t="str">
        <f t="shared" si="150"/>
        <v>Grade A</v>
      </c>
      <c r="U1969">
        <f t="shared" si="151"/>
        <v>1</v>
      </c>
      <c r="V1969" t="str">
        <f t="shared" si="152"/>
        <v>Senior</v>
      </c>
      <c r="W1969" t="str">
        <f t="shared" si="153"/>
        <v>Already Left</v>
      </c>
      <c r="X1969" t="str">
        <f t="shared" si="154"/>
        <v>Overpaid</v>
      </c>
    </row>
    <row r="1970" spans="1:24" x14ac:dyDescent="0.3">
      <c r="A1970" t="s">
        <v>2038</v>
      </c>
      <c r="B1970" t="s">
        <v>20</v>
      </c>
      <c r="C1970">
        <v>27</v>
      </c>
      <c r="D1970" t="s">
        <v>88</v>
      </c>
      <c r="E1970" t="s">
        <v>40</v>
      </c>
      <c r="F1970" t="s">
        <v>65</v>
      </c>
      <c r="G1970" t="s">
        <v>33</v>
      </c>
      <c r="H1970" t="s">
        <v>76</v>
      </c>
      <c r="I1970" t="s">
        <v>43</v>
      </c>
      <c r="J1970" t="s">
        <v>44</v>
      </c>
      <c r="K1970">
        <v>7</v>
      </c>
      <c r="L1970">
        <v>76948</v>
      </c>
      <c r="M1970" t="s">
        <v>28</v>
      </c>
      <c r="N1970">
        <v>2</v>
      </c>
      <c r="O1970">
        <v>1</v>
      </c>
      <c r="P1970">
        <v>67</v>
      </c>
      <c r="Q1970">
        <v>2</v>
      </c>
      <c r="R1970" s="1">
        <v>42391</v>
      </c>
      <c r="S1970" t="s">
        <v>29</v>
      </c>
      <c r="T1970" t="str">
        <f t="shared" si="150"/>
        <v>Grade B</v>
      </c>
      <c r="U1970">
        <f t="shared" si="151"/>
        <v>3</v>
      </c>
      <c r="V1970" t="str">
        <f t="shared" si="152"/>
        <v>Mid Level</v>
      </c>
      <c r="W1970" t="str">
        <f t="shared" si="153"/>
        <v>Medium Risk</v>
      </c>
      <c r="X1970" t="str">
        <f t="shared" si="154"/>
        <v>Competitive</v>
      </c>
    </row>
    <row r="1971" spans="1:24" x14ac:dyDescent="0.3">
      <c r="A1971" t="s">
        <v>2039</v>
      </c>
      <c r="B1971" t="s">
        <v>39</v>
      </c>
      <c r="C1971">
        <v>31</v>
      </c>
      <c r="D1971" t="s">
        <v>21</v>
      </c>
      <c r="E1971" t="s">
        <v>22</v>
      </c>
      <c r="F1971" t="s">
        <v>78</v>
      </c>
      <c r="G1971" t="s">
        <v>58</v>
      </c>
      <c r="H1971" t="s">
        <v>34</v>
      </c>
      <c r="I1971" t="s">
        <v>96</v>
      </c>
      <c r="J1971" t="s">
        <v>44</v>
      </c>
      <c r="K1971">
        <v>1</v>
      </c>
      <c r="L1971">
        <v>83351</v>
      </c>
      <c r="M1971" t="s">
        <v>45</v>
      </c>
      <c r="N1971">
        <v>4</v>
      </c>
      <c r="O1971">
        <v>2</v>
      </c>
      <c r="P1971">
        <v>60</v>
      </c>
      <c r="Q1971">
        <v>1</v>
      </c>
      <c r="R1971" s="1">
        <v>44757</v>
      </c>
      <c r="S1971" t="s">
        <v>29</v>
      </c>
      <c r="T1971" t="str">
        <f t="shared" si="150"/>
        <v>Grade A</v>
      </c>
      <c r="U1971">
        <f t="shared" si="151"/>
        <v>2</v>
      </c>
      <c r="V1971" t="str">
        <f t="shared" si="152"/>
        <v>New Joiner</v>
      </c>
      <c r="W1971" t="str">
        <f t="shared" si="153"/>
        <v>Medium Risk</v>
      </c>
      <c r="X1971" t="str">
        <f t="shared" si="154"/>
        <v>Fair</v>
      </c>
    </row>
    <row r="1972" spans="1:24" x14ac:dyDescent="0.3">
      <c r="A1972" t="s">
        <v>2040</v>
      </c>
      <c r="B1972" t="s">
        <v>39</v>
      </c>
      <c r="C1972">
        <v>37</v>
      </c>
      <c r="D1972" t="s">
        <v>21</v>
      </c>
      <c r="E1972" t="s">
        <v>40</v>
      </c>
      <c r="F1972" t="s">
        <v>32</v>
      </c>
      <c r="G1972" t="s">
        <v>42</v>
      </c>
      <c r="H1972" t="s">
        <v>67</v>
      </c>
      <c r="I1972" t="s">
        <v>50</v>
      </c>
      <c r="J1972" t="s">
        <v>44</v>
      </c>
      <c r="K1972">
        <v>11</v>
      </c>
      <c r="L1972">
        <v>118315</v>
      </c>
      <c r="M1972" t="s">
        <v>36</v>
      </c>
      <c r="N1972">
        <v>1</v>
      </c>
      <c r="O1972">
        <v>4</v>
      </c>
      <c r="P1972">
        <v>43</v>
      </c>
      <c r="Q1972">
        <v>0</v>
      </c>
      <c r="R1972" s="1">
        <v>41051</v>
      </c>
      <c r="S1972" t="s">
        <v>37</v>
      </c>
      <c r="T1972" t="str">
        <f t="shared" si="150"/>
        <v>Grade A</v>
      </c>
      <c r="U1972">
        <f t="shared" si="151"/>
        <v>1</v>
      </c>
      <c r="V1972" t="str">
        <f t="shared" si="152"/>
        <v>Senior</v>
      </c>
      <c r="W1972" t="str">
        <f t="shared" si="153"/>
        <v>Already Left</v>
      </c>
      <c r="X1972" t="str">
        <f t="shared" si="154"/>
        <v>Overpaid</v>
      </c>
    </row>
    <row r="1973" spans="1:24" x14ac:dyDescent="0.3">
      <c r="A1973" t="s">
        <v>2041</v>
      </c>
      <c r="B1973" t="s">
        <v>20</v>
      </c>
      <c r="C1973">
        <v>47</v>
      </c>
      <c r="D1973" t="s">
        <v>57</v>
      </c>
      <c r="E1973" t="s">
        <v>48</v>
      </c>
      <c r="F1973" t="s">
        <v>32</v>
      </c>
      <c r="G1973" t="s">
        <v>66</v>
      </c>
      <c r="H1973" t="s">
        <v>25</v>
      </c>
      <c r="I1973" t="s">
        <v>43</v>
      </c>
      <c r="J1973" t="s">
        <v>44</v>
      </c>
      <c r="K1973">
        <v>7</v>
      </c>
      <c r="L1973">
        <v>43805</v>
      </c>
      <c r="M1973" t="s">
        <v>51</v>
      </c>
      <c r="N1973">
        <v>1</v>
      </c>
      <c r="O1973">
        <v>2</v>
      </c>
      <c r="P1973">
        <v>53</v>
      </c>
      <c r="Q1973">
        <v>1</v>
      </c>
      <c r="R1973" s="1">
        <v>42598</v>
      </c>
      <c r="S1973" t="s">
        <v>29</v>
      </c>
      <c r="T1973" t="str">
        <f t="shared" si="150"/>
        <v>Grade C</v>
      </c>
      <c r="U1973">
        <f t="shared" si="151"/>
        <v>4</v>
      </c>
      <c r="V1973" t="str">
        <f t="shared" si="152"/>
        <v>Mid Level</v>
      </c>
      <c r="W1973" t="str">
        <f t="shared" si="153"/>
        <v>Low Risk</v>
      </c>
      <c r="X1973" t="str">
        <f t="shared" si="154"/>
        <v>Fair</v>
      </c>
    </row>
    <row r="1974" spans="1:24" x14ac:dyDescent="0.3">
      <c r="A1974" t="s">
        <v>2042</v>
      </c>
      <c r="B1974" t="s">
        <v>39</v>
      </c>
      <c r="C1974">
        <v>34</v>
      </c>
      <c r="D1974" t="s">
        <v>47</v>
      </c>
      <c r="E1974" t="s">
        <v>48</v>
      </c>
      <c r="F1974" t="s">
        <v>23</v>
      </c>
      <c r="G1974" t="s">
        <v>49</v>
      </c>
      <c r="H1974" t="s">
        <v>83</v>
      </c>
      <c r="I1974" t="s">
        <v>96</v>
      </c>
      <c r="J1974" t="s">
        <v>44</v>
      </c>
      <c r="K1974">
        <v>14</v>
      </c>
      <c r="L1974">
        <v>81088</v>
      </c>
      <c r="M1974" t="s">
        <v>45</v>
      </c>
      <c r="N1974">
        <v>4</v>
      </c>
      <c r="O1974">
        <v>2</v>
      </c>
      <c r="P1974">
        <v>37</v>
      </c>
      <c r="Q1974">
        <v>2</v>
      </c>
      <c r="R1974" s="1">
        <v>39875</v>
      </c>
      <c r="S1974" t="s">
        <v>29</v>
      </c>
      <c r="T1974" t="str">
        <f t="shared" si="150"/>
        <v>Grade A</v>
      </c>
      <c r="U1974">
        <f t="shared" si="151"/>
        <v>2</v>
      </c>
      <c r="V1974" t="str">
        <f t="shared" si="152"/>
        <v>Senior</v>
      </c>
      <c r="W1974" t="str">
        <f t="shared" si="153"/>
        <v>Medium Risk</v>
      </c>
      <c r="X1974" t="str">
        <f t="shared" si="154"/>
        <v>Fair</v>
      </c>
    </row>
    <row r="1975" spans="1:24" x14ac:dyDescent="0.3">
      <c r="A1975" t="s">
        <v>2043</v>
      </c>
      <c r="B1975" t="s">
        <v>20</v>
      </c>
      <c r="C1975">
        <v>30</v>
      </c>
      <c r="D1975" t="s">
        <v>47</v>
      </c>
      <c r="E1975" t="s">
        <v>48</v>
      </c>
      <c r="F1975" t="s">
        <v>53</v>
      </c>
      <c r="G1975" t="s">
        <v>63</v>
      </c>
      <c r="H1975" t="s">
        <v>34</v>
      </c>
      <c r="I1975" t="s">
        <v>68</v>
      </c>
      <c r="J1975" t="s">
        <v>60</v>
      </c>
      <c r="K1975">
        <v>12</v>
      </c>
      <c r="L1975">
        <v>64221</v>
      </c>
      <c r="M1975" t="s">
        <v>45</v>
      </c>
      <c r="N1975">
        <v>2</v>
      </c>
      <c r="O1975">
        <v>2</v>
      </c>
      <c r="P1975">
        <v>53</v>
      </c>
      <c r="Q1975">
        <v>1</v>
      </c>
      <c r="R1975" s="1">
        <v>40794</v>
      </c>
      <c r="S1975" t="s">
        <v>29</v>
      </c>
      <c r="T1975" t="str">
        <f t="shared" si="150"/>
        <v>Grade B</v>
      </c>
      <c r="U1975">
        <f t="shared" si="151"/>
        <v>2</v>
      </c>
      <c r="V1975" t="str">
        <f t="shared" si="152"/>
        <v>Senior</v>
      </c>
      <c r="W1975" t="str">
        <f t="shared" si="153"/>
        <v>Medium Risk</v>
      </c>
      <c r="X1975" t="str">
        <f t="shared" si="154"/>
        <v>Fair</v>
      </c>
    </row>
    <row r="1976" spans="1:24" x14ac:dyDescent="0.3">
      <c r="A1976" t="s">
        <v>2044</v>
      </c>
      <c r="B1976" t="s">
        <v>20</v>
      </c>
      <c r="C1976">
        <v>31</v>
      </c>
      <c r="D1976" t="s">
        <v>47</v>
      </c>
      <c r="E1976" t="s">
        <v>48</v>
      </c>
      <c r="F1976" t="s">
        <v>23</v>
      </c>
      <c r="G1976" t="s">
        <v>33</v>
      </c>
      <c r="H1976" t="s">
        <v>67</v>
      </c>
      <c r="I1976" t="s">
        <v>26</v>
      </c>
      <c r="J1976" t="s">
        <v>27</v>
      </c>
      <c r="K1976">
        <v>12</v>
      </c>
      <c r="L1976">
        <v>75743</v>
      </c>
      <c r="M1976" t="s">
        <v>28</v>
      </c>
      <c r="N1976">
        <v>1</v>
      </c>
      <c r="O1976">
        <v>2</v>
      </c>
      <c r="P1976">
        <v>67</v>
      </c>
      <c r="Q1976">
        <v>0</v>
      </c>
      <c r="R1976" s="1">
        <v>40634</v>
      </c>
      <c r="S1976" t="s">
        <v>37</v>
      </c>
      <c r="T1976" t="str">
        <f t="shared" si="150"/>
        <v>Grade B</v>
      </c>
      <c r="U1976">
        <f t="shared" si="151"/>
        <v>3</v>
      </c>
      <c r="V1976" t="str">
        <f t="shared" si="152"/>
        <v>Senior</v>
      </c>
      <c r="W1976" t="str">
        <f t="shared" si="153"/>
        <v>Already Left</v>
      </c>
      <c r="X1976" t="str">
        <f t="shared" si="154"/>
        <v>Competitive</v>
      </c>
    </row>
    <row r="1977" spans="1:24" x14ac:dyDescent="0.3">
      <c r="A1977" t="s">
        <v>2045</v>
      </c>
      <c r="B1977" t="s">
        <v>39</v>
      </c>
      <c r="C1977">
        <v>39</v>
      </c>
      <c r="D1977" t="s">
        <v>31</v>
      </c>
      <c r="E1977" t="s">
        <v>48</v>
      </c>
      <c r="F1977" t="s">
        <v>32</v>
      </c>
      <c r="G1977" t="s">
        <v>49</v>
      </c>
      <c r="H1977" t="s">
        <v>67</v>
      </c>
      <c r="I1977" t="s">
        <v>80</v>
      </c>
      <c r="J1977" t="s">
        <v>60</v>
      </c>
      <c r="K1977">
        <v>15</v>
      </c>
      <c r="L1977">
        <v>74056</v>
      </c>
      <c r="M1977" t="s">
        <v>28</v>
      </c>
      <c r="N1977">
        <v>1</v>
      </c>
      <c r="O1977">
        <v>2</v>
      </c>
      <c r="P1977">
        <v>56</v>
      </c>
      <c r="Q1977">
        <v>3</v>
      </c>
      <c r="R1977" s="1">
        <v>39554</v>
      </c>
      <c r="S1977" t="s">
        <v>29</v>
      </c>
      <c r="T1977" t="str">
        <f t="shared" si="150"/>
        <v>Grade B</v>
      </c>
      <c r="U1977">
        <f t="shared" si="151"/>
        <v>3</v>
      </c>
      <c r="V1977" t="str">
        <f t="shared" si="152"/>
        <v>Senior</v>
      </c>
      <c r="W1977" t="str">
        <f t="shared" si="153"/>
        <v>Medium Risk</v>
      </c>
      <c r="X1977" t="str">
        <f t="shared" si="154"/>
        <v>Competitive</v>
      </c>
    </row>
    <row r="1978" spans="1:24" x14ac:dyDescent="0.3">
      <c r="A1978" t="s">
        <v>2046</v>
      </c>
      <c r="B1978" t="s">
        <v>20</v>
      </c>
      <c r="C1978">
        <v>29</v>
      </c>
      <c r="D1978" t="s">
        <v>57</v>
      </c>
      <c r="E1978" t="s">
        <v>48</v>
      </c>
      <c r="F1978" t="s">
        <v>23</v>
      </c>
      <c r="G1978" t="s">
        <v>33</v>
      </c>
      <c r="H1978" t="s">
        <v>25</v>
      </c>
      <c r="I1978" t="s">
        <v>35</v>
      </c>
      <c r="J1978" t="s">
        <v>27</v>
      </c>
      <c r="K1978">
        <v>4</v>
      </c>
      <c r="L1978">
        <v>61310</v>
      </c>
      <c r="M1978" t="s">
        <v>36</v>
      </c>
      <c r="N1978">
        <v>4</v>
      </c>
      <c r="O1978">
        <v>1</v>
      </c>
      <c r="P1978">
        <v>59</v>
      </c>
      <c r="Q1978">
        <v>2</v>
      </c>
      <c r="R1978" s="1">
        <v>43469</v>
      </c>
      <c r="S1978" t="s">
        <v>29</v>
      </c>
      <c r="T1978" t="str">
        <f t="shared" si="150"/>
        <v>Grade B</v>
      </c>
      <c r="U1978">
        <f t="shared" si="151"/>
        <v>1</v>
      </c>
      <c r="V1978" t="str">
        <f t="shared" si="152"/>
        <v>Junior</v>
      </c>
      <c r="W1978" t="str">
        <f t="shared" si="153"/>
        <v>Medium Risk</v>
      </c>
      <c r="X1978" t="str">
        <f t="shared" si="154"/>
        <v>Fair</v>
      </c>
    </row>
    <row r="1979" spans="1:24" x14ac:dyDescent="0.3">
      <c r="A1979" t="s">
        <v>2047</v>
      </c>
      <c r="B1979" t="s">
        <v>39</v>
      </c>
      <c r="C1979">
        <v>51</v>
      </c>
      <c r="D1979" t="s">
        <v>88</v>
      </c>
      <c r="E1979" t="s">
        <v>40</v>
      </c>
      <c r="F1979" t="s">
        <v>65</v>
      </c>
      <c r="G1979" t="s">
        <v>24</v>
      </c>
      <c r="H1979" t="s">
        <v>25</v>
      </c>
      <c r="I1979" t="s">
        <v>72</v>
      </c>
      <c r="J1979" t="s">
        <v>73</v>
      </c>
      <c r="K1979">
        <v>12</v>
      </c>
      <c r="L1979">
        <v>92141</v>
      </c>
      <c r="M1979" t="s">
        <v>45</v>
      </c>
      <c r="N1979">
        <v>2</v>
      </c>
      <c r="O1979">
        <v>4</v>
      </c>
      <c r="P1979">
        <v>47</v>
      </c>
      <c r="Q1979">
        <v>0</v>
      </c>
      <c r="R1979" s="1">
        <v>40662</v>
      </c>
      <c r="S1979" t="s">
        <v>29</v>
      </c>
      <c r="T1979" t="str">
        <f t="shared" si="150"/>
        <v>Grade A</v>
      </c>
      <c r="U1979">
        <f t="shared" si="151"/>
        <v>2</v>
      </c>
      <c r="V1979" t="str">
        <f t="shared" si="152"/>
        <v>Senior</v>
      </c>
      <c r="W1979" t="str">
        <f t="shared" si="153"/>
        <v>Medium Risk</v>
      </c>
      <c r="X1979" t="str">
        <f t="shared" si="154"/>
        <v>Fair</v>
      </c>
    </row>
    <row r="1980" spans="1:24" x14ac:dyDescent="0.3">
      <c r="A1980" t="s">
        <v>2048</v>
      </c>
      <c r="B1980" t="s">
        <v>39</v>
      </c>
      <c r="C1980">
        <v>38</v>
      </c>
      <c r="D1980" t="s">
        <v>47</v>
      </c>
      <c r="E1980" t="s">
        <v>40</v>
      </c>
      <c r="F1980" t="s">
        <v>32</v>
      </c>
      <c r="G1980" t="s">
        <v>63</v>
      </c>
      <c r="H1980" t="s">
        <v>67</v>
      </c>
      <c r="I1980" t="s">
        <v>72</v>
      </c>
      <c r="J1980" t="s">
        <v>73</v>
      </c>
      <c r="K1980">
        <v>4</v>
      </c>
      <c r="L1980">
        <v>60117</v>
      </c>
      <c r="M1980" t="s">
        <v>36</v>
      </c>
      <c r="N1980">
        <v>2</v>
      </c>
      <c r="O1980">
        <v>1</v>
      </c>
      <c r="P1980">
        <v>38</v>
      </c>
      <c r="Q1980">
        <v>3</v>
      </c>
      <c r="R1980" s="1">
        <v>43517</v>
      </c>
      <c r="S1980" t="s">
        <v>37</v>
      </c>
      <c r="T1980" t="str">
        <f t="shared" si="150"/>
        <v>Grade B</v>
      </c>
      <c r="U1980">
        <f t="shared" si="151"/>
        <v>1</v>
      </c>
      <c r="V1980" t="str">
        <f t="shared" si="152"/>
        <v>Junior</v>
      </c>
      <c r="W1980" t="str">
        <f t="shared" si="153"/>
        <v>Already Left</v>
      </c>
      <c r="X1980" t="str">
        <f t="shared" si="154"/>
        <v>Fair</v>
      </c>
    </row>
    <row r="1981" spans="1:24" x14ac:dyDescent="0.3">
      <c r="A1981" t="s">
        <v>2049</v>
      </c>
      <c r="B1981" t="s">
        <v>39</v>
      </c>
      <c r="C1981">
        <v>32</v>
      </c>
      <c r="D1981" t="s">
        <v>21</v>
      </c>
      <c r="E1981" t="s">
        <v>40</v>
      </c>
      <c r="F1981" t="s">
        <v>78</v>
      </c>
      <c r="G1981" t="s">
        <v>49</v>
      </c>
      <c r="H1981" t="s">
        <v>34</v>
      </c>
      <c r="I1981" t="s">
        <v>54</v>
      </c>
      <c r="J1981" t="s">
        <v>27</v>
      </c>
      <c r="K1981">
        <v>11</v>
      </c>
      <c r="L1981">
        <v>64631</v>
      </c>
      <c r="M1981" t="s">
        <v>28</v>
      </c>
      <c r="N1981">
        <v>3</v>
      </c>
      <c r="O1981">
        <v>4</v>
      </c>
      <c r="P1981">
        <v>54</v>
      </c>
      <c r="Q1981">
        <v>2</v>
      </c>
      <c r="R1981" s="1">
        <v>41266</v>
      </c>
      <c r="S1981" t="s">
        <v>29</v>
      </c>
      <c r="T1981" t="str">
        <f t="shared" si="150"/>
        <v>Grade B</v>
      </c>
      <c r="U1981">
        <f t="shared" si="151"/>
        <v>3</v>
      </c>
      <c r="V1981" t="str">
        <f t="shared" si="152"/>
        <v>Senior</v>
      </c>
      <c r="W1981" t="str">
        <f t="shared" si="153"/>
        <v>Medium Risk</v>
      </c>
      <c r="X1981" t="str">
        <f t="shared" si="154"/>
        <v>Competitive</v>
      </c>
    </row>
    <row r="1982" spans="1:24" x14ac:dyDescent="0.3">
      <c r="A1982" t="s">
        <v>2050</v>
      </c>
      <c r="B1982" t="s">
        <v>20</v>
      </c>
      <c r="C1982">
        <v>24</v>
      </c>
      <c r="D1982" t="s">
        <v>57</v>
      </c>
      <c r="E1982" t="s">
        <v>40</v>
      </c>
      <c r="F1982" t="s">
        <v>23</v>
      </c>
      <c r="G1982" t="s">
        <v>63</v>
      </c>
      <c r="H1982" t="s">
        <v>67</v>
      </c>
      <c r="I1982" t="s">
        <v>26</v>
      </c>
      <c r="J1982" t="s">
        <v>27</v>
      </c>
      <c r="K1982">
        <v>1</v>
      </c>
      <c r="L1982">
        <v>51283</v>
      </c>
      <c r="M1982" t="s">
        <v>45</v>
      </c>
      <c r="N1982">
        <v>4</v>
      </c>
      <c r="O1982">
        <v>2</v>
      </c>
      <c r="P1982">
        <v>48</v>
      </c>
      <c r="Q1982">
        <v>3</v>
      </c>
      <c r="R1982" s="1">
        <v>44595</v>
      </c>
      <c r="S1982" t="s">
        <v>29</v>
      </c>
      <c r="T1982" t="str">
        <f t="shared" si="150"/>
        <v>Grade B</v>
      </c>
      <c r="U1982">
        <f t="shared" si="151"/>
        <v>2</v>
      </c>
      <c r="V1982" t="str">
        <f t="shared" si="152"/>
        <v>New Joiner</v>
      </c>
      <c r="W1982" t="str">
        <f t="shared" si="153"/>
        <v>Medium Risk</v>
      </c>
      <c r="X1982" t="str">
        <f t="shared" si="154"/>
        <v>Fair</v>
      </c>
    </row>
    <row r="1983" spans="1:24" x14ac:dyDescent="0.3">
      <c r="A1983" t="s">
        <v>2051</v>
      </c>
      <c r="B1983" t="s">
        <v>20</v>
      </c>
      <c r="C1983">
        <v>27</v>
      </c>
      <c r="D1983" t="s">
        <v>21</v>
      </c>
      <c r="E1983" t="s">
        <v>22</v>
      </c>
      <c r="F1983" t="s">
        <v>78</v>
      </c>
      <c r="G1983" t="s">
        <v>63</v>
      </c>
      <c r="H1983" t="s">
        <v>83</v>
      </c>
      <c r="I1983" t="s">
        <v>43</v>
      </c>
      <c r="J1983" t="s">
        <v>44</v>
      </c>
      <c r="K1983">
        <v>14</v>
      </c>
      <c r="L1983">
        <v>71081</v>
      </c>
      <c r="M1983" t="s">
        <v>45</v>
      </c>
      <c r="N1983">
        <v>3</v>
      </c>
      <c r="O1983">
        <v>2</v>
      </c>
      <c r="P1983">
        <v>49</v>
      </c>
      <c r="Q1983">
        <v>1</v>
      </c>
      <c r="R1983" s="1">
        <v>39896</v>
      </c>
      <c r="S1983" t="s">
        <v>29</v>
      </c>
      <c r="T1983" t="str">
        <f t="shared" si="150"/>
        <v>Grade B</v>
      </c>
      <c r="U1983">
        <f t="shared" si="151"/>
        <v>2</v>
      </c>
      <c r="V1983" t="str">
        <f t="shared" si="152"/>
        <v>Senior</v>
      </c>
      <c r="W1983" t="str">
        <f t="shared" si="153"/>
        <v>Medium Risk</v>
      </c>
      <c r="X1983" t="str">
        <f t="shared" si="154"/>
        <v>Fair</v>
      </c>
    </row>
    <row r="1984" spans="1:24" x14ac:dyDescent="0.3">
      <c r="A1984" t="s">
        <v>2052</v>
      </c>
      <c r="B1984" t="s">
        <v>39</v>
      </c>
      <c r="C1984">
        <v>50</v>
      </c>
      <c r="D1984" t="s">
        <v>31</v>
      </c>
      <c r="E1984" t="s">
        <v>22</v>
      </c>
      <c r="F1984" t="s">
        <v>75</v>
      </c>
      <c r="G1984" t="s">
        <v>66</v>
      </c>
      <c r="H1984" t="s">
        <v>67</v>
      </c>
      <c r="I1984" t="s">
        <v>96</v>
      </c>
      <c r="J1984" t="s">
        <v>44</v>
      </c>
      <c r="K1984">
        <v>2</v>
      </c>
      <c r="L1984">
        <v>40549</v>
      </c>
      <c r="M1984" t="s">
        <v>28</v>
      </c>
      <c r="N1984">
        <v>4</v>
      </c>
      <c r="O1984">
        <v>2</v>
      </c>
      <c r="P1984">
        <v>42</v>
      </c>
      <c r="Q1984">
        <v>2</v>
      </c>
      <c r="R1984" s="1">
        <v>44357</v>
      </c>
      <c r="S1984" t="s">
        <v>29</v>
      </c>
      <c r="T1984" t="str">
        <f t="shared" si="150"/>
        <v>Grade C</v>
      </c>
      <c r="U1984">
        <f t="shared" si="151"/>
        <v>3</v>
      </c>
      <c r="V1984" t="str">
        <f t="shared" si="152"/>
        <v>New Joiner</v>
      </c>
      <c r="W1984" t="str">
        <f t="shared" si="153"/>
        <v>Medium Risk</v>
      </c>
      <c r="X1984" t="str">
        <f t="shared" si="154"/>
        <v>Fair</v>
      </c>
    </row>
    <row r="1985" spans="1:24" x14ac:dyDescent="0.3">
      <c r="A1985" t="s">
        <v>2053</v>
      </c>
      <c r="B1985" t="s">
        <v>20</v>
      </c>
      <c r="C1985">
        <v>49</v>
      </c>
      <c r="D1985" t="s">
        <v>31</v>
      </c>
      <c r="E1985" t="s">
        <v>22</v>
      </c>
      <c r="F1985" t="s">
        <v>62</v>
      </c>
      <c r="G1985" t="s">
        <v>66</v>
      </c>
      <c r="H1985" t="s">
        <v>83</v>
      </c>
      <c r="I1985" t="s">
        <v>54</v>
      </c>
      <c r="J1985" t="s">
        <v>27</v>
      </c>
      <c r="K1985">
        <v>9</v>
      </c>
      <c r="L1985">
        <v>53498</v>
      </c>
      <c r="M1985" t="s">
        <v>28</v>
      </c>
      <c r="N1985">
        <v>1</v>
      </c>
      <c r="O1985">
        <v>4</v>
      </c>
      <c r="P1985">
        <v>17</v>
      </c>
      <c r="Q1985">
        <v>3</v>
      </c>
      <c r="R1985" s="1">
        <v>41795</v>
      </c>
      <c r="S1985" t="s">
        <v>29</v>
      </c>
      <c r="T1985" t="str">
        <f t="shared" si="150"/>
        <v>Grade B</v>
      </c>
      <c r="U1985">
        <f t="shared" si="151"/>
        <v>3</v>
      </c>
      <c r="V1985" t="str">
        <f t="shared" si="152"/>
        <v>Mid Level</v>
      </c>
      <c r="W1985" t="str">
        <f t="shared" si="153"/>
        <v>Medium Risk</v>
      </c>
      <c r="X1985" t="str">
        <f t="shared" si="154"/>
        <v>Competitive</v>
      </c>
    </row>
    <row r="1986" spans="1:24" x14ac:dyDescent="0.3">
      <c r="A1986" t="s">
        <v>2054</v>
      </c>
      <c r="B1986" t="s">
        <v>39</v>
      </c>
      <c r="C1986">
        <v>46</v>
      </c>
      <c r="D1986" t="s">
        <v>57</v>
      </c>
      <c r="E1986" t="s">
        <v>22</v>
      </c>
      <c r="F1986" t="s">
        <v>23</v>
      </c>
      <c r="G1986" t="s">
        <v>79</v>
      </c>
      <c r="H1986" t="s">
        <v>83</v>
      </c>
      <c r="I1986" t="s">
        <v>59</v>
      </c>
      <c r="J1986" t="s">
        <v>60</v>
      </c>
      <c r="K1986">
        <v>12</v>
      </c>
      <c r="L1986">
        <v>54514</v>
      </c>
      <c r="M1986" t="s">
        <v>28</v>
      </c>
      <c r="N1986">
        <v>2</v>
      </c>
      <c r="O1986">
        <v>3</v>
      </c>
      <c r="P1986">
        <v>59</v>
      </c>
      <c r="Q1986">
        <v>3</v>
      </c>
      <c r="R1986" s="1">
        <v>40673</v>
      </c>
      <c r="S1986" t="s">
        <v>29</v>
      </c>
      <c r="T1986" t="str">
        <f t="shared" ref="T1986:T2049" si="155">IF(L1986&gt;=80000,"Grade A",IF(L1986&gt;=50000,"Grade B",IF(L1986&gt;=35000,"Grade C","Grade D")))</f>
        <v>Grade B</v>
      </c>
      <c r="U1986">
        <f t="shared" ref="U1986:U2049" si="156">IF(M1986="Excellent",4,IF(M1986="Good",3,IF(M1986="Average",2,1)))</f>
        <v>3</v>
      </c>
      <c r="V1986" t="str">
        <f t="shared" ref="V1986:V2049" si="157">IF(K1986&lt;=2,"New Joiner",IF(K1986&lt;=5,"Junior",IF(K1986&lt;=10,"Mid Level","Senior")))</f>
        <v>Senior</v>
      </c>
      <c r="W1986" t="str">
        <f t="shared" ref="W1986:W2049" si="158">IF(S1986="Yes","Already Left",IF(AND(K1986&lt;=2,M1986="Poor"),"High Risk",IF(AND(K1986&lt;=5,M1986="Average"),"Medium Risk",IF(M1986="Excellent","Low Risk","Medium Risk"))))</f>
        <v>Medium Risk</v>
      </c>
      <c r="X1986" t="str">
        <f t="shared" ref="X1986:X2049" si="159">IF(AND(L1986&gt;=80000,M1986="Excellent"),"Competitive",IF(AND(L1986&gt;=50000,M1986="Good"),"Competitive",IF(AND(L1986&lt;35000,M1986="Excellent"),"Underpaid",IF(AND(L1986&gt;=80000,M1986="Poor"),"Overpaid","Fair"))))</f>
        <v>Competitive</v>
      </c>
    </row>
    <row r="1987" spans="1:24" x14ac:dyDescent="0.3">
      <c r="A1987" t="s">
        <v>2055</v>
      </c>
      <c r="B1987" t="s">
        <v>39</v>
      </c>
      <c r="C1987">
        <v>49</v>
      </c>
      <c r="D1987" t="s">
        <v>57</v>
      </c>
      <c r="E1987" t="s">
        <v>22</v>
      </c>
      <c r="F1987" t="s">
        <v>53</v>
      </c>
      <c r="G1987" t="s">
        <v>33</v>
      </c>
      <c r="H1987" t="s">
        <v>67</v>
      </c>
      <c r="I1987" t="s">
        <v>59</v>
      </c>
      <c r="J1987" t="s">
        <v>60</v>
      </c>
      <c r="K1987">
        <v>5</v>
      </c>
      <c r="L1987">
        <v>68778</v>
      </c>
      <c r="M1987" t="s">
        <v>28</v>
      </c>
      <c r="N1987">
        <v>1</v>
      </c>
      <c r="O1987">
        <v>1</v>
      </c>
      <c r="P1987">
        <v>14</v>
      </c>
      <c r="Q1987">
        <v>0</v>
      </c>
      <c r="R1987" s="1">
        <v>43358</v>
      </c>
      <c r="S1987" t="s">
        <v>29</v>
      </c>
      <c r="T1987" t="str">
        <f t="shared" si="155"/>
        <v>Grade B</v>
      </c>
      <c r="U1987">
        <f t="shared" si="156"/>
        <v>3</v>
      </c>
      <c r="V1987" t="str">
        <f t="shared" si="157"/>
        <v>Junior</v>
      </c>
      <c r="W1987" t="str">
        <f t="shared" si="158"/>
        <v>Medium Risk</v>
      </c>
      <c r="X1987" t="str">
        <f t="shared" si="159"/>
        <v>Competitive</v>
      </c>
    </row>
    <row r="1988" spans="1:24" x14ac:dyDescent="0.3">
      <c r="A1988" t="s">
        <v>2056</v>
      </c>
      <c r="B1988" t="s">
        <v>20</v>
      </c>
      <c r="C1988">
        <v>41</v>
      </c>
      <c r="D1988" t="s">
        <v>57</v>
      </c>
      <c r="E1988" t="s">
        <v>40</v>
      </c>
      <c r="F1988" t="s">
        <v>75</v>
      </c>
      <c r="G1988" t="s">
        <v>33</v>
      </c>
      <c r="H1988" t="s">
        <v>76</v>
      </c>
      <c r="I1988" t="s">
        <v>80</v>
      </c>
      <c r="J1988" t="s">
        <v>60</v>
      </c>
      <c r="K1988">
        <v>12</v>
      </c>
      <c r="L1988">
        <v>80811</v>
      </c>
      <c r="M1988" t="s">
        <v>51</v>
      </c>
      <c r="N1988">
        <v>2</v>
      </c>
      <c r="O1988">
        <v>4</v>
      </c>
      <c r="P1988">
        <v>75</v>
      </c>
      <c r="Q1988">
        <v>2</v>
      </c>
      <c r="R1988" s="1">
        <v>40701</v>
      </c>
      <c r="S1988" t="s">
        <v>29</v>
      </c>
      <c r="T1988" t="str">
        <f t="shared" si="155"/>
        <v>Grade A</v>
      </c>
      <c r="U1988">
        <f t="shared" si="156"/>
        <v>4</v>
      </c>
      <c r="V1988" t="str">
        <f t="shared" si="157"/>
        <v>Senior</v>
      </c>
      <c r="W1988" t="str">
        <f t="shared" si="158"/>
        <v>Low Risk</v>
      </c>
      <c r="X1988" t="str">
        <f t="shared" si="159"/>
        <v>Competitive</v>
      </c>
    </row>
    <row r="1989" spans="1:24" x14ac:dyDescent="0.3">
      <c r="A1989" t="s">
        <v>2057</v>
      </c>
      <c r="B1989" t="s">
        <v>39</v>
      </c>
      <c r="C1989">
        <v>34</v>
      </c>
      <c r="D1989" t="s">
        <v>57</v>
      </c>
      <c r="E1989" t="s">
        <v>22</v>
      </c>
      <c r="F1989" t="s">
        <v>65</v>
      </c>
      <c r="G1989" t="s">
        <v>63</v>
      </c>
      <c r="H1989" t="s">
        <v>25</v>
      </c>
      <c r="I1989" t="s">
        <v>54</v>
      </c>
      <c r="J1989" t="s">
        <v>27</v>
      </c>
      <c r="K1989">
        <v>8</v>
      </c>
      <c r="L1989">
        <v>52909</v>
      </c>
      <c r="M1989" t="s">
        <v>51</v>
      </c>
      <c r="N1989">
        <v>4</v>
      </c>
      <c r="O1989">
        <v>3</v>
      </c>
      <c r="P1989">
        <v>56</v>
      </c>
      <c r="Q1989">
        <v>0</v>
      </c>
      <c r="R1989" s="1">
        <v>42029</v>
      </c>
      <c r="S1989" t="s">
        <v>29</v>
      </c>
      <c r="T1989" t="str">
        <f t="shared" si="155"/>
        <v>Grade B</v>
      </c>
      <c r="U1989">
        <f t="shared" si="156"/>
        <v>4</v>
      </c>
      <c r="V1989" t="str">
        <f t="shared" si="157"/>
        <v>Mid Level</v>
      </c>
      <c r="W1989" t="str">
        <f t="shared" si="158"/>
        <v>Low Risk</v>
      </c>
      <c r="X1989" t="str">
        <f t="shared" si="159"/>
        <v>Fair</v>
      </c>
    </row>
    <row r="1990" spans="1:24" x14ac:dyDescent="0.3">
      <c r="A1990" t="s">
        <v>2058</v>
      </c>
      <c r="B1990" t="s">
        <v>20</v>
      </c>
      <c r="C1990">
        <v>38</v>
      </c>
      <c r="D1990" t="s">
        <v>57</v>
      </c>
      <c r="E1990" t="s">
        <v>22</v>
      </c>
      <c r="F1990" t="s">
        <v>62</v>
      </c>
      <c r="G1990" t="s">
        <v>49</v>
      </c>
      <c r="H1990" t="s">
        <v>25</v>
      </c>
      <c r="I1990" t="s">
        <v>50</v>
      </c>
      <c r="J1990" t="s">
        <v>44</v>
      </c>
      <c r="K1990">
        <v>14</v>
      </c>
      <c r="L1990">
        <v>76909</v>
      </c>
      <c r="M1990" t="s">
        <v>36</v>
      </c>
      <c r="N1990">
        <v>2</v>
      </c>
      <c r="O1990">
        <v>4</v>
      </c>
      <c r="P1990">
        <v>80</v>
      </c>
      <c r="Q1990">
        <v>0</v>
      </c>
      <c r="R1990" s="1">
        <v>39888</v>
      </c>
      <c r="S1990" t="s">
        <v>37</v>
      </c>
      <c r="T1990" t="str">
        <f t="shared" si="155"/>
        <v>Grade B</v>
      </c>
      <c r="U1990">
        <f t="shared" si="156"/>
        <v>1</v>
      </c>
      <c r="V1990" t="str">
        <f t="shared" si="157"/>
        <v>Senior</v>
      </c>
      <c r="W1990" t="str">
        <f t="shared" si="158"/>
        <v>Already Left</v>
      </c>
      <c r="X1990" t="str">
        <f t="shared" si="159"/>
        <v>Fair</v>
      </c>
    </row>
    <row r="1991" spans="1:24" x14ac:dyDescent="0.3">
      <c r="A1991" t="s">
        <v>2059</v>
      </c>
      <c r="B1991" t="s">
        <v>39</v>
      </c>
      <c r="C1991">
        <v>34</v>
      </c>
      <c r="D1991" t="s">
        <v>57</v>
      </c>
      <c r="E1991" t="s">
        <v>40</v>
      </c>
      <c r="F1991" t="s">
        <v>53</v>
      </c>
      <c r="G1991" t="s">
        <v>66</v>
      </c>
      <c r="H1991" t="s">
        <v>34</v>
      </c>
      <c r="I1991" t="s">
        <v>72</v>
      </c>
      <c r="J1991" t="s">
        <v>73</v>
      </c>
      <c r="K1991">
        <v>11</v>
      </c>
      <c r="L1991">
        <v>59746</v>
      </c>
      <c r="M1991" t="s">
        <v>51</v>
      </c>
      <c r="N1991">
        <v>3</v>
      </c>
      <c r="O1991">
        <v>4</v>
      </c>
      <c r="P1991">
        <v>66</v>
      </c>
      <c r="Q1991">
        <v>0</v>
      </c>
      <c r="R1991" s="1">
        <v>41101</v>
      </c>
      <c r="S1991" t="s">
        <v>29</v>
      </c>
      <c r="T1991" t="str">
        <f t="shared" si="155"/>
        <v>Grade B</v>
      </c>
      <c r="U1991">
        <f t="shared" si="156"/>
        <v>4</v>
      </c>
      <c r="V1991" t="str">
        <f t="shared" si="157"/>
        <v>Senior</v>
      </c>
      <c r="W1991" t="str">
        <f t="shared" si="158"/>
        <v>Low Risk</v>
      </c>
      <c r="X1991" t="str">
        <f t="shared" si="159"/>
        <v>Fair</v>
      </c>
    </row>
    <row r="1992" spans="1:24" x14ac:dyDescent="0.3">
      <c r="A1992" t="s">
        <v>2060</v>
      </c>
      <c r="B1992" t="s">
        <v>20</v>
      </c>
      <c r="C1992">
        <v>54</v>
      </c>
      <c r="D1992" t="s">
        <v>31</v>
      </c>
      <c r="E1992" t="s">
        <v>40</v>
      </c>
      <c r="F1992" t="s">
        <v>32</v>
      </c>
      <c r="G1992" t="s">
        <v>42</v>
      </c>
      <c r="H1992" t="s">
        <v>76</v>
      </c>
      <c r="I1992" t="s">
        <v>54</v>
      </c>
      <c r="J1992" t="s">
        <v>27</v>
      </c>
      <c r="K1992">
        <v>4</v>
      </c>
      <c r="L1992">
        <v>104624</v>
      </c>
      <c r="M1992" t="s">
        <v>45</v>
      </c>
      <c r="N1992">
        <v>2</v>
      </c>
      <c r="O1992">
        <v>1</v>
      </c>
      <c r="P1992">
        <v>60</v>
      </c>
      <c r="Q1992">
        <v>1</v>
      </c>
      <c r="R1992" s="1">
        <v>43522</v>
      </c>
      <c r="S1992" t="s">
        <v>37</v>
      </c>
      <c r="T1992" t="str">
        <f t="shared" si="155"/>
        <v>Grade A</v>
      </c>
      <c r="U1992">
        <f t="shared" si="156"/>
        <v>2</v>
      </c>
      <c r="V1992" t="str">
        <f t="shared" si="157"/>
        <v>Junior</v>
      </c>
      <c r="W1992" t="str">
        <f t="shared" si="158"/>
        <v>Already Left</v>
      </c>
      <c r="X1992" t="str">
        <f t="shared" si="159"/>
        <v>Fair</v>
      </c>
    </row>
    <row r="1993" spans="1:24" x14ac:dyDescent="0.3">
      <c r="A1993" t="s">
        <v>2061</v>
      </c>
      <c r="B1993" t="s">
        <v>39</v>
      </c>
      <c r="C1993">
        <v>38</v>
      </c>
      <c r="D1993" t="s">
        <v>47</v>
      </c>
      <c r="E1993" t="s">
        <v>48</v>
      </c>
      <c r="F1993" t="s">
        <v>23</v>
      </c>
      <c r="G1993" t="s">
        <v>63</v>
      </c>
      <c r="H1993" t="s">
        <v>67</v>
      </c>
      <c r="I1993" t="s">
        <v>72</v>
      </c>
      <c r="J1993" t="s">
        <v>73</v>
      </c>
      <c r="K1993">
        <v>1</v>
      </c>
      <c r="L1993">
        <v>46188</v>
      </c>
      <c r="M1993" t="s">
        <v>28</v>
      </c>
      <c r="N1993">
        <v>2</v>
      </c>
      <c r="O1993">
        <v>3</v>
      </c>
      <c r="P1993">
        <v>42</v>
      </c>
      <c r="Q1993">
        <v>3</v>
      </c>
      <c r="R1993" s="1">
        <v>44616</v>
      </c>
      <c r="S1993" t="s">
        <v>29</v>
      </c>
      <c r="T1993" t="str">
        <f t="shared" si="155"/>
        <v>Grade C</v>
      </c>
      <c r="U1993">
        <f t="shared" si="156"/>
        <v>3</v>
      </c>
      <c r="V1993" t="str">
        <f t="shared" si="157"/>
        <v>New Joiner</v>
      </c>
      <c r="W1993" t="str">
        <f t="shared" si="158"/>
        <v>Medium Risk</v>
      </c>
      <c r="X1993" t="str">
        <f t="shared" si="159"/>
        <v>Fair</v>
      </c>
    </row>
    <row r="1994" spans="1:24" x14ac:dyDescent="0.3">
      <c r="A1994" t="s">
        <v>2062</v>
      </c>
      <c r="B1994" t="s">
        <v>39</v>
      </c>
      <c r="C1994">
        <v>54</v>
      </c>
      <c r="D1994" t="s">
        <v>57</v>
      </c>
      <c r="E1994" t="s">
        <v>22</v>
      </c>
      <c r="F1994" t="s">
        <v>65</v>
      </c>
      <c r="G1994" t="s">
        <v>79</v>
      </c>
      <c r="H1994" t="s">
        <v>67</v>
      </c>
      <c r="I1994" t="s">
        <v>54</v>
      </c>
      <c r="J1994" t="s">
        <v>27</v>
      </c>
      <c r="K1994">
        <v>3</v>
      </c>
      <c r="L1994">
        <v>47654</v>
      </c>
      <c r="M1994" t="s">
        <v>51</v>
      </c>
      <c r="N1994">
        <v>1</v>
      </c>
      <c r="O1994">
        <v>1</v>
      </c>
      <c r="P1994">
        <v>36</v>
      </c>
      <c r="Q1994">
        <v>2</v>
      </c>
      <c r="R1994" s="1">
        <v>44181</v>
      </c>
      <c r="S1994" t="s">
        <v>29</v>
      </c>
      <c r="T1994" t="str">
        <f t="shared" si="155"/>
        <v>Grade C</v>
      </c>
      <c r="U1994">
        <f t="shared" si="156"/>
        <v>4</v>
      </c>
      <c r="V1994" t="str">
        <f t="shared" si="157"/>
        <v>Junior</v>
      </c>
      <c r="W1994" t="str">
        <f t="shared" si="158"/>
        <v>Low Risk</v>
      </c>
      <c r="X1994" t="str">
        <f t="shared" si="159"/>
        <v>Fair</v>
      </c>
    </row>
    <row r="1995" spans="1:24" x14ac:dyDescent="0.3">
      <c r="A1995" t="s">
        <v>2063</v>
      </c>
      <c r="B1995" t="s">
        <v>39</v>
      </c>
      <c r="C1995">
        <v>35</v>
      </c>
      <c r="D1995" t="s">
        <v>57</v>
      </c>
      <c r="E1995" t="s">
        <v>48</v>
      </c>
      <c r="F1995" t="s">
        <v>75</v>
      </c>
      <c r="G1995" t="s">
        <v>63</v>
      </c>
      <c r="H1995" t="s">
        <v>34</v>
      </c>
      <c r="I1995" t="s">
        <v>80</v>
      </c>
      <c r="J1995" t="s">
        <v>60</v>
      </c>
      <c r="K1995">
        <v>7</v>
      </c>
      <c r="L1995">
        <v>49022</v>
      </c>
      <c r="M1995" t="s">
        <v>45</v>
      </c>
      <c r="N1995">
        <v>3</v>
      </c>
      <c r="O1995">
        <v>4</v>
      </c>
      <c r="P1995">
        <v>45</v>
      </c>
      <c r="Q1995">
        <v>3</v>
      </c>
      <c r="R1995" s="1">
        <v>42437</v>
      </c>
      <c r="S1995" t="s">
        <v>29</v>
      </c>
      <c r="T1995" t="str">
        <f t="shared" si="155"/>
        <v>Grade C</v>
      </c>
      <c r="U1995">
        <f t="shared" si="156"/>
        <v>2</v>
      </c>
      <c r="V1995" t="str">
        <f t="shared" si="157"/>
        <v>Mid Level</v>
      </c>
      <c r="W1995" t="str">
        <f t="shared" si="158"/>
        <v>Medium Risk</v>
      </c>
      <c r="X1995" t="str">
        <f t="shared" si="159"/>
        <v>Fair</v>
      </c>
    </row>
    <row r="1996" spans="1:24" x14ac:dyDescent="0.3">
      <c r="A1996" t="s">
        <v>2064</v>
      </c>
      <c r="B1996" t="s">
        <v>39</v>
      </c>
      <c r="C1996">
        <v>47</v>
      </c>
      <c r="D1996" t="s">
        <v>31</v>
      </c>
      <c r="E1996" t="s">
        <v>48</v>
      </c>
      <c r="F1996" t="s">
        <v>41</v>
      </c>
      <c r="G1996" t="s">
        <v>24</v>
      </c>
      <c r="H1996" t="s">
        <v>83</v>
      </c>
      <c r="I1996" t="s">
        <v>43</v>
      </c>
      <c r="J1996" t="s">
        <v>44</v>
      </c>
      <c r="K1996">
        <v>2</v>
      </c>
      <c r="L1996">
        <v>74813</v>
      </c>
      <c r="M1996" t="s">
        <v>36</v>
      </c>
      <c r="N1996">
        <v>4</v>
      </c>
      <c r="O1996">
        <v>1</v>
      </c>
      <c r="P1996">
        <v>15</v>
      </c>
      <c r="Q1996">
        <v>0</v>
      </c>
      <c r="R1996" s="1">
        <v>44540</v>
      </c>
      <c r="S1996" t="s">
        <v>37</v>
      </c>
      <c r="T1996" t="str">
        <f t="shared" si="155"/>
        <v>Grade B</v>
      </c>
      <c r="U1996">
        <f t="shared" si="156"/>
        <v>1</v>
      </c>
      <c r="V1996" t="str">
        <f t="shared" si="157"/>
        <v>New Joiner</v>
      </c>
      <c r="W1996" t="str">
        <f t="shared" si="158"/>
        <v>Already Left</v>
      </c>
      <c r="X1996" t="str">
        <f t="shared" si="159"/>
        <v>Fair</v>
      </c>
    </row>
    <row r="1997" spans="1:24" x14ac:dyDescent="0.3">
      <c r="A1997" t="s">
        <v>2065</v>
      </c>
      <c r="B1997" t="s">
        <v>20</v>
      </c>
      <c r="C1997">
        <v>47</v>
      </c>
      <c r="D1997" t="s">
        <v>21</v>
      </c>
      <c r="E1997" t="s">
        <v>22</v>
      </c>
      <c r="F1997" t="s">
        <v>41</v>
      </c>
      <c r="G1997" t="s">
        <v>49</v>
      </c>
      <c r="H1997" t="s">
        <v>25</v>
      </c>
      <c r="I1997" t="s">
        <v>80</v>
      </c>
      <c r="J1997" t="s">
        <v>60</v>
      </c>
      <c r="K1997">
        <v>4</v>
      </c>
      <c r="L1997">
        <v>60216</v>
      </c>
      <c r="M1997" t="s">
        <v>28</v>
      </c>
      <c r="N1997">
        <v>2</v>
      </c>
      <c r="O1997">
        <v>3</v>
      </c>
      <c r="P1997">
        <v>50</v>
      </c>
      <c r="Q1997">
        <v>0</v>
      </c>
      <c r="R1997" s="1">
        <v>43554</v>
      </c>
      <c r="S1997" t="s">
        <v>29</v>
      </c>
      <c r="T1997" t="str">
        <f t="shared" si="155"/>
        <v>Grade B</v>
      </c>
      <c r="U1997">
        <f t="shared" si="156"/>
        <v>3</v>
      </c>
      <c r="V1997" t="str">
        <f t="shared" si="157"/>
        <v>Junior</v>
      </c>
      <c r="W1997" t="str">
        <f t="shared" si="158"/>
        <v>Medium Risk</v>
      </c>
      <c r="X1997" t="str">
        <f t="shared" si="159"/>
        <v>Competitive</v>
      </c>
    </row>
    <row r="1998" spans="1:24" x14ac:dyDescent="0.3">
      <c r="A1998" t="s">
        <v>2066</v>
      </c>
      <c r="B1998" t="s">
        <v>39</v>
      </c>
      <c r="C1998">
        <v>23</v>
      </c>
      <c r="D1998" t="s">
        <v>21</v>
      </c>
      <c r="E1998" t="s">
        <v>22</v>
      </c>
      <c r="F1998" t="s">
        <v>53</v>
      </c>
      <c r="G1998" t="s">
        <v>33</v>
      </c>
      <c r="H1998" t="s">
        <v>34</v>
      </c>
      <c r="I1998" t="s">
        <v>50</v>
      </c>
      <c r="J1998" t="s">
        <v>44</v>
      </c>
      <c r="K1998">
        <v>13</v>
      </c>
      <c r="L1998">
        <v>82324</v>
      </c>
      <c r="M1998" t="s">
        <v>45</v>
      </c>
      <c r="N1998">
        <v>3</v>
      </c>
      <c r="O1998">
        <v>3</v>
      </c>
      <c r="P1998">
        <v>69</v>
      </c>
      <c r="Q1998">
        <v>0</v>
      </c>
      <c r="R1998" s="1">
        <v>40542</v>
      </c>
      <c r="S1998" t="s">
        <v>29</v>
      </c>
      <c r="T1998" t="str">
        <f t="shared" si="155"/>
        <v>Grade A</v>
      </c>
      <c r="U1998">
        <f t="shared" si="156"/>
        <v>2</v>
      </c>
      <c r="V1998" t="str">
        <f t="shared" si="157"/>
        <v>Senior</v>
      </c>
      <c r="W1998" t="str">
        <f t="shared" si="158"/>
        <v>Medium Risk</v>
      </c>
      <c r="X1998" t="str">
        <f t="shared" si="159"/>
        <v>Fair</v>
      </c>
    </row>
    <row r="1999" spans="1:24" x14ac:dyDescent="0.3">
      <c r="A1999" t="s">
        <v>2067</v>
      </c>
      <c r="B1999" t="s">
        <v>39</v>
      </c>
      <c r="C1999">
        <v>34</v>
      </c>
      <c r="D1999" t="s">
        <v>57</v>
      </c>
      <c r="E1999" t="s">
        <v>40</v>
      </c>
      <c r="F1999" t="s">
        <v>41</v>
      </c>
      <c r="G1999" t="s">
        <v>79</v>
      </c>
      <c r="H1999" t="s">
        <v>25</v>
      </c>
      <c r="I1999" t="s">
        <v>35</v>
      </c>
      <c r="J1999" t="s">
        <v>27</v>
      </c>
      <c r="K1999">
        <v>7</v>
      </c>
      <c r="L1999">
        <v>63586</v>
      </c>
      <c r="M1999" t="s">
        <v>51</v>
      </c>
      <c r="N1999">
        <v>3</v>
      </c>
      <c r="O1999">
        <v>1</v>
      </c>
      <c r="P1999">
        <v>55</v>
      </c>
      <c r="Q1999">
        <v>2</v>
      </c>
      <c r="R1999" s="1">
        <v>42426</v>
      </c>
      <c r="S1999" t="s">
        <v>29</v>
      </c>
      <c r="T1999" t="str">
        <f t="shared" si="155"/>
        <v>Grade B</v>
      </c>
      <c r="U1999">
        <f t="shared" si="156"/>
        <v>4</v>
      </c>
      <c r="V1999" t="str">
        <f t="shared" si="157"/>
        <v>Mid Level</v>
      </c>
      <c r="W1999" t="str">
        <f t="shared" si="158"/>
        <v>Low Risk</v>
      </c>
      <c r="X1999" t="str">
        <f t="shared" si="159"/>
        <v>Fair</v>
      </c>
    </row>
    <row r="2000" spans="1:24" x14ac:dyDescent="0.3">
      <c r="A2000" t="s">
        <v>2068</v>
      </c>
      <c r="B2000" t="s">
        <v>20</v>
      </c>
      <c r="C2000">
        <v>53</v>
      </c>
      <c r="D2000" t="s">
        <v>21</v>
      </c>
      <c r="E2000" t="s">
        <v>48</v>
      </c>
      <c r="F2000" t="s">
        <v>41</v>
      </c>
      <c r="G2000" t="s">
        <v>63</v>
      </c>
      <c r="H2000" t="s">
        <v>34</v>
      </c>
      <c r="I2000" t="s">
        <v>26</v>
      </c>
      <c r="J2000" t="s">
        <v>27</v>
      </c>
      <c r="K2000">
        <v>14</v>
      </c>
      <c r="L2000">
        <v>80440</v>
      </c>
      <c r="M2000" t="s">
        <v>28</v>
      </c>
      <c r="N2000">
        <v>1</v>
      </c>
      <c r="O2000">
        <v>1</v>
      </c>
      <c r="P2000">
        <v>49</v>
      </c>
      <c r="Q2000">
        <v>1</v>
      </c>
      <c r="R2000" s="1">
        <v>40141</v>
      </c>
      <c r="S2000" t="s">
        <v>29</v>
      </c>
      <c r="T2000" t="str">
        <f t="shared" si="155"/>
        <v>Grade A</v>
      </c>
      <c r="U2000">
        <f t="shared" si="156"/>
        <v>3</v>
      </c>
      <c r="V2000" t="str">
        <f t="shared" si="157"/>
        <v>Senior</v>
      </c>
      <c r="W2000" t="str">
        <f t="shared" si="158"/>
        <v>Medium Risk</v>
      </c>
      <c r="X2000" t="str">
        <f t="shared" si="159"/>
        <v>Competitive</v>
      </c>
    </row>
    <row r="2001" spans="1:24" x14ac:dyDescent="0.3">
      <c r="A2001" t="s">
        <v>2069</v>
      </c>
      <c r="B2001" t="s">
        <v>39</v>
      </c>
      <c r="C2001">
        <v>31</v>
      </c>
      <c r="D2001" t="s">
        <v>88</v>
      </c>
      <c r="E2001" t="s">
        <v>22</v>
      </c>
      <c r="F2001" t="s">
        <v>32</v>
      </c>
      <c r="G2001" t="s">
        <v>33</v>
      </c>
      <c r="H2001" t="s">
        <v>67</v>
      </c>
      <c r="I2001" t="s">
        <v>54</v>
      </c>
      <c r="J2001" t="s">
        <v>27</v>
      </c>
      <c r="K2001">
        <v>1</v>
      </c>
      <c r="L2001">
        <v>55323</v>
      </c>
      <c r="M2001" t="s">
        <v>45</v>
      </c>
      <c r="N2001">
        <v>2</v>
      </c>
      <c r="O2001">
        <v>2</v>
      </c>
      <c r="P2001">
        <v>19</v>
      </c>
      <c r="Q2001">
        <v>1</v>
      </c>
      <c r="R2001" s="1">
        <v>44711</v>
      </c>
      <c r="S2001" t="s">
        <v>29</v>
      </c>
      <c r="T2001" t="str">
        <f t="shared" si="155"/>
        <v>Grade B</v>
      </c>
      <c r="U2001">
        <f t="shared" si="156"/>
        <v>2</v>
      </c>
      <c r="V2001" t="str">
        <f t="shared" si="157"/>
        <v>New Joiner</v>
      </c>
      <c r="W2001" t="str">
        <f t="shared" si="158"/>
        <v>Medium Risk</v>
      </c>
      <c r="X2001" t="str">
        <f t="shared" si="159"/>
        <v>Fair</v>
      </c>
    </row>
    <row r="2002" spans="1:24" x14ac:dyDescent="0.3">
      <c r="A2002" t="s">
        <v>2070</v>
      </c>
      <c r="B2002" t="s">
        <v>20</v>
      </c>
      <c r="C2002">
        <v>26</v>
      </c>
      <c r="D2002" t="s">
        <v>57</v>
      </c>
      <c r="E2002" t="s">
        <v>48</v>
      </c>
      <c r="F2002" t="s">
        <v>65</v>
      </c>
      <c r="G2002" t="s">
        <v>42</v>
      </c>
      <c r="H2002" t="s">
        <v>67</v>
      </c>
      <c r="I2002" t="s">
        <v>80</v>
      </c>
      <c r="J2002" t="s">
        <v>60</v>
      </c>
      <c r="K2002">
        <v>1</v>
      </c>
      <c r="L2002">
        <v>88354</v>
      </c>
      <c r="M2002" t="s">
        <v>28</v>
      </c>
      <c r="N2002">
        <v>3</v>
      </c>
      <c r="O2002">
        <v>3</v>
      </c>
      <c r="P2002">
        <v>59</v>
      </c>
      <c r="Q2002">
        <v>1</v>
      </c>
      <c r="R2002" s="1">
        <v>44818</v>
      </c>
      <c r="S2002" t="s">
        <v>37</v>
      </c>
      <c r="T2002" t="str">
        <f t="shared" si="155"/>
        <v>Grade A</v>
      </c>
      <c r="U2002">
        <f t="shared" si="156"/>
        <v>3</v>
      </c>
      <c r="V2002" t="str">
        <f t="shared" si="157"/>
        <v>New Joiner</v>
      </c>
      <c r="W2002" t="str">
        <f t="shared" si="158"/>
        <v>Already Left</v>
      </c>
      <c r="X2002" t="str">
        <f t="shared" si="159"/>
        <v>Competitive</v>
      </c>
    </row>
    <row r="2003" spans="1:24" x14ac:dyDescent="0.3">
      <c r="A2003" t="s">
        <v>2071</v>
      </c>
      <c r="B2003" t="s">
        <v>39</v>
      </c>
      <c r="C2003">
        <v>48</v>
      </c>
      <c r="D2003" t="s">
        <v>47</v>
      </c>
      <c r="E2003" t="s">
        <v>40</v>
      </c>
      <c r="F2003" t="s">
        <v>62</v>
      </c>
      <c r="G2003" t="s">
        <v>63</v>
      </c>
      <c r="H2003" t="s">
        <v>34</v>
      </c>
      <c r="I2003" t="s">
        <v>96</v>
      </c>
      <c r="J2003" t="s">
        <v>44</v>
      </c>
      <c r="K2003">
        <v>7</v>
      </c>
      <c r="L2003">
        <v>52480</v>
      </c>
      <c r="M2003" t="s">
        <v>51</v>
      </c>
      <c r="N2003">
        <v>1</v>
      </c>
      <c r="O2003">
        <v>2</v>
      </c>
      <c r="P2003">
        <v>17</v>
      </c>
      <c r="Q2003">
        <v>3</v>
      </c>
      <c r="R2003" s="1">
        <v>42384</v>
      </c>
      <c r="S2003" t="s">
        <v>37</v>
      </c>
      <c r="T2003" t="str">
        <f t="shared" si="155"/>
        <v>Grade B</v>
      </c>
      <c r="U2003">
        <f t="shared" si="156"/>
        <v>4</v>
      </c>
      <c r="V2003" t="str">
        <f t="shared" si="157"/>
        <v>Mid Level</v>
      </c>
      <c r="W2003" t="str">
        <f t="shared" si="158"/>
        <v>Already Left</v>
      </c>
      <c r="X2003" t="str">
        <f t="shared" si="159"/>
        <v>Fair</v>
      </c>
    </row>
    <row r="2004" spans="1:24" x14ac:dyDescent="0.3">
      <c r="A2004" t="s">
        <v>2072</v>
      </c>
      <c r="B2004" t="s">
        <v>20</v>
      </c>
      <c r="C2004">
        <v>25</v>
      </c>
      <c r="D2004" t="s">
        <v>21</v>
      </c>
      <c r="E2004" t="s">
        <v>40</v>
      </c>
      <c r="F2004" t="s">
        <v>65</v>
      </c>
      <c r="G2004" t="s">
        <v>33</v>
      </c>
      <c r="H2004" t="s">
        <v>83</v>
      </c>
      <c r="I2004" t="s">
        <v>54</v>
      </c>
      <c r="J2004" t="s">
        <v>27</v>
      </c>
      <c r="K2004">
        <v>6</v>
      </c>
      <c r="L2004">
        <v>65057</v>
      </c>
      <c r="M2004" t="s">
        <v>36</v>
      </c>
      <c r="N2004">
        <v>1</v>
      </c>
      <c r="O2004">
        <v>1</v>
      </c>
      <c r="P2004">
        <v>26</v>
      </c>
      <c r="Q2004">
        <v>1</v>
      </c>
      <c r="R2004" s="1">
        <v>43042</v>
      </c>
      <c r="S2004" t="s">
        <v>37</v>
      </c>
      <c r="T2004" t="str">
        <f t="shared" si="155"/>
        <v>Grade B</v>
      </c>
      <c r="U2004">
        <f t="shared" si="156"/>
        <v>1</v>
      </c>
      <c r="V2004" t="str">
        <f t="shared" si="157"/>
        <v>Mid Level</v>
      </c>
      <c r="W2004" t="str">
        <f t="shared" si="158"/>
        <v>Already Left</v>
      </c>
      <c r="X2004" t="str">
        <f t="shared" si="159"/>
        <v>Fair</v>
      </c>
    </row>
    <row r="2005" spans="1:24" x14ac:dyDescent="0.3">
      <c r="A2005" t="s">
        <v>2073</v>
      </c>
      <c r="B2005" t="s">
        <v>20</v>
      </c>
      <c r="C2005">
        <v>30</v>
      </c>
      <c r="D2005" t="s">
        <v>21</v>
      </c>
      <c r="E2005" t="s">
        <v>48</v>
      </c>
      <c r="F2005" t="s">
        <v>32</v>
      </c>
      <c r="G2005" t="s">
        <v>66</v>
      </c>
      <c r="H2005" t="s">
        <v>67</v>
      </c>
      <c r="I2005" t="s">
        <v>54</v>
      </c>
      <c r="J2005" t="s">
        <v>27</v>
      </c>
      <c r="K2005">
        <v>3</v>
      </c>
      <c r="L2005">
        <v>42703</v>
      </c>
      <c r="M2005" t="s">
        <v>51</v>
      </c>
      <c r="N2005">
        <v>2</v>
      </c>
      <c r="O2005">
        <v>2</v>
      </c>
      <c r="P2005">
        <v>24</v>
      </c>
      <c r="Q2005">
        <v>2</v>
      </c>
      <c r="R2005" s="1">
        <v>43937</v>
      </c>
      <c r="S2005" t="s">
        <v>29</v>
      </c>
      <c r="T2005" t="str">
        <f t="shared" si="155"/>
        <v>Grade C</v>
      </c>
      <c r="U2005">
        <f t="shared" si="156"/>
        <v>4</v>
      </c>
      <c r="V2005" t="str">
        <f t="shared" si="157"/>
        <v>Junior</v>
      </c>
      <c r="W2005" t="str">
        <f t="shared" si="158"/>
        <v>Low Risk</v>
      </c>
      <c r="X2005" t="str">
        <f t="shared" si="159"/>
        <v>Fair</v>
      </c>
    </row>
    <row r="2006" spans="1:24" x14ac:dyDescent="0.3">
      <c r="A2006" t="s">
        <v>2074</v>
      </c>
      <c r="B2006" t="s">
        <v>39</v>
      </c>
      <c r="C2006">
        <v>47</v>
      </c>
      <c r="D2006" t="s">
        <v>88</v>
      </c>
      <c r="E2006" t="s">
        <v>22</v>
      </c>
      <c r="F2006" t="s">
        <v>75</v>
      </c>
      <c r="G2006" t="s">
        <v>58</v>
      </c>
      <c r="H2006" t="s">
        <v>34</v>
      </c>
      <c r="I2006" t="s">
        <v>72</v>
      </c>
      <c r="J2006" t="s">
        <v>73</v>
      </c>
      <c r="K2006">
        <v>14</v>
      </c>
      <c r="L2006">
        <v>122093</v>
      </c>
      <c r="M2006" t="s">
        <v>51</v>
      </c>
      <c r="N2006">
        <v>3</v>
      </c>
      <c r="O2006">
        <v>3</v>
      </c>
      <c r="P2006">
        <v>13</v>
      </c>
      <c r="Q2006">
        <v>2</v>
      </c>
      <c r="R2006" s="1">
        <v>39858</v>
      </c>
      <c r="S2006" t="s">
        <v>29</v>
      </c>
      <c r="T2006" t="str">
        <f t="shared" si="155"/>
        <v>Grade A</v>
      </c>
      <c r="U2006">
        <f t="shared" si="156"/>
        <v>4</v>
      </c>
      <c r="V2006" t="str">
        <f t="shared" si="157"/>
        <v>Senior</v>
      </c>
      <c r="W2006" t="str">
        <f t="shared" si="158"/>
        <v>Low Risk</v>
      </c>
      <c r="X2006" t="str">
        <f t="shared" si="159"/>
        <v>Competitive</v>
      </c>
    </row>
    <row r="2007" spans="1:24" x14ac:dyDescent="0.3">
      <c r="A2007" t="s">
        <v>2075</v>
      </c>
      <c r="B2007" t="s">
        <v>39</v>
      </c>
      <c r="C2007">
        <v>47</v>
      </c>
      <c r="D2007" t="s">
        <v>31</v>
      </c>
      <c r="E2007" t="s">
        <v>22</v>
      </c>
      <c r="F2007" t="s">
        <v>41</v>
      </c>
      <c r="G2007" t="s">
        <v>58</v>
      </c>
      <c r="H2007" t="s">
        <v>83</v>
      </c>
      <c r="I2007" t="s">
        <v>68</v>
      </c>
      <c r="J2007" t="s">
        <v>60</v>
      </c>
      <c r="K2007">
        <v>13</v>
      </c>
      <c r="L2007">
        <v>108115</v>
      </c>
      <c r="M2007" t="s">
        <v>28</v>
      </c>
      <c r="N2007">
        <v>1</v>
      </c>
      <c r="O2007">
        <v>3</v>
      </c>
      <c r="P2007">
        <v>42</v>
      </c>
      <c r="Q2007">
        <v>3</v>
      </c>
      <c r="R2007" s="1">
        <v>40544</v>
      </c>
      <c r="S2007" t="s">
        <v>29</v>
      </c>
      <c r="T2007" t="str">
        <f t="shared" si="155"/>
        <v>Grade A</v>
      </c>
      <c r="U2007">
        <f t="shared" si="156"/>
        <v>3</v>
      </c>
      <c r="V2007" t="str">
        <f t="shared" si="157"/>
        <v>Senior</v>
      </c>
      <c r="W2007" t="str">
        <f t="shared" si="158"/>
        <v>Medium Risk</v>
      </c>
      <c r="X2007" t="str">
        <f t="shared" si="159"/>
        <v>Competitive</v>
      </c>
    </row>
    <row r="2008" spans="1:24" x14ac:dyDescent="0.3">
      <c r="A2008" t="s">
        <v>2076</v>
      </c>
      <c r="B2008" t="s">
        <v>20</v>
      </c>
      <c r="C2008">
        <v>49</v>
      </c>
      <c r="D2008" t="s">
        <v>88</v>
      </c>
      <c r="E2008" t="s">
        <v>48</v>
      </c>
      <c r="F2008" t="s">
        <v>41</v>
      </c>
      <c r="G2008" t="s">
        <v>79</v>
      </c>
      <c r="H2008" t="s">
        <v>34</v>
      </c>
      <c r="I2008" t="s">
        <v>50</v>
      </c>
      <c r="J2008" t="s">
        <v>44</v>
      </c>
      <c r="K2008">
        <v>15</v>
      </c>
      <c r="L2008">
        <v>68410</v>
      </c>
      <c r="M2008" t="s">
        <v>36</v>
      </c>
      <c r="N2008">
        <v>3</v>
      </c>
      <c r="O2008">
        <v>3</v>
      </c>
      <c r="P2008">
        <v>55</v>
      </c>
      <c r="Q2008">
        <v>0</v>
      </c>
      <c r="R2008" s="1">
        <v>39697</v>
      </c>
      <c r="S2008" t="s">
        <v>29</v>
      </c>
      <c r="T2008" t="str">
        <f t="shared" si="155"/>
        <v>Grade B</v>
      </c>
      <c r="U2008">
        <f t="shared" si="156"/>
        <v>1</v>
      </c>
      <c r="V2008" t="str">
        <f t="shared" si="157"/>
        <v>Senior</v>
      </c>
      <c r="W2008" t="str">
        <f t="shared" si="158"/>
        <v>Medium Risk</v>
      </c>
      <c r="X2008" t="str">
        <f t="shared" si="159"/>
        <v>Fair</v>
      </c>
    </row>
    <row r="2009" spans="1:24" x14ac:dyDescent="0.3">
      <c r="A2009" t="s">
        <v>2077</v>
      </c>
      <c r="B2009" t="s">
        <v>20</v>
      </c>
      <c r="C2009">
        <v>38</v>
      </c>
      <c r="D2009" t="s">
        <v>31</v>
      </c>
      <c r="E2009" t="s">
        <v>48</v>
      </c>
      <c r="F2009" t="s">
        <v>23</v>
      </c>
      <c r="G2009" t="s">
        <v>58</v>
      </c>
      <c r="H2009" t="s">
        <v>34</v>
      </c>
      <c r="I2009" t="s">
        <v>43</v>
      </c>
      <c r="J2009" t="s">
        <v>44</v>
      </c>
      <c r="K2009">
        <v>14</v>
      </c>
      <c r="L2009">
        <v>116564</v>
      </c>
      <c r="M2009" t="s">
        <v>45</v>
      </c>
      <c r="N2009">
        <v>4</v>
      </c>
      <c r="O2009">
        <v>2</v>
      </c>
      <c r="P2009">
        <v>79</v>
      </c>
      <c r="Q2009">
        <v>2</v>
      </c>
      <c r="R2009" s="1">
        <v>39828</v>
      </c>
      <c r="S2009" t="s">
        <v>29</v>
      </c>
      <c r="T2009" t="str">
        <f t="shared" si="155"/>
        <v>Grade A</v>
      </c>
      <c r="U2009">
        <f t="shared" si="156"/>
        <v>2</v>
      </c>
      <c r="V2009" t="str">
        <f t="shared" si="157"/>
        <v>Senior</v>
      </c>
      <c r="W2009" t="str">
        <f t="shared" si="158"/>
        <v>Medium Risk</v>
      </c>
      <c r="X2009" t="str">
        <f t="shared" si="159"/>
        <v>Fair</v>
      </c>
    </row>
    <row r="2010" spans="1:24" x14ac:dyDescent="0.3">
      <c r="A2010" t="s">
        <v>2078</v>
      </c>
      <c r="B2010" t="s">
        <v>39</v>
      </c>
      <c r="C2010">
        <v>40</v>
      </c>
      <c r="D2010" t="s">
        <v>88</v>
      </c>
      <c r="E2010" t="s">
        <v>48</v>
      </c>
      <c r="F2010" t="s">
        <v>23</v>
      </c>
      <c r="G2010" t="s">
        <v>42</v>
      </c>
      <c r="H2010" t="s">
        <v>76</v>
      </c>
      <c r="I2010" t="s">
        <v>54</v>
      </c>
      <c r="J2010" t="s">
        <v>27</v>
      </c>
      <c r="K2010">
        <v>3</v>
      </c>
      <c r="L2010">
        <v>93561</v>
      </c>
      <c r="M2010" t="s">
        <v>45</v>
      </c>
      <c r="N2010">
        <v>4</v>
      </c>
      <c r="O2010">
        <v>4</v>
      </c>
      <c r="P2010">
        <v>65</v>
      </c>
      <c r="Q2010">
        <v>1</v>
      </c>
      <c r="R2010" s="1">
        <v>44124</v>
      </c>
      <c r="S2010" t="s">
        <v>29</v>
      </c>
      <c r="T2010" t="str">
        <f t="shared" si="155"/>
        <v>Grade A</v>
      </c>
      <c r="U2010">
        <f t="shared" si="156"/>
        <v>2</v>
      </c>
      <c r="V2010" t="str">
        <f t="shared" si="157"/>
        <v>Junior</v>
      </c>
      <c r="W2010" t="str">
        <f t="shared" si="158"/>
        <v>Medium Risk</v>
      </c>
      <c r="X2010" t="str">
        <f t="shared" si="159"/>
        <v>Fair</v>
      </c>
    </row>
    <row r="2011" spans="1:24" x14ac:dyDescent="0.3">
      <c r="A2011" t="s">
        <v>2079</v>
      </c>
      <c r="B2011" t="s">
        <v>20</v>
      </c>
      <c r="C2011">
        <v>34</v>
      </c>
      <c r="D2011" t="s">
        <v>21</v>
      </c>
      <c r="E2011" t="s">
        <v>22</v>
      </c>
      <c r="F2011" t="s">
        <v>32</v>
      </c>
      <c r="G2011" t="s">
        <v>63</v>
      </c>
      <c r="H2011" t="s">
        <v>34</v>
      </c>
      <c r="I2011" t="s">
        <v>72</v>
      </c>
      <c r="J2011" t="s">
        <v>73</v>
      </c>
      <c r="K2011">
        <v>8</v>
      </c>
      <c r="L2011">
        <v>63797</v>
      </c>
      <c r="M2011" t="s">
        <v>45</v>
      </c>
      <c r="N2011">
        <v>4</v>
      </c>
      <c r="O2011">
        <v>3</v>
      </c>
      <c r="P2011">
        <v>73</v>
      </c>
      <c r="Q2011">
        <v>1</v>
      </c>
      <c r="R2011" s="1">
        <v>42329</v>
      </c>
      <c r="S2011" t="s">
        <v>29</v>
      </c>
      <c r="T2011" t="str">
        <f t="shared" si="155"/>
        <v>Grade B</v>
      </c>
      <c r="U2011">
        <f t="shared" si="156"/>
        <v>2</v>
      </c>
      <c r="V2011" t="str">
        <f t="shared" si="157"/>
        <v>Mid Level</v>
      </c>
      <c r="W2011" t="str">
        <f t="shared" si="158"/>
        <v>Medium Risk</v>
      </c>
      <c r="X2011" t="str">
        <f t="shared" si="159"/>
        <v>Fair</v>
      </c>
    </row>
    <row r="2012" spans="1:24" x14ac:dyDescent="0.3">
      <c r="A2012" t="s">
        <v>2080</v>
      </c>
      <c r="B2012" t="s">
        <v>39</v>
      </c>
      <c r="C2012">
        <v>46</v>
      </c>
      <c r="D2012" t="s">
        <v>47</v>
      </c>
      <c r="E2012" t="s">
        <v>40</v>
      </c>
      <c r="F2012" t="s">
        <v>75</v>
      </c>
      <c r="G2012" t="s">
        <v>63</v>
      </c>
      <c r="H2012" t="s">
        <v>83</v>
      </c>
      <c r="I2012" t="s">
        <v>35</v>
      </c>
      <c r="J2012" t="s">
        <v>27</v>
      </c>
      <c r="K2012">
        <v>5</v>
      </c>
      <c r="L2012">
        <v>61998</v>
      </c>
      <c r="M2012" t="s">
        <v>36</v>
      </c>
      <c r="N2012">
        <v>4</v>
      </c>
      <c r="O2012">
        <v>4</v>
      </c>
      <c r="P2012">
        <v>20</v>
      </c>
      <c r="Q2012">
        <v>0</v>
      </c>
      <c r="R2012" s="1">
        <v>43460</v>
      </c>
      <c r="S2012" t="s">
        <v>29</v>
      </c>
      <c r="T2012" t="str">
        <f t="shared" si="155"/>
        <v>Grade B</v>
      </c>
      <c r="U2012">
        <f t="shared" si="156"/>
        <v>1</v>
      </c>
      <c r="V2012" t="str">
        <f t="shared" si="157"/>
        <v>Junior</v>
      </c>
      <c r="W2012" t="str">
        <f t="shared" si="158"/>
        <v>Medium Risk</v>
      </c>
      <c r="X2012" t="str">
        <f t="shared" si="159"/>
        <v>Fair</v>
      </c>
    </row>
    <row r="2013" spans="1:24" x14ac:dyDescent="0.3">
      <c r="A2013" t="s">
        <v>2081</v>
      </c>
      <c r="B2013" t="s">
        <v>39</v>
      </c>
      <c r="C2013">
        <v>39</v>
      </c>
      <c r="D2013" t="s">
        <v>57</v>
      </c>
      <c r="E2013" t="s">
        <v>40</v>
      </c>
      <c r="F2013" t="s">
        <v>75</v>
      </c>
      <c r="G2013" t="s">
        <v>58</v>
      </c>
      <c r="H2013" t="s">
        <v>67</v>
      </c>
      <c r="I2013" t="s">
        <v>43</v>
      </c>
      <c r="J2013" t="s">
        <v>44</v>
      </c>
      <c r="K2013">
        <v>7</v>
      </c>
      <c r="L2013">
        <v>95214</v>
      </c>
      <c r="M2013" t="s">
        <v>36</v>
      </c>
      <c r="N2013">
        <v>4</v>
      </c>
      <c r="O2013">
        <v>4</v>
      </c>
      <c r="P2013">
        <v>15</v>
      </c>
      <c r="Q2013">
        <v>0</v>
      </c>
      <c r="R2013" s="1">
        <v>42470</v>
      </c>
      <c r="S2013" t="s">
        <v>29</v>
      </c>
      <c r="T2013" t="str">
        <f t="shared" si="155"/>
        <v>Grade A</v>
      </c>
      <c r="U2013">
        <f t="shared" si="156"/>
        <v>1</v>
      </c>
      <c r="V2013" t="str">
        <f t="shared" si="157"/>
        <v>Mid Level</v>
      </c>
      <c r="W2013" t="str">
        <f t="shared" si="158"/>
        <v>Medium Risk</v>
      </c>
      <c r="X2013" t="str">
        <f t="shared" si="159"/>
        <v>Overpaid</v>
      </c>
    </row>
    <row r="2014" spans="1:24" x14ac:dyDescent="0.3">
      <c r="A2014" t="s">
        <v>2082</v>
      </c>
      <c r="B2014" t="s">
        <v>39</v>
      </c>
      <c r="C2014">
        <v>26</v>
      </c>
      <c r="D2014" t="s">
        <v>31</v>
      </c>
      <c r="E2014" t="s">
        <v>48</v>
      </c>
      <c r="F2014" t="s">
        <v>65</v>
      </c>
      <c r="G2014" t="s">
        <v>33</v>
      </c>
      <c r="H2014" t="s">
        <v>76</v>
      </c>
      <c r="I2014" t="s">
        <v>43</v>
      </c>
      <c r="J2014" t="s">
        <v>44</v>
      </c>
      <c r="K2014">
        <v>14</v>
      </c>
      <c r="L2014">
        <v>94091</v>
      </c>
      <c r="M2014" t="s">
        <v>28</v>
      </c>
      <c r="N2014">
        <v>2</v>
      </c>
      <c r="O2014">
        <v>2</v>
      </c>
      <c r="P2014">
        <v>21</v>
      </c>
      <c r="Q2014">
        <v>1</v>
      </c>
      <c r="R2014" s="1">
        <v>40160</v>
      </c>
      <c r="S2014" t="s">
        <v>29</v>
      </c>
      <c r="T2014" t="str">
        <f t="shared" si="155"/>
        <v>Grade A</v>
      </c>
      <c r="U2014">
        <f t="shared" si="156"/>
        <v>3</v>
      </c>
      <c r="V2014" t="str">
        <f t="shared" si="157"/>
        <v>Senior</v>
      </c>
      <c r="W2014" t="str">
        <f t="shared" si="158"/>
        <v>Medium Risk</v>
      </c>
      <c r="X2014" t="str">
        <f t="shared" si="159"/>
        <v>Competitive</v>
      </c>
    </row>
    <row r="2015" spans="1:24" x14ac:dyDescent="0.3">
      <c r="A2015" t="s">
        <v>2083</v>
      </c>
      <c r="B2015" t="s">
        <v>39</v>
      </c>
      <c r="C2015">
        <v>22</v>
      </c>
      <c r="D2015" t="s">
        <v>88</v>
      </c>
      <c r="E2015" t="s">
        <v>48</v>
      </c>
      <c r="F2015" t="s">
        <v>53</v>
      </c>
      <c r="G2015" t="s">
        <v>66</v>
      </c>
      <c r="H2015" t="s">
        <v>25</v>
      </c>
      <c r="I2015" t="s">
        <v>72</v>
      </c>
      <c r="J2015" t="s">
        <v>73</v>
      </c>
      <c r="K2015">
        <v>4</v>
      </c>
      <c r="L2015">
        <v>37960</v>
      </c>
      <c r="M2015" t="s">
        <v>28</v>
      </c>
      <c r="N2015">
        <v>3</v>
      </c>
      <c r="O2015">
        <v>4</v>
      </c>
      <c r="P2015">
        <v>18</v>
      </c>
      <c r="Q2015">
        <v>3</v>
      </c>
      <c r="R2015" s="1">
        <v>43633</v>
      </c>
      <c r="S2015" t="s">
        <v>29</v>
      </c>
      <c r="T2015" t="str">
        <f t="shared" si="155"/>
        <v>Grade C</v>
      </c>
      <c r="U2015">
        <f t="shared" si="156"/>
        <v>3</v>
      </c>
      <c r="V2015" t="str">
        <f t="shared" si="157"/>
        <v>Junior</v>
      </c>
      <c r="W2015" t="str">
        <f t="shared" si="158"/>
        <v>Medium Risk</v>
      </c>
      <c r="X2015" t="str">
        <f t="shared" si="159"/>
        <v>Fair</v>
      </c>
    </row>
    <row r="2016" spans="1:24" x14ac:dyDescent="0.3">
      <c r="A2016" t="s">
        <v>2084</v>
      </c>
      <c r="B2016" t="s">
        <v>20</v>
      </c>
      <c r="C2016">
        <v>34</v>
      </c>
      <c r="D2016" t="s">
        <v>21</v>
      </c>
      <c r="E2016" t="s">
        <v>22</v>
      </c>
      <c r="F2016" t="s">
        <v>41</v>
      </c>
      <c r="G2016" t="s">
        <v>24</v>
      </c>
      <c r="H2016" t="s">
        <v>25</v>
      </c>
      <c r="I2016" t="s">
        <v>68</v>
      </c>
      <c r="J2016" t="s">
        <v>60</v>
      </c>
      <c r="K2016">
        <v>6</v>
      </c>
      <c r="L2016">
        <v>77270</v>
      </c>
      <c r="M2016" t="s">
        <v>51</v>
      </c>
      <c r="N2016">
        <v>1</v>
      </c>
      <c r="O2016">
        <v>3</v>
      </c>
      <c r="P2016">
        <v>57</v>
      </c>
      <c r="Q2016">
        <v>3</v>
      </c>
      <c r="R2016" s="1">
        <v>42986</v>
      </c>
      <c r="S2016" t="s">
        <v>29</v>
      </c>
      <c r="T2016" t="str">
        <f t="shared" si="155"/>
        <v>Grade B</v>
      </c>
      <c r="U2016">
        <f t="shared" si="156"/>
        <v>4</v>
      </c>
      <c r="V2016" t="str">
        <f t="shared" si="157"/>
        <v>Mid Level</v>
      </c>
      <c r="W2016" t="str">
        <f t="shared" si="158"/>
        <v>Low Risk</v>
      </c>
      <c r="X2016" t="str">
        <f t="shared" si="159"/>
        <v>Fair</v>
      </c>
    </row>
    <row r="2017" spans="1:24" x14ac:dyDescent="0.3">
      <c r="A2017" t="s">
        <v>2085</v>
      </c>
      <c r="B2017" t="s">
        <v>39</v>
      </c>
      <c r="C2017">
        <v>22</v>
      </c>
      <c r="D2017" t="s">
        <v>88</v>
      </c>
      <c r="E2017" t="s">
        <v>22</v>
      </c>
      <c r="F2017" t="s">
        <v>65</v>
      </c>
      <c r="G2017" t="s">
        <v>24</v>
      </c>
      <c r="H2017" t="s">
        <v>34</v>
      </c>
      <c r="I2017" t="s">
        <v>50</v>
      </c>
      <c r="J2017" t="s">
        <v>44</v>
      </c>
      <c r="K2017">
        <v>5</v>
      </c>
      <c r="L2017">
        <v>82936</v>
      </c>
      <c r="M2017" t="s">
        <v>28</v>
      </c>
      <c r="N2017">
        <v>2</v>
      </c>
      <c r="O2017">
        <v>3</v>
      </c>
      <c r="P2017">
        <v>43</v>
      </c>
      <c r="Q2017">
        <v>1</v>
      </c>
      <c r="R2017" s="1">
        <v>43403</v>
      </c>
      <c r="S2017" t="s">
        <v>29</v>
      </c>
      <c r="T2017" t="str">
        <f t="shared" si="155"/>
        <v>Grade A</v>
      </c>
      <c r="U2017">
        <f t="shared" si="156"/>
        <v>3</v>
      </c>
      <c r="V2017" t="str">
        <f t="shared" si="157"/>
        <v>Junior</v>
      </c>
      <c r="W2017" t="str">
        <f t="shared" si="158"/>
        <v>Medium Risk</v>
      </c>
      <c r="X2017" t="str">
        <f t="shared" si="159"/>
        <v>Competitive</v>
      </c>
    </row>
    <row r="2018" spans="1:24" x14ac:dyDescent="0.3">
      <c r="A2018" t="s">
        <v>2086</v>
      </c>
      <c r="B2018" t="s">
        <v>39</v>
      </c>
      <c r="C2018">
        <v>38</v>
      </c>
      <c r="D2018" t="s">
        <v>47</v>
      </c>
      <c r="E2018" t="s">
        <v>40</v>
      </c>
      <c r="F2018" t="s">
        <v>62</v>
      </c>
      <c r="G2018" t="s">
        <v>58</v>
      </c>
      <c r="H2018" t="s">
        <v>83</v>
      </c>
      <c r="I2018" t="s">
        <v>26</v>
      </c>
      <c r="J2018" t="s">
        <v>27</v>
      </c>
      <c r="K2018">
        <v>14</v>
      </c>
      <c r="L2018">
        <v>120637</v>
      </c>
      <c r="M2018" t="s">
        <v>45</v>
      </c>
      <c r="N2018">
        <v>4</v>
      </c>
      <c r="O2018">
        <v>4</v>
      </c>
      <c r="P2018">
        <v>79</v>
      </c>
      <c r="Q2018">
        <v>1</v>
      </c>
      <c r="R2018" s="1">
        <v>39920</v>
      </c>
      <c r="S2018" t="s">
        <v>29</v>
      </c>
      <c r="T2018" t="str">
        <f t="shared" si="155"/>
        <v>Grade A</v>
      </c>
      <c r="U2018">
        <f t="shared" si="156"/>
        <v>2</v>
      </c>
      <c r="V2018" t="str">
        <f t="shared" si="157"/>
        <v>Senior</v>
      </c>
      <c r="W2018" t="str">
        <f t="shared" si="158"/>
        <v>Medium Risk</v>
      </c>
      <c r="X2018" t="str">
        <f t="shared" si="159"/>
        <v>Fair</v>
      </c>
    </row>
    <row r="2019" spans="1:24" x14ac:dyDescent="0.3">
      <c r="A2019" t="s">
        <v>2087</v>
      </c>
      <c r="B2019" t="s">
        <v>39</v>
      </c>
      <c r="C2019">
        <v>27</v>
      </c>
      <c r="D2019" t="s">
        <v>47</v>
      </c>
      <c r="E2019" t="s">
        <v>48</v>
      </c>
      <c r="F2019" t="s">
        <v>23</v>
      </c>
      <c r="G2019" t="s">
        <v>79</v>
      </c>
      <c r="H2019" t="s">
        <v>67</v>
      </c>
      <c r="I2019" t="s">
        <v>80</v>
      </c>
      <c r="J2019" t="s">
        <v>60</v>
      </c>
      <c r="K2019">
        <v>15</v>
      </c>
      <c r="L2019">
        <v>73994</v>
      </c>
      <c r="M2019" t="s">
        <v>51</v>
      </c>
      <c r="N2019">
        <v>1</v>
      </c>
      <c r="O2019">
        <v>1</v>
      </c>
      <c r="P2019">
        <v>11</v>
      </c>
      <c r="Q2019">
        <v>0</v>
      </c>
      <c r="R2019" s="1">
        <v>39742</v>
      </c>
      <c r="S2019" t="s">
        <v>29</v>
      </c>
      <c r="T2019" t="str">
        <f t="shared" si="155"/>
        <v>Grade B</v>
      </c>
      <c r="U2019">
        <f t="shared" si="156"/>
        <v>4</v>
      </c>
      <c r="V2019" t="str">
        <f t="shared" si="157"/>
        <v>Senior</v>
      </c>
      <c r="W2019" t="str">
        <f t="shared" si="158"/>
        <v>Low Risk</v>
      </c>
      <c r="X2019" t="str">
        <f t="shared" si="159"/>
        <v>Fair</v>
      </c>
    </row>
    <row r="2020" spans="1:24" x14ac:dyDescent="0.3">
      <c r="A2020" t="s">
        <v>2088</v>
      </c>
      <c r="B2020" t="s">
        <v>20</v>
      </c>
      <c r="C2020">
        <v>35</v>
      </c>
      <c r="D2020" t="s">
        <v>31</v>
      </c>
      <c r="E2020" t="s">
        <v>48</v>
      </c>
      <c r="F2020" t="s">
        <v>75</v>
      </c>
      <c r="G2020" t="s">
        <v>63</v>
      </c>
      <c r="H2020" t="s">
        <v>67</v>
      </c>
      <c r="I2020" t="s">
        <v>54</v>
      </c>
      <c r="J2020" t="s">
        <v>27</v>
      </c>
      <c r="K2020">
        <v>3</v>
      </c>
      <c r="L2020">
        <v>52265</v>
      </c>
      <c r="M2020" t="s">
        <v>45</v>
      </c>
      <c r="N2020">
        <v>4</v>
      </c>
      <c r="O2020">
        <v>4</v>
      </c>
      <c r="P2020">
        <v>46</v>
      </c>
      <c r="Q2020">
        <v>2</v>
      </c>
      <c r="R2020" s="1">
        <v>43932</v>
      </c>
      <c r="S2020" t="s">
        <v>29</v>
      </c>
      <c r="T2020" t="str">
        <f t="shared" si="155"/>
        <v>Grade B</v>
      </c>
      <c r="U2020">
        <f t="shared" si="156"/>
        <v>2</v>
      </c>
      <c r="V2020" t="str">
        <f t="shared" si="157"/>
        <v>Junior</v>
      </c>
      <c r="W2020" t="str">
        <f t="shared" si="158"/>
        <v>Medium Risk</v>
      </c>
      <c r="X2020" t="str">
        <f t="shared" si="159"/>
        <v>Fair</v>
      </c>
    </row>
    <row r="2021" spans="1:24" x14ac:dyDescent="0.3">
      <c r="A2021" t="s">
        <v>2089</v>
      </c>
      <c r="B2021" t="s">
        <v>39</v>
      </c>
      <c r="C2021">
        <v>42</v>
      </c>
      <c r="D2021" t="s">
        <v>31</v>
      </c>
      <c r="E2021" t="s">
        <v>48</v>
      </c>
      <c r="F2021" t="s">
        <v>75</v>
      </c>
      <c r="G2021" t="s">
        <v>24</v>
      </c>
      <c r="H2021" t="s">
        <v>67</v>
      </c>
      <c r="I2021" t="s">
        <v>68</v>
      </c>
      <c r="J2021" t="s">
        <v>60</v>
      </c>
      <c r="K2021">
        <v>9</v>
      </c>
      <c r="L2021">
        <v>89403</v>
      </c>
      <c r="M2021" t="s">
        <v>45</v>
      </c>
      <c r="N2021">
        <v>2</v>
      </c>
      <c r="O2021">
        <v>2</v>
      </c>
      <c r="P2021">
        <v>51</v>
      </c>
      <c r="Q2021">
        <v>1</v>
      </c>
      <c r="R2021" s="1">
        <v>41687</v>
      </c>
      <c r="S2021" t="s">
        <v>29</v>
      </c>
      <c r="T2021" t="str">
        <f t="shared" si="155"/>
        <v>Grade A</v>
      </c>
      <c r="U2021">
        <f t="shared" si="156"/>
        <v>2</v>
      </c>
      <c r="V2021" t="str">
        <f t="shared" si="157"/>
        <v>Mid Level</v>
      </c>
      <c r="W2021" t="str">
        <f t="shared" si="158"/>
        <v>Medium Risk</v>
      </c>
      <c r="X2021" t="str">
        <f t="shared" si="159"/>
        <v>Fair</v>
      </c>
    </row>
    <row r="2022" spans="1:24" x14ac:dyDescent="0.3">
      <c r="A2022" t="s">
        <v>2090</v>
      </c>
      <c r="B2022" t="s">
        <v>39</v>
      </c>
      <c r="C2022">
        <v>38</v>
      </c>
      <c r="D2022" t="s">
        <v>31</v>
      </c>
      <c r="E2022" t="s">
        <v>48</v>
      </c>
      <c r="F2022" t="s">
        <v>41</v>
      </c>
      <c r="G2022" t="s">
        <v>24</v>
      </c>
      <c r="H2022" t="s">
        <v>83</v>
      </c>
      <c r="I2022" t="s">
        <v>72</v>
      </c>
      <c r="J2022" t="s">
        <v>73</v>
      </c>
      <c r="K2022">
        <v>9</v>
      </c>
      <c r="L2022">
        <v>101138</v>
      </c>
      <c r="M2022" t="s">
        <v>36</v>
      </c>
      <c r="N2022">
        <v>2</v>
      </c>
      <c r="O2022">
        <v>2</v>
      </c>
      <c r="P2022">
        <v>75</v>
      </c>
      <c r="Q2022">
        <v>3</v>
      </c>
      <c r="R2022" s="1">
        <v>41984</v>
      </c>
      <c r="S2022" t="s">
        <v>37</v>
      </c>
      <c r="T2022" t="str">
        <f t="shared" si="155"/>
        <v>Grade A</v>
      </c>
      <c r="U2022">
        <f t="shared" si="156"/>
        <v>1</v>
      </c>
      <c r="V2022" t="str">
        <f t="shared" si="157"/>
        <v>Mid Level</v>
      </c>
      <c r="W2022" t="str">
        <f t="shared" si="158"/>
        <v>Already Left</v>
      </c>
      <c r="X2022" t="str">
        <f t="shared" si="159"/>
        <v>Overpaid</v>
      </c>
    </row>
    <row r="2023" spans="1:24" x14ac:dyDescent="0.3">
      <c r="A2023" t="s">
        <v>2091</v>
      </c>
      <c r="B2023" t="s">
        <v>39</v>
      </c>
      <c r="C2023">
        <v>30</v>
      </c>
      <c r="D2023" t="s">
        <v>88</v>
      </c>
      <c r="E2023" t="s">
        <v>40</v>
      </c>
      <c r="F2023" t="s">
        <v>23</v>
      </c>
      <c r="G2023" t="s">
        <v>33</v>
      </c>
      <c r="H2023" t="s">
        <v>25</v>
      </c>
      <c r="I2023" t="s">
        <v>68</v>
      </c>
      <c r="J2023" t="s">
        <v>60</v>
      </c>
      <c r="K2023">
        <v>7</v>
      </c>
      <c r="L2023">
        <v>78258</v>
      </c>
      <c r="M2023" t="s">
        <v>36</v>
      </c>
      <c r="N2023">
        <v>4</v>
      </c>
      <c r="O2023">
        <v>3</v>
      </c>
      <c r="P2023">
        <v>51</v>
      </c>
      <c r="Q2023">
        <v>3</v>
      </c>
      <c r="R2023" s="1">
        <v>42375</v>
      </c>
      <c r="S2023" t="s">
        <v>37</v>
      </c>
      <c r="T2023" t="str">
        <f t="shared" si="155"/>
        <v>Grade B</v>
      </c>
      <c r="U2023">
        <f t="shared" si="156"/>
        <v>1</v>
      </c>
      <c r="V2023" t="str">
        <f t="shared" si="157"/>
        <v>Mid Level</v>
      </c>
      <c r="W2023" t="str">
        <f t="shared" si="158"/>
        <v>Already Left</v>
      </c>
      <c r="X2023" t="str">
        <f t="shared" si="159"/>
        <v>Fair</v>
      </c>
    </row>
    <row r="2024" spans="1:24" x14ac:dyDescent="0.3">
      <c r="A2024" t="s">
        <v>2092</v>
      </c>
      <c r="B2024" t="s">
        <v>20</v>
      </c>
      <c r="C2024">
        <v>34</v>
      </c>
      <c r="D2024" t="s">
        <v>21</v>
      </c>
      <c r="E2024" t="s">
        <v>48</v>
      </c>
      <c r="F2024" t="s">
        <v>53</v>
      </c>
      <c r="G2024" t="s">
        <v>49</v>
      </c>
      <c r="H2024" t="s">
        <v>83</v>
      </c>
      <c r="I2024" t="s">
        <v>26</v>
      </c>
      <c r="J2024" t="s">
        <v>27</v>
      </c>
      <c r="K2024">
        <v>6</v>
      </c>
      <c r="L2024">
        <v>54367</v>
      </c>
      <c r="M2024" t="s">
        <v>36</v>
      </c>
      <c r="N2024">
        <v>2</v>
      </c>
      <c r="O2024">
        <v>4</v>
      </c>
      <c r="P2024">
        <v>26</v>
      </c>
      <c r="Q2024">
        <v>0</v>
      </c>
      <c r="R2024" s="1">
        <v>42903</v>
      </c>
      <c r="S2024" t="s">
        <v>29</v>
      </c>
      <c r="T2024" t="str">
        <f t="shared" si="155"/>
        <v>Grade B</v>
      </c>
      <c r="U2024">
        <f t="shared" si="156"/>
        <v>1</v>
      </c>
      <c r="V2024" t="str">
        <f t="shared" si="157"/>
        <v>Mid Level</v>
      </c>
      <c r="W2024" t="str">
        <f t="shared" si="158"/>
        <v>Medium Risk</v>
      </c>
      <c r="X2024" t="str">
        <f t="shared" si="159"/>
        <v>Fair</v>
      </c>
    </row>
    <row r="2025" spans="1:24" x14ac:dyDescent="0.3">
      <c r="A2025" t="s">
        <v>2093</v>
      </c>
      <c r="B2025" t="s">
        <v>39</v>
      </c>
      <c r="C2025">
        <v>22</v>
      </c>
      <c r="D2025" t="s">
        <v>57</v>
      </c>
      <c r="E2025" t="s">
        <v>22</v>
      </c>
      <c r="F2025" t="s">
        <v>78</v>
      </c>
      <c r="G2025" t="s">
        <v>42</v>
      </c>
      <c r="H2025" t="s">
        <v>25</v>
      </c>
      <c r="I2025" t="s">
        <v>50</v>
      </c>
      <c r="J2025" t="s">
        <v>44</v>
      </c>
      <c r="K2025">
        <v>5</v>
      </c>
      <c r="L2025">
        <v>102204</v>
      </c>
      <c r="M2025" t="s">
        <v>51</v>
      </c>
      <c r="N2025">
        <v>3</v>
      </c>
      <c r="O2025">
        <v>3</v>
      </c>
      <c r="P2025">
        <v>55</v>
      </c>
      <c r="Q2025">
        <v>1</v>
      </c>
      <c r="R2025" s="1">
        <v>43142</v>
      </c>
      <c r="S2025" t="s">
        <v>37</v>
      </c>
      <c r="T2025" t="str">
        <f t="shared" si="155"/>
        <v>Grade A</v>
      </c>
      <c r="U2025">
        <f t="shared" si="156"/>
        <v>4</v>
      </c>
      <c r="V2025" t="str">
        <f t="shared" si="157"/>
        <v>Junior</v>
      </c>
      <c r="W2025" t="str">
        <f t="shared" si="158"/>
        <v>Already Left</v>
      </c>
      <c r="X2025" t="str">
        <f t="shared" si="159"/>
        <v>Competitive</v>
      </c>
    </row>
    <row r="2026" spans="1:24" x14ac:dyDescent="0.3">
      <c r="A2026" t="s">
        <v>2094</v>
      </c>
      <c r="B2026" t="s">
        <v>39</v>
      </c>
      <c r="C2026">
        <v>26</v>
      </c>
      <c r="D2026" t="s">
        <v>88</v>
      </c>
      <c r="E2026" t="s">
        <v>40</v>
      </c>
      <c r="F2026" t="s">
        <v>75</v>
      </c>
      <c r="G2026" t="s">
        <v>33</v>
      </c>
      <c r="H2026" t="s">
        <v>25</v>
      </c>
      <c r="I2026" t="s">
        <v>54</v>
      </c>
      <c r="J2026" t="s">
        <v>27</v>
      </c>
      <c r="K2026">
        <v>12</v>
      </c>
      <c r="L2026">
        <v>84219</v>
      </c>
      <c r="M2026" t="s">
        <v>45</v>
      </c>
      <c r="N2026">
        <v>4</v>
      </c>
      <c r="O2026">
        <v>1</v>
      </c>
      <c r="P2026">
        <v>25</v>
      </c>
      <c r="Q2026">
        <v>2</v>
      </c>
      <c r="R2026" s="1">
        <v>40808</v>
      </c>
      <c r="S2026" t="s">
        <v>29</v>
      </c>
      <c r="T2026" t="str">
        <f t="shared" si="155"/>
        <v>Grade A</v>
      </c>
      <c r="U2026">
        <f t="shared" si="156"/>
        <v>2</v>
      </c>
      <c r="V2026" t="str">
        <f t="shared" si="157"/>
        <v>Senior</v>
      </c>
      <c r="W2026" t="str">
        <f t="shared" si="158"/>
        <v>Medium Risk</v>
      </c>
      <c r="X2026" t="str">
        <f t="shared" si="159"/>
        <v>Fair</v>
      </c>
    </row>
    <row r="2027" spans="1:24" x14ac:dyDescent="0.3">
      <c r="A2027" t="s">
        <v>2095</v>
      </c>
      <c r="B2027" t="s">
        <v>20</v>
      </c>
      <c r="C2027">
        <v>23</v>
      </c>
      <c r="D2027" t="s">
        <v>21</v>
      </c>
      <c r="E2027" t="s">
        <v>22</v>
      </c>
      <c r="F2027" t="s">
        <v>32</v>
      </c>
      <c r="G2027" t="s">
        <v>33</v>
      </c>
      <c r="H2027" t="s">
        <v>67</v>
      </c>
      <c r="I2027" t="s">
        <v>59</v>
      </c>
      <c r="J2027" t="s">
        <v>60</v>
      </c>
      <c r="K2027">
        <v>13</v>
      </c>
      <c r="L2027">
        <v>81394</v>
      </c>
      <c r="M2027" t="s">
        <v>45</v>
      </c>
      <c r="N2027">
        <v>1</v>
      </c>
      <c r="O2027">
        <v>2</v>
      </c>
      <c r="P2027">
        <v>48</v>
      </c>
      <c r="Q2027">
        <v>1</v>
      </c>
      <c r="R2027" s="1">
        <v>40326</v>
      </c>
      <c r="S2027" t="s">
        <v>29</v>
      </c>
      <c r="T2027" t="str">
        <f t="shared" si="155"/>
        <v>Grade A</v>
      </c>
      <c r="U2027">
        <f t="shared" si="156"/>
        <v>2</v>
      </c>
      <c r="V2027" t="str">
        <f t="shared" si="157"/>
        <v>Senior</v>
      </c>
      <c r="W2027" t="str">
        <f t="shared" si="158"/>
        <v>Medium Risk</v>
      </c>
      <c r="X2027" t="str">
        <f t="shared" si="159"/>
        <v>Fair</v>
      </c>
    </row>
    <row r="2028" spans="1:24" x14ac:dyDescent="0.3">
      <c r="A2028" t="s">
        <v>2096</v>
      </c>
      <c r="B2028" t="s">
        <v>39</v>
      </c>
      <c r="C2028">
        <v>52</v>
      </c>
      <c r="D2028" t="s">
        <v>88</v>
      </c>
      <c r="E2028" t="s">
        <v>48</v>
      </c>
      <c r="F2028" t="s">
        <v>62</v>
      </c>
      <c r="G2028" t="s">
        <v>66</v>
      </c>
      <c r="H2028" t="s">
        <v>34</v>
      </c>
      <c r="I2028" t="s">
        <v>80</v>
      </c>
      <c r="J2028" t="s">
        <v>60</v>
      </c>
      <c r="K2028">
        <v>6</v>
      </c>
      <c r="L2028">
        <v>55073</v>
      </c>
      <c r="M2028" t="s">
        <v>36</v>
      </c>
      <c r="N2028">
        <v>1</v>
      </c>
      <c r="O2028">
        <v>2</v>
      </c>
      <c r="P2028">
        <v>24</v>
      </c>
      <c r="Q2028">
        <v>2</v>
      </c>
      <c r="R2028" s="1">
        <v>43067</v>
      </c>
      <c r="S2028" t="s">
        <v>29</v>
      </c>
      <c r="T2028" t="str">
        <f t="shared" si="155"/>
        <v>Grade B</v>
      </c>
      <c r="U2028">
        <f t="shared" si="156"/>
        <v>1</v>
      </c>
      <c r="V2028" t="str">
        <f t="shared" si="157"/>
        <v>Mid Level</v>
      </c>
      <c r="W2028" t="str">
        <f t="shared" si="158"/>
        <v>Medium Risk</v>
      </c>
      <c r="X2028" t="str">
        <f t="shared" si="159"/>
        <v>Fair</v>
      </c>
    </row>
    <row r="2029" spans="1:24" x14ac:dyDescent="0.3">
      <c r="A2029" t="s">
        <v>2097</v>
      </c>
      <c r="B2029" t="s">
        <v>39</v>
      </c>
      <c r="C2029">
        <v>53</v>
      </c>
      <c r="D2029" t="s">
        <v>31</v>
      </c>
      <c r="E2029" t="s">
        <v>40</v>
      </c>
      <c r="F2029" t="s">
        <v>53</v>
      </c>
      <c r="G2029" t="s">
        <v>33</v>
      </c>
      <c r="H2029" t="s">
        <v>76</v>
      </c>
      <c r="I2029" t="s">
        <v>54</v>
      </c>
      <c r="J2029" t="s">
        <v>27</v>
      </c>
      <c r="K2029">
        <v>4</v>
      </c>
      <c r="L2029">
        <v>72323</v>
      </c>
      <c r="M2029" t="s">
        <v>45</v>
      </c>
      <c r="N2029">
        <v>1</v>
      </c>
      <c r="O2029">
        <v>2</v>
      </c>
      <c r="P2029">
        <v>37</v>
      </c>
      <c r="Q2029">
        <v>0</v>
      </c>
      <c r="R2029" s="1">
        <v>43569</v>
      </c>
      <c r="S2029" t="s">
        <v>29</v>
      </c>
      <c r="T2029" t="str">
        <f t="shared" si="155"/>
        <v>Grade B</v>
      </c>
      <c r="U2029">
        <f t="shared" si="156"/>
        <v>2</v>
      </c>
      <c r="V2029" t="str">
        <f t="shared" si="157"/>
        <v>Junior</v>
      </c>
      <c r="W2029" t="str">
        <f t="shared" si="158"/>
        <v>Medium Risk</v>
      </c>
      <c r="X2029" t="str">
        <f t="shared" si="159"/>
        <v>Fair</v>
      </c>
    </row>
    <row r="2030" spans="1:24" x14ac:dyDescent="0.3">
      <c r="A2030" t="s">
        <v>2098</v>
      </c>
      <c r="B2030" t="s">
        <v>20</v>
      </c>
      <c r="C2030">
        <v>22</v>
      </c>
      <c r="D2030" t="s">
        <v>31</v>
      </c>
      <c r="E2030" t="s">
        <v>48</v>
      </c>
      <c r="F2030" t="s">
        <v>53</v>
      </c>
      <c r="G2030" t="s">
        <v>66</v>
      </c>
      <c r="H2030" t="s">
        <v>67</v>
      </c>
      <c r="I2030" t="s">
        <v>68</v>
      </c>
      <c r="J2030" t="s">
        <v>60</v>
      </c>
      <c r="K2030">
        <v>14</v>
      </c>
      <c r="L2030">
        <v>61652</v>
      </c>
      <c r="M2030" t="s">
        <v>28</v>
      </c>
      <c r="N2030">
        <v>2</v>
      </c>
      <c r="O2030">
        <v>1</v>
      </c>
      <c r="P2030">
        <v>49</v>
      </c>
      <c r="Q2030">
        <v>1</v>
      </c>
      <c r="R2030" s="1">
        <v>40162</v>
      </c>
      <c r="S2030" t="s">
        <v>29</v>
      </c>
      <c r="T2030" t="str">
        <f t="shared" si="155"/>
        <v>Grade B</v>
      </c>
      <c r="U2030">
        <f t="shared" si="156"/>
        <v>3</v>
      </c>
      <c r="V2030" t="str">
        <f t="shared" si="157"/>
        <v>Senior</v>
      </c>
      <c r="W2030" t="str">
        <f t="shared" si="158"/>
        <v>Medium Risk</v>
      </c>
      <c r="X2030" t="str">
        <f t="shared" si="159"/>
        <v>Competitive</v>
      </c>
    </row>
    <row r="2031" spans="1:24" x14ac:dyDescent="0.3">
      <c r="A2031" t="s">
        <v>2099</v>
      </c>
      <c r="B2031" t="s">
        <v>39</v>
      </c>
      <c r="C2031">
        <v>47</v>
      </c>
      <c r="D2031" t="s">
        <v>57</v>
      </c>
      <c r="E2031" t="s">
        <v>48</v>
      </c>
      <c r="F2031" t="s">
        <v>78</v>
      </c>
      <c r="G2031" t="s">
        <v>33</v>
      </c>
      <c r="H2031" t="s">
        <v>25</v>
      </c>
      <c r="I2031" t="s">
        <v>43</v>
      </c>
      <c r="J2031" t="s">
        <v>44</v>
      </c>
      <c r="K2031">
        <v>8</v>
      </c>
      <c r="L2031">
        <v>74383</v>
      </c>
      <c r="M2031" t="s">
        <v>36</v>
      </c>
      <c r="N2031">
        <v>3</v>
      </c>
      <c r="O2031">
        <v>4</v>
      </c>
      <c r="P2031">
        <v>11</v>
      </c>
      <c r="Q2031">
        <v>0</v>
      </c>
      <c r="R2031" s="1">
        <v>42363</v>
      </c>
      <c r="S2031" t="s">
        <v>37</v>
      </c>
      <c r="T2031" t="str">
        <f t="shared" si="155"/>
        <v>Grade B</v>
      </c>
      <c r="U2031">
        <f t="shared" si="156"/>
        <v>1</v>
      </c>
      <c r="V2031" t="str">
        <f t="shared" si="157"/>
        <v>Mid Level</v>
      </c>
      <c r="W2031" t="str">
        <f t="shared" si="158"/>
        <v>Already Left</v>
      </c>
      <c r="X2031" t="str">
        <f t="shared" si="159"/>
        <v>Fair</v>
      </c>
    </row>
    <row r="2032" spans="1:24" x14ac:dyDescent="0.3">
      <c r="A2032" t="s">
        <v>2100</v>
      </c>
      <c r="B2032" t="s">
        <v>39</v>
      </c>
      <c r="C2032">
        <v>29</v>
      </c>
      <c r="D2032" t="s">
        <v>88</v>
      </c>
      <c r="E2032" t="s">
        <v>22</v>
      </c>
      <c r="F2032" t="s">
        <v>75</v>
      </c>
      <c r="G2032" t="s">
        <v>24</v>
      </c>
      <c r="H2032" t="s">
        <v>67</v>
      </c>
      <c r="I2032" t="s">
        <v>96</v>
      </c>
      <c r="J2032" t="s">
        <v>44</v>
      </c>
      <c r="K2032">
        <v>14</v>
      </c>
      <c r="L2032">
        <v>96936</v>
      </c>
      <c r="M2032" t="s">
        <v>28</v>
      </c>
      <c r="N2032">
        <v>4</v>
      </c>
      <c r="O2032">
        <v>2</v>
      </c>
      <c r="P2032">
        <v>71</v>
      </c>
      <c r="Q2032">
        <v>2</v>
      </c>
      <c r="R2032" s="1">
        <v>39831</v>
      </c>
      <c r="S2032" t="s">
        <v>29</v>
      </c>
      <c r="T2032" t="str">
        <f t="shared" si="155"/>
        <v>Grade A</v>
      </c>
      <c r="U2032">
        <f t="shared" si="156"/>
        <v>3</v>
      </c>
      <c r="V2032" t="str">
        <f t="shared" si="157"/>
        <v>Senior</v>
      </c>
      <c r="W2032" t="str">
        <f t="shared" si="158"/>
        <v>Medium Risk</v>
      </c>
      <c r="X2032" t="str">
        <f t="shared" si="159"/>
        <v>Competitive</v>
      </c>
    </row>
    <row r="2033" spans="1:24" x14ac:dyDescent="0.3">
      <c r="A2033" t="s">
        <v>2101</v>
      </c>
      <c r="B2033" t="s">
        <v>39</v>
      </c>
      <c r="C2033">
        <v>41</v>
      </c>
      <c r="D2033" t="s">
        <v>31</v>
      </c>
      <c r="E2033" t="s">
        <v>40</v>
      </c>
      <c r="F2033" t="s">
        <v>53</v>
      </c>
      <c r="G2033" t="s">
        <v>49</v>
      </c>
      <c r="H2033" t="s">
        <v>76</v>
      </c>
      <c r="I2033" t="s">
        <v>96</v>
      </c>
      <c r="J2033" t="s">
        <v>44</v>
      </c>
      <c r="K2033">
        <v>12</v>
      </c>
      <c r="L2033">
        <v>83618</v>
      </c>
      <c r="M2033" t="s">
        <v>45</v>
      </c>
      <c r="N2033">
        <v>4</v>
      </c>
      <c r="O2033">
        <v>2</v>
      </c>
      <c r="P2033">
        <v>14</v>
      </c>
      <c r="Q2033">
        <v>3</v>
      </c>
      <c r="R2033" s="1">
        <v>40811</v>
      </c>
      <c r="S2033" t="s">
        <v>29</v>
      </c>
      <c r="T2033" t="str">
        <f t="shared" si="155"/>
        <v>Grade A</v>
      </c>
      <c r="U2033">
        <f t="shared" si="156"/>
        <v>2</v>
      </c>
      <c r="V2033" t="str">
        <f t="shared" si="157"/>
        <v>Senior</v>
      </c>
      <c r="W2033" t="str">
        <f t="shared" si="158"/>
        <v>Medium Risk</v>
      </c>
      <c r="X2033" t="str">
        <f t="shared" si="159"/>
        <v>Fair</v>
      </c>
    </row>
    <row r="2034" spans="1:24" x14ac:dyDescent="0.3">
      <c r="A2034" t="s">
        <v>2102</v>
      </c>
      <c r="B2034" t="s">
        <v>39</v>
      </c>
      <c r="C2034">
        <v>38</v>
      </c>
      <c r="D2034" t="s">
        <v>31</v>
      </c>
      <c r="E2034" t="s">
        <v>22</v>
      </c>
      <c r="F2034" t="s">
        <v>75</v>
      </c>
      <c r="G2034" t="s">
        <v>66</v>
      </c>
      <c r="H2034" t="s">
        <v>83</v>
      </c>
      <c r="I2034" t="s">
        <v>43</v>
      </c>
      <c r="J2034" t="s">
        <v>44</v>
      </c>
      <c r="K2034">
        <v>9</v>
      </c>
      <c r="L2034">
        <v>50589</v>
      </c>
      <c r="M2034" t="s">
        <v>45</v>
      </c>
      <c r="N2034">
        <v>3</v>
      </c>
      <c r="O2034">
        <v>3</v>
      </c>
      <c r="P2034">
        <v>21</v>
      </c>
      <c r="Q2034">
        <v>0</v>
      </c>
      <c r="R2034" s="1">
        <v>41914</v>
      </c>
      <c r="S2034" t="s">
        <v>37</v>
      </c>
      <c r="T2034" t="str">
        <f t="shared" si="155"/>
        <v>Grade B</v>
      </c>
      <c r="U2034">
        <f t="shared" si="156"/>
        <v>2</v>
      </c>
      <c r="V2034" t="str">
        <f t="shared" si="157"/>
        <v>Mid Level</v>
      </c>
      <c r="W2034" t="str">
        <f t="shared" si="158"/>
        <v>Already Left</v>
      </c>
      <c r="X2034" t="str">
        <f t="shared" si="159"/>
        <v>Fair</v>
      </c>
    </row>
    <row r="2035" spans="1:24" x14ac:dyDescent="0.3">
      <c r="A2035" t="s">
        <v>2103</v>
      </c>
      <c r="B2035" t="s">
        <v>39</v>
      </c>
      <c r="C2035">
        <v>46</v>
      </c>
      <c r="D2035" t="s">
        <v>47</v>
      </c>
      <c r="E2035" t="s">
        <v>48</v>
      </c>
      <c r="F2035" t="s">
        <v>62</v>
      </c>
      <c r="G2035" t="s">
        <v>24</v>
      </c>
      <c r="H2035" t="s">
        <v>76</v>
      </c>
      <c r="I2035" t="s">
        <v>35</v>
      </c>
      <c r="J2035" t="s">
        <v>27</v>
      </c>
      <c r="K2035">
        <v>2</v>
      </c>
      <c r="L2035">
        <v>77565</v>
      </c>
      <c r="M2035" t="s">
        <v>45</v>
      </c>
      <c r="N2035">
        <v>1</v>
      </c>
      <c r="O2035">
        <v>4</v>
      </c>
      <c r="P2035">
        <v>12</v>
      </c>
      <c r="Q2035">
        <v>2</v>
      </c>
      <c r="R2035" s="1">
        <v>44502</v>
      </c>
      <c r="S2035" t="s">
        <v>29</v>
      </c>
      <c r="T2035" t="str">
        <f t="shared" si="155"/>
        <v>Grade B</v>
      </c>
      <c r="U2035">
        <f t="shared" si="156"/>
        <v>2</v>
      </c>
      <c r="V2035" t="str">
        <f t="shared" si="157"/>
        <v>New Joiner</v>
      </c>
      <c r="W2035" t="str">
        <f t="shared" si="158"/>
        <v>Medium Risk</v>
      </c>
      <c r="X2035" t="str">
        <f t="shared" si="159"/>
        <v>Fair</v>
      </c>
    </row>
    <row r="2036" spans="1:24" x14ac:dyDescent="0.3">
      <c r="A2036" t="s">
        <v>2104</v>
      </c>
      <c r="B2036" t="s">
        <v>20</v>
      </c>
      <c r="C2036">
        <v>45</v>
      </c>
      <c r="D2036" t="s">
        <v>88</v>
      </c>
      <c r="E2036" t="s">
        <v>40</v>
      </c>
      <c r="F2036" t="s">
        <v>32</v>
      </c>
      <c r="G2036" t="s">
        <v>79</v>
      </c>
      <c r="H2036" t="s">
        <v>76</v>
      </c>
      <c r="I2036" t="s">
        <v>35</v>
      </c>
      <c r="J2036" t="s">
        <v>27</v>
      </c>
      <c r="K2036">
        <v>11</v>
      </c>
      <c r="L2036">
        <v>54725</v>
      </c>
      <c r="M2036" t="s">
        <v>45</v>
      </c>
      <c r="N2036">
        <v>3</v>
      </c>
      <c r="O2036">
        <v>3</v>
      </c>
      <c r="P2036">
        <v>31</v>
      </c>
      <c r="Q2036">
        <v>0</v>
      </c>
      <c r="R2036" s="1">
        <v>41104</v>
      </c>
      <c r="S2036" t="s">
        <v>29</v>
      </c>
      <c r="T2036" t="str">
        <f t="shared" si="155"/>
        <v>Grade B</v>
      </c>
      <c r="U2036">
        <f t="shared" si="156"/>
        <v>2</v>
      </c>
      <c r="V2036" t="str">
        <f t="shared" si="157"/>
        <v>Senior</v>
      </c>
      <c r="W2036" t="str">
        <f t="shared" si="158"/>
        <v>Medium Risk</v>
      </c>
      <c r="X2036" t="str">
        <f t="shared" si="159"/>
        <v>Fair</v>
      </c>
    </row>
    <row r="2037" spans="1:24" x14ac:dyDescent="0.3">
      <c r="A2037" t="s">
        <v>2105</v>
      </c>
      <c r="B2037" t="s">
        <v>20</v>
      </c>
      <c r="C2037">
        <v>43</v>
      </c>
      <c r="D2037" t="s">
        <v>88</v>
      </c>
      <c r="E2037" t="s">
        <v>48</v>
      </c>
      <c r="F2037" t="s">
        <v>32</v>
      </c>
      <c r="G2037" t="s">
        <v>79</v>
      </c>
      <c r="H2037" t="s">
        <v>76</v>
      </c>
      <c r="I2037" t="s">
        <v>54</v>
      </c>
      <c r="J2037" t="s">
        <v>27</v>
      </c>
      <c r="K2037">
        <v>15</v>
      </c>
      <c r="L2037">
        <v>66834</v>
      </c>
      <c r="M2037" t="s">
        <v>28</v>
      </c>
      <c r="N2037">
        <v>2</v>
      </c>
      <c r="O2037">
        <v>4</v>
      </c>
      <c r="P2037">
        <v>61</v>
      </c>
      <c r="Q2037">
        <v>3</v>
      </c>
      <c r="R2037" s="1">
        <v>39718</v>
      </c>
      <c r="S2037" t="s">
        <v>29</v>
      </c>
      <c r="T2037" t="str">
        <f t="shared" si="155"/>
        <v>Grade B</v>
      </c>
      <c r="U2037">
        <f t="shared" si="156"/>
        <v>3</v>
      </c>
      <c r="V2037" t="str">
        <f t="shared" si="157"/>
        <v>Senior</v>
      </c>
      <c r="W2037" t="str">
        <f t="shared" si="158"/>
        <v>Medium Risk</v>
      </c>
      <c r="X2037" t="str">
        <f t="shared" si="159"/>
        <v>Competitive</v>
      </c>
    </row>
    <row r="2038" spans="1:24" x14ac:dyDescent="0.3">
      <c r="A2038" t="s">
        <v>2106</v>
      </c>
      <c r="B2038" t="s">
        <v>39</v>
      </c>
      <c r="C2038">
        <v>41</v>
      </c>
      <c r="D2038" t="s">
        <v>21</v>
      </c>
      <c r="E2038" t="s">
        <v>48</v>
      </c>
      <c r="F2038" t="s">
        <v>78</v>
      </c>
      <c r="G2038" t="s">
        <v>49</v>
      </c>
      <c r="H2038" t="s">
        <v>76</v>
      </c>
      <c r="I2038" t="s">
        <v>43</v>
      </c>
      <c r="J2038" t="s">
        <v>44</v>
      </c>
      <c r="K2038">
        <v>6</v>
      </c>
      <c r="L2038">
        <v>63825</v>
      </c>
      <c r="M2038" t="s">
        <v>36</v>
      </c>
      <c r="N2038">
        <v>3</v>
      </c>
      <c r="O2038">
        <v>1</v>
      </c>
      <c r="P2038">
        <v>54</v>
      </c>
      <c r="Q2038">
        <v>1</v>
      </c>
      <c r="R2038" s="1">
        <v>43066</v>
      </c>
      <c r="S2038" t="s">
        <v>37</v>
      </c>
      <c r="T2038" t="str">
        <f t="shared" si="155"/>
        <v>Grade B</v>
      </c>
      <c r="U2038">
        <f t="shared" si="156"/>
        <v>1</v>
      </c>
      <c r="V2038" t="str">
        <f t="shared" si="157"/>
        <v>Mid Level</v>
      </c>
      <c r="W2038" t="str">
        <f t="shared" si="158"/>
        <v>Already Left</v>
      </c>
      <c r="X2038" t="str">
        <f t="shared" si="159"/>
        <v>Fair</v>
      </c>
    </row>
    <row r="2039" spans="1:24" x14ac:dyDescent="0.3">
      <c r="A2039" t="s">
        <v>2107</v>
      </c>
      <c r="B2039" t="s">
        <v>39</v>
      </c>
      <c r="C2039">
        <v>22</v>
      </c>
      <c r="D2039" t="s">
        <v>57</v>
      </c>
      <c r="E2039" t="s">
        <v>48</v>
      </c>
      <c r="F2039" t="s">
        <v>23</v>
      </c>
      <c r="G2039" t="s">
        <v>63</v>
      </c>
      <c r="H2039" t="s">
        <v>34</v>
      </c>
      <c r="I2039" t="s">
        <v>35</v>
      </c>
      <c r="J2039" t="s">
        <v>27</v>
      </c>
      <c r="K2039">
        <v>3</v>
      </c>
      <c r="L2039">
        <v>57101</v>
      </c>
      <c r="M2039" t="s">
        <v>45</v>
      </c>
      <c r="N2039">
        <v>1</v>
      </c>
      <c r="O2039">
        <v>3</v>
      </c>
      <c r="P2039">
        <v>13</v>
      </c>
      <c r="Q2039">
        <v>0</v>
      </c>
      <c r="R2039" s="1">
        <v>44099</v>
      </c>
      <c r="S2039" t="s">
        <v>29</v>
      </c>
      <c r="T2039" t="str">
        <f t="shared" si="155"/>
        <v>Grade B</v>
      </c>
      <c r="U2039">
        <f t="shared" si="156"/>
        <v>2</v>
      </c>
      <c r="V2039" t="str">
        <f t="shared" si="157"/>
        <v>Junior</v>
      </c>
      <c r="W2039" t="str">
        <f t="shared" si="158"/>
        <v>Medium Risk</v>
      </c>
      <c r="X2039" t="str">
        <f t="shared" si="159"/>
        <v>Fair</v>
      </c>
    </row>
    <row r="2040" spans="1:24" x14ac:dyDescent="0.3">
      <c r="A2040" t="s">
        <v>2108</v>
      </c>
      <c r="B2040" t="s">
        <v>39</v>
      </c>
      <c r="C2040">
        <v>41</v>
      </c>
      <c r="D2040" t="s">
        <v>31</v>
      </c>
      <c r="E2040" t="s">
        <v>22</v>
      </c>
      <c r="F2040" t="s">
        <v>41</v>
      </c>
      <c r="G2040" t="s">
        <v>79</v>
      </c>
      <c r="H2040" t="s">
        <v>83</v>
      </c>
      <c r="I2040" t="s">
        <v>26</v>
      </c>
      <c r="J2040" t="s">
        <v>27</v>
      </c>
      <c r="K2040">
        <v>10</v>
      </c>
      <c r="L2040">
        <v>60954</v>
      </c>
      <c r="M2040" t="s">
        <v>28</v>
      </c>
      <c r="N2040">
        <v>2</v>
      </c>
      <c r="O2040">
        <v>4</v>
      </c>
      <c r="P2040">
        <v>42</v>
      </c>
      <c r="Q2040">
        <v>3</v>
      </c>
      <c r="R2040" s="1">
        <v>41373</v>
      </c>
      <c r="S2040" t="s">
        <v>29</v>
      </c>
      <c r="T2040" t="str">
        <f t="shared" si="155"/>
        <v>Grade B</v>
      </c>
      <c r="U2040">
        <f t="shared" si="156"/>
        <v>3</v>
      </c>
      <c r="V2040" t="str">
        <f t="shared" si="157"/>
        <v>Mid Level</v>
      </c>
      <c r="W2040" t="str">
        <f t="shared" si="158"/>
        <v>Medium Risk</v>
      </c>
      <c r="X2040" t="str">
        <f t="shared" si="159"/>
        <v>Competitive</v>
      </c>
    </row>
    <row r="2041" spans="1:24" x14ac:dyDescent="0.3">
      <c r="A2041" t="s">
        <v>2109</v>
      </c>
      <c r="B2041" t="s">
        <v>20</v>
      </c>
      <c r="C2041">
        <v>28</v>
      </c>
      <c r="D2041" t="s">
        <v>57</v>
      </c>
      <c r="E2041" t="s">
        <v>48</v>
      </c>
      <c r="F2041" t="s">
        <v>53</v>
      </c>
      <c r="G2041" t="s">
        <v>58</v>
      </c>
      <c r="H2041" t="s">
        <v>83</v>
      </c>
      <c r="I2041" t="s">
        <v>54</v>
      </c>
      <c r="J2041" t="s">
        <v>27</v>
      </c>
      <c r="K2041">
        <v>10</v>
      </c>
      <c r="L2041">
        <v>97851</v>
      </c>
      <c r="M2041" t="s">
        <v>45</v>
      </c>
      <c r="N2041">
        <v>4</v>
      </c>
      <c r="O2041">
        <v>1</v>
      </c>
      <c r="P2041">
        <v>49</v>
      </c>
      <c r="Q2041">
        <v>0</v>
      </c>
      <c r="R2041" s="1">
        <v>41374</v>
      </c>
      <c r="S2041" t="s">
        <v>37</v>
      </c>
      <c r="T2041" t="str">
        <f t="shared" si="155"/>
        <v>Grade A</v>
      </c>
      <c r="U2041">
        <f t="shared" si="156"/>
        <v>2</v>
      </c>
      <c r="V2041" t="str">
        <f t="shared" si="157"/>
        <v>Mid Level</v>
      </c>
      <c r="W2041" t="str">
        <f t="shared" si="158"/>
        <v>Already Left</v>
      </c>
      <c r="X2041" t="str">
        <f t="shared" si="159"/>
        <v>Fair</v>
      </c>
    </row>
    <row r="2042" spans="1:24" x14ac:dyDescent="0.3">
      <c r="A2042" t="s">
        <v>2110</v>
      </c>
      <c r="B2042" t="s">
        <v>39</v>
      </c>
      <c r="C2042">
        <v>46</v>
      </c>
      <c r="D2042" t="s">
        <v>57</v>
      </c>
      <c r="E2042" t="s">
        <v>22</v>
      </c>
      <c r="F2042" t="s">
        <v>78</v>
      </c>
      <c r="G2042" t="s">
        <v>33</v>
      </c>
      <c r="H2042" t="s">
        <v>67</v>
      </c>
      <c r="I2042" t="s">
        <v>72</v>
      </c>
      <c r="J2042" t="s">
        <v>73</v>
      </c>
      <c r="K2042">
        <v>7</v>
      </c>
      <c r="L2042">
        <v>82752</v>
      </c>
      <c r="M2042" t="s">
        <v>51</v>
      </c>
      <c r="N2042">
        <v>1</v>
      </c>
      <c r="O2042">
        <v>4</v>
      </c>
      <c r="P2042">
        <v>25</v>
      </c>
      <c r="Q2042">
        <v>0</v>
      </c>
      <c r="R2042" s="1">
        <v>42501</v>
      </c>
      <c r="S2042" t="s">
        <v>29</v>
      </c>
      <c r="T2042" t="str">
        <f t="shared" si="155"/>
        <v>Grade A</v>
      </c>
      <c r="U2042">
        <f t="shared" si="156"/>
        <v>4</v>
      </c>
      <c r="V2042" t="str">
        <f t="shared" si="157"/>
        <v>Mid Level</v>
      </c>
      <c r="W2042" t="str">
        <f t="shared" si="158"/>
        <v>Low Risk</v>
      </c>
      <c r="X2042" t="str">
        <f t="shared" si="159"/>
        <v>Competitive</v>
      </c>
    </row>
    <row r="2043" spans="1:24" x14ac:dyDescent="0.3">
      <c r="A2043" t="s">
        <v>2111</v>
      </c>
      <c r="B2043" t="s">
        <v>20</v>
      </c>
      <c r="C2043">
        <v>54</v>
      </c>
      <c r="D2043" t="s">
        <v>57</v>
      </c>
      <c r="E2043" t="s">
        <v>40</v>
      </c>
      <c r="F2043" t="s">
        <v>32</v>
      </c>
      <c r="G2043" t="s">
        <v>42</v>
      </c>
      <c r="H2043" t="s">
        <v>76</v>
      </c>
      <c r="I2043" t="s">
        <v>68</v>
      </c>
      <c r="J2043" t="s">
        <v>60</v>
      </c>
      <c r="K2043">
        <v>7</v>
      </c>
      <c r="L2043">
        <v>106330</v>
      </c>
      <c r="M2043" t="s">
        <v>28</v>
      </c>
      <c r="N2043">
        <v>4</v>
      </c>
      <c r="O2043">
        <v>2</v>
      </c>
      <c r="P2043">
        <v>44</v>
      </c>
      <c r="Q2043">
        <v>2</v>
      </c>
      <c r="R2043" s="1">
        <v>42708</v>
      </c>
      <c r="S2043" t="s">
        <v>29</v>
      </c>
      <c r="T2043" t="str">
        <f t="shared" si="155"/>
        <v>Grade A</v>
      </c>
      <c r="U2043">
        <f t="shared" si="156"/>
        <v>3</v>
      </c>
      <c r="V2043" t="str">
        <f t="shared" si="157"/>
        <v>Mid Level</v>
      </c>
      <c r="W2043" t="str">
        <f t="shared" si="158"/>
        <v>Medium Risk</v>
      </c>
      <c r="X2043" t="str">
        <f t="shared" si="159"/>
        <v>Competitive</v>
      </c>
    </row>
    <row r="2044" spans="1:24" x14ac:dyDescent="0.3">
      <c r="A2044" t="s">
        <v>2112</v>
      </c>
      <c r="B2044" t="s">
        <v>20</v>
      </c>
      <c r="C2044">
        <v>22</v>
      </c>
      <c r="D2044" t="s">
        <v>21</v>
      </c>
      <c r="E2044" t="s">
        <v>22</v>
      </c>
      <c r="F2044" t="s">
        <v>78</v>
      </c>
      <c r="G2044" t="s">
        <v>33</v>
      </c>
      <c r="H2044" t="s">
        <v>83</v>
      </c>
      <c r="I2044" t="s">
        <v>54</v>
      </c>
      <c r="J2044" t="s">
        <v>27</v>
      </c>
      <c r="K2044">
        <v>6</v>
      </c>
      <c r="L2044">
        <v>68405</v>
      </c>
      <c r="M2044" t="s">
        <v>45</v>
      </c>
      <c r="N2044">
        <v>3</v>
      </c>
      <c r="O2044">
        <v>3</v>
      </c>
      <c r="P2044">
        <v>22</v>
      </c>
      <c r="Q2044">
        <v>3</v>
      </c>
      <c r="R2044" s="1">
        <v>42852</v>
      </c>
      <c r="S2044" t="s">
        <v>29</v>
      </c>
      <c r="T2044" t="str">
        <f t="shared" si="155"/>
        <v>Grade B</v>
      </c>
      <c r="U2044">
        <f t="shared" si="156"/>
        <v>2</v>
      </c>
      <c r="V2044" t="str">
        <f t="shared" si="157"/>
        <v>Mid Level</v>
      </c>
      <c r="W2044" t="str">
        <f t="shared" si="158"/>
        <v>Medium Risk</v>
      </c>
      <c r="X2044" t="str">
        <f t="shared" si="159"/>
        <v>Fair</v>
      </c>
    </row>
    <row r="2045" spans="1:24" x14ac:dyDescent="0.3">
      <c r="A2045" t="s">
        <v>2113</v>
      </c>
      <c r="B2045" t="s">
        <v>20</v>
      </c>
      <c r="C2045">
        <v>26</v>
      </c>
      <c r="D2045" t="s">
        <v>21</v>
      </c>
      <c r="E2045" t="s">
        <v>40</v>
      </c>
      <c r="F2045" t="s">
        <v>32</v>
      </c>
      <c r="G2045" t="s">
        <v>63</v>
      </c>
      <c r="H2045" t="s">
        <v>67</v>
      </c>
      <c r="I2045" t="s">
        <v>96</v>
      </c>
      <c r="J2045" t="s">
        <v>44</v>
      </c>
      <c r="K2045">
        <v>1</v>
      </c>
      <c r="L2045">
        <v>53645</v>
      </c>
      <c r="M2045" t="s">
        <v>36</v>
      </c>
      <c r="N2045">
        <v>3</v>
      </c>
      <c r="O2045">
        <v>4</v>
      </c>
      <c r="P2045">
        <v>35</v>
      </c>
      <c r="Q2045">
        <v>2</v>
      </c>
      <c r="R2045" s="1">
        <v>44667</v>
      </c>
      <c r="S2045" t="s">
        <v>37</v>
      </c>
      <c r="T2045" t="str">
        <f t="shared" si="155"/>
        <v>Grade B</v>
      </c>
      <c r="U2045">
        <f t="shared" si="156"/>
        <v>1</v>
      </c>
      <c r="V2045" t="str">
        <f t="shared" si="157"/>
        <v>New Joiner</v>
      </c>
      <c r="W2045" t="str">
        <f t="shared" si="158"/>
        <v>Already Left</v>
      </c>
      <c r="X2045" t="str">
        <f t="shared" si="159"/>
        <v>Fair</v>
      </c>
    </row>
    <row r="2046" spans="1:24" x14ac:dyDescent="0.3">
      <c r="A2046" t="s">
        <v>2114</v>
      </c>
      <c r="B2046" t="s">
        <v>20</v>
      </c>
      <c r="C2046">
        <v>53</v>
      </c>
      <c r="D2046" t="s">
        <v>21</v>
      </c>
      <c r="E2046" t="s">
        <v>22</v>
      </c>
      <c r="F2046" t="s">
        <v>75</v>
      </c>
      <c r="G2046" t="s">
        <v>49</v>
      </c>
      <c r="H2046" t="s">
        <v>76</v>
      </c>
      <c r="I2046" t="s">
        <v>35</v>
      </c>
      <c r="J2046" t="s">
        <v>27</v>
      </c>
      <c r="K2046">
        <v>14</v>
      </c>
      <c r="L2046">
        <v>74374</v>
      </c>
      <c r="M2046" t="s">
        <v>45</v>
      </c>
      <c r="N2046">
        <v>4</v>
      </c>
      <c r="O2046">
        <v>2</v>
      </c>
      <c r="P2046">
        <v>29</v>
      </c>
      <c r="Q2046">
        <v>3</v>
      </c>
      <c r="R2046" s="1">
        <v>40042</v>
      </c>
      <c r="S2046" t="s">
        <v>29</v>
      </c>
      <c r="T2046" t="str">
        <f t="shared" si="155"/>
        <v>Grade B</v>
      </c>
      <c r="U2046">
        <f t="shared" si="156"/>
        <v>2</v>
      </c>
      <c r="V2046" t="str">
        <f t="shared" si="157"/>
        <v>Senior</v>
      </c>
      <c r="W2046" t="str">
        <f t="shared" si="158"/>
        <v>Medium Risk</v>
      </c>
      <c r="X2046" t="str">
        <f t="shared" si="159"/>
        <v>Fair</v>
      </c>
    </row>
    <row r="2047" spans="1:24" x14ac:dyDescent="0.3">
      <c r="A2047" t="s">
        <v>2115</v>
      </c>
      <c r="B2047" t="s">
        <v>20</v>
      </c>
      <c r="C2047">
        <v>46</v>
      </c>
      <c r="D2047" t="s">
        <v>57</v>
      </c>
      <c r="E2047" t="s">
        <v>40</v>
      </c>
      <c r="F2047" t="s">
        <v>78</v>
      </c>
      <c r="G2047" t="s">
        <v>63</v>
      </c>
      <c r="H2047" t="s">
        <v>76</v>
      </c>
      <c r="I2047" t="s">
        <v>43</v>
      </c>
      <c r="J2047" t="s">
        <v>44</v>
      </c>
      <c r="K2047">
        <v>10</v>
      </c>
      <c r="L2047">
        <v>63645</v>
      </c>
      <c r="M2047" t="s">
        <v>45</v>
      </c>
      <c r="N2047">
        <v>3</v>
      </c>
      <c r="O2047">
        <v>3</v>
      </c>
      <c r="P2047">
        <v>66</v>
      </c>
      <c r="Q2047">
        <v>0</v>
      </c>
      <c r="R2047" s="1">
        <v>41377</v>
      </c>
      <c r="S2047" t="s">
        <v>29</v>
      </c>
      <c r="T2047" t="str">
        <f t="shared" si="155"/>
        <v>Grade B</v>
      </c>
      <c r="U2047">
        <f t="shared" si="156"/>
        <v>2</v>
      </c>
      <c r="V2047" t="str">
        <f t="shared" si="157"/>
        <v>Mid Level</v>
      </c>
      <c r="W2047" t="str">
        <f t="shared" si="158"/>
        <v>Medium Risk</v>
      </c>
      <c r="X2047" t="str">
        <f t="shared" si="159"/>
        <v>Fair</v>
      </c>
    </row>
    <row r="2048" spans="1:24" x14ac:dyDescent="0.3">
      <c r="A2048" t="s">
        <v>2116</v>
      </c>
      <c r="B2048" t="s">
        <v>39</v>
      </c>
      <c r="C2048">
        <v>30</v>
      </c>
      <c r="D2048" t="s">
        <v>31</v>
      </c>
      <c r="E2048" t="s">
        <v>22</v>
      </c>
      <c r="F2048" t="s">
        <v>65</v>
      </c>
      <c r="G2048" t="s">
        <v>33</v>
      </c>
      <c r="H2048" t="s">
        <v>67</v>
      </c>
      <c r="I2048" t="s">
        <v>72</v>
      </c>
      <c r="J2048" t="s">
        <v>73</v>
      </c>
      <c r="K2048">
        <v>14</v>
      </c>
      <c r="L2048">
        <v>86281</v>
      </c>
      <c r="M2048" t="s">
        <v>45</v>
      </c>
      <c r="N2048">
        <v>3</v>
      </c>
      <c r="O2048">
        <v>2</v>
      </c>
      <c r="P2048">
        <v>66</v>
      </c>
      <c r="Q2048">
        <v>3</v>
      </c>
      <c r="R2048" s="1">
        <v>39851</v>
      </c>
      <c r="S2048" t="s">
        <v>29</v>
      </c>
      <c r="T2048" t="str">
        <f t="shared" si="155"/>
        <v>Grade A</v>
      </c>
      <c r="U2048">
        <f t="shared" si="156"/>
        <v>2</v>
      </c>
      <c r="V2048" t="str">
        <f t="shared" si="157"/>
        <v>Senior</v>
      </c>
      <c r="W2048" t="str">
        <f t="shared" si="158"/>
        <v>Medium Risk</v>
      </c>
      <c r="X2048" t="str">
        <f t="shared" si="159"/>
        <v>Fair</v>
      </c>
    </row>
    <row r="2049" spans="1:24" x14ac:dyDescent="0.3">
      <c r="A2049" t="s">
        <v>2117</v>
      </c>
      <c r="B2049" t="s">
        <v>20</v>
      </c>
      <c r="C2049">
        <v>43</v>
      </c>
      <c r="D2049" t="s">
        <v>21</v>
      </c>
      <c r="E2049" t="s">
        <v>22</v>
      </c>
      <c r="F2049" t="s">
        <v>23</v>
      </c>
      <c r="G2049" t="s">
        <v>63</v>
      </c>
      <c r="H2049" t="s">
        <v>34</v>
      </c>
      <c r="I2049" t="s">
        <v>68</v>
      </c>
      <c r="J2049" t="s">
        <v>60</v>
      </c>
      <c r="K2049">
        <v>11</v>
      </c>
      <c r="L2049">
        <v>67316</v>
      </c>
      <c r="M2049" t="s">
        <v>45</v>
      </c>
      <c r="N2049">
        <v>4</v>
      </c>
      <c r="O2049">
        <v>3</v>
      </c>
      <c r="P2049">
        <v>45</v>
      </c>
      <c r="Q2049">
        <v>0</v>
      </c>
      <c r="R2049" s="1">
        <v>40949</v>
      </c>
      <c r="S2049" t="s">
        <v>29</v>
      </c>
      <c r="T2049" t="str">
        <f t="shared" si="155"/>
        <v>Grade B</v>
      </c>
      <c r="U2049">
        <f t="shared" si="156"/>
        <v>2</v>
      </c>
      <c r="V2049" t="str">
        <f t="shared" si="157"/>
        <v>Senior</v>
      </c>
      <c r="W2049" t="str">
        <f t="shared" si="158"/>
        <v>Medium Risk</v>
      </c>
      <c r="X2049" t="str">
        <f t="shared" si="159"/>
        <v>Fair</v>
      </c>
    </row>
    <row r="2050" spans="1:24" x14ac:dyDescent="0.3">
      <c r="A2050" t="s">
        <v>2118</v>
      </c>
      <c r="B2050" t="s">
        <v>20</v>
      </c>
      <c r="C2050">
        <v>34</v>
      </c>
      <c r="D2050" t="s">
        <v>47</v>
      </c>
      <c r="E2050" t="s">
        <v>40</v>
      </c>
      <c r="F2050" t="s">
        <v>23</v>
      </c>
      <c r="G2050" t="s">
        <v>49</v>
      </c>
      <c r="H2050" t="s">
        <v>25</v>
      </c>
      <c r="I2050" t="s">
        <v>96</v>
      </c>
      <c r="J2050" t="s">
        <v>44</v>
      </c>
      <c r="K2050">
        <v>9</v>
      </c>
      <c r="L2050">
        <v>64511</v>
      </c>
      <c r="M2050" t="s">
        <v>28</v>
      </c>
      <c r="N2050">
        <v>1</v>
      </c>
      <c r="O2050">
        <v>2</v>
      </c>
      <c r="P2050">
        <v>62</v>
      </c>
      <c r="Q2050">
        <v>3</v>
      </c>
      <c r="R2050" s="1">
        <v>41817</v>
      </c>
      <c r="S2050" t="s">
        <v>29</v>
      </c>
      <c r="T2050" t="str">
        <f t="shared" ref="T2050:T2113" si="160">IF(L2050&gt;=80000,"Grade A",IF(L2050&gt;=50000,"Grade B",IF(L2050&gt;=35000,"Grade C","Grade D")))</f>
        <v>Grade B</v>
      </c>
      <c r="U2050">
        <f t="shared" ref="U2050:U2113" si="161">IF(M2050="Excellent",4,IF(M2050="Good",3,IF(M2050="Average",2,1)))</f>
        <v>3</v>
      </c>
      <c r="V2050" t="str">
        <f t="shared" ref="V2050:V2113" si="162">IF(K2050&lt;=2,"New Joiner",IF(K2050&lt;=5,"Junior",IF(K2050&lt;=10,"Mid Level","Senior")))</f>
        <v>Mid Level</v>
      </c>
      <c r="W2050" t="str">
        <f t="shared" ref="W2050:W2113" si="163">IF(S2050="Yes","Already Left",IF(AND(K2050&lt;=2,M2050="Poor"),"High Risk",IF(AND(K2050&lt;=5,M2050="Average"),"Medium Risk",IF(M2050="Excellent","Low Risk","Medium Risk"))))</f>
        <v>Medium Risk</v>
      </c>
      <c r="X2050" t="str">
        <f t="shared" ref="X2050:X2113" si="164">IF(AND(L2050&gt;=80000,M2050="Excellent"),"Competitive",IF(AND(L2050&gt;=50000,M2050="Good"),"Competitive",IF(AND(L2050&lt;35000,M2050="Excellent"),"Underpaid",IF(AND(L2050&gt;=80000,M2050="Poor"),"Overpaid","Fair"))))</f>
        <v>Competitive</v>
      </c>
    </row>
    <row r="2051" spans="1:24" x14ac:dyDescent="0.3">
      <c r="A2051" t="s">
        <v>2119</v>
      </c>
      <c r="B2051" t="s">
        <v>20</v>
      </c>
      <c r="C2051">
        <v>27</v>
      </c>
      <c r="D2051" t="s">
        <v>31</v>
      </c>
      <c r="E2051" t="s">
        <v>22</v>
      </c>
      <c r="F2051" t="s">
        <v>23</v>
      </c>
      <c r="G2051" t="s">
        <v>49</v>
      </c>
      <c r="H2051" t="s">
        <v>25</v>
      </c>
      <c r="I2051" t="s">
        <v>80</v>
      </c>
      <c r="J2051" t="s">
        <v>60</v>
      </c>
      <c r="K2051">
        <v>8</v>
      </c>
      <c r="L2051">
        <v>71027</v>
      </c>
      <c r="M2051" t="s">
        <v>51</v>
      </c>
      <c r="N2051">
        <v>4</v>
      </c>
      <c r="O2051">
        <v>2</v>
      </c>
      <c r="P2051">
        <v>32</v>
      </c>
      <c r="Q2051">
        <v>2</v>
      </c>
      <c r="R2051" s="1">
        <v>42344</v>
      </c>
      <c r="S2051" t="s">
        <v>29</v>
      </c>
      <c r="T2051" t="str">
        <f t="shared" si="160"/>
        <v>Grade B</v>
      </c>
      <c r="U2051">
        <f t="shared" si="161"/>
        <v>4</v>
      </c>
      <c r="V2051" t="str">
        <f t="shared" si="162"/>
        <v>Mid Level</v>
      </c>
      <c r="W2051" t="str">
        <f t="shared" si="163"/>
        <v>Low Risk</v>
      </c>
      <c r="X2051" t="str">
        <f t="shared" si="164"/>
        <v>Fair</v>
      </c>
    </row>
    <row r="2052" spans="1:24" x14ac:dyDescent="0.3">
      <c r="A2052" t="s">
        <v>2120</v>
      </c>
      <c r="B2052" t="s">
        <v>39</v>
      </c>
      <c r="C2052">
        <v>50</v>
      </c>
      <c r="D2052" t="s">
        <v>88</v>
      </c>
      <c r="E2052" t="s">
        <v>48</v>
      </c>
      <c r="F2052" t="s">
        <v>65</v>
      </c>
      <c r="G2052" t="s">
        <v>24</v>
      </c>
      <c r="H2052" t="s">
        <v>83</v>
      </c>
      <c r="I2052" t="s">
        <v>50</v>
      </c>
      <c r="J2052" t="s">
        <v>44</v>
      </c>
      <c r="K2052">
        <v>13</v>
      </c>
      <c r="L2052">
        <v>104356</v>
      </c>
      <c r="M2052" t="s">
        <v>51</v>
      </c>
      <c r="N2052">
        <v>2</v>
      </c>
      <c r="O2052">
        <v>2</v>
      </c>
      <c r="P2052">
        <v>47</v>
      </c>
      <c r="Q2052">
        <v>3</v>
      </c>
      <c r="R2052" s="1">
        <v>40283</v>
      </c>
      <c r="S2052" t="s">
        <v>29</v>
      </c>
      <c r="T2052" t="str">
        <f t="shared" si="160"/>
        <v>Grade A</v>
      </c>
      <c r="U2052">
        <f t="shared" si="161"/>
        <v>4</v>
      </c>
      <c r="V2052" t="str">
        <f t="shared" si="162"/>
        <v>Senior</v>
      </c>
      <c r="W2052" t="str">
        <f t="shared" si="163"/>
        <v>Low Risk</v>
      </c>
      <c r="X2052" t="str">
        <f t="shared" si="164"/>
        <v>Competitive</v>
      </c>
    </row>
    <row r="2053" spans="1:24" x14ac:dyDescent="0.3">
      <c r="A2053" t="s">
        <v>2121</v>
      </c>
      <c r="B2053" t="s">
        <v>39</v>
      </c>
      <c r="C2053">
        <v>30</v>
      </c>
      <c r="D2053" t="s">
        <v>57</v>
      </c>
      <c r="E2053" t="s">
        <v>22</v>
      </c>
      <c r="F2053" t="s">
        <v>62</v>
      </c>
      <c r="G2053" t="s">
        <v>63</v>
      </c>
      <c r="H2053" t="s">
        <v>76</v>
      </c>
      <c r="I2053" t="s">
        <v>96</v>
      </c>
      <c r="J2053" t="s">
        <v>44</v>
      </c>
      <c r="K2053">
        <v>12</v>
      </c>
      <c r="L2053">
        <v>73151</v>
      </c>
      <c r="M2053" t="s">
        <v>45</v>
      </c>
      <c r="N2053">
        <v>4</v>
      </c>
      <c r="O2053">
        <v>3</v>
      </c>
      <c r="P2053">
        <v>24</v>
      </c>
      <c r="Q2053">
        <v>2</v>
      </c>
      <c r="R2053" s="1">
        <v>40786</v>
      </c>
      <c r="S2053" t="s">
        <v>37</v>
      </c>
      <c r="T2053" t="str">
        <f t="shared" si="160"/>
        <v>Grade B</v>
      </c>
      <c r="U2053">
        <f t="shared" si="161"/>
        <v>2</v>
      </c>
      <c r="V2053" t="str">
        <f t="shared" si="162"/>
        <v>Senior</v>
      </c>
      <c r="W2053" t="str">
        <f t="shared" si="163"/>
        <v>Already Left</v>
      </c>
      <c r="X2053" t="str">
        <f t="shared" si="164"/>
        <v>Fair</v>
      </c>
    </row>
    <row r="2054" spans="1:24" x14ac:dyDescent="0.3">
      <c r="A2054" t="s">
        <v>2122</v>
      </c>
      <c r="B2054" t="s">
        <v>39</v>
      </c>
      <c r="C2054">
        <v>53</v>
      </c>
      <c r="D2054" t="s">
        <v>57</v>
      </c>
      <c r="E2054" t="s">
        <v>22</v>
      </c>
      <c r="F2054" t="s">
        <v>53</v>
      </c>
      <c r="G2054" t="s">
        <v>79</v>
      </c>
      <c r="H2054" t="s">
        <v>83</v>
      </c>
      <c r="I2054" t="s">
        <v>54</v>
      </c>
      <c r="J2054" t="s">
        <v>27</v>
      </c>
      <c r="K2054">
        <v>14</v>
      </c>
      <c r="L2054">
        <v>59748</v>
      </c>
      <c r="M2054" t="s">
        <v>45</v>
      </c>
      <c r="N2054">
        <v>4</v>
      </c>
      <c r="O2054">
        <v>1</v>
      </c>
      <c r="P2054">
        <v>51</v>
      </c>
      <c r="Q2054">
        <v>0</v>
      </c>
      <c r="R2054" s="1">
        <v>40172</v>
      </c>
      <c r="S2054" t="s">
        <v>37</v>
      </c>
      <c r="T2054" t="str">
        <f t="shared" si="160"/>
        <v>Grade B</v>
      </c>
      <c r="U2054">
        <f t="shared" si="161"/>
        <v>2</v>
      </c>
      <c r="V2054" t="str">
        <f t="shared" si="162"/>
        <v>Senior</v>
      </c>
      <c r="W2054" t="str">
        <f t="shared" si="163"/>
        <v>Already Left</v>
      </c>
      <c r="X2054" t="str">
        <f t="shared" si="164"/>
        <v>Fair</v>
      </c>
    </row>
    <row r="2055" spans="1:24" x14ac:dyDescent="0.3">
      <c r="A2055" t="s">
        <v>2123</v>
      </c>
      <c r="B2055" t="s">
        <v>20</v>
      </c>
      <c r="C2055">
        <v>34</v>
      </c>
      <c r="D2055" t="s">
        <v>88</v>
      </c>
      <c r="E2055" t="s">
        <v>22</v>
      </c>
      <c r="F2055" t="s">
        <v>62</v>
      </c>
      <c r="G2055" t="s">
        <v>33</v>
      </c>
      <c r="H2055" t="s">
        <v>34</v>
      </c>
      <c r="I2055" t="s">
        <v>43</v>
      </c>
      <c r="J2055" t="s">
        <v>44</v>
      </c>
      <c r="K2055">
        <v>10</v>
      </c>
      <c r="L2055">
        <v>85590</v>
      </c>
      <c r="M2055" t="s">
        <v>45</v>
      </c>
      <c r="N2055">
        <v>2</v>
      </c>
      <c r="O2055">
        <v>1</v>
      </c>
      <c r="P2055">
        <v>64</v>
      </c>
      <c r="Q2055">
        <v>0</v>
      </c>
      <c r="R2055" s="1">
        <v>41318</v>
      </c>
      <c r="S2055" t="s">
        <v>29</v>
      </c>
      <c r="T2055" t="str">
        <f t="shared" si="160"/>
        <v>Grade A</v>
      </c>
      <c r="U2055">
        <f t="shared" si="161"/>
        <v>2</v>
      </c>
      <c r="V2055" t="str">
        <f t="shared" si="162"/>
        <v>Mid Level</v>
      </c>
      <c r="W2055" t="str">
        <f t="shared" si="163"/>
        <v>Medium Risk</v>
      </c>
      <c r="X2055" t="str">
        <f t="shared" si="164"/>
        <v>Fair</v>
      </c>
    </row>
    <row r="2056" spans="1:24" x14ac:dyDescent="0.3">
      <c r="A2056" t="s">
        <v>2124</v>
      </c>
      <c r="B2056" t="s">
        <v>39</v>
      </c>
      <c r="C2056">
        <v>43</v>
      </c>
      <c r="D2056" t="s">
        <v>21</v>
      </c>
      <c r="E2056" t="s">
        <v>48</v>
      </c>
      <c r="F2056" t="s">
        <v>62</v>
      </c>
      <c r="G2056" t="s">
        <v>66</v>
      </c>
      <c r="H2056" t="s">
        <v>67</v>
      </c>
      <c r="I2056" t="s">
        <v>80</v>
      </c>
      <c r="J2056" t="s">
        <v>60</v>
      </c>
      <c r="K2056">
        <v>8</v>
      </c>
      <c r="L2056">
        <v>49833</v>
      </c>
      <c r="M2056" t="s">
        <v>45</v>
      </c>
      <c r="N2056">
        <v>2</v>
      </c>
      <c r="O2056">
        <v>4</v>
      </c>
      <c r="P2056">
        <v>14</v>
      </c>
      <c r="Q2056">
        <v>1</v>
      </c>
      <c r="R2056" s="1">
        <v>42102</v>
      </c>
      <c r="S2056" t="s">
        <v>29</v>
      </c>
      <c r="T2056" t="str">
        <f t="shared" si="160"/>
        <v>Grade C</v>
      </c>
      <c r="U2056">
        <f t="shared" si="161"/>
        <v>2</v>
      </c>
      <c r="V2056" t="str">
        <f t="shared" si="162"/>
        <v>Mid Level</v>
      </c>
      <c r="W2056" t="str">
        <f t="shared" si="163"/>
        <v>Medium Risk</v>
      </c>
      <c r="X2056" t="str">
        <f t="shared" si="164"/>
        <v>Fair</v>
      </c>
    </row>
    <row r="2057" spans="1:24" x14ac:dyDescent="0.3">
      <c r="A2057" t="s">
        <v>2125</v>
      </c>
      <c r="B2057" t="s">
        <v>39</v>
      </c>
      <c r="C2057">
        <v>32</v>
      </c>
      <c r="D2057" t="s">
        <v>88</v>
      </c>
      <c r="E2057" t="s">
        <v>22</v>
      </c>
      <c r="F2057" t="s">
        <v>23</v>
      </c>
      <c r="G2057" t="s">
        <v>63</v>
      </c>
      <c r="H2057" t="s">
        <v>76</v>
      </c>
      <c r="I2057" t="s">
        <v>96</v>
      </c>
      <c r="J2057" t="s">
        <v>44</v>
      </c>
      <c r="K2057">
        <v>6</v>
      </c>
      <c r="L2057">
        <v>62415</v>
      </c>
      <c r="M2057" t="s">
        <v>36</v>
      </c>
      <c r="N2057">
        <v>2</v>
      </c>
      <c r="O2057">
        <v>4</v>
      </c>
      <c r="P2057">
        <v>22</v>
      </c>
      <c r="Q2057">
        <v>1</v>
      </c>
      <c r="R2057" s="1">
        <v>43059</v>
      </c>
      <c r="S2057" t="s">
        <v>37</v>
      </c>
      <c r="T2057" t="str">
        <f t="shared" si="160"/>
        <v>Grade B</v>
      </c>
      <c r="U2057">
        <f t="shared" si="161"/>
        <v>1</v>
      </c>
      <c r="V2057" t="str">
        <f t="shared" si="162"/>
        <v>Mid Level</v>
      </c>
      <c r="W2057" t="str">
        <f t="shared" si="163"/>
        <v>Already Left</v>
      </c>
      <c r="X2057" t="str">
        <f t="shared" si="164"/>
        <v>Fair</v>
      </c>
    </row>
    <row r="2058" spans="1:24" x14ac:dyDescent="0.3">
      <c r="A2058" t="s">
        <v>2126</v>
      </c>
      <c r="B2058" t="s">
        <v>20</v>
      </c>
      <c r="C2058">
        <v>28</v>
      </c>
      <c r="D2058" t="s">
        <v>47</v>
      </c>
      <c r="E2058" t="s">
        <v>22</v>
      </c>
      <c r="F2058" t="s">
        <v>41</v>
      </c>
      <c r="G2058" t="s">
        <v>33</v>
      </c>
      <c r="H2058" t="s">
        <v>67</v>
      </c>
      <c r="I2058" t="s">
        <v>54</v>
      </c>
      <c r="J2058" t="s">
        <v>27</v>
      </c>
      <c r="K2058">
        <v>8</v>
      </c>
      <c r="L2058">
        <v>74308</v>
      </c>
      <c r="M2058" t="s">
        <v>28</v>
      </c>
      <c r="N2058">
        <v>4</v>
      </c>
      <c r="O2058">
        <v>4</v>
      </c>
      <c r="P2058">
        <v>74</v>
      </c>
      <c r="Q2058">
        <v>3</v>
      </c>
      <c r="R2058" s="1">
        <v>42066</v>
      </c>
      <c r="S2058" t="s">
        <v>29</v>
      </c>
      <c r="T2058" t="str">
        <f t="shared" si="160"/>
        <v>Grade B</v>
      </c>
      <c r="U2058">
        <f t="shared" si="161"/>
        <v>3</v>
      </c>
      <c r="V2058" t="str">
        <f t="shared" si="162"/>
        <v>Mid Level</v>
      </c>
      <c r="W2058" t="str">
        <f t="shared" si="163"/>
        <v>Medium Risk</v>
      </c>
      <c r="X2058" t="str">
        <f t="shared" si="164"/>
        <v>Competitive</v>
      </c>
    </row>
    <row r="2059" spans="1:24" x14ac:dyDescent="0.3">
      <c r="A2059" t="s">
        <v>2127</v>
      </c>
      <c r="B2059" t="s">
        <v>20</v>
      </c>
      <c r="C2059">
        <v>29</v>
      </c>
      <c r="D2059" t="s">
        <v>21</v>
      </c>
      <c r="E2059" t="s">
        <v>48</v>
      </c>
      <c r="F2059" t="s">
        <v>65</v>
      </c>
      <c r="G2059" t="s">
        <v>79</v>
      </c>
      <c r="H2059" t="s">
        <v>34</v>
      </c>
      <c r="I2059" t="s">
        <v>50</v>
      </c>
      <c r="J2059" t="s">
        <v>44</v>
      </c>
      <c r="K2059">
        <v>8</v>
      </c>
      <c r="L2059">
        <v>47470</v>
      </c>
      <c r="M2059" t="s">
        <v>51</v>
      </c>
      <c r="N2059">
        <v>3</v>
      </c>
      <c r="O2059">
        <v>1</v>
      </c>
      <c r="P2059">
        <v>73</v>
      </c>
      <c r="Q2059">
        <v>0</v>
      </c>
      <c r="R2059" s="1">
        <v>42044</v>
      </c>
      <c r="S2059" t="s">
        <v>29</v>
      </c>
      <c r="T2059" t="str">
        <f t="shared" si="160"/>
        <v>Grade C</v>
      </c>
      <c r="U2059">
        <f t="shared" si="161"/>
        <v>4</v>
      </c>
      <c r="V2059" t="str">
        <f t="shared" si="162"/>
        <v>Mid Level</v>
      </c>
      <c r="W2059" t="str">
        <f t="shared" si="163"/>
        <v>Low Risk</v>
      </c>
      <c r="X2059" t="str">
        <f t="shared" si="164"/>
        <v>Fair</v>
      </c>
    </row>
    <row r="2060" spans="1:24" x14ac:dyDescent="0.3">
      <c r="A2060" t="s">
        <v>2128</v>
      </c>
      <c r="B2060" t="s">
        <v>39</v>
      </c>
      <c r="C2060">
        <v>38</v>
      </c>
      <c r="D2060" t="s">
        <v>88</v>
      </c>
      <c r="E2060" t="s">
        <v>48</v>
      </c>
      <c r="F2060" t="s">
        <v>32</v>
      </c>
      <c r="G2060" t="s">
        <v>42</v>
      </c>
      <c r="H2060" t="s">
        <v>34</v>
      </c>
      <c r="I2060" t="s">
        <v>96</v>
      </c>
      <c r="J2060" t="s">
        <v>44</v>
      </c>
      <c r="K2060">
        <v>8</v>
      </c>
      <c r="L2060">
        <v>117786</v>
      </c>
      <c r="M2060" t="s">
        <v>45</v>
      </c>
      <c r="N2060">
        <v>4</v>
      </c>
      <c r="O2060">
        <v>2</v>
      </c>
      <c r="P2060">
        <v>65</v>
      </c>
      <c r="Q2060">
        <v>2</v>
      </c>
      <c r="R2060" s="1">
        <v>42367</v>
      </c>
      <c r="S2060" t="s">
        <v>29</v>
      </c>
      <c r="T2060" t="str">
        <f t="shared" si="160"/>
        <v>Grade A</v>
      </c>
      <c r="U2060">
        <f t="shared" si="161"/>
        <v>2</v>
      </c>
      <c r="V2060" t="str">
        <f t="shared" si="162"/>
        <v>Mid Level</v>
      </c>
      <c r="W2060" t="str">
        <f t="shared" si="163"/>
        <v>Medium Risk</v>
      </c>
      <c r="X2060" t="str">
        <f t="shared" si="164"/>
        <v>Fair</v>
      </c>
    </row>
    <row r="2061" spans="1:24" x14ac:dyDescent="0.3">
      <c r="A2061" t="s">
        <v>2129</v>
      </c>
      <c r="B2061" t="s">
        <v>39</v>
      </c>
      <c r="C2061">
        <v>22</v>
      </c>
      <c r="D2061" t="s">
        <v>47</v>
      </c>
      <c r="E2061" t="s">
        <v>22</v>
      </c>
      <c r="F2061" t="s">
        <v>23</v>
      </c>
      <c r="G2061" t="s">
        <v>24</v>
      </c>
      <c r="H2061" t="s">
        <v>25</v>
      </c>
      <c r="I2061" t="s">
        <v>80</v>
      </c>
      <c r="J2061" t="s">
        <v>60</v>
      </c>
      <c r="K2061">
        <v>10</v>
      </c>
      <c r="L2061">
        <v>100702</v>
      </c>
      <c r="M2061" t="s">
        <v>45</v>
      </c>
      <c r="N2061">
        <v>4</v>
      </c>
      <c r="O2061">
        <v>2</v>
      </c>
      <c r="P2061">
        <v>59</v>
      </c>
      <c r="Q2061">
        <v>2</v>
      </c>
      <c r="R2061" s="1">
        <v>41379</v>
      </c>
      <c r="S2061" t="s">
        <v>29</v>
      </c>
      <c r="T2061" t="str">
        <f t="shared" si="160"/>
        <v>Grade A</v>
      </c>
      <c r="U2061">
        <f t="shared" si="161"/>
        <v>2</v>
      </c>
      <c r="V2061" t="str">
        <f t="shared" si="162"/>
        <v>Mid Level</v>
      </c>
      <c r="W2061" t="str">
        <f t="shared" si="163"/>
        <v>Medium Risk</v>
      </c>
      <c r="X2061" t="str">
        <f t="shared" si="164"/>
        <v>Fair</v>
      </c>
    </row>
    <row r="2062" spans="1:24" x14ac:dyDescent="0.3">
      <c r="A2062" t="s">
        <v>2130</v>
      </c>
      <c r="B2062" t="s">
        <v>39</v>
      </c>
      <c r="C2062">
        <v>42</v>
      </c>
      <c r="D2062" t="s">
        <v>88</v>
      </c>
      <c r="E2062" t="s">
        <v>22</v>
      </c>
      <c r="F2062" t="s">
        <v>41</v>
      </c>
      <c r="G2062" t="s">
        <v>66</v>
      </c>
      <c r="H2062" t="s">
        <v>76</v>
      </c>
      <c r="I2062" t="s">
        <v>59</v>
      </c>
      <c r="J2062" t="s">
        <v>60</v>
      </c>
      <c r="K2062">
        <v>12</v>
      </c>
      <c r="L2062">
        <v>65468</v>
      </c>
      <c r="M2062" t="s">
        <v>36</v>
      </c>
      <c r="N2062">
        <v>1</v>
      </c>
      <c r="O2062">
        <v>2</v>
      </c>
      <c r="P2062">
        <v>33</v>
      </c>
      <c r="Q2062">
        <v>0</v>
      </c>
      <c r="R2062" s="1">
        <v>40776</v>
      </c>
      <c r="S2062" t="s">
        <v>37</v>
      </c>
      <c r="T2062" t="str">
        <f t="shared" si="160"/>
        <v>Grade B</v>
      </c>
      <c r="U2062">
        <f t="shared" si="161"/>
        <v>1</v>
      </c>
      <c r="V2062" t="str">
        <f t="shared" si="162"/>
        <v>Senior</v>
      </c>
      <c r="W2062" t="str">
        <f t="shared" si="163"/>
        <v>Already Left</v>
      </c>
      <c r="X2062" t="str">
        <f t="shared" si="164"/>
        <v>Fair</v>
      </c>
    </row>
    <row r="2063" spans="1:24" x14ac:dyDescent="0.3">
      <c r="A2063" t="s">
        <v>2131</v>
      </c>
      <c r="B2063" t="s">
        <v>39</v>
      </c>
      <c r="C2063">
        <v>29</v>
      </c>
      <c r="D2063" t="s">
        <v>31</v>
      </c>
      <c r="E2063" t="s">
        <v>22</v>
      </c>
      <c r="F2063" t="s">
        <v>65</v>
      </c>
      <c r="G2063" t="s">
        <v>66</v>
      </c>
      <c r="H2063" t="s">
        <v>76</v>
      </c>
      <c r="I2063" t="s">
        <v>96</v>
      </c>
      <c r="J2063" t="s">
        <v>44</v>
      </c>
      <c r="K2063">
        <v>14</v>
      </c>
      <c r="L2063">
        <v>58063</v>
      </c>
      <c r="M2063" t="s">
        <v>51</v>
      </c>
      <c r="N2063">
        <v>2</v>
      </c>
      <c r="O2063">
        <v>1</v>
      </c>
      <c r="P2063">
        <v>26</v>
      </c>
      <c r="Q2063">
        <v>3</v>
      </c>
      <c r="R2063" s="1">
        <v>39865</v>
      </c>
      <c r="S2063" t="s">
        <v>29</v>
      </c>
      <c r="T2063" t="str">
        <f t="shared" si="160"/>
        <v>Grade B</v>
      </c>
      <c r="U2063">
        <f t="shared" si="161"/>
        <v>4</v>
      </c>
      <c r="V2063" t="str">
        <f t="shared" si="162"/>
        <v>Senior</v>
      </c>
      <c r="W2063" t="str">
        <f t="shared" si="163"/>
        <v>Low Risk</v>
      </c>
      <c r="X2063" t="str">
        <f t="shared" si="164"/>
        <v>Fair</v>
      </c>
    </row>
    <row r="2064" spans="1:24" x14ac:dyDescent="0.3">
      <c r="A2064" t="s">
        <v>2132</v>
      </c>
      <c r="B2064" t="s">
        <v>20</v>
      </c>
      <c r="C2064">
        <v>38</v>
      </c>
      <c r="D2064" t="s">
        <v>21</v>
      </c>
      <c r="E2064" t="s">
        <v>22</v>
      </c>
      <c r="F2064" t="s">
        <v>32</v>
      </c>
      <c r="G2064" t="s">
        <v>24</v>
      </c>
      <c r="H2064" t="s">
        <v>67</v>
      </c>
      <c r="I2064" t="s">
        <v>43</v>
      </c>
      <c r="J2064" t="s">
        <v>44</v>
      </c>
      <c r="K2064">
        <v>10</v>
      </c>
      <c r="L2064">
        <v>93057</v>
      </c>
      <c r="M2064" t="s">
        <v>51</v>
      </c>
      <c r="N2064">
        <v>1</v>
      </c>
      <c r="O2064">
        <v>4</v>
      </c>
      <c r="P2064">
        <v>25</v>
      </c>
      <c r="Q2064">
        <v>2</v>
      </c>
      <c r="R2064" s="1">
        <v>41438</v>
      </c>
      <c r="S2064" t="s">
        <v>29</v>
      </c>
      <c r="T2064" t="str">
        <f t="shared" si="160"/>
        <v>Grade A</v>
      </c>
      <c r="U2064">
        <f t="shared" si="161"/>
        <v>4</v>
      </c>
      <c r="V2064" t="str">
        <f t="shared" si="162"/>
        <v>Mid Level</v>
      </c>
      <c r="W2064" t="str">
        <f t="shared" si="163"/>
        <v>Low Risk</v>
      </c>
      <c r="X2064" t="str">
        <f t="shared" si="164"/>
        <v>Competitive</v>
      </c>
    </row>
    <row r="2065" spans="1:24" x14ac:dyDescent="0.3">
      <c r="A2065" t="s">
        <v>2133</v>
      </c>
      <c r="B2065" t="s">
        <v>20</v>
      </c>
      <c r="C2065">
        <v>35</v>
      </c>
      <c r="D2065" t="s">
        <v>21</v>
      </c>
      <c r="E2065" t="s">
        <v>40</v>
      </c>
      <c r="F2065" t="s">
        <v>23</v>
      </c>
      <c r="G2065" t="s">
        <v>24</v>
      </c>
      <c r="H2065" t="s">
        <v>67</v>
      </c>
      <c r="I2065" t="s">
        <v>80</v>
      </c>
      <c r="J2065" t="s">
        <v>60</v>
      </c>
      <c r="K2065">
        <v>4</v>
      </c>
      <c r="L2065">
        <v>73843</v>
      </c>
      <c r="M2065" t="s">
        <v>36</v>
      </c>
      <c r="N2065">
        <v>3</v>
      </c>
      <c r="O2065">
        <v>1</v>
      </c>
      <c r="P2065">
        <v>12</v>
      </c>
      <c r="Q2065">
        <v>2</v>
      </c>
      <c r="R2065" s="1">
        <v>43511</v>
      </c>
      <c r="S2065" t="s">
        <v>37</v>
      </c>
      <c r="T2065" t="str">
        <f t="shared" si="160"/>
        <v>Grade B</v>
      </c>
      <c r="U2065">
        <f t="shared" si="161"/>
        <v>1</v>
      </c>
      <c r="V2065" t="str">
        <f t="shared" si="162"/>
        <v>Junior</v>
      </c>
      <c r="W2065" t="str">
        <f t="shared" si="163"/>
        <v>Already Left</v>
      </c>
      <c r="X2065" t="str">
        <f t="shared" si="164"/>
        <v>Fair</v>
      </c>
    </row>
    <row r="2066" spans="1:24" x14ac:dyDescent="0.3">
      <c r="A2066" t="s">
        <v>2134</v>
      </c>
      <c r="B2066" t="s">
        <v>39</v>
      </c>
      <c r="C2066">
        <v>41</v>
      </c>
      <c r="D2066" t="s">
        <v>88</v>
      </c>
      <c r="E2066" t="s">
        <v>22</v>
      </c>
      <c r="F2066" t="s">
        <v>32</v>
      </c>
      <c r="G2066" t="s">
        <v>58</v>
      </c>
      <c r="H2066" t="s">
        <v>83</v>
      </c>
      <c r="I2066" t="s">
        <v>68</v>
      </c>
      <c r="J2066" t="s">
        <v>60</v>
      </c>
      <c r="K2066">
        <v>12</v>
      </c>
      <c r="L2066">
        <v>111599</v>
      </c>
      <c r="M2066" t="s">
        <v>28</v>
      </c>
      <c r="N2066">
        <v>1</v>
      </c>
      <c r="O2066">
        <v>2</v>
      </c>
      <c r="P2066">
        <v>17</v>
      </c>
      <c r="Q2066">
        <v>2</v>
      </c>
      <c r="R2066" s="1">
        <v>40848</v>
      </c>
      <c r="S2066" t="s">
        <v>29</v>
      </c>
      <c r="T2066" t="str">
        <f t="shared" si="160"/>
        <v>Grade A</v>
      </c>
      <c r="U2066">
        <f t="shared" si="161"/>
        <v>3</v>
      </c>
      <c r="V2066" t="str">
        <f t="shared" si="162"/>
        <v>Senior</v>
      </c>
      <c r="W2066" t="str">
        <f t="shared" si="163"/>
        <v>Medium Risk</v>
      </c>
      <c r="X2066" t="str">
        <f t="shared" si="164"/>
        <v>Competitive</v>
      </c>
    </row>
    <row r="2067" spans="1:24" x14ac:dyDescent="0.3">
      <c r="A2067" t="s">
        <v>2135</v>
      </c>
      <c r="B2067" t="s">
        <v>20</v>
      </c>
      <c r="C2067">
        <v>35</v>
      </c>
      <c r="D2067" t="s">
        <v>88</v>
      </c>
      <c r="E2067" t="s">
        <v>40</v>
      </c>
      <c r="F2067" t="s">
        <v>62</v>
      </c>
      <c r="G2067" t="s">
        <v>66</v>
      </c>
      <c r="H2067" t="s">
        <v>76</v>
      </c>
      <c r="I2067" t="s">
        <v>80</v>
      </c>
      <c r="J2067" t="s">
        <v>60</v>
      </c>
      <c r="K2067">
        <v>15</v>
      </c>
      <c r="L2067">
        <v>69531</v>
      </c>
      <c r="M2067" t="s">
        <v>28</v>
      </c>
      <c r="N2067">
        <v>2</v>
      </c>
      <c r="O2067">
        <v>3</v>
      </c>
      <c r="P2067">
        <v>52</v>
      </c>
      <c r="Q2067">
        <v>2</v>
      </c>
      <c r="R2067" s="1">
        <v>39510</v>
      </c>
      <c r="S2067" t="s">
        <v>29</v>
      </c>
      <c r="T2067" t="str">
        <f t="shared" si="160"/>
        <v>Grade B</v>
      </c>
      <c r="U2067">
        <f t="shared" si="161"/>
        <v>3</v>
      </c>
      <c r="V2067" t="str">
        <f t="shared" si="162"/>
        <v>Senior</v>
      </c>
      <c r="W2067" t="str">
        <f t="shared" si="163"/>
        <v>Medium Risk</v>
      </c>
      <c r="X2067" t="str">
        <f t="shared" si="164"/>
        <v>Competitive</v>
      </c>
    </row>
    <row r="2068" spans="1:24" x14ac:dyDescent="0.3">
      <c r="A2068" t="s">
        <v>2136</v>
      </c>
      <c r="B2068" t="s">
        <v>39</v>
      </c>
      <c r="C2068">
        <v>54</v>
      </c>
      <c r="D2068" t="s">
        <v>47</v>
      </c>
      <c r="E2068" t="s">
        <v>48</v>
      </c>
      <c r="F2068" t="s">
        <v>41</v>
      </c>
      <c r="G2068" t="s">
        <v>24</v>
      </c>
      <c r="H2068" t="s">
        <v>25</v>
      </c>
      <c r="I2068" t="s">
        <v>59</v>
      </c>
      <c r="J2068" t="s">
        <v>60</v>
      </c>
      <c r="K2068">
        <v>9</v>
      </c>
      <c r="L2068">
        <v>98925</v>
      </c>
      <c r="M2068" t="s">
        <v>51</v>
      </c>
      <c r="N2068">
        <v>3</v>
      </c>
      <c r="O2068">
        <v>2</v>
      </c>
      <c r="P2068">
        <v>55</v>
      </c>
      <c r="Q2068">
        <v>0</v>
      </c>
      <c r="R2068" s="1">
        <v>41660</v>
      </c>
      <c r="S2068" t="s">
        <v>29</v>
      </c>
      <c r="T2068" t="str">
        <f t="shared" si="160"/>
        <v>Grade A</v>
      </c>
      <c r="U2068">
        <f t="shared" si="161"/>
        <v>4</v>
      </c>
      <c r="V2068" t="str">
        <f t="shared" si="162"/>
        <v>Mid Level</v>
      </c>
      <c r="W2068" t="str">
        <f t="shared" si="163"/>
        <v>Low Risk</v>
      </c>
      <c r="X2068" t="str">
        <f t="shared" si="164"/>
        <v>Competitive</v>
      </c>
    </row>
    <row r="2069" spans="1:24" x14ac:dyDescent="0.3">
      <c r="A2069" t="s">
        <v>2137</v>
      </c>
      <c r="B2069" t="s">
        <v>39</v>
      </c>
      <c r="C2069">
        <v>43</v>
      </c>
      <c r="D2069" t="s">
        <v>31</v>
      </c>
      <c r="E2069" t="s">
        <v>40</v>
      </c>
      <c r="F2069" t="s">
        <v>65</v>
      </c>
      <c r="G2069" t="s">
        <v>33</v>
      </c>
      <c r="H2069" t="s">
        <v>67</v>
      </c>
      <c r="I2069" t="s">
        <v>35</v>
      </c>
      <c r="J2069" t="s">
        <v>27</v>
      </c>
      <c r="K2069">
        <v>6</v>
      </c>
      <c r="L2069">
        <v>75723</v>
      </c>
      <c r="M2069" t="s">
        <v>45</v>
      </c>
      <c r="N2069">
        <v>1</v>
      </c>
      <c r="O2069">
        <v>2</v>
      </c>
      <c r="P2069">
        <v>16</v>
      </c>
      <c r="Q2069">
        <v>0</v>
      </c>
      <c r="R2069" s="1">
        <v>42833</v>
      </c>
      <c r="S2069" t="s">
        <v>29</v>
      </c>
      <c r="T2069" t="str">
        <f t="shared" si="160"/>
        <v>Grade B</v>
      </c>
      <c r="U2069">
        <f t="shared" si="161"/>
        <v>2</v>
      </c>
      <c r="V2069" t="str">
        <f t="shared" si="162"/>
        <v>Mid Level</v>
      </c>
      <c r="W2069" t="str">
        <f t="shared" si="163"/>
        <v>Medium Risk</v>
      </c>
      <c r="X2069" t="str">
        <f t="shared" si="164"/>
        <v>Fair</v>
      </c>
    </row>
    <row r="2070" spans="1:24" x14ac:dyDescent="0.3">
      <c r="A2070" t="s">
        <v>2138</v>
      </c>
      <c r="B2070" t="s">
        <v>20</v>
      </c>
      <c r="C2070">
        <v>28</v>
      </c>
      <c r="D2070" t="s">
        <v>31</v>
      </c>
      <c r="E2070" t="s">
        <v>22</v>
      </c>
      <c r="F2070" t="s">
        <v>75</v>
      </c>
      <c r="G2070" t="s">
        <v>42</v>
      </c>
      <c r="H2070" t="s">
        <v>34</v>
      </c>
      <c r="I2070" t="s">
        <v>54</v>
      </c>
      <c r="J2070" t="s">
        <v>27</v>
      </c>
      <c r="K2070">
        <v>14</v>
      </c>
      <c r="L2070">
        <v>121578</v>
      </c>
      <c r="M2070" t="s">
        <v>45</v>
      </c>
      <c r="N2070">
        <v>3</v>
      </c>
      <c r="O2070">
        <v>3</v>
      </c>
      <c r="P2070">
        <v>24</v>
      </c>
      <c r="Q2070">
        <v>2</v>
      </c>
      <c r="R2070" s="1">
        <v>39950</v>
      </c>
      <c r="S2070" t="s">
        <v>29</v>
      </c>
      <c r="T2070" t="str">
        <f t="shared" si="160"/>
        <v>Grade A</v>
      </c>
      <c r="U2070">
        <f t="shared" si="161"/>
        <v>2</v>
      </c>
      <c r="V2070" t="str">
        <f t="shared" si="162"/>
        <v>Senior</v>
      </c>
      <c r="W2070" t="str">
        <f t="shared" si="163"/>
        <v>Medium Risk</v>
      </c>
      <c r="X2070" t="str">
        <f t="shared" si="164"/>
        <v>Fair</v>
      </c>
    </row>
    <row r="2071" spans="1:24" x14ac:dyDescent="0.3">
      <c r="A2071" t="s">
        <v>2139</v>
      </c>
      <c r="B2071" t="s">
        <v>39</v>
      </c>
      <c r="C2071">
        <v>50</v>
      </c>
      <c r="D2071" t="s">
        <v>57</v>
      </c>
      <c r="E2071" t="s">
        <v>40</v>
      </c>
      <c r="F2071" t="s">
        <v>53</v>
      </c>
      <c r="G2071" t="s">
        <v>42</v>
      </c>
      <c r="H2071" t="s">
        <v>25</v>
      </c>
      <c r="I2071" t="s">
        <v>50</v>
      </c>
      <c r="J2071" t="s">
        <v>44</v>
      </c>
      <c r="K2071">
        <v>7</v>
      </c>
      <c r="L2071">
        <v>100345</v>
      </c>
      <c r="M2071" t="s">
        <v>45</v>
      </c>
      <c r="N2071">
        <v>3</v>
      </c>
      <c r="O2071">
        <v>3</v>
      </c>
      <c r="P2071">
        <v>55</v>
      </c>
      <c r="Q2071">
        <v>1</v>
      </c>
      <c r="R2071" s="1">
        <v>42567</v>
      </c>
      <c r="S2071" t="s">
        <v>29</v>
      </c>
      <c r="T2071" t="str">
        <f t="shared" si="160"/>
        <v>Grade A</v>
      </c>
      <c r="U2071">
        <f t="shared" si="161"/>
        <v>2</v>
      </c>
      <c r="V2071" t="str">
        <f t="shared" si="162"/>
        <v>Mid Level</v>
      </c>
      <c r="W2071" t="str">
        <f t="shared" si="163"/>
        <v>Medium Risk</v>
      </c>
      <c r="X2071" t="str">
        <f t="shared" si="164"/>
        <v>Fair</v>
      </c>
    </row>
    <row r="2072" spans="1:24" x14ac:dyDescent="0.3">
      <c r="A2072" t="s">
        <v>2140</v>
      </c>
      <c r="B2072" t="s">
        <v>39</v>
      </c>
      <c r="C2072">
        <v>50</v>
      </c>
      <c r="D2072" t="s">
        <v>57</v>
      </c>
      <c r="E2072" t="s">
        <v>48</v>
      </c>
      <c r="F2072" t="s">
        <v>65</v>
      </c>
      <c r="G2072" t="s">
        <v>58</v>
      </c>
      <c r="H2072" t="s">
        <v>34</v>
      </c>
      <c r="I2072" t="s">
        <v>72</v>
      </c>
      <c r="J2072" t="s">
        <v>73</v>
      </c>
      <c r="K2072">
        <v>14</v>
      </c>
      <c r="L2072">
        <v>119639</v>
      </c>
      <c r="M2072" t="s">
        <v>51</v>
      </c>
      <c r="N2072">
        <v>3</v>
      </c>
      <c r="O2072">
        <v>4</v>
      </c>
      <c r="P2072">
        <v>67</v>
      </c>
      <c r="Q2072">
        <v>3</v>
      </c>
      <c r="R2072" s="1">
        <v>39843</v>
      </c>
      <c r="S2072" t="s">
        <v>29</v>
      </c>
      <c r="T2072" t="str">
        <f t="shared" si="160"/>
        <v>Grade A</v>
      </c>
      <c r="U2072">
        <f t="shared" si="161"/>
        <v>4</v>
      </c>
      <c r="V2072" t="str">
        <f t="shared" si="162"/>
        <v>Senior</v>
      </c>
      <c r="W2072" t="str">
        <f t="shared" si="163"/>
        <v>Low Risk</v>
      </c>
      <c r="X2072" t="str">
        <f t="shared" si="164"/>
        <v>Competitive</v>
      </c>
    </row>
    <row r="2073" spans="1:24" x14ac:dyDescent="0.3">
      <c r="A2073" t="s">
        <v>2141</v>
      </c>
      <c r="B2073" t="s">
        <v>20</v>
      </c>
      <c r="C2073">
        <v>31</v>
      </c>
      <c r="D2073" t="s">
        <v>31</v>
      </c>
      <c r="E2073" t="s">
        <v>40</v>
      </c>
      <c r="F2073" t="s">
        <v>62</v>
      </c>
      <c r="G2073" t="s">
        <v>42</v>
      </c>
      <c r="H2073" t="s">
        <v>25</v>
      </c>
      <c r="I2073" t="s">
        <v>96</v>
      </c>
      <c r="J2073" t="s">
        <v>44</v>
      </c>
      <c r="K2073">
        <v>6</v>
      </c>
      <c r="L2073">
        <v>100849</v>
      </c>
      <c r="M2073" t="s">
        <v>28</v>
      </c>
      <c r="N2073">
        <v>2</v>
      </c>
      <c r="O2073">
        <v>4</v>
      </c>
      <c r="P2073">
        <v>70</v>
      </c>
      <c r="Q2073">
        <v>0</v>
      </c>
      <c r="R2073" s="1">
        <v>42991</v>
      </c>
      <c r="S2073" t="s">
        <v>29</v>
      </c>
      <c r="T2073" t="str">
        <f t="shared" si="160"/>
        <v>Grade A</v>
      </c>
      <c r="U2073">
        <f t="shared" si="161"/>
        <v>3</v>
      </c>
      <c r="V2073" t="str">
        <f t="shared" si="162"/>
        <v>Mid Level</v>
      </c>
      <c r="W2073" t="str">
        <f t="shared" si="163"/>
        <v>Medium Risk</v>
      </c>
      <c r="X2073" t="str">
        <f t="shared" si="164"/>
        <v>Competitive</v>
      </c>
    </row>
    <row r="2074" spans="1:24" x14ac:dyDescent="0.3">
      <c r="A2074" t="s">
        <v>2142</v>
      </c>
      <c r="B2074" t="s">
        <v>20</v>
      </c>
      <c r="C2074">
        <v>48</v>
      </c>
      <c r="D2074" t="s">
        <v>57</v>
      </c>
      <c r="E2074" t="s">
        <v>48</v>
      </c>
      <c r="F2074" t="s">
        <v>78</v>
      </c>
      <c r="G2074" t="s">
        <v>66</v>
      </c>
      <c r="H2074" t="s">
        <v>83</v>
      </c>
      <c r="I2074" t="s">
        <v>50</v>
      </c>
      <c r="J2074" t="s">
        <v>44</v>
      </c>
      <c r="K2074">
        <v>14</v>
      </c>
      <c r="L2074">
        <v>64933</v>
      </c>
      <c r="M2074" t="s">
        <v>45</v>
      </c>
      <c r="N2074">
        <v>1</v>
      </c>
      <c r="O2074">
        <v>4</v>
      </c>
      <c r="P2074">
        <v>64</v>
      </c>
      <c r="Q2074">
        <v>1</v>
      </c>
      <c r="R2074" s="1">
        <v>40037</v>
      </c>
      <c r="S2074" t="s">
        <v>29</v>
      </c>
      <c r="T2074" t="str">
        <f t="shared" si="160"/>
        <v>Grade B</v>
      </c>
      <c r="U2074">
        <f t="shared" si="161"/>
        <v>2</v>
      </c>
      <c r="V2074" t="str">
        <f t="shared" si="162"/>
        <v>Senior</v>
      </c>
      <c r="W2074" t="str">
        <f t="shared" si="163"/>
        <v>Medium Risk</v>
      </c>
      <c r="X2074" t="str">
        <f t="shared" si="164"/>
        <v>Fair</v>
      </c>
    </row>
    <row r="2075" spans="1:24" x14ac:dyDescent="0.3">
      <c r="A2075" t="s">
        <v>2143</v>
      </c>
      <c r="B2075" t="s">
        <v>20</v>
      </c>
      <c r="C2075">
        <v>23</v>
      </c>
      <c r="D2075" t="s">
        <v>47</v>
      </c>
      <c r="E2075" t="s">
        <v>48</v>
      </c>
      <c r="F2075" t="s">
        <v>65</v>
      </c>
      <c r="G2075" t="s">
        <v>24</v>
      </c>
      <c r="H2075" t="s">
        <v>76</v>
      </c>
      <c r="I2075" t="s">
        <v>59</v>
      </c>
      <c r="J2075" t="s">
        <v>60</v>
      </c>
      <c r="K2075">
        <v>2</v>
      </c>
      <c r="L2075">
        <v>79809</v>
      </c>
      <c r="M2075" t="s">
        <v>36</v>
      </c>
      <c r="N2075">
        <v>4</v>
      </c>
      <c r="O2075">
        <v>4</v>
      </c>
      <c r="P2075">
        <v>43</v>
      </c>
      <c r="Q2075">
        <v>0</v>
      </c>
      <c r="R2075" s="1">
        <v>44449</v>
      </c>
      <c r="S2075" t="s">
        <v>29</v>
      </c>
      <c r="T2075" t="str">
        <f t="shared" si="160"/>
        <v>Grade B</v>
      </c>
      <c r="U2075">
        <f t="shared" si="161"/>
        <v>1</v>
      </c>
      <c r="V2075" t="str">
        <f t="shared" si="162"/>
        <v>New Joiner</v>
      </c>
      <c r="W2075" t="str">
        <f t="shared" si="163"/>
        <v>High Risk</v>
      </c>
      <c r="X2075" t="str">
        <f t="shared" si="164"/>
        <v>Fair</v>
      </c>
    </row>
    <row r="2076" spans="1:24" x14ac:dyDescent="0.3">
      <c r="A2076" t="s">
        <v>2144</v>
      </c>
      <c r="B2076" t="s">
        <v>20</v>
      </c>
      <c r="C2076">
        <v>47</v>
      </c>
      <c r="D2076" t="s">
        <v>31</v>
      </c>
      <c r="E2076" t="s">
        <v>22</v>
      </c>
      <c r="F2076" t="s">
        <v>62</v>
      </c>
      <c r="G2076" t="s">
        <v>24</v>
      </c>
      <c r="H2076" t="s">
        <v>83</v>
      </c>
      <c r="I2076" t="s">
        <v>43</v>
      </c>
      <c r="J2076" t="s">
        <v>44</v>
      </c>
      <c r="K2076">
        <v>15</v>
      </c>
      <c r="L2076">
        <v>111083</v>
      </c>
      <c r="M2076" t="s">
        <v>28</v>
      </c>
      <c r="N2076">
        <v>1</v>
      </c>
      <c r="O2076">
        <v>3</v>
      </c>
      <c r="P2076">
        <v>57</v>
      </c>
      <c r="Q2076">
        <v>0</v>
      </c>
      <c r="R2076" s="1">
        <v>39470</v>
      </c>
      <c r="S2076" t="s">
        <v>29</v>
      </c>
      <c r="T2076" t="str">
        <f t="shared" si="160"/>
        <v>Grade A</v>
      </c>
      <c r="U2076">
        <f t="shared" si="161"/>
        <v>3</v>
      </c>
      <c r="V2076" t="str">
        <f t="shared" si="162"/>
        <v>Senior</v>
      </c>
      <c r="W2076" t="str">
        <f t="shared" si="163"/>
        <v>Medium Risk</v>
      </c>
      <c r="X2076" t="str">
        <f t="shared" si="164"/>
        <v>Competitive</v>
      </c>
    </row>
    <row r="2077" spans="1:24" x14ac:dyDescent="0.3">
      <c r="A2077" t="s">
        <v>2145</v>
      </c>
      <c r="B2077" t="s">
        <v>20</v>
      </c>
      <c r="C2077">
        <v>37</v>
      </c>
      <c r="D2077" t="s">
        <v>31</v>
      </c>
      <c r="E2077" t="s">
        <v>48</v>
      </c>
      <c r="F2077" t="s">
        <v>62</v>
      </c>
      <c r="G2077" t="s">
        <v>58</v>
      </c>
      <c r="H2077" t="s">
        <v>83</v>
      </c>
      <c r="I2077" t="s">
        <v>59</v>
      </c>
      <c r="J2077" t="s">
        <v>60</v>
      </c>
      <c r="K2077">
        <v>15</v>
      </c>
      <c r="L2077">
        <v>106831</v>
      </c>
      <c r="M2077" t="s">
        <v>36</v>
      </c>
      <c r="N2077">
        <v>3</v>
      </c>
      <c r="O2077">
        <v>3</v>
      </c>
      <c r="P2077">
        <v>56</v>
      </c>
      <c r="Q2077">
        <v>3</v>
      </c>
      <c r="R2077" s="1">
        <v>39631</v>
      </c>
      <c r="S2077" t="s">
        <v>37</v>
      </c>
      <c r="T2077" t="str">
        <f t="shared" si="160"/>
        <v>Grade A</v>
      </c>
      <c r="U2077">
        <f t="shared" si="161"/>
        <v>1</v>
      </c>
      <c r="V2077" t="str">
        <f t="shared" si="162"/>
        <v>Senior</v>
      </c>
      <c r="W2077" t="str">
        <f t="shared" si="163"/>
        <v>Already Left</v>
      </c>
      <c r="X2077" t="str">
        <f t="shared" si="164"/>
        <v>Overpaid</v>
      </c>
    </row>
    <row r="2078" spans="1:24" x14ac:dyDescent="0.3">
      <c r="A2078" t="s">
        <v>2146</v>
      </c>
      <c r="B2078" t="s">
        <v>39</v>
      </c>
      <c r="C2078">
        <v>44</v>
      </c>
      <c r="D2078" t="s">
        <v>21</v>
      </c>
      <c r="E2078" t="s">
        <v>48</v>
      </c>
      <c r="F2078" t="s">
        <v>41</v>
      </c>
      <c r="G2078" t="s">
        <v>66</v>
      </c>
      <c r="H2078" t="s">
        <v>76</v>
      </c>
      <c r="I2078" t="s">
        <v>68</v>
      </c>
      <c r="J2078" t="s">
        <v>60</v>
      </c>
      <c r="K2078">
        <v>4</v>
      </c>
      <c r="L2078">
        <v>48848</v>
      </c>
      <c r="M2078" t="s">
        <v>28</v>
      </c>
      <c r="N2078">
        <v>1</v>
      </c>
      <c r="O2078">
        <v>1</v>
      </c>
      <c r="P2078">
        <v>74</v>
      </c>
      <c r="Q2078">
        <v>3</v>
      </c>
      <c r="R2078" s="1">
        <v>43620</v>
      </c>
      <c r="S2078" t="s">
        <v>29</v>
      </c>
      <c r="T2078" t="str">
        <f t="shared" si="160"/>
        <v>Grade C</v>
      </c>
      <c r="U2078">
        <f t="shared" si="161"/>
        <v>3</v>
      </c>
      <c r="V2078" t="str">
        <f t="shared" si="162"/>
        <v>Junior</v>
      </c>
      <c r="W2078" t="str">
        <f t="shared" si="163"/>
        <v>Medium Risk</v>
      </c>
      <c r="X2078" t="str">
        <f t="shared" si="164"/>
        <v>Fair</v>
      </c>
    </row>
    <row r="2079" spans="1:24" x14ac:dyDescent="0.3">
      <c r="A2079" t="s">
        <v>2147</v>
      </c>
      <c r="B2079" t="s">
        <v>20</v>
      </c>
      <c r="C2079">
        <v>42</v>
      </c>
      <c r="D2079" t="s">
        <v>47</v>
      </c>
      <c r="E2079" t="s">
        <v>22</v>
      </c>
      <c r="F2079" t="s">
        <v>62</v>
      </c>
      <c r="G2079" t="s">
        <v>79</v>
      </c>
      <c r="H2079" t="s">
        <v>67</v>
      </c>
      <c r="I2079" t="s">
        <v>50</v>
      </c>
      <c r="J2079" t="s">
        <v>44</v>
      </c>
      <c r="K2079">
        <v>8</v>
      </c>
      <c r="L2079">
        <v>58142</v>
      </c>
      <c r="M2079" t="s">
        <v>51</v>
      </c>
      <c r="N2079">
        <v>4</v>
      </c>
      <c r="O2079">
        <v>2</v>
      </c>
      <c r="P2079">
        <v>38</v>
      </c>
      <c r="Q2079">
        <v>3</v>
      </c>
      <c r="R2079" s="1">
        <v>42024</v>
      </c>
      <c r="S2079" t="s">
        <v>29</v>
      </c>
      <c r="T2079" t="str">
        <f t="shared" si="160"/>
        <v>Grade B</v>
      </c>
      <c r="U2079">
        <f t="shared" si="161"/>
        <v>4</v>
      </c>
      <c r="V2079" t="str">
        <f t="shared" si="162"/>
        <v>Mid Level</v>
      </c>
      <c r="W2079" t="str">
        <f t="shared" si="163"/>
        <v>Low Risk</v>
      </c>
      <c r="X2079" t="str">
        <f t="shared" si="164"/>
        <v>Fair</v>
      </c>
    </row>
    <row r="2080" spans="1:24" x14ac:dyDescent="0.3">
      <c r="A2080" t="s">
        <v>2148</v>
      </c>
      <c r="B2080" t="s">
        <v>20</v>
      </c>
      <c r="C2080">
        <v>23</v>
      </c>
      <c r="D2080" t="s">
        <v>21</v>
      </c>
      <c r="E2080" t="s">
        <v>22</v>
      </c>
      <c r="F2080" t="s">
        <v>75</v>
      </c>
      <c r="G2080" t="s">
        <v>79</v>
      </c>
      <c r="H2080" t="s">
        <v>83</v>
      </c>
      <c r="I2080" t="s">
        <v>35</v>
      </c>
      <c r="J2080" t="s">
        <v>27</v>
      </c>
      <c r="K2080">
        <v>14</v>
      </c>
      <c r="L2080">
        <v>71770</v>
      </c>
      <c r="M2080" t="s">
        <v>28</v>
      </c>
      <c r="N2080">
        <v>3</v>
      </c>
      <c r="O2080">
        <v>3</v>
      </c>
      <c r="P2080">
        <v>80</v>
      </c>
      <c r="Q2080">
        <v>1</v>
      </c>
      <c r="R2080" s="1">
        <v>39914</v>
      </c>
      <c r="S2080" t="s">
        <v>37</v>
      </c>
      <c r="T2080" t="str">
        <f t="shared" si="160"/>
        <v>Grade B</v>
      </c>
      <c r="U2080">
        <f t="shared" si="161"/>
        <v>3</v>
      </c>
      <c r="V2080" t="str">
        <f t="shared" si="162"/>
        <v>Senior</v>
      </c>
      <c r="W2080" t="str">
        <f t="shared" si="163"/>
        <v>Already Left</v>
      </c>
      <c r="X2080" t="str">
        <f t="shared" si="164"/>
        <v>Competitive</v>
      </c>
    </row>
    <row r="2081" spans="1:24" x14ac:dyDescent="0.3">
      <c r="A2081" t="s">
        <v>2149</v>
      </c>
      <c r="B2081" t="s">
        <v>20</v>
      </c>
      <c r="C2081">
        <v>40</v>
      </c>
      <c r="D2081" t="s">
        <v>21</v>
      </c>
      <c r="E2081" t="s">
        <v>22</v>
      </c>
      <c r="F2081" t="s">
        <v>41</v>
      </c>
      <c r="G2081" t="s">
        <v>49</v>
      </c>
      <c r="H2081" t="s">
        <v>83</v>
      </c>
      <c r="I2081" t="s">
        <v>54</v>
      </c>
      <c r="J2081" t="s">
        <v>27</v>
      </c>
      <c r="K2081">
        <v>6</v>
      </c>
      <c r="L2081">
        <v>57675</v>
      </c>
      <c r="M2081" t="s">
        <v>51</v>
      </c>
      <c r="N2081">
        <v>2</v>
      </c>
      <c r="O2081">
        <v>2</v>
      </c>
      <c r="P2081">
        <v>37</v>
      </c>
      <c r="Q2081">
        <v>3</v>
      </c>
      <c r="R2081" s="1">
        <v>43020</v>
      </c>
      <c r="S2081" t="s">
        <v>37</v>
      </c>
      <c r="T2081" t="str">
        <f t="shared" si="160"/>
        <v>Grade B</v>
      </c>
      <c r="U2081">
        <f t="shared" si="161"/>
        <v>4</v>
      </c>
      <c r="V2081" t="str">
        <f t="shared" si="162"/>
        <v>Mid Level</v>
      </c>
      <c r="W2081" t="str">
        <f t="shared" si="163"/>
        <v>Already Left</v>
      </c>
      <c r="X2081" t="str">
        <f t="shared" si="164"/>
        <v>Fair</v>
      </c>
    </row>
    <row r="2082" spans="1:24" x14ac:dyDescent="0.3">
      <c r="A2082" t="s">
        <v>2150</v>
      </c>
      <c r="B2082" t="s">
        <v>20</v>
      </c>
      <c r="C2082">
        <v>55</v>
      </c>
      <c r="D2082" t="s">
        <v>47</v>
      </c>
      <c r="E2082" t="s">
        <v>40</v>
      </c>
      <c r="F2082" t="s">
        <v>78</v>
      </c>
      <c r="G2082" t="s">
        <v>58</v>
      </c>
      <c r="H2082" t="s">
        <v>34</v>
      </c>
      <c r="I2082" t="s">
        <v>59</v>
      </c>
      <c r="J2082" t="s">
        <v>60</v>
      </c>
      <c r="K2082">
        <v>3</v>
      </c>
      <c r="L2082">
        <v>88739</v>
      </c>
      <c r="M2082" t="s">
        <v>51</v>
      </c>
      <c r="N2082">
        <v>1</v>
      </c>
      <c r="O2082">
        <v>2</v>
      </c>
      <c r="P2082">
        <v>77</v>
      </c>
      <c r="Q2082">
        <v>2</v>
      </c>
      <c r="R2082" s="1">
        <v>43911</v>
      </c>
      <c r="S2082" t="s">
        <v>29</v>
      </c>
      <c r="T2082" t="str">
        <f t="shared" si="160"/>
        <v>Grade A</v>
      </c>
      <c r="U2082">
        <f t="shared" si="161"/>
        <v>4</v>
      </c>
      <c r="V2082" t="str">
        <f t="shared" si="162"/>
        <v>Junior</v>
      </c>
      <c r="W2082" t="str">
        <f t="shared" si="163"/>
        <v>Low Risk</v>
      </c>
      <c r="X2082" t="str">
        <f t="shared" si="164"/>
        <v>Competitive</v>
      </c>
    </row>
    <row r="2083" spans="1:24" x14ac:dyDescent="0.3">
      <c r="A2083" t="s">
        <v>2151</v>
      </c>
      <c r="B2083" t="s">
        <v>39</v>
      </c>
      <c r="C2083">
        <v>39</v>
      </c>
      <c r="D2083" t="s">
        <v>47</v>
      </c>
      <c r="E2083" t="s">
        <v>40</v>
      </c>
      <c r="F2083" t="s">
        <v>78</v>
      </c>
      <c r="G2083" t="s">
        <v>63</v>
      </c>
      <c r="H2083" t="s">
        <v>34</v>
      </c>
      <c r="I2083" t="s">
        <v>80</v>
      </c>
      <c r="J2083" t="s">
        <v>60</v>
      </c>
      <c r="K2083">
        <v>13</v>
      </c>
      <c r="L2083">
        <v>75837</v>
      </c>
      <c r="M2083" t="s">
        <v>51</v>
      </c>
      <c r="N2083">
        <v>1</v>
      </c>
      <c r="O2083">
        <v>2</v>
      </c>
      <c r="P2083">
        <v>48</v>
      </c>
      <c r="Q2083">
        <v>0</v>
      </c>
      <c r="R2083" s="1">
        <v>40341</v>
      </c>
      <c r="S2083" t="s">
        <v>29</v>
      </c>
      <c r="T2083" t="str">
        <f t="shared" si="160"/>
        <v>Grade B</v>
      </c>
      <c r="U2083">
        <f t="shared" si="161"/>
        <v>4</v>
      </c>
      <c r="V2083" t="str">
        <f t="shared" si="162"/>
        <v>Senior</v>
      </c>
      <c r="W2083" t="str">
        <f t="shared" si="163"/>
        <v>Low Risk</v>
      </c>
      <c r="X2083" t="str">
        <f t="shared" si="164"/>
        <v>Fair</v>
      </c>
    </row>
    <row r="2084" spans="1:24" x14ac:dyDescent="0.3">
      <c r="A2084" t="s">
        <v>2152</v>
      </c>
      <c r="B2084" t="s">
        <v>20</v>
      </c>
      <c r="C2084">
        <v>39</v>
      </c>
      <c r="D2084" t="s">
        <v>21</v>
      </c>
      <c r="E2084" t="s">
        <v>48</v>
      </c>
      <c r="F2084" t="s">
        <v>62</v>
      </c>
      <c r="G2084" t="s">
        <v>42</v>
      </c>
      <c r="H2084" t="s">
        <v>67</v>
      </c>
      <c r="I2084" t="s">
        <v>68</v>
      </c>
      <c r="J2084" t="s">
        <v>60</v>
      </c>
      <c r="K2084">
        <v>7</v>
      </c>
      <c r="L2084">
        <v>114752</v>
      </c>
      <c r="M2084" t="s">
        <v>36</v>
      </c>
      <c r="N2084">
        <v>4</v>
      </c>
      <c r="O2084">
        <v>2</v>
      </c>
      <c r="P2084">
        <v>31</v>
      </c>
      <c r="Q2084">
        <v>3</v>
      </c>
      <c r="R2084" s="1">
        <v>42526</v>
      </c>
      <c r="S2084" t="s">
        <v>37</v>
      </c>
      <c r="T2084" t="str">
        <f t="shared" si="160"/>
        <v>Grade A</v>
      </c>
      <c r="U2084">
        <f t="shared" si="161"/>
        <v>1</v>
      </c>
      <c r="V2084" t="str">
        <f t="shared" si="162"/>
        <v>Mid Level</v>
      </c>
      <c r="W2084" t="str">
        <f t="shared" si="163"/>
        <v>Already Left</v>
      </c>
      <c r="X2084" t="str">
        <f t="shared" si="164"/>
        <v>Overpaid</v>
      </c>
    </row>
    <row r="2085" spans="1:24" x14ac:dyDescent="0.3">
      <c r="A2085" t="s">
        <v>2153</v>
      </c>
      <c r="B2085" t="s">
        <v>20</v>
      </c>
      <c r="C2085">
        <v>50</v>
      </c>
      <c r="D2085" t="s">
        <v>31</v>
      </c>
      <c r="E2085" t="s">
        <v>48</v>
      </c>
      <c r="F2085" t="s">
        <v>75</v>
      </c>
      <c r="G2085" t="s">
        <v>66</v>
      </c>
      <c r="H2085" t="s">
        <v>76</v>
      </c>
      <c r="I2085" t="s">
        <v>54</v>
      </c>
      <c r="J2085" t="s">
        <v>27</v>
      </c>
      <c r="K2085">
        <v>8</v>
      </c>
      <c r="L2085">
        <v>57983</v>
      </c>
      <c r="M2085" t="s">
        <v>28</v>
      </c>
      <c r="N2085">
        <v>2</v>
      </c>
      <c r="O2085">
        <v>3</v>
      </c>
      <c r="P2085">
        <v>59</v>
      </c>
      <c r="Q2085">
        <v>3</v>
      </c>
      <c r="R2085" s="1">
        <v>42023</v>
      </c>
      <c r="S2085" t="s">
        <v>37</v>
      </c>
      <c r="T2085" t="str">
        <f t="shared" si="160"/>
        <v>Grade B</v>
      </c>
      <c r="U2085">
        <f t="shared" si="161"/>
        <v>3</v>
      </c>
      <c r="V2085" t="str">
        <f t="shared" si="162"/>
        <v>Mid Level</v>
      </c>
      <c r="W2085" t="str">
        <f t="shared" si="163"/>
        <v>Already Left</v>
      </c>
      <c r="X2085" t="str">
        <f t="shared" si="164"/>
        <v>Competitive</v>
      </c>
    </row>
    <row r="2086" spans="1:24" x14ac:dyDescent="0.3">
      <c r="A2086" t="s">
        <v>2154</v>
      </c>
      <c r="B2086" t="s">
        <v>39</v>
      </c>
      <c r="C2086">
        <v>27</v>
      </c>
      <c r="D2086" t="s">
        <v>31</v>
      </c>
      <c r="E2086" t="s">
        <v>48</v>
      </c>
      <c r="F2086" t="s">
        <v>62</v>
      </c>
      <c r="G2086" t="s">
        <v>49</v>
      </c>
      <c r="H2086" t="s">
        <v>25</v>
      </c>
      <c r="I2086" t="s">
        <v>26</v>
      </c>
      <c r="J2086" t="s">
        <v>27</v>
      </c>
      <c r="K2086">
        <v>14</v>
      </c>
      <c r="L2086">
        <v>86646</v>
      </c>
      <c r="M2086" t="s">
        <v>36</v>
      </c>
      <c r="N2086">
        <v>4</v>
      </c>
      <c r="O2086">
        <v>4</v>
      </c>
      <c r="P2086">
        <v>49</v>
      </c>
      <c r="Q2086">
        <v>1</v>
      </c>
      <c r="R2086" s="1">
        <v>40011</v>
      </c>
      <c r="S2086" t="s">
        <v>29</v>
      </c>
      <c r="T2086" t="str">
        <f t="shared" si="160"/>
        <v>Grade A</v>
      </c>
      <c r="U2086">
        <f t="shared" si="161"/>
        <v>1</v>
      </c>
      <c r="V2086" t="str">
        <f t="shared" si="162"/>
        <v>Senior</v>
      </c>
      <c r="W2086" t="str">
        <f t="shared" si="163"/>
        <v>Medium Risk</v>
      </c>
      <c r="X2086" t="str">
        <f t="shared" si="164"/>
        <v>Overpaid</v>
      </c>
    </row>
    <row r="2087" spans="1:24" x14ac:dyDescent="0.3">
      <c r="A2087" t="s">
        <v>2155</v>
      </c>
      <c r="B2087" t="s">
        <v>20</v>
      </c>
      <c r="C2087">
        <v>39</v>
      </c>
      <c r="D2087" t="s">
        <v>88</v>
      </c>
      <c r="E2087" t="s">
        <v>48</v>
      </c>
      <c r="F2087" t="s">
        <v>62</v>
      </c>
      <c r="G2087" t="s">
        <v>63</v>
      </c>
      <c r="H2087" t="s">
        <v>83</v>
      </c>
      <c r="I2087" t="s">
        <v>59</v>
      </c>
      <c r="J2087" t="s">
        <v>60</v>
      </c>
      <c r="K2087">
        <v>11</v>
      </c>
      <c r="L2087">
        <v>76114</v>
      </c>
      <c r="M2087" t="s">
        <v>28</v>
      </c>
      <c r="N2087">
        <v>4</v>
      </c>
      <c r="O2087">
        <v>4</v>
      </c>
      <c r="P2087">
        <v>76</v>
      </c>
      <c r="Q2087">
        <v>0</v>
      </c>
      <c r="R2087" s="1">
        <v>40993</v>
      </c>
      <c r="S2087" t="s">
        <v>37</v>
      </c>
      <c r="T2087" t="str">
        <f t="shared" si="160"/>
        <v>Grade B</v>
      </c>
      <c r="U2087">
        <f t="shared" si="161"/>
        <v>3</v>
      </c>
      <c r="V2087" t="str">
        <f t="shared" si="162"/>
        <v>Senior</v>
      </c>
      <c r="W2087" t="str">
        <f t="shared" si="163"/>
        <v>Already Left</v>
      </c>
      <c r="X2087" t="str">
        <f t="shared" si="164"/>
        <v>Competitive</v>
      </c>
    </row>
    <row r="2088" spans="1:24" x14ac:dyDescent="0.3">
      <c r="A2088" t="s">
        <v>2156</v>
      </c>
      <c r="B2088" t="s">
        <v>20</v>
      </c>
      <c r="C2088">
        <v>30</v>
      </c>
      <c r="D2088" t="s">
        <v>47</v>
      </c>
      <c r="E2088" t="s">
        <v>22</v>
      </c>
      <c r="F2088" t="s">
        <v>53</v>
      </c>
      <c r="G2088" t="s">
        <v>24</v>
      </c>
      <c r="H2088" t="s">
        <v>67</v>
      </c>
      <c r="I2088" t="s">
        <v>26</v>
      </c>
      <c r="J2088" t="s">
        <v>27</v>
      </c>
      <c r="K2088">
        <v>4</v>
      </c>
      <c r="L2088">
        <v>81725</v>
      </c>
      <c r="M2088" t="s">
        <v>28</v>
      </c>
      <c r="N2088">
        <v>2</v>
      </c>
      <c r="O2088">
        <v>4</v>
      </c>
      <c r="P2088">
        <v>36</v>
      </c>
      <c r="Q2088">
        <v>1</v>
      </c>
      <c r="R2088" s="1">
        <v>43546</v>
      </c>
      <c r="S2088" t="s">
        <v>29</v>
      </c>
      <c r="T2088" t="str">
        <f t="shared" si="160"/>
        <v>Grade A</v>
      </c>
      <c r="U2088">
        <f t="shared" si="161"/>
        <v>3</v>
      </c>
      <c r="V2088" t="str">
        <f t="shared" si="162"/>
        <v>Junior</v>
      </c>
      <c r="W2088" t="str">
        <f t="shared" si="163"/>
        <v>Medium Risk</v>
      </c>
      <c r="X2088" t="str">
        <f t="shared" si="164"/>
        <v>Competitive</v>
      </c>
    </row>
    <row r="2089" spans="1:24" x14ac:dyDescent="0.3">
      <c r="A2089" t="s">
        <v>2157</v>
      </c>
      <c r="B2089" t="s">
        <v>20</v>
      </c>
      <c r="C2089">
        <v>55</v>
      </c>
      <c r="D2089" t="s">
        <v>31</v>
      </c>
      <c r="E2089" t="s">
        <v>48</v>
      </c>
      <c r="F2089" t="s">
        <v>62</v>
      </c>
      <c r="G2089" t="s">
        <v>79</v>
      </c>
      <c r="H2089" t="s">
        <v>83</v>
      </c>
      <c r="I2089" t="s">
        <v>96</v>
      </c>
      <c r="J2089" t="s">
        <v>44</v>
      </c>
      <c r="K2089">
        <v>11</v>
      </c>
      <c r="L2089">
        <v>58676</v>
      </c>
      <c r="M2089" t="s">
        <v>36</v>
      </c>
      <c r="N2089">
        <v>2</v>
      </c>
      <c r="O2089">
        <v>1</v>
      </c>
      <c r="P2089">
        <v>43</v>
      </c>
      <c r="Q2089">
        <v>2</v>
      </c>
      <c r="R2089" s="1">
        <v>41026</v>
      </c>
      <c r="S2089" t="s">
        <v>37</v>
      </c>
      <c r="T2089" t="str">
        <f t="shared" si="160"/>
        <v>Grade B</v>
      </c>
      <c r="U2089">
        <f t="shared" si="161"/>
        <v>1</v>
      </c>
      <c r="V2089" t="str">
        <f t="shared" si="162"/>
        <v>Senior</v>
      </c>
      <c r="W2089" t="str">
        <f t="shared" si="163"/>
        <v>Already Left</v>
      </c>
      <c r="X2089" t="str">
        <f t="shared" si="164"/>
        <v>Fair</v>
      </c>
    </row>
    <row r="2090" spans="1:24" x14ac:dyDescent="0.3">
      <c r="A2090" t="s">
        <v>2158</v>
      </c>
      <c r="B2090" t="s">
        <v>39</v>
      </c>
      <c r="C2090">
        <v>25</v>
      </c>
      <c r="D2090" t="s">
        <v>31</v>
      </c>
      <c r="E2090" t="s">
        <v>48</v>
      </c>
      <c r="F2090" t="s">
        <v>75</v>
      </c>
      <c r="G2090" t="s">
        <v>63</v>
      </c>
      <c r="H2090" t="s">
        <v>25</v>
      </c>
      <c r="I2090" t="s">
        <v>72</v>
      </c>
      <c r="J2090" t="s">
        <v>73</v>
      </c>
      <c r="K2090">
        <v>11</v>
      </c>
      <c r="L2090">
        <v>69184</v>
      </c>
      <c r="M2090" t="s">
        <v>36</v>
      </c>
      <c r="N2090">
        <v>1</v>
      </c>
      <c r="O2090">
        <v>2</v>
      </c>
      <c r="P2090">
        <v>60</v>
      </c>
      <c r="Q2090">
        <v>3</v>
      </c>
      <c r="R2090" s="1">
        <v>41080</v>
      </c>
      <c r="S2090" t="s">
        <v>29</v>
      </c>
      <c r="T2090" t="str">
        <f t="shared" si="160"/>
        <v>Grade B</v>
      </c>
      <c r="U2090">
        <f t="shared" si="161"/>
        <v>1</v>
      </c>
      <c r="V2090" t="str">
        <f t="shared" si="162"/>
        <v>Senior</v>
      </c>
      <c r="W2090" t="str">
        <f t="shared" si="163"/>
        <v>Medium Risk</v>
      </c>
      <c r="X2090" t="str">
        <f t="shared" si="164"/>
        <v>Fair</v>
      </c>
    </row>
    <row r="2091" spans="1:24" x14ac:dyDescent="0.3">
      <c r="A2091" t="s">
        <v>2159</v>
      </c>
      <c r="B2091" t="s">
        <v>39</v>
      </c>
      <c r="C2091">
        <v>45</v>
      </c>
      <c r="D2091" t="s">
        <v>57</v>
      </c>
      <c r="E2091" t="s">
        <v>22</v>
      </c>
      <c r="F2091" t="s">
        <v>62</v>
      </c>
      <c r="G2091" t="s">
        <v>63</v>
      </c>
      <c r="H2091" t="s">
        <v>25</v>
      </c>
      <c r="I2091" t="s">
        <v>43</v>
      </c>
      <c r="J2091" t="s">
        <v>44</v>
      </c>
      <c r="K2091">
        <v>4</v>
      </c>
      <c r="L2091">
        <v>50346</v>
      </c>
      <c r="M2091" t="s">
        <v>45</v>
      </c>
      <c r="N2091">
        <v>3</v>
      </c>
      <c r="O2091">
        <v>4</v>
      </c>
      <c r="P2091">
        <v>55</v>
      </c>
      <c r="Q2091">
        <v>1</v>
      </c>
      <c r="R2091" s="1">
        <v>43593</v>
      </c>
      <c r="S2091" t="s">
        <v>29</v>
      </c>
      <c r="T2091" t="str">
        <f t="shared" si="160"/>
        <v>Grade B</v>
      </c>
      <c r="U2091">
        <f t="shared" si="161"/>
        <v>2</v>
      </c>
      <c r="V2091" t="str">
        <f t="shared" si="162"/>
        <v>Junior</v>
      </c>
      <c r="W2091" t="str">
        <f t="shared" si="163"/>
        <v>Medium Risk</v>
      </c>
      <c r="X2091" t="str">
        <f t="shared" si="164"/>
        <v>Fair</v>
      </c>
    </row>
    <row r="2092" spans="1:24" x14ac:dyDescent="0.3">
      <c r="A2092" t="s">
        <v>2160</v>
      </c>
      <c r="B2092" t="s">
        <v>20</v>
      </c>
      <c r="C2092">
        <v>50</v>
      </c>
      <c r="D2092" t="s">
        <v>31</v>
      </c>
      <c r="E2092" t="s">
        <v>48</v>
      </c>
      <c r="F2092" t="s">
        <v>62</v>
      </c>
      <c r="G2092" t="s">
        <v>42</v>
      </c>
      <c r="H2092" t="s">
        <v>67</v>
      </c>
      <c r="I2092" t="s">
        <v>80</v>
      </c>
      <c r="J2092" t="s">
        <v>60</v>
      </c>
      <c r="K2092">
        <v>1</v>
      </c>
      <c r="L2092">
        <v>91945</v>
      </c>
      <c r="M2092" t="s">
        <v>51</v>
      </c>
      <c r="N2092">
        <v>1</v>
      </c>
      <c r="O2092">
        <v>3</v>
      </c>
      <c r="P2092">
        <v>27</v>
      </c>
      <c r="Q2092">
        <v>0</v>
      </c>
      <c r="R2092" s="1">
        <v>44577</v>
      </c>
      <c r="S2092" t="s">
        <v>37</v>
      </c>
      <c r="T2092" t="str">
        <f t="shared" si="160"/>
        <v>Grade A</v>
      </c>
      <c r="U2092">
        <f t="shared" si="161"/>
        <v>4</v>
      </c>
      <c r="V2092" t="str">
        <f t="shared" si="162"/>
        <v>New Joiner</v>
      </c>
      <c r="W2092" t="str">
        <f t="shared" si="163"/>
        <v>Already Left</v>
      </c>
      <c r="X2092" t="str">
        <f t="shared" si="164"/>
        <v>Competitive</v>
      </c>
    </row>
    <row r="2093" spans="1:24" x14ac:dyDescent="0.3">
      <c r="A2093" t="s">
        <v>2161</v>
      </c>
      <c r="B2093" t="s">
        <v>20</v>
      </c>
      <c r="C2093">
        <v>28</v>
      </c>
      <c r="D2093" t="s">
        <v>47</v>
      </c>
      <c r="E2093" t="s">
        <v>22</v>
      </c>
      <c r="F2093" t="s">
        <v>65</v>
      </c>
      <c r="G2093" t="s">
        <v>66</v>
      </c>
      <c r="H2093" t="s">
        <v>83</v>
      </c>
      <c r="I2093" t="s">
        <v>59</v>
      </c>
      <c r="J2093" t="s">
        <v>60</v>
      </c>
      <c r="K2093">
        <v>10</v>
      </c>
      <c r="L2093">
        <v>45711</v>
      </c>
      <c r="M2093" t="s">
        <v>51</v>
      </c>
      <c r="N2093">
        <v>3</v>
      </c>
      <c r="O2093">
        <v>3</v>
      </c>
      <c r="P2093">
        <v>16</v>
      </c>
      <c r="Q2093">
        <v>0</v>
      </c>
      <c r="R2093" s="1">
        <v>41433</v>
      </c>
      <c r="S2093" t="s">
        <v>29</v>
      </c>
      <c r="T2093" t="str">
        <f t="shared" si="160"/>
        <v>Grade C</v>
      </c>
      <c r="U2093">
        <f t="shared" si="161"/>
        <v>4</v>
      </c>
      <c r="V2093" t="str">
        <f t="shared" si="162"/>
        <v>Mid Level</v>
      </c>
      <c r="W2093" t="str">
        <f t="shared" si="163"/>
        <v>Low Risk</v>
      </c>
      <c r="X2093" t="str">
        <f t="shared" si="164"/>
        <v>Fair</v>
      </c>
    </row>
    <row r="2094" spans="1:24" x14ac:dyDescent="0.3">
      <c r="A2094" t="s">
        <v>2162</v>
      </c>
      <c r="B2094" t="s">
        <v>39</v>
      </c>
      <c r="C2094">
        <v>33</v>
      </c>
      <c r="D2094" t="s">
        <v>57</v>
      </c>
      <c r="E2094" t="s">
        <v>40</v>
      </c>
      <c r="F2094" t="s">
        <v>32</v>
      </c>
      <c r="G2094" t="s">
        <v>33</v>
      </c>
      <c r="H2094" t="s">
        <v>67</v>
      </c>
      <c r="I2094" t="s">
        <v>80</v>
      </c>
      <c r="J2094" t="s">
        <v>60</v>
      </c>
      <c r="K2094">
        <v>12</v>
      </c>
      <c r="L2094">
        <v>87871</v>
      </c>
      <c r="M2094" t="s">
        <v>28</v>
      </c>
      <c r="N2094">
        <v>1</v>
      </c>
      <c r="O2094">
        <v>3</v>
      </c>
      <c r="P2094">
        <v>26</v>
      </c>
      <c r="Q2094">
        <v>1</v>
      </c>
      <c r="R2094" s="1">
        <v>40549</v>
      </c>
      <c r="S2094" t="s">
        <v>29</v>
      </c>
      <c r="T2094" t="str">
        <f t="shared" si="160"/>
        <v>Grade A</v>
      </c>
      <c r="U2094">
        <f t="shared" si="161"/>
        <v>3</v>
      </c>
      <c r="V2094" t="str">
        <f t="shared" si="162"/>
        <v>Senior</v>
      </c>
      <c r="W2094" t="str">
        <f t="shared" si="163"/>
        <v>Medium Risk</v>
      </c>
      <c r="X2094" t="str">
        <f t="shared" si="164"/>
        <v>Competitive</v>
      </c>
    </row>
    <row r="2095" spans="1:24" x14ac:dyDescent="0.3">
      <c r="A2095" t="s">
        <v>2163</v>
      </c>
      <c r="B2095" t="s">
        <v>39</v>
      </c>
      <c r="C2095">
        <v>30</v>
      </c>
      <c r="D2095" t="s">
        <v>88</v>
      </c>
      <c r="E2095" t="s">
        <v>22</v>
      </c>
      <c r="F2095" t="s">
        <v>41</v>
      </c>
      <c r="G2095" t="s">
        <v>79</v>
      </c>
      <c r="H2095" t="s">
        <v>83</v>
      </c>
      <c r="I2095" t="s">
        <v>59</v>
      </c>
      <c r="J2095" t="s">
        <v>60</v>
      </c>
      <c r="K2095">
        <v>1</v>
      </c>
      <c r="L2095">
        <v>48091</v>
      </c>
      <c r="M2095" t="s">
        <v>36</v>
      </c>
      <c r="N2095">
        <v>3</v>
      </c>
      <c r="O2095">
        <v>3</v>
      </c>
      <c r="P2095">
        <v>68</v>
      </c>
      <c r="Q2095">
        <v>2</v>
      </c>
      <c r="R2095" s="1">
        <v>44741</v>
      </c>
      <c r="S2095" t="s">
        <v>37</v>
      </c>
      <c r="T2095" t="str">
        <f t="shared" si="160"/>
        <v>Grade C</v>
      </c>
      <c r="U2095">
        <f t="shared" si="161"/>
        <v>1</v>
      </c>
      <c r="V2095" t="str">
        <f t="shared" si="162"/>
        <v>New Joiner</v>
      </c>
      <c r="W2095" t="str">
        <f t="shared" si="163"/>
        <v>Already Left</v>
      </c>
      <c r="X2095" t="str">
        <f t="shared" si="164"/>
        <v>Fair</v>
      </c>
    </row>
    <row r="2096" spans="1:24" x14ac:dyDescent="0.3">
      <c r="A2096" t="s">
        <v>2164</v>
      </c>
      <c r="B2096" t="s">
        <v>39</v>
      </c>
      <c r="C2096">
        <v>44</v>
      </c>
      <c r="D2096" t="s">
        <v>88</v>
      </c>
      <c r="E2096" t="s">
        <v>40</v>
      </c>
      <c r="F2096" t="s">
        <v>75</v>
      </c>
      <c r="G2096" t="s">
        <v>24</v>
      </c>
      <c r="H2096" t="s">
        <v>25</v>
      </c>
      <c r="I2096" t="s">
        <v>54</v>
      </c>
      <c r="J2096" t="s">
        <v>27</v>
      </c>
      <c r="K2096">
        <v>6</v>
      </c>
      <c r="L2096">
        <v>92501</v>
      </c>
      <c r="M2096" t="s">
        <v>51</v>
      </c>
      <c r="N2096">
        <v>4</v>
      </c>
      <c r="O2096">
        <v>1</v>
      </c>
      <c r="P2096">
        <v>24</v>
      </c>
      <c r="Q2096">
        <v>2</v>
      </c>
      <c r="R2096" s="1">
        <v>42742</v>
      </c>
      <c r="S2096" t="s">
        <v>37</v>
      </c>
      <c r="T2096" t="str">
        <f t="shared" si="160"/>
        <v>Grade A</v>
      </c>
      <c r="U2096">
        <f t="shared" si="161"/>
        <v>4</v>
      </c>
      <c r="V2096" t="str">
        <f t="shared" si="162"/>
        <v>Mid Level</v>
      </c>
      <c r="W2096" t="str">
        <f t="shared" si="163"/>
        <v>Already Left</v>
      </c>
      <c r="X2096" t="str">
        <f t="shared" si="164"/>
        <v>Competitive</v>
      </c>
    </row>
    <row r="2097" spans="1:24" x14ac:dyDescent="0.3">
      <c r="A2097" t="s">
        <v>2165</v>
      </c>
      <c r="B2097" t="s">
        <v>20</v>
      </c>
      <c r="C2097">
        <v>29</v>
      </c>
      <c r="D2097" t="s">
        <v>47</v>
      </c>
      <c r="E2097" t="s">
        <v>22</v>
      </c>
      <c r="F2097" t="s">
        <v>65</v>
      </c>
      <c r="G2097" t="s">
        <v>42</v>
      </c>
      <c r="H2097" t="s">
        <v>34</v>
      </c>
      <c r="I2097" t="s">
        <v>59</v>
      </c>
      <c r="J2097" t="s">
        <v>60</v>
      </c>
      <c r="K2097">
        <v>1</v>
      </c>
      <c r="L2097">
        <v>87204</v>
      </c>
      <c r="M2097" t="s">
        <v>28</v>
      </c>
      <c r="N2097">
        <v>4</v>
      </c>
      <c r="O2097">
        <v>1</v>
      </c>
      <c r="P2097">
        <v>11</v>
      </c>
      <c r="Q2097">
        <v>1</v>
      </c>
      <c r="R2097" s="1">
        <v>44682</v>
      </c>
      <c r="S2097" t="s">
        <v>29</v>
      </c>
      <c r="T2097" t="str">
        <f t="shared" si="160"/>
        <v>Grade A</v>
      </c>
      <c r="U2097">
        <f t="shared" si="161"/>
        <v>3</v>
      </c>
      <c r="V2097" t="str">
        <f t="shared" si="162"/>
        <v>New Joiner</v>
      </c>
      <c r="W2097" t="str">
        <f t="shared" si="163"/>
        <v>Medium Risk</v>
      </c>
      <c r="X2097" t="str">
        <f t="shared" si="164"/>
        <v>Competitive</v>
      </c>
    </row>
    <row r="2098" spans="1:24" x14ac:dyDescent="0.3">
      <c r="A2098" t="s">
        <v>2166</v>
      </c>
      <c r="B2098" t="s">
        <v>20</v>
      </c>
      <c r="C2098">
        <v>37</v>
      </c>
      <c r="D2098" t="s">
        <v>47</v>
      </c>
      <c r="E2098" t="s">
        <v>22</v>
      </c>
      <c r="F2098" t="s">
        <v>41</v>
      </c>
      <c r="G2098" t="s">
        <v>66</v>
      </c>
      <c r="H2098" t="s">
        <v>76</v>
      </c>
      <c r="I2098" t="s">
        <v>68</v>
      </c>
      <c r="J2098" t="s">
        <v>60</v>
      </c>
      <c r="K2098">
        <v>5</v>
      </c>
      <c r="L2098">
        <v>41591</v>
      </c>
      <c r="M2098" t="s">
        <v>36</v>
      </c>
      <c r="N2098">
        <v>3</v>
      </c>
      <c r="O2098">
        <v>2</v>
      </c>
      <c r="P2098">
        <v>20</v>
      </c>
      <c r="Q2098">
        <v>1</v>
      </c>
      <c r="R2098" s="1">
        <v>43323</v>
      </c>
      <c r="S2098" t="s">
        <v>37</v>
      </c>
      <c r="T2098" t="str">
        <f t="shared" si="160"/>
        <v>Grade C</v>
      </c>
      <c r="U2098">
        <f t="shared" si="161"/>
        <v>1</v>
      </c>
      <c r="V2098" t="str">
        <f t="shared" si="162"/>
        <v>Junior</v>
      </c>
      <c r="W2098" t="str">
        <f t="shared" si="163"/>
        <v>Already Left</v>
      </c>
      <c r="X2098" t="str">
        <f t="shared" si="164"/>
        <v>Fair</v>
      </c>
    </row>
    <row r="2099" spans="1:24" x14ac:dyDescent="0.3">
      <c r="A2099" t="s">
        <v>2167</v>
      </c>
      <c r="B2099" t="s">
        <v>20</v>
      </c>
      <c r="C2099">
        <v>24</v>
      </c>
      <c r="D2099" t="s">
        <v>47</v>
      </c>
      <c r="E2099" t="s">
        <v>22</v>
      </c>
      <c r="F2099" t="s">
        <v>62</v>
      </c>
      <c r="G2099" t="s">
        <v>63</v>
      </c>
      <c r="H2099" t="s">
        <v>67</v>
      </c>
      <c r="I2099" t="s">
        <v>96</v>
      </c>
      <c r="J2099" t="s">
        <v>44</v>
      </c>
      <c r="K2099">
        <v>3</v>
      </c>
      <c r="L2099">
        <v>54925</v>
      </c>
      <c r="M2099" t="s">
        <v>51</v>
      </c>
      <c r="N2099">
        <v>2</v>
      </c>
      <c r="O2099">
        <v>4</v>
      </c>
      <c r="P2099">
        <v>21</v>
      </c>
      <c r="Q2099">
        <v>3</v>
      </c>
      <c r="R2099" s="1">
        <v>44018</v>
      </c>
      <c r="S2099" t="s">
        <v>29</v>
      </c>
      <c r="T2099" t="str">
        <f t="shared" si="160"/>
        <v>Grade B</v>
      </c>
      <c r="U2099">
        <f t="shared" si="161"/>
        <v>4</v>
      </c>
      <c r="V2099" t="str">
        <f t="shared" si="162"/>
        <v>Junior</v>
      </c>
      <c r="W2099" t="str">
        <f t="shared" si="163"/>
        <v>Low Risk</v>
      </c>
      <c r="X2099" t="str">
        <f t="shared" si="164"/>
        <v>Fair</v>
      </c>
    </row>
    <row r="2100" spans="1:24" x14ac:dyDescent="0.3">
      <c r="A2100" t="s">
        <v>2168</v>
      </c>
      <c r="B2100" t="s">
        <v>20</v>
      </c>
      <c r="C2100">
        <v>43</v>
      </c>
      <c r="D2100" t="s">
        <v>47</v>
      </c>
      <c r="E2100" t="s">
        <v>48</v>
      </c>
      <c r="F2100" t="s">
        <v>65</v>
      </c>
      <c r="G2100" t="s">
        <v>24</v>
      </c>
      <c r="H2100" t="s">
        <v>34</v>
      </c>
      <c r="I2100" t="s">
        <v>72</v>
      </c>
      <c r="J2100" t="s">
        <v>73</v>
      </c>
      <c r="K2100">
        <v>7</v>
      </c>
      <c r="L2100">
        <v>87209</v>
      </c>
      <c r="M2100" t="s">
        <v>51</v>
      </c>
      <c r="N2100">
        <v>4</v>
      </c>
      <c r="O2100">
        <v>2</v>
      </c>
      <c r="P2100">
        <v>16</v>
      </c>
      <c r="Q2100">
        <v>1</v>
      </c>
      <c r="R2100" s="1">
        <v>42571</v>
      </c>
      <c r="S2100" t="s">
        <v>29</v>
      </c>
      <c r="T2100" t="str">
        <f t="shared" si="160"/>
        <v>Grade A</v>
      </c>
      <c r="U2100">
        <f t="shared" si="161"/>
        <v>4</v>
      </c>
      <c r="V2100" t="str">
        <f t="shared" si="162"/>
        <v>Mid Level</v>
      </c>
      <c r="W2100" t="str">
        <f t="shared" si="163"/>
        <v>Low Risk</v>
      </c>
      <c r="X2100" t="str">
        <f t="shared" si="164"/>
        <v>Competitive</v>
      </c>
    </row>
    <row r="2101" spans="1:24" x14ac:dyDescent="0.3">
      <c r="A2101" t="s">
        <v>2169</v>
      </c>
      <c r="B2101" t="s">
        <v>20</v>
      </c>
      <c r="C2101">
        <v>49</v>
      </c>
      <c r="D2101" t="s">
        <v>88</v>
      </c>
      <c r="E2101" t="s">
        <v>48</v>
      </c>
      <c r="F2101" t="s">
        <v>78</v>
      </c>
      <c r="G2101" t="s">
        <v>66</v>
      </c>
      <c r="H2101" t="s">
        <v>83</v>
      </c>
      <c r="I2101" t="s">
        <v>43</v>
      </c>
      <c r="J2101" t="s">
        <v>44</v>
      </c>
      <c r="K2101">
        <v>8</v>
      </c>
      <c r="L2101">
        <v>44694</v>
      </c>
      <c r="M2101" t="s">
        <v>28</v>
      </c>
      <c r="N2101">
        <v>1</v>
      </c>
      <c r="O2101">
        <v>4</v>
      </c>
      <c r="P2101">
        <v>10</v>
      </c>
      <c r="Q2101">
        <v>2</v>
      </c>
      <c r="R2101" s="1">
        <v>42369</v>
      </c>
      <c r="S2101" t="s">
        <v>37</v>
      </c>
      <c r="T2101" t="str">
        <f t="shared" si="160"/>
        <v>Grade C</v>
      </c>
      <c r="U2101">
        <f t="shared" si="161"/>
        <v>3</v>
      </c>
      <c r="V2101" t="str">
        <f t="shared" si="162"/>
        <v>Mid Level</v>
      </c>
      <c r="W2101" t="str">
        <f t="shared" si="163"/>
        <v>Already Left</v>
      </c>
      <c r="X2101" t="str">
        <f t="shared" si="164"/>
        <v>Fair</v>
      </c>
    </row>
    <row r="2102" spans="1:24" x14ac:dyDescent="0.3">
      <c r="A2102" t="s">
        <v>2170</v>
      </c>
      <c r="B2102" t="s">
        <v>39</v>
      </c>
      <c r="C2102">
        <v>33</v>
      </c>
      <c r="D2102" t="s">
        <v>47</v>
      </c>
      <c r="E2102" t="s">
        <v>48</v>
      </c>
      <c r="F2102" t="s">
        <v>41</v>
      </c>
      <c r="G2102" t="s">
        <v>79</v>
      </c>
      <c r="H2102" t="s">
        <v>83</v>
      </c>
      <c r="I2102" t="s">
        <v>96</v>
      </c>
      <c r="J2102" t="s">
        <v>44</v>
      </c>
      <c r="K2102">
        <v>2</v>
      </c>
      <c r="L2102">
        <v>46552</v>
      </c>
      <c r="M2102" t="s">
        <v>28</v>
      </c>
      <c r="N2102">
        <v>2</v>
      </c>
      <c r="O2102">
        <v>2</v>
      </c>
      <c r="P2102">
        <v>39</v>
      </c>
      <c r="Q2102">
        <v>0</v>
      </c>
      <c r="R2102" s="1">
        <v>44210</v>
      </c>
      <c r="S2102" t="s">
        <v>29</v>
      </c>
      <c r="T2102" t="str">
        <f t="shared" si="160"/>
        <v>Grade C</v>
      </c>
      <c r="U2102">
        <f t="shared" si="161"/>
        <v>3</v>
      </c>
      <c r="V2102" t="str">
        <f t="shared" si="162"/>
        <v>New Joiner</v>
      </c>
      <c r="W2102" t="str">
        <f t="shared" si="163"/>
        <v>Medium Risk</v>
      </c>
      <c r="X2102" t="str">
        <f t="shared" si="164"/>
        <v>Fair</v>
      </c>
    </row>
    <row r="2103" spans="1:24" x14ac:dyDescent="0.3">
      <c r="A2103" t="s">
        <v>2171</v>
      </c>
      <c r="B2103" t="s">
        <v>20</v>
      </c>
      <c r="C2103">
        <v>25</v>
      </c>
      <c r="D2103" t="s">
        <v>57</v>
      </c>
      <c r="E2103" t="s">
        <v>40</v>
      </c>
      <c r="F2103" t="s">
        <v>62</v>
      </c>
      <c r="G2103" t="s">
        <v>66</v>
      </c>
      <c r="H2103" t="s">
        <v>34</v>
      </c>
      <c r="I2103" t="s">
        <v>72</v>
      </c>
      <c r="J2103" t="s">
        <v>73</v>
      </c>
      <c r="K2103">
        <v>12</v>
      </c>
      <c r="L2103">
        <v>51683</v>
      </c>
      <c r="M2103" t="s">
        <v>45</v>
      </c>
      <c r="N2103">
        <v>3</v>
      </c>
      <c r="O2103">
        <v>2</v>
      </c>
      <c r="P2103">
        <v>28</v>
      </c>
      <c r="Q2103">
        <v>0</v>
      </c>
      <c r="R2103" s="1">
        <v>40743</v>
      </c>
      <c r="S2103" t="s">
        <v>29</v>
      </c>
      <c r="T2103" t="str">
        <f t="shared" si="160"/>
        <v>Grade B</v>
      </c>
      <c r="U2103">
        <f t="shared" si="161"/>
        <v>2</v>
      </c>
      <c r="V2103" t="str">
        <f t="shared" si="162"/>
        <v>Senior</v>
      </c>
      <c r="W2103" t="str">
        <f t="shared" si="163"/>
        <v>Medium Risk</v>
      </c>
      <c r="X2103" t="str">
        <f t="shared" si="164"/>
        <v>Fair</v>
      </c>
    </row>
    <row r="2104" spans="1:24" x14ac:dyDescent="0.3">
      <c r="A2104" t="s">
        <v>2172</v>
      </c>
      <c r="B2104" t="s">
        <v>20</v>
      </c>
      <c r="C2104">
        <v>43</v>
      </c>
      <c r="D2104" t="s">
        <v>21</v>
      </c>
      <c r="E2104" t="s">
        <v>40</v>
      </c>
      <c r="F2104" t="s">
        <v>32</v>
      </c>
      <c r="G2104" t="s">
        <v>24</v>
      </c>
      <c r="H2104" t="s">
        <v>83</v>
      </c>
      <c r="I2104" t="s">
        <v>35</v>
      </c>
      <c r="J2104" t="s">
        <v>27</v>
      </c>
      <c r="K2104">
        <v>5</v>
      </c>
      <c r="L2104">
        <v>87974</v>
      </c>
      <c r="M2104" t="s">
        <v>28</v>
      </c>
      <c r="N2104">
        <v>1</v>
      </c>
      <c r="O2104">
        <v>2</v>
      </c>
      <c r="P2104">
        <v>14</v>
      </c>
      <c r="Q2104">
        <v>2</v>
      </c>
      <c r="R2104" s="1">
        <v>43256</v>
      </c>
      <c r="S2104" t="s">
        <v>29</v>
      </c>
      <c r="T2104" t="str">
        <f t="shared" si="160"/>
        <v>Grade A</v>
      </c>
      <c r="U2104">
        <f t="shared" si="161"/>
        <v>3</v>
      </c>
      <c r="V2104" t="str">
        <f t="shared" si="162"/>
        <v>Junior</v>
      </c>
      <c r="W2104" t="str">
        <f t="shared" si="163"/>
        <v>Medium Risk</v>
      </c>
      <c r="X2104" t="str">
        <f t="shared" si="164"/>
        <v>Competitive</v>
      </c>
    </row>
    <row r="2105" spans="1:24" x14ac:dyDescent="0.3">
      <c r="A2105" t="s">
        <v>2173</v>
      </c>
      <c r="B2105" t="s">
        <v>39</v>
      </c>
      <c r="C2105">
        <v>34</v>
      </c>
      <c r="D2105" t="s">
        <v>31</v>
      </c>
      <c r="E2105" t="s">
        <v>48</v>
      </c>
      <c r="F2105" t="s">
        <v>41</v>
      </c>
      <c r="G2105" t="s">
        <v>58</v>
      </c>
      <c r="H2105" t="s">
        <v>25</v>
      </c>
      <c r="I2105" t="s">
        <v>26</v>
      </c>
      <c r="J2105" t="s">
        <v>27</v>
      </c>
      <c r="K2105">
        <v>9</v>
      </c>
      <c r="L2105">
        <v>103356</v>
      </c>
      <c r="M2105" t="s">
        <v>45</v>
      </c>
      <c r="N2105">
        <v>3</v>
      </c>
      <c r="O2105">
        <v>2</v>
      </c>
      <c r="P2105">
        <v>38</v>
      </c>
      <c r="Q2105">
        <v>3</v>
      </c>
      <c r="R2105" s="1">
        <v>41982</v>
      </c>
      <c r="S2105" t="s">
        <v>37</v>
      </c>
      <c r="T2105" t="str">
        <f t="shared" si="160"/>
        <v>Grade A</v>
      </c>
      <c r="U2105">
        <f t="shared" si="161"/>
        <v>2</v>
      </c>
      <c r="V2105" t="str">
        <f t="shared" si="162"/>
        <v>Mid Level</v>
      </c>
      <c r="W2105" t="str">
        <f t="shared" si="163"/>
        <v>Already Left</v>
      </c>
      <c r="X2105" t="str">
        <f t="shared" si="164"/>
        <v>Fair</v>
      </c>
    </row>
    <row r="2106" spans="1:24" x14ac:dyDescent="0.3">
      <c r="A2106" t="s">
        <v>2174</v>
      </c>
      <c r="B2106" t="s">
        <v>39</v>
      </c>
      <c r="C2106">
        <v>22</v>
      </c>
      <c r="D2106" t="s">
        <v>88</v>
      </c>
      <c r="E2106" t="s">
        <v>40</v>
      </c>
      <c r="F2106" t="s">
        <v>32</v>
      </c>
      <c r="G2106" t="s">
        <v>66</v>
      </c>
      <c r="H2106" t="s">
        <v>83</v>
      </c>
      <c r="I2106" t="s">
        <v>59</v>
      </c>
      <c r="J2106" t="s">
        <v>60</v>
      </c>
      <c r="K2106">
        <v>8</v>
      </c>
      <c r="L2106">
        <v>50917</v>
      </c>
      <c r="M2106" t="s">
        <v>45</v>
      </c>
      <c r="N2106">
        <v>3</v>
      </c>
      <c r="O2106">
        <v>1</v>
      </c>
      <c r="P2106">
        <v>61</v>
      </c>
      <c r="Q2106">
        <v>2</v>
      </c>
      <c r="R2106" s="1">
        <v>42134</v>
      </c>
      <c r="S2106" t="s">
        <v>29</v>
      </c>
      <c r="T2106" t="str">
        <f t="shared" si="160"/>
        <v>Grade B</v>
      </c>
      <c r="U2106">
        <f t="shared" si="161"/>
        <v>2</v>
      </c>
      <c r="V2106" t="str">
        <f t="shared" si="162"/>
        <v>Mid Level</v>
      </c>
      <c r="W2106" t="str">
        <f t="shared" si="163"/>
        <v>Medium Risk</v>
      </c>
      <c r="X2106" t="str">
        <f t="shared" si="164"/>
        <v>Fair</v>
      </c>
    </row>
    <row r="2107" spans="1:24" x14ac:dyDescent="0.3">
      <c r="A2107" t="s">
        <v>2175</v>
      </c>
      <c r="B2107" t="s">
        <v>20</v>
      </c>
      <c r="C2107">
        <v>50</v>
      </c>
      <c r="D2107" t="s">
        <v>21</v>
      </c>
      <c r="E2107" t="s">
        <v>22</v>
      </c>
      <c r="F2107" t="s">
        <v>78</v>
      </c>
      <c r="G2107" t="s">
        <v>24</v>
      </c>
      <c r="H2107" t="s">
        <v>76</v>
      </c>
      <c r="I2107" t="s">
        <v>59</v>
      </c>
      <c r="J2107" t="s">
        <v>60</v>
      </c>
      <c r="K2107">
        <v>11</v>
      </c>
      <c r="L2107">
        <v>90142</v>
      </c>
      <c r="M2107" t="s">
        <v>51</v>
      </c>
      <c r="N2107">
        <v>2</v>
      </c>
      <c r="O2107">
        <v>3</v>
      </c>
      <c r="P2107">
        <v>31</v>
      </c>
      <c r="Q2107">
        <v>1</v>
      </c>
      <c r="R2107" s="1">
        <v>41272</v>
      </c>
      <c r="S2107" t="s">
        <v>29</v>
      </c>
      <c r="T2107" t="str">
        <f t="shared" si="160"/>
        <v>Grade A</v>
      </c>
      <c r="U2107">
        <f t="shared" si="161"/>
        <v>4</v>
      </c>
      <c r="V2107" t="str">
        <f t="shared" si="162"/>
        <v>Senior</v>
      </c>
      <c r="W2107" t="str">
        <f t="shared" si="163"/>
        <v>Low Risk</v>
      </c>
      <c r="X2107" t="str">
        <f t="shared" si="164"/>
        <v>Competitive</v>
      </c>
    </row>
    <row r="2108" spans="1:24" x14ac:dyDescent="0.3">
      <c r="A2108" t="s">
        <v>2176</v>
      </c>
      <c r="B2108" t="s">
        <v>20</v>
      </c>
      <c r="C2108">
        <v>50</v>
      </c>
      <c r="D2108" t="s">
        <v>31</v>
      </c>
      <c r="E2108" t="s">
        <v>22</v>
      </c>
      <c r="F2108" t="s">
        <v>78</v>
      </c>
      <c r="G2108" t="s">
        <v>66</v>
      </c>
      <c r="H2108" t="s">
        <v>83</v>
      </c>
      <c r="I2108" t="s">
        <v>59</v>
      </c>
      <c r="J2108" t="s">
        <v>60</v>
      </c>
      <c r="K2108">
        <v>11</v>
      </c>
      <c r="L2108">
        <v>59474</v>
      </c>
      <c r="M2108" t="s">
        <v>36</v>
      </c>
      <c r="N2108">
        <v>3</v>
      </c>
      <c r="O2108">
        <v>1</v>
      </c>
      <c r="P2108">
        <v>73</v>
      </c>
      <c r="Q2108">
        <v>1</v>
      </c>
      <c r="R2108" s="1">
        <v>41045</v>
      </c>
      <c r="S2108" t="s">
        <v>37</v>
      </c>
      <c r="T2108" t="str">
        <f t="shared" si="160"/>
        <v>Grade B</v>
      </c>
      <c r="U2108">
        <f t="shared" si="161"/>
        <v>1</v>
      </c>
      <c r="V2108" t="str">
        <f t="shared" si="162"/>
        <v>Senior</v>
      </c>
      <c r="W2108" t="str">
        <f t="shared" si="163"/>
        <v>Already Left</v>
      </c>
      <c r="X2108" t="str">
        <f t="shared" si="164"/>
        <v>Fair</v>
      </c>
    </row>
    <row r="2109" spans="1:24" x14ac:dyDescent="0.3">
      <c r="A2109" t="s">
        <v>2177</v>
      </c>
      <c r="B2109" t="s">
        <v>20</v>
      </c>
      <c r="C2109">
        <v>34</v>
      </c>
      <c r="D2109" t="s">
        <v>47</v>
      </c>
      <c r="E2109" t="s">
        <v>40</v>
      </c>
      <c r="F2109" t="s">
        <v>32</v>
      </c>
      <c r="G2109" t="s">
        <v>66</v>
      </c>
      <c r="H2109" t="s">
        <v>83</v>
      </c>
      <c r="I2109" t="s">
        <v>54</v>
      </c>
      <c r="J2109" t="s">
        <v>27</v>
      </c>
      <c r="K2109">
        <v>1</v>
      </c>
      <c r="L2109">
        <v>38897</v>
      </c>
      <c r="M2109" t="s">
        <v>51</v>
      </c>
      <c r="N2109">
        <v>1</v>
      </c>
      <c r="O2109">
        <v>4</v>
      </c>
      <c r="P2109">
        <v>37</v>
      </c>
      <c r="Q2109">
        <v>3</v>
      </c>
      <c r="R2109" s="1">
        <v>44885</v>
      </c>
      <c r="S2109" t="s">
        <v>29</v>
      </c>
      <c r="T2109" t="str">
        <f t="shared" si="160"/>
        <v>Grade C</v>
      </c>
      <c r="U2109">
        <f t="shared" si="161"/>
        <v>4</v>
      </c>
      <c r="V2109" t="str">
        <f t="shared" si="162"/>
        <v>New Joiner</v>
      </c>
      <c r="W2109" t="str">
        <f t="shared" si="163"/>
        <v>Low Risk</v>
      </c>
      <c r="X2109" t="str">
        <f t="shared" si="164"/>
        <v>Fair</v>
      </c>
    </row>
    <row r="2110" spans="1:24" x14ac:dyDescent="0.3">
      <c r="A2110" t="s">
        <v>2178</v>
      </c>
      <c r="B2110" t="s">
        <v>20</v>
      </c>
      <c r="C2110">
        <v>44</v>
      </c>
      <c r="D2110" t="s">
        <v>47</v>
      </c>
      <c r="E2110" t="s">
        <v>40</v>
      </c>
      <c r="F2110" t="s">
        <v>78</v>
      </c>
      <c r="G2110" t="s">
        <v>42</v>
      </c>
      <c r="H2110" t="s">
        <v>83</v>
      </c>
      <c r="I2110" t="s">
        <v>80</v>
      </c>
      <c r="J2110" t="s">
        <v>60</v>
      </c>
      <c r="K2110">
        <v>12</v>
      </c>
      <c r="L2110">
        <v>110414</v>
      </c>
      <c r="M2110" t="s">
        <v>45</v>
      </c>
      <c r="N2110">
        <v>3</v>
      </c>
      <c r="O2110">
        <v>2</v>
      </c>
      <c r="P2110">
        <v>57</v>
      </c>
      <c r="Q2110">
        <v>3</v>
      </c>
      <c r="R2110" s="1">
        <v>40733</v>
      </c>
      <c r="S2110" t="s">
        <v>29</v>
      </c>
      <c r="T2110" t="str">
        <f t="shared" si="160"/>
        <v>Grade A</v>
      </c>
      <c r="U2110">
        <f t="shared" si="161"/>
        <v>2</v>
      </c>
      <c r="V2110" t="str">
        <f t="shared" si="162"/>
        <v>Senior</v>
      </c>
      <c r="W2110" t="str">
        <f t="shared" si="163"/>
        <v>Medium Risk</v>
      </c>
      <c r="X2110" t="str">
        <f t="shared" si="164"/>
        <v>Fair</v>
      </c>
    </row>
    <row r="2111" spans="1:24" x14ac:dyDescent="0.3">
      <c r="A2111" t="s">
        <v>2179</v>
      </c>
      <c r="B2111" t="s">
        <v>20</v>
      </c>
      <c r="C2111">
        <v>42</v>
      </c>
      <c r="D2111" t="s">
        <v>57</v>
      </c>
      <c r="E2111" t="s">
        <v>22</v>
      </c>
      <c r="F2111" t="s">
        <v>78</v>
      </c>
      <c r="G2111" t="s">
        <v>42</v>
      </c>
      <c r="H2111" t="s">
        <v>76</v>
      </c>
      <c r="I2111" t="s">
        <v>50</v>
      </c>
      <c r="J2111" t="s">
        <v>44</v>
      </c>
      <c r="K2111">
        <v>1</v>
      </c>
      <c r="L2111">
        <v>99843</v>
      </c>
      <c r="M2111" t="s">
        <v>45</v>
      </c>
      <c r="N2111">
        <v>2</v>
      </c>
      <c r="O2111">
        <v>4</v>
      </c>
      <c r="P2111">
        <v>24</v>
      </c>
      <c r="Q2111">
        <v>1</v>
      </c>
      <c r="R2111" s="1">
        <v>44921</v>
      </c>
      <c r="S2111" t="s">
        <v>29</v>
      </c>
      <c r="T2111" t="str">
        <f t="shared" si="160"/>
        <v>Grade A</v>
      </c>
      <c r="U2111">
        <f t="shared" si="161"/>
        <v>2</v>
      </c>
      <c r="V2111" t="str">
        <f t="shared" si="162"/>
        <v>New Joiner</v>
      </c>
      <c r="W2111" t="str">
        <f t="shared" si="163"/>
        <v>Medium Risk</v>
      </c>
      <c r="X2111" t="str">
        <f t="shared" si="164"/>
        <v>Fair</v>
      </c>
    </row>
    <row r="2112" spans="1:24" x14ac:dyDescent="0.3">
      <c r="A2112" t="s">
        <v>2180</v>
      </c>
      <c r="B2112" t="s">
        <v>39</v>
      </c>
      <c r="C2112">
        <v>29</v>
      </c>
      <c r="D2112" t="s">
        <v>21</v>
      </c>
      <c r="E2112" t="s">
        <v>40</v>
      </c>
      <c r="F2112" t="s">
        <v>23</v>
      </c>
      <c r="G2112" t="s">
        <v>79</v>
      </c>
      <c r="H2112" t="s">
        <v>67</v>
      </c>
      <c r="I2112" t="s">
        <v>43</v>
      </c>
      <c r="J2112" t="s">
        <v>44</v>
      </c>
      <c r="K2112">
        <v>13</v>
      </c>
      <c r="L2112">
        <v>59974</v>
      </c>
      <c r="M2112" t="s">
        <v>36</v>
      </c>
      <c r="N2112">
        <v>2</v>
      </c>
      <c r="O2112">
        <v>4</v>
      </c>
      <c r="P2112">
        <v>10</v>
      </c>
      <c r="Q2112">
        <v>0</v>
      </c>
      <c r="R2112" s="1">
        <v>40285</v>
      </c>
      <c r="S2112" t="s">
        <v>37</v>
      </c>
      <c r="T2112" t="str">
        <f t="shared" si="160"/>
        <v>Grade B</v>
      </c>
      <c r="U2112">
        <f t="shared" si="161"/>
        <v>1</v>
      </c>
      <c r="V2112" t="str">
        <f t="shared" si="162"/>
        <v>Senior</v>
      </c>
      <c r="W2112" t="str">
        <f t="shared" si="163"/>
        <v>Already Left</v>
      </c>
      <c r="X2112" t="str">
        <f t="shared" si="164"/>
        <v>Fair</v>
      </c>
    </row>
    <row r="2113" spans="1:24" x14ac:dyDescent="0.3">
      <c r="A2113" t="s">
        <v>2181</v>
      </c>
      <c r="B2113" t="s">
        <v>39</v>
      </c>
      <c r="C2113">
        <v>30</v>
      </c>
      <c r="D2113" t="s">
        <v>57</v>
      </c>
      <c r="E2113" t="s">
        <v>40</v>
      </c>
      <c r="F2113" t="s">
        <v>62</v>
      </c>
      <c r="G2113" t="s">
        <v>79</v>
      </c>
      <c r="H2113" t="s">
        <v>34</v>
      </c>
      <c r="I2113" t="s">
        <v>54</v>
      </c>
      <c r="J2113" t="s">
        <v>27</v>
      </c>
      <c r="K2113">
        <v>14</v>
      </c>
      <c r="L2113">
        <v>73314</v>
      </c>
      <c r="M2113" t="s">
        <v>51</v>
      </c>
      <c r="N2113">
        <v>4</v>
      </c>
      <c r="O2113">
        <v>2</v>
      </c>
      <c r="P2113">
        <v>77</v>
      </c>
      <c r="Q2113">
        <v>0</v>
      </c>
      <c r="R2113" s="1">
        <v>40157</v>
      </c>
      <c r="S2113" t="s">
        <v>37</v>
      </c>
      <c r="T2113" t="str">
        <f t="shared" si="160"/>
        <v>Grade B</v>
      </c>
      <c r="U2113">
        <f t="shared" si="161"/>
        <v>4</v>
      </c>
      <c r="V2113" t="str">
        <f t="shared" si="162"/>
        <v>Senior</v>
      </c>
      <c r="W2113" t="str">
        <f t="shared" si="163"/>
        <v>Already Left</v>
      </c>
      <c r="X2113" t="str">
        <f t="shared" si="164"/>
        <v>Fair</v>
      </c>
    </row>
    <row r="2114" spans="1:24" x14ac:dyDescent="0.3">
      <c r="A2114" t="s">
        <v>2182</v>
      </c>
      <c r="B2114" t="s">
        <v>20</v>
      </c>
      <c r="C2114">
        <v>30</v>
      </c>
      <c r="D2114" t="s">
        <v>57</v>
      </c>
      <c r="E2114" t="s">
        <v>40</v>
      </c>
      <c r="F2114" t="s">
        <v>78</v>
      </c>
      <c r="G2114" t="s">
        <v>33</v>
      </c>
      <c r="H2114" t="s">
        <v>76</v>
      </c>
      <c r="I2114" t="s">
        <v>72</v>
      </c>
      <c r="J2114" t="s">
        <v>73</v>
      </c>
      <c r="K2114">
        <v>14</v>
      </c>
      <c r="L2114">
        <v>79630</v>
      </c>
      <c r="M2114" t="s">
        <v>36</v>
      </c>
      <c r="N2114">
        <v>2</v>
      </c>
      <c r="O2114">
        <v>1</v>
      </c>
      <c r="P2114">
        <v>23</v>
      </c>
      <c r="Q2114">
        <v>2</v>
      </c>
      <c r="R2114" s="1">
        <v>39839</v>
      </c>
      <c r="S2114" t="s">
        <v>37</v>
      </c>
      <c r="T2114" t="str">
        <f t="shared" ref="T2114:T2177" si="165">IF(L2114&gt;=80000,"Grade A",IF(L2114&gt;=50000,"Grade B",IF(L2114&gt;=35000,"Grade C","Grade D")))</f>
        <v>Grade B</v>
      </c>
      <c r="U2114">
        <f t="shared" ref="U2114:U2177" si="166">IF(M2114="Excellent",4,IF(M2114="Good",3,IF(M2114="Average",2,1)))</f>
        <v>1</v>
      </c>
      <c r="V2114" t="str">
        <f t="shared" ref="V2114:V2177" si="167">IF(K2114&lt;=2,"New Joiner",IF(K2114&lt;=5,"Junior",IF(K2114&lt;=10,"Mid Level","Senior")))</f>
        <v>Senior</v>
      </c>
      <c r="W2114" t="str">
        <f t="shared" ref="W2114:W2177" si="168">IF(S2114="Yes","Already Left",IF(AND(K2114&lt;=2,M2114="Poor"),"High Risk",IF(AND(K2114&lt;=5,M2114="Average"),"Medium Risk",IF(M2114="Excellent","Low Risk","Medium Risk"))))</f>
        <v>Already Left</v>
      </c>
      <c r="X2114" t="str">
        <f t="shared" ref="X2114:X2177" si="169">IF(AND(L2114&gt;=80000,M2114="Excellent"),"Competitive",IF(AND(L2114&gt;=50000,M2114="Good"),"Competitive",IF(AND(L2114&lt;35000,M2114="Excellent"),"Underpaid",IF(AND(L2114&gt;=80000,M2114="Poor"),"Overpaid","Fair"))))</f>
        <v>Fair</v>
      </c>
    </row>
    <row r="2115" spans="1:24" x14ac:dyDescent="0.3">
      <c r="A2115" t="s">
        <v>2183</v>
      </c>
      <c r="B2115" t="s">
        <v>20</v>
      </c>
      <c r="C2115">
        <v>46</v>
      </c>
      <c r="D2115" t="s">
        <v>88</v>
      </c>
      <c r="E2115" t="s">
        <v>40</v>
      </c>
      <c r="F2115" t="s">
        <v>75</v>
      </c>
      <c r="G2115" t="s">
        <v>33</v>
      </c>
      <c r="H2115" t="s">
        <v>25</v>
      </c>
      <c r="I2115" t="s">
        <v>43</v>
      </c>
      <c r="J2115" t="s">
        <v>44</v>
      </c>
      <c r="K2115">
        <v>1</v>
      </c>
      <c r="L2115">
        <v>66732</v>
      </c>
      <c r="M2115" t="s">
        <v>36</v>
      </c>
      <c r="N2115">
        <v>1</v>
      </c>
      <c r="O2115">
        <v>2</v>
      </c>
      <c r="P2115">
        <v>29</v>
      </c>
      <c r="Q2115">
        <v>0</v>
      </c>
      <c r="R2115" s="1">
        <v>44765</v>
      </c>
      <c r="S2115" t="s">
        <v>29</v>
      </c>
      <c r="T2115" t="str">
        <f t="shared" si="165"/>
        <v>Grade B</v>
      </c>
      <c r="U2115">
        <f t="shared" si="166"/>
        <v>1</v>
      </c>
      <c r="V2115" t="str">
        <f t="shared" si="167"/>
        <v>New Joiner</v>
      </c>
      <c r="W2115" t="str">
        <f t="shared" si="168"/>
        <v>High Risk</v>
      </c>
      <c r="X2115" t="str">
        <f t="shared" si="169"/>
        <v>Fair</v>
      </c>
    </row>
    <row r="2116" spans="1:24" x14ac:dyDescent="0.3">
      <c r="A2116" t="s">
        <v>2184</v>
      </c>
      <c r="B2116" t="s">
        <v>39</v>
      </c>
      <c r="C2116">
        <v>44</v>
      </c>
      <c r="D2116" t="s">
        <v>21</v>
      </c>
      <c r="E2116" t="s">
        <v>22</v>
      </c>
      <c r="F2116" t="s">
        <v>41</v>
      </c>
      <c r="G2116" t="s">
        <v>49</v>
      </c>
      <c r="H2116" t="s">
        <v>67</v>
      </c>
      <c r="I2116" t="s">
        <v>72</v>
      </c>
      <c r="J2116" t="s">
        <v>73</v>
      </c>
      <c r="K2116">
        <v>7</v>
      </c>
      <c r="L2116">
        <v>72642</v>
      </c>
      <c r="M2116" t="s">
        <v>45</v>
      </c>
      <c r="N2116">
        <v>4</v>
      </c>
      <c r="O2116">
        <v>3</v>
      </c>
      <c r="P2116">
        <v>23</v>
      </c>
      <c r="Q2116">
        <v>3</v>
      </c>
      <c r="R2116" s="1">
        <v>42593</v>
      </c>
      <c r="S2116" t="s">
        <v>29</v>
      </c>
      <c r="T2116" t="str">
        <f t="shared" si="165"/>
        <v>Grade B</v>
      </c>
      <c r="U2116">
        <f t="shared" si="166"/>
        <v>2</v>
      </c>
      <c r="V2116" t="str">
        <f t="shared" si="167"/>
        <v>Mid Level</v>
      </c>
      <c r="W2116" t="str">
        <f t="shared" si="168"/>
        <v>Medium Risk</v>
      </c>
      <c r="X2116" t="str">
        <f t="shared" si="169"/>
        <v>Fair</v>
      </c>
    </row>
    <row r="2117" spans="1:24" x14ac:dyDescent="0.3">
      <c r="A2117" t="s">
        <v>2185</v>
      </c>
      <c r="B2117" t="s">
        <v>39</v>
      </c>
      <c r="C2117">
        <v>29</v>
      </c>
      <c r="D2117" t="s">
        <v>57</v>
      </c>
      <c r="E2117" t="s">
        <v>40</v>
      </c>
      <c r="F2117" t="s">
        <v>62</v>
      </c>
      <c r="G2117" t="s">
        <v>33</v>
      </c>
      <c r="H2117" t="s">
        <v>34</v>
      </c>
      <c r="I2117" t="s">
        <v>96</v>
      </c>
      <c r="J2117" t="s">
        <v>44</v>
      </c>
      <c r="K2117">
        <v>11</v>
      </c>
      <c r="L2117">
        <v>78197</v>
      </c>
      <c r="M2117" t="s">
        <v>36</v>
      </c>
      <c r="N2117">
        <v>4</v>
      </c>
      <c r="O2117">
        <v>3</v>
      </c>
      <c r="P2117">
        <v>75</v>
      </c>
      <c r="Q2117">
        <v>3</v>
      </c>
      <c r="R2117" s="1">
        <v>41216</v>
      </c>
      <c r="S2117" t="s">
        <v>29</v>
      </c>
      <c r="T2117" t="str">
        <f t="shared" si="165"/>
        <v>Grade B</v>
      </c>
      <c r="U2117">
        <f t="shared" si="166"/>
        <v>1</v>
      </c>
      <c r="V2117" t="str">
        <f t="shared" si="167"/>
        <v>Senior</v>
      </c>
      <c r="W2117" t="str">
        <f t="shared" si="168"/>
        <v>Medium Risk</v>
      </c>
      <c r="X2117" t="str">
        <f t="shared" si="169"/>
        <v>Fair</v>
      </c>
    </row>
    <row r="2118" spans="1:24" x14ac:dyDescent="0.3">
      <c r="A2118" t="s">
        <v>2186</v>
      </c>
      <c r="B2118" t="s">
        <v>39</v>
      </c>
      <c r="C2118">
        <v>45</v>
      </c>
      <c r="D2118" t="s">
        <v>57</v>
      </c>
      <c r="E2118" t="s">
        <v>40</v>
      </c>
      <c r="F2118" t="s">
        <v>78</v>
      </c>
      <c r="G2118" t="s">
        <v>66</v>
      </c>
      <c r="H2118" t="s">
        <v>76</v>
      </c>
      <c r="I2118" t="s">
        <v>80</v>
      </c>
      <c r="J2118" t="s">
        <v>60</v>
      </c>
      <c r="K2118">
        <v>6</v>
      </c>
      <c r="L2118">
        <v>55024</v>
      </c>
      <c r="M2118" t="s">
        <v>28</v>
      </c>
      <c r="N2118">
        <v>4</v>
      </c>
      <c r="O2118">
        <v>1</v>
      </c>
      <c r="P2118">
        <v>32</v>
      </c>
      <c r="Q2118">
        <v>2</v>
      </c>
      <c r="R2118" s="1">
        <v>42992</v>
      </c>
      <c r="S2118" t="s">
        <v>29</v>
      </c>
      <c r="T2118" t="str">
        <f t="shared" si="165"/>
        <v>Grade B</v>
      </c>
      <c r="U2118">
        <f t="shared" si="166"/>
        <v>3</v>
      </c>
      <c r="V2118" t="str">
        <f t="shared" si="167"/>
        <v>Mid Level</v>
      </c>
      <c r="W2118" t="str">
        <f t="shared" si="168"/>
        <v>Medium Risk</v>
      </c>
      <c r="X2118" t="str">
        <f t="shared" si="169"/>
        <v>Competitive</v>
      </c>
    </row>
    <row r="2119" spans="1:24" x14ac:dyDescent="0.3">
      <c r="A2119" t="s">
        <v>2187</v>
      </c>
      <c r="B2119" t="s">
        <v>39</v>
      </c>
      <c r="C2119">
        <v>31</v>
      </c>
      <c r="D2119" t="s">
        <v>57</v>
      </c>
      <c r="E2119" t="s">
        <v>48</v>
      </c>
      <c r="F2119" t="s">
        <v>23</v>
      </c>
      <c r="G2119" t="s">
        <v>63</v>
      </c>
      <c r="H2119" t="s">
        <v>83</v>
      </c>
      <c r="I2119" t="s">
        <v>68</v>
      </c>
      <c r="J2119" t="s">
        <v>60</v>
      </c>
      <c r="K2119">
        <v>1</v>
      </c>
      <c r="L2119">
        <v>45328</v>
      </c>
      <c r="M2119" t="s">
        <v>28</v>
      </c>
      <c r="N2119">
        <v>1</v>
      </c>
      <c r="O2119">
        <v>1</v>
      </c>
      <c r="P2119">
        <v>63</v>
      </c>
      <c r="Q2119">
        <v>1</v>
      </c>
      <c r="R2119" s="1">
        <v>44600</v>
      </c>
      <c r="S2119" t="s">
        <v>29</v>
      </c>
      <c r="T2119" t="str">
        <f t="shared" si="165"/>
        <v>Grade C</v>
      </c>
      <c r="U2119">
        <f t="shared" si="166"/>
        <v>3</v>
      </c>
      <c r="V2119" t="str">
        <f t="shared" si="167"/>
        <v>New Joiner</v>
      </c>
      <c r="W2119" t="str">
        <f t="shared" si="168"/>
        <v>Medium Risk</v>
      </c>
      <c r="X2119" t="str">
        <f t="shared" si="169"/>
        <v>Fair</v>
      </c>
    </row>
    <row r="2120" spans="1:24" x14ac:dyDescent="0.3">
      <c r="A2120" t="s">
        <v>2188</v>
      </c>
      <c r="B2120" t="s">
        <v>39</v>
      </c>
      <c r="C2120">
        <v>24</v>
      </c>
      <c r="D2120" t="s">
        <v>31</v>
      </c>
      <c r="E2120" t="s">
        <v>40</v>
      </c>
      <c r="F2120" t="s">
        <v>65</v>
      </c>
      <c r="G2120" t="s">
        <v>79</v>
      </c>
      <c r="H2120" t="s">
        <v>67</v>
      </c>
      <c r="I2120" t="s">
        <v>59</v>
      </c>
      <c r="J2120" t="s">
        <v>60</v>
      </c>
      <c r="K2120">
        <v>4</v>
      </c>
      <c r="L2120">
        <v>46038</v>
      </c>
      <c r="M2120" t="s">
        <v>51</v>
      </c>
      <c r="N2120">
        <v>4</v>
      </c>
      <c r="O2120">
        <v>2</v>
      </c>
      <c r="P2120">
        <v>75</v>
      </c>
      <c r="Q2120">
        <v>3</v>
      </c>
      <c r="R2120" s="1">
        <v>43588</v>
      </c>
      <c r="S2120" t="s">
        <v>29</v>
      </c>
      <c r="T2120" t="str">
        <f t="shared" si="165"/>
        <v>Grade C</v>
      </c>
      <c r="U2120">
        <f t="shared" si="166"/>
        <v>4</v>
      </c>
      <c r="V2120" t="str">
        <f t="shared" si="167"/>
        <v>Junior</v>
      </c>
      <c r="W2120" t="str">
        <f t="shared" si="168"/>
        <v>Low Risk</v>
      </c>
      <c r="X2120" t="str">
        <f t="shared" si="169"/>
        <v>Fair</v>
      </c>
    </row>
    <row r="2121" spans="1:24" x14ac:dyDescent="0.3">
      <c r="A2121" t="s">
        <v>2189</v>
      </c>
      <c r="B2121" t="s">
        <v>39</v>
      </c>
      <c r="C2121">
        <v>25</v>
      </c>
      <c r="D2121" t="s">
        <v>47</v>
      </c>
      <c r="E2121" t="s">
        <v>40</v>
      </c>
      <c r="F2121" t="s">
        <v>32</v>
      </c>
      <c r="G2121" t="s">
        <v>66</v>
      </c>
      <c r="H2121" t="s">
        <v>67</v>
      </c>
      <c r="I2121" t="s">
        <v>72</v>
      </c>
      <c r="J2121" t="s">
        <v>73</v>
      </c>
      <c r="K2121">
        <v>14</v>
      </c>
      <c r="L2121">
        <v>58830</v>
      </c>
      <c r="M2121" t="s">
        <v>45</v>
      </c>
      <c r="N2121">
        <v>3</v>
      </c>
      <c r="O2121">
        <v>4</v>
      </c>
      <c r="P2121">
        <v>42</v>
      </c>
      <c r="Q2121">
        <v>3</v>
      </c>
      <c r="R2121" s="1">
        <v>39829</v>
      </c>
      <c r="S2121" t="s">
        <v>29</v>
      </c>
      <c r="T2121" t="str">
        <f t="shared" si="165"/>
        <v>Grade B</v>
      </c>
      <c r="U2121">
        <f t="shared" si="166"/>
        <v>2</v>
      </c>
      <c r="V2121" t="str">
        <f t="shared" si="167"/>
        <v>Senior</v>
      </c>
      <c r="W2121" t="str">
        <f t="shared" si="168"/>
        <v>Medium Risk</v>
      </c>
      <c r="X2121" t="str">
        <f t="shared" si="169"/>
        <v>Fair</v>
      </c>
    </row>
    <row r="2122" spans="1:24" x14ac:dyDescent="0.3">
      <c r="A2122" t="s">
        <v>2190</v>
      </c>
      <c r="B2122" t="s">
        <v>39</v>
      </c>
      <c r="C2122">
        <v>40</v>
      </c>
      <c r="D2122" t="s">
        <v>31</v>
      </c>
      <c r="E2122" t="s">
        <v>22</v>
      </c>
      <c r="F2122" t="s">
        <v>41</v>
      </c>
      <c r="G2122" t="s">
        <v>24</v>
      </c>
      <c r="H2122" t="s">
        <v>83</v>
      </c>
      <c r="I2122" t="s">
        <v>35</v>
      </c>
      <c r="J2122" t="s">
        <v>27</v>
      </c>
      <c r="K2122">
        <v>9</v>
      </c>
      <c r="L2122">
        <v>96213</v>
      </c>
      <c r="M2122" t="s">
        <v>28</v>
      </c>
      <c r="N2122">
        <v>4</v>
      </c>
      <c r="O2122">
        <v>2</v>
      </c>
      <c r="P2122">
        <v>31</v>
      </c>
      <c r="Q2122">
        <v>1</v>
      </c>
      <c r="R2122" s="1">
        <v>41667</v>
      </c>
      <c r="S2122" t="s">
        <v>29</v>
      </c>
      <c r="T2122" t="str">
        <f t="shared" si="165"/>
        <v>Grade A</v>
      </c>
      <c r="U2122">
        <f t="shared" si="166"/>
        <v>3</v>
      </c>
      <c r="V2122" t="str">
        <f t="shared" si="167"/>
        <v>Mid Level</v>
      </c>
      <c r="W2122" t="str">
        <f t="shared" si="168"/>
        <v>Medium Risk</v>
      </c>
      <c r="X2122" t="str">
        <f t="shared" si="169"/>
        <v>Competitive</v>
      </c>
    </row>
    <row r="2123" spans="1:24" x14ac:dyDescent="0.3">
      <c r="A2123" t="s">
        <v>2191</v>
      </c>
      <c r="B2123" t="s">
        <v>39</v>
      </c>
      <c r="C2123">
        <v>39</v>
      </c>
      <c r="D2123" t="s">
        <v>57</v>
      </c>
      <c r="E2123" t="s">
        <v>48</v>
      </c>
      <c r="F2123" t="s">
        <v>32</v>
      </c>
      <c r="G2123" t="s">
        <v>33</v>
      </c>
      <c r="H2123" t="s">
        <v>83</v>
      </c>
      <c r="I2123" t="s">
        <v>68</v>
      </c>
      <c r="J2123" t="s">
        <v>60</v>
      </c>
      <c r="K2123">
        <v>11</v>
      </c>
      <c r="L2123">
        <v>88734</v>
      </c>
      <c r="M2123" t="s">
        <v>36</v>
      </c>
      <c r="N2123">
        <v>1</v>
      </c>
      <c r="O2123">
        <v>3</v>
      </c>
      <c r="P2123">
        <v>51</v>
      </c>
      <c r="Q2123">
        <v>3</v>
      </c>
      <c r="R2123" s="1">
        <v>41273</v>
      </c>
      <c r="S2123" t="s">
        <v>37</v>
      </c>
      <c r="T2123" t="str">
        <f t="shared" si="165"/>
        <v>Grade A</v>
      </c>
      <c r="U2123">
        <f t="shared" si="166"/>
        <v>1</v>
      </c>
      <c r="V2123" t="str">
        <f t="shared" si="167"/>
        <v>Senior</v>
      </c>
      <c r="W2123" t="str">
        <f t="shared" si="168"/>
        <v>Already Left</v>
      </c>
      <c r="X2123" t="str">
        <f t="shared" si="169"/>
        <v>Overpaid</v>
      </c>
    </row>
    <row r="2124" spans="1:24" x14ac:dyDescent="0.3">
      <c r="A2124" t="s">
        <v>2192</v>
      </c>
      <c r="B2124" t="s">
        <v>20</v>
      </c>
      <c r="C2124">
        <v>35</v>
      </c>
      <c r="D2124" t="s">
        <v>31</v>
      </c>
      <c r="E2124" t="s">
        <v>40</v>
      </c>
      <c r="F2124" t="s">
        <v>78</v>
      </c>
      <c r="G2124" t="s">
        <v>42</v>
      </c>
      <c r="H2124" t="s">
        <v>34</v>
      </c>
      <c r="I2124" t="s">
        <v>96</v>
      </c>
      <c r="J2124" t="s">
        <v>44</v>
      </c>
      <c r="K2124">
        <v>8</v>
      </c>
      <c r="L2124">
        <v>107679</v>
      </c>
      <c r="M2124" t="s">
        <v>51</v>
      </c>
      <c r="N2124">
        <v>3</v>
      </c>
      <c r="O2124">
        <v>2</v>
      </c>
      <c r="P2124">
        <v>54</v>
      </c>
      <c r="Q2124">
        <v>1</v>
      </c>
      <c r="R2124" s="1">
        <v>42308</v>
      </c>
      <c r="S2124" t="s">
        <v>37</v>
      </c>
      <c r="T2124" t="str">
        <f t="shared" si="165"/>
        <v>Grade A</v>
      </c>
      <c r="U2124">
        <f t="shared" si="166"/>
        <v>4</v>
      </c>
      <c r="V2124" t="str">
        <f t="shared" si="167"/>
        <v>Mid Level</v>
      </c>
      <c r="W2124" t="str">
        <f t="shared" si="168"/>
        <v>Already Left</v>
      </c>
      <c r="X2124" t="str">
        <f t="shared" si="169"/>
        <v>Competitive</v>
      </c>
    </row>
    <row r="2125" spans="1:24" x14ac:dyDescent="0.3">
      <c r="A2125" t="s">
        <v>2193</v>
      </c>
      <c r="B2125" t="s">
        <v>20</v>
      </c>
      <c r="C2125">
        <v>32</v>
      </c>
      <c r="D2125" t="s">
        <v>21</v>
      </c>
      <c r="E2125" t="s">
        <v>40</v>
      </c>
      <c r="F2125" t="s">
        <v>41</v>
      </c>
      <c r="G2125" t="s">
        <v>66</v>
      </c>
      <c r="H2125" t="s">
        <v>83</v>
      </c>
      <c r="I2125" t="s">
        <v>35</v>
      </c>
      <c r="J2125" t="s">
        <v>27</v>
      </c>
      <c r="K2125">
        <v>8</v>
      </c>
      <c r="L2125">
        <v>42037</v>
      </c>
      <c r="M2125" t="s">
        <v>45</v>
      </c>
      <c r="N2125">
        <v>3</v>
      </c>
      <c r="O2125">
        <v>1</v>
      </c>
      <c r="P2125">
        <v>34</v>
      </c>
      <c r="Q2125">
        <v>3</v>
      </c>
      <c r="R2125" s="1">
        <v>42300</v>
      </c>
      <c r="S2125" t="s">
        <v>29</v>
      </c>
      <c r="T2125" t="str">
        <f t="shared" si="165"/>
        <v>Grade C</v>
      </c>
      <c r="U2125">
        <f t="shared" si="166"/>
        <v>2</v>
      </c>
      <c r="V2125" t="str">
        <f t="shared" si="167"/>
        <v>Mid Level</v>
      </c>
      <c r="W2125" t="str">
        <f t="shared" si="168"/>
        <v>Medium Risk</v>
      </c>
      <c r="X2125" t="str">
        <f t="shared" si="169"/>
        <v>Fair</v>
      </c>
    </row>
    <row r="2126" spans="1:24" x14ac:dyDescent="0.3">
      <c r="A2126" t="s">
        <v>2194</v>
      </c>
      <c r="B2126" t="s">
        <v>39</v>
      </c>
      <c r="C2126">
        <v>48</v>
      </c>
      <c r="D2126" t="s">
        <v>88</v>
      </c>
      <c r="E2126" t="s">
        <v>48</v>
      </c>
      <c r="F2126" t="s">
        <v>65</v>
      </c>
      <c r="G2126" t="s">
        <v>24</v>
      </c>
      <c r="H2126" t="s">
        <v>76</v>
      </c>
      <c r="I2126" t="s">
        <v>54</v>
      </c>
      <c r="J2126" t="s">
        <v>27</v>
      </c>
      <c r="K2126">
        <v>7</v>
      </c>
      <c r="L2126">
        <v>87407</v>
      </c>
      <c r="M2126" t="s">
        <v>45</v>
      </c>
      <c r="N2126">
        <v>4</v>
      </c>
      <c r="O2126">
        <v>1</v>
      </c>
      <c r="P2126">
        <v>76</v>
      </c>
      <c r="Q2126">
        <v>2</v>
      </c>
      <c r="R2126" s="1">
        <v>42635</v>
      </c>
      <c r="S2126" t="s">
        <v>29</v>
      </c>
      <c r="T2126" t="str">
        <f t="shared" si="165"/>
        <v>Grade A</v>
      </c>
      <c r="U2126">
        <f t="shared" si="166"/>
        <v>2</v>
      </c>
      <c r="V2126" t="str">
        <f t="shared" si="167"/>
        <v>Mid Level</v>
      </c>
      <c r="W2126" t="str">
        <f t="shared" si="168"/>
        <v>Medium Risk</v>
      </c>
      <c r="X2126" t="str">
        <f t="shared" si="169"/>
        <v>Fair</v>
      </c>
    </row>
    <row r="2127" spans="1:24" x14ac:dyDescent="0.3">
      <c r="A2127" t="s">
        <v>2195</v>
      </c>
      <c r="B2127" t="s">
        <v>39</v>
      </c>
      <c r="C2127">
        <v>23</v>
      </c>
      <c r="D2127" t="s">
        <v>31</v>
      </c>
      <c r="E2127" t="s">
        <v>22</v>
      </c>
      <c r="F2127" t="s">
        <v>23</v>
      </c>
      <c r="G2127" t="s">
        <v>42</v>
      </c>
      <c r="H2127" t="s">
        <v>76</v>
      </c>
      <c r="I2127" t="s">
        <v>72</v>
      </c>
      <c r="J2127" t="s">
        <v>73</v>
      </c>
      <c r="K2127">
        <v>4</v>
      </c>
      <c r="L2127">
        <v>101717</v>
      </c>
      <c r="M2127" t="s">
        <v>45</v>
      </c>
      <c r="N2127">
        <v>4</v>
      </c>
      <c r="O2127">
        <v>4</v>
      </c>
      <c r="P2127">
        <v>43</v>
      </c>
      <c r="Q2127">
        <v>1</v>
      </c>
      <c r="R2127" s="1">
        <v>43802</v>
      </c>
      <c r="S2127" t="s">
        <v>37</v>
      </c>
      <c r="T2127" t="str">
        <f t="shared" si="165"/>
        <v>Grade A</v>
      </c>
      <c r="U2127">
        <f t="shared" si="166"/>
        <v>2</v>
      </c>
      <c r="V2127" t="str">
        <f t="shared" si="167"/>
        <v>Junior</v>
      </c>
      <c r="W2127" t="str">
        <f t="shared" si="168"/>
        <v>Already Left</v>
      </c>
      <c r="X2127" t="str">
        <f t="shared" si="169"/>
        <v>Fair</v>
      </c>
    </row>
    <row r="2128" spans="1:24" x14ac:dyDescent="0.3">
      <c r="A2128" t="s">
        <v>2196</v>
      </c>
      <c r="B2128" t="s">
        <v>20</v>
      </c>
      <c r="C2128">
        <v>29</v>
      </c>
      <c r="D2128" t="s">
        <v>47</v>
      </c>
      <c r="E2128" t="s">
        <v>22</v>
      </c>
      <c r="F2128" t="s">
        <v>62</v>
      </c>
      <c r="G2128" t="s">
        <v>58</v>
      </c>
      <c r="H2128" t="s">
        <v>34</v>
      </c>
      <c r="I2128" t="s">
        <v>72</v>
      </c>
      <c r="J2128" t="s">
        <v>73</v>
      </c>
      <c r="K2128">
        <v>2</v>
      </c>
      <c r="L2128">
        <v>82499</v>
      </c>
      <c r="M2128" t="s">
        <v>28</v>
      </c>
      <c r="N2128">
        <v>2</v>
      </c>
      <c r="O2128">
        <v>3</v>
      </c>
      <c r="P2128">
        <v>67</v>
      </c>
      <c r="Q2128">
        <v>2</v>
      </c>
      <c r="R2128" s="1">
        <v>44526</v>
      </c>
      <c r="S2128" t="s">
        <v>29</v>
      </c>
      <c r="T2128" t="str">
        <f t="shared" si="165"/>
        <v>Grade A</v>
      </c>
      <c r="U2128">
        <f t="shared" si="166"/>
        <v>3</v>
      </c>
      <c r="V2128" t="str">
        <f t="shared" si="167"/>
        <v>New Joiner</v>
      </c>
      <c r="W2128" t="str">
        <f t="shared" si="168"/>
        <v>Medium Risk</v>
      </c>
      <c r="X2128" t="str">
        <f t="shared" si="169"/>
        <v>Competitive</v>
      </c>
    </row>
    <row r="2129" spans="1:24" x14ac:dyDescent="0.3">
      <c r="A2129" t="s">
        <v>2197</v>
      </c>
      <c r="B2129" t="s">
        <v>39</v>
      </c>
      <c r="C2129">
        <v>41</v>
      </c>
      <c r="D2129" t="s">
        <v>57</v>
      </c>
      <c r="E2129" t="s">
        <v>48</v>
      </c>
      <c r="F2129" t="s">
        <v>62</v>
      </c>
      <c r="G2129" t="s">
        <v>79</v>
      </c>
      <c r="H2129" t="s">
        <v>34</v>
      </c>
      <c r="I2129" t="s">
        <v>59</v>
      </c>
      <c r="J2129" t="s">
        <v>60</v>
      </c>
      <c r="K2129">
        <v>2</v>
      </c>
      <c r="L2129">
        <v>44647</v>
      </c>
      <c r="M2129" t="s">
        <v>51</v>
      </c>
      <c r="N2129">
        <v>4</v>
      </c>
      <c r="O2129">
        <v>1</v>
      </c>
      <c r="P2129">
        <v>21</v>
      </c>
      <c r="Q2129">
        <v>3</v>
      </c>
      <c r="R2129" s="1">
        <v>44543</v>
      </c>
      <c r="S2129" t="s">
        <v>29</v>
      </c>
      <c r="T2129" t="str">
        <f t="shared" si="165"/>
        <v>Grade C</v>
      </c>
      <c r="U2129">
        <f t="shared" si="166"/>
        <v>4</v>
      </c>
      <c r="V2129" t="str">
        <f t="shared" si="167"/>
        <v>New Joiner</v>
      </c>
      <c r="W2129" t="str">
        <f t="shared" si="168"/>
        <v>Low Risk</v>
      </c>
      <c r="X2129" t="str">
        <f t="shared" si="169"/>
        <v>Fair</v>
      </c>
    </row>
    <row r="2130" spans="1:24" x14ac:dyDescent="0.3">
      <c r="A2130" t="s">
        <v>2198</v>
      </c>
      <c r="B2130" t="s">
        <v>39</v>
      </c>
      <c r="C2130">
        <v>22</v>
      </c>
      <c r="D2130" t="s">
        <v>47</v>
      </c>
      <c r="E2130" t="s">
        <v>22</v>
      </c>
      <c r="F2130" t="s">
        <v>53</v>
      </c>
      <c r="G2130" t="s">
        <v>66</v>
      </c>
      <c r="H2130" t="s">
        <v>76</v>
      </c>
      <c r="I2130" t="s">
        <v>80</v>
      </c>
      <c r="J2130" t="s">
        <v>60</v>
      </c>
      <c r="K2130">
        <v>5</v>
      </c>
      <c r="L2130">
        <v>45595</v>
      </c>
      <c r="M2130" t="s">
        <v>28</v>
      </c>
      <c r="N2130">
        <v>2</v>
      </c>
      <c r="O2130">
        <v>3</v>
      </c>
      <c r="P2130">
        <v>42</v>
      </c>
      <c r="Q2130">
        <v>3</v>
      </c>
      <c r="R2130" s="1">
        <v>43254</v>
      </c>
      <c r="S2130" t="s">
        <v>29</v>
      </c>
      <c r="T2130" t="str">
        <f t="shared" si="165"/>
        <v>Grade C</v>
      </c>
      <c r="U2130">
        <f t="shared" si="166"/>
        <v>3</v>
      </c>
      <c r="V2130" t="str">
        <f t="shared" si="167"/>
        <v>Junior</v>
      </c>
      <c r="W2130" t="str">
        <f t="shared" si="168"/>
        <v>Medium Risk</v>
      </c>
      <c r="X2130" t="str">
        <f t="shared" si="169"/>
        <v>Fair</v>
      </c>
    </row>
    <row r="2131" spans="1:24" x14ac:dyDescent="0.3">
      <c r="A2131" t="s">
        <v>2199</v>
      </c>
      <c r="B2131" t="s">
        <v>20</v>
      </c>
      <c r="C2131">
        <v>37</v>
      </c>
      <c r="D2131" t="s">
        <v>31</v>
      </c>
      <c r="E2131" t="s">
        <v>22</v>
      </c>
      <c r="F2131" t="s">
        <v>53</v>
      </c>
      <c r="G2131" t="s">
        <v>42</v>
      </c>
      <c r="H2131" t="s">
        <v>67</v>
      </c>
      <c r="I2131" t="s">
        <v>54</v>
      </c>
      <c r="J2131" t="s">
        <v>27</v>
      </c>
      <c r="K2131">
        <v>10</v>
      </c>
      <c r="L2131">
        <v>105129</v>
      </c>
      <c r="M2131" t="s">
        <v>28</v>
      </c>
      <c r="N2131">
        <v>3</v>
      </c>
      <c r="O2131">
        <v>4</v>
      </c>
      <c r="P2131">
        <v>59</v>
      </c>
      <c r="Q2131">
        <v>0</v>
      </c>
      <c r="R2131" s="1">
        <v>41600</v>
      </c>
      <c r="S2131" t="s">
        <v>29</v>
      </c>
      <c r="T2131" t="str">
        <f t="shared" si="165"/>
        <v>Grade A</v>
      </c>
      <c r="U2131">
        <f t="shared" si="166"/>
        <v>3</v>
      </c>
      <c r="V2131" t="str">
        <f t="shared" si="167"/>
        <v>Mid Level</v>
      </c>
      <c r="W2131" t="str">
        <f t="shared" si="168"/>
        <v>Medium Risk</v>
      </c>
      <c r="X2131" t="str">
        <f t="shared" si="169"/>
        <v>Competitive</v>
      </c>
    </row>
    <row r="2132" spans="1:24" x14ac:dyDescent="0.3">
      <c r="A2132" t="s">
        <v>2200</v>
      </c>
      <c r="B2132" t="s">
        <v>39</v>
      </c>
      <c r="C2132">
        <v>25</v>
      </c>
      <c r="D2132" t="s">
        <v>57</v>
      </c>
      <c r="E2132" t="s">
        <v>40</v>
      </c>
      <c r="F2132" t="s">
        <v>65</v>
      </c>
      <c r="G2132" t="s">
        <v>58</v>
      </c>
      <c r="H2132" t="s">
        <v>25</v>
      </c>
      <c r="I2132" t="s">
        <v>54</v>
      </c>
      <c r="J2132" t="s">
        <v>27</v>
      </c>
      <c r="K2132">
        <v>11</v>
      </c>
      <c r="L2132">
        <v>98659</v>
      </c>
      <c r="M2132" t="s">
        <v>36</v>
      </c>
      <c r="N2132">
        <v>3</v>
      </c>
      <c r="O2132">
        <v>1</v>
      </c>
      <c r="P2132">
        <v>60</v>
      </c>
      <c r="Q2132">
        <v>1</v>
      </c>
      <c r="R2132" s="1">
        <v>41150</v>
      </c>
      <c r="S2132" t="s">
        <v>37</v>
      </c>
      <c r="T2132" t="str">
        <f t="shared" si="165"/>
        <v>Grade A</v>
      </c>
      <c r="U2132">
        <f t="shared" si="166"/>
        <v>1</v>
      </c>
      <c r="V2132" t="str">
        <f t="shared" si="167"/>
        <v>Senior</v>
      </c>
      <c r="W2132" t="str">
        <f t="shared" si="168"/>
        <v>Already Left</v>
      </c>
      <c r="X2132" t="str">
        <f t="shared" si="169"/>
        <v>Overpaid</v>
      </c>
    </row>
    <row r="2133" spans="1:24" x14ac:dyDescent="0.3">
      <c r="A2133" t="s">
        <v>2201</v>
      </c>
      <c r="B2133" t="s">
        <v>39</v>
      </c>
      <c r="C2133">
        <v>40</v>
      </c>
      <c r="D2133" t="s">
        <v>21</v>
      </c>
      <c r="E2133" t="s">
        <v>48</v>
      </c>
      <c r="F2133" t="s">
        <v>53</v>
      </c>
      <c r="G2133" t="s">
        <v>79</v>
      </c>
      <c r="H2133" t="s">
        <v>83</v>
      </c>
      <c r="I2133" t="s">
        <v>72</v>
      </c>
      <c r="J2133" t="s">
        <v>73</v>
      </c>
      <c r="K2133">
        <v>11</v>
      </c>
      <c r="L2133">
        <v>57810</v>
      </c>
      <c r="M2133" t="s">
        <v>45</v>
      </c>
      <c r="N2133">
        <v>3</v>
      </c>
      <c r="O2133">
        <v>4</v>
      </c>
      <c r="P2133">
        <v>18</v>
      </c>
      <c r="Q2133">
        <v>3</v>
      </c>
      <c r="R2133" s="1">
        <v>41190</v>
      </c>
      <c r="S2133" t="s">
        <v>37</v>
      </c>
      <c r="T2133" t="str">
        <f t="shared" si="165"/>
        <v>Grade B</v>
      </c>
      <c r="U2133">
        <f t="shared" si="166"/>
        <v>2</v>
      </c>
      <c r="V2133" t="str">
        <f t="shared" si="167"/>
        <v>Senior</v>
      </c>
      <c r="W2133" t="str">
        <f t="shared" si="168"/>
        <v>Already Left</v>
      </c>
      <c r="X2133" t="str">
        <f t="shared" si="169"/>
        <v>Fair</v>
      </c>
    </row>
    <row r="2134" spans="1:24" x14ac:dyDescent="0.3">
      <c r="A2134" t="s">
        <v>2202</v>
      </c>
      <c r="B2134" t="s">
        <v>20</v>
      </c>
      <c r="C2134">
        <v>29</v>
      </c>
      <c r="D2134" t="s">
        <v>47</v>
      </c>
      <c r="E2134" t="s">
        <v>22</v>
      </c>
      <c r="F2134" t="s">
        <v>23</v>
      </c>
      <c r="G2134" t="s">
        <v>42</v>
      </c>
      <c r="H2134" t="s">
        <v>34</v>
      </c>
      <c r="I2134" t="s">
        <v>35</v>
      </c>
      <c r="J2134" t="s">
        <v>27</v>
      </c>
      <c r="K2134">
        <v>7</v>
      </c>
      <c r="L2134">
        <v>101814</v>
      </c>
      <c r="M2134" t="s">
        <v>45</v>
      </c>
      <c r="N2134">
        <v>2</v>
      </c>
      <c r="O2134">
        <v>4</v>
      </c>
      <c r="P2134">
        <v>60</v>
      </c>
      <c r="Q2134">
        <v>2</v>
      </c>
      <c r="R2134" s="1">
        <v>42566</v>
      </c>
      <c r="S2134" t="s">
        <v>29</v>
      </c>
      <c r="T2134" t="str">
        <f t="shared" si="165"/>
        <v>Grade A</v>
      </c>
      <c r="U2134">
        <f t="shared" si="166"/>
        <v>2</v>
      </c>
      <c r="V2134" t="str">
        <f t="shared" si="167"/>
        <v>Mid Level</v>
      </c>
      <c r="W2134" t="str">
        <f t="shared" si="168"/>
        <v>Medium Risk</v>
      </c>
      <c r="X2134" t="str">
        <f t="shared" si="169"/>
        <v>Fair</v>
      </c>
    </row>
    <row r="2135" spans="1:24" x14ac:dyDescent="0.3">
      <c r="A2135" t="s">
        <v>2203</v>
      </c>
      <c r="B2135" t="s">
        <v>20</v>
      </c>
      <c r="C2135">
        <v>29</v>
      </c>
      <c r="D2135" t="s">
        <v>57</v>
      </c>
      <c r="E2135" t="s">
        <v>40</v>
      </c>
      <c r="F2135" t="s">
        <v>53</v>
      </c>
      <c r="G2135" t="s">
        <v>79</v>
      </c>
      <c r="H2135" t="s">
        <v>34</v>
      </c>
      <c r="I2135" t="s">
        <v>50</v>
      </c>
      <c r="J2135" t="s">
        <v>44</v>
      </c>
      <c r="K2135">
        <v>10</v>
      </c>
      <c r="L2135">
        <v>60772</v>
      </c>
      <c r="M2135" t="s">
        <v>45</v>
      </c>
      <c r="N2135">
        <v>1</v>
      </c>
      <c r="O2135">
        <v>3</v>
      </c>
      <c r="P2135">
        <v>70</v>
      </c>
      <c r="Q2135">
        <v>1</v>
      </c>
      <c r="R2135" s="1">
        <v>41286</v>
      </c>
      <c r="S2135" t="s">
        <v>29</v>
      </c>
      <c r="T2135" t="str">
        <f t="shared" si="165"/>
        <v>Grade B</v>
      </c>
      <c r="U2135">
        <f t="shared" si="166"/>
        <v>2</v>
      </c>
      <c r="V2135" t="str">
        <f t="shared" si="167"/>
        <v>Mid Level</v>
      </c>
      <c r="W2135" t="str">
        <f t="shared" si="168"/>
        <v>Medium Risk</v>
      </c>
      <c r="X2135" t="str">
        <f t="shared" si="169"/>
        <v>Fair</v>
      </c>
    </row>
    <row r="2136" spans="1:24" x14ac:dyDescent="0.3">
      <c r="A2136" t="s">
        <v>2204</v>
      </c>
      <c r="B2136" t="s">
        <v>39</v>
      </c>
      <c r="C2136">
        <v>29</v>
      </c>
      <c r="D2136" t="s">
        <v>21</v>
      </c>
      <c r="E2136" t="s">
        <v>40</v>
      </c>
      <c r="F2136" t="s">
        <v>23</v>
      </c>
      <c r="G2136" t="s">
        <v>42</v>
      </c>
      <c r="H2136" t="s">
        <v>25</v>
      </c>
      <c r="I2136" t="s">
        <v>54</v>
      </c>
      <c r="J2136" t="s">
        <v>27</v>
      </c>
      <c r="K2136">
        <v>12</v>
      </c>
      <c r="L2136">
        <v>128419</v>
      </c>
      <c r="M2136" t="s">
        <v>28</v>
      </c>
      <c r="N2136">
        <v>3</v>
      </c>
      <c r="O2136">
        <v>2</v>
      </c>
      <c r="P2136">
        <v>44</v>
      </c>
      <c r="Q2136">
        <v>0</v>
      </c>
      <c r="R2136" s="1">
        <v>40825</v>
      </c>
      <c r="S2136" t="s">
        <v>29</v>
      </c>
      <c r="T2136" t="str">
        <f t="shared" si="165"/>
        <v>Grade A</v>
      </c>
      <c r="U2136">
        <f t="shared" si="166"/>
        <v>3</v>
      </c>
      <c r="V2136" t="str">
        <f t="shared" si="167"/>
        <v>Senior</v>
      </c>
      <c r="W2136" t="str">
        <f t="shared" si="168"/>
        <v>Medium Risk</v>
      </c>
      <c r="X2136" t="str">
        <f t="shared" si="169"/>
        <v>Competitive</v>
      </c>
    </row>
    <row r="2137" spans="1:24" x14ac:dyDescent="0.3">
      <c r="A2137" t="s">
        <v>2205</v>
      </c>
      <c r="B2137" t="s">
        <v>20</v>
      </c>
      <c r="C2137">
        <v>34</v>
      </c>
      <c r="D2137" t="s">
        <v>88</v>
      </c>
      <c r="E2137" t="s">
        <v>22</v>
      </c>
      <c r="F2137" t="s">
        <v>41</v>
      </c>
      <c r="G2137" t="s">
        <v>79</v>
      </c>
      <c r="H2137" t="s">
        <v>25</v>
      </c>
      <c r="I2137" t="s">
        <v>80</v>
      </c>
      <c r="J2137" t="s">
        <v>60</v>
      </c>
      <c r="K2137">
        <v>13</v>
      </c>
      <c r="L2137">
        <v>63090</v>
      </c>
      <c r="M2137" t="s">
        <v>51</v>
      </c>
      <c r="N2137">
        <v>3</v>
      </c>
      <c r="O2137">
        <v>2</v>
      </c>
      <c r="P2137">
        <v>62</v>
      </c>
      <c r="Q2137">
        <v>2</v>
      </c>
      <c r="R2137" s="1">
        <v>40362</v>
      </c>
      <c r="S2137" t="s">
        <v>29</v>
      </c>
      <c r="T2137" t="str">
        <f t="shared" si="165"/>
        <v>Grade B</v>
      </c>
      <c r="U2137">
        <f t="shared" si="166"/>
        <v>4</v>
      </c>
      <c r="V2137" t="str">
        <f t="shared" si="167"/>
        <v>Senior</v>
      </c>
      <c r="W2137" t="str">
        <f t="shared" si="168"/>
        <v>Low Risk</v>
      </c>
      <c r="X2137" t="str">
        <f t="shared" si="169"/>
        <v>Fair</v>
      </c>
    </row>
    <row r="2138" spans="1:24" x14ac:dyDescent="0.3">
      <c r="A2138" t="s">
        <v>2206</v>
      </c>
      <c r="B2138" t="s">
        <v>39</v>
      </c>
      <c r="C2138">
        <v>31</v>
      </c>
      <c r="D2138" t="s">
        <v>21</v>
      </c>
      <c r="E2138" t="s">
        <v>40</v>
      </c>
      <c r="F2138" t="s">
        <v>23</v>
      </c>
      <c r="G2138" t="s">
        <v>58</v>
      </c>
      <c r="H2138" t="s">
        <v>83</v>
      </c>
      <c r="I2138" t="s">
        <v>68</v>
      </c>
      <c r="J2138" t="s">
        <v>60</v>
      </c>
      <c r="K2138">
        <v>14</v>
      </c>
      <c r="L2138">
        <v>106541</v>
      </c>
      <c r="M2138" t="s">
        <v>28</v>
      </c>
      <c r="N2138">
        <v>3</v>
      </c>
      <c r="O2138">
        <v>3</v>
      </c>
      <c r="P2138">
        <v>65</v>
      </c>
      <c r="Q2138">
        <v>3</v>
      </c>
      <c r="R2138" s="1">
        <v>40028</v>
      </c>
      <c r="S2138" t="s">
        <v>29</v>
      </c>
      <c r="T2138" t="str">
        <f t="shared" si="165"/>
        <v>Grade A</v>
      </c>
      <c r="U2138">
        <f t="shared" si="166"/>
        <v>3</v>
      </c>
      <c r="V2138" t="str">
        <f t="shared" si="167"/>
        <v>Senior</v>
      </c>
      <c r="W2138" t="str">
        <f t="shared" si="168"/>
        <v>Medium Risk</v>
      </c>
      <c r="X2138" t="str">
        <f t="shared" si="169"/>
        <v>Competitive</v>
      </c>
    </row>
    <row r="2139" spans="1:24" x14ac:dyDescent="0.3">
      <c r="A2139" t="s">
        <v>2207</v>
      </c>
      <c r="B2139" t="s">
        <v>39</v>
      </c>
      <c r="C2139">
        <v>29</v>
      </c>
      <c r="D2139" t="s">
        <v>47</v>
      </c>
      <c r="E2139" t="s">
        <v>40</v>
      </c>
      <c r="F2139" t="s">
        <v>65</v>
      </c>
      <c r="G2139" t="s">
        <v>79</v>
      </c>
      <c r="H2139" t="s">
        <v>34</v>
      </c>
      <c r="I2139" t="s">
        <v>43</v>
      </c>
      <c r="J2139" t="s">
        <v>44</v>
      </c>
      <c r="K2139">
        <v>9</v>
      </c>
      <c r="L2139">
        <v>65775</v>
      </c>
      <c r="M2139" t="s">
        <v>45</v>
      </c>
      <c r="N2139">
        <v>4</v>
      </c>
      <c r="O2139">
        <v>4</v>
      </c>
      <c r="P2139">
        <v>51</v>
      </c>
      <c r="Q2139">
        <v>0</v>
      </c>
      <c r="R2139" s="1">
        <v>41770</v>
      </c>
      <c r="S2139" t="s">
        <v>29</v>
      </c>
      <c r="T2139" t="str">
        <f t="shared" si="165"/>
        <v>Grade B</v>
      </c>
      <c r="U2139">
        <f t="shared" si="166"/>
        <v>2</v>
      </c>
      <c r="V2139" t="str">
        <f t="shared" si="167"/>
        <v>Mid Level</v>
      </c>
      <c r="W2139" t="str">
        <f t="shared" si="168"/>
        <v>Medium Risk</v>
      </c>
      <c r="X2139" t="str">
        <f t="shared" si="169"/>
        <v>Fair</v>
      </c>
    </row>
    <row r="2140" spans="1:24" x14ac:dyDescent="0.3">
      <c r="A2140" t="s">
        <v>2208</v>
      </c>
      <c r="B2140" t="s">
        <v>39</v>
      </c>
      <c r="C2140">
        <v>28</v>
      </c>
      <c r="D2140" t="s">
        <v>21</v>
      </c>
      <c r="E2140" t="s">
        <v>22</v>
      </c>
      <c r="F2140" t="s">
        <v>62</v>
      </c>
      <c r="G2140" t="s">
        <v>66</v>
      </c>
      <c r="H2140" t="s">
        <v>25</v>
      </c>
      <c r="I2140" t="s">
        <v>43</v>
      </c>
      <c r="J2140" t="s">
        <v>44</v>
      </c>
      <c r="K2140">
        <v>15</v>
      </c>
      <c r="L2140">
        <v>61271</v>
      </c>
      <c r="M2140" t="s">
        <v>51</v>
      </c>
      <c r="N2140">
        <v>1</v>
      </c>
      <c r="O2140">
        <v>3</v>
      </c>
      <c r="P2140">
        <v>27</v>
      </c>
      <c r="Q2140">
        <v>1</v>
      </c>
      <c r="R2140" s="1">
        <v>39759</v>
      </c>
      <c r="S2140" t="s">
        <v>29</v>
      </c>
      <c r="T2140" t="str">
        <f t="shared" si="165"/>
        <v>Grade B</v>
      </c>
      <c r="U2140">
        <f t="shared" si="166"/>
        <v>4</v>
      </c>
      <c r="V2140" t="str">
        <f t="shared" si="167"/>
        <v>Senior</v>
      </c>
      <c r="W2140" t="str">
        <f t="shared" si="168"/>
        <v>Low Risk</v>
      </c>
      <c r="X2140" t="str">
        <f t="shared" si="169"/>
        <v>Fair</v>
      </c>
    </row>
    <row r="2141" spans="1:24" x14ac:dyDescent="0.3">
      <c r="A2141" t="s">
        <v>2209</v>
      </c>
      <c r="B2141" t="s">
        <v>20</v>
      </c>
      <c r="C2141">
        <v>22</v>
      </c>
      <c r="D2141" t="s">
        <v>47</v>
      </c>
      <c r="E2141" t="s">
        <v>22</v>
      </c>
      <c r="F2141" t="s">
        <v>65</v>
      </c>
      <c r="G2141" t="s">
        <v>49</v>
      </c>
      <c r="H2141" t="s">
        <v>76</v>
      </c>
      <c r="I2141" t="s">
        <v>26</v>
      </c>
      <c r="J2141" t="s">
        <v>27</v>
      </c>
      <c r="K2141">
        <v>15</v>
      </c>
      <c r="L2141">
        <v>79496</v>
      </c>
      <c r="M2141" t="s">
        <v>28</v>
      </c>
      <c r="N2141">
        <v>3</v>
      </c>
      <c r="O2141">
        <v>4</v>
      </c>
      <c r="P2141">
        <v>32</v>
      </c>
      <c r="Q2141">
        <v>3</v>
      </c>
      <c r="R2141" s="1">
        <v>39539</v>
      </c>
      <c r="S2141" t="s">
        <v>29</v>
      </c>
      <c r="T2141" t="str">
        <f t="shared" si="165"/>
        <v>Grade B</v>
      </c>
      <c r="U2141">
        <f t="shared" si="166"/>
        <v>3</v>
      </c>
      <c r="V2141" t="str">
        <f t="shared" si="167"/>
        <v>Senior</v>
      </c>
      <c r="W2141" t="str">
        <f t="shared" si="168"/>
        <v>Medium Risk</v>
      </c>
      <c r="X2141" t="str">
        <f t="shared" si="169"/>
        <v>Competitive</v>
      </c>
    </row>
    <row r="2142" spans="1:24" x14ac:dyDescent="0.3">
      <c r="A2142" t="s">
        <v>2210</v>
      </c>
      <c r="B2142" t="s">
        <v>39</v>
      </c>
      <c r="C2142">
        <v>37</v>
      </c>
      <c r="D2142" t="s">
        <v>88</v>
      </c>
      <c r="E2142" t="s">
        <v>48</v>
      </c>
      <c r="F2142" t="s">
        <v>41</v>
      </c>
      <c r="G2142" t="s">
        <v>24</v>
      </c>
      <c r="H2142" t="s">
        <v>67</v>
      </c>
      <c r="I2142" t="s">
        <v>96</v>
      </c>
      <c r="J2142" t="s">
        <v>44</v>
      </c>
      <c r="K2142">
        <v>1</v>
      </c>
      <c r="L2142">
        <v>77260</v>
      </c>
      <c r="M2142" t="s">
        <v>28</v>
      </c>
      <c r="N2142">
        <v>4</v>
      </c>
      <c r="O2142">
        <v>1</v>
      </c>
      <c r="P2142">
        <v>67</v>
      </c>
      <c r="Q2142">
        <v>3</v>
      </c>
      <c r="R2142" s="1">
        <v>44798</v>
      </c>
      <c r="S2142" t="s">
        <v>29</v>
      </c>
      <c r="T2142" t="str">
        <f t="shared" si="165"/>
        <v>Grade B</v>
      </c>
      <c r="U2142">
        <f t="shared" si="166"/>
        <v>3</v>
      </c>
      <c r="V2142" t="str">
        <f t="shared" si="167"/>
        <v>New Joiner</v>
      </c>
      <c r="W2142" t="str">
        <f t="shared" si="168"/>
        <v>Medium Risk</v>
      </c>
      <c r="X2142" t="str">
        <f t="shared" si="169"/>
        <v>Competitive</v>
      </c>
    </row>
    <row r="2143" spans="1:24" x14ac:dyDescent="0.3">
      <c r="A2143" t="s">
        <v>2211</v>
      </c>
      <c r="B2143" t="s">
        <v>20</v>
      </c>
      <c r="C2143">
        <v>47</v>
      </c>
      <c r="D2143" t="s">
        <v>57</v>
      </c>
      <c r="E2143" t="s">
        <v>48</v>
      </c>
      <c r="F2143" t="s">
        <v>23</v>
      </c>
      <c r="G2143" t="s">
        <v>49</v>
      </c>
      <c r="H2143" t="s">
        <v>25</v>
      </c>
      <c r="I2143" t="s">
        <v>43</v>
      </c>
      <c r="J2143" t="s">
        <v>44</v>
      </c>
      <c r="K2143">
        <v>10</v>
      </c>
      <c r="L2143">
        <v>79334</v>
      </c>
      <c r="M2143" t="s">
        <v>28</v>
      </c>
      <c r="N2143">
        <v>1</v>
      </c>
      <c r="O2143">
        <v>4</v>
      </c>
      <c r="P2143">
        <v>72</v>
      </c>
      <c r="Q2143">
        <v>1</v>
      </c>
      <c r="R2143" s="1">
        <v>41390</v>
      </c>
      <c r="S2143" t="s">
        <v>29</v>
      </c>
      <c r="T2143" t="str">
        <f t="shared" si="165"/>
        <v>Grade B</v>
      </c>
      <c r="U2143">
        <f t="shared" si="166"/>
        <v>3</v>
      </c>
      <c r="V2143" t="str">
        <f t="shared" si="167"/>
        <v>Mid Level</v>
      </c>
      <c r="W2143" t="str">
        <f t="shared" si="168"/>
        <v>Medium Risk</v>
      </c>
      <c r="X2143" t="str">
        <f t="shared" si="169"/>
        <v>Competitive</v>
      </c>
    </row>
    <row r="2144" spans="1:24" x14ac:dyDescent="0.3">
      <c r="A2144" t="s">
        <v>2212</v>
      </c>
      <c r="B2144" t="s">
        <v>39</v>
      </c>
      <c r="C2144">
        <v>24</v>
      </c>
      <c r="D2144" t="s">
        <v>31</v>
      </c>
      <c r="E2144" t="s">
        <v>22</v>
      </c>
      <c r="F2144" t="s">
        <v>23</v>
      </c>
      <c r="G2144" t="s">
        <v>42</v>
      </c>
      <c r="H2144" t="s">
        <v>76</v>
      </c>
      <c r="I2144" t="s">
        <v>26</v>
      </c>
      <c r="J2144" t="s">
        <v>27</v>
      </c>
      <c r="K2144">
        <v>3</v>
      </c>
      <c r="L2144">
        <v>92696</v>
      </c>
      <c r="M2144" t="s">
        <v>45</v>
      </c>
      <c r="N2144">
        <v>1</v>
      </c>
      <c r="O2144">
        <v>4</v>
      </c>
      <c r="P2144">
        <v>28</v>
      </c>
      <c r="Q2144">
        <v>2</v>
      </c>
      <c r="R2144" s="1">
        <v>44074</v>
      </c>
      <c r="S2144" t="s">
        <v>37</v>
      </c>
      <c r="T2144" t="str">
        <f t="shared" si="165"/>
        <v>Grade A</v>
      </c>
      <c r="U2144">
        <f t="shared" si="166"/>
        <v>2</v>
      </c>
      <c r="V2144" t="str">
        <f t="shared" si="167"/>
        <v>Junior</v>
      </c>
      <c r="W2144" t="str">
        <f t="shared" si="168"/>
        <v>Already Left</v>
      </c>
      <c r="X2144" t="str">
        <f t="shared" si="169"/>
        <v>Fair</v>
      </c>
    </row>
    <row r="2145" spans="1:24" x14ac:dyDescent="0.3">
      <c r="A2145" t="s">
        <v>2213</v>
      </c>
      <c r="B2145" t="s">
        <v>20</v>
      </c>
      <c r="C2145">
        <v>35</v>
      </c>
      <c r="D2145" t="s">
        <v>88</v>
      </c>
      <c r="E2145" t="s">
        <v>22</v>
      </c>
      <c r="F2145" t="s">
        <v>53</v>
      </c>
      <c r="G2145" t="s">
        <v>63</v>
      </c>
      <c r="H2145" t="s">
        <v>25</v>
      </c>
      <c r="I2145" t="s">
        <v>96</v>
      </c>
      <c r="J2145" t="s">
        <v>44</v>
      </c>
      <c r="K2145">
        <v>3</v>
      </c>
      <c r="L2145">
        <v>52349</v>
      </c>
      <c r="M2145" t="s">
        <v>45</v>
      </c>
      <c r="N2145">
        <v>4</v>
      </c>
      <c r="O2145">
        <v>4</v>
      </c>
      <c r="P2145">
        <v>39</v>
      </c>
      <c r="Q2145">
        <v>2</v>
      </c>
      <c r="R2145" s="1">
        <v>44164</v>
      </c>
      <c r="S2145" t="s">
        <v>29</v>
      </c>
      <c r="T2145" t="str">
        <f t="shared" si="165"/>
        <v>Grade B</v>
      </c>
      <c r="U2145">
        <f t="shared" si="166"/>
        <v>2</v>
      </c>
      <c r="V2145" t="str">
        <f t="shared" si="167"/>
        <v>Junior</v>
      </c>
      <c r="W2145" t="str">
        <f t="shared" si="168"/>
        <v>Medium Risk</v>
      </c>
      <c r="X2145" t="str">
        <f t="shared" si="169"/>
        <v>Fair</v>
      </c>
    </row>
    <row r="2146" spans="1:24" x14ac:dyDescent="0.3">
      <c r="A2146" t="s">
        <v>2214</v>
      </c>
      <c r="B2146" t="s">
        <v>20</v>
      </c>
      <c r="C2146">
        <v>34</v>
      </c>
      <c r="D2146" t="s">
        <v>47</v>
      </c>
      <c r="E2146" t="s">
        <v>48</v>
      </c>
      <c r="F2146" t="s">
        <v>32</v>
      </c>
      <c r="G2146" t="s">
        <v>24</v>
      </c>
      <c r="H2146" t="s">
        <v>34</v>
      </c>
      <c r="I2146" t="s">
        <v>68</v>
      </c>
      <c r="J2146" t="s">
        <v>60</v>
      </c>
      <c r="K2146">
        <v>13</v>
      </c>
      <c r="L2146">
        <v>107753</v>
      </c>
      <c r="M2146" t="s">
        <v>51</v>
      </c>
      <c r="N2146">
        <v>4</v>
      </c>
      <c r="O2146">
        <v>1</v>
      </c>
      <c r="P2146">
        <v>71</v>
      </c>
      <c r="Q2146">
        <v>0</v>
      </c>
      <c r="R2146" s="1">
        <v>40450</v>
      </c>
      <c r="S2146" t="s">
        <v>29</v>
      </c>
      <c r="T2146" t="str">
        <f t="shared" si="165"/>
        <v>Grade A</v>
      </c>
      <c r="U2146">
        <f t="shared" si="166"/>
        <v>4</v>
      </c>
      <c r="V2146" t="str">
        <f t="shared" si="167"/>
        <v>Senior</v>
      </c>
      <c r="W2146" t="str">
        <f t="shared" si="168"/>
        <v>Low Risk</v>
      </c>
      <c r="X2146" t="str">
        <f t="shared" si="169"/>
        <v>Competitive</v>
      </c>
    </row>
    <row r="2147" spans="1:24" x14ac:dyDescent="0.3">
      <c r="A2147" t="s">
        <v>2215</v>
      </c>
      <c r="B2147" t="s">
        <v>20</v>
      </c>
      <c r="C2147">
        <v>37</v>
      </c>
      <c r="D2147" t="s">
        <v>21</v>
      </c>
      <c r="E2147" t="s">
        <v>22</v>
      </c>
      <c r="F2147" t="s">
        <v>53</v>
      </c>
      <c r="G2147" t="s">
        <v>33</v>
      </c>
      <c r="H2147" t="s">
        <v>67</v>
      </c>
      <c r="I2147" t="s">
        <v>80</v>
      </c>
      <c r="J2147" t="s">
        <v>60</v>
      </c>
      <c r="K2147">
        <v>15</v>
      </c>
      <c r="L2147">
        <v>87568</v>
      </c>
      <c r="M2147" t="s">
        <v>45</v>
      </c>
      <c r="N2147">
        <v>4</v>
      </c>
      <c r="O2147">
        <v>2</v>
      </c>
      <c r="P2147">
        <v>20</v>
      </c>
      <c r="Q2147">
        <v>1</v>
      </c>
      <c r="R2147" s="1">
        <v>39551</v>
      </c>
      <c r="S2147" t="s">
        <v>37</v>
      </c>
      <c r="T2147" t="str">
        <f t="shared" si="165"/>
        <v>Grade A</v>
      </c>
      <c r="U2147">
        <f t="shared" si="166"/>
        <v>2</v>
      </c>
      <c r="V2147" t="str">
        <f t="shared" si="167"/>
        <v>Senior</v>
      </c>
      <c r="W2147" t="str">
        <f t="shared" si="168"/>
        <v>Already Left</v>
      </c>
      <c r="X2147" t="str">
        <f t="shared" si="169"/>
        <v>Fair</v>
      </c>
    </row>
    <row r="2148" spans="1:24" x14ac:dyDescent="0.3">
      <c r="A2148" t="s">
        <v>2216</v>
      </c>
      <c r="B2148" t="s">
        <v>39</v>
      </c>
      <c r="C2148">
        <v>53</v>
      </c>
      <c r="D2148" t="s">
        <v>57</v>
      </c>
      <c r="E2148" t="s">
        <v>48</v>
      </c>
      <c r="F2148" t="s">
        <v>32</v>
      </c>
      <c r="G2148" t="s">
        <v>58</v>
      </c>
      <c r="H2148" t="s">
        <v>25</v>
      </c>
      <c r="I2148" t="s">
        <v>72</v>
      </c>
      <c r="J2148" t="s">
        <v>73</v>
      </c>
      <c r="K2148">
        <v>12</v>
      </c>
      <c r="L2148">
        <v>110343</v>
      </c>
      <c r="M2148" t="s">
        <v>36</v>
      </c>
      <c r="N2148">
        <v>1</v>
      </c>
      <c r="O2148">
        <v>3</v>
      </c>
      <c r="P2148">
        <v>46</v>
      </c>
      <c r="Q2148">
        <v>3</v>
      </c>
      <c r="R2148" s="1">
        <v>40577</v>
      </c>
      <c r="S2148" t="s">
        <v>37</v>
      </c>
      <c r="T2148" t="str">
        <f t="shared" si="165"/>
        <v>Grade A</v>
      </c>
      <c r="U2148">
        <f t="shared" si="166"/>
        <v>1</v>
      </c>
      <c r="V2148" t="str">
        <f t="shared" si="167"/>
        <v>Senior</v>
      </c>
      <c r="W2148" t="str">
        <f t="shared" si="168"/>
        <v>Already Left</v>
      </c>
      <c r="X2148" t="str">
        <f t="shared" si="169"/>
        <v>Overpaid</v>
      </c>
    </row>
    <row r="2149" spans="1:24" x14ac:dyDescent="0.3">
      <c r="A2149" t="s">
        <v>2217</v>
      </c>
      <c r="B2149" t="s">
        <v>39</v>
      </c>
      <c r="C2149">
        <v>42</v>
      </c>
      <c r="D2149" t="s">
        <v>88</v>
      </c>
      <c r="E2149" t="s">
        <v>48</v>
      </c>
      <c r="F2149" t="s">
        <v>65</v>
      </c>
      <c r="G2149" t="s">
        <v>63</v>
      </c>
      <c r="H2149" t="s">
        <v>76</v>
      </c>
      <c r="I2149" t="s">
        <v>59</v>
      </c>
      <c r="J2149" t="s">
        <v>60</v>
      </c>
      <c r="K2149">
        <v>9</v>
      </c>
      <c r="L2149">
        <v>66585</v>
      </c>
      <c r="M2149" t="s">
        <v>36</v>
      </c>
      <c r="N2149">
        <v>1</v>
      </c>
      <c r="O2149">
        <v>3</v>
      </c>
      <c r="P2149">
        <v>80</v>
      </c>
      <c r="Q2149">
        <v>2</v>
      </c>
      <c r="R2149" s="1">
        <v>41886</v>
      </c>
      <c r="S2149" t="s">
        <v>37</v>
      </c>
      <c r="T2149" t="str">
        <f t="shared" si="165"/>
        <v>Grade B</v>
      </c>
      <c r="U2149">
        <f t="shared" si="166"/>
        <v>1</v>
      </c>
      <c r="V2149" t="str">
        <f t="shared" si="167"/>
        <v>Mid Level</v>
      </c>
      <c r="W2149" t="str">
        <f t="shared" si="168"/>
        <v>Already Left</v>
      </c>
      <c r="X2149" t="str">
        <f t="shared" si="169"/>
        <v>Fair</v>
      </c>
    </row>
    <row r="2150" spans="1:24" x14ac:dyDescent="0.3">
      <c r="A2150" t="s">
        <v>2218</v>
      </c>
      <c r="B2150" t="s">
        <v>39</v>
      </c>
      <c r="C2150">
        <v>34</v>
      </c>
      <c r="D2150" t="s">
        <v>47</v>
      </c>
      <c r="E2150" t="s">
        <v>40</v>
      </c>
      <c r="F2150" t="s">
        <v>62</v>
      </c>
      <c r="G2150" t="s">
        <v>66</v>
      </c>
      <c r="H2150" t="s">
        <v>67</v>
      </c>
      <c r="I2150" t="s">
        <v>72</v>
      </c>
      <c r="J2150" t="s">
        <v>73</v>
      </c>
      <c r="K2150">
        <v>15</v>
      </c>
      <c r="L2150">
        <v>74093</v>
      </c>
      <c r="M2150" t="s">
        <v>28</v>
      </c>
      <c r="N2150">
        <v>1</v>
      </c>
      <c r="O2150">
        <v>3</v>
      </c>
      <c r="P2150">
        <v>18</v>
      </c>
      <c r="Q2150">
        <v>2</v>
      </c>
      <c r="R2150" s="1">
        <v>39645</v>
      </c>
      <c r="S2150" t="s">
        <v>29</v>
      </c>
      <c r="T2150" t="str">
        <f t="shared" si="165"/>
        <v>Grade B</v>
      </c>
      <c r="U2150">
        <f t="shared" si="166"/>
        <v>3</v>
      </c>
      <c r="V2150" t="str">
        <f t="shared" si="167"/>
        <v>Senior</v>
      </c>
      <c r="W2150" t="str">
        <f t="shared" si="168"/>
        <v>Medium Risk</v>
      </c>
      <c r="X2150" t="str">
        <f t="shared" si="169"/>
        <v>Competitive</v>
      </c>
    </row>
    <row r="2151" spans="1:24" x14ac:dyDescent="0.3">
      <c r="A2151" t="s">
        <v>2219</v>
      </c>
      <c r="B2151" t="s">
        <v>20</v>
      </c>
      <c r="C2151">
        <v>53</v>
      </c>
      <c r="D2151" t="s">
        <v>31</v>
      </c>
      <c r="E2151" t="s">
        <v>48</v>
      </c>
      <c r="F2151" t="s">
        <v>41</v>
      </c>
      <c r="G2151" t="s">
        <v>66</v>
      </c>
      <c r="H2151" t="s">
        <v>34</v>
      </c>
      <c r="I2151" t="s">
        <v>80</v>
      </c>
      <c r="J2151" t="s">
        <v>60</v>
      </c>
      <c r="K2151">
        <v>4</v>
      </c>
      <c r="L2151">
        <v>36595</v>
      </c>
      <c r="M2151" t="s">
        <v>36</v>
      </c>
      <c r="N2151">
        <v>1</v>
      </c>
      <c r="O2151">
        <v>2</v>
      </c>
      <c r="P2151">
        <v>64</v>
      </c>
      <c r="Q2151">
        <v>1</v>
      </c>
      <c r="R2151" s="1">
        <v>43527</v>
      </c>
      <c r="S2151" t="s">
        <v>37</v>
      </c>
      <c r="T2151" t="str">
        <f t="shared" si="165"/>
        <v>Grade C</v>
      </c>
      <c r="U2151">
        <f t="shared" si="166"/>
        <v>1</v>
      </c>
      <c r="V2151" t="str">
        <f t="shared" si="167"/>
        <v>Junior</v>
      </c>
      <c r="W2151" t="str">
        <f t="shared" si="168"/>
        <v>Already Left</v>
      </c>
      <c r="X2151" t="str">
        <f t="shared" si="169"/>
        <v>Fair</v>
      </c>
    </row>
    <row r="2152" spans="1:24" x14ac:dyDescent="0.3">
      <c r="A2152" t="s">
        <v>2220</v>
      </c>
      <c r="B2152" t="s">
        <v>20</v>
      </c>
      <c r="C2152">
        <v>37</v>
      </c>
      <c r="D2152" t="s">
        <v>57</v>
      </c>
      <c r="E2152" t="s">
        <v>22</v>
      </c>
      <c r="F2152" t="s">
        <v>65</v>
      </c>
      <c r="G2152" t="s">
        <v>66</v>
      </c>
      <c r="H2152" t="s">
        <v>34</v>
      </c>
      <c r="I2152" t="s">
        <v>43</v>
      </c>
      <c r="J2152" t="s">
        <v>44</v>
      </c>
      <c r="K2152">
        <v>14</v>
      </c>
      <c r="L2152">
        <v>53997</v>
      </c>
      <c r="M2152" t="s">
        <v>51</v>
      </c>
      <c r="N2152">
        <v>2</v>
      </c>
      <c r="O2152">
        <v>2</v>
      </c>
      <c r="P2152">
        <v>43</v>
      </c>
      <c r="Q2152">
        <v>1</v>
      </c>
      <c r="R2152" s="1">
        <v>40149</v>
      </c>
      <c r="S2152" t="s">
        <v>29</v>
      </c>
      <c r="T2152" t="str">
        <f t="shared" si="165"/>
        <v>Grade B</v>
      </c>
      <c r="U2152">
        <f t="shared" si="166"/>
        <v>4</v>
      </c>
      <c r="V2152" t="str">
        <f t="shared" si="167"/>
        <v>Senior</v>
      </c>
      <c r="W2152" t="str">
        <f t="shared" si="168"/>
        <v>Low Risk</v>
      </c>
      <c r="X2152" t="str">
        <f t="shared" si="169"/>
        <v>Fair</v>
      </c>
    </row>
    <row r="2153" spans="1:24" x14ac:dyDescent="0.3">
      <c r="A2153" t="s">
        <v>2221</v>
      </c>
      <c r="B2153" t="s">
        <v>39</v>
      </c>
      <c r="C2153">
        <v>30</v>
      </c>
      <c r="D2153" t="s">
        <v>88</v>
      </c>
      <c r="E2153" t="s">
        <v>22</v>
      </c>
      <c r="F2153" t="s">
        <v>78</v>
      </c>
      <c r="G2153" t="s">
        <v>58</v>
      </c>
      <c r="H2153" t="s">
        <v>34</v>
      </c>
      <c r="I2153" t="s">
        <v>43</v>
      </c>
      <c r="J2153" t="s">
        <v>44</v>
      </c>
      <c r="K2153">
        <v>14</v>
      </c>
      <c r="L2153">
        <v>109511</v>
      </c>
      <c r="M2153" t="s">
        <v>36</v>
      </c>
      <c r="N2153">
        <v>4</v>
      </c>
      <c r="O2153">
        <v>1</v>
      </c>
      <c r="P2153">
        <v>77</v>
      </c>
      <c r="Q2153">
        <v>1</v>
      </c>
      <c r="R2153" s="1">
        <v>39858</v>
      </c>
      <c r="S2153" t="s">
        <v>37</v>
      </c>
      <c r="T2153" t="str">
        <f t="shared" si="165"/>
        <v>Grade A</v>
      </c>
      <c r="U2153">
        <f t="shared" si="166"/>
        <v>1</v>
      </c>
      <c r="V2153" t="str">
        <f t="shared" si="167"/>
        <v>Senior</v>
      </c>
      <c r="W2153" t="str">
        <f t="shared" si="168"/>
        <v>Already Left</v>
      </c>
      <c r="X2153" t="str">
        <f t="shared" si="169"/>
        <v>Overpaid</v>
      </c>
    </row>
    <row r="2154" spans="1:24" x14ac:dyDescent="0.3">
      <c r="A2154" t="s">
        <v>2222</v>
      </c>
      <c r="B2154" t="s">
        <v>20</v>
      </c>
      <c r="C2154">
        <v>42</v>
      </c>
      <c r="D2154" t="s">
        <v>88</v>
      </c>
      <c r="E2154" t="s">
        <v>48</v>
      </c>
      <c r="F2154" t="s">
        <v>62</v>
      </c>
      <c r="G2154" t="s">
        <v>24</v>
      </c>
      <c r="H2154" t="s">
        <v>76</v>
      </c>
      <c r="I2154" t="s">
        <v>72</v>
      </c>
      <c r="J2154" t="s">
        <v>73</v>
      </c>
      <c r="K2154">
        <v>15</v>
      </c>
      <c r="L2154">
        <v>98932</v>
      </c>
      <c r="M2154" t="s">
        <v>45</v>
      </c>
      <c r="N2154">
        <v>2</v>
      </c>
      <c r="O2154">
        <v>4</v>
      </c>
      <c r="P2154">
        <v>37</v>
      </c>
      <c r="Q2154">
        <v>0</v>
      </c>
      <c r="R2154" s="1">
        <v>39735</v>
      </c>
      <c r="S2154" t="s">
        <v>37</v>
      </c>
      <c r="T2154" t="str">
        <f t="shared" si="165"/>
        <v>Grade A</v>
      </c>
      <c r="U2154">
        <f t="shared" si="166"/>
        <v>2</v>
      </c>
      <c r="V2154" t="str">
        <f t="shared" si="167"/>
        <v>Senior</v>
      </c>
      <c r="W2154" t="str">
        <f t="shared" si="168"/>
        <v>Already Left</v>
      </c>
      <c r="X2154" t="str">
        <f t="shared" si="169"/>
        <v>Fair</v>
      </c>
    </row>
    <row r="2155" spans="1:24" x14ac:dyDescent="0.3">
      <c r="A2155" t="s">
        <v>2223</v>
      </c>
      <c r="B2155" t="s">
        <v>20</v>
      </c>
      <c r="C2155">
        <v>32</v>
      </c>
      <c r="D2155" t="s">
        <v>47</v>
      </c>
      <c r="E2155" t="s">
        <v>22</v>
      </c>
      <c r="F2155" t="s">
        <v>62</v>
      </c>
      <c r="G2155" t="s">
        <v>79</v>
      </c>
      <c r="H2155" t="s">
        <v>34</v>
      </c>
      <c r="I2155" t="s">
        <v>26</v>
      </c>
      <c r="J2155" t="s">
        <v>27</v>
      </c>
      <c r="K2155">
        <v>4</v>
      </c>
      <c r="L2155">
        <v>38529</v>
      </c>
      <c r="M2155" t="s">
        <v>28</v>
      </c>
      <c r="N2155">
        <v>4</v>
      </c>
      <c r="O2155">
        <v>3</v>
      </c>
      <c r="P2155">
        <v>43</v>
      </c>
      <c r="Q2155">
        <v>0</v>
      </c>
      <c r="R2155" s="1">
        <v>43575</v>
      </c>
      <c r="S2155" t="s">
        <v>29</v>
      </c>
      <c r="T2155" t="str">
        <f t="shared" si="165"/>
        <v>Grade C</v>
      </c>
      <c r="U2155">
        <f t="shared" si="166"/>
        <v>3</v>
      </c>
      <c r="V2155" t="str">
        <f t="shared" si="167"/>
        <v>Junior</v>
      </c>
      <c r="W2155" t="str">
        <f t="shared" si="168"/>
        <v>Medium Risk</v>
      </c>
      <c r="X2155" t="str">
        <f t="shared" si="169"/>
        <v>Fair</v>
      </c>
    </row>
    <row r="2156" spans="1:24" x14ac:dyDescent="0.3">
      <c r="A2156" t="s">
        <v>2224</v>
      </c>
      <c r="B2156" t="s">
        <v>20</v>
      </c>
      <c r="C2156">
        <v>27</v>
      </c>
      <c r="D2156" t="s">
        <v>21</v>
      </c>
      <c r="E2156" t="s">
        <v>22</v>
      </c>
      <c r="F2156" t="s">
        <v>32</v>
      </c>
      <c r="G2156" t="s">
        <v>58</v>
      </c>
      <c r="H2156" t="s">
        <v>34</v>
      </c>
      <c r="I2156" t="s">
        <v>50</v>
      </c>
      <c r="J2156" t="s">
        <v>44</v>
      </c>
      <c r="K2156">
        <v>9</v>
      </c>
      <c r="L2156">
        <v>100977</v>
      </c>
      <c r="M2156" t="s">
        <v>51</v>
      </c>
      <c r="N2156">
        <v>2</v>
      </c>
      <c r="O2156">
        <v>1</v>
      </c>
      <c r="P2156">
        <v>74</v>
      </c>
      <c r="Q2156">
        <v>1</v>
      </c>
      <c r="R2156" s="1">
        <v>41855</v>
      </c>
      <c r="S2156" t="s">
        <v>29</v>
      </c>
      <c r="T2156" t="str">
        <f t="shared" si="165"/>
        <v>Grade A</v>
      </c>
      <c r="U2156">
        <f t="shared" si="166"/>
        <v>4</v>
      </c>
      <c r="V2156" t="str">
        <f t="shared" si="167"/>
        <v>Mid Level</v>
      </c>
      <c r="W2156" t="str">
        <f t="shared" si="168"/>
        <v>Low Risk</v>
      </c>
      <c r="X2156" t="str">
        <f t="shared" si="169"/>
        <v>Competitive</v>
      </c>
    </row>
    <row r="2157" spans="1:24" x14ac:dyDescent="0.3">
      <c r="A2157" t="s">
        <v>2225</v>
      </c>
      <c r="B2157" t="s">
        <v>20</v>
      </c>
      <c r="C2157">
        <v>49</v>
      </c>
      <c r="D2157" t="s">
        <v>21</v>
      </c>
      <c r="E2157" t="s">
        <v>48</v>
      </c>
      <c r="F2157" t="s">
        <v>41</v>
      </c>
      <c r="G2157" t="s">
        <v>79</v>
      </c>
      <c r="H2157" t="s">
        <v>25</v>
      </c>
      <c r="I2157" t="s">
        <v>80</v>
      </c>
      <c r="J2157" t="s">
        <v>60</v>
      </c>
      <c r="K2157">
        <v>9</v>
      </c>
      <c r="L2157">
        <v>62671</v>
      </c>
      <c r="M2157" t="s">
        <v>51</v>
      </c>
      <c r="N2157">
        <v>4</v>
      </c>
      <c r="O2157">
        <v>4</v>
      </c>
      <c r="P2157">
        <v>34</v>
      </c>
      <c r="Q2157">
        <v>1</v>
      </c>
      <c r="R2157" s="1">
        <v>41939</v>
      </c>
      <c r="S2157" t="s">
        <v>37</v>
      </c>
      <c r="T2157" t="str">
        <f t="shared" si="165"/>
        <v>Grade B</v>
      </c>
      <c r="U2157">
        <f t="shared" si="166"/>
        <v>4</v>
      </c>
      <c r="V2157" t="str">
        <f t="shared" si="167"/>
        <v>Mid Level</v>
      </c>
      <c r="W2157" t="str">
        <f t="shared" si="168"/>
        <v>Already Left</v>
      </c>
      <c r="X2157" t="str">
        <f t="shared" si="169"/>
        <v>Fair</v>
      </c>
    </row>
    <row r="2158" spans="1:24" x14ac:dyDescent="0.3">
      <c r="A2158" t="s">
        <v>2226</v>
      </c>
      <c r="B2158" t="s">
        <v>39</v>
      </c>
      <c r="C2158">
        <v>41</v>
      </c>
      <c r="D2158" t="s">
        <v>57</v>
      </c>
      <c r="E2158" t="s">
        <v>48</v>
      </c>
      <c r="F2158" t="s">
        <v>62</v>
      </c>
      <c r="G2158" t="s">
        <v>58</v>
      </c>
      <c r="H2158" t="s">
        <v>34</v>
      </c>
      <c r="I2158" t="s">
        <v>26</v>
      </c>
      <c r="J2158" t="s">
        <v>27</v>
      </c>
      <c r="K2158">
        <v>14</v>
      </c>
      <c r="L2158">
        <v>109868</v>
      </c>
      <c r="M2158" t="s">
        <v>36</v>
      </c>
      <c r="N2158">
        <v>2</v>
      </c>
      <c r="O2158">
        <v>2</v>
      </c>
      <c r="P2158">
        <v>49</v>
      </c>
      <c r="Q2158">
        <v>2</v>
      </c>
      <c r="R2158" s="1">
        <v>40039</v>
      </c>
      <c r="S2158" t="s">
        <v>37</v>
      </c>
      <c r="T2158" t="str">
        <f t="shared" si="165"/>
        <v>Grade A</v>
      </c>
      <c r="U2158">
        <f t="shared" si="166"/>
        <v>1</v>
      </c>
      <c r="V2158" t="str">
        <f t="shared" si="167"/>
        <v>Senior</v>
      </c>
      <c r="W2158" t="str">
        <f t="shared" si="168"/>
        <v>Already Left</v>
      </c>
      <c r="X2158" t="str">
        <f t="shared" si="169"/>
        <v>Overpaid</v>
      </c>
    </row>
    <row r="2159" spans="1:24" x14ac:dyDescent="0.3">
      <c r="A2159" t="s">
        <v>2227</v>
      </c>
      <c r="B2159" t="s">
        <v>39</v>
      </c>
      <c r="C2159">
        <v>26</v>
      </c>
      <c r="D2159" t="s">
        <v>21</v>
      </c>
      <c r="E2159" t="s">
        <v>40</v>
      </c>
      <c r="F2159" t="s">
        <v>41</v>
      </c>
      <c r="G2159" t="s">
        <v>79</v>
      </c>
      <c r="H2159" t="s">
        <v>83</v>
      </c>
      <c r="I2159" t="s">
        <v>68</v>
      </c>
      <c r="J2159" t="s">
        <v>60</v>
      </c>
      <c r="K2159">
        <v>6</v>
      </c>
      <c r="L2159">
        <v>43474</v>
      </c>
      <c r="M2159" t="s">
        <v>36</v>
      </c>
      <c r="N2159">
        <v>3</v>
      </c>
      <c r="O2159">
        <v>1</v>
      </c>
      <c r="P2159">
        <v>35</v>
      </c>
      <c r="Q2159">
        <v>0</v>
      </c>
      <c r="R2159" s="1">
        <v>42900</v>
      </c>
      <c r="S2159" t="s">
        <v>37</v>
      </c>
      <c r="T2159" t="str">
        <f t="shared" si="165"/>
        <v>Grade C</v>
      </c>
      <c r="U2159">
        <f t="shared" si="166"/>
        <v>1</v>
      </c>
      <c r="V2159" t="str">
        <f t="shared" si="167"/>
        <v>Mid Level</v>
      </c>
      <c r="W2159" t="str">
        <f t="shared" si="168"/>
        <v>Already Left</v>
      </c>
      <c r="X2159" t="str">
        <f t="shared" si="169"/>
        <v>Fair</v>
      </c>
    </row>
    <row r="2160" spans="1:24" x14ac:dyDescent="0.3">
      <c r="A2160" t="s">
        <v>2228</v>
      </c>
      <c r="B2160" t="s">
        <v>39</v>
      </c>
      <c r="C2160">
        <v>52</v>
      </c>
      <c r="D2160" t="s">
        <v>47</v>
      </c>
      <c r="E2160" t="s">
        <v>40</v>
      </c>
      <c r="F2160" t="s">
        <v>65</v>
      </c>
      <c r="G2160" t="s">
        <v>33</v>
      </c>
      <c r="H2160" t="s">
        <v>25</v>
      </c>
      <c r="I2160" t="s">
        <v>59</v>
      </c>
      <c r="J2160" t="s">
        <v>60</v>
      </c>
      <c r="K2160">
        <v>12</v>
      </c>
      <c r="L2160">
        <v>92717</v>
      </c>
      <c r="M2160" t="s">
        <v>45</v>
      </c>
      <c r="N2160">
        <v>2</v>
      </c>
      <c r="O2160">
        <v>2</v>
      </c>
      <c r="P2160">
        <v>55</v>
      </c>
      <c r="Q2160">
        <v>3</v>
      </c>
      <c r="R2160" s="1">
        <v>40844</v>
      </c>
      <c r="S2160" t="s">
        <v>29</v>
      </c>
      <c r="T2160" t="str">
        <f t="shared" si="165"/>
        <v>Grade A</v>
      </c>
      <c r="U2160">
        <f t="shared" si="166"/>
        <v>2</v>
      </c>
      <c r="V2160" t="str">
        <f t="shared" si="167"/>
        <v>Senior</v>
      </c>
      <c r="W2160" t="str">
        <f t="shared" si="168"/>
        <v>Medium Risk</v>
      </c>
      <c r="X2160" t="str">
        <f t="shared" si="169"/>
        <v>Fair</v>
      </c>
    </row>
    <row r="2161" spans="1:24" x14ac:dyDescent="0.3">
      <c r="A2161" t="s">
        <v>2229</v>
      </c>
      <c r="B2161" t="s">
        <v>20</v>
      </c>
      <c r="C2161">
        <v>51</v>
      </c>
      <c r="D2161" t="s">
        <v>57</v>
      </c>
      <c r="E2161" t="s">
        <v>48</v>
      </c>
      <c r="F2161" t="s">
        <v>53</v>
      </c>
      <c r="G2161" t="s">
        <v>79</v>
      </c>
      <c r="H2161" t="s">
        <v>83</v>
      </c>
      <c r="I2161" t="s">
        <v>96</v>
      </c>
      <c r="J2161" t="s">
        <v>44</v>
      </c>
      <c r="K2161">
        <v>7</v>
      </c>
      <c r="L2161">
        <v>61128</v>
      </c>
      <c r="M2161" t="s">
        <v>36</v>
      </c>
      <c r="N2161">
        <v>4</v>
      </c>
      <c r="O2161">
        <v>4</v>
      </c>
      <c r="P2161">
        <v>57</v>
      </c>
      <c r="Q2161">
        <v>0</v>
      </c>
      <c r="R2161" s="1">
        <v>42439</v>
      </c>
      <c r="S2161" t="s">
        <v>29</v>
      </c>
      <c r="T2161" t="str">
        <f t="shared" si="165"/>
        <v>Grade B</v>
      </c>
      <c r="U2161">
        <f t="shared" si="166"/>
        <v>1</v>
      </c>
      <c r="V2161" t="str">
        <f t="shared" si="167"/>
        <v>Mid Level</v>
      </c>
      <c r="W2161" t="str">
        <f t="shared" si="168"/>
        <v>Medium Risk</v>
      </c>
      <c r="X2161" t="str">
        <f t="shared" si="169"/>
        <v>Fair</v>
      </c>
    </row>
    <row r="2162" spans="1:24" x14ac:dyDescent="0.3">
      <c r="A2162" t="s">
        <v>2230</v>
      </c>
      <c r="B2162" t="s">
        <v>39</v>
      </c>
      <c r="C2162">
        <v>51</v>
      </c>
      <c r="D2162" t="s">
        <v>47</v>
      </c>
      <c r="E2162" t="s">
        <v>22</v>
      </c>
      <c r="F2162" t="s">
        <v>78</v>
      </c>
      <c r="G2162" t="s">
        <v>49</v>
      </c>
      <c r="H2162" t="s">
        <v>76</v>
      </c>
      <c r="I2162" t="s">
        <v>59</v>
      </c>
      <c r="J2162" t="s">
        <v>60</v>
      </c>
      <c r="K2162">
        <v>3</v>
      </c>
      <c r="L2162">
        <v>65872</v>
      </c>
      <c r="M2162" t="s">
        <v>51</v>
      </c>
      <c r="N2162">
        <v>3</v>
      </c>
      <c r="O2162">
        <v>4</v>
      </c>
      <c r="P2162">
        <v>38</v>
      </c>
      <c r="Q2162">
        <v>0</v>
      </c>
      <c r="R2162" s="1">
        <v>44154</v>
      </c>
      <c r="S2162" t="s">
        <v>29</v>
      </c>
      <c r="T2162" t="str">
        <f t="shared" si="165"/>
        <v>Grade B</v>
      </c>
      <c r="U2162">
        <f t="shared" si="166"/>
        <v>4</v>
      </c>
      <c r="V2162" t="str">
        <f t="shared" si="167"/>
        <v>Junior</v>
      </c>
      <c r="W2162" t="str">
        <f t="shared" si="168"/>
        <v>Low Risk</v>
      </c>
      <c r="X2162" t="str">
        <f t="shared" si="169"/>
        <v>Fair</v>
      </c>
    </row>
    <row r="2163" spans="1:24" x14ac:dyDescent="0.3">
      <c r="A2163" t="s">
        <v>2231</v>
      </c>
      <c r="B2163" t="s">
        <v>39</v>
      </c>
      <c r="C2163">
        <v>51</v>
      </c>
      <c r="D2163" t="s">
        <v>47</v>
      </c>
      <c r="E2163" t="s">
        <v>48</v>
      </c>
      <c r="F2163" t="s">
        <v>65</v>
      </c>
      <c r="G2163" t="s">
        <v>66</v>
      </c>
      <c r="H2163" t="s">
        <v>83</v>
      </c>
      <c r="I2163" t="s">
        <v>80</v>
      </c>
      <c r="J2163" t="s">
        <v>60</v>
      </c>
      <c r="K2163">
        <v>6</v>
      </c>
      <c r="L2163">
        <v>53426</v>
      </c>
      <c r="M2163" t="s">
        <v>45</v>
      </c>
      <c r="N2163">
        <v>1</v>
      </c>
      <c r="O2163">
        <v>1</v>
      </c>
      <c r="P2163">
        <v>73</v>
      </c>
      <c r="Q2163">
        <v>3</v>
      </c>
      <c r="R2163" s="1">
        <v>42841</v>
      </c>
      <c r="S2163" t="s">
        <v>29</v>
      </c>
      <c r="T2163" t="str">
        <f t="shared" si="165"/>
        <v>Grade B</v>
      </c>
      <c r="U2163">
        <f t="shared" si="166"/>
        <v>2</v>
      </c>
      <c r="V2163" t="str">
        <f t="shared" si="167"/>
        <v>Mid Level</v>
      </c>
      <c r="W2163" t="str">
        <f t="shared" si="168"/>
        <v>Medium Risk</v>
      </c>
      <c r="X2163" t="str">
        <f t="shared" si="169"/>
        <v>Fair</v>
      </c>
    </row>
    <row r="2164" spans="1:24" x14ac:dyDescent="0.3">
      <c r="A2164" t="s">
        <v>2232</v>
      </c>
      <c r="B2164" t="s">
        <v>39</v>
      </c>
      <c r="C2164">
        <v>28</v>
      </c>
      <c r="D2164" t="s">
        <v>88</v>
      </c>
      <c r="E2164" t="s">
        <v>40</v>
      </c>
      <c r="F2164" t="s">
        <v>23</v>
      </c>
      <c r="G2164" t="s">
        <v>33</v>
      </c>
      <c r="H2164" t="s">
        <v>67</v>
      </c>
      <c r="I2164" t="s">
        <v>80</v>
      </c>
      <c r="J2164" t="s">
        <v>60</v>
      </c>
      <c r="K2164">
        <v>6</v>
      </c>
      <c r="L2164">
        <v>72452</v>
      </c>
      <c r="M2164" t="s">
        <v>51</v>
      </c>
      <c r="N2164">
        <v>3</v>
      </c>
      <c r="O2164">
        <v>2</v>
      </c>
      <c r="P2164">
        <v>60</v>
      </c>
      <c r="Q2164">
        <v>1</v>
      </c>
      <c r="R2164" s="1">
        <v>42933</v>
      </c>
      <c r="S2164" t="s">
        <v>29</v>
      </c>
      <c r="T2164" t="str">
        <f t="shared" si="165"/>
        <v>Grade B</v>
      </c>
      <c r="U2164">
        <f t="shared" si="166"/>
        <v>4</v>
      </c>
      <c r="V2164" t="str">
        <f t="shared" si="167"/>
        <v>Mid Level</v>
      </c>
      <c r="W2164" t="str">
        <f t="shared" si="168"/>
        <v>Low Risk</v>
      </c>
      <c r="X2164" t="str">
        <f t="shared" si="169"/>
        <v>Fair</v>
      </c>
    </row>
    <row r="2165" spans="1:24" x14ac:dyDescent="0.3">
      <c r="A2165" t="s">
        <v>2233</v>
      </c>
      <c r="B2165" t="s">
        <v>20</v>
      </c>
      <c r="C2165">
        <v>27</v>
      </c>
      <c r="D2165" t="s">
        <v>88</v>
      </c>
      <c r="E2165" t="s">
        <v>48</v>
      </c>
      <c r="F2165" t="s">
        <v>65</v>
      </c>
      <c r="G2165" t="s">
        <v>49</v>
      </c>
      <c r="H2165" t="s">
        <v>25</v>
      </c>
      <c r="I2165" t="s">
        <v>50</v>
      </c>
      <c r="J2165" t="s">
        <v>44</v>
      </c>
      <c r="K2165">
        <v>10</v>
      </c>
      <c r="L2165">
        <v>67718</v>
      </c>
      <c r="M2165" t="s">
        <v>45</v>
      </c>
      <c r="N2165">
        <v>3</v>
      </c>
      <c r="O2165">
        <v>1</v>
      </c>
      <c r="P2165">
        <v>62</v>
      </c>
      <c r="Q2165">
        <v>1</v>
      </c>
      <c r="R2165" s="1">
        <v>41549</v>
      </c>
      <c r="S2165" t="s">
        <v>29</v>
      </c>
      <c r="T2165" t="str">
        <f t="shared" si="165"/>
        <v>Grade B</v>
      </c>
      <c r="U2165">
        <f t="shared" si="166"/>
        <v>2</v>
      </c>
      <c r="V2165" t="str">
        <f t="shared" si="167"/>
        <v>Mid Level</v>
      </c>
      <c r="W2165" t="str">
        <f t="shared" si="168"/>
        <v>Medium Risk</v>
      </c>
      <c r="X2165" t="str">
        <f t="shared" si="169"/>
        <v>Fair</v>
      </c>
    </row>
    <row r="2166" spans="1:24" x14ac:dyDescent="0.3">
      <c r="A2166" t="s">
        <v>2234</v>
      </c>
      <c r="B2166" t="s">
        <v>20</v>
      </c>
      <c r="C2166">
        <v>34</v>
      </c>
      <c r="D2166" t="s">
        <v>57</v>
      </c>
      <c r="E2166" t="s">
        <v>40</v>
      </c>
      <c r="F2166" t="s">
        <v>65</v>
      </c>
      <c r="G2166" t="s">
        <v>24</v>
      </c>
      <c r="H2166" t="s">
        <v>76</v>
      </c>
      <c r="I2166" t="s">
        <v>35</v>
      </c>
      <c r="J2166" t="s">
        <v>27</v>
      </c>
      <c r="K2166">
        <v>1</v>
      </c>
      <c r="L2166">
        <v>68787</v>
      </c>
      <c r="M2166" t="s">
        <v>36</v>
      </c>
      <c r="N2166">
        <v>3</v>
      </c>
      <c r="O2166">
        <v>2</v>
      </c>
      <c r="P2166">
        <v>17</v>
      </c>
      <c r="Q2166">
        <v>2</v>
      </c>
      <c r="R2166" s="1">
        <v>44889</v>
      </c>
      <c r="S2166" t="s">
        <v>29</v>
      </c>
      <c r="T2166" t="str">
        <f t="shared" si="165"/>
        <v>Grade B</v>
      </c>
      <c r="U2166">
        <f t="shared" si="166"/>
        <v>1</v>
      </c>
      <c r="V2166" t="str">
        <f t="shared" si="167"/>
        <v>New Joiner</v>
      </c>
      <c r="W2166" t="str">
        <f t="shared" si="168"/>
        <v>High Risk</v>
      </c>
      <c r="X2166" t="str">
        <f t="shared" si="169"/>
        <v>Fair</v>
      </c>
    </row>
    <row r="2167" spans="1:24" x14ac:dyDescent="0.3">
      <c r="A2167" t="s">
        <v>2235</v>
      </c>
      <c r="B2167" t="s">
        <v>20</v>
      </c>
      <c r="C2167">
        <v>55</v>
      </c>
      <c r="D2167" t="s">
        <v>88</v>
      </c>
      <c r="E2167" t="s">
        <v>40</v>
      </c>
      <c r="F2167" t="s">
        <v>65</v>
      </c>
      <c r="G2167" t="s">
        <v>66</v>
      </c>
      <c r="H2167" t="s">
        <v>25</v>
      </c>
      <c r="I2167" t="s">
        <v>72</v>
      </c>
      <c r="J2167" t="s">
        <v>73</v>
      </c>
      <c r="K2167">
        <v>11</v>
      </c>
      <c r="L2167">
        <v>55748</v>
      </c>
      <c r="M2167" t="s">
        <v>28</v>
      </c>
      <c r="N2167">
        <v>4</v>
      </c>
      <c r="O2167">
        <v>4</v>
      </c>
      <c r="P2167">
        <v>69</v>
      </c>
      <c r="Q2167">
        <v>1</v>
      </c>
      <c r="R2167" s="1">
        <v>41259</v>
      </c>
      <c r="S2167" t="s">
        <v>29</v>
      </c>
      <c r="T2167" t="str">
        <f t="shared" si="165"/>
        <v>Grade B</v>
      </c>
      <c r="U2167">
        <f t="shared" si="166"/>
        <v>3</v>
      </c>
      <c r="V2167" t="str">
        <f t="shared" si="167"/>
        <v>Senior</v>
      </c>
      <c r="W2167" t="str">
        <f t="shared" si="168"/>
        <v>Medium Risk</v>
      </c>
      <c r="X2167" t="str">
        <f t="shared" si="169"/>
        <v>Competitive</v>
      </c>
    </row>
    <row r="2168" spans="1:24" x14ac:dyDescent="0.3">
      <c r="A2168" t="s">
        <v>2236</v>
      </c>
      <c r="B2168" t="s">
        <v>20</v>
      </c>
      <c r="C2168">
        <v>53</v>
      </c>
      <c r="D2168" t="s">
        <v>21</v>
      </c>
      <c r="E2168" t="s">
        <v>22</v>
      </c>
      <c r="F2168" t="s">
        <v>41</v>
      </c>
      <c r="G2168" t="s">
        <v>24</v>
      </c>
      <c r="H2168" t="s">
        <v>83</v>
      </c>
      <c r="I2168" t="s">
        <v>68</v>
      </c>
      <c r="J2168" t="s">
        <v>60</v>
      </c>
      <c r="K2168">
        <v>8</v>
      </c>
      <c r="L2168">
        <v>81299</v>
      </c>
      <c r="M2168" t="s">
        <v>51</v>
      </c>
      <c r="N2168">
        <v>2</v>
      </c>
      <c r="O2168">
        <v>3</v>
      </c>
      <c r="P2168">
        <v>61</v>
      </c>
      <c r="Q2168">
        <v>0</v>
      </c>
      <c r="R2168" s="1">
        <v>42361</v>
      </c>
      <c r="S2168" t="s">
        <v>29</v>
      </c>
      <c r="T2168" t="str">
        <f t="shared" si="165"/>
        <v>Grade A</v>
      </c>
      <c r="U2168">
        <f t="shared" si="166"/>
        <v>4</v>
      </c>
      <c r="V2168" t="str">
        <f t="shared" si="167"/>
        <v>Mid Level</v>
      </c>
      <c r="W2168" t="str">
        <f t="shared" si="168"/>
        <v>Low Risk</v>
      </c>
      <c r="X2168" t="str">
        <f t="shared" si="169"/>
        <v>Competitive</v>
      </c>
    </row>
    <row r="2169" spans="1:24" x14ac:dyDescent="0.3">
      <c r="A2169" t="s">
        <v>2237</v>
      </c>
      <c r="B2169" t="s">
        <v>20</v>
      </c>
      <c r="C2169">
        <v>49</v>
      </c>
      <c r="D2169" t="s">
        <v>57</v>
      </c>
      <c r="E2169" t="s">
        <v>48</v>
      </c>
      <c r="F2169" t="s">
        <v>65</v>
      </c>
      <c r="G2169" t="s">
        <v>42</v>
      </c>
      <c r="H2169" t="s">
        <v>76</v>
      </c>
      <c r="I2169" t="s">
        <v>96</v>
      </c>
      <c r="J2169" t="s">
        <v>44</v>
      </c>
      <c r="K2169">
        <v>15</v>
      </c>
      <c r="L2169">
        <v>118105</v>
      </c>
      <c r="M2169" t="s">
        <v>51</v>
      </c>
      <c r="N2169">
        <v>1</v>
      </c>
      <c r="O2169">
        <v>4</v>
      </c>
      <c r="P2169">
        <v>42</v>
      </c>
      <c r="Q2169">
        <v>2</v>
      </c>
      <c r="R2169" s="1">
        <v>39462</v>
      </c>
      <c r="S2169" t="s">
        <v>37</v>
      </c>
      <c r="T2169" t="str">
        <f t="shared" si="165"/>
        <v>Grade A</v>
      </c>
      <c r="U2169">
        <f t="shared" si="166"/>
        <v>4</v>
      </c>
      <c r="V2169" t="str">
        <f t="shared" si="167"/>
        <v>Senior</v>
      </c>
      <c r="W2169" t="str">
        <f t="shared" si="168"/>
        <v>Already Left</v>
      </c>
      <c r="X2169" t="str">
        <f t="shared" si="169"/>
        <v>Competitive</v>
      </c>
    </row>
    <row r="2170" spans="1:24" x14ac:dyDescent="0.3">
      <c r="A2170" t="s">
        <v>2238</v>
      </c>
      <c r="B2170" t="s">
        <v>20</v>
      </c>
      <c r="C2170">
        <v>52</v>
      </c>
      <c r="D2170" t="s">
        <v>21</v>
      </c>
      <c r="E2170" t="s">
        <v>22</v>
      </c>
      <c r="F2170" t="s">
        <v>75</v>
      </c>
      <c r="G2170" t="s">
        <v>33</v>
      </c>
      <c r="H2170" t="s">
        <v>67</v>
      </c>
      <c r="I2170" t="s">
        <v>68</v>
      </c>
      <c r="J2170" t="s">
        <v>60</v>
      </c>
      <c r="K2170">
        <v>5</v>
      </c>
      <c r="L2170">
        <v>61942</v>
      </c>
      <c r="M2170" t="s">
        <v>45</v>
      </c>
      <c r="N2170">
        <v>1</v>
      </c>
      <c r="O2170">
        <v>1</v>
      </c>
      <c r="P2170">
        <v>74</v>
      </c>
      <c r="Q2170">
        <v>3</v>
      </c>
      <c r="R2170" s="1">
        <v>43179</v>
      </c>
      <c r="S2170" t="s">
        <v>29</v>
      </c>
      <c r="T2170" t="str">
        <f t="shared" si="165"/>
        <v>Grade B</v>
      </c>
      <c r="U2170">
        <f t="shared" si="166"/>
        <v>2</v>
      </c>
      <c r="V2170" t="str">
        <f t="shared" si="167"/>
        <v>Junior</v>
      </c>
      <c r="W2170" t="str">
        <f t="shared" si="168"/>
        <v>Medium Risk</v>
      </c>
      <c r="X2170" t="str">
        <f t="shared" si="169"/>
        <v>Fair</v>
      </c>
    </row>
    <row r="2171" spans="1:24" x14ac:dyDescent="0.3">
      <c r="A2171" t="s">
        <v>2239</v>
      </c>
      <c r="B2171" t="s">
        <v>20</v>
      </c>
      <c r="C2171">
        <v>40</v>
      </c>
      <c r="D2171" t="s">
        <v>47</v>
      </c>
      <c r="E2171" t="s">
        <v>22</v>
      </c>
      <c r="F2171" t="s">
        <v>23</v>
      </c>
      <c r="G2171" t="s">
        <v>66</v>
      </c>
      <c r="H2171" t="s">
        <v>67</v>
      </c>
      <c r="I2171" t="s">
        <v>96</v>
      </c>
      <c r="J2171" t="s">
        <v>44</v>
      </c>
      <c r="K2171">
        <v>3</v>
      </c>
      <c r="L2171">
        <v>46179</v>
      </c>
      <c r="M2171" t="s">
        <v>28</v>
      </c>
      <c r="N2171">
        <v>4</v>
      </c>
      <c r="O2171">
        <v>2</v>
      </c>
      <c r="P2171">
        <v>27</v>
      </c>
      <c r="Q2171">
        <v>2</v>
      </c>
      <c r="R2171" s="1">
        <v>43843</v>
      </c>
      <c r="S2171" t="s">
        <v>37</v>
      </c>
      <c r="T2171" t="str">
        <f t="shared" si="165"/>
        <v>Grade C</v>
      </c>
      <c r="U2171">
        <f t="shared" si="166"/>
        <v>3</v>
      </c>
      <c r="V2171" t="str">
        <f t="shared" si="167"/>
        <v>Junior</v>
      </c>
      <c r="W2171" t="str">
        <f t="shared" si="168"/>
        <v>Already Left</v>
      </c>
      <c r="X2171" t="str">
        <f t="shared" si="169"/>
        <v>Fair</v>
      </c>
    </row>
    <row r="2172" spans="1:24" x14ac:dyDescent="0.3">
      <c r="A2172" t="s">
        <v>2240</v>
      </c>
      <c r="B2172" t="s">
        <v>39</v>
      </c>
      <c r="C2172">
        <v>38</v>
      </c>
      <c r="D2172" t="s">
        <v>47</v>
      </c>
      <c r="E2172" t="s">
        <v>40</v>
      </c>
      <c r="F2172" t="s">
        <v>75</v>
      </c>
      <c r="G2172" t="s">
        <v>42</v>
      </c>
      <c r="H2172" t="s">
        <v>34</v>
      </c>
      <c r="I2172" t="s">
        <v>43</v>
      </c>
      <c r="J2172" t="s">
        <v>44</v>
      </c>
      <c r="K2172">
        <v>11</v>
      </c>
      <c r="L2172">
        <v>126684</v>
      </c>
      <c r="M2172" t="s">
        <v>36</v>
      </c>
      <c r="N2172">
        <v>1</v>
      </c>
      <c r="O2172">
        <v>4</v>
      </c>
      <c r="P2172">
        <v>66</v>
      </c>
      <c r="Q2172">
        <v>1</v>
      </c>
      <c r="R2172" s="1">
        <v>40950</v>
      </c>
      <c r="S2172" t="s">
        <v>37</v>
      </c>
      <c r="T2172" t="str">
        <f t="shared" si="165"/>
        <v>Grade A</v>
      </c>
      <c r="U2172">
        <f t="shared" si="166"/>
        <v>1</v>
      </c>
      <c r="V2172" t="str">
        <f t="shared" si="167"/>
        <v>Senior</v>
      </c>
      <c r="W2172" t="str">
        <f t="shared" si="168"/>
        <v>Already Left</v>
      </c>
      <c r="X2172" t="str">
        <f t="shared" si="169"/>
        <v>Overpaid</v>
      </c>
    </row>
    <row r="2173" spans="1:24" x14ac:dyDescent="0.3">
      <c r="A2173" t="s">
        <v>2241</v>
      </c>
      <c r="B2173" t="s">
        <v>39</v>
      </c>
      <c r="C2173">
        <v>28</v>
      </c>
      <c r="D2173" t="s">
        <v>47</v>
      </c>
      <c r="E2173" t="s">
        <v>22</v>
      </c>
      <c r="F2173" t="s">
        <v>75</v>
      </c>
      <c r="G2173" t="s">
        <v>33</v>
      </c>
      <c r="H2173" t="s">
        <v>34</v>
      </c>
      <c r="I2173" t="s">
        <v>80</v>
      </c>
      <c r="J2173" t="s">
        <v>60</v>
      </c>
      <c r="K2173">
        <v>5</v>
      </c>
      <c r="L2173">
        <v>60731</v>
      </c>
      <c r="M2173" t="s">
        <v>28</v>
      </c>
      <c r="N2173">
        <v>1</v>
      </c>
      <c r="O2173">
        <v>4</v>
      </c>
      <c r="P2173">
        <v>46</v>
      </c>
      <c r="Q2173">
        <v>1</v>
      </c>
      <c r="R2173" s="1">
        <v>43197</v>
      </c>
      <c r="S2173" t="s">
        <v>29</v>
      </c>
      <c r="T2173" t="str">
        <f t="shared" si="165"/>
        <v>Grade B</v>
      </c>
      <c r="U2173">
        <f t="shared" si="166"/>
        <v>3</v>
      </c>
      <c r="V2173" t="str">
        <f t="shared" si="167"/>
        <v>Junior</v>
      </c>
      <c r="W2173" t="str">
        <f t="shared" si="168"/>
        <v>Medium Risk</v>
      </c>
      <c r="X2173" t="str">
        <f t="shared" si="169"/>
        <v>Competitive</v>
      </c>
    </row>
    <row r="2174" spans="1:24" x14ac:dyDescent="0.3">
      <c r="A2174" t="s">
        <v>2242</v>
      </c>
      <c r="B2174" t="s">
        <v>39</v>
      </c>
      <c r="C2174">
        <v>32</v>
      </c>
      <c r="D2174" t="s">
        <v>57</v>
      </c>
      <c r="E2174" t="s">
        <v>48</v>
      </c>
      <c r="F2174" t="s">
        <v>32</v>
      </c>
      <c r="G2174" t="s">
        <v>66</v>
      </c>
      <c r="H2174" t="s">
        <v>83</v>
      </c>
      <c r="I2174" t="s">
        <v>68</v>
      </c>
      <c r="J2174" t="s">
        <v>60</v>
      </c>
      <c r="K2174">
        <v>15</v>
      </c>
      <c r="L2174">
        <v>67417</v>
      </c>
      <c r="M2174" t="s">
        <v>45</v>
      </c>
      <c r="N2174">
        <v>1</v>
      </c>
      <c r="O2174">
        <v>4</v>
      </c>
      <c r="P2174">
        <v>17</v>
      </c>
      <c r="Q2174">
        <v>0</v>
      </c>
      <c r="R2174" s="1">
        <v>39768</v>
      </c>
      <c r="S2174" t="s">
        <v>29</v>
      </c>
      <c r="T2174" t="str">
        <f t="shared" si="165"/>
        <v>Grade B</v>
      </c>
      <c r="U2174">
        <f t="shared" si="166"/>
        <v>2</v>
      </c>
      <c r="V2174" t="str">
        <f t="shared" si="167"/>
        <v>Senior</v>
      </c>
      <c r="W2174" t="str">
        <f t="shared" si="168"/>
        <v>Medium Risk</v>
      </c>
      <c r="X2174" t="str">
        <f t="shared" si="169"/>
        <v>Fair</v>
      </c>
    </row>
    <row r="2175" spans="1:24" x14ac:dyDescent="0.3">
      <c r="A2175" t="s">
        <v>2243</v>
      </c>
      <c r="B2175" t="s">
        <v>20</v>
      </c>
      <c r="C2175">
        <v>40</v>
      </c>
      <c r="D2175" t="s">
        <v>21</v>
      </c>
      <c r="E2175" t="s">
        <v>40</v>
      </c>
      <c r="F2175" t="s">
        <v>62</v>
      </c>
      <c r="G2175" t="s">
        <v>49</v>
      </c>
      <c r="H2175" t="s">
        <v>67</v>
      </c>
      <c r="I2175" t="s">
        <v>59</v>
      </c>
      <c r="J2175" t="s">
        <v>60</v>
      </c>
      <c r="K2175">
        <v>5</v>
      </c>
      <c r="L2175">
        <v>55064</v>
      </c>
      <c r="M2175" t="s">
        <v>36</v>
      </c>
      <c r="N2175">
        <v>3</v>
      </c>
      <c r="O2175">
        <v>2</v>
      </c>
      <c r="P2175">
        <v>58</v>
      </c>
      <c r="Q2175">
        <v>1</v>
      </c>
      <c r="R2175" s="1">
        <v>43118</v>
      </c>
      <c r="S2175" t="s">
        <v>37</v>
      </c>
      <c r="T2175" t="str">
        <f t="shared" si="165"/>
        <v>Grade B</v>
      </c>
      <c r="U2175">
        <f t="shared" si="166"/>
        <v>1</v>
      </c>
      <c r="V2175" t="str">
        <f t="shared" si="167"/>
        <v>Junior</v>
      </c>
      <c r="W2175" t="str">
        <f t="shared" si="168"/>
        <v>Already Left</v>
      </c>
      <c r="X2175" t="str">
        <f t="shared" si="169"/>
        <v>Fair</v>
      </c>
    </row>
    <row r="2176" spans="1:24" x14ac:dyDescent="0.3">
      <c r="A2176" t="s">
        <v>2244</v>
      </c>
      <c r="B2176" t="s">
        <v>39</v>
      </c>
      <c r="C2176">
        <v>29</v>
      </c>
      <c r="D2176" t="s">
        <v>88</v>
      </c>
      <c r="E2176" t="s">
        <v>22</v>
      </c>
      <c r="F2176" t="s">
        <v>41</v>
      </c>
      <c r="G2176" t="s">
        <v>79</v>
      </c>
      <c r="H2176" t="s">
        <v>67</v>
      </c>
      <c r="I2176" t="s">
        <v>72</v>
      </c>
      <c r="J2176" t="s">
        <v>73</v>
      </c>
      <c r="K2176">
        <v>2</v>
      </c>
      <c r="L2176">
        <v>45028</v>
      </c>
      <c r="M2176" t="s">
        <v>28</v>
      </c>
      <c r="N2176">
        <v>2</v>
      </c>
      <c r="O2176">
        <v>1</v>
      </c>
      <c r="P2176">
        <v>58</v>
      </c>
      <c r="Q2176">
        <v>0</v>
      </c>
      <c r="R2176" s="1">
        <v>44507</v>
      </c>
      <c r="S2176" t="s">
        <v>29</v>
      </c>
      <c r="T2176" t="str">
        <f t="shared" si="165"/>
        <v>Grade C</v>
      </c>
      <c r="U2176">
        <f t="shared" si="166"/>
        <v>3</v>
      </c>
      <c r="V2176" t="str">
        <f t="shared" si="167"/>
        <v>New Joiner</v>
      </c>
      <c r="W2176" t="str">
        <f t="shared" si="168"/>
        <v>Medium Risk</v>
      </c>
      <c r="X2176" t="str">
        <f t="shared" si="169"/>
        <v>Fair</v>
      </c>
    </row>
    <row r="2177" spans="1:24" x14ac:dyDescent="0.3">
      <c r="A2177" t="s">
        <v>2245</v>
      </c>
      <c r="B2177" t="s">
        <v>39</v>
      </c>
      <c r="C2177">
        <v>26</v>
      </c>
      <c r="D2177" t="s">
        <v>31</v>
      </c>
      <c r="E2177" t="s">
        <v>48</v>
      </c>
      <c r="F2177" t="s">
        <v>41</v>
      </c>
      <c r="G2177" t="s">
        <v>49</v>
      </c>
      <c r="H2177" t="s">
        <v>67</v>
      </c>
      <c r="I2177" t="s">
        <v>96</v>
      </c>
      <c r="J2177" t="s">
        <v>44</v>
      </c>
      <c r="K2177">
        <v>11</v>
      </c>
      <c r="L2177">
        <v>63728</v>
      </c>
      <c r="M2177" t="s">
        <v>36</v>
      </c>
      <c r="N2177">
        <v>2</v>
      </c>
      <c r="O2177">
        <v>4</v>
      </c>
      <c r="P2177">
        <v>66</v>
      </c>
      <c r="Q2177">
        <v>1</v>
      </c>
      <c r="R2177" s="1">
        <v>41212</v>
      </c>
      <c r="S2177" t="s">
        <v>37</v>
      </c>
      <c r="T2177" t="str">
        <f t="shared" si="165"/>
        <v>Grade B</v>
      </c>
      <c r="U2177">
        <f t="shared" si="166"/>
        <v>1</v>
      </c>
      <c r="V2177" t="str">
        <f t="shared" si="167"/>
        <v>Senior</v>
      </c>
      <c r="W2177" t="str">
        <f t="shared" si="168"/>
        <v>Already Left</v>
      </c>
      <c r="X2177" t="str">
        <f t="shared" si="169"/>
        <v>Fair</v>
      </c>
    </row>
    <row r="2178" spans="1:24" x14ac:dyDescent="0.3">
      <c r="A2178" t="s">
        <v>2246</v>
      </c>
      <c r="B2178" t="s">
        <v>39</v>
      </c>
      <c r="C2178">
        <v>48</v>
      </c>
      <c r="D2178" t="s">
        <v>21</v>
      </c>
      <c r="E2178" t="s">
        <v>40</v>
      </c>
      <c r="F2178" t="s">
        <v>32</v>
      </c>
      <c r="G2178" t="s">
        <v>24</v>
      </c>
      <c r="H2178" t="s">
        <v>34</v>
      </c>
      <c r="I2178" t="s">
        <v>72</v>
      </c>
      <c r="J2178" t="s">
        <v>73</v>
      </c>
      <c r="K2178">
        <v>11</v>
      </c>
      <c r="L2178">
        <v>97353</v>
      </c>
      <c r="M2178" t="s">
        <v>45</v>
      </c>
      <c r="N2178">
        <v>3</v>
      </c>
      <c r="O2178">
        <v>3</v>
      </c>
      <c r="P2178">
        <v>44</v>
      </c>
      <c r="Q2178">
        <v>1</v>
      </c>
      <c r="R2178" s="1">
        <v>41216</v>
      </c>
      <c r="S2178" t="s">
        <v>29</v>
      </c>
      <c r="T2178" t="str">
        <f t="shared" ref="T2178:T2241" si="170">IF(L2178&gt;=80000,"Grade A",IF(L2178&gt;=50000,"Grade B",IF(L2178&gt;=35000,"Grade C","Grade D")))</f>
        <v>Grade A</v>
      </c>
      <c r="U2178">
        <f t="shared" ref="U2178:U2241" si="171">IF(M2178="Excellent",4,IF(M2178="Good",3,IF(M2178="Average",2,1)))</f>
        <v>2</v>
      </c>
      <c r="V2178" t="str">
        <f t="shared" ref="V2178:V2241" si="172">IF(K2178&lt;=2,"New Joiner",IF(K2178&lt;=5,"Junior",IF(K2178&lt;=10,"Mid Level","Senior")))</f>
        <v>Senior</v>
      </c>
      <c r="W2178" t="str">
        <f t="shared" ref="W2178:W2241" si="173">IF(S2178="Yes","Already Left",IF(AND(K2178&lt;=2,M2178="Poor"),"High Risk",IF(AND(K2178&lt;=5,M2178="Average"),"Medium Risk",IF(M2178="Excellent","Low Risk","Medium Risk"))))</f>
        <v>Medium Risk</v>
      </c>
      <c r="X2178" t="str">
        <f t="shared" ref="X2178:X2241" si="174">IF(AND(L2178&gt;=80000,M2178="Excellent"),"Competitive",IF(AND(L2178&gt;=50000,M2178="Good"),"Competitive",IF(AND(L2178&lt;35000,M2178="Excellent"),"Underpaid",IF(AND(L2178&gt;=80000,M2178="Poor"),"Overpaid","Fair"))))</f>
        <v>Fair</v>
      </c>
    </row>
    <row r="2179" spans="1:24" x14ac:dyDescent="0.3">
      <c r="A2179" t="s">
        <v>2247</v>
      </c>
      <c r="B2179" t="s">
        <v>20</v>
      </c>
      <c r="C2179">
        <v>31</v>
      </c>
      <c r="D2179" t="s">
        <v>57</v>
      </c>
      <c r="E2179" t="s">
        <v>40</v>
      </c>
      <c r="F2179" t="s">
        <v>41</v>
      </c>
      <c r="G2179" t="s">
        <v>66</v>
      </c>
      <c r="H2179" t="s">
        <v>34</v>
      </c>
      <c r="I2179" t="s">
        <v>43</v>
      </c>
      <c r="J2179" t="s">
        <v>44</v>
      </c>
      <c r="K2179">
        <v>14</v>
      </c>
      <c r="L2179">
        <v>63308</v>
      </c>
      <c r="M2179" t="s">
        <v>45</v>
      </c>
      <c r="N2179">
        <v>2</v>
      </c>
      <c r="O2179">
        <v>3</v>
      </c>
      <c r="P2179">
        <v>17</v>
      </c>
      <c r="Q2179">
        <v>0</v>
      </c>
      <c r="R2179" s="1">
        <v>39958</v>
      </c>
      <c r="S2179" t="s">
        <v>29</v>
      </c>
      <c r="T2179" t="str">
        <f t="shared" si="170"/>
        <v>Grade B</v>
      </c>
      <c r="U2179">
        <f t="shared" si="171"/>
        <v>2</v>
      </c>
      <c r="V2179" t="str">
        <f t="shared" si="172"/>
        <v>Senior</v>
      </c>
      <c r="W2179" t="str">
        <f t="shared" si="173"/>
        <v>Medium Risk</v>
      </c>
      <c r="X2179" t="str">
        <f t="shared" si="174"/>
        <v>Fair</v>
      </c>
    </row>
    <row r="2180" spans="1:24" x14ac:dyDescent="0.3">
      <c r="A2180" t="s">
        <v>2248</v>
      </c>
      <c r="B2180" t="s">
        <v>20</v>
      </c>
      <c r="C2180">
        <v>36</v>
      </c>
      <c r="D2180" t="s">
        <v>31</v>
      </c>
      <c r="E2180" t="s">
        <v>40</v>
      </c>
      <c r="F2180" t="s">
        <v>62</v>
      </c>
      <c r="G2180" t="s">
        <v>49</v>
      </c>
      <c r="H2180" t="s">
        <v>83</v>
      </c>
      <c r="I2180" t="s">
        <v>80</v>
      </c>
      <c r="J2180" t="s">
        <v>60</v>
      </c>
      <c r="K2180">
        <v>13</v>
      </c>
      <c r="L2180">
        <v>70376</v>
      </c>
      <c r="M2180" t="s">
        <v>28</v>
      </c>
      <c r="N2180">
        <v>1</v>
      </c>
      <c r="O2180">
        <v>2</v>
      </c>
      <c r="P2180">
        <v>52</v>
      </c>
      <c r="Q2180">
        <v>1</v>
      </c>
      <c r="R2180" s="1">
        <v>40370</v>
      </c>
      <c r="S2180" t="s">
        <v>29</v>
      </c>
      <c r="T2180" t="str">
        <f t="shared" si="170"/>
        <v>Grade B</v>
      </c>
      <c r="U2180">
        <f t="shared" si="171"/>
        <v>3</v>
      </c>
      <c r="V2180" t="str">
        <f t="shared" si="172"/>
        <v>Senior</v>
      </c>
      <c r="W2180" t="str">
        <f t="shared" si="173"/>
        <v>Medium Risk</v>
      </c>
      <c r="X2180" t="str">
        <f t="shared" si="174"/>
        <v>Competitive</v>
      </c>
    </row>
    <row r="2181" spans="1:24" x14ac:dyDescent="0.3">
      <c r="A2181" t="s">
        <v>2249</v>
      </c>
      <c r="B2181" t="s">
        <v>39</v>
      </c>
      <c r="C2181">
        <v>50</v>
      </c>
      <c r="D2181" t="s">
        <v>47</v>
      </c>
      <c r="E2181" t="s">
        <v>48</v>
      </c>
      <c r="F2181" t="s">
        <v>23</v>
      </c>
      <c r="G2181" t="s">
        <v>33</v>
      </c>
      <c r="H2181" t="s">
        <v>25</v>
      </c>
      <c r="I2181" t="s">
        <v>35</v>
      </c>
      <c r="J2181" t="s">
        <v>27</v>
      </c>
      <c r="K2181">
        <v>15</v>
      </c>
      <c r="L2181">
        <v>90359</v>
      </c>
      <c r="M2181" t="s">
        <v>51</v>
      </c>
      <c r="N2181">
        <v>3</v>
      </c>
      <c r="O2181">
        <v>3</v>
      </c>
      <c r="P2181">
        <v>26</v>
      </c>
      <c r="Q2181">
        <v>2</v>
      </c>
      <c r="R2181" s="1">
        <v>39563</v>
      </c>
      <c r="S2181" t="s">
        <v>37</v>
      </c>
      <c r="T2181" t="str">
        <f t="shared" si="170"/>
        <v>Grade A</v>
      </c>
      <c r="U2181">
        <f t="shared" si="171"/>
        <v>4</v>
      </c>
      <c r="V2181" t="str">
        <f t="shared" si="172"/>
        <v>Senior</v>
      </c>
      <c r="W2181" t="str">
        <f t="shared" si="173"/>
        <v>Already Left</v>
      </c>
      <c r="X2181" t="str">
        <f t="shared" si="174"/>
        <v>Competitive</v>
      </c>
    </row>
    <row r="2182" spans="1:24" x14ac:dyDescent="0.3">
      <c r="A2182" t="s">
        <v>2250</v>
      </c>
      <c r="B2182" t="s">
        <v>20</v>
      </c>
      <c r="C2182">
        <v>38</v>
      </c>
      <c r="D2182" t="s">
        <v>88</v>
      </c>
      <c r="E2182" t="s">
        <v>22</v>
      </c>
      <c r="F2182" t="s">
        <v>62</v>
      </c>
      <c r="G2182" t="s">
        <v>33</v>
      </c>
      <c r="H2182" t="s">
        <v>76</v>
      </c>
      <c r="I2182" t="s">
        <v>68</v>
      </c>
      <c r="J2182" t="s">
        <v>60</v>
      </c>
      <c r="K2182">
        <v>8</v>
      </c>
      <c r="L2182">
        <v>74293</v>
      </c>
      <c r="M2182" t="s">
        <v>36</v>
      </c>
      <c r="N2182">
        <v>1</v>
      </c>
      <c r="O2182">
        <v>3</v>
      </c>
      <c r="P2182">
        <v>64</v>
      </c>
      <c r="Q2182">
        <v>2</v>
      </c>
      <c r="R2182" s="1">
        <v>42083</v>
      </c>
      <c r="S2182" t="s">
        <v>37</v>
      </c>
      <c r="T2182" t="str">
        <f t="shared" si="170"/>
        <v>Grade B</v>
      </c>
      <c r="U2182">
        <f t="shared" si="171"/>
        <v>1</v>
      </c>
      <c r="V2182" t="str">
        <f t="shared" si="172"/>
        <v>Mid Level</v>
      </c>
      <c r="W2182" t="str">
        <f t="shared" si="173"/>
        <v>Already Left</v>
      </c>
      <c r="X2182" t="str">
        <f t="shared" si="174"/>
        <v>Fair</v>
      </c>
    </row>
    <row r="2183" spans="1:24" x14ac:dyDescent="0.3">
      <c r="A2183" t="s">
        <v>2251</v>
      </c>
      <c r="B2183" t="s">
        <v>20</v>
      </c>
      <c r="C2183">
        <v>30</v>
      </c>
      <c r="D2183" t="s">
        <v>57</v>
      </c>
      <c r="E2183" t="s">
        <v>48</v>
      </c>
      <c r="F2183" t="s">
        <v>23</v>
      </c>
      <c r="G2183" t="s">
        <v>24</v>
      </c>
      <c r="H2183" t="s">
        <v>76</v>
      </c>
      <c r="I2183" t="s">
        <v>50</v>
      </c>
      <c r="J2183" t="s">
        <v>44</v>
      </c>
      <c r="K2183">
        <v>7</v>
      </c>
      <c r="L2183">
        <v>91785</v>
      </c>
      <c r="M2183" t="s">
        <v>51</v>
      </c>
      <c r="N2183">
        <v>3</v>
      </c>
      <c r="O2183">
        <v>2</v>
      </c>
      <c r="P2183">
        <v>73</v>
      </c>
      <c r="Q2183">
        <v>3</v>
      </c>
      <c r="R2183" s="1">
        <v>42458</v>
      </c>
      <c r="S2183" t="s">
        <v>29</v>
      </c>
      <c r="T2183" t="str">
        <f t="shared" si="170"/>
        <v>Grade A</v>
      </c>
      <c r="U2183">
        <f t="shared" si="171"/>
        <v>4</v>
      </c>
      <c r="V2183" t="str">
        <f t="shared" si="172"/>
        <v>Mid Level</v>
      </c>
      <c r="W2183" t="str">
        <f t="shared" si="173"/>
        <v>Low Risk</v>
      </c>
      <c r="X2183" t="str">
        <f t="shared" si="174"/>
        <v>Competitive</v>
      </c>
    </row>
    <row r="2184" spans="1:24" x14ac:dyDescent="0.3">
      <c r="A2184" t="s">
        <v>2252</v>
      </c>
      <c r="B2184" t="s">
        <v>39</v>
      </c>
      <c r="C2184">
        <v>30</v>
      </c>
      <c r="D2184" t="s">
        <v>21</v>
      </c>
      <c r="E2184" t="s">
        <v>22</v>
      </c>
      <c r="F2184" t="s">
        <v>32</v>
      </c>
      <c r="G2184" t="s">
        <v>42</v>
      </c>
      <c r="H2184" t="s">
        <v>34</v>
      </c>
      <c r="I2184" t="s">
        <v>54</v>
      </c>
      <c r="J2184" t="s">
        <v>27</v>
      </c>
      <c r="K2184">
        <v>15</v>
      </c>
      <c r="L2184">
        <v>127446</v>
      </c>
      <c r="M2184" t="s">
        <v>45</v>
      </c>
      <c r="N2184">
        <v>3</v>
      </c>
      <c r="O2184">
        <v>1</v>
      </c>
      <c r="P2184">
        <v>69</v>
      </c>
      <c r="Q2184">
        <v>1</v>
      </c>
      <c r="R2184" s="1">
        <v>39519</v>
      </c>
      <c r="S2184" t="s">
        <v>37</v>
      </c>
      <c r="T2184" t="str">
        <f t="shared" si="170"/>
        <v>Grade A</v>
      </c>
      <c r="U2184">
        <f t="shared" si="171"/>
        <v>2</v>
      </c>
      <c r="V2184" t="str">
        <f t="shared" si="172"/>
        <v>Senior</v>
      </c>
      <c r="W2184" t="str">
        <f t="shared" si="173"/>
        <v>Already Left</v>
      </c>
      <c r="X2184" t="str">
        <f t="shared" si="174"/>
        <v>Fair</v>
      </c>
    </row>
    <row r="2185" spans="1:24" x14ac:dyDescent="0.3">
      <c r="A2185" t="s">
        <v>2253</v>
      </c>
      <c r="B2185" t="s">
        <v>39</v>
      </c>
      <c r="C2185">
        <v>36</v>
      </c>
      <c r="D2185" t="s">
        <v>47</v>
      </c>
      <c r="E2185" t="s">
        <v>40</v>
      </c>
      <c r="F2185" t="s">
        <v>62</v>
      </c>
      <c r="G2185" t="s">
        <v>63</v>
      </c>
      <c r="H2185" t="s">
        <v>25</v>
      </c>
      <c r="I2185" t="s">
        <v>72</v>
      </c>
      <c r="J2185" t="s">
        <v>73</v>
      </c>
      <c r="K2185">
        <v>10</v>
      </c>
      <c r="L2185">
        <v>56426</v>
      </c>
      <c r="M2185" t="s">
        <v>28</v>
      </c>
      <c r="N2185">
        <v>3</v>
      </c>
      <c r="O2185">
        <v>4</v>
      </c>
      <c r="P2185">
        <v>13</v>
      </c>
      <c r="Q2185">
        <v>3</v>
      </c>
      <c r="R2185" s="1">
        <v>41420</v>
      </c>
      <c r="S2185" t="s">
        <v>37</v>
      </c>
      <c r="T2185" t="str">
        <f t="shared" si="170"/>
        <v>Grade B</v>
      </c>
      <c r="U2185">
        <f t="shared" si="171"/>
        <v>3</v>
      </c>
      <c r="V2185" t="str">
        <f t="shared" si="172"/>
        <v>Mid Level</v>
      </c>
      <c r="W2185" t="str">
        <f t="shared" si="173"/>
        <v>Already Left</v>
      </c>
      <c r="X2185" t="str">
        <f t="shared" si="174"/>
        <v>Competitive</v>
      </c>
    </row>
    <row r="2186" spans="1:24" x14ac:dyDescent="0.3">
      <c r="A2186" t="s">
        <v>2254</v>
      </c>
      <c r="B2186" t="s">
        <v>39</v>
      </c>
      <c r="C2186">
        <v>47</v>
      </c>
      <c r="D2186" t="s">
        <v>21</v>
      </c>
      <c r="E2186" t="s">
        <v>22</v>
      </c>
      <c r="F2186" t="s">
        <v>53</v>
      </c>
      <c r="G2186" t="s">
        <v>79</v>
      </c>
      <c r="H2186" t="s">
        <v>76</v>
      </c>
      <c r="I2186" t="s">
        <v>54</v>
      </c>
      <c r="J2186" t="s">
        <v>27</v>
      </c>
      <c r="K2186">
        <v>6</v>
      </c>
      <c r="L2186">
        <v>57627</v>
      </c>
      <c r="M2186" t="s">
        <v>28</v>
      </c>
      <c r="N2186">
        <v>2</v>
      </c>
      <c r="O2186">
        <v>3</v>
      </c>
      <c r="P2186">
        <v>17</v>
      </c>
      <c r="Q2186">
        <v>1</v>
      </c>
      <c r="R2186" s="1">
        <v>42999</v>
      </c>
      <c r="S2186" t="s">
        <v>29</v>
      </c>
      <c r="T2186" t="str">
        <f t="shared" si="170"/>
        <v>Grade B</v>
      </c>
      <c r="U2186">
        <f t="shared" si="171"/>
        <v>3</v>
      </c>
      <c r="V2186" t="str">
        <f t="shared" si="172"/>
        <v>Mid Level</v>
      </c>
      <c r="W2186" t="str">
        <f t="shared" si="173"/>
        <v>Medium Risk</v>
      </c>
      <c r="X2186" t="str">
        <f t="shared" si="174"/>
        <v>Competitive</v>
      </c>
    </row>
    <row r="2187" spans="1:24" x14ac:dyDescent="0.3">
      <c r="A2187" t="s">
        <v>2255</v>
      </c>
      <c r="B2187" t="s">
        <v>20</v>
      </c>
      <c r="C2187">
        <v>31</v>
      </c>
      <c r="D2187" t="s">
        <v>47</v>
      </c>
      <c r="E2187" t="s">
        <v>48</v>
      </c>
      <c r="F2187" t="s">
        <v>62</v>
      </c>
      <c r="G2187" t="s">
        <v>24</v>
      </c>
      <c r="H2187" t="s">
        <v>67</v>
      </c>
      <c r="I2187" t="s">
        <v>54</v>
      </c>
      <c r="J2187" t="s">
        <v>27</v>
      </c>
      <c r="K2187">
        <v>5</v>
      </c>
      <c r="L2187">
        <v>90070</v>
      </c>
      <c r="M2187" t="s">
        <v>45</v>
      </c>
      <c r="N2187">
        <v>1</v>
      </c>
      <c r="O2187">
        <v>4</v>
      </c>
      <c r="P2187">
        <v>43</v>
      </c>
      <c r="Q2187">
        <v>3</v>
      </c>
      <c r="R2187" s="1">
        <v>43174</v>
      </c>
      <c r="S2187" t="s">
        <v>29</v>
      </c>
      <c r="T2187" t="str">
        <f t="shared" si="170"/>
        <v>Grade A</v>
      </c>
      <c r="U2187">
        <f t="shared" si="171"/>
        <v>2</v>
      </c>
      <c r="V2187" t="str">
        <f t="shared" si="172"/>
        <v>Junior</v>
      </c>
      <c r="W2187" t="str">
        <f t="shared" si="173"/>
        <v>Medium Risk</v>
      </c>
      <c r="X2187" t="str">
        <f t="shared" si="174"/>
        <v>Fair</v>
      </c>
    </row>
    <row r="2188" spans="1:24" x14ac:dyDescent="0.3">
      <c r="A2188" t="s">
        <v>2256</v>
      </c>
      <c r="B2188" t="s">
        <v>39</v>
      </c>
      <c r="C2188">
        <v>50</v>
      </c>
      <c r="D2188" t="s">
        <v>47</v>
      </c>
      <c r="E2188" t="s">
        <v>40</v>
      </c>
      <c r="F2188" t="s">
        <v>65</v>
      </c>
      <c r="G2188" t="s">
        <v>66</v>
      </c>
      <c r="H2188" t="s">
        <v>25</v>
      </c>
      <c r="I2188" t="s">
        <v>80</v>
      </c>
      <c r="J2188" t="s">
        <v>60</v>
      </c>
      <c r="K2188">
        <v>12</v>
      </c>
      <c r="L2188">
        <v>63955</v>
      </c>
      <c r="M2188" t="s">
        <v>45</v>
      </c>
      <c r="N2188">
        <v>1</v>
      </c>
      <c r="O2188">
        <v>4</v>
      </c>
      <c r="P2188">
        <v>46</v>
      </c>
      <c r="Q2188">
        <v>1</v>
      </c>
      <c r="R2188" s="1">
        <v>40853</v>
      </c>
      <c r="S2188" t="s">
        <v>29</v>
      </c>
      <c r="T2188" t="str">
        <f t="shared" si="170"/>
        <v>Grade B</v>
      </c>
      <c r="U2188">
        <f t="shared" si="171"/>
        <v>2</v>
      </c>
      <c r="V2188" t="str">
        <f t="shared" si="172"/>
        <v>Senior</v>
      </c>
      <c r="W2188" t="str">
        <f t="shared" si="173"/>
        <v>Medium Risk</v>
      </c>
      <c r="X2188" t="str">
        <f t="shared" si="174"/>
        <v>Fair</v>
      </c>
    </row>
    <row r="2189" spans="1:24" x14ac:dyDescent="0.3">
      <c r="A2189" t="s">
        <v>2257</v>
      </c>
      <c r="B2189" t="s">
        <v>39</v>
      </c>
      <c r="C2189">
        <v>35</v>
      </c>
      <c r="D2189" t="s">
        <v>57</v>
      </c>
      <c r="E2189" t="s">
        <v>40</v>
      </c>
      <c r="F2189" t="s">
        <v>41</v>
      </c>
      <c r="G2189" t="s">
        <v>24</v>
      </c>
      <c r="H2189" t="s">
        <v>34</v>
      </c>
      <c r="I2189" t="s">
        <v>96</v>
      </c>
      <c r="J2189" t="s">
        <v>44</v>
      </c>
      <c r="K2189">
        <v>3</v>
      </c>
      <c r="L2189">
        <v>80170</v>
      </c>
      <c r="M2189" t="s">
        <v>28</v>
      </c>
      <c r="N2189">
        <v>2</v>
      </c>
      <c r="O2189">
        <v>4</v>
      </c>
      <c r="P2189">
        <v>59</v>
      </c>
      <c r="Q2189">
        <v>0</v>
      </c>
      <c r="R2189" s="1">
        <v>44115</v>
      </c>
      <c r="S2189" t="s">
        <v>37</v>
      </c>
      <c r="T2189" t="str">
        <f t="shared" si="170"/>
        <v>Grade A</v>
      </c>
      <c r="U2189">
        <f t="shared" si="171"/>
        <v>3</v>
      </c>
      <c r="V2189" t="str">
        <f t="shared" si="172"/>
        <v>Junior</v>
      </c>
      <c r="W2189" t="str">
        <f t="shared" si="173"/>
        <v>Already Left</v>
      </c>
      <c r="X2189" t="str">
        <f t="shared" si="174"/>
        <v>Competitive</v>
      </c>
    </row>
    <row r="2190" spans="1:24" x14ac:dyDescent="0.3">
      <c r="A2190" t="s">
        <v>2258</v>
      </c>
      <c r="B2190" t="s">
        <v>20</v>
      </c>
      <c r="C2190">
        <v>45</v>
      </c>
      <c r="D2190" t="s">
        <v>21</v>
      </c>
      <c r="E2190" t="s">
        <v>22</v>
      </c>
      <c r="F2190" t="s">
        <v>75</v>
      </c>
      <c r="G2190" t="s">
        <v>42</v>
      </c>
      <c r="H2190" t="s">
        <v>25</v>
      </c>
      <c r="I2190" t="s">
        <v>96</v>
      </c>
      <c r="J2190" t="s">
        <v>44</v>
      </c>
      <c r="K2190">
        <v>13</v>
      </c>
      <c r="L2190">
        <v>112324</v>
      </c>
      <c r="M2190" t="s">
        <v>51</v>
      </c>
      <c r="N2190">
        <v>2</v>
      </c>
      <c r="O2190">
        <v>4</v>
      </c>
      <c r="P2190">
        <v>39</v>
      </c>
      <c r="Q2190">
        <v>0</v>
      </c>
      <c r="R2190" s="1">
        <v>40348</v>
      </c>
      <c r="S2190" t="s">
        <v>29</v>
      </c>
      <c r="T2190" t="str">
        <f t="shared" si="170"/>
        <v>Grade A</v>
      </c>
      <c r="U2190">
        <f t="shared" si="171"/>
        <v>4</v>
      </c>
      <c r="V2190" t="str">
        <f t="shared" si="172"/>
        <v>Senior</v>
      </c>
      <c r="W2190" t="str">
        <f t="shared" si="173"/>
        <v>Low Risk</v>
      </c>
      <c r="X2190" t="str">
        <f t="shared" si="174"/>
        <v>Competitive</v>
      </c>
    </row>
    <row r="2191" spans="1:24" x14ac:dyDescent="0.3">
      <c r="A2191" t="s">
        <v>2259</v>
      </c>
      <c r="B2191" t="s">
        <v>39</v>
      </c>
      <c r="C2191">
        <v>52</v>
      </c>
      <c r="D2191" t="s">
        <v>31</v>
      </c>
      <c r="E2191" t="s">
        <v>40</v>
      </c>
      <c r="F2191" t="s">
        <v>23</v>
      </c>
      <c r="G2191" t="s">
        <v>24</v>
      </c>
      <c r="H2191" t="s">
        <v>25</v>
      </c>
      <c r="I2191" t="s">
        <v>26</v>
      </c>
      <c r="J2191" t="s">
        <v>27</v>
      </c>
      <c r="K2191">
        <v>3</v>
      </c>
      <c r="L2191">
        <v>88429</v>
      </c>
      <c r="M2191" t="s">
        <v>51</v>
      </c>
      <c r="N2191">
        <v>3</v>
      </c>
      <c r="O2191">
        <v>3</v>
      </c>
      <c r="P2191">
        <v>31</v>
      </c>
      <c r="Q2191">
        <v>1</v>
      </c>
      <c r="R2191" s="1">
        <v>44115</v>
      </c>
      <c r="S2191" t="s">
        <v>29</v>
      </c>
      <c r="T2191" t="str">
        <f t="shared" si="170"/>
        <v>Grade A</v>
      </c>
      <c r="U2191">
        <f t="shared" si="171"/>
        <v>4</v>
      </c>
      <c r="V2191" t="str">
        <f t="shared" si="172"/>
        <v>Junior</v>
      </c>
      <c r="W2191" t="str">
        <f t="shared" si="173"/>
        <v>Low Risk</v>
      </c>
      <c r="X2191" t="str">
        <f t="shared" si="174"/>
        <v>Competitive</v>
      </c>
    </row>
    <row r="2192" spans="1:24" x14ac:dyDescent="0.3">
      <c r="A2192" t="s">
        <v>2260</v>
      </c>
      <c r="B2192" t="s">
        <v>20</v>
      </c>
      <c r="C2192">
        <v>38</v>
      </c>
      <c r="D2192" t="s">
        <v>47</v>
      </c>
      <c r="E2192" t="s">
        <v>22</v>
      </c>
      <c r="F2192" t="s">
        <v>75</v>
      </c>
      <c r="G2192" t="s">
        <v>42</v>
      </c>
      <c r="H2192" t="s">
        <v>76</v>
      </c>
      <c r="I2192" t="s">
        <v>96</v>
      </c>
      <c r="J2192" t="s">
        <v>44</v>
      </c>
      <c r="K2192">
        <v>13</v>
      </c>
      <c r="L2192">
        <v>116982</v>
      </c>
      <c r="M2192" t="s">
        <v>36</v>
      </c>
      <c r="N2192">
        <v>4</v>
      </c>
      <c r="O2192">
        <v>2</v>
      </c>
      <c r="P2192">
        <v>27</v>
      </c>
      <c r="Q2192">
        <v>3</v>
      </c>
      <c r="R2192" s="1">
        <v>40440</v>
      </c>
      <c r="S2192" t="s">
        <v>29</v>
      </c>
      <c r="T2192" t="str">
        <f t="shared" si="170"/>
        <v>Grade A</v>
      </c>
      <c r="U2192">
        <f t="shared" si="171"/>
        <v>1</v>
      </c>
      <c r="V2192" t="str">
        <f t="shared" si="172"/>
        <v>Senior</v>
      </c>
      <c r="W2192" t="str">
        <f t="shared" si="173"/>
        <v>Medium Risk</v>
      </c>
      <c r="X2192" t="str">
        <f t="shared" si="174"/>
        <v>Overpaid</v>
      </c>
    </row>
    <row r="2193" spans="1:24" x14ac:dyDescent="0.3">
      <c r="A2193" t="s">
        <v>2261</v>
      </c>
      <c r="B2193" t="s">
        <v>39</v>
      </c>
      <c r="C2193">
        <v>30</v>
      </c>
      <c r="D2193" t="s">
        <v>57</v>
      </c>
      <c r="E2193" t="s">
        <v>22</v>
      </c>
      <c r="F2193" t="s">
        <v>32</v>
      </c>
      <c r="G2193" t="s">
        <v>24</v>
      </c>
      <c r="H2193" t="s">
        <v>34</v>
      </c>
      <c r="I2193" t="s">
        <v>35</v>
      </c>
      <c r="J2193" t="s">
        <v>27</v>
      </c>
      <c r="K2193">
        <v>13</v>
      </c>
      <c r="L2193">
        <v>93615</v>
      </c>
      <c r="M2193" t="s">
        <v>36</v>
      </c>
      <c r="N2193">
        <v>4</v>
      </c>
      <c r="O2193">
        <v>4</v>
      </c>
      <c r="P2193">
        <v>31</v>
      </c>
      <c r="Q2193">
        <v>0</v>
      </c>
      <c r="R2193" s="1">
        <v>40526</v>
      </c>
      <c r="S2193" t="s">
        <v>37</v>
      </c>
      <c r="T2193" t="str">
        <f t="shared" si="170"/>
        <v>Grade A</v>
      </c>
      <c r="U2193">
        <f t="shared" si="171"/>
        <v>1</v>
      </c>
      <c r="V2193" t="str">
        <f t="shared" si="172"/>
        <v>Senior</v>
      </c>
      <c r="W2193" t="str">
        <f t="shared" si="173"/>
        <v>Already Left</v>
      </c>
      <c r="X2193" t="str">
        <f t="shared" si="174"/>
        <v>Overpaid</v>
      </c>
    </row>
    <row r="2194" spans="1:24" x14ac:dyDescent="0.3">
      <c r="A2194" t="s">
        <v>2262</v>
      </c>
      <c r="B2194" t="s">
        <v>20</v>
      </c>
      <c r="C2194">
        <v>44</v>
      </c>
      <c r="D2194" t="s">
        <v>57</v>
      </c>
      <c r="E2194" t="s">
        <v>22</v>
      </c>
      <c r="F2194" t="s">
        <v>32</v>
      </c>
      <c r="G2194" t="s">
        <v>63</v>
      </c>
      <c r="H2194" t="s">
        <v>25</v>
      </c>
      <c r="I2194" t="s">
        <v>80</v>
      </c>
      <c r="J2194" t="s">
        <v>60</v>
      </c>
      <c r="K2194">
        <v>15</v>
      </c>
      <c r="L2194">
        <v>76248</v>
      </c>
      <c r="M2194" t="s">
        <v>36</v>
      </c>
      <c r="N2194">
        <v>1</v>
      </c>
      <c r="O2194">
        <v>1</v>
      </c>
      <c r="P2194">
        <v>55</v>
      </c>
      <c r="Q2194">
        <v>1</v>
      </c>
      <c r="R2194" s="1">
        <v>39783</v>
      </c>
      <c r="S2194" t="s">
        <v>37</v>
      </c>
      <c r="T2194" t="str">
        <f t="shared" si="170"/>
        <v>Grade B</v>
      </c>
      <c r="U2194">
        <f t="shared" si="171"/>
        <v>1</v>
      </c>
      <c r="V2194" t="str">
        <f t="shared" si="172"/>
        <v>Senior</v>
      </c>
      <c r="W2194" t="str">
        <f t="shared" si="173"/>
        <v>Already Left</v>
      </c>
      <c r="X2194" t="str">
        <f t="shared" si="174"/>
        <v>Fair</v>
      </c>
    </row>
    <row r="2195" spans="1:24" x14ac:dyDescent="0.3">
      <c r="A2195" t="s">
        <v>2263</v>
      </c>
      <c r="B2195" t="s">
        <v>39</v>
      </c>
      <c r="C2195">
        <v>36</v>
      </c>
      <c r="D2195" t="s">
        <v>57</v>
      </c>
      <c r="E2195" t="s">
        <v>48</v>
      </c>
      <c r="F2195" t="s">
        <v>32</v>
      </c>
      <c r="G2195" t="s">
        <v>58</v>
      </c>
      <c r="H2195" t="s">
        <v>83</v>
      </c>
      <c r="I2195" t="s">
        <v>50</v>
      </c>
      <c r="J2195" t="s">
        <v>44</v>
      </c>
      <c r="K2195">
        <v>4</v>
      </c>
      <c r="L2195">
        <v>101623</v>
      </c>
      <c r="M2195" t="s">
        <v>36</v>
      </c>
      <c r="N2195">
        <v>2</v>
      </c>
      <c r="O2195">
        <v>1</v>
      </c>
      <c r="P2195">
        <v>26</v>
      </c>
      <c r="Q2195">
        <v>3</v>
      </c>
      <c r="R2195" s="1">
        <v>43589</v>
      </c>
      <c r="S2195" t="s">
        <v>37</v>
      </c>
      <c r="T2195" t="str">
        <f t="shared" si="170"/>
        <v>Grade A</v>
      </c>
      <c r="U2195">
        <f t="shared" si="171"/>
        <v>1</v>
      </c>
      <c r="V2195" t="str">
        <f t="shared" si="172"/>
        <v>Junior</v>
      </c>
      <c r="W2195" t="str">
        <f t="shared" si="173"/>
        <v>Already Left</v>
      </c>
      <c r="X2195" t="str">
        <f t="shared" si="174"/>
        <v>Overpaid</v>
      </c>
    </row>
    <row r="2196" spans="1:24" x14ac:dyDescent="0.3">
      <c r="A2196" t="s">
        <v>2264</v>
      </c>
      <c r="B2196" t="s">
        <v>20</v>
      </c>
      <c r="C2196">
        <v>45</v>
      </c>
      <c r="D2196" t="s">
        <v>88</v>
      </c>
      <c r="E2196" t="s">
        <v>40</v>
      </c>
      <c r="F2196" t="s">
        <v>62</v>
      </c>
      <c r="G2196" t="s">
        <v>66</v>
      </c>
      <c r="H2196" t="s">
        <v>83</v>
      </c>
      <c r="I2196" t="s">
        <v>59</v>
      </c>
      <c r="J2196" t="s">
        <v>60</v>
      </c>
      <c r="K2196">
        <v>9</v>
      </c>
      <c r="L2196">
        <v>44693</v>
      </c>
      <c r="M2196" t="s">
        <v>45</v>
      </c>
      <c r="N2196">
        <v>1</v>
      </c>
      <c r="O2196">
        <v>2</v>
      </c>
      <c r="P2196">
        <v>62</v>
      </c>
      <c r="Q2196">
        <v>0</v>
      </c>
      <c r="R2196" s="1">
        <v>41657</v>
      </c>
      <c r="S2196" t="s">
        <v>29</v>
      </c>
      <c r="T2196" t="str">
        <f t="shared" si="170"/>
        <v>Grade C</v>
      </c>
      <c r="U2196">
        <f t="shared" si="171"/>
        <v>2</v>
      </c>
      <c r="V2196" t="str">
        <f t="shared" si="172"/>
        <v>Mid Level</v>
      </c>
      <c r="W2196" t="str">
        <f t="shared" si="173"/>
        <v>Medium Risk</v>
      </c>
      <c r="X2196" t="str">
        <f t="shared" si="174"/>
        <v>Fair</v>
      </c>
    </row>
    <row r="2197" spans="1:24" x14ac:dyDescent="0.3">
      <c r="A2197" t="s">
        <v>2265</v>
      </c>
      <c r="B2197" t="s">
        <v>39</v>
      </c>
      <c r="C2197">
        <v>29</v>
      </c>
      <c r="D2197" t="s">
        <v>88</v>
      </c>
      <c r="E2197" t="s">
        <v>40</v>
      </c>
      <c r="F2197" t="s">
        <v>23</v>
      </c>
      <c r="G2197" t="s">
        <v>58</v>
      </c>
      <c r="H2197" t="s">
        <v>76</v>
      </c>
      <c r="I2197" t="s">
        <v>50</v>
      </c>
      <c r="J2197" t="s">
        <v>44</v>
      </c>
      <c r="K2197">
        <v>3</v>
      </c>
      <c r="L2197">
        <v>99375</v>
      </c>
      <c r="M2197" t="s">
        <v>28</v>
      </c>
      <c r="N2197">
        <v>3</v>
      </c>
      <c r="O2197">
        <v>3</v>
      </c>
      <c r="P2197">
        <v>33</v>
      </c>
      <c r="Q2197">
        <v>1</v>
      </c>
      <c r="R2197" s="1">
        <v>44154</v>
      </c>
      <c r="S2197" t="s">
        <v>29</v>
      </c>
      <c r="T2197" t="str">
        <f t="shared" si="170"/>
        <v>Grade A</v>
      </c>
      <c r="U2197">
        <f t="shared" si="171"/>
        <v>3</v>
      </c>
      <c r="V2197" t="str">
        <f t="shared" si="172"/>
        <v>Junior</v>
      </c>
      <c r="W2197" t="str">
        <f t="shared" si="173"/>
        <v>Medium Risk</v>
      </c>
      <c r="X2197" t="str">
        <f t="shared" si="174"/>
        <v>Competitive</v>
      </c>
    </row>
    <row r="2198" spans="1:24" x14ac:dyDescent="0.3">
      <c r="A2198" t="s">
        <v>2266</v>
      </c>
      <c r="B2198" t="s">
        <v>20</v>
      </c>
      <c r="C2198">
        <v>55</v>
      </c>
      <c r="D2198" t="s">
        <v>57</v>
      </c>
      <c r="E2198" t="s">
        <v>48</v>
      </c>
      <c r="F2198" t="s">
        <v>65</v>
      </c>
      <c r="G2198" t="s">
        <v>58</v>
      </c>
      <c r="H2198" t="s">
        <v>34</v>
      </c>
      <c r="I2198" t="s">
        <v>54</v>
      </c>
      <c r="J2198" t="s">
        <v>27</v>
      </c>
      <c r="K2198">
        <v>13</v>
      </c>
      <c r="L2198">
        <v>105305</v>
      </c>
      <c r="M2198" t="s">
        <v>36</v>
      </c>
      <c r="N2198">
        <v>1</v>
      </c>
      <c r="O2198">
        <v>4</v>
      </c>
      <c r="P2198">
        <v>56</v>
      </c>
      <c r="Q2198">
        <v>3</v>
      </c>
      <c r="R2198" s="1">
        <v>40509</v>
      </c>
      <c r="S2198" t="s">
        <v>37</v>
      </c>
      <c r="T2198" t="str">
        <f t="shared" si="170"/>
        <v>Grade A</v>
      </c>
      <c r="U2198">
        <f t="shared" si="171"/>
        <v>1</v>
      </c>
      <c r="V2198" t="str">
        <f t="shared" si="172"/>
        <v>Senior</v>
      </c>
      <c r="W2198" t="str">
        <f t="shared" si="173"/>
        <v>Already Left</v>
      </c>
      <c r="X2198" t="str">
        <f t="shared" si="174"/>
        <v>Overpaid</v>
      </c>
    </row>
    <row r="2199" spans="1:24" x14ac:dyDescent="0.3">
      <c r="A2199" t="s">
        <v>2267</v>
      </c>
      <c r="B2199" t="s">
        <v>39</v>
      </c>
      <c r="C2199">
        <v>49</v>
      </c>
      <c r="D2199" t="s">
        <v>21</v>
      </c>
      <c r="E2199" t="s">
        <v>40</v>
      </c>
      <c r="F2199" t="s">
        <v>23</v>
      </c>
      <c r="G2199" t="s">
        <v>58</v>
      </c>
      <c r="H2199" t="s">
        <v>67</v>
      </c>
      <c r="I2199" t="s">
        <v>54</v>
      </c>
      <c r="J2199" t="s">
        <v>27</v>
      </c>
      <c r="K2199">
        <v>4</v>
      </c>
      <c r="L2199">
        <v>101048</v>
      </c>
      <c r="M2199" t="s">
        <v>28</v>
      </c>
      <c r="N2199">
        <v>3</v>
      </c>
      <c r="O2199">
        <v>1</v>
      </c>
      <c r="P2199">
        <v>69</v>
      </c>
      <c r="Q2199">
        <v>2</v>
      </c>
      <c r="R2199" s="1">
        <v>43557</v>
      </c>
      <c r="S2199" t="s">
        <v>29</v>
      </c>
      <c r="T2199" t="str">
        <f t="shared" si="170"/>
        <v>Grade A</v>
      </c>
      <c r="U2199">
        <f t="shared" si="171"/>
        <v>3</v>
      </c>
      <c r="V2199" t="str">
        <f t="shared" si="172"/>
        <v>Junior</v>
      </c>
      <c r="W2199" t="str">
        <f t="shared" si="173"/>
        <v>Medium Risk</v>
      </c>
      <c r="X2199" t="str">
        <f t="shared" si="174"/>
        <v>Competitive</v>
      </c>
    </row>
    <row r="2200" spans="1:24" x14ac:dyDescent="0.3">
      <c r="A2200" t="s">
        <v>2268</v>
      </c>
      <c r="B2200" t="s">
        <v>20</v>
      </c>
      <c r="C2200">
        <v>53</v>
      </c>
      <c r="D2200" t="s">
        <v>31</v>
      </c>
      <c r="E2200" t="s">
        <v>40</v>
      </c>
      <c r="F2200" t="s">
        <v>53</v>
      </c>
      <c r="G2200" t="s">
        <v>58</v>
      </c>
      <c r="H2200" t="s">
        <v>25</v>
      </c>
      <c r="I2200" t="s">
        <v>50</v>
      </c>
      <c r="J2200" t="s">
        <v>44</v>
      </c>
      <c r="K2200">
        <v>4</v>
      </c>
      <c r="L2200">
        <v>84542</v>
      </c>
      <c r="M2200" t="s">
        <v>51</v>
      </c>
      <c r="N2200">
        <v>4</v>
      </c>
      <c r="O2200">
        <v>3</v>
      </c>
      <c r="P2200">
        <v>53</v>
      </c>
      <c r="Q2200">
        <v>2</v>
      </c>
      <c r="R2200" s="1">
        <v>43570</v>
      </c>
      <c r="S2200" t="s">
        <v>29</v>
      </c>
      <c r="T2200" t="str">
        <f t="shared" si="170"/>
        <v>Grade A</v>
      </c>
      <c r="U2200">
        <f t="shared" si="171"/>
        <v>4</v>
      </c>
      <c r="V2200" t="str">
        <f t="shared" si="172"/>
        <v>Junior</v>
      </c>
      <c r="W2200" t="str">
        <f t="shared" si="173"/>
        <v>Low Risk</v>
      </c>
      <c r="X2200" t="str">
        <f t="shared" si="174"/>
        <v>Competitive</v>
      </c>
    </row>
    <row r="2201" spans="1:24" x14ac:dyDescent="0.3">
      <c r="A2201" t="s">
        <v>2269</v>
      </c>
      <c r="B2201" t="s">
        <v>20</v>
      </c>
      <c r="C2201">
        <v>33</v>
      </c>
      <c r="D2201" t="s">
        <v>47</v>
      </c>
      <c r="E2201" t="s">
        <v>48</v>
      </c>
      <c r="F2201" t="s">
        <v>65</v>
      </c>
      <c r="G2201" t="s">
        <v>66</v>
      </c>
      <c r="H2201" t="s">
        <v>34</v>
      </c>
      <c r="I2201" t="s">
        <v>50</v>
      </c>
      <c r="J2201" t="s">
        <v>44</v>
      </c>
      <c r="K2201">
        <v>5</v>
      </c>
      <c r="L2201">
        <v>36412</v>
      </c>
      <c r="M2201" t="s">
        <v>51</v>
      </c>
      <c r="N2201">
        <v>4</v>
      </c>
      <c r="O2201">
        <v>3</v>
      </c>
      <c r="P2201">
        <v>60</v>
      </c>
      <c r="Q2201">
        <v>1</v>
      </c>
      <c r="R2201" s="1">
        <v>43151</v>
      </c>
      <c r="S2201" t="s">
        <v>29</v>
      </c>
      <c r="T2201" t="str">
        <f t="shared" si="170"/>
        <v>Grade C</v>
      </c>
      <c r="U2201">
        <f t="shared" si="171"/>
        <v>4</v>
      </c>
      <c r="V2201" t="str">
        <f t="shared" si="172"/>
        <v>Junior</v>
      </c>
      <c r="W2201" t="str">
        <f t="shared" si="173"/>
        <v>Low Risk</v>
      </c>
      <c r="X2201" t="str">
        <f t="shared" si="174"/>
        <v>Fair</v>
      </c>
    </row>
    <row r="2202" spans="1:24" x14ac:dyDescent="0.3">
      <c r="A2202" t="s">
        <v>2270</v>
      </c>
      <c r="B2202" t="s">
        <v>39</v>
      </c>
      <c r="C2202">
        <v>24</v>
      </c>
      <c r="D2202" t="s">
        <v>31</v>
      </c>
      <c r="E2202" t="s">
        <v>22</v>
      </c>
      <c r="F2202" t="s">
        <v>53</v>
      </c>
      <c r="G2202" t="s">
        <v>79</v>
      </c>
      <c r="H2202" t="s">
        <v>34</v>
      </c>
      <c r="I2202" t="s">
        <v>96</v>
      </c>
      <c r="J2202" t="s">
        <v>44</v>
      </c>
      <c r="K2202">
        <v>6</v>
      </c>
      <c r="L2202">
        <v>59700</v>
      </c>
      <c r="M2202" t="s">
        <v>36</v>
      </c>
      <c r="N2202">
        <v>3</v>
      </c>
      <c r="O2202">
        <v>3</v>
      </c>
      <c r="P2202">
        <v>15</v>
      </c>
      <c r="Q2202">
        <v>2</v>
      </c>
      <c r="R2202" s="1">
        <v>42749</v>
      </c>
      <c r="S2202" t="s">
        <v>37</v>
      </c>
      <c r="T2202" t="str">
        <f t="shared" si="170"/>
        <v>Grade B</v>
      </c>
      <c r="U2202">
        <f t="shared" si="171"/>
        <v>1</v>
      </c>
      <c r="V2202" t="str">
        <f t="shared" si="172"/>
        <v>Mid Level</v>
      </c>
      <c r="W2202" t="str">
        <f t="shared" si="173"/>
        <v>Already Left</v>
      </c>
      <c r="X2202" t="str">
        <f t="shared" si="174"/>
        <v>Fair</v>
      </c>
    </row>
    <row r="2203" spans="1:24" x14ac:dyDescent="0.3">
      <c r="A2203" t="s">
        <v>2271</v>
      </c>
      <c r="B2203" t="s">
        <v>39</v>
      </c>
      <c r="C2203">
        <v>40</v>
      </c>
      <c r="D2203" t="s">
        <v>21</v>
      </c>
      <c r="E2203" t="s">
        <v>48</v>
      </c>
      <c r="F2203" t="s">
        <v>53</v>
      </c>
      <c r="G2203" t="s">
        <v>63</v>
      </c>
      <c r="H2203" t="s">
        <v>83</v>
      </c>
      <c r="I2203" t="s">
        <v>43</v>
      </c>
      <c r="J2203" t="s">
        <v>44</v>
      </c>
      <c r="K2203">
        <v>15</v>
      </c>
      <c r="L2203">
        <v>73545</v>
      </c>
      <c r="M2203" t="s">
        <v>36</v>
      </c>
      <c r="N2203">
        <v>4</v>
      </c>
      <c r="O2203">
        <v>4</v>
      </c>
      <c r="P2203">
        <v>42</v>
      </c>
      <c r="Q2203">
        <v>0</v>
      </c>
      <c r="R2203" s="1">
        <v>39508</v>
      </c>
      <c r="S2203" t="s">
        <v>37</v>
      </c>
      <c r="T2203" t="str">
        <f t="shared" si="170"/>
        <v>Grade B</v>
      </c>
      <c r="U2203">
        <f t="shared" si="171"/>
        <v>1</v>
      </c>
      <c r="V2203" t="str">
        <f t="shared" si="172"/>
        <v>Senior</v>
      </c>
      <c r="W2203" t="str">
        <f t="shared" si="173"/>
        <v>Already Left</v>
      </c>
      <c r="X2203" t="str">
        <f t="shared" si="174"/>
        <v>Fair</v>
      </c>
    </row>
    <row r="2204" spans="1:24" x14ac:dyDescent="0.3">
      <c r="A2204" t="s">
        <v>2272</v>
      </c>
      <c r="B2204" t="s">
        <v>39</v>
      </c>
      <c r="C2204">
        <v>27</v>
      </c>
      <c r="D2204" t="s">
        <v>21</v>
      </c>
      <c r="E2204" t="s">
        <v>48</v>
      </c>
      <c r="F2204" t="s">
        <v>75</v>
      </c>
      <c r="G2204" t="s">
        <v>66</v>
      </c>
      <c r="H2204" t="s">
        <v>34</v>
      </c>
      <c r="I2204" t="s">
        <v>96</v>
      </c>
      <c r="J2204" t="s">
        <v>44</v>
      </c>
      <c r="K2204">
        <v>9</v>
      </c>
      <c r="L2204">
        <v>57631</v>
      </c>
      <c r="M2204" t="s">
        <v>45</v>
      </c>
      <c r="N2204">
        <v>4</v>
      </c>
      <c r="O2204">
        <v>4</v>
      </c>
      <c r="P2204">
        <v>29</v>
      </c>
      <c r="Q2204">
        <v>3</v>
      </c>
      <c r="R2204" s="1">
        <v>41690</v>
      </c>
      <c r="S2204" t="s">
        <v>29</v>
      </c>
      <c r="T2204" t="str">
        <f t="shared" si="170"/>
        <v>Grade B</v>
      </c>
      <c r="U2204">
        <f t="shared" si="171"/>
        <v>2</v>
      </c>
      <c r="V2204" t="str">
        <f t="shared" si="172"/>
        <v>Mid Level</v>
      </c>
      <c r="W2204" t="str">
        <f t="shared" si="173"/>
        <v>Medium Risk</v>
      </c>
      <c r="X2204" t="str">
        <f t="shared" si="174"/>
        <v>Fair</v>
      </c>
    </row>
    <row r="2205" spans="1:24" x14ac:dyDescent="0.3">
      <c r="A2205" t="s">
        <v>2273</v>
      </c>
      <c r="B2205" t="s">
        <v>20</v>
      </c>
      <c r="C2205">
        <v>35</v>
      </c>
      <c r="D2205" t="s">
        <v>57</v>
      </c>
      <c r="E2205" t="s">
        <v>48</v>
      </c>
      <c r="F2205" t="s">
        <v>41</v>
      </c>
      <c r="G2205" t="s">
        <v>49</v>
      </c>
      <c r="H2205" t="s">
        <v>34</v>
      </c>
      <c r="I2205" t="s">
        <v>80</v>
      </c>
      <c r="J2205" t="s">
        <v>60</v>
      </c>
      <c r="K2205">
        <v>10</v>
      </c>
      <c r="L2205">
        <v>78974</v>
      </c>
      <c r="M2205" t="s">
        <v>36</v>
      </c>
      <c r="N2205">
        <v>1</v>
      </c>
      <c r="O2205">
        <v>1</v>
      </c>
      <c r="P2205">
        <v>30</v>
      </c>
      <c r="Q2205">
        <v>2</v>
      </c>
      <c r="R2205" s="1">
        <v>41330</v>
      </c>
      <c r="S2205" t="s">
        <v>29</v>
      </c>
      <c r="T2205" t="str">
        <f t="shared" si="170"/>
        <v>Grade B</v>
      </c>
      <c r="U2205">
        <f t="shared" si="171"/>
        <v>1</v>
      </c>
      <c r="V2205" t="str">
        <f t="shared" si="172"/>
        <v>Mid Level</v>
      </c>
      <c r="W2205" t="str">
        <f t="shared" si="173"/>
        <v>Medium Risk</v>
      </c>
      <c r="X2205" t="str">
        <f t="shared" si="174"/>
        <v>Fair</v>
      </c>
    </row>
    <row r="2206" spans="1:24" x14ac:dyDescent="0.3">
      <c r="A2206" t="s">
        <v>2274</v>
      </c>
      <c r="B2206" t="s">
        <v>20</v>
      </c>
      <c r="C2206">
        <v>37</v>
      </c>
      <c r="D2206" t="s">
        <v>57</v>
      </c>
      <c r="E2206" t="s">
        <v>40</v>
      </c>
      <c r="F2206" t="s">
        <v>32</v>
      </c>
      <c r="G2206" t="s">
        <v>42</v>
      </c>
      <c r="H2206" t="s">
        <v>83</v>
      </c>
      <c r="I2206" t="s">
        <v>54</v>
      </c>
      <c r="J2206" t="s">
        <v>27</v>
      </c>
      <c r="K2206">
        <v>12</v>
      </c>
      <c r="L2206">
        <v>120677</v>
      </c>
      <c r="M2206" t="s">
        <v>36</v>
      </c>
      <c r="N2206">
        <v>1</v>
      </c>
      <c r="O2206">
        <v>3</v>
      </c>
      <c r="P2206">
        <v>66</v>
      </c>
      <c r="Q2206">
        <v>0</v>
      </c>
      <c r="R2206" s="1">
        <v>40837</v>
      </c>
      <c r="S2206" t="s">
        <v>29</v>
      </c>
      <c r="T2206" t="str">
        <f t="shared" si="170"/>
        <v>Grade A</v>
      </c>
      <c r="U2206">
        <f t="shared" si="171"/>
        <v>1</v>
      </c>
      <c r="V2206" t="str">
        <f t="shared" si="172"/>
        <v>Senior</v>
      </c>
      <c r="W2206" t="str">
        <f t="shared" si="173"/>
        <v>Medium Risk</v>
      </c>
      <c r="X2206" t="str">
        <f t="shared" si="174"/>
        <v>Overpaid</v>
      </c>
    </row>
    <row r="2207" spans="1:24" x14ac:dyDescent="0.3">
      <c r="A2207" t="s">
        <v>2275</v>
      </c>
      <c r="B2207" t="s">
        <v>20</v>
      </c>
      <c r="C2207">
        <v>47</v>
      </c>
      <c r="D2207" t="s">
        <v>88</v>
      </c>
      <c r="E2207" t="s">
        <v>22</v>
      </c>
      <c r="F2207" t="s">
        <v>23</v>
      </c>
      <c r="G2207" t="s">
        <v>66</v>
      </c>
      <c r="H2207" t="s">
        <v>76</v>
      </c>
      <c r="I2207" t="s">
        <v>80</v>
      </c>
      <c r="J2207" t="s">
        <v>60</v>
      </c>
      <c r="K2207">
        <v>7</v>
      </c>
      <c r="L2207">
        <v>41237</v>
      </c>
      <c r="M2207" t="s">
        <v>28</v>
      </c>
      <c r="N2207">
        <v>4</v>
      </c>
      <c r="O2207">
        <v>2</v>
      </c>
      <c r="P2207">
        <v>16</v>
      </c>
      <c r="Q2207">
        <v>1</v>
      </c>
      <c r="R2207" s="1">
        <v>42509</v>
      </c>
      <c r="S2207" t="s">
        <v>29</v>
      </c>
      <c r="T2207" t="str">
        <f t="shared" si="170"/>
        <v>Grade C</v>
      </c>
      <c r="U2207">
        <f t="shared" si="171"/>
        <v>3</v>
      </c>
      <c r="V2207" t="str">
        <f t="shared" si="172"/>
        <v>Mid Level</v>
      </c>
      <c r="W2207" t="str">
        <f t="shared" si="173"/>
        <v>Medium Risk</v>
      </c>
      <c r="X2207" t="str">
        <f t="shared" si="174"/>
        <v>Fair</v>
      </c>
    </row>
    <row r="2208" spans="1:24" x14ac:dyDescent="0.3">
      <c r="A2208" t="s">
        <v>2276</v>
      </c>
      <c r="B2208" t="s">
        <v>20</v>
      </c>
      <c r="C2208">
        <v>52</v>
      </c>
      <c r="D2208" t="s">
        <v>47</v>
      </c>
      <c r="E2208" t="s">
        <v>22</v>
      </c>
      <c r="F2208" t="s">
        <v>78</v>
      </c>
      <c r="G2208" t="s">
        <v>33</v>
      </c>
      <c r="H2208" t="s">
        <v>67</v>
      </c>
      <c r="I2208" t="s">
        <v>68</v>
      </c>
      <c r="J2208" t="s">
        <v>60</v>
      </c>
      <c r="K2208">
        <v>13</v>
      </c>
      <c r="L2208">
        <v>79860</v>
      </c>
      <c r="M2208" t="s">
        <v>45</v>
      </c>
      <c r="N2208">
        <v>2</v>
      </c>
      <c r="O2208">
        <v>2</v>
      </c>
      <c r="P2208">
        <v>10</v>
      </c>
      <c r="Q2208">
        <v>0</v>
      </c>
      <c r="R2208" s="1">
        <v>40361</v>
      </c>
      <c r="S2208" t="s">
        <v>29</v>
      </c>
      <c r="T2208" t="str">
        <f t="shared" si="170"/>
        <v>Grade B</v>
      </c>
      <c r="U2208">
        <f t="shared" si="171"/>
        <v>2</v>
      </c>
      <c r="V2208" t="str">
        <f t="shared" si="172"/>
        <v>Senior</v>
      </c>
      <c r="W2208" t="str">
        <f t="shared" si="173"/>
        <v>Medium Risk</v>
      </c>
      <c r="X2208" t="str">
        <f t="shared" si="174"/>
        <v>Fair</v>
      </c>
    </row>
    <row r="2209" spans="1:24" x14ac:dyDescent="0.3">
      <c r="A2209" t="s">
        <v>2277</v>
      </c>
      <c r="B2209" t="s">
        <v>20</v>
      </c>
      <c r="C2209">
        <v>33</v>
      </c>
      <c r="D2209" t="s">
        <v>31</v>
      </c>
      <c r="E2209" t="s">
        <v>48</v>
      </c>
      <c r="F2209" t="s">
        <v>65</v>
      </c>
      <c r="G2209" t="s">
        <v>79</v>
      </c>
      <c r="H2209" t="s">
        <v>76</v>
      </c>
      <c r="I2209" t="s">
        <v>35</v>
      </c>
      <c r="J2209" t="s">
        <v>27</v>
      </c>
      <c r="K2209">
        <v>13</v>
      </c>
      <c r="L2209">
        <v>68039</v>
      </c>
      <c r="M2209" t="s">
        <v>45</v>
      </c>
      <c r="N2209">
        <v>4</v>
      </c>
      <c r="O2209">
        <v>1</v>
      </c>
      <c r="P2209">
        <v>10</v>
      </c>
      <c r="Q2209">
        <v>0</v>
      </c>
      <c r="R2209" s="1">
        <v>40475</v>
      </c>
      <c r="S2209" t="s">
        <v>29</v>
      </c>
      <c r="T2209" t="str">
        <f t="shared" si="170"/>
        <v>Grade B</v>
      </c>
      <c r="U2209">
        <f t="shared" si="171"/>
        <v>2</v>
      </c>
      <c r="V2209" t="str">
        <f t="shared" si="172"/>
        <v>Senior</v>
      </c>
      <c r="W2209" t="str">
        <f t="shared" si="173"/>
        <v>Medium Risk</v>
      </c>
      <c r="X2209" t="str">
        <f t="shared" si="174"/>
        <v>Fair</v>
      </c>
    </row>
    <row r="2210" spans="1:24" x14ac:dyDescent="0.3">
      <c r="A2210" t="s">
        <v>2278</v>
      </c>
      <c r="B2210" t="s">
        <v>20</v>
      </c>
      <c r="C2210">
        <v>26</v>
      </c>
      <c r="D2210" t="s">
        <v>47</v>
      </c>
      <c r="E2210" t="s">
        <v>40</v>
      </c>
      <c r="F2210" t="s">
        <v>78</v>
      </c>
      <c r="G2210" t="s">
        <v>58</v>
      </c>
      <c r="H2210" t="s">
        <v>34</v>
      </c>
      <c r="I2210" t="s">
        <v>72</v>
      </c>
      <c r="J2210" t="s">
        <v>73</v>
      </c>
      <c r="K2210">
        <v>7</v>
      </c>
      <c r="L2210">
        <v>95735</v>
      </c>
      <c r="M2210" t="s">
        <v>28</v>
      </c>
      <c r="N2210">
        <v>4</v>
      </c>
      <c r="O2210">
        <v>3</v>
      </c>
      <c r="P2210">
        <v>34</v>
      </c>
      <c r="Q2210">
        <v>1</v>
      </c>
      <c r="R2210" s="1">
        <v>42634</v>
      </c>
      <c r="S2210" t="s">
        <v>37</v>
      </c>
      <c r="T2210" t="str">
        <f t="shared" si="170"/>
        <v>Grade A</v>
      </c>
      <c r="U2210">
        <f t="shared" si="171"/>
        <v>3</v>
      </c>
      <c r="V2210" t="str">
        <f t="shared" si="172"/>
        <v>Mid Level</v>
      </c>
      <c r="W2210" t="str">
        <f t="shared" si="173"/>
        <v>Already Left</v>
      </c>
      <c r="X2210" t="str">
        <f t="shared" si="174"/>
        <v>Competitive</v>
      </c>
    </row>
    <row r="2211" spans="1:24" x14ac:dyDescent="0.3">
      <c r="A2211" t="s">
        <v>2279</v>
      </c>
      <c r="B2211" t="s">
        <v>39</v>
      </c>
      <c r="C2211">
        <v>49</v>
      </c>
      <c r="D2211" t="s">
        <v>21</v>
      </c>
      <c r="E2211" t="s">
        <v>22</v>
      </c>
      <c r="F2211" t="s">
        <v>65</v>
      </c>
      <c r="G2211" t="s">
        <v>33</v>
      </c>
      <c r="H2211" t="s">
        <v>76</v>
      </c>
      <c r="I2211" t="s">
        <v>54</v>
      </c>
      <c r="J2211" t="s">
        <v>27</v>
      </c>
      <c r="K2211">
        <v>10</v>
      </c>
      <c r="L2211">
        <v>84456</v>
      </c>
      <c r="M2211" t="s">
        <v>45</v>
      </c>
      <c r="N2211">
        <v>4</v>
      </c>
      <c r="O2211">
        <v>3</v>
      </c>
      <c r="P2211">
        <v>58</v>
      </c>
      <c r="Q2211">
        <v>0</v>
      </c>
      <c r="R2211" s="1">
        <v>41387</v>
      </c>
      <c r="S2211" t="s">
        <v>37</v>
      </c>
      <c r="T2211" t="str">
        <f t="shared" si="170"/>
        <v>Grade A</v>
      </c>
      <c r="U2211">
        <f t="shared" si="171"/>
        <v>2</v>
      </c>
      <c r="V2211" t="str">
        <f t="shared" si="172"/>
        <v>Mid Level</v>
      </c>
      <c r="W2211" t="str">
        <f t="shared" si="173"/>
        <v>Already Left</v>
      </c>
      <c r="X2211" t="str">
        <f t="shared" si="174"/>
        <v>Fair</v>
      </c>
    </row>
    <row r="2212" spans="1:24" x14ac:dyDescent="0.3">
      <c r="A2212" t="s">
        <v>2280</v>
      </c>
      <c r="B2212" t="s">
        <v>20</v>
      </c>
      <c r="C2212">
        <v>41</v>
      </c>
      <c r="D2212" t="s">
        <v>31</v>
      </c>
      <c r="E2212" t="s">
        <v>22</v>
      </c>
      <c r="F2212" t="s">
        <v>32</v>
      </c>
      <c r="G2212" t="s">
        <v>58</v>
      </c>
      <c r="H2212" t="s">
        <v>67</v>
      </c>
      <c r="I2212" t="s">
        <v>80</v>
      </c>
      <c r="J2212" t="s">
        <v>60</v>
      </c>
      <c r="K2212">
        <v>1</v>
      </c>
      <c r="L2212">
        <v>86102</v>
      </c>
      <c r="M2212" t="s">
        <v>36</v>
      </c>
      <c r="N2212">
        <v>4</v>
      </c>
      <c r="O2212">
        <v>4</v>
      </c>
      <c r="P2212">
        <v>20</v>
      </c>
      <c r="Q2212">
        <v>3</v>
      </c>
      <c r="R2212" s="1">
        <v>44589</v>
      </c>
      <c r="S2212" t="s">
        <v>37</v>
      </c>
      <c r="T2212" t="str">
        <f t="shared" si="170"/>
        <v>Grade A</v>
      </c>
      <c r="U2212">
        <f t="shared" si="171"/>
        <v>1</v>
      </c>
      <c r="V2212" t="str">
        <f t="shared" si="172"/>
        <v>New Joiner</v>
      </c>
      <c r="W2212" t="str">
        <f t="shared" si="173"/>
        <v>Already Left</v>
      </c>
      <c r="X2212" t="str">
        <f t="shared" si="174"/>
        <v>Overpaid</v>
      </c>
    </row>
    <row r="2213" spans="1:24" x14ac:dyDescent="0.3">
      <c r="A2213" t="s">
        <v>2281</v>
      </c>
      <c r="B2213" t="s">
        <v>20</v>
      </c>
      <c r="C2213">
        <v>41</v>
      </c>
      <c r="D2213" t="s">
        <v>21</v>
      </c>
      <c r="E2213" t="s">
        <v>40</v>
      </c>
      <c r="F2213" t="s">
        <v>78</v>
      </c>
      <c r="G2213" t="s">
        <v>79</v>
      </c>
      <c r="H2213" t="s">
        <v>76</v>
      </c>
      <c r="I2213" t="s">
        <v>59</v>
      </c>
      <c r="J2213" t="s">
        <v>60</v>
      </c>
      <c r="K2213">
        <v>14</v>
      </c>
      <c r="L2213">
        <v>69723</v>
      </c>
      <c r="M2213" t="s">
        <v>28</v>
      </c>
      <c r="N2213">
        <v>3</v>
      </c>
      <c r="O2213">
        <v>3</v>
      </c>
      <c r="P2213">
        <v>57</v>
      </c>
      <c r="Q2213">
        <v>3</v>
      </c>
      <c r="R2213" s="1">
        <v>39820</v>
      </c>
      <c r="S2213" t="s">
        <v>29</v>
      </c>
      <c r="T2213" t="str">
        <f t="shared" si="170"/>
        <v>Grade B</v>
      </c>
      <c r="U2213">
        <f t="shared" si="171"/>
        <v>3</v>
      </c>
      <c r="V2213" t="str">
        <f t="shared" si="172"/>
        <v>Senior</v>
      </c>
      <c r="W2213" t="str">
        <f t="shared" si="173"/>
        <v>Medium Risk</v>
      </c>
      <c r="X2213" t="str">
        <f t="shared" si="174"/>
        <v>Competitive</v>
      </c>
    </row>
    <row r="2214" spans="1:24" x14ac:dyDescent="0.3">
      <c r="A2214" t="s">
        <v>2282</v>
      </c>
      <c r="B2214" t="s">
        <v>39</v>
      </c>
      <c r="C2214">
        <v>53</v>
      </c>
      <c r="D2214" t="s">
        <v>88</v>
      </c>
      <c r="E2214" t="s">
        <v>48</v>
      </c>
      <c r="F2214" t="s">
        <v>41</v>
      </c>
      <c r="G2214" t="s">
        <v>33</v>
      </c>
      <c r="H2214" t="s">
        <v>34</v>
      </c>
      <c r="I2214" t="s">
        <v>43</v>
      </c>
      <c r="J2214" t="s">
        <v>44</v>
      </c>
      <c r="K2214">
        <v>5</v>
      </c>
      <c r="L2214">
        <v>70079</v>
      </c>
      <c r="M2214" t="s">
        <v>28</v>
      </c>
      <c r="N2214">
        <v>2</v>
      </c>
      <c r="O2214">
        <v>1</v>
      </c>
      <c r="P2214">
        <v>42</v>
      </c>
      <c r="Q2214">
        <v>0</v>
      </c>
      <c r="R2214" s="1">
        <v>43327</v>
      </c>
      <c r="S2214" t="s">
        <v>37</v>
      </c>
      <c r="T2214" t="str">
        <f t="shared" si="170"/>
        <v>Grade B</v>
      </c>
      <c r="U2214">
        <f t="shared" si="171"/>
        <v>3</v>
      </c>
      <c r="V2214" t="str">
        <f t="shared" si="172"/>
        <v>Junior</v>
      </c>
      <c r="W2214" t="str">
        <f t="shared" si="173"/>
        <v>Already Left</v>
      </c>
      <c r="X2214" t="str">
        <f t="shared" si="174"/>
        <v>Competitive</v>
      </c>
    </row>
    <row r="2215" spans="1:24" x14ac:dyDescent="0.3">
      <c r="A2215" t="s">
        <v>2283</v>
      </c>
      <c r="B2215" t="s">
        <v>39</v>
      </c>
      <c r="C2215">
        <v>30</v>
      </c>
      <c r="D2215" t="s">
        <v>47</v>
      </c>
      <c r="E2215" t="s">
        <v>40</v>
      </c>
      <c r="F2215" t="s">
        <v>78</v>
      </c>
      <c r="G2215" t="s">
        <v>42</v>
      </c>
      <c r="H2215" t="s">
        <v>67</v>
      </c>
      <c r="I2215" t="s">
        <v>54</v>
      </c>
      <c r="J2215" t="s">
        <v>27</v>
      </c>
      <c r="K2215">
        <v>4</v>
      </c>
      <c r="L2215">
        <v>111741</v>
      </c>
      <c r="M2215" t="s">
        <v>36</v>
      </c>
      <c r="N2215">
        <v>2</v>
      </c>
      <c r="O2215">
        <v>2</v>
      </c>
      <c r="P2215">
        <v>25</v>
      </c>
      <c r="Q2215">
        <v>2</v>
      </c>
      <c r="R2215" s="1">
        <v>43508</v>
      </c>
      <c r="S2215" t="s">
        <v>37</v>
      </c>
      <c r="T2215" t="str">
        <f t="shared" si="170"/>
        <v>Grade A</v>
      </c>
      <c r="U2215">
        <f t="shared" si="171"/>
        <v>1</v>
      </c>
      <c r="V2215" t="str">
        <f t="shared" si="172"/>
        <v>Junior</v>
      </c>
      <c r="W2215" t="str">
        <f t="shared" si="173"/>
        <v>Already Left</v>
      </c>
      <c r="X2215" t="str">
        <f t="shared" si="174"/>
        <v>Overpaid</v>
      </c>
    </row>
    <row r="2216" spans="1:24" x14ac:dyDescent="0.3">
      <c r="A2216" t="s">
        <v>2284</v>
      </c>
      <c r="B2216" t="s">
        <v>39</v>
      </c>
      <c r="C2216">
        <v>40</v>
      </c>
      <c r="D2216" t="s">
        <v>31</v>
      </c>
      <c r="E2216" t="s">
        <v>40</v>
      </c>
      <c r="F2216" t="s">
        <v>23</v>
      </c>
      <c r="G2216" t="s">
        <v>79</v>
      </c>
      <c r="H2216" t="s">
        <v>83</v>
      </c>
      <c r="I2216" t="s">
        <v>54</v>
      </c>
      <c r="J2216" t="s">
        <v>27</v>
      </c>
      <c r="K2216">
        <v>12</v>
      </c>
      <c r="L2216">
        <v>60934</v>
      </c>
      <c r="M2216" t="s">
        <v>36</v>
      </c>
      <c r="N2216">
        <v>3</v>
      </c>
      <c r="O2216">
        <v>3</v>
      </c>
      <c r="P2216">
        <v>63</v>
      </c>
      <c r="Q2216">
        <v>3</v>
      </c>
      <c r="R2216" s="1">
        <v>40556</v>
      </c>
      <c r="S2216" t="s">
        <v>29</v>
      </c>
      <c r="T2216" t="str">
        <f t="shared" si="170"/>
        <v>Grade B</v>
      </c>
      <c r="U2216">
        <f t="shared" si="171"/>
        <v>1</v>
      </c>
      <c r="V2216" t="str">
        <f t="shared" si="172"/>
        <v>Senior</v>
      </c>
      <c r="W2216" t="str">
        <f t="shared" si="173"/>
        <v>Medium Risk</v>
      </c>
      <c r="X2216" t="str">
        <f t="shared" si="174"/>
        <v>Fair</v>
      </c>
    </row>
    <row r="2217" spans="1:24" x14ac:dyDescent="0.3">
      <c r="A2217" t="s">
        <v>2285</v>
      </c>
      <c r="B2217" t="s">
        <v>20</v>
      </c>
      <c r="C2217">
        <v>42</v>
      </c>
      <c r="D2217" t="s">
        <v>57</v>
      </c>
      <c r="E2217" t="s">
        <v>40</v>
      </c>
      <c r="F2217" t="s">
        <v>41</v>
      </c>
      <c r="G2217" t="s">
        <v>33</v>
      </c>
      <c r="H2217" t="s">
        <v>25</v>
      </c>
      <c r="I2217" t="s">
        <v>96</v>
      </c>
      <c r="J2217" t="s">
        <v>44</v>
      </c>
      <c r="K2217">
        <v>2</v>
      </c>
      <c r="L2217">
        <v>66447</v>
      </c>
      <c r="M2217" t="s">
        <v>45</v>
      </c>
      <c r="N2217">
        <v>2</v>
      </c>
      <c r="O2217">
        <v>1</v>
      </c>
      <c r="P2217">
        <v>22</v>
      </c>
      <c r="Q2217">
        <v>3</v>
      </c>
      <c r="R2217" s="1">
        <v>44559</v>
      </c>
      <c r="S2217" t="s">
        <v>29</v>
      </c>
      <c r="T2217" t="str">
        <f t="shared" si="170"/>
        <v>Grade B</v>
      </c>
      <c r="U2217">
        <f t="shared" si="171"/>
        <v>2</v>
      </c>
      <c r="V2217" t="str">
        <f t="shared" si="172"/>
        <v>New Joiner</v>
      </c>
      <c r="W2217" t="str">
        <f t="shared" si="173"/>
        <v>Medium Risk</v>
      </c>
      <c r="X2217" t="str">
        <f t="shared" si="174"/>
        <v>Fair</v>
      </c>
    </row>
    <row r="2218" spans="1:24" x14ac:dyDescent="0.3">
      <c r="A2218" t="s">
        <v>2286</v>
      </c>
      <c r="B2218" t="s">
        <v>20</v>
      </c>
      <c r="C2218">
        <v>47</v>
      </c>
      <c r="D2218" t="s">
        <v>31</v>
      </c>
      <c r="E2218" t="s">
        <v>48</v>
      </c>
      <c r="F2218" t="s">
        <v>65</v>
      </c>
      <c r="G2218" t="s">
        <v>33</v>
      </c>
      <c r="H2218" t="s">
        <v>76</v>
      </c>
      <c r="I2218" t="s">
        <v>80</v>
      </c>
      <c r="J2218" t="s">
        <v>60</v>
      </c>
      <c r="K2218">
        <v>8</v>
      </c>
      <c r="L2218">
        <v>79090</v>
      </c>
      <c r="M2218" t="s">
        <v>36</v>
      </c>
      <c r="N2218">
        <v>4</v>
      </c>
      <c r="O2218">
        <v>1</v>
      </c>
      <c r="P2218">
        <v>55</v>
      </c>
      <c r="Q2218">
        <v>1</v>
      </c>
      <c r="R2218" s="1">
        <v>42151</v>
      </c>
      <c r="S2218" t="s">
        <v>37</v>
      </c>
      <c r="T2218" t="str">
        <f t="shared" si="170"/>
        <v>Grade B</v>
      </c>
      <c r="U2218">
        <f t="shared" si="171"/>
        <v>1</v>
      </c>
      <c r="V2218" t="str">
        <f t="shared" si="172"/>
        <v>Mid Level</v>
      </c>
      <c r="W2218" t="str">
        <f t="shared" si="173"/>
        <v>Already Left</v>
      </c>
      <c r="X2218" t="str">
        <f t="shared" si="174"/>
        <v>Fair</v>
      </c>
    </row>
    <row r="2219" spans="1:24" x14ac:dyDescent="0.3">
      <c r="A2219" t="s">
        <v>2287</v>
      </c>
      <c r="B2219" t="s">
        <v>20</v>
      </c>
      <c r="C2219">
        <v>25</v>
      </c>
      <c r="D2219" t="s">
        <v>31</v>
      </c>
      <c r="E2219" t="s">
        <v>40</v>
      </c>
      <c r="F2219" t="s">
        <v>65</v>
      </c>
      <c r="G2219" t="s">
        <v>66</v>
      </c>
      <c r="H2219" t="s">
        <v>67</v>
      </c>
      <c r="I2219" t="s">
        <v>50</v>
      </c>
      <c r="J2219" t="s">
        <v>44</v>
      </c>
      <c r="K2219">
        <v>5</v>
      </c>
      <c r="L2219">
        <v>45507</v>
      </c>
      <c r="M2219" t="s">
        <v>36</v>
      </c>
      <c r="N2219">
        <v>4</v>
      </c>
      <c r="O2219">
        <v>2</v>
      </c>
      <c r="P2219">
        <v>74</v>
      </c>
      <c r="Q2219">
        <v>3</v>
      </c>
      <c r="R2219" s="1">
        <v>43216</v>
      </c>
      <c r="S2219" t="s">
        <v>37</v>
      </c>
      <c r="T2219" t="str">
        <f t="shared" si="170"/>
        <v>Grade C</v>
      </c>
      <c r="U2219">
        <f t="shared" si="171"/>
        <v>1</v>
      </c>
      <c r="V2219" t="str">
        <f t="shared" si="172"/>
        <v>Junior</v>
      </c>
      <c r="W2219" t="str">
        <f t="shared" si="173"/>
        <v>Already Left</v>
      </c>
      <c r="X2219" t="str">
        <f t="shared" si="174"/>
        <v>Fair</v>
      </c>
    </row>
    <row r="2220" spans="1:24" x14ac:dyDescent="0.3">
      <c r="A2220" t="s">
        <v>2288</v>
      </c>
      <c r="B2220" t="s">
        <v>20</v>
      </c>
      <c r="C2220">
        <v>26</v>
      </c>
      <c r="D2220" t="s">
        <v>88</v>
      </c>
      <c r="E2220" t="s">
        <v>48</v>
      </c>
      <c r="F2220" t="s">
        <v>78</v>
      </c>
      <c r="G2220" t="s">
        <v>42</v>
      </c>
      <c r="H2220" t="s">
        <v>25</v>
      </c>
      <c r="I2220" t="s">
        <v>68</v>
      </c>
      <c r="J2220" t="s">
        <v>60</v>
      </c>
      <c r="K2220">
        <v>12</v>
      </c>
      <c r="L2220">
        <v>113644</v>
      </c>
      <c r="M2220" t="s">
        <v>45</v>
      </c>
      <c r="N2220">
        <v>1</v>
      </c>
      <c r="O2220">
        <v>4</v>
      </c>
      <c r="P2220">
        <v>31</v>
      </c>
      <c r="Q2220">
        <v>3</v>
      </c>
      <c r="R2220" s="1">
        <v>40910</v>
      </c>
      <c r="S2220" t="s">
        <v>29</v>
      </c>
      <c r="T2220" t="str">
        <f t="shared" si="170"/>
        <v>Grade A</v>
      </c>
      <c r="U2220">
        <f t="shared" si="171"/>
        <v>2</v>
      </c>
      <c r="V2220" t="str">
        <f t="shared" si="172"/>
        <v>Senior</v>
      </c>
      <c r="W2220" t="str">
        <f t="shared" si="173"/>
        <v>Medium Risk</v>
      </c>
      <c r="X2220" t="str">
        <f t="shared" si="174"/>
        <v>Fair</v>
      </c>
    </row>
    <row r="2221" spans="1:24" x14ac:dyDescent="0.3">
      <c r="A2221" t="s">
        <v>2289</v>
      </c>
      <c r="B2221" t="s">
        <v>20</v>
      </c>
      <c r="C2221">
        <v>49</v>
      </c>
      <c r="D2221" t="s">
        <v>47</v>
      </c>
      <c r="E2221" t="s">
        <v>40</v>
      </c>
      <c r="F2221" t="s">
        <v>75</v>
      </c>
      <c r="G2221" t="s">
        <v>63</v>
      </c>
      <c r="H2221" t="s">
        <v>25</v>
      </c>
      <c r="I2221" t="s">
        <v>59</v>
      </c>
      <c r="J2221" t="s">
        <v>60</v>
      </c>
      <c r="K2221">
        <v>1</v>
      </c>
      <c r="L2221">
        <v>52694</v>
      </c>
      <c r="M2221" t="s">
        <v>51</v>
      </c>
      <c r="N2221">
        <v>1</v>
      </c>
      <c r="O2221">
        <v>2</v>
      </c>
      <c r="P2221">
        <v>30</v>
      </c>
      <c r="Q2221">
        <v>0</v>
      </c>
      <c r="R2221" s="1">
        <v>44771</v>
      </c>
      <c r="S2221" t="s">
        <v>29</v>
      </c>
      <c r="T2221" t="str">
        <f t="shared" si="170"/>
        <v>Grade B</v>
      </c>
      <c r="U2221">
        <f t="shared" si="171"/>
        <v>4</v>
      </c>
      <c r="V2221" t="str">
        <f t="shared" si="172"/>
        <v>New Joiner</v>
      </c>
      <c r="W2221" t="str">
        <f t="shared" si="173"/>
        <v>Low Risk</v>
      </c>
      <c r="X2221" t="str">
        <f t="shared" si="174"/>
        <v>Fair</v>
      </c>
    </row>
    <row r="2222" spans="1:24" x14ac:dyDescent="0.3">
      <c r="A2222" t="s">
        <v>2290</v>
      </c>
      <c r="B2222" t="s">
        <v>39</v>
      </c>
      <c r="C2222">
        <v>27</v>
      </c>
      <c r="D2222" t="s">
        <v>21</v>
      </c>
      <c r="E2222" t="s">
        <v>22</v>
      </c>
      <c r="F2222" t="s">
        <v>32</v>
      </c>
      <c r="G2222" t="s">
        <v>49</v>
      </c>
      <c r="H2222" t="s">
        <v>83</v>
      </c>
      <c r="I2222" t="s">
        <v>80</v>
      </c>
      <c r="J2222" t="s">
        <v>60</v>
      </c>
      <c r="K2222">
        <v>2</v>
      </c>
      <c r="L2222">
        <v>62568</v>
      </c>
      <c r="M2222" t="s">
        <v>28</v>
      </c>
      <c r="N2222">
        <v>3</v>
      </c>
      <c r="O2222">
        <v>1</v>
      </c>
      <c r="P2222">
        <v>61</v>
      </c>
      <c r="Q2222">
        <v>2</v>
      </c>
      <c r="R2222" s="1">
        <v>44439</v>
      </c>
      <c r="S2222" t="s">
        <v>29</v>
      </c>
      <c r="T2222" t="str">
        <f t="shared" si="170"/>
        <v>Grade B</v>
      </c>
      <c r="U2222">
        <f t="shared" si="171"/>
        <v>3</v>
      </c>
      <c r="V2222" t="str">
        <f t="shared" si="172"/>
        <v>New Joiner</v>
      </c>
      <c r="W2222" t="str">
        <f t="shared" si="173"/>
        <v>Medium Risk</v>
      </c>
      <c r="X2222" t="str">
        <f t="shared" si="174"/>
        <v>Competitive</v>
      </c>
    </row>
    <row r="2223" spans="1:24" x14ac:dyDescent="0.3">
      <c r="A2223" t="s">
        <v>2291</v>
      </c>
      <c r="B2223" t="s">
        <v>20</v>
      </c>
      <c r="C2223">
        <v>28</v>
      </c>
      <c r="D2223" t="s">
        <v>31</v>
      </c>
      <c r="E2223" t="s">
        <v>22</v>
      </c>
      <c r="F2223" t="s">
        <v>65</v>
      </c>
      <c r="G2223" t="s">
        <v>66</v>
      </c>
      <c r="H2223" t="s">
        <v>25</v>
      </c>
      <c r="I2223" t="s">
        <v>80</v>
      </c>
      <c r="J2223" t="s">
        <v>60</v>
      </c>
      <c r="K2223">
        <v>6</v>
      </c>
      <c r="L2223">
        <v>41372</v>
      </c>
      <c r="M2223" t="s">
        <v>36</v>
      </c>
      <c r="N2223">
        <v>3</v>
      </c>
      <c r="O2223">
        <v>2</v>
      </c>
      <c r="P2223">
        <v>62</v>
      </c>
      <c r="Q2223">
        <v>3</v>
      </c>
      <c r="R2223" s="1">
        <v>43024</v>
      </c>
      <c r="S2223" t="s">
        <v>37</v>
      </c>
      <c r="T2223" t="str">
        <f t="shared" si="170"/>
        <v>Grade C</v>
      </c>
      <c r="U2223">
        <f t="shared" si="171"/>
        <v>1</v>
      </c>
      <c r="V2223" t="str">
        <f t="shared" si="172"/>
        <v>Mid Level</v>
      </c>
      <c r="W2223" t="str">
        <f t="shared" si="173"/>
        <v>Already Left</v>
      </c>
      <c r="X2223" t="str">
        <f t="shared" si="174"/>
        <v>Fair</v>
      </c>
    </row>
    <row r="2224" spans="1:24" x14ac:dyDescent="0.3">
      <c r="A2224" t="s">
        <v>2292</v>
      </c>
      <c r="B2224" t="s">
        <v>39</v>
      </c>
      <c r="C2224">
        <v>54</v>
      </c>
      <c r="D2224" t="s">
        <v>57</v>
      </c>
      <c r="E2224" t="s">
        <v>40</v>
      </c>
      <c r="F2224" t="s">
        <v>65</v>
      </c>
      <c r="G2224" t="s">
        <v>79</v>
      </c>
      <c r="H2224" t="s">
        <v>76</v>
      </c>
      <c r="I2224" t="s">
        <v>80</v>
      </c>
      <c r="J2224" t="s">
        <v>60</v>
      </c>
      <c r="K2224">
        <v>6</v>
      </c>
      <c r="L2224">
        <v>56846</v>
      </c>
      <c r="M2224" t="s">
        <v>28</v>
      </c>
      <c r="N2224">
        <v>1</v>
      </c>
      <c r="O2224">
        <v>2</v>
      </c>
      <c r="P2224">
        <v>52</v>
      </c>
      <c r="Q2224">
        <v>2</v>
      </c>
      <c r="R2224" s="1">
        <v>42823</v>
      </c>
      <c r="S2224" t="s">
        <v>29</v>
      </c>
      <c r="T2224" t="str">
        <f t="shared" si="170"/>
        <v>Grade B</v>
      </c>
      <c r="U2224">
        <f t="shared" si="171"/>
        <v>3</v>
      </c>
      <c r="V2224" t="str">
        <f t="shared" si="172"/>
        <v>Mid Level</v>
      </c>
      <c r="W2224" t="str">
        <f t="shared" si="173"/>
        <v>Medium Risk</v>
      </c>
      <c r="X2224" t="str">
        <f t="shared" si="174"/>
        <v>Competitive</v>
      </c>
    </row>
    <row r="2225" spans="1:24" x14ac:dyDescent="0.3">
      <c r="A2225" t="s">
        <v>2293</v>
      </c>
      <c r="B2225" t="s">
        <v>20</v>
      </c>
      <c r="C2225">
        <v>49</v>
      </c>
      <c r="D2225" t="s">
        <v>31</v>
      </c>
      <c r="E2225" t="s">
        <v>22</v>
      </c>
      <c r="F2225" t="s">
        <v>75</v>
      </c>
      <c r="G2225" t="s">
        <v>49</v>
      </c>
      <c r="H2225" t="s">
        <v>34</v>
      </c>
      <c r="I2225" t="s">
        <v>43</v>
      </c>
      <c r="J2225" t="s">
        <v>44</v>
      </c>
      <c r="K2225">
        <v>15</v>
      </c>
      <c r="L2225">
        <v>76662</v>
      </c>
      <c r="M2225" t="s">
        <v>36</v>
      </c>
      <c r="N2225">
        <v>4</v>
      </c>
      <c r="O2225">
        <v>2</v>
      </c>
      <c r="P2225">
        <v>51</v>
      </c>
      <c r="Q2225">
        <v>3</v>
      </c>
      <c r="R2225" s="1">
        <v>39523</v>
      </c>
      <c r="S2225" t="s">
        <v>29</v>
      </c>
      <c r="T2225" t="str">
        <f t="shared" si="170"/>
        <v>Grade B</v>
      </c>
      <c r="U2225">
        <f t="shared" si="171"/>
        <v>1</v>
      </c>
      <c r="V2225" t="str">
        <f t="shared" si="172"/>
        <v>Senior</v>
      </c>
      <c r="W2225" t="str">
        <f t="shared" si="173"/>
        <v>Medium Risk</v>
      </c>
      <c r="X2225" t="str">
        <f t="shared" si="174"/>
        <v>Fair</v>
      </c>
    </row>
    <row r="2226" spans="1:24" x14ac:dyDescent="0.3">
      <c r="A2226" t="s">
        <v>2294</v>
      </c>
      <c r="B2226" t="s">
        <v>20</v>
      </c>
      <c r="C2226">
        <v>52</v>
      </c>
      <c r="D2226" t="s">
        <v>57</v>
      </c>
      <c r="E2226" t="s">
        <v>40</v>
      </c>
      <c r="F2226" t="s">
        <v>41</v>
      </c>
      <c r="G2226" t="s">
        <v>63</v>
      </c>
      <c r="H2226" t="s">
        <v>34</v>
      </c>
      <c r="I2226" t="s">
        <v>50</v>
      </c>
      <c r="J2226" t="s">
        <v>44</v>
      </c>
      <c r="K2226">
        <v>13</v>
      </c>
      <c r="L2226">
        <v>65224</v>
      </c>
      <c r="M2226" t="s">
        <v>51</v>
      </c>
      <c r="N2226">
        <v>2</v>
      </c>
      <c r="O2226">
        <v>2</v>
      </c>
      <c r="P2226">
        <v>60</v>
      </c>
      <c r="Q2226">
        <v>2</v>
      </c>
      <c r="R2226" s="1">
        <v>40330</v>
      </c>
      <c r="S2226" t="s">
        <v>29</v>
      </c>
      <c r="T2226" t="str">
        <f t="shared" si="170"/>
        <v>Grade B</v>
      </c>
      <c r="U2226">
        <f t="shared" si="171"/>
        <v>4</v>
      </c>
      <c r="V2226" t="str">
        <f t="shared" si="172"/>
        <v>Senior</v>
      </c>
      <c r="W2226" t="str">
        <f t="shared" si="173"/>
        <v>Low Risk</v>
      </c>
      <c r="X2226" t="str">
        <f t="shared" si="174"/>
        <v>Fair</v>
      </c>
    </row>
    <row r="2227" spans="1:24" x14ac:dyDescent="0.3">
      <c r="A2227" t="s">
        <v>2295</v>
      </c>
      <c r="B2227" t="s">
        <v>39</v>
      </c>
      <c r="C2227">
        <v>49</v>
      </c>
      <c r="D2227" t="s">
        <v>57</v>
      </c>
      <c r="E2227" t="s">
        <v>40</v>
      </c>
      <c r="F2227" t="s">
        <v>75</v>
      </c>
      <c r="G2227" t="s">
        <v>79</v>
      </c>
      <c r="H2227" t="s">
        <v>34</v>
      </c>
      <c r="I2227" t="s">
        <v>68</v>
      </c>
      <c r="J2227" t="s">
        <v>60</v>
      </c>
      <c r="K2227">
        <v>14</v>
      </c>
      <c r="L2227">
        <v>73900</v>
      </c>
      <c r="M2227" t="s">
        <v>45</v>
      </c>
      <c r="N2227">
        <v>1</v>
      </c>
      <c r="O2227">
        <v>1</v>
      </c>
      <c r="P2227">
        <v>10</v>
      </c>
      <c r="Q2227">
        <v>1</v>
      </c>
      <c r="R2227" s="1">
        <v>39948</v>
      </c>
      <c r="S2227" t="s">
        <v>29</v>
      </c>
      <c r="T2227" t="str">
        <f t="shared" si="170"/>
        <v>Grade B</v>
      </c>
      <c r="U2227">
        <f t="shared" si="171"/>
        <v>2</v>
      </c>
      <c r="V2227" t="str">
        <f t="shared" si="172"/>
        <v>Senior</v>
      </c>
      <c r="W2227" t="str">
        <f t="shared" si="173"/>
        <v>Medium Risk</v>
      </c>
      <c r="X2227" t="str">
        <f t="shared" si="174"/>
        <v>Fair</v>
      </c>
    </row>
    <row r="2228" spans="1:24" x14ac:dyDescent="0.3">
      <c r="A2228" t="s">
        <v>2296</v>
      </c>
      <c r="B2228" t="s">
        <v>20</v>
      </c>
      <c r="C2228">
        <v>32</v>
      </c>
      <c r="D2228" t="s">
        <v>21</v>
      </c>
      <c r="E2228" t="s">
        <v>22</v>
      </c>
      <c r="F2228" t="s">
        <v>41</v>
      </c>
      <c r="G2228" t="s">
        <v>66</v>
      </c>
      <c r="H2228" t="s">
        <v>34</v>
      </c>
      <c r="I2228" t="s">
        <v>96</v>
      </c>
      <c r="J2228" t="s">
        <v>44</v>
      </c>
      <c r="K2228">
        <v>11</v>
      </c>
      <c r="L2228">
        <v>51168</v>
      </c>
      <c r="M2228" t="s">
        <v>51</v>
      </c>
      <c r="N2228">
        <v>1</v>
      </c>
      <c r="O2228">
        <v>3</v>
      </c>
      <c r="P2228">
        <v>19</v>
      </c>
      <c r="Q2228">
        <v>0</v>
      </c>
      <c r="R2228" s="1">
        <v>41181</v>
      </c>
      <c r="S2228" t="s">
        <v>37</v>
      </c>
      <c r="T2228" t="str">
        <f t="shared" si="170"/>
        <v>Grade B</v>
      </c>
      <c r="U2228">
        <f t="shared" si="171"/>
        <v>4</v>
      </c>
      <c r="V2228" t="str">
        <f t="shared" si="172"/>
        <v>Senior</v>
      </c>
      <c r="W2228" t="str">
        <f t="shared" si="173"/>
        <v>Already Left</v>
      </c>
      <c r="X2228" t="str">
        <f t="shared" si="174"/>
        <v>Fair</v>
      </c>
    </row>
    <row r="2229" spans="1:24" x14ac:dyDescent="0.3">
      <c r="A2229" t="s">
        <v>2297</v>
      </c>
      <c r="B2229" t="s">
        <v>39</v>
      </c>
      <c r="C2229">
        <v>31</v>
      </c>
      <c r="D2229" t="s">
        <v>21</v>
      </c>
      <c r="E2229" t="s">
        <v>22</v>
      </c>
      <c r="F2229" t="s">
        <v>65</v>
      </c>
      <c r="G2229" t="s">
        <v>42</v>
      </c>
      <c r="H2229" t="s">
        <v>76</v>
      </c>
      <c r="I2229" t="s">
        <v>80</v>
      </c>
      <c r="J2229" t="s">
        <v>60</v>
      </c>
      <c r="K2229">
        <v>14</v>
      </c>
      <c r="L2229">
        <v>121869</v>
      </c>
      <c r="M2229" t="s">
        <v>28</v>
      </c>
      <c r="N2229">
        <v>4</v>
      </c>
      <c r="O2229">
        <v>3</v>
      </c>
      <c r="P2229">
        <v>64</v>
      </c>
      <c r="Q2229">
        <v>3</v>
      </c>
      <c r="R2229" s="1">
        <v>39830</v>
      </c>
      <c r="S2229" t="s">
        <v>29</v>
      </c>
      <c r="T2229" t="str">
        <f t="shared" si="170"/>
        <v>Grade A</v>
      </c>
      <c r="U2229">
        <f t="shared" si="171"/>
        <v>3</v>
      </c>
      <c r="V2229" t="str">
        <f t="shared" si="172"/>
        <v>Senior</v>
      </c>
      <c r="W2229" t="str">
        <f t="shared" si="173"/>
        <v>Medium Risk</v>
      </c>
      <c r="X2229" t="str">
        <f t="shared" si="174"/>
        <v>Competitive</v>
      </c>
    </row>
    <row r="2230" spans="1:24" x14ac:dyDescent="0.3">
      <c r="A2230" t="s">
        <v>2298</v>
      </c>
      <c r="B2230" t="s">
        <v>20</v>
      </c>
      <c r="C2230">
        <v>34</v>
      </c>
      <c r="D2230" t="s">
        <v>47</v>
      </c>
      <c r="E2230" t="s">
        <v>48</v>
      </c>
      <c r="F2230" t="s">
        <v>32</v>
      </c>
      <c r="G2230" t="s">
        <v>66</v>
      </c>
      <c r="H2230" t="s">
        <v>34</v>
      </c>
      <c r="I2230" t="s">
        <v>59</v>
      </c>
      <c r="J2230" t="s">
        <v>60</v>
      </c>
      <c r="K2230">
        <v>11</v>
      </c>
      <c r="L2230">
        <v>48195</v>
      </c>
      <c r="M2230" t="s">
        <v>28</v>
      </c>
      <c r="N2230">
        <v>2</v>
      </c>
      <c r="O2230">
        <v>3</v>
      </c>
      <c r="P2230">
        <v>40</v>
      </c>
      <c r="Q2230">
        <v>0</v>
      </c>
      <c r="R2230" s="1">
        <v>41198</v>
      </c>
      <c r="S2230" t="s">
        <v>29</v>
      </c>
      <c r="T2230" t="str">
        <f t="shared" si="170"/>
        <v>Grade C</v>
      </c>
      <c r="U2230">
        <f t="shared" si="171"/>
        <v>3</v>
      </c>
      <c r="V2230" t="str">
        <f t="shared" si="172"/>
        <v>Senior</v>
      </c>
      <c r="W2230" t="str">
        <f t="shared" si="173"/>
        <v>Medium Risk</v>
      </c>
      <c r="X2230" t="str">
        <f t="shared" si="174"/>
        <v>Fair</v>
      </c>
    </row>
    <row r="2231" spans="1:24" x14ac:dyDescent="0.3">
      <c r="A2231" t="s">
        <v>2299</v>
      </c>
      <c r="B2231" t="s">
        <v>20</v>
      </c>
      <c r="C2231">
        <v>26</v>
      </c>
      <c r="D2231" t="s">
        <v>31</v>
      </c>
      <c r="E2231" t="s">
        <v>22</v>
      </c>
      <c r="F2231" t="s">
        <v>23</v>
      </c>
      <c r="G2231" t="s">
        <v>33</v>
      </c>
      <c r="H2231" t="s">
        <v>67</v>
      </c>
      <c r="I2231" t="s">
        <v>80</v>
      </c>
      <c r="J2231" t="s">
        <v>60</v>
      </c>
      <c r="K2231">
        <v>11</v>
      </c>
      <c r="L2231">
        <v>82285</v>
      </c>
      <c r="M2231" t="s">
        <v>51</v>
      </c>
      <c r="N2231">
        <v>1</v>
      </c>
      <c r="O2231">
        <v>2</v>
      </c>
      <c r="P2231">
        <v>46</v>
      </c>
      <c r="Q2231">
        <v>2</v>
      </c>
      <c r="R2231" s="1">
        <v>40973</v>
      </c>
      <c r="S2231" t="s">
        <v>29</v>
      </c>
      <c r="T2231" t="str">
        <f t="shared" si="170"/>
        <v>Grade A</v>
      </c>
      <c r="U2231">
        <f t="shared" si="171"/>
        <v>4</v>
      </c>
      <c r="V2231" t="str">
        <f t="shared" si="172"/>
        <v>Senior</v>
      </c>
      <c r="W2231" t="str">
        <f t="shared" si="173"/>
        <v>Low Risk</v>
      </c>
      <c r="X2231" t="str">
        <f t="shared" si="174"/>
        <v>Competitive</v>
      </c>
    </row>
    <row r="2232" spans="1:24" x14ac:dyDescent="0.3">
      <c r="A2232" t="s">
        <v>2300</v>
      </c>
      <c r="B2232" t="s">
        <v>39</v>
      </c>
      <c r="C2232">
        <v>54</v>
      </c>
      <c r="D2232" t="s">
        <v>21</v>
      </c>
      <c r="E2232" t="s">
        <v>40</v>
      </c>
      <c r="F2232" t="s">
        <v>65</v>
      </c>
      <c r="G2232" t="s">
        <v>66</v>
      </c>
      <c r="H2232" t="s">
        <v>83</v>
      </c>
      <c r="I2232" t="s">
        <v>59</v>
      </c>
      <c r="J2232" t="s">
        <v>60</v>
      </c>
      <c r="K2232">
        <v>5</v>
      </c>
      <c r="L2232">
        <v>35474</v>
      </c>
      <c r="M2232" t="s">
        <v>36</v>
      </c>
      <c r="N2232">
        <v>4</v>
      </c>
      <c r="O2232">
        <v>1</v>
      </c>
      <c r="P2232">
        <v>27</v>
      </c>
      <c r="Q2232">
        <v>2</v>
      </c>
      <c r="R2232" s="1">
        <v>43341</v>
      </c>
      <c r="S2232" t="s">
        <v>37</v>
      </c>
      <c r="T2232" t="str">
        <f t="shared" si="170"/>
        <v>Grade C</v>
      </c>
      <c r="U2232">
        <f t="shared" si="171"/>
        <v>1</v>
      </c>
      <c r="V2232" t="str">
        <f t="shared" si="172"/>
        <v>Junior</v>
      </c>
      <c r="W2232" t="str">
        <f t="shared" si="173"/>
        <v>Already Left</v>
      </c>
      <c r="X2232" t="str">
        <f t="shared" si="174"/>
        <v>Fair</v>
      </c>
    </row>
    <row r="2233" spans="1:24" x14ac:dyDescent="0.3">
      <c r="A2233" t="s">
        <v>2301</v>
      </c>
      <c r="B2233" t="s">
        <v>39</v>
      </c>
      <c r="C2233">
        <v>33</v>
      </c>
      <c r="D2233" t="s">
        <v>47</v>
      </c>
      <c r="E2233" t="s">
        <v>40</v>
      </c>
      <c r="F2233" t="s">
        <v>23</v>
      </c>
      <c r="G2233" t="s">
        <v>58</v>
      </c>
      <c r="H2233" t="s">
        <v>25</v>
      </c>
      <c r="I2233" t="s">
        <v>80</v>
      </c>
      <c r="J2233" t="s">
        <v>60</v>
      </c>
      <c r="K2233">
        <v>2</v>
      </c>
      <c r="L2233">
        <v>79394</v>
      </c>
      <c r="M2233" t="s">
        <v>28</v>
      </c>
      <c r="N2233">
        <v>3</v>
      </c>
      <c r="O2233">
        <v>2</v>
      </c>
      <c r="P2233">
        <v>26</v>
      </c>
      <c r="Q2233">
        <v>3</v>
      </c>
      <c r="R2233" s="1">
        <v>44315</v>
      </c>
      <c r="S2233" t="s">
        <v>29</v>
      </c>
      <c r="T2233" t="str">
        <f t="shared" si="170"/>
        <v>Grade B</v>
      </c>
      <c r="U2233">
        <f t="shared" si="171"/>
        <v>3</v>
      </c>
      <c r="V2233" t="str">
        <f t="shared" si="172"/>
        <v>New Joiner</v>
      </c>
      <c r="W2233" t="str">
        <f t="shared" si="173"/>
        <v>Medium Risk</v>
      </c>
      <c r="X2233" t="str">
        <f t="shared" si="174"/>
        <v>Competitive</v>
      </c>
    </row>
    <row r="2234" spans="1:24" x14ac:dyDescent="0.3">
      <c r="A2234" t="s">
        <v>2302</v>
      </c>
      <c r="B2234" t="s">
        <v>20</v>
      </c>
      <c r="C2234">
        <v>30</v>
      </c>
      <c r="D2234" t="s">
        <v>57</v>
      </c>
      <c r="E2234" t="s">
        <v>48</v>
      </c>
      <c r="F2234" t="s">
        <v>32</v>
      </c>
      <c r="G2234" t="s">
        <v>66</v>
      </c>
      <c r="H2234" t="s">
        <v>76</v>
      </c>
      <c r="I2234" t="s">
        <v>96</v>
      </c>
      <c r="J2234" t="s">
        <v>44</v>
      </c>
      <c r="K2234">
        <v>6</v>
      </c>
      <c r="L2234">
        <v>45429</v>
      </c>
      <c r="M2234" t="s">
        <v>36</v>
      </c>
      <c r="N2234">
        <v>4</v>
      </c>
      <c r="O2234">
        <v>2</v>
      </c>
      <c r="P2234">
        <v>53</v>
      </c>
      <c r="Q2234">
        <v>2</v>
      </c>
      <c r="R2234" s="1">
        <v>43069</v>
      </c>
      <c r="S2234" t="s">
        <v>37</v>
      </c>
      <c r="T2234" t="str">
        <f t="shared" si="170"/>
        <v>Grade C</v>
      </c>
      <c r="U2234">
        <f t="shared" si="171"/>
        <v>1</v>
      </c>
      <c r="V2234" t="str">
        <f t="shared" si="172"/>
        <v>Mid Level</v>
      </c>
      <c r="W2234" t="str">
        <f t="shared" si="173"/>
        <v>Already Left</v>
      </c>
      <c r="X2234" t="str">
        <f t="shared" si="174"/>
        <v>Fair</v>
      </c>
    </row>
    <row r="2235" spans="1:24" x14ac:dyDescent="0.3">
      <c r="A2235" t="s">
        <v>2303</v>
      </c>
      <c r="B2235" t="s">
        <v>20</v>
      </c>
      <c r="C2235">
        <v>37</v>
      </c>
      <c r="D2235" t="s">
        <v>88</v>
      </c>
      <c r="E2235" t="s">
        <v>22</v>
      </c>
      <c r="F2235" t="s">
        <v>41</v>
      </c>
      <c r="G2235" t="s">
        <v>24</v>
      </c>
      <c r="H2235" t="s">
        <v>25</v>
      </c>
      <c r="I2235" t="s">
        <v>80</v>
      </c>
      <c r="J2235" t="s">
        <v>60</v>
      </c>
      <c r="K2235">
        <v>2</v>
      </c>
      <c r="L2235">
        <v>81767</v>
      </c>
      <c r="M2235" t="s">
        <v>36</v>
      </c>
      <c r="N2235">
        <v>2</v>
      </c>
      <c r="O2235">
        <v>3</v>
      </c>
      <c r="P2235">
        <v>32</v>
      </c>
      <c r="Q2235">
        <v>3</v>
      </c>
      <c r="R2235" s="1">
        <v>44508</v>
      </c>
      <c r="S2235" t="s">
        <v>37</v>
      </c>
      <c r="T2235" t="str">
        <f t="shared" si="170"/>
        <v>Grade A</v>
      </c>
      <c r="U2235">
        <f t="shared" si="171"/>
        <v>1</v>
      </c>
      <c r="V2235" t="str">
        <f t="shared" si="172"/>
        <v>New Joiner</v>
      </c>
      <c r="W2235" t="str">
        <f t="shared" si="173"/>
        <v>Already Left</v>
      </c>
      <c r="X2235" t="str">
        <f t="shared" si="174"/>
        <v>Overpaid</v>
      </c>
    </row>
    <row r="2236" spans="1:24" x14ac:dyDescent="0.3">
      <c r="A2236" t="s">
        <v>2304</v>
      </c>
      <c r="B2236" t="s">
        <v>39</v>
      </c>
      <c r="C2236">
        <v>25</v>
      </c>
      <c r="D2236" t="s">
        <v>57</v>
      </c>
      <c r="E2236" t="s">
        <v>22</v>
      </c>
      <c r="F2236" t="s">
        <v>53</v>
      </c>
      <c r="G2236" t="s">
        <v>79</v>
      </c>
      <c r="H2236" t="s">
        <v>83</v>
      </c>
      <c r="I2236" t="s">
        <v>50</v>
      </c>
      <c r="J2236" t="s">
        <v>44</v>
      </c>
      <c r="K2236">
        <v>1</v>
      </c>
      <c r="L2236">
        <v>38805</v>
      </c>
      <c r="M2236" t="s">
        <v>45</v>
      </c>
      <c r="N2236">
        <v>4</v>
      </c>
      <c r="O2236">
        <v>3</v>
      </c>
      <c r="P2236">
        <v>74</v>
      </c>
      <c r="Q2236">
        <v>1</v>
      </c>
      <c r="R2236" s="1">
        <v>44814</v>
      </c>
      <c r="S2236" t="s">
        <v>29</v>
      </c>
      <c r="T2236" t="str">
        <f t="shared" si="170"/>
        <v>Grade C</v>
      </c>
      <c r="U2236">
        <f t="shared" si="171"/>
        <v>2</v>
      </c>
      <c r="V2236" t="str">
        <f t="shared" si="172"/>
        <v>New Joiner</v>
      </c>
      <c r="W2236" t="str">
        <f t="shared" si="173"/>
        <v>Medium Risk</v>
      </c>
      <c r="X2236" t="str">
        <f t="shared" si="174"/>
        <v>Fair</v>
      </c>
    </row>
    <row r="2237" spans="1:24" x14ac:dyDescent="0.3">
      <c r="A2237" t="s">
        <v>2305</v>
      </c>
      <c r="B2237" t="s">
        <v>39</v>
      </c>
      <c r="C2237">
        <v>36</v>
      </c>
      <c r="D2237" t="s">
        <v>57</v>
      </c>
      <c r="E2237" t="s">
        <v>22</v>
      </c>
      <c r="F2237" t="s">
        <v>78</v>
      </c>
      <c r="G2237" t="s">
        <v>79</v>
      </c>
      <c r="H2237" t="s">
        <v>76</v>
      </c>
      <c r="I2237" t="s">
        <v>80</v>
      </c>
      <c r="J2237" t="s">
        <v>60</v>
      </c>
      <c r="K2237">
        <v>4</v>
      </c>
      <c r="L2237">
        <v>42312</v>
      </c>
      <c r="M2237" t="s">
        <v>28</v>
      </c>
      <c r="N2237">
        <v>1</v>
      </c>
      <c r="O2237">
        <v>2</v>
      </c>
      <c r="P2237">
        <v>66</v>
      </c>
      <c r="Q2237">
        <v>2</v>
      </c>
      <c r="R2237" s="1">
        <v>43523</v>
      </c>
      <c r="S2237" t="s">
        <v>29</v>
      </c>
      <c r="T2237" t="str">
        <f t="shared" si="170"/>
        <v>Grade C</v>
      </c>
      <c r="U2237">
        <f t="shared" si="171"/>
        <v>3</v>
      </c>
      <c r="V2237" t="str">
        <f t="shared" si="172"/>
        <v>Junior</v>
      </c>
      <c r="W2237" t="str">
        <f t="shared" si="173"/>
        <v>Medium Risk</v>
      </c>
      <c r="X2237" t="str">
        <f t="shared" si="174"/>
        <v>Fair</v>
      </c>
    </row>
    <row r="2238" spans="1:24" x14ac:dyDescent="0.3">
      <c r="A2238" t="s">
        <v>2306</v>
      </c>
      <c r="B2238" t="s">
        <v>39</v>
      </c>
      <c r="C2238">
        <v>27</v>
      </c>
      <c r="D2238" t="s">
        <v>57</v>
      </c>
      <c r="E2238" t="s">
        <v>40</v>
      </c>
      <c r="F2238" t="s">
        <v>32</v>
      </c>
      <c r="G2238" t="s">
        <v>33</v>
      </c>
      <c r="H2238" t="s">
        <v>34</v>
      </c>
      <c r="I2238" t="s">
        <v>54</v>
      </c>
      <c r="J2238" t="s">
        <v>27</v>
      </c>
      <c r="K2238">
        <v>6</v>
      </c>
      <c r="L2238">
        <v>64868</v>
      </c>
      <c r="M2238" t="s">
        <v>45</v>
      </c>
      <c r="N2238">
        <v>2</v>
      </c>
      <c r="O2238">
        <v>2</v>
      </c>
      <c r="P2238">
        <v>14</v>
      </c>
      <c r="Q2238">
        <v>3</v>
      </c>
      <c r="R2238" s="1">
        <v>43010</v>
      </c>
      <c r="S2238" t="s">
        <v>29</v>
      </c>
      <c r="T2238" t="str">
        <f t="shared" si="170"/>
        <v>Grade B</v>
      </c>
      <c r="U2238">
        <f t="shared" si="171"/>
        <v>2</v>
      </c>
      <c r="V2238" t="str">
        <f t="shared" si="172"/>
        <v>Mid Level</v>
      </c>
      <c r="W2238" t="str">
        <f t="shared" si="173"/>
        <v>Medium Risk</v>
      </c>
      <c r="X2238" t="str">
        <f t="shared" si="174"/>
        <v>Fair</v>
      </c>
    </row>
    <row r="2239" spans="1:24" x14ac:dyDescent="0.3">
      <c r="A2239" t="s">
        <v>2307</v>
      </c>
      <c r="B2239" t="s">
        <v>20</v>
      </c>
      <c r="C2239">
        <v>35</v>
      </c>
      <c r="D2239" t="s">
        <v>57</v>
      </c>
      <c r="E2239" t="s">
        <v>48</v>
      </c>
      <c r="F2239" t="s">
        <v>41</v>
      </c>
      <c r="G2239" t="s">
        <v>42</v>
      </c>
      <c r="H2239" t="s">
        <v>83</v>
      </c>
      <c r="I2239" t="s">
        <v>72</v>
      </c>
      <c r="J2239" t="s">
        <v>73</v>
      </c>
      <c r="K2239">
        <v>12</v>
      </c>
      <c r="L2239">
        <v>117238</v>
      </c>
      <c r="M2239" t="s">
        <v>51</v>
      </c>
      <c r="N2239">
        <v>3</v>
      </c>
      <c r="O2239">
        <v>3</v>
      </c>
      <c r="P2239">
        <v>36</v>
      </c>
      <c r="Q2239">
        <v>1</v>
      </c>
      <c r="R2239" s="1">
        <v>40711</v>
      </c>
      <c r="S2239" t="s">
        <v>29</v>
      </c>
      <c r="T2239" t="str">
        <f t="shared" si="170"/>
        <v>Grade A</v>
      </c>
      <c r="U2239">
        <f t="shared" si="171"/>
        <v>4</v>
      </c>
      <c r="V2239" t="str">
        <f t="shared" si="172"/>
        <v>Senior</v>
      </c>
      <c r="W2239" t="str">
        <f t="shared" si="173"/>
        <v>Low Risk</v>
      </c>
      <c r="X2239" t="str">
        <f t="shared" si="174"/>
        <v>Competitive</v>
      </c>
    </row>
    <row r="2240" spans="1:24" x14ac:dyDescent="0.3">
      <c r="A2240" t="s">
        <v>2308</v>
      </c>
      <c r="B2240" t="s">
        <v>39</v>
      </c>
      <c r="C2240">
        <v>51</v>
      </c>
      <c r="D2240" t="s">
        <v>47</v>
      </c>
      <c r="E2240" t="s">
        <v>22</v>
      </c>
      <c r="F2240" t="s">
        <v>75</v>
      </c>
      <c r="G2240" t="s">
        <v>24</v>
      </c>
      <c r="H2240" t="s">
        <v>34</v>
      </c>
      <c r="I2240" t="s">
        <v>54</v>
      </c>
      <c r="J2240" t="s">
        <v>27</v>
      </c>
      <c r="K2240">
        <v>5</v>
      </c>
      <c r="L2240">
        <v>80121</v>
      </c>
      <c r="M2240" t="s">
        <v>51</v>
      </c>
      <c r="N2240">
        <v>4</v>
      </c>
      <c r="O2240">
        <v>4</v>
      </c>
      <c r="P2240">
        <v>74</v>
      </c>
      <c r="Q2240">
        <v>1</v>
      </c>
      <c r="R2240" s="1">
        <v>43144</v>
      </c>
      <c r="S2240" t="s">
        <v>37</v>
      </c>
      <c r="T2240" t="str">
        <f t="shared" si="170"/>
        <v>Grade A</v>
      </c>
      <c r="U2240">
        <f t="shared" si="171"/>
        <v>4</v>
      </c>
      <c r="V2240" t="str">
        <f t="shared" si="172"/>
        <v>Junior</v>
      </c>
      <c r="W2240" t="str">
        <f t="shared" si="173"/>
        <v>Already Left</v>
      </c>
      <c r="X2240" t="str">
        <f t="shared" si="174"/>
        <v>Competitive</v>
      </c>
    </row>
    <row r="2241" spans="1:24" x14ac:dyDescent="0.3">
      <c r="A2241" t="s">
        <v>2309</v>
      </c>
      <c r="B2241" t="s">
        <v>20</v>
      </c>
      <c r="C2241">
        <v>28</v>
      </c>
      <c r="D2241" t="s">
        <v>21</v>
      </c>
      <c r="E2241" t="s">
        <v>40</v>
      </c>
      <c r="F2241" t="s">
        <v>53</v>
      </c>
      <c r="G2241" t="s">
        <v>33</v>
      </c>
      <c r="H2241" t="s">
        <v>76</v>
      </c>
      <c r="I2241" t="s">
        <v>72</v>
      </c>
      <c r="J2241" t="s">
        <v>73</v>
      </c>
      <c r="K2241">
        <v>14</v>
      </c>
      <c r="L2241">
        <v>95870</v>
      </c>
      <c r="M2241" t="s">
        <v>51</v>
      </c>
      <c r="N2241">
        <v>2</v>
      </c>
      <c r="O2241">
        <v>2</v>
      </c>
      <c r="P2241">
        <v>79</v>
      </c>
      <c r="Q2241">
        <v>2</v>
      </c>
      <c r="R2241" s="1">
        <v>39840</v>
      </c>
      <c r="S2241" t="s">
        <v>29</v>
      </c>
      <c r="T2241" t="str">
        <f t="shared" si="170"/>
        <v>Grade A</v>
      </c>
      <c r="U2241">
        <f t="shared" si="171"/>
        <v>4</v>
      </c>
      <c r="V2241" t="str">
        <f t="shared" si="172"/>
        <v>Senior</v>
      </c>
      <c r="W2241" t="str">
        <f t="shared" si="173"/>
        <v>Low Risk</v>
      </c>
      <c r="X2241" t="str">
        <f t="shared" si="174"/>
        <v>Competitive</v>
      </c>
    </row>
    <row r="2242" spans="1:24" x14ac:dyDescent="0.3">
      <c r="A2242" t="s">
        <v>2310</v>
      </c>
      <c r="B2242" t="s">
        <v>39</v>
      </c>
      <c r="C2242">
        <v>43</v>
      </c>
      <c r="D2242" t="s">
        <v>88</v>
      </c>
      <c r="E2242" t="s">
        <v>40</v>
      </c>
      <c r="F2242" t="s">
        <v>23</v>
      </c>
      <c r="G2242" t="s">
        <v>58</v>
      </c>
      <c r="H2242" t="s">
        <v>83</v>
      </c>
      <c r="I2242" t="s">
        <v>59</v>
      </c>
      <c r="J2242" t="s">
        <v>60</v>
      </c>
      <c r="K2242">
        <v>10</v>
      </c>
      <c r="L2242">
        <v>96965</v>
      </c>
      <c r="M2242" t="s">
        <v>51</v>
      </c>
      <c r="N2242">
        <v>4</v>
      </c>
      <c r="O2242">
        <v>4</v>
      </c>
      <c r="P2242">
        <v>67</v>
      </c>
      <c r="Q2242">
        <v>2</v>
      </c>
      <c r="R2242" s="1">
        <v>41534</v>
      </c>
      <c r="S2242" t="s">
        <v>29</v>
      </c>
      <c r="T2242" t="str">
        <f t="shared" ref="T2242:T2305" si="175">IF(L2242&gt;=80000,"Grade A",IF(L2242&gt;=50000,"Grade B",IF(L2242&gt;=35000,"Grade C","Grade D")))</f>
        <v>Grade A</v>
      </c>
      <c r="U2242">
        <f t="shared" ref="U2242:U2305" si="176">IF(M2242="Excellent",4,IF(M2242="Good",3,IF(M2242="Average",2,1)))</f>
        <v>4</v>
      </c>
      <c r="V2242" t="str">
        <f t="shared" ref="V2242:V2305" si="177">IF(K2242&lt;=2,"New Joiner",IF(K2242&lt;=5,"Junior",IF(K2242&lt;=10,"Mid Level","Senior")))</f>
        <v>Mid Level</v>
      </c>
      <c r="W2242" t="str">
        <f t="shared" ref="W2242:W2305" si="178">IF(S2242="Yes","Already Left",IF(AND(K2242&lt;=2,M2242="Poor"),"High Risk",IF(AND(K2242&lt;=5,M2242="Average"),"Medium Risk",IF(M2242="Excellent","Low Risk","Medium Risk"))))</f>
        <v>Low Risk</v>
      </c>
      <c r="X2242" t="str">
        <f t="shared" ref="X2242:X2305" si="179">IF(AND(L2242&gt;=80000,M2242="Excellent"),"Competitive",IF(AND(L2242&gt;=50000,M2242="Good"),"Competitive",IF(AND(L2242&lt;35000,M2242="Excellent"),"Underpaid",IF(AND(L2242&gt;=80000,M2242="Poor"),"Overpaid","Fair"))))</f>
        <v>Competitive</v>
      </c>
    </row>
    <row r="2243" spans="1:24" x14ac:dyDescent="0.3">
      <c r="A2243" t="s">
        <v>2311</v>
      </c>
      <c r="B2243" t="s">
        <v>20</v>
      </c>
      <c r="C2243">
        <v>23</v>
      </c>
      <c r="D2243" t="s">
        <v>47</v>
      </c>
      <c r="E2243" t="s">
        <v>48</v>
      </c>
      <c r="F2243" t="s">
        <v>75</v>
      </c>
      <c r="G2243" t="s">
        <v>33</v>
      </c>
      <c r="H2243" t="s">
        <v>25</v>
      </c>
      <c r="I2243" t="s">
        <v>80</v>
      </c>
      <c r="J2243" t="s">
        <v>60</v>
      </c>
      <c r="K2243">
        <v>2</v>
      </c>
      <c r="L2243">
        <v>59429</v>
      </c>
      <c r="M2243" t="s">
        <v>36</v>
      </c>
      <c r="N2243">
        <v>3</v>
      </c>
      <c r="O2243">
        <v>4</v>
      </c>
      <c r="P2243">
        <v>37</v>
      </c>
      <c r="Q2243">
        <v>1</v>
      </c>
      <c r="R2243" s="1">
        <v>44404</v>
      </c>
      <c r="S2243" t="s">
        <v>29</v>
      </c>
      <c r="T2243" t="str">
        <f t="shared" si="175"/>
        <v>Grade B</v>
      </c>
      <c r="U2243">
        <f t="shared" si="176"/>
        <v>1</v>
      </c>
      <c r="V2243" t="str">
        <f t="shared" si="177"/>
        <v>New Joiner</v>
      </c>
      <c r="W2243" t="str">
        <f t="shared" si="178"/>
        <v>High Risk</v>
      </c>
      <c r="X2243" t="str">
        <f t="shared" si="179"/>
        <v>Fair</v>
      </c>
    </row>
    <row r="2244" spans="1:24" x14ac:dyDescent="0.3">
      <c r="A2244" t="s">
        <v>2312</v>
      </c>
      <c r="B2244" t="s">
        <v>20</v>
      </c>
      <c r="C2244">
        <v>40</v>
      </c>
      <c r="D2244" t="s">
        <v>57</v>
      </c>
      <c r="E2244" t="s">
        <v>40</v>
      </c>
      <c r="F2244" t="s">
        <v>62</v>
      </c>
      <c r="G2244" t="s">
        <v>63</v>
      </c>
      <c r="H2244" t="s">
        <v>76</v>
      </c>
      <c r="I2244" t="s">
        <v>68</v>
      </c>
      <c r="J2244" t="s">
        <v>60</v>
      </c>
      <c r="K2244">
        <v>11</v>
      </c>
      <c r="L2244">
        <v>74313</v>
      </c>
      <c r="M2244" t="s">
        <v>45</v>
      </c>
      <c r="N2244">
        <v>2</v>
      </c>
      <c r="O2244">
        <v>3</v>
      </c>
      <c r="P2244">
        <v>25</v>
      </c>
      <c r="Q2244">
        <v>3</v>
      </c>
      <c r="R2244" s="1">
        <v>41244</v>
      </c>
      <c r="S2244" t="s">
        <v>29</v>
      </c>
      <c r="T2244" t="str">
        <f t="shared" si="175"/>
        <v>Grade B</v>
      </c>
      <c r="U2244">
        <f t="shared" si="176"/>
        <v>2</v>
      </c>
      <c r="V2244" t="str">
        <f t="shared" si="177"/>
        <v>Senior</v>
      </c>
      <c r="W2244" t="str">
        <f t="shared" si="178"/>
        <v>Medium Risk</v>
      </c>
      <c r="X2244" t="str">
        <f t="shared" si="179"/>
        <v>Fair</v>
      </c>
    </row>
    <row r="2245" spans="1:24" x14ac:dyDescent="0.3">
      <c r="A2245" t="s">
        <v>2313</v>
      </c>
      <c r="B2245" t="s">
        <v>20</v>
      </c>
      <c r="C2245">
        <v>47</v>
      </c>
      <c r="D2245" t="s">
        <v>88</v>
      </c>
      <c r="E2245" t="s">
        <v>40</v>
      </c>
      <c r="F2245" t="s">
        <v>78</v>
      </c>
      <c r="G2245" t="s">
        <v>79</v>
      </c>
      <c r="H2245" t="s">
        <v>67</v>
      </c>
      <c r="I2245" t="s">
        <v>72</v>
      </c>
      <c r="J2245" t="s">
        <v>73</v>
      </c>
      <c r="K2245">
        <v>13</v>
      </c>
      <c r="L2245">
        <v>72864</v>
      </c>
      <c r="M2245" t="s">
        <v>45</v>
      </c>
      <c r="N2245">
        <v>4</v>
      </c>
      <c r="O2245">
        <v>3</v>
      </c>
      <c r="P2245">
        <v>56</v>
      </c>
      <c r="Q2245">
        <v>3</v>
      </c>
      <c r="R2245" s="1">
        <v>40492</v>
      </c>
      <c r="S2245" t="s">
        <v>29</v>
      </c>
      <c r="T2245" t="str">
        <f t="shared" si="175"/>
        <v>Grade B</v>
      </c>
      <c r="U2245">
        <f t="shared" si="176"/>
        <v>2</v>
      </c>
      <c r="V2245" t="str">
        <f t="shared" si="177"/>
        <v>Senior</v>
      </c>
      <c r="W2245" t="str">
        <f t="shared" si="178"/>
        <v>Medium Risk</v>
      </c>
      <c r="X2245" t="str">
        <f t="shared" si="179"/>
        <v>Fair</v>
      </c>
    </row>
    <row r="2246" spans="1:24" x14ac:dyDescent="0.3">
      <c r="A2246" t="s">
        <v>2314</v>
      </c>
      <c r="B2246" t="s">
        <v>39</v>
      </c>
      <c r="C2246">
        <v>33</v>
      </c>
      <c r="D2246" t="s">
        <v>88</v>
      </c>
      <c r="E2246" t="s">
        <v>48</v>
      </c>
      <c r="F2246" t="s">
        <v>75</v>
      </c>
      <c r="G2246" t="s">
        <v>49</v>
      </c>
      <c r="H2246" t="s">
        <v>83</v>
      </c>
      <c r="I2246" t="s">
        <v>72</v>
      </c>
      <c r="J2246" t="s">
        <v>73</v>
      </c>
      <c r="K2246">
        <v>13</v>
      </c>
      <c r="L2246">
        <v>73173</v>
      </c>
      <c r="M2246" t="s">
        <v>51</v>
      </c>
      <c r="N2246">
        <v>3</v>
      </c>
      <c r="O2246">
        <v>3</v>
      </c>
      <c r="P2246">
        <v>27</v>
      </c>
      <c r="Q2246">
        <v>0</v>
      </c>
      <c r="R2246" s="1">
        <v>40386</v>
      </c>
      <c r="S2246" t="s">
        <v>29</v>
      </c>
      <c r="T2246" t="str">
        <f t="shared" si="175"/>
        <v>Grade B</v>
      </c>
      <c r="U2246">
        <f t="shared" si="176"/>
        <v>4</v>
      </c>
      <c r="V2246" t="str">
        <f t="shared" si="177"/>
        <v>Senior</v>
      </c>
      <c r="W2246" t="str">
        <f t="shared" si="178"/>
        <v>Low Risk</v>
      </c>
      <c r="X2246" t="str">
        <f t="shared" si="179"/>
        <v>Fair</v>
      </c>
    </row>
    <row r="2247" spans="1:24" x14ac:dyDescent="0.3">
      <c r="A2247" t="s">
        <v>2315</v>
      </c>
      <c r="B2247" t="s">
        <v>20</v>
      </c>
      <c r="C2247">
        <v>45</v>
      </c>
      <c r="D2247" t="s">
        <v>47</v>
      </c>
      <c r="E2247" t="s">
        <v>48</v>
      </c>
      <c r="F2247" t="s">
        <v>53</v>
      </c>
      <c r="G2247" t="s">
        <v>79</v>
      </c>
      <c r="H2247" t="s">
        <v>67</v>
      </c>
      <c r="I2247" t="s">
        <v>50</v>
      </c>
      <c r="J2247" t="s">
        <v>44</v>
      </c>
      <c r="K2247">
        <v>6</v>
      </c>
      <c r="L2247">
        <v>50702</v>
      </c>
      <c r="M2247" t="s">
        <v>28</v>
      </c>
      <c r="N2247">
        <v>2</v>
      </c>
      <c r="O2247">
        <v>2</v>
      </c>
      <c r="P2247">
        <v>72</v>
      </c>
      <c r="Q2247">
        <v>3</v>
      </c>
      <c r="R2247" s="1">
        <v>42922</v>
      </c>
      <c r="S2247" t="s">
        <v>29</v>
      </c>
      <c r="T2247" t="str">
        <f t="shared" si="175"/>
        <v>Grade B</v>
      </c>
      <c r="U2247">
        <f t="shared" si="176"/>
        <v>3</v>
      </c>
      <c r="V2247" t="str">
        <f t="shared" si="177"/>
        <v>Mid Level</v>
      </c>
      <c r="W2247" t="str">
        <f t="shared" si="178"/>
        <v>Medium Risk</v>
      </c>
      <c r="X2247" t="str">
        <f t="shared" si="179"/>
        <v>Competitive</v>
      </c>
    </row>
    <row r="2248" spans="1:24" x14ac:dyDescent="0.3">
      <c r="A2248" t="s">
        <v>2316</v>
      </c>
      <c r="B2248" t="s">
        <v>39</v>
      </c>
      <c r="C2248">
        <v>33</v>
      </c>
      <c r="D2248" t="s">
        <v>88</v>
      </c>
      <c r="E2248" t="s">
        <v>48</v>
      </c>
      <c r="F2248" t="s">
        <v>23</v>
      </c>
      <c r="G2248" t="s">
        <v>24</v>
      </c>
      <c r="H2248" t="s">
        <v>25</v>
      </c>
      <c r="I2248" t="s">
        <v>43</v>
      </c>
      <c r="J2248" t="s">
        <v>44</v>
      </c>
      <c r="K2248">
        <v>5</v>
      </c>
      <c r="L2248">
        <v>89078</v>
      </c>
      <c r="M2248" t="s">
        <v>51</v>
      </c>
      <c r="N2248">
        <v>1</v>
      </c>
      <c r="O2248">
        <v>1</v>
      </c>
      <c r="P2248">
        <v>38</v>
      </c>
      <c r="Q2248">
        <v>3</v>
      </c>
      <c r="R2248" s="1">
        <v>43358</v>
      </c>
      <c r="S2248" t="s">
        <v>29</v>
      </c>
      <c r="T2248" t="str">
        <f t="shared" si="175"/>
        <v>Grade A</v>
      </c>
      <c r="U2248">
        <f t="shared" si="176"/>
        <v>4</v>
      </c>
      <c r="V2248" t="str">
        <f t="shared" si="177"/>
        <v>Junior</v>
      </c>
      <c r="W2248" t="str">
        <f t="shared" si="178"/>
        <v>Low Risk</v>
      </c>
      <c r="X2248" t="str">
        <f t="shared" si="179"/>
        <v>Competitive</v>
      </c>
    </row>
    <row r="2249" spans="1:24" x14ac:dyDescent="0.3">
      <c r="A2249" t="s">
        <v>2317</v>
      </c>
      <c r="B2249" t="s">
        <v>39</v>
      </c>
      <c r="C2249">
        <v>41</v>
      </c>
      <c r="D2249" t="s">
        <v>47</v>
      </c>
      <c r="E2249" t="s">
        <v>40</v>
      </c>
      <c r="F2249" t="s">
        <v>53</v>
      </c>
      <c r="G2249" t="s">
        <v>58</v>
      </c>
      <c r="H2249" t="s">
        <v>34</v>
      </c>
      <c r="I2249" t="s">
        <v>68</v>
      </c>
      <c r="J2249" t="s">
        <v>60</v>
      </c>
      <c r="K2249">
        <v>2</v>
      </c>
      <c r="L2249">
        <v>85563</v>
      </c>
      <c r="M2249" t="s">
        <v>28</v>
      </c>
      <c r="N2249">
        <v>2</v>
      </c>
      <c r="O2249">
        <v>2</v>
      </c>
      <c r="P2249">
        <v>57</v>
      </c>
      <c r="Q2249">
        <v>0</v>
      </c>
      <c r="R2249" s="1">
        <v>44236</v>
      </c>
      <c r="S2249" t="s">
        <v>29</v>
      </c>
      <c r="T2249" t="str">
        <f t="shared" si="175"/>
        <v>Grade A</v>
      </c>
      <c r="U2249">
        <f t="shared" si="176"/>
        <v>3</v>
      </c>
      <c r="V2249" t="str">
        <f t="shared" si="177"/>
        <v>New Joiner</v>
      </c>
      <c r="W2249" t="str">
        <f t="shared" si="178"/>
        <v>Medium Risk</v>
      </c>
      <c r="X2249" t="str">
        <f t="shared" si="179"/>
        <v>Competitive</v>
      </c>
    </row>
    <row r="2250" spans="1:24" x14ac:dyDescent="0.3">
      <c r="A2250" t="s">
        <v>2318</v>
      </c>
      <c r="B2250" t="s">
        <v>20</v>
      </c>
      <c r="C2250">
        <v>43</v>
      </c>
      <c r="D2250" t="s">
        <v>47</v>
      </c>
      <c r="E2250" t="s">
        <v>40</v>
      </c>
      <c r="F2250" t="s">
        <v>62</v>
      </c>
      <c r="G2250" t="s">
        <v>24</v>
      </c>
      <c r="H2250" t="s">
        <v>34</v>
      </c>
      <c r="I2250" t="s">
        <v>26</v>
      </c>
      <c r="J2250" t="s">
        <v>27</v>
      </c>
      <c r="K2250">
        <v>15</v>
      </c>
      <c r="L2250">
        <v>113251</v>
      </c>
      <c r="M2250" t="s">
        <v>36</v>
      </c>
      <c r="N2250">
        <v>1</v>
      </c>
      <c r="O2250">
        <v>4</v>
      </c>
      <c r="P2250">
        <v>78</v>
      </c>
      <c r="Q2250">
        <v>1</v>
      </c>
      <c r="R2250" s="1">
        <v>39582</v>
      </c>
      <c r="S2250" t="s">
        <v>37</v>
      </c>
      <c r="T2250" t="str">
        <f t="shared" si="175"/>
        <v>Grade A</v>
      </c>
      <c r="U2250">
        <f t="shared" si="176"/>
        <v>1</v>
      </c>
      <c r="V2250" t="str">
        <f t="shared" si="177"/>
        <v>Senior</v>
      </c>
      <c r="W2250" t="str">
        <f t="shared" si="178"/>
        <v>Already Left</v>
      </c>
      <c r="X2250" t="str">
        <f t="shared" si="179"/>
        <v>Overpaid</v>
      </c>
    </row>
    <row r="2251" spans="1:24" x14ac:dyDescent="0.3">
      <c r="A2251" t="s">
        <v>2319</v>
      </c>
      <c r="B2251" t="s">
        <v>20</v>
      </c>
      <c r="C2251">
        <v>41</v>
      </c>
      <c r="D2251" t="s">
        <v>57</v>
      </c>
      <c r="E2251" t="s">
        <v>48</v>
      </c>
      <c r="F2251" t="s">
        <v>78</v>
      </c>
      <c r="G2251" t="s">
        <v>58</v>
      </c>
      <c r="H2251" t="s">
        <v>76</v>
      </c>
      <c r="I2251" t="s">
        <v>80</v>
      </c>
      <c r="J2251" t="s">
        <v>60</v>
      </c>
      <c r="K2251">
        <v>11</v>
      </c>
      <c r="L2251">
        <v>98648</v>
      </c>
      <c r="M2251" t="s">
        <v>36</v>
      </c>
      <c r="N2251">
        <v>4</v>
      </c>
      <c r="O2251">
        <v>4</v>
      </c>
      <c r="P2251">
        <v>49</v>
      </c>
      <c r="Q2251">
        <v>1</v>
      </c>
      <c r="R2251" s="1">
        <v>41198</v>
      </c>
      <c r="S2251" t="s">
        <v>29</v>
      </c>
      <c r="T2251" t="str">
        <f t="shared" si="175"/>
        <v>Grade A</v>
      </c>
      <c r="U2251">
        <f t="shared" si="176"/>
        <v>1</v>
      </c>
      <c r="V2251" t="str">
        <f t="shared" si="177"/>
        <v>Senior</v>
      </c>
      <c r="W2251" t="str">
        <f t="shared" si="178"/>
        <v>Medium Risk</v>
      </c>
      <c r="X2251" t="str">
        <f t="shared" si="179"/>
        <v>Overpaid</v>
      </c>
    </row>
    <row r="2252" spans="1:24" x14ac:dyDescent="0.3">
      <c r="A2252" t="s">
        <v>2320</v>
      </c>
      <c r="B2252" t="s">
        <v>20</v>
      </c>
      <c r="C2252">
        <v>23</v>
      </c>
      <c r="D2252" t="s">
        <v>88</v>
      </c>
      <c r="E2252" t="s">
        <v>48</v>
      </c>
      <c r="F2252" t="s">
        <v>23</v>
      </c>
      <c r="G2252" t="s">
        <v>63</v>
      </c>
      <c r="H2252" t="s">
        <v>34</v>
      </c>
      <c r="I2252" t="s">
        <v>43</v>
      </c>
      <c r="J2252" t="s">
        <v>44</v>
      </c>
      <c r="K2252">
        <v>4</v>
      </c>
      <c r="L2252">
        <v>59566</v>
      </c>
      <c r="M2252" t="s">
        <v>45</v>
      </c>
      <c r="N2252">
        <v>3</v>
      </c>
      <c r="O2252">
        <v>2</v>
      </c>
      <c r="P2252">
        <v>52</v>
      </c>
      <c r="Q2252">
        <v>3</v>
      </c>
      <c r="R2252" s="1">
        <v>43483</v>
      </c>
      <c r="S2252" t="s">
        <v>29</v>
      </c>
      <c r="T2252" t="str">
        <f t="shared" si="175"/>
        <v>Grade B</v>
      </c>
      <c r="U2252">
        <f t="shared" si="176"/>
        <v>2</v>
      </c>
      <c r="V2252" t="str">
        <f t="shared" si="177"/>
        <v>Junior</v>
      </c>
      <c r="W2252" t="str">
        <f t="shared" si="178"/>
        <v>Medium Risk</v>
      </c>
      <c r="X2252" t="str">
        <f t="shared" si="179"/>
        <v>Fair</v>
      </c>
    </row>
    <row r="2253" spans="1:24" x14ac:dyDescent="0.3">
      <c r="A2253" t="s">
        <v>2321</v>
      </c>
      <c r="B2253" t="s">
        <v>39</v>
      </c>
      <c r="C2253">
        <v>53</v>
      </c>
      <c r="D2253" t="s">
        <v>47</v>
      </c>
      <c r="E2253" t="s">
        <v>40</v>
      </c>
      <c r="F2253" t="s">
        <v>78</v>
      </c>
      <c r="G2253" t="s">
        <v>24</v>
      </c>
      <c r="H2253" t="s">
        <v>67</v>
      </c>
      <c r="I2253" t="s">
        <v>68</v>
      </c>
      <c r="J2253" t="s">
        <v>60</v>
      </c>
      <c r="K2253">
        <v>7</v>
      </c>
      <c r="L2253">
        <v>85904</v>
      </c>
      <c r="M2253" t="s">
        <v>36</v>
      </c>
      <c r="N2253">
        <v>3</v>
      </c>
      <c r="O2253">
        <v>4</v>
      </c>
      <c r="P2253">
        <v>79</v>
      </c>
      <c r="Q2253">
        <v>1</v>
      </c>
      <c r="R2253" s="1">
        <v>42508</v>
      </c>
      <c r="S2253" t="s">
        <v>37</v>
      </c>
      <c r="T2253" t="str">
        <f t="shared" si="175"/>
        <v>Grade A</v>
      </c>
      <c r="U2253">
        <f t="shared" si="176"/>
        <v>1</v>
      </c>
      <c r="V2253" t="str">
        <f t="shared" si="177"/>
        <v>Mid Level</v>
      </c>
      <c r="W2253" t="str">
        <f t="shared" si="178"/>
        <v>Already Left</v>
      </c>
      <c r="X2253" t="str">
        <f t="shared" si="179"/>
        <v>Overpaid</v>
      </c>
    </row>
    <row r="2254" spans="1:24" x14ac:dyDescent="0.3">
      <c r="A2254" t="s">
        <v>2322</v>
      </c>
      <c r="B2254" t="s">
        <v>20</v>
      </c>
      <c r="C2254">
        <v>48</v>
      </c>
      <c r="D2254" t="s">
        <v>57</v>
      </c>
      <c r="E2254" t="s">
        <v>22</v>
      </c>
      <c r="F2254" t="s">
        <v>23</v>
      </c>
      <c r="G2254" t="s">
        <v>49</v>
      </c>
      <c r="H2254" t="s">
        <v>25</v>
      </c>
      <c r="I2254" t="s">
        <v>96</v>
      </c>
      <c r="J2254" t="s">
        <v>44</v>
      </c>
      <c r="K2254">
        <v>3</v>
      </c>
      <c r="L2254">
        <v>53895</v>
      </c>
      <c r="M2254" t="s">
        <v>36</v>
      </c>
      <c r="N2254">
        <v>1</v>
      </c>
      <c r="O2254">
        <v>3</v>
      </c>
      <c r="P2254">
        <v>22</v>
      </c>
      <c r="Q2254">
        <v>2</v>
      </c>
      <c r="R2254" s="1">
        <v>44069</v>
      </c>
      <c r="S2254" t="s">
        <v>29</v>
      </c>
      <c r="T2254" t="str">
        <f t="shared" si="175"/>
        <v>Grade B</v>
      </c>
      <c r="U2254">
        <f t="shared" si="176"/>
        <v>1</v>
      </c>
      <c r="V2254" t="str">
        <f t="shared" si="177"/>
        <v>Junior</v>
      </c>
      <c r="W2254" t="str">
        <f t="shared" si="178"/>
        <v>Medium Risk</v>
      </c>
      <c r="X2254" t="str">
        <f t="shared" si="179"/>
        <v>Fair</v>
      </c>
    </row>
    <row r="2255" spans="1:24" x14ac:dyDescent="0.3">
      <c r="A2255" t="s">
        <v>2323</v>
      </c>
      <c r="B2255" t="s">
        <v>20</v>
      </c>
      <c r="C2255">
        <v>55</v>
      </c>
      <c r="D2255" t="s">
        <v>88</v>
      </c>
      <c r="E2255" t="s">
        <v>48</v>
      </c>
      <c r="F2255" t="s">
        <v>75</v>
      </c>
      <c r="G2255" t="s">
        <v>63</v>
      </c>
      <c r="H2255" t="s">
        <v>83</v>
      </c>
      <c r="I2255" t="s">
        <v>54</v>
      </c>
      <c r="J2255" t="s">
        <v>27</v>
      </c>
      <c r="K2255">
        <v>7</v>
      </c>
      <c r="L2255">
        <v>54531</v>
      </c>
      <c r="M2255" t="s">
        <v>51</v>
      </c>
      <c r="N2255">
        <v>2</v>
      </c>
      <c r="O2255">
        <v>3</v>
      </c>
      <c r="P2255">
        <v>42</v>
      </c>
      <c r="Q2255">
        <v>2</v>
      </c>
      <c r="R2255" s="1">
        <v>42456</v>
      </c>
      <c r="S2255" t="s">
        <v>29</v>
      </c>
      <c r="T2255" t="str">
        <f t="shared" si="175"/>
        <v>Grade B</v>
      </c>
      <c r="U2255">
        <f t="shared" si="176"/>
        <v>4</v>
      </c>
      <c r="V2255" t="str">
        <f t="shared" si="177"/>
        <v>Mid Level</v>
      </c>
      <c r="W2255" t="str">
        <f t="shared" si="178"/>
        <v>Low Risk</v>
      </c>
      <c r="X2255" t="str">
        <f t="shared" si="179"/>
        <v>Fair</v>
      </c>
    </row>
    <row r="2256" spans="1:24" x14ac:dyDescent="0.3">
      <c r="A2256" t="s">
        <v>2324</v>
      </c>
      <c r="B2256" t="s">
        <v>39</v>
      </c>
      <c r="C2256">
        <v>41</v>
      </c>
      <c r="D2256" t="s">
        <v>31</v>
      </c>
      <c r="E2256" t="s">
        <v>22</v>
      </c>
      <c r="F2256" t="s">
        <v>32</v>
      </c>
      <c r="G2256" t="s">
        <v>63</v>
      </c>
      <c r="H2256" t="s">
        <v>34</v>
      </c>
      <c r="I2256" t="s">
        <v>50</v>
      </c>
      <c r="J2256" t="s">
        <v>44</v>
      </c>
      <c r="K2256">
        <v>2</v>
      </c>
      <c r="L2256">
        <v>49617</v>
      </c>
      <c r="M2256" t="s">
        <v>45</v>
      </c>
      <c r="N2256">
        <v>2</v>
      </c>
      <c r="O2256">
        <v>2</v>
      </c>
      <c r="P2256">
        <v>22</v>
      </c>
      <c r="Q2256">
        <v>1</v>
      </c>
      <c r="R2256" s="1">
        <v>44518</v>
      </c>
      <c r="S2256" t="s">
        <v>29</v>
      </c>
      <c r="T2256" t="str">
        <f t="shared" si="175"/>
        <v>Grade C</v>
      </c>
      <c r="U2256">
        <f t="shared" si="176"/>
        <v>2</v>
      </c>
      <c r="V2256" t="str">
        <f t="shared" si="177"/>
        <v>New Joiner</v>
      </c>
      <c r="W2256" t="str">
        <f t="shared" si="178"/>
        <v>Medium Risk</v>
      </c>
      <c r="X2256" t="str">
        <f t="shared" si="179"/>
        <v>Fair</v>
      </c>
    </row>
    <row r="2257" spans="1:24" x14ac:dyDescent="0.3">
      <c r="A2257" t="s">
        <v>2325</v>
      </c>
      <c r="B2257" t="s">
        <v>39</v>
      </c>
      <c r="C2257">
        <v>30</v>
      </c>
      <c r="D2257" t="s">
        <v>47</v>
      </c>
      <c r="E2257" t="s">
        <v>48</v>
      </c>
      <c r="F2257" t="s">
        <v>23</v>
      </c>
      <c r="G2257" t="s">
        <v>49</v>
      </c>
      <c r="H2257" t="s">
        <v>83</v>
      </c>
      <c r="I2257" t="s">
        <v>35</v>
      </c>
      <c r="J2257" t="s">
        <v>27</v>
      </c>
      <c r="K2257">
        <v>10</v>
      </c>
      <c r="L2257">
        <v>68777</v>
      </c>
      <c r="M2257" t="s">
        <v>36</v>
      </c>
      <c r="N2257">
        <v>4</v>
      </c>
      <c r="O2257">
        <v>2</v>
      </c>
      <c r="P2257">
        <v>80</v>
      </c>
      <c r="Q2257">
        <v>0</v>
      </c>
      <c r="R2257" s="1">
        <v>41343</v>
      </c>
      <c r="S2257" t="s">
        <v>37</v>
      </c>
      <c r="T2257" t="str">
        <f t="shared" si="175"/>
        <v>Grade B</v>
      </c>
      <c r="U2257">
        <f t="shared" si="176"/>
        <v>1</v>
      </c>
      <c r="V2257" t="str">
        <f t="shared" si="177"/>
        <v>Mid Level</v>
      </c>
      <c r="W2257" t="str">
        <f t="shared" si="178"/>
        <v>Already Left</v>
      </c>
      <c r="X2257" t="str">
        <f t="shared" si="179"/>
        <v>Fair</v>
      </c>
    </row>
    <row r="2258" spans="1:24" x14ac:dyDescent="0.3">
      <c r="A2258" t="s">
        <v>2326</v>
      </c>
      <c r="B2258" t="s">
        <v>20</v>
      </c>
      <c r="C2258">
        <v>33</v>
      </c>
      <c r="D2258" t="s">
        <v>21</v>
      </c>
      <c r="E2258" t="s">
        <v>22</v>
      </c>
      <c r="F2258" t="s">
        <v>53</v>
      </c>
      <c r="G2258" t="s">
        <v>63</v>
      </c>
      <c r="H2258" t="s">
        <v>67</v>
      </c>
      <c r="I2258" t="s">
        <v>26</v>
      </c>
      <c r="J2258" t="s">
        <v>27</v>
      </c>
      <c r="K2258">
        <v>2</v>
      </c>
      <c r="L2258">
        <v>46047</v>
      </c>
      <c r="M2258" t="s">
        <v>51</v>
      </c>
      <c r="N2258">
        <v>2</v>
      </c>
      <c r="O2258">
        <v>2</v>
      </c>
      <c r="P2258">
        <v>22</v>
      </c>
      <c r="Q2258">
        <v>2</v>
      </c>
      <c r="R2258" s="1">
        <v>44306</v>
      </c>
      <c r="S2258" t="s">
        <v>37</v>
      </c>
      <c r="T2258" t="str">
        <f t="shared" si="175"/>
        <v>Grade C</v>
      </c>
      <c r="U2258">
        <f t="shared" si="176"/>
        <v>4</v>
      </c>
      <c r="V2258" t="str">
        <f t="shared" si="177"/>
        <v>New Joiner</v>
      </c>
      <c r="W2258" t="str">
        <f t="shared" si="178"/>
        <v>Already Left</v>
      </c>
      <c r="X2258" t="str">
        <f t="shared" si="179"/>
        <v>Fair</v>
      </c>
    </row>
    <row r="2259" spans="1:24" x14ac:dyDescent="0.3">
      <c r="A2259" t="s">
        <v>2327</v>
      </c>
      <c r="B2259" t="s">
        <v>39</v>
      </c>
      <c r="C2259">
        <v>33</v>
      </c>
      <c r="D2259" t="s">
        <v>21</v>
      </c>
      <c r="E2259" t="s">
        <v>22</v>
      </c>
      <c r="F2259" t="s">
        <v>32</v>
      </c>
      <c r="G2259" t="s">
        <v>63</v>
      </c>
      <c r="H2259" t="s">
        <v>83</v>
      </c>
      <c r="I2259" t="s">
        <v>68</v>
      </c>
      <c r="J2259" t="s">
        <v>60</v>
      </c>
      <c r="K2259">
        <v>4</v>
      </c>
      <c r="L2259">
        <v>50105</v>
      </c>
      <c r="M2259" t="s">
        <v>28</v>
      </c>
      <c r="N2259">
        <v>4</v>
      </c>
      <c r="O2259">
        <v>1</v>
      </c>
      <c r="P2259">
        <v>33</v>
      </c>
      <c r="Q2259">
        <v>1</v>
      </c>
      <c r="R2259" s="1">
        <v>43683</v>
      </c>
      <c r="S2259" t="s">
        <v>37</v>
      </c>
      <c r="T2259" t="str">
        <f t="shared" si="175"/>
        <v>Grade B</v>
      </c>
      <c r="U2259">
        <f t="shared" si="176"/>
        <v>3</v>
      </c>
      <c r="V2259" t="str">
        <f t="shared" si="177"/>
        <v>Junior</v>
      </c>
      <c r="W2259" t="str">
        <f t="shared" si="178"/>
        <v>Already Left</v>
      </c>
      <c r="X2259" t="str">
        <f t="shared" si="179"/>
        <v>Competitive</v>
      </c>
    </row>
    <row r="2260" spans="1:24" x14ac:dyDescent="0.3">
      <c r="A2260" t="s">
        <v>2328</v>
      </c>
      <c r="B2260" t="s">
        <v>39</v>
      </c>
      <c r="C2260">
        <v>37</v>
      </c>
      <c r="D2260" t="s">
        <v>21</v>
      </c>
      <c r="E2260" t="s">
        <v>40</v>
      </c>
      <c r="F2260" t="s">
        <v>75</v>
      </c>
      <c r="G2260" t="s">
        <v>79</v>
      </c>
      <c r="H2260" t="s">
        <v>76</v>
      </c>
      <c r="I2260" t="s">
        <v>26</v>
      </c>
      <c r="J2260" t="s">
        <v>27</v>
      </c>
      <c r="K2260">
        <v>1</v>
      </c>
      <c r="L2260">
        <v>37994</v>
      </c>
      <c r="M2260" t="s">
        <v>28</v>
      </c>
      <c r="N2260">
        <v>4</v>
      </c>
      <c r="O2260">
        <v>4</v>
      </c>
      <c r="P2260">
        <v>50</v>
      </c>
      <c r="Q2260">
        <v>3</v>
      </c>
      <c r="R2260" s="1">
        <v>44749</v>
      </c>
      <c r="S2260" t="s">
        <v>29</v>
      </c>
      <c r="T2260" t="str">
        <f t="shared" si="175"/>
        <v>Grade C</v>
      </c>
      <c r="U2260">
        <f t="shared" si="176"/>
        <v>3</v>
      </c>
      <c r="V2260" t="str">
        <f t="shared" si="177"/>
        <v>New Joiner</v>
      </c>
      <c r="W2260" t="str">
        <f t="shared" si="178"/>
        <v>Medium Risk</v>
      </c>
      <c r="X2260" t="str">
        <f t="shared" si="179"/>
        <v>Fair</v>
      </c>
    </row>
    <row r="2261" spans="1:24" x14ac:dyDescent="0.3">
      <c r="A2261" t="s">
        <v>2329</v>
      </c>
      <c r="B2261" t="s">
        <v>20</v>
      </c>
      <c r="C2261">
        <v>43</v>
      </c>
      <c r="D2261" t="s">
        <v>47</v>
      </c>
      <c r="E2261" t="s">
        <v>22</v>
      </c>
      <c r="F2261" t="s">
        <v>23</v>
      </c>
      <c r="G2261" t="s">
        <v>79</v>
      </c>
      <c r="H2261" t="s">
        <v>83</v>
      </c>
      <c r="I2261" t="s">
        <v>54</v>
      </c>
      <c r="J2261" t="s">
        <v>27</v>
      </c>
      <c r="K2261">
        <v>12</v>
      </c>
      <c r="L2261">
        <v>73065</v>
      </c>
      <c r="M2261" t="s">
        <v>51</v>
      </c>
      <c r="N2261">
        <v>3</v>
      </c>
      <c r="O2261">
        <v>3</v>
      </c>
      <c r="P2261">
        <v>77</v>
      </c>
      <c r="Q2261">
        <v>1</v>
      </c>
      <c r="R2261" s="1">
        <v>40675</v>
      </c>
      <c r="S2261" t="s">
        <v>37</v>
      </c>
      <c r="T2261" t="str">
        <f t="shared" si="175"/>
        <v>Grade B</v>
      </c>
      <c r="U2261">
        <f t="shared" si="176"/>
        <v>4</v>
      </c>
      <c r="V2261" t="str">
        <f t="shared" si="177"/>
        <v>Senior</v>
      </c>
      <c r="W2261" t="str">
        <f t="shared" si="178"/>
        <v>Already Left</v>
      </c>
      <c r="X2261" t="str">
        <f t="shared" si="179"/>
        <v>Fair</v>
      </c>
    </row>
    <row r="2262" spans="1:24" x14ac:dyDescent="0.3">
      <c r="A2262" t="s">
        <v>2330</v>
      </c>
      <c r="B2262" t="s">
        <v>20</v>
      </c>
      <c r="C2262">
        <v>49</v>
      </c>
      <c r="D2262" t="s">
        <v>88</v>
      </c>
      <c r="E2262" t="s">
        <v>22</v>
      </c>
      <c r="F2262" t="s">
        <v>32</v>
      </c>
      <c r="G2262" t="s">
        <v>66</v>
      </c>
      <c r="H2262" t="s">
        <v>34</v>
      </c>
      <c r="I2262" t="s">
        <v>80</v>
      </c>
      <c r="J2262" t="s">
        <v>60</v>
      </c>
      <c r="K2262">
        <v>2</v>
      </c>
      <c r="L2262">
        <v>31383</v>
      </c>
      <c r="M2262" t="s">
        <v>36</v>
      </c>
      <c r="N2262">
        <v>1</v>
      </c>
      <c r="O2262">
        <v>4</v>
      </c>
      <c r="P2262">
        <v>17</v>
      </c>
      <c r="Q2262">
        <v>3</v>
      </c>
      <c r="R2262" s="1">
        <v>44310</v>
      </c>
      <c r="S2262" t="s">
        <v>37</v>
      </c>
      <c r="T2262" t="str">
        <f t="shared" si="175"/>
        <v>Grade D</v>
      </c>
      <c r="U2262">
        <f t="shared" si="176"/>
        <v>1</v>
      </c>
      <c r="V2262" t="str">
        <f t="shared" si="177"/>
        <v>New Joiner</v>
      </c>
      <c r="W2262" t="str">
        <f t="shared" si="178"/>
        <v>Already Left</v>
      </c>
      <c r="X2262" t="str">
        <f t="shared" si="179"/>
        <v>Fair</v>
      </c>
    </row>
    <row r="2263" spans="1:24" x14ac:dyDescent="0.3">
      <c r="A2263" t="s">
        <v>2331</v>
      </c>
      <c r="B2263" t="s">
        <v>39</v>
      </c>
      <c r="C2263">
        <v>37</v>
      </c>
      <c r="D2263" t="s">
        <v>88</v>
      </c>
      <c r="E2263" t="s">
        <v>22</v>
      </c>
      <c r="F2263" t="s">
        <v>53</v>
      </c>
      <c r="G2263" t="s">
        <v>24</v>
      </c>
      <c r="H2263" t="s">
        <v>76</v>
      </c>
      <c r="I2263" t="s">
        <v>50</v>
      </c>
      <c r="J2263" t="s">
        <v>44</v>
      </c>
      <c r="K2263">
        <v>9</v>
      </c>
      <c r="L2263">
        <v>84087</v>
      </c>
      <c r="M2263" t="s">
        <v>28</v>
      </c>
      <c r="N2263">
        <v>2</v>
      </c>
      <c r="O2263">
        <v>3</v>
      </c>
      <c r="P2263">
        <v>24</v>
      </c>
      <c r="Q2263">
        <v>1</v>
      </c>
      <c r="R2263" s="1">
        <v>41980</v>
      </c>
      <c r="S2263" t="s">
        <v>29</v>
      </c>
      <c r="T2263" t="str">
        <f t="shared" si="175"/>
        <v>Grade A</v>
      </c>
      <c r="U2263">
        <f t="shared" si="176"/>
        <v>3</v>
      </c>
      <c r="V2263" t="str">
        <f t="shared" si="177"/>
        <v>Mid Level</v>
      </c>
      <c r="W2263" t="str">
        <f t="shared" si="178"/>
        <v>Medium Risk</v>
      </c>
      <c r="X2263" t="str">
        <f t="shared" si="179"/>
        <v>Competitive</v>
      </c>
    </row>
    <row r="2264" spans="1:24" x14ac:dyDescent="0.3">
      <c r="A2264" t="s">
        <v>2332</v>
      </c>
      <c r="B2264" t="s">
        <v>39</v>
      </c>
      <c r="C2264">
        <v>33</v>
      </c>
      <c r="D2264" t="s">
        <v>31</v>
      </c>
      <c r="E2264" t="s">
        <v>40</v>
      </c>
      <c r="F2264" t="s">
        <v>53</v>
      </c>
      <c r="G2264" t="s">
        <v>58</v>
      </c>
      <c r="H2264" t="s">
        <v>83</v>
      </c>
      <c r="I2264" t="s">
        <v>59</v>
      </c>
      <c r="J2264" t="s">
        <v>60</v>
      </c>
      <c r="K2264">
        <v>11</v>
      </c>
      <c r="L2264">
        <v>97819</v>
      </c>
      <c r="M2264" t="s">
        <v>36</v>
      </c>
      <c r="N2264">
        <v>1</v>
      </c>
      <c r="O2264">
        <v>2</v>
      </c>
      <c r="P2264">
        <v>27</v>
      </c>
      <c r="Q2264">
        <v>2</v>
      </c>
      <c r="R2264" s="1">
        <v>40914</v>
      </c>
      <c r="S2264" t="s">
        <v>29</v>
      </c>
      <c r="T2264" t="str">
        <f t="shared" si="175"/>
        <v>Grade A</v>
      </c>
      <c r="U2264">
        <f t="shared" si="176"/>
        <v>1</v>
      </c>
      <c r="V2264" t="str">
        <f t="shared" si="177"/>
        <v>Senior</v>
      </c>
      <c r="W2264" t="str">
        <f t="shared" si="178"/>
        <v>Medium Risk</v>
      </c>
      <c r="X2264" t="str">
        <f t="shared" si="179"/>
        <v>Overpaid</v>
      </c>
    </row>
    <row r="2265" spans="1:24" x14ac:dyDescent="0.3">
      <c r="A2265" t="s">
        <v>2333</v>
      </c>
      <c r="B2265" t="s">
        <v>39</v>
      </c>
      <c r="C2265">
        <v>29</v>
      </c>
      <c r="D2265" t="s">
        <v>21</v>
      </c>
      <c r="E2265" t="s">
        <v>48</v>
      </c>
      <c r="F2265" t="s">
        <v>78</v>
      </c>
      <c r="G2265" t="s">
        <v>24</v>
      </c>
      <c r="H2265" t="s">
        <v>76</v>
      </c>
      <c r="I2265" t="s">
        <v>68</v>
      </c>
      <c r="J2265" t="s">
        <v>60</v>
      </c>
      <c r="K2265">
        <v>6</v>
      </c>
      <c r="L2265">
        <v>78406</v>
      </c>
      <c r="M2265" t="s">
        <v>28</v>
      </c>
      <c r="N2265">
        <v>4</v>
      </c>
      <c r="O2265">
        <v>3</v>
      </c>
      <c r="P2265">
        <v>47</v>
      </c>
      <c r="Q2265">
        <v>1</v>
      </c>
      <c r="R2265" s="1">
        <v>43057</v>
      </c>
      <c r="S2265" t="s">
        <v>29</v>
      </c>
      <c r="T2265" t="str">
        <f t="shared" si="175"/>
        <v>Grade B</v>
      </c>
      <c r="U2265">
        <f t="shared" si="176"/>
        <v>3</v>
      </c>
      <c r="V2265" t="str">
        <f t="shared" si="177"/>
        <v>Mid Level</v>
      </c>
      <c r="W2265" t="str">
        <f t="shared" si="178"/>
        <v>Medium Risk</v>
      </c>
      <c r="X2265" t="str">
        <f t="shared" si="179"/>
        <v>Competitive</v>
      </c>
    </row>
    <row r="2266" spans="1:24" x14ac:dyDescent="0.3">
      <c r="A2266" t="s">
        <v>2334</v>
      </c>
      <c r="B2266" t="s">
        <v>39</v>
      </c>
      <c r="C2266">
        <v>29</v>
      </c>
      <c r="D2266" t="s">
        <v>57</v>
      </c>
      <c r="E2266" t="s">
        <v>48</v>
      </c>
      <c r="F2266" t="s">
        <v>32</v>
      </c>
      <c r="G2266" t="s">
        <v>58</v>
      </c>
      <c r="H2266" t="s">
        <v>67</v>
      </c>
      <c r="I2266" t="s">
        <v>35</v>
      </c>
      <c r="J2266" t="s">
        <v>27</v>
      </c>
      <c r="K2266">
        <v>8</v>
      </c>
      <c r="L2266">
        <v>94326</v>
      </c>
      <c r="M2266" t="s">
        <v>36</v>
      </c>
      <c r="N2266">
        <v>4</v>
      </c>
      <c r="O2266">
        <v>2</v>
      </c>
      <c r="P2266">
        <v>10</v>
      </c>
      <c r="Q2266">
        <v>1</v>
      </c>
      <c r="R2266" s="1">
        <v>42144</v>
      </c>
      <c r="S2266" t="s">
        <v>37</v>
      </c>
      <c r="T2266" t="str">
        <f t="shared" si="175"/>
        <v>Grade A</v>
      </c>
      <c r="U2266">
        <f t="shared" si="176"/>
        <v>1</v>
      </c>
      <c r="V2266" t="str">
        <f t="shared" si="177"/>
        <v>Mid Level</v>
      </c>
      <c r="W2266" t="str">
        <f t="shared" si="178"/>
        <v>Already Left</v>
      </c>
      <c r="X2266" t="str">
        <f t="shared" si="179"/>
        <v>Overpaid</v>
      </c>
    </row>
    <row r="2267" spans="1:24" x14ac:dyDescent="0.3">
      <c r="A2267" t="s">
        <v>2335</v>
      </c>
      <c r="B2267" t="s">
        <v>20</v>
      </c>
      <c r="C2267">
        <v>36</v>
      </c>
      <c r="D2267" t="s">
        <v>21</v>
      </c>
      <c r="E2267" t="s">
        <v>22</v>
      </c>
      <c r="F2267" t="s">
        <v>41</v>
      </c>
      <c r="G2267" t="s">
        <v>63</v>
      </c>
      <c r="H2267" t="s">
        <v>25</v>
      </c>
      <c r="I2267" t="s">
        <v>72</v>
      </c>
      <c r="J2267" t="s">
        <v>73</v>
      </c>
      <c r="K2267">
        <v>9</v>
      </c>
      <c r="L2267">
        <v>61407</v>
      </c>
      <c r="M2267" t="s">
        <v>28</v>
      </c>
      <c r="N2267">
        <v>2</v>
      </c>
      <c r="O2267">
        <v>1</v>
      </c>
      <c r="P2267">
        <v>48</v>
      </c>
      <c r="Q2267">
        <v>0</v>
      </c>
      <c r="R2267" s="1">
        <v>41786</v>
      </c>
      <c r="S2267" t="s">
        <v>29</v>
      </c>
      <c r="T2267" t="str">
        <f t="shared" si="175"/>
        <v>Grade B</v>
      </c>
      <c r="U2267">
        <f t="shared" si="176"/>
        <v>3</v>
      </c>
      <c r="V2267" t="str">
        <f t="shared" si="177"/>
        <v>Mid Level</v>
      </c>
      <c r="W2267" t="str">
        <f t="shared" si="178"/>
        <v>Medium Risk</v>
      </c>
      <c r="X2267" t="str">
        <f t="shared" si="179"/>
        <v>Competitive</v>
      </c>
    </row>
    <row r="2268" spans="1:24" x14ac:dyDescent="0.3">
      <c r="A2268" t="s">
        <v>2336</v>
      </c>
      <c r="B2268" t="s">
        <v>20</v>
      </c>
      <c r="C2268">
        <v>26</v>
      </c>
      <c r="D2268" t="s">
        <v>21</v>
      </c>
      <c r="E2268" t="s">
        <v>40</v>
      </c>
      <c r="F2268" t="s">
        <v>65</v>
      </c>
      <c r="G2268" t="s">
        <v>58</v>
      </c>
      <c r="H2268" t="s">
        <v>67</v>
      </c>
      <c r="I2268" t="s">
        <v>96</v>
      </c>
      <c r="J2268" t="s">
        <v>44</v>
      </c>
      <c r="K2268">
        <v>5</v>
      </c>
      <c r="L2268">
        <v>96829</v>
      </c>
      <c r="M2268" t="s">
        <v>51</v>
      </c>
      <c r="N2268">
        <v>3</v>
      </c>
      <c r="O2268">
        <v>1</v>
      </c>
      <c r="P2268">
        <v>67</v>
      </c>
      <c r="Q2268">
        <v>2</v>
      </c>
      <c r="R2268" s="1">
        <v>43428</v>
      </c>
      <c r="S2268" t="s">
        <v>29</v>
      </c>
      <c r="T2268" t="str">
        <f t="shared" si="175"/>
        <v>Grade A</v>
      </c>
      <c r="U2268">
        <f t="shared" si="176"/>
        <v>4</v>
      </c>
      <c r="V2268" t="str">
        <f t="shared" si="177"/>
        <v>Junior</v>
      </c>
      <c r="W2268" t="str">
        <f t="shared" si="178"/>
        <v>Low Risk</v>
      </c>
      <c r="X2268" t="str">
        <f t="shared" si="179"/>
        <v>Competitive</v>
      </c>
    </row>
    <row r="2269" spans="1:24" x14ac:dyDescent="0.3">
      <c r="A2269" t="s">
        <v>2337</v>
      </c>
      <c r="B2269" t="s">
        <v>20</v>
      </c>
      <c r="C2269">
        <v>53</v>
      </c>
      <c r="D2269" t="s">
        <v>57</v>
      </c>
      <c r="E2269" t="s">
        <v>22</v>
      </c>
      <c r="F2269" t="s">
        <v>23</v>
      </c>
      <c r="G2269" t="s">
        <v>66</v>
      </c>
      <c r="H2269" t="s">
        <v>34</v>
      </c>
      <c r="I2269" t="s">
        <v>72</v>
      </c>
      <c r="J2269" t="s">
        <v>73</v>
      </c>
      <c r="K2269">
        <v>9</v>
      </c>
      <c r="L2269">
        <v>48367</v>
      </c>
      <c r="M2269" t="s">
        <v>45</v>
      </c>
      <c r="N2269">
        <v>2</v>
      </c>
      <c r="O2269">
        <v>4</v>
      </c>
      <c r="P2269">
        <v>74</v>
      </c>
      <c r="Q2269">
        <v>2</v>
      </c>
      <c r="R2269" s="1">
        <v>41858</v>
      </c>
      <c r="S2269" t="s">
        <v>29</v>
      </c>
      <c r="T2269" t="str">
        <f t="shared" si="175"/>
        <v>Grade C</v>
      </c>
      <c r="U2269">
        <f t="shared" si="176"/>
        <v>2</v>
      </c>
      <c r="V2269" t="str">
        <f t="shared" si="177"/>
        <v>Mid Level</v>
      </c>
      <c r="W2269" t="str">
        <f t="shared" si="178"/>
        <v>Medium Risk</v>
      </c>
      <c r="X2269" t="str">
        <f t="shared" si="179"/>
        <v>Fair</v>
      </c>
    </row>
    <row r="2270" spans="1:24" x14ac:dyDescent="0.3">
      <c r="A2270" t="s">
        <v>2338</v>
      </c>
      <c r="B2270" t="s">
        <v>20</v>
      </c>
      <c r="C2270">
        <v>47</v>
      </c>
      <c r="D2270" t="s">
        <v>31</v>
      </c>
      <c r="E2270" t="s">
        <v>40</v>
      </c>
      <c r="F2270" t="s">
        <v>78</v>
      </c>
      <c r="G2270" t="s">
        <v>58</v>
      </c>
      <c r="H2270" t="s">
        <v>34</v>
      </c>
      <c r="I2270" t="s">
        <v>43</v>
      </c>
      <c r="J2270" t="s">
        <v>44</v>
      </c>
      <c r="K2270">
        <v>1</v>
      </c>
      <c r="L2270">
        <v>95321</v>
      </c>
      <c r="M2270" t="s">
        <v>36</v>
      </c>
      <c r="N2270">
        <v>3</v>
      </c>
      <c r="O2270">
        <v>1</v>
      </c>
      <c r="P2270">
        <v>53</v>
      </c>
      <c r="Q2270">
        <v>1</v>
      </c>
      <c r="R2270" s="1">
        <v>44594</v>
      </c>
      <c r="S2270" t="s">
        <v>37</v>
      </c>
      <c r="T2270" t="str">
        <f t="shared" si="175"/>
        <v>Grade A</v>
      </c>
      <c r="U2270">
        <f t="shared" si="176"/>
        <v>1</v>
      </c>
      <c r="V2270" t="str">
        <f t="shared" si="177"/>
        <v>New Joiner</v>
      </c>
      <c r="W2270" t="str">
        <f t="shared" si="178"/>
        <v>Already Left</v>
      </c>
      <c r="X2270" t="str">
        <f t="shared" si="179"/>
        <v>Overpaid</v>
      </c>
    </row>
    <row r="2271" spans="1:24" x14ac:dyDescent="0.3">
      <c r="A2271" t="s">
        <v>2339</v>
      </c>
      <c r="B2271" t="s">
        <v>20</v>
      </c>
      <c r="C2271">
        <v>37</v>
      </c>
      <c r="D2271" t="s">
        <v>47</v>
      </c>
      <c r="E2271" t="s">
        <v>40</v>
      </c>
      <c r="F2271" t="s">
        <v>65</v>
      </c>
      <c r="G2271" t="s">
        <v>24</v>
      </c>
      <c r="H2271" t="s">
        <v>83</v>
      </c>
      <c r="I2271" t="s">
        <v>72</v>
      </c>
      <c r="J2271" t="s">
        <v>73</v>
      </c>
      <c r="K2271">
        <v>8</v>
      </c>
      <c r="L2271">
        <v>95479</v>
      </c>
      <c r="M2271" t="s">
        <v>51</v>
      </c>
      <c r="N2271">
        <v>2</v>
      </c>
      <c r="O2271">
        <v>1</v>
      </c>
      <c r="P2271">
        <v>25</v>
      </c>
      <c r="Q2271">
        <v>1</v>
      </c>
      <c r="R2271" s="1">
        <v>42140</v>
      </c>
      <c r="S2271" t="s">
        <v>29</v>
      </c>
      <c r="T2271" t="str">
        <f t="shared" si="175"/>
        <v>Grade A</v>
      </c>
      <c r="U2271">
        <f t="shared" si="176"/>
        <v>4</v>
      </c>
      <c r="V2271" t="str">
        <f t="shared" si="177"/>
        <v>Mid Level</v>
      </c>
      <c r="W2271" t="str">
        <f t="shared" si="178"/>
        <v>Low Risk</v>
      </c>
      <c r="X2271" t="str">
        <f t="shared" si="179"/>
        <v>Competitive</v>
      </c>
    </row>
    <row r="2272" spans="1:24" x14ac:dyDescent="0.3">
      <c r="A2272" t="s">
        <v>2340</v>
      </c>
      <c r="B2272" t="s">
        <v>39</v>
      </c>
      <c r="C2272">
        <v>49</v>
      </c>
      <c r="D2272" t="s">
        <v>47</v>
      </c>
      <c r="E2272" t="s">
        <v>48</v>
      </c>
      <c r="F2272" t="s">
        <v>23</v>
      </c>
      <c r="G2272" t="s">
        <v>24</v>
      </c>
      <c r="H2272" t="s">
        <v>25</v>
      </c>
      <c r="I2272" t="s">
        <v>68</v>
      </c>
      <c r="J2272" t="s">
        <v>60</v>
      </c>
      <c r="K2272">
        <v>2</v>
      </c>
      <c r="L2272">
        <v>71071</v>
      </c>
      <c r="M2272" t="s">
        <v>51</v>
      </c>
      <c r="N2272">
        <v>1</v>
      </c>
      <c r="O2272">
        <v>1</v>
      </c>
      <c r="P2272">
        <v>15</v>
      </c>
      <c r="Q2272">
        <v>2</v>
      </c>
      <c r="R2272" s="1">
        <v>44432</v>
      </c>
      <c r="S2272" t="s">
        <v>29</v>
      </c>
      <c r="T2272" t="str">
        <f t="shared" si="175"/>
        <v>Grade B</v>
      </c>
      <c r="U2272">
        <f t="shared" si="176"/>
        <v>4</v>
      </c>
      <c r="V2272" t="str">
        <f t="shared" si="177"/>
        <v>New Joiner</v>
      </c>
      <c r="W2272" t="str">
        <f t="shared" si="178"/>
        <v>Low Risk</v>
      </c>
      <c r="X2272" t="str">
        <f t="shared" si="179"/>
        <v>Fair</v>
      </c>
    </row>
    <row r="2273" spans="1:24" x14ac:dyDescent="0.3">
      <c r="A2273" t="s">
        <v>2341</v>
      </c>
      <c r="B2273" t="s">
        <v>20</v>
      </c>
      <c r="C2273">
        <v>39</v>
      </c>
      <c r="D2273" t="s">
        <v>57</v>
      </c>
      <c r="E2273" t="s">
        <v>22</v>
      </c>
      <c r="F2273" t="s">
        <v>53</v>
      </c>
      <c r="G2273" t="s">
        <v>66</v>
      </c>
      <c r="H2273" t="s">
        <v>25</v>
      </c>
      <c r="I2273" t="s">
        <v>50</v>
      </c>
      <c r="J2273" t="s">
        <v>44</v>
      </c>
      <c r="K2273">
        <v>7</v>
      </c>
      <c r="L2273">
        <v>41104</v>
      </c>
      <c r="M2273" t="s">
        <v>51</v>
      </c>
      <c r="N2273">
        <v>1</v>
      </c>
      <c r="O2273">
        <v>4</v>
      </c>
      <c r="P2273">
        <v>16</v>
      </c>
      <c r="Q2273">
        <v>3</v>
      </c>
      <c r="R2273" s="1">
        <v>42392</v>
      </c>
      <c r="S2273" t="s">
        <v>37</v>
      </c>
      <c r="T2273" t="str">
        <f t="shared" si="175"/>
        <v>Grade C</v>
      </c>
      <c r="U2273">
        <f t="shared" si="176"/>
        <v>4</v>
      </c>
      <c r="V2273" t="str">
        <f t="shared" si="177"/>
        <v>Mid Level</v>
      </c>
      <c r="W2273" t="str">
        <f t="shared" si="178"/>
        <v>Already Left</v>
      </c>
      <c r="X2273" t="str">
        <f t="shared" si="179"/>
        <v>Fair</v>
      </c>
    </row>
    <row r="2274" spans="1:24" x14ac:dyDescent="0.3">
      <c r="A2274" t="s">
        <v>2342</v>
      </c>
      <c r="B2274" t="s">
        <v>39</v>
      </c>
      <c r="C2274">
        <v>50</v>
      </c>
      <c r="D2274" t="s">
        <v>88</v>
      </c>
      <c r="E2274" t="s">
        <v>22</v>
      </c>
      <c r="F2274" t="s">
        <v>65</v>
      </c>
      <c r="G2274" t="s">
        <v>63</v>
      </c>
      <c r="H2274" t="s">
        <v>76</v>
      </c>
      <c r="I2274" t="s">
        <v>80</v>
      </c>
      <c r="J2274" t="s">
        <v>60</v>
      </c>
      <c r="K2274">
        <v>15</v>
      </c>
      <c r="L2274">
        <v>71397</v>
      </c>
      <c r="M2274" t="s">
        <v>36</v>
      </c>
      <c r="N2274">
        <v>3</v>
      </c>
      <c r="O2274">
        <v>3</v>
      </c>
      <c r="P2274">
        <v>79</v>
      </c>
      <c r="Q2274">
        <v>0</v>
      </c>
      <c r="R2274" s="1">
        <v>39687</v>
      </c>
      <c r="S2274" t="s">
        <v>37</v>
      </c>
      <c r="T2274" t="str">
        <f t="shared" si="175"/>
        <v>Grade B</v>
      </c>
      <c r="U2274">
        <f t="shared" si="176"/>
        <v>1</v>
      </c>
      <c r="V2274" t="str">
        <f t="shared" si="177"/>
        <v>Senior</v>
      </c>
      <c r="W2274" t="str">
        <f t="shared" si="178"/>
        <v>Already Left</v>
      </c>
      <c r="X2274" t="str">
        <f t="shared" si="179"/>
        <v>Fair</v>
      </c>
    </row>
    <row r="2275" spans="1:24" x14ac:dyDescent="0.3">
      <c r="A2275" t="s">
        <v>2343</v>
      </c>
      <c r="B2275" t="s">
        <v>20</v>
      </c>
      <c r="C2275">
        <v>53</v>
      </c>
      <c r="D2275" t="s">
        <v>57</v>
      </c>
      <c r="E2275" t="s">
        <v>48</v>
      </c>
      <c r="F2275" t="s">
        <v>41</v>
      </c>
      <c r="G2275" t="s">
        <v>79</v>
      </c>
      <c r="H2275" t="s">
        <v>34</v>
      </c>
      <c r="I2275" t="s">
        <v>59</v>
      </c>
      <c r="J2275" t="s">
        <v>60</v>
      </c>
      <c r="K2275">
        <v>15</v>
      </c>
      <c r="L2275">
        <v>63270</v>
      </c>
      <c r="M2275" t="s">
        <v>51</v>
      </c>
      <c r="N2275">
        <v>4</v>
      </c>
      <c r="O2275">
        <v>4</v>
      </c>
      <c r="P2275">
        <v>19</v>
      </c>
      <c r="Q2275">
        <v>2</v>
      </c>
      <c r="R2275" s="1">
        <v>39646</v>
      </c>
      <c r="S2275" t="s">
        <v>29</v>
      </c>
      <c r="T2275" t="str">
        <f t="shared" si="175"/>
        <v>Grade B</v>
      </c>
      <c r="U2275">
        <f t="shared" si="176"/>
        <v>4</v>
      </c>
      <c r="V2275" t="str">
        <f t="shared" si="177"/>
        <v>Senior</v>
      </c>
      <c r="W2275" t="str">
        <f t="shared" si="178"/>
        <v>Low Risk</v>
      </c>
      <c r="X2275" t="str">
        <f t="shared" si="179"/>
        <v>Fair</v>
      </c>
    </row>
    <row r="2276" spans="1:24" x14ac:dyDescent="0.3">
      <c r="A2276" t="s">
        <v>2344</v>
      </c>
      <c r="B2276" t="s">
        <v>39</v>
      </c>
      <c r="C2276">
        <v>28</v>
      </c>
      <c r="D2276" t="s">
        <v>57</v>
      </c>
      <c r="E2276" t="s">
        <v>48</v>
      </c>
      <c r="F2276" t="s">
        <v>62</v>
      </c>
      <c r="G2276" t="s">
        <v>58</v>
      </c>
      <c r="H2276" t="s">
        <v>34</v>
      </c>
      <c r="I2276" t="s">
        <v>68</v>
      </c>
      <c r="J2276" t="s">
        <v>60</v>
      </c>
      <c r="K2276">
        <v>12</v>
      </c>
      <c r="L2276">
        <v>102159</v>
      </c>
      <c r="M2276" t="s">
        <v>36</v>
      </c>
      <c r="N2276">
        <v>3</v>
      </c>
      <c r="O2276">
        <v>3</v>
      </c>
      <c r="P2276">
        <v>19</v>
      </c>
      <c r="Q2276">
        <v>3</v>
      </c>
      <c r="R2276" s="1">
        <v>40622</v>
      </c>
      <c r="S2276" t="s">
        <v>37</v>
      </c>
      <c r="T2276" t="str">
        <f t="shared" si="175"/>
        <v>Grade A</v>
      </c>
      <c r="U2276">
        <f t="shared" si="176"/>
        <v>1</v>
      </c>
      <c r="V2276" t="str">
        <f t="shared" si="177"/>
        <v>Senior</v>
      </c>
      <c r="W2276" t="str">
        <f t="shared" si="178"/>
        <v>Already Left</v>
      </c>
      <c r="X2276" t="str">
        <f t="shared" si="179"/>
        <v>Overpaid</v>
      </c>
    </row>
    <row r="2277" spans="1:24" x14ac:dyDescent="0.3">
      <c r="A2277" t="s">
        <v>2345</v>
      </c>
      <c r="B2277" t="s">
        <v>20</v>
      </c>
      <c r="C2277">
        <v>36</v>
      </c>
      <c r="D2277" t="s">
        <v>31</v>
      </c>
      <c r="E2277" t="s">
        <v>48</v>
      </c>
      <c r="F2277" t="s">
        <v>23</v>
      </c>
      <c r="G2277" t="s">
        <v>49</v>
      </c>
      <c r="H2277" t="s">
        <v>67</v>
      </c>
      <c r="I2277" t="s">
        <v>96</v>
      </c>
      <c r="J2277" t="s">
        <v>44</v>
      </c>
      <c r="K2277">
        <v>11</v>
      </c>
      <c r="L2277">
        <v>80190</v>
      </c>
      <c r="M2277" t="s">
        <v>28</v>
      </c>
      <c r="N2277">
        <v>2</v>
      </c>
      <c r="O2277">
        <v>4</v>
      </c>
      <c r="P2277">
        <v>68</v>
      </c>
      <c r="Q2277">
        <v>1</v>
      </c>
      <c r="R2277" s="1">
        <v>41149</v>
      </c>
      <c r="S2277" t="s">
        <v>37</v>
      </c>
      <c r="T2277" t="str">
        <f t="shared" si="175"/>
        <v>Grade A</v>
      </c>
      <c r="U2277">
        <f t="shared" si="176"/>
        <v>3</v>
      </c>
      <c r="V2277" t="str">
        <f t="shared" si="177"/>
        <v>Senior</v>
      </c>
      <c r="W2277" t="str">
        <f t="shared" si="178"/>
        <v>Already Left</v>
      </c>
      <c r="X2277" t="str">
        <f t="shared" si="179"/>
        <v>Competitive</v>
      </c>
    </row>
    <row r="2278" spans="1:24" x14ac:dyDescent="0.3">
      <c r="A2278" t="s">
        <v>2346</v>
      </c>
      <c r="B2278" t="s">
        <v>20</v>
      </c>
      <c r="C2278">
        <v>55</v>
      </c>
      <c r="D2278" t="s">
        <v>88</v>
      </c>
      <c r="E2278" t="s">
        <v>40</v>
      </c>
      <c r="F2278" t="s">
        <v>32</v>
      </c>
      <c r="G2278" t="s">
        <v>66</v>
      </c>
      <c r="H2278" t="s">
        <v>67</v>
      </c>
      <c r="I2278" t="s">
        <v>72</v>
      </c>
      <c r="J2278" t="s">
        <v>73</v>
      </c>
      <c r="K2278">
        <v>10</v>
      </c>
      <c r="L2278">
        <v>64269</v>
      </c>
      <c r="M2278" t="s">
        <v>51</v>
      </c>
      <c r="N2278">
        <v>4</v>
      </c>
      <c r="O2278">
        <v>2</v>
      </c>
      <c r="P2278">
        <v>56</v>
      </c>
      <c r="Q2278">
        <v>3</v>
      </c>
      <c r="R2278" s="1">
        <v>41370</v>
      </c>
      <c r="S2278" t="s">
        <v>29</v>
      </c>
      <c r="T2278" t="str">
        <f t="shared" si="175"/>
        <v>Grade B</v>
      </c>
      <c r="U2278">
        <f t="shared" si="176"/>
        <v>4</v>
      </c>
      <c r="V2278" t="str">
        <f t="shared" si="177"/>
        <v>Mid Level</v>
      </c>
      <c r="W2278" t="str">
        <f t="shared" si="178"/>
        <v>Low Risk</v>
      </c>
      <c r="X2278" t="str">
        <f t="shared" si="179"/>
        <v>Fair</v>
      </c>
    </row>
    <row r="2279" spans="1:24" x14ac:dyDescent="0.3">
      <c r="A2279" t="s">
        <v>2347</v>
      </c>
      <c r="B2279" t="s">
        <v>20</v>
      </c>
      <c r="C2279">
        <v>23</v>
      </c>
      <c r="D2279" t="s">
        <v>88</v>
      </c>
      <c r="E2279" t="s">
        <v>22</v>
      </c>
      <c r="F2279" t="s">
        <v>78</v>
      </c>
      <c r="G2279" t="s">
        <v>66</v>
      </c>
      <c r="H2279" t="s">
        <v>67</v>
      </c>
      <c r="I2279" t="s">
        <v>68</v>
      </c>
      <c r="J2279" t="s">
        <v>60</v>
      </c>
      <c r="K2279">
        <v>4</v>
      </c>
      <c r="L2279">
        <v>48486</v>
      </c>
      <c r="M2279" t="s">
        <v>28</v>
      </c>
      <c r="N2279">
        <v>4</v>
      </c>
      <c r="O2279">
        <v>4</v>
      </c>
      <c r="P2279">
        <v>35</v>
      </c>
      <c r="Q2279">
        <v>2</v>
      </c>
      <c r="R2279" s="1">
        <v>43749</v>
      </c>
      <c r="S2279" t="s">
        <v>37</v>
      </c>
      <c r="T2279" t="str">
        <f t="shared" si="175"/>
        <v>Grade C</v>
      </c>
      <c r="U2279">
        <f t="shared" si="176"/>
        <v>3</v>
      </c>
      <c r="V2279" t="str">
        <f t="shared" si="177"/>
        <v>Junior</v>
      </c>
      <c r="W2279" t="str">
        <f t="shared" si="178"/>
        <v>Already Left</v>
      </c>
      <c r="X2279" t="str">
        <f t="shared" si="179"/>
        <v>Fair</v>
      </c>
    </row>
    <row r="2280" spans="1:24" x14ac:dyDescent="0.3">
      <c r="A2280" t="s">
        <v>2348</v>
      </c>
      <c r="B2280" t="s">
        <v>39</v>
      </c>
      <c r="C2280">
        <v>42</v>
      </c>
      <c r="D2280" t="s">
        <v>57</v>
      </c>
      <c r="E2280" t="s">
        <v>40</v>
      </c>
      <c r="F2280" t="s">
        <v>62</v>
      </c>
      <c r="G2280" t="s">
        <v>24</v>
      </c>
      <c r="H2280" t="s">
        <v>34</v>
      </c>
      <c r="I2280" t="s">
        <v>43</v>
      </c>
      <c r="J2280" t="s">
        <v>44</v>
      </c>
      <c r="K2280">
        <v>5</v>
      </c>
      <c r="L2280">
        <v>89906</v>
      </c>
      <c r="M2280" t="s">
        <v>45</v>
      </c>
      <c r="N2280">
        <v>3</v>
      </c>
      <c r="O2280">
        <v>2</v>
      </c>
      <c r="P2280">
        <v>40</v>
      </c>
      <c r="Q2280">
        <v>0</v>
      </c>
      <c r="R2280" s="1">
        <v>43168</v>
      </c>
      <c r="S2280" t="s">
        <v>29</v>
      </c>
      <c r="T2280" t="str">
        <f t="shared" si="175"/>
        <v>Grade A</v>
      </c>
      <c r="U2280">
        <f t="shared" si="176"/>
        <v>2</v>
      </c>
      <c r="V2280" t="str">
        <f t="shared" si="177"/>
        <v>Junior</v>
      </c>
      <c r="W2280" t="str">
        <f t="shared" si="178"/>
        <v>Medium Risk</v>
      </c>
      <c r="X2280" t="str">
        <f t="shared" si="179"/>
        <v>Fair</v>
      </c>
    </row>
    <row r="2281" spans="1:24" x14ac:dyDescent="0.3">
      <c r="A2281" t="s">
        <v>2349</v>
      </c>
      <c r="B2281" t="s">
        <v>39</v>
      </c>
      <c r="C2281">
        <v>41</v>
      </c>
      <c r="D2281" t="s">
        <v>21</v>
      </c>
      <c r="E2281" t="s">
        <v>48</v>
      </c>
      <c r="F2281" t="s">
        <v>75</v>
      </c>
      <c r="G2281" t="s">
        <v>24</v>
      </c>
      <c r="H2281" t="s">
        <v>76</v>
      </c>
      <c r="I2281" t="s">
        <v>35</v>
      </c>
      <c r="J2281" t="s">
        <v>27</v>
      </c>
      <c r="K2281">
        <v>3</v>
      </c>
      <c r="L2281">
        <v>86509</v>
      </c>
      <c r="M2281" t="s">
        <v>36</v>
      </c>
      <c r="N2281">
        <v>2</v>
      </c>
      <c r="O2281">
        <v>1</v>
      </c>
      <c r="P2281">
        <v>23</v>
      </c>
      <c r="Q2281">
        <v>3</v>
      </c>
      <c r="R2281" s="1">
        <v>44082</v>
      </c>
      <c r="S2281" t="s">
        <v>37</v>
      </c>
      <c r="T2281" t="str">
        <f t="shared" si="175"/>
        <v>Grade A</v>
      </c>
      <c r="U2281">
        <f t="shared" si="176"/>
        <v>1</v>
      </c>
      <c r="V2281" t="str">
        <f t="shared" si="177"/>
        <v>Junior</v>
      </c>
      <c r="W2281" t="str">
        <f t="shared" si="178"/>
        <v>Already Left</v>
      </c>
      <c r="X2281" t="str">
        <f t="shared" si="179"/>
        <v>Overpaid</v>
      </c>
    </row>
    <row r="2282" spans="1:24" x14ac:dyDescent="0.3">
      <c r="A2282" t="s">
        <v>2350</v>
      </c>
      <c r="B2282" t="s">
        <v>39</v>
      </c>
      <c r="C2282">
        <v>27</v>
      </c>
      <c r="D2282" t="s">
        <v>31</v>
      </c>
      <c r="E2282" t="s">
        <v>48</v>
      </c>
      <c r="F2282" t="s">
        <v>32</v>
      </c>
      <c r="G2282" t="s">
        <v>58</v>
      </c>
      <c r="H2282" t="s">
        <v>67</v>
      </c>
      <c r="I2282" t="s">
        <v>43</v>
      </c>
      <c r="J2282" t="s">
        <v>44</v>
      </c>
      <c r="K2282">
        <v>13</v>
      </c>
      <c r="L2282">
        <v>104823</v>
      </c>
      <c r="M2282" t="s">
        <v>45</v>
      </c>
      <c r="N2282">
        <v>2</v>
      </c>
      <c r="O2282">
        <v>3</v>
      </c>
      <c r="P2282">
        <v>53</v>
      </c>
      <c r="Q2282">
        <v>1</v>
      </c>
      <c r="R2282" s="1">
        <v>40194</v>
      </c>
      <c r="S2282" t="s">
        <v>29</v>
      </c>
      <c r="T2282" t="str">
        <f t="shared" si="175"/>
        <v>Grade A</v>
      </c>
      <c r="U2282">
        <f t="shared" si="176"/>
        <v>2</v>
      </c>
      <c r="V2282" t="str">
        <f t="shared" si="177"/>
        <v>Senior</v>
      </c>
      <c r="W2282" t="str">
        <f t="shared" si="178"/>
        <v>Medium Risk</v>
      </c>
      <c r="X2282" t="str">
        <f t="shared" si="179"/>
        <v>Fair</v>
      </c>
    </row>
    <row r="2283" spans="1:24" x14ac:dyDescent="0.3">
      <c r="A2283" t="s">
        <v>2351</v>
      </c>
      <c r="B2283" t="s">
        <v>20</v>
      </c>
      <c r="C2283">
        <v>51</v>
      </c>
      <c r="D2283" t="s">
        <v>21</v>
      </c>
      <c r="E2283" t="s">
        <v>48</v>
      </c>
      <c r="F2283" t="s">
        <v>32</v>
      </c>
      <c r="G2283" t="s">
        <v>63</v>
      </c>
      <c r="H2283" t="s">
        <v>76</v>
      </c>
      <c r="I2283" t="s">
        <v>43</v>
      </c>
      <c r="J2283" t="s">
        <v>44</v>
      </c>
      <c r="K2283">
        <v>13</v>
      </c>
      <c r="L2283">
        <v>66962</v>
      </c>
      <c r="M2283" t="s">
        <v>28</v>
      </c>
      <c r="N2283">
        <v>3</v>
      </c>
      <c r="O2283">
        <v>3</v>
      </c>
      <c r="P2283">
        <v>56</v>
      </c>
      <c r="Q2283">
        <v>2</v>
      </c>
      <c r="R2283" s="1">
        <v>40448</v>
      </c>
      <c r="S2283" t="s">
        <v>29</v>
      </c>
      <c r="T2283" t="str">
        <f t="shared" si="175"/>
        <v>Grade B</v>
      </c>
      <c r="U2283">
        <f t="shared" si="176"/>
        <v>3</v>
      </c>
      <c r="V2283" t="str">
        <f t="shared" si="177"/>
        <v>Senior</v>
      </c>
      <c r="W2283" t="str">
        <f t="shared" si="178"/>
        <v>Medium Risk</v>
      </c>
      <c r="X2283" t="str">
        <f t="shared" si="179"/>
        <v>Competitive</v>
      </c>
    </row>
    <row r="2284" spans="1:24" x14ac:dyDescent="0.3">
      <c r="A2284" t="s">
        <v>2352</v>
      </c>
      <c r="B2284" t="s">
        <v>39</v>
      </c>
      <c r="C2284">
        <v>51</v>
      </c>
      <c r="D2284" t="s">
        <v>31</v>
      </c>
      <c r="E2284" t="s">
        <v>48</v>
      </c>
      <c r="F2284" t="s">
        <v>62</v>
      </c>
      <c r="G2284" t="s">
        <v>42</v>
      </c>
      <c r="H2284" t="s">
        <v>67</v>
      </c>
      <c r="I2284" t="s">
        <v>26</v>
      </c>
      <c r="J2284" t="s">
        <v>27</v>
      </c>
      <c r="K2284">
        <v>14</v>
      </c>
      <c r="L2284">
        <v>117826</v>
      </c>
      <c r="M2284" t="s">
        <v>45</v>
      </c>
      <c r="N2284">
        <v>3</v>
      </c>
      <c r="O2284">
        <v>3</v>
      </c>
      <c r="P2284">
        <v>52</v>
      </c>
      <c r="Q2284">
        <v>3</v>
      </c>
      <c r="R2284" s="1">
        <v>40143</v>
      </c>
      <c r="S2284" t="s">
        <v>37</v>
      </c>
      <c r="T2284" t="str">
        <f t="shared" si="175"/>
        <v>Grade A</v>
      </c>
      <c r="U2284">
        <f t="shared" si="176"/>
        <v>2</v>
      </c>
      <c r="V2284" t="str">
        <f t="shared" si="177"/>
        <v>Senior</v>
      </c>
      <c r="W2284" t="str">
        <f t="shared" si="178"/>
        <v>Already Left</v>
      </c>
      <c r="X2284" t="str">
        <f t="shared" si="179"/>
        <v>Fair</v>
      </c>
    </row>
    <row r="2285" spans="1:24" x14ac:dyDescent="0.3">
      <c r="A2285" t="s">
        <v>2353</v>
      </c>
      <c r="B2285" t="s">
        <v>39</v>
      </c>
      <c r="C2285">
        <v>45</v>
      </c>
      <c r="D2285" t="s">
        <v>21</v>
      </c>
      <c r="E2285" t="s">
        <v>22</v>
      </c>
      <c r="F2285" t="s">
        <v>53</v>
      </c>
      <c r="G2285" t="s">
        <v>42</v>
      </c>
      <c r="H2285" t="s">
        <v>83</v>
      </c>
      <c r="I2285" t="s">
        <v>80</v>
      </c>
      <c r="J2285" t="s">
        <v>60</v>
      </c>
      <c r="K2285">
        <v>3</v>
      </c>
      <c r="L2285">
        <v>103404</v>
      </c>
      <c r="M2285" t="s">
        <v>45</v>
      </c>
      <c r="N2285">
        <v>1</v>
      </c>
      <c r="O2285">
        <v>1</v>
      </c>
      <c r="P2285">
        <v>62</v>
      </c>
      <c r="Q2285">
        <v>2</v>
      </c>
      <c r="R2285" s="1">
        <v>43939</v>
      </c>
      <c r="S2285" t="s">
        <v>29</v>
      </c>
      <c r="T2285" t="str">
        <f t="shared" si="175"/>
        <v>Grade A</v>
      </c>
      <c r="U2285">
        <f t="shared" si="176"/>
        <v>2</v>
      </c>
      <c r="V2285" t="str">
        <f t="shared" si="177"/>
        <v>Junior</v>
      </c>
      <c r="W2285" t="str">
        <f t="shared" si="178"/>
        <v>Medium Risk</v>
      </c>
      <c r="X2285" t="str">
        <f t="shared" si="179"/>
        <v>Fair</v>
      </c>
    </row>
    <row r="2286" spans="1:24" x14ac:dyDescent="0.3">
      <c r="A2286" t="s">
        <v>2354</v>
      </c>
      <c r="B2286" t="s">
        <v>39</v>
      </c>
      <c r="C2286">
        <v>38</v>
      </c>
      <c r="D2286" t="s">
        <v>57</v>
      </c>
      <c r="E2286" t="s">
        <v>40</v>
      </c>
      <c r="F2286" t="s">
        <v>53</v>
      </c>
      <c r="G2286" t="s">
        <v>24</v>
      </c>
      <c r="H2286" t="s">
        <v>25</v>
      </c>
      <c r="I2286" t="s">
        <v>96</v>
      </c>
      <c r="J2286" t="s">
        <v>44</v>
      </c>
      <c r="K2286">
        <v>5</v>
      </c>
      <c r="L2286">
        <v>94222</v>
      </c>
      <c r="M2286" t="s">
        <v>36</v>
      </c>
      <c r="N2286">
        <v>2</v>
      </c>
      <c r="O2286">
        <v>3</v>
      </c>
      <c r="P2286">
        <v>37</v>
      </c>
      <c r="Q2286">
        <v>3</v>
      </c>
      <c r="R2286" s="1">
        <v>43241</v>
      </c>
      <c r="S2286" t="s">
        <v>29</v>
      </c>
      <c r="T2286" t="str">
        <f t="shared" si="175"/>
        <v>Grade A</v>
      </c>
      <c r="U2286">
        <f t="shared" si="176"/>
        <v>1</v>
      </c>
      <c r="V2286" t="str">
        <f t="shared" si="177"/>
        <v>Junior</v>
      </c>
      <c r="W2286" t="str">
        <f t="shared" si="178"/>
        <v>Medium Risk</v>
      </c>
      <c r="X2286" t="str">
        <f t="shared" si="179"/>
        <v>Overpaid</v>
      </c>
    </row>
    <row r="2287" spans="1:24" x14ac:dyDescent="0.3">
      <c r="A2287" t="s">
        <v>2355</v>
      </c>
      <c r="B2287" t="s">
        <v>39</v>
      </c>
      <c r="C2287">
        <v>38</v>
      </c>
      <c r="D2287" t="s">
        <v>31</v>
      </c>
      <c r="E2287" t="s">
        <v>40</v>
      </c>
      <c r="F2287" t="s">
        <v>41</v>
      </c>
      <c r="G2287" t="s">
        <v>58</v>
      </c>
      <c r="H2287" t="s">
        <v>25</v>
      </c>
      <c r="I2287" t="s">
        <v>72</v>
      </c>
      <c r="J2287" t="s">
        <v>73</v>
      </c>
      <c r="K2287">
        <v>14</v>
      </c>
      <c r="L2287">
        <v>105003</v>
      </c>
      <c r="M2287" t="s">
        <v>28</v>
      </c>
      <c r="N2287">
        <v>1</v>
      </c>
      <c r="O2287">
        <v>2</v>
      </c>
      <c r="P2287">
        <v>45</v>
      </c>
      <c r="Q2287">
        <v>3</v>
      </c>
      <c r="R2287" s="1">
        <v>40021</v>
      </c>
      <c r="S2287" t="s">
        <v>29</v>
      </c>
      <c r="T2287" t="str">
        <f t="shared" si="175"/>
        <v>Grade A</v>
      </c>
      <c r="U2287">
        <f t="shared" si="176"/>
        <v>3</v>
      </c>
      <c r="V2287" t="str">
        <f t="shared" si="177"/>
        <v>Senior</v>
      </c>
      <c r="W2287" t="str">
        <f t="shared" si="178"/>
        <v>Medium Risk</v>
      </c>
      <c r="X2287" t="str">
        <f t="shared" si="179"/>
        <v>Competitive</v>
      </c>
    </row>
    <row r="2288" spans="1:24" x14ac:dyDescent="0.3">
      <c r="A2288" t="s">
        <v>2356</v>
      </c>
      <c r="B2288" t="s">
        <v>20</v>
      </c>
      <c r="C2288">
        <v>34</v>
      </c>
      <c r="D2288" t="s">
        <v>21</v>
      </c>
      <c r="E2288" t="s">
        <v>22</v>
      </c>
      <c r="F2288" t="s">
        <v>53</v>
      </c>
      <c r="G2288" t="s">
        <v>33</v>
      </c>
      <c r="H2288" t="s">
        <v>67</v>
      </c>
      <c r="I2288" t="s">
        <v>54</v>
      </c>
      <c r="J2288" t="s">
        <v>27</v>
      </c>
      <c r="K2288">
        <v>6</v>
      </c>
      <c r="L2288">
        <v>80274</v>
      </c>
      <c r="M2288" t="s">
        <v>51</v>
      </c>
      <c r="N2288">
        <v>1</v>
      </c>
      <c r="O2288">
        <v>2</v>
      </c>
      <c r="P2288">
        <v>42</v>
      </c>
      <c r="Q2288">
        <v>3</v>
      </c>
      <c r="R2288" s="1">
        <v>42969</v>
      </c>
      <c r="S2288" t="s">
        <v>29</v>
      </c>
      <c r="T2288" t="str">
        <f t="shared" si="175"/>
        <v>Grade A</v>
      </c>
      <c r="U2288">
        <f t="shared" si="176"/>
        <v>4</v>
      </c>
      <c r="V2288" t="str">
        <f t="shared" si="177"/>
        <v>Mid Level</v>
      </c>
      <c r="W2288" t="str">
        <f t="shared" si="178"/>
        <v>Low Risk</v>
      </c>
      <c r="X2288" t="str">
        <f t="shared" si="179"/>
        <v>Competitive</v>
      </c>
    </row>
    <row r="2289" spans="1:24" x14ac:dyDescent="0.3">
      <c r="A2289" t="s">
        <v>2357</v>
      </c>
      <c r="B2289" t="s">
        <v>20</v>
      </c>
      <c r="C2289">
        <v>48</v>
      </c>
      <c r="D2289" t="s">
        <v>21</v>
      </c>
      <c r="E2289" t="s">
        <v>48</v>
      </c>
      <c r="F2289" t="s">
        <v>32</v>
      </c>
      <c r="G2289" t="s">
        <v>42</v>
      </c>
      <c r="H2289" t="s">
        <v>76</v>
      </c>
      <c r="I2289" t="s">
        <v>80</v>
      </c>
      <c r="J2289" t="s">
        <v>60</v>
      </c>
      <c r="K2289">
        <v>3</v>
      </c>
      <c r="L2289">
        <v>97736</v>
      </c>
      <c r="M2289" t="s">
        <v>36</v>
      </c>
      <c r="N2289">
        <v>4</v>
      </c>
      <c r="O2289">
        <v>4</v>
      </c>
      <c r="P2289">
        <v>24</v>
      </c>
      <c r="Q2289">
        <v>0</v>
      </c>
      <c r="R2289" s="1">
        <v>44161</v>
      </c>
      <c r="S2289" t="s">
        <v>29</v>
      </c>
      <c r="T2289" t="str">
        <f t="shared" si="175"/>
        <v>Grade A</v>
      </c>
      <c r="U2289">
        <f t="shared" si="176"/>
        <v>1</v>
      </c>
      <c r="V2289" t="str">
        <f t="shared" si="177"/>
        <v>Junior</v>
      </c>
      <c r="W2289" t="str">
        <f t="shared" si="178"/>
        <v>Medium Risk</v>
      </c>
      <c r="X2289" t="str">
        <f t="shared" si="179"/>
        <v>Overpaid</v>
      </c>
    </row>
    <row r="2290" spans="1:24" x14ac:dyDescent="0.3">
      <c r="A2290" t="s">
        <v>2358</v>
      </c>
      <c r="B2290" t="s">
        <v>20</v>
      </c>
      <c r="C2290">
        <v>24</v>
      </c>
      <c r="D2290" t="s">
        <v>57</v>
      </c>
      <c r="E2290" t="s">
        <v>48</v>
      </c>
      <c r="F2290" t="s">
        <v>75</v>
      </c>
      <c r="G2290" t="s">
        <v>42</v>
      </c>
      <c r="H2290" t="s">
        <v>67</v>
      </c>
      <c r="I2290" t="s">
        <v>43</v>
      </c>
      <c r="J2290" t="s">
        <v>44</v>
      </c>
      <c r="K2290">
        <v>15</v>
      </c>
      <c r="L2290">
        <v>134894</v>
      </c>
      <c r="M2290" t="s">
        <v>36</v>
      </c>
      <c r="N2290">
        <v>1</v>
      </c>
      <c r="O2290">
        <v>4</v>
      </c>
      <c r="P2290">
        <v>19</v>
      </c>
      <c r="Q2290">
        <v>2</v>
      </c>
      <c r="R2290" s="1">
        <v>39785</v>
      </c>
      <c r="S2290" t="s">
        <v>37</v>
      </c>
      <c r="T2290" t="str">
        <f t="shared" si="175"/>
        <v>Grade A</v>
      </c>
      <c r="U2290">
        <f t="shared" si="176"/>
        <v>1</v>
      </c>
      <c r="V2290" t="str">
        <f t="shared" si="177"/>
        <v>Senior</v>
      </c>
      <c r="W2290" t="str">
        <f t="shared" si="178"/>
        <v>Already Left</v>
      </c>
      <c r="X2290" t="str">
        <f t="shared" si="179"/>
        <v>Overpaid</v>
      </c>
    </row>
    <row r="2291" spans="1:24" x14ac:dyDescent="0.3">
      <c r="A2291" t="s">
        <v>2359</v>
      </c>
      <c r="B2291" t="s">
        <v>39</v>
      </c>
      <c r="C2291">
        <v>34</v>
      </c>
      <c r="D2291" t="s">
        <v>21</v>
      </c>
      <c r="E2291" t="s">
        <v>48</v>
      </c>
      <c r="F2291" t="s">
        <v>41</v>
      </c>
      <c r="G2291" t="s">
        <v>79</v>
      </c>
      <c r="H2291" t="s">
        <v>25</v>
      </c>
      <c r="I2291" t="s">
        <v>96</v>
      </c>
      <c r="J2291" t="s">
        <v>44</v>
      </c>
      <c r="K2291">
        <v>2</v>
      </c>
      <c r="L2291">
        <v>39396</v>
      </c>
      <c r="M2291" t="s">
        <v>51</v>
      </c>
      <c r="N2291">
        <v>1</v>
      </c>
      <c r="O2291">
        <v>1</v>
      </c>
      <c r="P2291">
        <v>42</v>
      </c>
      <c r="Q2291">
        <v>0</v>
      </c>
      <c r="R2291" s="1">
        <v>44561</v>
      </c>
      <c r="S2291" t="s">
        <v>29</v>
      </c>
      <c r="T2291" t="str">
        <f t="shared" si="175"/>
        <v>Grade C</v>
      </c>
      <c r="U2291">
        <f t="shared" si="176"/>
        <v>4</v>
      </c>
      <c r="V2291" t="str">
        <f t="shared" si="177"/>
        <v>New Joiner</v>
      </c>
      <c r="W2291" t="str">
        <f t="shared" si="178"/>
        <v>Low Risk</v>
      </c>
      <c r="X2291" t="str">
        <f t="shared" si="179"/>
        <v>Fair</v>
      </c>
    </row>
    <row r="2292" spans="1:24" x14ac:dyDescent="0.3">
      <c r="A2292" t="s">
        <v>2360</v>
      </c>
      <c r="B2292" t="s">
        <v>20</v>
      </c>
      <c r="C2292">
        <v>27</v>
      </c>
      <c r="D2292" t="s">
        <v>31</v>
      </c>
      <c r="E2292" t="s">
        <v>40</v>
      </c>
      <c r="F2292" t="s">
        <v>78</v>
      </c>
      <c r="G2292" t="s">
        <v>49</v>
      </c>
      <c r="H2292" t="s">
        <v>67</v>
      </c>
      <c r="I2292" t="s">
        <v>68</v>
      </c>
      <c r="J2292" t="s">
        <v>60</v>
      </c>
      <c r="K2292">
        <v>13</v>
      </c>
      <c r="L2292">
        <v>70379</v>
      </c>
      <c r="M2292" t="s">
        <v>36</v>
      </c>
      <c r="N2292">
        <v>3</v>
      </c>
      <c r="O2292">
        <v>2</v>
      </c>
      <c r="P2292">
        <v>57</v>
      </c>
      <c r="Q2292">
        <v>0</v>
      </c>
      <c r="R2292" s="1">
        <v>40517</v>
      </c>
      <c r="S2292" t="s">
        <v>37</v>
      </c>
      <c r="T2292" t="str">
        <f t="shared" si="175"/>
        <v>Grade B</v>
      </c>
      <c r="U2292">
        <f t="shared" si="176"/>
        <v>1</v>
      </c>
      <c r="V2292" t="str">
        <f t="shared" si="177"/>
        <v>Senior</v>
      </c>
      <c r="W2292" t="str">
        <f t="shared" si="178"/>
        <v>Already Left</v>
      </c>
      <c r="X2292" t="str">
        <f t="shared" si="179"/>
        <v>Fair</v>
      </c>
    </row>
    <row r="2293" spans="1:24" x14ac:dyDescent="0.3">
      <c r="A2293" t="s">
        <v>2361</v>
      </c>
      <c r="B2293" t="s">
        <v>39</v>
      </c>
      <c r="C2293">
        <v>40</v>
      </c>
      <c r="D2293" t="s">
        <v>21</v>
      </c>
      <c r="E2293" t="s">
        <v>48</v>
      </c>
      <c r="F2293" t="s">
        <v>75</v>
      </c>
      <c r="G2293" t="s">
        <v>42</v>
      </c>
      <c r="H2293" t="s">
        <v>76</v>
      </c>
      <c r="I2293" t="s">
        <v>96</v>
      </c>
      <c r="J2293" t="s">
        <v>44</v>
      </c>
      <c r="K2293">
        <v>9</v>
      </c>
      <c r="L2293">
        <v>108371</v>
      </c>
      <c r="M2293" t="s">
        <v>36</v>
      </c>
      <c r="N2293">
        <v>3</v>
      </c>
      <c r="O2293">
        <v>2</v>
      </c>
      <c r="P2293">
        <v>42</v>
      </c>
      <c r="Q2293">
        <v>3</v>
      </c>
      <c r="R2293" s="1">
        <v>41676</v>
      </c>
      <c r="S2293" t="s">
        <v>37</v>
      </c>
      <c r="T2293" t="str">
        <f t="shared" si="175"/>
        <v>Grade A</v>
      </c>
      <c r="U2293">
        <f t="shared" si="176"/>
        <v>1</v>
      </c>
      <c r="V2293" t="str">
        <f t="shared" si="177"/>
        <v>Mid Level</v>
      </c>
      <c r="W2293" t="str">
        <f t="shared" si="178"/>
        <v>Already Left</v>
      </c>
      <c r="X2293" t="str">
        <f t="shared" si="179"/>
        <v>Overpaid</v>
      </c>
    </row>
    <row r="2294" spans="1:24" x14ac:dyDescent="0.3">
      <c r="A2294" t="s">
        <v>2362</v>
      </c>
      <c r="B2294" t="s">
        <v>20</v>
      </c>
      <c r="C2294">
        <v>32</v>
      </c>
      <c r="D2294" t="s">
        <v>88</v>
      </c>
      <c r="E2294" t="s">
        <v>40</v>
      </c>
      <c r="F2294" t="s">
        <v>78</v>
      </c>
      <c r="G2294" t="s">
        <v>49</v>
      </c>
      <c r="H2294" t="s">
        <v>67</v>
      </c>
      <c r="I2294" t="s">
        <v>50</v>
      </c>
      <c r="J2294" t="s">
        <v>44</v>
      </c>
      <c r="K2294">
        <v>3</v>
      </c>
      <c r="L2294">
        <v>63473</v>
      </c>
      <c r="M2294" t="s">
        <v>36</v>
      </c>
      <c r="N2294">
        <v>3</v>
      </c>
      <c r="O2294">
        <v>3</v>
      </c>
      <c r="P2294">
        <v>68</v>
      </c>
      <c r="Q2294">
        <v>2</v>
      </c>
      <c r="R2294" s="1">
        <v>44016</v>
      </c>
      <c r="S2294" t="s">
        <v>37</v>
      </c>
      <c r="T2294" t="str">
        <f t="shared" si="175"/>
        <v>Grade B</v>
      </c>
      <c r="U2294">
        <f t="shared" si="176"/>
        <v>1</v>
      </c>
      <c r="V2294" t="str">
        <f t="shared" si="177"/>
        <v>Junior</v>
      </c>
      <c r="W2294" t="str">
        <f t="shared" si="178"/>
        <v>Already Left</v>
      </c>
      <c r="X2294" t="str">
        <f t="shared" si="179"/>
        <v>Fair</v>
      </c>
    </row>
    <row r="2295" spans="1:24" x14ac:dyDescent="0.3">
      <c r="A2295" t="s">
        <v>2363</v>
      </c>
      <c r="B2295" t="s">
        <v>20</v>
      </c>
      <c r="C2295">
        <v>53</v>
      </c>
      <c r="D2295" t="s">
        <v>57</v>
      </c>
      <c r="E2295" t="s">
        <v>40</v>
      </c>
      <c r="F2295" t="s">
        <v>75</v>
      </c>
      <c r="G2295" t="s">
        <v>24</v>
      </c>
      <c r="H2295" t="s">
        <v>67</v>
      </c>
      <c r="I2295" t="s">
        <v>96</v>
      </c>
      <c r="J2295" t="s">
        <v>44</v>
      </c>
      <c r="K2295">
        <v>12</v>
      </c>
      <c r="L2295">
        <v>108432</v>
      </c>
      <c r="M2295" t="s">
        <v>36</v>
      </c>
      <c r="N2295">
        <v>4</v>
      </c>
      <c r="O2295">
        <v>2</v>
      </c>
      <c r="P2295">
        <v>59</v>
      </c>
      <c r="Q2295">
        <v>3</v>
      </c>
      <c r="R2295" s="1">
        <v>40738</v>
      </c>
      <c r="S2295" t="s">
        <v>37</v>
      </c>
      <c r="T2295" t="str">
        <f t="shared" si="175"/>
        <v>Grade A</v>
      </c>
      <c r="U2295">
        <f t="shared" si="176"/>
        <v>1</v>
      </c>
      <c r="V2295" t="str">
        <f t="shared" si="177"/>
        <v>Senior</v>
      </c>
      <c r="W2295" t="str">
        <f t="shared" si="178"/>
        <v>Already Left</v>
      </c>
      <c r="X2295" t="str">
        <f t="shared" si="179"/>
        <v>Overpaid</v>
      </c>
    </row>
    <row r="2296" spans="1:24" x14ac:dyDescent="0.3">
      <c r="A2296" t="s">
        <v>2364</v>
      </c>
      <c r="B2296" t="s">
        <v>39</v>
      </c>
      <c r="C2296">
        <v>39</v>
      </c>
      <c r="D2296" t="s">
        <v>88</v>
      </c>
      <c r="E2296" t="s">
        <v>22</v>
      </c>
      <c r="F2296" t="s">
        <v>23</v>
      </c>
      <c r="G2296" t="s">
        <v>79</v>
      </c>
      <c r="H2296" t="s">
        <v>76</v>
      </c>
      <c r="I2296" t="s">
        <v>43</v>
      </c>
      <c r="J2296" t="s">
        <v>44</v>
      </c>
      <c r="K2296">
        <v>12</v>
      </c>
      <c r="L2296">
        <v>55322</v>
      </c>
      <c r="M2296" t="s">
        <v>45</v>
      </c>
      <c r="N2296">
        <v>3</v>
      </c>
      <c r="O2296">
        <v>1</v>
      </c>
      <c r="P2296">
        <v>45</v>
      </c>
      <c r="Q2296">
        <v>1</v>
      </c>
      <c r="R2296" s="1">
        <v>40612</v>
      </c>
      <c r="S2296" t="s">
        <v>29</v>
      </c>
      <c r="T2296" t="str">
        <f t="shared" si="175"/>
        <v>Grade B</v>
      </c>
      <c r="U2296">
        <f t="shared" si="176"/>
        <v>2</v>
      </c>
      <c r="V2296" t="str">
        <f t="shared" si="177"/>
        <v>Senior</v>
      </c>
      <c r="W2296" t="str">
        <f t="shared" si="178"/>
        <v>Medium Risk</v>
      </c>
      <c r="X2296" t="str">
        <f t="shared" si="179"/>
        <v>Fair</v>
      </c>
    </row>
    <row r="2297" spans="1:24" x14ac:dyDescent="0.3">
      <c r="A2297" t="s">
        <v>2365</v>
      </c>
      <c r="B2297" t="s">
        <v>20</v>
      </c>
      <c r="C2297">
        <v>48</v>
      </c>
      <c r="D2297" t="s">
        <v>88</v>
      </c>
      <c r="E2297" t="s">
        <v>40</v>
      </c>
      <c r="F2297" t="s">
        <v>23</v>
      </c>
      <c r="G2297" t="s">
        <v>63</v>
      </c>
      <c r="H2297" t="s">
        <v>67</v>
      </c>
      <c r="I2297" t="s">
        <v>54</v>
      </c>
      <c r="J2297" t="s">
        <v>27</v>
      </c>
      <c r="K2297">
        <v>13</v>
      </c>
      <c r="L2297">
        <v>61832</v>
      </c>
      <c r="M2297" t="s">
        <v>45</v>
      </c>
      <c r="N2297">
        <v>4</v>
      </c>
      <c r="O2297">
        <v>4</v>
      </c>
      <c r="P2297">
        <v>11</v>
      </c>
      <c r="Q2297">
        <v>3</v>
      </c>
      <c r="R2297" s="1">
        <v>40276</v>
      </c>
      <c r="S2297" t="s">
        <v>29</v>
      </c>
      <c r="T2297" t="str">
        <f t="shared" si="175"/>
        <v>Grade B</v>
      </c>
      <c r="U2297">
        <f t="shared" si="176"/>
        <v>2</v>
      </c>
      <c r="V2297" t="str">
        <f t="shared" si="177"/>
        <v>Senior</v>
      </c>
      <c r="W2297" t="str">
        <f t="shared" si="178"/>
        <v>Medium Risk</v>
      </c>
      <c r="X2297" t="str">
        <f t="shared" si="179"/>
        <v>Fair</v>
      </c>
    </row>
    <row r="2298" spans="1:24" x14ac:dyDescent="0.3">
      <c r="A2298" t="s">
        <v>2366</v>
      </c>
      <c r="B2298" t="s">
        <v>39</v>
      </c>
      <c r="C2298">
        <v>27</v>
      </c>
      <c r="D2298" t="s">
        <v>21</v>
      </c>
      <c r="E2298" t="s">
        <v>22</v>
      </c>
      <c r="F2298" t="s">
        <v>65</v>
      </c>
      <c r="G2298" t="s">
        <v>63</v>
      </c>
      <c r="H2298" t="s">
        <v>25</v>
      </c>
      <c r="I2298" t="s">
        <v>59</v>
      </c>
      <c r="J2298" t="s">
        <v>60</v>
      </c>
      <c r="K2298">
        <v>15</v>
      </c>
      <c r="L2298">
        <v>65560</v>
      </c>
      <c r="M2298" t="s">
        <v>36</v>
      </c>
      <c r="N2298">
        <v>3</v>
      </c>
      <c r="O2298">
        <v>2</v>
      </c>
      <c r="P2298">
        <v>59</v>
      </c>
      <c r="Q2298">
        <v>1</v>
      </c>
      <c r="R2298" s="1">
        <v>39776</v>
      </c>
      <c r="S2298" t="s">
        <v>37</v>
      </c>
      <c r="T2298" t="str">
        <f t="shared" si="175"/>
        <v>Grade B</v>
      </c>
      <c r="U2298">
        <f t="shared" si="176"/>
        <v>1</v>
      </c>
      <c r="V2298" t="str">
        <f t="shared" si="177"/>
        <v>Senior</v>
      </c>
      <c r="W2298" t="str">
        <f t="shared" si="178"/>
        <v>Already Left</v>
      </c>
      <c r="X2298" t="str">
        <f t="shared" si="179"/>
        <v>Fair</v>
      </c>
    </row>
    <row r="2299" spans="1:24" x14ac:dyDescent="0.3">
      <c r="A2299" t="s">
        <v>2367</v>
      </c>
      <c r="B2299" t="s">
        <v>20</v>
      </c>
      <c r="C2299">
        <v>44</v>
      </c>
      <c r="D2299" t="s">
        <v>88</v>
      </c>
      <c r="E2299" t="s">
        <v>48</v>
      </c>
      <c r="F2299" t="s">
        <v>75</v>
      </c>
      <c r="G2299" t="s">
        <v>79</v>
      </c>
      <c r="H2299" t="s">
        <v>25</v>
      </c>
      <c r="I2299" t="s">
        <v>68</v>
      </c>
      <c r="J2299" t="s">
        <v>60</v>
      </c>
      <c r="K2299">
        <v>15</v>
      </c>
      <c r="L2299">
        <v>77248</v>
      </c>
      <c r="M2299" t="s">
        <v>45</v>
      </c>
      <c r="N2299">
        <v>1</v>
      </c>
      <c r="O2299">
        <v>3</v>
      </c>
      <c r="P2299">
        <v>39</v>
      </c>
      <c r="Q2299">
        <v>2</v>
      </c>
      <c r="R2299" s="1">
        <v>39751</v>
      </c>
      <c r="S2299" t="s">
        <v>37</v>
      </c>
      <c r="T2299" t="str">
        <f t="shared" si="175"/>
        <v>Grade B</v>
      </c>
      <c r="U2299">
        <f t="shared" si="176"/>
        <v>2</v>
      </c>
      <c r="V2299" t="str">
        <f t="shared" si="177"/>
        <v>Senior</v>
      </c>
      <c r="W2299" t="str">
        <f t="shared" si="178"/>
        <v>Already Left</v>
      </c>
      <c r="X2299" t="str">
        <f t="shared" si="179"/>
        <v>Fair</v>
      </c>
    </row>
    <row r="2300" spans="1:24" x14ac:dyDescent="0.3">
      <c r="A2300" t="s">
        <v>2368</v>
      </c>
      <c r="B2300" t="s">
        <v>20</v>
      </c>
      <c r="C2300">
        <v>24</v>
      </c>
      <c r="D2300" t="s">
        <v>57</v>
      </c>
      <c r="E2300" t="s">
        <v>40</v>
      </c>
      <c r="F2300" t="s">
        <v>65</v>
      </c>
      <c r="G2300" t="s">
        <v>42</v>
      </c>
      <c r="H2300" t="s">
        <v>67</v>
      </c>
      <c r="I2300" t="s">
        <v>43</v>
      </c>
      <c r="J2300" t="s">
        <v>44</v>
      </c>
      <c r="K2300">
        <v>3</v>
      </c>
      <c r="L2300">
        <v>99001</v>
      </c>
      <c r="M2300" t="s">
        <v>45</v>
      </c>
      <c r="N2300">
        <v>4</v>
      </c>
      <c r="O2300">
        <v>3</v>
      </c>
      <c r="P2300">
        <v>51</v>
      </c>
      <c r="Q2300">
        <v>3</v>
      </c>
      <c r="R2300" s="1">
        <v>43965</v>
      </c>
      <c r="S2300" t="s">
        <v>29</v>
      </c>
      <c r="T2300" t="str">
        <f t="shared" si="175"/>
        <v>Grade A</v>
      </c>
      <c r="U2300">
        <f t="shared" si="176"/>
        <v>2</v>
      </c>
      <c r="V2300" t="str">
        <f t="shared" si="177"/>
        <v>Junior</v>
      </c>
      <c r="W2300" t="str">
        <f t="shared" si="178"/>
        <v>Medium Risk</v>
      </c>
      <c r="X2300" t="str">
        <f t="shared" si="179"/>
        <v>Fair</v>
      </c>
    </row>
    <row r="2301" spans="1:24" x14ac:dyDescent="0.3">
      <c r="A2301" t="s">
        <v>2369</v>
      </c>
      <c r="B2301" t="s">
        <v>39</v>
      </c>
      <c r="C2301">
        <v>43</v>
      </c>
      <c r="D2301" t="s">
        <v>88</v>
      </c>
      <c r="E2301" t="s">
        <v>48</v>
      </c>
      <c r="F2301" t="s">
        <v>78</v>
      </c>
      <c r="G2301" t="s">
        <v>24</v>
      </c>
      <c r="H2301" t="s">
        <v>25</v>
      </c>
      <c r="I2301" t="s">
        <v>59</v>
      </c>
      <c r="J2301" t="s">
        <v>60</v>
      </c>
      <c r="K2301">
        <v>12</v>
      </c>
      <c r="L2301">
        <v>99821</v>
      </c>
      <c r="M2301" t="s">
        <v>45</v>
      </c>
      <c r="N2301">
        <v>4</v>
      </c>
      <c r="O2301">
        <v>4</v>
      </c>
      <c r="P2301">
        <v>16</v>
      </c>
      <c r="Q2301">
        <v>0</v>
      </c>
      <c r="R2301" s="1">
        <v>40825</v>
      </c>
      <c r="S2301" t="s">
        <v>37</v>
      </c>
      <c r="T2301" t="str">
        <f t="shared" si="175"/>
        <v>Grade A</v>
      </c>
      <c r="U2301">
        <f t="shared" si="176"/>
        <v>2</v>
      </c>
      <c r="V2301" t="str">
        <f t="shared" si="177"/>
        <v>Senior</v>
      </c>
      <c r="W2301" t="str">
        <f t="shared" si="178"/>
        <v>Already Left</v>
      </c>
      <c r="X2301" t="str">
        <f t="shared" si="179"/>
        <v>Fair</v>
      </c>
    </row>
    <row r="2302" spans="1:24" x14ac:dyDescent="0.3">
      <c r="A2302" t="s">
        <v>2370</v>
      </c>
      <c r="B2302" t="s">
        <v>20</v>
      </c>
      <c r="C2302">
        <v>49</v>
      </c>
      <c r="D2302" t="s">
        <v>31</v>
      </c>
      <c r="E2302" t="s">
        <v>22</v>
      </c>
      <c r="F2302" t="s">
        <v>65</v>
      </c>
      <c r="G2302" t="s">
        <v>33</v>
      </c>
      <c r="H2302" t="s">
        <v>67</v>
      </c>
      <c r="I2302" t="s">
        <v>96</v>
      </c>
      <c r="J2302" t="s">
        <v>44</v>
      </c>
      <c r="K2302">
        <v>14</v>
      </c>
      <c r="L2302">
        <v>97299</v>
      </c>
      <c r="M2302" t="s">
        <v>28</v>
      </c>
      <c r="N2302">
        <v>2</v>
      </c>
      <c r="O2302">
        <v>4</v>
      </c>
      <c r="P2302">
        <v>73</v>
      </c>
      <c r="Q2302">
        <v>2</v>
      </c>
      <c r="R2302" s="1">
        <v>39864</v>
      </c>
      <c r="S2302" t="s">
        <v>29</v>
      </c>
      <c r="T2302" t="str">
        <f t="shared" si="175"/>
        <v>Grade A</v>
      </c>
      <c r="U2302">
        <f t="shared" si="176"/>
        <v>3</v>
      </c>
      <c r="V2302" t="str">
        <f t="shared" si="177"/>
        <v>Senior</v>
      </c>
      <c r="W2302" t="str">
        <f t="shared" si="178"/>
        <v>Medium Risk</v>
      </c>
      <c r="X2302" t="str">
        <f t="shared" si="179"/>
        <v>Competitive</v>
      </c>
    </row>
    <row r="2303" spans="1:24" x14ac:dyDescent="0.3">
      <c r="A2303" t="s">
        <v>2371</v>
      </c>
      <c r="B2303" t="s">
        <v>39</v>
      </c>
      <c r="C2303">
        <v>50</v>
      </c>
      <c r="D2303" t="s">
        <v>21</v>
      </c>
      <c r="E2303" t="s">
        <v>22</v>
      </c>
      <c r="F2303" t="s">
        <v>23</v>
      </c>
      <c r="G2303" t="s">
        <v>49</v>
      </c>
      <c r="H2303" t="s">
        <v>67</v>
      </c>
      <c r="I2303" t="s">
        <v>54</v>
      </c>
      <c r="J2303" t="s">
        <v>27</v>
      </c>
      <c r="K2303">
        <v>14</v>
      </c>
      <c r="L2303">
        <v>84941</v>
      </c>
      <c r="M2303" t="s">
        <v>51</v>
      </c>
      <c r="N2303">
        <v>3</v>
      </c>
      <c r="O2303">
        <v>1</v>
      </c>
      <c r="P2303">
        <v>53</v>
      </c>
      <c r="Q2303">
        <v>0</v>
      </c>
      <c r="R2303" s="1">
        <v>40045</v>
      </c>
      <c r="S2303" t="s">
        <v>29</v>
      </c>
      <c r="T2303" t="str">
        <f t="shared" si="175"/>
        <v>Grade A</v>
      </c>
      <c r="U2303">
        <f t="shared" si="176"/>
        <v>4</v>
      </c>
      <c r="V2303" t="str">
        <f t="shared" si="177"/>
        <v>Senior</v>
      </c>
      <c r="W2303" t="str">
        <f t="shared" si="178"/>
        <v>Low Risk</v>
      </c>
      <c r="X2303" t="str">
        <f t="shared" si="179"/>
        <v>Competitive</v>
      </c>
    </row>
    <row r="2304" spans="1:24" x14ac:dyDescent="0.3">
      <c r="A2304" t="s">
        <v>2372</v>
      </c>
      <c r="B2304" t="s">
        <v>20</v>
      </c>
      <c r="C2304">
        <v>26</v>
      </c>
      <c r="D2304" t="s">
        <v>47</v>
      </c>
      <c r="E2304" t="s">
        <v>40</v>
      </c>
      <c r="F2304" t="s">
        <v>62</v>
      </c>
      <c r="G2304" t="s">
        <v>66</v>
      </c>
      <c r="H2304" t="s">
        <v>67</v>
      </c>
      <c r="I2304" t="s">
        <v>68</v>
      </c>
      <c r="J2304" t="s">
        <v>60</v>
      </c>
      <c r="K2304">
        <v>10</v>
      </c>
      <c r="L2304">
        <v>60393</v>
      </c>
      <c r="M2304" t="s">
        <v>36</v>
      </c>
      <c r="N2304">
        <v>4</v>
      </c>
      <c r="O2304">
        <v>4</v>
      </c>
      <c r="P2304">
        <v>41</v>
      </c>
      <c r="Q2304">
        <v>2</v>
      </c>
      <c r="R2304" s="1">
        <v>41287</v>
      </c>
      <c r="S2304" t="s">
        <v>37</v>
      </c>
      <c r="T2304" t="str">
        <f t="shared" si="175"/>
        <v>Grade B</v>
      </c>
      <c r="U2304">
        <f t="shared" si="176"/>
        <v>1</v>
      </c>
      <c r="V2304" t="str">
        <f t="shared" si="177"/>
        <v>Mid Level</v>
      </c>
      <c r="W2304" t="str">
        <f t="shared" si="178"/>
        <v>Already Left</v>
      </c>
      <c r="X2304" t="str">
        <f t="shared" si="179"/>
        <v>Fair</v>
      </c>
    </row>
    <row r="2305" spans="1:24" x14ac:dyDescent="0.3">
      <c r="A2305" t="s">
        <v>2373</v>
      </c>
      <c r="B2305" t="s">
        <v>20</v>
      </c>
      <c r="C2305">
        <v>25</v>
      </c>
      <c r="D2305" t="s">
        <v>88</v>
      </c>
      <c r="E2305" t="s">
        <v>48</v>
      </c>
      <c r="F2305" t="s">
        <v>62</v>
      </c>
      <c r="G2305" t="s">
        <v>24</v>
      </c>
      <c r="H2305" t="s">
        <v>76</v>
      </c>
      <c r="I2305" t="s">
        <v>68</v>
      </c>
      <c r="J2305" t="s">
        <v>60</v>
      </c>
      <c r="K2305">
        <v>5</v>
      </c>
      <c r="L2305">
        <v>89233</v>
      </c>
      <c r="M2305" t="s">
        <v>51</v>
      </c>
      <c r="N2305">
        <v>2</v>
      </c>
      <c r="O2305">
        <v>1</v>
      </c>
      <c r="P2305">
        <v>60</v>
      </c>
      <c r="Q2305">
        <v>1</v>
      </c>
      <c r="R2305" s="1">
        <v>43456</v>
      </c>
      <c r="S2305" t="s">
        <v>29</v>
      </c>
      <c r="T2305" t="str">
        <f t="shared" si="175"/>
        <v>Grade A</v>
      </c>
      <c r="U2305">
        <f t="shared" si="176"/>
        <v>4</v>
      </c>
      <c r="V2305" t="str">
        <f t="shared" si="177"/>
        <v>Junior</v>
      </c>
      <c r="W2305" t="str">
        <f t="shared" si="178"/>
        <v>Low Risk</v>
      </c>
      <c r="X2305" t="str">
        <f t="shared" si="179"/>
        <v>Competitive</v>
      </c>
    </row>
    <row r="2306" spans="1:24" x14ac:dyDescent="0.3">
      <c r="A2306" t="s">
        <v>2374</v>
      </c>
      <c r="B2306" t="s">
        <v>20</v>
      </c>
      <c r="C2306">
        <v>31</v>
      </c>
      <c r="D2306" t="s">
        <v>88</v>
      </c>
      <c r="E2306" t="s">
        <v>22</v>
      </c>
      <c r="F2306" t="s">
        <v>62</v>
      </c>
      <c r="G2306" t="s">
        <v>33</v>
      </c>
      <c r="H2306" t="s">
        <v>76</v>
      </c>
      <c r="I2306" t="s">
        <v>59</v>
      </c>
      <c r="J2306" t="s">
        <v>60</v>
      </c>
      <c r="K2306">
        <v>2</v>
      </c>
      <c r="L2306">
        <v>71222</v>
      </c>
      <c r="M2306" t="s">
        <v>51</v>
      </c>
      <c r="N2306">
        <v>4</v>
      </c>
      <c r="O2306">
        <v>3</v>
      </c>
      <c r="P2306">
        <v>34</v>
      </c>
      <c r="Q2306">
        <v>1</v>
      </c>
      <c r="R2306" s="1">
        <v>44466</v>
      </c>
      <c r="S2306" t="s">
        <v>29</v>
      </c>
      <c r="T2306" t="str">
        <f t="shared" ref="T2306:T2369" si="180">IF(L2306&gt;=80000,"Grade A",IF(L2306&gt;=50000,"Grade B",IF(L2306&gt;=35000,"Grade C","Grade D")))</f>
        <v>Grade B</v>
      </c>
      <c r="U2306">
        <f t="shared" ref="U2306:U2369" si="181">IF(M2306="Excellent",4,IF(M2306="Good",3,IF(M2306="Average",2,1)))</f>
        <v>4</v>
      </c>
      <c r="V2306" t="str">
        <f t="shared" ref="V2306:V2369" si="182">IF(K2306&lt;=2,"New Joiner",IF(K2306&lt;=5,"Junior",IF(K2306&lt;=10,"Mid Level","Senior")))</f>
        <v>New Joiner</v>
      </c>
      <c r="W2306" t="str">
        <f t="shared" ref="W2306:W2369" si="183">IF(S2306="Yes","Already Left",IF(AND(K2306&lt;=2,M2306="Poor"),"High Risk",IF(AND(K2306&lt;=5,M2306="Average"),"Medium Risk",IF(M2306="Excellent","Low Risk","Medium Risk"))))</f>
        <v>Low Risk</v>
      </c>
      <c r="X2306" t="str">
        <f t="shared" ref="X2306:X2369" si="184">IF(AND(L2306&gt;=80000,M2306="Excellent"),"Competitive",IF(AND(L2306&gt;=50000,M2306="Good"),"Competitive",IF(AND(L2306&lt;35000,M2306="Excellent"),"Underpaid",IF(AND(L2306&gt;=80000,M2306="Poor"),"Overpaid","Fair"))))</f>
        <v>Fair</v>
      </c>
    </row>
    <row r="2307" spans="1:24" x14ac:dyDescent="0.3">
      <c r="A2307" t="s">
        <v>2375</v>
      </c>
      <c r="B2307" t="s">
        <v>39</v>
      </c>
      <c r="C2307">
        <v>37</v>
      </c>
      <c r="D2307" t="s">
        <v>47</v>
      </c>
      <c r="E2307" t="s">
        <v>40</v>
      </c>
      <c r="F2307" t="s">
        <v>23</v>
      </c>
      <c r="G2307" t="s">
        <v>79</v>
      </c>
      <c r="H2307" t="s">
        <v>25</v>
      </c>
      <c r="I2307" t="s">
        <v>35</v>
      </c>
      <c r="J2307" t="s">
        <v>27</v>
      </c>
      <c r="K2307">
        <v>12</v>
      </c>
      <c r="L2307">
        <v>69760</v>
      </c>
      <c r="M2307" t="s">
        <v>51</v>
      </c>
      <c r="N2307">
        <v>2</v>
      </c>
      <c r="O2307">
        <v>1</v>
      </c>
      <c r="P2307">
        <v>74</v>
      </c>
      <c r="Q2307">
        <v>2</v>
      </c>
      <c r="R2307" s="1">
        <v>40716</v>
      </c>
      <c r="S2307" t="s">
        <v>37</v>
      </c>
      <c r="T2307" t="str">
        <f t="shared" si="180"/>
        <v>Grade B</v>
      </c>
      <c r="U2307">
        <f t="shared" si="181"/>
        <v>4</v>
      </c>
      <c r="V2307" t="str">
        <f t="shared" si="182"/>
        <v>Senior</v>
      </c>
      <c r="W2307" t="str">
        <f t="shared" si="183"/>
        <v>Already Left</v>
      </c>
      <c r="X2307" t="str">
        <f t="shared" si="184"/>
        <v>Fair</v>
      </c>
    </row>
    <row r="2308" spans="1:24" x14ac:dyDescent="0.3">
      <c r="A2308" t="s">
        <v>2376</v>
      </c>
      <c r="B2308" t="s">
        <v>39</v>
      </c>
      <c r="C2308">
        <v>23</v>
      </c>
      <c r="D2308" t="s">
        <v>88</v>
      </c>
      <c r="E2308" t="s">
        <v>22</v>
      </c>
      <c r="F2308" t="s">
        <v>62</v>
      </c>
      <c r="G2308" t="s">
        <v>63</v>
      </c>
      <c r="H2308" t="s">
        <v>83</v>
      </c>
      <c r="I2308" t="s">
        <v>80</v>
      </c>
      <c r="J2308" t="s">
        <v>60</v>
      </c>
      <c r="K2308">
        <v>4</v>
      </c>
      <c r="L2308">
        <v>57086</v>
      </c>
      <c r="M2308" t="s">
        <v>45</v>
      </c>
      <c r="N2308">
        <v>1</v>
      </c>
      <c r="O2308">
        <v>2</v>
      </c>
      <c r="P2308">
        <v>70</v>
      </c>
      <c r="Q2308">
        <v>0</v>
      </c>
      <c r="R2308" s="1">
        <v>43492</v>
      </c>
      <c r="S2308" t="s">
        <v>37</v>
      </c>
      <c r="T2308" t="str">
        <f t="shared" si="180"/>
        <v>Grade B</v>
      </c>
      <c r="U2308">
        <f t="shared" si="181"/>
        <v>2</v>
      </c>
      <c r="V2308" t="str">
        <f t="shared" si="182"/>
        <v>Junior</v>
      </c>
      <c r="W2308" t="str">
        <f t="shared" si="183"/>
        <v>Already Left</v>
      </c>
      <c r="X2308" t="str">
        <f t="shared" si="184"/>
        <v>Fair</v>
      </c>
    </row>
    <row r="2309" spans="1:24" x14ac:dyDescent="0.3">
      <c r="A2309" t="s">
        <v>2377</v>
      </c>
      <c r="B2309" t="s">
        <v>20</v>
      </c>
      <c r="C2309">
        <v>51</v>
      </c>
      <c r="D2309" t="s">
        <v>57</v>
      </c>
      <c r="E2309" t="s">
        <v>22</v>
      </c>
      <c r="F2309" t="s">
        <v>41</v>
      </c>
      <c r="G2309" t="s">
        <v>63</v>
      </c>
      <c r="H2309" t="s">
        <v>83</v>
      </c>
      <c r="I2309" t="s">
        <v>68</v>
      </c>
      <c r="J2309" t="s">
        <v>60</v>
      </c>
      <c r="K2309">
        <v>15</v>
      </c>
      <c r="L2309">
        <v>80909</v>
      </c>
      <c r="M2309" t="s">
        <v>28</v>
      </c>
      <c r="N2309">
        <v>4</v>
      </c>
      <c r="O2309">
        <v>3</v>
      </c>
      <c r="P2309">
        <v>68</v>
      </c>
      <c r="Q2309">
        <v>3</v>
      </c>
      <c r="R2309" s="1">
        <v>39562</v>
      </c>
      <c r="S2309" t="s">
        <v>29</v>
      </c>
      <c r="T2309" t="str">
        <f t="shared" si="180"/>
        <v>Grade A</v>
      </c>
      <c r="U2309">
        <f t="shared" si="181"/>
        <v>3</v>
      </c>
      <c r="V2309" t="str">
        <f t="shared" si="182"/>
        <v>Senior</v>
      </c>
      <c r="W2309" t="str">
        <f t="shared" si="183"/>
        <v>Medium Risk</v>
      </c>
      <c r="X2309" t="str">
        <f t="shared" si="184"/>
        <v>Competitive</v>
      </c>
    </row>
    <row r="2310" spans="1:24" x14ac:dyDescent="0.3">
      <c r="A2310" t="s">
        <v>2378</v>
      </c>
      <c r="B2310" t="s">
        <v>39</v>
      </c>
      <c r="C2310">
        <v>43</v>
      </c>
      <c r="D2310" t="s">
        <v>31</v>
      </c>
      <c r="E2310" t="s">
        <v>22</v>
      </c>
      <c r="F2310" t="s">
        <v>65</v>
      </c>
      <c r="G2310" t="s">
        <v>58</v>
      </c>
      <c r="H2310" t="s">
        <v>25</v>
      </c>
      <c r="I2310" t="s">
        <v>80</v>
      </c>
      <c r="J2310" t="s">
        <v>60</v>
      </c>
      <c r="K2310">
        <v>6</v>
      </c>
      <c r="L2310">
        <v>93816</v>
      </c>
      <c r="M2310" t="s">
        <v>45</v>
      </c>
      <c r="N2310">
        <v>3</v>
      </c>
      <c r="O2310">
        <v>1</v>
      </c>
      <c r="P2310">
        <v>23</v>
      </c>
      <c r="Q2310">
        <v>0</v>
      </c>
      <c r="R2310" s="1">
        <v>42844</v>
      </c>
      <c r="S2310" t="s">
        <v>29</v>
      </c>
      <c r="T2310" t="str">
        <f t="shared" si="180"/>
        <v>Grade A</v>
      </c>
      <c r="U2310">
        <f t="shared" si="181"/>
        <v>2</v>
      </c>
      <c r="V2310" t="str">
        <f t="shared" si="182"/>
        <v>Mid Level</v>
      </c>
      <c r="W2310" t="str">
        <f t="shared" si="183"/>
        <v>Medium Risk</v>
      </c>
      <c r="X2310" t="str">
        <f t="shared" si="184"/>
        <v>Fair</v>
      </c>
    </row>
    <row r="2311" spans="1:24" x14ac:dyDescent="0.3">
      <c r="A2311" t="s">
        <v>2379</v>
      </c>
      <c r="B2311" t="s">
        <v>39</v>
      </c>
      <c r="C2311">
        <v>30</v>
      </c>
      <c r="D2311" t="s">
        <v>47</v>
      </c>
      <c r="E2311" t="s">
        <v>40</v>
      </c>
      <c r="F2311" t="s">
        <v>75</v>
      </c>
      <c r="G2311" t="s">
        <v>66</v>
      </c>
      <c r="H2311" t="s">
        <v>34</v>
      </c>
      <c r="I2311" t="s">
        <v>68</v>
      </c>
      <c r="J2311" t="s">
        <v>60</v>
      </c>
      <c r="K2311">
        <v>10</v>
      </c>
      <c r="L2311">
        <v>57172</v>
      </c>
      <c r="M2311" t="s">
        <v>28</v>
      </c>
      <c r="N2311">
        <v>2</v>
      </c>
      <c r="O2311">
        <v>2</v>
      </c>
      <c r="P2311">
        <v>20</v>
      </c>
      <c r="Q2311">
        <v>1</v>
      </c>
      <c r="R2311" s="1">
        <v>41522</v>
      </c>
      <c r="S2311" t="s">
        <v>29</v>
      </c>
      <c r="T2311" t="str">
        <f t="shared" si="180"/>
        <v>Grade B</v>
      </c>
      <c r="U2311">
        <f t="shared" si="181"/>
        <v>3</v>
      </c>
      <c r="V2311" t="str">
        <f t="shared" si="182"/>
        <v>Mid Level</v>
      </c>
      <c r="W2311" t="str">
        <f t="shared" si="183"/>
        <v>Medium Risk</v>
      </c>
      <c r="X2311" t="str">
        <f t="shared" si="184"/>
        <v>Competitive</v>
      </c>
    </row>
    <row r="2312" spans="1:24" x14ac:dyDescent="0.3">
      <c r="A2312" t="s">
        <v>2380</v>
      </c>
      <c r="B2312" t="s">
        <v>20</v>
      </c>
      <c r="C2312">
        <v>38</v>
      </c>
      <c r="D2312" t="s">
        <v>21</v>
      </c>
      <c r="E2312" t="s">
        <v>48</v>
      </c>
      <c r="F2312" t="s">
        <v>41</v>
      </c>
      <c r="G2312" t="s">
        <v>58</v>
      </c>
      <c r="H2312" t="s">
        <v>25</v>
      </c>
      <c r="I2312" t="s">
        <v>72</v>
      </c>
      <c r="J2312" t="s">
        <v>73</v>
      </c>
      <c r="K2312">
        <v>6</v>
      </c>
      <c r="L2312">
        <v>102221</v>
      </c>
      <c r="M2312" t="s">
        <v>45</v>
      </c>
      <c r="N2312">
        <v>2</v>
      </c>
      <c r="O2312">
        <v>4</v>
      </c>
      <c r="P2312">
        <v>11</v>
      </c>
      <c r="Q2312">
        <v>3</v>
      </c>
      <c r="R2312" s="1">
        <v>43029</v>
      </c>
      <c r="S2312" t="s">
        <v>37</v>
      </c>
      <c r="T2312" t="str">
        <f t="shared" si="180"/>
        <v>Grade A</v>
      </c>
      <c r="U2312">
        <f t="shared" si="181"/>
        <v>2</v>
      </c>
      <c r="V2312" t="str">
        <f t="shared" si="182"/>
        <v>Mid Level</v>
      </c>
      <c r="W2312" t="str">
        <f t="shared" si="183"/>
        <v>Already Left</v>
      </c>
      <c r="X2312" t="str">
        <f t="shared" si="184"/>
        <v>Fair</v>
      </c>
    </row>
    <row r="2313" spans="1:24" x14ac:dyDescent="0.3">
      <c r="A2313" t="s">
        <v>2381</v>
      </c>
      <c r="B2313" t="s">
        <v>20</v>
      </c>
      <c r="C2313">
        <v>49</v>
      </c>
      <c r="D2313" t="s">
        <v>47</v>
      </c>
      <c r="E2313" t="s">
        <v>22</v>
      </c>
      <c r="F2313" t="s">
        <v>62</v>
      </c>
      <c r="G2313" t="s">
        <v>79</v>
      </c>
      <c r="H2313" t="s">
        <v>83</v>
      </c>
      <c r="I2313" t="s">
        <v>96</v>
      </c>
      <c r="J2313" t="s">
        <v>44</v>
      </c>
      <c r="K2313">
        <v>11</v>
      </c>
      <c r="L2313">
        <v>61730</v>
      </c>
      <c r="M2313" t="s">
        <v>45</v>
      </c>
      <c r="N2313">
        <v>4</v>
      </c>
      <c r="O2313">
        <v>3</v>
      </c>
      <c r="P2313">
        <v>41</v>
      </c>
      <c r="Q2313">
        <v>2</v>
      </c>
      <c r="R2313" s="1">
        <v>41018</v>
      </c>
      <c r="S2313" t="s">
        <v>29</v>
      </c>
      <c r="T2313" t="str">
        <f t="shared" si="180"/>
        <v>Grade B</v>
      </c>
      <c r="U2313">
        <f t="shared" si="181"/>
        <v>2</v>
      </c>
      <c r="V2313" t="str">
        <f t="shared" si="182"/>
        <v>Senior</v>
      </c>
      <c r="W2313" t="str">
        <f t="shared" si="183"/>
        <v>Medium Risk</v>
      </c>
      <c r="X2313" t="str">
        <f t="shared" si="184"/>
        <v>Fair</v>
      </c>
    </row>
    <row r="2314" spans="1:24" x14ac:dyDescent="0.3">
      <c r="A2314" t="s">
        <v>2382</v>
      </c>
      <c r="B2314" t="s">
        <v>20</v>
      </c>
      <c r="C2314">
        <v>42</v>
      </c>
      <c r="D2314" t="s">
        <v>57</v>
      </c>
      <c r="E2314" t="s">
        <v>22</v>
      </c>
      <c r="F2314" t="s">
        <v>78</v>
      </c>
      <c r="G2314" t="s">
        <v>58</v>
      </c>
      <c r="H2314" t="s">
        <v>34</v>
      </c>
      <c r="I2314" t="s">
        <v>68</v>
      </c>
      <c r="J2314" t="s">
        <v>60</v>
      </c>
      <c r="K2314">
        <v>4</v>
      </c>
      <c r="L2314">
        <v>88710</v>
      </c>
      <c r="M2314" t="s">
        <v>36</v>
      </c>
      <c r="N2314">
        <v>3</v>
      </c>
      <c r="O2314">
        <v>2</v>
      </c>
      <c r="P2314">
        <v>14</v>
      </c>
      <c r="Q2314">
        <v>1</v>
      </c>
      <c r="R2314" s="1">
        <v>43805</v>
      </c>
      <c r="S2314" t="s">
        <v>37</v>
      </c>
      <c r="T2314" t="str">
        <f t="shared" si="180"/>
        <v>Grade A</v>
      </c>
      <c r="U2314">
        <f t="shared" si="181"/>
        <v>1</v>
      </c>
      <c r="V2314" t="str">
        <f t="shared" si="182"/>
        <v>Junior</v>
      </c>
      <c r="W2314" t="str">
        <f t="shared" si="183"/>
        <v>Already Left</v>
      </c>
      <c r="X2314" t="str">
        <f t="shared" si="184"/>
        <v>Overpaid</v>
      </c>
    </row>
    <row r="2315" spans="1:24" x14ac:dyDescent="0.3">
      <c r="A2315" t="s">
        <v>2383</v>
      </c>
      <c r="B2315" t="s">
        <v>39</v>
      </c>
      <c r="C2315">
        <v>38</v>
      </c>
      <c r="D2315" t="s">
        <v>88</v>
      </c>
      <c r="E2315" t="s">
        <v>40</v>
      </c>
      <c r="F2315" t="s">
        <v>65</v>
      </c>
      <c r="G2315" t="s">
        <v>33</v>
      </c>
      <c r="H2315" t="s">
        <v>34</v>
      </c>
      <c r="I2315" t="s">
        <v>59</v>
      </c>
      <c r="J2315" t="s">
        <v>60</v>
      </c>
      <c r="K2315">
        <v>8</v>
      </c>
      <c r="L2315">
        <v>69658</v>
      </c>
      <c r="M2315" t="s">
        <v>28</v>
      </c>
      <c r="N2315">
        <v>1</v>
      </c>
      <c r="O2315">
        <v>3</v>
      </c>
      <c r="P2315">
        <v>55</v>
      </c>
      <c r="Q2315">
        <v>0</v>
      </c>
      <c r="R2315" s="1">
        <v>42181</v>
      </c>
      <c r="S2315" t="s">
        <v>29</v>
      </c>
      <c r="T2315" t="str">
        <f t="shared" si="180"/>
        <v>Grade B</v>
      </c>
      <c r="U2315">
        <f t="shared" si="181"/>
        <v>3</v>
      </c>
      <c r="V2315" t="str">
        <f t="shared" si="182"/>
        <v>Mid Level</v>
      </c>
      <c r="W2315" t="str">
        <f t="shared" si="183"/>
        <v>Medium Risk</v>
      </c>
      <c r="X2315" t="str">
        <f t="shared" si="184"/>
        <v>Competitive</v>
      </c>
    </row>
    <row r="2316" spans="1:24" x14ac:dyDescent="0.3">
      <c r="A2316" t="s">
        <v>2384</v>
      </c>
      <c r="B2316" t="s">
        <v>20</v>
      </c>
      <c r="C2316">
        <v>41</v>
      </c>
      <c r="D2316" t="s">
        <v>57</v>
      </c>
      <c r="E2316" t="s">
        <v>48</v>
      </c>
      <c r="F2316" t="s">
        <v>65</v>
      </c>
      <c r="G2316" t="s">
        <v>42</v>
      </c>
      <c r="H2316" t="s">
        <v>34</v>
      </c>
      <c r="I2316" t="s">
        <v>43</v>
      </c>
      <c r="J2316" t="s">
        <v>44</v>
      </c>
      <c r="K2316">
        <v>12</v>
      </c>
      <c r="L2316">
        <v>119274</v>
      </c>
      <c r="M2316" t="s">
        <v>51</v>
      </c>
      <c r="N2316">
        <v>3</v>
      </c>
      <c r="O2316">
        <v>2</v>
      </c>
      <c r="P2316">
        <v>40</v>
      </c>
      <c r="Q2316">
        <v>0</v>
      </c>
      <c r="R2316" s="1">
        <v>40576</v>
      </c>
      <c r="S2316" t="s">
        <v>29</v>
      </c>
      <c r="T2316" t="str">
        <f t="shared" si="180"/>
        <v>Grade A</v>
      </c>
      <c r="U2316">
        <f t="shared" si="181"/>
        <v>4</v>
      </c>
      <c r="V2316" t="str">
        <f t="shared" si="182"/>
        <v>Senior</v>
      </c>
      <c r="W2316" t="str">
        <f t="shared" si="183"/>
        <v>Low Risk</v>
      </c>
      <c r="X2316" t="str">
        <f t="shared" si="184"/>
        <v>Competitive</v>
      </c>
    </row>
    <row r="2317" spans="1:24" x14ac:dyDescent="0.3">
      <c r="A2317" t="s">
        <v>2385</v>
      </c>
      <c r="B2317" t="s">
        <v>20</v>
      </c>
      <c r="C2317">
        <v>45</v>
      </c>
      <c r="D2317" t="s">
        <v>31</v>
      </c>
      <c r="E2317" t="s">
        <v>48</v>
      </c>
      <c r="F2317" t="s">
        <v>62</v>
      </c>
      <c r="G2317" t="s">
        <v>42</v>
      </c>
      <c r="H2317" t="s">
        <v>83</v>
      </c>
      <c r="I2317" t="s">
        <v>50</v>
      </c>
      <c r="J2317" t="s">
        <v>44</v>
      </c>
      <c r="K2317">
        <v>3</v>
      </c>
      <c r="L2317">
        <v>96118</v>
      </c>
      <c r="M2317" t="s">
        <v>45</v>
      </c>
      <c r="N2317">
        <v>4</v>
      </c>
      <c r="O2317">
        <v>1</v>
      </c>
      <c r="P2317">
        <v>18</v>
      </c>
      <c r="Q2317">
        <v>3</v>
      </c>
      <c r="R2317" s="1">
        <v>44005</v>
      </c>
      <c r="S2317" t="s">
        <v>29</v>
      </c>
      <c r="T2317" t="str">
        <f t="shared" si="180"/>
        <v>Grade A</v>
      </c>
      <c r="U2317">
        <f t="shared" si="181"/>
        <v>2</v>
      </c>
      <c r="V2317" t="str">
        <f t="shared" si="182"/>
        <v>Junior</v>
      </c>
      <c r="W2317" t="str">
        <f t="shared" si="183"/>
        <v>Medium Risk</v>
      </c>
      <c r="X2317" t="str">
        <f t="shared" si="184"/>
        <v>Fair</v>
      </c>
    </row>
    <row r="2318" spans="1:24" x14ac:dyDescent="0.3">
      <c r="A2318" t="s">
        <v>2386</v>
      </c>
      <c r="B2318" t="s">
        <v>39</v>
      </c>
      <c r="C2318">
        <v>49</v>
      </c>
      <c r="D2318" t="s">
        <v>57</v>
      </c>
      <c r="E2318" t="s">
        <v>22</v>
      </c>
      <c r="F2318" t="s">
        <v>65</v>
      </c>
      <c r="G2318" t="s">
        <v>42</v>
      </c>
      <c r="H2318" t="s">
        <v>83</v>
      </c>
      <c r="I2318" t="s">
        <v>96</v>
      </c>
      <c r="J2318" t="s">
        <v>44</v>
      </c>
      <c r="K2318">
        <v>15</v>
      </c>
      <c r="L2318">
        <v>127312</v>
      </c>
      <c r="M2318" t="s">
        <v>51</v>
      </c>
      <c r="N2318">
        <v>3</v>
      </c>
      <c r="O2318">
        <v>1</v>
      </c>
      <c r="P2318">
        <v>26</v>
      </c>
      <c r="Q2318">
        <v>0</v>
      </c>
      <c r="R2318" s="1">
        <v>39795</v>
      </c>
      <c r="S2318" t="s">
        <v>29</v>
      </c>
      <c r="T2318" t="str">
        <f t="shared" si="180"/>
        <v>Grade A</v>
      </c>
      <c r="U2318">
        <f t="shared" si="181"/>
        <v>4</v>
      </c>
      <c r="V2318" t="str">
        <f t="shared" si="182"/>
        <v>Senior</v>
      </c>
      <c r="W2318" t="str">
        <f t="shared" si="183"/>
        <v>Low Risk</v>
      </c>
      <c r="X2318" t="str">
        <f t="shared" si="184"/>
        <v>Competitive</v>
      </c>
    </row>
    <row r="2319" spans="1:24" x14ac:dyDescent="0.3">
      <c r="A2319" t="s">
        <v>2387</v>
      </c>
      <c r="B2319" t="s">
        <v>20</v>
      </c>
      <c r="C2319">
        <v>24</v>
      </c>
      <c r="D2319" t="s">
        <v>47</v>
      </c>
      <c r="E2319" t="s">
        <v>22</v>
      </c>
      <c r="F2319" t="s">
        <v>62</v>
      </c>
      <c r="G2319" t="s">
        <v>58</v>
      </c>
      <c r="H2319" t="s">
        <v>83</v>
      </c>
      <c r="I2319" t="s">
        <v>50</v>
      </c>
      <c r="J2319" t="s">
        <v>44</v>
      </c>
      <c r="K2319">
        <v>8</v>
      </c>
      <c r="L2319">
        <v>107229</v>
      </c>
      <c r="M2319" t="s">
        <v>36</v>
      </c>
      <c r="N2319">
        <v>4</v>
      </c>
      <c r="O2319">
        <v>1</v>
      </c>
      <c r="P2319">
        <v>38</v>
      </c>
      <c r="Q2319">
        <v>2</v>
      </c>
      <c r="R2319" s="1">
        <v>42014</v>
      </c>
      <c r="S2319" t="s">
        <v>37</v>
      </c>
      <c r="T2319" t="str">
        <f t="shared" si="180"/>
        <v>Grade A</v>
      </c>
      <c r="U2319">
        <f t="shared" si="181"/>
        <v>1</v>
      </c>
      <c r="V2319" t="str">
        <f t="shared" si="182"/>
        <v>Mid Level</v>
      </c>
      <c r="W2319" t="str">
        <f t="shared" si="183"/>
        <v>Already Left</v>
      </c>
      <c r="X2319" t="str">
        <f t="shared" si="184"/>
        <v>Overpaid</v>
      </c>
    </row>
    <row r="2320" spans="1:24" x14ac:dyDescent="0.3">
      <c r="A2320" t="s">
        <v>2388</v>
      </c>
      <c r="B2320" t="s">
        <v>20</v>
      </c>
      <c r="C2320">
        <v>42</v>
      </c>
      <c r="D2320" t="s">
        <v>47</v>
      </c>
      <c r="E2320" t="s">
        <v>48</v>
      </c>
      <c r="F2320" t="s">
        <v>78</v>
      </c>
      <c r="G2320" t="s">
        <v>79</v>
      </c>
      <c r="H2320" t="s">
        <v>34</v>
      </c>
      <c r="I2320" t="s">
        <v>50</v>
      </c>
      <c r="J2320" t="s">
        <v>44</v>
      </c>
      <c r="K2320">
        <v>13</v>
      </c>
      <c r="L2320">
        <v>68626</v>
      </c>
      <c r="M2320" t="s">
        <v>28</v>
      </c>
      <c r="N2320">
        <v>3</v>
      </c>
      <c r="O2320">
        <v>3</v>
      </c>
      <c r="P2320">
        <v>32</v>
      </c>
      <c r="Q2320">
        <v>1</v>
      </c>
      <c r="R2320" s="1">
        <v>40368</v>
      </c>
      <c r="S2320" t="s">
        <v>29</v>
      </c>
      <c r="T2320" t="str">
        <f t="shared" si="180"/>
        <v>Grade B</v>
      </c>
      <c r="U2320">
        <f t="shared" si="181"/>
        <v>3</v>
      </c>
      <c r="V2320" t="str">
        <f t="shared" si="182"/>
        <v>Senior</v>
      </c>
      <c r="W2320" t="str">
        <f t="shared" si="183"/>
        <v>Medium Risk</v>
      </c>
      <c r="X2320" t="str">
        <f t="shared" si="184"/>
        <v>Competitive</v>
      </c>
    </row>
    <row r="2321" spans="1:24" x14ac:dyDescent="0.3">
      <c r="A2321" t="s">
        <v>2389</v>
      </c>
      <c r="B2321" t="s">
        <v>20</v>
      </c>
      <c r="C2321">
        <v>55</v>
      </c>
      <c r="D2321" t="s">
        <v>88</v>
      </c>
      <c r="E2321" t="s">
        <v>22</v>
      </c>
      <c r="F2321" t="s">
        <v>75</v>
      </c>
      <c r="G2321" t="s">
        <v>79</v>
      </c>
      <c r="H2321" t="s">
        <v>76</v>
      </c>
      <c r="I2321" t="s">
        <v>68</v>
      </c>
      <c r="J2321" t="s">
        <v>60</v>
      </c>
      <c r="K2321">
        <v>15</v>
      </c>
      <c r="L2321">
        <v>71634</v>
      </c>
      <c r="M2321" t="s">
        <v>45</v>
      </c>
      <c r="N2321">
        <v>3</v>
      </c>
      <c r="O2321">
        <v>3</v>
      </c>
      <c r="P2321">
        <v>69</v>
      </c>
      <c r="Q2321">
        <v>0</v>
      </c>
      <c r="R2321" s="1">
        <v>39601</v>
      </c>
      <c r="S2321" t="s">
        <v>37</v>
      </c>
      <c r="T2321" t="str">
        <f t="shared" si="180"/>
        <v>Grade B</v>
      </c>
      <c r="U2321">
        <f t="shared" si="181"/>
        <v>2</v>
      </c>
      <c r="V2321" t="str">
        <f t="shared" si="182"/>
        <v>Senior</v>
      </c>
      <c r="W2321" t="str">
        <f t="shared" si="183"/>
        <v>Already Left</v>
      </c>
      <c r="X2321" t="str">
        <f t="shared" si="184"/>
        <v>Fair</v>
      </c>
    </row>
    <row r="2322" spans="1:24" x14ac:dyDescent="0.3">
      <c r="A2322" t="s">
        <v>2390</v>
      </c>
      <c r="B2322" t="s">
        <v>39</v>
      </c>
      <c r="C2322">
        <v>37</v>
      </c>
      <c r="D2322" t="s">
        <v>57</v>
      </c>
      <c r="E2322" t="s">
        <v>40</v>
      </c>
      <c r="F2322" t="s">
        <v>65</v>
      </c>
      <c r="G2322" t="s">
        <v>63</v>
      </c>
      <c r="H2322" t="s">
        <v>76</v>
      </c>
      <c r="I2322" t="s">
        <v>72</v>
      </c>
      <c r="J2322" t="s">
        <v>73</v>
      </c>
      <c r="K2322">
        <v>2</v>
      </c>
      <c r="L2322">
        <v>52585</v>
      </c>
      <c r="M2322" t="s">
        <v>36</v>
      </c>
      <c r="N2322">
        <v>2</v>
      </c>
      <c r="O2322">
        <v>4</v>
      </c>
      <c r="P2322">
        <v>42</v>
      </c>
      <c r="Q2322">
        <v>3</v>
      </c>
      <c r="R2322" s="1">
        <v>44408</v>
      </c>
      <c r="S2322" t="s">
        <v>29</v>
      </c>
      <c r="T2322" t="str">
        <f t="shared" si="180"/>
        <v>Grade B</v>
      </c>
      <c r="U2322">
        <f t="shared" si="181"/>
        <v>1</v>
      </c>
      <c r="V2322" t="str">
        <f t="shared" si="182"/>
        <v>New Joiner</v>
      </c>
      <c r="W2322" t="str">
        <f t="shared" si="183"/>
        <v>High Risk</v>
      </c>
      <c r="X2322" t="str">
        <f t="shared" si="184"/>
        <v>Fair</v>
      </c>
    </row>
    <row r="2323" spans="1:24" x14ac:dyDescent="0.3">
      <c r="A2323" t="s">
        <v>2391</v>
      </c>
      <c r="B2323" t="s">
        <v>39</v>
      </c>
      <c r="C2323">
        <v>35</v>
      </c>
      <c r="D2323" t="s">
        <v>88</v>
      </c>
      <c r="E2323" t="s">
        <v>48</v>
      </c>
      <c r="F2323" t="s">
        <v>65</v>
      </c>
      <c r="G2323" t="s">
        <v>79</v>
      </c>
      <c r="H2323" t="s">
        <v>34</v>
      </c>
      <c r="I2323" t="s">
        <v>50</v>
      </c>
      <c r="J2323" t="s">
        <v>44</v>
      </c>
      <c r="K2323">
        <v>6</v>
      </c>
      <c r="L2323">
        <v>55543</v>
      </c>
      <c r="M2323" t="s">
        <v>45</v>
      </c>
      <c r="N2323">
        <v>4</v>
      </c>
      <c r="O2323">
        <v>2</v>
      </c>
      <c r="P2323">
        <v>33</v>
      </c>
      <c r="Q2323">
        <v>1</v>
      </c>
      <c r="R2323" s="1">
        <v>43066</v>
      </c>
      <c r="S2323" t="s">
        <v>37</v>
      </c>
      <c r="T2323" t="str">
        <f t="shared" si="180"/>
        <v>Grade B</v>
      </c>
      <c r="U2323">
        <f t="shared" si="181"/>
        <v>2</v>
      </c>
      <c r="V2323" t="str">
        <f t="shared" si="182"/>
        <v>Mid Level</v>
      </c>
      <c r="W2323" t="str">
        <f t="shared" si="183"/>
        <v>Already Left</v>
      </c>
      <c r="X2323" t="str">
        <f t="shared" si="184"/>
        <v>Fair</v>
      </c>
    </row>
    <row r="2324" spans="1:24" x14ac:dyDescent="0.3">
      <c r="A2324" t="s">
        <v>2392</v>
      </c>
      <c r="B2324" t="s">
        <v>39</v>
      </c>
      <c r="C2324">
        <v>27</v>
      </c>
      <c r="D2324" t="s">
        <v>47</v>
      </c>
      <c r="E2324" t="s">
        <v>40</v>
      </c>
      <c r="F2324" t="s">
        <v>65</v>
      </c>
      <c r="G2324" t="s">
        <v>63</v>
      </c>
      <c r="H2324" t="s">
        <v>83</v>
      </c>
      <c r="I2324" t="s">
        <v>80</v>
      </c>
      <c r="J2324" t="s">
        <v>60</v>
      </c>
      <c r="K2324">
        <v>6</v>
      </c>
      <c r="L2324">
        <v>66889</v>
      </c>
      <c r="M2324" t="s">
        <v>28</v>
      </c>
      <c r="N2324">
        <v>4</v>
      </c>
      <c r="O2324">
        <v>4</v>
      </c>
      <c r="P2324">
        <v>49</v>
      </c>
      <c r="Q2324">
        <v>3</v>
      </c>
      <c r="R2324" s="1">
        <v>43068</v>
      </c>
      <c r="S2324" t="s">
        <v>29</v>
      </c>
      <c r="T2324" t="str">
        <f t="shared" si="180"/>
        <v>Grade B</v>
      </c>
      <c r="U2324">
        <f t="shared" si="181"/>
        <v>3</v>
      </c>
      <c r="V2324" t="str">
        <f t="shared" si="182"/>
        <v>Mid Level</v>
      </c>
      <c r="W2324" t="str">
        <f t="shared" si="183"/>
        <v>Medium Risk</v>
      </c>
      <c r="X2324" t="str">
        <f t="shared" si="184"/>
        <v>Competitive</v>
      </c>
    </row>
    <row r="2325" spans="1:24" x14ac:dyDescent="0.3">
      <c r="A2325" t="s">
        <v>2393</v>
      </c>
      <c r="B2325" t="s">
        <v>20</v>
      </c>
      <c r="C2325">
        <v>34</v>
      </c>
      <c r="D2325" t="s">
        <v>21</v>
      </c>
      <c r="E2325" t="s">
        <v>40</v>
      </c>
      <c r="F2325" t="s">
        <v>78</v>
      </c>
      <c r="G2325" t="s">
        <v>33</v>
      </c>
      <c r="H2325" t="s">
        <v>34</v>
      </c>
      <c r="I2325" t="s">
        <v>54</v>
      </c>
      <c r="J2325" t="s">
        <v>27</v>
      </c>
      <c r="K2325">
        <v>9</v>
      </c>
      <c r="L2325">
        <v>86712</v>
      </c>
      <c r="M2325" t="s">
        <v>45</v>
      </c>
      <c r="N2325">
        <v>4</v>
      </c>
      <c r="O2325">
        <v>2</v>
      </c>
      <c r="P2325">
        <v>17</v>
      </c>
      <c r="Q2325">
        <v>2</v>
      </c>
      <c r="R2325" s="1">
        <v>41686</v>
      </c>
      <c r="S2325" t="s">
        <v>29</v>
      </c>
      <c r="T2325" t="str">
        <f t="shared" si="180"/>
        <v>Grade A</v>
      </c>
      <c r="U2325">
        <f t="shared" si="181"/>
        <v>2</v>
      </c>
      <c r="V2325" t="str">
        <f t="shared" si="182"/>
        <v>Mid Level</v>
      </c>
      <c r="W2325" t="str">
        <f t="shared" si="183"/>
        <v>Medium Risk</v>
      </c>
      <c r="X2325" t="str">
        <f t="shared" si="184"/>
        <v>Fair</v>
      </c>
    </row>
    <row r="2326" spans="1:24" x14ac:dyDescent="0.3">
      <c r="A2326" t="s">
        <v>2394</v>
      </c>
      <c r="B2326" t="s">
        <v>39</v>
      </c>
      <c r="C2326">
        <v>44</v>
      </c>
      <c r="D2326" t="s">
        <v>88</v>
      </c>
      <c r="E2326" t="s">
        <v>40</v>
      </c>
      <c r="F2326" t="s">
        <v>78</v>
      </c>
      <c r="G2326" t="s">
        <v>49</v>
      </c>
      <c r="H2326" t="s">
        <v>83</v>
      </c>
      <c r="I2326" t="s">
        <v>68</v>
      </c>
      <c r="J2326" t="s">
        <v>60</v>
      </c>
      <c r="K2326">
        <v>12</v>
      </c>
      <c r="L2326">
        <v>76736</v>
      </c>
      <c r="M2326" t="s">
        <v>45</v>
      </c>
      <c r="N2326">
        <v>1</v>
      </c>
      <c r="O2326">
        <v>4</v>
      </c>
      <c r="P2326">
        <v>42</v>
      </c>
      <c r="Q2326">
        <v>1</v>
      </c>
      <c r="R2326" s="1">
        <v>40819</v>
      </c>
      <c r="S2326" t="s">
        <v>29</v>
      </c>
      <c r="T2326" t="str">
        <f t="shared" si="180"/>
        <v>Grade B</v>
      </c>
      <c r="U2326">
        <f t="shared" si="181"/>
        <v>2</v>
      </c>
      <c r="V2326" t="str">
        <f t="shared" si="182"/>
        <v>Senior</v>
      </c>
      <c r="W2326" t="str">
        <f t="shared" si="183"/>
        <v>Medium Risk</v>
      </c>
      <c r="X2326" t="str">
        <f t="shared" si="184"/>
        <v>Fair</v>
      </c>
    </row>
    <row r="2327" spans="1:24" x14ac:dyDescent="0.3">
      <c r="A2327" t="s">
        <v>2395</v>
      </c>
      <c r="B2327" t="s">
        <v>39</v>
      </c>
      <c r="C2327">
        <v>53</v>
      </c>
      <c r="D2327" t="s">
        <v>57</v>
      </c>
      <c r="E2327" t="s">
        <v>22</v>
      </c>
      <c r="F2327" t="s">
        <v>23</v>
      </c>
      <c r="G2327" t="s">
        <v>42</v>
      </c>
      <c r="H2327" t="s">
        <v>83</v>
      </c>
      <c r="I2327" t="s">
        <v>59</v>
      </c>
      <c r="J2327" t="s">
        <v>60</v>
      </c>
      <c r="K2327">
        <v>8</v>
      </c>
      <c r="L2327">
        <v>114283</v>
      </c>
      <c r="M2327" t="s">
        <v>28</v>
      </c>
      <c r="N2327">
        <v>1</v>
      </c>
      <c r="O2327">
        <v>1</v>
      </c>
      <c r="P2327">
        <v>74</v>
      </c>
      <c r="Q2327">
        <v>3</v>
      </c>
      <c r="R2327" s="1">
        <v>42367</v>
      </c>
      <c r="S2327" t="s">
        <v>29</v>
      </c>
      <c r="T2327" t="str">
        <f t="shared" si="180"/>
        <v>Grade A</v>
      </c>
      <c r="U2327">
        <f t="shared" si="181"/>
        <v>3</v>
      </c>
      <c r="V2327" t="str">
        <f t="shared" si="182"/>
        <v>Mid Level</v>
      </c>
      <c r="W2327" t="str">
        <f t="shared" si="183"/>
        <v>Medium Risk</v>
      </c>
      <c r="X2327" t="str">
        <f t="shared" si="184"/>
        <v>Competitive</v>
      </c>
    </row>
    <row r="2328" spans="1:24" x14ac:dyDescent="0.3">
      <c r="A2328" t="s">
        <v>2396</v>
      </c>
      <c r="B2328" t="s">
        <v>20</v>
      </c>
      <c r="C2328">
        <v>31</v>
      </c>
      <c r="D2328" t="s">
        <v>47</v>
      </c>
      <c r="E2328" t="s">
        <v>22</v>
      </c>
      <c r="F2328" t="s">
        <v>78</v>
      </c>
      <c r="G2328" t="s">
        <v>66</v>
      </c>
      <c r="H2328" t="s">
        <v>83</v>
      </c>
      <c r="I2328" t="s">
        <v>59</v>
      </c>
      <c r="J2328" t="s">
        <v>60</v>
      </c>
      <c r="K2328">
        <v>11</v>
      </c>
      <c r="L2328">
        <v>54412</v>
      </c>
      <c r="M2328" t="s">
        <v>45</v>
      </c>
      <c r="N2328">
        <v>1</v>
      </c>
      <c r="O2328">
        <v>4</v>
      </c>
      <c r="P2328">
        <v>34</v>
      </c>
      <c r="Q2328">
        <v>2</v>
      </c>
      <c r="R2328" s="1">
        <v>41275</v>
      </c>
      <c r="S2328" t="s">
        <v>29</v>
      </c>
      <c r="T2328" t="str">
        <f t="shared" si="180"/>
        <v>Grade B</v>
      </c>
      <c r="U2328">
        <f t="shared" si="181"/>
        <v>2</v>
      </c>
      <c r="V2328" t="str">
        <f t="shared" si="182"/>
        <v>Senior</v>
      </c>
      <c r="W2328" t="str">
        <f t="shared" si="183"/>
        <v>Medium Risk</v>
      </c>
      <c r="X2328" t="str">
        <f t="shared" si="184"/>
        <v>Fair</v>
      </c>
    </row>
    <row r="2329" spans="1:24" x14ac:dyDescent="0.3">
      <c r="A2329" t="s">
        <v>2397</v>
      </c>
      <c r="B2329" t="s">
        <v>20</v>
      </c>
      <c r="C2329">
        <v>32</v>
      </c>
      <c r="D2329" t="s">
        <v>88</v>
      </c>
      <c r="E2329" t="s">
        <v>40</v>
      </c>
      <c r="F2329" t="s">
        <v>78</v>
      </c>
      <c r="G2329" t="s">
        <v>33</v>
      </c>
      <c r="H2329" t="s">
        <v>67</v>
      </c>
      <c r="I2329" t="s">
        <v>43</v>
      </c>
      <c r="J2329" t="s">
        <v>44</v>
      </c>
      <c r="K2329">
        <v>8</v>
      </c>
      <c r="L2329">
        <v>78245</v>
      </c>
      <c r="M2329" t="s">
        <v>45</v>
      </c>
      <c r="N2329">
        <v>3</v>
      </c>
      <c r="O2329">
        <v>1</v>
      </c>
      <c r="P2329">
        <v>10</v>
      </c>
      <c r="Q2329">
        <v>2</v>
      </c>
      <c r="R2329" s="1">
        <v>42055</v>
      </c>
      <c r="S2329" t="s">
        <v>29</v>
      </c>
      <c r="T2329" t="str">
        <f t="shared" si="180"/>
        <v>Grade B</v>
      </c>
      <c r="U2329">
        <f t="shared" si="181"/>
        <v>2</v>
      </c>
      <c r="V2329" t="str">
        <f t="shared" si="182"/>
        <v>Mid Level</v>
      </c>
      <c r="W2329" t="str">
        <f t="shared" si="183"/>
        <v>Medium Risk</v>
      </c>
      <c r="X2329" t="str">
        <f t="shared" si="184"/>
        <v>Fair</v>
      </c>
    </row>
    <row r="2330" spans="1:24" x14ac:dyDescent="0.3">
      <c r="A2330" t="s">
        <v>2398</v>
      </c>
      <c r="B2330" t="s">
        <v>20</v>
      </c>
      <c r="C2330">
        <v>55</v>
      </c>
      <c r="D2330" t="s">
        <v>47</v>
      </c>
      <c r="E2330" t="s">
        <v>40</v>
      </c>
      <c r="F2330" t="s">
        <v>23</v>
      </c>
      <c r="G2330" t="s">
        <v>49</v>
      </c>
      <c r="H2330" t="s">
        <v>67</v>
      </c>
      <c r="I2330" t="s">
        <v>50</v>
      </c>
      <c r="J2330" t="s">
        <v>44</v>
      </c>
      <c r="K2330">
        <v>8</v>
      </c>
      <c r="L2330">
        <v>56605</v>
      </c>
      <c r="M2330" t="s">
        <v>28</v>
      </c>
      <c r="N2330">
        <v>4</v>
      </c>
      <c r="O2330">
        <v>3</v>
      </c>
      <c r="P2330">
        <v>58</v>
      </c>
      <c r="Q2330">
        <v>1</v>
      </c>
      <c r="R2330" s="1">
        <v>42307</v>
      </c>
      <c r="S2330" t="s">
        <v>29</v>
      </c>
      <c r="T2330" t="str">
        <f t="shared" si="180"/>
        <v>Grade B</v>
      </c>
      <c r="U2330">
        <f t="shared" si="181"/>
        <v>3</v>
      </c>
      <c r="V2330" t="str">
        <f t="shared" si="182"/>
        <v>Mid Level</v>
      </c>
      <c r="W2330" t="str">
        <f t="shared" si="183"/>
        <v>Medium Risk</v>
      </c>
      <c r="X2330" t="str">
        <f t="shared" si="184"/>
        <v>Competitive</v>
      </c>
    </row>
    <row r="2331" spans="1:24" x14ac:dyDescent="0.3">
      <c r="A2331" t="s">
        <v>2399</v>
      </c>
      <c r="B2331" t="s">
        <v>39</v>
      </c>
      <c r="C2331">
        <v>22</v>
      </c>
      <c r="D2331" t="s">
        <v>47</v>
      </c>
      <c r="E2331" t="s">
        <v>40</v>
      </c>
      <c r="F2331" t="s">
        <v>53</v>
      </c>
      <c r="G2331" t="s">
        <v>63</v>
      </c>
      <c r="H2331" t="s">
        <v>67</v>
      </c>
      <c r="I2331" t="s">
        <v>72</v>
      </c>
      <c r="J2331" t="s">
        <v>73</v>
      </c>
      <c r="K2331">
        <v>14</v>
      </c>
      <c r="L2331">
        <v>65649</v>
      </c>
      <c r="M2331" t="s">
        <v>45</v>
      </c>
      <c r="N2331">
        <v>1</v>
      </c>
      <c r="O2331">
        <v>4</v>
      </c>
      <c r="P2331">
        <v>52</v>
      </c>
      <c r="Q2331">
        <v>3</v>
      </c>
      <c r="R2331" s="1">
        <v>39897</v>
      </c>
      <c r="S2331" t="s">
        <v>37</v>
      </c>
      <c r="T2331" t="str">
        <f t="shared" si="180"/>
        <v>Grade B</v>
      </c>
      <c r="U2331">
        <f t="shared" si="181"/>
        <v>2</v>
      </c>
      <c r="V2331" t="str">
        <f t="shared" si="182"/>
        <v>Senior</v>
      </c>
      <c r="W2331" t="str">
        <f t="shared" si="183"/>
        <v>Already Left</v>
      </c>
      <c r="X2331" t="str">
        <f t="shared" si="184"/>
        <v>Fair</v>
      </c>
    </row>
    <row r="2332" spans="1:24" x14ac:dyDescent="0.3">
      <c r="A2332" t="s">
        <v>2400</v>
      </c>
      <c r="B2332" t="s">
        <v>39</v>
      </c>
      <c r="C2332">
        <v>54</v>
      </c>
      <c r="D2332" t="s">
        <v>21</v>
      </c>
      <c r="E2332" t="s">
        <v>48</v>
      </c>
      <c r="F2332" t="s">
        <v>41</v>
      </c>
      <c r="G2332" t="s">
        <v>79</v>
      </c>
      <c r="H2332" t="s">
        <v>34</v>
      </c>
      <c r="I2332" t="s">
        <v>68</v>
      </c>
      <c r="J2332" t="s">
        <v>60</v>
      </c>
      <c r="K2332">
        <v>4</v>
      </c>
      <c r="L2332">
        <v>41374</v>
      </c>
      <c r="M2332" t="s">
        <v>45</v>
      </c>
      <c r="N2332">
        <v>4</v>
      </c>
      <c r="O2332">
        <v>1</v>
      </c>
      <c r="P2332">
        <v>36</v>
      </c>
      <c r="Q2332">
        <v>3</v>
      </c>
      <c r="R2332" s="1">
        <v>43497</v>
      </c>
      <c r="S2332" t="s">
        <v>37</v>
      </c>
      <c r="T2332" t="str">
        <f t="shared" si="180"/>
        <v>Grade C</v>
      </c>
      <c r="U2332">
        <f t="shared" si="181"/>
        <v>2</v>
      </c>
      <c r="V2332" t="str">
        <f t="shared" si="182"/>
        <v>Junior</v>
      </c>
      <c r="W2332" t="str">
        <f t="shared" si="183"/>
        <v>Already Left</v>
      </c>
      <c r="X2332" t="str">
        <f t="shared" si="184"/>
        <v>Fair</v>
      </c>
    </row>
    <row r="2333" spans="1:24" x14ac:dyDescent="0.3">
      <c r="A2333" t="s">
        <v>2401</v>
      </c>
      <c r="B2333" t="s">
        <v>39</v>
      </c>
      <c r="C2333">
        <v>37</v>
      </c>
      <c r="D2333" t="s">
        <v>47</v>
      </c>
      <c r="E2333" t="s">
        <v>48</v>
      </c>
      <c r="F2333" t="s">
        <v>75</v>
      </c>
      <c r="G2333" t="s">
        <v>42</v>
      </c>
      <c r="H2333" t="s">
        <v>76</v>
      </c>
      <c r="I2333" t="s">
        <v>43</v>
      </c>
      <c r="J2333" t="s">
        <v>44</v>
      </c>
      <c r="K2333">
        <v>7</v>
      </c>
      <c r="L2333">
        <v>114733</v>
      </c>
      <c r="M2333" t="s">
        <v>28</v>
      </c>
      <c r="N2333">
        <v>3</v>
      </c>
      <c r="O2333">
        <v>3</v>
      </c>
      <c r="P2333">
        <v>53</v>
      </c>
      <c r="Q2333">
        <v>0</v>
      </c>
      <c r="R2333" s="1">
        <v>42478</v>
      </c>
      <c r="S2333" t="s">
        <v>29</v>
      </c>
      <c r="T2333" t="str">
        <f t="shared" si="180"/>
        <v>Grade A</v>
      </c>
      <c r="U2333">
        <f t="shared" si="181"/>
        <v>3</v>
      </c>
      <c r="V2333" t="str">
        <f t="shared" si="182"/>
        <v>Mid Level</v>
      </c>
      <c r="W2333" t="str">
        <f t="shared" si="183"/>
        <v>Medium Risk</v>
      </c>
      <c r="X2333" t="str">
        <f t="shared" si="184"/>
        <v>Competitive</v>
      </c>
    </row>
    <row r="2334" spans="1:24" x14ac:dyDescent="0.3">
      <c r="A2334" t="s">
        <v>2402</v>
      </c>
      <c r="B2334" t="s">
        <v>39</v>
      </c>
      <c r="C2334">
        <v>53</v>
      </c>
      <c r="D2334" t="s">
        <v>31</v>
      </c>
      <c r="E2334" t="s">
        <v>22</v>
      </c>
      <c r="F2334" t="s">
        <v>32</v>
      </c>
      <c r="G2334" t="s">
        <v>24</v>
      </c>
      <c r="H2334" t="s">
        <v>76</v>
      </c>
      <c r="I2334" t="s">
        <v>59</v>
      </c>
      <c r="J2334" t="s">
        <v>60</v>
      </c>
      <c r="K2334">
        <v>12</v>
      </c>
      <c r="L2334">
        <v>108700</v>
      </c>
      <c r="M2334" t="s">
        <v>51</v>
      </c>
      <c r="N2334">
        <v>3</v>
      </c>
      <c r="O2334">
        <v>2</v>
      </c>
      <c r="P2334">
        <v>23</v>
      </c>
      <c r="Q2334">
        <v>1</v>
      </c>
      <c r="R2334" s="1">
        <v>40897</v>
      </c>
      <c r="S2334" t="s">
        <v>29</v>
      </c>
      <c r="T2334" t="str">
        <f t="shared" si="180"/>
        <v>Grade A</v>
      </c>
      <c r="U2334">
        <f t="shared" si="181"/>
        <v>4</v>
      </c>
      <c r="V2334" t="str">
        <f t="shared" si="182"/>
        <v>Senior</v>
      </c>
      <c r="W2334" t="str">
        <f t="shared" si="183"/>
        <v>Low Risk</v>
      </c>
      <c r="X2334" t="str">
        <f t="shared" si="184"/>
        <v>Competitive</v>
      </c>
    </row>
    <row r="2335" spans="1:24" x14ac:dyDescent="0.3">
      <c r="A2335" t="s">
        <v>2403</v>
      </c>
      <c r="B2335" t="s">
        <v>39</v>
      </c>
      <c r="C2335">
        <v>43</v>
      </c>
      <c r="D2335" t="s">
        <v>21</v>
      </c>
      <c r="E2335" t="s">
        <v>40</v>
      </c>
      <c r="F2335" t="s">
        <v>62</v>
      </c>
      <c r="G2335" t="s">
        <v>33</v>
      </c>
      <c r="H2335" t="s">
        <v>25</v>
      </c>
      <c r="I2335" t="s">
        <v>68</v>
      </c>
      <c r="J2335" t="s">
        <v>60</v>
      </c>
      <c r="K2335">
        <v>14</v>
      </c>
      <c r="L2335">
        <v>88814</v>
      </c>
      <c r="M2335" t="s">
        <v>28</v>
      </c>
      <c r="N2335">
        <v>2</v>
      </c>
      <c r="O2335">
        <v>1</v>
      </c>
      <c r="P2335">
        <v>57</v>
      </c>
      <c r="Q2335">
        <v>3</v>
      </c>
      <c r="R2335" s="1">
        <v>39951</v>
      </c>
      <c r="S2335" t="s">
        <v>29</v>
      </c>
      <c r="T2335" t="str">
        <f t="shared" si="180"/>
        <v>Grade A</v>
      </c>
      <c r="U2335">
        <f t="shared" si="181"/>
        <v>3</v>
      </c>
      <c r="V2335" t="str">
        <f t="shared" si="182"/>
        <v>Senior</v>
      </c>
      <c r="W2335" t="str">
        <f t="shared" si="183"/>
        <v>Medium Risk</v>
      </c>
      <c r="X2335" t="str">
        <f t="shared" si="184"/>
        <v>Competitive</v>
      </c>
    </row>
    <row r="2336" spans="1:24" x14ac:dyDescent="0.3">
      <c r="A2336" t="s">
        <v>2404</v>
      </c>
      <c r="B2336" t="s">
        <v>39</v>
      </c>
      <c r="C2336">
        <v>40</v>
      </c>
      <c r="D2336" t="s">
        <v>88</v>
      </c>
      <c r="E2336" t="s">
        <v>48</v>
      </c>
      <c r="F2336" t="s">
        <v>78</v>
      </c>
      <c r="G2336" t="s">
        <v>79</v>
      </c>
      <c r="H2336" t="s">
        <v>34</v>
      </c>
      <c r="I2336" t="s">
        <v>35</v>
      </c>
      <c r="J2336" t="s">
        <v>27</v>
      </c>
      <c r="K2336">
        <v>8</v>
      </c>
      <c r="L2336">
        <v>50122</v>
      </c>
      <c r="M2336" t="s">
        <v>51</v>
      </c>
      <c r="N2336">
        <v>1</v>
      </c>
      <c r="O2336">
        <v>3</v>
      </c>
      <c r="P2336">
        <v>30</v>
      </c>
      <c r="Q2336">
        <v>1</v>
      </c>
      <c r="R2336" s="1">
        <v>42204</v>
      </c>
      <c r="S2336" t="s">
        <v>29</v>
      </c>
      <c r="T2336" t="str">
        <f t="shared" si="180"/>
        <v>Grade B</v>
      </c>
      <c r="U2336">
        <f t="shared" si="181"/>
        <v>4</v>
      </c>
      <c r="V2336" t="str">
        <f t="shared" si="182"/>
        <v>Mid Level</v>
      </c>
      <c r="W2336" t="str">
        <f t="shared" si="183"/>
        <v>Low Risk</v>
      </c>
      <c r="X2336" t="str">
        <f t="shared" si="184"/>
        <v>Fair</v>
      </c>
    </row>
    <row r="2337" spans="1:24" x14ac:dyDescent="0.3">
      <c r="A2337" t="s">
        <v>2405</v>
      </c>
      <c r="B2337" t="s">
        <v>20</v>
      </c>
      <c r="C2337">
        <v>53</v>
      </c>
      <c r="D2337" t="s">
        <v>57</v>
      </c>
      <c r="E2337" t="s">
        <v>48</v>
      </c>
      <c r="F2337" t="s">
        <v>53</v>
      </c>
      <c r="G2337" t="s">
        <v>79</v>
      </c>
      <c r="H2337" t="s">
        <v>83</v>
      </c>
      <c r="I2337" t="s">
        <v>35</v>
      </c>
      <c r="J2337" t="s">
        <v>27</v>
      </c>
      <c r="K2337">
        <v>6</v>
      </c>
      <c r="L2337">
        <v>51061</v>
      </c>
      <c r="M2337" t="s">
        <v>51</v>
      </c>
      <c r="N2337">
        <v>1</v>
      </c>
      <c r="O2337">
        <v>2</v>
      </c>
      <c r="P2337">
        <v>61</v>
      </c>
      <c r="Q2337">
        <v>0</v>
      </c>
      <c r="R2337" s="1">
        <v>42863</v>
      </c>
      <c r="S2337" t="s">
        <v>29</v>
      </c>
      <c r="T2337" t="str">
        <f t="shared" si="180"/>
        <v>Grade B</v>
      </c>
      <c r="U2337">
        <f t="shared" si="181"/>
        <v>4</v>
      </c>
      <c r="V2337" t="str">
        <f t="shared" si="182"/>
        <v>Mid Level</v>
      </c>
      <c r="W2337" t="str">
        <f t="shared" si="183"/>
        <v>Low Risk</v>
      </c>
      <c r="X2337" t="str">
        <f t="shared" si="184"/>
        <v>Fair</v>
      </c>
    </row>
    <row r="2338" spans="1:24" x14ac:dyDescent="0.3">
      <c r="A2338" t="s">
        <v>2406</v>
      </c>
      <c r="B2338" t="s">
        <v>20</v>
      </c>
      <c r="C2338">
        <v>28</v>
      </c>
      <c r="D2338" t="s">
        <v>88</v>
      </c>
      <c r="E2338" t="s">
        <v>40</v>
      </c>
      <c r="F2338" t="s">
        <v>65</v>
      </c>
      <c r="G2338" t="s">
        <v>66</v>
      </c>
      <c r="H2338" t="s">
        <v>76</v>
      </c>
      <c r="I2338" t="s">
        <v>43</v>
      </c>
      <c r="J2338" t="s">
        <v>44</v>
      </c>
      <c r="K2338">
        <v>14</v>
      </c>
      <c r="L2338">
        <v>57511</v>
      </c>
      <c r="M2338" t="s">
        <v>36</v>
      </c>
      <c r="N2338">
        <v>3</v>
      </c>
      <c r="O2338">
        <v>3</v>
      </c>
      <c r="P2338">
        <v>13</v>
      </c>
      <c r="Q2338">
        <v>1</v>
      </c>
      <c r="R2338" s="1">
        <v>40114</v>
      </c>
      <c r="S2338" t="s">
        <v>37</v>
      </c>
      <c r="T2338" t="str">
        <f t="shared" si="180"/>
        <v>Grade B</v>
      </c>
      <c r="U2338">
        <f t="shared" si="181"/>
        <v>1</v>
      </c>
      <c r="V2338" t="str">
        <f t="shared" si="182"/>
        <v>Senior</v>
      </c>
      <c r="W2338" t="str">
        <f t="shared" si="183"/>
        <v>Already Left</v>
      </c>
      <c r="X2338" t="str">
        <f t="shared" si="184"/>
        <v>Fair</v>
      </c>
    </row>
    <row r="2339" spans="1:24" x14ac:dyDescent="0.3">
      <c r="A2339" t="s">
        <v>2407</v>
      </c>
      <c r="B2339" t="s">
        <v>20</v>
      </c>
      <c r="C2339">
        <v>52</v>
      </c>
      <c r="D2339" t="s">
        <v>57</v>
      </c>
      <c r="E2339" t="s">
        <v>48</v>
      </c>
      <c r="F2339" t="s">
        <v>62</v>
      </c>
      <c r="G2339" t="s">
        <v>42</v>
      </c>
      <c r="H2339" t="s">
        <v>34</v>
      </c>
      <c r="I2339" t="s">
        <v>54</v>
      </c>
      <c r="J2339" t="s">
        <v>27</v>
      </c>
      <c r="K2339">
        <v>10</v>
      </c>
      <c r="L2339">
        <v>111216</v>
      </c>
      <c r="M2339" t="s">
        <v>45</v>
      </c>
      <c r="N2339">
        <v>1</v>
      </c>
      <c r="O2339">
        <v>2</v>
      </c>
      <c r="P2339">
        <v>79</v>
      </c>
      <c r="Q2339">
        <v>3</v>
      </c>
      <c r="R2339" s="1">
        <v>41479</v>
      </c>
      <c r="S2339" t="s">
        <v>29</v>
      </c>
      <c r="T2339" t="str">
        <f t="shared" si="180"/>
        <v>Grade A</v>
      </c>
      <c r="U2339">
        <f t="shared" si="181"/>
        <v>2</v>
      </c>
      <c r="V2339" t="str">
        <f t="shared" si="182"/>
        <v>Mid Level</v>
      </c>
      <c r="W2339" t="str">
        <f t="shared" si="183"/>
        <v>Medium Risk</v>
      </c>
      <c r="X2339" t="str">
        <f t="shared" si="184"/>
        <v>Fair</v>
      </c>
    </row>
    <row r="2340" spans="1:24" x14ac:dyDescent="0.3">
      <c r="A2340" t="s">
        <v>2408</v>
      </c>
      <c r="B2340" t="s">
        <v>20</v>
      </c>
      <c r="C2340">
        <v>50</v>
      </c>
      <c r="D2340" t="s">
        <v>88</v>
      </c>
      <c r="E2340" t="s">
        <v>22</v>
      </c>
      <c r="F2340" t="s">
        <v>65</v>
      </c>
      <c r="G2340" t="s">
        <v>79</v>
      </c>
      <c r="H2340" t="s">
        <v>83</v>
      </c>
      <c r="I2340" t="s">
        <v>72</v>
      </c>
      <c r="J2340" t="s">
        <v>73</v>
      </c>
      <c r="K2340">
        <v>12</v>
      </c>
      <c r="L2340">
        <v>66042</v>
      </c>
      <c r="M2340" t="s">
        <v>51</v>
      </c>
      <c r="N2340">
        <v>2</v>
      </c>
      <c r="O2340">
        <v>2</v>
      </c>
      <c r="P2340">
        <v>56</v>
      </c>
      <c r="Q2340">
        <v>1</v>
      </c>
      <c r="R2340" s="1">
        <v>40735</v>
      </c>
      <c r="S2340" t="s">
        <v>29</v>
      </c>
      <c r="T2340" t="str">
        <f t="shared" si="180"/>
        <v>Grade B</v>
      </c>
      <c r="U2340">
        <f t="shared" si="181"/>
        <v>4</v>
      </c>
      <c r="V2340" t="str">
        <f t="shared" si="182"/>
        <v>Senior</v>
      </c>
      <c r="W2340" t="str">
        <f t="shared" si="183"/>
        <v>Low Risk</v>
      </c>
      <c r="X2340" t="str">
        <f t="shared" si="184"/>
        <v>Fair</v>
      </c>
    </row>
    <row r="2341" spans="1:24" x14ac:dyDescent="0.3">
      <c r="A2341" t="s">
        <v>2409</v>
      </c>
      <c r="B2341" t="s">
        <v>20</v>
      </c>
      <c r="C2341">
        <v>28</v>
      </c>
      <c r="D2341" t="s">
        <v>88</v>
      </c>
      <c r="E2341" t="s">
        <v>48</v>
      </c>
      <c r="F2341" t="s">
        <v>23</v>
      </c>
      <c r="G2341" t="s">
        <v>24</v>
      </c>
      <c r="H2341" t="s">
        <v>83</v>
      </c>
      <c r="I2341" t="s">
        <v>43</v>
      </c>
      <c r="J2341" t="s">
        <v>44</v>
      </c>
      <c r="K2341">
        <v>2</v>
      </c>
      <c r="L2341">
        <v>84062</v>
      </c>
      <c r="M2341" t="s">
        <v>45</v>
      </c>
      <c r="N2341">
        <v>2</v>
      </c>
      <c r="O2341">
        <v>4</v>
      </c>
      <c r="P2341">
        <v>14</v>
      </c>
      <c r="Q2341">
        <v>3</v>
      </c>
      <c r="R2341" s="1">
        <v>44350</v>
      </c>
      <c r="S2341" t="s">
        <v>37</v>
      </c>
      <c r="T2341" t="str">
        <f t="shared" si="180"/>
        <v>Grade A</v>
      </c>
      <c r="U2341">
        <f t="shared" si="181"/>
        <v>2</v>
      </c>
      <c r="V2341" t="str">
        <f t="shared" si="182"/>
        <v>New Joiner</v>
      </c>
      <c r="W2341" t="str">
        <f t="shared" si="183"/>
        <v>Already Left</v>
      </c>
      <c r="X2341" t="str">
        <f t="shared" si="184"/>
        <v>Fair</v>
      </c>
    </row>
    <row r="2342" spans="1:24" x14ac:dyDescent="0.3">
      <c r="A2342" t="s">
        <v>2410</v>
      </c>
      <c r="B2342" t="s">
        <v>39</v>
      </c>
      <c r="C2342">
        <v>28</v>
      </c>
      <c r="D2342" t="s">
        <v>21</v>
      </c>
      <c r="E2342" t="s">
        <v>22</v>
      </c>
      <c r="F2342" t="s">
        <v>23</v>
      </c>
      <c r="G2342" t="s">
        <v>24</v>
      </c>
      <c r="H2342" t="s">
        <v>76</v>
      </c>
      <c r="I2342" t="s">
        <v>35</v>
      </c>
      <c r="J2342" t="s">
        <v>27</v>
      </c>
      <c r="K2342">
        <v>1</v>
      </c>
      <c r="L2342">
        <v>67952</v>
      </c>
      <c r="M2342" t="s">
        <v>28</v>
      </c>
      <c r="N2342">
        <v>1</v>
      </c>
      <c r="O2342">
        <v>4</v>
      </c>
      <c r="P2342">
        <v>60</v>
      </c>
      <c r="Q2342">
        <v>3</v>
      </c>
      <c r="R2342" s="1">
        <v>44603</v>
      </c>
      <c r="S2342" t="s">
        <v>29</v>
      </c>
      <c r="T2342" t="str">
        <f t="shared" si="180"/>
        <v>Grade B</v>
      </c>
      <c r="U2342">
        <f t="shared" si="181"/>
        <v>3</v>
      </c>
      <c r="V2342" t="str">
        <f t="shared" si="182"/>
        <v>New Joiner</v>
      </c>
      <c r="W2342" t="str">
        <f t="shared" si="183"/>
        <v>Medium Risk</v>
      </c>
      <c r="X2342" t="str">
        <f t="shared" si="184"/>
        <v>Competitive</v>
      </c>
    </row>
    <row r="2343" spans="1:24" x14ac:dyDescent="0.3">
      <c r="A2343" t="s">
        <v>2411</v>
      </c>
      <c r="B2343" t="s">
        <v>20</v>
      </c>
      <c r="C2343">
        <v>54</v>
      </c>
      <c r="D2343" t="s">
        <v>47</v>
      </c>
      <c r="E2343" t="s">
        <v>48</v>
      </c>
      <c r="F2343" t="s">
        <v>32</v>
      </c>
      <c r="G2343" t="s">
        <v>49</v>
      </c>
      <c r="H2343" t="s">
        <v>76</v>
      </c>
      <c r="I2343" t="s">
        <v>43</v>
      </c>
      <c r="J2343" t="s">
        <v>44</v>
      </c>
      <c r="K2343">
        <v>1</v>
      </c>
      <c r="L2343">
        <v>56542</v>
      </c>
      <c r="M2343" t="s">
        <v>28</v>
      </c>
      <c r="N2343">
        <v>3</v>
      </c>
      <c r="O2343">
        <v>4</v>
      </c>
      <c r="P2343">
        <v>71</v>
      </c>
      <c r="Q2343">
        <v>0</v>
      </c>
      <c r="R2343" s="1">
        <v>44776</v>
      </c>
      <c r="S2343" t="s">
        <v>29</v>
      </c>
      <c r="T2343" t="str">
        <f t="shared" si="180"/>
        <v>Grade B</v>
      </c>
      <c r="U2343">
        <f t="shared" si="181"/>
        <v>3</v>
      </c>
      <c r="V2343" t="str">
        <f t="shared" si="182"/>
        <v>New Joiner</v>
      </c>
      <c r="W2343" t="str">
        <f t="shared" si="183"/>
        <v>Medium Risk</v>
      </c>
      <c r="X2343" t="str">
        <f t="shared" si="184"/>
        <v>Competitive</v>
      </c>
    </row>
    <row r="2344" spans="1:24" x14ac:dyDescent="0.3">
      <c r="A2344" t="s">
        <v>2412</v>
      </c>
      <c r="B2344" t="s">
        <v>39</v>
      </c>
      <c r="C2344">
        <v>48</v>
      </c>
      <c r="D2344" t="s">
        <v>57</v>
      </c>
      <c r="E2344" t="s">
        <v>48</v>
      </c>
      <c r="F2344" t="s">
        <v>41</v>
      </c>
      <c r="G2344" t="s">
        <v>63</v>
      </c>
      <c r="H2344" t="s">
        <v>34</v>
      </c>
      <c r="I2344" t="s">
        <v>96</v>
      </c>
      <c r="J2344" t="s">
        <v>44</v>
      </c>
      <c r="K2344">
        <v>6</v>
      </c>
      <c r="L2344">
        <v>57681</v>
      </c>
      <c r="M2344" t="s">
        <v>51</v>
      </c>
      <c r="N2344">
        <v>1</v>
      </c>
      <c r="O2344">
        <v>3</v>
      </c>
      <c r="P2344">
        <v>43</v>
      </c>
      <c r="Q2344">
        <v>3</v>
      </c>
      <c r="R2344" s="1">
        <v>42956</v>
      </c>
      <c r="S2344" t="s">
        <v>29</v>
      </c>
      <c r="T2344" t="str">
        <f t="shared" si="180"/>
        <v>Grade B</v>
      </c>
      <c r="U2344">
        <f t="shared" si="181"/>
        <v>4</v>
      </c>
      <c r="V2344" t="str">
        <f t="shared" si="182"/>
        <v>Mid Level</v>
      </c>
      <c r="W2344" t="str">
        <f t="shared" si="183"/>
        <v>Low Risk</v>
      </c>
      <c r="X2344" t="str">
        <f t="shared" si="184"/>
        <v>Fair</v>
      </c>
    </row>
    <row r="2345" spans="1:24" x14ac:dyDescent="0.3">
      <c r="A2345" t="s">
        <v>2413</v>
      </c>
      <c r="B2345" t="s">
        <v>20</v>
      </c>
      <c r="C2345">
        <v>39</v>
      </c>
      <c r="D2345" t="s">
        <v>57</v>
      </c>
      <c r="E2345" t="s">
        <v>40</v>
      </c>
      <c r="F2345" t="s">
        <v>32</v>
      </c>
      <c r="G2345" t="s">
        <v>63</v>
      </c>
      <c r="H2345" t="s">
        <v>34</v>
      </c>
      <c r="I2345" t="s">
        <v>96</v>
      </c>
      <c r="J2345" t="s">
        <v>44</v>
      </c>
      <c r="K2345">
        <v>2</v>
      </c>
      <c r="L2345">
        <v>47233</v>
      </c>
      <c r="M2345" t="s">
        <v>28</v>
      </c>
      <c r="N2345">
        <v>4</v>
      </c>
      <c r="O2345">
        <v>2</v>
      </c>
      <c r="P2345">
        <v>16</v>
      </c>
      <c r="Q2345">
        <v>2</v>
      </c>
      <c r="R2345" s="1">
        <v>44560</v>
      </c>
      <c r="S2345" t="s">
        <v>29</v>
      </c>
      <c r="T2345" t="str">
        <f t="shared" si="180"/>
        <v>Grade C</v>
      </c>
      <c r="U2345">
        <f t="shared" si="181"/>
        <v>3</v>
      </c>
      <c r="V2345" t="str">
        <f t="shared" si="182"/>
        <v>New Joiner</v>
      </c>
      <c r="W2345" t="str">
        <f t="shared" si="183"/>
        <v>Medium Risk</v>
      </c>
      <c r="X2345" t="str">
        <f t="shared" si="184"/>
        <v>Fair</v>
      </c>
    </row>
    <row r="2346" spans="1:24" x14ac:dyDescent="0.3">
      <c r="A2346" t="s">
        <v>2414</v>
      </c>
      <c r="B2346" t="s">
        <v>39</v>
      </c>
      <c r="C2346">
        <v>33</v>
      </c>
      <c r="D2346" t="s">
        <v>57</v>
      </c>
      <c r="E2346" t="s">
        <v>48</v>
      </c>
      <c r="F2346" t="s">
        <v>75</v>
      </c>
      <c r="G2346" t="s">
        <v>24</v>
      </c>
      <c r="H2346" t="s">
        <v>34</v>
      </c>
      <c r="I2346" t="s">
        <v>35</v>
      </c>
      <c r="J2346" t="s">
        <v>27</v>
      </c>
      <c r="K2346">
        <v>1</v>
      </c>
      <c r="L2346">
        <v>77830</v>
      </c>
      <c r="M2346" t="s">
        <v>51</v>
      </c>
      <c r="N2346">
        <v>2</v>
      </c>
      <c r="O2346">
        <v>3</v>
      </c>
      <c r="P2346">
        <v>44</v>
      </c>
      <c r="Q2346">
        <v>3</v>
      </c>
      <c r="R2346" s="1">
        <v>44879</v>
      </c>
      <c r="S2346" t="s">
        <v>29</v>
      </c>
      <c r="T2346" t="str">
        <f t="shared" si="180"/>
        <v>Grade B</v>
      </c>
      <c r="U2346">
        <f t="shared" si="181"/>
        <v>4</v>
      </c>
      <c r="V2346" t="str">
        <f t="shared" si="182"/>
        <v>New Joiner</v>
      </c>
      <c r="W2346" t="str">
        <f t="shared" si="183"/>
        <v>Low Risk</v>
      </c>
      <c r="X2346" t="str">
        <f t="shared" si="184"/>
        <v>Fair</v>
      </c>
    </row>
    <row r="2347" spans="1:24" x14ac:dyDescent="0.3">
      <c r="A2347" t="s">
        <v>2415</v>
      </c>
      <c r="B2347" t="s">
        <v>20</v>
      </c>
      <c r="C2347">
        <v>46</v>
      </c>
      <c r="D2347" t="s">
        <v>21</v>
      </c>
      <c r="E2347" t="s">
        <v>48</v>
      </c>
      <c r="F2347" t="s">
        <v>23</v>
      </c>
      <c r="G2347" t="s">
        <v>58</v>
      </c>
      <c r="H2347" t="s">
        <v>83</v>
      </c>
      <c r="I2347" t="s">
        <v>35</v>
      </c>
      <c r="J2347" t="s">
        <v>27</v>
      </c>
      <c r="K2347">
        <v>9</v>
      </c>
      <c r="L2347">
        <v>103022</v>
      </c>
      <c r="M2347" t="s">
        <v>45</v>
      </c>
      <c r="N2347">
        <v>4</v>
      </c>
      <c r="O2347">
        <v>1</v>
      </c>
      <c r="P2347">
        <v>15</v>
      </c>
      <c r="Q2347">
        <v>0</v>
      </c>
      <c r="R2347" s="1">
        <v>41961</v>
      </c>
      <c r="S2347" t="s">
        <v>37</v>
      </c>
      <c r="T2347" t="str">
        <f t="shared" si="180"/>
        <v>Grade A</v>
      </c>
      <c r="U2347">
        <f t="shared" si="181"/>
        <v>2</v>
      </c>
      <c r="V2347" t="str">
        <f t="shared" si="182"/>
        <v>Mid Level</v>
      </c>
      <c r="W2347" t="str">
        <f t="shared" si="183"/>
        <v>Already Left</v>
      </c>
      <c r="X2347" t="str">
        <f t="shared" si="184"/>
        <v>Fair</v>
      </c>
    </row>
    <row r="2348" spans="1:24" x14ac:dyDescent="0.3">
      <c r="A2348" t="s">
        <v>2416</v>
      </c>
      <c r="B2348" t="s">
        <v>39</v>
      </c>
      <c r="C2348">
        <v>41</v>
      </c>
      <c r="D2348" t="s">
        <v>57</v>
      </c>
      <c r="E2348" t="s">
        <v>48</v>
      </c>
      <c r="F2348" t="s">
        <v>23</v>
      </c>
      <c r="G2348" t="s">
        <v>66</v>
      </c>
      <c r="H2348" t="s">
        <v>83</v>
      </c>
      <c r="I2348" t="s">
        <v>26</v>
      </c>
      <c r="J2348" t="s">
        <v>27</v>
      </c>
      <c r="K2348">
        <v>4</v>
      </c>
      <c r="L2348">
        <v>41442</v>
      </c>
      <c r="M2348" t="s">
        <v>36</v>
      </c>
      <c r="N2348">
        <v>2</v>
      </c>
      <c r="O2348">
        <v>4</v>
      </c>
      <c r="P2348">
        <v>39</v>
      </c>
      <c r="Q2348">
        <v>0</v>
      </c>
      <c r="R2348" s="1">
        <v>43469</v>
      </c>
      <c r="S2348" t="s">
        <v>37</v>
      </c>
      <c r="T2348" t="str">
        <f t="shared" si="180"/>
        <v>Grade C</v>
      </c>
      <c r="U2348">
        <f t="shared" si="181"/>
        <v>1</v>
      </c>
      <c r="V2348" t="str">
        <f t="shared" si="182"/>
        <v>Junior</v>
      </c>
      <c r="W2348" t="str">
        <f t="shared" si="183"/>
        <v>Already Left</v>
      </c>
      <c r="X2348" t="str">
        <f t="shared" si="184"/>
        <v>Fair</v>
      </c>
    </row>
    <row r="2349" spans="1:24" x14ac:dyDescent="0.3">
      <c r="A2349" t="s">
        <v>2417</v>
      </c>
      <c r="B2349" t="s">
        <v>39</v>
      </c>
      <c r="C2349">
        <v>55</v>
      </c>
      <c r="D2349" t="s">
        <v>47</v>
      </c>
      <c r="E2349" t="s">
        <v>22</v>
      </c>
      <c r="F2349" t="s">
        <v>62</v>
      </c>
      <c r="G2349" t="s">
        <v>66</v>
      </c>
      <c r="H2349" t="s">
        <v>83</v>
      </c>
      <c r="I2349" t="s">
        <v>35</v>
      </c>
      <c r="J2349" t="s">
        <v>27</v>
      </c>
      <c r="K2349">
        <v>2</v>
      </c>
      <c r="L2349">
        <v>47849</v>
      </c>
      <c r="M2349" t="s">
        <v>28</v>
      </c>
      <c r="N2349">
        <v>1</v>
      </c>
      <c r="O2349">
        <v>2</v>
      </c>
      <c r="P2349">
        <v>11</v>
      </c>
      <c r="Q2349">
        <v>2</v>
      </c>
      <c r="R2349" s="1">
        <v>44308</v>
      </c>
      <c r="S2349" t="s">
        <v>29</v>
      </c>
      <c r="T2349" t="str">
        <f t="shared" si="180"/>
        <v>Grade C</v>
      </c>
      <c r="U2349">
        <f t="shared" si="181"/>
        <v>3</v>
      </c>
      <c r="V2349" t="str">
        <f t="shared" si="182"/>
        <v>New Joiner</v>
      </c>
      <c r="W2349" t="str">
        <f t="shared" si="183"/>
        <v>Medium Risk</v>
      </c>
      <c r="X2349" t="str">
        <f t="shared" si="184"/>
        <v>Fair</v>
      </c>
    </row>
    <row r="2350" spans="1:24" x14ac:dyDescent="0.3">
      <c r="A2350" t="s">
        <v>2418</v>
      </c>
      <c r="B2350" t="s">
        <v>39</v>
      </c>
      <c r="C2350">
        <v>24</v>
      </c>
      <c r="D2350" t="s">
        <v>47</v>
      </c>
      <c r="E2350" t="s">
        <v>48</v>
      </c>
      <c r="F2350" t="s">
        <v>53</v>
      </c>
      <c r="G2350" t="s">
        <v>24</v>
      </c>
      <c r="H2350" t="s">
        <v>34</v>
      </c>
      <c r="I2350" t="s">
        <v>80</v>
      </c>
      <c r="J2350" t="s">
        <v>60</v>
      </c>
      <c r="K2350">
        <v>11</v>
      </c>
      <c r="L2350">
        <v>98746</v>
      </c>
      <c r="M2350" t="s">
        <v>45</v>
      </c>
      <c r="N2350">
        <v>3</v>
      </c>
      <c r="O2350">
        <v>1</v>
      </c>
      <c r="P2350">
        <v>47</v>
      </c>
      <c r="Q2350">
        <v>1</v>
      </c>
      <c r="R2350" s="1">
        <v>41224</v>
      </c>
      <c r="S2350" t="s">
        <v>37</v>
      </c>
      <c r="T2350" t="str">
        <f t="shared" si="180"/>
        <v>Grade A</v>
      </c>
      <c r="U2350">
        <f t="shared" si="181"/>
        <v>2</v>
      </c>
      <c r="V2350" t="str">
        <f t="shared" si="182"/>
        <v>Senior</v>
      </c>
      <c r="W2350" t="str">
        <f t="shared" si="183"/>
        <v>Already Left</v>
      </c>
      <c r="X2350" t="str">
        <f t="shared" si="184"/>
        <v>Fair</v>
      </c>
    </row>
    <row r="2351" spans="1:24" x14ac:dyDescent="0.3">
      <c r="A2351" t="s">
        <v>2419</v>
      </c>
      <c r="B2351" t="s">
        <v>39</v>
      </c>
      <c r="C2351">
        <v>30</v>
      </c>
      <c r="D2351" t="s">
        <v>47</v>
      </c>
      <c r="E2351" t="s">
        <v>40</v>
      </c>
      <c r="F2351" t="s">
        <v>62</v>
      </c>
      <c r="G2351" t="s">
        <v>33</v>
      </c>
      <c r="H2351" t="s">
        <v>83</v>
      </c>
      <c r="I2351" t="s">
        <v>54</v>
      </c>
      <c r="J2351" t="s">
        <v>27</v>
      </c>
      <c r="K2351">
        <v>6</v>
      </c>
      <c r="L2351">
        <v>81320</v>
      </c>
      <c r="M2351" t="s">
        <v>28</v>
      </c>
      <c r="N2351">
        <v>4</v>
      </c>
      <c r="O2351">
        <v>4</v>
      </c>
      <c r="P2351">
        <v>69</v>
      </c>
      <c r="Q2351">
        <v>3</v>
      </c>
      <c r="R2351" s="1">
        <v>42753</v>
      </c>
      <c r="S2351" t="s">
        <v>37</v>
      </c>
      <c r="T2351" t="str">
        <f t="shared" si="180"/>
        <v>Grade A</v>
      </c>
      <c r="U2351">
        <f t="shared" si="181"/>
        <v>3</v>
      </c>
      <c r="V2351" t="str">
        <f t="shared" si="182"/>
        <v>Mid Level</v>
      </c>
      <c r="W2351" t="str">
        <f t="shared" si="183"/>
        <v>Already Left</v>
      </c>
      <c r="X2351" t="str">
        <f t="shared" si="184"/>
        <v>Competitive</v>
      </c>
    </row>
    <row r="2352" spans="1:24" x14ac:dyDescent="0.3">
      <c r="A2352" t="s">
        <v>2420</v>
      </c>
      <c r="B2352" t="s">
        <v>39</v>
      </c>
      <c r="C2352">
        <v>35</v>
      </c>
      <c r="D2352" t="s">
        <v>88</v>
      </c>
      <c r="E2352" t="s">
        <v>40</v>
      </c>
      <c r="F2352" t="s">
        <v>23</v>
      </c>
      <c r="G2352" t="s">
        <v>66</v>
      </c>
      <c r="H2352" t="s">
        <v>76</v>
      </c>
      <c r="I2352" t="s">
        <v>43</v>
      </c>
      <c r="J2352" t="s">
        <v>44</v>
      </c>
      <c r="K2352">
        <v>14</v>
      </c>
      <c r="L2352">
        <v>55327</v>
      </c>
      <c r="M2352" t="s">
        <v>28</v>
      </c>
      <c r="N2352">
        <v>4</v>
      </c>
      <c r="O2352">
        <v>2</v>
      </c>
      <c r="P2352">
        <v>78</v>
      </c>
      <c r="Q2352">
        <v>3</v>
      </c>
      <c r="R2352" s="1">
        <v>40024</v>
      </c>
      <c r="S2352" t="s">
        <v>29</v>
      </c>
      <c r="T2352" t="str">
        <f t="shared" si="180"/>
        <v>Grade B</v>
      </c>
      <c r="U2352">
        <f t="shared" si="181"/>
        <v>3</v>
      </c>
      <c r="V2352" t="str">
        <f t="shared" si="182"/>
        <v>Senior</v>
      </c>
      <c r="W2352" t="str">
        <f t="shared" si="183"/>
        <v>Medium Risk</v>
      </c>
      <c r="X2352" t="str">
        <f t="shared" si="184"/>
        <v>Competitive</v>
      </c>
    </row>
    <row r="2353" spans="1:24" x14ac:dyDescent="0.3">
      <c r="A2353" t="s">
        <v>2421</v>
      </c>
      <c r="B2353" t="s">
        <v>39</v>
      </c>
      <c r="C2353">
        <v>32</v>
      </c>
      <c r="D2353" t="s">
        <v>88</v>
      </c>
      <c r="E2353" t="s">
        <v>40</v>
      </c>
      <c r="F2353" t="s">
        <v>62</v>
      </c>
      <c r="G2353" t="s">
        <v>79</v>
      </c>
      <c r="H2353" t="s">
        <v>67</v>
      </c>
      <c r="I2353" t="s">
        <v>80</v>
      </c>
      <c r="J2353" t="s">
        <v>60</v>
      </c>
      <c r="K2353">
        <v>9</v>
      </c>
      <c r="L2353">
        <v>64729</v>
      </c>
      <c r="M2353" t="s">
        <v>51</v>
      </c>
      <c r="N2353">
        <v>2</v>
      </c>
      <c r="O2353">
        <v>4</v>
      </c>
      <c r="P2353">
        <v>11</v>
      </c>
      <c r="Q2353">
        <v>1</v>
      </c>
      <c r="R2353" s="1">
        <v>41799</v>
      </c>
      <c r="S2353" t="s">
        <v>29</v>
      </c>
      <c r="T2353" t="str">
        <f t="shared" si="180"/>
        <v>Grade B</v>
      </c>
      <c r="U2353">
        <f t="shared" si="181"/>
        <v>4</v>
      </c>
      <c r="V2353" t="str">
        <f t="shared" si="182"/>
        <v>Mid Level</v>
      </c>
      <c r="W2353" t="str">
        <f t="shared" si="183"/>
        <v>Low Risk</v>
      </c>
      <c r="X2353" t="str">
        <f t="shared" si="184"/>
        <v>Fair</v>
      </c>
    </row>
    <row r="2354" spans="1:24" x14ac:dyDescent="0.3">
      <c r="A2354" t="s">
        <v>2422</v>
      </c>
      <c r="B2354" t="s">
        <v>20</v>
      </c>
      <c r="C2354">
        <v>27</v>
      </c>
      <c r="D2354" t="s">
        <v>88</v>
      </c>
      <c r="E2354" t="s">
        <v>48</v>
      </c>
      <c r="F2354" t="s">
        <v>75</v>
      </c>
      <c r="G2354" t="s">
        <v>58</v>
      </c>
      <c r="H2354" t="s">
        <v>67</v>
      </c>
      <c r="I2354" t="s">
        <v>43</v>
      </c>
      <c r="J2354" t="s">
        <v>44</v>
      </c>
      <c r="K2354">
        <v>15</v>
      </c>
      <c r="L2354">
        <v>120463</v>
      </c>
      <c r="M2354" t="s">
        <v>28</v>
      </c>
      <c r="N2354">
        <v>1</v>
      </c>
      <c r="O2354">
        <v>2</v>
      </c>
      <c r="P2354">
        <v>38</v>
      </c>
      <c r="Q2354">
        <v>0</v>
      </c>
      <c r="R2354" s="1">
        <v>39639</v>
      </c>
      <c r="S2354" t="s">
        <v>37</v>
      </c>
      <c r="T2354" t="str">
        <f t="shared" si="180"/>
        <v>Grade A</v>
      </c>
      <c r="U2354">
        <f t="shared" si="181"/>
        <v>3</v>
      </c>
      <c r="V2354" t="str">
        <f t="shared" si="182"/>
        <v>Senior</v>
      </c>
      <c r="W2354" t="str">
        <f t="shared" si="183"/>
        <v>Already Left</v>
      </c>
      <c r="X2354" t="str">
        <f t="shared" si="184"/>
        <v>Competitive</v>
      </c>
    </row>
    <row r="2355" spans="1:24" x14ac:dyDescent="0.3">
      <c r="A2355" t="s">
        <v>2423</v>
      </c>
      <c r="B2355" t="s">
        <v>20</v>
      </c>
      <c r="C2355">
        <v>26</v>
      </c>
      <c r="D2355" t="s">
        <v>88</v>
      </c>
      <c r="E2355" t="s">
        <v>22</v>
      </c>
      <c r="F2355" t="s">
        <v>78</v>
      </c>
      <c r="G2355" t="s">
        <v>66</v>
      </c>
      <c r="H2355" t="s">
        <v>34</v>
      </c>
      <c r="I2355" t="s">
        <v>26</v>
      </c>
      <c r="J2355" t="s">
        <v>27</v>
      </c>
      <c r="K2355">
        <v>1</v>
      </c>
      <c r="L2355">
        <v>41343</v>
      </c>
      <c r="M2355" t="s">
        <v>36</v>
      </c>
      <c r="N2355">
        <v>2</v>
      </c>
      <c r="O2355">
        <v>1</v>
      </c>
      <c r="P2355">
        <v>39</v>
      </c>
      <c r="Q2355">
        <v>0</v>
      </c>
      <c r="R2355" s="1">
        <v>44696</v>
      </c>
      <c r="S2355" t="s">
        <v>37</v>
      </c>
      <c r="T2355" t="str">
        <f t="shared" si="180"/>
        <v>Grade C</v>
      </c>
      <c r="U2355">
        <f t="shared" si="181"/>
        <v>1</v>
      </c>
      <c r="V2355" t="str">
        <f t="shared" si="182"/>
        <v>New Joiner</v>
      </c>
      <c r="W2355" t="str">
        <f t="shared" si="183"/>
        <v>Already Left</v>
      </c>
      <c r="X2355" t="str">
        <f t="shared" si="184"/>
        <v>Fair</v>
      </c>
    </row>
    <row r="2356" spans="1:24" x14ac:dyDescent="0.3">
      <c r="A2356" t="s">
        <v>2424</v>
      </c>
      <c r="B2356" t="s">
        <v>39</v>
      </c>
      <c r="C2356">
        <v>22</v>
      </c>
      <c r="D2356" t="s">
        <v>47</v>
      </c>
      <c r="E2356" t="s">
        <v>48</v>
      </c>
      <c r="F2356" t="s">
        <v>78</v>
      </c>
      <c r="G2356" t="s">
        <v>58</v>
      </c>
      <c r="H2356" t="s">
        <v>25</v>
      </c>
      <c r="I2356" t="s">
        <v>68</v>
      </c>
      <c r="J2356" t="s">
        <v>60</v>
      </c>
      <c r="K2356">
        <v>5</v>
      </c>
      <c r="L2356">
        <v>96715</v>
      </c>
      <c r="M2356" t="s">
        <v>36</v>
      </c>
      <c r="N2356">
        <v>1</v>
      </c>
      <c r="O2356">
        <v>4</v>
      </c>
      <c r="P2356">
        <v>66</v>
      </c>
      <c r="Q2356">
        <v>3</v>
      </c>
      <c r="R2356" s="1">
        <v>43372</v>
      </c>
      <c r="S2356" t="s">
        <v>29</v>
      </c>
      <c r="T2356" t="str">
        <f t="shared" si="180"/>
        <v>Grade A</v>
      </c>
      <c r="U2356">
        <f t="shared" si="181"/>
        <v>1</v>
      </c>
      <c r="V2356" t="str">
        <f t="shared" si="182"/>
        <v>Junior</v>
      </c>
      <c r="W2356" t="str">
        <f t="shared" si="183"/>
        <v>Medium Risk</v>
      </c>
      <c r="X2356" t="str">
        <f t="shared" si="184"/>
        <v>Overpaid</v>
      </c>
    </row>
    <row r="2357" spans="1:24" x14ac:dyDescent="0.3">
      <c r="A2357" t="s">
        <v>2425</v>
      </c>
      <c r="B2357" t="s">
        <v>20</v>
      </c>
      <c r="C2357">
        <v>51</v>
      </c>
      <c r="D2357" t="s">
        <v>21</v>
      </c>
      <c r="E2357" t="s">
        <v>22</v>
      </c>
      <c r="F2357" t="s">
        <v>78</v>
      </c>
      <c r="G2357" t="s">
        <v>33</v>
      </c>
      <c r="H2357" t="s">
        <v>83</v>
      </c>
      <c r="I2357" t="s">
        <v>35</v>
      </c>
      <c r="J2357" t="s">
        <v>27</v>
      </c>
      <c r="K2357">
        <v>5</v>
      </c>
      <c r="L2357">
        <v>65733</v>
      </c>
      <c r="M2357" t="s">
        <v>28</v>
      </c>
      <c r="N2357">
        <v>4</v>
      </c>
      <c r="O2357">
        <v>3</v>
      </c>
      <c r="P2357">
        <v>63</v>
      </c>
      <c r="Q2357">
        <v>3</v>
      </c>
      <c r="R2357" s="1">
        <v>43302</v>
      </c>
      <c r="S2357" t="s">
        <v>29</v>
      </c>
      <c r="T2357" t="str">
        <f t="shared" si="180"/>
        <v>Grade B</v>
      </c>
      <c r="U2357">
        <f t="shared" si="181"/>
        <v>3</v>
      </c>
      <c r="V2357" t="str">
        <f t="shared" si="182"/>
        <v>Junior</v>
      </c>
      <c r="W2357" t="str">
        <f t="shared" si="183"/>
        <v>Medium Risk</v>
      </c>
      <c r="X2357" t="str">
        <f t="shared" si="184"/>
        <v>Competitive</v>
      </c>
    </row>
    <row r="2358" spans="1:24" x14ac:dyDescent="0.3">
      <c r="A2358" t="s">
        <v>2426</v>
      </c>
      <c r="B2358" t="s">
        <v>20</v>
      </c>
      <c r="C2358">
        <v>50</v>
      </c>
      <c r="D2358" t="s">
        <v>31</v>
      </c>
      <c r="E2358" t="s">
        <v>48</v>
      </c>
      <c r="F2358" t="s">
        <v>65</v>
      </c>
      <c r="G2358" t="s">
        <v>49</v>
      </c>
      <c r="H2358" t="s">
        <v>83</v>
      </c>
      <c r="I2358" t="s">
        <v>80</v>
      </c>
      <c r="J2358" t="s">
        <v>60</v>
      </c>
      <c r="K2358">
        <v>6</v>
      </c>
      <c r="L2358">
        <v>66831</v>
      </c>
      <c r="M2358" t="s">
        <v>45</v>
      </c>
      <c r="N2358">
        <v>2</v>
      </c>
      <c r="O2358">
        <v>3</v>
      </c>
      <c r="P2358">
        <v>27</v>
      </c>
      <c r="Q2358">
        <v>3</v>
      </c>
      <c r="R2358" s="1">
        <v>43012</v>
      </c>
      <c r="S2358" t="s">
        <v>29</v>
      </c>
      <c r="T2358" t="str">
        <f t="shared" si="180"/>
        <v>Grade B</v>
      </c>
      <c r="U2358">
        <f t="shared" si="181"/>
        <v>2</v>
      </c>
      <c r="V2358" t="str">
        <f t="shared" si="182"/>
        <v>Mid Level</v>
      </c>
      <c r="W2358" t="str">
        <f t="shared" si="183"/>
        <v>Medium Risk</v>
      </c>
      <c r="X2358" t="str">
        <f t="shared" si="184"/>
        <v>Fair</v>
      </c>
    </row>
    <row r="2359" spans="1:24" x14ac:dyDescent="0.3">
      <c r="A2359" t="s">
        <v>2427</v>
      </c>
      <c r="B2359" t="s">
        <v>20</v>
      </c>
      <c r="C2359">
        <v>37</v>
      </c>
      <c r="D2359" t="s">
        <v>47</v>
      </c>
      <c r="E2359" t="s">
        <v>40</v>
      </c>
      <c r="F2359" t="s">
        <v>23</v>
      </c>
      <c r="G2359" t="s">
        <v>79</v>
      </c>
      <c r="H2359" t="s">
        <v>83</v>
      </c>
      <c r="I2359" t="s">
        <v>54</v>
      </c>
      <c r="J2359" t="s">
        <v>27</v>
      </c>
      <c r="K2359">
        <v>2</v>
      </c>
      <c r="L2359">
        <v>37677</v>
      </c>
      <c r="M2359" t="s">
        <v>45</v>
      </c>
      <c r="N2359">
        <v>3</v>
      </c>
      <c r="O2359">
        <v>1</v>
      </c>
      <c r="P2359">
        <v>50</v>
      </c>
      <c r="Q2359">
        <v>3</v>
      </c>
      <c r="R2359" s="1">
        <v>44341</v>
      </c>
      <c r="S2359" t="s">
        <v>29</v>
      </c>
      <c r="T2359" t="str">
        <f t="shared" si="180"/>
        <v>Grade C</v>
      </c>
      <c r="U2359">
        <f t="shared" si="181"/>
        <v>2</v>
      </c>
      <c r="V2359" t="str">
        <f t="shared" si="182"/>
        <v>New Joiner</v>
      </c>
      <c r="W2359" t="str">
        <f t="shared" si="183"/>
        <v>Medium Risk</v>
      </c>
      <c r="X2359" t="str">
        <f t="shared" si="184"/>
        <v>Fair</v>
      </c>
    </row>
    <row r="2360" spans="1:24" x14ac:dyDescent="0.3">
      <c r="A2360" t="s">
        <v>2428</v>
      </c>
      <c r="B2360" t="s">
        <v>39</v>
      </c>
      <c r="C2360">
        <v>54</v>
      </c>
      <c r="D2360" t="s">
        <v>47</v>
      </c>
      <c r="E2360" t="s">
        <v>22</v>
      </c>
      <c r="F2360" t="s">
        <v>62</v>
      </c>
      <c r="G2360" t="s">
        <v>66</v>
      </c>
      <c r="H2360" t="s">
        <v>76</v>
      </c>
      <c r="I2360" t="s">
        <v>43</v>
      </c>
      <c r="J2360" t="s">
        <v>44</v>
      </c>
      <c r="K2360">
        <v>1</v>
      </c>
      <c r="L2360">
        <v>28975</v>
      </c>
      <c r="M2360" t="s">
        <v>36</v>
      </c>
      <c r="N2360">
        <v>2</v>
      </c>
      <c r="O2360">
        <v>3</v>
      </c>
      <c r="P2360">
        <v>65</v>
      </c>
      <c r="Q2360">
        <v>2</v>
      </c>
      <c r="R2360" s="1">
        <v>44923</v>
      </c>
      <c r="S2360" t="s">
        <v>29</v>
      </c>
      <c r="T2360" t="str">
        <f t="shared" si="180"/>
        <v>Grade D</v>
      </c>
      <c r="U2360">
        <f t="shared" si="181"/>
        <v>1</v>
      </c>
      <c r="V2360" t="str">
        <f t="shared" si="182"/>
        <v>New Joiner</v>
      </c>
      <c r="W2360" t="str">
        <f t="shared" si="183"/>
        <v>High Risk</v>
      </c>
      <c r="X2360" t="str">
        <f t="shared" si="184"/>
        <v>Fair</v>
      </c>
    </row>
    <row r="2361" spans="1:24" x14ac:dyDescent="0.3">
      <c r="A2361" t="s">
        <v>2429</v>
      </c>
      <c r="B2361" t="s">
        <v>20</v>
      </c>
      <c r="C2361">
        <v>44</v>
      </c>
      <c r="D2361" t="s">
        <v>57</v>
      </c>
      <c r="E2361" t="s">
        <v>22</v>
      </c>
      <c r="F2361" t="s">
        <v>53</v>
      </c>
      <c r="G2361" t="s">
        <v>63</v>
      </c>
      <c r="H2361" t="s">
        <v>76</v>
      </c>
      <c r="I2361" t="s">
        <v>50</v>
      </c>
      <c r="J2361" t="s">
        <v>44</v>
      </c>
      <c r="K2361">
        <v>9</v>
      </c>
      <c r="L2361">
        <v>54691</v>
      </c>
      <c r="M2361" t="s">
        <v>45</v>
      </c>
      <c r="N2361">
        <v>2</v>
      </c>
      <c r="O2361">
        <v>2</v>
      </c>
      <c r="P2361">
        <v>79</v>
      </c>
      <c r="Q2361">
        <v>1</v>
      </c>
      <c r="R2361" s="1">
        <v>41687</v>
      </c>
      <c r="S2361" t="s">
        <v>29</v>
      </c>
      <c r="T2361" t="str">
        <f t="shared" si="180"/>
        <v>Grade B</v>
      </c>
      <c r="U2361">
        <f t="shared" si="181"/>
        <v>2</v>
      </c>
      <c r="V2361" t="str">
        <f t="shared" si="182"/>
        <v>Mid Level</v>
      </c>
      <c r="W2361" t="str">
        <f t="shared" si="183"/>
        <v>Medium Risk</v>
      </c>
      <c r="X2361" t="str">
        <f t="shared" si="184"/>
        <v>Fair</v>
      </c>
    </row>
    <row r="2362" spans="1:24" x14ac:dyDescent="0.3">
      <c r="A2362" t="s">
        <v>2430</v>
      </c>
      <c r="B2362" t="s">
        <v>20</v>
      </c>
      <c r="C2362">
        <v>26</v>
      </c>
      <c r="D2362" t="s">
        <v>31</v>
      </c>
      <c r="E2362" t="s">
        <v>48</v>
      </c>
      <c r="F2362" t="s">
        <v>62</v>
      </c>
      <c r="G2362" t="s">
        <v>42</v>
      </c>
      <c r="H2362" t="s">
        <v>34</v>
      </c>
      <c r="I2362" t="s">
        <v>59</v>
      </c>
      <c r="J2362" t="s">
        <v>60</v>
      </c>
      <c r="K2362">
        <v>3</v>
      </c>
      <c r="L2362">
        <v>101519</v>
      </c>
      <c r="M2362" t="s">
        <v>45</v>
      </c>
      <c r="N2362">
        <v>4</v>
      </c>
      <c r="O2362">
        <v>2</v>
      </c>
      <c r="P2362">
        <v>61</v>
      </c>
      <c r="Q2362">
        <v>1</v>
      </c>
      <c r="R2362" s="1">
        <v>44170</v>
      </c>
      <c r="S2362" t="s">
        <v>29</v>
      </c>
      <c r="T2362" t="str">
        <f t="shared" si="180"/>
        <v>Grade A</v>
      </c>
      <c r="U2362">
        <f t="shared" si="181"/>
        <v>2</v>
      </c>
      <c r="V2362" t="str">
        <f t="shared" si="182"/>
        <v>Junior</v>
      </c>
      <c r="W2362" t="str">
        <f t="shared" si="183"/>
        <v>Medium Risk</v>
      </c>
      <c r="X2362" t="str">
        <f t="shared" si="184"/>
        <v>Fair</v>
      </c>
    </row>
    <row r="2363" spans="1:24" x14ac:dyDescent="0.3">
      <c r="A2363" t="s">
        <v>2431</v>
      </c>
      <c r="B2363" t="s">
        <v>39</v>
      </c>
      <c r="C2363">
        <v>55</v>
      </c>
      <c r="D2363" t="s">
        <v>57</v>
      </c>
      <c r="E2363" t="s">
        <v>22</v>
      </c>
      <c r="F2363" t="s">
        <v>23</v>
      </c>
      <c r="G2363" t="s">
        <v>24</v>
      </c>
      <c r="H2363" t="s">
        <v>67</v>
      </c>
      <c r="I2363" t="s">
        <v>35</v>
      </c>
      <c r="J2363" t="s">
        <v>27</v>
      </c>
      <c r="K2363">
        <v>5</v>
      </c>
      <c r="L2363">
        <v>90203</v>
      </c>
      <c r="M2363" t="s">
        <v>28</v>
      </c>
      <c r="N2363">
        <v>4</v>
      </c>
      <c r="O2363">
        <v>4</v>
      </c>
      <c r="P2363">
        <v>42</v>
      </c>
      <c r="Q2363">
        <v>3</v>
      </c>
      <c r="R2363" s="1">
        <v>43274</v>
      </c>
      <c r="S2363" t="s">
        <v>37</v>
      </c>
      <c r="T2363" t="str">
        <f t="shared" si="180"/>
        <v>Grade A</v>
      </c>
      <c r="U2363">
        <f t="shared" si="181"/>
        <v>3</v>
      </c>
      <c r="V2363" t="str">
        <f t="shared" si="182"/>
        <v>Junior</v>
      </c>
      <c r="W2363" t="str">
        <f t="shared" si="183"/>
        <v>Already Left</v>
      </c>
      <c r="X2363" t="str">
        <f t="shared" si="184"/>
        <v>Competitive</v>
      </c>
    </row>
    <row r="2364" spans="1:24" x14ac:dyDescent="0.3">
      <c r="A2364" t="s">
        <v>2432</v>
      </c>
      <c r="B2364" t="s">
        <v>20</v>
      </c>
      <c r="C2364">
        <v>50</v>
      </c>
      <c r="D2364" t="s">
        <v>47</v>
      </c>
      <c r="E2364" t="s">
        <v>48</v>
      </c>
      <c r="F2364" t="s">
        <v>53</v>
      </c>
      <c r="G2364" t="s">
        <v>49</v>
      </c>
      <c r="H2364" t="s">
        <v>67</v>
      </c>
      <c r="I2364" t="s">
        <v>43</v>
      </c>
      <c r="J2364" t="s">
        <v>44</v>
      </c>
      <c r="K2364">
        <v>1</v>
      </c>
      <c r="L2364">
        <v>60235</v>
      </c>
      <c r="M2364" t="s">
        <v>36</v>
      </c>
      <c r="N2364">
        <v>1</v>
      </c>
      <c r="O2364">
        <v>2</v>
      </c>
      <c r="P2364">
        <v>25</v>
      </c>
      <c r="Q2364">
        <v>1</v>
      </c>
      <c r="R2364" s="1">
        <v>44785</v>
      </c>
      <c r="S2364" t="s">
        <v>29</v>
      </c>
      <c r="T2364" t="str">
        <f t="shared" si="180"/>
        <v>Grade B</v>
      </c>
      <c r="U2364">
        <f t="shared" si="181"/>
        <v>1</v>
      </c>
      <c r="V2364" t="str">
        <f t="shared" si="182"/>
        <v>New Joiner</v>
      </c>
      <c r="W2364" t="str">
        <f t="shared" si="183"/>
        <v>High Risk</v>
      </c>
      <c r="X2364" t="str">
        <f t="shared" si="184"/>
        <v>Fair</v>
      </c>
    </row>
    <row r="2365" spans="1:24" x14ac:dyDescent="0.3">
      <c r="A2365" t="s">
        <v>2433</v>
      </c>
      <c r="B2365" t="s">
        <v>39</v>
      </c>
      <c r="C2365">
        <v>47</v>
      </c>
      <c r="D2365" t="s">
        <v>47</v>
      </c>
      <c r="E2365" t="s">
        <v>48</v>
      </c>
      <c r="F2365" t="s">
        <v>62</v>
      </c>
      <c r="G2365" t="s">
        <v>49</v>
      </c>
      <c r="H2365" t="s">
        <v>83</v>
      </c>
      <c r="I2365" t="s">
        <v>68</v>
      </c>
      <c r="J2365" t="s">
        <v>60</v>
      </c>
      <c r="K2365">
        <v>15</v>
      </c>
      <c r="L2365">
        <v>74571</v>
      </c>
      <c r="M2365" t="s">
        <v>28</v>
      </c>
      <c r="N2365">
        <v>2</v>
      </c>
      <c r="O2365">
        <v>3</v>
      </c>
      <c r="P2365">
        <v>22</v>
      </c>
      <c r="Q2365">
        <v>2</v>
      </c>
      <c r="R2365" s="1">
        <v>39461</v>
      </c>
      <c r="S2365" t="s">
        <v>29</v>
      </c>
      <c r="T2365" t="str">
        <f t="shared" si="180"/>
        <v>Grade B</v>
      </c>
      <c r="U2365">
        <f t="shared" si="181"/>
        <v>3</v>
      </c>
      <c r="V2365" t="str">
        <f t="shared" si="182"/>
        <v>Senior</v>
      </c>
      <c r="W2365" t="str">
        <f t="shared" si="183"/>
        <v>Medium Risk</v>
      </c>
      <c r="X2365" t="str">
        <f t="shared" si="184"/>
        <v>Competitive</v>
      </c>
    </row>
    <row r="2366" spans="1:24" x14ac:dyDescent="0.3">
      <c r="A2366" t="s">
        <v>2434</v>
      </c>
      <c r="B2366" t="s">
        <v>39</v>
      </c>
      <c r="C2366">
        <v>27</v>
      </c>
      <c r="D2366" t="s">
        <v>31</v>
      </c>
      <c r="E2366" t="s">
        <v>22</v>
      </c>
      <c r="F2366" t="s">
        <v>65</v>
      </c>
      <c r="G2366" t="s">
        <v>24</v>
      </c>
      <c r="H2366" t="s">
        <v>25</v>
      </c>
      <c r="I2366" t="s">
        <v>80</v>
      </c>
      <c r="J2366" t="s">
        <v>60</v>
      </c>
      <c r="K2366">
        <v>2</v>
      </c>
      <c r="L2366">
        <v>79429</v>
      </c>
      <c r="M2366" t="s">
        <v>45</v>
      </c>
      <c r="N2366">
        <v>1</v>
      </c>
      <c r="O2366">
        <v>2</v>
      </c>
      <c r="P2366">
        <v>54</v>
      </c>
      <c r="Q2366">
        <v>3</v>
      </c>
      <c r="R2366" s="1">
        <v>44291</v>
      </c>
      <c r="S2366" t="s">
        <v>29</v>
      </c>
      <c r="T2366" t="str">
        <f t="shared" si="180"/>
        <v>Grade B</v>
      </c>
      <c r="U2366">
        <f t="shared" si="181"/>
        <v>2</v>
      </c>
      <c r="V2366" t="str">
        <f t="shared" si="182"/>
        <v>New Joiner</v>
      </c>
      <c r="W2366" t="str">
        <f t="shared" si="183"/>
        <v>Medium Risk</v>
      </c>
      <c r="X2366" t="str">
        <f t="shared" si="184"/>
        <v>Fair</v>
      </c>
    </row>
    <row r="2367" spans="1:24" x14ac:dyDescent="0.3">
      <c r="A2367" t="s">
        <v>2435</v>
      </c>
      <c r="B2367" t="s">
        <v>20</v>
      </c>
      <c r="C2367">
        <v>41</v>
      </c>
      <c r="D2367" t="s">
        <v>88</v>
      </c>
      <c r="E2367" t="s">
        <v>22</v>
      </c>
      <c r="F2367" t="s">
        <v>23</v>
      </c>
      <c r="G2367" t="s">
        <v>24</v>
      </c>
      <c r="H2367" t="s">
        <v>67</v>
      </c>
      <c r="I2367" t="s">
        <v>59</v>
      </c>
      <c r="J2367" t="s">
        <v>60</v>
      </c>
      <c r="K2367">
        <v>9</v>
      </c>
      <c r="L2367">
        <v>97126</v>
      </c>
      <c r="M2367" t="s">
        <v>28</v>
      </c>
      <c r="N2367">
        <v>3</v>
      </c>
      <c r="O2367">
        <v>4</v>
      </c>
      <c r="P2367">
        <v>79</v>
      </c>
      <c r="Q2367">
        <v>3</v>
      </c>
      <c r="R2367" s="1">
        <v>41910</v>
      </c>
      <c r="S2367" t="s">
        <v>29</v>
      </c>
      <c r="T2367" t="str">
        <f t="shared" si="180"/>
        <v>Grade A</v>
      </c>
      <c r="U2367">
        <f t="shared" si="181"/>
        <v>3</v>
      </c>
      <c r="V2367" t="str">
        <f t="shared" si="182"/>
        <v>Mid Level</v>
      </c>
      <c r="W2367" t="str">
        <f t="shared" si="183"/>
        <v>Medium Risk</v>
      </c>
      <c r="X2367" t="str">
        <f t="shared" si="184"/>
        <v>Competitive</v>
      </c>
    </row>
    <row r="2368" spans="1:24" x14ac:dyDescent="0.3">
      <c r="A2368" t="s">
        <v>2436</v>
      </c>
      <c r="B2368" t="s">
        <v>20</v>
      </c>
      <c r="C2368">
        <v>25</v>
      </c>
      <c r="D2368" t="s">
        <v>88</v>
      </c>
      <c r="E2368" t="s">
        <v>48</v>
      </c>
      <c r="F2368" t="s">
        <v>78</v>
      </c>
      <c r="G2368" t="s">
        <v>63</v>
      </c>
      <c r="H2368" t="s">
        <v>83</v>
      </c>
      <c r="I2368" t="s">
        <v>72</v>
      </c>
      <c r="J2368" t="s">
        <v>73</v>
      </c>
      <c r="K2368">
        <v>14</v>
      </c>
      <c r="L2368">
        <v>67563</v>
      </c>
      <c r="M2368" t="s">
        <v>36</v>
      </c>
      <c r="N2368">
        <v>2</v>
      </c>
      <c r="O2368">
        <v>4</v>
      </c>
      <c r="P2368">
        <v>78</v>
      </c>
      <c r="Q2368">
        <v>2</v>
      </c>
      <c r="R2368" s="1">
        <v>40107</v>
      </c>
      <c r="S2368" t="s">
        <v>37</v>
      </c>
      <c r="T2368" t="str">
        <f t="shared" si="180"/>
        <v>Grade B</v>
      </c>
      <c r="U2368">
        <f t="shared" si="181"/>
        <v>1</v>
      </c>
      <c r="V2368" t="str">
        <f t="shared" si="182"/>
        <v>Senior</v>
      </c>
      <c r="W2368" t="str">
        <f t="shared" si="183"/>
        <v>Already Left</v>
      </c>
      <c r="X2368" t="str">
        <f t="shared" si="184"/>
        <v>Fair</v>
      </c>
    </row>
    <row r="2369" spans="1:24" x14ac:dyDescent="0.3">
      <c r="A2369" t="s">
        <v>2437</v>
      </c>
      <c r="B2369" t="s">
        <v>39</v>
      </c>
      <c r="C2369">
        <v>35</v>
      </c>
      <c r="D2369" t="s">
        <v>21</v>
      </c>
      <c r="E2369" t="s">
        <v>40</v>
      </c>
      <c r="F2369" t="s">
        <v>62</v>
      </c>
      <c r="G2369" t="s">
        <v>63</v>
      </c>
      <c r="H2369" t="s">
        <v>67</v>
      </c>
      <c r="I2369" t="s">
        <v>43</v>
      </c>
      <c r="J2369" t="s">
        <v>44</v>
      </c>
      <c r="K2369">
        <v>8</v>
      </c>
      <c r="L2369">
        <v>52656</v>
      </c>
      <c r="M2369" t="s">
        <v>45</v>
      </c>
      <c r="N2369">
        <v>2</v>
      </c>
      <c r="O2369">
        <v>3</v>
      </c>
      <c r="P2369">
        <v>79</v>
      </c>
      <c r="Q2369">
        <v>3</v>
      </c>
      <c r="R2369" s="1">
        <v>42097</v>
      </c>
      <c r="S2369" t="s">
        <v>29</v>
      </c>
      <c r="T2369" t="str">
        <f t="shared" si="180"/>
        <v>Grade B</v>
      </c>
      <c r="U2369">
        <f t="shared" si="181"/>
        <v>2</v>
      </c>
      <c r="V2369" t="str">
        <f t="shared" si="182"/>
        <v>Mid Level</v>
      </c>
      <c r="W2369" t="str">
        <f t="shared" si="183"/>
        <v>Medium Risk</v>
      </c>
      <c r="X2369" t="str">
        <f t="shared" si="184"/>
        <v>Fair</v>
      </c>
    </row>
    <row r="2370" spans="1:24" x14ac:dyDescent="0.3">
      <c r="A2370" t="s">
        <v>2438</v>
      </c>
      <c r="B2370" t="s">
        <v>39</v>
      </c>
      <c r="C2370">
        <v>37</v>
      </c>
      <c r="D2370" t="s">
        <v>21</v>
      </c>
      <c r="E2370" t="s">
        <v>40</v>
      </c>
      <c r="F2370" t="s">
        <v>62</v>
      </c>
      <c r="G2370" t="s">
        <v>49</v>
      </c>
      <c r="H2370" t="s">
        <v>76</v>
      </c>
      <c r="I2370" t="s">
        <v>68</v>
      </c>
      <c r="J2370" t="s">
        <v>60</v>
      </c>
      <c r="K2370">
        <v>15</v>
      </c>
      <c r="L2370">
        <v>82875</v>
      </c>
      <c r="M2370" t="s">
        <v>36</v>
      </c>
      <c r="N2370">
        <v>3</v>
      </c>
      <c r="O2370">
        <v>4</v>
      </c>
      <c r="P2370">
        <v>15</v>
      </c>
      <c r="Q2370">
        <v>0</v>
      </c>
      <c r="R2370" s="1">
        <v>39614</v>
      </c>
      <c r="S2370" t="s">
        <v>37</v>
      </c>
      <c r="T2370" t="str">
        <f t="shared" ref="T2370:T2433" si="185">IF(L2370&gt;=80000,"Grade A",IF(L2370&gt;=50000,"Grade B",IF(L2370&gt;=35000,"Grade C","Grade D")))</f>
        <v>Grade A</v>
      </c>
      <c r="U2370">
        <f t="shared" ref="U2370:U2433" si="186">IF(M2370="Excellent",4,IF(M2370="Good",3,IF(M2370="Average",2,1)))</f>
        <v>1</v>
      </c>
      <c r="V2370" t="str">
        <f t="shared" ref="V2370:V2433" si="187">IF(K2370&lt;=2,"New Joiner",IF(K2370&lt;=5,"Junior",IF(K2370&lt;=10,"Mid Level","Senior")))</f>
        <v>Senior</v>
      </c>
      <c r="W2370" t="str">
        <f t="shared" ref="W2370:W2433" si="188">IF(S2370="Yes","Already Left",IF(AND(K2370&lt;=2,M2370="Poor"),"High Risk",IF(AND(K2370&lt;=5,M2370="Average"),"Medium Risk",IF(M2370="Excellent","Low Risk","Medium Risk"))))</f>
        <v>Already Left</v>
      </c>
      <c r="X2370" t="str">
        <f t="shared" ref="X2370:X2433" si="189">IF(AND(L2370&gt;=80000,M2370="Excellent"),"Competitive",IF(AND(L2370&gt;=50000,M2370="Good"),"Competitive",IF(AND(L2370&lt;35000,M2370="Excellent"),"Underpaid",IF(AND(L2370&gt;=80000,M2370="Poor"),"Overpaid","Fair"))))</f>
        <v>Overpaid</v>
      </c>
    </row>
    <row r="2371" spans="1:24" x14ac:dyDescent="0.3">
      <c r="A2371" t="s">
        <v>2439</v>
      </c>
      <c r="B2371" t="s">
        <v>20</v>
      </c>
      <c r="C2371">
        <v>41</v>
      </c>
      <c r="D2371" t="s">
        <v>88</v>
      </c>
      <c r="E2371" t="s">
        <v>22</v>
      </c>
      <c r="F2371" t="s">
        <v>53</v>
      </c>
      <c r="G2371" t="s">
        <v>58</v>
      </c>
      <c r="H2371" t="s">
        <v>76</v>
      </c>
      <c r="I2371" t="s">
        <v>96</v>
      </c>
      <c r="J2371" t="s">
        <v>44</v>
      </c>
      <c r="K2371">
        <v>9</v>
      </c>
      <c r="L2371">
        <v>100720</v>
      </c>
      <c r="M2371" t="s">
        <v>28</v>
      </c>
      <c r="N2371">
        <v>3</v>
      </c>
      <c r="O2371">
        <v>4</v>
      </c>
      <c r="P2371">
        <v>46</v>
      </c>
      <c r="Q2371">
        <v>0</v>
      </c>
      <c r="R2371" s="1">
        <v>41649</v>
      </c>
      <c r="S2371" t="s">
        <v>29</v>
      </c>
      <c r="T2371" t="str">
        <f t="shared" si="185"/>
        <v>Grade A</v>
      </c>
      <c r="U2371">
        <f t="shared" si="186"/>
        <v>3</v>
      </c>
      <c r="V2371" t="str">
        <f t="shared" si="187"/>
        <v>Mid Level</v>
      </c>
      <c r="W2371" t="str">
        <f t="shared" si="188"/>
        <v>Medium Risk</v>
      </c>
      <c r="X2371" t="str">
        <f t="shared" si="189"/>
        <v>Competitive</v>
      </c>
    </row>
    <row r="2372" spans="1:24" x14ac:dyDescent="0.3">
      <c r="A2372" t="s">
        <v>2440</v>
      </c>
      <c r="B2372" t="s">
        <v>39</v>
      </c>
      <c r="C2372">
        <v>28</v>
      </c>
      <c r="D2372" t="s">
        <v>57</v>
      </c>
      <c r="E2372" t="s">
        <v>48</v>
      </c>
      <c r="F2372" t="s">
        <v>75</v>
      </c>
      <c r="G2372" t="s">
        <v>49</v>
      </c>
      <c r="H2372" t="s">
        <v>67</v>
      </c>
      <c r="I2372" t="s">
        <v>26</v>
      </c>
      <c r="J2372" t="s">
        <v>27</v>
      </c>
      <c r="K2372">
        <v>14</v>
      </c>
      <c r="L2372">
        <v>69132</v>
      </c>
      <c r="M2372" t="s">
        <v>45</v>
      </c>
      <c r="N2372">
        <v>2</v>
      </c>
      <c r="O2372">
        <v>4</v>
      </c>
      <c r="P2372">
        <v>65</v>
      </c>
      <c r="Q2372">
        <v>1</v>
      </c>
      <c r="R2372" s="1">
        <v>40134</v>
      </c>
      <c r="S2372" t="s">
        <v>29</v>
      </c>
      <c r="T2372" t="str">
        <f t="shared" si="185"/>
        <v>Grade B</v>
      </c>
      <c r="U2372">
        <f t="shared" si="186"/>
        <v>2</v>
      </c>
      <c r="V2372" t="str">
        <f t="shared" si="187"/>
        <v>Senior</v>
      </c>
      <c r="W2372" t="str">
        <f t="shared" si="188"/>
        <v>Medium Risk</v>
      </c>
      <c r="X2372" t="str">
        <f t="shared" si="189"/>
        <v>Fair</v>
      </c>
    </row>
    <row r="2373" spans="1:24" x14ac:dyDescent="0.3">
      <c r="A2373" t="s">
        <v>2441</v>
      </c>
      <c r="B2373" t="s">
        <v>20</v>
      </c>
      <c r="C2373">
        <v>51</v>
      </c>
      <c r="D2373" t="s">
        <v>88</v>
      </c>
      <c r="E2373" t="s">
        <v>48</v>
      </c>
      <c r="F2373" t="s">
        <v>62</v>
      </c>
      <c r="G2373" t="s">
        <v>79</v>
      </c>
      <c r="H2373" t="s">
        <v>25</v>
      </c>
      <c r="I2373" t="s">
        <v>68</v>
      </c>
      <c r="J2373" t="s">
        <v>60</v>
      </c>
      <c r="K2373">
        <v>5</v>
      </c>
      <c r="L2373">
        <v>49506</v>
      </c>
      <c r="M2373" t="s">
        <v>45</v>
      </c>
      <c r="N2373">
        <v>2</v>
      </c>
      <c r="O2373">
        <v>2</v>
      </c>
      <c r="P2373">
        <v>55</v>
      </c>
      <c r="Q2373">
        <v>0</v>
      </c>
      <c r="R2373" s="1">
        <v>43194</v>
      </c>
      <c r="S2373" t="s">
        <v>37</v>
      </c>
      <c r="T2373" t="str">
        <f t="shared" si="185"/>
        <v>Grade C</v>
      </c>
      <c r="U2373">
        <f t="shared" si="186"/>
        <v>2</v>
      </c>
      <c r="V2373" t="str">
        <f t="shared" si="187"/>
        <v>Junior</v>
      </c>
      <c r="W2373" t="str">
        <f t="shared" si="188"/>
        <v>Already Left</v>
      </c>
      <c r="X2373" t="str">
        <f t="shared" si="189"/>
        <v>Fair</v>
      </c>
    </row>
    <row r="2374" spans="1:24" x14ac:dyDescent="0.3">
      <c r="A2374" t="s">
        <v>2442</v>
      </c>
      <c r="B2374" t="s">
        <v>20</v>
      </c>
      <c r="C2374">
        <v>24</v>
      </c>
      <c r="D2374" t="s">
        <v>21</v>
      </c>
      <c r="E2374" t="s">
        <v>22</v>
      </c>
      <c r="F2374" t="s">
        <v>23</v>
      </c>
      <c r="G2374" t="s">
        <v>63</v>
      </c>
      <c r="H2374" t="s">
        <v>34</v>
      </c>
      <c r="I2374" t="s">
        <v>26</v>
      </c>
      <c r="J2374" t="s">
        <v>27</v>
      </c>
      <c r="K2374">
        <v>9</v>
      </c>
      <c r="L2374">
        <v>55614</v>
      </c>
      <c r="M2374" t="s">
        <v>45</v>
      </c>
      <c r="N2374">
        <v>4</v>
      </c>
      <c r="O2374">
        <v>1</v>
      </c>
      <c r="P2374">
        <v>47</v>
      </c>
      <c r="Q2374">
        <v>3</v>
      </c>
      <c r="R2374" s="1">
        <v>41812</v>
      </c>
      <c r="S2374" t="s">
        <v>37</v>
      </c>
      <c r="T2374" t="str">
        <f t="shared" si="185"/>
        <v>Grade B</v>
      </c>
      <c r="U2374">
        <f t="shared" si="186"/>
        <v>2</v>
      </c>
      <c r="V2374" t="str">
        <f t="shared" si="187"/>
        <v>Mid Level</v>
      </c>
      <c r="W2374" t="str">
        <f t="shared" si="188"/>
        <v>Already Left</v>
      </c>
      <c r="X2374" t="str">
        <f t="shared" si="189"/>
        <v>Fair</v>
      </c>
    </row>
    <row r="2375" spans="1:24" x14ac:dyDescent="0.3">
      <c r="A2375" t="s">
        <v>2443</v>
      </c>
      <c r="B2375" t="s">
        <v>39</v>
      </c>
      <c r="C2375">
        <v>46</v>
      </c>
      <c r="D2375" t="s">
        <v>47</v>
      </c>
      <c r="E2375" t="s">
        <v>48</v>
      </c>
      <c r="F2375" t="s">
        <v>23</v>
      </c>
      <c r="G2375" t="s">
        <v>66</v>
      </c>
      <c r="H2375" t="s">
        <v>83</v>
      </c>
      <c r="I2375" t="s">
        <v>54</v>
      </c>
      <c r="J2375" t="s">
        <v>27</v>
      </c>
      <c r="K2375">
        <v>5</v>
      </c>
      <c r="L2375">
        <v>41529</v>
      </c>
      <c r="M2375" t="s">
        <v>36</v>
      </c>
      <c r="N2375">
        <v>3</v>
      </c>
      <c r="O2375">
        <v>1</v>
      </c>
      <c r="P2375">
        <v>13</v>
      </c>
      <c r="Q2375">
        <v>3</v>
      </c>
      <c r="R2375" s="1">
        <v>43148</v>
      </c>
      <c r="S2375" t="s">
        <v>29</v>
      </c>
      <c r="T2375" t="str">
        <f t="shared" si="185"/>
        <v>Grade C</v>
      </c>
      <c r="U2375">
        <f t="shared" si="186"/>
        <v>1</v>
      </c>
      <c r="V2375" t="str">
        <f t="shared" si="187"/>
        <v>Junior</v>
      </c>
      <c r="W2375" t="str">
        <f t="shared" si="188"/>
        <v>Medium Risk</v>
      </c>
      <c r="X2375" t="str">
        <f t="shared" si="189"/>
        <v>Fair</v>
      </c>
    </row>
    <row r="2376" spans="1:24" x14ac:dyDescent="0.3">
      <c r="A2376" t="s">
        <v>2444</v>
      </c>
      <c r="B2376" t="s">
        <v>20</v>
      </c>
      <c r="C2376">
        <v>44</v>
      </c>
      <c r="D2376" t="s">
        <v>21</v>
      </c>
      <c r="E2376" t="s">
        <v>22</v>
      </c>
      <c r="F2376" t="s">
        <v>78</v>
      </c>
      <c r="G2376" t="s">
        <v>33</v>
      </c>
      <c r="H2376" t="s">
        <v>34</v>
      </c>
      <c r="I2376" t="s">
        <v>43</v>
      </c>
      <c r="J2376" t="s">
        <v>44</v>
      </c>
      <c r="K2376">
        <v>6</v>
      </c>
      <c r="L2376">
        <v>69236</v>
      </c>
      <c r="M2376" t="s">
        <v>45</v>
      </c>
      <c r="N2376">
        <v>3</v>
      </c>
      <c r="O2376">
        <v>2</v>
      </c>
      <c r="P2376">
        <v>37</v>
      </c>
      <c r="Q2376">
        <v>1</v>
      </c>
      <c r="R2376" s="1">
        <v>43064</v>
      </c>
      <c r="S2376" t="s">
        <v>29</v>
      </c>
      <c r="T2376" t="str">
        <f t="shared" si="185"/>
        <v>Grade B</v>
      </c>
      <c r="U2376">
        <f t="shared" si="186"/>
        <v>2</v>
      </c>
      <c r="V2376" t="str">
        <f t="shared" si="187"/>
        <v>Mid Level</v>
      </c>
      <c r="W2376" t="str">
        <f t="shared" si="188"/>
        <v>Medium Risk</v>
      </c>
      <c r="X2376" t="str">
        <f t="shared" si="189"/>
        <v>Fair</v>
      </c>
    </row>
    <row r="2377" spans="1:24" x14ac:dyDescent="0.3">
      <c r="A2377" t="s">
        <v>2445</v>
      </c>
      <c r="B2377" t="s">
        <v>20</v>
      </c>
      <c r="C2377">
        <v>32</v>
      </c>
      <c r="D2377" t="s">
        <v>88</v>
      </c>
      <c r="E2377" t="s">
        <v>40</v>
      </c>
      <c r="F2377" t="s">
        <v>62</v>
      </c>
      <c r="G2377" t="s">
        <v>79</v>
      </c>
      <c r="H2377" t="s">
        <v>25</v>
      </c>
      <c r="I2377" t="s">
        <v>72</v>
      </c>
      <c r="J2377" t="s">
        <v>73</v>
      </c>
      <c r="K2377">
        <v>8</v>
      </c>
      <c r="L2377">
        <v>48217</v>
      </c>
      <c r="M2377" t="s">
        <v>51</v>
      </c>
      <c r="N2377">
        <v>3</v>
      </c>
      <c r="O2377">
        <v>1</v>
      </c>
      <c r="P2377">
        <v>31</v>
      </c>
      <c r="Q2377">
        <v>1</v>
      </c>
      <c r="R2377" s="1">
        <v>42021</v>
      </c>
      <c r="S2377" t="s">
        <v>37</v>
      </c>
      <c r="T2377" t="str">
        <f t="shared" si="185"/>
        <v>Grade C</v>
      </c>
      <c r="U2377">
        <f t="shared" si="186"/>
        <v>4</v>
      </c>
      <c r="V2377" t="str">
        <f t="shared" si="187"/>
        <v>Mid Level</v>
      </c>
      <c r="W2377" t="str">
        <f t="shared" si="188"/>
        <v>Already Left</v>
      </c>
      <c r="X2377" t="str">
        <f t="shared" si="189"/>
        <v>Fair</v>
      </c>
    </row>
    <row r="2378" spans="1:24" x14ac:dyDescent="0.3">
      <c r="A2378" t="s">
        <v>2446</v>
      </c>
      <c r="B2378" t="s">
        <v>39</v>
      </c>
      <c r="C2378">
        <v>36</v>
      </c>
      <c r="D2378" t="s">
        <v>47</v>
      </c>
      <c r="E2378" t="s">
        <v>22</v>
      </c>
      <c r="F2378" t="s">
        <v>65</v>
      </c>
      <c r="G2378" t="s">
        <v>33</v>
      </c>
      <c r="H2378" t="s">
        <v>83</v>
      </c>
      <c r="I2378" t="s">
        <v>50</v>
      </c>
      <c r="J2378" t="s">
        <v>44</v>
      </c>
      <c r="K2378">
        <v>7</v>
      </c>
      <c r="L2378">
        <v>67089</v>
      </c>
      <c r="M2378" t="s">
        <v>36</v>
      </c>
      <c r="N2378">
        <v>4</v>
      </c>
      <c r="O2378">
        <v>1</v>
      </c>
      <c r="P2378">
        <v>42</v>
      </c>
      <c r="Q2378">
        <v>3</v>
      </c>
      <c r="R2378" s="1">
        <v>42564</v>
      </c>
      <c r="S2378" t="s">
        <v>29</v>
      </c>
      <c r="T2378" t="str">
        <f t="shared" si="185"/>
        <v>Grade B</v>
      </c>
      <c r="U2378">
        <f t="shared" si="186"/>
        <v>1</v>
      </c>
      <c r="V2378" t="str">
        <f t="shared" si="187"/>
        <v>Mid Level</v>
      </c>
      <c r="W2378" t="str">
        <f t="shared" si="188"/>
        <v>Medium Risk</v>
      </c>
      <c r="X2378" t="str">
        <f t="shared" si="189"/>
        <v>Fair</v>
      </c>
    </row>
    <row r="2379" spans="1:24" x14ac:dyDescent="0.3">
      <c r="A2379" t="s">
        <v>2447</v>
      </c>
      <c r="B2379" t="s">
        <v>39</v>
      </c>
      <c r="C2379">
        <v>40</v>
      </c>
      <c r="D2379" t="s">
        <v>88</v>
      </c>
      <c r="E2379" t="s">
        <v>22</v>
      </c>
      <c r="F2379" t="s">
        <v>65</v>
      </c>
      <c r="G2379" t="s">
        <v>79</v>
      </c>
      <c r="H2379" t="s">
        <v>25</v>
      </c>
      <c r="I2379" t="s">
        <v>54</v>
      </c>
      <c r="J2379" t="s">
        <v>27</v>
      </c>
      <c r="K2379">
        <v>12</v>
      </c>
      <c r="L2379">
        <v>59593</v>
      </c>
      <c r="M2379" t="s">
        <v>45</v>
      </c>
      <c r="N2379">
        <v>2</v>
      </c>
      <c r="O2379">
        <v>1</v>
      </c>
      <c r="P2379">
        <v>33</v>
      </c>
      <c r="Q2379">
        <v>0</v>
      </c>
      <c r="R2379" s="1">
        <v>40630</v>
      </c>
      <c r="S2379" t="s">
        <v>29</v>
      </c>
      <c r="T2379" t="str">
        <f t="shared" si="185"/>
        <v>Grade B</v>
      </c>
      <c r="U2379">
        <f t="shared" si="186"/>
        <v>2</v>
      </c>
      <c r="V2379" t="str">
        <f t="shared" si="187"/>
        <v>Senior</v>
      </c>
      <c r="W2379" t="str">
        <f t="shared" si="188"/>
        <v>Medium Risk</v>
      </c>
      <c r="X2379" t="str">
        <f t="shared" si="189"/>
        <v>Fair</v>
      </c>
    </row>
    <row r="2380" spans="1:24" x14ac:dyDescent="0.3">
      <c r="A2380" t="s">
        <v>2448</v>
      </c>
      <c r="B2380" t="s">
        <v>39</v>
      </c>
      <c r="C2380">
        <v>29</v>
      </c>
      <c r="D2380" t="s">
        <v>47</v>
      </c>
      <c r="E2380" t="s">
        <v>48</v>
      </c>
      <c r="F2380" t="s">
        <v>53</v>
      </c>
      <c r="G2380" t="s">
        <v>79</v>
      </c>
      <c r="H2380" t="s">
        <v>83</v>
      </c>
      <c r="I2380" t="s">
        <v>72</v>
      </c>
      <c r="J2380" t="s">
        <v>73</v>
      </c>
      <c r="K2380">
        <v>3</v>
      </c>
      <c r="L2380">
        <v>50433</v>
      </c>
      <c r="M2380" t="s">
        <v>45</v>
      </c>
      <c r="N2380">
        <v>4</v>
      </c>
      <c r="O2380">
        <v>2</v>
      </c>
      <c r="P2380">
        <v>52</v>
      </c>
      <c r="Q2380">
        <v>0</v>
      </c>
      <c r="R2380" s="1">
        <v>43917</v>
      </c>
      <c r="S2380" t="s">
        <v>29</v>
      </c>
      <c r="T2380" t="str">
        <f t="shared" si="185"/>
        <v>Grade B</v>
      </c>
      <c r="U2380">
        <f t="shared" si="186"/>
        <v>2</v>
      </c>
      <c r="V2380" t="str">
        <f t="shared" si="187"/>
        <v>Junior</v>
      </c>
      <c r="W2380" t="str">
        <f t="shared" si="188"/>
        <v>Medium Risk</v>
      </c>
      <c r="X2380" t="str">
        <f t="shared" si="189"/>
        <v>Fair</v>
      </c>
    </row>
    <row r="2381" spans="1:24" x14ac:dyDescent="0.3">
      <c r="A2381" t="s">
        <v>2449</v>
      </c>
      <c r="B2381" t="s">
        <v>39</v>
      </c>
      <c r="C2381">
        <v>40</v>
      </c>
      <c r="D2381" t="s">
        <v>47</v>
      </c>
      <c r="E2381" t="s">
        <v>22</v>
      </c>
      <c r="F2381" t="s">
        <v>23</v>
      </c>
      <c r="G2381" t="s">
        <v>24</v>
      </c>
      <c r="H2381" t="s">
        <v>76</v>
      </c>
      <c r="I2381" t="s">
        <v>72</v>
      </c>
      <c r="J2381" t="s">
        <v>73</v>
      </c>
      <c r="K2381">
        <v>12</v>
      </c>
      <c r="L2381">
        <v>98127</v>
      </c>
      <c r="M2381" t="s">
        <v>28</v>
      </c>
      <c r="N2381">
        <v>2</v>
      </c>
      <c r="O2381">
        <v>2</v>
      </c>
      <c r="P2381">
        <v>56</v>
      </c>
      <c r="Q2381">
        <v>0</v>
      </c>
      <c r="R2381" s="1">
        <v>40880</v>
      </c>
      <c r="S2381" t="s">
        <v>29</v>
      </c>
      <c r="T2381" t="str">
        <f t="shared" si="185"/>
        <v>Grade A</v>
      </c>
      <c r="U2381">
        <f t="shared" si="186"/>
        <v>3</v>
      </c>
      <c r="V2381" t="str">
        <f t="shared" si="187"/>
        <v>Senior</v>
      </c>
      <c r="W2381" t="str">
        <f t="shared" si="188"/>
        <v>Medium Risk</v>
      </c>
      <c r="X2381" t="str">
        <f t="shared" si="189"/>
        <v>Competitive</v>
      </c>
    </row>
    <row r="2382" spans="1:24" x14ac:dyDescent="0.3">
      <c r="A2382" t="s">
        <v>2450</v>
      </c>
      <c r="B2382" t="s">
        <v>20</v>
      </c>
      <c r="C2382">
        <v>40</v>
      </c>
      <c r="D2382" t="s">
        <v>21</v>
      </c>
      <c r="E2382" t="s">
        <v>40</v>
      </c>
      <c r="F2382" t="s">
        <v>78</v>
      </c>
      <c r="G2382" t="s">
        <v>24</v>
      </c>
      <c r="H2382" t="s">
        <v>25</v>
      </c>
      <c r="I2382" t="s">
        <v>68</v>
      </c>
      <c r="J2382" t="s">
        <v>60</v>
      </c>
      <c r="K2382">
        <v>14</v>
      </c>
      <c r="L2382">
        <v>100854</v>
      </c>
      <c r="M2382" t="s">
        <v>36</v>
      </c>
      <c r="N2382">
        <v>2</v>
      </c>
      <c r="O2382">
        <v>4</v>
      </c>
      <c r="P2382">
        <v>60</v>
      </c>
      <c r="Q2382">
        <v>2</v>
      </c>
      <c r="R2382" s="1">
        <v>39924</v>
      </c>
      <c r="S2382" t="s">
        <v>37</v>
      </c>
      <c r="T2382" t="str">
        <f t="shared" si="185"/>
        <v>Grade A</v>
      </c>
      <c r="U2382">
        <f t="shared" si="186"/>
        <v>1</v>
      </c>
      <c r="V2382" t="str">
        <f t="shared" si="187"/>
        <v>Senior</v>
      </c>
      <c r="W2382" t="str">
        <f t="shared" si="188"/>
        <v>Already Left</v>
      </c>
      <c r="X2382" t="str">
        <f t="shared" si="189"/>
        <v>Overpaid</v>
      </c>
    </row>
    <row r="2383" spans="1:24" x14ac:dyDescent="0.3">
      <c r="A2383" t="s">
        <v>2451</v>
      </c>
      <c r="B2383" t="s">
        <v>39</v>
      </c>
      <c r="C2383">
        <v>23</v>
      </c>
      <c r="D2383" t="s">
        <v>88</v>
      </c>
      <c r="E2383" t="s">
        <v>48</v>
      </c>
      <c r="F2383" t="s">
        <v>32</v>
      </c>
      <c r="G2383" t="s">
        <v>66</v>
      </c>
      <c r="H2383" t="s">
        <v>34</v>
      </c>
      <c r="I2383" t="s">
        <v>80</v>
      </c>
      <c r="J2383" t="s">
        <v>60</v>
      </c>
      <c r="K2383">
        <v>3</v>
      </c>
      <c r="L2383">
        <v>48188</v>
      </c>
      <c r="M2383" t="s">
        <v>45</v>
      </c>
      <c r="N2383">
        <v>3</v>
      </c>
      <c r="O2383">
        <v>1</v>
      </c>
      <c r="P2383">
        <v>46</v>
      </c>
      <c r="Q2383">
        <v>3</v>
      </c>
      <c r="R2383" s="1">
        <v>44100</v>
      </c>
      <c r="S2383" t="s">
        <v>37</v>
      </c>
      <c r="T2383" t="str">
        <f t="shared" si="185"/>
        <v>Grade C</v>
      </c>
      <c r="U2383">
        <f t="shared" si="186"/>
        <v>2</v>
      </c>
      <c r="V2383" t="str">
        <f t="shared" si="187"/>
        <v>Junior</v>
      </c>
      <c r="W2383" t="str">
        <f t="shared" si="188"/>
        <v>Already Left</v>
      </c>
      <c r="X2383" t="str">
        <f t="shared" si="189"/>
        <v>Fair</v>
      </c>
    </row>
    <row r="2384" spans="1:24" x14ac:dyDescent="0.3">
      <c r="A2384" t="s">
        <v>2452</v>
      </c>
      <c r="B2384" t="s">
        <v>20</v>
      </c>
      <c r="C2384">
        <v>54</v>
      </c>
      <c r="D2384" t="s">
        <v>57</v>
      </c>
      <c r="E2384" t="s">
        <v>40</v>
      </c>
      <c r="F2384" t="s">
        <v>53</v>
      </c>
      <c r="G2384" t="s">
        <v>66</v>
      </c>
      <c r="H2384" t="s">
        <v>34</v>
      </c>
      <c r="I2384" t="s">
        <v>59</v>
      </c>
      <c r="J2384" t="s">
        <v>60</v>
      </c>
      <c r="K2384">
        <v>9</v>
      </c>
      <c r="L2384">
        <v>43666</v>
      </c>
      <c r="M2384" t="s">
        <v>51</v>
      </c>
      <c r="N2384">
        <v>1</v>
      </c>
      <c r="O2384">
        <v>3</v>
      </c>
      <c r="P2384">
        <v>13</v>
      </c>
      <c r="Q2384">
        <v>2</v>
      </c>
      <c r="R2384" s="1">
        <v>41978</v>
      </c>
      <c r="S2384" t="s">
        <v>29</v>
      </c>
      <c r="T2384" t="str">
        <f t="shared" si="185"/>
        <v>Grade C</v>
      </c>
      <c r="U2384">
        <f t="shared" si="186"/>
        <v>4</v>
      </c>
      <c r="V2384" t="str">
        <f t="shared" si="187"/>
        <v>Mid Level</v>
      </c>
      <c r="W2384" t="str">
        <f t="shared" si="188"/>
        <v>Low Risk</v>
      </c>
      <c r="X2384" t="str">
        <f t="shared" si="189"/>
        <v>Fair</v>
      </c>
    </row>
    <row r="2385" spans="1:24" x14ac:dyDescent="0.3">
      <c r="A2385" t="s">
        <v>2453</v>
      </c>
      <c r="B2385" t="s">
        <v>20</v>
      </c>
      <c r="C2385">
        <v>38</v>
      </c>
      <c r="D2385" t="s">
        <v>31</v>
      </c>
      <c r="E2385" t="s">
        <v>48</v>
      </c>
      <c r="F2385" t="s">
        <v>53</v>
      </c>
      <c r="G2385" t="s">
        <v>24</v>
      </c>
      <c r="H2385" t="s">
        <v>67</v>
      </c>
      <c r="I2385" t="s">
        <v>26</v>
      </c>
      <c r="J2385" t="s">
        <v>27</v>
      </c>
      <c r="K2385">
        <v>8</v>
      </c>
      <c r="L2385">
        <v>84433</v>
      </c>
      <c r="M2385" t="s">
        <v>36</v>
      </c>
      <c r="N2385">
        <v>4</v>
      </c>
      <c r="O2385">
        <v>2</v>
      </c>
      <c r="P2385">
        <v>23</v>
      </c>
      <c r="Q2385">
        <v>0</v>
      </c>
      <c r="R2385" s="1">
        <v>42346</v>
      </c>
      <c r="S2385" t="s">
        <v>29</v>
      </c>
      <c r="T2385" t="str">
        <f t="shared" si="185"/>
        <v>Grade A</v>
      </c>
      <c r="U2385">
        <f t="shared" si="186"/>
        <v>1</v>
      </c>
      <c r="V2385" t="str">
        <f t="shared" si="187"/>
        <v>Mid Level</v>
      </c>
      <c r="W2385" t="str">
        <f t="shared" si="188"/>
        <v>Medium Risk</v>
      </c>
      <c r="X2385" t="str">
        <f t="shared" si="189"/>
        <v>Overpaid</v>
      </c>
    </row>
    <row r="2386" spans="1:24" x14ac:dyDescent="0.3">
      <c r="A2386" t="s">
        <v>2454</v>
      </c>
      <c r="B2386" t="s">
        <v>20</v>
      </c>
      <c r="C2386">
        <v>44</v>
      </c>
      <c r="D2386" t="s">
        <v>57</v>
      </c>
      <c r="E2386" t="s">
        <v>40</v>
      </c>
      <c r="F2386" t="s">
        <v>41</v>
      </c>
      <c r="G2386" t="s">
        <v>58</v>
      </c>
      <c r="H2386" t="s">
        <v>76</v>
      </c>
      <c r="I2386" t="s">
        <v>96</v>
      </c>
      <c r="J2386" t="s">
        <v>44</v>
      </c>
      <c r="K2386">
        <v>14</v>
      </c>
      <c r="L2386">
        <v>103968</v>
      </c>
      <c r="M2386" t="s">
        <v>45</v>
      </c>
      <c r="N2386">
        <v>3</v>
      </c>
      <c r="O2386">
        <v>4</v>
      </c>
      <c r="P2386">
        <v>52</v>
      </c>
      <c r="Q2386">
        <v>3</v>
      </c>
      <c r="R2386" s="1">
        <v>39819</v>
      </c>
      <c r="S2386" t="s">
        <v>29</v>
      </c>
      <c r="T2386" t="str">
        <f t="shared" si="185"/>
        <v>Grade A</v>
      </c>
      <c r="U2386">
        <f t="shared" si="186"/>
        <v>2</v>
      </c>
      <c r="V2386" t="str">
        <f t="shared" si="187"/>
        <v>Senior</v>
      </c>
      <c r="W2386" t="str">
        <f t="shared" si="188"/>
        <v>Medium Risk</v>
      </c>
      <c r="X2386" t="str">
        <f t="shared" si="189"/>
        <v>Fair</v>
      </c>
    </row>
    <row r="2387" spans="1:24" x14ac:dyDescent="0.3">
      <c r="A2387" t="s">
        <v>2455</v>
      </c>
      <c r="B2387" t="s">
        <v>20</v>
      </c>
      <c r="C2387">
        <v>30</v>
      </c>
      <c r="D2387" t="s">
        <v>47</v>
      </c>
      <c r="E2387" t="s">
        <v>48</v>
      </c>
      <c r="F2387" t="s">
        <v>78</v>
      </c>
      <c r="G2387" t="s">
        <v>63</v>
      </c>
      <c r="H2387" t="s">
        <v>25</v>
      </c>
      <c r="I2387" t="s">
        <v>59</v>
      </c>
      <c r="J2387" t="s">
        <v>60</v>
      </c>
      <c r="K2387">
        <v>10</v>
      </c>
      <c r="L2387">
        <v>68266</v>
      </c>
      <c r="M2387" t="s">
        <v>45</v>
      </c>
      <c r="N2387">
        <v>4</v>
      </c>
      <c r="O2387">
        <v>1</v>
      </c>
      <c r="P2387">
        <v>47</v>
      </c>
      <c r="Q2387">
        <v>3</v>
      </c>
      <c r="R2387" s="1">
        <v>41640</v>
      </c>
      <c r="S2387" t="s">
        <v>29</v>
      </c>
      <c r="T2387" t="str">
        <f t="shared" si="185"/>
        <v>Grade B</v>
      </c>
      <c r="U2387">
        <f t="shared" si="186"/>
        <v>2</v>
      </c>
      <c r="V2387" t="str">
        <f t="shared" si="187"/>
        <v>Mid Level</v>
      </c>
      <c r="W2387" t="str">
        <f t="shared" si="188"/>
        <v>Medium Risk</v>
      </c>
      <c r="X2387" t="str">
        <f t="shared" si="189"/>
        <v>Fair</v>
      </c>
    </row>
    <row r="2388" spans="1:24" x14ac:dyDescent="0.3">
      <c r="A2388" t="s">
        <v>2456</v>
      </c>
      <c r="B2388" t="s">
        <v>20</v>
      </c>
      <c r="C2388">
        <v>55</v>
      </c>
      <c r="D2388" t="s">
        <v>88</v>
      </c>
      <c r="E2388" t="s">
        <v>22</v>
      </c>
      <c r="F2388" t="s">
        <v>41</v>
      </c>
      <c r="G2388" t="s">
        <v>79</v>
      </c>
      <c r="H2388" t="s">
        <v>67</v>
      </c>
      <c r="I2388" t="s">
        <v>80</v>
      </c>
      <c r="J2388" t="s">
        <v>60</v>
      </c>
      <c r="K2388">
        <v>9</v>
      </c>
      <c r="L2388">
        <v>65800</v>
      </c>
      <c r="M2388" t="s">
        <v>51</v>
      </c>
      <c r="N2388">
        <v>2</v>
      </c>
      <c r="O2388">
        <v>3</v>
      </c>
      <c r="P2388">
        <v>26</v>
      </c>
      <c r="Q2388">
        <v>2</v>
      </c>
      <c r="R2388" s="1">
        <v>41909</v>
      </c>
      <c r="S2388" t="s">
        <v>37</v>
      </c>
      <c r="T2388" t="str">
        <f t="shared" si="185"/>
        <v>Grade B</v>
      </c>
      <c r="U2388">
        <f t="shared" si="186"/>
        <v>4</v>
      </c>
      <c r="V2388" t="str">
        <f t="shared" si="187"/>
        <v>Mid Level</v>
      </c>
      <c r="W2388" t="str">
        <f t="shared" si="188"/>
        <v>Already Left</v>
      </c>
      <c r="X2388" t="str">
        <f t="shared" si="189"/>
        <v>Fair</v>
      </c>
    </row>
    <row r="2389" spans="1:24" x14ac:dyDescent="0.3">
      <c r="A2389" t="s">
        <v>2457</v>
      </c>
      <c r="B2389" t="s">
        <v>39</v>
      </c>
      <c r="C2389">
        <v>47</v>
      </c>
      <c r="D2389" t="s">
        <v>88</v>
      </c>
      <c r="E2389" t="s">
        <v>40</v>
      </c>
      <c r="F2389" t="s">
        <v>62</v>
      </c>
      <c r="G2389" t="s">
        <v>66</v>
      </c>
      <c r="H2389" t="s">
        <v>67</v>
      </c>
      <c r="I2389" t="s">
        <v>50</v>
      </c>
      <c r="J2389" t="s">
        <v>44</v>
      </c>
      <c r="K2389">
        <v>13</v>
      </c>
      <c r="L2389">
        <v>54832</v>
      </c>
      <c r="M2389" t="s">
        <v>28</v>
      </c>
      <c r="N2389">
        <v>3</v>
      </c>
      <c r="O2389">
        <v>4</v>
      </c>
      <c r="P2389">
        <v>66</v>
      </c>
      <c r="Q2389">
        <v>2</v>
      </c>
      <c r="R2389" s="1">
        <v>40538</v>
      </c>
      <c r="S2389" t="s">
        <v>29</v>
      </c>
      <c r="T2389" t="str">
        <f t="shared" si="185"/>
        <v>Grade B</v>
      </c>
      <c r="U2389">
        <f t="shared" si="186"/>
        <v>3</v>
      </c>
      <c r="V2389" t="str">
        <f t="shared" si="187"/>
        <v>Senior</v>
      </c>
      <c r="W2389" t="str">
        <f t="shared" si="188"/>
        <v>Medium Risk</v>
      </c>
      <c r="X2389" t="str">
        <f t="shared" si="189"/>
        <v>Competitive</v>
      </c>
    </row>
    <row r="2390" spans="1:24" x14ac:dyDescent="0.3">
      <c r="A2390" t="s">
        <v>2458</v>
      </c>
      <c r="B2390" t="s">
        <v>39</v>
      </c>
      <c r="C2390">
        <v>47</v>
      </c>
      <c r="D2390" t="s">
        <v>57</v>
      </c>
      <c r="E2390" t="s">
        <v>40</v>
      </c>
      <c r="F2390" t="s">
        <v>75</v>
      </c>
      <c r="G2390" t="s">
        <v>58</v>
      </c>
      <c r="H2390" t="s">
        <v>76</v>
      </c>
      <c r="I2390" t="s">
        <v>68</v>
      </c>
      <c r="J2390" t="s">
        <v>60</v>
      </c>
      <c r="K2390">
        <v>9</v>
      </c>
      <c r="L2390">
        <v>100111</v>
      </c>
      <c r="M2390" t="s">
        <v>45</v>
      </c>
      <c r="N2390">
        <v>1</v>
      </c>
      <c r="O2390">
        <v>4</v>
      </c>
      <c r="P2390">
        <v>50</v>
      </c>
      <c r="Q2390">
        <v>1</v>
      </c>
      <c r="R2390" s="1">
        <v>41789</v>
      </c>
      <c r="S2390" t="s">
        <v>37</v>
      </c>
      <c r="T2390" t="str">
        <f t="shared" si="185"/>
        <v>Grade A</v>
      </c>
      <c r="U2390">
        <f t="shared" si="186"/>
        <v>2</v>
      </c>
      <c r="V2390" t="str">
        <f t="shared" si="187"/>
        <v>Mid Level</v>
      </c>
      <c r="W2390" t="str">
        <f t="shared" si="188"/>
        <v>Already Left</v>
      </c>
      <c r="X2390" t="str">
        <f t="shared" si="189"/>
        <v>Fair</v>
      </c>
    </row>
    <row r="2391" spans="1:24" x14ac:dyDescent="0.3">
      <c r="A2391" t="s">
        <v>2459</v>
      </c>
      <c r="B2391" t="s">
        <v>39</v>
      </c>
      <c r="C2391">
        <v>36</v>
      </c>
      <c r="D2391" t="s">
        <v>21</v>
      </c>
      <c r="E2391" t="s">
        <v>22</v>
      </c>
      <c r="F2391" t="s">
        <v>41</v>
      </c>
      <c r="G2391" t="s">
        <v>33</v>
      </c>
      <c r="H2391" t="s">
        <v>67</v>
      </c>
      <c r="I2391" t="s">
        <v>80</v>
      </c>
      <c r="J2391" t="s">
        <v>60</v>
      </c>
      <c r="K2391">
        <v>4</v>
      </c>
      <c r="L2391">
        <v>70631</v>
      </c>
      <c r="M2391" t="s">
        <v>45</v>
      </c>
      <c r="N2391">
        <v>3</v>
      </c>
      <c r="O2391">
        <v>2</v>
      </c>
      <c r="P2391">
        <v>56</v>
      </c>
      <c r="Q2391">
        <v>1</v>
      </c>
      <c r="R2391" s="1">
        <v>43752</v>
      </c>
      <c r="S2391" t="s">
        <v>29</v>
      </c>
      <c r="T2391" t="str">
        <f t="shared" si="185"/>
        <v>Grade B</v>
      </c>
      <c r="U2391">
        <f t="shared" si="186"/>
        <v>2</v>
      </c>
      <c r="V2391" t="str">
        <f t="shared" si="187"/>
        <v>Junior</v>
      </c>
      <c r="W2391" t="str">
        <f t="shared" si="188"/>
        <v>Medium Risk</v>
      </c>
      <c r="X2391" t="str">
        <f t="shared" si="189"/>
        <v>Fair</v>
      </c>
    </row>
    <row r="2392" spans="1:24" x14ac:dyDescent="0.3">
      <c r="A2392" t="s">
        <v>2460</v>
      </c>
      <c r="B2392" t="s">
        <v>39</v>
      </c>
      <c r="C2392">
        <v>40</v>
      </c>
      <c r="D2392" t="s">
        <v>21</v>
      </c>
      <c r="E2392" t="s">
        <v>22</v>
      </c>
      <c r="F2392" t="s">
        <v>23</v>
      </c>
      <c r="G2392" t="s">
        <v>24</v>
      </c>
      <c r="H2392" t="s">
        <v>34</v>
      </c>
      <c r="I2392" t="s">
        <v>43</v>
      </c>
      <c r="J2392" t="s">
        <v>44</v>
      </c>
      <c r="K2392">
        <v>4</v>
      </c>
      <c r="L2392">
        <v>92663</v>
      </c>
      <c r="M2392" t="s">
        <v>45</v>
      </c>
      <c r="N2392">
        <v>1</v>
      </c>
      <c r="O2392">
        <v>3</v>
      </c>
      <c r="P2392">
        <v>72</v>
      </c>
      <c r="Q2392">
        <v>2</v>
      </c>
      <c r="R2392" s="1">
        <v>43593</v>
      </c>
      <c r="S2392" t="s">
        <v>29</v>
      </c>
      <c r="T2392" t="str">
        <f t="shared" si="185"/>
        <v>Grade A</v>
      </c>
      <c r="U2392">
        <f t="shared" si="186"/>
        <v>2</v>
      </c>
      <c r="V2392" t="str">
        <f t="shared" si="187"/>
        <v>Junior</v>
      </c>
      <c r="W2392" t="str">
        <f t="shared" si="188"/>
        <v>Medium Risk</v>
      </c>
      <c r="X2392" t="str">
        <f t="shared" si="189"/>
        <v>Fair</v>
      </c>
    </row>
    <row r="2393" spans="1:24" x14ac:dyDescent="0.3">
      <c r="A2393" t="s">
        <v>2461</v>
      </c>
      <c r="B2393" t="s">
        <v>39</v>
      </c>
      <c r="C2393">
        <v>48</v>
      </c>
      <c r="D2393" t="s">
        <v>57</v>
      </c>
      <c r="E2393" t="s">
        <v>40</v>
      </c>
      <c r="F2393" t="s">
        <v>65</v>
      </c>
      <c r="G2393" t="s">
        <v>33</v>
      </c>
      <c r="H2393" t="s">
        <v>25</v>
      </c>
      <c r="I2393" t="s">
        <v>96</v>
      </c>
      <c r="J2393" t="s">
        <v>44</v>
      </c>
      <c r="K2393">
        <v>4</v>
      </c>
      <c r="L2393">
        <v>73178</v>
      </c>
      <c r="M2393" t="s">
        <v>36</v>
      </c>
      <c r="N2393">
        <v>1</v>
      </c>
      <c r="O2393">
        <v>3</v>
      </c>
      <c r="P2393">
        <v>56</v>
      </c>
      <c r="Q2393">
        <v>3</v>
      </c>
      <c r="R2393" s="1">
        <v>43531</v>
      </c>
      <c r="S2393" t="s">
        <v>37</v>
      </c>
      <c r="T2393" t="str">
        <f t="shared" si="185"/>
        <v>Grade B</v>
      </c>
      <c r="U2393">
        <f t="shared" si="186"/>
        <v>1</v>
      </c>
      <c r="V2393" t="str">
        <f t="shared" si="187"/>
        <v>Junior</v>
      </c>
      <c r="W2393" t="str">
        <f t="shared" si="188"/>
        <v>Already Left</v>
      </c>
      <c r="X2393" t="str">
        <f t="shared" si="189"/>
        <v>Fair</v>
      </c>
    </row>
    <row r="2394" spans="1:24" x14ac:dyDescent="0.3">
      <c r="A2394" t="s">
        <v>2462</v>
      </c>
      <c r="B2394" t="s">
        <v>39</v>
      </c>
      <c r="C2394">
        <v>38</v>
      </c>
      <c r="D2394" t="s">
        <v>21</v>
      </c>
      <c r="E2394" t="s">
        <v>48</v>
      </c>
      <c r="F2394" t="s">
        <v>78</v>
      </c>
      <c r="G2394" t="s">
        <v>63</v>
      </c>
      <c r="H2394" t="s">
        <v>76</v>
      </c>
      <c r="I2394" t="s">
        <v>72</v>
      </c>
      <c r="J2394" t="s">
        <v>73</v>
      </c>
      <c r="K2394">
        <v>10</v>
      </c>
      <c r="L2394">
        <v>58083</v>
      </c>
      <c r="M2394" t="s">
        <v>28</v>
      </c>
      <c r="N2394">
        <v>4</v>
      </c>
      <c r="O2394">
        <v>2</v>
      </c>
      <c r="P2394">
        <v>61</v>
      </c>
      <c r="Q2394">
        <v>0</v>
      </c>
      <c r="R2394" s="1">
        <v>41303</v>
      </c>
      <c r="S2394" t="s">
        <v>37</v>
      </c>
      <c r="T2394" t="str">
        <f t="shared" si="185"/>
        <v>Grade B</v>
      </c>
      <c r="U2394">
        <f t="shared" si="186"/>
        <v>3</v>
      </c>
      <c r="V2394" t="str">
        <f t="shared" si="187"/>
        <v>Mid Level</v>
      </c>
      <c r="W2394" t="str">
        <f t="shared" si="188"/>
        <v>Already Left</v>
      </c>
      <c r="X2394" t="str">
        <f t="shared" si="189"/>
        <v>Competitive</v>
      </c>
    </row>
    <row r="2395" spans="1:24" x14ac:dyDescent="0.3">
      <c r="A2395" t="s">
        <v>2463</v>
      </c>
      <c r="B2395" t="s">
        <v>20</v>
      </c>
      <c r="C2395">
        <v>35</v>
      </c>
      <c r="D2395" t="s">
        <v>21</v>
      </c>
      <c r="E2395" t="s">
        <v>48</v>
      </c>
      <c r="F2395" t="s">
        <v>23</v>
      </c>
      <c r="G2395" t="s">
        <v>33</v>
      </c>
      <c r="H2395" t="s">
        <v>25</v>
      </c>
      <c r="I2395" t="s">
        <v>50</v>
      </c>
      <c r="J2395" t="s">
        <v>44</v>
      </c>
      <c r="K2395">
        <v>12</v>
      </c>
      <c r="L2395">
        <v>84281</v>
      </c>
      <c r="M2395" t="s">
        <v>51</v>
      </c>
      <c r="N2395">
        <v>2</v>
      </c>
      <c r="O2395">
        <v>1</v>
      </c>
      <c r="P2395">
        <v>74</v>
      </c>
      <c r="Q2395">
        <v>3</v>
      </c>
      <c r="R2395" s="1">
        <v>40593</v>
      </c>
      <c r="S2395" t="s">
        <v>29</v>
      </c>
      <c r="T2395" t="str">
        <f t="shared" si="185"/>
        <v>Grade A</v>
      </c>
      <c r="U2395">
        <f t="shared" si="186"/>
        <v>4</v>
      </c>
      <c r="V2395" t="str">
        <f t="shared" si="187"/>
        <v>Senior</v>
      </c>
      <c r="W2395" t="str">
        <f t="shared" si="188"/>
        <v>Low Risk</v>
      </c>
      <c r="X2395" t="str">
        <f t="shared" si="189"/>
        <v>Competitive</v>
      </c>
    </row>
    <row r="2396" spans="1:24" x14ac:dyDescent="0.3">
      <c r="A2396" t="s">
        <v>2464</v>
      </c>
      <c r="B2396" t="s">
        <v>39</v>
      </c>
      <c r="C2396">
        <v>48</v>
      </c>
      <c r="D2396" t="s">
        <v>47</v>
      </c>
      <c r="E2396" t="s">
        <v>48</v>
      </c>
      <c r="F2396" t="s">
        <v>41</v>
      </c>
      <c r="G2396" t="s">
        <v>66</v>
      </c>
      <c r="H2396" t="s">
        <v>76</v>
      </c>
      <c r="I2396" t="s">
        <v>96</v>
      </c>
      <c r="J2396" t="s">
        <v>44</v>
      </c>
      <c r="K2396">
        <v>7</v>
      </c>
      <c r="L2396">
        <v>55590</v>
      </c>
      <c r="M2396" t="s">
        <v>51</v>
      </c>
      <c r="N2396">
        <v>1</v>
      </c>
      <c r="O2396">
        <v>1</v>
      </c>
      <c r="P2396">
        <v>14</v>
      </c>
      <c r="Q2396">
        <v>2</v>
      </c>
      <c r="R2396" s="1">
        <v>42645</v>
      </c>
      <c r="S2396" t="s">
        <v>29</v>
      </c>
      <c r="T2396" t="str">
        <f t="shared" si="185"/>
        <v>Grade B</v>
      </c>
      <c r="U2396">
        <f t="shared" si="186"/>
        <v>4</v>
      </c>
      <c r="V2396" t="str">
        <f t="shared" si="187"/>
        <v>Mid Level</v>
      </c>
      <c r="W2396" t="str">
        <f t="shared" si="188"/>
        <v>Low Risk</v>
      </c>
      <c r="X2396" t="str">
        <f t="shared" si="189"/>
        <v>Fair</v>
      </c>
    </row>
    <row r="2397" spans="1:24" x14ac:dyDescent="0.3">
      <c r="A2397" t="s">
        <v>2465</v>
      </c>
      <c r="B2397" t="s">
        <v>39</v>
      </c>
      <c r="C2397">
        <v>26</v>
      </c>
      <c r="D2397" t="s">
        <v>88</v>
      </c>
      <c r="E2397" t="s">
        <v>22</v>
      </c>
      <c r="F2397" t="s">
        <v>65</v>
      </c>
      <c r="G2397" t="s">
        <v>79</v>
      </c>
      <c r="H2397" t="s">
        <v>76</v>
      </c>
      <c r="I2397" t="s">
        <v>35</v>
      </c>
      <c r="J2397" t="s">
        <v>27</v>
      </c>
      <c r="K2397">
        <v>8</v>
      </c>
      <c r="L2397">
        <v>50764</v>
      </c>
      <c r="M2397" t="s">
        <v>36</v>
      </c>
      <c r="N2397">
        <v>1</v>
      </c>
      <c r="O2397">
        <v>2</v>
      </c>
      <c r="P2397">
        <v>72</v>
      </c>
      <c r="Q2397">
        <v>2</v>
      </c>
      <c r="R2397" s="1">
        <v>42128</v>
      </c>
      <c r="S2397" t="s">
        <v>37</v>
      </c>
      <c r="T2397" t="str">
        <f t="shared" si="185"/>
        <v>Grade B</v>
      </c>
      <c r="U2397">
        <f t="shared" si="186"/>
        <v>1</v>
      </c>
      <c r="V2397" t="str">
        <f t="shared" si="187"/>
        <v>Mid Level</v>
      </c>
      <c r="W2397" t="str">
        <f t="shared" si="188"/>
        <v>Already Left</v>
      </c>
      <c r="X2397" t="str">
        <f t="shared" si="189"/>
        <v>Fair</v>
      </c>
    </row>
    <row r="2398" spans="1:24" x14ac:dyDescent="0.3">
      <c r="A2398" t="s">
        <v>2466</v>
      </c>
      <c r="B2398" t="s">
        <v>39</v>
      </c>
      <c r="C2398">
        <v>44</v>
      </c>
      <c r="D2398" t="s">
        <v>88</v>
      </c>
      <c r="E2398" t="s">
        <v>48</v>
      </c>
      <c r="F2398" t="s">
        <v>62</v>
      </c>
      <c r="G2398" t="s">
        <v>63</v>
      </c>
      <c r="H2398" t="s">
        <v>34</v>
      </c>
      <c r="I2398" t="s">
        <v>68</v>
      </c>
      <c r="J2398" t="s">
        <v>60</v>
      </c>
      <c r="K2398">
        <v>10</v>
      </c>
      <c r="L2398">
        <v>55846</v>
      </c>
      <c r="M2398" t="s">
        <v>51</v>
      </c>
      <c r="N2398">
        <v>3</v>
      </c>
      <c r="O2398">
        <v>2</v>
      </c>
      <c r="P2398">
        <v>69</v>
      </c>
      <c r="Q2398">
        <v>1</v>
      </c>
      <c r="R2398" s="1">
        <v>41493</v>
      </c>
      <c r="S2398" t="s">
        <v>29</v>
      </c>
      <c r="T2398" t="str">
        <f t="shared" si="185"/>
        <v>Grade B</v>
      </c>
      <c r="U2398">
        <f t="shared" si="186"/>
        <v>4</v>
      </c>
      <c r="V2398" t="str">
        <f t="shared" si="187"/>
        <v>Mid Level</v>
      </c>
      <c r="W2398" t="str">
        <f t="shared" si="188"/>
        <v>Low Risk</v>
      </c>
      <c r="X2398" t="str">
        <f t="shared" si="189"/>
        <v>Fair</v>
      </c>
    </row>
    <row r="2399" spans="1:24" x14ac:dyDescent="0.3">
      <c r="A2399" t="s">
        <v>2467</v>
      </c>
      <c r="B2399" t="s">
        <v>20</v>
      </c>
      <c r="C2399">
        <v>47</v>
      </c>
      <c r="D2399" t="s">
        <v>57</v>
      </c>
      <c r="E2399" t="s">
        <v>22</v>
      </c>
      <c r="F2399" t="s">
        <v>62</v>
      </c>
      <c r="G2399" t="s">
        <v>63</v>
      </c>
      <c r="H2399" t="s">
        <v>67</v>
      </c>
      <c r="I2399" t="s">
        <v>50</v>
      </c>
      <c r="J2399" t="s">
        <v>44</v>
      </c>
      <c r="K2399">
        <v>15</v>
      </c>
      <c r="L2399">
        <v>71658</v>
      </c>
      <c r="M2399" t="s">
        <v>36</v>
      </c>
      <c r="N2399">
        <v>4</v>
      </c>
      <c r="O2399">
        <v>1</v>
      </c>
      <c r="P2399">
        <v>65</v>
      </c>
      <c r="Q2399">
        <v>2</v>
      </c>
      <c r="R2399" s="1">
        <v>39653</v>
      </c>
      <c r="S2399" t="s">
        <v>29</v>
      </c>
      <c r="T2399" t="str">
        <f t="shared" si="185"/>
        <v>Grade B</v>
      </c>
      <c r="U2399">
        <f t="shared" si="186"/>
        <v>1</v>
      </c>
      <c r="V2399" t="str">
        <f t="shared" si="187"/>
        <v>Senior</v>
      </c>
      <c r="W2399" t="str">
        <f t="shared" si="188"/>
        <v>Medium Risk</v>
      </c>
      <c r="X2399" t="str">
        <f t="shared" si="189"/>
        <v>Fair</v>
      </c>
    </row>
    <row r="2400" spans="1:24" x14ac:dyDescent="0.3">
      <c r="A2400" t="s">
        <v>2468</v>
      </c>
      <c r="B2400" t="s">
        <v>20</v>
      </c>
      <c r="C2400">
        <v>45</v>
      </c>
      <c r="D2400" t="s">
        <v>57</v>
      </c>
      <c r="E2400" t="s">
        <v>22</v>
      </c>
      <c r="F2400" t="s">
        <v>41</v>
      </c>
      <c r="G2400" t="s">
        <v>58</v>
      </c>
      <c r="H2400" t="s">
        <v>25</v>
      </c>
      <c r="I2400" t="s">
        <v>80</v>
      </c>
      <c r="J2400" t="s">
        <v>60</v>
      </c>
      <c r="K2400">
        <v>1</v>
      </c>
      <c r="L2400">
        <v>78936</v>
      </c>
      <c r="M2400" t="s">
        <v>45</v>
      </c>
      <c r="N2400">
        <v>2</v>
      </c>
      <c r="O2400">
        <v>2</v>
      </c>
      <c r="P2400">
        <v>25</v>
      </c>
      <c r="Q2400">
        <v>0</v>
      </c>
      <c r="R2400" s="1">
        <v>44909</v>
      </c>
      <c r="S2400" t="s">
        <v>29</v>
      </c>
      <c r="T2400" t="str">
        <f t="shared" si="185"/>
        <v>Grade B</v>
      </c>
      <c r="U2400">
        <f t="shared" si="186"/>
        <v>2</v>
      </c>
      <c r="V2400" t="str">
        <f t="shared" si="187"/>
        <v>New Joiner</v>
      </c>
      <c r="W2400" t="str">
        <f t="shared" si="188"/>
        <v>Medium Risk</v>
      </c>
      <c r="X2400" t="str">
        <f t="shared" si="189"/>
        <v>Fair</v>
      </c>
    </row>
    <row r="2401" spans="1:24" x14ac:dyDescent="0.3">
      <c r="A2401" t="s">
        <v>2469</v>
      </c>
      <c r="B2401" t="s">
        <v>39</v>
      </c>
      <c r="C2401">
        <v>33</v>
      </c>
      <c r="D2401" t="s">
        <v>88</v>
      </c>
      <c r="E2401" t="s">
        <v>40</v>
      </c>
      <c r="F2401" t="s">
        <v>62</v>
      </c>
      <c r="G2401" t="s">
        <v>33</v>
      </c>
      <c r="H2401" t="s">
        <v>83</v>
      </c>
      <c r="I2401" t="s">
        <v>43</v>
      </c>
      <c r="J2401" t="s">
        <v>44</v>
      </c>
      <c r="K2401">
        <v>13</v>
      </c>
      <c r="L2401">
        <v>81207</v>
      </c>
      <c r="M2401" t="s">
        <v>36</v>
      </c>
      <c r="N2401">
        <v>3</v>
      </c>
      <c r="O2401">
        <v>3</v>
      </c>
      <c r="P2401">
        <v>29</v>
      </c>
      <c r="Q2401">
        <v>3</v>
      </c>
      <c r="R2401" s="1">
        <v>40279</v>
      </c>
      <c r="S2401" t="s">
        <v>37</v>
      </c>
      <c r="T2401" t="str">
        <f t="shared" si="185"/>
        <v>Grade A</v>
      </c>
      <c r="U2401">
        <f t="shared" si="186"/>
        <v>1</v>
      </c>
      <c r="V2401" t="str">
        <f t="shared" si="187"/>
        <v>Senior</v>
      </c>
      <c r="W2401" t="str">
        <f t="shared" si="188"/>
        <v>Already Left</v>
      </c>
      <c r="X2401" t="str">
        <f t="shared" si="189"/>
        <v>Overpaid</v>
      </c>
    </row>
    <row r="2402" spans="1:24" x14ac:dyDescent="0.3">
      <c r="A2402" t="s">
        <v>2470</v>
      </c>
      <c r="B2402" t="s">
        <v>20</v>
      </c>
      <c r="C2402">
        <v>34</v>
      </c>
      <c r="D2402" t="s">
        <v>57</v>
      </c>
      <c r="E2402" t="s">
        <v>48</v>
      </c>
      <c r="F2402" t="s">
        <v>62</v>
      </c>
      <c r="G2402" t="s">
        <v>24</v>
      </c>
      <c r="H2402" t="s">
        <v>25</v>
      </c>
      <c r="I2402" t="s">
        <v>59</v>
      </c>
      <c r="J2402" t="s">
        <v>60</v>
      </c>
      <c r="K2402">
        <v>10</v>
      </c>
      <c r="L2402">
        <v>97282</v>
      </c>
      <c r="M2402" t="s">
        <v>36</v>
      </c>
      <c r="N2402">
        <v>3</v>
      </c>
      <c r="O2402">
        <v>3</v>
      </c>
      <c r="P2402">
        <v>67</v>
      </c>
      <c r="Q2402">
        <v>2</v>
      </c>
      <c r="R2402" s="1">
        <v>41337</v>
      </c>
      <c r="S2402" t="s">
        <v>29</v>
      </c>
      <c r="T2402" t="str">
        <f t="shared" si="185"/>
        <v>Grade A</v>
      </c>
      <c r="U2402">
        <f t="shared" si="186"/>
        <v>1</v>
      </c>
      <c r="V2402" t="str">
        <f t="shared" si="187"/>
        <v>Mid Level</v>
      </c>
      <c r="W2402" t="str">
        <f t="shared" si="188"/>
        <v>Medium Risk</v>
      </c>
      <c r="X2402" t="str">
        <f t="shared" si="189"/>
        <v>Overpaid</v>
      </c>
    </row>
    <row r="2403" spans="1:24" x14ac:dyDescent="0.3">
      <c r="A2403" t="s">
        <v>2471</v>
      </c>
      <c r="B2403" t="s">
        <v>20</v>
      </c>
      <c r="C2403">
        <v>34</v>
      </c>
      <c r="D2403" t="s">
        <v>88</v>
      </c>
      <c r="E2403" t="s">
        <v>40</v>
      </c>
      <c r="F2403" t="s">
        <v>78</v>
      </c>
      <c r="G2403" t="s">
        <v>33</v>
      </c>
      <c r="H2403" t="s">
        <v>34</v>
      </c>
      <c r="I2403" t="s">
        <v>35</v>
      </c>
      <c r="J2403" t="s">
        <v>27</v>
      </c>
      <c r="K2403">
        <v>11</v>
      </c>
      <c r="L2403">
        <v>74193</v>
      </c>
      <c r="M2403" t="s">
        <v>28</v>
      </c>
      <c r="N2403">
        <v>2</v>
      </c>
      <c r="O2403">
        <v>3</v>
      </c>
      <c r="P2403">
        <v>17</v>
      </c>
      <c r="Q2403">
        <v>3</v>
      </c>
      <c r="R2403" s="1">
        <v>40919</v>
      </c>
      <c r="S2403" t="s">
        <v>37</v>
      </c>
      <c r="T2403" t="str">
        <f t="shared" si="185"/>
        <v>Grade B</v>
      </c>
      <c r="U2403">
        <f t="shared" si="186"/>
        <v>3</v>
      </c>
      <c r="V2403" t="str">
        <f t="shared" si="187"/>
        <v>Senior</v>
      </c>
      <c r="W2403" t="str">
        <f t="shared" si="188"/>
        <v>Already Left</v>
      </c>
      <c r="X2403" t="str">
        <f t="shared" si="189"/>
        <v>Competitive</v>
      </c>
    </row>
    <row r="2404" spans="1:24" x14ac:dyDescent="0.3">
      <c r="A2404" t="s">
        <v>2472</v>
      </c>
      <c r="B2404" t="s">
        <v>20</v>
      </c>
      <c r="C2404">
        <v>36</v>
      </c>
      <c r="D2404" t="s">
        <v>21</v>
      </c>
      <c r="E2404" t="s">
        <v>48</v>
      </c>
      <c r="F2404" t="s">
        <v>78</v>
      </c>
      <c r="G2404" t="s">
        <v>63</v>
      </c>
      <c r="H2404" t="s">
        <v>83</v>
      </c>
      <c r="I2404" t="s">
        <v>96</v>
      </c>
      <c r="J2404" t="s">
        <v>44</v>
      </c>
      <c r="K2404">
        <v>4</v>
      </c>
      <c r="L2404">
        <v>43066</v>
      </c>
      <c r="M2404" t="s">
        <v>45</v>
      </c>
      <c r="N2404">
        <v>1</v>
      </c>
      <c r="O2404">
        <v>2</v>
      </c>
      <c r="P2404">
        <v>54</v>
      </c>
      <c r="Q2404">
        <v>3</v>
      </c>
      <c r="R2404" s="1">
        <v>43589</v>
      </c>
      <c r="S2404" t="s">
        <v>37</v>
      </c>
      <c r="T2404" t="str">
        <f t="shared" si="185"/>
        <v>Grade C</v>
      </c>
      <c r="U2404">
        <f t="shared" si="186"/>
        <v>2</v>
      </c>
      <c r="V2404" t="str">
        <f t="shared" si="187"/>
        <v>Junior</v>
      </c>
      <c r="W2404" t="str">
        <f t="shared" si="188"/>
        <v>Already Left</v>
      </c>
      <c r="X2404" t="str">
        <f t="shared" si="189"/>
        <v>Fair</v>
      </c>
    </row>
    <row r="2405" spans="1:24" x14ac:dyDescent="0.3">
      <c r="A2405" t="s">
        <v>2473</v>
      </c>
      <c r="B2405" t="s">
        <v>20</v>
      </c>
      <c r="C2405">
        <v>44</v>
      </c>
      <c r="D2405" t="s">
        <v>47</v>
      </c>
      <c r="E2405" t="s">
        <v>48</v>
      </c>
      <c r="F2405" t="s">
        <v>23</v>
      </c>
      <c r="G2405" t="s">
        <v>79</v>
      </c>
      <c r="H2405" t="s">
        <v>25</v>
      </c>
      <c r="I2405" t="s">
        <v>50</v>
      </c>
      <c r="J2405" t="s">
        <v>44</v>
      </c>
      <c r="K2405">
        <v>4</v>
      </c>
      <c r="L2405">
        <v>51402</v>
      </c>
      <c r="M2405" t="s">
        <v>51</v>
      </c>
      <c r="N2405">
        <v>1</v>
      </c>
      <c r="O2405">
        <v>4</v>
      </c>
      <c r="P2405">
        <v>24</v>
      </c>
      <c r="Q2405">
        <v>1</v>
      </c>
      <c r="R2405" s="1">
        <v>43579</v>
      </c>
      <c r="S2405" t="s">
        <v>29</v>
      </c>
      <c r="T2405" t="str">
        <f t="shared" si="185"/>
        <v>Grade B</v>
      </c>
      <c r="U2405">
        <f t="shared" si="186"/>
        <v>4</v>
      </c>
      <c r="V2405" t="str">
        <f t="shared" si="187"/>
        <v>Junior</v>
      </c>
      <c r="W2405" t="str">
        <f t="shared" si="188"/>
        <v>Low Risk</v>
      </c>
      <c r="X2405" t="str">
        <f t="shared" si="189"/>
        <v>Fair</v>
      </c>
    </row>
    <row r="2406" spans="1:24" x14ac:dyDescent="0.3">
      <c r="A2406" t="s">
        <v>2474</v>
      </c>
      <c r="B2406" t="s">
        <v>39</v>
      </c>
      <c r="C2406">
        <v>51</v>
      </c>
      <c r="D2406" t="s">
        <v>47</v>
      </c>
      <c r="E2406" t="s">
        <v>40</v>
      </c>
      <c r="F2406" t="s">
        <v>78</v>
      </c>
      <c r="G2406" t="s">
        <v>49</v>
      </c>
      <c r="H2406" t="s">
        <v>83</v>
      </c>
      <c r="I2406" t="s">
        <v>96</v>
      </c>
      <c r="J2406" t="s">
        <v>44</v>
      </c>
      <c r="K2406">
        <v>7</v>
      </c>
      <c r="L2406">
        <v>64675</v>
      </c>
      <c r="M2406" t="s">
        <v>36</v>
      </c>
      <c r="N2406">
        <v>1</v>
      </c>
      <c r="O2406">
        <v>3</v>
      </c>
      <c r="P2406">
        <v>36</v>
      </c>
      <c r="Q2406">
        <v>0</v>
      </c>
      <c r="R2406" s="1">
        <v>42586</v>
      </c>
      <c r="S2406" t="s">
        <v>37</v>
      </c>
      <c r="T2406" t="str">
        <f t="shared" si="185"/>
        <v>Grade B</v>
      </c>
      <c r="U2406">
        <f t="shared" si="186"/>
        <v>1</v>
      </c>
      <c r="V2406" t="str">
        <f t="shared" si="187"/>
        <v>Mid Level</v>
      </c>
      <c r="W2406" t="str">
        <f t="shared" si="188"/>
        <v>Already Left</v>
      </c>
      <c r="X2406" t="str">
        <f t="shared" si="189"/>
        <v>Fair</v>
      </c>
    </row>
    <row r="2407" spans="1:24" x14ac:dyDescent="0.3">
      <c r="A2407" t="s">
        <v>2475</v>
      </c>
      <c r="B2407" t="s">
        <v>20</v>
      </c>
      <c r="C2407">
        <v>37</v>
      </c>
      <c r="D2407" t="s">
        <v>21</v>
      </c>
      <c r="E2407" t="s">
        <v>48</v>
      </c>
      <c r="F2407" t="s">
        <v>75</v>
      </c>
      <c r="G2407" t="s">
        <v>24</v>
      </c>
      <c r="H2407" t="s">
        <v>76</v>
      </c>
      <c r="I2407" t="s">
        <v>96</v>
      </c>
      <c r="J2407" t="s">
        <v>44</v>
      </c>
      <c r="K2407">
        <v>3</v>
      </c>
      <c r="L2407">
        <v>85365</v>
      </c>
      <c r="M2407" t="s">
        <v>36</v>
      </c>
      <c r="N2407">
        <v>2</v>
      </c>
      <c r="O2407">
        <v>1</v>
      </c>
      <c r="P2407">
        <v>50</v>
      </c>
      <c r="Q2407">
        <v>2</v>
      </c>
      <c r="R2407" s="1">
        <v>44019</v>
      </c>
      <c r="S2407" t="s">
        <v>37</v>
      </c>
      <c r="T2407" t="str">
        <f t="shared" si="185"/>
        <v>Grade A</v>
      </c>
      <c r="U2407">
        <f t="shared" si="186"/>
        <v>1</v>
      </c>
      <c r="V2407" t="str">
        <f t="shared" si="187"/>
        <v>Junior</v>
      </c>
      <c r="W2407" t="str">
        <f t="shared" si="188"/>
        <v>Already Left</v>
      </c>
      <c r="X2407" t="str">
        <f t="shared" si="189"/>
        <v>Overpaid</v>
      </c>
    </row>
    <row r="2408" spans="1:24" x14ac:dyDescent="0.3">
      <c r="A2408" t="s">
        <v>2476</v>
      </c>
      <c r="B2408" t="s">
        <v>20</v>
      </c>
      <c r="C2408">
        <v>54</v>
      </c>
      <c r="D2408" t="s">
        <v>47</v>
      </c>
      <c r="E2408" t="s">
        <v>40</v>
      </c>
      <c r="F2408" t="s">
        <v>62</v>
      </c>
      <c r="G2408" t="s">
        <v>63</v>
      </c>
      <c r="H2408" t="s">
        <v>76</v>
      </c>
      <c r="I2408" t="s">
        <v>43</v>
      </c>
      <c r="J2408" t="s">
        <v>44</v>
      </c>
      <c r="K2408">
        <v>6</v>
      </c>
      <c r="L2408">
        <v>48775</v>
      </c>
      <c r="M2408" t="s">
        <v>28</v>
      </c>
      <c r="N2408">
        <v>1</v>
      </c>
      <c r="O2408">
        <v>2</v>
      </c>
      <c r="P2408">
        <v>65</v>
      </c>
      <c r="Q2408">
        <v>0</v>
      </c>
      <c r="R2408" s="1">
        <v>42906</v>
      </c>
      <c r="S2408" t="s">
        <v>29</v>
      </c>
      <c r="T2408" t="str">
        <f t="shared" si="185"/>
        <v>Grade C</v>
      </c>
      <c r="U2408">
        <f t="shared" si="186"/>
        <v>3</v>
      </c>
      <c r="V2408" t="str">
        <f t="shared" si="187"/>
        <v>Mid Level</v>
      </c>
      <c r="W2408" t="str">
        <f t="shared" si="188"/>
        <v>Medium Risk</v>
      </c>
      <c r="X2408" t="str">
        <f t="shared" si="189"/>
        <v>Fair</v>
      </c>
    </row>
    <row r="2409" spans="1:24" x14ac:dyDescent="0.3">
      <c r="A2409" t="s">
        <v>2477</v>
      </c>
      <c r="B2409" t="s">
        <v>20</v>
      </c>
      <c r="C2409">
        <v>23</v>
      </c>
      <c r="D2409" t="s">
        <v>88</v>
      </c>
      <c r="E2409" t="s">
        <v>48</v>
      </c>
      <c r="F2409" t="s">
        <v>41</v>
      </c>
      <c r="G2409" t="s">
        <v>24</v>
      </c>
      <c r="H2409" t="s">
        <v>25</v>
      </c>
      <c r="I2409" t="s">
        <v>43</v>
      </c>
      <c r="J2409" t="s">
        <v>44</v>
      </c>
      <c r="K2409">
        <v>1</v>
      </c>
      <c r="L2409">
        <v>79873</v>
      </c>
      <c r="M2409" t="s">
        <v>45</v>
      </c>
      <c r="N2409">
        <v>2</v>
      </c>
      <c r="O2409">
        <v>1</v>
      </c>
      <c r="P2409">
        <v>27</v>
      </c>
      <c r="Q2409">
        <v>1</v>
      </c>
      <c r="R2409" s="1">
        <v>44806</v>
      </c>
      <c r="S2409" t="s">
        <v>37</v>
      </c>
      <c r="T2409" t="str">
        <f t="shared" si="185"/>
        <v>Grade B</v>
      </c>
      <c r="U2409">
        <f t="shared" si="186"/>
        <v>2</v>
      </c>
      <c r="V2409" t="str">
        <f t="shared" si="187"/>
        <v>New Joiner</v>
      </c>
      <c r="W2409" t="str">
        <f t="shared" si="188"/>
        <v>Already Left</v>
      </c>
      <c r="X2409" t="str">
        <f t="shared" si="189"/>
        <v>Fair</v>
      </c>
    </row>
    <row r="2410" spans="1:24" x14ac:dyDescent="0.3">
      <c r="A2410" t="s">
        <v>2478</v>
      </c>
      <c r="B2410" t="s">
        <v>20</v>
      </c>
      <c r="C2410">
        <v>36</v>
      </c>
      <c r="D2410" t="s">
        <v>47</v>
      </c>
      <c r="E2410" t="s">
        <v>48</v>
      </c>
      <c r="F2410" t="s">
        <v>75</v>
      </c>
      <c r="G2410" t="s">
        <v>63</v>
      </c>
      <c r="H2410" t="s">
        <v>76</v>
      </c>
      <c r="I2410" t="s">
        <v>50</v>
      </c>
      <c r="J2410" t="s">
        <v>44</v>
      </c>
      <c r="K2410">
        <v>7</v>
      </c>
      <c r="L2410">
        <v>59583</v>
      </c>
      <c r="M2410" t="s">
        <v>36</v>
      </c>
      <c r="N2410">
        <v>2</v>
      </c>
      <c r="O2410">
        <v>1</v>
      </c>
      <c r="P2410">
        <v>62</v>
      </c>
      <c r="Q2410">
        <v>2</v>
      </c>
      <c r="R2410" s="1">
        <v>42735</v>
      </c>
      <c r="S2410" t="s">
        <v>29</v>
      </c>
      <c r="T2410" t="str">
        <f t="shared" si="185"/>
        <v>Grade B</v>
      </c>
      <c r="U2410">
        <f t="shared" si="186"/>
        <v>1</v>
      </c>
      <c r="V2410" t="str">
        <f t="shared" si="187"/>
        <v>Mid Level</v>
      </c>
      <c r="W2410" t="str">
        <f t="shared" si="188"/>
        <v>Medium Risk</v>
      </c>
      <c r="X2410" t="str">
        <f t="shared" si="189"/>
        <v>Fair</v>
      </c>
    </row>
    <row r="2411" spans="1:24" x14ac:dyDescent="0.3">
      <c r="A2411" t="s">
        <v>2479</v>
      </c>
      <c r="B2411" t="s">
        <v>39</v>
      </c>
      <c r="C2411">
        <v>45</v>
      </c>
      <c r="D2411" t="s">
        <v>88</v>
      </c>
      <c r="E2411" t="s">
        <v>22</v>
      </c>
      <c r="F2411" t="s">
        <v>65</v>
      </c>
      <c r="G2411" t="s">
        <v>63</v>
      </c>
      <c r="H2411" t="s">
        <v>67</v>
      </c>
      <c r="I2411" t="s">
        <v>59</v>
      </c>
      <c r="J2411" t="s">
        <v>60</v>
      </c>
      <c r="K2411">
        <v>9</v>
      </c>
      <c r="L2411">
        <v>55401</v>
      </c>
      <c r="M2411" t="s">
        <v>28</v>
      </c>
      <c r="N2411">
        <v>2</v>
      </c>
      <c r="O2411">
        <v>1</v>
      </c>
      <c r="P2411">
        <v>52</v>
      </c>
      <c r="Q2411">
        <v>3</v>
      </c>
      <c r="R2411" s="1">
        <v>41726</v>
      </c>
      <c r="S2411" t="s">
        <v>29</v>
      </c>
      <c r="T2411" t="str">
        <f t="shared" si="185"/>
        <v>Grade B</v>
      </c>
      <c r="U2411">
        <f t="shared" si="186"/>
        <v>3</v>
      </c>
      <c r="V2411" t="str">
        <f t="shared" si="187"/>
        <v>Mid Level</v>
      </c>
      <c r="W2411" t="str">
        <f t="shared" si="188"/>
        <v>Medium Risk</v>
      </c>
      <c r="X2411" t="str">
        <f t="shared" si="189"/>
        <v>Competitive</v>
      </c>
    </row>
    <row r="2412" spans="1:24" x14ac:dyDescent="0.3">
      <c r="A2412" t="s">
        <v>2480</v>
      </c>
      <c r="B2412" t="s">
        <v>20</v>
      </c>
      <c r="C2412">
        <v>44</v>
      </c>
      <c r="D2412" t="s">
        <v>31</v>
      </c>
      <c r="E2412" t="s">
        <v>48</v>
      </c>
      <c r="F2412" t="s">
        <v>53</v>
      </c>
      <c r="G2412" t="s">
        <v>33</v>
      </c>
      <c r="H2412" t="s">
        <v>83</v>
      </c>
      <c r="I2412" t="s">
        <v>59</v>
      </c>
      <c r="J2412" t="s">
        <v>60</v>
      </c>
      <c r="K2412">
        <v>7</v>
      </c>
      <c r="L2412">
        <v>82281</v>
      </c>
      <c r="M2412" t="s">
        <v>28</v>
      </c>
      <c r="N2412">
        <v>2</v>
      </c>
      <c r="O2412">
        <v>4</v>
      </c>
      <c r="P2412">
        <v>24</v>
      </c>
      <c r="Q2412">
        <v>2</v>
      </c>
      <c r="R2412" s="1">
        <v>42540</v>
      </c>
      <c r="S2412" t="s">
        <v>29</v>
      </c>
      <c r="T2412" t="str">
        <f t="shared" si="185"/>
        <v>Grade A</v>
      </c>
      <c r="U2412">
        <f t="shared" si="186"/>
        <v>3</v>
      </c>
      <c r="V2412" t="str">
        <f t="shared" si="187"/>
        <v>Mid Level</v>
      </c>
      <c r="W2412" t="str">
        <f t="shared" si="188"/>
        <v>Medium Risk</v>
      </c>
      <c r="X2412" t="str">
        <f t="shared" si="189"/>
        <v>Competitive</v>
      </c>
    </row>
    <row r="2413" spans="1:24" x14ac:dyDescent="0.3">
      <c r="A2413" t="s">
        <v>2481</v>
      </c>
      <c r="B2413" t="s">
        <v>20</v>
      </c>
      <c r="C2413">
        <v>32</v>
      </c>
      <c r="D2413" t="s">
        <v>88</v>
      </c>
      <c r="E2413" t="s">
        <v>48</v>
      </c>
      <c r="F2413" t="s">
        <v>23</v>
      </c>
      <c r="G2413" t="s">
        <v>66</v>
      </c>
      <c r="H2413" t="s">
        <v>76</v>
      </c>
      <c r="I2413" t="s">
        <v>26</v>
      </c>
      <c r="J2413" t="s">
        <v>27</v>
      </c>
      <c r="K2413">
        <v>12</v>
      </c>
      <c r="L2413">
        <v>60973</v>
      </c>
      <c r="M2413" t="s">
        <v>51</v>
      </c>
      <c r="N2413">
        <v>1</v>
      </c>
      <c r="O2413">
        <v>4</v>
      </c>
      <c r="P2413">
        <v>78</v>
      </c>
      <c r="Q2413">
        <v>3</v>
      </c>
      <c r="R2413" s="1">
        <v>40908</v>
      </c>
      <c r="S2413" t="s">
        <v>29</v>
      </c>
      <c r="T2413" t="str">
        <f t="shared" si="185"/>
        <v>Grade B</v>
      </c>
      <c r="U2413">
        <f t="shared" si="186"/>
        <v>4</v>
      </c>
      <c r="V2413" t="str">
        <f t="shared" si="187"/>
        <v>Senior</v>
      </c>
      <c r="W2413" t="str">
        <f t="shared" si="188"/>
        <v>Low Risk</v>
      </c>
      <c r="X2413" t="str">
        <f t="shared" si="189"/>
        <v>Fair</v>
      </c>
    </row>
    <row r="2414" spans="1:24" x14ac:dyDescent="0.3">
      <c r="A2414" t="s">
        <v>2482</v>
      </c>
      <c r="B2414" t="s">
        <v>20</v>
      </c>
      <c r="C2414">
        <v>33</v>
      </c>
      <c r="D2414" t="s">
        <v>31</v>
      </c>
      <c r="E2414" t="s">
        <v>40</v>
      </c>
      <c r="F2414" t="s">
        <v>62</v>
      </c>
      <c r="G2414" t="s">
        <v>49</v>
      </c>
      <c r="H2414" t="s">
        <v>83</v>
      </c>
      <c r="I2414" t="s">
        <v>80</v>
      </c>
      <c r="J2414" t="s">
        <v>60</v>
      </c>
      <c r="K2414">
        <v>13</v>
      </c>
      <c r="L2414">
        <v>77261</v>
      </c>
      <c r="M2414" t="s">
        <v>28</v>
      </c>
      <c r="N2414">
        <v>4</v>
      </c>
      <c r="O2414">
        <v>2</v>
      </c>
      <c r="P2414">
        <v>61</v>
      </c>
      <c r="Q2414">
        <v>1</v>
      </c>
      <c r="R2414" s="1">
        <v>40249</v>
      </c>
      <c r="S2414" t="s">
        <v>29</v>
      </c>
      <c r="T2414" t="str">
        <f t="shared" si="185"/>
        <v>Grade B</v>
      </c>
      <c r="U2414">
        <f t="shared" si="186"/>
        <v>3</v>
      </c>
      <c r="V2414" t="str">
        <f t="shared" si="187"/>
        <v>Senior</v>
      </c>
      <c r="W2414" t="str">
        <f t="shared" si="188"/>
        <v>Medium Risk</v>
      </c>
      <c r="X2414" t="str">
        <f t="shared" si="189"/>
        <v>Competitive</v>
      </c>
    </row>
    <row r="2415" spans="1:24" x14ac:dyDescent="0.3">
      <c r="A2415" t="s">
        <v>2483</v>
      </c>
      <c r="B2415" t="s">
        <v>20</v>
      </c>
      <c r="C2415">
        <v>27</v>
      </c>
      <c r="D2415" t="s">
        <v>57</v>
      </c>
      <c r="E2415" t="s">
        <v>40</v>
      </c>
      <c r="F2415" t="s">
        <v>75</v>
      </c>
      <c r="G2415" t="s">
        <v>24</v>
      </c>
      <c r="H2415" t="s">
        <v>83</v>
      </c>
      <c r="I2415" t="s">
        <v>72</v>
      </c>
      <c r="J2415" t="s">
        <v>73</v>
      </c>
      <c r="K2415">
        <v>7</v>
      </c>
      <c r="L2415">
        <v>89968</v>
      </c>
      <c r="M2415" t="s">
        <v>51</v>
      </c>
      <c r="N2415">
        <v>4</v>
      </c>
      <c r="O2415">
        <v>3</v>
      </c>
      <c r="P2415">
        <v>19</v>
      </c>
      <c r="Q2415">
        <v>1</v>
      </c>
      <c r="R2415" s="1">
        <v>42705</v>
      </c>
      <c r="S2415" t="s">
        <v>29</v>
      </c>
      <c r="T2415" t="str">
        <f t="shared" si="185"/>
        <v>Grade A</v>
      </c>
      <c r="U2415">
        <f t="shared" si="186"/>
        <v>4</v>
      </c>
      <c r="V2415" t="str">
        <f t="shared" si="187"/>
        <v>Mid Level</v>
      </c>
      <c r="W2415" t="str">
        <f t="shared" si="188"/>
        <v>Low Risk</v>
      </c>
      <c r="X2415" t="str">
        <f t="shared" si="189"/>
        <v>Competitive</v>
      </c>
    </row>
    <row r="2416" spans="1:24" x14ac:dyDescent="0.3">
      <c r="A2416" t="s">
        <v>2484</v>
      </c>
      <c r="B2416" t="s">
        <v>20</v>
      </c>
      <c r="C2416">
        <v>38</v>
      </c>
      <c r="D2416" t="s">
        <v>31</v>
      </c>
      <c r="E2416" t="s">
        <v>40</v>
      </c>
      <c r="F2416" t="s">
        <v>62</v>
      </c>
      <c r="G2416" t="s">
        <v>79</v>
      </c>
      <c r="H2416" t="s">
        <v>34</v>
      </c>
      <c r="I2416" t="s">
        <v>96</v>
      </c>
      <c r="J2416" t="s">
        <v>44</v>
      </c>
      <c r="K2416">
        <v>4</v>
      </c>
      <c r="L2416">
        <v>43657</v>
      </c>
      <c r="M2416" t="s">
        <v>45</v>
      </c>
      <c r="N2416">
        <v>1</v>
      </c>
      <c r="O2416">
        <v>1</v>
      </c>
      <c r="P2416">
        <v>73</v>
      </c>
      <c r="Q2416">
        <v>3</v>
      </c>
      <c r="R2416" s="1">
        <v>43731</v>
      </c>
      <c r="S2416" t="s">
        <v>29</v>
      </c>
      <c r="T2416" t="str">
        <f t="shared" si="185"/>
        <v>Grade C</v>
      </c>
      <c r="U2416">
        <f t="shared" si="186"/>
        <v>2</v>
      </c>
      <c r="V2416" t="str">
        <f t="shared" si="187"/>
        <v>Junior</v>
      </c>
      <c r="W2416" t="str">
        <f t="shared" si="188"/>
        <v>Medium Risk</v>
      </c>
      <c r="X2416" t="str">
        <f t="shared" si="189"/>
        <v>Fair</v>
      </c>
    </row>
    <row r="2417" spans="1:24" x14ac:dyDescent="0.3">
      <c r="A2417" t="s">
        <v>2485</v>
      </c>
      <c r="B2417" t="s">
        <v>20</v>
      </c>
      <c r="C2417">
        <v>26</v>
      </c>
      <c r="D2417" t="s">
        <v>31</v>
      </c>
      <c r="E2417" t="s">
        <v>22</v>
      </c>
      <c r="F2417" t="s">
        <v>41</v>
      </c>
      <c r="G2417" t="s">
        <v>79</v>
      </c>
      <c r="H2417" t="s">
        <v>67</v>
      </c>
      <c r="I2417" t="s">
        <v>68</v>
      </c>
      <c r="J2417" t="s">
        <v>60</v>
      </c>
      <c r="K2417">
        <v>7</v>
      </c>
      <c r="L2417">
        <v>56999</v>
      </c>
      <c r="M2417" t="s">
        <v>45</v>
      </c>
      <c r="N2417">
        <v>4</v>
      </c>
      <c r="O2417">
        <v>3</v>
      </c>
      <c r="P2417">
        <v>41</v>
      </c>
      <c r="Q2417">
        <v>1</v>
      </c>
      <c r="R2417" s="1">
        <v>42388</v>
      </c>
      <c r="S2417" t="s">
        <v>29</v>
      </c>
      <c r="T2417" t="str">
        <f t="shared" si="185"/>
        <v>Grade B</v>
      </c>
      <c r="U2417">
        <f t="shared" si="186"/>
        <v>2</v>
      </c>
      <c r="V2417" t="str">
        <f t="shared" si="187"/>
        <v>Mid Level</v>
      </c>
      <c r="W2417" t="str">
        <f t="shared" si="188"/>
        <v>Medium Risk</v>
      </c>
      <c r="X2417" t="str">
        <f t="shared" si="189"/>
        <v>Fair</v>
      </c>
    </row>
    <row r="2418" spans="1:24" x14ac:dyDescent="0.3">
      <c r="A2418" t="s">
        <v>2486</v>
      </c>
      <c r="B2418" t="s">
        <v>39</v>
      </c>
      <c r="C2418">
        <v>32</v>
      </c>
      <c r="D2418" t="s">
        <v>88</v>
      </c>
      <c r="E2418" t="s">
        <v>40</v>
      </c>
      <c r="F2418" t="s">
        <v>53</v>
      </c>
      <c r="G2418" t="s">
        <v>79</v>
      </c>
      <c r="H2418" t="s">
        <v>25</v>
      </c>
      <c r="I2418" t="s">
        <v>68</v>
      </c>
      <c r="J2418" t="s">
        <v>60</v>
      </c>
      <c r="K2418">
        <v>1</v>
      </c>
      <c r="L2418">
        <v>32079</v>
      </c>
      <c r="M2418" t="s">
        <v>36</v>
      </c>
      <c r="N2418">
        <v>4</v>
      </c>
      <c r="O2418">
        <v>1</v>
      </c>
      <c r="P2418">
        <v>78</v>
      </c>
      <c r="Q2418">
        <v>2</v>
      </c>
      <c r="R2418" s="1">
        <v>44657</v>
      </c>
      <c r="S2418" t="s">
        <v>37</v>
      </c>
      <c r="T2418" t="str">
        <f t="shared" si="185"/>
        <v>Grade D</v>
      </c>
      <c r="U2418">
        <f t="shared" si="186"/>
        <v>1</v>
      </c>
      <c r="V2418" t="str">
        <f t="shared" si="187"/>
        <v>New Joiner</v>
      </c>
      <c r="W2418" t="str">
        <f t="shared" si="188"/>
        <v>Already Left</v>
      </c>
      <c r="X2418" t="str">
        <f t="shared" si="189"/>
        <v>Fair</v>
      </c>
    </row>
    <row r="2419" spans="1:24" x14ac:dyDescent="0.3">
      <c r="A2419" t="s">
        <v>2487</v>
      </c>
      <c r="B2419" t="s">
        <v>39</v>
      </c>
      <c r="C2419">
        <v>53</v>
      </c>
      <c r="D2419" t="s">
        <v>88</v>
      </c>
      <c r="E2419" t="s">
        <v>22</v>
      </c>
      <c r="F2419" t="s">
        <v>62</v>
      </c>
      <c r="G2419" t="s">
        <v>42</v>
      </c>
      <c r="H2419" t="s">
        <v>67</v>
      </c>
      <c r="I2419" t="s">
        <v>50</v>
      </c>
      <c r="J2419" t="s">
        <v>44</v>
      </c>
      <c r="K2419">
        <v>13</v>
      </c>
      <c r="L2419">
        <v>129147</v>
      </c>
      <c r="M2419" t="s">
        <v>36</v>
      </c>
      <c r="N2419">
        <v>1</v>
      </c>
      <c r="O2419">
        <v>1</v>
      </c>
      <c r="P2419">
        <v>76</v>
      </c>
      <c r="Q2419">
        <v>0</v>
      </c>
      <c r="R2419" s="1">
        <v>40342</v>
      </c>
      <c r="S2419" t="s">
        <v>37</v>
      </c>
      <c r="T2419" t="str">
        <f t="shared" si="185"/>
        <v>Grade A</v>
      </c>
      <c r="U2419">
        <f t="shared" si="186"/>
        <v>1</v>
      </c>
      <c r="V2419" t="str">
        <f t="shared" si="187"/>
        <v>Senior</v>
      </c>
      <c r="W2419" t="str">
        <f t="shared" si="188"/>
        <v>Already Left</v>
      </c>
      <c r="X2419" t="str">
        <f t="shared" si="189"/>
        <v>Overpaid</v>
      </c>
    </row>
    <row r="2420" spans="1:24" x14ac:dyDescent="0.3">
      <c r="A2420" t="s">
        <v>2488</v>
      </c>
      <c r="B2420" t="s">
        <v>39</v>
      </c>
      <c r="C2420">
        <v>40</v>
      </c>
      <c r="D2420" t="s">
        <v>21</v>
      </c>
      <c r="E2420" t="s">
        <v>48</v>
      </c>
      <c r="F2420" t="s">
        <v>23</v>
      </c>
      <c r="G2420" t="s">
        <v>79</v>
      </c>
      <c r="H2420" t="s">
        <v>25</v>
      </c>
      <c r="I2420" t="s">
        <v>72</v>
      </c>
      <c r="J2420" t="s">
        <v>73</v>
      </c>
      <c r="K2420">
        <v>9</v>
      </c>
      <c r="L2420">
        <v>56774</v>
      </c>
      <c r="M2420" t="s">
        <v>51</v>
      </c>
      <c r="N2420">
        <v>1</v>
      </c>
      <c r="O2420">
        <v>1</v>
      </c>
      <c r="P2420">
        <v>16</v>
      </c>
      <c r="Q2420">
        <v>2</v>
      </c>
      <c r="R2420" s="1">
        <v>41909</v>
      </c>
      <c r="S2420" t="s">
        <v>37</v>
      </c>
      <c r="T2420" t="str">
        <f t="shared" si="185"/>
        <v>Grade B</v>
      </c>
      <c r="U2420">
        <f t="shared" si="186"/>
        <v>4</v>
      </c>
      <c r="V2420" t="str">
        <f t="shared" si="187"/>
        <v>Mid Level</v>
      </c>
      <c r="W2420" t="str">
        <f t="shared" si="188"/>
        <v>Already Left</v>
      </c>
      <c r="X2420" t="str">
        <f t="shared" si="189"/>
        <v>Fair</v>
      </c>
    </row>
    <row r="2421" spans="1:24" x14ac:dyDescent="0.3">
      <c r="A2421" t="s">
        <v>2489</v>
      </c>
      <c r="B2421" t="s">
        <v>39</v>
      </c>
      <c r="C2421">
        <v>48</v>
      </c>
      <c r="D2421" t="s">
        <v>57</v>
      </c>
      <c r="E2421" t="s">
        <v>40</v>
      </c>
      <c r="F2421" t="s">
        <v>32</v>
      </c>
      <c r="G2421" t="s">
        <v>58</v>
      </c>
      <c r="H2421" t="s">
        <v>25</v>
      </c>
      <c r="I2421" t="s">
        <v>43</v>
      </c>
      <c r="J2421" t="s">
        <v>44</v>
      </c>
      <c r="K2421">
        <v>13</v>
      </c>
      <c r="L2421">
        <v>107041</v>
      </c>
      <c r="M2421" t="s">
        <v>36</v>
      </c>
      <c r="N2421">
        <v>3</v>
      </c>
      <c r="O2421">
        <v>4</v>
      </c>
      <c r="P2421">
        <v>12</v>
      </c>
      <c r="Q2421">
        <v>1</v>
      </c>
      <c r="R2421" s="1">
        <v>40512</v>
      </c>
      <c r="S2421" t="s">
        <v>37</v>
      </c>
      <c r="T2421" t="str">
        <f t="shared" si="185"/>
        <v>Grade A</v>
      </c>
      <c r="U2421">
        <f t="shared" si="186"/>
        <v>1</v>
      </c>
      <c r="V2421" t="str">
        <f t="shared" si="187"/>
        <v>Senior</v>
      </c>
      <c r="W2421" t="str">
        <f t="shared" si="188"/>
        <v>Already Left</v>
      </c>
      <c r="X2421" t="str">
        <f t="shared" si="189"/>
        <v>Overpaid</v>
      </c>
    </row>
    <row r="2422" spans="1:24" x14ac:dyDescent="0.3">
      <c r="A2422" t="s">
        <v>2490</v>
      </c>
      <c r="B2422" t="s">
        <v>39</v>
      </c>
      <c r="C2422">
        <v>44</v>
      </c>
      <c r="D2422" t="s">
        <v>88</v>
      </c>
      <c r="E2422" t="s">
        <v>40</v>
      </c>
      <c r="F2422" t="s">
        <v>53</v>
      </c>
      <c r="G2422" t="s">
        <v>63</v>
      </c>
      <c r="H2422" t="s">
        <v>25</v>
      </c>
      <c r="I2422" t="s">
        <v>26</v>
      </c>
      <c r="J2422" t="s">
        <v>27</v>
      </c>
      <c r="K2422">
        <v>8</v>
      </c>
      <c r="L2422">
        <v>59463</v>
      </c>
      <c r="M2422" t="s">
        <v>36</v>
      </c>
      <c r="N2422">
        <v>2</v>
      </c>
      <c r="O2422">
        <v>4</v>
      </c>
      <c r="P2422">
        <v>30</v>
      </c>
      <c r="Q2422">
        <v>0</v>
      </c>
      <c r="R2422" s="1">
        <v>42314</v>
      </c>
      <c r="S2422" t="s">
        <v>29</v>
      </c>
      <c r="T2422" t="str">
        <f t="shared" si="185"/>
        <v>Grade B</v>
      </c>
      <c r="U2422">
        <f t="shared" si="186"/>
        <v>1</v>
      </c>
      <c r="V2422" t="str">
        <f t="shared" si="187"/>
        <v>Mid Level</v>
      </c>
      <c r="W2422" t="str">
        <f t="shared" si="188"/>
        <v>Medium Risk</v>
      </c>
      <c r="X2422" t="str">
        <f t="shared" si="189"/>
        <v>Fair</v>
      </c>
    </row>
    <row r="2423" spans="1:24" x14ac:dyDescent="0.3">
      <c r="A2423" t="s">
        <v>2491</v>
      </c>
      <c r="B2423" t="s">
        <v>20</v>
      </c>
      <c r="C2423">
        <v>22</v>
      </c>
      <c r="D2423" t="s">
        <v>88</v>
      </c>
      <c r="E2423" t="s">
        <v>22</v>
      </c>
      <c r="F2423" t="s">
        <v>62</v>
      </c>
      <c r="G2423" t="s">
        <v>66</v>
      </c>
      <c r="H2423" t="s">
        <v>34</v>
      </c>
      <c r="I2423" t="s">
        <v>96</v>
      </c>
      <c r="J2423" t="s">
        <v>44</v>
      </c>
      <c r="K2423">
        <v>10</v>
      </c>
      <c r="L2423">
        <v>64622</v>
      </c>
      <c r="M2423" t="s">
        <v>45</v>
      </c>
      <c r="N2423">
        <v>1</v>
      </c>
      <c r="O2423">
        <v>2</v>
      </c>
      <c r="P2423">
        <v>38</v>
      </c>
      <c r="Q2423">
        <v>0</v>
      </c>
      <c r="R2423" s="1">
        <v>41554</v>
      </c>
      <c r="S2423" t="s">
        <v>37</v>
      </c>
      <c r="T2423" t="str">
        <f t="shared" si="185"/>
        <v>Grade B</v>
      </c>
      <c r="U2423">
        <f t="shared" si="186"/>
        <v>2</v>
      </c>
      <c r="V2423" t="str">
        <f t="shared" si="187"/>
        <v>Mid Level</v>
      </c>
      <c r="W2423" t="str">
        <f t="shared" si="188"/>
        <v>Already Left</v>
      </c>
      <c r="X2423" t="str">
        <f t="shared" si="189"/>
        <v>Fair</v>
      </c>
    </row>
    <row r="2424" spans="1:24" x14ac:dyDescent="0.3">
      <c r="A2424" t="s">
        <v>2492</v>
      </c>
      <c r="B2424" t="s">
        <v>20</v>
      </c>
      <c r="C2424">
        <v>53</v>
      </c>
      <c r="D2424" t="s">
        <v>88</v>
      </c>
      <c r="E2424" t="s">
        <v>40</v>
      </c>
      <c r="F2424" t="s">
        <v>75</v>
      </c>
      <c r="G2424" t="s">
        <v>66</v>
      </c>
      <c r="H2424" t="s">
        <v>25</v>
      </c>
      <c r="I2424" t="s">
        <v>80</v>
      </c>
      <c r="J2424" t="s">
        <v>60</v>
      </c>
      <c r="K2424">
        <v>11</v>
      </c>
      <c r="L2424">
        <v>63234</v>
      </c>
      <c r="M2424" t="s">
        <v>36</v>
      </c>
      <c r="N2424">
        <v>1</v>
      </c>
      <c r="O2424">
        <v>2</v>
      </c>
      <c r="P2424">
        <v>12</v>
      </c>
      <c r="Q2424">
        <v>2</v>
      </c>
      <c r="R2424" s="1">
        <v>41077</v>
      </c>
      <c r="S2424" t="s">
        <v>37</v>
      </c>
      <c r="T2424" t="str">
        <f t="shared" si="185"/>
        <v>Grade B</v>
      </c>
      <c r="U2424">
        <f t="shared" si="186"/>
        <v>1</v>
      </c>
      <c r="V2424" t="str">
        <f t="shared" si="187"/>
        <v>Senior</v>
      </c>
      <c r="W2424" t="str">
        <f t="shared" si="188"/>
        <v>Already Left</v>
      </c>
      <c r="X2424" t="str">
        <f t="shared" si="189"/>
        <v>Fair</v>
      </c>
    </row>
    <row r="2425" spans="1:24" x14ac:dyDescent="0.3">
      <c r="A2425" t="s">
        <v>2493</v>
      </c>
      <c r="B2425" t="s">
        <v>20</v>
      </c>
      <c r="C2425">
        <v>44</v>
      </c>
      <c r="D2425" t="s">
        <v>21</v>
      </c>
      <c r="E2425" t="s">
        <v>40</v>
      </c>
      <c r="F2425" t="s">
        <v>65</v>
      </c>
      <c r="G2425" t="s">
        <v>63</v>
      </c>
      <c r="H2425" t="s">
        <v>83</v>
      </c>
      <c r="I2425" t="s">
        <v>54</v>
      </c>
      <c r="J2425" t="s">
        <v>27</v>
      </c>
      <c r="K2425">
        <v>4</v>
      </c>
      <c r="L2425">
        <v>52525</v>
      </c>
      <c r="M2425" t="s">
        <v>45</v>
      </c>
      <c r="N2425">
        <v>4</v>
      </c>
      <c r="O2425">
        <v>2</v>
      </c>
      <c r="P2425">
        <v>51</v>
      </c>
      <c r="Q2425">
        <v>1</v>
      </c>
      <c r="R2425" s="1">
        <v>43629</v>
      </c>
      <c r="S2425" t="s">
        <v>37</v>
      </c>
      <c r="T2425" t="str">
        <f t="shared" si="185"/>
        <v>Grade B</v>
      </c>
      <c r="U2425">
        <f t="shared" si="186"/>
        <v>2</v>
      </c>
      <c r="V2425" t="str">
        <f t="shared" si="187"/>
        <v>Junior</v>
      </c>
      <c r="W2425" t="str">
        <f t="shared" si="188"/>
        <v>Already Left</v>
      </c>
      <c r="X2425" t="str">
        <f t="shared" si="189"/>
        <v>Fair</v>
      </c>
    </row>
    <row r="2426" spans="1:24" x14ac:dyDescent="0.3">
      <c r="A2426" t="s">
        <v>2494</v>
      </c>
      <c r="B2426" t="s">
        <v>20</v>
      </c>
      <c r="C2426">
        <v>38</v>
      </c>
      <c r="D2426" t="s">
        <v>21</v>
      </c>
      <c r="E2426" t="s">
        <v>22</v>
      </c>
      <c r="F2426" t="s">
        <v>53</v>
      </c>
      <c r="G2426" t="s">
        <v>24</v>
      </c>
      <c r="H2426" t="s">
        <v>67</v>
      </c>
      <c r="I2426" t="s">
        <v>68</v>
      </c>
      <c r="J2426" t="s">
        <v>60</v>
      </c>
      <c r="K2426">
        <v>8</v>
      </c>
      <c r="L2426">
        <v>89887</v>
      </c>
      <c r="M2426" t="s">
        <v>51</v>
      </c>
      <c r="N2426">
        <v>4</v>
      </c>
      <c r="O2426">
        <v>1</v>
      </c>
      <c r="P2426">
        <v>37</v>
      </c>
      <c r="Q2426">
        <v>2</v>
      </c>
      <c r="R2426" s="1">
        <v>42122</v>
      </c>
      <c r="S2426" t="s">
        <v>29</v>
      </c>
      <c r="T2426" t="str">
        <f t="shared" si="185"/>
        <v>Grade A</v>
      </c>
      <c r="U2426">
        <f t="shared" si="186"/>
        <v>4</v>
      </c>
      <c r="V2426" t="str">
        <f t="shared" si="187"/>
        <v>Mid Level</v>
      </c>
      <c r="W2426" t="str">
        <f t="shared" si="188"/>
        <v>Low Risk</v>
      </c>
      <c r="X2426" t="str">
        <f t="shared" si="189"/>
        <v>Competitive</v>
      </c>
    </row>
    <row r="2427" spans="1:24" x14ac:dyDescent="0.3">
      <c r="A2427" t="s">
        <v>2495</v>
      </c>
      <c r="B2427" t="s">
        <v>20</v>
      </c>
      <c r="C2427">
        <v>54</v>
      </c>
      <c r="D2427" t="s">
        <v>47</v>
      </c>
      <c r="E2427" t="s">
        <v>40</v>
      </c>
      <c r="F2427" t="s">
        <v>78</v>
      </c>
      <c r="G2427" t="s">
        <v>63</v>
      </c>
      <c r="H2427" t="s">
        <v>25</v>
      </c>
      <c r="I2427" t="s">
        <v>72</v>
      </c>
      <c r="J2427" t="s">
        <v>73</v>
      </c>
      <c r="K2427">
        <v>9</v>
      </c>
      <c r="L2427">
        <v>56885</v>
      </c>
      <c r="M2427" t="s">
        <v>45</v>
      </c>
      <c r="N2427">
        <v>2</v>
      </c>
      <c r="O2427">
        <v>3</v>
      </c>
      <c r="P2427">
        <v>14</v>
      </c>
      <c r="Q2427">
        <v>1</v>
      </c>
      <c r="R2427" s="1">
        <v>42001</v>
      </c>
      <c r="S2427" t="s">
        <v>29</v>
      </c>
      <c r="T2427" t="str">
        <f t="shared" si="185"/>
        <v>Grade B</v>
      </c>
      <c r="U2427">
        <f t="shared" si="186"/>
        <v>2</v>
      </c>
      <c r="V2427" t="str">
        <f t="shared" si="187"/>
        <v>Mid Level</v>
      </c>
      <c r="W2427" t="str">
        <f t="shared" si="188"/>
        <v>Medium Risk</v>
      </c>
      <c r="X2427" t="str">
        <f t="shared" si="189"/>
        <v>Fair</v>
      </c>
    </row>
    <row r="2428" spans="1:24" x14ac:dyDescent="0.3">
      <c r="A2428" t="s">
        <v>2496</v>
      </c>
      <c r="B2428" t="s">
        <v>39</v>
      </c>
      <c r="C2428">
        <v>33</v>
      </c>
      <c r="D2428" t="s">
        <v>21</v>
      </c>
      <c r="E2428" t="s">
        <v>48</v>
      </c>
      <c r="F2428" t="s">
        <v>62</v>
      </c>
      <c r="G2428" t="s">
        <v>33</v>
      </c>
      <c r="H2428" t="s">
        <v>25</v>
      </c>
      <c r="I2428" t="s">
        <v>72</v>
      </c>
      <c r="J2428" t="s">
        <v>73</v>
      </c>
      <c r="K2428">
        <v>11</v>
      </c>
      <c r="L2428">
        <v>88874</v>
      </c>
      <c r="M2428" t="s">
        <v>28</v>
      </c>
      <c r="N2428">
        <v>4</v>
      </c>
      <c r="O2428">
        <v>3</v>
      </c>
      <c r="P2428">
        <v>58</v>
      </c>
      <c r="Q2428">
        <v>1</v>
      </c>
      <c r="R2428" s="1">
        <v>41097</v>
      </c>
      <c r="S2428" t="s">
        <v>29</v>
      </c>
      <c r="T2428" t="str">
        <f t="shared" si="185"/>
        <v>Grade A</v>
      </c>
      <c r="U2428">
        <f t="shared" si="186"/>
        <v>3</v>
      </c>
      <c r="V2428" t="str">
        <f t="shared" si="187"/>
        <v>Senior</v>
      </c>
      <c r="W2428" t="str">
        <f t="shared" si="188"/>
        <v>Medium Risk</v>
      </c>
      <c r="X2428" t="str">
        <f t="shared" si="189"/>
        <v>Competitive</v>
      </c>
    </row>
    <row r="2429" spans="1:24" x14ac:dyDescent="0.3">
      <c r="A2429" t="s">
        <v>2497</v>
      </c>
      <c r="B2429" t="s">
        <v>39</v>
      </c>
      <c r="C2429">
        <v>37</v>
      </c>
      <c r="D2429" t="s">
        <v>57</v>
      </c>
      <c r="E2429" t="s">
        <v>40</v>
      </c>
      <c r="F2429" t="s">
        <v>65</v>
      </c>
      <c r="G2429" t="s">
        <v>24</v>
      </c>
      <c r="H2429" t="s">
        <v>34</v>
      </c>
      <c r="I2429" t="s">
        <v>68</v>
      </c>
      <c r="J2429" t="s">
        <v>60</v>
      </c>
      <c r="K2429">
        <v>13</v>
      </c>
      <c r="L2429">
        <v>106023</v>
      </c>
      <c r="M2429" t="s">
        <v>36</v>
      </c>
      <c r="N2429">
        <v>2</v>
      </c>
      <c r="O2429">
        <v>1</v>
      </c>
      <c r="P2429">
        <v>32</v>
      </c>
      <c r="Q2429">
        <v>3</v>
      </c>
      <c r="R2429" s="1">
        <v>40464</v>
      </c>
      <c r="S2429" t="s">
        <v>29</v>
      </c>
      <c r="T2429" t="str">
        <f t="shared" si="185"/>
        <v>Grade A</v>
      </c>
      <c r="U2429">
        <f t="shared" si="186"/>
        <v>1</v>
      </c>
      <c r="V2429" t="str">
        <f t="shared" si="187"/>
        <v>Senior</v>
      </c>
      <c r="W2429" t="str">
        <f t="shared" si="188"/>
        <v>Medium Risk</v>
      </c>
      <c r="X2429" t="str">
        <f t="shared" si="189"/>
        <v>Overpaid</v>
      </c>
    </row>
    <row r="2430" spans="1:24" x14ac:dyDescent="0.3">
      <c r="A2430" t="s">
        <v>2498</v>
      </c>
      <c r="B2430" t="s">
        <v>20</v>
      </c>
      <c r="C2430">
        <v>24</v>
      </c>
      <c r="D2430" t="s">
        <v>47</v>
      </c>
      <c r="E2430" t="s">
        <v>22</v>
      </c>
      <c r="F2430" t="s">
        <v>32</v>
      </c>
      <c r="G2430" t="s">
        <v>49</v>
      </c>
      <c r="H2430" t="s">
        <v>25</v>
      </c>
      <c r="I2430" t="s">
        <v>72</v>
      </c>
      <c r="J2430" t="s">
        <v>73</v>
      </c>
      <c r="K2430">
        <v>9</v>
      </c>
      <c r="L2430">
        <v>77901</v>
      </c>
      <c r="M2430" t="s">
        <v>51</v>
      </c>
      <c r="N2430">
        <v>1</v>
      </c>
      <c r="O2430">
        <v>1</v>
      </c>
      <c r="P2430">
        <v>68</v>
      </c>
      <c r="Q2430">
        <v>3</v>
      </c>
      <c r="R2430" s="1">
        <v>41834</v>
      </c>
      <c r="S2430" t="s">
        <v>29</v>
      </c>
      <c r="T2430" t="str">
        <f t="shared" si="185"/>
        <v>Grade B</v>
      </c>
      <c r="U2430">
        <f t="shared" si="186"/>
        <v>4</v>
      </c>
      <c r="V2430" t="str">
        <f t="shared" si="187"/>
        <v>Mid Level</v>
      </c>
      <c r="W2430" t="str">
        <f t="shared" si="188"/>
        <v>Low Risk</v>
      </c>
      <c r="X2430" t="str">
        <f t="shared" si="189"/>
        <v>Fair</v>
      </c>
    </row>
    <row r="2431" spans="1:24" x14ac:dyDescent="0.3">
      <c r="A2431" t="s">
        <v>2499</v>
      </c>
      <c r="B2431" t="s">
        <v>20</v>
      </c>
      <c r="C2431">
        <v>40</v>
      </c>
      <c r="D2431" t="s">
        <v>31</v>
      </c>
      <c r="E2431" t="s">
        <v>48</v>
      </c>
      <c r="F2431" t="s">
        <v>23</v>
      </c>
      <c r="G2431" t="s">
        <v>42</v>
      </c>
      <c r="H2431" t="s">
        <v>76</v>
      </c>
      <c r="I2431" t="s">
        <v>26</v>
      </c>
      <c r="J2431" t="s">
        <v>27</v>
      </c>
      <c r="K2431">
        <v>10</v>
      </c>
      <c r="L2431">
        <v>116890</v>
      </c>
      <c r="M2431" t="s">
        <v>28</v>
      </c>
      <c r="N2431">
        <v>2</v>
      </c>
      <c r="O2431">
        <v>3</v>
      </c>
      <c r="P2431">
        <v>37</v>
      </c>
      <c r="Q2431">
        <v>2</v>
      </c>
      <c r="R2431" s="1">
        <v>41574</v>
      </c>
      <c r="S2431" t="s">
        <v>37</v>
      </c>
      <c r="T2431" t="str">
        <f t="shared" si="185"/>
        <v>Grade A</v>
      </c>
      <c r="U2431">
        <f t="shared" si="186"/>
        <v>3</v>
      </c>
      <c r="V2431" t="str">
        <f t="shared" si="187"/>
        <v>Mid Level</v>
      </c>
      <c r="W2431" t="str">
        <f t="shared" si="188"/>
        <v>Already Left</v>
      </c>
      <c r="X2431" t="str">
        <f t="shared" si="189"/>
        <v>Competitive</v>
      </c>
    </row>
    <row r="2432" spans="1:24" x14ac:dyDescent="0.3">
      <c r="A2432" t="s">
        <v>2500</v>
      </c>
      <c r="B2432" t="s">
        <v>39</v>
      </c>
      <c r="C2432">
        <v>55</v>
      </c>
      <c r="D2432" t="s">
        <v>57</v>
      </c>
      <c r="E2432" t="s">
        <v>40</v>
      </c>
      <c r="F2432" t="s">
        <v>62</v>
      </c>
      <c r="G2432" t="s">
        <v>49</v>
      </c>
      <c r="H2432" t="s">
        <v>67</v>
      </c>
      <c r="I2432" t="s">
        <v>26</v>
      </c>
      <c r="J2432" t="s">
        <v>27</v>
      </c>
      <c r="K2432">
        <v>1</v>
      </c>
      <c r="L2432">
        <v>48103</v>
      </c>
      <c r="M2432" t="s">
        <v>51</v>
      </c>
      <c r="N2432">
        <v>4</v>
      </c>
      <c r="O2432">
        <v>4</v>
      </c>
      <c r="P2432">
        <v>16</v>
      </c>
      <c r="Q2432">
        <v>3</v>
      </c>
      <c r="R2432" s="1">
        <v>44569</v>
      </c>
      <c r="S2432" t="s">
        <v>29</v>
      </c>
      <c r="T2432" t="str">
        <f t="shared" si="185"/>
        <v>Grade C</v>
      </c>
      <c r="U2432">
        <f t="shared" si="186"/>
        <v>4</v>
      </c>
      <c r="V2432" t="str">
        <f t="shared" si="187"/>
        <v>New Joiner</v>
      </c>
      <c r="W2432" t="str">
        <f t="shared" si="188"/>
        <v>Low Risk</v>
      </c>
      <c r="X2432" t="str">
        <f t="shared" si="189"/>
        <v>Fair</v>
      </c>
    </row>
    <row r="2433" spans="1:24" x14ac:dyDescent="0.3">
      <c r="A2433" t="s">
        <v>2501</v>
      </c>
      <c r="B2433" t="s">
        <v>39</v>
      </c>
      <c r="C2433">
        <v>40</v>
      </c>
      <c r="D2433" t="s">
        <v>21</v>
      </c>
      <c r="E2433" t="s">
        <v>40</v>
      </c>
      <c r="F2433" t="s">
        <v>78</v>
      </c>
      <c r="G2433" t="s">
        <v>24</v>
      </c>
      <c r="H2433" t="s">
        <v>25</v>
      </c>
      <c r="I2433" t="s">
        <v>43</v>
      </c>
      <c r="J2433" t="s">
        <v>44</v>
      </c>
      <c r="K2433">
        <v>8</v>
      </c>
      <c r="L2433">
        <v>82695</v>
      </c>
      <c r="M2433" t="s">
        <v>36</v>
      </c>
      <c r="N2433">
        <v>2</v>
      </c>
      <c r="O2433">
        <v>3</v>
      </c>
      <c r="P2433">
        <v>41</v>
      </c>
      <c r="Q2433">
        <v>3</v>
      </c>
      <c r="R2433" s="1">
        <v>42034</v>
      </c>
      <c r="S2433" t="s">
        <v>37</v>
      </c>
      <c r="T2433" t="str">
        <f t="shared" si="185"/>
        <v>Grade A</v>
      </c>
      <c r="U2433">
        <f t="shared" si="186"/>
        <v>1</v>
      </c>
      <c r="V2433" t="str">
        <f t="shared" si="187"/>
        <v>Mid Level</v>
      </c>
      <c r="W2433" t="str">
        <f t="shared" si="188"/>
        <v>Already Left</v>
      </c>
      <c r="X2433" t="str">
        <f t="shared" si="189"/>
        <v>Overpaid</v>
      </c>
    </row>
    <row r="2434" spans="1:24" x14ac:dyDescent="0.3">
      <c r="A2434" t="s">
        <v>2502</v>
      </c>
      <c r="B2434" t="s">
        <v>20</v>
      </c>
      <c r="C2434">
        <v>44</v>
      </c>
      <c r="D2434" t="s">
        <v>47</v>
      </c>
      <c r="E2434" t="s">
        <v>22</v>
      </c>
      <c r="F2434" t="s">
        <v>53</v>
      </c>
      <c r="G2434" t="s">
        <v>79</v>
      </c>
      <c r="H2434" t="s">
        <v>76</v>
      </c>
      <c r="I2434" t="s">
        <v>35</v>
      </c>
      <c r="J2434" t="s">
        <v>27</v>
      </c>
      <c r="K2434">
        <v>13</v>
      </c>
      <c r="L2434">
        <v>73899</v>
      </c>
      <c r="M2434" t="s">
        <v>51</v>
      </c>
      <c r="N2434">
        <v>3</v>
      </c>
      <c r="O2434">
        <v>2</v>
      </c>
      <c r="P2434">
        <v>27</v>
      </c>
      <c r="Q2434">
        <v>2</v>
      </c>
      <c r="R2434" s="1">
        <v>40307</v>
      </c>
      <c r="S2434" t="s">
        <v>29</v>
      </c>
      <c r="T2434" t="str">
        <f t="shared" ref="T2434:T2497" si="190">IF(L2434&gt;=80000,"Grade A",IF(L2434&gt;=50000,"Grade B",IF(L2434&gt;=35000,"Grade C","Grade D")))</f>
        <v>Grade B</v>
      </c>
      <c r="U2434">
        <f t="shared" ref="U2434:U2497" si="191">IF(M2434="Excellent",4,IF(M2434="Good",3,IF(M2434="Average",2,1)))</f>
        <v>4</v>
      </c>
      <c r="V2434" t="str">
        <f t="shared" ref="V2434:V2497" si="192">IF(K2434&lt;=2,"New Joiner",IF(K2434&lt;=5,"Junior",IF(K2434&lt;=10,"Mid Level","Senior")))</f>
        <v>Senior</v>
      </c>
      <c r="W2434" t="str">
        <f t="shared" ref="W2434:W2497" si="193">IF(S2434="Yes","Already Left",IF(AND(K2434&lt;=2,M2434="Poor"),"High Risk",IF(AND(K2434&lt;=5,M2434="Average"),"Medium Risk",IF(M2434="Excellent","Low Risk","Medium Risk"))))</f>
        <v>Low Risk</v>
      </c>
      <c r="X2434" t="str">
        <f t="shared" ref="X2434:X2497" si="194">IF(AND(L2434&gt;=80000,M2434="Excellent"),"Competitive",IF(AND(L2434&gt;=50000,M2434="Good"),"Competitive",IF(AND(L2434&lt;35000,M2434="Excellent"),"Underpaid",IF(AND(L2434&gt;=80000,M2434="Poor"),"Overpaid","Fair"))))</f>
        <v>Fair</v>
      </c>
    </row>
    <row r="2435" spans="1:24" x14ac:dyDescent="0.3">
      <c r="A2435" t="s">
        <v>2503</v>
      </c>
      <c r="B2435" t="s">
        <v>20</v>
      </c>
      <c r="C2435">
        <v>50</v>
      </c>
      <c r="D2435" t="s">
        <v>47</v>
      </c>
      <c r="E2435" t="s">
        <v>48</v>
      </c>
      <c r="F2435" t="s">
        <v>32</v>
      </c>
      <c r="G2435" t="s">
        <v>42</v>
      </c>
      <c r="H2435" t="s">
        <v>34</v>
      </c>
      <c r="I2435" t="s">
        <v>59</v>
      </c>
      <c r="J2435" t="s">
        <v>60</v>
      </c>
      <c r="K2435">
        <v>3</v>
      </c>
      <c r="L2435">
        <v>95199</v>
      </c>
      <c r="M2435" t="s">
        <v>28</v>
      </c>
      <c r="N2435">
        <v>4</v>
      </c>
      <c r="O2435">
        <v>3</v>
      </c>
      <c r="P2435">
        <v>56</v>
      </c>
      <c r="Q2435">
        <v>3</v>
      </c>
      <c r="R2435" s="1">
        <v>43945</v>
      </c>
      <c r="S2435" t="s">
        <v>29</v>
      </c>
      <c r="T2435" t="str">
        <f t="shared" si="190"/>
        <v>Grade A</v>
      </c>
      <c r="U2435">
        <f t="shared" si="191"/>
        <v>3</v>
      </c>
      <c r="V2435" t="str">
        <f t="shared" si="192"/>
        <v>Junior</v>
      </c>
      <c r="W2435" t="str">
        <f t="shared" si="193"/>
        <v>Medium Risk</v>
      </c>
      <c r="X2435" t="str">
        <f t="shared" si="194"/>
        <v>Competitive</v>
      </c>
    </row>
    <row r="2436" spans="1:24" x14ac:dyDescent="0.3">
      <c r="A2436" t="s">
        <v>2504</v>
      </c>
      <c r="B2436" t="s">
        <v>20</v>
      </c>
      <c r="C2436">
        <v>55</v>
      </c>
      <c r="D2436" t="s">
        <v>31</v>
      </c>
      <c r="E2436" t="s">
        <v>48</v>
      </c>
      <c r="F2436" t="s">
        <v>23</v>
      </c>
      <c r="G2436" t="s">
        <v>66</v>
      </c>
      <c r="H2436" t="s">
        <v>67</v>
      </c>
      <c r="I2436" t="s">
        <v>72</v>
      </c>
      <c r="J2436" t="s">
        <v>73</v>
      </c>
      <c r="K2436">
        <v>11</v>
      </c>
      <c r="L2436">
        <v>53117</v>
      </c>
      <c r="M2436" t="s">
        <v>51</v>
      </c>
      <c r="N2436">
        <v>1</v>
      </c>
      <c r="O2436">
        <v>2</v>
      </c>
      <c r="P2436">
        <v>58</v>
      </c>
      <c r="Q2436">
        <v>1</v>
      </c>
      <c r="R2436" s="1">
        <v>41226</v>
      </c>
      <c r="S2436" t="s">
        <v>37</v>
      </c>
      <c r="T2436" t="str">
        <f t="shared" si="190"/>
        <v>Grade B</v>
      </c>
      <c r="U2436">
        <f t="shared" si="191"/>
        <v>4</v>
      </c>
      <c r="V2436" t="str">
        <f t="shared" si="192"/>
        <v>Senior</v>
      </c>
      <c r="W2436" t="str">
        <f t="shared" si="193"/>
        <v>Already Left</v>
      </c>
      <c r="X2436" t="str">
        <f t="shared" si="194"/>
        <v>Fair</v>
      </c>
    </row>
    <row r="2437" spans="1:24" x14ac:dyDescent="0.3">
      <c r="A2437" t="s">
        <v>2505</v>
      </c>
      <c r="B2437" t="s">
        <v>39</v>
      </c>
      <c r="C2437">
        <v>40</v>
      </c>
      <c r="D2437" t="s">
        <v>57</v>
      </c>
      <c r="E2437" t="s">
        <v>48</v>
      </c>
      <c r="F2437" t="s">
        <v>32</v>
      </c>
      <c r="G2437" t="s">
        <v>33</v>
      </c>
      <c r="H2437" t="s">
        <v>34</v>
      </c>
      <c r="I2437" t="s">
        <v>35</v>
      </c>
      <c r="J2437" t="s">
        <v>27</v>
      </c>
      <c r="K2437">
        <v>12</v>
      </c>
      <c r="L2437">
        <v>91760</v>
      </c>
      <c r="M2437" t="s">
        <v>36</v>
      </c>
      <c r="N2437">
        <v>2</v>
      </c>
      <c r="O2437">
        <v>3</v>
      </c>
      <c r="P2437">
        <v>74</v>
      </c>
      <c r="Q2437">
        <v>2</v>
      </c>
      <c r="R2437" s="1">
        <v>40822</v>
      </c>
      <c r="S2437" t="s">
        <v>37</v>
      </c>
      <c r="T2437" t="str">
        <f t="shared" si="190"/>
        <v>Grade A</v>
      </c>
      <c r="U2437">
        <f t="shared" si="191"/>
        <v>1</v>
      </c>
      <c r="V2437" t="str">
        <f t="shared" si="192"/>
        <v>Senior</v>
      </c>
      <c r="W2437" t="str">
        <f t="shared" si="193"/>
        <v>Already Left</v>
      </c>
      <c r="X2437" t="str">
        <f t="shared" si="194"/>
        <v>Overpaid</v>
      </c>
    </row>
    <row r="2438" spans="1:24" x14ac:dyDescent="0.3">
      <c r="A2438" t="s">
        <v>2506</v>
      </c>
      <c r="B2438" t="s">
        <v>39</v>
      </c>
      <c r="C2438">
        <v>30</v>
      </c>
      <c r="D2438" t="s">
        <v>21</v>
      </c>
      <c r="E2438" t="s">
        <v>22</v>
      </c>
      <c r="F2438" t="s">
        <v>78</v>
      </c>
      <c r="G2438" t="s">
        <v>49</v>
      </c>
      <c r="H2438" t="s">
        <v>83</v>
      </c>
      <c r="I2438" t="s">
        <v>96</v>
      </c>
      <c r="J2438" t="s">
        <v>44</v>
      </c>
      <c r="K2438">
        <v>10</v>
      </c>
      <c r="L2438">
        <v>79324</v>
      </c>
      <c r="M2438" t="s">
        <v>36</v>
      </c>
      <c r="N2438">
        <v>3</v>
      </c>
      <c r="O2438">
        <v>3</v>
      </c>
      <c r="P2438">
        <v>62</v>
      </c>
      <c r="Q2438">
        <v>0</v>
      </c>
      <c r="R2438" s="1">
        <v>41468</v>
      </c>
      <c r="S2438" t="s">
        <v>29</v>
      </c>
      <c r="T2438" t="str">
        <f t="shared" si="190"/>
        <v>Grade B</v>
      </c>
      <c r="U2438">
        <f t="shared" si="191"/>
        <v>1</v>
      </c>
      <c r="V2438" t="str">
        <f t="shared" si="192"/>
        <v>Mid Level</v>
      </c>
      <c r="W2438" t="str">
        <f t="shared" si="193"/>
        <v>Medium Risk</v>
      </c>
      <c r="X2438" t="str">
        <f t="shared" si="194"/>
        <v>Fair</v>
      </c>
    </row>
    <row r="2439" spans="1:24" x14ac:dyDescent="0.3">
      <c r="A2439" t="s">
        <v>2507</v>
      </c>
      <c r="B2439" t="s">
        <v>39</v>
      </c>
      <c r="C2439">
        <v>55</v>
      </c>
      <c r="D2439" t="s">
        <v>88</v>
      </c>
      <c r="E2439" t="s">
        <v>40</v>
      </c>
      <c r="F2439" t="s">
        <v>78</v>
      </c>
      <c r="G2439" t="s">
        <v>33</v>
      </c>
      <c r="H2439" t="s">
        <v>34</v>
      </c>
      <c r="I2439" t="s">
        <v>43</v>
      </c>
      <c r="J2439" t="s">
        <v>44</v>
      </c>
      <c r="K2439">
        <v>7</v>
      </c>
      <c r="L2439">
        <v>78819</v>
      </c>
      <c r="M2439" t="s">
        <v>45</v>
      </c>
      <c r="N2439">
        <v>4</v>
      </c>
      <c r="O2439">
        <v>2</v>
      </c>
      <c r="P2439">
        <v>63</v>
      </c>
      <c r="Q2439">
        <v>0</v>
      </c>
      <c r="R2439" s="1">
        <v>42397</v>
      </c>
      <c r="S2439" t="s">
        <v>29</v>
      </c>
      <c r="T2439" t="str">
        <f t="shared" si="190"/>
        <v>Grade B</v>
      </c>
      <c r="U2439">
        <f t="shared" si="191"/>
        <v>2</v>
      </c>
      <c r="V2439" t="str">
        <f t="shared" si="192"/>
        <v>Mid Level</v>
      </c>
      <c r="W2439" t="str">
        <f t="shared" si="193"/>
        <v>Medium Risk</v>
      </c>
      <c r="X2439" t="str">
        <f t="shared" si="194"/>
        <v>Fair</v>
      </c>
    </row>
    <row r="2440" spans="1:24" x14ac:dyDescent="0.3">
      <c r="A2440" t="s">
        <v>2508</v>
      </c>
      <c r="B2440" t="s">
        <v>39</v>
      </c>
      <c r="C2440">
        <v>29</v>
      </c>
      <c r="D2440" t="s">
        <v>88</v>
      </c>
      <c r="E2440" t="s">
        <v>48</v>
      </c>
      <c r="F2440" t="s">
        <v>65</v>
      </c>
      <c r="G2440" t="s">
        <v>66</v>
      </c>
      <c r="H2440" t="s">
        <v>34</v>
      </c>
      <c r="I2440" t="s">
        <v>59</v>
      </c>
      <c r="J2440" t="s">
        <v>60</v>
      </c>
      <c r="K2440">
        <v>13</v>
      </c>
      <c r="L2440">
        <v>70194</v>
      </c>
      <c r="M2440" t="s">
        <v>45</v>
      </c>
      <c r="N2440">
        <v>4</v>
      </c>
      <c r="O2440">
        <v>2</v>
      </c>
      <c r="P2440">
        <v>39</v>
      </c>
      <c r="Q2440">
        <v>2</v>
      </c>
      <c r="R2440" s="1">
        <v>40187</v>
      </c>
      <c r="S2440" t="s">
        <v>29</v>
      </c>
      <c r="T2440" t="str">
        <f t="shared" si="190"/>
        <v>Grade B</v>
      </c>
      <c r="U2440">
        <f t="shared" si="191"/>
        <v>2</v>
      </c>
      <c r="V2440" t="str">
        <f t="shared" si="192"/>
        <v>Senior</v>
      </c>
      <c r="W2440" t="str">
        <f t="shared" si="193"/>
        <v>Medium Risk</v>
      </c>
      <c r="X2440" t="str">
        <f t="shared" si="194"/>
        <v>Fair</v>
      </c>
    </row>
    <row r="2441" spans="1:24" x14ac:dyDescent="0.3">
      <c r="A2441" t="s">
        <v>2509</v>
      </c>
      <c r="B2441" t="s">
        <v>20</v>
      </c>
      <c r="C2441">
        <v>30</v>
      </c>
      <c r="D2441" t="s">
        <v>57</v>
      </c>
      <c r="E2441" t="s">
        <v>40</v>
      </c>
      <c r="F2441" t="s">
        <v>41</v>
      </c>
      <c r="G2441" t="s">
        <v>49</v>
      </c>
      <c r="H2441" t="s">
        <v>34</v>
      </c>
      <c r="I2441" t="s">
        <v>50</v>
      </c>
      <c r="J2441" t="s">
        <v>44</v>
      </c>
      <c r="K2441">
        <v>8</v>
      </c>
      <c r="L2441">
        <v>72198</v>
      </c>
      <c r="M2441" t="s">
        <v>45</v>
      </c>
      <c r="N2441">
        <v>2</v>
      </c>
      <c r="O2441">
        <v>4</v>
      </c>
      <c r="P2441">
        <v>55</v>
      </c>
      <c r="Q2441">
        <v>2</v>
      </c>
      <c r="R2441" s="1">
        <v>42080</v>
      </c>
      <c r="S2441" t="s">
        <v>29</v>
      </c>
      <c r="T2441" t="str">
        <f t="shared" si="190"/>
        <v>Grade B</v>
      </c>
      <c r="U2441">
        <f t="shared" si="191"/>
        <v>2</v>
      </c>
      <c r="V2441" t="str">
        <f t="shared" si="192"/>
        <v>Mid Level</v>
      </c>
      <c r="W2441" t="str">
        <f t="shared" si="193"/>
        <v>Medium Risk</v>
      </c>
      <c r="X2441" t="str">
        <f t="shared" si="194"/>
        <v>Fair</v>
      </c>
    </row>
    <row r="2442" spans="1:24" x14ac:dyDescent="0.3">
      <c r="A2442" t="s">
        <v>2510</v>
      </c>
      <c r="B2442" t="s">
        <v>39</v>
      </c>
      <c r="C2442">
        <v>24</v>
      </c>
      <c r="D2442" t="s">
        <v>88</v>
      </c>
      <c r="E2442" t="s">
        <v>40</v>
      </c>
      <c r="F2442" t="s">
        <v>78</v>
      </c>
      <c r="G2442" t="s">
        <v>33</v>
      </c>
      <c r="H2442" t="s">
        <v>76</v>
      </c>
      <c r="I2442" t="s">
        <v>54</v>
      </c>
      <c r="J2442" t="s">
        <v>27</v>
      </c>
      <c r="K2442">
        <v>12</v>
      </c>
      <c r="L2442">
        <v>92152</v>
      </c>
      <c r="M2442" t="s">
        <v>51</v>
      </c>
      <c r="N2442">
        <v>1</v>
      </c>
      <c r="O2442">
        <v>1</v>
      </c>
      <c r="P2442">
        <v>13</v>
      </c>
      <c r="Q2442">
        <v>0</v>
      </c>
      <c r="R2442" s="1">
        <v>40843</v>
      </c>
      <c r="S2442" t="s">
        <v>29</v>
      </c>
      <c r="T2442" t="str">
        <f t="shared" si="190"/>
        <v>Grade A</v>
      </c>
      <c r="U2442">
        <f t="shared" si="191"/>
        <v>4</v>
      </c>
      <c r="V2442" t="str">
        <f t="shared" si="192"/>
        <v>Senior</v>
      </c>
      <c r="W2442" t="str">
        <f t="shared" si="193"/>
        <v>Low Risk</v>
      </c>
      <c r="X2442" t="str">
        <f t="shared" si="194"/>
        <v>Competitive</v>
      </c>
    </row>
    <row r="2443" spans="1:24" x14ac:dyDescent="0.3">
      <c r="A2443" t="s">
        <v>2511</v>
      </c>
      <c r="B2443" t="s">
        <v>20</v>
      </c>
      <c r="C2443">
        <v>27</v>
      </c>
      <c r="D2443" t="s">
        <v>31</v>
      </c>
      <c r="E2443" t="s">
        <v>48</v>
      </c>
      <c r="F2443" t="s">
        <v>53</v>
      </c>
      <c r="G2443" t="s">
        <v>63</v>
      </c>
      <c r="H2443" t="s">
        <v>34</v>
      </c>
      <c r="I2443" t="s">
        <v>80</v>
      </c>
      <c r="J2443" t="s">
        <v>60</v>
      </c>
      <c r="K2443">
        <v>11</v>
      </c>
      <c r="L2443">
        <v>76534</v>
      </c>
      <c r="M2443" t="s">
        <v>36</v>
      </c>
      <c r="N2443">
        <v>3</v>
      </c>
      <c r="O2443">
        <v>3</v>
      </c>
      <c r="P2443">
        <v>23</v>
      </c>
      <c r="Q2443">
        <v>2</v>
      </c>
      <c r="R2443" s="1">
        <v>41184</v>
      </c>
      <c r="S2443" t="s">
        <v>37</v>
      </c>
      <c r="T2443" t="str">
        <f t="shared" si="190"/>
        <v>Grade B</v>
      </c>
      <c r="U2443">
        <f t="shared" si="191"/>
        <v>1</v>
      </c>
      <c r="V2443" t="str">
        <f t="shared" si="192"/>
        <v>Senior</v>
      </c>
      <c r="W2443" t="str">
        <f t="shared" si="193"/>
        <v>Already Left</v>
      </c>
      <c r="X2443" t="str">
        <f t="shared" si="194"/>
        <v>Fair</v>
      </c>
    </row>
    <row r="2444" spans="1:24" x14ac:dyDescent="0.3">
      <c r="A2444" t="s">
        <v>2512</v>
      </c>
      <c r="B2444" t="s">
        <v>20</v>
      </c>
      <c r="C2444">
        <v>44</v>
      </c>
      <c r="D2444" t="s">
        <v>88</v>
      </c>
      <c r="E2444" t="s">
        <v>40</v>
      </c>
      <c r="F2444" t="s">
        <v>23</v>
      </c>
      <c r="G2444" t="s">
        <v>79</v>
      </c>
      <c r="H2444" t="s">
        <v>34</v>
      </c>
      <c r="I2444" t="s">
        <v>54</v>
      </c>
      <c r="J2444" t="s">
        <v>27</v>
      </c>
      <c r="K2444">
        <v>8</v>
      </c>
      <c r="L2444">
        <v>46459</v>
      </c>
      <c r="M2444" t="s">
        <v>36</v>
      </c>
      <c r="N2444">
        <v>4</v>
      </c>
      <c r="O2444">
        <v>2</v>
      </c>
      <c r="P2444">
        <v>44</v>
      </c>
      <c r="Q2444">
        <v>1</v>
      </c>
      <c r="R2444" s="1">
        <v>42372</v>
      </c>
      <c r="S2444" t="s">
        <v>37</v>
      </c>
      <c r="T2444" t="str">
        <f t="shared" si="190"/>
        <v>Grade C</v>
      </c>
      <c r="U2444">
        <f t="shared" si="191"/>
        <v>1</v>
      </c>
      <c r="V2444" t="str">
        <f t="shared" si="192"/>
        <v>Mid Level</v>
      </c>
      <c r="W2444" t="str">
        <f t="shared" si="193"/>
        <v>Already Left</v>
      </c>
      <c r="X2444" t="str">
        <f t="shared" si="194"/>
        <v>Fair</v>
      </c>
    </row>
    <row r="2445" spans="1:24" x14ac:dyDescent="0.3">
      <c r="A2445" t="s">
        <v>2513</v>
      </c>
      <c r="B2445" t="s">
        <v>39</v>
      </c>
      <c r="C2445">
        <v>24</v>
      </c>
      <c r="D2445" t="s">
        <v>31</v>
      </c>
      <c r="E2445" t="s">
        <v>22</v>
      </c>
      <c r="F2445" t="s">
        <v>78</v>
      </c>
      <c r="G2445" t="s">
        <v>66</v>
      </c>
      <c r="H2445" t="s">
        <v>25</v>
      </c>
      <c r="I2445" t="s">
        <v>68</v>
      </c>
      <c r="J2445" t="s">
        <v>60</v>
      </c>
      <c r="K2445">
        <v>7</v>
      </c>
      <c r="L2445">
        <v>43210</v>
      </c>
      <c r="M2445" t="s">
        <v>36</v>
      </c>
      <c r="N2445">
        <v>4</v>
      </c>
      <c r="O2445">
        <v>1</v>
      </c>
      <c r="P2445">
        <v>69</v>
      </c>
      <c r="Q2445">
        <v>1</v>
      </c>
      <c r="R2445" s="1">
        <v>42473</v>
      </c>
      <c r="S2445" t="s">
        <v>37</v>
      </c>
      <c r="T2445" t="str">
        <f t="shared" si="190"/>
        <v>Grade C</v>
      </c>
      <c r="U2445">
        <f t="shared" si="191"/>
        <v>1</v>
      </c>
      <c r="V2445" t="str">
        <f t="shared" si="192"/>
        <v>Mid Level</v>
      </c>
      <c r="W2445" t="str">
        <f t="shared" si="193"/>
        <v>Already Left</v>
      </c>
      <c r="X2445" t="str">
        <f t="shared" si="194"/>
        <v>Fair</v>
      </c>
    </row>
    <row r="2446" spans="1:24" x14ac:dyDescent="0.3">
      <c r="A2446" t="s">
        <v>2514</v>
      </c>
      <c r="B2446" t="s">
        <v>39</v>
      </c>
      <c r="C2446">
        <v>49</v>
      </c>
      <c r="D2446" t="s">
        <v>57</v>
      </c>
      <c r="E2446" t="s">
        <v>48</v>
      </c>
      <c r="F2446" t="s">
        <v>41</v>
      </c>
      <c r="G2446" t="s">
        <v>42</v>
      </c>
      <c r="H2446" t="s">
        <v>67</v>
      </c>
      <c r="I2446" t="s">
        <v>72</v>
      </c>
      <c r="J2446" t="s">
        <v>73</v>
      </c>
      <c r="K2446">
        <v>14</v>
      </c>
      <c r="L2446">
        <v>119739</v>
      </c>
      <c r="M2446" t="s">
        <v>28</v>
      </c>
      <c r="N2446">
        <v>4</v>
      </c>
      <c r="O2446">
        <v>4</v>
      </c>
      <c r="P2446">
        <v>73</v>
      </c>
      <c r="Q2446">
        <v>3</v>
      </c>
      <c r="R2446" s="1">
        <v>40015</v>
      </c>
      <c r="S2446" t="s">
        <v>29</v>
      </c>
      <c r="T2446" t="str">
        <f t="shared" si="190"/>
        <v>Grade A</v>
      </c>
      <c r="U2446">
        <f t="shared" si="191"/>
        <v>3</v>
      </c>
      <c r="V2446" t="str">
        <f t="shared" si="192"/>
        <v>Senior</v>
      </c>
      <c r="W2446" t="str">
        <f t="shared" si="193"/>
        <v>Medium Risk</v>
      </c>
      <c r="X2446" t="str">
        <f t="shared" si="194"/>
        <v>Competitive</v>
      </c>
    </row>
    <row r="2447" spans="1:24" x14ac:dyDescent="0.3">
      <c r="A2447" t="s">
        <v>2515</v>
      </c>
      <c r="B2447" t="s">
        <v>39</v>
      </c>
      <c r="C2447">
        <v>26</v>
      </c>
      <c r="D2447" t="s">
        <v>21</v>
      </c>
      <c r="E2447" t="s">
        <v>48</v>
      </c>
      <c r="F2447" t="s">
        <v>62</v>
      </c>
      <c r="G2447" t="s">
        <v>66</v>
      </c>
      <c r="H2447" t="s">
        <v>67</v>
      </c>
      <c r="I2447" t="s">
        <v>59</v>
      </c>
      <c r="J2447" t="s">
        <v>60</v>
      </c>
      <c r="K2447">
        <v>13</v>
      </c>
      <c r="L2447">
        <v>68433</v>
      </c>
      <c r="M2447" t="s">
        <v>36</v>
      </c>
      <c r="N2447">
        <v>4</v>
      </c>
      <c r="O2447">
        <v>1</v>
      </c>
      <c r="P2447">
        <v>42</v>
      </c>
      <c r="Q2447">
        <v>0</v>
      </c>
      <c r="R2447" s="1">
        <v>40523</v>
      </c>
      <c r="S2447" t="s">
        <v>37</v>
      </c>
      <c r="T2447" t="str">
        <f t="shared" si="190"/>
        <v>Grade B</v>
      </c>
      <c r="U2447">
        <f t="shared" si="191"/>
        <v>1</v>
      </c>
      <c r="V2447" t="str">
        <f t="shared" si="192"/>
        <v>Senior</v>
      </c>
      <c r="W2447" t="str">
        <f t="shared" si="193"/>
        <v>Already Left</v>
      </c>
      <c r="X2447" t="str">
        <f t="shared" si="194"/>
        <v>Fair</v>
      </c>
    </row>
    <row r="2448" spans="1:24" x14ac:dyDescent="0.3">
      <c r="A2448" t="s">
        <v>2516</v>
      </c>
      <c r="B2448" t="s">
        <v>39</v>
      </c>
      <c r="C2448">
        <v>52</v>
      </c>
      <c r="D2448" t="s">
        <v>31</v>
      </c>
      <c r="E2448" t="s">
        <v>48</v>
      </c>
      <c r="F2448" t="s">
        <v>78</v>
      </c>
      <c r="G2448" t="s">
        <v>58</v>
      </c>
      <c r="H2448" t="s">
        <v>83</v>
      </c>
      <c r="I2448" t="s">
        <v>96</v>
      </c>
      <c r="J2448" t="s">
        <v>44</v>
      </c>
      <c r="K2448">
        <v>14</v>
      </c>
      <c r="L2448">
        <v>116531</v>
      </c>
      <c r="M2448" t="s">
        <v>28</v>
      </c>
      <c r="N2448">
        <v>4</v>
      </c>
      <c r="O2448">
        <v>4</v>
      </c>
      <c r="P2448">
        <v>73</v>
      </c>
      <c r="Q2448">
        <v>2</v>
      </c>
      <c r="R2448" s="1">
        <v>39844</v>
      </c>
      <c r="S2448" t="s">
        <v>37</v>
      </c>
      <c r="T2448" t="str">
        <f t="shared" si="190"/>
        <v>Grade A</v>
      </c>
      <c r="U2448">
        <f t="shared" si="191"/>
        <v>3</v>
      </c>
      <c r="V2448" t="str">
        <f t="shared" si="192"/>
        <v>Senior</v>
      </c>
      <c r="W2448" t="str">
        <f t="shared" si="193"/>
        <v>Already Left</v>
      </c>
      <c r="X2448" t="str">
        <f t="shared" si="194"/>
        <v>Competitive</v>
      </c>
    </row>
    <row r="2449" spans="1:24" x14ac:dyDescent="0.3">
      <c r="A2449" t="s">
        <v>2517</v>
      </c>
      <c r="B2449" t="s">
        <v>20</v>
      </c>
      <c r="C2449">
        <v>54</v>
      </c>
      <c r="D2449" t="s">
        <v>47</v>
      </c>
      <c r="E2449" t="s">
        <v>40</v>
      </c>
      <c r="F2449" t="s">
        <v>53</v>
      </c>
      <c r="G2449" t="s">
        <v>24</v>
      </c>
      <c r="H2449" t="s">
        <v>83</v>
      </c>
      <c r="I2449" t="s">
        <v>96</v>
      </c>
      <c r="J2449" t="s">
        <v>44</v>
      </c>
      <c r="K2449">
        <v>2</v>
      </c>
      <c r="L2449">
        <v>78497</v>
      </c>
      <c r="M2449" t="s">
        <v>36</v>
      </c>
      <c r="N2449">
        <v>1</v>
      </c>
      <c r="O2449">
        <v>2</v>
      </c>
      <c r="P2449">
        <v>29</v>
      </c>
      <c r="Q2449">
        <v>2</v>
      </c>
      <c r="R2449" s="1">
        <v>44363</v>
      </c>
      <c r="S2449" t="s">
        <v>37</v>
      </c>
      <c r="T2449" t="str">
        <f t="shared" si="190"/>
        <v>Grade B</v>
      </c>
      <c r="U2449">
        <f t="shared" si="191"/>
        <v>1</v>
      </c>
      <c r="V2449" t="str">
        <f t="shared" si="192"/>
        <v>New Joiner</v>
      </c>
      <c r="W2449" t="str">
        <f t="shared" si="193"/>
        <v>Already Left</v>
      </c>
      <c r="X2449" t="str">
        <f t="shared" si="194"/>
        <v>Fair</v>
      </c>
    </row>
    <row r="2450" spans="1:24" x14ac:dyDescent="0.3">
      <c r="A2450" t="s">
        <v>2518</v>
      </c>
      <c r="B2450" t="s">
        <v>20</v>
      </c>
      <c r="C2450">
        <v>46</v>
      </c>
      <c r="D2450" t="s">
        <v>57</v>
      </c>
      <c r="E2450" t="s">
        <v>22</v>
      </c>
      <c r="F2450" t="s">
        <v>75</v>
      </c>
      <c r="G2450" t="s">
        <v>24</v>
      </c>
      <c r="H2450" t="s">
        <v>34</v>
      </c>
      <c r="I2450" t="s">
        <v>59</v>
      </c>
      <c r="J2450" t="s">
        <v>60</v>
      </c>
      <c r="K2450">
        <v>12</v>
      </c>
      <c r="L2450">
        <v>100875</v>
      </c>
      <c r="M2450" t="s">
        <v>45</v>
      </c>
      <c r="N2450">
        <v>3</v>
      </c>
      <c r="O2450">
        <v>1</v>
      </c>
      <c r="P2450">
        <v>70</v>
      </c>
      <c r="Q2450">
        <v>0</v>
      </c>
      <c r="R2450" s="1">
        <v>40640</v>
      </c>
      <c r="S2450" t="s">
        <v>29</v>
      </c>
      <c r="T2450" t="str">
        <f t="shared" si="190"/>
        <v>Grade A</v>
      </c>
      <c r="U2450">
        <f t="shared" si="191"/>
        <v>2</v>
      </c>
      <c r="V2450" t="str">
        <f t="shared" si="192"/>
        <v>Senior</v>
      </c>
      <c r="W2450" t="str">
        <f t="shared" si="193"/>
        <v>Medium Risk</v>
      </c>
      <c r="X2450" t="str">
        <f t="shared" si="194"/>
        <v>Fair</v>
      </c>
    </row>
    <row r="2451" spans="1:24" x14ac:dyDescent="0.3">
      <c r="A2451" t="s">
        <v>2519</v>
      </c>
      <c r="B2451" t="s">
        <v>20</v>
      </c>
      <c r="C2451">
        <v>26</v>
      </c>
      <c r="D2451" t="s">
        <v>47</v>
      </c>
      <c r="E2451" t="s">
        <v>40</v>
      </c>
      <c r="F2451" t="s">
        <v>78</v>
      </c>
      <c r="G2451" t="s">
        <v>42</v>
      </c>
      <c r="H2451" t="s">
        <v>67</v>
      </c>
      <c r="I2451" t="s">
        <v>50</v>
      </c>
      <c r="J2451" t="s">
        <v>44</v>
      </c>
      <c r="K2451">
        <v>11</v>
      </c>
      <c r="L2451">
        <v>122114</v>
      </c>
      <c r="M2451" t="s">
        <v>28</v>
      </c>
      <c r="N2451">
        <v>4</v>
      </c>
      <c r="O2451">
        <v>1</v>
      </c>
      <c r="P2451">
        <v>43</v>
      </c>
      <c r="Q2451">
        <v>1</v>
      </c>
      <c r="R2451" s="1">
        <v>41140</v>
      </c>
      <c r="S2451" t="s">
        <v>29</v>
      </c>
      <c r="T2451" t="str">
        <f t="shared" si="190"/>
        <v>Grade A</v>
      </c>
      <c r="U2451">
        <f t="shared" si="191"/>
        <v>3</v>
      </c>
      <c r="V2451" t="str">
        <f t="shared" si="192"/>
        <v>Senior</v>
      </c>
      <c r="W2451" t="str">
        <f t="shared" si="193"/>
        <v>Medium Risk</v>
      </c>
      <c r="X2451" t="str">
        <f t="shared" si="194"/>
        <v>Competitive</v>
      </c>
    </row>
    <row r="2452" spans="1:24" x14ac:dyDescent="0.3">
      <c r="A2452" t="s">
        <v>2520</v>
      </c>
      <c r="B2452" t="s">
        <v>20</v>
      </c>
      <c r="C2452">
        <v>36</v>
      </c>
      <c r="D2452" t="s">
        <v>88</v>
      </c>
      <c r="E2452" t="s">
        <v>22</v>
      </c>
      <c r="F2452" t="s">
        <v>32</v>
      </c>
      <c r="G2452" t="s">
        <v>33</v>
      </c>
      <c r="H2452" t="s">
        <v>83</v>
      </c>
      <c r="I2452" t="s">
        <v>43</v>
      </c>
      <c r="J2452" t="s">
        <v>44</v>
      </c>
      <c r="K2452">
        <v>3</v>
      </c>
      <c r="L2452">
        <v>66936</v>
      </c>
      <c r="M2452" t="s">
        <v>36</v>
      </c>
      <c r="N2452">
        <v>3</v>
      </c>
      <c r="O2452">
        <v>1</v>
      </c>
      <c r="P2452">
        <v>53</v>
      </c>
      <c r="Q2452">
        <v>3</v>
      </c>
      <c r="R2452" s="1">
        <v>44045</v>
      </c>
      <c r="S2452" t="s">
        <v>29</v>
      </c>
      <c r="T2452" t="str">
        <f t="shared" si="190"/>
        <v>Grade B</v>
      </c>
      <c r="U2452">
        <f t="shared" si="191"/>
        <v>1</v>
      </c>
      <c r="V2452" t="str">
        <f t="shared" si="192"/>
        <v>Junior</v>
      </c>
      <c r="W2452" t="str">
        <f t="shared" si="193"/>
        <v>Medium Risk</v>
      </c>
      <c r="X2452" t="str">
        <f t="shared" si="194"/>
        <v>Fair</v>
      </c>
    </row>
    <row r="2453" spans="1:24" x14ac:dyDescent="0.3">
      <c r="A2453" t="s">
        <v>2521</v>
      </c>
      <c r="B2453" t="s">
        <v>39</v>
      </c>
      <c r="C2453">
        <v>25</v>
      </c>
      <c r="D2453" t="s">
        <v>31</v>
      </c>
      <c r="E2453" t="s">
        <v>40</v>
      </c>
      <c r="F2453" t="s">
        <v>32</v>
      </c>
      <c r="G2453" t="s">
        <v>63</v>
      </c>
      <c r="H2453" t="s">
        <v>83</v>
      </c>
      <c r="I2453" t="s">
        <v>43</v>
      </c>
      <c r="J2453" t="s">
        <v>44</v>
      </c>
      <c r="K2453">
        <v>11</v>
      </c>
      <c r="L2453">
        <v>63581</v>
      </c>
      <c r="M2453" t="s">
        <v>51</v>
      </c>
      <c r="N2453">
        <v>1</v>
      </c>
      <c r="O2453">
        <v>4</v>
      </c>
      <c r="P2453">
        <v>43</v>
      </c>
      <c r="Q2453">
        <v>0</v>
      </c>
      <c r="R2453" s="1">
        <v>41203</v>
      </c>
      <c r="S2453" t="s">
        <v>29</v>
      </c>
      <c r="T2453" t="str">
        <f t="shared" si="190"/>
        <v>Grade B</v>
      </c>
      <c r="U2453">
        <f t="shared" si="191"/>
        <v>4</v>
      </c>
      <c r="V2453" t="str">
        <f t="shared" si="192"/>
        <v>Senior</v>
      </c>
      <c r="W2453" t="str">
        <f t="shared" si="193"/>
        <v>Low Risk</v>
      </c>
      <c r="X2453" t="str">
        <f t="shared" si="194"/>
        <v>Fair</v>
      </c>
    </row>
    <row r="2454" spans="1:24" x14ac:dyDescent="0.3">
      <c r="A2454" t="s">
        <v>2522</v>
      </c>
      <c r="B2454" t="s">
        <v>20</v>
      </c>
      <c r="C2454">
        <v>34</v>
      </c>
      <c r="D2454" t="s">
        <v>57</v>
      </c>
      <c r="E2454" t="s">
        <v>40</v>
      </c>
      <c r="F2454" t="s">
        <v>78</v>
      </c>
      <c r="G2454" t="s">
        <v>79</v>
      </c>
      <c r="H2454" t="s">
        <v>83</v>
      </c>
      <c r="I2454" t="s">
        <v>96</v>
      </c>
      <c r="J2454" t="s">
        <v>44</v>
      </c>
      <c r="K2454">
        <v>14</v>
      </c>
      <c r="L2454">
        <v>60962</v>
      </c>
      <c r="M2454" t="s">
        <v>45</v>
      </c>
      <c r="N2454">
        <v>2</v>
      </c>
      <c r="O2454">
        <v>4</v>
      </c>
      <c r="P2454">
        <v>56</v>
      </c>
      <c r="Q2454">
        <v>1</v>
      </c>
      <c r="R2454" s="1">
        <v>39848</v>
      </c>
      <c r="S2454" t="s">
        <v>29</v>
      </c>
      <c r="T2454" t="str">
        <f t="shared" si="190"/>
        <v>Grade B</v>
      </c>
      <c r="U2454">
        <f t="shared" si="191"/>
        <v>2</v>
      </c>
      <c r="V2454" t="str">
        <f t="shared" si="192"/>
        <v>Senior</v>
      </c>
      <c r="W2454" t="str">
        <f t="shared" si="193"/>
        <v>Medium Risk</v>
      </c>
      <c r="X2454" t="str">
        <f t="shared" si="194"/>
        <v>Fair</v>
      </c>
    </row>
    <row r="2455" spans="1:24" x14ac:dyDescent="0.3">
      <c r="A2455" t="s">
        <v>2523</v>
      </c>
      <c r="B2455" t="s">
        <v>39</v>
      </c>
      <c r="C2455">
        <v>43</v>
      </c>
      <c r="D2455" t="s">
        <v>31</v>
      </c>
      <c r="E2455" t="s">
        <v>48</v>
      </c>
      <c r="F2455" t="s">
        <v>53</v>
      </c>
      <c r="G2455" t="s">
        <v>63</v>
      </c>
      <c r="H2455" t="s">
        <v>34</v>
      </c>
      <c r="I2455" t="s">
        <v>96</v>
      </c>
      <c r="J2455" t="s">
        <v>44</v>
      </c>
      <c r="K2455">
        <v>10</v>
      </c>
      <c r="L2455">
        <v>69439</v>
      </c>
      <c r="M2455" t="s">
        <v>45</v>
      </c>
      <c r="N2455">
        <v>1</v>
      </c>
      <c r="O2455">
        <v>4</v>
      </c>
      <c r="P2455">
        <v>21</v>
      </c>
      <c r="Q2455">
        <v>1</v>
      </c>
      <c r="R2455" s="1">
        <v>41402</v>
      </c>
      <c r="S2455" t="s">
        <v>29</v>
      </c>
      <c r="T2455" t="str">
        <f t="shared" si="190"/>
        <v>Grade B</v>
      </c>
      <c r="U2455">
        <f t="shared" si="191"/>
        <v>2</v>
      </c>
      <c r="V2455" t="str">
        <f t="shared" si="192"/>
        <v>Mid Level</v>
      </c>
      <c r="W2455" t="str">
        <f t="shared" si="193"/>
        <v>Medium Risk</v>
      </c>
      <c r="X2455" t="str">
        <f t="shared" si="194"/>
        <v>Fair</v>
      </c>
    </row>
    <row r="2456" spans="1:24" x14ac:dyDescent="0.3">
      <c r="A2456" t="s">
        <v>2524</v>
      </c>
      <c r="B2456" t="s">
        <v>39</v>
      </c>
      <c r="C2456">
        <v>25</v>
      </c>
      <c r="D2456" t="s">
        <v>47</v>
      </c>
      <c r="E2456" t="s">
        <v>40</v>
      </c>
      <c r="F2456" t="s">
        <v>75</v>
      </c>
      <c r="G2456" t="s">
        <v>42</v>
      </c>
      <c r="H2456" t="s">
        <v>34</v>
      </c>
      <c r="I2456" t="s">
        <v>54</v>
      </c>
      <c r="J2456" t="s">
        <v>27</v>
      </c>
      <c r="K2456">
        <v>6</v>
      </c>
      <c r="L2456">
        <v>114992</v>
      </c>
      <c r="M2456" t="s">
        <v>51</v>
      </c>
      <c r="N2456">
        <v>2</v>
      </c>
      <c r="O2456">
        <v>2</v>
      </c>
      <c r="P2456">
        <v>23</v>
      </c>
      <c r="Q2456">
        <v>1</v>
      </c>
      <c r="R2456" s="1">
        <v>42858</v>
      </c>
      <c r="S2456" t="s">
        <v>29</v>
      </c>
      <c r="T2456" t="str">
        <f t="shared" si="190"/>
        <v>Grade A</v>
      </c>
      <c r="U2456">
        <f t="shared" si="191"/>
        <v>4</v>
      </c>
      <c r="V2456" t="str">
        <f t="shared" si="192"/>
        <v>Mid Level</v>
      </c>
      <c r="W2456" t="str">
        <f t="shared" si="193"/>
        <v>Low Risk</v>
      </c>
      <c r="X2456" t="str">
        <f t="shared" si="194"/>
        <v>Competitive</v>
      </c>
    </row>
    <row r="2457" spans="1:24" x14ac:dyDescent="0.3">
      <c r="A2457" t="s">
        <v>2525</v>
      </c>
      <c r="B2457" t="s">
        <v>39</v>
      </c>
      <c r="C2457">
        <v>37</v>
      </c>
      <c r="D2457" t="s">
        <v>57</v>
      </c>
      <c r="E2457" t="s">
        <v>40</v>
      </c>
      <c r="F2457" t="s">
        <v>75</v>
      </c>
      <c r="G2457" t="s">
        <v>42</v>
      </c>
      <c r="H2457" t="s">
        <v>34</v>
      </c>
      <c r="I2457" t="s">
        <v>68</v>
      </c>
      <c r="J2457" t="s">
        <v>60</v>
      </c>
      <c r="K2457">
        <v>8</v>
      </c>
      <c r="L2457">
        <v>114785</v>
      </c>
      <c r="M2457" t="s">
        <v>28</v>
      </c>
      <c r="N2457">
        <v>3</v>
      </c>
      <c r="O2457">
        <v>1</v>
      </c>
      <c r="P2457">
        <v>56</v>
      </c>
      <c r="Q2457">
        <v>3</v>
      </c>
      <c r="R2457" s="1">
        <v>42292</v>
      </c>
      <c r="S2457" t="s">
        <v>37</v>
      </c>
      <c r="T2457" t="str">
        <f t="shared" si="190"/>
        <v>Grade A</v>
      </c>
      <c r="U2457">
        <f t="shared" si="191"/>
        <v>3</v>
      </c>
      <c r="V2457" t="str">
        <f t="shared" si="192"/>
        <v>Mid Level</v>
      </c>
      <c r="W2457" t="str">
        <f t="shared" si="193"/>
        <v>Already Left</v>
      </c>
      <c r="X2457" t="str">
        <f t="shared" si="194"/>
        <v>Competitive</v>
      </c>
    </row>
    <row r="2458" spans="1:24" x14ac:dyDescent="0.3">
      <c r="A2458" t="s">
        <v>2526</v>
      </c>
      <c r="B2458" t="s">
        <v>20</v>
      </c>
      <c r="C2458">
        <v>48</v>
      </c>
      <c r="D2458" t="s">
        <v>21</v>
      </c>
      <c r="E2458" t="s">
        <v>48</v>
      </c>
      <c r="F2458" t="s">
        <v>41</v>
      </c>
      <c r="G2458" t="s">
        <v>42</v>
      </c>
      <c r="H2458" t="s">
        <v>67</v>
      </c>
      <c r="I2458" t="s">
        <v>96</v>
      </c>
      <c r="J2458" t="s">
        <v>44</v>
      </c>
      <c r="K2458">
        <v>9</v>
      </c>
      <c r="L2458">
        <v>108661</v>
      </c>
      <c r="M2458" t="s">
        <v>51</v>
      </c>
      <c r="N2458">
        <v>4</v>
      </c>
      <c r="O2458">
        <v>3</v>
      </c>
      <c r="P2458">
        <v>53</v>
      </c>
      <c r="Q2458">
        <v>1</v>
      </c>
      <c r="R2458" s="1">
        <v>41975</v>
      </c>
      <c r="S2458" t="s">
        <v>29</v>
      </c>
      <c r="T2458" t="str">
        <f t="shared" si="190"/>
        <v>Grade A</v>
      </c>
      <c r="U2458">
        <f t="shared" si="191"/>
        <v>4</v>
      </c>
      <c r="V2458" t="str">
        <f t="shared" si="192"/>
        <v>Mid Level</v>
      </c>
      <c r="W2458" t="str">
        <f t="shared" si="193"/>
        <v>Low Risk</v>
      </c>
      <c r="X2458" t="str">
        <f t="shared" si="194"/>
        <v>Competitive</v>
      </c>
    </row>
    <row r="2459" spans="1:24" x14ac:dyDescent="0.3">
      <c r="A2459" t="s">
        <v>2527</v>
      </c>
      <c r="B2459" t="s">
        <v>20</v>
      </c>
      <c r="C2459">
        <v>23</v>
      </c>
      <c r="D2459" t="s">
        <v>57</v>
      </c>
      <c r="E2459" t="s">
        <v>22</v>
      </c>
      <c r="F2459" t="s">
        <v>32</v>
      </c>
      <c r="G2459" t="s">
        <v>24</v>
      </c>
      <c r="H2459" t="s">
        <v>25</v>
      </c>
      <c r="I2459" t="s">
        <v>68</v>
      </c>
      <c r="J2459" t="s">
        <v>60</v>
      </c>
      <c r="K2459">
        <v>15</v>
      </c>
      <c r="L2459">
        <v>112917</v>
      </c>
      <c r="M2459" t="s">
        <v>45</v>
      </c>
      <c r="N2459">
        <v>1</v>
      </c>
      <c r="O2459">
        <v>2</v>
      </c>
      <c r="P2459">
        <v>28</v>
      </c>
      <c r="Q2459">
        <v>1</v>
      </c>
      <c r="R2459" s="1">
        <v>39533</v>
      </c>
      <c r="S2459" t="s">
        <v>29</v>
      </c>
      <c r="T2459" t="str">
        <f t="shared" si="190"/>
        <v>Grade A</v>
      </c>
      <c r="U2459">
        <f t="shared" si="191"/>
        <v>2</v>
      </c>
      <c r="V2459" t="str">
        <f t="shared" si="192"/>
        <v>Senior</v>
      </c>
      <c r="W2459" t="str">
        <f t="shared" si="193"/>
        <v>Medium Risk</v>
      </c>
      <c r="X2459" t="str">
        <f t="shared" si="194"/>
        <v>Fair</v>
      </c>
    </row>
    <row r="2460" spans="1:24" x14ac:dyDescent="0.3">
      <c r="A2460" t="s">
        <v>2528</v>
      </c>
      <c r="B2460" t="s">
        <v>39</v>
      </c>
      <c r="C2460">
        <v>45</v>
      </c>
      <c r="D2460" t="s">
        <v>47</v>
      </c>
      <c r="E2460" t="s">
        <v>48</v>
      </c>
      <c r="F2460" t="s">
        <v>32</v>
      </c>
      <c r="G2460" t="s">
        <v>33</v>
      </c>
      <c r="H2460" t="s">
        <v>67</v>
      </c>
      <c r="I2460" t="s">
        <v>54</v>
      </c>
      <c r="J2460" t="s">
        <v>27</v>
      </c>
      <c r="K2460">
        <v>3</v>
      </c>
      <c r="L2460">
        <v>73273</v>
      </c>
      <c r="M2460" t="s">
        <v>45</v>
      </c>
      <c r="N2460">
        <v>4</v>
      </c>
      <c r="O2460">
        <v>3</v>
      </c>
      <c r="P2460">
        <v>72</v>
      </c>
      <c r="Q2460">
        <v>1</v>
      </c>
      <c r="R2460" s="1">
        <v>43943</v>
      </c>
      <c r="S2460" t="s">
        <v>29</v>
      </c>
      <c r="T2460" t="str">
        <f t="shared" si="190"/>
        <v>Grade B</v>
      </c>
      <c r="U2460">
        <f t="shared" si="191"/>
        <v>2</v>
      </c>
      <c r="V2460" t="str">
        <f t="shared" si="192"/>
        <v>Junior</v>
      </c>
      <c r="W2460" t="str">
        <f t="shared" si="193"/>
        <v>Medium Risk</v>
      </c>
      <c r="X2460" t="str">
        <f t="shared" si="194"/>
        <v>Fair</v>
      </c>
    </row>
    <row r="2461" spans="1:24" x14ac:dyDescent="0.3">
      <c r="A2461" t="s">
        <v>2529</v>
      </c>
      <c r="B2461" t="s">
        <v>20</v>
      </c>
      <c r="C2461">
        <v>31</v>
      </c>
      <c r="D2461" t="s">
        <v>88</v>
      </c>
      <c r="E2461" t="s">
        <v>22</v>
      </c>
      <c r="F2461" t="s">
        <v>62</v>
      </c>
      <c r="G2461" t="s">
        <v>42</v>
      </c>
      <c r="H2461" t="s">
        <v>76</v>
      </c>
      <c r="I2461" t="s">
        <v>43</v>
      </c>
      <c r="J2461" t="s">
        <v>44</v>
      </c>
      <c r="K2461">
        <v>7</v>
      </c>
      <c r="L2461">
        <v>110794</v>
      </c>
      <c r="M2461" t="s">
        <v>45</v>
      </c>
      <c r="N2461">
        <v>1</v>
      </c>
      <c r="O2461">
        <v>1</v>
      </c>
      <c r="P2461">
        <v>25</v>
      </c>
      <c r="Q2461">
        <v>2</v>
      </c>
      <c r="R2461" s="1">
        <v>42720</v>
      </c>
      <c r="S2461" t="s">
        <v>29</v>
      </c>
      <c r="T2461" t="str">
        <f t="shared" si="190"/>
        <v>Grade A</v>
      </c>
      <c r="U2461">
        <f t="shared" si="191"/>
        <v>2</v>
      </c>
      <c r="V2461" t="str">
        <f t="shared" si="192"/>
        <v>Mid Level</v>
      </c>
      <c r="W2461" t="str">
        <f t="shared" si="193"/>
        <v>Medium Risk</v>
      </c>
      <c r="X2461" t="str">
        <f t="shared" si="194"/>
        <v>Fair</v>
      </c>
    </row>
    <row r="2462" spans="1:24" x14ac:dyDescent="0.3">
      <c r="A2462" t="s">
        <v>2530</v>
      </c>
      <c r="B2462" t="s">
        <v>20</v>
      </c>
      <c r="C2462">
        <v>29</v>
      </c>
      <c r="D2462" t="s">
        <v>21</v>
      </c>
      <c r="E2462" t="s">
        <v>48</v>
      </c>
      <c r="F2462" t="s">
        <v>23</v>
      </c>
      <c r="G2462" t="s">
        <v>63</v>
      </c>
      <c r="H2462" t="s">
        <v>34</v>
      </c>
      <c r="I2462" t="s">
        <v>50</v>
      </c>
      <c r="J2462" t="s">
        <v>44</v>
      </c>
      <c r="K2462">
        <v>6</v>
      </c>
      <c r="L2462">
        <v>57174</v>
      </c>
      <c r="M2462" t="s">
        <v>36</v>
      </c>
      <c r="N2462">
        <v>1</v>
      </c>
      <c r="O2462">
        <v>1</v>
      </c>
      <c r="P2462">
        <v>10</v>
      </c>
      <c r="Q2462">
        <v>3</v>
      </c>
      <c r="R2462" s="1">
        <v>42756</v>
      </c>
      <c r="S2462" t="s">
        <v>37</v>
      </c>
      <c r="T2462" t="str">
        <f t="shared" si="190"/>
        <v>Grade B</v>
      </c>
      <c r="U2462">
        <f t="shared" si="191"/>
        <v>1</v>
      </c>
      <c r="V2462" t="str">
        <f t="shared" si="192"/>
        <v>Mid Level</v>
      </c>
      <c r="W2462" t="str">
        <f t="shared" si="193"/>
        <v>Already Left</v>
      </c>
      <c r="X2462" t="str">
        <f t="shared" si="194"/>
        <v>Fair</v>
      </c>
    </row>
    <row r="2463" spans="1:24" x14ac:dyDescent="0.3">
      <c r="A2463" t="s">
        <v>2531</v>
      </c>
      <c r="B2463" t="s">
        <v>20</v>
      </c>
      <c r="C2463">
        <v>49</v>
      </c>
      <c r="D2463" t="s">
        <v>57</v>
      </c>
      <c r="E2463" t="s">
        <v>22</v>
      </c>
      <c r="F2463" t="s">
        <v>78</v>
      </c>
      <c r="G2463" t="s">
        <v>63</v>
      </c>
      <c r="H2463" t="s">
        <v>25</v>
      </c>
      <c r="I2463" t="s">
        <v>96</v>
      </c>
      <c r="J2463" t="s">
        <v>44</v>
      </c>
      <c r="K2463">
        <v>8</v>
      </c>
      <c r="L2463">
        <v>53601</v>
      </c>
      <c r="M2463" t="s">
        <v>45</v>
      </c>
      <c r="N2463">
        <v>4</v>
      </c>
      <c r="O2463">
        <v>3</v>
      </c>
      <c r="P2463">
        <v>59</v>
      </c>
      <c r="Q2463">
        <v>2</v>
      </c>
      <c r="R2463" s="1">
        <v>42264</v>
      </c>
      <c r="S2463" t="s">
        <v>29</v>
      </c>
      <c r="T2463" t="str">
        <f t="shared" si="190"/>
        <v>Grade B</v>
      </c>
      <c r="U2463">
        <f t="shared" si="191"/>
        <v>2</v>
      </c>
      <c r="V2463" t="str">
        <f t="shared" si="192"/>
        <v>Mid Level</v>
      </c>
      <c r="W2463" t="str">
        <f t="shared" si="193"/>
        <v>Medium Risk</v>
      </c>
      <c r="X2463" t="str">
        <f t="shared" si="194"/>
        <v>Fair</v>
      </c>
    </row>
    <row r="2464" spans="1:24" x14ac:dyDescent="0.3">
      <c r="A2464" t="s">
        <v>2532</v>
      </c>
      <c r="B2464" t="s">
        <v>20</v>
      </c>
      <c r="C2464">
        <v>36</v>
      </c>
      <c r="D2464" t="s">
        <v>47</v>
      </c>
      <c r="E2464" t="s">
        <v>48</v>
      </c>
      <c r="F2464" t="s">
        <v>32</v>
      </c>
      <c r="G2464" t="s">
        <v>33</v>
      </c>
      <c r="H2464" t="s">
        <v>67</v>
      </c>
      <c r="I2464" t="s">
        <v>59</v>
      </c>
      <c r="J2464" t="s">
        <v>60</v>
      </c>
      <c r="K2464">
        <v>14</v>
      </c>
      <c r="L2464">
        <v>92505</v>
      </c>
      <c r="M2464" t="s">
        <v>45</v>
      </c>
      <c r="N2464">
        <v>2</v>
      </c>
      <c r="O2464">
        <v>2</v>
      </c>
      <c r="P2464">
        <v>65</v>
      </c>
      <c r="Q2464">
        <v>1</v>
      </c>
      <c r="R2464" s="1">
        <v>39889</v>
      </c>
      <c r="S2464" t="s">
        <v>29</v>
      </c>
      <c r="T2464" t="str">
        <f t="shared" si="190"/>
        <v>Grade A</v>
      </c>
      <c r="U2464">
        <f t="shared" si="191"/>
        <v>2</v>
      </c>
      <c r="V2464" t="str">
        <f t="shared" si="192"/>
        <v>Senior</v>
      </c>
      <c r="W2464" t="str">
        <f t="shared" si="193"/>
        <v>Medium Risk</v>
      </c>
      <c r="X2464" t="str">
        <f t="shared" si="194"/>
        <v>Fair</v>
      </c>
    </row>
    <row r="2465" spans="1:24" x14ac:dyDescent="0.3">
      <c r="A2465" t="s">
        <v>2533</v>
      </c>
      <c r="B2465" t="s">
        <v>20</v>
      </c>
      <c r="C2465">
        <v>35</v>
      </c>
      <c r="D2465" t="s">
        <v>88</v>
      </c>
      <c r="E2465" t="s">
        <v>40</v>
      </c>
      <c r="F2465" t="s">
        <v>41</v>
      </c>
      <c r="G2465" t="s">
        <v>58</v>
      </c>
      <c r="H2465" t="s">
        <v>34</v>
      </c>
      <c r="I2465" t="s">
        <v>35</v>
      </c>
      <c r="J2465" t="s">
        <v>27</v>
      </c>
      <c r="K2465">
        <v>6</v>
      </c>
      <c r="L2465">
        <v>92941</v>
      </c>
      <c r="M2465" t="s">
        <v>51</v>
      </c>
      <c r="N2465">
        <v>4</v>
      </c>
      <c r="O2465">
        <v>2</v>
      </c>
      <c r="P2465">
        <v>46</v>
      </c>
      <c r="Q2465">
        <v>2</v>
      </c>
      <c r="R2465" s="1">
        <v>42854</v>
      </c>
      <c r="S2465" t="s">
        <v>29</v>
      </c>
      <c r="T2465" t="str">
        <f t="shared" si="190"/>
        <v>Grade A</v>
      </c>
      <c r="U2465">
        <f t="shared" si="191"/>
        <v>4</v>
      </c>
      <c r="V2465" t="str">
        <f t="shared" si="192"/>
        <v>Mid Level</v>
      </c>
      <c r="W2465" t="str">
        <f t="shared" si="193"/>
        <v>Low Risk</v>
      </c>
      <c r="X2465" t="str">
        <f t="shared" si="194"/>
        <v>Competitive</v>
      </c>
    </row>
    <row r="2466" spans="1:24" x14ac:dyDescent="0.3">
      <c r="A2466" t="s">
        <v>2534</v>
      </c>
      <c r="B2466" t="s">
        <v>39</v>
      </c>
      <c r="C2466">
        <v>38</v>
      </c>
      <c r="D2466" t="s">
        <v>57</v>
      </c>
      <c r="E2466" t="s">
        <v>22</v>
      </c>
      <c r="F2466" t="s">
        <v>65</v>
      </c>
      <c r="G2466" t="s">
        <v>42</v>
      </c>
      <c r="H2466" t="s">
        <v>67</v>
      </c>
      <c r="I2466" t="s">
        <v>50</v>
      </c>
      <c r="J2466" t="s">
        <v>44</v>
      </c>
      <c r="K2466">
        <v>10</v>
      </c>
      <c r="L2466">
        <v>105284</v>
      </c>
      <c r="M2466" t="s">
        <v>51</v>
      </c>
      <c r="N2466">
        <v>4</v>
      </c>
      <c r="O2466">
        <v>1</v>
      </c>
      <c r="P2466">
        <v>71</v>
      </c>
      <c r="Q2466">
        <v>3</v>
      </c>
      <c r="R2466" s="1">
        <v>41318</v>
      </c>
      <c r="S2466" t="s">
        <v>29</v>
      </c>
      <c r="T2466" t="str">
        <f t="shared" si="190"/>
        <v>Grade A</v>
      </c>
      <c r="U2466">
        <f t="shared" si="191"/>
        <v>4</v>
      </c>
      <c r="V2466" t="str">
        <f t="shared" si="192"/>
        <v>Mid Level</v>
      </c>
      <c r="W2466" t="str">
        <f t="shared" si="193"/>
        <v>Low Risk</v>
      </c>
      <c r="X2466" t="str">
        <f t="shared" si="194"/>
        <v>Competitive</v>
      </c>
    </row>
    <row r="2467" spans="1:24" x14ac:dyDescent="0.3">
      <c r="A2467" t="s">
        <v>2535</v>
      </c>
      <c r="B2467" t="s">
        <v>20</v>
      </c>
      <c r="C2467">
        <v>23</v>
      </c>
      <c r="D2467" t="s">
        <v>88</v>
      </c>
      <c r="E2467" t="s">
        <v>40</v>
      </c>
      <c r="F2467" t="s">
        <v>41</v>
      </c>
      <c r="G2467" t="s">
        <v>33</v>
      </c>
      <c r="H2467" t="s">
        <v>25</v>
      </c>
      <c r="I2467" t="s">
        <v>68</v>
      </c>
      <c r="J2467" t="s">
        <v>60</v>
      </c>
      <c r="K2467">
        <v>10</v>
      </c>
      <c r="L2467">
        <v>84774</v>
      </c>
      <c r="M2467" t="s">
        <v>45</v>
      </c>
      <c r="N2467">
        <v>3</v>
      </c>
      <c r="O2467">
        <v>1</v>
      </c>
      <c r="P2467">
        <v>21</v>
      </c>
      <c r="Q2467">
        <v>3</v>
      </c>
      <c r="R2467" s="1">
        <v>41433</v>
      </c>
      <c r="S2467" t="s">
        <v>29</v>
      </c>
      <c r="T2467" t="str">
        <f t="shared" si="190"/>
        <v>Grade A</v>
      </c>
      <c r="U2467">
        <f t="shared" si="191"/>
        <v>2</v>
      </c>
      <c r="V2467" t="str">
        <f t="shared" si="192"/>
        <v>Mid Level</v>
      </c>
      <c r="W2467" t="str">
        <f t="shared" si="193"/>
        <v>Medium Risk</v>
      </c>
      <c r="X2467" t="str">
        <f t="shared" si="194"/>
        <v>Fair</v>
      </c>
    </row>
    <row r="2468" spans="1:24" x14ac:dyDescent="0.3">
      <c r="A2468" t="s">
        <v>2536</v>
      </c>
      <c r="B2468" t="s">
        <v>20</v>
      </c>
      <c r="C2468">
        <v>55</v>
      </c>
      <c r="D2468" t="s">
        <v>57</v>
      </c>
      <c r="E2468" t="s">
        <v>48</v>
      </c>
      <c r="F2468" t="s">
        <v>78</v>
      </c>
      <c r="G2468" t="s">
        <v>66</v>
      </c>
      <c r="H2468" t="s">
        <v>67</v>
      </c>
      <c r="I2468" t="s">
        <v>80</v>
      </c>
      <c r="J2468" t="s">
        <v>60</v>
      </c>
      <c r="K2468">
        <v>7</v>
      </c>
      <c r="L2468">
        <v>45716</v>
      </c>
      <c r="M2468" t="s">
        <v>36</v>
      </c>
      <c r="N2468">
        <v>3</v>
      </c>
      <c r="O2468">
        <v>3</v>
      </c>
      <c r="P2468">
        <v>67</v>
      </c>
      <c r="Q2468">
        <v>0</v>
      </c>
      <c r="R2468" s="1">
        <v>42407</v>
      </c>
      <c r="S2468" t="s">
        <v>37</v>
      </c>
      <c r="T2468" t="str">
        <f t="shared" si="190"/>
        <v>Grade C</v>
      </c>
      <c r="U2468">
        <f t="shared" si="191"/>
        <v>1</v>
      </c>
      <c r="V2468" t="str">
        <f t="shared" si="192"/>
        <v>Mid Level</v>
      </c>
      <c r="W2468" t="str">
        <f t="shared" si="193"/>
        <v>Already Left</v>
      </c>
      <c r="X2468" t="str">
        <f t="shared" si="194"/>
        <v>Fair</v>
      </c>
    </row>
    <row r="2469" spans="1:24" x14ac:dyDescent="0.3">
      <c r="A2469" t="s">
        <v>2537</v>
      </c>
      <c r="B2469" t="s">
        <v>20</v>
      </c>
      <c r="C2469">
        <v>37</v>
      </c>
      <c r="D2469" t="s">
        <v>88</v>
      </c>
      <c r="E2469" t="s">
        <v>48</v>
      </c>
      <c r="F2469" t="s">
        <v>41</v>
      </c>
      <c r="G2469" t="s">
        <v>42</v>
      </c>
      <c r="H2469" t="s">
        <v>34</v>
      </c>
      <c r="I2469" t="s">
        <v>59</v>
      </c>
      <c r="J2469" t="s">
        <v>60</v>
      </c>
      <c r="K2469">
        <v>5</v>
      </c>
      <c r="L2469">
        <v>114691</v>
      </c>
      <c r="M2469" t="s">
        <v>45</v>
      </c>
      <c r="N2469">
        <v>2</v>
      </c>
      <c r="O2469">
        <v>3</v>
      </c>
      <c r="P2469">
        <v>71</v>
      </c>
      <c r="Q2469">
        <v>2</v>
      </c>
      <c r="R2469" s="1">
        <v>43434</v>
      </c>
      <c r="S2469" t="s">
        <v>29</v>
      </c>
      <c r="T2469" t="str">
        <f t="shared" si="190"/>
        <v>Grade A</v>
      </c>
      <c r="U2469">
        <f t="shared" si="191"/>
        <v>2</v>
      </c>
      <c r="V2469" t="str">
        <f t="shared" si="192"/>
        <v>Junior</v>
      </c>
      <c r="W2469" t="str">
        <f t="shared" si="193"/>
        <v>Medium Risk</v>
      </c>
      <c r="X2469" t="str">
        <f t="shared" si="194"/>
        <v>Fair</v>
      </c>
    </row>
    <row r="2470" spans="1:24" x14ac:dyDescent="0.3">
      <c r="A2470" t="s">
        <v>2538</v>
      </c>
      <c r="B2470" t="s">
        <v>39</v>
      </c>
      <c r="C2470">
        <v>54</v>
      </c>
      <c r="D2470" t="s">
        <v>31</v>
      </c>
      <c r="E2470" t="s">
        <v>40</v>
      </c>
      <c r="F2470" t="s">
        <v>78</v>
      </c>
      <c r="G2470" t="s">
        <v>33</v>
      </c>
      <c r="H2470" t="s">
        <v>76</v>
      </c>
      <c r="I2470" t="s">
        <v>96</v>
      </c>
      <c r="J2470" t="s">
        <v>44</v>
      </c>
      <c r="K2470">
        <v>4</v>
      </c>
      <c r="L2470">
        <v>63171</v>
      </c>
      <c r="M2470" t="s">
        <v>45</v>
      </c>
      <c r="N2470">
        <v>4</v>
      </c>
      <c r="O2470">
        <v>4</v>
      </c>
      <c r="P2470">
        <v>57</v>
      </c>
      <c r="Q2470">
        <v>3</v>
      </c>
      <c r="R2470" s="1">
        <v>43760</v>
      </c>
      <c r="S2470" t="s">
        <v>37</v>
      </c>
      <c r="T2470" t="str">
        <f t="shared" si="190"/>
        <v>Grade B</v>
      </c>
      <c r="U2470">
        <f t="shared" si="191"/>
        <v>2</v>
      </c>
      <c r="V2470" t="str">
        <f t="shared" si="192"/>
        <v>Junior</v>
      </c>
      <c r="W2470" t="str">
        <f t="shared" si="193"/>
        <v>Already Left</v>
      </c>
      <c r="X2470" t="str">
        <f t="shared" si="194"/>
        <v>Fair</v>
      </c>
    </row>
    <row r="2471" spans="1:24" x14ac:dyDescent="0.3">
      <c r="A2471" t="s">
        <v>2539</v>
      </c>
      <c r="B2471" t="s">
        <v>39</v>
      </c>
      <c r="C2471">
        <v>30</v>
      </c>
      <c r="D2471" t="s">
        <v>47</v>
      </c>
      <c r="E2471" t="s">
        <v>40</v>
      </c>
      <c r="F2471" t="s">
        <v>41</v>
      </c>
      <c r="G2471" t="s">
        <v>66</v>
      </c>
      <c r="H2471" t="s">
        <v>34</v>
      </c>
      <c r="I2471" t="s">
        <v>26</v>
      </c>
      <c r="J2471" t="s">
        <v>27</v>
      </c>
      <c r="K2471">
        <v>6</v>
      </c>
      <c r="L2471">
        <v>53147</v>
      </c>
      <c r="M2471" t="s">
        <v>36</v>
      </c>
      <c r="N2471">
        <v>1</v>
      </c>
      <c r="O2471">
        <v>1</v>
      </c>
      <c r="P2471">
        <v>17</v>
      </c>
      <c r="Q2471">
        <v>2</v>
      </c>
      <c r="R2471" s="1">
        <v>42827</v>
      </c>
      <c r="S2471" t="s">
        <v>29</v>
      </c>
      <c r="T2471" t="str">
        <f t="shared" si="190"/>
        <v>Grade B</v>
      </c>
      <c r="U2471">
        <f t="shared" si="191"/>
        <v>1</v>
      </c>
      <c r="V2471" t="str">
        <f t="shared" si="192"/>
        <v>Mid Level</v>
      </c>
      <c r="W2471" t="str">
        <f t="shared" si="193"/>
        <v>Medium Risk</v>
      </c>
      <c r="X2471" t="str">
        <f t="shared" si="194"/>
        <v>Fair</v>
      </c>
    </row>
    <row r="2472" spans="1:24" x14ac:dyDescent="0.3">
      <c r="A2472" t="s">
        <v>2540</v>
      </c>
      <c r="B2472" t="s">
        <v>20</v>
      </c>
      <c r="C2472">
        <v>45</v>
      </c>
      <c r="D2472" t="s">
        <v>31</v>
      </c>
      <c r="E2472" t="s">
        <v>22</v>
      </c>
      <c r="F2472" t="s">
        <v>23</v>
      </c>
      <c r="G2472" t="s">
        <v>79</v>
      </c>
      <c r="H2472" t="s">
        <v>25</v>
      </c>
      <c r="I2472" t="s">
        <v>54</v>
      </c>
      <c r="J2472" t="s">
        <v>27</v>
      </c>
      <c r="K2472">
        <v>6</v>
      </c>
      <c r="L2472">
        <v>56357</v>
      </c>
      <c r="M2472" t="s">
        <v>45</v>
      </c>
      <c r="N2472">
        <v>3</v>
      </c>
      <c r="O2472">
        <v>1</v>
      </c>
      <c r="P2472">
        <v>38</v>
      </c>
      <c r="Q2472">
        <v>2</v>
      </c>
      <c r="R2472" s="1">
        <v>42908</v>
      </c>
      <c r="S2472" t="s">
        <v>29</v>
      </c>
      <c r="T2472" t="str">
        <f t="shared" si="190"/>
        <v>Grade B</v>
      </c>
      <c r="U2472">
        <f t="shared" si="191"/>
        <v>2</v>
      </c>
      <c r="V2472" t="str">
        <f t="shared" si="192"/>
        <v>Mid Level</v>
      </c>
      <c r="W2472" t="str">
        <f t="shared" si="193"/>
        <v>Medium Risk</v>
      </c>
      <c r="X2472" t="str">
        <f t="shared" si="194"/>
        <v>Fair</v>
      </c>
    </row>
    <row r="2473" spans="1:24" x14ac:dyDescent="0.3">
      <c r="A2473" t="s">
        <v>2541</v>
      </c>
      <c r="B2473" t="s">
        <v>39</v>
      </c>
      <c r="C2473">
        <v>37</v>
      </c>
      <c r="D2473" t="s">
        <v>21</v>
      </c>
      <c r="E2473" t="s">
        <v>48</v>
      </c>
      <c r="F2473" t="s">
        <v>53</v>
      </c>
      <c r="G2473" t="s">
        <v>33</v>
      </c>
      <c r="H2473" t="s">
        <v>25</v>
      </c>
      <c r="I2473" t="s">
        <v>80</v>
      </c>
      <c r="J2473" t="s">
        <v>60</v>
      </c>
      <c r="K2473">
        <v>3</v>
      </c>
      <c r="L2473">
        <v>59379</v>
      </c>
      <c r="M2473" t="s">
        <v>36</v>
      </c>
      <c r="N2473">
        <v>3</v>
      </c>
      <c r="O2473">
        <v>2</v>
      </c>
      <c r="P2473">
        <v>35</v>
      </c>
      <c r="Q2473">
        <v>2</v>
      </c>
      <c r="R2473" s="1">
        <v>43885</v>
      </c>
      <c r="S2473" t="s">
        <v>37</v>
      </c>
      <c r="T2473" t="str">
        <f t="shared" si="190"/>
        <v>Grade B</v>
      </c>
      <c r="U2473">
        <f t="shared" si="191"/>
        <v>1</v>
      </c>
      <c r="V2473" t="str">
        <f t="shared" si="192"/>
        <v>Junior</v>
      </c>
      <c r="W2473" t="str">
        <f t="shared" si="193"/>
        <v>Already Left</v>
      </c>
      <c r="X2473" t="str">
        <f t="shared" si="194"/>
        <v>Fair</v>
      </c>
    </row>
    <row r="2474" spans="1:24" x14ac:dyDescent="0.3">
      <c r="A2474" t="s">
        <v>2542</v>
      </c>
      <c r="B2474" t="s">
        <v>39</v>
      </c>
      <c r="C2474">
        <v>29</v>
      </c>
      <c r="D2474" t="s">
        <v>88</v>
      </c>
      <c r="E2474" t="s">
        <v>48</v>
      </c>
      <c r="F2474" t="s">
        <v>65</v>
      </c>
      <c r="G2474" t="s">
        <v>58</v>
      </c>
      <c r="H2474" t="s">
        <v>34</v>
      </c>
      <c r="I2474" t="s">
        <v>59</v>
      </c>
      <c r="J2474" t="s">
        <v>60</v>
      </c>
      <c r="K2474">
        <v>6</v>
      </c>
      <c r="L2474">
        <v>105688</v>
      </c>
      <c r="M2474" t="s">
        <v>36</v>
      </c>
      <c r="N2474">
        <v>1</v>
      </c>
      <c r="O2474">
        <v>4</v>
      </c>
      <c r="P2474">
        <v>72</v>
      </c>
      <c r="Q2474">
        <v>2</v>
      </c>
      <c r="R2474" s="1">
        <v>42845</v>
      </c>
      <c r="S2474" t="s">
        <v>37</v>
      </c>
      <c r="T2474" t="str">
        <f t="shared" si="190"/>
        <v>Grade A</v>
      </c>
      <c r="U2474">
        <f t="shared" si="191"/>
        <v>1</v>
      </c>
      <c r="V2474" t="str">
        <f t="shared" si="192"/>
        <v>Mid Level</v>
      </c>
      <c r="W2474" t="str">
        <f t="shared" si="193"/>
        <v>Already Left</v>
      </c>
      <c r="X2474" t="str">
        <f t="shared" si="194"/>
        <v>Overpaid</v>
      </c>
    </row>
    <row r="2475" spans="1:24" x14ac:dyDescent="0.3">
      <c r="A2475" t="s">
        <v>2543</v>
      </c>
      <c r="B2475" t="s">
        <v>20</v>
      </c>
      <c r="C2475">
        <v>51</v>
      </c>
      <c r="D2475" t="s">
        <v>47</v>
      </c>
      <c r="E2475" t="s">
        <v>40</v>
      </c>
      <c r="F2475" t="s">
        <v>53</v>
      </c>
      <c r="G2475" t="s">
        <v>63</v>
      </c>
      <c r="H2475" t="s">
        <v>76</v>
      </c>
      <c r="I2475" t="s">
        <v>96</v>
      </c>
      <c r="J2475" t="s">
        <v>44</v>
      </c>
      <c r="K2475">
        <v>8</v>
      </c>
      <c r="L2475">
        <v>59111</v>
      </c>
      <c r="M2475" t="s">
        <v>28</v>
      </c>
      <c r="N2475">
        <v>2</v>
      </c>
      <c r="O2475">
        <v>4</v>
      </c>
      <c r="P2475">
        <v>59</v>
      </c>
      <c r="Q2475">
        <v>3</v>
      </c>
      <c r="R2475" s="1">
        <v>42071</v>
      </c>
      <c r="S2475" t="s">
        <v>37</v>
      </c>
      <c r="T2475" t="str">
        <f t="shared" si="190"/>
        <v>Grade B</v>
      </c>
      <c r="U2475">
        <f t="shared" si="191"/>
        <v>3</v>
      </c>
      <c r="V2475" t="str">
        <f t="shared" si="192"/>
        <v>Mid Level</v>
      </c>
      <c r="W2475" t="str">
        <f t="shared" si="193"/>
        <v>Already Left</v>
      </c>
      <c r="X2475" t="str">
        <f t="shared" si="194"/>
        <v>Competitive</v>
      </c>
    </row>
    <row r="2476" spans="1:24" x14ac:dyDescent="0.3">
      <c r="A2476" t="s">
        <v>2544</v>
      </c>
      <c r="B2476" t="s">
        <v>20</v>
      </c>
      <c r="C2476">
        <v>39</v>
      </c>
      <c r="D2476" t="s">
        <v>31</v>
      </c>
      <c r="E2476" t="s">
        <v>40</v>
      </c>
      <c r="F2476" t="s">
        <v>78</v>
      </c>
      <c r="G2476" t="s">
        <v>66</v>
      </c>
      <c r="H2476" t="s">
        <v>34</v>
      </c>
      <c r="I2476" t="s">
        <v>50</v>
      </c>
      <c r="J2476" t="s">
        <v>44</v>
      </c>
      <c r="K2476">
        <v>9</v>
      </c>
      <c r="L2476">
        <v>53976</v>
      </c>
      <c r="M2476" t="s">
        <v>36</v>
      </c>
      <c r="N2476">
        <v>1</v>
      </c>
      <c r="O2476">
        <v>4</v>
      </c>
      <c r="P2476">
        <v>27</v>
      </c>
      <c r="Q2476">
        <v>3</v>
      </c>
      <c r="R2476" s="1">
        <v>41656</v>
      </c>
      <c r="S2476" t="s">
        <v>37</v>
      </c>
      <c r="T2476" t="str">
        <f t="shared" si="190"/>
        <v>Grade B</v>
      </c>
      <c r="U2476">
        <f t="shared" si="191"/>
        <v>1</v>
      </c>
      <c r="V2476" t="str">
        <f t="shared" si="192"/>
        <v>Mid Level</v>
      </c>
      <c r="W2476" t="str">
        <f t="shared" si="193"/>
        <v>Already Left</v>
      </c>
      <c r="X2476" t="str">
        <f t="shared" si="194"/>
        <v>Fair</v>
      </c>
    </row>
    <row r="2477" spans="1:24" x14ac:dyDescent="0.3">
      <c r="A2477" t="s">
        <v>2545</v>
      </c>
      <c r="B2477" t="s">
        <v>39</v>
      </c>
      <c r="C2477">
        <v>47</v>
      </c>
      <c r="D2477" t="s">
        <v>31</v>
      </c>
      <c r="E2477" t="s">
        <v>22</v>
      </c>
      <c r="F2477" t="s">
        <v>23</v>
      </c>
      <c r="G2477" t="s">
        <v>33</v>
      </c>
      <c r="H2477" t="s">
        <v>83</v>
      </c>
      <c r="I2477" t="s">
        <v>68</v>
      </c>
      <c r="J2477" t="s">
        <v>60</v>
      </c>
      <c r="K2477">
        <v>15</v>
      </c>
      <c r="L2477">
        <v>87579</v>
      </c>
      <c r="M2477" t="s">
        <v>51</v>
      </c>
      <c r="N2477">
        <v>4</v>
      </c>
      <c r="O2477">
        <v>2</v>
      </c>
      <c r="P2477">
        <v>54</v>
      </c>
      <c r="Q2477">
        <v>2</v>
      </c>
      <c r="R2477" s="1">
        <v>39464</v>
      </c>
      <c r="S2477" t="s">
        <v>29</v>
      </c>
      <c r="T2477" t="str">
        <f t="shared" si="190"/>
        <v>Grade A</v>
      </c>
      <c r="U2477">
        <f t="shared" si="191"/>
        <v>4</v>
      </c>
      <c r="V2477" t="str">
        <f t="shared" si="192"/>
        <v>Senior</v>
      </c>
      <c r="W2477" t="str">
        <f t="shared" si="193"/>
        <v>Low Risk</v>
      </c>
      <c r="X2477" t="str">
        <f t="shared" si="194"/>
        <v>Competitive</v>
      </c>
    </row>
    <row r="2478" spans="1:24" x14ac:dyDescent="0.3">
      <c r="A2478" t="s">
        <v>2546</v>
      </c>
      <c r="B2478" t="s">
        <v>20</v>
      </c>
      <c r="C2478">
        <v>29</v>
      </c>
      <c r="D2478" t="s">
        <v>21</v>
      </c>
      <c r="E2478" t="s">
        <v>48</v>
      </c>
      <c r="F2478" t="s">
        <v>32</v>
      </c>
      <c r="G2478" t="s">
        <v>42</v>
      </c>
      <c r="H2478" t="s">
        <v>83</v>
      </c>
      <c r="I2478" t="s">
        <v>43</v>
      </c>
      <c r="J2478" t="s">
        <v>44</v>
      </c>
      <c r="K2478">
        <v>10</v>
      </c>
      <c r="L2478">
        <v>107569</v>
      </c>
      <c r="M2478" t="s">
        <v>45</v>
      </c>
      <c r="N2478">
        <v>4</v>
      </c>
      <c r="O2478">
        <v>3</v>
      </c>
      <c r="P2478">
        <v>36</v>
      </c>
      <c r="Q2478">
        <v>3</v>
      </c>
      <c r="R2478" s="1">
        <v>41425</v>
      </c>
      <c r="S2478" t="s">
        <v>29</v>
      </c>
      <c r="T2478" t="str">
        <f t="shared" si="190"/>
        <v>Grade A</v>
      </c>
      <c r="U2478">
        <f t="shared" si="191"/>
        <v>2</v>
      </c>
      <c r="V2478" t="str">
        <f t="shared" si="192"/>
        <v>Mid Level</v>
      </c>
      <c r="W2478" t="str">
        <f t="shared" si="193"/>
        <v>Medium Risk</v>
      </c>
      <c r="X2478" t="str">
        <f t="shared" si="194"/>
        <v>Fair</v>
      </c>
    </row>
    <row r="2479" spans="1:24" x14ac:dyDescent="0.3">
      <c r="A2479" t="s">
        <v>2547</v>
      </c>
      <c r="B2479" t="s">
        <v>20</v>
      </c>
      <c r="C2479">
        <v>22</v>
      </c>
      <c r="D2479" t="s">
        <v>57</v>
      </c>
      <c r="E2479" t="s">
        <v>48</v>
      </c>
      <c r="F2479" t="s">
        <v>62</v>
      </c>
      <c r="G2479" t="s">
        <v>33</v>
      </c>
      <c r="H2479" t="s">
        <v>25</v>
      </c>
      <c r="I2479" t="s">
        <v>68</v>
      </c>
      <c r="J2479" t="s">
        <v>60</v>
      </c>
      <c r="K2479">
        <v>12</v>
      </c>
      <c r="L2479">
        <v>75123</v>
      </c>
      <c r="M2479" t="s">
        <v>51</v>
      </c>
      <c r="N2479">
        <v>3</v>
      </c>
      <c r="O2479">
        <v>2</v>
      </c>
      <c r="P2479">
        <v>80</v>
      </c>
      <c r="Q2479">
        <v>0</v>
      </c>
      <c r="R2479" s="1">
        <v>40569</v>
      </c>
      <c r="S2479" t="s">
        <v>29</v>
      </c>
      <c r="T2479" t="str">
        <f t="shared" si="190"/>
        <v>Grade B</v>
      </c>
      <c r="U2479">
        <f t="shared" si="191"/>
        <v>4</v>
      </c>
      <c r="V2479" t="str">
        <f t="shared" si="192"/>
        <v>Senior</v>
      </c>
      <c r="W2479" t="str">
        <f t="shared" si="193"/>
        <v>Low Risk</v>
      </c>
      <c r="X2479" t="str">
        <f t="shared" si="194"/>
        <v>Fair</v>
      </c>
    </row>
    <row r="2480" spans="1:24" x14ac:dyDescent="0.3">
      <c r="A2480" t="s">
        <v>2548</v>
      </c>
      <c r="B2480" t="s">
        <v>39</v>
      </c>
      <c r="C2480">
        <v>45</v>
      </c>
      <c r="D2480" t="s">
        <v>21</v>
      </c>
      <c r="E2480" t="s">
        <v>48</v>
      </c>
      <c r="F2480" t="s">
        <v>32</v>
      </c>
      <c r="G2480" t="s">
        <v>33</v>
      </c>
      <c r="H2480" t="s">
        <v>76</v>
      </c>
      <c r="I2480" t="s">
        <v>72</v>
      </c>
      <c r="J2480" t="s">
        <v>73</v>
      </c>
      <c r="K2480">
        <v>10</v>
      </c>
      <c r="L2480">
        <v>74650</v>
      </c>
      <c r="M2480" t="s">
        <v>45</v>
      </c>
      <c r="N2480">
        <v>1</v>
      </c>
      <c r="O2480">
        <v>3</v>
      </c>
      <c r="P2480">
        <v>20</v>
      </c>
      <c r="Q2480">
        <v>1</v>
      </c>
      <c r="R2480" s="1">
        <v>41375</v>
      </c>
      <c r="S2480" t="s">
        <v>29</v>
      </c>
      <c r="T2480" t="str">
        <f t="shared" si="190"/>
        <v>Grade B</v>
      </c>
      <c r="U2480">
        <f t="shared" si="191"/>
        <v>2</v>
      </c>
      <c r="V2480" t="str">
        <f t="shared" si="192"/>
        <v>Mid Level</v>
      </c>
      <c r="W2480" t="str">
        <f t="shared" si="193"/>
        <v>Medium Risk</v>
      </c>
      <c r="X2480" t="str">
        <f t="shared" si="194"/>
        <v>Fair</v>
      </c>
    </row>
    <row r="2481" spans="1:24" x14ac:dyDescent="0.3">
      <c r="A2481" t="s">
        <v>2549</v>
      </c>
      <c r="B2481" t="s">
        <v>20</v>
      </c>
      <c r="C2481">
        <v>46</v>
      </c>
      <c r="D2481" t="s">
        <v>88</v>
      </c>
      <c r="E2481" t="s">
        <v>22</v>
      </c>
      <c r="F2481" t="s">
        <v>75</v>
      </c>
      <c r="G2481" t="s">
        <v>24</v>
      </c>
      <c r="H2481" t="s">
        <v>34</v>
      </c>
      <c r="I2481" t="s">
        <v>50</v>
      </c>
      <c r="J2481" t="s">
        <v>44</v>
      </c>
      <c r="K2481">
        <v>8</v>
      </c>
      <c r="L2481">
        <v>83124</v>
      </c>
      <c r="M2481" t="s">
        <v>36</v>
      </c>
      <c r="N2481">
        <v>4</v>
      </c>
      <c r="O2481">
        <v>1</v>
      </c>
      <c r="P2481">
        <v>33</v>
      </c>
      <c r="Q2481">
        <v>3</v>
      </c>
      <c r="R2481" s="1">
        <v>42318</v>
      </c>
      <c r="S2481" t="s">
        <v>29</v>
      </c>
      <c r="T2481" t="str">
        <f t="shared" si="190"/>
        <v>Grade A</v>
      </c>
      <c r="U2481">
        <f t="shared" si="191"/>
        <v>1</v>
      </c>
      <c r="V2481" t="str">
        <f t="shared" si="192"/>
        <v>Mid Level</v>
      </c>
      <c r="W2481" t="str">
        <f t="shared" si="193"/>
        <v>Medium Risk</v>
      </c>
      <c r="X2481" t="str">
        <f t="shared" si="194"/>
        <v>Overpaid</v>
      </c>
    </row>
    <row r="2482" spans="1:24" x14ac:dyDescent="0.3">
      <c r="A2482" t="s">
        <v>2550</v>
      </c>
      <c r="B2482" t="s">
        <v>39</v>
      </c>
      <c r="C2482">
        <v>41</v>
      </c>
      <c r="D2482" t="s">
        <v>21</v>
      </c>
      <c r="E2482" t="s">
        <v>22</v>
      </c>
      <c r="F2482" t="s">
        <v>65</v>
      </c>
      <c r="G2482" t="s">
        <v>24</v>
      </c>
      <c r="H2482" t="s">
        <v>67</v>
      </c>
      <c r="I2482" t="s">
        <v>35</v>
      </c>
      <c r="J2482" t="s">
        <v>27</v>
      </c>
      <c r="K2482">
        <v>10</v>
      </c>
      <c r="L2482">
        <v>88658</v>
      </c>
      <c r="M2482" t="s">
        <v>36</v>
      </c>
      <c r="N2482">
        <v>4</v>
      </c>
      <c r="O2482">
        <v>1</v>
      </c>
      <c r="P2482">
        <v>71</v>
      </c>
      <c r="Q2482">
        <v>1</v>
      </c>
      <c r="R2482" s="1">
        <v>41349</v>
      </c>
      <c r="S2482" t="s">
        <v>29</v>
      </c>
      <c r="T2482" t="str">
        <f t="shared" si="190"/>
        <v>Grade A</v>
      </c>
      <c r="U2482">
        <f t="shared" si="191"/>
        <v>1</v>
      </c>
      <c r="V2482" t="str">
        <f t="shared" si="192"/>
        <v>Mid Level</v>
      </c>
      <c r="W2482" t="str">
        <f t="shared" si="193"/>
        <v>Medium Risk</v>
      </c>
      <c r="X2482" t="str">
        <f t="shared" si="194"/>
        <v>Overpaid</v>
      </c>
    </row>
    <row r="2483" spans="1:24" x14ac:dyDescent="0.3">
      <c r="A2483" t="s">
        <v>2551</v>
      </c>
      <c r="B2483" t="s">
        <v>20</v>
      </c>
      <c r="C2483">
        <v>38</v>
      </c>
      <c r="D2483" t="s">
        <v>88</v>
      </c>
      <c r="E2483" t="s">
        <v>22</v>
      </c>
      <c r="F2483" t="s">
        <v>75</v>
      </c>
      <c r="G2483" t="s">
        <v>66</v>
      </c>
      <c r="H2483" t="s">
        <v>67</v>
      </c>
      <c r="I2483" t="s">
        <v>50</v>
      </c>
      <c r="J2483" t="s">
        <v>44</v>
      </c>
      <c r="K2483">
        <v>14</v>
      </c>
      <c r="L2483">
        <v>70389</v>
      </c>
      <c r="M2483" t="s">
        <v>51</v>
      </c>
      <c r="N2483">
        <v>4</v>
      </c>
      <c r="O2483">
        <v>1</v>
      </c>
      <c r="P2483">
        <v>64</v>
      </c>
      <c r="Q2483">
        <v>3</v>
      </c>
      <c r="R2483" s="1">
        <v>40165</v>
      </c>
      <c r="S2483" t="s">
        <v>29</v>
      </c>
      <c r="T2483" t="str">
        <f t="shared" si="190"/>
        <v>Grade B</v>
      </c>
      <c r="U2483">
        <f t="shared" si="191"/>
        <v>4</v>
      </c>
      <c r="V2483" t="str">
        <f t="shared" si="192"/>
        <v>Senior</v>
      </c>
      <c r="W2483" t="str">
        <f t="shared" si="193"/>
        <v>Low Risk</v>
      </c>
      <c r="X2483" t="str">
        <f t="shared" si="194"/>
        <v>Fair</v>
      </c>
    </row>
    <row r="2484" spans="1:24" x14ac:dyDescent="0.3">
      <c r="A2484" t="s">
        <v>2552</v>
      </c>
      <c r="B2484" t="s">
        <v>20</v>
      </c>
      <c r="C2484">
        <v>45</v>
      </c>
      <c r="D2484" t="s">
        <v>31</v>
      </c>
      <c r="E2484" t="s">
        <v>40</v>
      </c>
      <c r="F2484" t="s">
        <v>32</v>
      </c>
      <c r="G2484" t="s">
        <v>66</v>
      </c>
      <c r="H2484" t="s">
        <v>34</v>
      </c>
      <c r="I2484" t="s">
        <v>68</v>
      </c>
      <c r="J2484" t="s">
        <v>60</v>
      </c>
      <c r="K2484">
        <v>7</v>
      </c>
      <c r="L2484">
        <v>52558</v>
      </c>
      <c r="M2484" t="s">
        <v>36</v>
      </c>
      <c r="N2484">
        <v>3</v>
      </c>
      <c r="O2484">
        <v>4</v>
      </c>
      <c r="P2484">
        <v>41</v>
      </c>
      <c r="Q2484">
        <v>2</v>
      </c>
      <c r="R2484" s="1">
        <v>42494</v>
      </c>
      <c r="S2484" t="s">
        <v>37</v>
      </c>
      <c r="T2484" t="str">
        <f t="shared" si="190"/>
        <v>Grade B</v>
      </c>
      <c r="U2484">
        <f t="shared" si="191"/>
        <v>1</v>
      </c>
      <c r="V2484" t="str">
        <f t="shared" si="192"/>
        <v>Mid Level</v>
      </c>
      <c r="W2484" t="str">
        <f t="shared" si="193"/>
        <v>Already Left</v>
      </c>
      <c r="X2484" t="str">
        <f t="shared" si="194"/>
        <v>Fair</v>
      </c>
    </row>
    <row r="2485" spans="1:24" x14ac:dyDescent="0.3">
      <c r="A2485" t="s">
        <v>2553</v>
      </c>
      <c r="B2485" t="s">
        <v>39</v>
      </c>
      <c r="C2485">
        <v>40</v>
      </c>
      <c r="D2485" t="s">
        <v>21</v>
      </c>
      <c r="E2485" t="s">
        <v>22</v>
      </c>
      <c r="F2485" t="s">
        <v>41</v>
      </c>
      <c r="G2485" t="s">
        <v>33</v>
      </c>
      <c r="H2485" t="s">
        <v>83</v>
      </c>
      <c r="I2485" t="s">
        <v>80</v>
      </c>
      <c r="J2485" t="s">
        <v>60</v>
      </c>
      <c r="K2485">
        <v>12</v>
      </c>
      <c r="L2485">
        <v>89774</v>
      </c>
      <c r="M2485" t="s">
        <v>45</v>
      </c>
      <c r="N2485">
        <v>3</v>
      </c>
      <c r="O2485">
        <v>1</v>
      </c>
      <c r="P2485">
        <v>13</v>
      </c>
      <c r="Q2485">
        <v>2</v>
      </c>
      <c r="R2485" s="1">
        <v>40731</v>
      </c>
      <c r="S2485" t="s">
        <v>29</v>
      </c>
      <c r="T2485" t="str">
        <f t="shared" si="190"/>
        <v>Grade A</v>
      </c>
      <c r="U2485">
        <f t="shared" si="191"/>
        <v>2</v>
      </c>
      <c r="V2485" t="str">
        <f t="shared" si="192"/>
        <v>Senior</v>
      </c>
      <c r="W2485" t="str">
        <f t="shared" si="193"/>
        <v>Medium Risk</v>
      </c>
      <c r="X2485" t="str">
        <f t="shared" si="194"/>
        <v>Fair</v>
      </c>
    </row>
    <row r="2486" spans="1:24" x14ac:dyDescent="0.3">
      <c r="A2486" t="s">
        <v>2554</v>
      </c>
      <c r="B2486" t="s">
        <v>20</v>
      </c>
      <c r="C2486">
        <v>31</v>
      </c>
      <c r="D2486" t="s">
        <v>21</v>
      </c>
      <c r="E2486" t="s">
        <v>40</v>
      </c>
      <c r="F2486" t="s">
        <v>78</v>
      </c>
      <c r="G2486" t="s">
        <v>33</v>
      </c>
      <c r="H2486" t="s">
        <v>67</v>
      </c>
      <c r="I2486" t="s">
        <v>72</v>
      </c>
      <c r="J2486" t="s">
        <v>73</v>
      </c>
      <c r="K2486">
        <v>6</v>
      </c>
      <c r="L2486">
        <v>78510</v>
      </c>
      <c r="M2486" t="s">
        <v>28</v>
      </c>
      <c r="N2486">
        <v>1</v>
      </c>
      <c r="O2486">
        <v>2</v>
      </c>
      <c r="P2486">
        <v>46</v>
      </c>
      <c r="Q2486">
        <v>0</v>
      </c>
      <c r="R2486" s="1">
        <v>42918</v>
      </c>
      <c r="S2486" t="s">
        <v>29</v>
      </c>
      <c r="T2486" t="str">
        <f t="shared" si="190"/>
        <v>Grade B</v>
      </c>
      <c r="U2486">
        <f t="shared" si="191"/>
        <v>3</v>
      </c>
      <c r="V2486" t="str">
        <f t="shared" si="192"/>
        <v>Mid Level</v>
      </c>
      <c r="W2486" t="str">
        <f t="shared" si="193"/>
        <v>Medium Risk</v>
      </c>
      <c r="X2486" t="str">
        <f t="shared" si="194"/>
        <v>Competitive</v>
      </c>
    </row>
    <row r="2487" spans="1:24" x14ac:dyDescent="0.3">
      <c r="A2487" t="s">
        <v>2555</v>
      </c>
      <c r="B2487" t="s">
        <v>39</v>
      </c>
      <c r="C2487">
        <v>47</v>
      </c>
      <c r="D2487" t="s">
        <v>57</v>
      </c>
      <c r="E2487" t="s">
        <v>22</v>
      </c>
      <c r="F2487" t="s">
        <v>62</v>
      </c>
      <c r="G2487" t="s">
        <v>33</v>
      </c>
      <c r="H2487" t="s">
        <v>83</v>
      </c>
      <c r="I2487" t="s">
        <v>50</v>
      </c>
      <c r="J2487" t="s">
        <v>44</v>
      </c>
      <c r="K2487">
        <v>1</v>
      </c>
      <c r="L2487">
        <v>61927</v>
      </c>
      <c r="M2487" t="s">
        <v>45</v>
      </c>
      <c r="N2487">
        <v>1</v>
      </c>
      <c r="O2487">
        <v>4</v>
      </c>
      <c r="P2487">
        <v>24</v>
      </c>
      <c r="Q2487">
        <v>0</v>
      </c>
      <c r="R2487" s="1">
        <v>44802</v>
      </c>
      <c r="S2487" t="s">
        <v>29</v>
      </c>
      <c r="T2487" t="str">
        <f t="shared" si="190"/>
        <v>Grade B</v>
      </c>
      <c r="U2487">
        <f t="shared" si="191"/>
        <v>2</v>
      </c>
      <c r="V2487" t="str">
        <f t="shared" si="192"/>
        <v>New Joiner</v>
      </c>
      <c r="W2487" t="str">
        <f t="shared" si="193"/>
        <v>Medium Risk</v>
      </c>
      <c r="X2487" t="str">
        <f t="shared" si="194"/>
        <v>Fair</v>
      </c>
    </row>
    <row r="2488" spans="1:24" x14ac:dyDescent="0.3">
      <c r="A2488" t="s">
        <v>2556</v>
      </c>
      <c r="B2488" t="s">
        <v>20</v>
      </c>
      <c r="C2488">
        <v>44</v>
      </c>
      <c r="D2488" t="s">
        <v>21</v>
      </c>
      <c r="E2488" t="s">
        <v>22</v>
      </c>
      <c r="F2488" t="s">
        <v>65</v>
      </c>
      <c r="G2488" t="s">
        <v>49</v>
      </c>
      <c r="H2488" t="s">
        <v>76</v>
      </c>
      <c r="I2488" t="s">
        <v>72</v>
      </c>
      <c r="J2488" t="s">
        <v>73</v>
      </c>
      <c r="K2488">
        <v>2</v>
      </c>
      <c r="L2488">
        <v>53323</v>
      </c>
      <c r="M2488" t="s">
        <v>36</v>
      </c>
      <c r="N2488">
        <v>1</v>
      </c>
      <c r="O2488">
        <v>3</v>
      </c>
      <c r="P2488">
        <v>52</v>
      </c>
      <c r="Q2488">
        <v>2</v>
      </c>
      <c r="R2488" s="1">
        <v>44421</v>
      </c>
      <c r="S2488" t="s">
        <v>29</v>
      </c>
      <c r="T2488" t="str">
        <f t="shared" si="190"/>
        <v>Grade B</v>
      </c>
      <c r="U2488">
        <f t="shared" si="191"/>
        <v>1</v>
      </c>
      <c r="V2488" t="str">
        <f t="shared" si="192"/>
        <v>New Joiner</v>
      </c>
      <c r="W2488" t="str">
        <f t="shared" si="193"/>
        <v>High Risk</v>
      </c>
      <c r="X2488" t="str">
        <f t="shared" si="194"/>
        <v>Fair</v>
      </c>
    </row>
    <row r="2489" spans="1:24" x14ac:dyDescent="0.3">
      <c r="A2489" t="s">
        <v>2557</v>
      </c>
      <c r="B2489" t="s">
        <v>20</v>
      </c>
      <c r="C2489">
        <v>41</v>
      </c>
      <c r="D2489" t="s">
        <v>88</v>
      </c>
      <c r="E2489" t="s">
        <v>48</v>
      </c>
      <c r="F2489" t="s">
        <v>53</v>
      </c>
      <c r="G2489" t="s">
        <v>63</v>
      </c>
      <c r="H2489" t="s">
        <v>67</v>
      </c>
      <c r="I2489" t="s">
        <v>50</v>
      </c>
      <c r="J2489" t="s">
        <v>44</v>
      </c>
      <c r="K2489">
        <v>1</v>
      </c>
      <c r="L2489">
        <v>55700</v>
      </c>
      <c r="M2489" t="s">
        <v>36</v>
      </c>
      <c r="N2489">
        <v>2</v>
      </c>
      <c r="O2489">
        <v>3</v>
      </c>
      <c r="P2489">
        <v>65</v>
      </c>
      <c r="Q2489">
        <v>2</v>
      </c>
      <c r="R2489" s="1">
        <v>44908</v>
      </c>
      <c r="S2489" t="s">
        <v>29</v>
      </c>
      <c r="T2489" t="str">
        <f t="shared" si="190"/>
        <v>Grade B</v>
      </c>
      <c r="U2489">
        <f t="shared" si="191"/>
        <v>1</v>
      </c>
      <c r="V2489" t="str">
        <f t="shared" si="192"/>
        <v>New Joiner</v>
      </c>
      <c r="W2489" t="str">
        <f t="shared" si="193"/>
        <v>High Risk</v>
      </c>
      <c r="X2489" t="str">
        <f t="shared" si="194"/>
        <v>Fair</v>
      </c>
    </row>
    <row r="2490" spans="1:24" x14ac:dyDescent="0.3">
      <c r="A2490" t="s">
        <v>2558</v>
      </c>
      <c r="B2490" t="s">
        <v>39</v>
      </c>
      <c r="C2490">
        <v>41</v>
      </c>
      <c r="D2490" t="s">
        <v>31</v>
      </c>
      <c r="E2490" t="s">
        <v>48</v>
      </c>
      <c r="F2490" t="s">
        <v>23</v>
      </c>
      <c r="G2490" t="s">
        <v>49</v>
      </c>
      <c r="H2490" t="s">
        <v>67</v>
      </c>
      <c r="I2490" t="s">
        <v>35</v>
      </c>
      <c r="J2490" t="s">
        <v>27</v>
      </c>
      <c r="K2490">
        <v>4</v>
      </c>
      <c r="L2490">
        <v>61220</v>
      </c>
      <c r="M2490" t="s">
        <v>36</v>
      </c>
      <c r="N2490">
        <v>1</v>
      </c>
      <c r="O2490">
        <v>4</v>
      </c>
      <c r="P2490">
        <v>14</v>
      </c>
      <c r="Q2490">
        <v>1</v>
      </c>
      <c r="R2490" s="1">
        <v>43761</v>
      </c>
      <c r="S2490" t="s">
        <v>37</v>
      </c>
      <c r="T2490" t="str">
        <f t="shared" si="190"/>
        <v>Grade B</v>
      </c>
      <c r="U2490">
        <f t="shared" si="191"/>
        <v>1</v>
      </c>
      <c r="V2490" t="str">
        <f t="shared" si="192"/>
        <v>Junior</v>
      </c>
      <c r="W2490" t="str">
        <f t="shared" si="193"/>
        <v>Already Left</v>
      </c>
      <c r="X2490" t="str">
        <f t="shared" si="194"/>
        <v>Fair</v>
      </c>
    </row>
    <row r="2491" spans="1:24" x14ac:dyDescent="0.3">
      <c r="A2491" t="s">
        <v>2559</v>
      </c>
      <c r="B2491" t="s">
        <v>20</v>
      </c>
      <c r="C2491">
        <v>47</v>
      </c>
      <c r="D2491" t="s">
        <v>47</v>
      </c>
      <c r="E2491" t="s">
        <v>40</v>
      </c>
      <c r="F2491" t="s">
        <v>65</v>
      </c>
      <c r="G2491" t="s">
        <v>24</v>
      </c>
      <c r="H2491" t="s">
        <v>83</v>
      </c>
      <c r="I2491" t="s">
        <v>59</v>
      </c>
      <c r="J2491" t="s">
        <v>60</v>
      </c>
      <c r="K2491">
        <v>14</v>
      </c>
      <c r="L2491">
        <v>101540</v>
      </c>
      <c r="M2491" t="s">
        <v>45</v>
      </c>
      <c r="N2491">
        <v>1</v>
      </c>
      <c r="O2491">
        <v>1</v>
      </c>
      <c r="P2491">
        <v>14</v>
      </c>
      <c r="Q2491">
        <v>2</v>
      </c>
      <c r="R2491" s="1">
        <v>39851</v>
      </c>
      <c r="S2491" t="s">
        <v>29</v>
      </c>
      <c r="T2491" t="str">
        <f t="shared" si="190"/>
        <v>Grade A</v>
      </c>
      <c r="U2491">
        <f t="shared" si="191"/>
        <v>2</v>
      </c>
      <c r="V2491" t="str">
        <f t="shared" si="192"/>
        <v>Senior</v>
      </c>
      <c r="W2491" t="str">
        <f t="shared" si="193"/>
        <v>Medium Risk</v>
      </c>
      <c r="X2491" t="str">
        <f t="shared" si="194"/>
        <v>Fair</v>
      </c>
    </row>
    <row r="2492" spans="1:24" x14ac:dyDescent="0.3">
      <c r="A2492" t="s">
        <v>2560</v>
      </c>
      <c r="B2492" t="s">
        <v>39</v>
      </c>
      <c r="C2492">
        <v>41</v>
      </c>
      <c r="D2492" t="s">
        <v>21</v>
      </c>
      <c r="E2492" t="s">
        <v>40</v>
      </c>
      <c r="F2492" t="s">
        <v>32</v>
      </c>
      <c r="G2492" t="s">
        <v>63</v>
      </c>
      <c r="H2492" t="s">
        <v>34</v>
      </c>
      <c r="I2492" t="s">
        <v>72</v>
      </c>
      <c r="J2492" t="s">
        <v>73</v>
      </c>
      <c r="K2492">
        <v>5</v>
      </c>
      <c r="L2492">
        <v>61246</v>
      </c>
      <c r="M2492" t="s">
        <v>51</v>
      </c>
      <c r="N2492">
        <v>4</v>
      </c>
      <c r="O2492">
        <v>1</v>
      </c>
      <c r="P2492">
        <v>66</v>
      </c>
      <c r="Q2492">
        <v>0</v>
      </c>
      <c r="R2492" s="1">
        <v>43306</v>
      </c>
      <c r="S2492" t="s">
        <v>29</v>
      </c>
      <c r="T2492" t="str">
        <f t="shared" si="190"/>
        <v>Grade B</v>
      </c>
      <c r="U2492">
        <f t="shared" si="191"/>
        <v>4</v>
      </c>
      <c r="V2492" t="str">
        <f t="shared" si="192"/>
        <v>Junior</v>
      </c>
      <c r="W2492" t="str">
        <f t="shared" si="193"/>
        <v>Low Risk</v>
      </c>
      <c r="X2492" t="str">
        <f t="shared" si="194"/>
        <v>Fair</v>
      </c>
    </row>
    <row r="2493" spans="1:24" x14ac:dyDescent="0.3">
      <c r="A2493" t="s">
        <v>2561</v>
      </c>
      <c r="B2493" t="s">
        <v>20</v>
      </c>
      <c r="C2493">
        <v>48</v>
      </c>
      <c r="D2493" t="s">
        <v>88</v>
      </c>
      <c r="E2493" t="s">
        <v>40</v>
      </c>
      <c r="F2493" t="s">
        <v>78</v>
      </c>
      <c r="G2493" t="s">
        <v>58</v>
      </c>
      <c r="H2493" t="s">
        <v>67</v>
      </c>
      <c r="I2493" t="s">
        <v>54</v>
      </c>
      <c r="J2493" t="s">
        <v>27</v>
      </c>
      <c r="K2493">
        <v>8</v>
      </c>
      <c r="L2493">
        <v>110332</v>
      </c>
      <c r="M2493" t="s">
        <v>51</v>
      </c>
      <c r="N2493">
        <v>1</v>
      </c>
      <c r="O2493">
        <v>2</v>
      </c>
      <c r="P2493">
        <v>12</v>
      </c>
      <c r="Q2493">
        <v>1</v>
      </c>
      <c r="R2493" s="1">
        <v>42313</v>
      </c>
      <c r="S2493" t="s">
        <v>29</v>
      </c>
      <c r="T2493" t="str">
        <f t="shared" si="190"/>
        <v>Grade A</v>
      </c>
      <c r="U2493">
        <f t="shared" si="191"/>
        <v>4</v>
      </c>
      <c r="V2493" t="str">
        <f t="shared" si="192"/>
        <v>Mid Level</v>
      </c>
      <c r="W2493" t="str">
        <f t="shared" si="193"/>
        <v>Low Risk</v>
      </c>
      <c r="X2493" t="str">
        <f t="shared" si="194"/>
        <v>Competitive</v>
      </c>
    </row>
    <row r="2494" spans="1:24" x14ac:dyDescent="0.3">
      <c r="A2494" t="s">
        <v>2562</v>
      </c>
      <c r="B2494" t="s">
        <v>39</v>
      </c>
      <c r="C2494">
        <v>28</v>
      </c>
      <c r="D2494" t="s">
        <v>57</v>
      </c>
      <c r="E2494" t="s">
        <v>48</v>
      </c>
      <c r="F2494" t="s">
        <v>62</v>
      </c>
      <c r="G2494" t="s">
        <v>24</v>
      </c>
      <c r="H2494" t="s">
        <v>76</v>
      </c>
      <c r="I2494" t="s">
        <v>35</v>
      </c>
      <c r="J2494" t="s">
        <v>27</v>
      </c>
      <c r="K2494">
        <v>11</v>
      </c>
      <c r="L2494">
        <v>105006</v>
      </c>
      <c r="M2494" t="s">
        <v>51</v>
      </c>
      <c r="N2494">
        <v>3</v>
      </c>
      <c r="O2494">
        <v>3</v>
      </c>
      <c r="P2494">
        <v>62</v>
      </c>
      <c r="Q2494">
        <v>3</v>
      </c>
      <c r="R2494" s="1">
        <v>41091</v>
      </c>
      <c r="S2494" t="s">
        <v>37</v>
      </c>
      <c r="T2494" t="str">
        <f t="shared" si="190"/>
        <v>Grade A</v>
      </c>
      <c r="U2494">
        <f t="shared" si="191"/>
        <v>4</v>
      </c>
      <c r="V2494" t="str">
        <f t="shared" si="192"/>
        <v>Senior</v>
      </c>
      <c r="W2494" t="str">
        <f t="shared" si="193"/>
        <v>Already Left</v>
      </c>
      <c r="X2494" t="str">
        <f t="shared" si="194"/>
        <v>Competitive</v>
      </c>
    </row>
    <row r="2495" spans="1:24" x14ac:dyDescent="0.3">
      <c r="A2495" t="s">
        <v>2563</v>
      </c>
      <c r="B2495" t="s">
        <v>39</v>
      </c>
      <c r="C2495">
        <v>30</v>
      </c>
      <c r="D2495" t="s">
        <v>57</v>
      </c>
      <c r="E2495" t="s">
        <v>48</v>
      </c>
      <c r="F2495" t="s">
        <v>65</v>
      </c>
      <c r="G2495" t="s">
        <v>24</v>
      </c>
      <c r="H2495" t="s">
        <v>76</v>
      </c>
      <c r="I2495" t="s">
        <v>68</v>
      </c>
      <c r="J2495" t="s">
        <v>60</v>
      </c>
      <c r="K2495">
        <v>2</v>
      </c>
      <c r="L2495">
        <v>80441</v>
      </c>
      <c r="M2495" t="s">
        <v>28</v>
      </c>
      <c r="N2495">
        <v>4</v>
      </c>
      <c r="O2495">
        <v>4</v>
      </c>
      <c r="P2495">
        <v>32</v>
      </c>
      <c r="Q2495">
        <v>1</v>
      </c>
      <c r="R2495" s="1">
        <v>44347</v>
      </c>
      <c r="S2495" t="s">
        <v>29</v>
      </c>
      <c r="T2495" t="str">
        <f t="shared" si="190"/>
        <v>Grade A</v>
      </c>
      <c r="U2495">
        <f t="shared" si="191"/>
        <v>3</v>
      </c>
      <c r="V2495" t="str">
        <f t="shared" si="192"/>
        <v>New Joiner</v>
      </c>
      <c r="W2495" t="str">
        <f t="shared" si="193"/>
        <v>Medium Risk</v>
      </c>
      <c r="X2495" t="str">
        <f t="shared" si="194"/>
        <v>Competitive</v>
      </c>
    </row>
    <row r="2496" spans="1:24" x14ac:dyDescent="0.3">
      <c r="A2496" t="s">
        <v>2564</v>
      </c>
      <c r="B2496" t="s">
        <v>39</v>
      </c>
      <c r="C2496">
        <v>54</v>
      </c>
      <c r="D2496" t="s">
        <v>88</v>
      </c>
      <c r="E2496" t="s">
        <v>48</v>
      </c>
      <c r="F2496" t="s">
        <v>65</v>
      </c>
      <c r="G2496" t="s">
        <v>42</v>
      </c>
      <c r="H2496" t="s">
        <v>76</v>
      </c>
      <c r="I2496" t="s">
        <v>54</v>
      </c>
      <c r="J2496" t="s">
        <v>27</v>
      </c>
      <c r="K2496">
        <v>8</v>
      </c>
      <c r="L2496">
        <v>112922</v>
      </c>
      <c r="M2496" t="s">
        <v>45</v>
      </c>
      <c r="N2496">
        <v>1</v>
      </c>
      <c r="O2496">
        <v>4</v>
      </c>
      <c r="P2496">
        <v>39</v>
      </c>
      <c r="Q2496">
        <v>1</v>
      </c>
      <c r="R2496" s="1">
        <v>42088</v>
      </c>
      <c r="S2496" t="s">
        <v>37</v>
      </c>
      <c r="T2496" t="str">
        <f t="shared" si="190"/>
        <v>Grade A</v>
      </c>
      <c r="U2496">
        <f t="shared" si="191"/>
        <v>2</v>
      </c>
      <c r="V2496" t="str">
        <f t="shared" si="192"/>
        <v>Mid Level</v>
      </c>
      <c r="W2496" t="str">
        <f t="shared" si="193"/>
        <v>Already Left</v>
      </c>
      <c r="X2496" t="str">
        <f t="shared" si="194"/>
        <v>Fair</v>
      </c>
    </row>
    <row r="2497" spans="1:24" x14ac:dyDescent="0.3">
      <c r="A2497" t="s">
        <v>2565</v>
      </c>
      <c r="B2497" t="s">
        <v>20</v>
      </c>
      <c r="C2497">
        <v>27</v>
      </c>
      <c r="D2497" t="s">
        <v>31</v>
      </c>
      <c r="E2497" t="s">
        <v>48</v>
      </c>
      <c r="F2497" t="s">
        <v>65</v>
      </c>
      <c r="G2497" t="s">
        <v>63</v>
      </c>
      <c r="H2497" t="s">
        <v>76</v>
      </c>
      <c r="I2497" t="s">
        <v>26</v>
      </c>
      <c r="J2497" t="s">
        <v>27</v>
      </c>
      <c r="K2497">
        <v>15</v>
      </c>
      <c r="L2497">
        <v>66206</v>
      </c>
      <c r="M2497" t="s">
        <v>51</v>
      </c>
      <c r="N2497">
        <v>4</v>
      </c>
      <c r="O2497">
        <v>1</v>
      </c>
      <c r="P2497">
        <v>63</v>
      </c>
      <c r="Q2497">
        <v>2</v>
      </c>
      <c r="R2497" s="1">
        <v>39729</v>
      </c>
      <c r="S2497" t="s">
        <v>29</v>
      </c>
      <c r="T2497" t="str">
        <f t="shared" si="190"/>
        <v>Grade B</v>
      </c>
      <c r="U2497">
        <f t="shared" si="191"/>
        <v>4</v>
      </c>
      <c r="V2497" t="str">
        <f t="shared" si="192"/>
        <v>Senior</v>
      </c>
      <c r="W2497" t="str">
        <f t="shared" si="193"/>
        <v>Low Risk</v>
      </c>
      <c r="X2497" t="str">
        <f t="shared" si="194"/>
        <v>Fair</v>
      </c>
    </row>
    <row r="2498" spans="1:24" x14ac:dyDescent="0.3">
      <c r="A2498" t="s">
        <v>2566</v>
      </c>
      <c r="B2498" t="s">
        <v>20</v>
      </c>
      <c r="C2498">
        <v>54</v>
      </c>
      <c r="D2498" t="s">
        <v>47</v>
      </c>
      <c r="E2498" t="s">
        <v>40</v>
      </c>
      <c r="F2498" t="s">
        <v>62</v>
      </c>
      <c r="G2498" t="s">
        <v>24</v>
      </c>
      <c r="H2498" t="s">
        <v>25</v>
      </c>
      <c r="I2498" t="s">
        <v>50</v>
      </c>
      <c r="J2498" t="s">
        <v>44</v>
      </c>
      <c r="K2498">
        <v>6</v>
      </c>
      <c r="L2498">
        <v>91094</v>
      </c>
      <c r="M2498" t="s">
        <v>51</v>
      </c>
      <c r="N2498">
        <v>4</v>
      </c>
      <c r="O2498">
        <v>3</v>
      </c>
      <c r="P2498">
        <v>57</v>
      </c>
      <c r="Q2498">
        <v>2</v>
      </c>
      <c r="R2498" s="1">
        <v>42957</v>
      </c>
      <c r="S2498" t="s">
        <v>29</v>
      </c>
      <c r="T2498" t="str">
        <f t="shared" ref="T2498:T2561" si="195">IF(L2498&gt;=80000,"Grade A",IF(L2498&gt;=50000,"Grade B",IF(L2498&gt;=35000,"Grade C","Grade D")))</f>
        <v>Grade A</v>
      </c>
      <c r="U2498">
        <f t="shared" ref="U2498:U2561" si="196">IF(M2498="Excellent",4,IF(M2498="Good",3,IF(M2498="Average",2,1)))</f>
        <v>4</v>
      </c>
      <c r="V2498" t="str">
        <f t="shared" ref="V2498:V2561" si="197">IF(K2498&lt;=2,"New Joiner",IF(K2498&lt;=5,"Junior",IF(K2498&lt;=10,"Mid Level","Senior")))</f>
        <v>Mid Level</v>
      </c>
      <c r="W2498" t="str">
        <f t="shared" ref="W2498:W2561" si="198">IF(S2498="Yes","Already Left",IF(AND(K2498&lt;=2,M2498="Poor"),"High Risk",IF(AND(K2498&lt;=5,M2498="Average"),"Medium Risk",IF(M2498="Excellent","Low Risk","Medium Risk"))))</f>
        <v>Low Risk</v>
      </c>
      <c r="X2498" t="str">
        <f t="shared" ref="X2498:X2561" si="199">IF(AND(L2498&gt;=80000,M2498="Excellent"),"Competitive",IF(AND(L2498&gt;=50000,M2498="Good"),"Competitive",IF(AND(L2498&lt;35000,M2498="Excellent"),"Underpaid",IF(AND(L2498&gt;=80000,M2498="Poor"),"Overpaid","Fair"))))</f>
        <v>Competitive</v>
      </c>
    </row>
    <row r="2499" spans="1:24" x14ac:dyDescent="0.3">
      <c r="A2499" t="s">
        <v>2567</v>
      </c>
      <c r="B2499" t="s">
        <v>20</v>
      </c>
      <c r="C2499">
        <v>30</v>
      </c>
      <c r="D2499" t="s">
        <v>21</v>
      </c>
      <c r="E2499" t="s">
        <v>40</v>
      </c>
      <c r="F2499" t="s">
        <v>41</v>
      </c>
      <c r="G2499" t="s">
        <v>58</v>
      </c>
      <c r="H2499" t="s">
        <v>67</v>
      </c>
      <c r="I2499" t="s">
        <v>26</v>
      </c>
      <c r="J2499" t="s">
        <v>27</v>
      </c>
      <c r="K2499">
        <v>9</v>
      </c>
      <c r="L2499">
        <v>101332</v>
      </c>
      <c r="M2499" t="s">
        <v>36</v>
      </c>
      <c r="N2499">
        <v>2</v>
      </c>
      <c r="O2499">
        <v>2</v>
      </c>
      <c r="P2499">
        <v>66</v>
      </c>
      <c r="Q2499">
        <v>1</v>
      </c>
      <c r="R2499" s="1">
        <v>41759</v>
      </c>
      <c r="S2499" t="s">
        <v>29</v>
      </c>
      <c r="T2499" t="str">
        <f t="shared" si="195"/>
        <v>Grade A</v>
      </c>
      <c r="U2499">
        <f t="shared" si="196"/>
        <v>1</v>
      </c>
      <c r="V2499" t="str">
        <f t="shared" si="197"/>
        <v>Mid Level</v>
      </c>
      <c r="W2499" t="str">
        <f t="shared" si="198"/>
        <v>Medium Risk</v>
      </c>
      <c r="X2499" t="str">
        <f t="shared" si="199"/>
        <v>Overpaid</v>
      </c>
    </row>
    <row r="2500" spans="1:24" x14ac:dyDescent="0.3">
      <c r="A2500" t="s">
        <v>2568</v>
      </c>
      <c r="B2500" t="s">
        <v>20</v>
      </c>
      <c r="C2500">
        <v>40</v>
      </c>
      <c r="D2500" t="s">
        <v>21</v>
      </c>
      <c r="E2500" t="s">
        <v>48</v>
      </c>
      <c r="F2500" t="s">
        <v>75</v>
      </c>
      <c r="G2500" t="s">
        <v>24</v>
      </c>
      <c r="H2500" t="s">
        <v>25</v>
      </c>
      <c r="I2500" t="s">
        <v>54</v>
      </c>
      <c r="J2500" t="s">
        <v>27</v>
      </c>
      <c r="K2500">
        <v>5</v>
      </c>
      <c r="L2500">
        <v>90572</v>
      </c>
      <c r="M2500" t="s">
        <v>28</v>
      </c>
      <c r="N2500">
        <v>4</v>
      </c>
      <c r="O2500">
        <v>3</v>
      </c>
      <c r="P2500">
        <v>44</v>
      </c>
      <c r="Q2500">
        <v>0</v>
      </c>
      <c r="R2500" s="1">
        <v>43466</v>
      </c>
      <c r="S2500" t="s">
        <v>29</v>
      </c>
      <c r="T2500" t="str">
        <f t="shared" si="195"/>
        <v>Grade A</v>
      </c>
      <c r="U2500">
        <f t="shared" si="196"/>
        <v>3</v>
      </c>
      <c r="V2500" t="str">
        <f t="shared" si="197"/>
        <v>Junior</v>
      </c>
      <c r="W2500" t="str">
        <f t="shared" si="198"/>
        <v>Medium Risk</v>
      </c>
      <c r="X2500" t="str">
        <f t="shared" si="199"/>
        <v>Competitive</v>
      </c>
    </row>
    <row r="2501" spans="1:24" x14ac:dyDescent="0.3">
      <c r="A2501" t="s">
        <v>2569</v>
      </c>
      <c r="B2501" t="s">
        <v>20</v>
      </c>
      <c r="C2501">
        <v>43</v>
      </c>
      <c r="D2501" t="s">
        <v>57</v>
      </c>
      <c r="E2501" t="s">
        <v>22</v>
      </c>
      <c r="F2501" t="s">
        <v>75</v>
      </c>
      <c r="G2501" t="s">
        <v>49</v>
      </c>
      <c r="H2501" t="s">
        <v>83</v>
      </c>
      <c r="I2501" t="s">
        <v>68</v>
      </c>
      <c r="J2501" t="s">
        <v>60</v>
      </c>
      <c r="K2501">
        <v>6</v>
      </c>
      <c r="L2501">
        <v>61254</v>
      </c>
      <c r="M2501" t="s">
        <v>28</v>
      </c>
      <c r="N2501">
        <v>2</v>
      </c>
      <c r="O2501">
        <v>2</v>
      </c>
      <c r="P2501">
        <v>65</v>
      </c>
      <c r="Q2501">
        <v>1</v>
      </c>
      <c r="R2501" s="1">
        <v>42936</v>
      </c>
      <c r="S2501" t="s">
        <v>29</v>
      </c>
      <c r="T2501" t="str">
        <f t="shared" si="195"/>
        <v>Grade B</v>
      </c>
      <c r="U2501">
        <f t="shared" si="196"/>
        <v>3</v>
      </c>
      <c r="V2501" t="str">
        <f t="shared" si="197"/>
        <v>Mid Level</v>
      </c>
      <c r="W2501" t="str">
        <f t="shared" si="198"/>
        <v>Medium Risk</v>
      </c>
      <c r="X2501" t="str">
        <f t="shared" si="199"/>
        <v>Competitive</v>
      </c>
    </row>
    <row r="2502" spans="1:24" x14ac:dyDescent="0.3">
      <c r="A2502" t="s">
        <v>2570</v>
      </c>
      <c r="B2502" t="s">
        <v>20</v>
      </c>
      <c r="C2502">
        <v>39</v>
      </c>
      <c r="D2502" t="s">
        <v>47</v>
      </c>
      <c r="E2502" t="s">
        <v>40</v>
      </c>
      <c r="F2502" t="s">
        <v>32</v>
      </c>
      <c r="G2502" t="s">
        <v>66</v>
      </c>
      <c r="H2502" t="s">
        <v>34</v>
      </c>
      <c r="I2502" t="s">
        <v>26</v>
      </c>
      <c r="J2502" t="s">
        <v>27</v>
      </c>
      <c r="K2502">
        <v>2</v>
      </c>
      <c r="L2502">
        <v>40294</v>
      </c>
      <c r="M2502" t="s">
        <v>45</v>
      </c>
      <c r="N2502">
        <v>3</v>
      </c>
      <c r="O2502">
        <v>2</v>
      </c>
      <c r="P2502">
        <v>71</v>
      </c>
      <c r="Q2502">
        <v>2</v>
      </c>
      <c r="R2502" s="1">
        <v>44558</v>
      </c>
      <c r="S2502" t="s">
        <v>37</v>
      </c>
      <c r="T2502" t="str">
        <f t="shared" si="195"/>
        <v>Grade C</v>
      </c>
      <c r="U2502">
        <f t="shared" si="196"/>
        <v>2</v>
      </c>
      <c r="V2502" t="str">
        <f t="shared" si="197"/>
        <v>New Joiner</v>
      </c>
      <c r="W2502" t="str">
        <f t="shared" si="198"/>
        <v>Already Left</v>
      </c>
      <c r="X2502" t="str">
        <f t="shared" si="199"/>
        <v>Fair</v>
      </c>
    </row>
    <row r="2503" spans="1:24" x14ac:dyDescent="0.3">
      <c r="A2503" t="s">
        <v>2571</v>
      </c>
      <c r="B2503" t="s">
        <v>39</v>
      </c>
      <c r="C2503">
        <v>50</v>
      </c>
      <c r="D2503" t="s">
        <v>47</v>
      </c>
      <c r="E2503" t="s">
        <v>48</v>
      </c>
      <c r="F2503" t="s">
        <v>65</v>
      </c>
      <c r="G2503" t="s">
        <v>42</v>
      </c>
      <c r="H2503" t="s">
        <v>76</v>
      </c>
      <c r="I2503" t="s">
        <v>50</v>
      </c>
      <c r="J2503" t="s">
        <v>44</v>
      </c>
      <c r="K2503">
        <v>9</v>
      </c>
      <c r="L2503">
        <v>120222</v>
      </c>
      <c r="M2503" t="s">
        <v>51</v>
      </c>
      <c r="N2503">
        <v>1</v>
      </c>
      <c r="O2503">
        <v>2</v>
      </c>
      <c r="P2503">
        <v>60</v>
      </c>
      <c r="Q2503">
        <v>1</v>
      </c>
      <c r="R2503" s="1">
        <v>41651</v>
      </c>
      <c r="S2503" t="s">
        <v>29</v>
      </c>
      <c r="T2503" t="str">
        <f t="shared" si="195"/>
        <v>Grade A</v>
      </c>
      <c r="U2503">
        <f t="shared" si="196"/>
        <v>4</v>
      </c>
      <c r="V2503" t="str">
        <f t="shared" si="197"/>
        <v>Mid Level</v>
      </c>
      <c r="W2503" t="str">
        <f t="shared" si="198"/>
        <v>Low Risk</v>
      </c>
      <c r="X2503" t="str">
        <f t="shared" si="199"/>
        <v>Competitive</v>
      </c>
    </row>
    <row r="2504" spans="1:24" x14ac:dyDescent="0.3">
      <c r="A2504" t="s">
        <v>2572</v>
      </c>
      <c r="B2504" t="s">
        <v>39</v>
      </c>
      <c r="C2504">
        <v>31</v>
      </c>
      <c r="D2504" t="s">
        <v>57</v>
      </c>
      <c r="E2504" t="s">
        <v>48</v>
      </c>
      <c r="F2504" t="s">
        <v>62</v>
      </c>
      <c r="G2504" t="s">
        <v>49</v>
      </c>
      <c r="H2504" t="s">
        <v>83</v>
      </c>
      <c r="I2504" t="s">
        <v>59</v>
      </c>
      <c r="J2504" t="s">
        <v>60</v>
      </c>
      <c r="K2504">
        <v>11</v>
      </c>
      <c r="L2504">
        <v>78014</v>
      </c>
      <c r="M2504" t="s">
        <v>28</v>
      </c>
      <c r="N2504">
        <v>2</v>
      </c>
      <c r="O2504">
        <v>4</v>
      </c>
      <c r="P2504">
        <v>41</v>
      </c>
      <c r="Q2504">
        <v>1</v>
      </c>
      <c r="R2504" s="1">
        <v>41224</v>
      </c>
      <c r="S2504" t="s">
        <v>29</v>
      </c>
      <c r="T2504" t="str">
        <f t="shared" si="195"/>
        <v>Grade B</v>
      </c>
      <c r="U2504">
        <f t="shared" si="196"/>
        <v>3</v>
      </c>
      <c r="V2504" t="str">
        <f t="shared" si="197"/>
        <v>Senior</v>
      </c>
      <c r="W2504" t="str">
        <f t="shared" si="198"/>
        <v>Medium Risk</v>
      </c>
      <c r="X2504" t="str">
        <f t="shared" si="199"/>
        <v>Competitive</v>
      </c>
    </row>
    <row r="2505" spans="1:24" x14ac:dyDescent="0.3">
      <c r="A2505" t="s">
        <v>2573</v>
      </c>
      <c r="B2505" t="s">
        <v>20</v>
      </c>
      <c r="C2505">
        <v>54</v>
      </c>
      <c r="D2505" t="s">
        <v>88</v>
      </c>
      <c r="E2505" t="s">
        <v>22</v>
      </c>
      <c r="F2505" t="s">
        <v>75</v>
      </c>
      <c r="G2505" t="s">
        <v>63</v>
      </c>
      <c r="H2505" t="s">
        <v>67</v>
      </c>
      <c r="I2505" t="s">
        <v>68</v>
      </c>
      <c r="J2505" t="s">
        <v>60</v>
      </c>
      <c r="K2505">
        <v>8</v>
      </c>
      <c r="L2505">
        <v>65384</v>
      </c>
      <c r="M2505" t="s">
        <v>36</v>
      </c>
      <c r="N2505">
        <v>3</v>
      </c>
      <c r="O2505">
        <v>4</v>
      </c>
      <c r="P2505">
        <v>78</v>
      </c>
      <c r="Q2505">
        <v>3</v>
      </c>
      <c r="R2505" s="1">
        <v>42058</v>
      </c>
      <c r="S2505" t="s">
        <v>37</v>
      </c>
      <c r="T2505" t="str">
        <f t="shared" si="195"/>
        <v>Grade B</v>
      </c>
      <c r="U2505">
        <f t="shared" si="196"/>
        <v>1</v>
      </c>
      <c r="V2505" t="str">
        <f t="shared" si="197"/>
        <v>Mid Level</v>
      </c>
      <c r="W2505" t="str">
        <f t="shared" si="198"/>
        <v>Already Left</v>
      </c>
      <c r="X2505" t="str">
        <f t="shared" si="199"/>
        <v>Fair</v>
      </c>
    </row>
    <row r="2506" spans="1:24" x14ac:dyDescent="0.3">
      <c r="A2506" t="s">
        <v>2574</v>
      </c>
      <c r="B2506" t="s">
        <v>39</v>
      </c>
      <c r="C2506">
        <v>26</v>
      </c>
      <c r="D2506" t="s">
        <v>47</v>
      </c>
      <c r="E2506" t="s">
        <v>48</v>
      </c>
      <c r="F2506" t="s">
        <v>62</v>
      </c>
      <c r="G2506" t="s">
        <v>42</v>
      </c>
      <c r="H2506" t="s">
        <v>34</v>
      </c>
      <c r="I2506" t="s">
        <v>96</v>
      </c>
      <c r="J2506" t="s">
        <v>44</v>
      </c>
      <c r="K2506">
        <v>10</v>
      </c>
      <c r="L2506">
        <v>113797</v>
      </c>
      <c r="M2506" t="s">
        <v>28</v>
      </c>
      <c r="N2506">
        <v>4</v>
      </c>
      <c r="O2506">
        <v>3</v>
      </c>
      <c r="P2506">
        <v>73</v>
      </c>
      <c r="Q2506">
        <v>1</v>
      </c>
      <c r="R2506" s="1">
        <v>41330</v>
      </c>
      <c r="S2506" t="s">
        <v>29</v>
      </c>
      <c r="T2506" t="str">
        <f t="shared" si="195"/>
        <v>Grade A</v>
      </c>
      <c r="U2506">
        <f t="shared" si="196"/>
        <v>3</v>
      </c>
      <c r="V2506" t="str">
        <f t="shared" si="197"/>
        <v>Mid Level</v>
      </c>
      <c r="W2506" t="str">
        <f t="shared" si="198"/>
        <v>Medium Risk</v>
      </c>
      <c r="X2506" t="str">
        <f t="shared" si="199"/>
        <v>Competitive</v>
      </c>
    </row>
    <row r="2507" spans="1:24" x14ac:dyDescent="0.3">
      <c r="A2507" t="s">
        <v>2575</v>
      </c>
      <c r="B2507" t="s">
        <v>20</v>
      </c>
      <c r="C2507">
        <v>50</v>
      </c>
      <c r="D2507" t="s">
        <v>88</v>
      </c>
      <c r="E2507" t="s">
        <v>22</v>
      </c>
      <c r="F2507" t="s">
        <v>75</v>
      </c>
      <c r="G2507" t="s">
        <v>58</v>
      </c>
      <c r="H2507" t="s">
        <v>34</v>
      </c>
      <c r="I2507" t="s">
        <v>43</v>
      </c>
      <c r="J2507" t="s">
        <v>44</v>
      </c>
      <c r="K2507">
        <v>12</v>
      </c>
      <c r="L2507">
        <v>109824</v>
      </c>
      <c r="M2507" t="s">
        <v>45</v>
      </c>
      <c r="N2507">
        <v>2</v>
      </c>
      <c r="O2507">
        <v>1</v>
      </c>
      <c r="P2507">
        <v>34</v>
      </c>
      <c r="Q2507">
        <v>0</v>
      </c>
      <c r="R2507" s="1">
        <v>40705</v>
      </c>
      <c r="S2507" t="s">
        <v>29</v>
      </c>
      <c r="T2507" t="str">
        <f t="shared" si="195"/>
        <v>Grade A</v>
      </c>
      <c r="U2507">
        <f t="shared" si="196"/>
        <v>2</v>
      </c>
      <c r="V2507" t="str">
        <f t="shared" si="197"/>
        <v>Senior</v>
      </c>
      <c r="W2507" t="str">
        <f t="shared" si="198"/>
        <v>Medium Risk</v>
      </c>
      <c r="X2507" t="str">
        <f t="shared" si="199"/>
        <v>Fair</v>
      </c>
    </row>
    <row r="2508" spans="1:24" x14ac:dyDescent="0.3">
      <c r="A2508" t="s">
        <v>2576</v>
      </c>
      <c r="B2508" t="s">
        <v>39</v>
      </c>
      <c r="C2508">
        <v>41</v>
      </c>
      <c r="D2508" t="s">
        <v>21</v>
      </c>
      <c r="E2508" t="s">
        <v>22</v>
      </c>
      <c r="F2508" t="s">
        <v>41</v>
      </c>
      <c r="G2508" t="s">
        <v>33</v>
      </c>
      <c r="H2508" t="s">
        <v>67</v>
      </c>
      <c r="I2508" t="s">
        <v>43</v>
      </c>
      <c r="J2508" t="s">
        <v>44</v>
      </c>
      <c r="K2508">
        <v>8</v>
      </c>
      <c r="L2508">
        <v>85558</v>
      </c>
      <c r="M2508" t="s">
        <v>51</v>
      </c>
      <c r="N2508">
        <v>2</v>
      </c>
      <c r="O2508">
        <v>2</v>
      </c>
      <c r="P2508">
        <v>35</v>
      </c>
      <c r="Q2508">
        <v>0</v>
      </c>
      <c r="R2508" s="1">
        <v>42198</v>
      </c>
      <c r="S2508" t="s">
        <v>37</v>
      </c>
      <c r="T2508" t="str">
        <f t="shared" si="195"/>
        <v>Grade A</v>
      </c>
      <c r="U2508">
        <f t="shared" si="196"/>
        <v>4</v>
      </c>
      <c r="V2508" t="str">
        <f t="shared" si="197"/>
        <v>Mid Level</v>
      </c>
      <c r="W2508" t="str">
        <f t="shared" si="198"/>
        <v>Already Left</v>
      </c>
      <c r="X2508" t="str">
        <f t="shared" si="199"/>
        <v>Competitive</v>
      </c>
    </row>
    <row r="2509" spans="1:24" x14ac:dyDescent="0.3">
      <c r="A2509" t="s">
        <v>2577</v>
      </c>
      <c r="B2509" t="s">
        <v>39</v>
      </c>
      <c r="C2509">
        <v>32</v>
      </c>
      <c r="D2509" t="s">
        <v>47</v>
      </c>
      <c r="E2509" t="s">
        <v>48</v>
      </c>
      <c r="F2509" t="s">
        <v>41</v>
      </c>
      <c r="G2509" t="s">
        <v>63</v>
      </c>
      <c r="H2509" t="s">
        <v>34</v>
      </c>
      <c r="I2509" t="s">
        <v>72</v>
      </c>
      <c r="J2509" t="s">
        <v>73</v>
      </c>
      <c r="K2509">
        <v>2</v>
      </c>
      <c r="L2509">
        <v>52199</v>
      </c>
      <c r="M2509" t="s">
        <v>51</v>
      </c>
      <c r="N2509">
        <v>2</v>
      </c>
      <c r="O2509">
        <v>1</v>
      </c>
      <c r="P2509">
        <v>25</v>
      </c>
      <c r="Q2509">
        <v>1</v>
      </c>
      <c r="R2509" s="1">
        <v>44286</v>
      </c>
      <c r="S2509" t="s">
        <v>29</v>
      </c>
      <c r="T2509" t="str">
        <f t="shared" si="195"/>
        <v>Grade B</v>
      </c>
      <c r="U2509">
        <f t="shared" si="196"/>
        <v>4</v>
      </c>
      <c r="V2509" t="str">
        <f t="shared" si="197"/>
        <v>New Joiner</v>
      </c>
      <c r="W2509" t="str">
        <f t="shared" si="198"/>
        <v>Low Risk</v>
      </c>
      <c r="X2509" t="str">
        <f t="shared" si="199"/>
        <v>Fair</v>
      </c>
    </row>
    <row r="2510" spans="1:24" x14ac:dyDescent="0.3">
      <c r="A2510" t="s">
        <v>2578</v>
      </c>
      <c r="B2510" t="s">
        <v>20</v>
      </c>
      <c r="C2510">
        <v>28</v>
      </c>
      <c r="D2510" t="s">
        <v>31</v>
      </c>
      <c r="E2510" t="s">
        <v>48</v>
      </c>
      <c r="F2510" t="s">
        <v>65</v>
      </c>
      <c r="G2510" t="s">
        <v>66</v>
      </c>
      <c r="H2510" t="s">
        <v>67</v>
      </c>
      <c r="I2510" t="s">
        <v>35</v>
      </c>
      <c r="J2510" t="s">
        <v>27</v>
      </c>
      <c r="K2510">
        <v>2</v>
      </c>
      <c r="L2510">
        <v>38044</v>
      </c>
      <c r="M2510" t="s">
        <v>51</v>
      </c>
      <c r="N2510">
        <v>2</v>
      </c>
      <c r="O2510">
        <v>3</v>
      </c>
      <c r="P2510">
        <v>21</v>
      </c>
      <c r="Q2510">
        <v>2</v>
      </c>
      <c r="R2510" s="1">
        <v>44274</v>
      </c>
      <c r="S2510" t="s">
        <v>29</v>
      </c>
      <c r="T2510" t="str">
        <f t="shared" si="195"/>
        <v>Grade C</v>
      </c>
      <c r="U2510">
        <f t="shared" si="196"/>
        <v>4</v>
      </c>
      <c r="V2510" t="str">
        <f t="shared" si="197"/>
        <v>New Joiner</v>
      </c>
      <c r="W2510" t="str">
        <f t="shared" si="198"/>
        <v>Low Risk</v>
      </c>
      <c r="X2510" t="str">
        <f t="shared" si="199"/>
        <v>Fair</v>
      </c>
    </row>
    <row r="2511" spans="1:24" x14ac:dyDescent="0.3">
      <c r="A2511" t="s">
        <v>2579</v>
      </c>
      <c r="B2511" t="s">
        <v>39</v>
      </c>
      <c r="C2511">
        <v>46</v>
      </c>
      <c r="D2511" t="s">
        <v>31</v>
      </c>
      <c r="E2511" t="s">
        <v>22</v>
      </c>
      <c r="F2511" t="s">
        <v>41</v>
      </c>
      <c r="G2511" t="s">
        <v>63</v>
      </c>
      <c r="H2511" t="s">
        <v>83</v>
      </c>
      <c r="I2511" t="s">
        <v>54</v>
      </c>
      <c r="J2511" t="s">
        <v>27</v>
      </c>
      <c r="K2511">
        <v>13</v>
      </c>
      <c r="L2511">
        <v>61403</v>
      </c>
      <c r="M2511" t="s">
        <v>36</v>
      </c>
      <c r="N2511">
        <v>3</v>
      </c>
      <c r="O2511">
        <v>4</v>
      </c>
      <c r="P2511">
        <v>14</v>
      </c>
      <c r="Q2511">
        <v>1</v>
      </c>
      <c r="R2511" s="1">
        <v>40454</v>
      </c>
      <c r="S2511" t="s">
        <v>37</v>
      </c>
      <c r="T2511" t="str">
        <f t="shared" si="195"/>
        <v>Grade B</v>
      </c>
      <c r="U2511">
        <f t="shared" si="196"/>
        <v>1</v>
      </c>
      <c r="V2511" t="str">
        <f t="shared" si="197"/>
        <v>Senior</v>
      </c>
      <c r="W2511" t="str">
        <f t="shared" si="198"/>
        <v>Already Left</v>
      </c>
      <c r="X2511" t="str">
        <f t="shared" si="199"/>
        <v>Fair</v>
      </c>
    </row>
    <row r="2512" spans="1:24" x14ac:dyDescent="0.3">
      <c r="A2512" t="s">
        <v>2580</v>
      </c>
      <c r="B2512" t="s">
        <v>39</v>
      </c>
      <c r="C2512">
        <v>43</v>
      </c>
      <c r="D2512" t="s">
        <v>21</v>
      </c>
      <c r="E2512" t="s">
        <v>40</v>
      </c>
      <c r="F2512" t="s">
        <v>53</v>
      </c>
      <c r="G2512" t="s">
        <v>33</v>
      </c>
      <c r="H2512" t="s">
        <v>67</v>
      </c>
      <c r="I2512" t="s">
        <v>43</v>
      </c>
      <c r="J2512" t="s">
        <v>44</v>
      </c>
      <c r="K2512">
        <v>14</v>
      </c>
      <c r="L2512">
        <v>96094</v>
      </c>
      <c r="M2512" t="s">
        <v>45</v>
      </c>
      <c r="N2512">
        <v>2</v>
      </c>
      <c r="O2512">
        <v>4</v>
      </c>
      <c r="P2512">
        <v>22</v>
      </c>
      <c r="Q2512">
        <v>1</v>
      </c>
      <c r="R2512" s="1">
        <v>40115</v>
      </c>
      <c r="S2512" t="s">
        <v>29</v>
      </c>
      <c r="T2512" t="str">
        <f t="shared" si="195"/>
        <v>Grade A</v>
      </c>
      <c r="U2512">
        <f t="shared" si="196"/>
        <v>2</v>
      </c>
      <c r="V2512" t="str">
        <f t="shared" si="197"/>
        <v>Senior</v>
      </c>
      <c r="W2512" t="str">
        <f t="shared" si="198"/>
        <v>Medium Risk</v>
      </c>
      <c r="X2512" t="str">
        <f t="shared" si="199"/>
        <v>Fair</v>
      </c>
    </row>
    <row r="2513" spans="1:24" x14ac:dyDescent="0.3">
      <c r="A2513" t="s">
        <v>2581</v>
      </c>
      <c r="B2513" t="s">
        <v>39</v>
      </c>
      <c r="C2513">
        <v>42</v>
      </c>
      <c r="D2513" t="s">
        <v>57</v>
      </c>
      <c r="E2513" t="s">
        <v>40</v>
      </c>
      <c r="F2513" t="s">
        <v>23</v>
      </c>
      <c r="G2513" t="s">
        <v>58</v>
      </c>
      <c r="H2513" t="s">
        <v>76</v>
      </c>
      <c r="I2513" t="s">
        <v>72</v>
      </c>
      <c r="J2513" t="s">
        <v>73</v>
      </c>
      <c r="K2513">
        <v>2</v>
      </c>
      <c r="L2513">
        <v>96346</v>
      </c>
      <c r="M2513" t="s">
        <v>28</v>
      </c>
      <c r="N2513">
        <v>4</v>
      </c>
      <c r="O2513">
        <v>1</v>
      </c>
      <c r="P2513">
        <v>60</v>
      </c>
      <c r="Q2513">
        <v>1</v>
      </c>
      <c r="R2513" s="1">
        <v>44546</v>
      </c>
      <c r="S2513" t="s">
        <v>29</v>
      </c>
      <c r="T2513" t="str">
        <f t="shared" si="195"/>
        <v>Grade A</v>
      </c>
      <c r="U2513">
        <f t="shared" si="196"/>
        <v>3</v>
      </c>
      <c r="V2513" t="str">
        <f t="shared" si="197"/>
        <v>New Joiner</v>
      </c>
      <c r="W2513" t="str">
        <f t="shared" si="198"/>
        <v>Medium Risk</v>
      </c>
      <c r="X2513" t="str">
        <f t="shared" si="199"/>
        <v>Competitive</v>
      </c>
    </row>
    <row r="2514" spans="1:24" x14ac:dyDescent="0.3">
      <c r="A2514" t="s">
        <v>2582</v>
      </c>
      <c r="B2514" t="s">
        <v>20</v>
      </c>
      <c r="C2514">
        <v>45</v>
      </c>
      <c r="D2514" t="s">
        <v>21</v>
      </c>
      <c r="E2514" t="s">
        <v>40</v>
      </c>
      <c r="F2514" t="s">
        <v>41</v>
      </c>
      <c r="G2514" t="s">
        <v>66</v>
      </c>
      <c r="H2514" t="s">
        <v>83</v>
      </c>
      <c r="I2514" t="s">
        <v>54</v>
      </c>
      <c r="J2514" t="s">
        <v>27</v>
      </c>
      <c r="K2514">
        <v>11</v>
      </c>
      <c r="L2514">
        <v>53027</v>
      </c>
      <c r="M2514" t="s">
        <v>36</v>
      </c>
      <c r="N2514">
        <v>2</v>
      </c>
      <c r="O2514">
        <v>4</v>
      </c>
      <c r="P2514">
        <v>80</v>
      </c>
      <c r="Q2514">
        <v>0</v>
      </c>
      <c r="R2514" s="1">
        <v>41075</v>
      </c>
      <c r="S2514" t="s">
        <v>29</v>
      </c>
      <c r="T2514" t="str">
        <f t="shared" si="195"/>
        <v>Grade B</v>
      </c>
      <c r="U2514">
        <f t="shared" si="196"/>
        <v>1</v>
      </c>
      <c r="V2514" t="str">
        <f t="shared" si="197"/>
        <v>Senior</v>
      </c>
      <c r="W2514" t="str">
        <f t="shared" si="198"/>
        <v>Medium Risk</v>
      </c>
      <c r="X2514" t="str">
        <f t="shared" si="199"/>
        <v>Fair</v>
      </c>
    </row>
    <row r="2515" spans="1:24" x14ac:dyDescent="0.3">
      <c r="A2515" t="s">
        <v>2583</v>
      </c>
      <c r="B2515" t="s">
        <v>39</v>
      </c>
      <c r="C2515">
        <v>55</v>
      </c>
      <c r="D2515" t="s">
        <v>57</v>
      </c>
      <c r="E2515" t="s">
        <v>22</v>
      </c>
      <c r="F2515" t="s">
        <v>53</v>
      </c>
      <c r="G2515" t="s">
        <v>33</v>
      </c>
      <c r="H2515" t="s">
        <v>83</v>
      </c>
      <c r="I2515" t="s">
        <v>43</v>
      </c>
      <c r="J2515" t="s">
        <v>44</v>
      </c>
      <c r="K2515">
        <v>1</v>
      </c>
      <c r="L2515">
        <v>59406</v>
      </c>
      <c r="M2515" t="s">
        <v>45</v>
      </c>
      <c r="N2515">
        <v>3</v>
      </c>
      <c r="O2515">
        <v>2</v>
      </c>
      <c r="P2515">
        <v>12</v>
      </c>
      <c r="Q2515">
        <v>1</v>
      </c>
      <c r="R2515" s="1">
        <v>44827</v>
      </c>
      <c r="S2515" t="s">
        <v>29</v>
      </c>
      <c r="T2515" t="str">
        <f t="shared" si="195"/>
        <v>Grade B</v>
      </c>
      <c r="U2515">
        <f t="shared" si="196"/>
        <v>2</v>
      </c>
      <c r="V2515" t="str">
        <f t="shared" si="197"/>
        <v>New Joiner</v>
      </c>
      <c r="W2515" t="str">
        <f t="shared" si="198"/>
        <v>Medium Risk</v>
      </c>
      <c r="X2515" t="str">
        <f t="shared" si="199"/>
        <v>Fair</v>
      </c>
    </row>
    <row r="2516" spans="1:24" x14ac:dyDescent="0.3">
      <c r="A2516" t="s">
        <v>2584</v>
      </c>
      <c r="B2516" t="s">
        <v>20</v>
      </c>
      <c r="C2516">
        <v>24</v>
      </c>
      <c r="D2516" t="s">
        <v>57</v>
      </c>
      <c r="E2516" t="s">
        <v>22</v>
      </c>
      <c r="F2516" t="s">
        <v>23</v>
      </c>
      <c r="G2516" t="s">
        <v>58</v>
      </c>
      <c r="H2516" t="s">
        <v>34</v>
      </c>
      <c r="I2516" t="s">
        <v>54</v>
      </c>
      <c r="J2516" t="s">
        <v>27</v>
      </c>
      <c r="K2516">
        <v>1</v>
      </c>
      <c r="L2516">
        <v>88183</v>
      </c>
      <c r="M2516" t="s">
        <v>28</v>
      </c>
      <c r="N2516">
        <v>2</v>
      </c>
      <c r="O2516">
        <v>3</v>
      </c>
      <c r="P2516">
        <v>73</v>
      </c>
      <c r="Q2516">
        <v>2</v>
      </c>
      <c r="R2516" s="1">
        <v>44837</v>
      </c>
      <c r="S2516" t="s">
        <v>29</v>
      </c>
      <c r="T2516" t="str">
        <f t="shared" si="195"/>
        <v>Grade A</v>
      </c>
      <c r="U2516">
        <f t="shared" si="196"/>
        <v>3</v>
      </c>
      <c r="V2516" t="str">
        <f t="shared" si="197"/>
        <v>New Joiner</v>
      </c>
      <c r="W2516" t="str">
        <f t="shared" si="198"/>
        <v>Medium Risk</v>
      </c>
      <c r="X2516" t="str">
        <f t="shared" si="199"/>
        <v>Competitive</v>
      </c>
    </row>
    <row r="2517" spans="1:24" x14ac:dyDescent="0.3">
      <c r="A2517" t="s">
        <v>2585</v>
      </c>
      <c r="B2517" t="s">
        <v>39</v>
      </c>
      <c r="C2517">
        <v>43</v>
      </c>
      <c r="D2517" t="s">
        <v>47</v>
      </c>
      <c r="E2517" t="s">
        <v>22</v>
      </c>
      <c r="F2517" t="s">
        <v>65</v>
      </c>
      <c r="G2517" t="s">
        <v>49</v>
      </c>
      <c r="H2517" t="s">
        <v>76</v>
      </c>
      <c r="I2517" t="s">
        <v>35</v>
      </c>
      <c r="J2517" t="s">
        <v>27</v>
      </c>
      <c r="K2517">
        <v>2</v>
      </c>
      <c r="L2517">
        <v>49512</v>
      </c>
      <c r="M2517" t="s">
        <v>28</v>
      </c>
      <c r="N2517">
        <v>2</v>
      </c>
      <c r="O2517">
        <v>2</v>
      </c>
      <c r="P2517">
        <v>27</v>
      </c>
      <c r="Q2517">
        <v>3</v>
      </c>
      <c r="R2517" s="1">
        <v>44446</v>
      </c>
      <c r="S2517" t="s">
        <v>29</v>
      </c>
      <c r="T2517" t="str">
        <f t="shared" si="195"/>
        <v>Grade C</v>
      </c>
      <c r="U2517">
        <f t="shared" si="196"/>
        <v>3</v>
      </c>
      <c r="V2517" t="str">
        <f t="shared" si="197"/>
        <v>New Joiner</v>
      </c>
      <c r="W2517" t="str">
        <f t="shared" si="198"/>
        <v>Medium Risk</v>
      </c>
      <c r="X2517" t="str">
        <f t="shared" si="199"/>
        <v>Fair</v>
      </c>
    </row>
    <row r="2518" spans="1:24" x14ac:dyDescent="0.3">
      <c r="A2518" t="s">
        <v>2586</v>
      </c>
      <c r="B2518" t="s">
        <v>20</v>
      </c>
      <c r="C2518">
        <v>53</v>
      </c>
      <c r="D2518" t="s">
        <v>31</v>
      </c>
      <c r="E2518" t="s">
        <v>48</v>
      </c>
      <c r="F2518" t="s">
        <v>65</v>
      </c>
      <c r="G2518" t="s">
        <v>42</v>
      </c>
      <c r="H2518" t="s">
        <v>25</v>
      </c>
      <c r="I2518" t="s">
        <v>68</v>
      </c>
      <c r="J2518" t="s">
        <v>60</v>
      </c>
      <c r="K2518">
        <v>2</v>
      </c>
      <c r="L2518">
        <v>108420</v>
      </c>
      <c r="M2518" t="s">
        <v>51</v>
      </c>
      <c r="N2518">
        <v>2</v>
      </c>
      <c r="O2518">
        <v>1</v>
      </c>
      <c r="P2518">
        <v>74</v>
      </c>
      <c r="Q2518">
        <v>3</v>
      </c>
      <c r="R2518" s="1">
        <v>44281</v>
      </c>
      <c r="S2518" t="s">
        <v>29</v>
      </c>
      <c r="T2518" t="str">
        <f t="shared" si="195"/>
        <v>Grade A</v>
      </c>
      <c r="U2518">
        <f t="shared" si="196"/>
        <v>4</v>
      </c>
      <c r="V2518" t="str">
        <f t="shared" si="197"/>
        <v>New Joiner</v>
      </c>
      <c r="W2518" t="str">
        <f t="shared" si="198"/>
        <v>Low Risk</v>
      </c>
      <c r="X2518" t="str">
        <f t="shared" si="199"/>
        <v>Competitive</v>
      </c>
    </row>
    <row r="2519" spans="1:24" x14ac:dyDescent="0.3">
      <c r="A2519" t="s">
        <v>2587</v>
      </c>
      <c r="B2519" t="s">
        <v>39</v>
      </c>
      <c r="C2519">
        <v>39</v>
      </c>
      <c r="D2519" t="s">
        <v>57</v>
      </c>
      <c r="E2519" t="s">
        <v>22</v>
      </c>
      <c r="F2519" t="s">
        <v>65</v>
      </c>
      <c r="G2519" t="s">
        <v>58</v>
      </c>
      <c r="H2519" t="s">
        <v>34</v>
      </c>
      <c r="I2519" t="s">
        <v>80</v>
      </c>
      <c r="J2519" t="s">
        <v>60</v>
      </c>
      <c r="K2519">
        <v>8</v>
      </c>
      <c r="L2519">
        <v>92881</v>
      </c>
      <c r="M2519" t="s">
        <v>45</v>
      </c>
      <c r="N2519">
        <v>4</v>
      </c>
      <c r="O2519">
        <v>4</v>
      </c>
      <c r="P2519">
        <v>76</v>
      </c>
      <c r="Q2519">
        <v>1</v>
      </c>
      <c r="R2519" s="1">
        <v>42050</v>
      </c>
      <c r="S2519" t="s">
        <v>29</v>
      </c>
      <c r="T2519" t="str">
        <f t="shared" si="195"/>
        <v>Grade A</v>
      </c>
      <c r="U2519">
        <f t="shared" si="196"/>
        <v>2</v>
      </c>
      <c r="V2519" t="str">
        <f t="shared" si="197"/>
        <v>Mid Level</v>
      </c>
      <c r="W2519" t="str">
        <f t="shared" si="198"/>
        <v>Medium Risk</v>
      </c>
      <c r="X2519" t="str">
        <f t="shared" si="199"/>
        <v>Fair</v>
      </c>
    </row>
    <row r="2520" spans="1:24" x14ac:dyDescent="0.3">
      <c r="A2520" t="s">
        <v>2588</v>
      </c>
      <c r="B2520" t="s">
        <v>39</v>
      </c>
      <c r="C2520">
        <v>53</v>
      </c>
      <c r="D2520" t="s">
        <v>31</v>
      </c>
      <c r="E2520" t="s">
        <v>22</v>
      </c>
      <c r="F2520" t="s">
        <v>65</v>
      </c>
      <c r="G2520" t="s">
        <v>58</v>
      </c>
      <c r="H2520" t="s">
        <v>25</v>
      </c>
      <c r="I2520" t="s">
        <v>96</v>
      </c>
      <c r="J2520" t="s">
        <v>44</v>
      </c>
      <c r="K2520">
        <v>11</v>
      </c>
      <c r="L2520">
        <v>106179</v>
      </c>
      <c r="M2520" t="s">
        <v>45</v>
      </c>
      <c r="N2520">
        <v>1</v>
      </c>
      <c r="O2520">
        <v>4</v>
      </c>
      <c r="P2520">
        <v>69</v>
      </c>
      <c r="Q2520">
        <v>0</v>
      </c>
      <c r="R2520" s="1">
        <v>40999</v>
      </c>
      <c r="S2520" t="s">
        <v>29</v>
      </c>
      <c r="T2520" t="str">
        <f t="shared" si="195"/>
        <v>Grade A</v>
      </c>
      <c r="U2520">
        <f t="shared" si="196"/>
        <v>2</v>
      </c>
      <c r="V2520" t="str">
        <f t="shared" si="197"/>
        <v>Senior</v>
      </c>
      <c r="W2520" t="str">
        <f t="shared" si="198"/>
        <v>Medium Risk</v>
      </c>
      <c r="X2520" t="str">
        <f t="shared" si="199"/>
        <v>Fair</v>
      </c>
    </row>
    <row r="2521" spans="1:24" x14ac:dyDescent="0.3">
      <c r="A2521" t="s">
        <v>2589</v>
      </c>
      <c r="B2521" t="s">
        <v>20</v>
      </c>
      <c r="C2521">
        <v>54</v>
      </c>
      <c r="D2521" t="s">
        <v>21</v>
      </c>
      <c r="E2521" t="s">
        <v>48</v>
      </c>
      <c r="F2521" t="s">
        <v>23</v>
      </c>
      <c r="G2521" t="s">
        <v>24</v>
      </c>
      <c r="H2521" t="s">
        <v>67</v>
      </c>
      <c r="I2521" t="s">
        <v>54</v>
      </c>
      <c r="J2521" t="s">
        <v>27</v>
      </c>
      <c r="K2521">
        <v>8</v>
      </c>
      <c r="L2521">
        <v>84112</v>
      </c>
      <c r="M2521" t="s">
        <v>51</v>
      </c>
      <c r="N2521">
        <v>2</v>
      </c>
      <c r="O2521">
        <v>2</v>
      </c>
      <c r="P2521">
        <v>40</v>
      </c>
      <c r="Q2521">
        <v>0</v>
      </c>
      <c r="R2521" s="1">
        <v>42256</v>
      </c>
      <c r="S2521" t="s">
        <v>37</v>
      </c>
      <c r="T2521" t="str">
        <f t="shared" si="195"/>
        <v>Grade A</v>
      </c>
      <c r="U2521">
        <f t="shared" si="196"/>
        <v>4</v>
      </c>
      <c r="V2521" t="str">
        <f t="shared" si="197"/>
        <v>Mid Level</v>
      </c>
      <c r="W2521" t="str">
        <f t="shared" si="198"/>
        <v>Already Left</v>
      </c>
      <c r="X2521" t="str">
        <f t="shared" si="199"/>
        <v>Competitive</v>
      </c>
    </row>
    <row r="2522" spans="1:24" x14ac:dyDescent="0.3">
      <c r="A2522" t="s">
        <v>2590</v>
      </c>
      <c r="B2522" t="s">
        <v>20</v>
      </c>
      <c r="C2522">
        <v>23</v>
      </c>
      <c r="D2522" t="s">
        <v>21</v>
      </c>
      <c r="E2522" t="s">
        <v>40</v>
      </c>
      <c r="F2522" t="s">
        <v>75</v>
      </c>
      <c r="G2522" t="s">
        <v>58</v>
      </c>
      <c r="H2522" t="s">
        <v>34</v>
      </c>
      <c r="I2522" t="s">
        <v>72</v>
      </c>
      <c r="J2522" t="s">
        <v>73</v>
      </c>
      <c r="K2522">
        <v>5</v>
      </c>
      <c r="L2522">
        <v>88785</v>
      </c>
      <c r="M2522" t="s">
        <v>36</v>
      </c>
      <c r="N2522">
        <v>2</v>
      </c>
      <c r="O2522">
        <v>2</v>
      </c>
      <c r="P2522">
        <v>51</v>
      </c>
      <c r="Q2522">
        <v>1</v>
      </c>
      <c r="R2522" s="1">
        <v>43308</v>
      </c>
      <c r="S2522" t="s">
        <v>37</v>
      </c>
      <c r="T2522" t="str">
        <f t="shared" si="195"/>
        <v>Grade A</v>
      </c>
      <c r="U2522">
        <f t="shared" si="196"/>
        <v>1</v>
      </c>
      <c r="V2522" t="str">
        <f t="shared" si="197"/>
        <v>Junior</v>
      </c>
      <c r="W2522" t="str">
        <f t="shared" si="198"/>
        <v>Already Left</v>
      </c>
      <c r="X2522" t="str">
        <f t="shared" si="199"/>
        <v>Overpaid</v>
      </c>
    </row>
    <row r="2523" spans="1:24" x14ac:dyDescent="0.3">
      <c r="A2523" t="s">
        <v>2591</v>
      </c>
      <c r="B2523" t="s">
        <v>39</v>
      </c>
      <c r="C2523">
        <v>46</v>
      </c>
      <c r="D2523" t="s">
        <v>31</v>
      </c>
      <c r="E2523" t="s">
        <v>22</v>
      </c>
      <c r="F2523" t="s">
        <v>75</v>
      </c>
      <c r="G2523" t="s">
        <v>63</v>
      </c>
      <c r="H2523" t="s">
        <v>67</v>
      </c>
      <c r="I2523" t="s">
        <v>50</v>
      </c>
      <c r="J2523" t="s">
        <v>44</v>
      </c>
      <c r="K2523">
        <v>13</v>
      </c>
      <c r="L2523">
        <v>62787</v>
      </c>
      <c r="M2523" t="s">
        <v>28</v>
      </c>
      <c r="N2523">
        <v>4</v>
      </c>
      <c r="O2523">
        <v>4</v>
      </c>
      <c r="P2523">
        <v>39</v>
      </c>
      <c r="Q2523">
        <v>1</v>
      </c>
      <c r="R2523" s="1">
        <v>40441</v>
      </c>
      <c r="S2523" t="s">
        <v>29</v>
      </c>
      <c r="T2523" t="str">
        <f t="shared" si="195"/>
        <v>Grade B</v>
      </c>
      <c r="U2523">
        <f t="shared" si="196"/>
        <v>3</v>
      </c>
      <c r="V2523" t="str">
        <f t="shared" si="197"/>
        <v>Senior</v>
      </c>
      <c r="W2523" t="str">
        <f t="shared" si="198"/>
        <v>Medium Risk</v>
      </c>
      <c r="X2523" t="str">
        <f t="shared" si="199"/>
        <v>Competitive</v>
      </c>
    </row>
    <row r="2524" spans="1:24" x14ac:dyDescent="0.3">
      <c r="A2524" t="s">
        <v>2592</v>
      </c>
      <c r="B2524" t="s">
        <v>39</v>
      </c>
      <c r="C2524">
        <v>52</v>
      </c>
      <c r="D2524" t="s">
        <v>21</v>
      </c>
      <c r="E2524" t="s">
        <v>40</v>
      </c>
      <c r="F2524" t="s">
        <v>75</v>
      </c>
      <c r="G2524" t="s">
        <v>24</v>
      </c>
      <c r="H2524" t="s">
        <v>83</v>
      </c>
      <c r="I2524" t="s">
        <v>26</v>
      </c>
      <c r="J2524" t="s">
        <v>27</v>
      </c>
      <c r="K2524">
        <v>1</v>
      </c>
      <c r="L2524">
        <v>73235</v>
      </c>
      <c r="M2524" t="s">
        <v>45</v>
      </c>
      <c r="N2524">
        <v>4</v>
      </c>
      <c r="O2524">
        <v>1</v>
      </c>
      <c r="P2524">
        <v>47</v>
      </c>
      <c r="Q2524">
        <v>2</v>
      </c>
      <c r="R2524" s="1">
        <v>44924</v>
      </c>
      <c r="S2524" t="s">
        <v>37</v>
      </c>
      <c r="T2524" t="str">
        <f t="shared" si="195"/>
        <v>Grade B</v>
      </c>
      <c r="U2524">
        <f t="shared" si="196"/>
        <v>2</v>
      </c>
      <c r="V2524" t="str">
        <f t="shared" si="197"/>
        <v>New Joiner</v>
      </c>
      <c r="W2524" t="str">
        <f t="shared" si="198"/>
        <v>Already Left</v>
      </c>
      <c r="X2524" t="str">
        <f t="shared" si="199"/>
        <v>Fair</v>
      </c>
    </row>
    <row r="2525" spans="1:24" x14ac:dyDescent="0.3">
      <c r="A2525" t="s">
        <v>2593</v>
      </c>
      <c r="B2525" t="s">
        <v>39</v>
      </c>
      <c r="C2525">
        <v>26</v>
      </c>
      <c r="D2525" t="s">
        <v>88</v>
      </c>
      <c r="E2525" t="s">
        <v>40</v>
      </c>
      <c r="F2525" t="s">
        <v>62</v>
      </c>
      <c r="G2525" t="s">
        <v>79</v>
      </c>
      <c r="H2525" t="s">
        <v>83</v>
      </c>
      <c r="I2525" t="s">
        <v>96</v>
      </c>
      <c r="J2525" t="s">
        <v>44</v>
      </c>
      <c r="K2525">
        <v>13</v>
      </c>
      <c r="L2525">
        <v>75782</v>
      </c>
      <c r="M2525" t="s">
        <v>45</v>
      </c>
      <c r="N2525">
        <v>1</v>
      </c>
      <c r="O2525">
        <v>1</v>
      </c>
      <c r="P2525">
        <v>52</v>
      </c>
      <c r="Q2525">
        <v>3</v>
      </c>
      <c r="R2525" s="1">
        <v>40362</v>
      </c>
      <c r="S2525" t="s">
        <v>29</v>
      </c>
      <c r="T2525" t="str">
        <f t="shared" si="195"/>
        <v>Grade B</v>
      </c>
      <c r="U2525">
        <f t="shared" si="196"/>
        <v>2</v>
      </c>
      <c r="V2525" t="str">
        <f t="shared" si="197"/>
        <v>Senior</v>
      </c>
      <c r="W2525" t="str">
        <f t="shared" si="198"/>
        <v>Medium Risk</v>
      </c>
      <c r="X2525" t="str">
        <f t="shared" si="199"/>
        <v>Fair</v>
      </c>
    </row>
    <row r="2526" spans="1:24" x14ac:dyDescent="0.3">
      <c r="A2526" t="s">
        <v>2594</v>
      </c>
      <c r="B2526" t="s">
        <v>20</v>
      </c>
      <c r="C2526">
        <v>27</v>
      </c>
      <c r="D2526" t="s">
        <v>57</v>
      </c>
      <c r="E2526" t="s">
        <v>48</v>
      </c>
      <c r="F2526" t="s">
        <v>32</v>
      </c>
      <c r="G2526" t="s">
        <v>63</v>
      </c>
      <c r="H2526" t="s">
        <v>25</v>
      </c>
      <c r="I2526" t="s">
        <v>96</v>
      </c>
      <c r="J2526" t="s">
        <v>44</v>
      </c>
      <c r="K2526">
        <v>13</v>
      </c>
      <c r="L2526">
        <v>68400</v>
      </c>
      <c r="M2526" t="s">
        <v>28</v>
      </c>
      <c r="N2526">
        <v>2</v>
      </c>
      <c r="O2526">
        <v>3</v>
      </c>
      <c r="P2526">
        <v>33</v>
      </c>
      <c r="Q2526">
        <v>2</v>
      </c>
      <c r="R2526" s="1">
        <v>40241</v>
      </c>
      <c r="S2526" t="s">
        <v>29</v>
      </c>
      <c r="T2526" t="str">
        <f t="shared" si="195"/>
        <v>Grade B</v>
      </c>
      <c r="U2526">
        <f t="shared" si="196"/>
        <v>3</v>
      </c>
      <c r="V2526" t="str">
        <f t="shared" si="197"/>
        <v>Senior</v>
      </c>
      <c r="W2526" t="str">
        <f t="shared" si="198"/>
        <v>Medium Risk</v>
      </c>
      <c r="X2526" t="str">
        <f t="shared" si="199"/>
        <v>Competitive</v>
      </c>
    </row>
    <row r="2527" spans="1:24" x14ac:dyDescent="0.3">
      <c r="A2527" t="s">
        <v>2595</v>
      </c>
      <c r="B2527" t="s">
        <v>39</v>
      </c>
      <c r="C2527">
        <v>25</v>
      </c>
      <c r="D2527" t="s">
        <v>57</v>
      </c>
      <c r="E2527" t="s">
        <v>48</v>
      </c>
      <c r="F2527" t="s">
        <v>32</v>
      </c>
      <c r="G2527" t="s">
        <v>24</v>
      </c>
      <c r="H2527" t="s">
        <v>83</v>
      </c>
      <c r="I2527" t="s">
        <v>26</v>
      </c>
      <c r="J2527" t="s">
        <v>27</v>
      </c>
      <c r="K2527">
        <v>12</v>
      </c>
      <c r="L2527">
        <v>106277</v>
      </c>
      <c r="M2527" t="s">
        <v>28</v>
      </c>
      <c r="N2527">
        <v>3</v>
      </c>
      <c r="O2527">
        <v>4</v>
      </c>
      <c r="P2527">
        <v>12</v>
      </c>
      <c r="Q2527">
        <v>1</v>
      </c>
      <c r="R2527" s="1">
        <v>40667</v>
      </c>
      <c r="S2527" t="s">
        <v>29</v>
      </c>
      <c r="T2527" t="str">
        <f t="shared" si="195"/>
        <v>Grade A</v>
      </c>
      <c r="U2527">
        <f t="shared" si="196"/>
        <v>3</v>
      </c>
      <c r="V2527" t="str">
        <f t="shared" si="197"/>
        <v>Senior</v>
      </c>
      <c r="W2527" t="str">
        <f t="shared" si="198"/>
        <v>Medium Risk</v>
      </c>
      <c r="X2527" t="str">
        <f t="shared" si="199"/>
        <v>Competitive</v>
      </c>
    </row>
    <row r="2528" spans="1:24" x14ac:dyDescent="0.3">
      <c r="A2528" t="s">
        <v>2596</v>
      </c>
      <c r="B2528" t="s">
        <v>39</v>
      </c>
      <c r="C2528">
        <v>41</v>
      </c>
      <c r="D2528" t="s">
        <v>88</v>
      </c>
      <c r="E2528" t="s">
        <v>22</v>
      </c>
      <c r="F2528" t="s">
        <v>53</v>
      </c>
      <c r="G2528" t="s">
        <v>33</v>
      </c>
      <c r="H2528" t="s">
        <v>67</v>
      </c>
      <c r="I2528" t="s">
        <v>80</v>
      </c>
      <c r="J2528" t="s">
        <v>60</v>
      </c>
      <c r="K2528">
        <v>15</v>
      </c>
      <c r="L2528">
        <v>94427</v>
      </c>
      <c r="M2528" t="s">
        <v>45</v>
      </c>
      <c r="N2528">
        <v>3</v>
      </c>
      <c r="O2528">
        <v>4</v>
      </c>
      <c r="P2528">
        <v>20</v>
      </c>
      <c r="Q2528">
        <v>3</v>
      </c>
      <c r="R2528" s="1">
        <v>39670</v>
      </c>
      <c r="S2528" t="s">
        <v>29</v>
      </c>
      <c r="T2528" t="str">
        <f t="shared" si="195"/>
        <v>Grade A</v>
      </c>
      <c r="U2528">
        <f t="shared" si="196"/>
        <v>2</v>
      </c>
      <c r="V2528" t="str">
        <f t="shared" si="197"/>
        <v>Senior</v>
      </c>
      <c r="W2528" t="str">
        <f t="shared" si="198"/>
        <v>Medium Risk</v>
      </c>
      <c r="X2528" t="str">
        <f t="shared" si="199"/>
        <v>Fair</v>
      </c>
    </row>
    <row r="2529" spans="1:24" x14ac:dyDescent="0.3">
      <c r="A2529" t="s">
        <v>2597</v>
      </c>
      <c r="B2529" t="s">
        <v>20</v>
      </c>
      <c r="C2529">
        <v>29</v>
      </c>
      <c r="D2529" t="s">
        <v>31</v>
      </c>
      <c r="E2529" t="s">
        <v>40</v>
      </c>
      <c r="F2529" t="s">
        <v>32</v>
      </c>
      <c r="G2529" t="s">
        <v>33</v>
      </c>
      <c r="H2529" t="s">
        <v>67</v>
      </c>
      <c r="I2529" t="s">
        <v>72</v>
      </c>
      <c r="J2529" t="s">
        <v>73</v>
      </c>
      <c r="K2529">
        <v>12</v>
      </c>
      <c r="L2529">
        <v>90161</v>
      </c>
      <c r="M2529" t="s">
        <v>28</v>
      </c>
      <c r="N2529">
        <v>4</v>
      </c>
      <c r="O2529">
        <v>1</v>
      </c>
      <c r="P2529">
        <v>61</v>
      </c>
      <c r="Q2529">
        <v>1</v>
      </c>
      <c r="R2529" s="1">
        <v>40829</v>
      </c>
      <c r="S2529" t="s">
        <v>29</v>
      </c>
      <c r="T2529" t="str">
        <f t="shared" si="195"/>
        <v>Grade A</v>
      </c>
      <c r="U2529">
        <f t="shared" si="196"/>
        <v>3</v>
      </c>
      <c r="V2529" t="str">
        <f t="shared" si="197"/>
        <v>Senior</v>
      </c>
      <c r="W2529" t="str">
        <f t="shared" si="198"/>
        <v>Medium Risk</v>
      </c>
      <c r="X2529" t="str">
        <f t="shared" si="199"/>
        <v>Competitive</v>
      </c>
    </row>
    <row r="2530" spans="1:24" x14ac:dyDescent="0.3">
      <c r="A2530" t="s">
        <v>2598</v>
      </c>
      <c r="B2530" t="s">
        <v>39</v>
      </c>
      <c r="C2530">
        <v>38</v>
      </c>
      <c r="D2530" t="s">
        <v>21</v>
      </c>
      <c r="E2530" t="s">
        <v>22</v>
      </c>
      <c r="F2530" t="s">
        <v>78</v>
      </c>
      <c r="G2530" t="s">
        <v>79</v>
      </c>
      <c r="H2530" t="s">
        <v>83</v>
      </c>
      <c r="I2530" t="s">
        <v>26</v>
      </c>
      <c r="J2530" t="s">
        <v>27</v>
      </c>
      <c r="K2530">
        <v>14</v>
      </c>
      <c r="L2530">
        <v>61067</v>
      </c>
      <c r="M2530" t="s">
        <v>45</v>
      </c>
      <c r="N2530">
        <v>3</v>
      </c>
      <c r="O2530">
        <v>3</v>
      </c>
      <c r="P2530">
        <v>56</v>
      </c>
      <c r="Q2530">
        <v>2</v>
      </c>
      <c r="R2530" s="1">
        <v>40050</v>
      </c>
      <c r="S2530" t="s">
        <v>37</v>
      </c>
      <c r="T2530" t="str">
        <f t="shared" si="195"/>
        <v>Grade B</v>
      </c>
      <c r="U2530">
        <f t="shared" si="196"/>
        <v>2</v>
      </c>
      <c r="V2530" t="str">
        <f t="shared" si="197"/>
        <v>Senior</v>
      </c>
      <c r="W2530" t="str">
        <f t="shared" si="198"/>
        <v>Already Left</v>
      </c>
      <c r="X2530" t="str">
        <f t="shared" si="199"/>
        <v>Fair</v>
      </c>
    </row>
    <row r="2531" spans="1:24" x14ac:dyDescent="0.3">
      <c r="A2531" t="s">
        <v>2599</v>
      </c>
      <c r="B2531" t="s">
        <v>20</v>
      </c>
      <c r="C2531">
        <v>27</v>
      </c>
      <c r="D2531" t="s">
        <v>88</v>
      </c>
      <c r="E2531" t="s">
        <v>22</v>
      </c>
      <c r="F2531" t="s">
        <v>78</v>
      </c>
      <c r="G2531" t="s">
        <v>49</v>
      </c>
      <c r="H2531" t="s">
        <v>67</v>
      </c>
      <c r="I2531" t="s">
        <v>43</v>
      </c>
      <c r="J2531" t="s">
        <v>44</v>
      </c>
      <c r="K2531">
        <v>15</v>
      </c>
      <c r="L2531">
        <v>84538</v>
      </c>
      <c r="M2531" t="s">
        <v>51</v>
      </c>
      <c r="N2531">
        <v>4</v>
      </c>
      <c r="O2531">
        <v>4</v>
      </c>
      <c r="P2531">
        <v>51</v>
      </c>
      <c r="Q2531">
        <v>2</v>
      </c>
      <c r="R2531" s="1">
        <v>39577</v>
      </c>
      <c r="S2531" t="s">
        <v>37</v>
      </c>
      <c r="T2531" t="str">
        <f t="shared" si="195"/>
        <v>Grade A</v>
      </c>
      <c r="U2531">
        <f t="shared" si="196"/>
        <v>4</v>
      </c>
      <c r="V2531" t="str">
        <f t="shared" si="197"/>
        <v>Senior</v>
      </c>
      <c r="W2531" t="str">
        <f t="shared" si="198"/>
        <v>Already Left</v>
      </c>
      <c r="X2531" t="str">
        <f t="shared" si="199"/>
        <v>Competitive</v>
      </c>
    </row>
    <row r="2532" spans="1:24" x14ac:dyDescent="0.3">
      <c r="A2532" t="s">
        <v>2600</v>
      </c>
      <c r="B2532" t="s">
        <v>39</v>
      </c>
      <c r="C2532">
        <v>27</v>
      </c>
      <c r="D2532" t="s">
        <v>57</v>
      </c>
      <c r="E2532" t="s">
        <v>48</v>
      </c>
      <c r="F2532" t="s">
        <v>23</v>
      </c>
      <c r="G2532" t="s">
        <v>58</v>
      </c>
      <c r="H2532" t="s">
        <v>34</v>
      </c>
      <c r="I2532" t="s">
        <v>72</v>
      </c>
      <c r="J2532" t="s">
        <v>73</v>
      </c>
      <c r="K2532">
        <v>8</v>
      </c>
      <c r="L2532">
        <v>97293</v>
      </c>
      <c r="M2532" t="s">
        <v>45</v>
      </c>
      <c r="N2532">
        <v>1</v>
      </c>
      <c r="O2532">
        <v>4</v>
      </c>
      <c r="P2532">
        <v>13</v>
      </c>
      <c r="Q2532">
        <v>3</v>
      </c>
      <c r="R2532" s="1">
        <v>42369</v>
      </c>
      <c r="S2532" t="s">
        <v>29</v>
      </c>
      <c r="T2532" t="str">
        <f t="shared" si="195"/>
        <v>Grade A</v>
      </c>
      <c r="U2532">
        <f t="shared" si="196"/>
        <v>2</v>
      </c>
      <c r="V2532" t="str">
        <f t="shared" si="197"/>
        <v>Mid Level</v>
      </c>
      <c r="W2532" t="str">
        <f t="shared" si="198"/>
        <v>Medium Risk</v>
      </c>
      <c r="X2532" t="str">
        <f t="shared" si="199"/>
        <v>Fair</v>
      </c>
    </row>
    <row r="2533" spans="1:24" x14ac:dyDescent="0.3">
      <c r="A2533" t="s">
        <v>2601</v>
      </c>
      <c r="B2533" t="s">
        <v>39</v>
      </c>
      <c r="C2533">
        <v>27</v>
      </c>
      <c r="D2533" t="s">
        <v>88</v>
      </c>
      <c r="E2533" t="s">
        <v>40</v>
      </c>
      <c r="F2533" t="s">
        <v>32</v>
      </c>
      <c r="G2533" t="s">
        <v>24</v>
      </c>
      <c r="H2533" t="s">
        <v>83</v>
      </c>
      <c r="I2533" t="s">
        <v>26</v>
      </c>
      <c r="J2533" t="s">
        <v>27</v>
      </c>
      <c r="K2533">
        <v>2</v>
      </c>
      <c r="L2533">
        <v>83809</v>
      </c>
      <c r="M2533" t="s">
        <v>51</v>
      </c>
      <c r="N2533">
        <v>1</v>
      </c>
      <c r="O2533">
        <v>4</v>
      </c>
      <c r="P2533">
        <v>30</v>
      </c>
      <c r="Q2533">
        <v>0</v>
      </c>
      <c r="R2533" s="1">
        <v>44290</v>
      </c>
      <c r="S2533" t="s">
        <v>29</v>
      </c>
      <c r="T2533" t="str">
        <f t="shared" si="195"/>
        <v>Grade A</v>
      </c>
      <c r="U2533">
        <f t="shared" si="196"/>
        <v>4</v>
      </c>
      <c r="V2533" t="str">
        <f t="shared" si="197"/>
        <v>New Joiner</v>
      </c>
      <c r="W2533" t="str">
        <f t="shared" si="198"/>
        <v>Low Risk</v>
      </c>
      <c r="X2533" t="str">
        <f t="shared" si="199"/>
        <v>Competitive</v>
      </c>
    </row>
    <row r="2534" spans="1:24" x14ac:dyDescent="0.3">
      <c r="A2534" t="s">
        <v>2602</v>
      </c>
      <c r="B2534" t="s">
        <v>39</v>
      </c>
      <c r="C2534">
        <v>42</v>
      </c>
      <c r="D2534" t="s">
        <v>31</v>
      </c>
      <c r="E2534" t="s">
        <v>22</v>
      </c>
      <c r="F2534" t="s">
        <v>65</v>
      </c>
      <c r="G2534" t="s">
        <v>63</v>
      </c>
      <c r="H2534" t="s">
        <v>76</v>
      </c>
      <c r="I2534" t="s">
        <v>59</v>
      </c>
      <c r="J2534" t="s">
        <v>60</v>
      </c>
      <c r="K2534">
        <v>6</v>
      </c>
      <c r="L2534">
        <v>55504</v>
      </c>
      <c r="M2534" t="s">
        <v>36</v>
      </c>
      <c r="N2534">
        <v>4</v>
      </c>
      <c r="O2534">
        <v>1</v>
      </c>
      <c r="P2534">
        <v>66</v>
      </c>
      <c r="Q2534">
        <v>1</v>
      </c>
      <c r="R2534" s="1">
        <v>43070</v>
      </c>
      <c r="S2534" t="s">
        <v>37</v>
      </c>
      <c r="T2534" t="str">
        <f t="shared" si="195"/>
        <v>Grade B</v>
      </c>
      <c r="U2534">
        <f t="shared" si="196"/>
        <v>1</v>
      </c>
      <c r="V2534" t="str">
        <f t="shared" si="197"/>
        <v>Mid Level</v>
      </c>
      <c r="W2534" t="str">
        <f t="shared" si="198"/>
        <v>Already Left</v>
      </c>
      <c r="X2534" t="str">
        <f t="shared" si="199"/>
        <v>Fair</v>
      </c>
    </row>
    <row r="2535" spans="1:24" x14ac:dyDescent="0.3">
      <c r="A2535" t="s">
        <v>2603</v>
      </c>
      <c r="B2535" t="s">
        <v>20</v>
      </c>
      <c r="C2535">
        <v>26</v>
      </c>
      <c r="D2535" t="s">
        <v>21</v>
      </c>
      <c r="E2535" t="s">
        <v>48</v>
      </c>
      <c r="F2535" t="s">
        <v>41</v>
      </c>
      <c r="G2535" t="s">
        <v>42</v>
      </c>
      <c r="H2535" t="s">
        <v>83</v>
      </c>
      <c r="I2535" t="s">
        <v>80</v>
      </c>
      <c r="J2535" t="s">
        <v>60</v>
      </c>
      <c r="K2535">
        <v>14</v>
      </c>
      <c r="L2535">
        <v>119742</v>
      </c>
      <c r="M2535" t="s">
        <v>36</v>
      </c>
      <c r="N2535">
        <v>4</v>
      </c>
      <c r="O2535">
        <v>3</v>
      </c>
      <c r="P2535">
        <v>47</v>
      </c>
      <c r="Q2535">
        <v>3</v>
      </c>
      <c r="R2535" s="1">
        <v>40094</v>
      </c>
      <c r="S2535" t="s">
        <v>29</v>
      </c>
      <c r="T2535" t="str">
        <f t="shared" si="195"/>
        <v>Grade A</v>
      </c>
      <c r="U2535">
        <f t="shared" si="196"/>
        <v>1</v>
      </c>
      <c r="V2535" t="str">
        <f t="shared" si="197"/>
        <v>Senior</v>
      </c>
      <c r="W2535" t="str">
        <f t="shared" si="198"/>
        <v>Medium Risk</v>
      </c>
      <c r="X2535" t="str">
        <f t="shared" si="199"/>
        <v>Overpaid</v>
      </c>
    </row>
    <row r="2536" spans="1:24" x14ac:dyDescent="0.3">
      <c r="A2536" t="s">
        <v>2604</v>
      </c>
      <c r="B2536" t="s">
        <v>39</v>
      </c>
      <c r="C2536">
        <v>26</v>
      </c>
      <c r="D2536" t="s">
        <v>21</v>
      </c>
      <c r="E2536" t="s">
        <v>48</v>
      </c>
      <c r="F2536" t="s">
        <v>53</v>
      </c>
      <c r="G2536" t="s">
        <v>49</v>
      </c>
      <c r="H2536" t="s">
        <v>25</v>
      </c>
      <c r="I2536" t="s">
        <v>43</v>
      </c>
      <c r="J2536" t="s">
        <v>44</v>
      </c>
      <c r="K2536">
        <v>3</v>
      </c>
      <c r="L2536">
        <v>48046</v>
      </c>
      <c r="M2536" t="s">
        <v>28</v>
      </c>
      <c r="N2536">
        <v>3</v>
      </c>
      <c r="O2536">
        <v>4</v>
      </c>
      <c r="P2536">
        <v>17</v>
      </c>
      <c r="Q2536">
        <v>1</v>
      </c>
      <c r="R2536" s="1">
        <v>44047</v>
      </c>
      <c r="S2536" t="s">
        <v>29</v>
      </c>
      <c r="T2536" t="str">
        <f t="shared" si="195"/>
        <v>Grade C</v>
      </c>
      <c r="U2536">
        <f t="shared" si="196"/>
        <v>3</v>
      </c>
      <c r="V2536" t="str">
        <f t="shared" si="197"/>
        <v>Junior</v>
      </c>
      <c r="W2536" t="str">
        <f t="shared" si="198"/>
        <v>Medium Risk</v>
      </c>
      <c r="X2536" t="str">
        <f t="shared" si="199"/>
        <v>Fair</v>
      </c>
    </row>
    <row r="2537" spans="1:24" x14ac:dyDescent="0.3">
      <c r="A2537" t="s">
        <v>2605</v>
      </c>
      <c r="B2537" t="s">
        <v>20</v>
      </c>
      <c r="C2537">
        <v>47</v>
      </c>
      <c r="D2537" t="s">
        <v>31</v>
      </c>
      <c r="E2537" t="s">
        <v>22</v>
      </c>
      <c r="F2537" t="s">
        <v>65</v>
      </c>
      <c r="G2537" t="s">
        <v>24</v>
      </c>
      <c r="H2537" t="s">
        <v>83</v>
      </c>
      <c r="I2537" t="s">
        <v>35</v>
      </c>
      <c r="J2537" t="s">
        <v>27</v>
      </c>
      <c r="K2537">
        <v>10</v>
      </c>
      <c r="L2537">
        <v>92800</v>
      </c>
      <c r="M2537" t="s">
        <v>45</v>
      </c>
      <c r="N2537">
        <v>1</v>
      </c>
      <c r="O2537">
        <v>4</v>
      </c>
      <c r="P2537">
        <v>46</v>
      </c>
      <c r="Q2537">
        <v>3</v>
      </c>
      <c r="R2537" s="1">
        <v>41290</v>
      </c>
      <c r="S2537" t="s">
        <v>29</v>
      </c>
      <c r="T2537" t="str">
        <f t="shared" si="195"/>
        <v>Grade A</v>
      </c>
      <c r="U2537">
        <f t="shared" si="196"/>
        <v>2</v>
      </c>
      <c r="V2537" t="str">
        <f t="shared" si="197"/>
        <v>Mid Level</v>
      </c>
      <c r="W2537" t="str">
        <f t="shared" si="198"/>
        <v>Medium Risk</v>
      </c>
      <c r="X2537" t="str">
        <f t="shared" si="199"/>
        <v>Fair</v>
      </c>
    </row>
    <row r="2538" spans="1:24" x14ac:dyDescent="0.3">
      <c r="A2538" t="s">
        <v>2606</v>
      </c>
      <c r="B2538" t="s">
        <v>39</v>
      </c>
      <c r="C2538">
        <v>49</v>
      </c>
      <c r="D2538" t="s">
        <v>21</v>
      </c>
      <c r="E2538" t="s">
        <v>48</v>
      </c>
      <c r="F2538" t="s">
        <v>65</v>
      </c>
      <c r="G2538" t="s">
        <v>63</v>
      </c>
      <c r="H2538" t="s">
        <v>67</v>
      </c>
      <c r="I2538" t="s">
        <v>80</v>
      </c>
      <c r="J2538" t="s">
        <v>60</v>
      </c>
      <c r="K2538">
        <v>2</v>
      </c>
      <c r="L2538">
        <v>47858</v>
      </c>
      <c r="M2538" t="s">
        <v>28</v>
      </c>
      <c r="N2538">
        <v>3</v>
      </c>
      <c r="O2538">
        <v>1</v>
      </c>
      <c r="P2538">
        <v>22</v>
      </c>
      <c r="Q2538">
        <v>1</v>
      </c>
      <c r="R2538" s="1">
        <v>44401</v>
      </c>
      <c r="S2538" t="s">
        <v>29</v>
      </c>
      <c r="T2538" t="str">
        <f t="shared" si="195"/>
        <v>Grade C</v>
      </c>
      <c r="U2538">
        <f t="shared" si="196"/>
        <v>3</v>
      </c>
      <c r="V2538" t="str">
        <f t="shared" si="197"/>
        <v>New Joiner</v>
      </c>
      <c r="W2538" t="str">
        <f t="shared" si="198"/>
        <v>Medium Risk</v>
      </c>
      <c r="X2538" t="str">
        <f t="shared" si="199"/>
        <v>Fair</v>
      </c>
    </row>
    <row r="2539" spans="1:24" x14ac:dyDescent="0.3">
      <c r="A2539" t="s">
        <v>2607</v>
      </c>
      <c r="B2539" t="s">
        <v>39</v>
      </c>
      <c r="C2539">
        <v>53</v>
      </c>
      <c r="D2539" t="s">
        <v>88</v>
      </c>
      <c r="E2539" t="s">
        <v>40</v>
      </c>
      <c r="F2539" t="s">
        <v>41</v>
      </c>
      <c r="G2539" t="s">
        <v>63</v>
      </c>
      <c r="H2539" t="s">
        <v>67</v>
      </c>
      <c r="I2539" t="s">
        <v>96</v>
      </c>
      <c r="J2539" t="s">
        <v>44</v>
      </c>
      <c r="K2539">
        <v>11</v>
      </c>
      <c r="L2539">
        <v>64933</v>
      </c>
      <c r="M2539" t="s">
        <v>45</v>
      </c>
      <c r="N2539">
        <v>1</v>
      </c>
      <c r="O2539">
        <v>4</v>
      </c>
      <c r="P2539">
        <v>78</v>
      </c>
      <c r="Q2539">
        <v>3</v>
      </c>
      <c r="R2539" s="1">
        <v>40927</v>
      </c>
      <c r="S2539" t="s">
        <v>37</v>
      </c>
      <c r="T2539" t="str">
        <f t="shared" si="195"/>
        <v>Grade B</v>
      </c>
      <c r="U2539">
        <f t="shared" si="196"/>
        <v>2</v>
      </c>
      <c r="V2539" t="str">
        <f t="shared" si="197"/>
        <v>Senior</v>
      </c>
      <c r="W2539" t="str">
        <f t="shared" si="198"/>
        <v>Already Left</v>
      </c>
      <c r="X2539" t="str">
        <f t="shared" si="199"/>
        <v>Fair</v>
      </c>
    </row>
    <row r="2540" spans="1:24" x14ac:dyDescent="0.3">
      <c r="A2540" t="s">
        <v>2608</v>
      </c>
      <c r="B2540" t="s">
        <v>20</v>
      </c>
      <c r="C2540">
        <v>28</v>
      </c>
      <c r="D2540" t="s">
        <v>31</v>
      </c>
      <c r="E2540" t="s">
        <v>40</v>
      </c>
      <c r="F2540" t="s">
        <v>65</v>
      </c>
      <c r="G2540" t="s">
        <v>79</v>
      </c>
      <c r="H2540" t="s">
        <v>76</v>
      </c>
      <c r="I2540" t="s">
        <v>54</v>
      </c>
      <c r="J2540" t="s">
        <v>27</v>
      </c>
      <c r="K2540">
        <v>1</v>
      </c>
      <c r="L2540">
        <v>50265</v>
      </c>
      <c r="M2540" t="s">
        <v>36</v>
      </c>
      <c r="N2540">
        <v>3</v>
      </c>
      <c r="O2540">
        <v>3</v>
      </c>
      <c r="P2540">
        <v>72</v>
      </c>
      <c r="Q2540">
        <v>2</v>
      </c>
      <c r="R2540" s="1">
        <v>44920</v>
      </c>
      <c r="S2540" t="s">
        <v>37</v>
      </c>
      <c r="T2540" t="str">
        <f t="shared" si="195"/>
        <v>Grade B</v>
      </c>
      <c r="U2540">
        <f t="shared" si="196"/>
        <v>1</v>
      </c>
      <c r="V2540" t="str">
        <f t="shared" si="197"/>
        <v>New Joiner</v>
      </c>
      <c r="W2540" t="str">
        <f t="shared" si="198"/>
        <v>Already Left</v>
      </c>
      <c r="X2540" t="str">
        <f t="shared" si="199"/>
        <v>Fair</v>
      </c>
    </row>
    <row r="2541" spans="1:24" x14ac:dyDescent="0.3">
      <c r="A2541" t="s">
        <v>2609</v>
      </c>
      <c r="B2541" t="s">
        <v>39</v>
      </c>
      <c r="C2541">
        <v>49</v>
      </c>
      <c r="D2541" t="s">
        <v>88</v>
      </c>
      <c r="E2541" t="s">
        <v>48</v>
      </c>
      <c r="F2541" t="s">
        <v>32</v>
      </c>
      <c r="G2541" t="s">
        <v>49</v>
      </c>
      <c r="H2541" t="s">
        <v>67</v>
      </c>
      <c r="I2541" t="s">
        <v>96</v>
      </c>
      <c r="J2541" t="s">
        <v>44</v>
      </c>
      <c r="K2541">
        <v>12</v>
      </c>
      <c r="L2541">
        <v>76160</v>
      </c>
      <c r="M2541" t="s">
        <v>45</v>
      </c>
      <c r="N2541">
        <v>1</v>
      </c>
      <c r="O2541">
        <v>1</v>
      </c>
      <c r="P2541">
        <v>64</v>
      </c>
      <c r="Q2541">
        <v>2</v>
      </c>
      <c r="R2541" s="1">
        <v>40672</v>
      </c>
      <c r="S2541" t="s">
        <v>29</v>
      </c>
      <c r="T2541" t="str">
        <f t="shared" si="195"/>
        <v>Grade B</v>
      </c>
      <c r="U2541">
        <f t="shared" si="196"/>
        <v>2</v>
      </c>
      <c r="V2541" t="str">
        <f t="shared" si="197"/>
        <v>Senior</v>
      </c>
      <c r="W2541" t="str">
        <f t="shared" si="198"/>
        <v>Medium Risk</v>
      </c>
      <c r="X2541" t="str">
        <f t="shared" si="199"/>
        <v>Fair</v>
      </c>
    </row>
    <row r="2542" spans="1:24" x14ac:dyDescent="0.3">
      <c r="A2542" t="s">
        <v>2610</v>
      </c>
      <c r="B2542" t="s">
        <v>39</v>
      </c>
      <c r="C2542">
        <v>35</v>
      </c>
      <c r="D2542" t="s">
        <v>57</v>
      </c>
      <c r="E2542" t="s">
        <v>22</v>
      </c>
      <c r="F2542" t="s">
        <v>65</v>
      </c>
      <c r="G2542" t="s">
        <v>33</v>
      </c>
      <c r="H2542" t="s">
        <v>67</v>
      </c>
      <c r="I2542" t="s">
        <v>68</v>
      </c>
      <c r="J2542" t="s">
        <v>60</v>
      </c>
      <c r="K2542">
        <v>11</v>
      </c>
      <c r="L2542">
        <v>82478</v>
      </c>
      <c r="M2542" t="s">
        <v>51</v>
      </c>
      <c r="N2542">
        <v>1</v>
      </c>
      <c r="O2542">
        <v>1</v>
      </c>
      <c r="P2542">
        <v>76</v>
      </c>
      <c r="Q2542">
        <v>2</v>
      </c>
      <c r="R2542" s="1">
        <v>41147</v>
      </c>
      <c r="S2542" t="s">
        <v>37</v>
      </c>
      <c r="T2542" t="str">
        <f t="shared" si="195"/>
        <v>Grade A</v>
      </c>
      <c r="U2542">
        <f t="shared" si="196"/>
        <v>4</v>
      </c>
      <c r="V2542" t="str">
        <f t="shared" si="197"/>
        <v>Senior</v>
      </c>
      <c r="W2542" t="str">
        <f t="shared" si="198"/>
        <v>Already Left</v>
      </c>
      <c r="X2542" t="str">
        <f t="shared" si="199"/>
        <v>Competitive</v>
      </c>
    </row>
    <row r="2543" spans="1:24" x14ac:dyDescent="0.3">
      <c r="A2543" t="s">
        <v>2611</v>
      </c>
      <c r="B2543" t="s">
        <v>20</v>
      </c>
      <c r="C2543">
        <v>44</v>
      </c>
      <c r="D2543" t="s">
        <v>21</v>
      </c>
      <c r="E2543" t="s">
        <v>40</v>
      </c>
      <c r="F2543" t="s">
        <v>75</v>
      </c>
      <c r="G2543" t="s">
        <v>58</v>
      </c>
      <c r="H2543" t="s">
        <v>34</v>
      </c>
      <c r="I2543" t="s">
        <v>54</v>
      </c>
      <c r="J2543" t="s">
        <v>27</v>
      </c>
      <c r="K2543">
        <v>5</v>
      </c>
      <c r="L2543">
        <v>96746</v>
      </c>
      <c r="M2543" t="s">
        <v>36</v>
      </c>
      <c r="N2543">
        <v>3</v>
      </c>
      <c r="O2543">
        <v>4</v>
      </c>
      <c r="P2543">
        <v>29</v>
      </c>
      <c r="Q2543">
        <v>0</v>
      </c>
      <c r="R2543" s="1">
        <v>43457</v>
      </c>
      <c r="S2543" t="s">
        <v>29</v>
      </c>
      <c r="T2543" t="str">
        <f t="shared" si="195"/>
        <v>Grade A</v>
      </c>
      <c r="U2543">
        <f t="shared" si="196"/>
        <v>1</v>
      </c>
      <c r="V2543" t="str">
        <f t="shared" si="197"/>
        <v>Junior</v>
      </c>
      <c r="W2543" t="str">
        <f t="shared" si="198"/>
        <v>Medium Risk</v>
      </c>
      <c r="X2543" t="str">
        <f t="shared" si="199"/>
        <v>Overpaid</v>
      </c>
    </row>
    <row r="2544" spans="1:24" x14ac:dyDescent="0.3">
      <c r="A2544" t="s">
        <v>2612</v>
      </c>
      <c r="B2544" t="s">
        <v>39</v>
      </c>
      <c r="C2544">
        <v>33</v>
      </c>
      <c r="D2544" t="s">
        <v>31</v>
      </c>
      <c r="E2544" t="s">
        <v>22</v>
      </c>
      <c r="F2544" t="s">
        <v>62</v>
      </c>
      <c r="G2544" t="s">
        <v>63</v>
      </c>
      <c r="H2544" t="s">
        <v>76</v>
      </c>
      <c r="I2544" t="s">
        <v>35</v>
      </c>
      <c r="J2544" t="s">
        <v>27</v>
      </c>
      <c r="K2544">
        <v>7</v>
      </c>
      <c r="L2544">
        <v>65558</v>
      </c>
      <c r="M2544" t="s">
        <v>28</v>
      </c>
      <c r="N2544">
        <v>4</v>
      </c>
      <c r="O2544">
        <v>1</v>
      </c>
      <c r="P2544">
        <v>21</v>
      </c>
      <c r="Q2544">
        <v>2</v>
      </c>
      <c r="R2544" s="1">
        <v>42534</v>
      </c>
      <c r="S2544" t="s">
        <v>37</v>
      </c>
      <c r="T2544" t="str">
        <f t="shared" si="195"/>
        <v>Grade B</v>
      </c>
      <c r="U2544">
        <f t="shared" si="196"/>
        <v>3</v>
      </c>
      <c r="V2544" t="str">
        <f t="shared" si="197"/>
        <v>Mid Level</v>
      </c>
      <c r="W2544" t="str">
        <f t="shared" si="198"/>
        <v>Already Left</v>
      </c>
      <c r="X2544" t="str">
        <f t="shared" si="199"/>
        <v>Competitive</v>
      </c>
    </row>
    <row r="2545" spans="1:24" x14ac:dyDescent="0.3">
      <c r="A2545" t="s">
        <v>2613</v>
      </c>
      <c r="B2545" t="s">
        <v>39</v>
      </c>
      <c r="C2545">
        <v>47</v>
      </c>
      <c r="D2545" t="s">
        <v>88</v>
      </c>
      <c r="E2545" t="s">
        <v>22</v>
      </c>
      <c r="F2545" t="s">
        <v>23</v>
      </c>
      <c r="G2545" t="s">
        <v>33</v>
      </c>
      <c r="H2545" t="s">
        <v>76</v>
      </c>
      <c r="I2545" t="s">
        <v>80</v>
      </c>
      <c r="J2545" t="s">
        <v>60</v>
      </c>
      <c r="K2545">
        <v>12</v>
      </c>
      <c r="L2545">
        <v>90803</v>
      </c>
      <c r="M2545" t="s">
        <v>28</v>
      </c>
      <c r="N2545">
        <v>1</v>
      </c>
      <c r="O2545">
        <v>1</v>
      </c>
      <c r="P2545">
        <v>29</v>
      </c>
      <c r="Q2545">
        <v>0</v>
      </c>
      <c r="R2545" s="1">
        <v>40899</v>
      </c>
      <c r="S2545" t="s">
        <v>29</v>
      </c>
      <c r="T2545" t="str">
        <f t="shared" si="195"/>
        <v>Grade A</v>
      </c>
      <c r="U2545">
        <f t="shared" si="196"/>
        <v>3</v>
      </c>
      <c r="V2545" t="str">
        <f t="shared" si="197"/>
        <v>Senior</v>
      </c>
      <c r="W2545" t="str">
        <f t="shared" si="198"/>
        <v>Medium Risk</v>
      </c>
      <c r="X2545" t="str">
        <f t="shared" si="199"/>
        <v>Competitive</v>
      </c>
    </row>
    <row r="2546" spans="1:24" x14ac:dyDescent="0.3">
      <c r="A2546" t="s">
        <v>2614</v>
      </c>
      <c r="B2546" t="s">
        <v>39</v>
      </c>
      <c r="C2546">
        <v>33</v>
      </c>
      <c r="D2546" t="s">
        <v>31</v>
      </c>
      <c r="E2546" t="s">
        <v>48</v>
      </c>
      <c r="F2546" t="s">
        <v>65</v>
      </c>
      <c r="G2546" t="s">
        <v>24</v>
      </c>
      <c r="H2546" t="s">
        <v>34</v>
      </c>
      <c r="I2546" t="s">
        <v>96</v>
      </c>
      <c r="J2546" t="s">
        <v>44</v>
      </c>
      <c r="K2546">
        <v>15</v>
      </c>
      <c r="L2546">
        <v>100249</v>
      </c>
      <c r="M2546" t="s">
        <v>28</v>
      </c>
      <c r="N2546">
        <v>4</v>
      </c>
      <c r="O2546">
        <v>4</v>
      </c>
      <c r="P2546">
        <v>27</v>
      </c>
      <c r="Q2546">
        <v>2</v>
      </c>
      <c r="R2546" s="1">
        <v>39694</v>
      </c>
      <c r="S2546" t="s">
        <v>29</v>
      </c>
      <c r="T2546" t="str">
        <f t="shared" si="195"/>
        <v>Grade A</v>
      </c>
      <c r="U2546">
        <f t="shared" si="196"/>
        <v>3</v>
      </c>
      <c r="V2546" t="str">
        <f t="shared" si="197"/>
        <v>Senior</v>
      </c>
      <c r="W2546" t="str">
        <f t="shared" si="198"/>
        <v>Medium Risk</v>
      </c>
      <c r="X2546" t="str">
        <f t="shared" si="199"/>
        <v>Competitive</v>
      </c>
    </row>
    <row r="2547" spans="1:24" x14ac:dyDescent="0.3">
      <c r="A2547" t="s">
        <v>2615</v>
      </c>
      <c r="B2547" t="s">
        <v>20</v>
      </c>
      <c r="C2547">
        <v>29</v>
      </c>
      <c r="D2547" t="s">
        <v>31</v>
      </c>
      <c r="E2547" t="s">
        <v>22</v>
      </c>
      <c r="F2547" t="s">
        <v>32</v>
      </c>
      <c r="G2547" t="s">
        <v>63</v>
      </c>
      <c r="H2547" t="s">
        <v>34</v>
      </c>
      <c r="I2547" t="s">
        <v>50</v>
      </c>
      <c r="J2547" t="s">
        <v>44</v>
      </c>
      <c r="K2547">
        <v>13</v>
      </c>
      <c r="L2547">
        <v>65039</v>
      </c>
      <c r="M2547" t="s">
        <v>45</v>
      </c>
      <c r="N2547">
        <v>2</v>
      </c>
      <c r="O2547">
        <v>3</v>
      </c>
      <c r="P2547">
        <v>32</v>
      </c>
      <c r="Q2547">
        <v>3</v>
      </c>
      <c r="R2547" s="1">
        <v>40458</v>
      </c>
      <c r="S2547" t="s">
        <v>29</v>
      </c>
      <c r="T2547" t="str">
        <f t="shared" si="195"/>
        <v>Grade B</v>
      </c>
      <c r="U2547">
        <f t="shared" si="196"/>
        <v>2</v>
      </c>
      <c r="V2547" t="str">
        <f t="shared" si="197"/>
        <v>Senior</v>
      </c>
      <c r="W2547" t="str">
        <f t="shared" si="198"/>
        <v>Medium Risk</v>
      </c>
      <c r="X2547" t="str">
        <f t="shared" si="199"/>
        <v>Fair</v>
      </c>
    </row>
    <row r="2548" spans="1:24" x14ac:dyDescent="0.3">
      <c r="A2548" t="s">
        <v>2616</v>
      </c>
      <c r="B2548" t="s">
        <v>39</v>
      </c>
      <c r="C2548">
        <v>28</v>
      </c>
      <c r="D2548" t="s">
        <v>31</v>
      </c>
      <c r="E2548" t="s">
        <v>40</v>
      </c>
      <c r="F2548" t="s">
        <v>32</v>
      </c>
      <c r="G2548" t="s">
        <v>33</v>
      </c>
      <c r="H2548" t="s">
        <v>67</v>
      </c>
      <c r="I2548" t="s">
        <v>96</v>
      </c>
      <c r="J2548" t="s">
        <v>44</v>
      </c>
      <c r="K2548">
        <v>6</v>
      </c>
      <c r="L2548">
        <v>69619</v>
      </c>
      <c r="M2548" t="s">
        <v>28</v>
      </c>
      <c r="N2548">
        <v>2</v>
      </c>
      <c r="O2548">
        <v>1</v>
      </c>
      <c r="P2548">
        <v>42</v>
      </c>
      <c r="Q2548">
        <v>1</v>
      </c>
      <c r="R2548" s="1">
        <v>42972</v>
      </c>
      <c r="S2548" t="s">
        <v>29</v>
      </c>
      <c r="T2548" t="str">
        <f t="shared" si="195"/>
        <v>Grade B</v>
      </c>
      <c r="U2548">
        <f t="shared" si="196"/>
        <v>3</v>
      </c>
      <c r="V2548" t="str">
        <f t="shared" si="197"/>
        <v>Mid Level</v>
      </c>
      <c r="W2548" t="str">
        <f t="shared" si="198"/>
        <v>Medium Risk</v>
      </c>
      <c r="X2548" t="str">
        <f t="shared" si="199"/>
        <v>Competitive</v>
      </c>
    </row>
    <row r="2549" spans="1:24" x14ac:dyDescent="0.3">
      <c r="A2549" t="s">
        <v>2617</v>
      </c>
      <c r="B2549" t="s">
        <v>20</v>
      </c>
      <c r="C2549">
        <v>26</v>
      </c>
      <c r="D2549" t="s">
        <v>88</v>
      </c>
      <c r="E2549" t="s">
        <v>40</v>
      </c>
      <c r="F2549" t="s">
        <v>78</v>
      </c>
      <c r="G2549" t="s">
        <v>33</v>
      </c>
      <c r="H2549" t="s">
        <v>34</v>
      </c>
      <c r="I2549" t="s">
        <v>50</v>
      </c>
      <c r="J2549" t="s">
        <v>44</v>
      </c>
      <c r="K2549">
        <v>15</v>
      </c>
      <c r="L2549">
        <v>88549</v>
      </c>
      <c r="M2549" t="s">
        <v>28</v>
      </c>
      <c r="N2549">
        <v>3</v>
      </c>
      <c r="O2549">
        <v>2</v>
      </c>
      <c r="P2549">
        <v>53</v>
      </c>
      <c r="Q2549">
        <v>0</v>
      </c>
      <c r="R2549" s="1">
        <v>39628</v>
      </c>
      <c r="S2549" t="s">
        <v>37</v>
      </c>
      <c r="T2549" t="str">
        <f t="shared" si="195"/>
        <v>Grade A</v>
      </c>
      <c r="U2549">
        <f t="shared" si="196"/>
        <v>3</v>
      </c>
      <c r="V2549" t="str">
        <f t="shared" si="197"/>
        <v>Senior</v>
      </c>
      <c r="W2549" t="str">
        <f t="shared" si="198"/>
        <v>Already Left</v>
      </c>
      <c r="X2549" t="str">
        <f t="shared" si="199"/>
        <v>Competitive</v>
      </c>
    </row>
    <row r="2550" spans="1:24" x14ac:dyDescent="0.3">
      <c r="A2550" t="s">
        <v>2618</v>
      </c>
      <c r="B2550" t="s">
        <v>20</v>
      </c>
      <c r="C2550">
        <v>53</v>
      </c>
      <c r="D2550" t="s">
        <v>88</v>
      </c>
      <c r="E2550" t="s">
        <v>40</v>
      </c>
      <c r="F2550" t="s">
        <v>53</v>
      </c>
      <c r="G2550" t="s">
        <v>58</v>
      </c>
      <c r="H2550" t="s">
        <v>25</v>
      </c>
      <c r="I2550" t="s">
        <v>72</v>
      </c>
      <c r="J2550" t="s">
        <v>73</v>
      </c>
      <c r="K2550">
        <v>14</v>
      </c>
      <c r="L2550">
        <v>121831</v>
      </c>
      <c r="M2550" t="s">
        <v>28</v>
      </c>
      <c r="N2550">
        <v>2</v>
      </c>
      <c r="O2550">
        <v>4</v>
      </c>
      <c r="P2550">
        <v>47</v>
      </c>
      <c r="Q2550">
        <v>1</v>
      </c>
      <c r="R2550" s="1">
        <v>39999</v>
      </c>
      <c r="S2550" t="s">
        <v>29</v>
      </c>
      <c r="T2550" t="str">
        <f t="shared" si="195"/>
        <v>Grade A</v>
      </c>
      <c r="U2550">
        <f t="shared" si="196"/>
        <v>3</v>
      </c>
      <c r="V2550" t="str">
        <f t="shared" si="197"/>
        <v>Senior</v>
      </c>
      <c r="W2550" t="str">
        <f t="shared" si="198"/>
        <v>Medium Risk</v>
      </c>
      <c r="X2550" t="str">
        <f t="shared" si="199"/>
        <v>Competitive</v>
      </c>
    </row>
    <row r="2551" spans="1:24" x14ac:dyDescent="0.3">
      <c r="A2551" t="s">
        <v>2619</v>
      </c>
      <c r="B2551" t="s">
        <v>39</v>
      </c>
      <c r="C2551">
        <v>49</v>
      </c>
      <c r="D2551" t="s">
        <v>21</v>
      </c>
      <c r="E2551" t="s">
        <v>22</v>
      </c>
      <c r="F2551" t="s">
        <v>32</v>
      </c>
      <c r="G2551" t="s">
        <v>24</v>
      </c>
      <c r="H2551" t="s">
        <v>76</v>
      </c>
      <c r="I2551" t="s">
        <v>96</v>
      </c>
      <c r="J2551" t="s">
        <v>44</v>
      </c>
      <c r="K2551">
        <v>8</v>
      </c>
      <c r="L2551">
        <v>88291</v>
      </c>
      <c r="M2551" t="s">
        <v>45</v>
      </c>
      <c r="N2551">
        <v>2</v>
      </c>
      <c r="O2551">
        <v>1</v>
      </c>
      <c r="P2551">
        <v>40</v>
      </c>
      <c r="Q2551">
        <v>2</v>
      </c>
      <c r="R2551" s="1">
        <v>42052</v>
      </c>
      <c r="S2551" t="s">
        <v>29</v>
      </c>
      <c r="T2551" t="str">
        <f t="shared" si="195"/>
        <v>Grade A</v>
      </c>
      <c r="U2551">
        <f t="shared" si="196"/>
        <v>2</v>
      </c>
      <c r="V2551" t="str">
        <f t="shared" si="197"/>
        <v>Mid Level</v>
      </c>
      <c r="W2551" t="str">
        <f t="shared" si="198"/>
        <v>Medium Risk</v>
      </c>
      <c r="X2551" t="str">
        <f t="shared" si="199"/>
        <v>Fair</v>
      </c>
    </row>
    <row r="2552" spans="1:24" x14ac:dyDescent="0.3">
      <c r="A2552" t="s">
        <v>2620</v>
      </c>
      <c r="B2552" t="s">
        <v>20</v>
      </c>
      <c r="C2552">
        <v>43</v>
      </c>
      <c r="D2552" t="s">
        <v>47</v>
      </c>
      <c r="E2552" t="s">
        <v>48</v>
      </c>
      <c r="F2552" t="s">
        <v>41</v>
      </c>
      <c r="G2552" t="s">
        <v>49</v>
      </c>
      <c r="H2552" t="s">
        <v>83</v>
      </c>
      <c r="I2552" t="s">
        <v>26</v>
      </c>
      <c r="J2552" t="s">
        <v>27</v>
      </c>
      <c r="K2552">
        <v>11</v>
      </c>
      <c r="L2552">
        <v>63662</v>
      </c>
      <c r="M2552" t="s">
        <v>28</v>
      </c>
      <c r="N2552">
        <v>1</v>
      </c>
      <c r="O2552">
        <v>2</v>
      </c>
      <c r="P2552">
        <v>43</v>
      </c>
      <c r="Q2552">
        <v>3</v>
      </c>
      <c r="R2552" s="1">
        <v>41262</v>
      </c>
      <c r="S2552" t="s">
        <v>37</v>
      </c>
      <c r="T2552" t="str">
        <f t="shared" si="195"/>
        <v>Grade B</v>
      </c>
      <c r="U2552">
        <f t="shared" si="196"/>
        <v>3</v>
      </c>
      <c r="V2552" t="str">
        <f t="shared" si="197"/>
        <v>Senior</v>
      </c>
      <c r="W2552" t="str">
        <f t="shared" si="198"/>
        <v>Already Left</v>
      </c>
      <c r="X2552" t="str">
        <f t="shared" si="199"/>
        <v>Competitive</v>
      </c>
    </row>
    <row r="2553" spans="1:24" x14ac:dyDescent="0.3">
      <c r="A2553" t="s">
        <v>2621</v>
      </c>
      <c r="B2553" t="s">
        <v>39</v>
      </c>
      <c r="C2553">
        <v>33</v>
      </c>
      <c r="D2553" t="s">
        <v>47</v>
      </c>
      <c r="E2553" t="s">
        <v>22</v>
      </c>
      <c r="F2553" t="s">
        <v>62</v>
      </c>
      <c r="G2553" t="s">
        <v>79</v>
      </c>
      <c r="H2553" t="s">
        <v>34</v>
      </c>
      <c r="I2553" t="s">
        <v>54</v>
      </c>
      <c r="J2553" t="s">
        <v>27</v>
      </c>
      <c r="K2553">
        <v>12</v>
      </c>
      <c r="L2553">
        <v>59587</v>
      </c>
      <c r="M2553" t="s">
        <v>45</v>
      </c>
      <c r="N2553">
        <v>1</v>
      </c>
      <c r="O2553">
        <v>4</v>
      </c>
      <c r="P2553">
        <v>41</v>
      </c>
      <c r="Q2553">
        <v>2</v>
      </c>
      <c r="R2553" s="1">
        <v>40841</v>
      </c>
      <c r="S2553" t="s">
        <v>29</v>
      </c>
      <c r="T2553" t="str">
        <f t="shared" si="195"/>
        <v>Grade B</v>
      </c>
      <c r="U2553">
        <f t="shared" si="196"/>
        <v>2</v>
      </c>
      <c r="V2553" t="str">
        <f t="shared" si="197"/>
        <v>Senior</v>
      </c>
      <c r="W2553" t="str">
        <f t="shared" si="198"/>
        <v>Medium Risk</v>
      </c>
      <c r="X2553" t="str">
        <f t="shared" si="199"/>
        <v>Fair</v>
      </c>
    </row>
    <row r="2554" spans="1:24" x14ac:dyDescent="0.3">
      <c r="A2554" t="s">
        <v>2622</v>
      </c>
      <c r="B2554" t="s">
        <v>20</v>
      </c>
      <c r="C2554">
        <v>50</v>
      </c>
      <c r="D2554" t="s">
        <v>88</v>
      </c>
      <c r="E2554" t="s">
        <v>22</v>
      </c>
      <c r="F2554" t="s">
        <v>23</v>
      </c>
      <c r="G2554" t="s">
        <v>79</v>
      </c>
      <c r="H2554" t="s">
        <v>34</v>
      </c>
      <c r="I2554" t="s">
        <v>96</v>
      </c>
      <c r="J2554" t="s">
        <v>44</v>
      </c>
      <c r="K2554">
        <v>4</v>
      </c>
      <c r="L2554">
        <v>46144</v>
      </c>
      <c r="M2554" t="s">
        <v>45</v>
      </c>
      <c r="N2554">
        <v>4</v>
      </c>
      <c r="O2554">
        <v>2</v>
      </c>
      <c r="P2554">
        <v>25</v>
      </c>
      <c r="Q2554">
        <v>1</v>
      </c>
      <c r="R2554" s="1">
        <v>43826</v>
      </c>
      <c r="S2554" t="s">
        <v>29</v>
      </c>
      <c r="T2554" t="str">
        <f t="shared" si="195"/>
        <v>Grade C</v>
      </c>
      <c r="U2554">
        <f t="shared" si="196"/>
        <v>2</v>
      </c>
      <c r="V2554" t="str">
        <f t="shared" si="197"/>
        <v>Junior</v>
      </c>
      <c r="W2554" t="str">
        <f t="shared" si="198"/>
        <v>Medium Risk</v>
      </c>
      <c r="X2554" t="str">
        <f t="shared" si="199"/>
        <v>Fair</v>
      </c>
    </row>
    <row r="2555" spans="1:24" x14ac:dyDescent="0.3">
      <c r="A2555" t="s">
        <v>2623</v>
      </c>
      <c r="B2555" t="s">
        <v>39</v>
      </c>
      <c r="C2555">
        <v>50</v>
      </c>
      <c r="D2555" t="s">
        <v>21</v>
      </c>
      <c r="E2555" t="s">
        <v>48</v>
      </c>
      <c r="F2555" t="s">
        <v>75</v>
      </c>
      <c r="G2555" t="s">
        <v>63</v>
      </c>
      <c r="H2555" t="s">
        <v>34</v>
      </c>
      <c r="I2555" t="s">
        <v>26</v>
      </c>
      <c r="J2555" t="s">
        <v>27</v>
      </c>
      <c r="K2555">
        <v>3</v>
      </c>
      <c r="L2555">
        <v>42772</v>
      </c>
      <c r="M2555" t="s">
        <v>28</v>
      </c>
      <c r="N2555">
        <v>1</v>
      </c>
      <c r="O2555">
        <v>2</v>
      </c>
      <c r="P2555">
        <v>19</v>
      </c>
      <c r="Q2555">
        <v>3</v>
      </c>
      <c r="R2555" s="1">
        <v>44194</v>
      </c>
      <c r="S2555" t="s">
        <v>29</v>
      </c>
      <c r="T2555" t="str">
        <f t="shared" si="195"/>
        <v>Grade C</v>
      </c>
      <c r="U2555">
        <f t="shared" si="196"/>
        <v>3</v>
      </c>
      <c r="V2555" t="str">
        <f t="shared" si="197"/>
        <v>Junior</v>
      </c>
      <c r="W2555" t="str">
        <f t="shared" si="198"/>
        <v>Medium Risk</v>
      </c>
      <c r="X2555" t="str">
        <f t="shared" si="199"/>
        <v>Fair</v>
      </c>
    </row>
    <row r="2556" spans="1:24" x14ac:dyDescent="0.3">
      <c r="A2556" t="s">
        <v>2624</v>
      </c>
      <c r="B2556" t="s">
        <v>20</v>
      </c>
      <c r="C2556">
        <v>50</v>
      </c>
      <c r="D2556" t="s">
        <v>47</v>
      </c>
      <c r="E2556" t="s">
        <v>40</v>
      </c>
      <c r="F2556" t="s">
        <v>62</v>
      </c>
      <c r="G2556" t="s">
        <v>58</v>
      </c>
      <c r="H2556" t="s">
        <v>25</v>
      </c>
      <c r="I2556" t="s">
        <v>35</v>
      </c>
      <c r="J2556" t="s">
        <v>27</v>
      </c>
      <c r="K2556">
        <v>9</v>
      </c>
      <c r="L2556">
        <v>99466</v>
      </c>
      <c r="M2556" t="s">
        <v>28</v>
      </c>
      <c r="N2556">
        <v>1</v>
      </c>
      <c r="O2556">
        <v>1</v>
      </c>
      <c r="P2556">
        <v>38</v>
      </c>
      <c r="Q2556">
        <v>1</v>
      </c>
      <c r="R2556" s="1">
        <v>41681</v>
      </c>
      <c r="S2556" t="s">
        <v>29</v>
      </c>
      <c r="T2556" t="str">
        <f t="shared" si="195"/>
        <v>Grade A</v>
      </c>
      <c r="U2556">
        <f t="shared" si="196"/>
        <v>3</v>
      </c>
      <c r="V2556" t="str">
        <f t="shared" si="197"/>
        <v>Mid Level</v>
      </c>
      <c r="W2556" t="str">
        <f t="shared" si="198"/>
        <v>Medium Risk</v>
      </c>
      <c r="X2556" t="str">
        <f t="shared" si="199"/>
        <v>Competitive</v>
      </c>
    </row>
    <row r="2557" spans="1:24" x14ac:dyDescent="0.3">
      <c r="A2557" t="s">
        <v>2625</v>
      </c>
      <c r="B2557" t="s">
        <v>20</v>
      </c>
      <c r="C2557">
        <v>23</v>
      </c>
      <c r="D2557" t="s">
        <v>57</v>
      </c>
      <c r="E2557" t="s">
        <v>48</v>
      </c>
      <c r="F2557" t="s">
        <v>23</v>
      </c>
      <c r="G2557" t="s">
        <v>24</v>
      </c>
      <c r="H2557" t="s">
        <v>25</v>
      </c>
      <c r="I2557" t="s">
        <v>96</v>
      </c>
      <c r="J2557" t="s">
        <v>44</v>
      </c>
      <c r="K2557">
        <v>7</v>
      </c>
      <c r="L2557">
        <v>89033</v>
      </c>
      <c r="M2557" t="s">
        <v>45</v>
      </c>
      <c r="N2557">
        <v>1</v>
      </c>
      <c r="O2557">
        <v>1</v>
      </c>
      <c r="P2557">
        <v>51</v>
      </c>
      <c r="Q2557">
        <v>1</v>
      </c>
      <c r="R2557" s="1">
        <v>42577</v>
      </c>
      <c r="S2557" t="s">
        <v>29</v>
      </c>
      <c r="T2557" t="str">
        <f t="shared" si="195"/>
        <v>Grade A</v>
      </c>
      <c r="U2557">
        <f t="shared" si="196"/>
        <v>2</v>
      </c>
      <c r="V2557" t="str">
        <f t="shared" si="197"/>
        <v>Mid Level</v>
      </c>
      <c r="W2557" t="str">
        <f t="shared" si="198"/>
        <v>Medium Risk</v>
      </c>
      <c r="X2557" t="str">
        <f t="shared" si="199"/>
        <v>Fair</v>
      </c>
    </row>
    <row r="2558" spans="1:24" x14ac:dyDescent="0.3">
      <c r="A2558" t="s">
        <v>2626</v>
      </c>
      <c r="B2558" t="s">
        <v>39</v>
      </c>
      <c r="C2558">
        <v>54</v>
      </c>
      <c r="D2558" t="s">
        <v>21</v>
      </c>
      <c r="E2558" t="s">
        <v>40</v>
      </c>
      <c r="F2558" t="s">
        <v>65</v>
      </c>
      <c r="G2558" t="s">
        <v>49</v>
      </c>
      <c r="H2558" t="s">
        <v>34</v>
      </c>
      <c r="I2558" t="s">
        <v>72</v>
      </c>
      <c r="J2558" t="s">
        <v>73</v>
      </c>
      <c r="K2558">
        <v>14</v>
      </c>
      <c r="L2558">
        <v>76644</v>
      </c>
      <c r="M2558" t="s">
        <v>28</v>
      </c>
      <c r="N2558">
        <v>2</v>
      </c>
      <c r="O2558">
        <v>2</v>
      </c>
      <c r="P2558">
        <v>76</v>
      </c>
      <c r="Q2558">
        <v>2</v>
      </c>
      <c r="R2558" s="1">
        <v>40131</v>
      </c>
      <c r="S2558" t="s">
        <v>29</v>
      </c>
      <c r="T2558" t="str">
        <f t="shared" si="195"/>
        <v>Grade B</v>
      </c>
      <c r="U2558">
        <f t="shared" si="196"/>
        <v>3</v>
      </c>
      <c r="V2558" t="str">
        <f t="shared" si="197"/>
        <v>Senior</v>
      </c>
      <c r="W2558" t="str">
        <f t="shared" si="198"/>
        <v>Medium Risk</v>
      </c>
      <c r="X2558" t="str">
        <f t="shared" si="199"/>
        <v>Competitive</v>
      </c>
    </row>
    <row r="2559" spans="1:24" x14ac:dyDescent="0.3">
      <c r="A2559" t="s">
        <v>2627</v>
      </c>
      <c r="B2559" t="s">
        <v>20</v>
      </c>
      <c r="C2559">
        <v>54</v>
      </c>
      <c r="D2559" t="s">
        <v>57</v>
      </c>
      <c r="E2559" t="s">
        <v>40</v>
      </c>
      <c r="F2559" t="s">
        <v>53</v>
      </c>
      <c r="G2559" t="s">
        <v>33</v>
      </c>
      <c r="H2559" t="s">
        <v>34</v>
      </c>
      <c r="I2559" t="s">
        <v>50</v>
      </c>
      <c r="J2559" t="s">
        <v>44</v>
      </c>
      <c r="K2559">
        <v>8</v>
      </c>
      <c r="L2559">
        <v>85384</v>
      </c>
      <c r="M2559" t="s">
        <v>45</v>
      </c>
      <c r="N2559">
        <v>3</v>
      </c>
      <c r="O2559">
        <v>2</v>
      </c>
      <c r="P2559">
        <v>69</v>
      </c>
      <c r="Q2559">
        <v>0</v>
      </c>
      <c r="R2559" s="1">
        <v>42288</v>
      </c>
      <c r="S2559" t="s">
        <v>29</v>
      </c>
      <c r="T2559" t="str">
        <f t="shared" si="195"/>
        <v>Grade A</v>
      </c>
      <c r="U2559">
        <f t="shared" si="196"/>
        <v>2</v>
      </c>
      <c r="V2559" t="str">
        <f t="shared" si="197"/>
        <v>Mid Level</v>
      </c>
      <c r="W2559" t="str">
        <f t="shared" si="198"/>
        <v>Medium Risk</v>
      </c>
      <c r="X2559" t="str">
        <f t="shared" si="199"/>
        <v>Fair</v>
      </c>
    </row>
    <row r="2560" spans="1:24" x14ac:dyDescent="0.3">
      <c r="A2560" t="s">
        <v>2628</v>
      </c>
      <c r="B2560" t="s">
        <v>39</v>
      </c>
      <c r="C2560">
        <v>46</v>
      </c>
      <c r="D2560" t="s">
        <v>57</v>
      </c>
      <c r="E2560" t="s">
        <v>48</v>
      </c>
      <c r="F2560" t="s">
        <v>75</v>
      </c>
      <c r="G2560" t="s">
        <v>49</v>
      </c>
      <c r="H2560" t="s">
        <v>25</v>
      </c>
      <c r="I2560" t="s">
        <v>72</v>
      </c>
      <c r="J2560" t="s">
        <v>73</v>
      </c>
      <c r="K2560">
        <v>6</v>
      </c>
      <c r="L2560">
        <v>59089</v>
      </c>
      <c r="M2560" t="s">
        <v>51</v>
      </c>
      <c r="N2560">
        <v>4</v>
      </c>
      <c r="O2560">
        <v>1</v>
      </c>
      <c r="P2560">
        <v>61</v>
      </c>
      <c r="Q2560">
        <v>1</v>
      </c>
      <c r="R2560" s="1">
        <v>42874</v>
      </c>
      <c r="S2560" t="s">
        <v>37</v>
      </c>
      <c r="T2560" t="str">
        <f t="shared" si="195"/>
        <v>Grade B</v>
      </c>
      <c r="U2560">
        <f t="shared" si="196"/>
        <v>4</v>
      </c>
      <c r="V2560" t="str">
        <f t="shared" si="197"/>
        <v>Mid Level</v>
      </c>
      <c r="W2560" t="str">
        <f t="shared" si="198"/>
        <v>Already Left</v>
      </c>
      <c r="X2560" t="str">
        <f t="shared" si="199"/>
        <v>Fair</v>
      </c>
    </row>
    <row r="2561" spans="1:24" x14ac:dyDescent="0.3">
      <c r="A2561" t="s">
        <v>2629</v>
      </c>
      <c r="B2561" t="s">
        <v>20</v>
      </c>
      <c r="C2561">
        <v>43</v>
      </c>
      <c r="D2561" t="s">
        <v>47</v>
      </c>
      <c r="E2561" t="s">
        <v>22</v>
      </c>
      <c r="F2561" t="s">
        <v>41</v>
      </c>
      <c r="G2561" t="s">
        <v>63</v>
      </c>
      <c r="H2561" t="s">
        <v>83</v>
      </c>
      <c r="I2561" t="s">
        <v>59</v>
      </c>
      <c r="J2561" t="s">
        <v>60</v>
      </c>
      <c r="K2561">
        <v>12</v>
      </c>
      <c r="L2561">
        <v>62057</v>
      </c>
      <c r="M2561" t="s">
        <v>51</v>
      </c>
      <c r="N2561">
        <v>2</v>
      </c>
      <c r="O2561">
        <v>4</v>
      </c>
      <c r="P2561">
        <v>36</v>
      </c>
      <c r="Q2561">
        <v>0</v>
      </c>
      <c r="R2561" s="1">
        <v>40610</v>
      </c>
      <c r="S2561" t="s">
        <v>37</v>
      </c>
      <c r="T2561" t="str">
        <f t="shared" si="195"/>
        <v>Grade B</v>
      </c>
      <c r="U2561">
        <f t="shared" si="196"/>
        <v>4</v>
      </c>
      <c r="V2561" t="str">
        <f t="shared" si="197"/>
        <v>Senior</v>
      </c>
      <c r="W2561" t="str">
        <f t="shared" si="198"/>
        <v>Already Left</v>
      </c>
      <c r="X2561" t="str">
        <f t="shared" si="199"/>
        <v>Fair</v>
      </c>
    </row>
    <row r="2562" spans="1:24" x14ac:dyDescent="0.3">
      <c r="A2562" t="s">
        <v>2630</v>
      </c>
      <c r="B2562" t="s">
        <v>39</v>
      </c>
      <c r="C2562">
        <v>53</v>
      </c>
      <c r="D2562" t="s">
        <v>88</v>
      </c>
      <c r="E2562" t="s">
        <v>40</v>
      </c>
      <c r="F2562" t="s">
        <v>62</v>
      </c>
      <c r="G2562" t="s">
        <v>33</v>
      </c>
      <c r="H2562" t="s">
        <v>83</v>
      </c>
      <c r="I2562" t="s">
        <v>59</v>
      </c>
      <c r="J2562" t="s">
        <v>60</v>
      </c>
      <c r="K2562">
        <v>8</v>
      </c>
      <c r="L2562">
        <v>68528</v>
      </c>
      <c r="M2562" t="s">
        <v>28</v>
      </c>
      <c r="N2562">
        <v>2</v>
      </c>
      <c r="O2562">
        <v>1</v>
      </c>
      <c r="P2562">
        <v>63</v>
      </c>
      <c r="Q2562">
        <v>0</v>
      </c>
      <c r="R2562" s="1">
        <v>42368</v>
      </c>
      <c r="S2562" t="s">
        <v>29</v>
      </c>
      <c r="T2562" t="str">
        <f t="shared" ref="T2562:T2625" si="200">IF(L2562&gt;=80000,"Grade A",IF(L2562&gt;=50000,"Grade B",IF(L2562&gt;=35000,"Grade C","Grade D")))</f>
        <v>Grade B</v>
      </c>
      <c r="U2562">
        <f t="shared" ref="U2562:U2625" si="201">IF(M2562="Excellent",4,IF(M2562="Good",3,IF(M2562="Average",2,1)))</f>
        <v>3</v>
      </c>
      <c r="V2562" t="str">
        <f t="shared" ref="V2562:V2625" si="202">IF(K2562&lt;=2,"New Joiner",IF(K2562&lt;=5,"Junior",IF(K2562&lt;=10,"Mid Level","Senior")))</f>
        <v>Mid Level</v>
      </c>
      <c r="W2562" t="str">
        <f t="shared" ref="W2562:W2625" si="203">IF(S2562="Yes","Already Left",IF(AND(K2562&lt;=2,M2562="Poor"),"High Risk",IF(AND(K2562&lt;=5,M2562="Average"),"Medium Risk",IF(M2562="Excellent","Low Risk","Medium Risk"))))</f>
        <v>Medium Risk</v>
      </c>
      <c r="X2562" t="str">
        <f t="shared" ref="X2562:X2625" si="204">IF(AND(L2562&gt;=80000,M2562="Excellent"),"Competitive",IF(AND(L2562&gt;=50000,M2562="Good"),"Competitive",IF(AND(L2562&lt;35000,M2562="Excellent"),"Underpaid",IF(AND(L2562&gt;=80000,M2562="Poor"),"Overpaid","Fair"))))</f>
        <v>Competitive</v>
      </c>
    </row>
    <row r="2563" spans="1:24" x14ac:dyDescent="0.3">
      <c r="A2563" t="s">
        <v>2631</v>
      </c>
      <c r="B2563" t="s">
        <v>20</v>
      </c>
      <c r="C2563">
        <v>31</v>
      </c>
      <c r="D2563" t="s">
        <v>21</v>
      </c>
      <c r="E2563" t="s">
        <v>48</v>
      </c>
      <c r="F2563" t="s">
        <v>53</v>
      </c>
      <c r="G2563" t="s">
        <v>66</v>
      </c>
      <c r="H2563" t="s">
        <v>83</v>
      </c>
      <c r="I2563" t="s">
        <v>35</v>
      </c>
      <c r="J2563" t="s">
        <v>27</v>
      </c>
      <c r="K2563">
        <v>5</v>
      </c>
      <c r="L2563">
        <v>51952</v>
      </c>
      <c r="M2563" t="s">
        <v>51</v>
      </c>
      <c r="N2563">
        <v>2</v>
      </c>
      <c r="O2563">
        <v>3</v>
      </c>
      <c r="P2563">
        <v>67</v>
      </c>
      <c r="Q2563">
        <v>2</v>
      </c>
      <c r="R2563" s="1">
        <v>43444</v>
      </c>
      <c r="S2563" t="s">
        <v>29</v>
      </c>
      <c r="T2563" t="str">
        <f t="shared" si="200"/>
        <v>Grade B</v>
      </c>
      <c r="U2563">
        <f t="shared" si="201"/>
        <v>4</v>
      </c>
      <c r="V2563" t="str">
        <f t="shared" si="202"/>
        <v>Junior</v>
      </c>
      <c r="W2563" t="str">
        <f t="shared" si="203"/>
        <v>Low Risk</v>
      </c>
      <c r="X2563" t="str">
        <f t="shared" si="204"/>
        <v>Fair</v>
      </c>
    </row>
    <row r="2564" spans="1:24" x14ac:dyDescent="0.3">
      <c r="A2564" t="s">
        <v>2632</v>
      </c>
      <c r="B2564" t="s">
        <v>20</v>
      </c>
      <c r="C2564">
        <v>25</v>
      </c>
      <c r="D2564" t="s">
        <v>57</v>
      </c>
      <c r="E2564" t="s">
        <v>48</v>
      </c>
      <c r="F2564" t="s">
        <v>62</v>
      </c>
      <c r="G2564" t="s">
        <v>33</v>
      </c>
      <c r="H2564" t="s">
        <v>76</v>
      </c>
      <c r="I2564" t="s">
        <v>68</v>
      </c>
      <c r="J2564" t="s">
        <v>60</v>
      </c>
      <c r="K2564">
        <v>15</v>
      </c>
      <c r="L2564">
        <v>87989</v>
      </c>
      <c r="M2564" t="s">
        <v>45</v>
      </c>
      <c r="N2564">
        <v>2</v>
      </c>
      <c r="O2564">
        <v>1</v>
      </c>
      <c r="P2564">
        <v>52</v>
      </c>
      <c r="Q2564">
        <v>1</v>
      </c>
      <c r="R2564" s="1">
        <v>39633</v>
      </c>
      <c r="S2564" t="s">
        <v>29</v>
      </c>
      <c r="T2564" t="str">
        <f t="shared" si="200"/>
        <v>Grade A</v>
      </c>
      <c r="U2564">
        <f t="shared" si="201"/>
        <v>2</v>
      </c>
      <c r="V2564" t="str">
        <f t="shared" si="202"/>
        <v>Senior</v>
      </c>
      <c r="W2564" t="str">
        <f t="shared" si="203"/>
        <v>Medium Risk</v>
      </c>
      <c r="X2564" t="str">
        <f t="shared" si="204"/>
        <v>Fair</v>
      </c>
    </row>
    <row r="2565" spans="1:24" x14ac:dyDescent="0.3">
      <c r="A2565" t="s">
        <v>2633</v>
      </c>
      <c r="B2565" t="s">
        <v>20</v>
      </c>
      <c r="C2565">
        <v>52</v>
      </c>
      <c r="D2565" t="s">
        <v>88</v>
      </c>
      <c r="E2565" t="s">
        <v>40</v>
      </c>
      <c r="F2565" t="s">
        <v>78</v>
      </c>
      <c r="G2565" t="s">
        <v>58</v>
      </c>
      <c r="H2565" t="s">
        <v>34</v>
      </c>
      <c r="I2565" t="s">
        <v>43</v>
      </c>
      <c r="J2565" t="s">
        <v>44</v>
      </c>
      <c r="K2565">
        <v>3</v>
      </c>
      <c r="L2565">
        <v>95755</v>
      </c>
      <c r="M2565" t="s">
        <v>51</v>
      </c>
      <c r="N2565">
        <v>1</v>
      </c>
      <c r="O2565">
        <v>2</v>
      </c>
      <c r="P2565">
        <v>50</v>
      </c>
      <c r="Q2565">
        <v>2</v>
      </c>
      <c r="R2565" s="1">
        <v>44180</v>
      </c>
      <c r="S2565" t="s">
        <v>29</v>
      </c>
      <c r="T2565" t="str">
        <f t="shared" si="200"/>
        <v>Grade A</v>
      </c>
      <c r="U2565">
        <f t="shared" si="201"/>
        <v>4</v>
      </c>
      <c r="V2565" t="str">
        <f t="shared" si="202"/>
        <v>Junior</v>
      </c>
      <c r="W2565" t="str">
        <f t="shared" si="203"/>
        <v>Low Risk</v>
      </c>
      <c r="X2565" t="str">
        <f t="shared" si="204"/>
        <v>Competitive</v>
      </c>
    </row>
    <row r="2566" spans="1:24" x14ac:dyDescent="0.3">
      <c r="A2566" t="s">
        <v>2634</v>
      </c>
      <c r="B2566" t="s">
        <v>20</v>
      </c>
      <c r="C2566">
        <v>27</v>
      </c>
      <c r="D2566" t="s">
        <v>57</v>
      </c>
      <c r="E2566" t="s">
        <v>48</v>
      </c>
      <c r="F2566" t="s">
        <v>41</v>
      </c>
      <c r="G2566" t="s">
        <v>42</v>
      </c>
      <c r="H2566" t="s">
        <v>34</v>
      </c>
      <c r="I2566" t="s">
        <v>50</v>
      </c>
      <c r="J2566" t="s">
        <v>44</v>
      </c>
      <c r="K2566">
        <v>9</v>
      </c>
      <c r="L2566">
        <v>112098</v>
      </c>
      <c r="M2566" t="s">
        <v>36</v>
      </c>
      <c r="N2566">
        <v>3</v>
      </c>
      <c r="O2566">
        <v>2</v>
      </c>
      <c r="P2566">
        <v>14</v>
      </c>
      <c r="Q2566">
        <v>2</v>
      </c>
      <c r="R2566" s="1">
        <v>41840</v>
      </c>
      <c r="S2566" t="s">
        <v>37</v>
      </c>
      <c r="T2566" t="str">
        <f t="shared" si="200"/>
        <v>Grade A</v>
      </c>
      <c r="U2566">
        <f t="shared" si="201"/>
        <v>1</v>
      </c>
      <c r="V2566" t="str">
        <f t="shared" si="202"/>
        <v>Mid Level</v>
      </c>
      <c r="W2566" t="str">
        <f t="shared" si="203"/>
        <v>Already Left</v>
      </c>
      <c r="X2566" t="str">
        <f t="shared" si="204"/>
        <v>Overpaid</v>
      </c>
    </row>
    <row r="2567" spans="1:24" x14ac:dyDescent="0.3">
      <c r="A2567" t="s">
        <v>2635</v>
      </c>
      <c r="B2567" t="s">
        <v>20</v>
      </c>
      <c r="C2567">
        <v>22</v>
      </c>
      <c r="D2567" t="s">
        <v>88</v>
      </c>
      <c r="E2567" t="s">
        <v>22</v>
      </c>
      <c r="F2567" t="s">
        <v>23</v>
      </c>
      <c r="G2567" t="s">
        <v>66</v>
      </c>
      <c r="H2567" t="s">
        <v>25</v>
      </c>
      <c r="I2567" t="s">
        <v>80</v>
      </c>
      <c r="J2567" t="s">
        <v>60</v>
      </c>
      <c r="K2567">
        <v>15</v>
      </c>
      <c r="L2567">
        <v>65676</v>
      </c>
      <c r="M2567" t="s">
        <v>51</v>
      </c>
      <c r="N2567">
        <v>1</v>
      </c>
      <c r="O2567">
        <v>1</v>
      </c>
      <c r="P2567">
        <v>60</v>
      </c>
      <c r="Q2567">
        <v>3</v>
      </c>
      <c r="R2567" s="1">
        <v>39570</v>
      </c>
      <c r="S2567" t="s">
        <v>29</v>
      </c>
      <c r="T2567" t="str">
        <f t="shared" si="200"/>
        <v>Grade B</v>
      </c>
      <c r="U2567">
        <f t="shared" si="201"/>
        <v>4</v>
      </c>
      <c r="V2567" t="str">
        <f t="shared" si="202"/>
        <v>Senior</v>
      </c>
      <c r="W2567" t="str">
        <f t="shared" si="203"/>
        <v>Low Risk</v>
      </c>
      <c r="X2567" t="str">
        <f t="shared" si="204"/>
        <v>Fair</v>
      </c>
    </row>
    <row r="2568" spans="1:24" x14ac:dyDescent="0.3">
      <c r="A2568" t="s">
        <v>2636</v>
      </c>
      <c r="B2568" t="s">
        <v>39</v>
      </c>
      <c r="C2568">
        <v>44</v>
      </c>
      <c r="D2568" t="s">
        <v>88</v>
      </c>
      <c r="E2568" t="s">
        <v>22</v>
      </c>
      <c r="F2568" t="s">
        <v>32</v>
      </c>
      <c r="G2568" t="s">
        <v>49</v>
      </c>
      <c r="H2568" t="s">
        <v>83</v>
      </c>
      <c r="I2568" t="s">
        <v>72</v>
      </c>
      <c r="J2568" t="s">
        <v>73</v>
      </c>
      <c r="K2568">
        <v>2</v>
      </c>
      <c r="L2568">
        <v>52437</v>
      </c>
      <c r="M2568" t="s">
        <v>51</v>
      </c>
      <c r="N2568">
        <v>4</v>
      </c>
      <c r="O2568">
        <v>4</v>
      </c>
      <c r="P2568">
        <v>12</v>
      </c>
      <c r="Q2568">
        <v>0</v>
      </c>
      <c r="R2568" s="1">
        <v>44407</v>
      </c>
      <c r="S2568" t="s">
        <v>37</v>
      </c>
      <c r="T2568" t="str">
        <f t="shared" si="200"/>
        <v>Grade B</v>
      </c>
      <c r="U2568">
        <f t="shared" si="201"/>
        <v>4</v>
      </c>
      <c r="V2568" t="str">
        <f t="shared" si="202"/>
        <v>New Joiner</v>
      </c>
      <c r="W2568" t="str">
        <f t="shared" si="203"/>
        <v>Already Left</v>
      </c>
      <c r="X2568" t="str">
        <f t="shared" si="204"/>
        <v>Fair</v>
      </c>
    </row>
    <row r="2569" spans="1:24" x14ac:dyDescent="0.3">
      <c r="A2569" t="s">
        <v>2637</v>
      </c>
      <c r="B2569" t="s">
        <v>39</v>
      </c>
      <c r="C2569">
        <v>40</v>
      </c>
      <c r="D2569" t="s">
        <v>21</v>
      </c>
      <c r="E2569" t="s">
        <v>22</v>
      </c>
      <c r="F2569" t="s">
        <v>62</v>
      </c>
      <c r="G2569" t="s">
        <v>42</v>
      </c>
      <c r="H2569" t="s">
        <v>76</v>
      </c>
      <c r="I2569" t="s">
        <v>80</v>
      </c>
      <c r="J2569" t="s">
        <v>60</v>
      </c>
      <c r="K2569">
        <v>5</v>
      </c>
      <c r="L2569">
        <v>95182</v>
      </c>
      <c r="M2569" t="s">
        <v>45</v>
      </c>
      <c r="N2569">
        <v>3</v>
      </c>
      <c r="O2569">
        <v>4</v>
      </c>
      <c r="P2569">
        <v>42</v>
      </c>
      <c r="Q2569">
        <v>2</v>
      </c>
      <c r="R2569" s="1">
        <v>43461</v>
      </c>
      <c r="S2569" t="s">
        <v>37</v>
      </c>
      <c r="T2569" t="str">
        <f t="shared" si="200"/>
        <v>Grade A</v>
      </c>
      <c r="U2569">
        <f t="shared" si="201"/>
        <v>2</v>
      </c>
      <c r="V2569" t="str">
        <f t="shared" si="202"/>
        <v>Junior</v>
      </c>
      <c r="W2569" t="str">
        <f t="shared" si="203"/>
        <v>Already Left</v>
      </c>
      <c r="X2569" t="str">
        <f t="shared" si="204"/>
        <v>Fair</v>
      </c>
    </row>
    <row r="2570" spans="1:24" x14ac:dyDescent="0.3">
      <c r="A2570" t="s">
        <v>2638</v>
      </c>
      <c r="B2570" t="s">
        <v>20</v>
      </c>
      <c r="C2570">
        <v>23</v>
      </c>
      <c r="D2570" t="s">
        <v>31</v>
      </c>
      <c r="E2570" t="s">
        <v>40</v>
      </c>
      <c r="F2570" t="s">
        <v>78</v>
      </c>
      <c r="G2570" t="s">
        <v>33</v>
      </c>
      <c r="H2570" t="s">
        <v>76</v>
      </c>
      <c r="I2570" t="s">
        <v>80</v>
      </c>
      <c r="J2570" t="s">
        <v>60</v>
      </c>
      <c r="K2570">
        <v>5</v>
      </c>
      <c r="L2570">
        <v>71501</v>
      </c>
      <c r="M2570" t="s">
        <v>28</v>
      </c>
      <c r="N2570">
        <v>2</v>
      </c>
      <c r="O2570">
        <v>3</v>
      </c>
      <c r="P2570">
        <v>60</v>
      </c>
      <c r="Q2570">
        <v>3</v>
      </c>
      <c r="R2570" s="1">
        <v>43283</v>
      </c>
      <c r="S2570" t="s">
        <v>29</v>
      </c>
      <c r="T2570" t="str">
        <f t="shared" si="200"/>
        <v>Grade B</v>
      </c>
      <c r="U2570">
        <f t="shared" si="201"/>
        <v>3</v>
      </c>
      <c r="V2570" t="str">
        <f t="shared" si="202"/>
        <v>Junior</v>
      </c>
      <c r="W2570" t="str">
        <f t="shared" si="203"/>
        <v>Medium Risk</v>
      </c>
      <c r="X2570" t="str">
        <f t="shared" si="204"/>
        <v>Competitive</v>
      </c>
    </row>
    <row r="2571" spans="1:24" x14ac:dyDescent="0.3">
      <c r="A2571" t="s">
        <v>2639</v>
      </c>
      <c r="B2571" t="s">
        <v>20</v>
      </c>
      <c r="C2571">
        <v>43</v>
      </c>
      <c r="D2571" t="s">
        <v>21</v>
      </c>
      <c r="E2571" t="s">
        <v>22</v>
      </c>
      <c r="F2571" t="s">
        <v>65</v>
      </c>
      <c r="G2571" t="s">
        <v>79</v>
      </c>
      <c r="H2571" t="s">
        <v>76</v>
      </c>
      <c r="I2571" t="s">
        <v>68</v>
      </c>
      <c r="J2571" t="s">
        <v>60</v>
      </c>
      <c r="K2571">
        <v>1</v>
      </c>
      <c r="L2571">
        <v>38305</v>
      </c>
      <c r="M2571" t="s">
        <v>36</v>
      </c>
      <c r="N2571">
        <v>1</v>
      </c>
      <c r="O2571">
        <v>2</v>
      </c>
      <c r="P2571">
        <v>23</v>
      </c>
      <c r="Q2571">
        <v>3</v>
      </c>
      <c r="R2571" s="1">
        <v>44571</v>
      </c>
      <c r="S2571" t="s">
        <v>37</v>
      </c>
      <c r="T2571" t="str">
        <f t="shared" si="200"/>
        <v>Grade C</v>
      </c>
      <c r="U2571">
        <f t="shared" si="201"/>
        <v>1</v>
      </c>
      <c r="V2571" t="str">
        <f t="shared" si="202"/>
        <v>New Joiner</v>
      </c>
      <c r="W2571" t="str">
        <f t="shared" si="203"/>
        <v>Already Left</v>
      </c>
      <c r="X2571" t="str">
        <f t="shared" si="204"/>
        <v>Fair</v>
      </c>
    </row>
    <row r="2572" spans="1:24" x14ac:dyDescent="0.3">
      <c r="A2572" t="s">
        <v>2640</v>
      </c>
      <c r="B2572" t="s">
        <v>39</v>
      </c>
      <c r="C2572">
        <v>41</v>
      </c>
      <c r="D2572" t="s">
        <v>47</v>
      </c>
      <c r="E2572" t="s">
        <v>22</v>
      </c>
      <c r="F2572" t="s">
        <v>53</v>
      </c>
      <c r="G2572" t="s">
        <v>79</v>
      </c>
      <c r="H2572" t="s">
        <v>25</v>
      </c>
      <c r="I2572" t="s">
        <v>72</v>
      </c>
      <c r="J2572" t="s">
        <v>73</v>
      </c>
      <c r="K2572">
        <v>9</v>
      </c>
      <c r="L2572">
        <v>60063</v>
      </c>
      <c r="M2572" t="s">
        <v>51</v>
      </c>
      <c r="N2572">
        <v>3</v>
      </c>
      <c r="O2572">
        <v>1</v>
      </c>
      <c r="P2572">
        <v>66</v>
      </c>
      <c r="Q2572">
        <v>0</v>
      </c>
      <c r="R2572" s="1">
        <v>41839</v>
      </c>
      <c r="S2572" t="s">
        <v>29</v>
      </c>
      <c r="T2572" t="str">
        <f t="shared" si="200"/>
        <v>Grade B</v>
      </c>
      <c r="U2572">
        <f t="shared" si="201"/>
        <v>4</v>
      </c>
      <c r="V2572" t="str">
        <f t="shared" si="202"/>
        <v>Mid Level</v>
      </c>
      <c r="W2572" t="str">
        <f t="shared" si="203"/>
        <v>Low Risk</v>
      </c>
      <c r="X2572" t="str">
        <f t="shared" si="204"/>
        <v>Fair</v>
      </c>
    </row>
    <row r="2573" spans="1:24" x14ac:dyDescent="0.3">
      <c r="A2573" t="s">
        <v>2641</v>
      </c>
      <c r="B2573" t="s">
        <v>20</v>
      </c>
      <c r="C2573">
        <v>34</v>
      </c>
      <c r="D2573" t="s">
        <v>21</v>
      </c>
      <c r="E2573" t="s">
        <v>40</v>
      </c>
      <c r="F2573" t="s">
        <v>62</v>
      </c>
      <c r="G2573" t="s">
        <v>42</v>
      </c>
      <c r="H2573" t="s">
        <v>83</v>
      </c>
      <c r="I2573" t="s">
        <v>96</v>
      </c>
      <c r="J2573" t="s">
        <v>44</v>
      </c>
      <c r="K2573">
        <v>11</v>
      </c>
      <c r="L2573">
        <v>122762</v>
      </c>
      <c r="M2573" t="s">
        <v>36</v>
      </c>
      <c r="N2573">
        <v>1</v>
      </c>
      <c r="O2573">
        <v>2</v>
      </c>
      <c r="P2573">
        <v>30</v>
      </c>
      <c r="Q2573">
        <v>1</v>
      </c>
      <c r="R2573" s="1">
        <v>40939</v>
      </c>
      <c r="S2573" t="s">
        <v>29</v>
      </c>
      <c r="T2573" t="str">
        <f t="shared" si="200"/>
        <v>Grade A</v>
      </c>
      <c r="U2573">
        <f t="shared" si="201"/>
        <v>1</v>
      </c>
      <c r="V2573" t="str">
        <f t="shared" si="202"/>
        <v>Senior</v>
      </c>
      <c r="W2573" t="str">
        <f t="shared" si="203"/>
        <v>Medium Risk</v>
      </c>
      <c r="X2573" t="str">
        <f t="shared" si="204"/>
        <v>Overpaid</v>
      </c>
    </row>
    <row r="2574" spans="1:24" x14ac:dyDescent="0.3">
      <c r="A2574" t="s">
        <v>2642</v>
      </c>
      <c r="B2574" t="s">
        <v>20</v>
      </c>
      <c r="C2574">
        <v>54</v>
      </c>
      <c r="D2574" t="s">
        <v>31</v>
      </c>
      <c r="E2574" t="s">
        <v>48</v>
      </c>
      <c r="F2574" t="s">
        <v>78</v>
      </c>
      <c r="G2574" t="s">
        <v>24</v>
      </c>
      <c r="H2574" t="s">
        <v>76</v>
      </c>
      <c r="I2574" t="s">
        <v>26</v>
      </c>
      <c r="J2574" t="s">
        <v>27</v>
      </c>
      <c r="K2574">
        <v>1</v>
      </c>
      <c r="L2574">
        <v>78869</v>
      </c>
      <c r="M2574" t="s">
        <v>36</v>
      </c>
      <c r="N2574">
        <v>3</v>
      </c>
      <c r="O2574">
        <v>4</v>
      </c>
      <c r="P2574">
        <v>63</v>
      </c>
      <c r="Q2574">
        <v>2</v>
      </c>
      <c r="R2574" s="1">
        <v>44876</v>
      </c>
      <c r="S2574" t="s">
        <v>37</v>
      </c>
      <c r="T2574" t="str">
        <f t="shared" si="200"/>
        <v>Grade B</v>
      </c>
      <c r="U2574">
        <f t="shared" si="201"/>
        <v>1</v>
      </c>
      <c r="V2574" t="str">
        <f t="shared" si="202"/>
        <v>New Joiner</v>
      </c>
      <c r="W2574" t="str">
        <f t="shared" si="203"/>
        <v>Already Left</v>
      </c>
      <c r="X2574" t="str">
        <f t="shared" si="204"/>
        <v>Fair</v>
      </c>
    </row>
    <row r="2575" spans="1:24" x14ac:dyDescent="0.3">
      <c r="A2575" t="s">
        <v>2643</v>
      </c>
      <c r="B2575" t="s">
        <v>39</v>
      </c>
      <c r="C2575">
        <v>37</v>
      </c>
      <c r="D2575" t="s">
        <v>57</v>
      </c>
      <c r="E2575" t="s">
        <v>40</v>
      </c>
      <c r="F2575" t="s">
        <v>53</v>
      </c>
      <c r="G2575" t="s">
        <v>49</v>
      </c>
      <c r="H2575" t="s">
        <v>25</v>
      </c>
      <c r="I2575" t="s">
        <v>72</v>
      </c>
      <c r="J2575" t="s">
        <v>73</v>
      </c>
      <c r="K2575">
        <v>2</v>
      </c>
      <c r="L2575">
        <v>50069</v>
      </c>
      <c r="M2575" t="s">
        <v>45</v>
      </c>
      <c r="N2575">
        <v>2</v>
      </c>
      <c r="O2575">
        <v>3</v>
      </c>
      <c r="P2575">
        <v>45</v>
      </c>
      <c r="Q2575">
        <v>3</v>
      </c>
      <c r="R2575" s="1">
        <v>44528</v>
      </c>
      <c r="S2575" t="s">
        <v>29</v>
      </c>
      <c r="T2575" t="str">
        <f t="shared" si="200"/>
        <v>Grade B</v>
      </c>
      <c r="U2575">
        <f t="shared" si="201"/>
        <v>2</v>
      </c>
      <c r="V2575" t="str">
        <f t="shared" si="202"/>
        <v>New Joiner</v>
      </c>
      <c r="W2575" t="str">
        <f t="shared" si="203"/>
        <v>Medium Risk</v>
      </c>
      <c r="X2575" t="str">
        <f t="shared" si="204"/>
        <v>Fair</v>
      </c>
    </row>
    <row r="2576" spans="1:24" x14ac:dyDescent="0.3">
      <c r="A2576" t="s">
        <v>2644</v>
      </c>
      <c r="B2576" t="s">
        <v>20</v>
      </c>
      <c r="C2576">
        <v>55</v>
      </c>
      <c r="D2576" t="s">
        <v>88</v>
      </c>
      <c r="E2576" t="s">
        <v>48</v>
      </c>
      <c r="F2576" t="s">
        <v>53</v>
      </c>
      <c r="G2576" t="s">
        <v>66</v>
      </c>
      <c r="H2576" t="s">
        <v>34</v>
      </c>
      <c r="I2576" t="s">
        <v>54</v>
      </c>
      <c r="J2576" t="s">
        <v>27</v>
      </c>
      <c r="K2576">
        <v>12</v>
      </c>
      <c r="L2576">
        <v>67831</v>
      </c>
      <c r="M2576" t="s">
        <v>36</v>
      </c>
      <c r="N2576">
        <v>1</v>
      </c>
      <c r="O2576">
        <v>1</v>
      </c>
      <c r="P2576">
        <v>49</v>
      </c>
      <c r="Q2576">
        <v>3</v>
      </c>
      <c r="R2576" s="1">
        <v>40776</v>
      </c>
      <c r="S2576" t="s">
        <v>29</v>
      </c>
      <c r="T2576" t="str">
        <f t="shared" si="200"/>
        <v>Grade B</v>
      </c>
      <c r="U2576">
        <f t="shared" si="201"/>
        <v>1</v>
      </c>
      <c r="V2576" t="str">
        <f t="shared" si="202"/>
        <v>Senior</v>
      </c>
      <c r="W2576" t="str">
        <f t="shared" si="203"/>
        <v>Medium Risk</v>
      </c>
      <c r="X2576" t="str">
        <f t="shared" si="204"/>
        <v>Fair</v>
      </c>
    </row>
    <row r="2577" spans="1:24" x14ac:dyDescent="0.3">
      <c r="A2577" t="s">
        <v>2645</v>
      </c>
      <c r="B2577" t="s">
        <v>20</v>
      </c>
      <c r="C2577">
        <v>23</v>
      </c>
      <c r="D2577" t="s">
        <v>57</v>
      </c>
      <c r="E2577" t="s">
        <v>22</v>
      </c>
      <c r="F2577" t="s">
        <v>62</v>
      </c>
      <c r="G2577" t="s">
        <v>24</v>
      </c>
      <c r="H2577" t="s">
        <v>76</v>
      </c>
      <c r="I2577" t="s">
        <v>72</v>
      </c>
      <c r="J2577" t="s">
        <v>73</v>
      </c>
      <c r="K2577">
        <v>15</v>
      </c>
      <c r="L2577">
        <v>104476</v>
      </c>
      <c r="M2577" t="s">
        <v>28</v>
      </c>
      <c r="N2577">
        <v>4</v>
      </c>
      <c r="O2577">
        <v>4</v>
      </c>
      <c r="P2577">
        <v>71</v>
      </c>
      <c r="Q2577">
        <v>3</v>
      </c>
      <c r="R2577" s="1">
        <v>39560</v>
      </c>
      <c r="S2577" t="s">
        <v>29</v>
      </c>
      <c r="T2577" t="str">
        <f t="shared" si="200"/>
        <v>Grade A</v>
      </c>
      <c r="U2577">
        <f t="shared" si="201"/>
        <v>3</v>
      </c>
      <c r="V2577" t="str">
        <f t="shared" si="202"/>
        <v>Senior</v>
      </c>
      <c r="W2577" t="str">
        <f t="shared" si="203"/>
        <v>Medium Risk</v>
      </c>
      <c r="X2577" t="str">
        <f t="shared" si="204"/>
        <v>Competitive</v>
      </c>
    </row>
    <row r="2578" spans="1:24" x14ac:dyDescent="0.3">
      <c r="A2578" t="s">
        <v>2646</v>
      </c>
      <c r="B2578" t="s">
        <v>20</v>
      </c>
      <c r="C2578">
        <v>29</v>
      </c>
      <c r="D2578" t="s">
        <v>88</v>
      </c>
      <c r="E2578" t="s">
        <v>22</v>
      </c>
      <c r="F2578" t="s">
        <v>78</v>
      </c>
      <c r="G2578" t="s">
        <v>58</v>
      </c>
      <c r="H2578" t="s">
        <v>67</v>
      </c>
      <c r="I2578" t="s">
        <v>80</v>
      </c>
      <c r="J2578" t="s">
        <v>60</v>
      </c>
      <c r="K2578">
        <v>9</v>
      </c>
      <c r="L2578">
        <v>103539</v>
      </c>
      <c r="M2578" t="s">
        <v>36</v>
      </c>
      <c r="N2578">
        <v>4</v>
      </c>
      <c r="O2578">
        <v>1</v>
      </c>
      <c r="P2578">
        <v>64</v>
      </c>
      <c r="Q2578">
        <v>1</v>
      </c>
      <c r="R2578" s="1">
        <v>41932</v>
      </c>
      <c r="S2578" t="s">
        <v>37</v>
      </c>
      <c r="T2578" t="str">
        <f t="shared" si="200"/>
        <v>Grade A</v>
      </c>
      <c r="U2578">
        <f t="shared" si="201"/>
        <v>1</v>
      </c>
      <c r="V2578" t="str">
        <f t="shared" si="202"/>
        <v>Mid Level</v>
      </c>
      <c r="W2578" t="str">
        <f t="shared" si="203"/>
        <v>Already Left</v>
      </c>
      <c r="X2578" t="str">
        <f t="shared" si="204"/>
        <v>Overpaid</v>
      </c>
    </row>
    <row r="2579" spans="1:24" x14ac:dyDescent="0.3">
      <c r="A2579" t="s">
        <v>2647</v>
      </c>
      <c r="B2579" t="s">
        <v>39</v>
      </c>
      <c r="C2579">
        <v>27</v>
      </c>
      <c r="D2579" t="s">
        <v>88</v>
      </c>
      <c r="E2579" t="s">
        <v>22</v>
      </c>
      <c r="F2579" t="s">
        <v>78</v>
      </c>
      <c r="G2579" t="s">
        <v>33</v>
      </c>
      <c r="H2579" t="s">
        <v>25</v>
      </c>
      <c r="I2579" t="s">
        <v>35</v>
      </c>
      <c r="J2579" t="s">
        <v>27</v>
      </c>
      <c r="K2579">
        <v>7</v>
      </c>
      <c r="L2579">
        <v>78173</v>
      </c>
      <c r="M2579" t="s">
        <v>36</v>
      </c>
      <c r="N2579">
        <v>2</v>
      </c>
      <c r="O2579">
        <v>3</v>
      </c>
      <c r="P2579">
        <v>30</v>
      </c>
      <c r="Q2579">
        <v>3</v>
      </c>
      <c r="R2579" s="1">
        <v>42533</v>
      </c>
      <c r="S2579" t="s">
        <v>29</v>
      </c>
      <c r="T2579" t="str">
        <f t="shared" si="200"/>
        <v>Grade B</v>
      </c>
      <c r="U2579">
        <f t="shared" si="201"/>
        <v>1</v>
      </c>
      <c r="V2579" t="str">
        <f t="shared" si="202"/>
        <v>Mid Level</v>
      </c>
      <c r="W2579" t="str">
        <f t="shared" si="203"/>
        <v>Medium Risk</v>
      </c>
      <c r="X2579" t="str">
        <f t="shared" si="204"/>
        <v>Fair</v>
      </c>
    </row>
    <row r="2580" spans="1:24" x14ac:dyDescent="0.3">
      <c r="A2580" t="s">
        <v>2648</v>
      </c>
      <c r="B2580" t="s">
        <v>39</v>
      </c>
      <c r="C2580">
        <v>55</v>
      </c>
      <c r="D2580" t="s">
        <v>31</v>
      </c>
      <c r="E2580" t="s">
        <v>48</v>
      </c>
      <c r="F2580" t="s">
        <v>53</v>
      </c>
      <c r="G2580" t="s">
        <v>33</v>
      </c>
      <c r="H2580" t="s">
        <v>25</v>
      </c>
      <c r="I2580" t="s">
        <v>80</v>
      </c>
      <c r="J2580" t="s">
        <v>60</v>
      </c>
      <c r="K2580">
        <v>2</v>
      </c>
      <c r="L2580">
        <v>68261</v>
      </c>
      <c r="M2580" t="s">
        <v>28</v>
      </c>
      <c r="N2580">
        <v>4</v>
      </c>
      <c r="O2580">
        <v>3</v>
      </c>
      <c r="P2580">
        <v>24</v>
      </c>
      <c r="Q2580">
        <v>0</v>
      </c>
      <c r="R2580" s="1">
        <v>44308</v>
      </c>
      <c r="S2580" t="s">
        <v>29</v>
      </c>
      <c r="T2580" t="str">
        <f t="shared" si="200"/>
        <v>Grade B</v>
      </c>
      <c r="U2580">
        <f t="shared" si="201"/>
        <v>3</v>
      </c>
      <c r="V2580" t="str">
        <f t="shared" si="202"/>
        <v>New Joiner</v>
      </c>
      <c r="W2580" t="str">
        <f t="shared" si="203"/>
        <v>Medium Risk</v>
      </c>
      <c r="X2580" t="str">
        <f t="shared" si="204"/>
        <v>Competitive</v>
      </c>
    </row>
    <row r="2581" spans="1:24" x14ac:dyDescent="0.3">
      <c r="A2581" t="s">
        <v>2649</v>
      </c>
      <c r="B2581" t="s">
        <v>20</v>
      </c>
      <c r="C2581">
        <v>29</v>
      </c>
      <c r="D2581" t="s">
        <v>31</v>
      </c>
      <c r="E2581" t="s">
        <v>22</v>
      </c>
      <c r="F2581" t="s">
        <v>75</v>
      </c>
      <c r="G2581" t="s">
        <v>58</v>
      </c>
      <c r="H2581" t="s">
        <v>67</v>
      </c>
      <c r="I2581" t="s">
        <v>72</v>
      </c>
      <c r="J2581" t="s">
        <v>73</v>
      </c>
      <c r="K2581">
        <v>8</v>
      </c>
      <c r="L2581">
        <v>100929</v>
      </c>
      <c r="M2581" t="s">
        <v>36</v>
      </c>
      <c r="N2581">
        <v>3</v>
      </c>
      <c r="O2581">
        <v>4</v>
      </c>
      <c r="P2581">
        <v>69</v>
      </c>
      <c r="Q2581">
        <v>0</v>
      </c>
      <c r="R2581" s="1">
        <v>42128</v>
      </c>
      <c r="S2581" t="s">
        <v>37</v>
      </c>
      <c r="T2581" t="str">
        <f t="shared" si="200"/>
        <v>Grade A</v>
      </c>
      <c r="U2581">
        <f t="shared" si="201"/>
        <v>1</v>
      </c>
      <c r="V2581" t="str">
        <f t="shared" si="202"/>
        <v>Mid Level</v>
      </c>
      <c r="W2581" t="str">
        <f t="shared" si="203"/>
        <v>Already Left</v>
      </c>
      <c r="X2581" t="str">
        <f t="shared" si="204"/>
        <v>Overpaid</v>
      </c>
    </row>
    <row r="2582" spans="1:24" x14ac:dyDescent="0.3">
      <c r="A2582" t="s">
        <v>2650</v>
      </c>
      <c r="B2582" t="s">
        <v>20</v>
      </c>
      <c r="C2582">
        <v>24</v>
      </c>
      <c r="D2582" t="s">
        <v>88</v>
      </c>
      <c r="E2582" t="s">
        <v>40</v>
      </c>
      <c r="F2582" t="s">
        <v>65</v>
      </c>
      <c r="G2582" t="s">
        <v>66</v>
      </c>
      <c r="H2582" t="s">
        <v>83</v>
      </c>
      <c r="I2582" t="s">
        <v>68</v>
      </c>
      <c r="J2582" t="s">
        <v>60</v>
      </c>
      <c r="K2582">
        <v>6</v>
      </c>
      <c r="L2582">
        <v>46243</v>
      </c>
      <c r="M2582" t="s">
        <v>51</v>
      </c>
      <c r="N2582">
        <v>3</v>
      </c>
      <c r="O2582">
        <v>4</v>
      </c>
      <c r="P2582">
        <v>51</v>
      </c>
      <c r="Q2582">
        <v>1</v>
      </c>
      <c r="R2582" s="1">
        <v>42786</v>
      </c>
      <c r="S2582" t="s">
        <v>29</v>
      </c>
      <c r="T2582" t="str">
        <f t="shared" si="200"/>
        <v>Grade C</v>
      </c>
      <c r="U2582">
        <f t="shared" si="201"/>
        <v>4</v>
      </c>
      <c r="V2582" t="str">
        <f t="shared" si="202"/>
        <v>Mid Level</v>
      </c>
      <c r="W2582" t="str">
        <f t="shared" si="203"/>
        <v>Low Risk</v>
      </c>
      <c r="X2582" t="str">
        <f t="shared" si="204"/>
        <v>Fair</v>
      </c>
    </row>
    <row r="2583" spans="1:24" x14ac:dyDescent="0.3">
      <c r="A2583" t="s">
        <v>2651</v>
      </c>
      <c r="B2583" t="s">
        <v>20</v>
      </c>
      <c r="C2583">
        <v>52</v>
      </c>
      <c r="D2583" t="s">
        <v>57</v>
      </c>
      <c r="E2583" t="s">
        <v>40</v>
      </c>
      <c r="F2583" t="s">
        <v>75</v>
      </c>
      <c r="G2583" t="s">
        <v>42</v>
      </c>
      <c r="H2583" t="s">
        <v>67</v>
      </c>
      <c r="I2583" t="s">
        <v>72</v>
      </c>
      <c r="J2583" t="s">
        <v>73</v>
      </c>
      <c r="K2583">
        <v>5</v>
      </c>
      <c r="L2583">
        <v>113008</v>
      </c>
      <c r="M2583" t="s">
        <v>36</v>
      </c>
      <c r="N2583">
        <v>4</v>
      </c>
      <c r="O2583">
        <v>2</v>
      </c>
      <c r="P2583">
        <v>40</v>
      </c>
      <c r="Q2583">
        <v>2</v>
      </c>
      <c r="R2583" s="1">
        <v>43295</v>
      </c>
      <c r="S2583" t="s">
        <v>37</v>
      </c>
      <c r="T2583" t="str">
        <f t="shared" si="200"/>
        <v>Grade A</v>
      </c>
      <c r="U2583">
        <f t="shared" si="201"/>
        <v>1</v>
      </c>
      <c r="V2583" t="str">
        <f t="shared" si="202"/>
        <v>Junior</v>
      </c>
      <c r="W2583" t="str">
        <f t="shared" si="203"/>
        <v>Already Left</v>
      </c>
      <c r="X2583" t="str">
        <f t="shared" si="204"/>
        <v>Overpaid</v>
      </c>
    </row>
    <row r="2584" spans="1:24" x14ac:dyDescent="0.3">
      <c r="A2584" t="s">
        <v>2652</v>
      </c>
      <c r="B2584" t="s">
        <v>20</v>
      </c>
      <c r="C2584">
        <v>32</v>
      </c>
      <c r="D2584" t="s">
        <v>57</v>
      </c>
      <c r="E2584" t="s">
        <v>40</v>
      </c>
      <c r="F2584" t="s">
        <v>53</v>
      </c>
      <c r="G2584" t="s">
        <v>66</v>
      </c>
      <c r="H2584" t="s">
        <v>83</v>
      </c>
      <c r="I2584" t="s">
        <v>80</v>
      </c>
      <c r="J2584" t="s">
        <v>60</v>
      </c>
      <c r="K2584">
        <v>1</v>
      </c>
      <c r="L2584">
        <v>34071</v>
      </c>
      <c r="M2584" t="s">
        <v>45</v>
      </c>
      <c r="N2584">
        <v>4</v>
      </c>
      <c r="O2584">
        <v>2</v>
      </c>
      <c r="P2584">
        <v>77</v>
      </c>
      <c r="Q2584">
        <v>1</v>
      </c>
      <c r="R2584" s="1">
        <v>44576</v>
      </c>
      <c r="S2584" t="s">
        <v>37</v>
      </c>
      <c r="T2584" t="str">
        <f t="shared" si="200"/>
        <v>Grade D</v>
      </c>
      <c r="U2584">
        <f t="shared" si="201"/>
        <v>2</v>
      </c>
      <c r="V2584" t="str">
        <f t="shared" si="202"/>
        <v>New Joiner</v>
      </c>
      <c r="W2584" t="str">
        <f t="shared" si="203"/>
        <v>Already Left</v>
      </c>
      <c r="X2584" t="str">
        <f t="shared" si="204"/>
        <v>Fair</v>
      </c>
    </row>
    <row r="2585" spans="1:24" x14ac:dyDescent="0.3">
      <c r="A2585" t="s">
        <v>2653</v>
      </c>
      <c r="B2585" t="s">
        <v>20</v>
      </c>
      <c r="C2585">
        <v>32</v>
      </c>
      <c r="D2585" t="s">
        <v>57</v>
      </c>
      <c r="E2585" t="s">
        <v>48</v>
      </c>
      <c r="F2585" t="s">
        <v>75</v>
      </c>
      <c r="G2585" t="s">
        <v>33</v>
      </c>
      <c r="H2585" t="s">
        <v>34</v>
      </c>
      <c r="I2585" t="s">
        <v>96</v>
      </c>
      <c r="J2585" t="s">
        <v>44</v>
      </c>
      <c r="K2585">
        <v>11</v>
      </c>
      <c r="L2585">
        <v>73972</v>
      </c>
      <c r="M2585" t="s">
        <v>45</v>
      </c>
      <c r="N2585">
        <v>1</v>
      </c>
      <c r="O2585">
        <v>2</v>
      </c>
      <c r="P2585">
        <v>62</v>
      </c>
      <c r="Q2585">
        <v>3</v>
      </c>
      <c r="R2585" s="1">
        <v>40980</v>
      </c>
      <c r="S2585" t="s">
        <v>29</v>
      </c>
      <c r="T2585" t="str">
        <f t="shared" si="200"/>
        <v>Grade B</v>
      </c>
      <c r="U2585">
        <f t="shared" si="201"/>
        <v>2</v>
      </c>
      <c r="V2585" t="str">
        <f t="shared" si="202"/>
        <v>Senior</v>
      </c>
      <c r="W2585" t="str">
        <f t="shared" si="203"/>
        <v>Medium Risk</v>
      </c>
      <c r="X2585" t="str">
        <f t="shared" si="204"/>
        <v>Fair</v>
      </c>
    </row>
    <row r="2586" spans="1:24" x14ac:dyDescent="0.3">
      <c r="A2586" t="s">
        <v>2654</v>
      </c>
      <c r="B2586" t="s">
        <v>20</v>
      </c>
      <c r="C2586">
        <v>34</v>
      </c>
      <c r="D2586" t="s">
        <v>31</v>
      </c>
      <c r="E2586" t="s">
        <v>22</v>
      </c>
      <c r="F2586" t="s">
        <v>23</v>
      </c>
      <c r="G2586" t="s">
        <v>42</v>
      </c>
      <c r="H2586" t="s">
        <v>67</v>
      </c>
      <c r="I2586" t="s">
        <v>54</v>
      </c>
      <c r="J2586" t="s">
        <v>27</v>
      </c>
      <c r="K2586">
        <v>7</v>
      </c>
      <c r="L2586">
        <v>107657</v>
      </c>
      <c r="M2586" t="s">
        <v>36</v>
      </c>
      <c r="N2586">
        <v>1</v>
      </c>
      <c r="O2586">
        <v>4</v>
      </c>
      <c r="P2586">
        <v>60</v>
      </c>
      <c r="Q2586">
        <v>0</v>
      </c>
      <c r="R2586" s="1">
        <v>42409</v>
      </c>
      <c r="S2586" t="s">
        <v>37</v>
      </c>
      <c r="T2586" t="str">
        <f t="shared" si="200"/>
        <v>Grade A</v>
      </c>
      <c r="U2586">
        <f t="shared" si="201"/>
        <v>1</v>
      </c>
      <c r="V2586" t="str">
        <f t="shared" si="202"/>
        <v>Mid Level</v>
      </c>
      <c r="W2586" t="str">
        <f t="shared" si="203"/>
        <v>Already Left</v>
      </c>
      <c r="X2586" t="str">
        <f t="shared" si="204"/>
        <v>Overpaid</v>
      </c>
    </row>
    <row r="2587" spans="1:24" x14ac:dyDescent="0.3">
      <c r="A2587" t="s">
        <v>2655</v>
      </c>
      <c r="B2587" t="s">
        <v>20</v>
      </c>
      <c r="C2587">
        <v>28</v>
      </c>
      <c r="D2587" t="s">
        <v>57</v>
      </c>
      <c r="E2587" t="s">
        <v>48</v>
      </c>
      <c r="F2587" t="s">
        <v>65</v>
      </c>
      <c r="G2587" t="s">
        <v>33</v>
      </c>
      <c r="H2587" t="s">
        <v>67</v>
      </c>
      <c r="I2587" t="s">
        <v>43</v>
      </c>
      <c r="J2587" t="s">
        <v>44</v>
      </c>
      <c r="K2587">
        <v>8</v>
      </c>
      <c r="L2587">
        <v>83219</v>
      </c>
      <c r="M2587" t="s">
        <v>36</v>
      </c>
      <c r="N2587">
        <v>1</v>
      </c>
      <c r="O2587">
        <v>1</v>
      </c>
      <c r="P2587">
        <v>59</v>
      </c>
      <c r="Q2587">
        <v>1</v>
      </c>
      <c r="R2587" s="1">
        <v>42230</v>
      </c>
      <c r="S2587" t="s">
        <v>37</v>
      </c>
      <c r="T2587" t="str">
        <f t="shared" si="200"/>
        <v>Grade A</v>
      </c>
      <c r="U2587">
        <f t="shared" si="201"/>
        <v>1</v>
      </c>
      <c r="V2587" t="str">
        <f t="shared" si="202"/>
        <v>Mid Level</v>
      </c>
      <c r="W2587" t="str">
        <f t="shared" si="203"/>
        <v>Already Left</v>
      </c>
      <c r="X2587" t="str">
        <f t="shared" si="204"/>
        <v>Overpaid</v>
      </c>
    </row>
    <row r="2588" spans="1:24" x14ac:dyDescent="0.3">
      <c r="A2588" t="s">
        <v>2656</v>
      </c>
      <c r="B2588" t="s">
        <v>39</v>
      </c>
      <c r="C2588">
        <v>28</v>
      </c>
      <c r="D2588" t="s">
        <v>57</v>
      </c>
      <c r="E2588" t="s">
        <v>40</v>
      </c>
      <c r="F2588" t="s">
        <v>65</v>
      </c>
      <c r="G2588" t="s">
        <v>24</v>
      </c>
      <c r="H2588" t="s">
        <v>83</v>
      </c>
      <c r="I2588" t="s">
        <v>43</v>
      </c>
      <c r="J2588" t="s">
        <v>44</v>
      </c>
      <c r="K2588">
        <v>13</v>
      </c>
      <c r="L2588">
        <v>102242</v>
      </c>
      <c r="M2588" t="s">
        <v>36</v>
      </c>
      <c r="N2588">
        <v>1</v>
      </c>
      <c r="O2588">
        <v>3</v>
      </c>
      <c r="P2588">
        <v>64</v>
      </c>
      <c r="Q2588">
        <v>3</v>
      </c>
      <c r="R2588" s="1">
        <v>40371</v>
      </c>
      <c r="S2588" t="s">
        <v>37</v>
      </c>
      <c r="T2588" t="str">
        <f t="shared" si="200"/>
        <v>Grade A</v>
      </c>
      <c r="U2588">
        <f t="shared" si="201"/>
        <v>1</v>
      </c>
      <c r="V2588" t="str">
        <f t="shared" si="202"/>
        <v>Senior</v>
      </c>
      <c r="W2588" t="str">
        <f t="shared" si="203"/>
        <v>Already Left</v>
      </c>
      <c r="X2588" t="str">
        <f t="shared" si="204"/>
        <v>Overpaid</v>
      </c>
    </row>
    <row r="2589" spans="1:24" x14ac:dyDescent="0.3">
      <c r="A2589" t="s">
        <v>2657</v>
      </c>
      <c r="B2589" t="s">
        <v>39</v>
      </c>
      <c r="C2589">
        <v>34</v>
      </c>
      <c r="D2589" t="s">
        <v>47</v>
      </c>
      <c r="E2589" t="s">
        <v>40</v>
      </c>
      <c r="F2589" t="s">
        <v>23</v>
      </c>
      <c r="G2589" t="s">
        <v>58</v>
      </c>
      <c r="H2589" t="s">
        <v>76</v>
      </c>
      <c r="I2589" t="s">
        <v>35</v>
      </c>
      <c r="J2589" t="s">
        <v>27</v>
      </c>
      <c r="K2589">
        <v>4</v>
      </c>
      <c r="L2589">
        <v>98671</v>
      </c>
      <c r="M2589" t="s">
        <v>28</v>
      </c>
      <c r="N2589">
        <v>3</v>
      </c>
      <c r="O2589">
        <v>1</v>
      </c>
      <c r="P2589">
        <v>28</v>
      </c>
      <c r="Q2589">
        <v>1</v>
      </c>
      <c r="R2589" s="1">
        <v>43822</v>
      </c>
      <c r="S2589" t="s">
        <v>37</v>
      </c>
      <c r="T2589" t="str">
        <f t="shared" si="200"/>
        <v>Grade A</v>
      </c>
      <c r="U2589">
        <f t="shared" si="201"/>
        <v>3</v>
      </c>
      <c r="V2589" t="str">
        <f t="shared" si="202"/>
        <v>Junior</v>
      </c>
      <c r="W2589" t="str">
        <f t="shared" si="203"/>
        <v>Already Left</v>
      </c>
      <c r="X2589" t="str">
        <f t="shared" si="204"/>
        <v>Competitive</v>
      </c>
    </row>
    <row r="2590" spans="1:24" x14ac:dyDescent="0.3">
      <c r="A2590" t="s">
        <v>2658</v>
      </c>
      <c r="B2590" t="s">
        <v>20</v>
      </c>
      <c r="C2590">
        <v>28</v>
      </c>
      <c r="D2590" t="s">
        <v>88</v>
      </c>
      <c r="E2590" t="s">
        <v>22</v>
      </c>
      <c r="F2590" t="s">
        <v>62</v>
      </c>
      <c r="G2590" t="s">
        <v>63</v>
      </c>
      <c r="H2590" t="s">
        <v>67</v>
      </c>
      <c r="I2590" t="s">
        <v>96</v>
      </c>
      <c r="J2590" t="s">
        <v>44</v>
      </c>
      <c r="K2590">
        <v>14</v>
      </c>
      <c r="L2590">
        <v>81815</v>
      </c>
      <c r="M2590" t="s">
        <v>28</v>
      </c>
      <c r="N2590">
        <v>1</v>
      </c>
      <c r="O2590">
        <v>4</v>
      </c>
      <c r="P2590">
        <v>55</v>
      </c>
      <c r="Q2590">
        <v>0</v>
      </c>
      <c r="R2590" s="1">
        <v>40040</v>
      </c>
      <c r="S2590" t="s">
        <v>29</v>
      </c>
      <c r="T2590" t="str">
        <f t="shared" si="200"/>
        <v>Grade A</v>
      </c>
      <c r="U2590">
        <f t="shared" si="201"/>
        <v>3</v>
      </c>
      <c r="V2590" t="str">
        <f t="shared" si="202"/>
        <v>Senior</v>
      </c>
      <c r="W2590" t="str">
        <f t="shared" si="203"/>
        <v>Medium Risk</v>
      </c>
      <c r="X2590" t="str">
        <f t="shared" si="204"/>
        <v>Competitive</v>
      </c>
    </row>
    <row r="2591" spans="1:24" x14ac:dyDescent="0.3">
      <c r="A2591" t="s">
        <v>2659</v>
      </c>
      <c r="B2591" t="s">
        <v>39</v>
      </c>
      <c r="C2591">
        <v>31</v>
      </c>
      <c r="D2591" t="s">
        <v>88</v>
      </c>
      <c r="E2591" t="s">
        <v>48</v>
      </c>
      <c r="F2591" t="s">
        <v>53</v>
      </c>
      <c r="G2591" t="s">
        <v>42</v>
      </c>
      <c r="H2591" t="s">
        <v>34</v>
      </c>
      <c r="I2591" t="s">
        <v>26</v>
      </c>
      <c r="J2591" t="s">
        <v>27</v>
      </c>
      <c r="K2591">
        <v>7</v>
      </c>
      <c r="L2591">
        <v>100291</v>
      </c>
      <c r="M2591" t="s">
        <v>45</v>
      </c>
      <c r="N2591">
        <v>1</v>
      </c>
      <c r="O2591">
        <v>3</v>
      </c>
      <c r="P2591">
        <v>65</v>
      </c>
      <c r="Q2591">
        <v>2</v>
      </c>
      <c r="R2591" s="1">
        <v>42703</v>
      </c>
      <c r="S2591" t="s">
        <v>29</v>
      </c>
      <c r="T2591" t="str">
        <f t="shared" si="200"/>
        <v>Grade A</v>
      </c>
      <c r="U2591">
        <f t="shared" si="201"/>
        <v>2</v>
      </c>
      <c r="V2591" t="str">
        <f t="shared" si="202"/>
        <v>Mid Level</v>
      </c>
      <c r="W2591" t="str">
        <f t="shared" si="203"/>
        <v>Medium Risk</v>
      </c>
      <c r="X2591" t="str">
        <f t="shared" si="204"/>
        <v>Fair</v>
      </c>
    </row>
    <row r="2592" spans="1:24" x14ac:dyDescent="0.3">
      <c r="A2592" t="s">
        <v>2660</v>
      </c>
      <c r="B2592" t="s">
        <v>39</v>
      </c>
      <c r="C2592">
        <v>45</v>
      </c>
      <c r="D2592" t="s">
        <v>88</v>
      </c>
      <c r="E2592" t="s">
        <v>48</v>
      </c>
      <c r="F2592" t="s">
        <v>65</v>
      </c>
      <c r="G2592" t="s">
        <v>24</v>
      </c>
      <c r="H2592" t="s">
        <v>83</v>
      </c>
      <c r="I2592" t="s">
        <v>54</v>
      </c>
      <c r="J2592" t="s">
        <v>27</v>
      </c>
      <c r="K2592">
        <v>11</v>
      </c>
      <c r="L2592">
        <v>87900</v>
      </c>
      <c r="M2592" t="s">
        <v>51</v>
      </c>
      <c r="N2592">
        <v>4</v>
      </c>
      <c r="O2592">
        <v>4</v>
      </c>
      <c r="P2592">
        <v>42</v>
      </c>
      <c r="Q2592">
        <v>1</v>
      </c>
      <c r="R2592" s="1">
        <v>41159</v>
      </c>
      <c r="S2592" t="s">
        <v>29</v>
      </c>
      <c r="T2592" t="str">
        <f t="shared" si="200"/>
        <v>Grade A</v>
      </c>
      <c r="U2592">
        <f t="shared" si="201"/>
        <v>4</v>
      </c>
      <c r="V2592" t="str">
        <f t="shared" si="202"/>
        <v>Senior</v>
      </c>
      <c r="W2592" t="str">
        <f t="shared" si="203"/>
        <v>Low Risk</v>
      </c>
      <c r="X2592" t="str">
        <f t="shared" si="204"/>
        <v>Competitive</v>
      </c>
    </row>
    <row r="2593" spans="1:24" x14ac:dyDescent="0.3">
      <c r="A2593" t="s">
        <v>2661</v>
      </c>
      <c r="B2593" t="s">
        <v>20</v>
      </c>
      <c r="C2593">
        <v>46</v>
      </c>
      <c r="D2593" t="s">
        <v>47</v>
      </c>
      <c r="E2593" t="s">
        <v>48</v>
      </c>
      <c r="F2593" t="s">
        <v>62</v>
      </c>
      <c r="G2593" t="s">
        <v>33</v>
      </c>
      <c r="H2593" t="s">
        <v>67</v>
      </c>
      <c r="I2593" t="s">
        <v>59</v>
      </c>
      <c r="J2593" t="s">
        <v>60</v>
      </c>
      <c r="K2593">
        <v>12</v>
      </c>
      <c r="L2593">
        <v>85706</v>
      </c>
      <c r="M2593" t="s">
        <v>28</v>
      </c>
      <c r="N2593">
        <v>4</v>
      </c>
      <c r="O2593">
        <v>2</v>
      </c>
      <c r="P2593">
        <v>49</v>
      </c>
      <c r="Q2593">
        <v>2</v>
      </c>
      <c r="R2593" s="1">
        <v>40831</v>
      </c>
      <c r="S2593" t="s">
        <v>29</v>
      </c>
      <c r="T2593" t="str">
        <f t="shared" si="200"/>
        <v>Grade A</v>
      </c>
      <c r="U2593">
        <f t="shared" si="201"/>
        <v>3</v>
      </c>
      <c r="V2593" t="str">
        <f t="shared" si="202"/>
        <v>Senior</v>
      </c>
      <c r="W2593" t="str">
        <f t="shared" si="203"/>
        <v>Medium Risk</v>
      </c>
      <c r="X2593" t="str">
        <f t="shared" si="204"/>
        <v>Competitive</v>
      </c>
    </row>
    <row r="2594" spans="1:24" x14ac:dyDescent="0.3">
      <c r="A2594" t="s">
        <v>2662</v>
      </c>
      <c r="B2594" t="s">
        <v>39</v>
      </c>
      <c r="C2594">
        <v>51</v>
      </c>
      <c r="D2594" t="s">
        <v>88</v>
      </c>
      <c r="E2594" t="s">
        <v>22</v>
      </c>
      <c r="F2594" t="s">
        <v>32</v>
      </c>
      <c r="G2594" t="s">
        <v>33</v>
      </c>
      <c r="H2594" t="s">
        <v>83</v>
      </c>
      <c r="I2594" t="s">
        <v>50</v>
      </c>
      <c r="J2594" t="s">
        <v>44</v>
      </c>
      <c r="K2594">
        <v>14</v>
      </c>
      <c r="L2594">
        <v>93561</v>
      </c>
      <c r="M2594" t="s">
        <v>28</v>
      </c>
      <c r="N2594">
        <v>1</v>
      </c>
      <c r="O2594">
        <v>4</v>
      </c>
      <c r="P2594">
        <v>30</v>
      </c>
      <c r="Q2594">
        <v>2</v>
      </c>
      <c r="R2594" s="1">
        <v>39832</v>
      </c>
      <c r="S2594" t="s">
        <v>29</v>
      </c>
      <c r="T2594" t="str">
        <f t="shared" si="200"/>
        <v>Grade A</v>
      </c>
      <c r="U2594">
        <f t="shared" si="201"/>
        <v>3</v>
      </c>
      <c r="V2594" t="str">
        <f t="shared" si="202"/>
        <v>Senior</v>
      </c>
      <c r="W2594" t="str">
        <f t="shared" si="203"/>
        <v>Medium Risk</v>
      </c>
      <c r="X2594" t="str">
        <f t="shared" si="204"/>
        <v>Competitive</v>
      </c>
    </row>
    <row r="2595" spans="1:24" x14ac:dyDescent="0.3">
      <c r="A2595" t="s">
        <v>2663</v>
      </c>
      <c r="B2595" t="s">
        <v>39</v>
      </c>
      <c r="C2595">
        <v>39</v>
      </c>
      <c r="D2595" t="s">
        <v>31</v>
      </c>
      <c r="E2595" t="s">
        <v>40</v>
      </c>
      <c r="F2595" t="s">
        <v>65</v>
      </c>
      <c r="G2595" t="s">
        <v>63</v>
      </c>
      <c r="H2595" t="s">
        <v>25</v>
      </c>
      <c r="I2595" t="s">
        <v>50</v>
      </c>
      <c r="J2595" t="s">
        <v>44</v>
      </c>
      <c r="K2595">
        <v>3</v>
      </c>
      <c r="L2595">
        <v>55533</v>
      </c>
      <c r="M2595" t="s">
        <v>28</v>
      </c>
      <c r="N2595">
        <v>2</v>
      </c>
      <c r="O2595">
        <v>4</v>
      </c>
      <c r="P2595">
        <v>28</v>
      </c>
      <c r="Q2595">
        <v>3</v>
      </c>
      <c r="R2595" s="1">
        <v>43887</v>
      </c>
      <c r="S2595" t="s">
        <v>29</v>
      </c>
      <c r="T2595" t="str">
        <f t="shared" si="200"/>
        <v>Grade B</v>
      </c>
      <c r="U2595">
        <f t="shared" si="201"/>
        <v>3</v>
      </c>
      <c r="V2595" t="str">
        <f t="shared" si="202"/>
        <v>Junior</v>
      </c>
      <c r="W2595" t="str">
        <f t="shared" si="203"/>
        <v>Medium Risk</v>
      </c>
      <c r="X2595" t="str">
        <f t="shared" si="204"/>
        <v>Competitive</v>
      </c>
    </row>
    <row r="2596" spans="1:24" x14ac:dyDescent="0.3">
      <c r="A2596" t="s">
        <v>2664</v>
      </c>
      <c r="B2596" t="s">
        <v>20</v>
      </c>
      <c r="C2596">
        <v>50</v>
      </c>
      <c r="D2596" t="s">
        <v>47</v>
      </c>
      <c r="E2596" t="s">
        <v>40</v>
      </c>
      <c r="F2596" t="s">
        <v>78</v>
      </c>
      <c r="G2596" t="s">
        <v>42</v>
      </c>
      <c r="H2596" t="s">
        <v>76</v>
      </c>
      <c r="I2596" t="s">
        <v>35</v>
      </c>
      <c r="J2596" t="s">
        <v>27</v>
      </c>
      <c r="K2596">
        <v>12</v>
      </c>
      <c r="L2596">
        <v>128481</v>
      </c>
      <c r="M2596" t="s">
        <v>28</v>
      </c>
      <c r="N2596">
        <v>4</v>
      </c>
      <c r="O2596">
        <v>4</v>
      </c>
      <c r="P2596">
        <v>42</v>
      </c>
      <c r="Q2596">
        <v>3</v>
      </c>
      <c r="R2596" s="1">
        <v>40825</v>
      </c>
      <c r="S2596" t="s">
        <v>37</v>
      </c>
      <c r="T2596" t="str">
        <f t="shared" si="200"/>
        <v>Grade A</v>
      </c>
      <c r="U2596">
        <f t="shared" si="201"/>
        <v>3</v>
      </c>
      <c r="V2596" t="str">
        <f t="shared" si="202"/>
        <v>Senior</v>
      </c>
      <c r="W2596" t="str">
        <f t="shared" si="203"/>
        <v>Already Left</v>
      </c>
      <c r="X2596" t="str">
        <f t="shared" si="204"/>
        <v>Competitive</v>
      </c>
    </row>
    <row r="2597" spans="1:24" x14ac:dyDescent="0.3">
      <c r="A2597" t="s">
        <v>2665</v>
      </c>
      <c r="B2597" t="s">
        <v>39</v>
      </c>
      <c r="C2597">
        <v>46</v>
      </c>
      <c r="D2597" t="s">
        <v>88</v>
      </c>
      <c r="E2597" t="s">
        <v>48</v>
      </c>
      <c r="F2597" t="s">
        <v>75</v>
      </c>
      <c r="G2597" t="s">
        <v>42</v>
      </c>
      <c r="H2597" t="s">
        <v>34</v>
      </c>
      <c r="I2597" t="s">
        <v>35</v>
      </c>
      <c r="J2597" t="s">
        <v>27</v>
      </c>
      <c r="K2597">
        <v>1</v>
      </c>
      <c r="L2597">
        <v>87590</v>
      </c>
      <c r="M2597" t="s">
        <v>51</v>
      </c>
      <c r="N2597">
        <v>3</v>
      </c>
      <c r="O2597">
        <v>2</v>
      </c>
      <c r="P2597">
        <v>46</v>
      </c>
      <c r="Q2597">
        <v>0</v>
      </c>
      <c r="R2597" s="1">
        <v>44733</v>
      </c>
      <c r="S2597" t="s">
        <v>29</v>
      </c>
      <c r="T2597" t="str">
        <f t="shared" si="200"/>
        <v>Grade A</v>
      </c>
      <c r="U2597">
        <f t="shared" si="201"/>
        <v>4</v>
      </c>
      <c r="V2597" t="str">
        <f t="shared" si="202"/>
        <v>New Joiner</v>
      </c>
      <c r="W2597" t="str">
        <f t="shared" si="203"/>
        <v>Low Risk</v>
      </c>
      <c r="X2597" t="str">
        <f t="shared" si="204"/>
        <v>Competitive</v>
      </c>
    </row>
    <row r="2598" spans="1:24" x14ac:dyDescent="0.3">
      <c r="A2598" t="s">
        <v>2666</v>
      </c>
      <c r="B2598" t="s">
        <v>39</v>
      </c>
      <c r="C2598">
        <v>38</v>
      </c>
      <c r="D2598" t="s">
        <v>21</v>
      </c>
      <c r="E2598" t="s">
        <v>40</v>
      </c>
      <c r="F2598" t="s">
        <v>78</v>
      </c>
      <c r="G2598" t="s">
        <v>58</v>
      </c>
      <c r="H2598" t="s">
        <v>67</v>
      </c>
      <c r="I2598" t="s">
        <v>72</v>
      </c>
      <c r="J2598" t="s">
        <v>73</v>
      </c>
      <c r="K2598">
        <v>11</v>
      </c>
      <c r="L2598">
        <v>101611</v>
      </c>
      <c r="M2598" t="s">
        <v>51</v>
      </c>
      <c r="N2598">
        <v>1</v>
      </c>
      <c r="O2598">
        <v>4</v>
      </c>
      <c r="P2598">
        <v>23</v>
      </c>
      <c r="Q2598">
        <v>0</v>
      </c>
      <c r="R2598" s="1">
        <v>41131</v>
      </c>
      <c r="S2598" t="s">
        <v>37</v>
      </c>
      <c r="T2598" t="str">
        <f t="shared" si="200"/>
        <v>Grade A</v>
      </c>
      <c r="U2598">
        <f t="shared" si="201"/>
        <v>4</v>
      </c>
      <c r="V2598" t="str">
        <f t="shared" si="202"/>
        <v>Senior</v>
      </c>
      <c r="W2598" t="str">
        <f t="shared" si="203"/>
        <v>Already Left</v>
      </c>
      <c r="X2598" t="str">
        <f t="shared" si="204"/>
        <v>Competitive</v>
      </c>
    </row>
    <row r="2599" spans="1:24" x14ac:dyDescent="0.3">
      <c r="A2599" t="s">
        <v>2667</v>
      </c>
      <c r="B2599" t="s">
        <v>20</v>
      </c>
      <c r="C2599">
        <v>55</v>
      </c>
      <c r="D2599" t="s">
        <v>21</v>
      </c>
      <c r="E2599" t="s">
        <v>48</v>
      </c>
      <c r="F2599" t="s">
        <v>62</v>
      </c>
      <c r="G2599" t="s">
        <v>58</v>
      </c>
      <c r="H2599" t="s">
        <v>67</v>
      </c>
      <c r="I2599" t="s">
        <v>68</v>
      </c>
      <c r="J2599" t="s">
        <v>60</v>
      </c>
      <c r="K2599">
        <v>8</v>
      </c>
      <c r="L2599">
        <v>96899</v>
      </c>
      <c r="M2599" t="s">
        <v>28</v>
      </c>
      <c r="N2599">
        <v>4</v>
      </c>
      <c r="O2599">
        <v>2</v>
      </c>
      <c r="P2599">
        <v>55</v>
      </c>
      <c r="Q2599">
        <v>2</v>
      </c>
      <c r="R2599" s="1">
        <v>42186</v>
      </c>
      <c r="S2599" t="s">
        <v>29</v>
      </c>
      <c r="T2599" t="str">
        <f t="shared" si="200"/>
        <v>Grade A</v>
      </c>
      <c r="U2599">
        <f t="shared" si="201"/>
        <v>3</v>
      </c>
      <c r="V2599" t="str">
        <f t="shared" si="202"/>
        <v>Mid Level</v>
      </c>
      <c r="W2599" t="str">
        <f t="shared" si="203"/>
        <v>Medium Risk</v>
      </c>
      <c r="X2599" t="str">
        <f t="shared" si="204"/>
        <v>Competitive</v>
      </c>
    </row>
    <row r="2600" spans="1:24" x14ac:dyDescent="0.3">
      <c r="A2600" t="s">
        <v>2668</v>
      </c>
      <c r="B2600" t="s">
        <v>39</v>
      </c>
      <c r="C2600">
        <v>42</v>
      </c>
      <c r="D2600" t="s">
        <v>88</v>
      </c>
      <c r="E2600" t="s">
        <v>48</v>
      </c>
      <c r="F2600" t="s">
        <v>41</v>
      </c>
      <c r="G2600" t="s">
        <v>49</v>
      </c>
      <c r="H2600" t="s">
        <v>34</v>
      </c>
      <c r="I2600" t="s">
        <v>50</v>
      </c>
      <c r="J2600" t="s">
        <v>44</v>
      </c>
      <c r="K2600">
        <v>6</v>
      </c>
      <c r="L2600">
        <v>54067</v>
      </c>
      <c r="M2600" t="s">
        <v>28</v>
      </c>
      <c r="N2600">
        <v>3</v>
      </c>
      <c r="O2600">
        <v>4</v>
      </c>
      <c r="P2600">
        <v>66</v>
      </c>
      <c r="Q2600">
        <v>1</v>
      </c>
      <c r="R2600" s="1">
        <v>43087</v>
      </c>
      <c r="S2600" t="s">
        <v>37</v>
      </c>
      <c r="T2600" t="str">
        <f t="shared" si="200"/>
        <v>Grade B</v>
      </c>
      <c r="U2600">
        <f t="shared" si="201"/>
        <v>3</v>
      </c>
      <c r="V2600" t="str">
        <f t="shared" si="202"/>
        <v>Mid Level</v>
      </c>
      <c r="W2600" t="str">
        <f t="shared" si="203"/>
        <v>Already Left</v>
      </c>
      <c r="X2600" t="str">
        <f t="shared" si="204"/>
        <v>Competitive</v>
      </c>
    </row>
    <row r="2601" spans="1:24" x14ac:dyDescent="0.3">
      <c r="A2601" t="s">
        <v>2669</v>
      </c>
      <c r="B2601" t="s">
        <v>39</v>
      </c>
      <c r="C2601">
        <v>27</v>
      </c>
      <c r="D2601" t="s">
        <v>57</v>
      </c>
      <c r="E2601" t="s">
        <v>48</v>
      </c>
      <c r="F2601" t="s">
        <v>32</v>
      </c>
      <c r="G2601" t="s">
        <v>58</v>
      </c>
      <c r="H2601" t="s">
        <v>76</v>
      </c>
      <c r="I2601" t="s">
        <v>26</v>
      </c>
      <c r="J2601" t="s">
        <v>27</v>
      </c>
      <c r="K2601">
        <v>12</v>
      </c>
      <c r="L2601">
        <v>101149</v>
      </c>
      <c r="M2601" t="s">
        <v>51</v>
      </c>
      <c r="N2601">
        <v>4</v>
      </c>
      <c r="O2601">
        <v>1</v>
      </c>
      <c r="P2601">
        <v>73</v>
      </c>
      <c r="Q2601">
        <v>1</v>
      </c>
      <c r="R2601" s="1">
        <v>40772</v>
      </c>
      <c r="S2601" t="s">
        <v>29</v>
      </c>
      <c r="T2601" t="str">
        <f t="shared" si="200"/>
        <v>Grade A</v>
      </c>
      <c r="U2601">
        <f t="shared" si="201"/>
        <v>4</v>
      </c>
      <c r="V2601" t="str">
        <f t="shared" si="202"/>
        <v>Senior</v>
      </c>
      <c r="W2601" t="str">
        <f t="shared" si="203"/>
        <v>Low Risk</v>
      </c>
      <c r="X2601" t="str">
        <f t="shared" si="204"/>
        <v>Competitive</v>
      </c>
    </row>
    <row r="2602" spans="1:24" x14ac:dyDescent="0.3">
      <c r="A2602" t="s">
        <v>2670</v>
      </c>
      <c r="B2602" t="s">
        <v>39</v>
      </c>
      <c r="C2602">
        <v>27</v>
      </c>
      <c r="D2602" t="s">
        <v>21</v>
      </c>
      <c r="E2602" t="s">
        <v>22</v>
      </c>
      <c r="F2602" t="s">
        <v>53</v>
      </c>
      <c r="G2602" t="s">
        <v>33</v>
      </c>
      <c r="H2602" t="s">
        <v>83</v>
      </c>
      <c r="I2602" t="s">
        <v>50</v>
      </c>
      <c r="J2602" t="s">
        <v>44</v>
      </c>
      <c r="K2602">
        <v>4</v>
      </c>
      <c r="L2602">
        <v>64982</v>
      </c>
      <c r="M2602" t="s">
        <v>36</v>
      </c>
      <c r="N2602">
        <v>3</v>
      </c>
      <c r="O2602">
        <v>2</v>
      </c>
      <c r="P2602">
        <v>62</v>
      </c>
      <c r="Q2602">
        <v>1</v>
      </c>
      <c r="R2602" s="1">
        <v>43586</v>
      </c>
      <c r="S2602" t="s">
        <v>29</v>
      </c>
      <c r="T2602" t="str">
        <f t="shared" si="200"/>
        <v>Grade B</v>
      </c>
      <c r="U2602">
        <f t="shared" si="201"/>
        <v>1</v>
      </c>
      <c r="V2602" t="str">
        <f t="shared" si="202"/>
        <v>Junior</v>
      </c>
      <c r="W2602" t="str">
        <f t="shared" si="203"/>
        <v>Medium Risk</v>
      </c>
      <c r="X2602" t="str">
        <f t="shared" si="204"/>
        <v>Fair</v>
      </c>
    </row>
    <row r="2603" spans="1:24" x14ac:dyDescent="0.3">
      <c r="A2603" t="s">
        <v>2671</v>
      </c>
      <c r="B2603" t="s">
        <v>20</v>
      </c>
      <c r="C2603">
        <v>43</v>
      </c>
      <c r="D2603" t="s">
        <v>31</v>
      </c>
      <c r="E2603" t="s">
        <v>40</v>
      </c>
      <c r="F2603" t="s">
        <v>53</v>
      </c>
      <c r="G2603" t="s">
        <v>58</v>
      </c>
      <c r="H2603" t="s">
        <v>67</v>
      </c>
      <c r="I2603" t="s">
        <v>26</v>
      </c>
      <c r="J2603" t="s">
        <v>27</v>
      </c>
      <c r="K2603">
        <v>1</v>
      </c>
      <c r="L2603">
        <v>90629</v>
      </c>
      <c r="M2603" t="s">
        <v>45</v>
      </c>
      <c r="N2603">
        <v>4</v>
      </c>
      <c r="O2603">
        <v>4</v>
      </c>
      <c r="P2603">
        <v>16</v>
      </c>
      <c r="Q2603">
        <v>1</v>
      </c>
      <c r="R2603" s="1">
        <v>44821</v>
      </c>
      <c r="S2603" t="s">
        <v>37</v>
      </c>
      <c r="T2603" t="str">
        <f t="shared" si="200"/>
        <v>Grade A</v>
      </c>
      <c r="U2603">
        <f t="shared" si="201"/>
        <v>2</v>
      </c>
      <c r="V2603" t="str">
        <f t="shared" si="202"/>
        <v>New Joiner</v>
      </c>
      <c r="W2603" t="str">
        <f t="shared" si="203"/>
        <v>Already Left</v>
      </c>
      <c r="X2603" t="str">
        <f t="shared" si="204"/>
        <v>Fair</v>
      </c>
    </row>
    <row r="2604" spans="1:24" x14ac:dyDescent="0.3">
      <c r="A2604" t="s">
        <v>2672</v>
      </c>
      <c r="B2604" t="s">
        <v>39</v>
      </c>
      <c r="C2604">
        <v>23</v>
      </c>
      <c r="D2604" t="s">
        <v>21</v>
      </c>
      <c r="E2604" t="s">
        <v>48</v>
      </c>
      <c r="F2604" t="s">
        <v>41</v>
      </c>
      <c r="G2604" t="s">
        <v>58</v>
      </c>
      <c r="H2604" t="s">
        <v>25</v>
      </c>
      <c r="I2604" t="s">
        <v>72</v>
      </c>
      <c r="J2604" t="s">
        <v>73</v>
      </c>
      <c r="K2604">
        <v>6</v>
      </c>
      <c r="L2604">
        <v>96068</v>
      </c>
      <c r="M2604" t="s">
        <v>28</v>
      </c>
      <c r="N2604">
        <v>3</v>
      </c>
      <c r="O2604">
        <v>1</v>
      </c>
      <c r="P2604">
        <v>20</v>
      </c>
      <c r="Q2604">
        <v>2</v>
      </c>
      <c r="R2604" s="1">
        <v>43060</v>
      </c>
      <c r="S2604" t="s">
        <v>29</v>
      </c>
      <c r="T2604" t="str">
        <f t="shared" si="200"/>
        <v>Grade A</v>
      </c>
      <c r="U2604">
        <f t="shared" si="201"/>
        <v>3</v>
      </c>
      <c r="V2604" t="str">
        <f t="shared" si="202"/>
        <v>Mid Level</v>
      </c>
      <c r="W2604" t="str">
        <f t="shared" si="203"/>
        <v>Medium Risk</v>
      </c>
      <c r="X2604" t="str">
        <f t="shared" si="204"/>
        <v>Competitive</v>
      </c>
    </row>
    <row r="2605" spans="1:24" x14ac:dyDescent="0.3">
      <c r="A2605" t="s">
        <v>2673</v>
      </c>
      <c r="B2605" t="s">
        <v>20</v>
      </c>
      <c r="C2605">
        <v>34</v>
      </c>
      <c r="D2605" t="s">
        <v>31</v>
      </c>
      <c r="E2605" t="s">
        <v>48</v>
      </c>
      <c r="F2605" t="s">
        <v>41</v>
      </c>
      <c r="G2605" t="s">
        <v>63</v>
      </c>
      <c r="H2605" t="s">
        <v>83</v>
      </c>
      <c r="I2605" t="s">
        <v>59</v>
      </c>
      <c r="J2605" t="s">
        <v>60</v>
      </c>
      <c r="K2605">
        <v>10</v>
      </c>
      <c r="L2605">
        <v>56904</v>
      </c>
      <c r="M2605" t="s">
        <v>45</v>
      </c>
      <c r="N2605">
        <v>4</v>
      </c>
      <c r="O2605">
        <v>4</v>
      </c>
      <c r="P2605">
        <v>63</v>
      </c>
      <c r="Q2605">
        <v>0</v>
      </c>
      <c r="R2605" s="1">
        <v>41396</v>
      </c>
      <c r="S2605" t="s">
        <v>29</v>
      </c>
      <c r="T2605" t="str">
        <f t="shared" si="200"/>
        <v>Grade B</v>
      </c>
      <c r="U2605">
        <f t="shared" si="201"/>
        <v>2</v>
      </c>
      <c r="V2605" t="str">
        <f t="shared" si="202"/>
        <v>Mid Level</v>
      </c>
      <c r="W2605" t="str">
        <f t="shared" si="203"/>
        <v>Medium Risk</v>
      </c>
      <c r="X2605" t="str">
        <f t="shared" si="204"/>
        <v>Fair</v>
      </c>
    </row>
    <row r="2606" spans="1:24" x14ac:dyDescent="0.3">
      <c r="A2606" t="s">
        <v>2674</v>
      </c>
      <c r="B2606" t="s">
        <v>39</v>
      </c>
      <c r="C2606">
        <v>39</v>
      </c>
      <c r="D2606" t="s">
        <v>47</v>
      </c>
      <c r="E2606" t="s">
        <v>22</v>
      </c>
      <c r="F2606" t="s">
        <v>62</v>
      </c>
      <c r="G2606" t="s">
        <v>24</v>
      </c>
      <c r="H2606" t="s">
        <v>34</v>
      </c>
      <c r="I2606" t="s">
        <v>72</v>
      </c>
      <c r="J2606" t="s">
        <v>73</v>
      </c>
      <c r="K2606">
        <v>7</v>
      </c>
      <c r="L2606">
        <v>89381</v>
      </c>
      <c r="M2606" t="s">
        <v>45</v>
      </c>
      <c r="N2606">
        <v>3</v>
      </c>
      <c r="O2606">
        <v>4</v>
      </c>
      <c r="P2606">
        <v>43</v>
      </c>
      <c r="Q2606">
        <v>0</v>
      </c>
      <c r="R2606" s="1">
        <v>42558</v>
      </c>
      <c r="S2606" t="s">
        <v>29</v>
      </c>
      <c r="T2606" t="str">
        <f t="shared" si="200"/>
        <v>Grade A</v>
      </c>
      <c r="U2606">
        <f t="shared" si="201"/>
        <v>2</v>
      </c>
      <c r="V2606" t="str">
        <f t="shared" si="202"/>
        <v>Mid Level</v>
      </c>
      <c r="W2606" t="str">
        <f t="shared" si="203"/>
        <v>Medium Risk</v>
      </c>
      <c r="X2606" t="str">
        <f t="shared" si="204"/>
        <v>Fair</v>
      </c>
    </row>
    <row r="2607" spans="1:24" x14ac:dyDescent="0.3">
      <c r="A2607" t="s">
        <v>2675</v>
      </c>
      <c r="B2607" t="s">
        <v>39</v>
      </c>
      <c r="C2607">
        <v>53</v>
      </c>
      <c r="D2607" t="s">
        <v>57</v>
      </c>
      <c r="E2607" t="s">
        <v>22</v>
      </c>
      <c r="F2607" t="s">
        <v>62</v>
      </c>
      <c r="G2607" t="s">
        <v>79</v>
      </c>
      <c r="H2607" t="s">
        <v>34</v>
      </c>
      <c r="I2607" t="s">
        <v>43</v>
      </c>
      <c r="J2607" t="s">
        <v>44</v>
      </c>
      <c r="K2607">
        <v>13</v>
      </c>
      <c r="L2607">
        <v>72122</v>
      </c>
      <c r="M2607" t="s">
        <v>36</v>
      </c>
      <c r="N2607">
        <v>1</v>
      </c>
      <c r="O2607">
        <v>3</v>
      </c>
      <c r="P2607">
        <v>22</v>
      </c>
      <c r="Q2607">
        <v>3</v>
      </c>
      <c r="R2607" s="1">
        <v>40493</v>
      </c>
      <c r="S2607" t="s">
        <v>37</v>
      </c>
      <c r="T2607" t="str">
        <f t="shared" si="200"/>
        <v>Grade B</v>
      </c>
      <c r="U2607">
        <f t="shared" si="201"/>
        <v>1</v>
      </c>
      <c r="V2607" t="str">
        <f t="shared" si="202"/>
        <v>Senior</v>
      </c>
      <c r="W2607" t="str">
        <f t="shared" si="203"/>
        <v>Already Left</v>
      </c>
      <c r="X2607" t="str">
        <f t="shared" si="204"/>
        <v>Fair</v>
      </c>
    </row>
    <row r="2608" spans="1:24" x14ac:dyDescent="0.3">
      <c r="A2608" t="s">
        <v>2676</v>
      </c>
      <c r="B2608" t="s">
        <v>39</v>
      </c>
      <c r="C2608">
        <v>32</v>
      </c>
      <c r="D2608" t="s">
        <v>57</v>
      </c>
      <c r="E2608" t="s">
        <v>48</v>
      </c>
      <c r="F2608" t="s">
        <v>65</v>
      </c>
      <c r="G2608" t="s">
        <v>33</v>
      </c>
      <c r="H2608" t="s">
        <v>34</v>
      </c>
      <c r="I2608" t="s">
        <v>50</v>
      </c>
      <c r="J2608" t="s">
        <v>44</v>
      </c>
      <c r="K2608">
        <v>2</v>
      </c>
      <c r="L2608">
        <v>64823</v>
      </c>
      <c r="M2608" t="s">
        <v>51</v>
      </c>
      <c r="N2608">
        <v>4</v>
      </c>
      <c r="O2608">
        <v>3</v>
      </c>
      <c r="P2608">
        <v>15</v>
      </c>
      <c r="Q2608">
        <v>2</v>
      </c>
      <c r="R2608" s="1">
        <v>44312</v>
      </c>
      <c r="S2608" t="s">
        <v>29</v>
      </c>
      <c r="T2608" t="str">
        <f t="shared" si="200"/>
        <v>Grade B</v>
      </c>
      <c r="U2608">
        <f t="shared" si="201"/>
        <v>4</v>
      </c>
      <c r="V2608" t="str">
        <f t="shared" si="202"/>
        <v>New Joiner</v>
      </c>
      <c r="W2608" t="str">
        <f t="shared" si="203"/>
        <v>Low Risk</v>
      </c>
      <c r="X2608" t="str">
        <f t="shared" si="204"/>
        <v>Fair</v>
      </c>
    </row>
    <row r="2609" spans="1:24" x14ac:dyDescent="0.3">
      <c r="A2609" t="s">
        <v>2677</v>
      </c>
      <c r="B2609" t="s">
        <v>39</v>
      </c>
      <c r="C2609">
        <v>47</v>
      </c>
      <c r="D2609" t="s">
        <v>57</v>
      </c>
      <c r="E2609" t="s">
        <v>40</v>
      </c>
      <c r="F2609" t="s">
        <v>62</v>
      </c>
      <c r="G2609" t="s">
        <v>42</v>
      </c>
      <c r="H2609" t="s">
        <v>83</v>
      </c>
      <c r="I2609" t="s">
        <v>80</v>
      </c>
      <c r="J2609" t="s">
        <v>60</v>
      </c>
      <c r="K2609">
        <v>15</v>
      </c>
      <c r="L2609">
        <v>119502</v>
      </c>
      <c r="M2609" t="s">
        <v>45</v>
      </c>
      <c r="N2609">
        <v>1</v>
      </c>
      <c r="O2609">
        <v>1</v>
      </c>
      <c r="P2609">
        <v>54</v>
      </c>
      <c r="Q2609">
        <v>0</v>
      </c>
      <c r="R2609" s="1">
        <v>39684</v>
      </c>
      <c r="S2609" t="s">
        <v>29</v>
      </c>
      <c r="T2609" t="str">
        <f t="shared" si="200"/>
        <v>Grade A</v>
      </c>
      <c r="U2609">
        <f t="shared" si="201"/>
        <v>2</v>
      </c>
      <c r="V2609" t="str">
        <f t="shared" si="202"/>
        <v>Senior</v>
      </c>
      <c r="W2609" t="str">
        <f t="shared" si="203"/>
        <v>Medium Risk</v>
      </c>
      <c r="X2609" t="str">
        <f t="shared" si="204"/>
        <v>Fair</v>
      </c>
    </row>
    <row r="2610" spans="1:24" x14ac:dyDescent="0.3">
      <c r="A2610" t="s">
        <v>2678</v>
      </c>
      <c r="B2610" t="s">
        <v>20</v>
      </c>
      <c r="C2610">
        <v>50</v>
      </c>
      <c r="D2610" t="s">
        <v>21</v>
      </c>
      <c r="E2610" t="s">
        <v>48</v>
      </c>
      <c r="F2610" t="s">
        <v>65</v>
      </c>
      <c r="G2610" t="s">
        <v>63</v>
      </c>
      <c r="H2610" t="s">
        <v>83</v>
      </c>
      <c r="I2610" t="s">
        <v>26</v>
      </c>
      <c r="J2610" t="s">
        <v>27</v>
      </c>
      <c r="K2610">
        <v>8</v>
      </c>
      <c r="L2610">
        <v>56792</v>
      </c>
      <c r="M2610" t="s">
        <v>28</v>
      </c>
      <c r="N2610">
        <v>2</v>
      </c>
      <c r="O2610">
        <v>3</v>
      </c>
      <c r="P2610">
        <v>18</v>
      </c>
      <c r="Q2610">
        <v>3</v>
      </c>
      <c r="R2610" s="1">
        <v>42111</v>
      </c>
      <c r="S2610" t="s">
        <v>29</v>
      </c>
      <c r="T2610" t="str">
        <f t="shared" si="200"/>
        <v>Grade B</v>
      </c>
      <c r="U2610">
        <f t="shared" si="201"/>
        <v>3</v>
      </c>
      <c r="V2610" t="str">
        <f t="shared" si="202"/>
        <v>Mid Level</v>
      </c>
      <c r="W2610" t="str">
        <f t="shared" si="203"/>
        <v>Medium Risk</v>
      </c>
      <c r="X2610" t="str">
        <f t="shared" si="204"/>
        <v>Competitive</v>
      </c>
    </row>
    <row r="2611" spans="1:24" x14ac:dyDescent="0.3">
      <c r="A2611" t="s">
        <v>2679</v>
      </c>
      <c r="B2611" t="s">
        <v>39</v>
      </c>
      <c r="C2611">
        <v>50</v>
      </c>
      <c r="D2611" t="s">
        <v>21</v>
      </c>
      <c r="E2611" t="s">
        <v>22</v>
      </c>
      <c r="F2611" t="s">
        <v>41</v>
      </c>
      <c r="G2611" t="s">
        <v>58</v>
      </c>
      <c r="H2611" t="s">
        <v>25</v>
      </c>
      <c r="I2611" t="s">
        <v>54</v>
      </c>
      <c r="J2611" t="s">
        <v>27</v>
      </c>
      <c r="K2611">
        <v>14</v>
      </c>
      <c r="L2611">
        <v>117591</v>
      </c>
      <c r="M2611" t="s">
        <v>28</v>
      </c>
      <c r="N2611">
        <v>4</v>
      </c>
      <c r="O2611">
        <v>1</v>
      </c>
      <c r="P2611">
        <v>43</v>
      </c>
      <c r="Q2611">
        <v>1</v>
      </c>
      <c r="R2611" s="1">
        <v>39845</v>
      </c>
      <c r="S2611" t="s">
        <v>29</v>
      </c>
      <c r="T2611" t="str">
        <f t="shared" si="200"/>
        <v>Grade A</v>
      </c>
      <c r="U2611">
        <f t="shared" si="201"/>
        <v>3</v>
      </c>
      <c r="V2611" t="str">
        <f t="shared" si="202"/>
        <v>Senior</v>
      </c>
      <c r="W2611" t="str">
        <f t="shared" si="203"/>
        <v>Medium Risk</v>
      </c>
      <c r="X2611" t="str">
        <f t="shared" si="204"/>
        <v>Competitive</v>
      </c>
    </row>
    <row r="2612" spans="1:24" x14ac:dyDescent="0.3">
      <c r="A2612" t="s">
        <v>2680</v>
      </c>
      <c r="B2612" t="s">
        <v>39</v>
      </c>
      <c r="C2612">
        <v>25</v>
      </c>
      <c r="D2612" t="s">
        <v>31</v>
      </c>
      <c r="E2612" t="s">
        <v>48</v>
      </c>
      <c r="F2612" t="s">
        <v>65</v>
      </c>
      <c r="G2612" t="s">
        <v>49</v>
      </c>
      <c r="H2612" t="s">
        <v>34</v>
      </c>
      <c r="I2612" t="s">
        <v>43</v>
      </c>
      <c r="J2612" t="s">
        <v>44</v>
      </c>
      <c r="K2612">
        <v>3</v>
      </c>
      <c r="L2612">
        <v>65528</v>
      </c>
      <c r="M2612" t="s">
        <v>36</v>
      </c>
      <c r="N2612">
        <v>1</v>
      </c>
      <c r="O2612">
        <v>4</v>
      </c>
      <c r="P2612">
        <v>20</v>
      </c>
      <c r="Q2612">
        <v>2</v>
      </c>
      <c r="R2612" s="1">
        <v>43987</v>
      </c>
      <c r="S2612" t="s">
        <v>37</v>
      </c>
      <c r="T2612" t="str">
        <f t="shared" si="200"/>
        <v>Grade B</v>
      </c>
      <c r="U2612">
        <f t="shared" si="201"/>
        <v>1</v>
      </c>
      <c r="V2612" t="str">
        <f t="shared" si="202"/>
        <v>Junior</v>
      </c>
      <c r="W2612" t="str">
        <f t="shared" si="203"/>
        <v>Already Left</v>
      </c>
      <c r="X2612" t="str">
        <f t="shared" si="204"/>
        <v>Fair</v>
      </c>
    </row>
    <row r="2613" spans="1:24" x14ac:dyDescent="0.3">
      <c r="A2613" t="s">
        <v>2681</v>
      </c>
      <c r="B2613" t="s">
        <v>39</v>
      </c>
      <c r="C2613">
        <v>22</v>
      </c>
      <c r="D2613" t="s">
        <v>57</v>
      </c>
      <c r="E2613" t="s">
        <v>48</v>
      </c>
      <c r="F2613" t="s">
        <v>23</v>
      </c>
      <c r="G2613" t="s">
        <v>79</v>
      </c>
      <c r="H2613" t="s">
        <v>76</v>
      </c>
      <c r="I2613" t="s">
        <v>50</v>
      </c>
      <c r="J2613" t="s">
        <v>44</v>
      </c>
      <c r="K2613">
        <v>1</v>
      </c>
      <c r="L2613">
        <v>46980</v>
      </c>
      <c r="M2613" t="s">
        <v>36</v>
      </c>
      <c r="N2613">
        <v>3</v>
      </c>
      <c r="O2613">
        <v>2</v>
      </c>
      <c r="P2613">
        <v>74</v>
      </c>
      <c r="Q2613">
        <v>2</v>
      </c>
      <c r="R2613" s="1">
        <v>44564</v>
      </c>
      <c r="S2613" t="s">
        <v>37</v>
      </c>
      <c r="T2613" t="str">
        <f t="shared" si="200"/>
        <v>Grade C</v>
      </c>
      <c r="U2613">
        <f t="shared" si="201"/>
        <v>1</v>
      </c>
      <c r="V2613" t="str">
        <f t="shared" si="202"/>
        <v>New Joiner</v>
      </c>
      <c r="W2613" t="str">
        <f t="shared" si="203"/>
        <v>Already Left</v>
      </c>
      <c r="X2613" t="str">
        <f t="shared" si="204"/>
        <v>Fair</v>
      </c>
    </row>
    <row r="2614" spans="1:24" x14ac:dyDescent="0.3">
      <c r="A2614" t="s">
        <v>2682</v>
      </c>
      <c r="B2614" t="s">
        <v>20</v>
      </c>
      <c r="C2614">
        <v>53</v>
      </c>
      <c r="D2614" t="s">
        <v>47</v>
      </c>
      <c r="E2614" t="s">
        <v>40</v>
      </c>
      <c r="F2614" t="s">
        <v>65</v>
      </c>
      <c r="G2614" t="s">
        <v>63</v>
      </c>
      <c r="H2614" t="s">
        <v>76</v>
      </c>
      <c r="I2614" t="s">
        <v>72</v>
      </c>
      <c r="J2614" t="s">
        <v>73</v>
      </c>
      <c r="K2614">
        <v>2</v>
      </c>
      <c r="L2614">
        <v>54833</v>
      </c>
      <c r="M2614" t="s">
        <v>36</v>
      </c>
      <c r="N2614">
        <v>1</v>
      </c>
      <c r="O2614">
        <v>2</v>
      </c>
      <c r="P2614">
        <v>32</v>
      </c>
      <c r="Q2614">
        <v>1</v>
      </c>
      <c r="R2614" s="1">
        <v>44341</v>
      </c>
      <c r="S2614" t="s">
        <v>37</v>
      </c>
      <c r="T2614" t="str">
        <f t="shared" si="200"/>
        <v>Grade B</v>
      </c>
      <c r="U2614">
        <f t="shared" si="201"/>
        <v>1</v>
      </c>
      <c r="V2614" t="str">
        <f t="shared" si="202"/>
        <v>New Joiner</v>
      </c>
      <c r="W2614" t="str">
        <f t="shared" si="203"/>
        <v>Already Left</v>
      </c>
      <c r="X2614" t="str">
        <f t="shared" si="204"/>
        <v>Fair</v>
      </c>
    </row>
    <row r="2615" spans="1:24" x14ac:dyDescent="0.3">
      <c r="A2615" t="s">
        <v>2683</v>
      </c>
      <c r="B2615" t="s">
        <v>20</v>
      </c>
      <c r="C2615">
        <v>33</v>
      </c>
      <c r="D2615" t="s">
        <v>31</v>
      </c>
      <c r="E2615" t="s">
        <v>40</v>
      </c>
      <c r="F2615" t="s">
        <v>41</v>
      </c>
      <c r="G2615" t="s">
        <v>24</v>
      </c>
      <c r="H2615" t="s">
        <v>25</v>
      </c>
      <c r="I2615" t="s">
        <v>80</v>
      </c>
      <c r="J2615" t="s">
        <v>60</v>
      </c>
      <c r="K2615">
        <v>1</v>
      </c>
      <c r="L2615">
        <v>70628</v>
      </c>
      <c r="M2615" t="s">
        <v>28</v>
      </c>
      <c r="N2615">
        <v>4</v>
      </c>
      <c r="O2615">
        <v>2</v>
      </c>
      <c r="P2615">
        <v>35</v>
      </c>
      <c r="Q2615">
        <v>3</v>
      </c>
      <c r="R2615" s="1">
        <v>44846</v>
      </c>
      <c r="S2615" t="s">
        <v>29</v>
      </c>
      <c r="T2615" t="str">
        <f t="shared" si="200"/>
        <v>Grade B</v>
      </c>
      <c r="U2615">
        <f t="shared" si="201"/>
        <v>3</v>
      </c>
      <c r="V2615" t="str">
        <f t="shared" si="202"/>
        <v>New Joiner</v>
      </c>
      <c r="W2615" t="str">
        <f t="shared" si="203"/>
        <v>Medium Risk</v>
      </c>
      <c r="X2615" t="str">
        <f t="shared" si="204"/>
        <v>Competitive</v>
      </c>
    </row>
    <row r="2616" spans="1:24" x14ac:dyDescent="0.3">
      <c r="A2616" t="s">
        <v>2684</v>
      </c>
      <c r="B2616" t="s">
        <v>20</v>
      </c>
      <c r="C2616">
        <v>40</v>
      </c>
      <c r="D2616" t="s">
        <v>57</v>
      </c>
      <c r="E2616" t="s">
        <v>40</v>
      </c>
      <c r="F2616" t="s">
        <v>62</v>
      </c>
      <c r="G2616" t="s">
        <v>58</v>
      </c>
      <c r="H2616" t="s">
        <v>83</v>
      </c>
      <c r="I2616" t="s">
        <v>96</v>
      </c>
      <c r="J2616" t="s">
        <v>44</v>
      </c>
      <c r="K2616">
        <v>3</v>
      </c>
      <c r="L2616">
        <v>92314</v>
      </c>
      <c r="M2616" t="s">
        <v>51</v>
      </c>
      <c r="N2616">
        <v>4</v>
      </c>
      <c r="O2616">
        <v>1</v>
      </c>
      <c r="P2616">
        <v>21</v>
      </c>
      <c r="Q2616">
        <v>1</v>
      </c>
      <c r="R2616" s="1">
        <v>43898</v>
      </c>
      <c r="S2616" t="s">
        <v>29</v>
      </c>
      <c r="T2616" t="str">
        <f t="shared" si="200"/>
        <v>Grade A</v>
      </c>
      <c r="U2616">
        <f t="shared" si="201"/>
        <v>4</v>
      </c>
      <c r="V2616" t="str">
        <f t="shared" si="202"/>
        <v>Junior</v>
      </c>
      <c r="W2616" t="str">
        <f t="shared" si="203"/>
        <v>Low Risk</v>
      </c>
      <c r="X2616" t="str">
        <f t="shared" si="204"/>
        <v>Competitive</v>
      </c>
    </row>
    <row r="2617" spans="1:24" x14ac:dyDescent="0.3">
      <c r="A2617" t="s">
        <v>2685</v>
      </c>
      <c r="B2617" t="s">
        <v>39</v>
      </c>
      <c r="C2617">
        <v>31</v>
      </c>
      <c r="D2617" t="s">
        <v>31</v>
      </c>
      <c r="E2617" t="s">
        <v>48</v>
      </c>
      <c r="F2617" t="s">
        <v>65</v>
      </c>
      <c r="G2617" t="s">
        <v>49</v>
      </c>
      <c r="H2617" t="s">
        <v>76</v>
      </c>
      <c r="I2617" t="s">
        <v>68</v>
      </c>
      <c r="J2617" t="s">
        <v>60</v>
      </c>
      <c r="K2617">
        <v>1</v>
      </c>
      <c r="L2617">
        <v>55596</v>
      </c>
      <c r="M2617" t="s">
        <v>28</v>
      </c>
      <c r="N2617">
        <v>1</v>
      </c>
      <c r="O2617">
        <v>1</v>
      </c>
      <c r="P2617">
        <v>61</v>
      </c>
      <c r="Q2617">
        <v>1</v>
      </c>
      <c r="R2617" s="1">
        <v>44920</v>
      </c>
      <c r="S2617" t="s">
        <v>37</v>
      </c>
      <c r="T2617" t="str">
        <f t="shared" si="200"/>
        <v>Grade B</v>
      </c>
      <c r="U2617">
        <f t="shared" si="201"/>
        <v>3</v>
      </c>
      <c r="V2617" t="str">
        <f t="shared" si="202"/>
        <v>New Joiner</v>
      </c>
      <c r="W2617" t="str">
        <f t="shared" si="203"/>
        <v>Already Left</v>
      </c>
      <c r="X2617" t="str">
        <f t="shared" si="204"/>
        <v>Competitive</v>
      </c>
    </row>
    <row r="2618" spans="1:24" x14ac:dyDescent="0.3">
      <c r="A2618" t="s">
        <v>2686</v>
      </c>
      <c r="B2618" t="s">
        <v>39</v>
      </c>
      <c r="C2618">
        <v>42</v>
      </c>
      <c r="D2618" t="s">
        <v>21</v>
      </c>
      <c r="E2618" t="s">
        <v>48</v>
      </c>
      <c r="F2618" t="s">
        <v>75</v>
      </c>
      <c r="G2618" t="s">
        <v>49</v>
      </c>
      <c r="H2618" t="s">
        <v>67</v>
      </c>
      <c r="I2618" t="s">
        <v>50</v>
      </c>
      <c r="J2618" t="s">
        <v>44</v>
      </c>
      <c r="K2618">
        <v>1</v>
      </c>
      <c r="L2618">
        <v>54178</v>
      </c>
      <c r="M2618" t="s">
        <v>36</v>
      </c>
      <c r="N2618">
        <v>4</v>
      </c>
      <c r="O2618">
        <v>4</v>
      </c>
      <c r="P2618">
        <v>19</v>
      </c>
      <c r="Q2618">
        <v>3</v>
      </c>
      <c r="R2618" s="1">
        <v>44747</v>
      </c>
      <c r="S2618" t="s">
        <v>29</v>
      </c>
      <c r="T2618" t="str">
        <f t="shared" si="200"/>
        <v>Grade B</v>
      </c>
      <c r="U2618">
        <f t="shared" si="201"/>
        <v>1</v>
      </c>
      <c r="V2618" t="str">
        <f t="shared" si="202"/>
        <v>New Joiner</v>
      </c>
      <c r="W2618" t="str">
        <f t="shared" si="203"/>
        <v>High Risk</v>
      </c>
      <c r="X2618" t="str">
        <f t="shared" si="204"/>
        <v>Fair</v>
      </c>
    </row>
    <row r="2619" spans="1:24" x14ac:dyDescent="0.3">
      <c r="A2619" t="s">
        <v>2687</v>
      </c>
      <c r="B2619" t="s">
        <v>20</v>
      </c>
      <c r="C2619">
        <v>25</v>
      </c>
      <c r="D2619" t="s">
        <v>47</v>
      </c>
      <c r="E2619" t="s">
        <v>48</v>
      </c>
      <c r="F2619" t="s">
        <v>53</v>
      </c>
      <c r="G2619" t="s">
        <v>66</v>
      </c>
      <c r="H2619" t="s">
        <v>34</v>
      </c>
      <c r="I2619" t="s">
        <v>43</v>
      </c>
      <c r="J2619" t="s">
        <v>44</v>
      </c>
      <c r="K2619">
        <v>15</v>
      </c>
      <c r="L2619">
        <v>72750</v>
      </c>
      <c r="M2619" t="s">
        <v>36</v>
      </c>
      <c r="N2619">
        <v>2</v>
      </c>
      <c r="O2619">
        <v>4</v>
      </c>
      <c r="P2619">
        <v>75</v>
      </c>
      <c r="Q2619">
        <v>3</v>
      </c>
      <c r="R2619" s="1">
        <v>39719</v>
      </c>
      <c r="S2619" t="s">
        <v>29</v>
      </c>
      <c r="T2619" t="str">
        <f t="shared" si="200"/>
        <v>Grade B</v>
      </c>
      <c r="U2619">
        <f t="shared" si="201"/>
        <v>1</v>
      </c>
      <c r="V2619" t="str">
        <f t="shared" si="202"/>
        <v>Senior</v>
      </c>
      <c r="W2619" t="str">
        <f t="shared" si="203"/>
        <v>Medium Risk</v>
      </c>
      <c r="X2619" t="str">
        <f t="shared" si="204"/>
        <v>Fair</v>
      </c>
    </row>
    <row r="2620" spans="1:24" x14ac:dyDescent="0.3">
      <c r="A2620" t="s">
        <v>2688</v>
      </c>
      <c r="B2620" t="s">
        <v>39</v>
      </c>
      <c r="C2620">
        <v>46</v>
      </c>
      <c r="D2620" t="s">
        <v>88</v>
      </c>
      <c r="E2620" t="s">
        <v>48</v>
      </c>
      <c r="F2620" t="s">
        <v>53</v>
      </c>
      <c r="G2620" t="s">
        <v>66</v>
      </c>
      <c r="H2620" t="s">
        <v>83</v>
      </c>
      <c r="I2620" t="s">
        <v>59</v>
      </c>
      <c r="J2620" t="s">
        <v>60</v>
      </c>
      <c r="K2620">
        <v>3</v>
      </c>
      <c r="L2620">
        <v>40040</v>
      </c>
      <c r="M2620" t="s">
        <v>28</v>
      </c>
      <c r="N2620">
        <v>1</v>
      </c>
      <c r="O2620">
        <v>4</v>
      </c>
      <c r="P2620">
        <v>69</v>
      </c>
      <c r="Q2620">
        <v>1</v>
      </c>
      <c r="R2620" s="1">
        <v>44174</v>
      </c>
      <c r="S2620" t="s">
        <v>29</v>
      </c>
      <c r="T2620" t="str">
        <f t="shared" si="200"/>
        <v>Grade C</v>
      </c>
      <c r="U2620">
        <f t="shared" si="201"/>
        <v>3</v>
      </c>
      <c r="V2620" t="str">
        <f t="shared" si="202"/>
        <v>Junior</v>
      </c>
      <c r="W2620" t="str">
        <f t="shared" si="203"/>
        <v>Medium Risk</v>
      </c>
      <c r="X2620" t="str">
        <f t="shared" si="204"/>
        <v>Fair</v>
      </c>
    </row>
    <row r="2621" spans="1:24" x14ac:dyDescent="0.3">
      <c r="A2621" t="s">
        <v>2689</v>
      </c>
      <c r="B2621" t="s">
        <v>39</v>
      </c>
      <c r="C2621">
        <v>49</v>
      </c>
      <c r="D2621" t="s">
        <v>57</v>
      </c>
      <c r="E2621" t="s">
        <v>48</v>
      </c>
      <c r="F2621" t="s">
        <v>78</v>
      </c>
      <c r="G2621" t="s">
        <v>42</v>
      </c>
      <c r="H2621" t="s">
        <v>83</v>
      </c>
      <c r="I2621" t="s">
        <v>35</v>
      </c>
      <c r="J2621" t="s">
        <v>27</v>
      </c>
      <c r="K2621">
        <v>11</v>
      </c>
      <c r="L2621">
        <v>110842</v>
      </c>
      <c r="M2621" t="s">
        <v>28</v>
      </c>
      <c r="N2621">
        <v>3</v>
      </c>
      <c r="O2621">
        <v>3</v>
      </c>
      <c r="P2621">
        <v>40</v>
      </c>
      <c r="Q2621">
        <v>1</v>
      </c>
      <c r="R2621" s="1">
        <v>41251</v>
      </c>
      <c r="S2621" t="s">
        <v>37</v>
      </c>
      <c r="T2621" t="str">
        <f t="shared" si="200"/>
        <v>Grade A</v>
      </c>
      <c r="U2621">
        <f t="shared" si="201"/>
        <v>3</v>
      </c>
      <c r="V2621" t="str">
        <f t="shared" si="202"/>
        <v>Senior</v>
      </c>
      <c r="W2621" t="str">
        <f t="shared" si="203"/>
        <v>Already Left</v>
      </c>
      <c r="X2621" t="str">
        <f t="shared" si="204"/>
        <v>Competitive</v>
      </c>
    </row>
    <row r="2622" spans="1:24" x14ac:dyDescent="0.3">
      <c r="A2622" t="s">
        <v>2690</v>
      </c>
      <c r="B2622" t="s">
        <v>20</v>
      </c>
      <c r="C2622">
        <v>24</v>
      </c>
      <c r="D2622" t="s">
        <v>57</v>
      </c>
      <c r="E2622" t="s">
        <v>48</v>
      </c>
      <c r="F2622" t="s">
        <v>23</v>
      </c>
      <c r="G2622" t="s">
        <v>49</v>
      </c>
      <c r="H2622" t="s">
        <v>25</v>
      </c>
      <c r="I2622" t="s">
        <v>50</v>
      </c>
      <c r="J2622" t="s">
        <v>44</v>
      </c>
      <c r="K2622">
        <v>1</v>
      </c>
      <c r="L2622">
        <v>52262</v>
      </c>
      <c r="M2622" t="s">
        <v>36</v>
      </c>
      <c r="N2622">
        <v>2</v>
      </c>
      <c r="O2622">
        <v>4</v>
      </c>
      <c r="P2622">
        <v>57</v>
      </c>
      <c r="Q2622">
        <v>0</v>
      </c>
      <c r="R2622" s="1">
        <v>44565</v>
      </c>
      <c r="S2622" t="s">
        <v>37</v>
      </c>
      <c r="T2622" t="str">
        <f t="shared" si="200"/>
        <v>Grade B</v>
      </c>
      <c r="U2622">
        <f t="shared" si="201"/>
        <v>1</v>
      </c>
      <c r="V2622" t="str">
        <f t="shared" si="202"/>
        <v>New Joiner</v>
      </c>
      <c r="W2622" t="str">
        <f t="shared" si="203"/>
        <v>Already Left</v>
      </c>
      <c r="X2622" t="str">
        <f t="shared" si="204"/>
        <v>Fair</v>
      </c>
    </row>
    <row r="2623" spans="1:24" x14ac:dyDescent="0.3">
      <c r="A2623" t="s">
        <v>2691</v>
      </c>
      <c r="B2623" t="s">
        <v>20</v>
      </c>
      <c r="C2623">
        <v>52</v>
      </c>
      <c r="D2623" t="s">
        <v>21</v>
      </c>
      <c r="E2623" t="s">
        <v>22</v>
      </c>
      <c r="F2623" t="s">
        <v>62</v>
      </c>
      <c r="G2623" t="s">
        <v>66</v>
      </c>
      <c r="H2623" t="s">
        <v>76</v>
      </c>
      <c r="I2623" t="s">
        <v>80</v>
      </c>
      <c r="J2623" t="s">
        <v>60</v>
      </c>
      <c r="K2623">
        <v>11</v>
      </c>
      <c r="L2623">
        <v>65168</v>
      </c>
      <c r="M2623" t="s">
        <v>51</v>
      </c>
      <c r="N2623">
        <v>4</v>
      </c>
      <c r="O2623">
        <v>1</v>
      </c>
      <c r="P2623">
        <v>30</v>
      </c>
      <c r="Q2623">
        <v>3</v>
      </c>
      <c r="R2623" s="1">
        <v>41248</v>
      </c>
      <c r="S2623" t="s">
        <v>29</v>
      </c>
      <c r="T2623" t="str">
        <f t="shared" si="200"/>
        <v>Grade B</v>
      </c>
      <c r="U2623">
        <f t="shared" si="201"/>
        <v>4</v>
      </c>
      <c r="V2623" t="str">
        <f t="shared" si="202"/>
        <v>Senior</v>
      </c>
      <c r="W2623" t="str">
        <f t="shared" si="203"/>
        <v>Low Risk</v>
      </c>
      <c r="X2623" t="str">
        <f t="shared" si="204"/>
        <v>Fair</v>
      </c>
    </row>
    <row r="2624" spans="1:24" x14ac:dyDescent="0.3">
      <c r="A2624" t="s">
        <v>2692</v>
      </c>
      <c r="B2624" t="s">
        <v>39</v>
      </c>
      <c r="C2624">
        <v>29</v>
      </c>
      <c r="D2624" t="s">
        <v>88</v>
      </c>
      <c r="E2624" t="s">
        <v>40</v>
      </c>
      <c r="F2624" t="s">
        <v>62</v>
      </c>
      <c r="G2624" t="s">
        <v>58</v>
      </c>
      <c r="H2624" t="s">
        <v>25</v>
      </c>
      <c r="I2624" t="s">
        <v>43</v>
      </c>
      <c r="J2624" t="s">
        <v>44</v>
      </c>
      <c r="K2624">
        <v>4</v>
      </c>
      <c r="L2624">
        <v>84565</v>
      </c>
      <c r="M2624" t="s">
        <v>51</v>
      </c>
      <c r="N2624">
        <v>3</v>
      </c>
      <c r="O2624">
        <v>4</v>
      </c>
      <c r="P2624">
        <v>52</v>
      </c>
      <c r="Q2624">
        <v>2</v>
      </c>
      <c r="R2624" s="1">
        <v>43510</v>
      </c>
      <c r="S2624" t="s">
        <v>29</v>
      </c>
      <c r="T2624" t="str">
        <f t="shared" si="200"/>
        <v>Grade A</v>
      </c>
      <c r="U2624">
        <f t="shared" si="201"/>
        <v>4</v>
      </c>
      <c r="V2624" t="str">
        <f t="shared" si="202"/>
        <v>Junior</v>
      </c>
      <c r="W2624" t="str">
        <f t="shared" si="203"/>
        <v>Low Risk</v>
      </c>
      <c r="X2624" t="str">
        <f t="shared" si="204"/>
        <v>Competitive</v>
      </c>
    </row>
    <row r="2625" spans="1:24" x14ac:dyDescent="0.3">
      <c r="A2625" t="s">
        <v>2693</v>
      </c>
      <c r="B2625" t="s">
        <v>39</v>
      </c>
      <c r="C2625">
        <v>46</v>
      </c>
      <c r="D2625" t="s">
        <v>47</v>
      </c>
      <c r="E2625" t="s">
        <v>40</v>
      </c>
      <c r="F2625" t="s">
        <v>32</v>
      </c>
      <c r="G2625" t="s">
        <v>42</v>
      </c>
      <c r="H2625" t="s">
        <v>34</v>
      </c>
      <c r="I2625" t="s">
        <v>96</v>
      </c>
      <c r="J2625" t="s">
        <v>44</v>
      </c>
      <c r="K2625">
        <v>9</v>
      </c>
      <c r="L2625">
        <v>108896</v>
      </c>
      <c r="M2625" t="s">
        <v>51</v>
      </c>
      <c r="N2625">
        <v>2</v>
      </c>
      <c r="O2625">
        <v>3</v>
      </c>
      <c r="P2625">
        <v>10</v>
      </c>
      <c r="Q2625">
        <v>3</v>
      </c>
      <c r="R2625" s="1">
        <v>41850</v>
      </c>
      <c r="S2625" t="s">
        <v>29</v>
      </c>
      <c r="T2625" t="str">
        <f t="shared" si="200"/>
        <v>Grade A</v>
      </c>
      <c r="U2625">
        <f t="shared" si="201"/>
        <v>4</v>
      </c>
      <c r="V2625" t="str">
        <f t="shared" si="202"/>
        <v>Mid Level</v>
      </c>
      <c r="W2625" t="str">
        <f t="shared" si="203"/>
        <v>Low Risk</v>
      </c>
      <c r="X2625" t="str">
        <f t="shared" si="204"/>
        <v>Competitive</v>
      </c>
    </row>
    <row r="2626" spans="1:24" x14ac:dyDescent="0.3">
      <c r="A2626" t="s">
        <v>2694</v>
      </c>
      <c r="B2626" t="s">
        <v>20</v>
      </c>
      <c r="C2626">
        <v>26</v>
      </c>
      <c r="D2626" t="s">
        <v>31</v>
      </c>
      <c r="E2626" t="s">
        <v>48</v>
      </c>
      <c r="F2626" t="s">
        <v>65</v>
      </c>
      <c r="G2626" t="s">
        <v>58</v>
      </c>
      <c r="H2626" t="s">
        <v>25</v>
      </c>
      <c r="I2626" t="s">
        <v>68</v>
      </c>
      <c r="J2626" t="s">
        <v>60</v>
      </c>
      <c r="K2626">
        <v>3</v>
      </c>
      <c r="L2626">
        <v>93138</v>
      </c>
      <c r="M2626" t="s">
        <v>28</v>
      </c>
      <c r="N2626">
        <v>1</v>
      </c>
      <c r="O2626">
        <v>1</v>
      </c>
      <c r="P2626">
        <v>34</v>
      </c>
      <c r="Q2626">
        <v>2</v>
      </c>
      <c r="R2626" s="1">
        <v>43923</v>
      </c>
      <c r="S2626" t="s">
        <v>29</v>
      </c>
      <c r="T2626" t="str">
        <f t="shared" ref="T2626:T2689" si="205">IF(L2626&gt;=80000,"Grade A",IF(L2626&gt;=50000,"Grade B",IF(L2626&gt;=35000,"Grade C","Grade D")))</f>
        <v>Grade A</v>
      </c>
      <c r="U2626">
        <f t="shared" ref="U2626:U2689" si="206">IF(M2626="Excellent",4,IF(M2626="Good",3,IF(M2626="Average",2,1)))</f>
        <v>3</v>
      </c>
      <c r="V2626" t="str">
        <f t="shared" ref="V2626:V2689" si="207">IF(K2626&lt;=2,"New Joiner",IF(K2626&lt;=5,"Junior",IF(K2626&lt;=10,"Mid Level","Senior")))</f>
        <v>Junior</v>
      </c>
      <c r="W2626" t="str">
        <f t="shared" ref="W2626:W2689" si="208">IF(S2626="Yes","Already Left",IF(AND(K2626&lt;=2,M2626="Poor"),"High Risk",IF(AND(K2626&lt;=5,M2626="Average"),"Medium Risk",IF(M2626="Excellent","Low Risk","Medium Risk"))))</f>
        <v>Medium Risk</v>
      </c>
      <c r="X2626" t="str">
        <f t="shared" ref="X2626:X2689" si="209">IF(AND(L2626&gt;=80000,M2626="Excellent"),"Competitive",IF(AND(L2626&gt;=50000,M2626="Good"),"Competitive",IF(AND(L2626&lt;35000,M2626="Excellent"),"Underpaid",IF(AND(L2626&gt;=80000,M2626="Poor"),"Overpaid","Fair"))))</f>
        <v>Competitive</v>
      </c>
    </row>
    <row r="2627" spans="1:24" x14ac:dyDescent="0.3">
      <c r="A2627" t="s">
        <v>2695</v>
      </c>
      <c r="B2627" t="s">
        <v>20</v>
      </c>
      <c r="C2627">
        <v>22</v>
      </c>
      <c r="D2627" t="s">
        <v>31</v>
      </c>
      <c r="E2627" t="s">
        <v>22</v>
      </c>
      <c r="F2627" t="s">
        <v>62</v>
      </c>
      <c r="G2627" t="s">
        <v>33</v>
      </c>
      <c r="H2627" t="s">
        <v>76</v>
      </c>
      <c r="I2627" t="s">
        <v>68</v>
      </c>
      <c r="J2627" t="s">
        <v>60</v>
      </c>
      <c r="K2627">
        <v>2</v>
      </c>
      <c r="L2627">
        <v>72116</v>
      </c>
      <c r="M2627" t="s">
        <v>51</v>
      </c>
      <c r="N2627">
        <v>2</v>
      </c>
      <c r="O2627">
        <v>1</v>
      </c>
      <c r="P2627">
        <v>77</v>
      </c>
      <c r="Q2627">
        <v>2</v>
      </c>
      <c r="R2627" s="1">
        <v>44320</v>
      </c>
      <c r="S2627" t="s">
        <v>29</v>
      </c>
      <c r="T2627" t="str">
        <f t="shared" si="205"/>
        <v>Grade B</v>
      </c>
      <c r="U2627">
        <f t="shared" si="206"/>
        <v>4</v>
      </c>
      <c r="V2627" t="str">
        <f t="shared" si="207"/>
        <v>New Joiner</v>
      </c>
      <c r="W2627" t="str">
        <f t="shared" si="208"/>
        <v>Low Risk</v>
      </c>
      <c r="X2627" t="str">
        <f t="shared" si="209"/>
        <v>Fair</v>
      </c>
    </row>
    <row r="2628" spans="1:24" x14ac:dyDescent="0.3">
      <c r="A2628" t="s">
        <v>2696</v>
      </c>
      <c r="B2628" t="s">
        <v>39</v>
      </c>
      <c r="C2628">
        <v>53</v>
      </c>
      <c r="D2628" t="s">
        <v>31</v>
      </c>
      <c r="E2628" t="s">
        <v>40</v>
      </c>
      <c r="F2628" t="s">
        <v>23</v>
      </c>
      <c r="G2628" t="s">
        <v>42</v>
      </c>
      <c r="H2628" t="s">
        <v>25</v>
      </c>
      <c r="I2628" t="s">
        <v>26</v>
      </c>
      <c r="J2628" t="s">
        <v>27</v>
      </c>
      <c r="K2628">
        <v>14</v>
      </c>
      <c r="L2628">
        <v>116336</v>
      </c>
      <c r="M2628" t="s">
        <v>51</v>
      </c>
      <c r="N2628">
        <v>1</v>
      </c>
      <c r="O2628">
        <v>3</v>
      </c>
      <c r="P2628">
        <v>57</v>
      </c>
      <c r="Q2628">
        <v>0</v>
      </c>
      <c r="R2628" s="1">
        <v>40171</v>
      </c>
      <c r="S2628" t="s">
        <v>29</v>
      </c>
      <c r="T2628" t="str">
        <f t="shared" si="205"/>
        <v>Grade A</v>
      </c>
      <c r="U2628">
        <f t="shared" si="206"/>
        <v>4</v>
      </c>
      <c r="V2628" t="str">
        <f t="shared" si="207"/>
        <v>Senior</v>
      </c>
      <c r="W2628" t="str">
        <f t="shared" si="208"/>
        <v>Low Risk</v>
      </c>
      <c r="X2628" t="str">
        <f t="shared" si="209"/>
        <v>Competitive</v>
      </c>
    </row>
    <row r="2629" spans="1:24" x14ac:dyDescent="0.3">
      <c r="A2629" t="s">
        <v>2697</v>
      </c>
      <c r="B2629" t="s">
        <v>39</v>
      </c>
      <c r="C2629">
        <v>46</v>
      </c>
      <c r="D2629" t="s">
        <v>88</v>
      </c>
      <c r="E2629" t="s">
        <v>40</v>
      </c>
      <c r="F2629" t="s">
        <v>75</v>
      </c>
      <c r="G2629" t="s">
        <v>24</v>
      </c>
      <c r="H2629" t="s">
        <v>34</v>
      </c>
      <c r="I2629" t="s">
        <v>72</v>
      </c>
      <c r="J2629" t="s">
        <v>73</v>
      </c>
      <c r="K2629">
        <v>4</v>
      </c>
      <c r="L2629">
        <v>88493</v>
      </c>
      <c r="M2629" t="s">
        <v>28</v>
      </c>
      <c r="N2629">
        <v>3</v>
      </c>
      <c r="O2629">
        <v>4</v>
      </c>
      <c r="P2629">
        <v>38</v>
      </c>
      <c r="Q2629">
        <v>3</v>
      </c>
      <c r="R2629" s="1">
        <v>43474</v>
      </c>
      <c r="S2629" t="s">
        <v>29</v>
      </c>
      <c r="T2629" t="str">
        <f t="shared" si="205"/>
        <v>Grade A</v>
      </c>
      <c r="U2629">
        <f t="shared" si="206"/>
        <v>3</v>
      </c>
      <c r="V2629" t="str">
        <f t="shared" si="207"/>
        <v>Junior</v>
      </c>
      <c r="W2629" t="str">
        <f t="shared" si="208"/>
        <v>Medium Risk</v>
      </c>
      <c r="X2629" t="str">
        <f t="shared" si="209"/>
        <v>Competitive</v>
      </c>
    </row>
    <row r="2630" spans="1:24" x14ac:dyDescent="0.3">
      <c r="A2630" t="s">
        <v>2698</v>
      </c>
      <c r="B2630" t="s">
        <v>39</v>
      </c>
      <c r="C2630">
        <v>46</v>
      </c>
      <c r="D2630" t="s">
        <v>21</v>
      </c>
      <c r="E2630" t="s">
        <v>48</v>
      </c>
      <c r="F2630" t="s">
        <v>32</v>
      </c>
      <c r="G2630" t="s">
        <v>66</v>
      </c>
      <c r="H2630" t="s">
        <v>83</v>
      </c>
      <c r="I2630" t="s">
        <v>54</v>
      </c>
      <c r="J2630" t="s">
        <v>27</v>
      </c>
      <c r="K2630">
        <v>11</v>
      </c>
      <c r="L2630">
        <v>52838</v>
      </c>
      <c r="M2630" t="s">
        <v>28</v>
      </c>
      <c r="N2630">
        <v>4</v>
      </c>
      <c r="O2630">
        <v>2</v>
      </c>
      <c r="P2630">
        <v>62</v>
      </c>
      <c r="Q2630">
        <v>0</v>
      </c>
      <c r="R2630" s="1">
        <v>40969</v>
      </c>
      <c r="S2630" t="s">
        <v>29</v>
      </c>
      <c r="T2630" t="str">
        <f t="shared" si="205"/>
        <v>Grade B</v>
      </c>
      <c r="U2630">
        <f t="shared" si="206"/>
        <v>3</v>
      </c>
      <c r="V2630" t="str">
        <f t="shared" si="207"/>
        <v>Senior</v>
      </c>
      <c r="W2630" t="str">
        <f t="shared" si="208"/>
        <v>Medium Risk</v>
      </c>
      <c r="X2630" t="str">
        <f t="shared" si="209"/>
        <v>Competitive</v>
      </c>
    </row>
    <row r="2631" spans="1:24" x14ac:dyDescent="0.3">
      <c r="A2631" t="s">
        <v>2699</v>
      </c>
      <c r="B2631" t="s">
        <v>20</v>
      </c>
      <c r="C2631">
        <v>27</v>
      </c>
      <c r="D2631" t="s">
        <v>47</v>
      </c>
      <c r="E2631" t="s">
        <v>40</v>
      </c>
      <c r="F2631" t="s">
        <v>41</v>
      </c>
      <c r="G2631" t="s">
        <v>79</v>
      </c>
      <c r="H2631" t="s">
        <v>67</v>
      </c>
      <c r="I2631" t="s">
        <v>96</v>
      </c>
      <c r="J2631" t="s">
        <v>44</v>
      </c>
      <c r="K2631">
        <v>14</v>
      </c>
      <c r="L2631">
        <v>64671</v>
      </c>
      <c r="M2631" t="s">
        <v>45</v>
      </c>
      <c r="N2631">
        <v>3</v>
      </c>
      <c r="O2631">
        <v>1</v>
      </c>
      <c r="P2631">
        <v>38</v>
      </c>
      <c r="Q2631">
        <v>3</v>
      </c>
      <c r="R2631" s="1">
        <v>40077</v>
      </c>
      <c r="S2631" t="s">
        <v>29</v>
      </c>
      <c r="T2631" t="str">
        <f t="shared" si="205"/>
        <v>Grade B</v>
      </c>
      <c r="U2631">
        <f t="shared" si="206"/>
        <v>2</v>
      </c>
      <c r="V2631" t="str">
        <f t="shared" si="207"/>
        <v>Senior</v>
      </c>
      <c r="W2631" t="str">
        <f t="shared" si="208"/>
        <v>Medium Risk</v>
      </c>
      <c r="X2631" t="str">
        <f t="shared" si="209"/>
        <v>Fair</v>
      </c>
    </row>
    <row r="2632" spans="1:24" x14ac:dyDescent="0.3">
      <c r="A2632" t="s">
        <v>2700</v>
      </c>
      <c r="B2632" t="s">
        <v>39</v>
      </c>
      <c r="C2632">
        <v>27</v>
      </c>
      <c r="D2632" t="s">
        <v>31</v>
      </c>
      <c r="E2632" t="s">
        <v>40</v>
      </c>
      <c r="F2632" t="s">
        <v>62</v>
      </c>
      <c r="G2632" t="s">
        <v>49</v>
      </c>
      <c r="H2632" t="s">
        <v>67</v>
      </c>
      <c r="I2632" t="s">
        <v>43</v>
      </c>
      <c r="J2632" t="s">
        <v>44</v>
      </c>
      <c r="K2632">
        <v>5</v>
      </c>
      <c r="L2632">
        <v>64009</v>
      </c>
      <c r="M2632" t="s">
        <v>36</v>
      </c>
      <c r="N2632">
        <v>3</v>
      </c>
      <c r="O2632">
        <v>3</v>
      </c>
      <c r="P2632">
        <v>57</v>
      </c>
      <c r="Q2632">
        <v>3</v>
      </c>
      <c r="R2632" s="1">
        <v>43113</v>
      </c>
      <c r="S2632" t="s">
        <v>29</v>
      </c>
      <c r="T2632" t="str">
        <f t="shared" si="205"/>
        <v>Grade B</v>
      </c>
      <c r="U2632">
        <f t="shared" si="206"/>
        <v>1</v>
      </c>
      <c r="V2632" t="str">
        <f t="shared" si="207"/>
        <v>Junior</v>
      </c>
      <c r="W2632" t="str">
        <f t="shared" si="208"/>
        <v>Medium Risk</v>
      </c>
      <c r="X2632" t="str">
        <f t="shared" si="209"/>
        <v>Fair</v>
      </c>
    </row>
    <row r="2633" spans="1:24" x14ac:dyDescent="0.3">
      <c r="A2633" t="s">
        <v>2701</v>
      </c>
      <c r="B2633" t="s">
        <v>39</v>
      </c>
      <c r="C2633">
        <v>28</v>
      </c>
      <c r="D2633" t="s">
        <v>88</v>
      </c>
      <c r="E2633" t="s">
        <v>48</v>
      </c>
      <c r="F2633" t="s">
        <v>41</v>
      </c>
      <c r="G2633" t="s">
        <v>66</v>
      </c>
      <c r="H2633" t="s">
        <v>25</v>
      </c>
      <c r="I2633" t="s">
        <v>35</v>
      </c>
      <c r="J2633" t="s">
        <v>27</v>
      </c>
      <c r="K2633">
        <v>13</v>
      </c>
      <c r="L2633">
        <v>54567</v>
      </c>
      <c r="M2633" t="s">
        <v>51</v>
      </c>
      <c r="N2633">
        <v>4</v>
      </c>
      <c r="O2633">
        <v>4</v>
      </c>
      <c r="P2633">
        <v>39</v>
      </c>
      <c r="Q2633">
        <v>1</v>
      </c>
      <c r="R2633" s="1">
        <v>40352</v>
      </c>
      <c r="S2633" t="s">
        <v>29</v>
      </c>
      <c r="T2633" t="str">
        <f t="shared" si="205"/>
        <v>Grade B</v>
      </c>
      <c r="U2633">
        <f t="shared" si="206"/>
        <v>4</v>
      </c>
      <c r="V2633" t="str">
        <f t="shared" si="207"/>
        <v>Senior</v>
      </c>
      <c r="W2633" t="str">
        <f t="shared" si="208"/>
        <v>Low Risk</v>
      </c>
      <c r="X2633" t="str">
        <f t="shared" si="209"/>
        <v>Fair</v>
      </c>
    </row>
    <row r="2634" spans="1:24" x14ac:dyDescent="0.3">
      <c r="A2634" t="s">
        <v>2702</v>
      </c>
      <c r="B2634" t="s">
        <v>39</v>
      </c>
      <c r="C2634">
        <v>28</v>
      </c>
      <c r="D2634" t="s">
        <v>88</v>
      </c>
      <c r="E2634" t="s">
        <v>48</v>
      </c>
      <c r="F2634" t="s">
        <v>53</v>
      </c>
      <c r="G2634" t="s">
        <v>24</v>
      </c>
      <c r="H2634" t="s">
        <v>67</v>
      </c>
      <c r="I2634" t="s">
        <v>50</v>
      </c>
      <c r="J2634" t="s">
        <v>44</v>
      </c>
      <c r="K2634">
        <v>5</v>
      </c>
      <c r="L2634">
        <v>81887</v>
      </c>
      <c r="M2634" t="s">
        <v>51</v>
      </c>
      <c r="N2634">
        <v>1</v>
      </c>
      <c r="O2634">
        <v>2</v>
      </c>
      <c r="P2634">
        <v>51</v>
      </c>
      <c r="Q2634">
        <v>0</v>
      </c>
      <c r="R2634" s="1">
        <v>43354</v>
      </c>
      <c r="S2634" t="s">
        <v>29</v>
      </c>
      <c r="T2634" t="str">
        <f t="shared" si="205"/>
        <v>Grade A</v>
      </c>
      <c r="U2634">
        <f t="shared" si="206"/>
        <v>4</v>
      </c>
      <c r="V2634" t="str">
        <f t="shared" si="207"/>
        <v>Junior</v>
      </c>
      <c r="W2634" t="str">
        <f t="shared" si="208"/>
        <v>Low Risk</v>
      </c>
      <c r="X2634" t="str">
        <f t="shared" si="209"/>
        <v>Competitive</v>
      </c>
    </row>
    <row r="2635" spans="1:24" x14ac:dyDescent="0.3">
      <c r="A2635" t="s">
        <v>2703</v>
      </c>
      <c r="B2635" t="s">
        <v>20</v>
      </c>
      <c r="C2635">
        <v>46</v>
      </c>
      <c r="D2635" t="s">
        <v>57</v>
      </c>
      <c r="E2635" t="s">
        <v>40</v>
      </c>
      <c r="F2635" t="s">
        <v>53</v>
      </c>
      <c r="G2635" t="s">
        <v>58</v>
      </c>
      <c r="H2635" t="s">
        <v>76</v>
      </c>
      <c r="I2635" t="s">
        <v>54</v>
      </c>
      <c r="J2635" t="s">
        <v>27</v>
      </c>
      <c r="K2635">
        <v>5</v>
      </c>
      <c r="L2635">
        <v>85794</v>
      </c>
      <c r="M2635" t="s">
        <v>51</v>
      </c>
      <c r="N2635">
        <v>3</v>
      </c>
      <c r="O2635">
        <v>4</v>
      </c>
      <c r="P2635">
        <v>15</v>
      </c>
      <c r="Q2635">
        <v>3</v>
      </c>
      <c r="R2635" s="1">
        <v>43342</v>
      </c>
      <c r="S2635" t="s">
        <v>29</v>
      </c>
      <c r="T2635" t="str">
        <f t="shared" si="205"/>
        <v>Grade A</v>
      </c>
      <c r="U2635">
        <f t="shared" si="206"/>
        <v>4</v>
      </c>
      <c r="V2635" t="str">
        <f t="shared" si="207"/>
        <v>Junior</v>
      </c>
      <c r="W2635" t="str">
        <f t="shared" si="208"/>
        <v>Low Risk</v>
      </c>
      <c r="X2635" t="str">
        <f t="shared" si="209"/>
        <v>Competitive</v>
      </c>
    </row>
    <row r="2636" spans="1:24" x14ac:dyDescent="0.3">
      <c r="A2636" t="s">
        <v>2704</v>
      </c>
      <c r="B2636" t="s">
        <v>20</v>
      </c>
      <c r="C2636">
        <v>49</v>
      </c>
      <c r="D2636" t="s">
        <v>47</v>
      </c>
      <c r="E2636" t="s">
        <v>48</v>
      </c>
      <c r="F2636" t="s">
        <v>75</v>
      </c>
      <c r="G2636" t="s">
        <v>66</v>
      </c>
      <c r="H2636" t="s">
        <v>83</v>
      </c>
      <c r="I2636" t="s">
        <v>68</v>
      </c>
      <c r="J2636" t="s">
        <v>60</v>
      </c>
      <c r="K2636">
        <v>8</v>
      </c>
      <c r="L2636">
        <v>56618</v>
      </c>
      <c r="M2636" t="s">
        <v>28</v>
      </c>
      <c r="N2636">
        <v>1</v>
      </c>
      <c r="O2636">
        <v>3</v>
      </c>
      <c r="P2636">
        <v>36</v>
      </c>
      <c r="Q2636">
        <v>3</v>
      </c>
      <c r="R2636" s="1">
        <v>42062</v>
      </c>
      <c r="S2636" t="s">
        <v>29</v>
      </c>
      <c r="T2636" t="str">
        <f t="shared" si="205"/>
        <v>Grade B</v>
      </c>
      <c r="U2636">
        <f t="shared" si="206"/>
        <v>3</v>
      </c>
      <c r="V2636" t="str">
        <f t="shared" si="207"/>
        <v>Mid Level</v>
      </c>
      <c r="W2636" t="str">
        <f t="shared" si="208"/>
        <v>Medium Risk</v>
      </c>
      <c r="X2636" t="str">
        <f t="shared" si="209"/>
        <v>Competitive</v>
      </c>
    </row>
    <row r="2637" spans="1:24" x14ac:dyDescent="0.3">
      <c r="A2637" t="s">
        <v>2705</v>
      </c>
      <c r="B2637" t="s">
        <v>39</v>
      </c>
      <c r="C2637">
        <v>27</v>
      </c>
      <c r="D2637" t="s">
        <v>88</v>
      </c>
      <c r="E2637" t="s">
        <v>40</v>
      </c>
      <c r="F2637" t="s">
        <v>23</v>
      </c>
      <c r="G2637" t="s">
        <v>49</v>
      </c>
      <c r="H2637" t="s">
        <v>34</v>
      </c>
      <c r="I2637" t="s">
        <v>59</v>
      </c>
      <c r="J2637" t="s">
        <v>60</v>
      </c>
      <c r="K2637">
        <v>4</v>
      </c>
      <c r="L2637">
        <v>49414</v>
      </c>
      <c r="M2637" t="s">
        <v>28</v>
      </c>
      <c r="N2637">
        <v>2</v>
      </c>
      <c r="O2637">
        <v>3</v>
      </c>
      <c r="P2637">
        <v>69</v>
      </c>
      <c r="Q2637">
        <v>3</v>
      </c>
      <c r="R2637" s="1">
        <v>43597</v>
      </c>
      <c r="S2637" t="s">
        <v>29</v>
      </c>
      <c r="T2637" t="str">
        <f t="shared" si="205"/>
        <v>Grade C</v>
      </c>
      <c r="U2637">
        <f t="shared" si="206"/>
        <v>3</v>
      </c>
      <c r="V2637" t="str">
        <f t="shared" si="207"/>
        <v>Junior</v>
      </c>
      <c r="W2637" t="str">
        <f t="shared" si="208"/>
        <v>Medium Risk</v>
      </c>
      <c r="X2637" t="str">
        <f t="shared" si="209"/>
        <v>Fair</v>
      </c>
    </row>
    <row r="2638" spans="1:24" x14ac:dyDescent="0.3">
      <c r="A2638" t="s">
        <v>2706</v>
      </c>
      <c r="B2638" t="s">
        <v>20</v>
      </c>
      <c r="C2638">
        <v>34</v>
      </c>
      <c r="D2638" t="s">
        <v>57</v>
      </c>
      <c r="E2638" t="s">
        <v>48</v>
      </c>
      <c r="F2638" t="s">
        <v>78</v>
      </c>
      <c r="G2638" t="s">
        <v>63</v>
      </c>
      <c r="H2638" t="s">
        <v>25</v>
      </c>
      <c r="I2638" t="s">
        <v>50</v>
      </c>
      <c r="J2638" t="s">
        <v>44</v>
      </c>
      <c r="K2638">
        <v>9</v>
      </c>
      <c r="L2638">
        <v>57541</v>
      </c>
      <c r="M2638" t="s">
        <v>51</v>
      </c>
      <c r="N2638">
        <v>2</v>
      </c>
      <c r="O2638">
        <v>1</v>
      </c>
      <c r="P2638">
        <v>64</v>
      </c>
      <c r="Q2638">
        <v>3</v>
      </c>
      <c r="R2638" s="1">
        <v>42006</v>
      </c>
      <c r="S2638" t="s">
        <v>37</v>
      </c>
      <c r="T2638" t="str">
        <f t="shared" si="205"/>
        <v>Grade B</v>
      </c>
      <c r="U2638">
        <f t="shared" si="206"/>
        <v>4</v>
      </c>
      <c r="V2638" t="str">
        <f t="shared" si="207"/>
        <v>Mid Level</v>
      </c>
      <c r="W2638" t="str">
        <f t="shared" si="208"/>
        <v>Already Left</v>
      </c>
      <c r="X2638" t="str">
        <f t="shared" si="209"/>
        <v>Fair</v>
      </c>
    </row>
    <row r="2639" spans="1:24" x14ac:dyDescent="0.3">
      <c r="A2639" t="s">
        <v>2707</v>
      </c>
      <c r="B2639" t="s">
        <v>20</v>
      </c>
      <c r="C2639">
        <v>32</v>
      </c>
      <c r="D2639" t="s">
        <v>31</v>
      </c>
      <c r="E2639" t="s">
        <v>22</v>
      </c>
      <c r="F2639" t="s">
        <v>23</v>
      </c>
      <c r="G2639" t="s">
        <v>79</v>
      </c>
      <c r="H2639" t="s">
        <v>76</v>
      </c>
      <c r="I2639" t="s">
        <v>50</v>
      </c>
      <c r="J2639" t="s">
        <v>44</v>
      </c>
      <c r="K2639">
        <v>14</v>
      </c>
      <c r="L2639">
        <v>63230</v>
      </c>
      <c r="M2639" t="s">
        <v>36</v>
      </c>
      <c r="N2639">
        <v>3</v>
      </c>
      <c r="O2639">
        <v>4</v>
      </c>
      <c r="P2639">
        <v>51</v>
      </c>
      <c r="Q2639">
        <v>0</v>
      </c>
      <c r="R2639" s="1">
        <v>40158</v>
      </c>
      <c r="S2639" t="s">
        <v>29</v>
      </c>
      <c r="T2639" t="str">
        <f t="shared" si="205"/>
        <v>Grade B</v>
      </c>
      <c r="U2639">
        <f t="shared" si="206"/>
        <v>1</v>
      </c>
      <c r="V2639" t="str">
        <f t="shared" si="207"/>
        <v>Senior</v>
      </c>
      <c r="W2639" t="str">
        <f t="shared" si="208"/>
        <v>Medium Risk</v>
      </c>
      <c r="X2639" t="str">
        <f t="shared" si="209"/>
        <v>Fair</v>
      </c>
    </row>
    <row r="2640" spans="1:24" x14ac:dyDescent="0.3">
      <c r="A2640" t="s">
        <v>2708</v>
      </c>
      <c r="B2640" t="s">
        <v>20</v>
      </c>
      <c r="C2640">
        <v>50</v>
      </c>
      <c r="D2640" t="s">
        <v>21</v>
      </c>
      <c r="E2640" t="s">
        <v>22</v>
      </c>
      <c r="F2640" t="s">
        <v>41</v>
      </c>
      <c r="G2640" t="s">
        <v>42</v>
      </c>
      <c r="H2640" t="s">
        <v>76</v>
      </c>
      <c r="I2640" t="s">
        <v>43</v>
      </c>
      <c r="J2640" t="s">
        <v>44</v>
      </c>
      <c r="K2640">
        <v>3</v>
      </c>
      <c r="L2640">
        <v>94305</v>
      </c>
      <c r="M2640" t="s">
        <v>28</v>
      </c>
      <c r="N2640">
        <v>1</v>
      </c>
      <c r="O2640">
        <v>1</v>
      </c>
      <c r="P2640">
        <v>17</v>
      </c>
      <c r="Q2640">
        <v>1</v>
      </c>
      <c r="R2640" s="1">
        <v>43885</v>
      </c>
      <c r="S2640" t="s">
        <v>29</v>
      </c>
      <c r="T2640" t="str">
        <f t="shared" si="205"/>
        <v>Grade A</v>
      </c>
      <c r="U2640">
        <f t="shared" si="206"/>
        <v>3</v>
      </c>
      <c r="V2640" t="str">
        <f t="shared" si="207"/>
        <v>Junior</v>
      </c>
      <c r="W2640" t="str">
        <f t="shared" si="208"/>
        <v>Medium Risk</v>
      </c>
      <c r="X2640" t="str">
        <f t="shared" si="209"/>
        <v>Competitive</v>
      </c>
    </row>
    <row r="2641" spans="1:24" x14ac:dyDescent="0.3">
      <c r="A2641" t="s">
        <v>2709</v>
      </c>
      <c r="B2641" t="s">
        <v>39</v>
      </c>
      <c r="C2641">
        <v>39</v>
      </c>
      <c r="D2641" t="s">
        <v>88</v>
      </c>
      <c r="E2641" t="s">
        <v>22</v>
      </c>
      <c r="F2641" t="s">
        <v>23</v>
      </c>
      <c r="G2641" t="s">
        <v>42</v>
      </c>
      <c r="H2641" t="s">
        <v>34</v>
      </c>
      <c r="I2641" t="s">
        <v>80</v>
      </c>
      <c r="J2641" t="s">
        <v>60</v>
      </c>
      <c r="K2641">
        <v>15</v>
      </c>
      <c r="L2641">
        <v>123434</v>
      </c>
      <c r="M2641" t="s">
        <v>45</v>
      </c>
      <c r="N2641">
        <v>2</v>
      </c>
      <c r="O2641">
        <v>3</v>
      </c>
      <c r="P2641">
        <v>63</v>
      </c>
      <c r="Q2641">
        <v>2</v>
      </c>
      <c r="R2641" s="1">
        <v>39584</v>
      </c>
      <c r="S2641" t="s">
        <v>29</v>
      </c>
      <c r="T2641" t="str">
        <f t="shared" si="205"/>
        <v>Grade A</v>
      </c>
      <c r="U2641">
        <f t="shared" si="206"/>
        <v>2</v>
      </c>
      <c r="V2641" t="str">
        <f t="shared" si="207"/>
        <v>Senior</v>
      </c>
      <c r="W2641" t="str">
        <f t="shared" si="208"/>
        <v>Medium Risk</v>
      </c>
      <c r="X2641" t="str">
        <f t="shared" si="209"/>
        <v>Fair</v>
      </c>
    </row>
    <row r="2642" spans="1:24" x14ac:dyDescent="0.3">
      <c r="A2642" t="s">
        <v>2710</v>
      </c>
      <c r="B2642" t="s">
        <v>39</v>
      </c>
      <c r="C2642">
        <v>54</v>
      </c>
      <c r="D2642" t="s">
        <v>21</v>
      </c>
      <c r="E2642" t="s">
        <v>48</v>
      </c>
      <c r="F2642" t="s">
        <v>75</v>
      </c>
      <c r="G2642" t="s">
        <v>58</v>
      </c>
      <c r="H2642" t="s">
        <v>76</v>
      </c>
      <c r="I2642" t="s">
        <v>35</v>
      </c>
      <c r="J2642" t="s">
        <v>27</v>
      </c>
      <c r="K2642">
        <v>7</v>
      </c>
      <c r="L2642">
        <v>94989</v>
      </c>
      <c r="M2642" t="s">
        <v>28</v>
      </c>
      <c r="N2642">
        <v>4</v>
      </c>
      <c r="O2642">
        <v>4</v>
      </c>
      <c r="P2642">
        <v>48</v>
      </c>
      <c r="Q2642">
        <v>0</v>
      </c>
      <c r="R2642" s="1">
        <v>42627</v>
      </c>
      <c r="S2642" t="s">
        <v>37</v>
      </c>
      <c r="T2642" t="str">
        <f t="shared" si="205"/>
        <v>Grade A</v>
      </c>
      <c r="U2642">
        <f t="shared" si="206"/>
        <v>3</v>
      </c>
      <c r="V2642" t="str">
        <f t="shared" si="207"/>
        <v>Mid Level</v>
      </c>
      <c r="W2642" t="str">
        <f t="shared" si="208"/>
        <v>Already Left</v>
      </c>
      <c r="X2642" t="str">
        <f t="shared" si="209"/>
        <v>Competitive</v>
      </c>
    </row>
    <row r="2643" spans="1:24" x14ac:dyDescent="0.3">
      <c r="A2643" t="s">
        <v>2711</v>
      </c>
      <c r="B2643" t="s">
        <v>39</v>
      </c>
      <c r="C2643">
        <v>35</v>
      </c>
      <c r="D2643" t="s">
        <v>57</v>
      </c>
      <c r="E2643" t="s">
        <v>40</v>
      </c>
      <c r="F2643" t="s">
        <v>78</v>
      </c>
      <c r="G2643" t="s">
        <v>58</v>
      </c>
      <c r="H2643" t="s">
        <v>25</v>
      </c>
      <c r="I2643" t="s">
        <v>72</v>
      </c>
      <c r="J2643" t="s">
        <v>73</v>
      </c>
      <c r="K2643">
        <v>11</v>
      </c>
      <c r="L2643">
        <v>114406</v>
      </c>
      <c r="M2643" t="s">
        <v>28</v>
      </c>
      <c r="N2643">
        <v>2</v>
      </c>
      <c r="O2643">
        <v>3</v>
      </c>
      <c r="P2643">
        <v>40</v>
      </c>
      <c r="Q2643">
        <v>3</v>
      </c>
      <c r="R2643" s="1">
        <v>40993</v>
      </c>
      <c r="S2643" t="s">
        <v>29</v>
      </c>
      <c r="T2643" t="str">
        <f t="shared" si="205"/>
        <v>Grade A</v>
      </c>
      <c r="U2643">
        <f t="shared" si="206"/>
        <v>3</v>
      </c>
      <c r="V2643" t="str">
        <f t="shared" si="207"/>
        <v>Senior</v>
      </c>
      <c r="W2643" t="str">
        <f t="shared" si="208"/>
        <v>Medium Risk</v>
      </c>
      <c r="X2643" t="str">
        <f t="shared" si="209"/>
        <v>Competitive</v>
      </c>
    </row>
    <row r="2644" spans="1:24" x14ac:dyDescent="0.3">
      <c r="A2644" t="s">
        <v>2712</v>
      </c>
      <c r="B2644" t="s">
        <v>39</v>
      </c>
      <c r="C2644">
        <v>37</v>
      </c>
      <c r="D2644" t="s">
        <v>57</v>
      </c>
      <c r="E2644" t="s">
        <v>22</v>
      </c>
      <c r="F2644" t="s">
        <v>53</v>
      </c>
      <c r="G2644" t="s">
        <v>42</v>
      </c>
      <c r="H2644" t="s">
        <v>76</v>
      </c>
      <c r="I2644" t="s">
        <v>26</v>
      </c>
      <c r="J2644" t="s">
        <v>27</v>
      </c>
      <c r="K2644">
        <v>1</v>
      </c>
      <c r="L2644">
        <v>89631</v>
      </c>
      <c r="M2644" t="s">
        <v>36</v>
      </c>
      <c r="N2644">
        <v>1</v>
      </c>
      <c r="O2644">
        <v>3</v>
      </c>
      <c r="P2644">
        <v>31</v>
      </c>
      <c r="Q2644">
        <v>0</v>
      </c>
      <c r="R2644" s="1">
        <v>44678</v>
      </c>
      <c r="S2644" t="s">
        <v>37</v>
      </c>
      <c r="T2644" t="str">
        <f t="shared" si="205"/>
        <v>Grade A</v>
      </c>
      <c r="U2644">
        <f t="shared" si="206"/>
        <v>1</v>
      </c>
      <c r="V2644" t="str">
        <f t="shared" si="207"/>
        <v>New Joiner</v>
      </c>
      <c r="W2644" t="str">
        <f t="shared" si="208"/>
        <v>Already Left</v>
      </c>
      <c r="X2644" t="str">
        <f t="shared" si="209"/>
        <v>Overpaid</v>
      </c>
    </row>
    <row r="2645" spans="1:24" x14ac:dyDescent="0.3">
      <c r="A2645" t="s">
        <v>2713</v>
      </c>
      <c r="B2645" t="s">
        <v>20</v>
      </c>
      <c r="C2645">
        <v>37</v>
      </c>
      <c r="D2645" t="s">
        <v>47</v>
      </c>
      <c r="E2645" t="s">
        <v>22</v>
      </c>
      <c r="F2645" t="s">
        <v>65</v>
      </c>
      <c r="G2645" t="s">
        <v>33</v>
      </c>
      <c r="H2645" t="s">
        <v>76</v>
      </c>
      <c r="I2645" t="s">
        <v>96</v>
      </c>
      <c r="J2645" t="s">
        <v>44</v>
      </c>
      <c r="K2645">
        <v>5</v>
      </c>
      <c r="L2645">
        <v>79470</v>
      </c>
      <c r="M2645" t="s">
        <v>28</v>
      </c>
      <c r="N2645">
        <v>4</v>
      </c>
      <c r="O2645">
        <v>2</v>
      </c>
      <c r="P2645">
        <v>67</v>
      </c>
      <c r="Q2645">
        <v>1</v>
      </c>
      <c r="R2645" s="1">
        <v>43326</v>
      </c>
      <c r="S2645" t="s">
        <v>29</v>
      </c>
      <c r="T2645" t="str">
        <f t="shared" si="205"/>
        <v>Grade B</v>
      </c>
      <c r="U2645">
        <f t="shared" si="206"/>
        <v>3</v>
      </c>
      <c r="V2645" t="str">
        <f t="shared" si="207"/>
        <v>Junior</v>
      </c>
      <c r="W2645" t="str">
        <f t="shared" si="208"/>
        <v>Medium Risk</v>
      </c>
      <c r="X2645" t="str">
        <f t="shared" si="209"/>
        <v>Competitive</v>
      </c>
    </row>
    <row r="2646" spans="1:24" x14ac:dyDescent="0.3">
      <c r="A2646" t="s">
        <v>2714</v>
      </c>
      <c r="B2646" t="s">
        <v>39</v>
      </c>
      <c r="C2646">
        <v>50</v>
      </c>
      <c r="D2646" t="s">
        <v>88</v>
      </c>
      <c r="E2646" t="s">
        <v>48</v>
      </c>
      <c r="F2646" t="s">
        <v>65</v>
      </c>
      <c r="G2646" t="s">
        <v>63</v>
      </c>
      <c r="H2646" t="s">
        <v>34</v>
      </c>
      <c r="I2646" t="s">
        <v>50</v>
      </c>
      <c r="J2646" t="s">
        <v>44</v>
      </c>
      <c r="K2646">
        <v>7</v>
      </c>
      <c r="L2646">
        <v>53419</v>
      </c>
      <c r="M2646" t="s">
        <v>36</v>
      </c>
      <c r="N2646">
        <v>4</v>
      </c>
      <c r="O2646">
        <v>3</v>
      </c>
      <c r="P2646">
        <v>11</v>
      </c>
      <c r="Q2646">
        <v>0</v>
      </c>
      <c r="R2646" s="1">
        <v>42579</v>
      </c>
      <c r="S2646" t="s">
        <v>29</v>
      </c>
      <c r="T2646" t="str">
        <f t="shared" si="205"/>
        <v>Grade B</v>
      </c>
      <c r="U2646">
        <f t="shared" si="206"/>
        <v>1</v>
      </c>
      <c r="V2646" t="str">
        <f t="shared" si="207"/>
        <v>Mid Level</v>
      </c>
      <c r="W2646" t="str">
        <f t="shared" si="208"/>
        <v>Medium Risk</v>
      </c>
      <c r="X2646" t="str">
        <f t="shared" si="209"/>
        <v>Fair</v>
      </c>
    </row>
    <row r="2647" spans="1:24" x14ac:dyDescent="0.3">
      <c r="A2647" t="s">
        <v>2715</v>
      </c>
      <c r="B2647" t="s">
        <v>20</v>
      </c>
      <c r="C2647">
        <v>54</v>
      </c>
      <c r="D2647" t="s">
        <v>31</v>
      </c>
      <c r="E2647" t="s">
        <v>48</v>
      </c>
      <c r="F2647" t="s">
        <v>78</v>
      </c>
      <c r="G2647" t="s">
        <v>63</v>
      </c>
      <c r="H2647" t="s">
        <v>76</v>
      </c>
      <c r="I2647" t="s">
        <v>72</v>
      </c>
      <c r="J2647" t="s">
        <v>73</v>
      </c>
      <c r="K2647">
        <v>7</v>
      </c>
      <c r="L2647">
        <v>53551</v>
      </c>
      <c r="M2647" t="s">
        <v>45</v>
      </c>
      <c r="N2647">
        <v>3</v>
      </c>
      <c r="O2647">
        <v>2</v>
      </c>
      <c r="P2647">
        <v>50</v>
      </c>
      <c r="Q2647">
        <v>2</v>
      </c>
      <c r="R2647" s="1">
        <v>42430</v>
      </c>
      <c r="S2647" t="s">
        <v>37</v>
      </c>
      <c r="T2647" t="str">
        <f t="shared" si="205"/>
        <v>Grade B</v>
      </c>
      <c r="U2647">
        <f t="shared" si="206"/>
        <v>2</v>
      </c>
      <c r="V2647" t="str">
        <f t="shared" si="207"/>
        <v>Mid Level</v>
      </c>
      <c r="W2647" t="str">
        <f t="shared" si="208"/>
        <v>Already Left</v>
      </c>
      <c r="X2647" t="str">
        <f t="shared" si="209"/>
        <v>Fair</v>
      </c>
    </row>
    <row r="2648" spans="1:24" x14ac:dyDescent="0.3">
      <c r="A2648" t="s">
        <v>2716</v>
      </c>
      <c r="B2648" t="s">
        <v>39</v>
      </c>
      <c r="C2648">
        <v>25</v>
      </c>
      <c r="D2648" t="s">
        <v>57</v>
      </c>
      <c r="E2648" t="s">
        <v>22</v>
      </c>
      <c r="F2648" t="s">
        <v>53</v>
      </c>
      <c r="G2648" t="s">
        <v>63</v>
      </c>
      <c r="H2648" t="s">
        <v>25</v>
      </c>
      <c r="I2648" t="s">
        <v>80</v>
      </c>
      <c r="J2648" t="s">
        <v>60</v>
      </c>
      <c r="K2648">
        <v>9</v>
      </c>
      <c r="L2648">
        <v>66169</v>
      </c>
      <c r="M2648" t="s">
        <v>45</v>
      </c>
      <c r="N2648">
        <v>2</v>
      </c>
      <c r="O2648">
        <v>4</v>
      </c>
      <c r="P2648">
        <v>70</v>
      </c>
      <c r="Q2648">
        <v>2</v>
      </c>
      <c r="R2648" s="1">
        <v>41918</v>
      </c>
      <c r="S2648" t="s">
        <v>29</v>
      </c>
      <c r="T2648" t="str">
        <f t="shared" si="205"/>
        <v>Grade B</v>
      </c>
      <c r="U2648">
        <f t="shared" si="206"/>
        <v>2</v>
      </c>
      <c r="V2648" t="str">
        <f t="shared" si="207"/>
        <v>Mid Level</v>
      </c>
      <c r="W2648" t="str">
        <f t="shared" si="208"/>
        <v>Medium Risk</v>
      </c>
      <c r="X2648" t="str">
        <f t="shared" si="209"/>
        <v>Fair</v>
      </c>
    </row>
    <row r="2649" spans="1:24" x14ac:dyDescent="0.3">
      <c r="A2649" t="s">
        <v>2717</v>
      </c>
      <c r="B2649" t="s">
        <v>39</v>
      </c>
      <c r="C2649">
        <v>50</v>
      </c>
      <c r="D2649" t="s">
        <v>47</v>
      </c>
      <c r="E2649" t="s">
        <v>40</v>
      </c>
      <c r="F2649" t="s">
        <v>75</v>
      </c>
      <c r="G2649" t="s">
        <v>42</v>
      </c>
      <c r="H2649" t="s">
        <v>83</v>
      </c>
      <c r="I2649" t="s">
        <v>50</v>
      </c>
      <c r="J2649" t="s">
        <v>44</v>
      </c>
      <c r="K2649">
        <v>6</v>
      </c>
      <c r="L2649">
        <v>100414</v>
      </c>
      <c r="M2649" t="s">
        <v>51</v>
      </c>
      <c r="N2649">
        <v>4</v>
      </c>
      <c r="O2649">
        <v>2</v>
      </c>
      <c r="P2649">
        <v>40</v>
      </c>
      <c r="Q2649">
        <v>1</v>
      </c>
      <c r="R2649" s="1">
        <v>42838</v>
      </c>
      <c r="S2649" t="s">
        <v>29</v>
      </c>
      <c r="T2649" t="str">
        <f t="shared" si="205"/>
        <v>Grade A</v>
      </c>
      <c r="U2649">
        <f t="shared" si="206"/>
        <v>4</v>
      </c>
      <c r="V2649" t="str">
        <f t="shared" si="207"/>
        <v>Mid Level</v>
      </c>
      <c r="W2649" t="str">
        <f t="shared" si="208"/>
        <v>Low Risk</v>
      </c>
      <c r="X2649" t="str">
        <f t="shared" si="209"/>
        <v>Competitive</v>
      </c>
    </row>
    <row r="2650" spans="1:24" x14ac:dyDescent="0.3">
      <c r="A2650" t="s">
        <v>2718</v>
      </c>
      <c r="B2650" t="s">
        <v>39</v>
      </c>
      <c r="C2650">
        <v>48</v>
      </c>
      <c r="D2650" t="s">
        <v>57</v>
      </c>
      <c r="E2650" t="s">
        <v>22</v>
      </c>
      <c r="F2650" t="s">
        <v>75</v>
      </c>
      <c r="G2650" t="s">
        <v>42</v>
      </c>
      <c r="H2650" t="s">
        <v>67</v>
      </c>
      <c r="I2650" t="s">
        <v>59</v>
      </c>
      <c r="J2650" t="s">
        <v>60</v>
      </c>
      <c r="K2650">
        <v>6</v>
      </c>
      <c r="L2650">
        <v>110867</v>
      </c>
      <c r="M2650" t="s">
        <v>28</v>
      </c>
      <c r="N2650">
        <v>1</v>
      </c>
      <c r="O2650">
        <v>2</v>
      </c>
      <c r="P2650">
        <v>56</v>
      </c>
      <c r="Q2650">
        <v>3</v>
      </c>
      <c r="R2650" s="1">
        <v>42887</v>
      </c>
      <c r="S2650" t="s">
        <v>29</v>
      </c>
      <c r="T2650" t="str">
        <f t="shared" si="205"/>
        <v>Grade A</v>
      </c>
      <c r="U2650">
        <f t="shared" si="206"/>
        <v>3</v>
      </c>
      <c r="V2650" t="str">
        <f t="shared" si="207"/>
        <v>Mid Level</v>
      </c>
      <c r="W2650" t="str">
        <f t="shared" si="208"/>
        <v>Medium Risk</v>
      </c>
      <c r="X2650" t="str">
        <f t="shared" si="209"/>
        <v>Competitive</v>
      </c>
    </row>
    <row r="2651" spans="1:24" x14ac:dyDescent="0.3">
      <c r="A2651" t="s">
        <v>2719</v>
      </c>
      <c r="B2651" t="s">
        <v>39</v>
      </c>
      <c r="C2651">
        <v>41</v>
      </c>
      <c r="D2651" t="s">
        <v>88</v>
      </c>
      <c r="E2651" t="s">
        <v>22</v>
      </c>
      <c r="F2651" t="s">
        <v>78</v>
      </c>
      <c r="G2651" t="s">
        <v>42</v>
      </c>
      <c r="H2651" t="s">
        <v>25</v>
      </c>
      <c r="I2651" t="s">
        <v>72</v>
      </c>
      <c r="J2651" t="s">
        <v>73</v>
      </c>
      <c r="K2651">
        <v>9</v>
      </c>
      <c r="L2651">
        <v>109578</v>
      </c>
      <c r="M2651" t="s">
        <v>51</v>
      </c>
      <c r="N2651">
        <v>4</v>
      </c>
      <c r="O2651">
        <v>2</v>
      </c>
      <c r="P2651">
        <v>71</v>
      </c>
      <c r="Q2651">
        <v>1</v>
      </c>
      <c r="R2651" s="1">
        <v>41674</v>
      </c>
      <c r="S2651" t="s">
        <v>29</v>
      </c>
      <c r="T2651" t="str">
        <f t="shared" si="205"/>
        <v>Grade A</v>
      </c>
      <c r="U2651">
        <f t="shared" si="206"/>
        <v>4</v>
      </c>
      <c r="V2651" t="str">
        <f t="shared" si="207"/>
        <v>Mid Level</v>
      </c>
      <c r="W2651" t="str">
        <f t="shared" si="208"/>
        <v>Low Risk</v>
      </c>
      <c r="X2651" t="str">
        <f t="shared" si="209"/>
        <v>Competitive</v>
      </c>
    </row>
    <row r="2652" spans="1:24" x14ac:dyDescent="0.3">
      <c r="A2652" t="s">
        <v>2720</v>
      </c>
      <c r="B2652" t="s">
        <v>20</v>
      </c>
      <c r="C2652">
        <v>46</v>
      </c>
      <c r="D2652" t="s">
        <v>21</v>
      </c>
      <c r="E2652" t="s">
        <v>40</v>
      </c>
      <c r="F2652" t="s">
        <v>23</v>
      </c>
      <c r="G2652" t="s">
        <v>79</v>
      </c>
      <c r="H2652" t="s">
        <v>76</v>
      </c>
      <c r="I2652" t="s">
        <v>72</v>
      </c>
      <c r="J2652" t="s">
        <v>73</v>
      </c>
      <c r="K2652">
        <v>1</v>
      </c>
      <c r="L2652">
        <v>36870</v>
      </c>
      <c r="M2652" t="s">
        <v>51</v>
      </c>
      <c r="N2652">
        <v>4</v>
      </c>
      <c r="O2652">
        <v>1</v>
      </c>
      <c r="P2652">
        <v>46</v>
      </c>
      <c r="Q2652">
        <v>0</v>
      </c>
      <c r="R2652" s="1">
        <v>44716</v>
      </c>
      <c r="S2652" t="s">
        <v>29</v>
      </c>
      <c r="T2652" t="str">
        <f t="shared" si="205"/>
        <v>Grade C</v>
      </c>
      <c r="U2652">
        <f t="shared" si="206"/>
        <v>4</v>
      </c>
      <c r="V2652" t="str">
        <f t="shared" si="207"/>
        <v>New Joiner</v>
      </c>
      <c r="W2652" t="str">
        <f t="shared" si="208"/>
        <v>Low Risk</v>
      </c>
      <c r="X2652" t="str">
        <f t="shared" si="209"/>
        <v>Fair</v>
      </c>
    </row>
    <row r="2653" spans="1:24" x14ac:dyDescent="0.3">
      <c r="A2653" t="s">
        <v>2721</v>
      </c>
      <c r="B2653" t="s">
        <v>20</v>
      </c>
      <c r="C2653">
        <v>41</v>
      </c>
      <c r="D2653" t="s">
        <v>31</v>
      </c>
      <c r="E2653" t="s">
        <v>48</v>
      </c>
      <c r="F2653" t="s">
        <v>41</v>
      </c>
      <c r="G2653" t="s">
        <v>79</v>
      </c>
      <c r="H2653" t="s">
        <v>83</v>
      </c>
      <c r="I2653" t="s">
        <v>54</v>
      </c>
      <c r="J2653" t="s">
        <v>27</v>
      </c>
      <c r="K2653">
        <v>10</v>
      </c>
      <c r="L2653">
        <v>64080</v>
      </c>
      <c r="M2653" t="s">
        <v>51</v>
      </c>
      <c r="N2653">
        <v>2</v>
      </c>
      <c r="O2653">
        <v>1</v>
      </c>
      <c r="P2653">
        <v>16</v>
      </c>
      <c r="Q2653">
        <v>0</v>
      </c>
      <c r="R2653" s="1">
        <v>41460</v>
      </c>
      <c r="S2653" t="s">
        <v>29</v>
      </c>
      <c r="T2653" t="str">
        <f t="shared" si="205"/>
        <v>Grade B</v>
      </c>
      <c r="U2653">
        <f t="shared" si="206"/>
        <v>4</v>
      </c>
      <c r="V2653" t="str">
        <f t="shared" si="207"/>
        <v>Mid Level</v>
      </c>
      <c r="W2653" t="str">
        <f t="shared" si="208"/>
        <v>Low Risk</v>
      </c>
      <c r="X2653" t="str">
        <f t="shared" si="209"/>
        <v>Fair</v>
      </c>
    </row>
    <row r="2654" spans="1:24" x14ac:dyDescent="0.3">
      <c r="A2654" t="s">
        <v>2722</v>
      </c>
      <c r="B2654" t="s">
        <v>20</v>
      </c>
      <c r="C2654">
        <v>33</v>
      </c>
      <c r="D2654" t="s">
        <v>47</v>
      </c>
      <c r="E2654" t="s">
        <v>48</v>
      </c>
      <c r="F2654" t="s">
        <v>62</v>
      </c>
      <c r="G2654" t="s">
        <v>33</v>
      </c>
      <c r="H2654" t="s">
        <v>76</v>
      </c>
      <c r="I2654" t="s">
        <v>96</v>
      </c>
      <c r="J2654" t="s">
        <v>44</v>
      </c>
      <c r="K2654">
        <v>11</v>
      </c>
      <c r="L2654">
        <v>81768</v>
      </c>
      <c r="M2654" t="s">
        <v>28</v>
      </c>
      <c r="N2654">
        <v>4</v>
      </c>
      <c r="O2654">
        <v>2</v>
      </c>
      <c r="P2654">
        <v>17</v>
      </c>
      <c r="Q2654">
        <v>3</v>
      </c>
      <c r="R2654" s="1">
        <v>41275</v>
      </c>
      <c r="S2654" t="s">
        <v>29</v>
      </c>
      <c r="T2654" t="str">
        <f t="shared" si="205"/>
        <v>Grade A</v>
      </c>
      <c r="U2654">
        <f t="shared" si="206"/>
        <v>3</v>
      </c>
      <c r="V2654" t="str">
        <f t="shared" si="207"/>
        <v>Senior</v>
      </c>
      <c r="W2654" t="str">
        <f t="shared" si="208"/>
        <v>Medium Risk</v>
      </c>
      <c r="X2654" t="str">
        <f t="shared" si="209"/>
        <v>Competitive</v>
      </c>
    </row>
    <row r="2655" spans="1:24" x14ac:dyDescent="0.3">
      <c r="A2655" t="s">
        <v>2723</v>
      </c>
      <c r="B2655" t="s">
        <v>20</v>
      </c>
      <c r="C2655">
        <v>25</v>
      </c>
      <c r="D2655" t="s">
        <v>88</v>
      </c>
      <c r="E2655" t="s">
        <v>40</v>
      </c>
      <c r="F2655" t="s">
        <v>53</v>
      </c>
      <c r="G2655" t="s">
        <v>66</v>
      </c>
      <c r="H2655" t="s">
        <v>83</v>
      </c>
      <c r="I2655" t="s">
        <v>59</v>
      </c>
      <c r="J2655" t="s">
        <v>60</v>
      </c>
      <c r="K2655">
        <v>7</v>
      </c>
      <c r="L2655">
        <v>52102</v>
      </c>
      <c r="M2655" t="s">
        <v>36</v>
      </c>
      <c r="N2655">
        <v>4</v>
      </c>
      <c r="O2655">
        <v>1</v>
      </c>
      <c r="P2655">
        <v>25</v>
      </c>
      <c r="Q2655">
        <v>3</v>
      </c>
      <c r="R2655" s="1">
        <v>42714</v>
      </c>
      <c r="S2655" t="s">
        <v>37</v>
      </c>
      <c r="T2655" t="str">
        <f t="shared" si="205"/>
        <v>Grade B</v>
      </c>
      <c r="U2655">
        <f t="shared" si="206"/>
        <v>1</v>
      </c>
      <c r="V2655" t="str">
        <f t="shared" si="207"/>
        <v>Mid Level</v>
      </c>
      <c r="W2655" t="str">
        <f t="shared" si="208"/>
        <v>Already Left</v>
      </c>
      <c r="X2655" t="str">
        <f t="shared" si="209"/>
        <v>Fair</v>
      </c>
    </row>
    <row r="2656" spans="1:24" x14ac:dyDescent="0.3">
      <c r="A2656" t="s">
        <v>2724</v>
      </c>
      <c r="B2656" t="s">
        <v>20</v>
      </c>
      <c r="C2656">
        <v>39</v>
      </c>
      <c r="D2656" t="s">
        <v>47</v>
      </c>
      <c r="E2656" t="s">
        <v>22</v>
      </c>
      <c r="F2656" t="s">
        <v>32</v>
      </c>
      <c r="G2656" t="s">
        <v>24</v>
      </c>
      <c r="H2656" t="s">
        <v>25</v>
      </c>
      <c r="I2656" t="s">
        <v>26</v>
      </c>
      <c r="J2656" t="s">
        <v>27</v>
      </c>
      <c r="K2656">
        <v>11</v>
      </c>
      <c r="L2656">
        <v>98717</v>
      </c>
      <c r="M2656" t="s">
        <v>51</v>
      </c>
      <c r="N2656">
        <v>4</v>
      </c>
      <c r="O2656">
        <v>4</v>
      </c>
      <c r="P2656">
        <v>42</v>
      </c>
      <c r="Q2656">
        <v>1</v>
      </c>
      <c r="R2656" s="1">
        <v>41266</v>
      </c>
      <c r="S2656" t="s">
        <v>37</v>
      </c>
      <c r="T2656" t="str">
        <f t="shared" si="205"/>
        <v>Grade A</v>
      </c>
      <c r="U2656">
        <f t="shared" si="206"/>
        <v>4</v>
      </c>
      <c r="V2656" t="str">
        <f t="shared" si="207"/>
        <v>Senior</v>
      </c>
      <c r="W2656" t="str">
        <f t="shared" si="208"/>
        <v>Already Left</v>
      </c>
      <c r="X2656" t="str">
        <f t="shared" si="209"/>
        <v>Competitive</v>
      </c>
    </row>
    <row r="2657" spans="1:24" x14ac:dyDescent="0.3">
      <c r="A2657" t="s">
        <v>2725</v>
      </c>
      <c r="B2657" t="s">
        <v>39</v>
      </c>
      <c r="C2657">
        <v>40</v>
      </c>
      <c r="D2657" t="s">
        <v>57</v>
      </c>
      <c r="E2657" t="s">
        <v>48</v>
      </c>
      <c r="F2657" t="s">
        <v>62</v>
      </c>
      <c r="G2657" t="s">
        <v>63</v>
      </c>
      <c r="H2657" t="s">
        <v>76</v>
      </c>
      <c r="I2657" t="s">
        <v>80</v>
      </c>
      <c r="J2657" t="s">
        <v>60</v>
      </c>
      <c r="K2657">
        <v>3</v>
      </c>
      <c r="L2657">
        <v>52669</v>
      </c>
      <c r="M2657" t="s">
        <v>45</v>
      </c>
      <c r="N2657">
        <v>3</v>
      </c>
      <c r="O2657">
        <v>1</v>
      </c>
      <c r="P2657">
        <v>20</v>
      </c>
      <c r="Q2657">
        <v>3</v>
      </c>
      <c r="R2657" s="1">
        <v>44034</v>
      </c>
      <c r="S2657" t="s">
        <v>37</v>
      </c>
      <c r="T2657" t="str">
        <f t="shared" si="205"/>
        <v>Grade B</v>
      </c>
      <c r="U2657">
        <f t="shared" si="206"/>
        <v>2</v>
      </c>
      <c r="V2657" t="str">
        <f t="shared" si="207"/>
        <v>Junior</v>
      </c>
      <c r="W2657" t="str">
        <f t="shared" si="208"/>
        <v>Already Left</v>
      </c>
      <c r="X2657" t="str">
        <f t="shared" si="209"/>
        <v>Fair</v>
      </c>
    </row>
    <row r="2658" spans="1:24" x14ac:dyDescent="0.3">
      <c r="A2658" t="s">
        <v>2726</v>
      </c>
      <c r="B2658" t="s">
        <v>20</v>
      </c>
      <c r="C2658">
        <v>43</v>
      </c>
      <c r="D2658" t="s">
        <v>31</v>
      </c>
      <c r="E2658" t="s">
        <v>40</v>
      </c>
      <c r="F2658" t="s">
        <v>53</v>
      </c>
      <c r="G2658" t="s">
        <v>66</v>
      </c>
      <c r="H2658" t="s">
        <v>34</v>
      </c>
      <c r="I2658" t="s">
        <v>50</v>
      </c>
      <c r="J2658" t="s">
        <v>44</v>
      </c>
      <c r="K2658">
        <v>12</v>
      </c>
      <c r="L2658">
        <v>55299</v>
      </c>
      <c r="M2658" t="s">
        <v>45</v>
      </c>
      <c r="N2658">
        <v>4</v>
      </c>
      <c r="O2658">
        <v>3</v>
      </c>
      <c r="P2658">
        <v>33</v>
      </c>
      <c r="Q2658">
        <v>0</v>
      </c>
      <c r="R2658" s="1">
        <v>40637</v>
      </c>
      <c r="S2658" t="s">
        <v>29</v>
      </c>
      <c r="T2658" t="str">
        <f t="shared" si="205"/>
        <v>Grade B</v>
      </c>
      <c r="U2658">
        <f t="shared" si="206"/>
        <v>2</v>
      </c>
      <c r="V2658" t="str">
        <f t="shared" si="207"/>
        <v>Senior</v>
      </c>
      <c r="W2658" t="str">
        <f t="shared" si="208"/>
        <v>Medium Risk</v>
      </c>
      <c r="X2658" t="str">
        <f t="shared" si="209"/>
        <v>Fair</v>
      </c>
    </row>
    <row r="2659" spans="1:24" x14ac:dyDescent="0.3">
      <c r="A2659" t="s">
        <v>2727</v>
      </c>
      <c r="B2659" t="s">
        <v>20</v>
      </c>
      <c r="C2659">
        <v>39</v>
      </c>
      <c r="D2659" t="s">
        <v>47</v>
      </c>
      <c r="E2659" t="s">
        <v>22</v>
      </c>
      <c r="F2659" t="s">
        <v>41</v>
      </c>
      <c r="G2659" t="s">
        <v>24</v>
      </c>
      <c r="H2659" t="s">
        <v>25</v>
      </c>
      <c r="I2659" t="s">
        <v>80</v>
      </c>
      <c r="J2659" t="s">
        <v>60</v>
      </c>
      <c r="K2659">
        <v>3</v>
      </c>
      <c r="L2659">
        <v>78484</v>
      </c>
      <c r="M2659" t="s">
        <v>45</v>
      </c>
      <c r="N2659">
        <v>2</v>
      </c>
      <c r="O2659">
        <v>2</v>
      </c>
      <c r="P2659">
        <v>73</v>
      </c>
      <c r="Q2659">
        <v>3</v>
      </c>
      <c r="R2659" s="1">
        <v>44147</v>
      </c>
      <c r="S2659" t="s">
        <v>37</v>
      </c>
      <c r="T2659" t="str">
        <f t="shared" si="205"/>
        <v>Grade B</v>
      </c>
      <c r="U2659">
        <f t="shared" si="206"/>
        <v>2</v>
      </c>
      <c r="V2659" t="str">
        <f t="shared" si="207"/>
        <v>Junior</v>
      </c>
      <c r="W2659" t="str">
        <f t="shared" si="208"/>
        <v>Already Left</v>
      </c>
      <c r="X2659" t="str">
        <f t="shared" si="209"/>
        <v>Fair</v>
      </c>
    </row>
    <row r="2660" spans="1:24" x14ac:dyDescent="0.3">
      <c r="A2660" t="s">
        <v>2728</v>
      </c>
      <c r="B2660" t="s">
        <v>20</v>
      </c>
      <c r="C2660">
        <v>55</v>
      </c>
      <c r="D2660" t="s">
        <v>57</v>
      </c>
      <c r="E2660" t="s">
        <v>48</v>
      </c>
      <c r="F2660" t="s">
        <v>62</v>
      </c>
      <c r="G2660" t="s">
        <v>24</v>
      </c>
      <c r="H2660" t="s">
        <v>25</v>
      </c>
      <c r="I2660" t="s">
        <v>80</v>
      </c>
      <c r="J2660" t="s">
        <v>60</v>
      </c>
      <c r="K2660">
        <v>4</v>
      </c>
      <c r="L2660">
        <v>92436</v>
      </c>
      <c r="M2660" t="s">
        <v>28</v>
      </c>
      <c r="N2660">
        <v>3</v>
      </c>
      <c r="O2660">
        <v>1</v>
      </c>
      <c r="P2660">
        <v>47</v>
      </c>
      <c r="Q2660">
        <v>3</v>
      </c>
      <c r="R2660" s="1">
        <v>43656</v>
      </c>
      <c r="S2660" t="s">
        <v>29</v>
      </c>
      <c r="T2660" t="str">
        <f t="shared" si="205"/>
        <v>Grade A</v>
      </c>
      <c r="U2660">
        <f t="shared" si="206"/>
        <v>3</v>
      </c>
      <c r="V2660" t="str">
        <f t="shared" si="207"/>
        <v>Junior</v>
      </c>
      <c r="W2660" t="str">
        <f t="shared" si="208"/>
        <v>Medium Risk</v>
      </c>
      <c r="X2660" t="str">
        <f t="shared" si="209"/>
        <v>Competitive</v>
      </c>
    </row>
    <row r="2661" spans="1:24" x14ac:dyDescent="0.3">
      <c r="A2661" t="s">
        <v>2729</v>
      </c>
      <c r="B2661" t="s">
        <v>39</v>
      </c>
      <c r="C2661">
        <v>40</v>
      </c>
      <c r="D2661" t="s">
        <v>21</v>
      </c>
      <c r="E2661" t="s">
        <v>40</v>
      </c>
      <c r="F2661" t="s">
        <v>53</v>
      </c>
      <c r="G2661" t="s">
        <v>42</v>
      </c>
      <c r="H2661" t="s">
        <v>25</v>
      </c>
      <c r="I2661" t="s">
        <v>96</v>
      </c>
      <c r="J2661" t="s">
        <v>44</v>
      </c>
      <c r="K2661">
        <v>12</v>
      </c>
      <c r="L2661">
        <v>124755</v>
      </c>
      <c r="M2661" t="s">
        <v>36</v>
      </c>
      <c r="N2661">
        <v>1</v>
      </c>
      <c r="O2661">
        <v>4</v>
      </c>
      <c r="P2661">
        <v>67</v>
      </c>
      <c r="Q2661">
        <v>0</v>
      </c>
      <c r="R2661" s="1">
        <v>40651</v>
      </c>
      <c r="S2661" t="s">
        <v>29</v>
      </c>
      <c r="T2661" t="str">
        <f t="shared" si="205"/>
        <v>Grade A</v>
      </c>
      <c r="U2661">
        <f t="shared" si="206"/>
        <v>1</v>
      </c>
      <c r="V2661" t="str">
        <f t="shared" si="207"/>
        <v>Senior</v>
      </c>
      <c r="W2661" t="str">
        <f t="shared" si="208"/>
        <v>Medium Risk</v>
      </c>
      <c r="X2661" t="str">
        <f t="shared" si="209"/>
        <v>Overpaid</v>
      </c>
    </row>
    <row r="2662" spans="1:24" x14ac:dyDescent="0.3">
      <c r="A2662" t="s">
        <v>2730</v>
      </c>
      <c r="B2662" t="s">
        <v>39</v>
      </c>
      <c r="C2662">
        <v>37</v>
      </c>
      <c r="D2662" t="s">
        <v>21</v>
      </c>
      <c r="E2662" t="s">
        <v>48</v>
      </c>
      <c r="F2662" t="s">
        <v>23</v>
      </c>
      <c r="G2662" t="s">
        <v>42</v>
      </c>
      <c r="H2662" t="s">
        <v>34</v>
      </c>
      <c r="I2662" t="s">
        <v>50</v>
      </c>
      <c r="J2662" t="s">
        <v>44</v>
      </c>
      <c r="K2662">
        <v>9</v>
      </c>
      <c r="L2662">
        <v>112554</v>
      </c>
      <c r="M2662" t="s">
        <v>36</v>
      </c>
      <c r="N2662">
        <v>3</v>
      </c>
      <c r="O2662">
        <v>2</v>
      </c>
      <c r="P2662">
        <v>25</v>
      </c>
      <c r="Q2662">
        <v>1</v>
      </c>
      <c r="R2662" s="1">
        <v>41747</v>
      </c>
      <c r="S2662" t="s">
        <v>29</v>
      </c>
      <c r="T2662" t="str">
        <f t="shared" si="205"/>
        <v>Grade A</v>
      </c>
      <c r="U2662">
        <f t="shared" si="206"/>
        <v>1</v>
      </c>
      <c r="V2662" t="str">
        <f t="shared" si="207"/>
        <v>Mid Level</v>
      </c>
      <c r="W2662" t="str">
        <f t="shared" si="208"/>
        <v>Medium Risk</v>
      </c>
      <c r="X2662" t="str">
        <f t="shared" si="209"/>
        <v>Overpaid</v>
      </c>
    </row>
    <row r="2663" spans="1:24" x14ac:dyDescent="0.3">
      <c r="A2663" t="s">
        <v>2731</v>
      </c>
      <c r="B2663" t="s">
        <v>39</v>
      </c>
      <c r="C2663">
        <v>40</v>
      </c>
      <c r="D2663" t="s">
        <v>88</v>
      </c>
      <c r="E2663" t="s">
        <v>40</v>
      </c>
      <c r="F2663" t="s">
        <v>53</v>
      </c>
      <c r="G2663" t="s">
        <v>66</v>
      </c>
      <c r="H2663" t="s">
        <v>76</v>
      </c>
      <c r="I2663" t="s">
        <v>35</v>
      </c>
      <c r="J2663" t="s">
        <v>27</v>
      </c>
      <c r="K2663">
        <v>9</v>
      </c>
      <c r="L2663">
        <v>62806</v>
      </c>
      <c r="M2663" t="s">
        <v>45</v>
      </c>
      <c r="N2663">
        <v>1</v>
      </c>
      <c r="O2663">
        <v>1</v>
      </c>
      <c r="P2663">
        <v>53</v>
      </c>
      <c r="Q2663">
        <v>2</v>
      </c>
      <c r="R2663" s="1">
        <v>41982</v>
      </c>
      <c r="S2663" t="s">
        <v>29</v>
      </c>
      <c r="T2663" t="str">
        <f t="shared" si="205"/>
        <v>Grade B</v>
      </c>
      <c r="U2663">
        <f t="shared" si="206"/>
        <v>2</v>
      </c>
      <c r="V2663" t="str">
        <f t="shared" si="207"/>
        <v>Mid Level</v>
      </c>
      <c r="W2663" t="str">
        <f t="shared" si="208"/>
        <v>Medium Risk</v>
      </c>
      <c r="X2663" t="str">
        <f t="shared" si="209"/>
        <v>Fair</v>
      </c>
    </row>
    <row r="2664" spans="1:24" x14ac:dyDescent="0.3">
      <c r="A2664" t="s">
        <v>2732</v>
      </c>
      <c r="B2664" t="s">
        <v>39</v>
      </c>
      <c r="C2664">
        <v>31</v>
      </c>
      <c r="D2664" t="s">
        <v>47</v>
      </c>
      <c r="E2664" t="s">
        <v>48</v>
      </c>
      <c r="F2664" t="s">
        <v>41</v>
      </c>
      <c r="G2664" t="s">
        <v>42</v>
      </c>
      <c r="H2664" t="s">
        <v>25</v>
      </c>
      <c r="I2664" t="s">
        <v>96</v>
      </c>
      <c r="J2664" t="s">
        <v>44</v>
      </c>
      <c r="K2664">
        <v>4</v>
      </c>
      <c r="L2664">
        <v>104493</v>
      </c>
      <c r="M2664" t="s">
        <v>45</v>
      </c>
      <c r="N2664">
        <v>2</v>
      </c>
      <c r="O2664">
        <v>3</v>
      </c>
      <c r="P2664">
        <v>45</v>
      </c>
      <c r="Q2664">
        <v>0</v>
      </c>
      <c r="R2664" s="1">
        <v>43653</v>
      </c>
      <c r="S2664" t="s">
        <v>29</v>
      </c>
      <c r="T2664" t="str">
        <f t="shared" si="205"/>
        <v>Grade A</v>
      </c>
      <c r="U2664">
        <f t="shared" si="206"/>
        <v>2</v>
      </c>
      <c r="V2664" t="str">
        <f t="shared" si="207"/>
        <v>Junior</v>
      </c>
      <c r="W2664" t="str">
        <f t="shared" si="208"/>
        <v>Medium Risk</v>
      </c>
      <c r="X2664" t="str">
        <f t="shared" si="209"/>
        <v>Fair</v>
      </c>
    </row>
    <row r="2665" spans="1:24" x14ac:dyDescent="0.3">
      <c r="A2665" t="s">
        <v>2733</v>
      </c>
      <c r="B2665" t="s">
        <v>20</v>
      </c>
      <c r="C2665">
        <v>40</v>
      </c>
      <c r="D2665" t="s">
        <v>47</v>
      </c>
      <c r="E2665" t="s">
        <v>48</v>
      </c>
      <c r="F2665" t="s">
        <v>23</v>
      </c>
      <c r="G2665" t="s">
        <v>49</v>
      </c>
      <c r="H2665" t="s">
        <v>34</v>
      </c>
      <c r="I2665" t="s">
        <v>96</v>
      </c>
      <c r="J2665" t="s">
        <v>44</v>
      </c>
      <c r="K2665">
        <v>7</v>
      </c>
      <c r="L2665">
        <v>56330</v>
      </c>
      <c r="M2665" t="s">
        <v>51</v>
      </c>
      <c r="N2665">
        <v>4</v>
      </c>
      <c r="O2665">
        <v>3</v>
      </c>
      <c r="P2665">
        <v>51</v>
      </c>
      <c r="Q2665">
        <v>0</v>
      </c>
      <c r="R2665" s="1">
        <v>42435</v>
      </c>
      <c r="S2665" t="s">
        <v>29</v>
      </c>
      <c r="T2665" t="str">
        <f t="shared" si="205"/>
        <v>Grade B</v>
      </c>
      <c r="U2665">
        <f t="shared" si="206"/>
        <v>4</v>
      </c>
      <c r="V2665" t="str">
        <f t="shared" si="207"/>
        <v>Mid Level</v>
      </c>
      <c r="W2665" t="str">
        <f t="shared" si="208"/>
        <v>Low Risk</v>
      </c>
      <c r="X2665" t="str">
        <f t="shared" si="209"/>
        <v>Fair</v>
      </c>
    </row>
    <row r="2666" spans="1:24" x14ac:dyDescent="0.3">
      <c r="A2666" t="s">
        <v>2734</v>
      </c>
      <c r="B2666" t="s">
        <v>39</v>
      </c>
      <c r="C2666">
        <v>47</v>
      </c>
      <c r="D2666" t="s">
        <v>31</v>
      </c>
      <c r="E2666" t="s">
        <v>40</v>
      </c>
      <c r="F2666" t="s">
        <v>32</v>
      </c>
      <c r="G2666" t="s">
        <v>24</v>
      </c>
      <c r="H2666" t="s">
        <v>83</v>
      </c>
      <c r="I2666" t="s">
        <v>96</v>
      </c>
      <c r="J2666" t="s">
        <v>44</v>
      </c>
      <c r="K2666">
        <v>9</v>
      </c>
      <c r="L2666">
        <v>85402</v>
      </c>
      <c r="M2666" t="s">
        <v>28</v>
      </c>
      <c r="N2666">
        <v>2</v>
      </c>
      <c r="O2666">
        <v>1</v>
      </c>
      <c r="P2666">
        <v>75</v>
      </c>
      <c r="Q2666">
        <v>0</v>
      </c>
      <c r="R2666" s="1">
        <v>41971</v>
      </c>
      <c r="S2666" t="s">
        <v>37</v>
      </c>
      <c r="T2666" t="str">
        <f t="shared" si="205"/>
        <v>Grade A</v>
      </c>
      <c r="U2666">
        <f t="shared" si="206"/>
        <v>3</v>
      </c>
      <c r="V2666" t="str">
        <f t="shared" si="207"/>
        <v>Mid Level</v>
      </c>
      <c r="W2666" t="str">
        <f t="shared" si="208"/>
        <v>Already Left</v>
      </c>
      <c r="X2666" t="str">
        <f t="shared" si="209"/>
        <v>Competitive</v>
      </c>
    </row>
    <row r="2667" spans="1:24" x14ac:dyDescent="0.3">
      <c r="A2667" t="s">
        <v>2735</v>
      </c>
      <c r="B2667" t="s">
        <v>39</v>
      </c>
      <c r="C2667">
        <v>45</v>
      </c>
      <c r="D2667" t="s">
        <v>21</v>
      </c>
      <c r="E2667" t="s">
        <v>48</v>
      </c>
      <c r="F2667" t="s">
        <v>62</v>
      </c>
      <c r="G2667" t="s">
        <v>49</v>
      </c>
      <c r="H2667" t="s">
        <v>25</v>
      </c>
      <c r="I2667" t="s">
        <v>72</v>
      </c>
      <c r="J2667" t="s">
        <v>73</v>
      </c>
      <c r="K2667">
        <v>9</v>
      </c>
      <c r="L2667">
        <v>73217</v>
      </c>
      <c r="M2667" t="s">
        <v>36</v>
      </c>
      <c r="N2667">
        <v>1</v>
      </c>
      <c r="O2667">
        <v>3</v>
      </c>
      <c r="P2667">
        <v>12</v>
      </c>
      <c r="Q2667">
        <v>3</v>
      </c>
      <c r="R2667" s="1">
        <v>41758</v>
      </c>
      <c r="S2667" t="s">
        <v>37</v>
      </c>
      <c r="T2667" t="str">
        <f t="shared" si="205"/>
        <v>Grade B</v>
      </c>
      <c r="U2667">
        <f t="shared" si="206"/>
        <v>1</v>
      </c>
      <c r="V2667" t="str">
        <f t="shared" si="207"/>
        <v>Mid Level</v>
      </c>
      <c r="W2667" t="str">
        <f t="shared" si="208"/>
        <v>Already Left</v>
      </c>
      <c r="X2667" t="str">
        <f t="shared" si="209"/>
        <v>Fair</v>
      </c>
    </row>
    <row r="2668" spans="1:24" x14ac:dyDescent="0.3">
      <c r="A2668" t="s">
        <v>2736</v>
      </c>
      <c r="B2668" t="s">
        <v>39</v>
      </c>
      <c r="C2668">
        <v>30</v>
      </c>
      <c r="D2668" t="s">
        <v>57</v>
      </c>
      <c r="E2668" t="s">
        <v>48</v>
      </c>
      <c r="F2668" t="s">
        <v>75</v>
      </c>
      <c r="G2668" t="s">
        <v>63</v>
      </c>
      <c r="H2668" t="s">
        <v>67</v>
      </c>
      <c r="I2668" t="s">
        <v>68</v>
      </c>
      <c r="J2668" t="s">
        <v>60</v>
      </c>
      <c r="K2668">
        <v>8</v>
      </c>
      <c r="L2668">
        <v>56875</v>
      </c>
      <c r="M2668" t="s">
        <v>28</v>
      </c>
      <c r="N2668">
        <v>4</v>
      </c>
      <c r="O2668">
        <v>2</v>
      </c>
      <c r="P2668">
        <v>10</v>
      </c>
      <c r="Q2668">
        <v>3</v>
      </c>
      <c r="R2668" s="1">
        <v>42007</v>
      </c>
      <c r="S2668" t="s">
        <v>29</v>
      </c>
      <c r="T2668" t="str">
        <f t="shared" si="205"/>
        <v>Grade B</v>
      </c>
      <c r="U2668">
        <f t="shared" si="206"/>
        <v>3</v>
      </c>
      <c r="V2668" t="str">
        <f t="shared" si="207"/>
        <v>Mid Level</v>
      </c>
      <c r="W2668" t="str">
        <f t="shared" si="208"/>
        <v>Medium Risk</v>
      </c>
      <c r="X2668" t="str">
        <f t="shared" si="209"/>
        <v>Competitive</v>
      </c>
    </row>
    <row r="2669" spans="1:24" x14ac:dyDescent="0.3">
      <c r="A2669" t="s">
        <v>2737</v>
      </c>
      <c r="B2669" t="s">
        <v>39</v>
      </c>
      <c r="C2669">
        <v>50</v>
      </c>
      <c r="D2669" t="s">
        <v>88</v>
      </c>
      <c r="E2669" t="s">
        <v>40</v>
      </c>
      <c r="F2669" t="s">
        <v>23</v>
      </c>
      <c r="G2669" t="s">
        <v>33</v>
      </c>
      <c r="H2669" t="s">
        <v>25</v>
      </c>
      <c r="I2669" t="s">
        <v>54</v>
      </c>
      <c r="J2669" t="s">
        <v>27</v>
      </c>
      <c r="K2669">
        <v>1</v>
      </c>
      <c r="L2669">
        <v>68823</v>
      </c>
      <c r="M2669" t="s">
        <v>36</v>
      </c>
      <c r="N2669">
        <v>4</v>
      </c>
      <c r="O2669">
        <v>4</v>
      </c>
      <c r="P2669">
        <v>52</v>
      </c>
      <c r="Q2669">
        <v>1</v>
      </c>
      <c r="R2669" s="1">
        <v>44599</v>
      </c>
      <c r="S2669" t="s">
        <v>29</v>
      </c>
      <c r="T2669" t="str">
        <f t="shared" si="205"/>
        <v>Grade B</v>
      </c>
      <c r="U2669">
        <f t="shared" si="206"/>
        <v>1</v>
      </c>
      <c r="V2669" t="str">
        <f t="shared" si="207"/>
        <v>New Joiner</v>
      </c>
      <c r="W2669" t="str">
        <f t="shared" si="208"/>
        <v>High Risk</v>
      </c>
      <c r="X2669" t="str">
        <f t="shared" si="209"/>
        <v>Fair</v>
      </c>
    </row>
    <row r="2670" spans="1:24" x14ac:dyDescent="0.3">
      <c r="A2670" t="s">
        <v>2738</v>
      </c>
      <c r="B2670" t="s">
        <v>20</v>
      </c>
      <c r="C2670">
        <v>28</v>
      </c>
      <c r="D2670" t="s">
        <v>88</v>
      </c>
      <c r="E2670" t="s">
        <v>40</v>
      </c>
      <c r="F2670" t="s">
        <v>75</v>
      </c>
      <c r="G2670" t="s">
        <v>79</v>
      </c>
      <c r="H2670" t="s">
        <v>67</v>
      </c>
      <c r="I2670" t="s">
        <v>59</v>
      </c>
      <c r="J2670" t="s">
        <v>60</v>
      </c>
      <c r="K2670">
        <v>10</v>
      </c>
      <c r="L2670">
        <v>67012</v>
      </c>
      <c r="M2670" t="s">
        <v>36</v>
      </c>
      <c r="N2670">
        <v>2</v>
      </c>
      <c r="O2670">
        <v>3</v>
      </c>
      <c r="P2670">
        <v>67</v>
      </c>
      <c r="Q2670">
        <v>1</v>
      </c>
      <c r="R2670" s="1">
        <v>41501</v>
      </c>
      <c r="S2670" t="s">
        <v>37</v>
      </c>
      <c r="T2670" t="str">
        <f t="shared" si="205"/>
        <v>Grade B</v>
      </c>
      <c r="U2670">
        <f t="shared" si="206"/>
        <v>1</v>
      </c>
      <c r="V2670" t="str">
        <f t="shared" si="207"/>
        <v>Mid Level</v>
      </c>
      <c r="W2670" t="str">
        <f t="shared" si="208"/>
        <v>Already Left</v>
      </c>
      <c r="X2670" t="str">
        <f t="shared" si="209"/>
        <v>Fair</v>
      </c>
    </row>
    <row r="2671" spans="1:24" x14ac:dyDescent="0.3">
      <c r="A2671" t="s">
        <v>2739</v>
      </c>
      <c r="B2671" t="s">
        <v>39</v>
      </c>
      <c r="C2671">
        <v>42</v>
      </c>
      <c r="D2671" t="s">
        <v>88</v>
      </c>
      <c r="E2671" t="s">
        <v>40</v>
      </c>
      <c r="F2671" t="s">
        <v>53</v>
      </c>
      <c r="G2671" t="s">
        <v>58</v>
      </c>
      <c r="H2671" t="s">
        <v>76</v>
      </c>
      <c r="I2671" t="s">
        <v>35</v>
      </c>
      <c r="J2671" t="s">
        <v>27</v>
      </c>
      <c r="K2671">
        <v>12</v>
      </c>
      <c r="L2671">
        <v>102296</v>
      </c>
      <c r="M2671" t="s">
        <v>28</v>
      </c>
      <c r="N2671">
        <v>3</v>
      </c>
      <c r="O2671">
        <v>2</v>
      </c>
      <c r="P2671">
        <v>71</v>
      </c>
      <c r="Q2671">
        <v>2</v>
      </c>
      <c r="R2671" s="1">
        <v>40732</v>
      </c>
      <c r="S2671" t="s">
        <v>29</v>
      </c>
      <c r="T2671" t="str">
        <f t="shared" si="205"/>
        <v>Grade A</v>
      </c>
      <c r="U2671">
        <f t="shared" si="206"/>
        <v>3</v>
      </c>
      <c r="V2671" t="str">
        <f t="shared" si="207"/>
        <v>Senior</v>
      </c>
      <c r="W2671" t="str">
        <f t="shared" si="208"/>
        <v>Medium Risk</v>
      </c>
      <c r="X2671" t="str">
        <f t="shared" si="209"/>
        <v>Competitive</v>
      </c>
    </row>
    <row r="2672" spans="1:24" x14ac:dyDescent="0.3">
      <c r="A2672" t="s">
        <v>2740</v>
      </c>
      <c r="B2672" t="s">
        <v>39</v>
      </c>
      <c r="C2672">
        <v>50</v>
      </c>
      <c r="D2672" t="s">
        <v>88</v>
      </c>
      <c r="E2672" t="s">
        <v>22</v>
      </c>
      <c r="F2672" t="s">
        <v>78</v>
      </c>
      <c r="G2672" t="s">
        <v>66</v>
      </c>
      <c r="H2672" t="s">
        <v>83</v>
      </c>
      <c r="I2672" t="s">
        <v>96</v>
      </c>
      <c r="J2672" t="s">
        <v>44</v>
      </c>
      <c r="K2672">
        <v>11</v>
      </c>
      <c r="L2672">
        <v>54336</v>
      </c>
      <c r="M2672" t="s">
        <v>45</v>
      </c>
      <c r="N2672">
        <v>1</v>
      </c>
      <c r="O2672">
        <v>2</v>
      </c>
      <c r="P2672">
        <v>48</v>
      </c>
      <c r="Q2672">
        <v>3</v>
      </c>
      <c r="R2672" s="1">
        <v>41173</v>
      </c>
      <c r="S2672" t="s">
        <v>29</v>
      </c>
      <c r="T2672" t="str">
        <f t="shared" si="205"/>
        <v>Grade B</v>
      </c>
      <c r="U2672">
        <f t="shared" si="206"/>
        <v>2</v>
      </c>
      <c r="V2672" t="str">
        <f t="shared" si="207"/>
        <v>Senior</v>
      </c>
      <c r="W2672" t="str">
        <f t="shared" si="208"/>
        <v>Medium Risk</v>
      </c>
      <c r="X2672" t="str">
        <f t="shared" si="209"/>
        <v>Fair</v>
      </c>
    </row>
    <row r="2673" spans="1:24" x14ac:dyDescent="0.3">
      <c r="A2673" t="s">
        <v>2741</v>
      </c>
      <c r="B2673" t="s">
        <v>39</v>
      </c>
      <c r="C2673">
        <v>31</v>
      </c>
      <c r="D2673" t="s">
        <v>21</v>
      </c>
      <c r="E2673" t="s">
        <v>22</v>
      </c>
      <c r="F2673" t="s">
        <v>75</v>
      </c>
      <c r="G2673" t="s">
        <v>79</v>
      </c>
      <c r="H2673" t="s">
        <v>83</v>
      </c>
      <c r="I2673" t="s">
        <v>72</v>
      </c>
      <c r="J2673" t="s">
        <v>73</v>
      </c>
      <c r="K2673">
        <v>12</v>
      </c>
      <c r="L2673">
        <v>69230</v>
      </c>
      <c r="M2673" t="s">
        <v>36</v>
      </c>
      <c r="N2673">
        <v>1</v>
      </c>
      <c r="O2673">
        <v>1</v>
      </c>
      <c r="P2673">
        <v>31</v>
      </c>
      <c r="Q2673">
        <v>3</v>
      </c>
      <c r="R2673" s="1">
        <v>40590</v>
      </c>
      <c r="S2673" t="s">
        <v>37</v>
      </c>
      <c r="T2673" t="str">
        <f t="shared" si="205"/>
        <v>Grade B</v>
      </c>
      <c r="U2673">
        <f t="shared" si="206"/>
        <v>1</v>
      </c>
      <c r="V2673" t="str">
        <f t="shared" si="207"/>
        <v>Senior</v>
      </c>
      <c r="W2673" t="str">
        <f t="shared" si="208"/>
        <v>Already Left</v>
      </c>
      <c r="X2673" t="str">
        <f t="shared" si="209"/>
        <v>Fair</v>
      </c>
    </row>
    <row r="2674" spans="1:24" x14ac:dyDescent="0.3">
      <c r="A2674" t="s">
        <v>2742</v>
      </c>
      <c r="B2674" t="s">
        <v>39</v>
      </c>
      <c r="C2674">
        <v>30</v>
      </c>
      <c r="D2674" t="s">
        <v>31</v>
      </c>
      <c r="E2674" t="s">
        <v>22</v>
      </c>
      <c r="F2674" t="s">
        <v>75</v>
      </c>
      <c r="G2674" t="s">
        <v>33</v>
      </c>
      <c r="H2674" t="s">
        <v>25</v>
      </c>
      <c r="I2674" t="s">
        <v>35</v>
      </c>
      <c r="J2674" t="s">
        <v>27</v>
      </c>
      <c r="K2674">
        <v>15</v>
      </c>
      <c r="L2674">
        <v>81848</v>
      </c>
      <c r="M2674" t="s">
        <v>45</v>
      </c>
      <c r="N2674">
        <v>1</v>
      </c>
      <c r="O2674">
        <v>4</v>
      </c>
      <c r="P2674">
        <v>34</v>
      </c>
      <c r="Q2674">
        <v>0</v>
      </c>
      <c r="R2674" s="1">
        <v>39638</v>
      </c>
      <c r="S2674" t="s">
        <v>37</v>
      </c>
      <c r="T2674" t="str">
        <f t="shared" si="205"/>
        <v>Grade A</v>
      </c>
      <c r="U2674">
        <f t="shared" si="206"/>
        <v>2</v>
      </c>
      <c r="V2674" t="str">
        <f t="shared" si="207"/>
        <v>Senior</v>
      </c>
      <c r="W2674" t="str">
        <f t="shared" si="208"/>
        <v>Already Left</v>
      </c>
      <c r="X2674" t="str">
        <f t="shared" si="209"/>
        <v>Fair</v>
      </c>
    </row>
    <row r="2675" spans="1:24" x14ac:dyDescent="0.3">
      <c r="A2675" t="s">
        <v>2743</v>
      </c>
      <c r="B2675" t="s">
        <v>39</v>
      </c>
      <c r="C2675">
        <v>51</v>
      </c>
      <c r="D2675" t="s">
        <v>88</v>
      </c>
      <c r="E2675" t="s">
        <v>40</v>
      </c>
      <c r="F2675" t="s">
        <v>23</v>
      </c>
      <c r="G2675" t="s">
        <v>33</v>
      </c>
      <c r="H2675" t="s">
        <v>25</v>
      </c>
      <c r="I2675" t="s">
        <v>54</v>
      </c>
      <c r="J2675" t="s">
        <v>27</v>
      </c>
      <c r="K2675">
        <v>15</v>
      </c>
      <c r="L2675">
        <v>92552</v>
      </c>
      <c r="M2675" t="s">
        <v>28</v>
      </c>
      <c r="N2675">
        <v>2</v>
      </c>
      <c r="O2675">
        <v>4</v>
      </c>
      <c r="P2675">
        <v>46</v>
      </c>
      <c r="Q2675">
        <v>3</v>
      </c>
      <c r="R2675" s="1">
        <v>39711</v>
      </c>
      <c r="S2675" t="s">
        <v>29</v>
      </c>
      <c r="T2675" t="str">
        <f t="shared" si="205"/>
        <v>Grade A</v>
      </c>
      <c r="U2675">
        <f t="shared" si="206"/>
        <v>3</v>
      </c>
      <c r="V2675" t="str">
        <f t="shared" si="207"/>
        <v>Senior</v>
      </c>
      <c r="W2675" t="str">
        <f t="shared" si="208"/>
        <v>Medium Risk</v>
      </c>
      <c r="X2675" t="str">
        <f t="shared" si="209"/>
        <v>Competitive</v>
      </c>
    </row>
    <row r="2676" spans="1:24" x14ac:dyDescent="0.3">
      <c r="A2676" t="s">
        <v>2744</v>
      </c>
      <c r="B2676" t="s">
        <v>39</v>
      </c>
      <c r="C2676">
        <v>38</v>
      </c>
      <c r="D2676" t="s">
        <v>47</v>
      </c>
      <c r="E2676" t="s">
        <v>40</v>
      </c>
      <c r="F2676" t="s">
        <v>53</v>
      </c>
      <c r="G2676" t="s">
        <v>49</v>
      </c>
      <c r="H2676" t="s">
        <v>76</v>
      </c>
      <c r="I2676" t="s">
        <v>68</v>
      </c>
      <c r="J2676" t="s">
        <v>60</v>
      </c>
      <c r="K2676">
        <v>6</v>
      </c>
      <c r="L2676">
        <v>54911</v>
      </c>
      <c r="M2676" t="s">
        <v>36</v>
      </c>
      <c r="N2676">
        <v>4</v>
      </c>
      <c r="O2676">
        <v>2</v>
      </c>
      <c r="P2676">
        <v>13</v>
      </c>
      <c r="Q2676">
        <v>3</v>
      </c>
      <c r="R2676" s="1">
        <v>42924</v>
      </c>
      <c r="S2676" t="s">
        <v>29</v>
      </c>
      <c r="T2676" t="str">
        <f t="shared" si="205"/>
        <v>Grade B</v>
      </c>
      <c r="U2676">
        <f t="shared" si="206"/>
        <v>1</v>
      </c>
      <c r="V2676" t="str">
        <f t="shared" si="207"/>
        <v>Mid Level</v>
      </c>
      <c r="W2676" t="str">
        <f t="shared" si="208"/>
        <v>Medium Risk</v>
      </c>
      <c r="X2676" t="str">
        <f t="shared" si="209"/>
        <v>Fair</v>
      </c>
    </row>
    <row r="2677" spans="1:24" x14ac:dyDescent="0.3">
      <c r="A2677" t="s">
        <v>2745</v>
      </c>
      <c r="B2677" t="s">
        <v>20</v>
      </c>
      <c r="C2677">
        <v>29</v>
      </c>
      <c r="D2677" t="s">
        <v>88</v>
      </c>
      <c r="E2677" t="s">
        <v>40</v>
      </c>
      <c r="F2677" t="s">
        <v>78</v>
      </c>
      <c r="G2677" t="s">
        <v>79</v>
      </c>
      <c r="H2677" t="s">
        <v>34</v>
      </c>
      <c r="I2677" t="s">
        <v>72</v>
      </c>
      <c r="J2677" t="s">
        <v>73</v>
      </c>
      <c r="K2677">
        <v>12</v>
      </c>
      <c r="L2677">
        <v>64173</v>
      </c>
      <c r="M2677" t="s">
        <v>28</v>
      </c>
      <c r="N2677">
        <v>4</v>
      </c>
      <c r="O2677">
        <v>3</v>
      </c>
      <c r="P2677">
        <v>50</v>
      </c>
      <c r="Q2677">
        <v>3</v>
      </c>
      <c r="R2677" s="1">
        <v>40784</v>
      </c>
      <c r="S2677" t="s">
        <v>29</v>
      </c>
      <c r="T2677" t="str">
        <f t="shared" si="205"/>
        <v>Grade B</v>
      </c>
      <c r="U2677">
        <f t="shared" si="206"/>
        <v>3</v>
      </c>
      <c r="V2677" t="str">
        <f t="shared" si="207"/>
        <v>Senior</v>
      </c>
      <c r="W2677" t="str">
        <f t="shared" si="208"/>
        <v>Medium Risk</v>
      </c>
      <c r="X2677" t="str">
        <f t="shared" si="209"/>
        <v>Competitive</v>
      </c>
    </row>
    <row r="2678" spans="1:24" x14ac:dyDescent="0.3">
      <c r="A2678" t="s">
        <v>2746</v>
      </c>
      <c r="B2678" t="s">
        <v>39</v>
      </c>
      <c r="C2678">
        <v>44</v>
      </c>
      <c r="D2678" t="s">
        <v>57</v>
      </c>
      <c r="E2678" t="s">
        <v>22</v>
      </c>
      <c r="F2678" t="s">
        <v>62</v>
      </c>
      <c r="G2678" t="s">
        <v>24</v>
      </c>
      <c r="H2678" t="s">
        <v>67</v>
      </c>
      <c r="I2678" t="s">
        <v>68</v>
      </c>
      <c r="J2678" t="s">
        <v>60</v>
      </c>
      <c r="K2678">
        <v>1</v>
      </c>
      <c r="L2678">
        <v>83159</v>
      </c>
      <c r="M2678" t="s">
        <v>45</v>
      </c>
      <c r="N2678">
        <v>4</v>
      </c>
      <c r="O2678">
        <v>3</v>
      </c>
      <c r="P2678">
        <v>10</v>
      </c>
      <c r="Q2678">
        <v>3</v>
      </c>
      <c r="R2678" s="1">
        <v>44587</v>
      </c>
      <c r="S2678" t="s">
        <v>29</v>
      </c>
      <c r="T2678" t="str">
        <f t="shared" si="205"/>
        <v>Grade A</v>
      </c>
      <c r="U2678">
        <f t="shared" si="206"/>
        <v>2</v>
      </c>
      <c r="V2678" t="str">
        <f t="shared" si="207"/>
        <v>New Joiner</v>
      </c>
      <c r="W2678" t="str">
        <f t="shared" si="208"/>
        <v>Medium Risk</v>
      </c>
      <c r="X2678" t="str">
        <f t="shared" si="209"/>
        <v>Fair</v>
      </c>
    </row>
    <row r="2679" spans="1:24" x14ac:dyDescent="0.3">
      <c r="A2679" t="s">
        <v>2747</v>
      </c>
      <c r="B2679" t="s">
        <v>39</v>
      </c>
      <c r="C2679">
        <v>49</v>
      </c>
      <c r="D2679" t="s">
        <v>57</v>
      </c>
      <c r="E2679" t="s">
        <v>22</v>
      </c>
      <c r="F2679" t="s">
        <v>65</v>
      </c>
      <c r="G2679" t="s">
        <v>79</v>
      </c>
      <c r="H2679" t="s">
        <v>83</v>
      </c>
      <c r="I2679" t="s">
        <v>50</v>
      </c>
      <c r="J2679" t="s">
        <v>44</v>
      </c>
      <c r="K2679">
        <v>6</v>
      </c>
      <c r="L2679">
        <v>45885</v>
      </c>
      <c r="M2679" t="s">
        <v>28</v>
      </c>
      <c r="N2679">
        <v>1</v>
      </c>
      <c r="O2679">
        <v>4</v>
      </c>
      <c r="P2679">
        <v>55</v>
      </c>
      <c r="Q2679">
        <v>0</v>
      </c>
      <c r="R2679" s="1">
        <v>43004</v>
      </c>
      <c r="S2679" t="s">
        <v>37</v>
      </c>
      <c r="T2679" t="str">
        <f t="shared" si="205"/>
        <v>Grade C</v>
      </c>
      <c r="U2679">
        <f t="shared" si="206"/>
        <v>3</v>
      </c>
      <c r="V2679" t="str">
        <f t="shared" si="207"/>
        <v>Mid Level</v>
      </c>
      <c r="W2679" t="str">
        <f t="shared" si="208"/>
        <v>Already Left</v>
      </c>
      <c r="X2679" t="str">
        <f t="shared" si="209"/>
        <v>Fair</v>
      </c>
    </row>
    <row r="2680" spans="1:24" x14ac:dyDescent="0.3">
      <c r="A2680" t="s">
        <v>2748</v>
      </c>
      <c r="B2680" t="s">
        <v>20</v>
      </c>
      <c r="C2680">
        <v>22</v>
      </c>
      <c r="D2680" t="s">
        <v>21</v>
      </c>
      <c r="E2680" t="s">
        <v>40</v>
      </c>
      <c r="F2680" t="s">
        <v>62</v>
      </c>
      <c r="G2680" t="s">
        <v>79</v>
      </c>
      <c r="H2680" t="s">
        <v>25</v>
      </c>
      <c r="I2680" t="s">
        <v>80</v>
      </c>
      <c r="J2680" t="s">
        <v>60</v>
      </c>
      <c r="K2680">
        <v>7</v>
      </c>
      <c r="L2680">
        <v>57375</v>
      </c>
      <c r="M2680" t="s">
        <v>36</v>
      </c>
      <c r="N2680">
        <v>3</v>
      </c>
      <c r="O2680">
        <v>1</v>
      </c>
      <c r="P2680">
        <v>44</v>
      </c>
      <c r="Q2680">
        <v>1</v>
      </c>
      <c r="R2680" s="1">
        <v>42502</v>
      </c>
      <c r="S2680" t="s">
        <v>29</v>
      </c>
      <c r="T2680" t="str">
        <f t="shared" si="205"/>
        <v>Grade B</v>
      </c>
      <c r="U2680">
        <f t="shared" si="206"/>
        <v>1</v>
      </c>
      <c r="V2680" t="str">
        <f t="shared" si="207"/>
        <v>Mid Level</v>
      </c>
      <c r="W2680" t="str">
        <f t="shared" si="208"/>
        <v>Medium Risk</v>
      </c>
      <c r="X2680" t="str">
        <f t="shared" si="209"/>
        <v>Fair</v>
      </c>
    </row>
    <row r="2681" spans="1:24" x14ac:dyDescent="0.3">
      <c r="A2681" t="s">
        <v>2749</v>
      </c>
      <c r="B2681" t="s">
        <v>20</v>
      </c>
      <c r="C2681">
        <v>41</v>
      </c>
      <c r="D2681" t="s">
        <v>57</v>
      </c>
      <c r="E2681" t="s">
        <v>48</v>
      </c>
      <c r="F2681" t="s">
        <v>23</v>
      </c>
      <c r="G2681" t="s">
        <v>63</v>
      </c>
      <c r="H2681" t="s">
        <v>83</v>
      </c>
      <c r="I2681" t="s">
        <v>80</v>
      </c>
      <c r="J2681" t="s">
        <v>60</v>
      </c>
      <c r="K2681">
        <v>3</v>
      </c>
      <c r="L2681">
        <v>53190</v>
      </c>
      <c r="M2681" t="s">
        <v>51</v>
      </c>
      <c r="N2681">
        <v>4</v>
      </c>
      <c r="O2681">
        <v>4</v>
      </c>
      <c r="P2681">
        <v>56</v>
      </c>
      <c r="Q2681">
        <v>3</v>
      </c>
      <c r="R2681" s="1">
        <v>43965</v>
      </c>
      <c r="S2681" t="s">
        <v>29</v>
      </c>
      <c r="T2681" t="str">
        <f t="shared" si="205"/>
        <v>Grade B</v>
      </c>
      <c r="U2681">
        <f t="shared" si="206"/>
        <v>4</v>
      </c>
      <c r="V2681" t="str">
        <f t="shared" si="207"/>
        <v>Junior</v>
      </c>
      <c r="W2681" t="str">
        <f t="shared" si="208"/>
        <v>Low Risk</v>
      </c>
      <c r="X2681" t="str">
        <f t="shared" si="209"/>
        <v>Fair</v>
      </c>
    </row>
    <row r="2682" spans="1:24" x14ac:dyDescent="0.3">
      <c r="A2682" t="s">
        <v>2750</v>
      </c>
      <c r="B2682" t="s">
        <v>20</v>
      </c>
      <c r="C2682">
        <v>55</v>
      </c>
      <c r="D2682" t="s">
        <v>31</v>
      </c>
      <c r="E2682" t="s">
        <v>40</v>
      </c>
      <c r="F2682" t="s">
        <v>53</v>
      </c>
      <c r="G2682" t="s">
        <v>42</v>
      </c>
      <c r="H2682" t="s">
        <v>34</v>
      </c>
      <c r="I2682" t="s">
        <v>59</v>
      </c>
      <c r="J2682" t="s">
        <v>60</v>
      </c>
      <c r="K2682">
        <v>8</v>
      </c>
      <c r="L2682">
        <v>103739</v>
      </c>
      <c r="M2682" t="s">
        <v>36</v>
      </c>
      <c r="N2682">
        <v>1</v>
      </c>
      <c r="O2682">
        <v>2</v>
      </c>
      <c r="P2682">
        <v>40</v>
      </c>
      <c r="Q2682">
        <v>1</v>
      </c>
      <c r="R2682" s="1">
        <v>42371</v>
      </c>
      <c r="S2682" t="s">
        <v>37</v>
      </c>
      <c r="T2682" t="str">
        <f t="shared" si="205"/>
        <v>Grade A</v>
      </c>
      <c r="U2682">
        <f t="shared" si="206"/>
        <v>1</v>
      </c>
      <c r="V2682" t="str">
        <f t="shared" si="207"/>
        <v>Mid Level</v>
      </c>
      <c r="W2682" t="str">
        <f t="shared" si="208"/>
        <v>Already Left</v>
      </c>
      <c r="X2682" t="str">
        <f t="shared" si="209"/>
        <v>Overpaid</v>
      </c>
    </row>
    <row r="2683" spans="1:24" x14ac:dyDescent="0.3">
      <c r="A2683" t="s">
        <v>2751</v>
      </c>
      <c r="B2683" t="s">
        <v>39</v>
      </c>
      <c r="C2683">
        <v>46</v>
      </c>
      <c r="D2683" t="s">
        <v>31</v>
      </c>
      <c r="E2683" t="s">
        <v>22</v>
      </c>
      <c r="F2683" t="s">
        <v>62</v>
      </c>
      <c r="G2683" t="s">
        <v>42</v>
      </c>
      <c r="H2683" t="s">
        <v>76</v>
      </c>
      <c r="I2683" t="s">
        <v>50</v>
      </c>
      <c r="J2683" t="s">
        <v>44</v>
      </c>
      <c r="K2683">
        <v>2</v>
      </c>
      <c r="L2683">
        <v>104900</v>
      </c>
      <c r="M2683" t="s">
        <v>28</v>
      </c>
      <c r="N2683">
        <v>4</v>
      </c>
      <c r="O2683">
        <v>2</v>
      </c>
      <c r="P2683">
        <v>11</v>
      </c>
      <c r="Q2683">
        <v>2</v>
      </c>
      <c r="R2683" s="1">
        <v>44348</v>
      </c>
      <c r="S2683" t="s">
        <v>37</v>
      </c>
      <c r="T2683" t="str">
        <f t="shared" si="205"/>
        <v>Grade A</v>
      </c>
      <c r="U2683">
        <f t="shared" si="206"/>
        <v>3</v>
      </c>
      <c r="V2683" t="str">
        <f t="shared" si="207"/>
        <v>New Joiner</v>
      </c>
      <c r="W2683" t="str">
        <f t="shared" si="208"/>
        <v>Already Left</v>
      </c>
      <c r="X2683" t="str">
        <f t="shared" si="209"/>
        <v>Competitive</v>
      </c>
    </row>
    <row r="2684" spans="1:24" x14ac:dyDescent="0.3">
      <c r="A2684" t="s">
        <v>2752</v>
      </c>
      <c r="B2684" t="s">
        <v>39</v>
      </c>
      <c r="C2684">
        <v>25</v>
      </c>
      <c r="D2684" t="s">
        <v>88</v>
      </c>
      <c r="E2684" t="s">
        <v>40</v>
      </c>
      <c r="F2684" t="s">
        <v>62</v>
      </c>
      <c r="G2684" t="s">
        <v>79</v>
      </c>
      <c r="H2684" t="s">
        <v>67</v>
      </c>
      <c r="I2684" t="s">
        <v>59</v>
      </c>
      <c r="J2684" t="s">
        <v>60</v>
      </c>
      <c r="K2684">
        <v>8</v>
      </c>
      <c r="L2684">
        <v>59692</v>
      </c>
      <c r="M2684" t="s">
        <v>51</v>
      </c>
      <c r="N2684">
        <v>4</v>
      </c>
      <c r="O2684">
        <v>1</v>
      </c>
      <c r="P2684">
        <v>55</v>
      </c>
      <c r="Q2684">
        <v>0</v>
      </c>
      <c r="R2684" s="1">
        <v>42076</v>
      </c>
      <c r="S2684" t="s">
        <v>29</v>
      </c>
      <c r="T2684" t="str">
        <f t="shared" si="205"/>
        <v>Grade B</v>
      </c>
      <c r="U2684">
        <f t="shared" si="206"/>
        <v>4</v>
      </c>
      <c r="V2684" t="str">
        <f t="shared" si="207"/>
        <v>Mid Level</v>
      </c>
      <c r="W2684" t="str">
        <f t="shared" si="208"/>
        <v>Low Risk</v>
      </c>
      <c r="X2684" t="str">
        <f t="shared" si="209"/>
        <v>Fair</v>
      </c>
    </row>
    <row r="2685" spans="1:24" x14ac:dyDescent="0.3">
      <c r="A2685" t="s">
        <v>2753</v>
      </c>
      <c r="B2685" t="s">
        <v>20</v>
      </c>
      <c r="C2685">
        <v>51</v>
      </c>
      <c r="D2685" t="s">
        <v>21</v>
      </c>
      <c r="E2685" t="s">
        <v>48</v>
      </c>
      <c r="F2685" t="s">
        <v>41</v>
      </c>
      <c r="G2685" t="s">
        <v>79</v>
      </c>
      <c r="H2685" t="s">
        <v>83</v>
      </c>
      <c r="I2685" t="s">
        <v>96</v>
      </c>
      <c r="J2685" t="s">
        <v>44</v>
      </c>
      <c r="K2685">
        <v>7</v>
      </c>
      <c r="L2685">
        <v>57018</v>
      </c>
      <c r="M2685" t="s">
        <v>36</v>
      </c>
      <c r="N2685">
        <v>1</v>
      </c>
      <c r="O2685">
        <v>3</v>
      </c>
      <c r="P2685">
        <v>25</v>
      </c>
      <c r="Q2685">
        <v>0</v>
      </c>
      <c r="R2685" s="1">
        <v>42625</v>
      </c>
      <c r="S2685" t="s">
        <v>37</v>
      </c>
      <c r="T2685" t="str">
        <f t="shared" si="205"/>
        <v>Grade B</v>
      </c>
      <c r="U2685">
        <f t="shared" si="206"/>
        <v>1</v>
      </c>
      <c r="V2685" t="str">
        <f t="shared" si="207"/>
        <v>Mid Level</v>
      </c>
      <c r="W2685" t="str">
        <f t="shared" si="208"/>
        <v>Already Left</v>
      </c>
      <c r="X2685" t="str">
        <f t="shared" si="209"/>
        <v>Fair</v>
      </c>
    </row>
    <row r="2686" spans="1:24" x14ac:dyDescent="0.3">
      <c r="A2686" t="s">
        <v>2754</v>
      </c>
      <c r="B2686" t="s">
        <v>20</v>
      </c>
      <c r="C2686">
        <v>50</v>
      </c>
      <c r="D2686" t="s">
        <v>21</v>
      </c>
      <c r="E2686" t="s">
        <v>40</v>
      </c>
      <c r="F2686" t="s">
        <v>78</v>
      </c>
      <c r="G2686" t="s">
        <v>49</v>
      </c>
      <c r="H2686" t="s">
        <v>76</v>
      </c>
      <c r="I2686" t="s">
        <v>96</v>
      </c>
      <c r="J2686" t="s">
        <v>44</v>
      </c>
      <c r="K2686">
        <v>11</v>
      </c>
      <c r="L2686">
        <v>65404</v>
      </c>
      <c r="M2686" t="s">
        <v>36</v>
      </c>
      <c r="N2686">
        <v>4</v>
      </c>
      <c r="O2686">
        <v>1</v>
      </c>
      <c r="P2686">
        <v>80</v>
      </c>
      <c r="Q2686">
        <v>3</v>
      </c>
      <c r="R2686" s="1">
        <v>41132</v>
      </c>
      <c r="S2686" t="s">
        <v>29</v>
      </c>
      <c r="T2686" t="str">
        <f t="shared" si="205"/>
        <v>Grade B</v>
      </c>
      <c r="U2686">
        <f t="shared" si="206"/>
        <v>1</v>
      </c>
      <c r="V2686" t="str">
        <f t="shared" si="207"/>
        <v>Senior</v>
      </c>
      <c r="W2686" t="str">
        <f t="shared" si="208"/>
        <v>Medium Risk</v>
      </c>
      <c r="X2686" t="str">
        <f t="shared" si="209"/>
        <v>Fair</v>
      </c>
    </row>
    <row r="2687" spans="1:24" x14ac:dyDescent="0.3">
      <c r="A2687" t="s">
        <v>2755</v>
      </c>
      <c r="B2687" t="s">
        <v>20</v>
      </c>
      <c r="C2687">
        <v>55</v>
      </c>
      <c r="D2687" t="s">
        <v>31</v>
      </c>
      <c r="E2687" t="s">
        <v>40</v>
      </c>
      <c r="F2687" t="s">
        <v>75</v>
      </c>
      <c r="G2687" t="s">
        <v>49</v>
      </c>
      <c r="H2687" t="s">
        <v>83</v>
      </c>
      <c r="I2687" t="s">
        <v>80</v>
      </c>
      <c r="J2687" t="s">
        <v>60</v>
      </c>
      <c r="K2687">
        <v>3</v>
      </c>
      <c r="L2687">
        <v>46602</v>
      </c>
      <c r="M2687" t="s">
        <v>28</v>
      </c>
      <c r="N2687">
        <v>4</v>
      </c>
      <c r="O2687">
        <v>4</v>
      </c>
      <c r="P2687">
        <v>79</v>
      </c>
      <c r="Q2687">
        <v>1</v>
      </c>
      <c r="R2687" s="1">
        <v>43855</v>
      </c>
      <c r="S2687" t="s">
        <v>29</v>
      </c>
      <c r="T2687" t="str">
        <f t="shared" si="205"/>
        <v>Grade C</v>
      </c>
      <c r="U2687">
        <f t="shared" si="206"/>
        <v>3</v>
      </c>
      <c r="V2687" t="str">
        <f t="shared" si="207"/>
        <v>Junior</v>
      </c>
      <c r="W2687" t="str">
        <f t="shared" si="208"/>
        <v>Medium Risk</v>
      </c>
      <c r="X2687" t="str">
        <f t="shared" si="209"/>
        <v>Fair</v>
      </c>
    </row>
    <row r="2688" spans="1:24" x14ac:dyDescent="0.3">
      <c r="A2688" t="s">
        <v>2756</v>
      </c>
      <c r="B2688" t="s">
        <v>20</v>
      </c>
      <c r="C2688">
        <v>33</v>
      </c>
      <c r="D2688" t="s">
        <v>57</v>
      </c>
      <c r="E2688" t="s">
        <v>48</v>
      </c>
      <c r="F2688" t="s">
        <v>32</v>
      </c>
      <c r="G2688" t="s">
        <v>63</v>
      </c>
      <c r="H2688" t="s">
        <v>76</v>
      </c>
      <c r="I2688" t="s">
        <v>80</v>
      </c>
      <c r="J2688" t="s">
        <v>60</v>
      </c>
      <c r="K2688">
        <v>10</v>
      </c>
      <c r="L2688">
        <v>72400</v>
      </c>
      <c r="M2688" t="s">
        <v>45</v>
      </c>
      <c r="N2688">
        <v>2</v>
      </c>
      <c r="O2688">
        <v>2</v>
      </c>
      <c r="P2688">
        <v>11</v>
      </c>
      <c r="Q2688">
        <v>0</v>
      </c>
      <c r="R2688" s="1">
        <v>41367</v>
      </c>
      <c r="S2688" t="s">
        <v>29</v>
      </c>
      <c r="T2688" t="str">
        <f t="shared" si="205"/>
        <v>Grade B</v>
      </c>
      <c r="U2688">
        <f t="shared" si="206"/>
        <v>2</v>
      </c>
      <c r="V2688" t="str">
        <f t="shared" si="207"/>
        <v>Mid Level</v>
      </c>
      <c r="W2688" t="str">
        <f t="shared" si="208"/>
        <v>Medium Risk</v>
      </c>
      <c r="X2688" t="str">
        <f t="shared" si="209"/>
        <v>Fair</v>
      </c>
    </row>
    <row r="2689" spans="1:24" x14ac:dyDescent="0.3">
      <c r="A2689" t="s">
        <v>2757</v>
      </c>
      <c r="B2689" t="s">
        <v>39</v>
      </c>
      <c r="C2689">
        <v>29</v>
      </c>
      <c r="D2689" t="s">
        <v>47</v>
      </c>
      <c r="E2689" t="s">
        <v>22</v>
      </c>
      <c r="F2689" t="s">
        <v>78</v>
      </c>
      <c r="G2689" t="s">
        <v>33</v>
      </c>
      <c r="H2689" t="s">
        <v>83</v>
      </c>
      <c r="I2689" t="s">
        <v>54</v>
      </c>
      <c r="J2689" t="s">
        <v>27</v>
      </c>
      <c r="K2689">
        <v>5</v>
      </c>
      <c r="L2689">
        <v>70910</v>
      </c>
      <c r="M2689" t="s">
        <v>45</v>
      </c>
      <c r="N2689">
        <v>4</v>
      </c>
      <c r="O2689">
        <v>4</v>
      </c>
      <c r="P2689">
        <v>29</v>
      </c>
      <c r="Q2689">
        <v>0</v>
      </c>
      <c r="R2689" s="1">
        <v>43286</v>
      </c>
      <c r="S2689" t="s">
        <v>29</v>
      </c>
      <c r="T2689" t="str">
        <f t="shared" si="205"/>
        <v>Grade B</v>
      </c>
      <c r="U2689">
        <f t="shared" si="206"/>
        <v>2</v>
      </c>
      <c r="V2689" t="str">
        <f t="shared" si="207"/>
        <v>Junior</v>
      </c>
      <c r="W2689" t="str">
        <f t="shared" si="208"/>
        <v>Medium Risk</v>
      </c>
      <c r="X2689" t="str">
        <f t="shared" si="209"/>
        <v>Fair</v>
      </c>
    </row>
    <row r="2690" spans="1:24" x14ac:dyDescent="0.3">
      <c r="A2690" t="s">
        <v>2758</v>
      </c>
      <c r="B2690" t="s">
        <v>39</v>
      </c>
      <c r="C2690">
        <v>40</v>
      </c>
      <c r="D2690" t="s">
        <v>57</v>
      </c>
      <c r="E2690" t="s">
        <v>48</v>
      </c>
      <c r="F2690" t="s">
        <v>65</v>
      </c>
      <c r="G2690" t="s">
        <v>79</v>
      </c>
      <c r="H2690" t="s">
        <v>76</v>
      </c>
      <c r="I2690" t="s">
        <v>26</v>
      </c>
      <c r="J2690" t="s">
        <v>27</v>
      </c>
      <c r="K2690">
        <v>13</v>
      </c>
      <c r="L2690">
        <v>65077</v>
      </c>
      <c r="M2690" t="s">
        <v>36</v>
      </c>
      <c r="N2690">
        <v>1</v>
      </c>
      <c r="O2690">
        <v>2</v>
      </c>
      <c r="P2690">
        <v>67</v>
      </c>
      <c r="Q2690">
        <v>0</v>
      </c>
      <c r="R2690" s="1">
        <v>40466</v>
      </c>
      <c r="S2690" t="s">
        <v>29</v>
      </c>
      <c r="T2690" t="str">
        <f t="shared" ref="T2690:T2753" si="210">IF(L2690&gt;=80000,"Grade A",IF(L2690&gt;=50000,"Grade B",IF(L2690&gt;=35000,"Grade C","Grade D")))</f>
        <v>Grade B</v>
      </c>
      <c r="U2690">
        <f t="shared" ref="U2690:U2753" si="211">IF(M2690="Excellent",4,IF(M2690="Good",3,IF(M2690="Average",2,1)))</f>
        <v>1</v>
      </c>
      <c r="V2690" t="str">
        <f t="shared" ref="V2690:V2753" si="212">IF(K2690&lt;=2,"New Joiner",IF(K2690&lt;=5,"Junior",IF(K2690&lt;=10,"Mid Level","Senior")))</f>
        <v>Senior</v>
      </c>
      <c r="W2690" t="str">
        <f t="shared" ref="W2690:W2753" si="213">IF(S2690="Yes","Already Left",IF(AND(K2690&lt;=2,M2690="Poor"),"High Risk",IF(AND(K2690&lt;=5,M2690="Average"),"Medium Risk",IF(M2690="Excellent","Low Risk","Medium Risk"))))</f>
        <v>Medium Risk</v>
      </c>
      <c r="X2690" t="str">
        <f t="shared" ref="X2690:X2753" si="214">IF(AND(L2690&gt;=80000,M2690="Excellent"),"Competitive",IF(AND(L2690&gt;=50000,M2690="Good"),"Competitive",IF(AND(L2690&lt;35000,M2690="Excellent"),"Underpaid",IF(AND(L2690&gt;=80000,M2690="Poor"),"Overpaid","Fair"))))</f>
        <v>Fair</v>
      </c>
    </row>
    <row r="2691" spans="1:24" x14ac:dyDescent="0.3">
      <c r="A2691" t="s">
        <v>2759</v>
      </c>
      <c r="B2691" t="s">
        <v>20</v>
      </c>
      <c r="C2691">
        <v>37</v>
      </c>
      <c r="D2691" t="s">
        <v>57</v>
      </c>
      <c r="E2691" t="s">
        <v>40</v>
      </c>
      <c r="F2691" t="s">
        <v>65</v>
      </c>
      <c r="G2691" t="s">
        <v>24</v>
      </c>
      <c r="H2691" t="s">
        <v>83</v>
      </c>
      <c r="I2691" t="s">
        <v>43</v>
      </c>
      <c r="J2691" t="s">
        <v>44</v>
      </c>
      <c r="K2691">
        <v>11</v>
      </c>
      <c r="L2691">
        <v>94098</v>
      </c>
      <c r="M2691" t="s">
        <v>45</v>
      </c>
      <c r="N2691">
        <v>1</v>
      </c>
      <c r="O2691">
        <v>2</v>
      </c>
      <c r="P2691">
        <v>25</v>
      </c>
      <c r="Q2691">
        <v>0</v>
      </c>
      <c r="R2691" s="1">
        <v>41086</v>
      </c>
      <c r="S2691" t="s">
        <v>37</v>
      </c>
      <c r="T2691" t="str">
        <f t="shared" si="210"/>
        <v>Grade A</v>
      </c>
      <c r="U2691">
        <f t="shared" si="211"/>
        <v>2</v>
      </c>
      <c r="V2691" t="str">
        <f t="shared" si="212"/>
        <v>Senior</v>
      </c>
      <c r="W2691" t="str">
        <f t="shared" si="213"/>
        <v>Already Left</v>
      </c>
      <c r="X2691" t="str">
        <f t="shared" si="214"/>
        <v>Fair</v>
      </c>
    </row>
    <row r="2692" spans="1:24" x14ac:dyDescent="0.3">
      <c r="A2692" t="s">
        <v>2760</v>
      </c>
      <c r="B2692" t="s">
        <v>39</v>
      </c>
      <c r="C2692">
        <v>39</v>
      </c>
      <c r="D2692" t="s">
        <v>57</v>
      </c>
      <c r="E2692" t="s">
        <v>40</v>
      </c>
      <c r="F2692" t="s">
        <v>41</v>
      </c>
      <c r="G2692" t="s">
        <v>49</v>
      </c>
      <c r="H2692" t="s">
        <v>34</v>
      </c>
      <c r="I2692" t="s">
        <v>72</v>
      </c>
      <c r="J2692" t="s">
        <v>73</v>
      </c>
      <c r="K2692">
        <v>12</v>
      </c>
      <c r="L2692">
        <v>76491</v>
      </c>
      <c r="M2692" t="s">
        <v>51</v>
      </c>
      <c r="N2692">
        <v>1</v>
      </c>
      <c r="O2692">
        <v>3</v>
      </c>
      <c r="P2692">
        <v>65</v>
      </c>
      <c r="Q2692">
        <v>2</v>
      </c>
      <c r="R2692" s="1">
        <v>40901</v>
      </c>
      <c r="S2692" t="s">
        <v>29</v>
      </c>
      <c r="T2692" t="str">
        <f t="shared" si="210"/>
        <v>Grade B</v>
      </c>
      <c r="U2692">
        <f t="shared" si="211"/>
        <v>4</v>
      </c>
      <c r="V2692" t="str">
        <f t="shared" si="212"/>
        <v>Senior</v>
      </c>
      <c r="W2692" t="str">
        <f t="shared" si="213"/>
        <v>Low Risk</v>
      </c>
      <c r="X2692" t="str">
        <f t="shared" si="214"/>
        <v>Fair</v>
      </c>
    </row>
    <row r="2693" spans="1:24" x14ac:dyDescent="0.3">
      <c r="A2693" t="s">
        <v>2761</v>
      </c>
      <c r="B2693" t="s">
        <v>39</v>
      </c>
      <c r="C2693">
        <v>38</v>
      </c>
      <c r="D2693" t="s">
        <v>47</v>
      </c>
      <c r="E2693" t="s">
        <v>48</v>
      </c>
      <c r="F2693" t="s">
        <v>62</v>
      </c>
      <c r="G2693" t="s">
        <v>79</v>
      </c>
      <c r="H2693" t="s">
        <v>83</v>
      </c>
      <c r="I2693" t="s">
        <v>80</v>
      </c>
      <c r="J2693" t="s">
        <v>60</v>
      </c>
      <c r="K2693">
        <v>11</v>
      </c>
      <c r="L2693">
        <v>62767</v>
      </c>
      <c r="M2693" t="s">
        <v>45</v>
      </c>
      <c r="N2693">
        <v>1</v>
      </c>
      <c r="O2693">
        <v>1</v>
      </c>
      <c r="P2693">
        <v>30</v>
      </c>
      <c r="Q2693">
        <v>3</v>
      </c>
      <c r="R2693" s="1">
        <v>40968</v>
      </c>
      <c r="S2693" t="s">
        <v>37</v>
      </c>
      <c r="T2693" t="str">
        <f t="shared" si="210"/>
        <v>Grade B</v>
      </c>
      <c r="U2693">
        <f t="shared" si="211"/>
        <v>2</v>
      </c>
      <c r="V2693" t="str">
        <f t="shared" si="212"/>
        <v>Senior</v>
      </c>
      <c r="W2693" t="str">
        <f t="shared" si="213"/>
        <v>Already Left</v>
      </c>
      <c r="X2693" t="str">
        <f t="shared" si="214"/>
        <v>Fair</v>
      </c>
    </row>
    <row r="2694" spans="1:24" x14ac:dyDescent="0.3">
      <c r="A2694" t="s">
        <v>2762</v>
      </c>
      <c r="B2694" t="s">
        <v>20</v>
      </c>
      <c r="C2694">
        <v>27</v>
      </c>
      <c r="D2694" t="s">
        <v>57</v>
      </c>
      <c r="E2694" t="s">
        <v>40</v>
      </c>
      <c r="F2694" t="s">
        <v>23</v>
      </c>
      <c r="G2694" t="s">
        <v>58</v>
      </c>
      <c r="H2694" t="s">
        <v>83</v>
      </c>
      <c r="I2694" t="s">
        <v>35</v>
      </c>
      <c r="J2694" t="s">
        <v>27</v>
      </c>
      <c r="K2694">
        <v>11</v>
      </c>
      <c r="L2694">
        <v>110852</v>
      </c>
      <c r="M2694" t="s">
        <v>36</v>
      </c>
      <c r="N2694">
        <v>4</v>
      </c>
      <c r="O2694">
        <v>4</v>
      </c>
      <c r="P2694">
        <v>22</v>
      </c>
      <c r="Q2694">
        <v>0</v>
      </c>
      <c r="R2694" s="1">
        <v>41128</v>
      </c>
      <c r="S2694" t="s">
        <v>37</v>
      </c>
      <c r="T2694" t="str">
        <f t="shared" si="210"/>
        <v>Grade A</v>
      </c>
      <c r="U2694">
        <f t="shared" si="211"/>
        <v>1</v>
      </c>
      <c r="V2694" t="str">
        <f t="shared" si="212"/>
        <v>Senior</v>
      </c>
      <c r="W2694" t="str">
        <f t="shared" si="213"/>
        <v>Already Left</v>
      </c>
      <c r="X2694" t="str">
        <f t="shared" si="214"/>
        <v>Overpaid</v>
      </c>
    </row>
    <row r="2695" spans="1:24" x14ac:dyDescent="0.3">
      <c r="A2695" t="s">
        <v>2763</v>
      </c>
      <c r="B2695" t="s">
        <v>39</v>
      </c>
      <c r="C2695">
        <v>43</v>
      </c>
      <c r="D2695" t="s">
        <v>88</v>
      </c>
      <c r="E2695" t="s">
        <v>40</v>
      </c>
      <c r="F2695" t="s">
        <v>78</v>
      </c>
      <c r="G2695" t="s">
        <v>58</v>
      </c>
      <c r="H2695" t="s">
        <v>67</v>
      </c>
      <c r="I2695" t="s">
        <v>96</v>
      </c>
      <c r="J2695" t="s">
        <v>44</v>
      </c>
      <c r="K2695">
        <v>3</v>
      </c>
      <c r="L2695">
        <v>94409</v>
      </c>
      <c r="M2695" t="s">
        <v>45</v>
      </c>
      <c r="N2695">
        <v>3</v>
      </c>
      <c r="O2695">
        <v>2</v>
      </c>
      <c r="P2695">
        <v>45</v>
      </c>
      <c r="Q2695">
        <v>0</v>
      </c>
      <c r="R2695" s="1">
        <v>44172</v>
      </c>
      <c r="S2695" t="s">
        <v>29</v>
      </c>
      <c r="T2695" t="str">
        <f t="shared" si="210"/>
        <v>Grade A</v>
      </c>
      <c r="U2695">
        <f t="shared" si="211"/>
        <v>2</v>
      </c>
      <c r="V2695" t="str">
        <f t="shared" si="212"/>
        <v>Junior</v>
      </c>
      <c r="W2695" t="str">
        <f t="shared" si="213"/>
        <v>Medium Risk</v>
      </c>
      <c r="X2695" t="str">
        <f t="shared" si="214"/>
        <v>Fair</v>
      </c>
    </row>
    <row r="2696" spans="1:24" x14ac:dyDescent="0.3">
      <c r="A2696" t="s">
        <v>2764</v>
      </c>
      <c r="B2696" t="s">
        <v>39</v>
      </c>
      <c r="C2696">
        <v>36</v>
      </c>
      <c r="D2696" t="s">
        <v>21</v>
      </c>
      <c r="E2696" t="s">
        <v>22</v>
      </c>
      <c r="F2696" t="s">
        <v>78</v>
      </c>
      <c r="G2696" t="s">
        <v>33</v>
      </c>
      <c r="H2696" t="s">
        <v>76</v>
      </c>
      <c r="I2696" t="s">
        <v>80</v>
      </c>
      <c r="J2696" t="s">
        <v>60</v>
      </c>
      <c r="K2696">
        <v>12</v>
      </c>
      <c r="L2696">
        <v>79788</v>
      </c>
      <c r="M2696" t="s">
        <v>45</v>
      </c>
      <c r="N2696">
        <v>1</v>
      </c>
      <c r="O2696">
        <v>3</v>
      </c>
      <c r="P2696">
        <v>18</v>
      </c>
      <c r="Q2696">
        <v>3</v>
      </c>
      <c r="R2696" s="1">
        <v>40909</v>
      </c>
      <c r="S2696" t="s">
        <v>29</v>
      </c>
      <c r="T2696" t="str">
        <f t="shared" si="210"/>
        <v>Grade B</v>
      </c>
      <c r="U2696">
        <f t="shared" si="211"/>
        <v>2</v>
      </c>
      <c r="V2696" t="str">
        <f t="shared" si="212"/>
        <v>Senior</v>
      </c>
      <c r="W2696" t="str">
        <f t="shared" si="213"/>
        <v>Medium Risk</v>
      </c>
      <c r="X2696" t="str">
        <f t="shared" si="214"/>
        <v>Fair</v>
      </c>
    </row>
    <row r="2697" spans="1:24" x14ac:dyDescent="0.3">
      <c r="A2697" t="s">
        <v>2765</v>
      </c>
      <c r="B2697" t="s">
        <v>20</v>
      </c>
      <c r="C2697">
        <v>48</v>
      </c>
      <c r="D2697" t="s">
        <v>31</v>
      </c>
      <c r="E2697" t="s">
        <v>40</v>
      </c>
      <c r="F2697" t="s">
        <v>78</v>
      </c>
      <c r="G2697" t="s">
        <v>24</v>
      </c>
      <c r="H2697" t="s">
        <v>25</v>
      </c>
      <c r="I2697" t="s">
        <v>26</v>
      </c>
      <c r="J2697" t="s">
        <v>27</v>
      </c>
      <c r="K2697">
        <v>3</v>
      </c>
      <c r="L2697">
        <v>81161</v>
      </c>
      <c r="M2697" t="s">
        <v>36</v>
      </c>
      <c r="N2697">
        <v>1</v>
      </c>
      <c r="O2697">
        <v>3</v>
      </c>
      <c r="P2697">
        <v>54</v>
      </c>
      <c r="Q2697">
        <v>1</v>
      </c>
      <c r="R2697" s="1">
        <v>43873</v>
      </c>
      <c r="S2697" t="s">
        <v>37</v>
      </c>
      <c r="T2697" t="str">
        <f t="shared" si="210"/>
        <v>Grade A</v>
      </c>
      <c r="U2697">
        <f t="shared" si="211"/>
        <v>1</v>
      </c>
      <c r="V2697" t="str">
        <f t="shared" si="212"/>
        <v>Junior</v>
      </c>
      <c r="W2697" t="str">
        <f t="shared" si="213"/>
        <v>Already Left</v>
      </c>
      <c r="X2697" t="str">
        <f t="shared" si="214"/>
        <v>Overpaid</v>
      </c>
    </row>
    <row r="2698" spans="1:24" x14ac:dyDescent="0.3">
      <c r="A2698" t="s">
        <v>2766</v>
      </c>
      <c r="B2698" t="s">
        <v>39</v>
      </c>
      <c r="C2698">
        <v>38</v>
      </c>
      <c r="D2698" t="s">
        <v>88</v>
      </c>
      <c r="E2698" t="s">
        <v>22</v>
      </c>
      <c r="F2698" t="s">
        <v>65</v>
      </c>
      <c r="G2698" t="s">
        <v>58</v>
      </c>
      <c r="H2698" t="s">
        <v>83</v>
      </c>
      <c r="I2698" t="s">
        <v>68</v>
      </c>
      <c r="J2698" t="s">
        <v>60</v>
      </c>
      <c r="K2698">
        <v>2</v>
      </c>
      <c r="L2698">
        <v>83465</v>
      </c>
      <c r="M2698" t="s">
        <v>51</v>
      </c>
      <c r="N2698">
        <v>2</v>
      </c>
      <c r="O2698">
        <v>4</v>
      </c>
      <c r="P2698">
        <v>72</v>
      </c>
      <c r="Q2698">
        <v>3</v>
      </c>
      <c r="R2698" s="1">
        <v>44444</v>
      </c>
      <c r="S2698" t="s">
        <v>29</v>
      </c>
      <c r="T2698" t="str">
        <f t="shared" si="210"/>
        <v>Grade A</v>
      </c>
      <c r="U2698">
        <f t="shared" si="211"/>
        <v>4</v>
      </c>
      <c r="V2698" t="str">
        <f t="shared" si="212"/>
        <v>New Joiner</v>
      </c>
      <c r="W2698" t="str">
        <f t="shared" si="213"/>
        <v>Low Risk</v>
      </c>
      <c r="X2698" t="str">
        <f t="shared" si="214"/>
        <v>Competitive</v>
      </c>
    </row>
    <row r="2699" spans="1:24" x14ac:dyDescent="0.3">
      <c r="A2699" t="s">
        <v>2767</v>
      </c>
      <c r="B2699" t="s">
        <v>39</v>
      </c>
      <c r="C2699">
        <v>45</v>
      </c>
      <c r="D2699" t="s">
        <v>31</v>
      </c>
      <c r="E2699" t="s">
        <v>48</v>
      </c>
      <c r="F2699" t="s">
        <v>65</v>
      </c>
      <c r="G2699" t="s">
        <v>24</v>
      </c>
      <c r="H2699" t="s">
        <v>34</v>
      </c>
      <c r="I2699" t="s">
        <v>50</v>
      </c>
      <c r="J2699" t="s">
        <v>44</v>
      </c>
      <c r="K2699">
        <v>14</v>
      </c>
      <c r="L2699">
        <v>106849</v>
      </c>
      <c r="M2699" t="s">
        <v>45</v>
      </c>
      <c r="N2699">
        <v>2</v>
      </c>
      <c r="O2699">
        <v>3</v>
      </c>
      <c r="P2699">
        <v>42</v>
      </c>
      <c r="Q2699">
        <v>1</v>
      </c>
      <c r="R2699" s="1">
        <v>40094</v>
      </c>
      <c r="S2699" t="s">
        <v>29</v>
      </c>
      <c r="T2699" t="str">
        <f t="shared" si="210"/>
        <v>Grade A</v>
      </c>
      <c r="U2699">
        <f t="shared" si="211"/>
        <v>2</v>
      </c>
      <c r="V2699" t="str">
        <f t="shared" si="212"/>
        <v>Senior</v>
      </c>
      <c r="W2699" t="str">
        <f t="shared" si="213"/>
        <v>Medium Risk</v>
      </c>
      <c r="X2699" t="str">
        <f t="shared" si="214"/>
        <v>Fair</v>
      </c>
    </row>
    <row r="2700" spans="1:24" x14ac:dyDescent="0.3">
      <c r="A2700" t="s">
        <v>2768</v>
      </c>
      <c r="B2700" t="s">
        <v>20</v>
      </c>
      <c r="C2700">
        <v>39</v>
      </c>
      <c r="D2700" t="s">
        <v>21</v>
      </c>
      <c r="E2700" t="s">
        <v>40</v>
      </c>
      <c r="F2700" t="s">
        <v>32</v>
      </c>
      <c r="G2700" t="s">
        <v>79</v>
      </c>
      <c r="H2700" t="s">
        <v>34</v>
      </c>
      <c r="I2700" t="s">
        <v>26</v>
      </c>
      <c r="J2700" t="s">
        <v>27</v>
      </c>
      <c r="K2700">
        <v>2</v>
      </c>
      <c r="L2700">
        <v>44267</v>
      </c>
      <c r="M2700" t="s">
        <v>51</v>
      </c>
      <c r="N2700">
        <v>3</v>
      </c>
      <c r="O2700">
        <v>1</v>
      </c>
      <c r="P2700">
        <v>36</v>
      </c>
      <c r="Q2700">
        <v>2</v>
      </c>
      <c r="R2700" s="1">
        <v>44318</v>
      </c>
      <c r="S2700" t="s">
        <v>29</v>
      </c>
      <c r="T2700" t="str">
        <f t="shared" si="210"/>
        <v>Grade C</v>
      </c>
      <c r="U2700">
        <f t="shared" si="211"/>
        <v>4</v>
      </c>
      <c r="V2700" t="str">
        <f t="shared" si="212"/>
        <v>New Joiner</v>
      </c>
      <c r="W2700" t="str">
        <f t="shared" si="213"/>
        <v>Low Risk</v>
      </c>
      <c r="X2700" t="str">
        <f t="shared" si="214"/>
        <v>Fair</v>
      </c>
    </row>
    <row r="2701" spans="1:24" x14ac:dyDescent="0.3">
      <c r="A2701" t="s">
        <v>2769</v>
      </c>
      <c r="B2701" t="s">
        <v>20</v>
      </c>
      <c r="C2701">
        <v>37</v>
      </c>
      <c r="D2701" t="s">
        <v>21</v>
      </c>
      <c r="E2701" t="s">
        <v>48</v>
      </c>
      <c r="F2701" t="s">
        <v>32</v>
      </c>
      <c r="G2701" t="s">
        <v>66</v>
      </c>
      <c r="H2701" t="s">
        <v>67</v>
      </c>
      <c r="I2701" t="s">
        <v>72</v>
      </c>
      <c r="J2701" t="s">
        <v>73</v>
      </c>
      <c r="K2701">
        <v>8</v>
      </c>
      <c r="L2701">
        <v>41456</v>
      </c>
      <c r="M2701" t="s">
        <v>28</v>
      </c>
      <c r="N2701">
        <v>3</v>
      </c>
      <c r="O2701">
        <v>2</v>
      </c>
      <c r="P2701">
        <v>50</v>
      </c>
      <c r="Q2701">
        <v>1</v>
      </c>
      <c r="R2701" s="1">
        <v>42262</v>
      </c>
      <c r="S2701" t="s">
        <v>29</v>
      </c>
      <c r="T2701" t="str">
        <f t="shared" si="210"/>
        <v>Grade C</v>
      </c>
      <c r="U2701">
        <f t="shared" si="211"/>
        <v>3</v>
      </c>
      <c r="V2701" t="str">
        <f t="shared" si="212"/>
        <v>Mid Level</v>
      </c>
      <c r="W2701" t="str">
        <f t="shared" si="213"/>
        <v>Medium Risk</v>
      </c>
      <c r="X2701" t="str">
        <f t="shared" si="214"/>
        <v>Fair</v>
      </c>
    </row>
    <row r="2702" spans="1:24" x14ac:dyDescent="0.3">
      <c r="A2702" t="s">
        <v>2770</v>
      </c>
      <c r="B2702" t="s">
        <v>20</v>
      </c>
      <c r="C2702">
        <v>52</v>
      </c>
      <c r="D2702" t="s">
        <v>88</v>
      </c>
      <c r="E2702" t="s">
        <v>48</v>
      </c>
      <c r="F2702" t="s">
        <v>53</v>
      </c>
      <c r="G2702" t="s">
        <v>24</v>
      </c>
      <c r="H2702" t="s">
        <v>25</v>
      </c>
      <c r="I2702" t="s">
        <v>59</v>
      </c>
      <c r="J2702" t="s">
        <v>60</v>
      </c>
      <c r="K2702">
        <v>5</v>
      </c>
      <c r="L2702">
        <v>78145</v>
      </c>
      <c r="M2702" t="s">
        <v>28</v>
      </c>
      <c r="N2702">
        <v>3</v>
      </c>
      <c r="O2702">
        <v>4</v>
      </c>
      <c r="P2702">
        <v>31</v>
      </c>
      <c r="Q2702">
        <v>0</v>
      </c>
      <c r="R2702" s="1">
        <v>43176</v>
      </c>
      <c r="S2702" t="s">
        <v>29</v>
      </c>
      <c r="T2702" t="str">
        <f t="shared" si="210"/>
        <v>Grade B</v>
      </c>
      <c r="U2702">
        <f t="shared" si="211"/>
        <v>3</v>
      </c>
      <c r="V2702" t="str">
        <f t="shared" si="212"/>
        <v>Junior</v>
      </c>
      <c r="W2702" t="str">
        <f t="shared" si="213"/>
        <v>Medium Risk</v>
      </c>
      <c r="X2702" t="str">
        <f t="shared" si="214"/>
        <v>Competitive</v>
      </c>
    </row>
    <row r="2703" spans="1:24" x14ac:dyDescent="0.3">
      <c r="A2703" t="s">
        <v>2771</v>
      </c>
      <c r="B2703" t="s">
        <v>20</v>
      </c>
      <c r="C2703">
        <v>42</v>
      </c>
      <c r="D2703" t="s">
        <v>88</v>
      </c>
      <c r="E2703" t="s">
        <v>22</v>
      </c>
      <c r="F2703" t="s">
        <v>32</v>
      </c>
      <c r="G2703" t="s">
        <v>58</v>
      </c>
      <c r="H2703" t="s">
        <v>67</v>
      </c>
      <c r="I2703" t="s">
        <v>96</v>
      </c>
      <c r="J2703" t="s">
        <v>44</v>
      </c>
      <c r="K2703">
        <v>1</v>
      </c>
      <c r="L2703">
        <v>90772</v>
      </c>
      <c r="M2703" t="s">
        <v>45</v>
      </c>
      <c r="N2703">
        <v>3</v>
      </c>
      <c r="O2703">
        <v>2</v>
      </c>
      <c r="P2703">
        <v>47</v>
      </c>
      <c r="Q2703">
        <v>0</v>
      </c>
      <c r="R2703" s="1">
        <v>44574</v>
      </c>
      <c r="S2703" t="s">
        <v>29</v>
      </c>
      <c r="T2703" t="str">
        <f t="shared" si="210"/>
        <v>Grade A</v>
      </c>
      <c r="U2703">
        <f t="shared" si="211"/>
        <v>2</v>
      </c>
      <c r="V2703" t="str">
        <f t="shared" si="212"/>
        <v>New Joiner</v>
      </c>
      <c r="W2703" t="str">
        <f t="shared" si="213"/>
        <v>Medium Risk</v>
      </c>
      <c r="X2703" t="str">
        <f t="shared" si="214"/>
        <v>Fair</v>
      </c>
    </row>
    <row r="2704" spans="1:24" x14ac:dyDescent="0.3">
      <c r="A2704" t="s">
        <v>2772</v>
      </c>
      <c r="B2704" t="s">
        <v>39</v>
      </c>
      <c r="C2704">
        <v>50</v>
      </c>
      <c r="D2704" t="s">
        <v>21</v>
      </c>
      <c r="E2704" t="s">
        <v>48</v>
      </c>
      <c r="F2704" t="s">
        <v>53</v>
      </c>
      <c r="G2704" t="s">
        <v>66</v>
      </c>
      <c r="H2704" t="s">
        <v>34</v>
      </c>
      <c r="I2704" t="s">
        <v>96</v>
      </c>
      <c r="J2704" t="s">
        <v>44</v>
      </c>
      <c r="K2704">
        <v>3</v>
      </c>
      <c r="L2704">
        <v>42380</v>
      </c>
      <c r="M2704" t="s">
        <v>36</v>
      </c>
      <c r="N2704">
        <v>2</v>
      </c>
      <c r="O2704">
        <v>3</v>
      </c>
      <c r="P2704">
        <v>74</v>
      </c>
      <c r="Q2704">
        <v>3</v>
      </c>
      <c r="R2704" s="1">
        <v>44105</v>
      </c>
      <c r="S2704" t="s">
        <v>37</v>
      </c>
      <c r="T2704" t="str">
        <f t="shared" si="210"/>
        <v>Grade C</v>
      </c>
      <c r="U2704">
        <f t="shared" si="211"/>
        <v>1</v>
      </c>
      <c r="V2704" t="str">
        <f t="shared" si="212"/>
        <v>Junior</v>
      </c>
      <c r="W2704" t="str">
        <f t="shared" si="213"/>
        <v>Already Left</v>
      </c>
      <c r="X2704" t="str">
        <f t="shared" si="214"/>
        <v>Fair</v>
      </c>
    </row>
    <row r="2705" spans="1:24" x14ac:dyDescent="0.3">
      <c r="A2705" t="s">
        <v>2773</v>
      </c>
      <c r="B2705" t="s">
        <v>39</v>
      </c>
      <c r="C2705">
        <v>48</v>
      </c>
      <c r="D2705" t="s">
        <v>47</v>
      </c>
      <c r="E2705" t="s">
        <v>22</v>
      </c>
      <c r="F2705" t="s">
        <v>75</v>
      </c>
      <c r="G2705" t="s">
        <v>66</v>
      </c>
      <c r="H2705" t="s">
        <v>83</v>
      </c>
      <c r="I2705" t="s">
        <v>59</v>
      </c>
      <c r="J2705" t="s">
        <v>60</v>
      </c>
      <c r="K2705">
        <v>6</v>
      </c>
      <c r="L2705">
        <v>54645</v>
      </c>
      <c r="M2705" t="s">
        <v>51</v>
      </c>
      <c r="N2705">
        <v>1</v>
      </c>
      <c r="O2705">
        <v>4</v>
      </c>
      <c r="P2705">
        <v>68</v>
      </c>
      <c r="Q2705">
        <v>2</v>
      </c>
      <c r="R2705" s="1">
        <v>42756</v>
      </c>
      <c r="S2705" t="s">
        <v>29</v>
      </c>
      <c r="T2705" t="str">
        <f t="shared" si="210"/>
        <v>Grade B</v>
      </c>
      <c r="U2705">
        <f t="shared" si="211"/>
        <v>4</v>
      </c>
      <c r="V2705" t="str">
        <f t="shared" si="212"/>
        <v>Mid Level</v>
      </c>
      <c r="W2705" t="str">
        <f t="shared" si="213"/>
        <v>Low Risk</v>
      </c>
      <c r="X2705" t="str">
        <f t="shared" si="214"/>
        <v>Fair</v>
      </c>
    </row>
    <row r="2706" spans="1:24" x14ac:dyDescent="0.3">
      <c r="A2706" t="s">
        <v>2774</v>
      </c>
      <c r="B2706" t="s">
        <v>20</v>
      </c>
      <c r="C2706">
        <v>28</v>
      </c>
      <c r="D2706" t="s">
        <v>31</v>
      </c>
      <c r="E2706" t="s">
        <v>48</v>
      </c>
      <c r="F2706" t="s">
        <v>41</v>
      </c>
      <c r="G2706" t="s">
        <v>24</v>
      </c>
      <c r="H2706" t="s">
        <v>83</v>
      </c>
      <c r="I2706" t="s">
        <v>50</v>
      </c>
      <c r="J2706" t="s">
        <v>44</v>
      </c>
      <c r="K2706">
        <v>4</v>
      </c>
      <c r="L2706">
        <v>87720</v>
      </c>
      <c r="M2706" t="s">
        <v>45</v>
      </c>
      <c r="N2706">
        <v>4</v>
      </c>
      <c r="O2706">
        <v>3</v>
      </c>
      <c r="P2706">
        <v>58</v>
      </c>
      <c r="Q2706">
        <v>3</v>
      </c>
      <c r="R2706" s="1">
        <v>43722</v>
      </c>
      <c r="S2706" t="s">
        <v>37</v>
      </c>
      <c r="T2706" t="str">
        <f t="shared" si="210"/>
        <v>Grade A</v>
      </c>
      <c r="U2706">
        <f t="shared" si="211"/>
        <v>2</v>
      </c>
      <c r="V2706" t="str">
        <f t="shared" si="212"/>
        <v>Junior</v>
      </c>
      <c r="W2706" t="str">
        <f t="shared" si="213"/>
        <v>Already Left</v>
      </c>
      <c r="X2706" t="str">
        <f t="shared" si="214"/>
        <v>Fair</v>
      </c>
    </row>
    <row r="2707" spans="1:24" x14ac:dyDescent="0.3">
      <c r="A2707" t="s">
        <v>2775</v>
      </c>
      <c r="B2707" t="s">
        <v>20</v>
      </c>
      <c r="C2707">
        <v>37</v>
      </c>
      <c r="D2707" t="s">
        <v>88</v>
      </c>
      <c r="E2707" t="s">
        <v>22</v>
      </c>
      <c r="F2707" t="s">
        <v>78</v>
      </c>
      <c r="G2707" t="s">
        <v>33</v>
      </c>
      <c r="H2707" t="s">
        <v>83</v>
      </c>
      <c r="I2707" t="s">
        <v>59</v>
      </c>
      <c r="J2707" t="s">
        <v>60</v>
      </c>
      <c r="K2707">
        <v>8</v>
      </c>
      <c r="L2707">
        <v>66258</v>
      </c>
      <c r="M2707" t="s">
        <v>28</v>
      </c>
      <c r="N2707">
        <v>1</v>
      </c>
      <c r="O2707">
        <v>2</v>
      </c>
      <c r="P2707">
        <v>29</v>
      </c>
      <c r="Q2707">
        <v>1</v>
      </c>
      <c r="R2707" s="1">
        <v>42357</v>
      </c>
      <c r="S2707" t="s">
        <v>29</v>
      </c>
      <c r="T2707" t="str">
        <f t="shared" si="210"/>
        <v>Grade B</v>
      </c>
      <c r="U2707">
        <f t="shared" si="211"/>
        <v>3</v>
      </c>
      <c r="V2707" t="str">
        <f t="shared" si="212"/>
        <v>Mid Level</v>
      </c>
      <c r="W2707" t="str">
        <f t="shared" si="213"/>
        <v>Medium Risk</v>
      </c>
      <c r="X2707" t="str">
        <f t="shared" si="214"/>
        <v>Competitive</v>
      </c>
    </row>
    <row r="2708" spans="1:24" x14ac:dyDescent="0.3">
      <c r="A2708" t="s">
        <v>2776</v>
      </c>
      <c r="B2708" t="s">
        <v>20</v>
      </c>
      <c r="C2708">
        <v>43</v>
      </c>
      <c r="D2708" t="s">
        <v>21</v>
      </c>
      <c r="E2708" t="s">
        <v>22</v>
      </c>
      <c r="F2708" t="s">
        <v>75</v>
      </c>
      <c r="G2708" t="s">
        <v>66</v>
      </c>
      <c r="H2708" t="s">
        <v>25</v>
      </c>
      <c r="I2708" t="s">
        <v>54</v>
      </c>
      <c r="J2708" t="s">
        <v>27</v>
      </c>
      <c r="K2708">
        <v>12</v>
      </c>
      <c r="L2708">
        <v>55398</v>
      </c>
      <c r="M2708" t="s">
        <v>36</v>
      </c>
      <c r="N2708">
        <v>3</v>
      </c>
      <c r="O2708">
        <v>4</v>
      </c>
      <c r="P2708">
        <v>29</v>
      </c>
      <c r="Q2708">
        <v>1</v>
      </c>
      <c r="R2708" s="1">
        <v>40774</v>
      </c>
      <c r="S2708" t="s">
        <v>37</v>
      </c>
      <c r="T2708" t="str">
        <f t="shared" si="210"/>
        <v>Grade B</v>
      </c>
      <c r="U2708">
        <f t="shared" si="211"/>
        <v>1</v>
      </c>
      <c r="V2708" t="str">
        <f t="shared" si="212"/>
        <v>Senior</v>
      </c>
      <c r="W2708" t="str">
        <f t="shared" si="213"/>
        <v>Already Left</v>
      </c>
      <c r="X2708" t="str">
        <f t="shared" si="214"/>
        <v>Fair</v>
      </c>
    </row>
    <row r="2709" spans="1:24" x14ac:dyDescent="0.3">
      <c r="A2709" t="s">
        <v>2777</v>
      </c>
      <c r="B2709" t="s">
        <v>20</v>
      </c>
      <c r="C2709">
        <v>30</v>
      </c>
      <c r="D2709" t="s">
        <v>88</v>
      </c>
      <c r="E2709" t="s">
        <v>40</v>
      </c>
      <c r="F2709" t="s">
        <v>23</v>
      </c>
      <c r="G2709" t="s">
        <v>42</v>
      </c>
      <c r="H2709" t="s">
        <v>34</v>
      </c>
      <c r="I2709" t="s">
        <v>68</v>
      </c>
      <c r="J2709" t="s">
        <v>60</v>
      </c>
      <c r="K2709">
        <v>13</v>
      </c>
      <c r="L2709">
        <v>124364</v>
      </c>
      <c r="M2709" t="s">
        <v>28</v>
      </c>
      <c r="N2709">
        <v>4</v>
      </c>
      <c r="O2709">
        <v>1</v>
      </c>
      <c r="P2709">
        <v>36</v>
      </c>
      <c r="Q2709">
        <v>0</v>
      </c>
      <c r="R2709" s="1">
        <v>40201</v>
      </c>
      <c r="S2709" t="s">
        <v>29</v>
      </c>
      <c r="T2709" t="str">
        <f t="shared" si="210"/>
        <v>Grade A</v>
      </c>
      <c r="U2709">
        <f t="shared" si="211"/>
        <v>3</v>
      </c>
      <c r="V2709" t="str">
        <f t="shared" si="212"/>
        <v>Senior</v>
      </c>
      <c r="W2709" t="str">
        <f t="shared" si="213"/>
        <v>Medium Risk</v>
      </c>
      <c r="X2709" t="str">
        <f t="shared" si="214"/>
        <v>Competitive</v>
      </c>
    </row>
    <row r="2710" spans="1:24" x14ac:dyDescent="0.3">
      <c r="A2710" t="s">
        <v>2778</v>
      </c>
      <c r="B2710" t="s">
        <v>20</v>
      </c>
      <c r="C2710">
        <v>43</v>
      </c>
      <c r="D2710" t="s">
        <v>21</v>
      </c>
      <c r="E2710" t="s">
        <v>22</v>
      </c>
      <c r="F2710" t="s">
        <v>41</v>
      </c>
      <c r="G2710" t="s">
        <v>63</v>
      </c>
      <c r="H2710" t="s">
        <v>34</v>
      </c>
      <c r="I2710" t="s">
        <v>96</v>
      </c>
      <c r="J2710" t="s">
        <v>44</v>
      </c>
      <c r="K2710">
        <v>1</v>
      </c>
      <c r="L2710">
        <v>55687</v>
      </c>
      <c r="M2710" t="s">
        <v>36</v>
      </c>
      <c r="N2710">
        <v>4</v>
      </c>
      <c r="O2710">
        <v>2</v>
      </c>
      <c r="P2710">
        <v>76</v>
      </c>
      <c r="Q2710">
        <v>1</v>
      </c>
      <c r="R2710" s="1">
        <v>44824</v>
      </c>
      <c r="S2710" t="s">
        <v>29</v>
      </c>
      <c r="T2710" t="str">
        <f t="shared" si="210"/>
        <v>Grade B</v>
      </c>
      <c r="U2710">
        <f t="shared" si="211"/>
        <v>1</v>
      </c>
      <c r="V2710" t="str">
        <f t="shared" si="212"/>
        <v>New Joiner</v>
      </c>
      <c r="W2710" t="str">
        <f t="shared" si="213"/>
        <v>High Risk</v>
      </c>
      <c r="X2710" t="str">
        <f t="shared" si="214"/>
        <v>Fair</v>
      </c>
    </row>
    <row r="2711" spans="1:24" x14ac:dyDescent="0.3">
      <c r="A2711" t="s">
        <v>2779</v>
      </c>
      <c r="B2711" t="s">
        <v>20</v>
      </c>
      <c r="C2711">
        <v>54</v>
      </c>
      <c r="D2711" t="s">
        <v>31</v>
      </c>
      <c r="E2711" t="s">
        <v>40</v>
      </c>
      <c r="F2711" t="s">
        <v>53</v>
      </c>
      <c r="G2711" t="s">
        <v>63</v>
      </c>
      <c r="H2711" t="s">
        <v>83</v>
      </c>
      <c r="I2711" t="s">
        <v>54</v>
      </c>
      <c r="J2711" t="s">
        <v>27</v>
      </c>
      <c r="K2711">
        <v>3</v>
      </c>
      <c r="L2711">
        <v>41482</v>
      </c>
      <c r="M2711" t="s">
        <v>36</v>
      </c>
      <c r="N2711">
        <v>4</v>
      </c>
      <c r="O2711">
        <v>1</v>
      </c>
      <c r="P2711">
        <v>17</v>
      </c>
      <c r="Q2711">
        <v>1</v>
      </c>
      <c r="R2711" s="1">
        <v>44103</v>
      </c>
      <c r="S2711" t="s">
        <v>29</v>
      </c>
      <c r="T2711" t="str">
        <f t="shared" si="210"/>
        <v>Grade C</v>
      </c>
      <c r="U2711">
        <f t="shared" si="211"/>
        <v>1</v>
      </c>
      <c r="V2711" t="str">
        <f t="shared" si="212"/>
        <v>Junior</v>
      </c>
      <c r="W2711" t="str">
        <f t="shared" si="213"/>
        <v>Medium Risk</v>
      </c>
      <c r="X2711" t="str">
        <f t="shared" si="214"/>
        <v>Fair</v>
      </c>
    </row>
    <row r="2712" spans="1:24" x14ac:dyDescent="0.3">
      <c r="A2712" t="s">
        <v>2780</v>
      </c>
      <c r="B2712" t="s">
        <v>39</v>
      </c>
      <c r="C2712">
        <v>46</v>
      </c>
      <c r="D2712" t="s">
        <v>88</v>
      </c>
      <c r="E2712" t="s">
        <v>48</v>
      </c>
      <c r="F2712" t="s">
        <v>32</v>
      </c>
      <c r="G2712" t="s">
        <v>66</v>
      </c>
      <c r="H2712" t="s">
        <v>83</v>
      </c>
      <c r="I2712" t="s">
        <v>43</v>
      </c>
      <c r="J2712" t="s">
        <v>44</v>
      </c>
      <c r="K2712">
        <v>7</v>
      </c>
      <c r="L2712">
        <v>52604</v>
      </c>
      <c r="M2712" t="s">
        <v>45</v>
      </c>
      <c r="N2712">
        <v>1</v>
      </c>
      <c r="O2712">
        <v>2</v>
      </c>
      <c r="P2712">
        <v>37</v>
      </c>
      <c r="Q2712">
        <v>2</v>
      </c>
      <c r="R2712" s="1">
        <v>42576</v>
      </c>
      <c r="S2712" t="s">
        <v>29</v>
      </c>
      <c r="T2712" t="str">
        <f t="shared" si="210"/>
        <v>Grade B</v>
      </c>
      <c r="U2712">
        <f t="shared" si="211"/>
        <v>2</v>
      </c>
      <c r="V2712" t="str">
        <f t="shared" si="212"/>
        <v>Mid Level</v>
      </c>
      <c r="W2712" t="str">
        <f t="shared" si="213"/>
        <v>Medium Risk</v>
      </c>
      <c r="X2712" t="str">
        <f t="shared" si="214"/>
        <v>Fair</v>
      </c>
    </row>
    <row r="2713" spans="1:24" x14ac:dyDescent="0.3">
      <c r="A2713" t="s">
        <v>2781</v>
      </c>
      <c r="B2713" t="s">
        <v>20</v>
      </c>
      <c r="C2713">
        <v>28</v>
      </c>
      <c r="D2713" t="s">
        <v>31</v>
      </c>
      <c r="E2713" t="s">
        <v>40</v>
      </c>
      <c r="F2713" t="s">
        <v>23</v>
      </c>
      <c r="G2713" t="s">
        <v>58</v>
      </c>
      <c r="H2713" t="s">
        <v>34</v>
      </c>
      <c r="I2713" t="s">
        <v>68</v>
      </c>
      <c r="J2713" t="s">
        <v>60</v>
      </c>
      <c r="K2713">
        <v>13</v>
      </c>
      <c r="L2713">
        <v>118212</v>
      </c>
      <c r="M2713" t="s">
        <v>36</v>
      </c>
      <c r="N2713">
        <v>2</v>
      </c>
      <c r="O2713">
        <v>2</v>
      </c>
      <c r="P2713">
        <v>61</v>
      </c>
      <c r="Q2713">
        <v>0</v>
      </c>
      <c r="R2713" s="1">
        <v>40546</v>
      </c>
      <c r="S2713" t="s">
        <v>37</v>
      </c>
      <c r="T2713" t="str">
        <f t="shared" si="210"/>
        <v>Grade A</v>
      </c>
      <c r="U2713">
        <f t="shared" si="211"/>
        <v>1</v>
      </c>
      <c r="V2713" t="str">
        <f t="shared" si="212"/>
        <v>Senior</v>
      </c>
      <c r="W2713" t="str">
        <f t="shared" si="213"/>
        <v>Already Left</v>
      </c>
      <c r="X2713" t="str">
        <f t="shared" si="214"/>
        <v>Overpaid</v>
      </c>
    </row>
    <row r="2714" spans="1:24" x14ac:dyDescent="0.3">
      <c r="A2714" t="s">
        <v>2782</v>
      </c>
      <c r="B2714" t="s">
        <v>20</v>
      </c>
      <c r="C2714">
        <v>39</v>
      </c>
      <c r="D2714" t="s">
        <v>47</v>
      </c>
      <c r="E2714" t="s">
        <v>48</v>
      </c>
      <c r="F2714" t="s">
        <v>75</v>
      </c>
      <c r="G2714" t="s">
        <v>66</v>
      </c>
      <c r="H2714" t="s">
        <v>34</v>
      </c>
      <c r="I2714" t="s">
        <v>59</v>
      </c>
      <c r="J2714" t="s">
        <v>60</v>
      </c>
      <c r="K2714">
        <v>9</v>
      </c>
      <c r="L2714">
        <v>61296</v>
      </c>
      <c r="M2714" t="s">
        <v>51</v>
      </c>
      <c r="N2714">
        <v>2</v>
      </c>
      <c r="O2714">
        <v>1</v>
      </c>
      <c r="P2714">
        <v>35</v>
      </c>
      <c r="Q2714">
        <v>1</v>
      </c>
      <c r="R2714" s="1">
        <v>41861</v>
      </c>
      <c r="S2714" t="s">
        <v>29</v>
      </c>
      <c r="T2714" t="str">
        <f t="shared" si="210"/>
        <v>Grade B</v>
      </c>
      <c r="U2714">
        <f t="shared" si="211"/>
        <v>4</v>
      </c>
      <c r="V2714" t="str">
        <f t="shared" si="212"/>
        <v>Mid Level</v>
      </c>
      <c r="W2714" t="str">
        <f t="shared" si="213"/>
        <v>Low Risk</v>
      </c>
      <c r="X2714" t="str">
        <f t="shared" si="214"/>
        <v>Fair</v>
      </c>
    </row>
    <row r="2715" spans="1:24" x14ac:dyDescent="0.3">
      <c r="A2715" t="s">
        <v>2783</v>
      </c>
      <c r="B2715" t="s">
        <v>39</v>
      </c>
      <c r="C2715">
        <v>41</v>
      </c>
      <c r="D2715" t="s">
        <v>47</v>
      </c>
      <c r="E2715" t="s">
        <v>40</v>
      </c>
      <c r="F2715" t="s">
        <v>78</v>
      </c>
      <c r="G2715" t="s">
        <v>49</v>
      </c>
      <c r="H2715" t="s">
        <v>76</v>
      </c>
      <c r="I2715" t="s">
        <v>43</v>
      </c>
      <c r="J2715" t="s">
        <v>44</v>
      </c>
      <c r="K2715">
        <v>4</v>
      </c>
      <c r="L2715">
        <v>50380</v>
      </c>
      <c r="M2715" t="s">
        <v>36</v>
      </c>
      <c r="N2715">
        <v>3</v>
      </c>
      <c r="O2715">
        <v>2</v>
      </c>
      <c r="P2715">
        <v>15</v>
      </c>
      <c r="Q2715">
        <v>3</v>
      </c>
      <c r="R2715" s="1">
        <v>43482</v>
      </c>
      <c r="S2715" t="s">
        <v>37</v>
      </c>
      <c r="T2715" t="str">
        <f t="shared" si="210"/>
        <v>Grade B</v>
      </c>
      <c r="U2715">
        <f t="shared" si="211"/>
        <v>1</v>
      </c>
      <c r="V2715" t="str">
        <f t="shared" si="212"/>
        <v>Junior</v>
      </c>
      <c r="W2715" t="str">
        <f t="shared" si="213"/>
        <v>Already Left</v>
      </c>
      <c r="X2715" t="str">
        <f t="shared" si="214"/>
        <v>Fair</v>
      </c>
    </row>
    <row r="2716" spans="1:24" x14ac:dyDescent="0.3">
      <c r="A2716" t="s">
        <v>2784</v>
      </c>
      <c r="B2716" t="s">
        <v>39</v>
      </c>
      <c r="C2716">
        <v>26</v>
      </c>
      <c r="D2716" t="s">
        <v>88</v>
      </c>
      <c r="E2716" t="s">
        <v>40</v>
      </c>
      <c r="F2716" t="s">
        <v>78</v>
      </c>
      <c r="G2716" t="s">
        <v>42</v>
      </c>
      <c r="H2716" t="s">
        <v>25</v>
      </c>
      <c r="I2716" t="s">
        <v>54</v>
      </c>
      <c r="J2716" t="s">
        <v>27</v>
      </c>
      <c r="K2716">
        <v>9</v>
      </c>
      <c r="L2716">
        <v>108786</v>
      </c>
      <c r="M2716" t="s">
        <v>36</v>
      </c>
      <c r="N2716">
        <v>4</v>
      </c>
      <c r="O2716">
        <v>3</v>
      </c>
      <c r="P2716">
        <v>69</v>
      </c>
      <c r="Q2716">
        <v>1</v>
      </c>
      <c r="R2716" s="1">
        <v>41945</v>
      </c>
      <c r="S2716" t="s">
        <v>29</v>
      </c>
      <c r="T2716" t="str">
        <f t="shared" si="210"/>
        <v>Grade A</v>
      </c>
      <c r="U2716">
        <f t="shared" si="211"/>
        <v>1</v>
      </c>
      <c r="V2716" t="str">
        <f t="shared" si="212"/>
        <v>Mid Level</v>
      </c>
      <c r="W2716" t="str">
        <f t="shared" si="213"/>
        <v>Medium Risk</v>
      </c>
      <c r="X2716" t="str">
        <f t="shared" si="214"/>
        <v>Overpaid</v>
      </c>
    </row>
    <row r="2717" spans="1:24" x14ac:dyDescent="0.3">
      <c r="A2717" t="s">
        <v>2785</v>
      </c>
      <c r="B2717" t="s">
        <v>20</v>
      </c>
      <c r="C2717">
        <v>41</v>
      </c>
      <c r="D2717" t="s">
        <v>57</v>
      </c>
      <c r="E2717" t="s">
        <v>22</v>
      </c>
      <c r="F2717" t="s">
        <v>41</v>
      </c>
      <c r="G2717" t="s">
        <v>24</v>
      </c>
      <c r="H2717" t="s">
        <v>67</v>
      </c>
      <c r="I2717" t="s">
        <v>54</v>
      </c>
      <c r="J2717" t="s">
        <v>27</v>
      </c>
      <c r="K2717">
        <v>2</v>
      </c>
      <c r="L2717">
        <v>81663</v>
      </c>
      <c r="M2717" t="s">
        <v>51</v>
      </c>
      <c r="N2717">
        <v>2</v>
      </c>
      <c r="O2717">
        <v>1</v>
      </c>
      <c r="P2717">
        <v>26</v>
      </c>
      <c r="Q2717">
        <v>1</v>
      </c>
      <c r="R2717" s="1">
        <v>44246</v>
      </c>
      <c r="S2717" t="s">
        <v>29</v>
      </c>
      <c r="T2717" t="str">
        <f t="shared" si="210"/>
        <v>Grade A</v>
      </c>
      <c r="U2717">
        <f t="shared" si="211"/>
        <v>4</v>
      </c>
      <c r="V2717" t="str">
        <f t="shared" si="212"/>
        <v>New Joiner</v>
      </c>
      <c r="W2717" t="str">
        <f t="shared" si="213"/>
        <v>Low Risk</v>
      </c>
      <c r="X2717" t="str">
        <f t="shared" si="214"/>
        <v>Competitive</v>
      </c>
    </row>
    <row r="2718" spans="1:24" x14ac:dyDescent="0.3">
      <c r="A2718" t="s">
        <v>2786</v>
      </c>
      <c r="B2718" t="s">
        <v>39</v>
      </c>
      <c r="C2718">
        <v>30</v>
      </c>
      <c r="D2718" t="s">
        <v>57</v>
      </c>
      <c r="E2718" t="s">
        <v>48</v>
      </c>
      <c r="F2718" t="s">
        <v>53</v>
      </c>
      <c r="G2718" t="s">
        <v>79</v>
      </c>
      <c r="H2718" t="s">
        <v>83</v>
      </c>
      <c r="I2718" t="s">
        <v>26</v>
      </c>
      <c r="J2718" t="s">
        <v>27</v>
      </c>
      <c r="K2718">
        <v>9</v>
      </c>
      <c r="L2718">
        <v>62672</v>
      </c>
      <c r="M2718" t="s">
        <v>36</v>
      </c>
      <c r="N2718">
        <v>1</v>
      </c>
      <c r="O2718">
        <v>1</v>
      </c>
      <c r="P2718">
        <v>78</v>
      </c>
      <c r="Q2718">
        <v>2</v>
      </c>
      <c r="R2718" s="1">
        <v>41917</v>
      </c>
      <c r="S2718" t="s">
        <v>37</v>
      </c>
      <c r="T2718" t="str">
        <f t="shared" si="210"/>
        <v>Grade B</v>
      </c>
      <c r="U2718">
        <f t="shared" si="211"/>
        <v>1</v>
      </c>
      <c r="V2718" t="str">
        <f t="shared" si="212"/>
        <v>Mid Level</v>
      </c>
      <c r="W2718" t="str">
        <f t="shared" si="213"/>
        <v>Already Left</v>
      </c>
      <c r="X2718" t="str">
        <f t="shared" si="214"/>
        <v>Fair</v>
      </c>
    </row>
    <row r="2719" spans="1:24" x14ac:dyDescent="0.3">
      <c r="A2719" t="s">
        <v>2787</v>
      </c>
      <c r="B2719" t="s">
        <v>39</v>
      </c>
      <c r="C2719">
        <v>51</v>
      </c>
      <c r="D2719" t="s">
        <v>47</v>
      </c>
      <c r="E2719" t="s">
        <v>48</v>
      </c>
      <c r="F2719" t="s">
        <v>53</v>
      </c>
      <c r="G2719" t="s">
        <v>58</v>
      </c>
      <c r="H2719" t="s">
        <v>83</v>
      </c>
      <c r="I2719" t="s">
        <v>54</v>
      </c>
      <c r="J2719" t="s">
        <v>27</v>
      </c>
      <c r="K2719">
        <v>4</v>
      </c>
      <c r="L2719">
        <v>91575</v>
      </c>
      <c r="M2719" t="s">
        <v>36</v>
      </c>
      <c r="N2719">
        <v>1</v>
      </c>
      <c r="O2719">
        <v>1</v>
      </c>
      <c r="P2719">
        <v>11</v>
      </c>
      <c r="Q2719">
        <v>2</v>
      </c>
      <c r="R2719" s="1">
        <v>43656</v>
      </c>
      <c r="S2719" t="s">
        <v>37</v>
      </c>
      <c r="T2719" t="str">
        <f t="shared" si="210"/>
        <v>Grade A</v>
      </c>
      <c r="U2719">
        <f t="shared" si="211"/>
        <v>1</v>
      </c>
      <c r="V2719" t="str">
        <f t="shared" si="212"/>
        <v>Junior</v>
      </c>
      <c r="W2719" t="str">
        <f t="shared" si="213"/>
        <v>Already Left</v>
      </c>
      <c r="X2719" t="str">
        <f t="shared" si="214"/>
        <v>Overpaid</v>
      </c>
    </row>
    <row r="2720" spans="1:24" x14ac:dyDescent="0.3">
      <c r="A2720" t="s">
        <v>2788</v>
      </c>
      <c r="B2720" t="s">
        <v>39</v>
      </c>
      <c r="C2720">
        <v>42</v>
      </c>
      <c r="D2720" t="s">
        <v>21</v>
      </c>
      <c r="E2720" t="s">
        <v>22</v>
      </c>
      <c r="F2720" t="s">
        <v>41</v>
      </c>
      <c r="G2720" t="s">
        <v>79</v>
      </c>
      <c r="H2720" t="s">
        <v>83</v>
      </c>
      <c r="I2720" t="s">
        <v>59</v>
      </c>
      <c r="J2720" t="s">
        <v>60</v>
      </c>
      <c r="K2720">
        <v>15</v>
      </c>
      <c r="L2720">
        <v>75062</v>
      </c>
      <c r="M2720" t="s">
        <v>51</v>
      </c>
      <c r="N2720">
        <v>4</v>
      </c>
      <c r="O2720">
        <v>2</v>
      </c>
      <c r="P2720">
        <v>29</v>
      </c>
      <c r="Q2720">
        <v>1</v>
      </c>
      <c r="R2720" s="1">
        <v>39480</v>
      </c>
      <c r="S2720" t="s">
        <v>29</v>
      </c>
      <c r="T2720" t="str">
        <f t="shared" si="210"/>
        <v>Grade B</v>
      </c>
      <c r="U2720">
        <f t="shared" si="211"/>
        <v>4</v>
      </c>
      <c r="V2720" t="str">
        <f t="shared" si="212"/>
        <v>Senior</v>
      </c>
      <c r="W2720" t="str">
        <f t="shared" si="213"/>
        <v>Low Risk</v>
      </c>
      <c r="X2720" t="str">
        <f t="shared" si="214"/>
        <v>Fair</v>
      </c>
    </row>
    <row r="2721" spans="1:24" x14ac:dyDescent="0.3">
      <c r="A2721" t="s">
        <v>2789</v>
      </c>
      <c r="B2721" t="s">
        <v>39</v>
      </c>
      <c r="C2721">
        <v>41</v>
      </c>
      <c r="D2721" t="s">
        <v>21</v>
      </c>
      <c r="E2721" t="s">
        <v>22</v>
      </c>
      <c r="F2721" t="s">
        <v>23</v>
      </c>
      <c r="G2721" t="s">
        <v>33</v>
      </c>
      <c r="H2721" t="s">
        <v>83</v>
      </c>
      <c r="I2721" t="s">
        <v>35</v>
      </c>
      <c r="J2721" t="s">
        <v>27</v>
      </c>
      <c r="K2721">
        <v>11</v>
      </c>
      <c r="L2721">
        <v>73048</v>
      </c>
      <c r="M2721" t="s">
        <v>28</v>
      </c>
      <c r="N2721">
        <v>3</v>
      </c>
      <c r="O2721">
        <v>4</v>
      </c>
      <c r="P2721">
        <v>59</v>
      </c>
      <c r="Q2721">
        <v>0</v>
      </c>
      <c r="R2721" s="1">
        <v>41262</v>
      </c>
      <c r="S2721" t="s">
        <v>29</v>
      </c>
      <c r="T2721" t="str">
        <f t="shared" si="210"/>
        <v>Grade B</v>
      </c>
      <c r="U2721">
        <f t="shared" si="211"/>
        <v>3</v>
      </c>
      <c r="V2721" t="str">
        <f t="shared" si="212"/>
        <v>Senior</v>
      </c>
      <c r="W2721" t="str">
        <f t="shared" si="213"/>
        <v>Medium Risk</v>
      </c>
      <c r="X2721" t="str">
        <f t="shared" si="214"/>
        <v>Competitive</v>
      </c>
    </row>
    <row r="2722" spans="1:24" x14ac:dyDescent="0.3">
      <c r="A2722" t="s">
        <v>2790</v>
      </c>
      <c r="B2722" t="s">
        <v>20</v>
      </c>
      <c r="C2722">
        <v>45</v>
      </c>
      <c r="D2722" t="s">
        <v>21</v>
      </c>
      <c r="E2722" t="s">
        <v>40</v>
      </c>
      <c r="F2722" t="s">
        <v>75</v>
      </c>
      <c r="G2722" t="s">
        <v>24</v>
      </c>
      <c r="H2722" t="s">
        <v>83</v>
      </c>
      <c r="I2722" t="s">
        <v>59</v>
      </c>
      <c r="J2722" t="s">
        <v>60</v>
      </c>
      <c r="K2722">
        <v>8</v>
      </c>
      <c r="L2722">
        <v>97086</v>
      </c>
      <c r="M2722" t="s">
        <v>36</v>
      </c>
      <c r="N2722">
        <v>1</v>
      </c>
      <c r="O2722">
        <v>4</v>
      </c>
      <c r="P2722">
        <v>36</v>
      </c>
      <c r="Q2722">
        <v>2</v>
      </c>
      <c r="R2722" s="1">
        <v>42049</v>
      </c>
      <c r="S2722" t="s">
        <v>37</v>
      </c>
      <c r="T2722" t="str">
        <f t="shared" si="210"/>
        <v>Grade A</v>
      </c>
      <c r="U2722">
        <f t="shared" si="211"/>
        <v>1</v>
      </c>
      <c r="V2722" t="str">
        <f t="shared" si="212"/>
        <v>Mid Level</v>
      </c>
      <c r="W2722" t="str">
        <f t="shared" si="213"/>
        <v>Already Left</v>
      </c>
      <c r="X2722" t="str">
        <f t="shared" si="214"/>
        <v>Overpaid</v>
      </c>
    </row>
    <row r="2723" spans="1:24" x14ac:dyDescent="0.3">
      <c r="A2723" t="s">
        <v>2791</v>
      </c>
      <c r="B2723" t="s">
        <v>39</v>
      </c>
      <c r="C2723">
        <v>42</v>
      </c>
      <c r="D2723" t="s">
        <v>21</v>
      </c>
      <c r="E2723" t="s">
        <v>22</v>
      </c>
      <c r="F2723" t="s">
        <v>32</v>
      </c>
      <c r="G2723" t="s">
        <v>79</v>
      </c>
      <c r="H2723" t="s">
        <v>67</v>
      </c>
      <c r="I2723" t="s">
        <v>59</v>
      </c>
      <c r="J2723" t="s">
        <v>60</v>
      </c>
      <c r="K2723">
        <v>1</v>
      </c>
      <c r="L2723">
        <v>45180</v>
      </c>
      <c r="M2723" t="s">
        <v>45</v>
      </c>
      <c r="N2723">
        <v>3</v>
      </c>
      <c r="O2723">
        <v>3</v>
      </c>
      <c r="P2723">
        <v>58</v>
      </c>
      <c r="Q2723">
        <v>0</v>
      </c>
      <c r="R2723" s="1">
        <v>44712</v>
      </c>
      <c r="S2723" t="s">
        <v>29</v>
      </c>
      <c r="T2723" t="str">
        <f t="shared" si="210"/>
        <v>Grade C</v>
      </c>
      <c r="U2723">
        <f t="shared" si="211"/>
        <v>2</v>
      </c>
      <c r="V2723" t="str">
        <f t="shared" si="212"/>
        <v>New Joiner</v>
      </c>
      <c r="W2723" t="str">
        <f t="shared" si="213"/>
        <v>Medium Risk</v>
      </c>
      <c r="X2723" t="str">
        <f t="shared" si="214"/>
        <v>Fair</v>
      </c>
    </row>
    <row r="2724" spans="1:24" x14ac:dyDescent="0.3">
      <c r="A2724" t="s">
        <v>2792</v>
      </c>
      <c r="B2724" t="s">
        <v>39</v>
      </c>
      <c r="C2724">
        <v>30</v>
      </c>
      <c r="D2724" t="s">
        <v>21</v>
      </c>
      <c r="E2724" t="s">
        <v>40</v>
      </c>
      <c r="F2724" t="s">
        <v>32</v>
      </c>
      <c r="G2724" t="s">
        <v>79</v>
      </c>
      <c r="H2724" t="s">
        <v>83</v>
      </c>
      <c r="I2724" t="s">
        <v>96</v>
      </c>
      <c r="J2724" t="s">
        <v>44</v>
      </c>
      <c r="K2724">
        <v>11</v>
      </c>
      <c r="L2724">
        <v>63073</v>
      </c>
      <c r="M2724" t="s">
        <v>45</v>
      </c>
      <c r="N2724">
        <v>4</v>
      </c>
      <c r="O2724">
        <v>4</v>
      </c>
      <c r="P2724">
        <v>35</v>
      </c>
      <c r="Q2724">
        <v>0</v>
      </c>
      <c r="R2724" s="1">
        <v>41172</v>
      </c>
      <c r="S2724" t="s">
        <v>37</v>
      </c>
      <c r="T2724" t="str">
        <f t="shared" si="210"/>
        <v>Grade B</v>
      </c>
      <c r="U2724">
        <f t="shared" si="211"/>
        <v>2</v>
      </c>
      <c r="V2724" t="str">
        <f t="shared" si="212"/>
        <v>Senior</v>
      </c>
      <c r="W2724" t="str">
        <f t="shared" si="213"/>
        <v>Already Left</v>
      </c>
      <c r="X2724" t="str">
        <f t="shared" si="214"/>
        <v>Fair</v>
      </c>
    </row>
    <row r="2725" spans="1:24" x14ac:dyDescent="0.3">
      <c r="A2725" t="s">
        <v>2793</v>
      </c>
      <c r="B2725" t="s">
        <v>20</v>
      </c>
      <c r="C2725">
        <v>48</v>
      </c>
      <c r="D2725" t="s">
        <v>31</v>
      </c>
      <c r="E2725" t="s">
        <v>22</v>
      </c>
      <c r="F2725" t="s">
        <v>53</v>
      </c>
      <c r="G2725" t="s">
        <v>42</v>
      </c>
      <c r="H2725" t="s">
        <v>25</v>
      </c>
      <c r="I2725" t="s">
        <v>54</v>
      </c>
      <c r="J2725" t="s">
        <v>27</v>
      </c>
      <c r="K2725">
        <v>8</v>
      </c>
      <c r="L2725">
        <v>104059</v>
      </c>
      <c r="M2725" t="s">
        <v>51</v>
      </c>
      <c r="N2725">
        <v>2</v>
      </c>
      <c r="O2725">
        <v>1</v>
      </c>
      <c r="P2725">
        <v>38</v>
      </c>
      <c r="Q2725">
        <v>3</v>
      </c>
      <c r="R2725" s="1">
        <v>42199</v>
      </c>
      <c r="S2725" t="s">
        <v>29</v>
      </c>
      <c r="T2725" t="str">
        <f t="shared" si="210"/>
        <v>Grade A</v>
      </c>
      <c r="U2725">
        <f t="shared" si="211"/>
        <v>4</v>
      </c>
      <c r="V2725" t="str">
        <f t="shared" si="212"/>
        <v>Mid Level</v>
      </c>
      <c r="W2725" t="str">
        <f t="shared" si="213"/>
        <v>Low Risk</v>
      </c>
      <c r="X2725" t="str">
        <f t="shared" si="214"/>
        <v>Competitive</v>
      </c>
    </row>
    <row r="2726" spans="1:24" x14ac:dyDescent="0.3">
      <c r="A2726" t="s">
        <v>2794</v>
      </c>
      <c r="B2726" t="s">
        <v>20</v>
      </c>
      <c r="C2726">
        <v>54</v>
      </c>
      <c r="D2726" t="s">
        <v>21</v>
      </c>
      <c r="E2726" t="s">
        <v>40</v>
      </c>
      <c r="F2726" t="s">
        <v>65</v>
      </c>
      <c r="G2726" t="s">
        <v>49</v>
      </c>
      <c r="H2726" t="s">
        <v>76</v>
      </c>
      <c r="I2726" t="s">
        <v>59</v>
      </c>
      <c r="J2726" t="s">
        <v>60</v>
      </c>
      <c r="K2726">
        <v>4</v>
      </c>
      <c r="L2726">
        <v>67825</v>
      </c>
      <c r="M2726" t="s">
        <v>45</v>
      </c>
      <c r="N2726">
        <v>1</v>
      </c>
      <c r="O2726">
        <v>1</v>
      </c>
      <c r="P2726">
        <v>80</v>
      </c>
      <c r="Q2726">
        <v>2</v>
      </c>
      <c r="R2726" s="1">
        <v>43531</v>
      </c>
      <c r="S2726" t="s">
        <v>37</v>
      </c>
      <c r="T2726" t="str">
        <f t="shared" si="210"/>
        <v>Grade B</v>
      </c>
      <c r="U2726">
        <f t="shared" si="211"/>
        <v>2</v>
      </c>
      <c r="V2726" t="str">
        <f t="shared" si="212"/>
        <v>Junior</v>
      </c>
      <c r="W2726" t="str">
        <f t="shared" si="213"/>
        <v>Already Left</v>
      </c>
      <c r="X2726" t="str">
        <f t="shared" si="214"/>
        <v>Fair</v>
      </c>
    </row>
    <row r="2727" spans="1:24" x14ac:dyDescent="0.3">
      <c r="A2727" t="s">
        <v>2795</v>
      </c>
      <c r="B2727" t="s">
        <v>20</v>
      </c>
      <c r="C2727">
        <v>55</v>
      </c>
      <c r="D2727" t="s">
        <v>47</v>
      </c>
      <c r="E2727" t="s">
        <v>40</v>
      </c>
      <c r="F2727" t="s">
        <v>75</v>
      </c>
      <c r="G2727" t="s">
        <v>66</v>
      </c>
      <c r="H2727" t="s">
        <v>67</v>
      </c>
      <c r="I2727" t="s">
        <v>26</v>
      </c>
      <c r="J2727" t="s">
        <v>27</v>
      </c>
      <c r="K2727">
        <v>8</v>
      </c>
      <c r="L2727">
        <v>42435</v>
      </c>
      <c r="M2727" t="s">
        <v>36</v>
      </c>
      <c r="N2727">
        <v>1</v>
      </c>
      <c r="O2727">
        <v>3</v>
      </c>
      <c r="P2727">
        <v>60</v>
      </c>
      <c r="Q2727">
        <v>2</v>
      </c>
      <c r="R2727" s="1">
        <v>42214</v>
      </c>
      <c r="S2727" t="s">
        <v>29</v>
      </c>
      <c r="T2727" t="str">
        <f t="shared" si="210"/>
        <v>Grade C</v>
      </c>
      <c r="U2727">
        <f t="shared" si="211"/>
        <v>1</v>
      </c>
      <c r="V2727" t="str">
        <f t="shared" si="212"/>
        <v>Mid Level</v>
      </c>
      <c r="W2727" t="str">
        <f t="shared" si="213"/>
        <v>Medium Risk</v>
      </c>
      <c r="X2727" t="str">
        <f t="shared" si="214"/>
        <v>Fair</v>
      </c>
    </row>
    <row r="2728" spans="1:24" x14ac:dyDescent="0.3">
      <c r="A2728" t="s">
        <v>2796</v>
      </c>
      <c r="B2728" t="s">
        <v>20</v>
      </c>
      <c r="C2728">
        <v>46</v>
      </c>
      <c r="D2728" t="s">
        <v>31</v>
      </c>
      <c r="E2728" t="s">
        <v>40</v>
      </c>
      <c r="F2728" t="s">
        <v>23</v>
      </c>
      <c r="G2728" t="s">
        <v>66</v>
      </c>
      <c r="H2728" t="s">
        <v>67</v>
      </c>
      <c r="I2728" t="s">
        <v>50</v>
      </c>
      <c r="J2728" t="s">
        <v>44</v>
      </c>
      <c r="K2728">
        <v>13</v>
      </c>
      <c r="L2728">
        <v>62821</v>
      </c>
      <c r="M2728" t="s">
        <v>45</v>
      </c>
      <c r="N2728">
        <v>2</v>
      </c>
      <c r="O2728">
        <v>1</v>
      </c>
      <c r="P2728">
        <v>22</v>
      </c>
      <c r="Q2728">
        <v>0</v>
      </c>
      <c r="R2728" s="1">
        <v>40202</v>
      </c>
      <c r="S2728" t="s">
        <v>29</v>
      </c>
      <c r="T2728" t="str">
        <f t="shared" si="210"/>
        <v>Grade B</v>
      </c>
      <c r="U2728">
        <f t="shared" si="211"/>
        <v>2</v>
      </c>
      <c r="V2728" t="str">
        <f t="shared" si="212"/>
        <v>Senior</v>
      </c>
      <c r="W2728" t="str">
        <f t="shared" si="213"/>
        <v>Medium Risk</v>
      </c>
      <c r="X2728" t="str">
        <f t="shared" si="214"/>
        <v>Fair</v>
      </c>
    </row>
    <row r="2729" spans="1:24" x14ac:dyDescent="0.3">
      <c r="A2729" t="s">
        <v>2797</v>
      </c>
      <c r="B2729" t="s">
        <v>39</v>
      </c>
      <c r="C2729">
        <v>55</v>
      </c>
      <c r="D2729" t="s">
        <v>88</v>
      </c>
      <c r="E2729" t="s">
        <v>40</v>
      </c>
      <c r="F2729" t="s">
        <v>23</v>
      </c>
      <c r="G2729" t="s">
        <v>58</v>
      </c>
      <c r="H2729" t="s">
        <v>67</v>
      </c>
      <c r="I2729" t="s">
        <v>54</v>
      </c>
      <c r="J2729" t="s">
        <v>27</v>
      </c>
      <c r="K2729">
        <v>3</v>
      </c>
      <c r="L2729">
        <v>84110</v>
      </c>
      <c r="M2729" t="s">
        <v>28</v>
      </c>
      <c r="N2729">
        <v>1</v>
      </c>
      <c r="O2729">
        <v>4</v>
      </c>
      <c r="P2729">
        <v>12</v>
      </c>
      <c r="Q2729">
        <v>0</v>
      </c>
      <c r="R2729" s="1">
        <v>44019</v>
      </c>
      <c r="S2729" t="s">
        <v>29</v>
      </c>
      <c r="T2729" t="str">
        <f t="shared" si="210"/>
        <v>Grade A</v>
      </c>
      <c r="U2729">
        <f t="shared" si="211"/>
        <v>3</v>
      </c>
      <c r="V2729" t="str">
        <f t="shared" si="212"/>
        <v>Junior</v>
      </c>
      <c r="W2729" t="str">
        <f t="shared" si="213"/>
        <v>Medium Risk</v>
      </c>
      <c r="X2729" t="str">
        <f t="shared" si="214"/>
        <v>Competitive</v>
      </c>
    </row>
    <row r="2730" spans="1:24" x14ac:dyDescent="0.3">
      <c r="A2730" t="s">
        <v>2798</v>
      </c>
      <c r="B2730" t="s">
        <v>20</v>
      </c>
      <c r="C2730">
        <v>44</v>
      </c>
      <c r="D2730" t="s">
        <v>21</v>
      </c>
      <c r="E2730" t="s">
        <v>48</v>
      </c>
      <c r="F2730" t="s">
        <v>65</v>
      </c>
      <c r="G2730" t="s">
        <v>79</v>
      </c>
      <c r="H2730" t="s">
        <v>83</v>
      </c>
      <c r="I2730" t="s">
        <v>96</v>
      </c>
      <c r="J2730" t="s">
        <v>44</v>
      </c>
      <c r="K2730">
        <v>6</v>
      </c>
      <c r="L2730">
        <v>60952</v>
      </c>
      <c r="M2730" t="s">
        <v>36</v>
      </c>
      <c r="N2730">
        <v>4</v>
      </c>
      <c r="O2730">
        <v>1</v>
      </c>
      <c r="P2730">
        <v>60</v>
      </c>
      <c r="Q2730">
        <v>1</v>
      </c>
      <c r="R2730" s="1">
        <v>42866</v>
      </c>
      <c r="S2730" t="s">
        <v>37</v>
      </c>
      <c r="T2730" t="str">
        <f t="shared" si="210"/>
        <v>Grade B</v>
      </c>
      <c r="U2730">
        <f t="shared" si="211"/>
        <v>1</v>
      </c>
      <c r="V2730" t="str">
        <f t="shared" si="212"/>
        <v>Mid Level</v>
      </c>
      <c r="W2730" t="str">
        <f t="shared" si="213"/>
        <v>Already Left</v>
      </c>
      <c r="X2730" t="str">
        <f t="shared" si="214"/>
        <v>Fair</v>
      </c>
    </row>
    <row r="2731" spans="1:24" x14ac:dyDescent="0.3">
      <c r="A2731" t="s">
        <v>2799</v>
      </c>
      <c r="B2731" t="s">
        <v>39</v>
      </c>
      <c r="C2731">
        <v>22</v>
      </c>
      <c r="D2731" t="s">
        <v>47</v>
      </c>
      <c r="E2731" t="s">
        <v>22</v>
      </c>
      <c r="F2731" t="s">
        <v>62</v>
      </c>
      <c r="G2731" t="s">
        <v>63</v>
      </c>
      <c r="H2731" t="s">
        <v>67</v>
      </c>
      <c r="I2731" t="s">
        <v>68</v>
      </c>
      <c r="J2731" t="s">
        <v>60</v>
      </c>
      <c r="K2731">
        <v>6</v>
      </c>
      <c r="L2731">
        <v>64626</v>
      </c>
      <c r="M2731" t="s">
        <v>36</v>
      </c>
      <c r="N2731">
        <v>3</v>
      </c>
      <c r="O2731">
        <v>4</v>
      </c>
      <c r="P2731">
        <v>20</v>
      </c>
      <c r="Q2731">
        <v>0</v>
      </c>
      <c r="R2731" s="1">
        <v>42847</v>
      </c>
      <c r="S2731" t="s">
        <v>29</v>
      </c>
      <c r="T2731" t="str">
        <f t="shared" si="210"/>
        <v>Grade B</v>
      </c>
      <c r="U2731">
        <f t="shared" si="211"/>
        <v>1</v>
      </c>
      <c r="V2731" t="str">
        <f t="shared" si="212"/>
        <v>Mid Level</v>
      </c>
      <c r="W2731" t="str">
        <f t="shared" si="213"/>
        <v>Medium Risk</v>
      </c>
      <c r="X2731" t="str">
        <f t="shared" si="214"/>
        <v>Fair</v>
      </c>
    </row>
    <row r="2732" spans="1:24" x14ac:dyDescent="0.3">
      <c r="A2732" t="s">
        <v>2800</v>
      </c>
      <c r="B2732" t="s">
        <v>20</v>
      </c>
      <c r="C2732">
        <v>40</v>
      </c>
      <c r="D2732" t="s">
        <v>47</v>
      </c>
      <c r="E2732" t="s">
        <v>40</v>
      </c>
      <c r="F2732" t="s">
        <v>75</v>
      </c>
      <c r="G2732" t="s">
        <v>33</v>
      </c>
      <c r="H2732" t="s">
        <v>25</v>
      </c>
      <c r="I2732" t="s">
        <v>59</v>
      </c>
      <c r="J2732" t="s">
        <v>60</v>
      </c>
      <c r="K2732">
        <v>5</v>
      </c>
      <c r="L2732">
        <v>72340</v>
      </c>
      <c r="M2732" t="s">
        <v>28</v>
      </c>
      <c r="N2732">
        <v>4</v>
      </c>
      <c r="O2732">
        <v>1</v>
      </c>
      <c r="P2732">
        <v>66</v>
      </c>
      <c r="Q2732">
        <v>2</v>
      </c>
      <c r="R2732" s="1">
        <v>43422</v>
      </c>
      <c r="S2732" t="s">
        <v>29</v>
      </c>
      <c r="T2732" t="str">
        <f t="shared" si="210"/>
        <v>Grade B</v>
      </c>
      <c r="U2732">
        <f t="shared" si="211"/>
        <v>3</v>
      </c>
      <c r="V2732" t="str">
        <f t="shared" si="212"/>
        <v>Junior</v>
      </c>
      <c r="W2732" t="str">
        <f t="shared" si="213"/>
        <v>Medium Risk</v>
      </c>
      <c r="X2732" t="str">
        <f t="shared" si="214"/>
        <v>Competitive</v>
      </c>
    </row>
    <row r="2733" spans="1:24" x14ac:dyDescent="0.3">
      <c r="A2733" t="s">
        <v>2801</v>
      </c>
      <c r="B2733" t="s">
        <v>39</v>
      </c>
      <c r="C2733">
        <v>25</v>
      </c>
      <c r="D2733" t="s">
        <v>47</v>
      </c>
      <c r="E2733" t="s">
        <v>40</v>
      </c>
      <c r="F2733" t="s">
        <v>32</v>
      </c>
      <c r="G2733" t="s">
        <v>66</v>
      </c>
      <c r="H2733" t="s">
        <v>83</v>
      </c>
      <c r="I2733" t="s">
        <v>72</v>
      </c>
      <c r="J2733" t="s">
        <v>73</v>
      </c>
      <c r="K2733">
        <v>6</v>
      </c>
      <c r="L2733">
        <v>48636</v>
      </c>
      <c r="M2733" t="s">
        <v>45</v>
      </c>
      <c r="N2733">
        <v>1</v>
      </c>
      <c r="O2733">
        <v>4</v>
      </c>
      <c r="P2733">
        <v>54</v>
      </c>
      <c r="Q2733">
        <v>2</v>
      </c>
      <c r="R2733" s="1">
        <v>42816</v>
      </c>
      <c r="S2733" t="s">
        <v>37</v>
      </c>
      <c r="T2733" t="str">
        <f t="shared" si="210"/>
        <v>Grade C</v>
      </c>
      <c r="U2733">
        <f t="shared" si="211"/>
        <v>2</v>
      </c>
      <c r="V2733" t="str">
        <f t="shared" si="212"/>
        <v>Mid Level</v>
      </c>
      <c r="W2733" t="str">
        <f t="shared" si="213"/>
        <v>Already Left</v>
      </c>
      <c r="X2733" t="str">
        <f t="shared" si="214"/>
        <v>Fair</v>
      </c>
    </row>
    <row r="2734" spans="1:24" x14ac:dyDescent="0.3">
      <c r="A2734" t="s">
        <v>2802</v>
      </c>
      <c r="B2734" t="s">
        <v>20</v>
      </c>
      <c r="C2734">
        <v>35</v>
      </c>
      <c r="D2734" t="s">
        <v>57</v>
      </c>
      <c r="E2734" t="s">
        <v>40</v>
      </c>
      <c r="F2734" t="s">
        <v>32</v>
      </c>
      <c r="G2734" t="s">
        <v>42</v>
      </c>
      <c r="H2734" t="s">
        <v>25</v>
      </c>
      <c r="I2734" t="s">
        <v>96</v>
      </c>
      <c r="J2734" t="s">
        <v>44</v>
      </c>
      <c r="K2734">
        <v>15</v>
      </c>
      <c r="L2734">
        <v>119431</v>
      </c>
      <c r="M2734" t="s">
        <v>36</v>
      </c>
      <c r="N2734">
        <v>1</v>
      </c>
      <c r="O2734">
        <v>1</v>
      </c>
      <c r="P2734">
        <v>13</v>
      </c>
      <c r="Q2734">
        <v>1</v>
      </c>
      <c r="R2734" s="1">
        <v>39746</v>
      </c>
      <c r="S2734" t="s">
        <v>29</v>
      </c>
      <c r="T2734" t="str">
        <f t="shared" si="210"/>
        <v>Grade A</v>
      </c>
      <c r="U2734">
        <f t="shared" si="211"/>
        <v>1</v>
      </c>
      <c r="V2734" t="str">
        <f t="shared" si="212"/>
        <v>Senior</v>
      </c>
      <c r="W2734" t="str">
        <f t="shared" si="213"/>
        <v>Medium Risk</v>
      </c>
      <c r="X2734" t="str">
        <f t="shared" si="214"/>
        <v>Overpaid</v>
      </c>
    </row>
    <row r="2735" spans="1:24" x14ac:dyDescent="0.3">
      <c r="A2735" t="s">
        <v>2803</v>
      </c>
      <c r="B2735" t="s">
        <v>39</v>
      </c>
      <c r="C2735">
        <v>34</v>
      </c>
      <c r="D2735" t="s">
        <v>57</v>
      </c>
      <c r="E2735" t="s">
        <v>22</v>
      </c>
      <c r="F2735" t="s">
        <v>65</v>
      </c>
      <c r="G2735" t="s">
        <v>63</v>
      </c>
      <c r="H2735" t="s">
        <v>83</v>
      </c>
      <c r="I2735" t="s">
        <v>80</v>
      </c>
      <c r="J2735" t="s">
        <v>60</v>
      </c>
      <c r="K2735">
        <v>5</v>
      </c>
      <c r="L2735">
        <v>54736</v>
      </c>
      <c r="M2735" t="s">
        <v>51</v>
      </c>
      <c r="N2735">
        <v>4</v>
      </c>
      <c r="O2735">
        <v>3</v>
      </c>
      <c r="P2735">
        <v>24</v>
      </c>
      <c r="Q2735">
        <v>3</v>
      </c>
      <c r="R2735" s="1">
        <v>43446</v>
      </c>
      <c r="S2735" t="s">
        <v>29</v>
      </c>
      <c r="T2735" t="str">
        <f t="shared" si="210"/>
        <v>Grade B</v>
      </c>
      <c r="U2735">
        <f t="shared" si="211"/>
        <v>4</v>
      </c>
      <c r="V2735" t="str">
        <f t="shared" si="212"/>
        <v>Junior</v>
      </c>
      <c r="W2735" t="str">
        <f t="shared" si="213"/>
        <v>Low Risk</v>
      </c>
      <c r="X2735" t="str">
        <f t="shared" si="214"/>
        <v>Fair</v>
      </c>
    </row>
    <row r="2736" spans="1:24" x14ac:dyDescent="0.3">
      <c r="A2736" t="s">
        <v>2804</v>
      </c>
      <c r="B2736" t="s">
        <v>39</v>
      </c>
      <c r="C2736">
        <v>27</v>
      </c>
      <c r="D2736" t="s">
        <v>47</v>
      </c>
      <c r="E2736" t="s">
        <v>48</v>
      </c>
      <c r="F2736" t="s">
        <v>75</v>
      </c>
      <c r="G2736" t="s">
        <v>66</v>
      </c>
      <c r="H2736" t="s">
        <v>83</v>
      </c>
      <c r="I2736" t="s">
        <v>50</v>
      </c>
      <c r="J2736" t="s">
        <v>44</v>
      </c>
      <c r="K2736">
        <v>3</v>
      </c>
      <c r="L2736">
        <v>36563</v>
      </c>
      <c r="M2736" t="s">
        <v>28</v>
      </c>
      <c r="N2736">
        <v>1</v>
      </c>
      <c r="O2736">
        <v>4</v>
      </c>
      <c r="P2736">
        <v>63</v>
      </c>
      <c r="Q2736">
        <v>1</v>
      </c>
      <c r="R2736" s="1">
        <v>44032</v>
      </c>
      <c r="S2736" t="s">
        <v>29</v>
      </c>
      <c r="T2736" t="str">
        <f t="shared" si="210"/>
        <v>Grade C</v>
      </c>
      <c r="U2736">
        <f t="shared" si="211"/>
        <v>3</v>
      </c>
      <c r="V2736" t="str">
        <f t="shared" si="212"/>
        <v>Junior</v>
      </c>
      <c r="W2736" t="str">
        <f t="shared" si="213"/>
        <v>Medium Risk</v>
      </c>
      <c r="X2736" t="str">
        <f t="shared" si="214"/>
        <v>Fair</v>
      </c>
    </row>
    <row r="2737" spans="1:24" x14ac:dyDescent="0.3">
      <c r="A2737" t="s">
        <v>2805</v>
      </c>
      <c r="B2737" t="s">
        <v>39</v>
      </c>
      <c r="C2737">
        <v>28</v>
      </c>
      <c r="D2737" t="s">
        <v>57</v>
      </c>
      <c r="E2737" t="s">
        <v>22</v>
      </c>
      <c r="F2737" t="s">
        <v>23</v>
      </c>
      <c r="G2737" t="s">
        <v>79</v>
      </c>
      <c r="H2737" t="s">
        <v>34</v>
      </c>
      <c r="I2737" t="s">
        <v>68</v>
      </c>
      <c r="J2737" t="s">
        <v>60</v>
      </c>
      <c r="K2737">
        <v>5</v>
      </c>
      <c r="L2737">
        <v>56114</v>
      </c>
      <c r="M2737" t="s">
        <v>45</v>
      </c>
      <c r="N2737">
        <v>4</v>
      </c>
      <c r="O2737">
        <v>1</v>
      </c>
      <c r="P2737">
        <v>54</v>
      </c>
      <c r="Q2737">
        <v>2</v>
      </c>
      <c r="R2737" s="1">
        <v>43331</v>
      </c>
      <c r="S2737" t="s">
        <v>29</v>
      </c>
      <c r="T2737" t="str">
        <f t="shared" si="210"/>
        <v>Grade B</v>
      </c>
      <c r="U2737">
        <f t="shared" si="211"/>
        <v>2</v>
      </c>
      <c r="V2737" t="str">
        <f t="shared" si="212"/>
        <v>Junior</v>
      </c>
      <c r="W2737" t="str">
        <f t="shared" si="213"/>
        <v>Medium Risk</v>
      </c>
      <c r="X2737" t="str">
        <f t="shared" si="214"/>
        <v>Fair</v>
      </c>
    </row>
    <row r="2738" spans="1:24" x14ac:dyDescent="0.3">
      <c r="A2738" t="s">
        <v>2806</v>
      </c>
      <c r="B2738" t="s">
        <v>20</v>
      </c>
      <c r="C2738">
        <v>28</v>
      </c>
      <c r="D2738" t="s">
        <v>21</v>
      </c>
      <c r="E2738" t="s">
        <v>40</v>
      </c>
      <c r="F2738" t="s">
        <v>53</v>
      </c>
      <c r="G2738" t="s">
        <v>49</v>
      </c>
      <c r="H2738" t="s">
        <v>34</v>
      </c>
      <c r="I2738" t="s">
        <v>35</v>
      </c>
      <c r="J2738" t="s">
        <v>27</v>
      </c>
      <c r="K2738">
        <v>8</v>
      </c>
      <c r="L2738">
        <v>62690</v>
      </c>
      <c r="M2738" t="s">
        <v>51</v>
      </c>
      <c r="N2738">
        <v>2</v>
      </c>
      <c r="O2738">
        <v>4</v>
      </c>
      <c r="P2738">
        <v>55</v>
      </c>
      <c r="Q2738">
        <v>3</v>
      </c>
      <c r="R2738" s="1">
        <v>42060</v>
      </c>
      <c r="S2738" t="s">
        <v>29</v>
      </c>
      <c r="T2738" t="str">
        <f t="shared" si="210"/>
        <v>Grade B</v>
      </c>
      <c r="U2738">
        <f t="shared" si="211"/>
        <v>4</v>
      </c>
      <c r="V2738" t="str">
        <f t="shared" si="212"/>
        <v>Mid Level</v>
      </c>
      <c r="W2738" t="str">
        <f t="shared" si="213"/>
        <v>Low Risk</v>
      </c>
      <c r="X2738" t="str">
        <f t="shared" si="214"/>
        <v>Fair</v>
      </c>
    </row>
    <row r="2739" spans="1:24" x14ac:dyDescent="0.3">
      <c r="A2739" t="s">
        <v>2807</v>
      </c>
      <c r="B2739" t="s">
        <v>20</v>
      </c>
      <c r="C2739">
        <v>51</v>
      </c>
      <c r="D2739" t="s">
        <v>88</v>
      </c>
      <c r="E2739" t="s">
        <v>48</v>
      </c>
      <c r="F2739" t="s">
        <v>53</v>
      </c>
      <c r="G2739" t="s">
        <v>63</v>
      </c>
      <c r="H2739" t="s">
        <v>83</v>
      </c>
      <c r="I2739" t="s">
        <v>26</v>
      </c>
      <c r="J2739" t="s">
        <v>27</v>
      </c>
      <c r="K2739">
        <v>5</v>
      </c>
      <c r="L2739">
        <v>54102</v>
      </c>
      <c r="M2739" t="s">
        <v>36</v>
      </c>
      <c r="N2739">
        <v>4</v>
      </c>
      <c r="O2739">
        <v>2</v>
      </c>
      <c r="P2739">
        <v>52</v>
      </c>
      <c r="Q2739">
        <v>0</v>
      </c>
      <c r="R2739" s="1">
        <v>43275</v>
      </c>
      <c r="S2739" t="s">
        <v>37</v>
      </c>
      <c r="T2739" t="str">
        <f t="shared" si="210"/>
        <v>Grade B</v>
      </c>
      <c r="U2739">
        <f t="shared" si="211"/>
        <v>1</v>
      </c>
      <c r="V2739" t="str">
        <f t="shared" si="212"/>
        <v>Junior</v>
      </c>
      <c r="W2739" t="str">
        <f t="shared" si="213"/>
        <v>Already Left</v>
      </c>
      <c r="X2739" t="str">
        <f t="shared" si="214"/>
        <v>Fair</v>
      </c>
    </row>
    <row r="2740" spans="1:24" x14ac:dyDescent="0.3">
      <c r="A2740" t="s">
        <v>2808</v>
      </c>
      <c r="B2740" t="s">
        <v>39</v>
      </c>
      <c r="C2740">
        <v>44</v>
      </c>
      <c r="D2740" t="s">
        <v>57</v>
      </c>
      <c r="E2740" t="s">
        <v>22</v>
      </c>
      <c r="F2740" t="s">
        <v>62</v>
      </c>
      <c r="G2740" t="s">
        <v>79</v>
      </c>
      <c r="H2740" t="s">
        <v>25</v>
      </c>
      <c r="I2740" t="s">
        <v>35</v>
      </c>
      <c r="J2740" t="s">
        <v>27</v>
      </c>
      <c r="K2740">
        <v>12</v>
      </c>
      <c r="L2740">
        <v>64017</v>
      </c>
      <c r="M2740" t="s">
        <v>51</v>
      </c>
      <c r="N2740">
        <v>2</v>
      </c>
      <c r="O2740">
        <v>4</v>
      </c>
      <c r="P2740">
        <v>25</v>
      </c>
      <c r="Q2740">
        <v>0</v>
      </c>
      <c r="R2740" s="1">
        <v>40619</v>
      </c>
      <c r="S2740" t="s">
        <v>29</v>
      </c>
      <c r="T2740" t="str">
        <f t="shared" si="210"/>
        <v>Grade B</v>
      </c>
      <c r="U2740">
        <f t="shared" si="211"/>
        <v>4</v>
      </c>
      <c r="V2740" t="str">
        <f t="shared" si="212"/>
        <v>Senior</v>
      </c>
      <c r="W2740" t="str">
        <f t="shared" si="213"/>
        <v>Low Risk</v>
      </c>
      <c r="X2740" t="str">
        <f t="shared" si="214"/>
        <v>Fair</v>
      </c>
    </row>
    <row r="2741" spans="1:24" x14ac:dyDescent="0.3">
      <c r="A2741" t="s">
        <v>2809</v>
      </c>
      <c r="B2741" t="s">
        <v>20</v>
      </c>
      <c r="C2741">
        <v>31</v>
      </c>
      <c r="D2741" t="s">
        <v>21</v>
      </c>
      <c r="E2741" t="s">
        <v>22</v>
      </c>
      <c r="F2741" t="s">
        <v>65</v>
      </c>
      <c r="G2741" t="s">
        <v>49</v>
      </c>
      <c r="H2741" t="s">
        <v>25</v>
      </c>
      <c r="I2741" t="s">
        <v>68</v>
      </c>
      <c r="J2741" t="s">
        <v>60</v>
      </c>
      <c r="K2741">
        <v>5</v>
      </c>
      <c r="L2741">
        <v>67324</v>
      </c>
      <c r="M2741" t="s">
        <v>51</v>
      </c>
      <c r="N2741">
        <v>2</v>
      </c>
      <c r="O2741">
        <v>4</v>
      </c>
      <c r="P2741">
        <v>53</v>
      </c>
      <c r="Q2741">
        <v>0</v>
      </c>
      <c r="R2741" s="1">
        <v>43302</v>
      </c>
      <c r="S2741" t="s">
        <v>29</v>
      </c>
      <c r="T2741" t="str">
        <f t="shared" si="210"/>
        <v>Grade B</v>
      </c>
      <c r="U2741">
        <f t="shared" si="211"/>
        <v>4</v>
      </c>
      <c r="V2741" t="str">
        <f t="shared" si="212"/>
        <v>Junior</v>
      </c>
      <c r="W2741" t="str">
        <f t="shared" si="213"/>
        <v>Low Risk</v>
      </c>
      <c r="X2741" t="str">
        <f t="shared" si="214"/>
        <v>Fair</v>
      </c>
    </row>
    <row r="2742" spans="1:24" x14ac:dyDescent="0.3">
      <c r="A2742" t="s">
        <v>2810</v>
      </c>
      <c r="B2742" t="s">
        <v>39</v>
      </c>
      <c r="C2742">
        <v>43</v>
      </c>
      <c r="D2742" t="s">
        <v>47</v>
      </c>
      <c r="E2742" t="s">
        <v>22</v>
      </c>
      <c r="F2742" t="s">
        <v>41</v>
      </c>
      <c r="G2742" t="s">
        <v>66</v>
      </c>
      <c r="H2742" t="s">
        <v>34</v>
      </c>
      <c r="I2742" t="s">
        <v>35</v>
      </c>
      <c r="J2742" t="s">
        <v>27</v>
      </c>
      <c r="K2742">
        <v>13</v>
      </c>
      <c r="L2742">
        <v>57084</v>
      </c>
      <c r="M2742" t="s">
        <v>51</v>
      </c>
      <c r="N2742">
        <v>4</v>
      </c>
      <c r="O2742">
        <v>4</v>
      </c>
      <c r="P2742">
        <v>38</v>
      </c>
      <c r="Q2742">
        <v>0</v>
      </c>
      <c r="R2742" s="1">
        <v>40442</v>
      </c>
      <c r="S2742" t="s">
        <v>29</v>
      </c>
      <c r="T2742" t="str">
        <f t="shared" si="210"/>
        <v>Grade B</v>
      </c>
      <c r="U2742">
        <f t="shared" si="211"/>
        <v>4</v>
      </c>
      <c r="V2742" t="str">
        <f t="shared" si="212"/>
        <v>Senior</v>
      </c>
      <c r="W2742" t="str">
        <f t="shared" si="213"/>
        <v>Low Risk</v>
      </c>
      <c r="X2742" t="str">
        <f t="shared" si="214"/>
        <v>Fair</v>
      </c>
    </row>
    <row r="2743" spans="1:24" x14ac:dyDescent="0.3">
      <c r="A2743" t="s">
        <v>2811</v>
      </c>
      <c r="B2743" t="s">
        <v>20</v>
      </c>
      <c r="C2743">
        <v>51</v>
      </c>
      <c r="D2743" t="s">
        <v>57</v>
      </c>
      <c r="E2743" t="s">
        <v>40</v>
      </c>
      <c r="F2743" t="s">
        <v>32</v>
      </c>
      <c r="G2743" t="s">
        <v>42</v>
      </c>
      <c r="H2743" t="s">
        <v>83</v>
      </c>
      <c r="I2743" t="s">
        <v>35</v>
      </c>
      <c r="J2743" t="s">
        <v>27</v>
      </c>
      <c r="K2743">
        <v>9</v>
      </c>
      <c r="L2743">
        <v>103608</v>
      </c>
      <c r="M2743" t="s">
        <v>28</v>
      </c>
      <c r="N2743">
        <v>2</v>
      </c>
      <c r="O2743">
        <v>1</v>
      </c>
      <c r="P2743">
        <v>25</v>
      </c>
      <c r="Q2743">
        <v>0</v>
      </c>
      <c r="R2743" s="1">
        <v>41787</v>
      </c>
      <c r="S2743" t="s">
        <v>37</v>
      </c>
      <c r="T2743" t="str">
        <f t="shared" si="210"/>
        <v>Grade A</v>
      </c>
      <c r="U2743">
        <f t="shared" si="211"/>
        <v>3</v>
      </c>
      <c r="V2743" t="str">
        <f t="shared" si="212"/>
        <v>Mid Level</v>
      </c>
      <c r="W2743" t="str">
        <f t="shared" si="213"/>
        <v>Already Left</v>
      </c>
      <c r="X2743" t="str">
        <f t="shared" si="214"/>
        <v>Competitive</v>
      </c>
    </row>
    <row r="2744" spans="1:24" x14ac:dyDescent="0.3">
      <c r="A2744" t="s">
        <v>2812</v>
      </c>
      <c r="B2744" t="s">
        <v>20</v>
      </c>
      <c r="C2744">
        <v>40</v>
      </c>
      <c r="D2744" t="s">
        <v>31</v>
      </c>
      <c r="E2744" t="s">
        <v>48</v>
      </c>
      <c r="F2744" t="s">
        <v>23</v>
      </c>
      <c r="G2744" t="s">
        <v>33</v>
      </c>
      <c r="H2744" t="s">
        <v>76</v>
      </c>
      <c r="I2744" t="s">
        <v>72</v>
      </c>
      <c r="J2744" t="s">
        <v>73</v>
      </c>
      <c r="K2744">
        <v>10</v>
      </c>
      <c r="L2744">
        <v>71147</v>
      </c>
      <c r="M2744" t="s">
        <v>51</v>
      </c>
      <c r="N2744">
        <v>3</v>
      </c>
      <c r="O2744">
        <v>1</v>
      </c>
      <c r="P2744">
        <v>65</v>
      </c>
      <c r="Q2744">
        <v>0</v>
      </c>
      <c r="R2744" s="1">
        <v>41461</v>
      </c>
      <c r="S2744" t="s">
        <v>29</v>
      </c>
      <c r="T2744" t="str">
        <f t="shared" si="210"/>
        <v>Grade B</v>
      </c>
      <c r="U2744">
        <f t="shared" si="211"/>
        <v>4</v>
      </c>
      <c r="V2744" t="str">
        <f t="shared" si="212"/>
        <v>Mid Level</v>
      </c>
      <c r="W2744" t="str">
        <f t="shared" si="213"/>
        <v>Low Risk</v>
      </c>
      <c r="X2744" t="str">
        <f t="shared" si="214"/>
        <v>Fair</v>
      </c>
    </row>
    <row r="2745" spans="1:24" x14ac:dyDescent="0.3">
      <c r="A2745" t="s">
        <v>2813</v>
      </c>
      <c r="B2745" t="s">
        <v>20</v>
      </c>
      <c r="C2745">
        <v>37</v>
      </c>
      <c r="D2745" t="s">
        <v>21</v>
      </c>
      <c r="E2745" t="s">
        <v>40</v>
      </c>
      <c r="F2745" t="s">
        <v>32</v>
      </c>
      <c r="G2745" t="s">
        <v>63</v>
      </c>
      <c r="H2745" t="s">
        <v>34</v>
      </c>
      <c r="I2745" t="s">
        <v>80</v>
      </c>
      <c r="J2745" t="s">
        <v>60</v>
      </c>
      <c r="K2745">
        <v>13</v>
      </c>
      <c r="L2745">
        <v>76427</v>
      </c>
      <c r="M2745" t="s">
        <v>36</v>
      </c>
      <c r="N2745">
        <v>3</v>
      </c>
      <c r="O2745">
        <v>3</v>
      </c>
      <c r="P2745">
        <v>62</v>
      </c>
      <c r="Q2745">
        <v>3</v>
      </c>
      <c r="R2745" s="1">
        <v>40218</v>
      </c>
      <c r="S2745" t="s">
        <v>29</v>
      </c>
      <c r="T2745" t="str">
        <f t="shared" si="210"/>
        <v>Grade B</v>
      </c>
      <c r="U2745">
        <f t="shared" si="211"/>
        <v>1</v>
      </c>
      <c r="V2745" t="str">
        <f t="shared" si="212"/>
        <v>Senior</v>
      </c>
      <c r="W2745" t="str">
        <f t="shared" si="213"/>
        <v>Medium Risk</v>
      </c>
      <c r="X2745" t="str">
        <f t="shared" si="214"/>
        <v>Fair</v>
      </c>
    </row>
    <row r="2746" spans="1:24" x14ac:dyDescent="0.3">
      <c r="A2746" t="s">
        <v>2814</v>
      </c>
      <c r="B2746" t="s">
        <v>39</v>
      </c>
      <c r="C2746">
        <v>32</v>
      </c>
      <c r="D2746" t="s">
        <v>57</v>
      </c>
      <c r="E2746" t="s">
        <v>22</v>
      </c>
      <c r="F2746" t="s">
        <v>65</v>
      </c>
      <c r="G2746" t="s">
        <v>24</v>
      </c>
      <c r="H2746" t="s">
        <v>34</v>
      </c>
      <c r="I2746" t="s">
        <v>43</v>
      </c>
      <c r="J2746" t="s">
        <v>44</v>
      </c>
      <c r="K2746">
        <v>10</v>
      </c>
      <c r="L2746">
        <v>103454</v>
      </c>
      <c r="M2746" t="s">
        <v>36</v>
      </c>
      <c r="N2746">
        <v>2</v>
      </c>
      <c r="O2746">
        <v>3</v>
      </c>
      <c r="P2746">
        <v>39</v>
      </c>
      <c r="Q2746">
        <v>3</v>
      </c>
      <c r="R2746" s="1">
        <v>41433</v>
      </c>
      <c r="S2746" t="s">
        <v>37</v>
      </c>
      <c r="T2746" t="str">
        <f t="shared" si="210"/>
        <v>Grade A</v>
      </c>
      <c r="U2746">
        <f t="shared" si="211"/>
        <v>1</v>
      </c>
      <c r="V2746" t="str">
        <f t="shared" si="212"/>
        <v>Mid Level</v>
      </c>
      <c r="W2746" t="str">
        <f t="shared" si="213"/>
        <v>Already Left</v>
      </c>
      <c r="X2746" t="str">
        <f t="shared" si="214"/>
        <v>Overpaid</v>
      </c>
    </row>
    <row r="2747" spans="1:24" x14ac:dyDescent="0.3">
      <c r="A2747" t="s">
        <v>2815</v>
      </c>
      <c r="B2747" t="s">
        <v>20</v>
      </c>
      <c r="C2747">
        <v>28</v>
      </c>
      <c r="D2747" t="s">
        <v>31</v>
      </c>
      <c r="E2747" t="s">
        <v>22</v>
      </c>
      <c r="F2747" t="s">
        <v>32</v>
      </c>
      <c r="G2747" t="s">
        <v>58</v>
      </c>
      <c r="H2747" t="s">
        <v>34</v>
      </c>
      <c r="I2747" t="s">
        <v>50</v>
      </c>
      <c r="J2747" t="s">
        <v>44</v>
      </c>
      <c r="K2747">
        <v>10</v>
      </c>
      <c r="L2747">
        <v>105697</v>
      </c>
      <c r="M2747" t="s">
        <v>51</v>
      </c>
      <c r="N2747">
        <v>2</v>
      </c>
      <c r="O2747">
        <v>3</v>
      </c>
      <c r="P2747">
        <v>34</v>
      </c>
      <c r="Q2747">
        <v>0</v>
      </c>
      <c r="R2747" s="1">
        <v>41435</v>
      </c>
      <c r="S2747" t="s">
        <v>29</v>
      </c>
      <c r="T2747" t="str">
        <f t="shared" si="210"/>
        <v>Grade A</v>
      </c>
      <c r="U2747">
        <f t="shared" si="211"/>
        <v>4</v>
      </c>
      <c r="V2747" t="str">
        <f t="shared" si="212"/>
        <v>Mid Level</v>
      </c>
      <c r="W2747" t="str">
        <f t="shared" si="213"/>
        <v>Low Risk</v>
      </c>
      <c r="X2747" t="str">
        <f t="shared" si="214"/>
        <v>Competitive</v>
      </c>
    </row>
    <row r="2748" spans="1:24" x14ac:dyDescent="0.3">
      <c r="A2748" t="s">
        <v>2816</v>
      </c>
      <c r="B2748" t="s">
        <v>20</v>
      </c>
      <c r="C2748">
        <v>24</v>
      </c>
      <c r="D2748" t="s">
        <v>31</v>
      </c>
      <c r="E2748" t="s">
        <v>40</v>
      </c>
      <c r="F2748" t="s">
        <v>75</v>
      </c>
      <c r="G2748" t="s">
        <v>33</v>
      </c>
      <c r="H2748" t="s">
        <v>34</v>
      </c>
      <c r="I2748" t="s">
        <v>96</v>
      </c>
      <c r="J2748" t="s">
        <v>44</v>
      </c>
      <c r="K2748">
        <v>3</v>
      </c>
      <c r="L2748">
        <v>68604</v>
      </c>
      <c r="M2748" t="s">
        <v>28</v>
      </c>
      <c r="N2748">
        <v>1</v>
      </c>
      <c r="O2748">
        <v>1</v>
      </c>
      <c r="P2748">
        <v>70</v>
      </c>
      <c r="Q2748">
        <v>0</v>
      </c>
      <c r="R2748" s="1">
        <v>44154</v>
      </c>
      <c r="S2748" t="s">
        <v>29</v>
      </c>
      <c r="T2748" t="str">
        <f t="shared" si="210"/>
        <v>Grade B</v>
      </c>
      <c r="U2748">
        <f t="shared" si="211"/>
        <v>3</v>
      </c>
      <c r="V2748" t="str">
        <f t="shared" si="212"/>
        <v>Junior</v>
      </c>
      <c r="W2748" t="str">
        <f t="shared" si="213"/>
        <v>Medium Risk</v>
      </c>
      <c r="X2748" t="str">
        <f t="shared" si="214"/>
        <v>Competitive</v>
      </c>
    </row>
    <row r="2749" spans="1:24" x14ac:dyDescent="0.3">
      <c r="A2749" t="s">
        <v>2817</v>
      </c>
      <c r="B2749" t="s">
        <v>39</v>
      </c>
      <c r="C2749">
        <v>51</v>
      </c>
      <c r="D2749" t="s">
        <v>47</v>
      </c>
      <c r="E2749" t="s">
        <v>40</v>
      </c>
      <c r="F2749" t="s">
        <v>62</v>
      </c>
      <c r="G2749" t="s">
        <v>49</v>
      </c>
      <c r="H2749" t="s">
        <v>67</v>
      </c>
      <c r="I2749" t="s">
        <v>68</v>
      </c>
      <c r="J2749" t="s">
        <v>60</v>
      </c>
      <c r="K2749">
        <v>7</v>
      </c>
      <c r="L2749">
        <v>68464</v>
      </c>
      <c r="M2749" t="s">
        <v>28</v>
      </c>
      <c r="N2749">
        <v>1</v>
      </c>
      <c r="O2749">
        <v>1</v>
      </c>
      <c r="P2749">
        <v>37</v>
      </c>
      <c r="Q2749">
        <v>0</v>
      </c>
      <c r="R2749" s="1">
        <v>42399</v>
      </c>
      <c r="S2749" t="s">
        <v>29</v>
      </c>
      <c r="T2749" t="str">
        <f t="shared" si="210"/>
        <v>Grade B</v>
      </c>
      <c r="U2749">
        <f t="shared" si="211"/>
        <v>3</v>
      </c>
      <c r="V2749" t="str">
        <f t="shared" si="212"/>
        <v>Mid Level</v>
      </c>
      <c r="W2749" t="str">
        <f t="shared" si="213"/>
        <v>Medium Risk</v>
      </c>
      <c r="X2749" t="str">
        <f t="shared" si="214"/>
        <v>Competitive</v>
      </c>
    </row>
    <row r="2750" spans="1:24" x14ac:dyDescent="0.3">
      <c r="A2750" t="s">
        <v>2818</v>
      </c>
      <c r="B2750" t="s">
        <v>20</v>
      </c>
      <c r="C2750">
        <v>31</v>
      </c>
      <c r="D2750" t="s">
        <v>57</v>
      </c>
      <c r="E2750" t="s">
        <v>22</v>
      </c>
      <c r="F2750" t="s">
        <v>62</v>
      </c>
      <c r="G2750" t="s">
        <v>49</v>
      </c>
      <c r="H2750" t="s">
        <v>67</v>
      </c>
      <c r="I2750" t="s">
        <v>35</v>
      </c>
      <c r="J2750" t="s">
        <v>27</v>
      </c>
      <c r="K2750">
        <v>2</v>
      </c>
      <c r="L2750">
        <v>55287</v>
      </c>
      <c r="M2750" t="s">
        <v>45</v>
      </c>
      <c r="N2750">
        <v>1</v>
      </c>
      <c r="O2750">
        <v>1</v>
      </c>
      <c r="P2750">
        <v>46</v>
      </c>
      <c r="Q2750">
        <v>3</v>
      </c>
      <c r="R2750" s="1">
        <v>44501</v>
      </c>
      <c r="S2750" t="s">
        <v>29</v>
      </c>
      <c r="T2750" t="str">
        <f t="shared" si="210"/>
        <v>Grade B</v>
      </c>
      <c r="U2750">
        <f t="shared" si="211"/>
        <v>2</v>
      </c>
      <c r="V2750" t="str">
        <f t="shared" si="212"/>
        <v>New Joiner</v>
      </c>
      <c r="W2750" t="str">
        <f t="shared" si="213"/>
        <v>Medium Risk</v>
      </c>
      <c r="X2750" t="str">
        <f t="shared" si="214"/>
        <v>Fair</v>
      </c>
    </row>
    <row r="2751" spans="1:24" x14ac:dyDescent="0.3">
      <c r="A2751" t="s">
        <v>2819</v>
      </c>
      <c r="B2751" t="s">
        <v>20</v>
      </c>
      <c r="C2751">
        <v>41</v>
      </c>
      <c r="D2751" t="s">
        <v>21</v>
      </c>
      <c r="E2751" t="s">
        <v>48</v>
      </c>
      <c r="F2751" t="s">
        <v>53</v>
      </c>
      <c r="G2751" t="s">
        <v>42</v>
      </c>
      <c r="H2751" t="s">
        <v>83</v>
      </c>
      <c r="I2751" t="s">
        <v>43</v>
      </c>
      <c r="J2751" t="s">
        <v>44</v>
      </c>
      <c r="K2751">
        <v>4</v>
      </c>
      <c r="L2751">
        <v>108114</v>
      </c>
      <c r="M2751" t="s">
        <v>36</v>
      </c>
      <c r="N2751">
        <v>3</v>
      </c>
      <c r="O2751">
        <v>3</v>
      </c>
      <c r="P2751">
        <v>63</v>
      </c>
      <c r="Q2751">
        <v>2</v>
      </c>
      <c r="R2751" s="1">
        <v>43715</v>
      </c>
      <c r="S2751" t="s">
        <v>37</v>
      </c>
      <c r="T2751" t="str">
        <f t="shared" si="210"/>
        <v>Grade A</v>
      </c>
      <c r="U2751">
        <f t="shared" si="211"/>
        <v>1</v>
      </c>
      <c r="V2751" t="str">
        <f t="shared" si="212"/>
        <v>Junior</v>
      </c>
      <c r="W2751" t="str">
        <f t="shared" si="213"/>
        <v>Already Left</v>
      </c>
      <c r="X2751" t="str">
        <f t="shared" si="214"/>
        <v>Overpaid</v>
      </c>
    </row>
    <row r="2752" spans="1:24" x14ac:dyDescent="0.3">
      <c r="A2752" t="s">
        <v>2820</v>
      </c>
      <c r="B2752" t="s">
        <v>39</v>
      </c>
      <c r="C2752">
        <v>47</v>
      </c>
      <c r="D2752" t="s">
        <v>57</v>
      </c>
      <c r="E2752" t="s">
        <v>22</v>
      </c>
      <c r="F2752" t="s">
        <v>32</v>
      </c>
      <c r="G2752" t="s">
        <v>63</v>
      </c>
      <c r="H2752" t="s">
        <v>83</v>
      </c>
      <c r="I2752" t="s">
        <v>96</v>
      </c>
      <c r="J2752" t="s">
        <v>44</v>
      </c>
      <c r="K2752">
        <v>13</v>
      </c>
      <c r="L2752">
        <v>77772</v>
      </c>
      <c r="M2752" t="s">
        <v>51</v>
      </c>
      <c r="N2752">
        <v>4</v>
      </c>
      <c r="O2752">
        <v>1</v>
      </c>
      <c r="P2752">
        <v>11</v>
      </c>
      <c r="Q2752">
        <v>2</v>
      </c>
      <c r="R2752" s="1">
        <v>40380</v>
      </c>
      <c r="S2752" t="s">
        <v>29</v>
      </c>
      <c r="T2752" t="str">
        <f t="shared" si="210"/>
        <v>Grade B</v>
      </c>
      <c r="U2752">
        <f t="shared" si="211"/>
        <v>4</v>
      </c>
      <c r="V2752" t="str">
        <f t="shared" si="212"/>
        <v>Senior</v>
      </c>
      <c r="W2752" t="str">
        <f t="shared" si="213"/>
        <v>Low Risk</v>
      </c>
      <c r="X2752" t="str">
        <f t="shared" si="214"/>
        <v>Fair</v>
      </c>
    </row>
    <row r="2753" spans="1:24" x14ac:dyDescent="0.3">
      <c r="A2753" t="s">
        <v>2821</v>
      </c>
      <c r="B2753" t="s">
        <v>20</v>
      </c>
      <c r="C2753">
        <v>45</v>
      </c>
      <c r="D2753" t="s">
        <v>57</v>
      </c>
      <c r="E2753" t="s">
        <v>22</v>
      </c>
      <c r="F2753" t="s">
        <v>32</v>
      </c>
      <c r="G2753" t="s">
        <v>66</v>
      </c>
      <c r="H2753" t="s">
        <v>83</v>
      </c>
      <c r="I2753" t="s">
        <v>59</v>
      </c>
      <c r="J2753" t="s">
        <v>60</v>
      </c>
      <c r="K2753">
        <v>5</v>
      </c>
      <c r="L2753">
        <v>50529</v>
      </c>
      <c r="M2753" t="s">
        <v>51</v>
      </c>
      <c r="N2753">
        <v>1</v>
      </c>
      <c r="O2753">
        <v>3</v>
      </c>
      <c r="P2753">
        <v>18</v>
      </c>
      <c r="Q2753">
        <v>0</v>
      </c>
      <c r="R2753" s="1">
        <v>43414</v>
      </c>
      <c r="S2753" t="s">
        <v>29</v>
      </c>
      <c r="T2753" t="str">
        <f t="shared" si="210"/>
        <v>Grade B</v>
      </c>
      <c r="U2753">
        <f t="shared" si="211"/>
        <v>4</v>
      </c>
      <c r="V2753" t="str">
        <f t="shared" si="212"/>
        <v>Junior</v>
      </c>
      <c r="W2753" t="str">
        <f t="shared" si="213"/>
        <v>Low Risk</v>
      </c>
      <c r="X2753" t="str">
        <f t="shared" si="214"/>
        <v>Fair</v>
      </c>
    </row>
    <row r="2754" spans="1:24" x14ac:dyDescent="0.3">
      <c r="A2754" t="s">
        <v>2822</v>
      </c>
      <c r="B2754" t="s">
        <v>39</v>
      </c>
      <c r="C2754">
        <v>51</v>
      </c>
      <c r="D2754" t="s">
        <v>47</v>
      </c>
      <c r="E2754" t="s">
        <v>48</v>
      </c>
      <c r="F2754" t="s">
        <v>62</v>
      </c>
      <c r="G2754" t="s">
        <v>24</v>
      </c>
      <c r="H2754" t="s">
        <v>25</v>
      </c>
      <c r="I2754" t="s">
        <v>68</v>
      </c>
      <c r="J2754" t="s">
        <v>60</v>
      </c>
      <c r="K2754">
        <v>13</v>
      </c>
      <c r="L2754">
        <v>109210</v>
      </c>
      <c r="M2754" t="s">
        <v>36</v>
      </c>
      <c r="N2754">
        <v>4</v>
      </c>
      <c r="O2754">
        <v>1</v>
      </c>
      <c r="P2754">
        <v>79</v>
      </c>
      <c r="Q2754">
        <v>3</v>
      </c>
      <c r="R2754" s="1">
        <v>40326</v>
      </c>
      <c r="S2754" t="s">
        <v>37</v>
      </c>
      <c r="T2754" t="str">
        <f t="shared" ref="T2754:T2817" si="215">IF(L2754&gt;=80000,"Grade A",IF(L2754&gt;=50000,"Grade B",IF(L2754&gt;=35000,"Grade C","Grade D")))</f>
        <v>Grade A</v>
      </c>
      <c r="U2754">
        <f t="shared" ref="U2754:U2817" si="216">IF(M2754="Excellent",4,IF(M2754="Good",3,IF(M2754="Average",2,1)))</f>
        <v>1</v>
      </c>
      <c r="V2754" t="str">
        <f t="shared" ref="V2754:V2817" si="217">IF(K2754&lt;=2,"New Joiner",IF(K2754&lt;=5,"Junior",IF(K2754&lt;=10,"Mid Level","Senior")))</f>
        <v>Senior</v>
      </c>
      <c r="W2754" t="str">
        <f t="shared" ref="W2754:W2817" si="218">IF(S2754="Yes","Already Left",IF(AND(K2754&lt;=2,M2754="Poor"),"High Risk",IF(AND(K2754&lt;=5,M2754="Average"),"Medium Risk",IF(M2754="Excellent","Low Risk","Medium Risk"))))</f>
        <v>Already Left</v>
      </c>
      <c r="X2754" t="str">
        <f t="shared" ref="X2754:X2817" si="219">IF(AND(L2754&gt;=80000,M2754="Excellent"),"Competitive",IF(AND(L2754&gt;=50000,M2754="Good"),"Competitive",IF(AND(L2754&lt;35000,M2754="Excellent"),"Underpaid",IF(AND(L2754&gt;=80000,M2754="Poor"),"Overpaid","Fair"))))</f>
        <v>Overpaid</v>
      </c>
    </row>
    <row r="2755" spans="1:24" x14ac:dyDescent="0.3">
      <c r="A2755" t="s">
        <v>2823</v>
      </c>
      <c r="B2755" t="s">
        <v>39</v>
      </c>
      <c r="C2755">
        <v>50</v>
      </c>
      <c r="D2755" t="s">
        <v>47</v>
      </c>
      <c r="E2755" t="s">
        <v>22</v>
      </c>
      <c r="F2755" t="s">
        <v>75</v>
      </c>
      <c r="G2755" t="s">
        <v>49</v>
      </c>
      <c r="H2755" t="s">
        <v>67</v>
      </c>
      <c r="I2755" t="s">
        <v>59</v>
      </c>
      <c r="J2755" t="s">
        <v>60</v>
      </c>
      <c r="K2755">
        <v>5</v>
      </c>
      <c r="L2755">
        <v>53069</v>
      </c>
      <c r="M2755" t="s">
        <v>51</v>
      </c>
      <c r="N2755">
        <v>2</v>
      </c>
      <c r="O2755">
        <v>1</v>
      </c>
      <c r="P2755">
        <v>49</v>
      </c>
      <c r="Q2755">
        <v>2</v>
      </c>
      <c r="R2755" s="1">
        <v>43424</v>
      </c>
      <c r="S2755" t="s">
        <v>29</v>
      </c>
      <c r="T2755" t="str">
        <f t="shared" si="215"/>
        <v>Grade B</v>
      </c>
      <c r="U2755">
        <f t="shared" si="216"/>
        <v>4</v>
      </c>
      <c r="V2755" t="str">
        <f t="shared" si="217"/>
        <v>Junior</v>
      </c>
      <c r="W2755" t="str">
        <f t="shared" si="218"/>
        <v>Low Risk</v>
      </c>
      <c r="X2755" t="str">
        <f t="shared" si="219"/>
        <v>Fair</v>
      </c>
    </row>
    <row r="2756" spans="1:24" x14ac:dyDescent="0.3">
      <c r="A2756" t="s">
        <v>2824</v>
      </c>
      <c r="B2756" t="s">
        <v>20</v>
      </c>
      <c r="C2756">
        <v>48</v>
      </c>
      <c r="D2756" t="s">
        <v>31</v>
      </c>
      <c r="E2756" t="s">
        <v>40</v>
      </c>
      <c r="F2756" t="s">
        <v>32</v>
      </c>
      <c r="G2756" t="s">
        <v>79</v>
      </c>
      <c r="H2756" t="s">
        <v>83</v>
      </c>
      <c r="I2756" t="s">
        <v>50</v>
      </c>
      <c r="J2756" t="s">
        <v>44</v>
      </c>
      <c r="K2756">
        <v>5</v>
      </c>
      <c r="L2756">
        <v>42651</v>
      </c>
      <c r="M2756" t="s">
        <v>28</v>
      </c>
      <c r="N2756">
        <v>2</v>
      </c>
      <c r="O2756">
        <v>4</v>
      </c>
      <c r="P2756">
        <v>35</v>
      </c>
      <c r="Q2756">
        <v>3</v>
      </c>
      <c r="R2756" s="1">
        <v>43321</v>
      </c>
      <c r="S2756" t="s">
        <v>29</v>
      </c>
      <c r="T2756" t="str">
        <f t="shared" si="215"/>
        <v>Grade C</v>
      </c>
      <c r="U2756">
        <f t="shared" si="216"/>
        <v>3</v>
      </c>
      <c r="V2756" t="str">
        <f t="shared" si="217"/>
        <v>Junior</v>
      </c>
      <c r="W2756" t="str">
        <f t="shared" si="218"/>
        <v>Medium Risk</v>
      </c>
      <c r="X2756" t="str">
        <f t="shared" si="219"/>
        <v>Fair</v>
      </c>
    </row>
    <row r="2757" spans="1:24" x14ac:dyDescent="0.3">
      <c r="A2757" t="s">
        <v>2825</v>
      </c>
      <c r="B2757" t="s">
        <v>20</v>
      </c>
      <c r="C2757">
        <v>28</v>
      </c>
      <c r="D2757" t="s">
        <v>88</v>
      </c>
      <c r="E2757" t="s">
        <v>22</v>
      </c>
      <c r="F2757" t="s">
        <v>41</v>
      </c>
      <c r="G2757" t="s">
        <v>33</v>
      </c>
      <c r="H2757" t="s">
        <v>67</v>
      </c>
      <c r="I2757" t="s">
        <v>35</v>
      </c>
      <c r="J2757" t="s">
        <v>27</v>
      </c>
      <c r="K2757">
        <v>15</v>
      </c>
      <c r="L2757">
        <v>84308</v>
      </c>
      <c r="M2757" t="s">
        <v>28</v>
      </c>
      <c r="N2757">
        <v>3</v>
      </c>
      <c r="O2757">
        <v>3</v>
      </c>
      <c r="P2757">
        <v>36</v>
      </c>
      <c r="Q2757">
        <v>1</v>
      </c>
      <c r="R2757" s="1">
        <v>39492</v>
      </c>
      <c r="S2757" t="s">
        <v>29</v>
      </c>
      <c r="T2757" t="str">
        <f t="shared" si="215"/>
        <v>Grade A</v>
      </c>
      <c r="U2757">
        <f t="shared" si="216"/>
        <v>3</v>
      </c>
      <c r="V2757" t="str">
        <f t="shared" si="217"/>
        <v>Senior</v>
      </c>
      <c r="W2757" t="str">
        <f t="shared" si="218"/>
        <v>Medium Risk</v>
      </c>
      <c r="X2757" t="str">
        <f t="shared" si="219"/>
        <v>Competitive</v>
      </c>
    </row>
    <row r="2758" spans="1:24" x14ac:dyDescent="0.3">
      <c r="A2758" t="s">
        <v>2826</v>
      </c>
      <c r="B2758" t="s">
        <v>20</v>
      </c>
      <c r="C2758">
        <v>25</v>
      </c>
      <c r="D2758" t="s">
        <v>47</v>
      </c>
      <c r="E2758" t="s">
        <v>22</v>
      </c>
      <c r="F2758" t="s">
        <v>32</v>
      </c>
      <c r="G2758" t="s">
        <v>49</v>
      </c>
      <c r="H2758" t="s">
        <v>83</v>
      </c>
      <c r="I2758" t="s">
        <v>72</v>
      </c>
      <c r="J2758" t="s">
        <v>73</v>
      </c>
      <c r="K2758">
        <v>2</v>
      </c>
      <c r="L2758">
        <v>57026</v>
      </c>
      <c r="M2758" t="s">
        <v>28</v>
      </c>
      <c r="N2758">
        <v>3</v>
      </c>
      <c r="O2758">
        <v>1</v>
      </c>
      <c r="P2758">
        <v>70</v>
      </c>
      <c r="Q2758">
        <v>3</v>
      </c>
      <c r="R2758" s="1">
        <v>44530</v>
      </c>
      <c r="S2758" t="s">
        <v>29</v>
      </c>
      <c r="T2758" t="str">
        <f t="shared" si="215"/>
        <v>Grade B</v>
      </c>
      <c r="U2758">
        <f t="shared" si="216"/>
        <v>3</v>
      </c>
      <c r="V2758" t="str">
        <f t="shared" si="217"/>
        <v>New Joiner</v>
      </c>
      <c r="W2758" t="str">
        <f t="shared" si="218"/>
        <v>Medium Risk</v>
      </c>
      <c r="X2758" t="str">
        <f t="shared" si="219"/>
        <v>Competitive</v>
      </c>
    </row>
    <row r="2759" spans="1:24" x14ac:dyDescent="0.3">
      <c r="A2759" t="s">
        <v>2827</v>
      </c>
      <c r="B2759" t="s">
        <v>20</v>
      </c>
      <c r="C2759">
        <v>55</v>
      </c>
      <c r="D2759" t="s">
        <v>88</v>
      </c>
      <c r="E2759" t="s">
        <v>22</v>
      </c>
      <c r="F2759" t="s">
        <v>23</v>
      </c>
      <c r="G2759" t="s">
        <v>58</v>
      </c>
      <c r="H2759" t="s">
        <v>67</v>
      </c>
      <c r="I2759" t="s">
        <v>43</v>
      </c>
      <c r="J2759" t="s">
        <v>44</v>
      </c>
      <c r="K2759">
        <v>5</v>
      </c>
      <c r="L2759">
        <v>100469</v>
      </c>
      <c r="M2759" t="s">
        <v>36</v>
      </c>
      <c r="N2759">
        <v>1</v>
      </c>
      <c r="O2759">
        <v>3</v>
      </c>
      <c r="P2759">
        <v>13</v>
      </c>
      <c r="Q2759">
        <v>1</v>
      </c>
      <c r="R2759" s="1">
        <v>43114</v>
      </c>
      <c r="S2759" t="s">
        <v>37</v>
      </c>
      <c r="T2759" t="str">
        <f t="shared" si="215"/>
        <v>Grade A</v>
      </c>
      <c r="U2759">
        <f t="shared" si="216"/>
        <v>1</v>
      </c>
      <c r="V2759" t="str">
        <f t="shared" si="217"/>
        <v>Junior</v>
      </c>
      <c r="W2759" t="str">
        <f t="shared" si="218"/>
        <v>Already Left</v>
      </c>
      <c r="X2759" t="str">
        <f t="shared" si="219"/>
        <v>Overpaid</v>
      </c>
    </row>
    <row r="2760" spans="1:24" x14ac:dyDescent="0.3">
      <c r="A2760" t="s">
        <v>2828</v>
      </c>
      <c r="B2760" t="s">
        <v>39</v>
      </c>
      <c r="C2760">
        <v>50</v>
      </c>
      <c r="D2760" t="s">
        <v>88</v>
      </c>
      <c r="E2760" t="s">
        <v>40</v>
      </c>
      <c r="F2760" t="s">
        <v>41</v>
      </c>
      <c r="G2760" t="s">
        <v>79</v>
      </c>
      <c r="H2760" t="s">
        <v>76</v>
      </c>
      <c r="I2760" t="s">
        <v>54</v>
      </c>
      <c r="J2760" t="s">
        <v>27</v>
      </c>
      <c r="K2760">
        <v>9</v>
      </c>
      <c r="L2760">
        <v>53689</v>
      </c>
      <c r="M2760" t="s">
        <v>36</v>
      </c>
      <c r="N2760">
        <v>2</v>
      </c>
      <c r="O2760">
        <v>3</v>
      </c>
      <c r="P2760">
        <v>38</v>
      </c>
      <c r="Q2760">
        <v>0</v>
      </c>
      <c r="R2760" s="1">
        <v>41665</v>
      </c>
      <c r="S2760" t="s">
        <v>29</v>
      </c>
      <c r="T2760" t="str">
        <f t="shared" si="215"/>
        <v>Grade B</v>
      </c>
      <c r="U2760">
        <f t="shared" si="216"/>
        <v>1</v>
      </c>
      <c r="V2760" t="str">
        <f t="shared" si="217"/>
        <v>Mid Level</v>
      </c>
      <c r="W2760" t="str">
        <f t="shared" si="218"/>
        <v>Medium Risk</v>
      </c>
      <c r="X2760" t="str">
        <f t="shared" si="219"/>
        <v>Fair</v>
      </c>
    </row>
    <row r="2761" spans="1:24" x14ac:dyDescent="0.3">
      <c r="A2761" t="s">
        <v>2829</v>
      </c>
      <c r="B2761" t="s">
        <v>39</v>
      </c>
      <c r="C2761">
        <v>42</v>
      </c>
      <c r="D2761" t="s">
        <v>47</v>
      </c>
      <c r="E2761" t="s">
        <v>48</v>
      </c>
      <c r="F2761" t="s">
        <v>53</v>
      </c>
      <c r="G2761" t="s">
        <v>79</v>
      </c>
      <c r="H2761" t="s">
        <v>67</v>
      </c>
      <c r="I2761" t="s">
        <v>35</v>
      </c>
      <c r="J2761" t="s">
        <v>27</v>
      </c>
      <c r="K2761">
        <v>11</v>
      </c>
      <c r="L2761">
        <v>60974</v>
      </c>
      <c r="M2761" t="s">
        <v>36</v>
      </c>
      <c r="N2761">
        <v>2</v>
      </c>
      <c r="O2761">
        <v>2</v>
      </c>
      <c r="P2761">
        <v>32</v>
      </c>
      <c r="Q2761">
        <v>0</v>
      </c>
      <c r="R2761" s="1">
        <v>41099</v>
      </c>
      <c r="S2761" t="s">
        <v>29</v>
      </c>
      <c r="T2761" t="str">
        <f t="shared" si="215"/>
        <v>Grade B</v>
      </c>
      <c r="U2761">
        <f t="shared" si="216"/>
        <v>1</v>
      </c>
      <c r="V2761" t="str">
        <f t="shared" si="217"/>
        <v>Senior</v>
      </c>
      <c r="W2761" t="str">
        <f t="shared" si="218"/>
        <v>Medium Risk</v>
      </c>
      <c r="X2761" t="str">
        <f t="shared" si="219"/>
        <v>Fair</v>
      </c>
    </row>
    <row r="2762" spans="1:24" x14ac:dyDescent="0.3">
      <c r="A2762" t="s">
        <v>2830</v>
      </c>
      <c r="B2762" t="s">
        <v>39</v>
      </c>
      <c r="C2762">
        <v>25</v>
      </c>
      <c r="D2762" t="s">
        <v>57</v>
      </c>
      <c r="E2762" t="s">
        <v>48</v>
      </c>
      <c r="F2762" t="s">
        <v>53</v>
      </c>
      <c r="G2762" t="s">
        <v>79</v>
      </c>
      <c r="H2762" t="s">
        <v>25</v>
      </c>
      <c r="I2762" t="s">
        <v>96</v>
      </c>
      <c r="J2762" t="s">
        <v>44</v>
      </c>
      <c r="K2762">
        <v>2</v>
      </c>
      <c r="L2762">
        <v>45162</v>
      </c>
      <c r="M2762" t="s">
        <v>36</v>
      </c>
      <c r="N2762">
        <v>1</v>
      </c>
      <c r="O2762">
        <v>1</v>
      </c>
      <c r="P2762">
        <v>45</v>
      </c>
      <c r="Q2762">
        <v>3</v>
      </c>
      <c r="R2762" s="1">
        <v>44481</v>
      </c>
      <c r="S2762" t="s">
        <v>29</v>
      </c>
      <c r="T2762" t="str">
        <f t="shared" si="215"/>
        <v>Grade C</v>
      </c>
      <c r="U2762">
        <f t="shared" si="216"/>
        <v>1</v>
      </c>
      <c r="V2762" t="str">
        <f t="shared" si="217"/>
        <v>New Joiner</v>
      </c>
      <c r="W2762" t="str">
        <f t="shared" si="218"/>
        <v>High Risk</v>
      </c>
      <c r="X2762" t="str">
        <f t="shared" si="219"/>
        <v>Fair</v>
      </c>
    </row>
    <row r="2763" spans="1:24" x14ac:dyDescent="0.3">
      <c r="A2763" t="s">
        <v>2831</v>
      </c>
      <c r="B2763" t="s">
        <v>20</v>
      </c>
      <c r="C2763">
        <v>40</v>
      </c>
      <c r="D2763" t="s">
        <v>57</v>
      </c>
      <c r="E2763" t="s">
        <v>22</v>
      </c>
      <c r="F2763" t="s">
        <v>23</v>
      </c>
      <c r="G2763" t="s">
        <v>79</v>
      </c>
      <c r="H2763" t="s">
        <v>83</v>
      </c>
      <c r="I2763" t="s">
        <v>96</v>
      </c>
      <c r="J2763" t="s">
        <v>44</v>
      </c>
      <c r="K2763">
        <v>12</v>
      </c>
      <c r="L2763">
        <v>58928</v>
      </c>
      <c r="M2763" t="s">
        <v>45</v>
      </c>
      <c r="N2763">
        <v>2</v>
      </c>
      <c r="O2763">
        <v>1</v>
      </c>
      <c r="P2763">
        <v>35</v>
      </c>
      <c r="Q2763">
        <v>3</v>
      </c>
      <c r="R2763" s="1">
        <v>40912</v>
      </c>
      <c r="S2763" t="s">
        <v>29</v>
      </c>
      <c r="T2763" t="str">
        <f t="shared" si="215"/>
        <v>Grade B</v>
      </c>
      <c r="U2763">
        <f t="shared" si="216"/>
        <v>2</v>
      </c>
      <c r="V2763" t="str">
        <f t="shared" si="217"/>
        <v>Senior</v>
      </c>
      <c r="W2763" t="str">
        <f t="shared" si="218"/>
        <v>Medium Risk</v>
      </c>
      <c r="X2763" t="str">
        <f t="shared" si="219"/>
        <v>Fair</v>
      </c>
    </row>
    <row r="2764" spans="1:24" x14ac:dyDescent="0.3">
      <c r="A2764" t="s">
        <v>2832</v>
      </c>
      <c r="B2764" t="s">
        <v>20</v>
      </c>
      <c r="C2764">
        <v>26</v>
      </c>
      <c r="D2764" t="s">
        <v>57</v>
      </c>
      <c r="E2764" t="s">
        <v>22</v>
      </c>
      <c r="F2764" t="s">
        <v>62</v>
      </c>
      <c r="G2764" t="s">
        <v>66</v>
      </c>
      <c r="H2764" t="s">
        <v>34</v>
      </c>
      <c r="I2764" t="s">
        <v>68</v>
      </c>
      <c r="J2764" t="s">
        <v>60</v>
      </c>
      <c r="K2764">
        <v>5</v>
      </c>
      <c r="L2764">
        <v>48195</v>
      </c>
      <c r="M2764" t="s">
        <v>36</v>
      </c>
      <c r="N2764">
        <v>2</v>
      </c>
      <c r="O2764">
        <v>4</v>
      </c>
      <c r="P2764">
        <v>68</v>
      </c>
      <c r="Q2764">
        <v>3</v>
      </c>
      <c r="R2764" s="1">
        <v>43238</v>
      </c>
      <c r="S2764" t="s">
        <v>37</v>
      </c>
      <c r="T2764" t="str">
        <f t="shared" si="215"/>
        <v>Grade C</v>
      </c>
      <c r="U2764">
        <f t="shared" si="216"/>
        <v>1</v>
      </c>
      <c r="V2764" t="str">
        <f t="shared" si="217"/>
        <v>Junior</v>
      </c>
      <c r="W2764" t="str">
        <f t="shared" si="218"/>
        <v>Already Left</v>
      </c>
      <c r="X2764" t="str">
        <f t="shared" si="219"/>
        <v>Fair</v>
      </c>
    </row>
    <row r="2765" spans="1:24" x14ac:dyDescent="0.3">
      <c r="A2765" t="s">
        <v>2833</v>
      </c>
      <c r="B2765" t="s">
        <v>39</v>
      </c>
      <c r="C2765">
        <v>49</v>
      </c>
      <c r="D2765" t="s">
        <v>31</v>
      </c>
      <c r="E2765" t="s">
        <v>48</v>
      </c>
      <c r="F2765" t="s">
        <v>75</v>
      </c>
      <c r="G2765" t="s">
        <v>79</v>
      </c>
      <c r="H2765" t="s">
        <v>67</v>
      </c>
      <c r="I2765" t="s">
        <v>50</v>
      </c>
      <c r="J2765" t="s">
        <v>44</v>
      </c>
      <c r="K2765">
        <v>11</v>
      </c>
      <c r="L2765">
        <v>59870</v>
      </c>
      <c r="M2765" t="s">
        <v>45</v>
      </c>
      <c r="N2765">
        <v>3</v>
      </c>
      <c r="O2765">
        <v>1</v>
      </c>
      <c r="P2765">
        <v>62</v>
      </c>
      <c r="Q2765">
        <v>2</v>
      </c>
      <c r="R2765" s="1">
        <v>40992</v>
      </c>
      <c r="S2765" t="s">
        <v>29</v>
      </c>
      <c r="T2765" t="str">
        <f t="shared" si="215"/>
        <v>Grade B</v>
      </c>
      <c r="U2765">
        <f t="shared" si="216"/>
        <v>2</v>
      </c>
      <c r="V2765" t="str">
        <f t="shared" si="217"/>
        <v>Senior</v>
      </c>
      <c r="W2765" t="str">
        <f t="shared" si="218"/>
        <v>Medium Risk</v>
      </c>
      <c r="X2765" t="str">
        <f t="shared" si="219"/>
        <v>Fair</v>
      </c>
    </row>
    <row r="2766" spans="1:24" x14ac:dyDescent="0.3">
      <c r="A2766" t="s">
        <v>2834</v>
      </c>
      <c r="B2766" t="s">
        <v>39</v>
      </c>
      <c r="C2766">
        <v>54</v>
      </c>
      <c r="D2766" t="s">
        <v>31</v>
      </c>
      <c r="E2766" t="s">
        <v>48</v>
      </c>
      <c r="F2766" t="s">
        <v>75</v>
      </c>
      <c r="G2766" t="s">
        <v>49</v>
      </c>
      <c r="H2766" t="s">
        <v>76</v>
      </c>
      <c r="I2766" t="s">
        <v>59</v>
      </c>
      <c r="J2766" t="s">
        <v>60</v>
      </c>
      <c r="K2766">
        <v>11</v>
      </c>
      <c r="L2766">
        <v>77585</v>
      </c>
      <c r="M2766" t="s">
        <v>28</v>
      </c>
      <c r="N2766">
        <v>2</v>
      </c>
      <c r="O2766">
        <v>3</v>
      </c>
      <c r="P2766">
        <v>71</v>
      </c>
      <c r="Q2766">
        <v>3</v>
      </c>
      <c r="R2766" s="1">
        <v>41064</v>
      </c>
      <c r="S2766" t="s">
        <v>29</v>
      </c>
      <c r="T2766" t="str">
        <f t="shared" si="215"/>
        <v>Grade B</v>
      </c>
      <c r="U2766">
        <f t="shared" si="216"/>
        <v>3</v>
      </c>
      <c r="V2766" t="str">
        <f t="shared" si="217"/>
        <v>Senior</v>
      </c>
      <c r="W2766" t="str">
        <f t="shared" si="218"/>
        <v>Medium Risk</v>
      </c>
      <c r="X2766" t="str">
        <f t="shared" si="219"/>
        <v>Competitive</v>
      </c>
    </row>
    <row r="2767" spans="1:24" x14ac:dyDescent="0.3">
      <c r="A2767" t="s">
        <v>2835</v>
      </c>
      <c r="B2767" t="s">
        <v>39</v>
      </c>
      <c r="C2767">
        <v>48</v>
      </c>
      <c r="D2767" t="s">
        <v>21</v>
      </c>
      <c r="E2767" t="s">
        <v>40</v>
      </c>
      <c r="F2767" t="s">
        <v>78</v>
      </c>
      <c r="G2767" t="s">
        <v>24</v>
      </c>
      <c r="H2767" t="s">
        <v>34</v>
      </c>
      <c r="I2767" t="s">
        <v>96</v>
      </c>
      <c r="J2767" t="s">
        <v>44</v>
      </c>
      <c r="K2767">
        <v>10</v>
      </c>
      <c r="L2767">
        <v>104968</v>
      </c>
      <c r="M2767" t="s">
        <v>45</v>
      </c>
      <c r="N2767">
        <v>2</v>
      </c>
      <c r="O2767">
        <v>4</v>
      </c>
      <c r="P2767">
        <v>47</v>
      </c>
      <c r="Q2767">
        <v>2</v>
      </c>
      <c r="R2767" s="1">
        <v>41469</v>
      </c>
      <c r="S2767" t="s">
        <v>29</v>
      </c>
      <c r="T2767" t="str">
        <f t="shared" si="215"/>
        <v>Grade A</v>
      </c>
      <c r="U2767">
        <f t="shared" si="216"/>
        <v>2</v>
      </c>
      <c r="V2767" t="str">
        <f t="shared" si="217"/>
        <v>Mid Level</v>
      </c>
      <c r="W2767" t="str">
        <f t="shared" si="218"/>
        <v>Medium Risk</v>
      </c>
      <c r="X2767" t="str">
        <f t="shared" si="219"/>
        <v>Fair</v>
      </c>
    </row>
    <row r="2768" spans="1:24" x14ac:dyDescent="0.3">
      <c r="A2768" t="s">
        <v>2836</v>
      </c>
      <c r="B2768" t="s">
        <v>39</v>
      </c>
      <c r="C2768">
        <v>33</v>
      </c>
      <c r="D2768" t="s">
        <v>31</v>
      </c>
      <c r="E2768" t="s">
        <v>48</v>
      </c>
      <c r="F2768" t="s">
        <v>53</v>
      </c>
      <c r="G2768" t="s">
        <v>42</v>
      </c>
      <c r="H2768" t="s">
        <v>67</v>
      </c>
      <c r="I2768" t="s">
        <v>35</v>
      </c>
      <c r="J2768" t="s">
        <v>27</v>
      </c>
      <c r="K2768">
        <v>1</v>
      </c>
      <c r="L2768">
        <v>91277</v>
      </c>
      <c r="M2768" t="s">
        <v>36</v>
      </c>
      <c r="N2768">
        <v>4</v>
      </c>
      <c r="O2768">
        <v>1</v>
      </c>
      <c r="P2768">
        <v>29</v>
      </c>
      <c r="Q2768">
        <v>0</v>
      </c>
      <c r="R2768" s="1">
        <v>44761</v>
      </c>
      <c r="S2768" t="s">
        <v>37</v>
      </c>
      <c r="T2768" t="str">
        <f t="shared" si="215"/>
        <v>Grade A</v>
      </c>
      <c r="U2768">
        <f t="shared" si="216"/>
        <v>1</v>
      </c>
      <c r="V2768" t="str">
        <f t="shared" si="217"/>
        <v>New Joiner</v>
      </c>
      <c r="W2768" t="str">
        <f t="shared" si="218"/>
        <v>Already Left</v>
      </c>
      <c r="X2768" t="str">
        <f t="shared" si="219"/>
        <v>Overpaid</v>
      </c>
    </row>
    <row r="2769" spans="1:24" x14ac:dyDescent="0.3">
      <c r="A2769" t="s">
        <v>2837</v>
      </c>
      <c r="B2769" t="s">
        <v>39</v>
      </c>
      <c r="C2769">
        <v>50</v>
      </c>
      <c r="D2769" t="s">
        <v>57</v>
      </c>
      <c r="E2769" t="s">
        <v>22</v>
      </c>
      <c r="F2769" t="s">
        <v>53</v>
      </c>
      <c r="G2769" t="s">
        <v>79</v>
      </c>
      <c r="H2769" t="s">
        <v>34</v>
      </c>
      <c r="I2769" t="s">
        <v>96</v>
      </c>
      <c r="J2769" t="s">
        <v>44</v>
      </c>
      <c r="K2769">
        <v>13</v>
      </c>
      <c r="L2769">
        <v>69040</v>
      </c>
      <c r="M2769" t="s">
        <v>45</v>
      </c>
      <c r="N2769">
        <v>2</v>
      </c>
      <c r="O2769">
        <v>3</v>
      </c>
      <c r="P2769">
        <v>10</v>
      </c>
      <c r="Q2769">
        <v>1</v>
      </c>
      <c r="R2769" s="1">
        <v>40546</v>
      </c>
      <c r="S2769" t="s">
        <v>37</v>
      </c>
      <c r="T2769" t="str">
        <f t="shared" si="215"/>
        <v>Grade B</v>
      </c>
      <c r="U2769">
        <f t="shared" si="216"/>
        <v>2</v>
      </c>
      <c r="V2769" t="str">
        <f t="shared" si="217"/>
        <v>Senior</v>
      </c>
      <c r="W2769" t="str">
        <f t="shared" si="218"/>
        <v>Already Left</v>
      </c>
      <c r="X2769" t="str">
        <f t="shared" si="219"/>
        <v>Fair</v>
      </c>
    </row>
    <row r="2770" spans="1:24" x14ac:dyDescent="0.3">
      <c r="A2770" t="s">
        <v>2838</v>
      </c>
      <c r="B2770" t="s">
        <v>39</v>
      </c>
      <c r="C2770">
        <v>54</v>
      </c>
      <c r="D2770" t="s">
        <v>57</v>
      </c>
      <c r="E2770" t="s">
        <v>48</v>
      </c>
      <c r="F2770" t="s">
        <v>23</v>
      </c>
      <c r="G2770" t="s">
        <v>42</v>
      </c>
      <c r="H2770" t="s">
        <v>25</v>
      </c>
      <c r="I2770" t="s">
        <v>35</v>
      </c>
      <c r="J2770" t="s">
        <v>27</v>
      </c>
      <c r="K2770">
        <v>8</v>
      </c>
      <c r="L2770">
        <v>103950</v>
      </c>
      <c r="M2770" t="s">
        <v>28</v>
      </c>
      <c r="N2770">
        <v>3</v>
      </c>
      <c r="O2770">
        <v>1</v>
      </c>
      <c r="P2770">
        <v>11</v>
      </c>
      <c r="Q2770">
        <v>3</v>
      </c>
      <c r="R2770" s="1">
        <v>42149</v>
      </c>
      <c r="S2770" t="s">
        <v>29</v>
      </c>
      <c r="T2770" t="str">
        <f t="shared" si="215"/>
        <v>Grade A</v>
      </c>
      <c r="U2770">
        <f t="shared" si="216"/>
        <v>3</v>
      </c>
      <c r="V2770" t="str">
        <f t="shared" si="217"/>
        <v>Mid Level</v>
      </c>
      <c r="W2770" t="str">
        <f t="shared" si="218"/>
        <v>Medium Risk</v>
      </c>
      <c r="X2770" t="str">
        <f t="shared" si="219"/>
        <v>Competitive</v>
      </c>
    </row>
    <row r="2771" spans="1:24" x14ac:dyDescent="0.3">
      <c r="A2771" t="s">
        <v>2839</v>
      </c>
      <c r="B2771" t="s">
        <v>20</v>
      </c>
      <c r="C2771">
        <v>24</v>
      </c>
      <c r="D2771" t="s">
        <v>47</v>
      </c>
      <c r="E2771" t="s">
        <v>40</v>
      </c>
      <c r="F2771" t="s">
        <v>78</v>
      </c>
      <c r="G2771" t="s">
        <v>49</v>
      </c>
      <c r="H2771" t="s">
        <v>83</v>
      </c>
      <c r="I2771" t="s">
        <v>26</v>
      </c>
      <c r="J2771" t="s">
        <v>27</v>
      </c>
      <c r="K2771">
        <v>14</v>
      </c>
      <c r="L2771">
        <v>74770</v>
      </c>
      <c r="M2771" t="s">
        <v>36</v>
      </c>
      <c r="N2771">
        <v>4</v>
      </c>
      <c r="O2771">
        <v>3</v>
      </c>
      <c r="P2771">
        <v>47</v>
      </c>
      <c r="Q2771">
        <v>1</v>
      </c>
      <c r="R2771" s="1">
        <v>40117</v>
      </c>
      <c r="S2771" t="s">
        <v>37</v>
      </c>
      <c r="T2771" t="str">
        <f t="shared" si="215"/>
        <v>Grade B</v>
      </c>
      <c r="U2771">
        <f t="shared" si="216"/>
        <v>1</v>
      </c>
      <c r="V2771" t="str">
        <f t="shared" si="217"/>
        <v>Senior</v>
      </c>
      <c r="W2771" t="str">
        <f t="shared" si="218"/>
        <v>Already Left</v>
      </c>
      <c r="X2771" t="str">
        <f t="shared" si="219"/>
        <v>Fair</v>
      </c>
    </row>
    <row r="2772" spans="1:24" x14ac:dyDescent="0.3">
      <c r="A2772" t="s">
        <v>2840</v>
      </c>
      <c r="B2772" t="s">
        <v>20</v>
      </c>
      <c r="C2772">
        <v>55</v>
      </c>
      <c r="D2772" t="s">
        <v>57</v>
      </c>
      <c r="E2772" t="s">
        <v>22</v>
      </c>
      <c r="F2772" t="s">
        <v>23</v>
      </c>
      <c r="G2772" t="s">
        <v>33</v>
      </c>
      <c r="H2772" t="s">
        <v>83</v>
      </c>
      <c r="I2772" t="s">
        <v>72</v>
      </c>
      <c r="J2772" t="s">
        <v>73</v>
      </c>
      <c r="K2772">
        <v>6</v>
      </c>
      <c r="L2772">
        <v>73942</v>
      </c>
      <c r="M2772" t="s">
        <v>36</v>
      </c>
      <c r="N2772">
        <v>2</v>
      </c>
      <c r="O2772">
        <v>1</v>
      </c>
      <c r="P2772">
        <v>11</v>
      </c>
      <c r="Q2772">
        <v>3</v>
      </c>
      <c r="R2772" s="1">
        <v>42859</v>
      </c>
      <c r="S2772" t="s">
        <v>37</v>
      </c>
      <c r="T2772" t="str">
        <f t="shared" si="215"/>
        <v>Grade B</v>
      </c>
      <c r="U2772">
        <f t="shared" si="216"/>
        <v>1</v>
      </c>
      <c r="V2772" t="str">
        <f t="shared" si="217"/>
        <v>Mid Level</v>
      </c>
      <c r="W2772" t="str">
        <f t="shared" si="218"/>
        <v>Already Left</v>
      </c>
      <c r="X2772" t="str">
        <f t="shared" si="219"/>
        <v>Fair</v>
      </c>
    </row>
    <row r="2773" spans="1:24" x14ac:dyDescent="0.3">
      <c r="A2773" t="s">
        <v>2841</v>
      </c>
      <c r="B2773" t="s">
        <v>20</v>
      </c>
      <c r="C2773">
        <v>29</v>
      </c>
      <c r="D2773" t="s">
        <v>21</v>
      </c>
      <c r="E2773" t="s">
        <v>40</v>
      </c>
      <c r="F2773" t="s">
        <v>65</v>
      </c>
      <c r="G2773" t="s">
        <v>66</v>
      </c>
      <c r="H2773" t="s">
        <v>76</v>
      </c>
      <c r="I2773" t="s">
        <v>50</v>
      </c>
      <c r="J2773" t="s">
        <v>44</v>
      </c>
      <c r="K2773">
        <v>14</v>
      </c>
      <c r="L2773">
        <v>63307</v>
      </c>
      <c r="M2773" t="s">
        <v>51</v>
      </c>
      <c r="N2773">
        <v>4</v>
      </c>
      <c r="O2773">
        <v>1</v>
      </c>
      <c r="P2773">
        <v>13</v>
      </c>
      <c r="Q2773">
        <v>3</v>
      </c>
      <c r="R2773" s="1">
        <v>40075</v>
      </c>
      <c r="S2773" t="s">
        <v>29</v>
      </c>
      <c r="T2773" t="str">
        <f t="shared" si="215"/>
        <v>Grade B</v>
      </c>
      <c r="U2773">
        <f t="shared" si="216"/>
        <v>4</v>
      </c>
      <c r="V2773" t="str">
        <f t="shared" si="217"/>
        <v>Senior</v>
      </c>
      <c r="W2773" t="str">
        <f t="shared" si="218"/>
        <v>Low Risk</v>
      </c>
      <c r="X2773" t="str">
        <f t="shared" si="219"/>
        <v>Fair</v>
      </c>
    </row>
    <row r="2774" spans="1:24" x14ac:dyDescent="0.3">
      <c r="A2774" t="s">
        <v>2842</v>
      </c>
      <c r="B2774" t="s">
        <v>20</v>
      </c>
      <c r="C2774">
        <v>47</v>
      </c>
      <c r="D2774" t="s">
        <v>21</v>
      </c>
      <c r="E2774" t="s">
        <v>40</v>
      </c>
      <c r="F2774" t="s">
        <v>41</v>
      </c>
      <c r="G2774" t="s">
        <v>66</v>
      </c>
      <c r="H2774" t="s">
        <v>76</v>
      </c>
      <c r="I2774" t="s">
        <v>43</v>
      </c>
      <c r="J2774" t="s">
        <v>44</v>
      </c>
      <c r="K2774">
        <v>11</v>
      </c>
      <c r="L2774">
        <v>53346</v>
      </c>
      <c r="M2774" t="s">
        <v>51</v>
      </c>
      <c r="N2774">
        <v>2</v>
      </c>
      <c r="O2774">
        <v>3</v>
      </c>
      <c r="P2774">
        <v>47</v>
      </c>
      <c r="Q2774">
        <v>2</v>
      </c>
      <c r="R2774" s="1">
        <v>41052</v>
      </c>
      <c r="S2774" t="s">
        <v>37</v>
      </c>
      <c r="T2774" t="str">
        <f t="shared" si="215"/>
        <v>Grade B</v>
      </c>
      <c r="U2774">
        <f t="shared" si="216"/>
        <v>4</v>
      </c>
      <c r="V2774" t="str">
        <f t="shared" si="217"/>
        <v>Senior</v>
      </c>
      <c r="W2774" t="str">
        <f t="shared" si="218"/>
        <v>Already Left</v>
      </c>
      <c r="X2774" t="str">
        <f t="shared" si="219"/>
        <v>Fair</v>
      </c>
    </row>
    <row r="2775" spans="1:24" x14ac:dyDescent="0.3">
      <c r="A2775" t="s">
        <v>2843</v>
      </c>
      <c r="B2775" t="s">
        <v>20</v>
      </c>
      <c r="C2775">
        <v>50</v>
      </c>
      <c r="D2775" t="s">
        <v>31</v>
      </c>
      <c r="E2775" t="s">
        <v>48</v>
      </c>
      <c r="F2775" t="s">
        <v>78</v>
      </c>
      <c r="G2775" t="s">
        <v>79</v>
      </c>
      <c r="H2775" t="s">
        <v>34</v>
      </c>
      <c r="I2775" t="s">
        <v>43</v>
      </c>
      <c r="J2775" t="s">
        <v>44</v>
      </c>
      <c r="K2775">
        <v>9</v>
      </c>
      <c r="L2775">
        <v>57612</v>
      </c>
      <c r="M2775" t="s">
        <v>51</v>
      </c>
      <c r="N2775">
        <v>3</v>
      </c>
      <c r="O2775">
        <v>3</v>
      </c>
      <c r="P2775">
        <v>43</v>
      </c>
      <c r="Q2775">
        <v>3</v>
      </c>
      <c r="R2775" s="1">
        <v>41890</v>
      </c>
      <c r="S2775" t="s">
        <v>29</v>
      </c>
      <c r="T2775" t="str">
        <f t="shared" si="215"/>
        <v>Grade B</v>
      </c>
      <c r="U2775">
        <f t="shared" si="216"/>
        <v>4</v>
      </c>
      <c r="V2775" t="str">
        <f t="shared" si="217"/>
        <v>Mid Level</v>
      </c>
      <c r="W2775" t="str">
        <f t="shared" si="218"/>
        <v>Low Risk</v>
      </c>
      <c r="X2775" t="str">
        <f t="shared" si="219"/>
        <v>Fair</v>
      </c>
    </row>
    <row r="2776" spans="1:24" x14ac:dyDescent="0.3">
      <c r="A2776" t="s">
        <v>2844</v>
      </c>
      <c r="B2776" t="s">
        <v>39</v>
      </c>
      <c r="C2776">
        <v>37</v>
      </c>
      <c r="D2776" t="s">
        <v>88</v>
      </c>
      <c r="E2776" t="s">
        <v>40</v>
      </c>
      <c r="F2776" t="s">
        <v>75</v>
      </c>
      <c r="G2776" t="s">
        <v>24</v>
      </c>
      <c r="H2776" t="s">
        <v>34</v>
      </c>
      <c r="I2776" t="s">
        <v>50</v>
      </c>
      <c r="J2776" t="s">
        <v>44</v>
      </c>
      <c r="K2776">
        <v>5</v>
      </c>
      <c r="L2776">
        <v>88694</v>
      </c>
      <c r="M2776" t="s">
        <v>28</v>
      </c>
      <c r="N2776">
        <v>2</v>
      </c>
      <c r="O2776">
        <v>3</v>
      </c>
      <c r="P2776">
        <v>65</v>
      </c>
      <c r="Q2776">
        <v>3</v>
      </c>
      <c r="R2776" s="1">
        <v>43277</v>
      </c>
      <c r="S2776" t="s">
        <v>37</v>
      </c>
      <c r="T2776" t="str">
        <f t="shared" si="215"/>
        <v>Grade A</v>
      </c>
      <c r="U2776">
        <f t="shared" si="216"/>
        <v>3</v>
      </c>
      <c r="V2776" t="str">
        <f t="shared" si="217"/>
        <v>Junior</v>
      </c>
      <c r="W2776" t="str">
        <f t="shared" si="218"/>
        <v>Already Left</v>
      </c>
      <c r="X2776" t="str">
        <f t="shared" si="219"/>
        <v>Competitive</v>
      </c>
    </row>
    <row r="2777" spans="1:24" x14ac:dyDescent="0.3">
      <c r="A2777" t="s">
        <v>2845</v>
      </c>
      <c r="B2777" t="s">
        <v>39</v>
      </c>
      <c r="C2777">
        <v>40</v>
      </c>
      <c r="D2777" t="s">
        <v>21</v>
      </c>
      <c r="E2777" t="s">
        <v>48</v>
      </c>
      <c r="F2777" t="s">
        <v>23</v>
      </c>
      <c r="G2777" t="s">
        <v>33</v>
      </c>
      <c r="H2777" t="s">
        <v>34</v>
      </c>
      <c r="I2777" t="s">
        <v>43</v>
      </c>
      <c r="J2777" t="s">
        <v>44</v>
      </c>
      <c r="K2777">
        <v>9</v>
      </c>
      <c r="L2777">
        <v>78493</v>
      </c>
      <c r="M2777" t="s">
        <v>51</v>
      </c>
      <c r="N2777">
        <v>1</v>
      </c>
      <c r="O2777">
        <v>2</v>
      </c>
      <c r="P2777">
        <v>63</v>
      </c>
      <c r="Q2777">
        <v>1</v>
      </c>
      <c r="R2777" s="1">
        <v>41723</v>
      </c>
      <c r="S2777" t="s">
        <v>29</v>
      </c>
      <c r="T2777" t="str">
        <f t="shared" si="215"/>
        <v>Grade B</v>
      </c>
      <c r="U2777">
        <f t="shared" si="216"/>
        <v>4</v>
      </c>
      <c r="V2777" t="str">
        <f t="shared" si="217"/>
        <v>Mid Level</v>
      </c>
      <c r="W2777" t="str">
        <f t="shared" si="218"/>
        <v>Low Risk</v>
      </c>
      <c r="X2777" t="str">
        <f t="shared" si="219"/>
        <v>Fair</v>
      </c>
    </row>
    <row r="2778" spans="1:24" x14ac:dyDescent="0.3">
      <c r="A2778" t="s">
        <v>2846</v>
      </c>
      <c r="B2778" t="s">
        <v>39</v>
      </c>
      <c r="C2778">
        <v>50</v>
      </c>
      <c r="D2778" t="s">
        <v>88</v>
      </c>
      <c r="E2778" t="s">
        <v>22</v>
      </c>
      <c r="F2778" t="s">
        <v>78</v>
      </c>
      <c r="G2778" t="s">
        <v>24</v>
      </c>
      <c r="H2778" t="s">
        <v>25</v>
      </c>
      <c r="I2778" t="s">
        <v>80</v>
      </c>
      <c r="J2778" t="s">
        <v>60</v>
      </c>
      <c r="K2778">
        <v>2</v>
      </c>
      <c r="L2778">
        <v>81790</v>
      </c>
      <c r="M2778" t="s">
        <v>45</v>
      </c>
      <c r="N2778">
        <v>2</v>
      </c>
      <c r="O2778">
        <v>2</v>
      </c>
      <c r="P2778">
        <v>36</v>
      </c>
      <c r="Q2778">
        <v>0</v>
      </c>
      <c r="R2778" s="1">
        <v>44274</v>
      </c>
      <c r="S2778" t="s">
        <v>37</v>
      </c>
      <c r="T2778" t="str">
        <f t="shared" si="215"/>
        <v>Grade A</v>
      </c>
      <c r="U2778">
        <f t="shared" si="216"/>
        <v>2</v>
      </c>
      <c r="V2778" t="str">
        <f t="shared" si="217"/>
        <v>New Joiner</v>
      </c>
      <c r="W2778" t="str">
        <f t="shared" si="218"/>
        <v>Already Left</v>
      </c>
      <c r="X2778" t="str">
        <f t="shared" si="219"/>
        <v>Fair</v>
      </c>
    </row>
    <row r="2779" spans="1:24" x14ac:dyDescent="0.3">
      <c r="A2779" t="s">
        <v>2847</v>
      </c>
      <c r="B2779" t="s">
        <v>20</v>
      </c>
      <c r="C2779">
        <v>43</v>
      </c>
      <c r="D2779" t="s">
        <v>57</v>
      </c>
      <c r="E2779" t="s">
        <v>40</v>
      </c>
      <c r="F2779" t="s">
        <v>62</v>
      </c>
      <c r="G2779" t="s">
        <v>24</v>
      </c>
      <c r="H2779" t="s">
        <v>25</v>
      </c>
      <c r="I2779" t="s">
        <v>54</v>
      </c>
      <c r="J2779" t="s">
        <v>27</v>
      </c>
      <c r="K2779">
        <v>2</v>
      </c>
      <c r="L2779">
        <v>71777</v>
      </c>
      <c r="M2779" t="s">
        <v>28</v>
      </c>
      <c r="N2779">
        <v>1</v>
      </c>
      <c r="O2779">
        <v>1</v>
      </c>
      <c r="P2779">
        <v>70</v>
      </c>
      <c r="Q2779">
        <v>1</v>
      </c>
      <c r="R2779" s="1">
        <v>44422</v>
      </c>
      <c r="S2779" t="s">
        <v>29</v>
      </c>
      <c r="T2779" t="str">
        <f t="shared" si="215"/>
        <v>Grade B</v>
      </c>
      <c r="U2779">
        <f t="shared" si="216"/>
        <v>3</v>
      </c>
      <c r="V2779" t="str">
        <f t="shared" si="217"/>
        <v>New Joiner</v>
      </c>
      <c r="W2779" t="str">
        <f t="shared" si="218"/>
        <v>Medium Risk</v>
      </c>
      <c r="X2779" t="str">
        <f t="shared" si="219"/>
        <v>Competitive</v>
      </c>
    </row>
    <row r="2780" spans="1:24" x14ac:dyDescent="0.3">
      <c r="A2780" t="s">
        <v>2848</v>
      </c>
      <c r="B2780" t="s">
        <v>20</v>
      </c>
      <c r="C2780">
        <v>44</v>
      </c>
      <c r="D2780" t="s">
        <v>57</v>
      </c>
      <c r="E2780" t="s">
        <v>40</v>
      </c>
      <c r="F2780" t="s">
        <v>75</v>
      </c>
      <c r="G2780" t="s">
        <v>49</v>
      </c>
      <c r="H2780" t="s">
        <v>76</v>
      </c>
      <c r="I2780" t="s">
        <v>72</v>
      </c>
      <c r="J2780" t="s">
        <v>73</v>
      </c>
      <c r="K2780">
        <v>3</v>
      </c>
      <c r="L2780">
        <v>47880</v>
      </c>
      <c r="M2780" t="s">
        <v>36</v>
      </c>
      <c r="N2780">
        <v>2</v>
      </c>
      <c r="O2780">
        <v>4</v>
      </c>
      <c r="P2780">
        <v>19</v>
      </c>
      <c r="Q2780">
        <v>2</v>
      </c>
      <c r="R2780" s="1">
        <v>44090</v>
      </c>
      <c r="S2780" t="s">
        <v>29</v>
      </c>
      <c r="T2780" t="str">
        <f t="shared" si="215"/>
        <v>Grade C</v>
      </c>
      <c r="U2780">
        <f t="shared" si="216"/>
        <v>1</v>
      </c>
      <c r="V2780" t="str">
        <f t="shared" si="217"/>
        <v>Junior</v>
      </c>
      <c r="W2780" t="str">
        <f t="shared" si="218"/>
        <v>Medium Risk</v>
      </c>
      <c r="X2780" t="str">
        <f t="shared" si="219"/>
        <v>Fair</v>
      </c>
    </row>
    <row r="2781" spans="1:24" x14ac:dyDescent="0.3">
      <c r="A2781" t="s">
        <v>2849</v>
      </c>
      <c r="B2781" t="s">
        <v>20</v>
      </c>
      <c r="C2781">
        <v>53</v>
      </c>
      <c r="D2781" t="s">
        <v>88</v>
      </c>
      <c r="E2781" t="s">
        <v>48</v>
      </c>
      <c r="F2781" t="s">
        <v>23</v>
      </c>
      <c r="G2781" t="s">
        <v>63</v>
      </c>
      <c r="H2781" t="s">
        <v>25</v>
      </c>
      <c r="I2781" t="s">
        <v>26</v>
      </c>
      <c r="J2781" t="s">
        <v>27</v>
      </c>
      <c r="K2781">
        <v>4</v>
      </c>
      <c r="L2781">
        <v>58914</v>
      </c>
      <c r="M2781" t="s">
        <v>51</v>
      </c>
      <c r="N2781">
        <v>2</v>
      </c>
      <c r="O2781">
        <v>2</v>
      </c>
      <c r="P2781">
        <v>26</v>
      </c>
      <c r="Q2781">
        <v>2</v>
      </c>
      <c r="R2781" s="1">
        <v>43585</v>
      </c>
      <c r="S2781" t="s">
        <v>29</v>
      </c>
      <c r="T2781" t="str">
        <f t="shared" si="215"/>
        <v>Grade B</v>
      </c>
      <c r="U2781">
        <f t="shared" si="216"/>
        <v>4</v>
      </c>
      <c r="V2781" t="str">
        <f t="shared" si="217"/>
        <v>Junior</v>
      </c>
      <c r="W2781" t="str">
        <f t="shared" si="218"/>
        <v>Low Risk</v>
      </c>
      <c r="X2781" t="str">
        <f t="shared" si="219"/>
        <v>Fair</v>
      </c>
    </row>
    <row r="2782" spans="1:24" x14ac:dyDescent="0.3">
      <c r="A2782" t="s">
        <v>2850</v>
      </c>
      <c r="B2782" t="s">
        <v>20</v>
      </c>
      <c r="C2782">
        <v>43</v>
      </c>
      <c r="D2782" t="s">
        <v>57</v>
      </c>
      <c r="E2782" t="s">
        <v>40</v>
      </c>
      <c r="F2782" t="s">
        <v>75</v>
      </c>
      <c r="G2782" t="s">
        <v>79</v>
      </c>
      <c r="H2782" t="s">
        <v>76</v>
      </c>
      <c r="I2782" t="s">
        <v>54</v>
      </c>
      <c r="J2782" t="s">
        <v>27</v>
      </c>
      <c r="K2782">
        <v>8</v>
      </c>
      <c r="L2782">
        <v>65311</v>
      </c>
      <c r="M2782" t="s">
        <v>28</v>
      </c>
      <c r="N2782">
        <v>1</v>
      </c>
      <c r="O2782">
        <v>2</v>
      </c>
      <c r="P2782">
        <v>13</v>
      </c>
      <c r="Q2782">
        <v>2</v>
      </c>
      <c r="R2782" s="1">
        <v>42131</v>
      </c>
      <c r="S2782" t="s">
        <v>29</v>
      </c>
      <c r="T2782" t="str">
        <f t="shared" si="215"/>
        <v>Grade B</v>
      </c>
      <c r="U2782">
        <f t="shared" si="216"/>
        <v>3</v>
      </c>
      <c r="V2782" t="str">
        <f t="shared" si="217"/>
        <v>Mid Level</v>
      </c>
      <c r="W2782" t="str">
        <f t="shared" si="218"/>
        <v>Medium Risk</v>
      </c>
      <c r="X2782" t="str">
        <f t="shared" si="219"/>
        <v>Competitive</v>
      </c>
    </row>
    <row r="2783" spans="1:24" x14ac:dyDescent="0.3">
      <c r="A2783" t="s">
        <v>2851</v>
      </c>
      <c r="B2783" t="s">
        <v>39</v>
      </c>
      <c r="C2783">
        <v>46</v>
      </c>
      <c r="D2783" t="s">
        <v>88</v>
      </c>
      <c r="E2783" t="s">
        <v>48</v>
      </c>
      <c r="F2783" t="s">
        <v>62</v>
      </c>
      <c r="G2783" t="s">
        <v>42</v>
      </c>
      <c r="H2783" t="s">
        <v>83</v>
      </c>
      <c r="I2783" t="s">
        <v>72</v>
      </c>
      <c r="J2783" t="s">
        <v>73</v>
      </c>
      <c r="K2783">
        <v>9</v>
      </c>
      <c r="L2783">
        <v>112769</v>
      </c>
      <c r="M2783" t="s">
        <v>28</v>
      </c>
      <c r="N2783">
        <v>4</v>
      </c>
      <c r="O2783">
        <v>3</v>
      </c>
      <c r="P2783">
        <v>25</v>
      </c>
      <c r="Q2783">
        <v>1</v>
      </c>
      <c r="R2783" s="1">
        <v>41721</v>
      </c>
      <c r="S2783" t="s">
        <v>29</v>
      </c>
      <c r="T2783" t="str">
        <f t="shared" si="215"/>
        <v>Grade A</v>
      </c>
      <c r="U2783">
        <f t="shared" si="216"/>
        <v>3</v>
      </c>
      <c r="V2783" t="str">
        <f t="shared" si="217"/>
        <v>Mid Level</v>
      </c>
      <c r="W2783" t="str">
        <f t="shared" si="218"/>
        <v>Medium Risk</v>
      </c>
      <c r="X2783" t="str">
        <f t="shared" si="219"/>
        <v>Competitive</v>
      </c>
    </row>
    <row r="2784" spans="1:24" x14ac:dyDescent="0.3">
      <c r="A2784" t="s">
        <v>2852</v>
      </c>
      <c r="B2784" t="s">
        <v>20</v>
      </c>
      <c r="C2784">
        <v>22</v>
      </c>
      <c r="D2784" t="s">
        <v>88</v>
      </c>
      <c r="E2784" t="s">
        <v>48</v>
      </c>
      <c r="F2784" t="s">
        <v>75</v>
      </c>
      <c r="G2784" t="s">
        <v>63</v>
      </c>
      <c r="H2784" t="s">
        <v>76</v>
      </c>
      <c r="I2784" t="s">
        <v>43</v>
      </c>
      <c r="J2784" t="s">
        <v>44</v>
      </c>
      <c r="K2784">
        <v>13</v>
      </c>
      <c r="L2784">
        <v>77587</v>
      </c>
      <c r="M2784" t="s">
        <v>45</v>
      </c>
      <c r="N2784">
        <v>4</v>
      </c>
      <c r="O2784">
        <v>2</v>
      </c>
      <c r="P2784">
        <v>20</v>
      </c>
      <c r="Q2784">
        <v>2</v>
      </c>
      <c r="R2784" s="1">
        <v>40249</v>
      </c>
      <c r="S2784" t="s">
        <v>29</v>
      </c>
      <c r="T2784" t="str">
        <f t="shared" si="215"/>
        <v>Grade B</v>
      </c>
      <c r="U2784">
        <f t="shared" si="216"/>
        <v>2</v>
      </c>
      <c r="V2784" t="str">
        <f t="shared" si="217"/>
        <v>Senior</v>
      </c>
      <c r="W2784" t="str">
        <f t="shared" si="218"/>
        <v>Medium Risk</v>
      </c>
      <c r="X2784" t="str">
        <f t="shared" si="219"/>
        <v>Fair</v>
      </c>
    </row>
    <row r="2785" spans="1:24" x14ac:dyDescent="0.3">
      <c r="A2785" t="s">
        <v>2853</v>
      </c>
      <c r="B2785" t="s">
        <v>20</v>
      </c>
      <c r="C2785">
        <v>40</v>
      </c>
      <c r="D2785" t="s">
        <v>31</v>
      </c>
      <c r="E2785" t="s">
        <v>48</v>
      </c>
      <c r="F2785" t="s">
        <v>32</v>
      </c>
      <c r="G2785" t="s">
        <v>42</v>
      </c>
      <c r="H2785" t="s">
        <v>25</v>
      </c>
      <c r="I2785" t="s">
        <v>26</v>
      </c>
      <c r="J2785" t="s">
        <v>27</v>
      </c>
      <c r="K2785">
        <v>12</v>
      </c>
      <c r="L2785">
        <v>128985</v>
      </c>
      <c r="M2785" t="s">
        <v>51</v>
      </c>
      <c r="N2785">
        <v>3</v>
      </c>
      <c r="O2785">
        <v>2</v>
      </c>
      <c r="P2785">
        <v>68</v>
      </c>
      <c r="Q2785">
        <v>0</v>
      </c>
      <c r="R2785" s="1">
        <v>40561</v>
      </c>
      <c r="S2785" t="s">
        <v>37</v>
      </c>
      <c r="T2785" t="str">
        <f t="shared" si="215"/>
        <v>Grade A</v>
      </c>
      <c r="U2785">
        <f t="shared" si="216"/>
        <v>4</v>
      </c>
      <c r="V2785" t="str">
        <f t="shared" si="217"/>
        <v>Senior</v>
      </c>
      <c r="W2785" t="str">
        <f t="shared" si="218"/>
        <v>Already Left</v>
      </c>
      <c r="X2785" t="str">
        <f t="shared" si="219"/>
        <v>Competitive</v>
      </c>
    </row>
    <row r="2786" spans="1:24" x14ac:dyDescent="0.3">
      <c r="A2786" t="s">
        <v>2854</v>
      </c>
      <c r="B2786" t="s">
        <v>20</v>
      </c>
      <c r="C2786">
        <v>26</v>
      </c>
      <c r="D2786" t="s">
        <v>21</v>
      </c>
      <c r="E2786" t="s">
        <v>40</v>
      </c>
      <c r="F2786" t="s">
        <v>53</v>
      </c>
      <c r="G2786" t="s">
        <v>66</v>
      </c>
      <c r="H2786" t="s">
        <v>25</v>
      </c>
      <c r="I2786" t="s">
        <v>96</v>
      </c>
      <c r="J2786" t="s">
        <v>44</v>
      </c>
      <c r="K2786">
        <v>5</v>
      </c>
      <c r="L2786">
        <v>39933</v>
      </c>
      <c r="M2786" t="s">
        <v>45</v>
      </c>
      <c r="N2786">
        <v>3</v>
      </c>
      <c r="O2786">
        <v>3</v>
      </c>
      <c r="P2786">
        <v>68</v>
      </c>
      <c r="Q2786">
        <v>1</v>
      </c>
      <c r="R2786" s="1">
        <v>43180</v>
      </c>
      <c r="S2786" t="s">
        <v>29</v>
      </c>
      <c r="T2786" t="str">
        <f t="shared" si="215"/>
        <v>Grade C</v>
      </c>
      <c r="U2786">
        <f t="shared" si="216"/>
        <v>2</v>
      </c>
      <c r="V2786" t="str">
        <f t="shared" si="217"/>
        <v>Junior</v>
      </c>
      <c r="W2786" t="str">
        <f t="shared" si="218"/>
        <v>Medium Risk</v>
      </c>
      <c r="X2786" t="str">
        <f t="shared" si="219"/>
        <v>Fair</v>
      </c>
    </row>
    <row r="2787" spans="1:24" x14ac:dyDescent="0.3">
      <c r="A2787" t="s">
        <v>2855</v>
      </c>
      <c r="B2787" t="s">
        <v>39</v>
      </c>
      <c r="C2787">
        <v>38</v>
      </c>
      <c r="D2787" t="s">
        <v>57</v>
      </c>
      <c r="E2787" t="s">
        <v>22</v>
      </c>
      <c r="F2787" t="s">
        <v>78</v>
      </c>
      <c r="G2787" t="s">
        <v>66</v>
      </c>
      <c r="H2787" t="s">
        <v>25</v>
      </c>
      <c r="I2787" t="s">
        <v>35</v>
      </c>
      <c r="J2787" t="s">
        <v>27</v>
      </c>
      <c r="K2787">
        <v>8</v>
      </c>
      <c r="L2787">
        <v>43961</v>
      </c>
      <c r="M2787" t="s">
        <v>51</v>
      </c>
      <c r="N2787">
        <v>2</v>
      </c>
      <c r="O2787">
        <v>4</v>
      </c>
      <c r="P2787">
        <v>79</v>
      </c>
      <c r="Q2787">
        <v>1</v>
      </c>
      <c r="R2787" s="1">
        <v>42247</v>
      </c>
      <c r="S2787" t="s">
        <v>29</v>
      </c>
      <c r="T2787" t="str">
        <f t="shared" si="215"/>
        <v>Grade C</v>
      </c>
      <c r="U2787">
        <f t="shared" si="216"/>
        <v>4</v>
      </c>
      <c r="V2787" t="str">
        <f t="shared" si="217"/>
        <v>Mid Level</v>
      </c>
      <c r="W2787" t="str">
        <f t="shared" si="218"/>
        <v>Low Risk</v>
      </c>
      <c r="X2787" t="str">
        <f t="shared" si="219"/>
        <v>Fair</v>
      </c>
    </row>
    <row r="2788" spans="1:24" x14ac:dyDescent="0.3">
      <c r="A2788" t="s">
        <v>2856</v>
      </c>
      <c r="B2788" t="s">
        <v>20</v>
      </c>
      <c r="C2788">
        <v>53</v>
      </c>
      <c r="D2788" t="s">
        <v>57</v>
      </c>
      <c r="E2788" t="s">
        <v>48</v>
      </c>
      <c r="F2788" t="s">
        <v>23</v>
      </c>
      <c r="G2788" t="s">
        <v>79</v>
      </c>
      <c r="H2788" t="s">
        <v>67</v>
      </c>
      <c r="I2788" t="s">
        <v>35</v>
      </c>
      <c r="J2788" t="s">
        <v>27</v>
      </c>
      <c r="K2788">
        <v>7</v>
      </c>
      <c r="L2788">
        <v>44609</v>
      </c>
      <c r="M2788" t="s">
        <v>45</v>
      </c>
      <c r="N2788">
        <v>1</v>
      </c>
      <c r="O2788">
        <v>4</v>
      </c>
      <c r="P2788">
        <v>55</v>
      </c>
      <c r="Q2788">
        <v>0</v>
      </c>
      <c r="R2788" s="1">
        <v>42404</v>
      </c>
      <c r="S2788" t="s">
        <v>29</v>
      </c>
      <c r="T2788" t="str">
        <f t="shared" si="215"/>
        <v>Grade C</v>
      </c>
      <c r="U2788">
        <f t="shared" si="216"/>
        <v>2</v>
      </c>
      <c r="V2788" t="str">
        <f t="shared" si="217"/>
        <v>Mid Level</v>
      </c>
      <c r="W2788" t="str">
        <f t="shared" si="218"/>
        <v>Medium Risk</v>
      </c>
      <c r="X2788" t="str">
        <f t="shared" si="219"/>
        <v>Fair</v>
      </c>
    </row>
    <row r="2789" spans="1:24" x14ac:dyDescent="0.3">
      <c r="A2789" t="s">
        <v>2857</v>
      </c>
      <c r="B2789" t="s">
        <v>20</v>
      </c>
      <c r="C2789">
        <v>41</v>
      </c>
      <c r="D2789" t="s">
        <v>57</v>
      </c>
      <c r="E2789" t="s">
        <v>22</v>
      </c>
      <c r="F2789" t="s">
        <v>32</v>
      </c>
      <c r="G2789" t="s">
        <v>24</v>
      </c>
      <c r="H2789" t="s">
        <v>34</v>
      </c>
      <c r="I2789" t="s">
        <v>26</v>
      </c>
      <c r="J2789" t="s">
        <v>27</v>
      </c>
      <c r="K2789">
        <v>14</v>
      </c>
      <c r="L2789">
        <v>103561</v>
      </c>
      <c r="M2789" t="s">
        <v>28</v>
      </c>
      <c r="N2789">
        <v>1</v>
      </c>
      <c r="O2789">
        <v>4</v>
      </c>
      <c r="P2789">
        <v>71</v>
      </c>
      <c r="Q2789">
        <v>0</v>
      </c>
      <c r="R2789" s="1">
        <v>39951</v>
      </c>
      <c r="S2789" t="s">
        <v>29</v>
      </c>
      <c r="T2789" t="str">
        <f t="shared" si="215"/>
        <v>Grade A</v>
      </c>
      <c r="U2789">
        <f t="shared" si="216"/>
        <v>3</v>
      </c>
      <c r="V2789" t="str">
        <f t="shared" si="217"/>
        <v>Senior</v>
      </c>
      <c r="W2789" t="str">
        <f t="shared" si="218"/>
        <v>Medium Risk</v>
      </c>
      <c r="X2789" t="str">
        <f t="shared" si="219"/>
        <v>Competitive</v>
      </c>
    </row>
    <row r="2790" spans="1:24" x14ac:dyDescent="0.3">
      <c r="A2790" t="s">
        <v>2858</v>
      </c>
      <c r="B2790" t="s">
        <v>39</v>
      </c>
      <c r="C2790">
        <v>36</v>
      </c>
      <c r="D2790" t="s">
        <v>88</v>
      </c>
      <c r="E2790" t="s">
        <v>48</v>
      </c>
      <c r="F2790" t="s">
        <v>75</v>
      </c>
      <c r="G2790" t="s">
        <v>33</v>
      </c>
      <c r="H2790" t="s">
        <v>67</v>
      </c>
      <c r="I2790" t="s">
        <v>35</v>
      </c>
      <c r="J2790" t="s">
        <v>27</v>
      </c>
      <c r="K2790">
        <v>7</v>
      </c>
      <c r="L2790">
        <v>81285</v>
      </c>
      <c r="M2790" t="s">
        <v>36</v>
      </c>
      <c r="N2790">
        <v>2</v>
      </c>
      <c r="O2790">
        <v>1</v>
      </c>
      <c r="P2790">
        <v>40</v>
      </c>
      <c r="Q2790">
        <v>0</v>
      </c>
      <c r="R2790" s="1">
        <v>42531</v>
      </c>
      <c r="S2790" t="s">
        <v>37</v>
      </c>
      <c r="T2790" t="str">
        <f t="shared" si="215"/>
        <v>Grade A</v>
      </c>
      <c r="U2790">
        <f t="shared" si="216"/>
        <v>1</v>
      </c>
      <c r="V2790" t="str">
        <f t="shared" si="217"/>
        <v>Mid Level</v>
      </c>
      <c r="W2790" t="str">
        <f t="shared" si="218"/>
        <v>Already Left</v>
      </c>
      <c r="X2790" t="str">
        <f t="shared" si="219"/>
        <v>Overpaid</v>
      </c>
    </row>
    <row r="2791" spans="1:24" x14ac:dyDescent="0.3">
      <c r="A2791" t="s">
        <v>2859</v>
      </c>
      <c r="B2791" t="s">
        <v>20</v>
      </c>
      <c r="C2791">
        <v>47</v>
      </c>
      <c r="D2791" t="s">
        <v>57</v>
      </c>
      <c r="E2791" t="s">
        <v>48</v>
      </c>
      <c r="F2791" t="s">
        <v>53</v>
      </c>
      <c r="G2791" t="s">
        <v>63</v>
      </c>
      <c r="H2791" t="s">
        <v>76</v>
      </c>
      <c r="I2791" t="s">
        <v>59</v>
      </c>
      <c r="J2791" t="s">
        <v>60</v>
      </c>
      <c r="K2791">
        <v>5</v>
      </c>
      <c r="L2791">
        <v>54933</v>
      </c>
      <c r="M2791" t="s">
        <v>28</v>
      </c>
      <c r="N2791">
        <v>3</v>
      </c>
      <c r="O2791">
        <v>4</v>
      </c>
      <c r="P2791">
        <v>67</v>
      </c>
      <c r="Q2791">
        <v>0</v>
      </c>
      <c r="R2791" s="1">
        <v>43155</v>
      </c>
      <c r="S2791" t="s">
        <v>37</v>
      </c>
      <c r="T2791" t="str">
        <f t="shared" si="215"/>
        <v>Grade B</v>
      </c>
      <c r="U2791">
        <f t="shared" si="216"/>
        <v>3</v>
      </c>
      <c r="V2791" t="str">
        <f t="shared" si="217"/>
        <v>Junior</v>
      </c>
      <c r="W2791" t="str">
        <f t="shared" si="218"/>
        <v>Already Left</v>
      </c>
      <c r="X2791" t="str">
        <f t="shared" si="219"/>
        <v>Competitive</v>
      </c>
    </row>
    <row r="2792" spans="1:24" x14ac:dyDescent="0.3">
      <c r="A2792" t="s">
        <v>2860</v>
      </c>
      <c r="B2792" t="s">
        <v>20</v>
      </c>
      <c r="C2792">
        <v>40</v>
      </c>
      <c r="D2792" t="s">
        <v>21</v>
      </c>
      <c r="E2792" t="s">
        <v>22</v>
      </c>
      <c r="F2792" t="s">
        <v>32</v>
      </c>
      <c r="G2792" t="s">
        <v>49</v>
      </c>
      <c r="H2792" t="s">
        <v>76</v>
      </c>
      <c r="I2792" t="s">
        <v>72</v>
      </c>
      <c r="J2792" t="s">
        <v>73</v>
      </c>
      <c r="K2792">
        <v>5</v>
      </c>
      <c r="L2792">
        <v>58411</v>
      </c>
      <c r="M2792" t="s">
        <v>45</v>
      </c>
      <c r="N2792">
        <v>1</v>
      </c>
      <c r="O2792">
        <v>4</v>
      </c>
      <c r="P2792">
        <v>58</v>
      </c>
      <c r="Q2792">
        <v>1</v>
      </c>
      <c r="R2792" s="1">
        <v>43135</v>
      </c>
      <c r="S2792" t="s">
        <v>29</v>
      </c>
      <c r="T2792" t="str">
        <f t="shared" si="215"/>
        <v>Grade B</v>
      </c>
      <c r="U2792">
        <f t="shared" si="216"/>
        <v>2</v>
      </c>
      <c r="V2792" t="str">
        <f t="shared" si="217"/>
        <v>Junior</v>
      </c>
      <c r="W2792" t="str">
        <f t="shared" si="218"/>
        <v>Medium Risk</v>
      </c>
      <c r="X2792" t="str">
        <f t="shared" si="219"/>
        <v>Fair</v>
      </c>
    </row>
    <row r="2793" spans="1:24" x14ac:dyDescent="0.3">
      <c r="A2793" t="s">
        <v>2861</v>
      </c>
      <c r="B2793" t="s">
        <v>39</v>
      </c>
      <c r="C2793">
        <v>23</v>
      </c>
      <c r="D2793" t="s">
        <v>88</v>
      </c>
      <c r="E2793" t="s">
        <v>22</v>
      </c>
      <c r="F2793" t="s">
        <v>23</v>
      </c>
      <c r="G2793" t="s">
        <v>49</v>
      </c>
      <c r="H2793" t="s">
        <v>83</v>
      </c>
      <c r="I2793" t="s">
        <v>50</v>
      </c>
      <c r="J2793" t="s">
        <v>44</v>
      </c>
      <c r="K2793">
        <v>14</v>
      </c>
      <c r="L2793">
        <v>76344</v>
      </c>
      <c r="M2793" t="s">
        <v>28</v>
      </c>
      <c r="N2793">
        <v>1</v>
      </c>
      <c r="O2793">
        <v>3</v>
      </c>
      <c r="P2793">
        <v>41</v>
      </c>
      <c r="Q2793">
        <v>3</v>
      </c>
      <c r="R2793" s="1">
        <v>40099</v>
      </c>
      <c r="S2793" t="s">
        <v>29</v>
      </c>
      <c r="T2793" t="str">
        <f t="shared" si="215"/>
        <v>Grade B</v>
      </c>
      <c r="U2793">
        <f t="shared" si="216"/>
        <v>3</v>
      </c>
      <c r="V2793" t="str">
        <f t="shared" si="217"/>
        <v>Senior</v>
      </c>
      <c r="W2793" t="str">
        <f t="shared" si="218"/>
        <v>Medium Risk</v>
      </c>
      <c r="X2793" t="str">
        <f t="shared" si="219"/>
        <v>Competitive</v>
      </c>
    </row>
    <row r="2794" spans="1:24" x14ac:dyDescent="0.3">
      <c r="A2794" t="s">
        <v>2862</v>
      </c>
      <c r="B2794" t="s">
        <v>39</v>
      </c>
      <c r="C2794">
        <v>27</v>
      </c>
      <c r="D2794" t="s">
        <v>88</v>
      </c>
      <c r="E2794" t="s">
        <v>22</v>
      </c>
      <c r="F2794" t="s">
        <v>23</v>
      </c>
      <c r="G2794" t="s">
        <v>63</v>
      </c>
      <c r="H2794" t="s">
        <v>25</v>
      </c>
      <c r="I2794" t="s">
        <v>72</v>
      </c>
      <c r="J2794" t="s">
        <v>73</v>
      </c>
      <c r="K2794">
        <v>7</v>
      </c>
      <c r="L2794">
        <v>62722</v>
      </c>
      <c r="M2794" t="s">
        <v>45</v>
      </c>
      <c r="N2794">
        <v>2</v>
      </c>
      <c r="O2794">
        <v>2</v>
      </c>
      <c r="P2794">
        <v>21</v>
      </c>
      <c r="Q2794">
        <v>2</v>
      </c>
      <c r="R2794" s="1">
        <v>42717</v>
      </c>
      <c r="S2794" t="s">
        <v>29</v>
      </c>
      <c r="T2794" t="str">
        <f t="shared" si="215"/>
        <v>Grade B</v>
      </c>
      <c r="U2794">
        <f t="shared" si="216"/>
        <v>2</v>
      </c>
      <c r="V2794" t="str">
        <f t="shared" si="217"/>
        <v>Mid Level</v>
      </c>
      <c r="W2794" t="str">
        <f t="shared" si="218"/>
        <v>Medium Risk</v>
      </c>
      <c r="X2794" t="str">
        <f t="shared" si="219"/>
        <v>Fair</v>
      </c>
    </row>
    <row r="2795" spans="1:24" x14ac:dyDescent="0.3">
      <c r="A2795" t="s">
        <v>2863</v>
      </c>
      <c r="B2795" t="s">
        <v>20</v>
      </c>
      <c r="C2795">
        <v>31</v>
      </c>
      <c r="D2795" t="s">
        <v>57</v>
      </c>
      <c r="E2795" t="s">
        <v>48</v>
      </c>
      <c r="F2795" t="s">
        <v>62</v>
      </c>
      <c r="G2795" t="s">
        <v>79</v>
      </c>
      <c r="H2795" t="s">
        <v>83</v>
      </c>
      <c r="I2795" t="s">
        <v>68</v>
      </c>
      <c r="J2795" t="s">
        <v>60</v>
      </c>
      <c r="K2795">
        <v>15</v>
      </c>
      <c r="L2795">
        <v>70264</v>
      </c>
      <c r="M2795" t="s">
        <v>45</v>
      </c>
      <c r="N2795">
        <v>4</v>
      </c>
      <c r="O2795">
        <v>1</v>
      </c>
      <c r="P2795">
        <v>32</v>
      </c>
      <c r="Q2795">
        <v>3</v>
      </c>
      <c r="R2795" s="1">
        <v>39650</v>
      </c>
      <c r="S2795" t="s">
        <v>29</v>
      </c>
      <c r="T2795" t="str">
        <f t="shared" si="215"/>
        <v>Grade B</v>
      </c>
      <c r="U2795">
        <f t="shared" si="216"/>
        <v>2</v>
      </c>
      <c r="V2795" t="str">
        <f t="shared" si="217"/>
        <v>Senior</v>
      </c>
      <c r="W2795" t="str">
        <f t="shared" si="218"/>
        <v>Medium Risk</v>
      </c>
      <c r="X2795" t="str">
        <f t="shared" si="219"/>
        <v>Fair</v>
      </c>
    </row>
    <row r="2796" spans="1:24" x14ac:dyDescent="0.3">
      <c r="A2796" t="s">
        <v>2864</v>
      </c>
      <c r="B2796" t="s">
        <v>39</v>
      </c>
      <c r="C2796">
        <v>23</v>
      </c>
      <c r="D2796" t="s">
        <v>21</v>
      </c>
      <c r="E2796" t="s">
        <v>40</v>
      </c>
      <c r="F2796" t="s">
        <v>32</v>
      </c>
      <c r="G2796" t="s">
        <v>66</v>
      </c>
      <c r="H2796" t="s">
        <v>67</v>
      </c>
      <c r="I2796" t="s">
        <v>96</v>
      </c>
      <c r="J2796" t="s">
        <v>44</v>
      </c>
      <c r="K2796">
        <v>4</v>
      </c>
      <c r="L2796">
        <v>47283</v>
      </c>
      <c r="M2796" t="s">
        <v>28</v>
      </c>
      <c r="N2796">
        <v>3</v>
      </c>
      <c r="O2796">
        <v>3</v>
      </c>
      <c r="P2796">
        <v>51</v>
      </c>
      <c r="Q2796">
        <v>3</v>
      </c>
      <c r="R2796" s="1">
        <v>43673</v>
      </c>
      <c r="S2796" t="s">
        <v>29</v>
      </c>
      <c r="T2796" t="str">
        <f t="shared" si="215"/>
        <v>Grade C</v>
      </c>
      <c r="U2796">
        <f t="shared" si="216"/>
        <v>3</v>
      </c>
      <c r="V2796" t="str">
        <f t="shared" si="217"/>
        <v>Junior</v>
      </c>
      <c r="W2796" t="str">
        <f t="shared" si="218"/>
        <v>Medium Risk</v>
      </c>
      <c r="X2796" t="str">
        <f t="shared" si="219"/>
        <v>Fair</v>
      </c>
    </row>
    <row r="2797" spans="1:24" x14ac:dyDescent="0.3">
      <c r="A2797" t="s">
        <v>2865</v>
      </c>
      <c r="B2797" t="s">
        <v>20</v>
      </c>
      <c r="C2797">
        <v>26</v>
      </c>
      <c r="D2797" t="s">
        <v>21</v>
      </c>
      <c r="E2797" t="s">
        <v>22</v>
      </c>
      <c r="F2797" t="s">
        <v>75</v>
      </c>
      <c r="G2797" t="s">
        <v>24</v>
      </c>
      <c r="H2797" t="s">
        <v>83</v>
      </c>
      <c r="I2797" t="s">
        <v>43</v>
      </c>
      <c r="J2797" t="s">
        <v>44</v>
      </c>
      <c r="K2797">
        <v>14</v>
      </c>
      <c r="L2797">
        <v>111850</v>
      </c>
      <c r="M2797" t="s">
        <v>36</v>
      </c>
      <c r="N2797">
        <v>1</v>
      </c>
      <c r="O2797">
        <v>3</v>
      </c>
      <c r="P2797">
        <v>18</v>
      </c>
      <c r="Q2797">
        <v>3</v>
      </c>
      <c r="R2797" s="1">
        <v>39970</v>
      </c>
      <c r="S2797" t="s">
        <v>37</v>
      </c>
      <c r="T2797" t="str">
        <f t="shared" si="215"/>
        <v>Grade A</v>
      </c>
      <c r="U2797">
        <f t="shared" si="216"/>
        <v>1</v>
      </c>
      <c r="V2797" t="str">
        <f t="shared" si="217"/>
        <v>Senior</v>
      </c>
      <c r="W2797" t="str">
        <f t="shared" si="218"/>
        <v>Already Left</v>
      </c>
      <c r="X2797" t="str">
        <f t="shared" si="219"/>
        <v>Overpaid</v>
      </c>
    </row>
    <row r="2798" spans="1:24" x14ac:dyDescent="0.3">
      <c r="A2798" t="s">
        <v>2866</v>
      </c>
      <c r="B2798" t="s">
        <v>20</v>
      </c>
      <c r="C2798">
        <v>45</v>
      </c>
      <c r="D2798" t="s">
        <v>31</v>
      </c>
      <c r="E2798" t="s">
        <v>48</v>
      </c>
      <c r="F2798" t="s">
        <v>53</v>
      </c>
      <c r="G2798" t="s">
        <v>24</v>
      </c>
      <c r="H2798" t="s">
        <v>76</v>
      </c>
      <c r="I2798" t="s">
        <v>59</v>
      </c>
      <c r="J2798" t="s">
        <v>60</v>
      </c>
      <c r="K2798">
        <v>14</v>
      </c>
      <c r="L2798">
        <v>99945</v>
      </c>
      <c r="M2798" t="s">
        <v>45</v>
      </c>
      <c r="N2798">
        <v>4</v>
      </c>
      <c r="O2798">
        <v>1</v>
      </c>
      <c r="P2798">
        <v>26</v>
      </c>
      <c r="Q2798">
        <v>0</v>
      </c>
      <c r="R2798" s="1">
        <v>39858</v>
      </c>
      <c r="S2798" t="s">
        <v>29</v>
      </c>
      <c r="T2798" t="str">
        <f t="shared" si="215"/>
        <v>Grade A</v>
      </c>
      <c r="U2798">
        <f t="shared" si="216"/>
        <v>2</v>
      </c>
      <c r="V2798" t="str">
        <f t="shared" si="217"/>
        <v>Senior</v>
      </c>
      <c r="W2798" t="str">
        <f t="shared" si="218"/>
        <v>Medium Risk</v>
      </c>
      <c r="X2798" t="str">
        <f t="shared" si="219"/>
        <v>Fair</v>
      </c>
    </row>
    <row r="2799" spans="1:24" x14ac:dyDescent="0.3">
      <c r="A2799" t="s">
        <v>2867</v>
      </c>
      <c r="B2799" t="s">
        <v>39</v>
      </c>
      <c r="C2799">
        <v>26</v>
      </c>
      <c r="D2799" t="s">
        <v>88</v>
      </c>
      <c r="E2799" t="s">
        <v>40</v>
      </c>
      <c r="F2799" t="s">
        <v>62</v>
      </c>
      <c r="G2799" t="s">
        <v>24</v>
      </c>
      <c r="H2799" t="s">
        <v>76</v>
      </c>
      <c r="I2799" t="s">
        <v>59</v>
      </c>
      <c r="J2799" t="s">
        <v>60</v>
      </c>
      <c r="K2799">
        <v>11</v>
      </c>
      <c r="L2799">
        <v>101273</v>
      </c>
      <c r="M2799" t="s">
        <v>36</v>
      </c>
      <c r="N2799">
        <v>2</v>
      </c>
      <c r="O2799">
        <v>1</v>
      </c>
      <c r="P2799">
        <v>48</v>
      </c>
      <c r="Q2799">
        <v>1</v>
      </c>
      <c r="R2799" s="1">
        <v>40932</v>
      </c>
      <c r="S2799" t="s">
        <v>37</v>
      </c>
      <c r="T2799" t="str">
        <f t="shared" si="215"/>
        <v>Grade A</v>
      </c>
      <c r="U2799">
        <f t="shared" si="216"/>
        <v>1</v>
      </c>
      <c r="V2799" t="str">
        <f t="shared" si="217"/>
        <v>Senior</v>
      </c>
      <c r="W2799" t="str">
        <f t="shared" si="218"/>
        <v>Already Left</v>
      </c>
      <c r="X2799" t="str">
        <f t="shared" si="219"/>
        <v>Overpaid</v>
      </c>
    </row>
    <row r="2800" spans="1:24" x14ac:dyDescent="0.3">
      <c r="A2800" t="s">
        <v>2868</v>
      </c>
      <c r="B2800" t="s">
        <v>20</v>
      </c>
      <c r="C2800">
        <v>22</v>
      </c>
      <c r="D2800" t="s">
        <v>57</v>
      </c>
      <c r="E2800" t="s">
        <v>40</v>
      </c>
      <c r="F2800" t="s">
        <v>32</v>
      </c>
      <c r="G2800" t="s">
        <v>24</v>
      </c>
      <c r="H2800" t="s">
        <v>25</v>
      </c>
      <c r="I2800" t="s">
        <v>72</v>
      </c>
      <c r="J2800" t="s">
        <v>73</v>
      </c>
      <c r="K2800">
        <v>14</v>
      </c>
      <c r="L2800">
        <v>104234</v>
      </c>
      <c r="M2800" t="s">
        <v>45</v>
      </c>
      <c r="N2800">
        <v>1</v>
      </c>
      <c r="O2800">
        <v>2</v>
      </c>
      <c r="P2800">
        <v>74</v>
      </c>
      <c r="Q2800">
        <v>2</v>
      </c>
      <c r="R2800" s="1">
        <v>40118</v>
      </c>
      <c r="S2800" t="s">
        <v>29</v>
      </c>
      <c r="T2800" t="str">
        <f t="shared" si="215"/>
        <v>Grade A</v>
      </c>
      <c r="U2800">
        <f t="shared" si="216"/>
        <v>2</v>
      </c>
      <c r="V2800" t="str">
        <f t="shared" si="217"/>
        <v>Senior</v>
      </c>
      <c r="W2800" t="str">
        <f t="shared" si="218"/>
        <v>Medium Risk</v>
      </c>
      <c r="X2800" t="str">
        <f t="shared" si="219"/>
        <v>Fair</v>
      </c>
    </row>
    <row r="2801" spans="1:24" x14ac:dyDescent="0.3">
      <c r="A2801" t="s">
        <v>2869</v>
      </c>
      <c r="B2801" t="s">
        <v>20</v>
      </c>
      <c r="C2801">
        <v>27</v>
      </c>
      <c r="D2801" t="s">
        <v>88</v>
      </c>
      <c r="E2801" t="s">
        <v>40</v>
      </c>
      <c r="F2801" t="s">
        <v>65</v>
      </c>
      <c r="G2801" t="s">
        <v>42</v>
      </c>
      <c r="H2801" t="s">
        <v>83</v>
      </c>
      <c r="I2801" t="s">
        <v>96</v>
      </c>
      <c r="J2801" t="s">
        <v>44</v>
      </c>
      <c r="K2801">
        <v>12</v>
      </c>
      <c r="L2801">
        <v>110421</v>
      </c>
      <c r="M2801" t="s">
        <v>28</v>
      </c>
      <c r="N2801">
        <v>3</v>
      </c>
      <c r="O2801">
        <v>1</v>
      </c>
      <c r="P2801">
        <v>57</v>
      </c>
      <c r="Q2801">
        <v>1</v>
      </c>
      <c r="R2801" s="1">
        <v>40568</v>
      </c>
      <c r="S2801" t="s">
        <v>29</v>
      </c>
      <c r="T2801" t="str">
        <f t="shared" si="215"/>
        <v>Grade A</v>
      </c>
      <c r="U2801">
        <f t="shared" si="216"/>
        <v>3</v>
      </c>
      <c r="V2801" t="str">
        <f t="shared" si="217"/>
        <v>Senior</v>
      </c>
      <c r="W2801" t="str">
        <f t="shared" si="218"/>
        <v>Medium Risk</v>
      </c>
      <c r="X2801" t="str">
        <f t="shared" si="219"/>
        <v>Competitive</v>
      </c>
    </row>
    <row r="2802" spans="1:24" x14ac:dyDescent="0.3">
      <c r="A2802" t="s">
        <v>2870</v>
      </c>
      <c r="B2802" t="s">
        <v>39</v>
      </c>
      <c r="C2802">
        <v>25</v>
      </c>
      <c r="D2802" t="s">
        <v>57</v>
      </c>
      <c r="E2802" t="s">
        <v>40</v>
      </c>
      <c r="F2802" t="s">
        <v>23</v>
      </c>
      <c r="G2802" t="s">
        <v>42</v>
      </c>
      <c r="H2802" t="s">
        <v>25</v>
      </c>
      <c r="I2802" t="s">
        <v>80</v>
      </c>
      <c r="J2802" t="s">
        <v>60</v>
      </c>
      <c r="K2802">
        <v>13</v>
      </c>
      <c r="L2802">
        <v>124686</v>
      </c>
      <c r="M2802" t="s">
        <v>45</v>
      </c>
      <c r="N2802">
        <v>1</v>
      </c>
      <c r="O2802">
        <v>4</v>
      </c>
      <c r="P2802">
        <v>23</v>
      </c>
      <c r="Q2802">
        <v>0</v>
      </c>
      <c r="R2802" s="1">
        <v>40508</v>
      </c>
      <c r="S2802" t="s">
        <v>29</v>
      </c>
      <c r="T2802" t="str">
        <f t="shared" si="215"/>
        <v>Grade A</v>
      </c>
      <c r="U2802">
        <f t="shared" si="216"/>
        <v>2</v>
      </c>
      <c r="V2802" t="str">
        <f t="shared" si="217"/>
        <v>Senior</v>
      </c>
      <c r="W2802" t="str">
        <f t="shared" si="218"/>
        <v>Medium Risk</v>
      </c>
      <c r="X2802" t="str">
        <f t="shared" si="219"/>
        <v>Fair</v>
      </c>
    </row>
    <row r="2803" spans="1:24" x14ac:dyDescent="0.3">
      <c r="A2803" t="s">
        <v>2871</v>
      </c>
      <c r="B2803" t="s">
        <v>39</v>
      </c>
      <c r="C2803">
        <v>29</v>
      </c>
      <c r="D2803" t="s">
        <v>31</v>
      </c>
      <c r="E2803" t="s">
        <v>40</v>
      </c>
      <c r="F2803" t="s">
        <v>65</v>
      </c>
      <c r="G2803" t="s">
        <v>33</v>
      </c>
      <c r="H2803" t="s">
        <v>34</v>
      </c>
      <c r="I2803" t="s">
        <v>54</v>
      </c>
      <c r="J2803" t="s">
        <v>27</v>
      </c>
      <c r="K2803">
        <v>4</v>
      </c>
      <c r="L2803">
        <v>63096</v>
      </c>
      <c r="M2803" t="s">
        <v>36</v>
      </c>
      <c r="N2803">
        <v>3</v>
      </c>
      <c r="O2803">
        <v>4</v>
      </c>
      <c r="P2803">
        <v>49</v>
      </c>
      <c r="Q2803">
        <v>1</v>
      </c>
      <c r="R2803" s="1">
        <v>43832</v>
      </c>
      <c r="S2803" t="s">
        <v>37</v>
      </c>
      <c r="T2803" t="str">
        <f t="shared" si="215"/>
        <v>Grade B</v>
      </c>
      <c r="U2803">
        <f t="shared" si="216"/>
        <v>1</v>
      </c>
      <c r="V2803" t="str">
        <f t="shared" si="217"/>
        <v>Junior</v>
      </c>
      <c r="W2803" t="str">
        <f t="shared" si="218"/>
        <v>Already Left</v>
      </c>
      <c r="X2803" t="str">
        <f t="shared" si="219"/>
        <v>Fair</v>
      </c>
    </row>
    <row r="2804" spans="1:24" x14ac:dyDescent="0.3">
      <c r="A2804" t="s">
        <v>2872</v>
      </c>
      <c r="B2804" t="s">
        <v>39</v>
      </c>
      <c r="C2804">
        <v>25</v>
      </c>
      <c r="D2804" t="s">
        <v>88</v>
      </c>
      <c r="E2804" t="s">
        <v>22</v>
      </c>
      <c r="F2804" t="s">
        <v>62</v>
      </c>
      <c r="G2804" t="s">
        <v>58</v>
      </c>
      <c r="H2804" t="s">
        <v>25</v>
      </c>
      <c r="I2804" t="s">
        <v>54</v>
      </c>
      <c r="J2804" t="s">
        <v>27</v>
      </c>
      <c r="K2804">
        <v>9</v>
      </c>
      <c r="L2804">
        <v>103499</v>
      </c>
      <c r="M2804" t="s">
        <v>28</v>
      </c>
      <c r="N2804">
        <v>2</v>
      </c>
      <c r="O2804">
        <v>1</v>
      </c>
      <c r="P2804">
        <v>55</v>
      </c>
      <c r="Q2804">
        <v>0</v>
      </c>
      <c r="R2804" s="1">
        <v>41663</v>
      </c>
      <c r="S2804" t="s">
        <v>29</v>
      </c>
      <c r="T2804" t="str">
        <f t="shared" si="215"/>
        <v>Grade A</v>
      </c>
      <c r="U2804">
        <f t="shared" si="216"/>
        <v>3</v>
      </c>
      <c r="V2804" t="str">
        <f t="shared" si="217"/>
        <v>Mid Level</v>
      </c>
      <c r="W2804" t="str">
        <f t="shared" si="218"/>
        <v>Medium Risk</v>
      </c>
      <c r="X2804" t="str">
        <f t="shared" si="219"/>
        <v>Competitive</v>
      </c>
    </row>
    <row r="2805" spans="1:24" x14ac:dyDescent="0.3">
      <c r="A2805" t="s">
        <v>2873</v>
      </c>
      <c r="B2805" t="s">
        <v>39</v>
      </c>
      <c r="C2805">
        <v>37</v>
      </c>
      <c r="D2805" t="s">
        <v>31</v>
      </c>
      <c r="E2805" t="s">
        <v>40</v>
      </c>
      <c r="F2805" t="s">
        <v>78</v>
      </c>
      <c r="G2805" t="s">
        <v>66</v>
      </c>
      <c r="H2805" t="s">
        <v>67</v>
      </c>
      <c r="I2805" t="s">
        <v>96</v>
      </c>
      <c r="J2805" t="s">
        <v>44</v>
      </c>
      <c r="K2805">
        <v>15</v>
      </c>
      <c r="L2805">
        <v>61191</v>
      </c>
      <c r="M2805" t="s">
        <v>51</v>
      </c>
      <c r="N2805">
        <v>2</v>
      </c>
      <c r="O2805">
        <v>2</v>
      </c>
      <c r="P2805">
        <v>30</v>
      </c>
      <c r="Q2805">
        <v>3</v>
      </c>
      <c r="R2805" s="1">
        <v>39804</v>
      </c>
      <c r="S2805" t="s">
        <v>29</v>
      </c>
      <c r="T2805" t="str">
        <f t="shared" si="215"/>
        <v>Grade B</v>
      </c>
      <c r="U2805">
        <f t="shared" si="216"/>
        <v>4</v>
      </c>
      <c r="V2805" t="str">
        <f t="shared" si="217"/>
        <v>Senior</v>
      </c>
      <c r="W2805" t="str">
        <f t="shared" si="218"/>
        <v>Low Risk</v>
      </c>
      <c r="X2805" t="str">
        <f t="shared" si="219"/>
        <v>Fair</v>
      </c>
    </row>
    <row r="2806" spans="1:24" x14ac:dyDescent="0.3">
      <c r="A2806" t="s">
        <v>2874</v>
      </c>
      <c r="B2806" t="s">
        <v>20</v>
      </c>
      <c r="C2806">
        <v>53</v>
      </c>
      <c r="D2806" t="s">
        <v>31</v>
      </c>
      <c r="E2806" t="s">
        <v>48</v>
      </c>
      <c r="F2806" t="s">
        <v>23</v>
      </c>
      <c r="G2806" t="s">
        <v>66</v>
      </c>
      <c r="H2806" t="s">
        <v>25</v>
      </c>
      <c r="I2806" t="s">
        <v>68</v>
      </c>
      <c r="J2806" t="s">
        <v>60</v>
      </c>
      <c r="K2806">
        <v>13</v>
      </c>
      <c r="L2806">
        <v>62344</v>
      </c>
      <c r="M2806" t="s">
        <v>45</v>
      </c>
      <c r="N2806">
        <v>3</v>
      </c>
      <c r="O2806">
        <v>4</v>
      </c>
      <c r="P2806">
        <v>79</v>
      </c>
      <c r="Q2806">
        <v>1</v>
      </c>
      <c r="R2806" s="1">
        <v>40472</v>
      </c>
      <c r="S2806" t="s">
        <v>29</v>
      </c>
      <c r="T2806" t="str">
        <f t="shared" si="215"/>
        <v>Grade B</v>
      </c>
      <c r="U2806">
        <f t="shared" si="216"/>
        <v>2</v>
      </c>
      <c r="V2806" t="str">
        <f t="shared" si="217"/>
        <v>Senior</v>
      </c>
      <c r="W2806" t="str">
        <f t="shared" si="218"/>
        <v>Medium Risk</v>
      </c>
      <c r="X2806" t="str">
        <f t="shared" si="219"/>
        <v>Fair</v>
      </c>
    </row>
    <row r="2807" spans="1:24" x14ac:dyDescent="0.3">
      <c r="A2807" t="s">
        <v>2875</v>
      </c>
      <c r="B2807" t="s">
        <v>20</v>
      </c>
      <c r="C2807">
        <v>27</v>
      </c>
      <c r="D2807" t="s">
        <v>88</v>
      </c>
      <c r="E2807" t="s">
        <v>40</v>
      </c>
      <c r="F2807" t="s">
        <v>32</v>
      </c>
      <c r="G2807" t="s">
        <v>79</v>
      </c>
      <c r="H2807" t="s">
        <v>34</v>
      </c>
      <c r="I2807" t="s">
        <v>59</v>
      </c>
      <c r="J2807" t="s">
        <v>60</v>
      </c>
      <c r="K2807">
        <v>4</v>
      </c>
      <c r="L2807">
        <v>38966</v>
      </c>
      <c r="M2807" t="s">
        <v>45</v>
      </c>
      <c r="N2807">
        <v>3</v>
      </c>
      <c r="O2807">
        <v>4</v>
      </c>
      <c r="P2807">
        <v>80</v>
      </c>
      <c r="Q2807">
        <v>3</v>
      </c>
      <c r="R2807" s="1">
        <v>43483</v>
      </c>
      <c r="S2807" t="s">
        <v>29</v>
      </c>
      <c r="T2807" t="str">
        <f t="shared" si="215"/>
        <v>Grade C</v>
      </c>
      <c r="U2807">
        <f t="shared" si="216"/>
        <v>2</v>
      </c>
      <c r="V2807" t="str">
        <f t="shared" si="217"/>
        <v>Junior</v>
      </c>
      <c r="W2807" t="str">
        <f t="shared" si="218"/>
        <v>Medium Risk</v>
      </c>
      <c r="X2807" t="str">
        <f t="shared" si="219"/>
        <v>Fair</v>
      </c>
    </row>
    <row r="2808" spans="1:24" x14ac:dyDescent="0.3">
      <c r="A2808" t="s">
        <v>2876</v>
      </c>
      <c r="B2808" t="s">
        <v>39</v>
      </c>
      <c r="C2808">
        <v>50</v>
      </c>
      <c r="D2808" t="s">
        <v>88</v>
      </c>
      <c r="E2808" t="s">
        <v>22</v>
      </c>
      <c r="F2808" t="s">
        <v>53</v>
      </c>
      <c r="G2808" t="s">
        <v>66</v>
      </c>
      <c r="H2808" t="s">
        <v>34</v>
      </c>
      <c r="I2808" t="s">
        <v>35</v>
      </c>
      <c r="J2808" t="s">
        <v>27</v>
      </c>
      <c r="K2808">
        <v>11</v>
      </c>
      <c r="L2808">
        <v>62803</v>
      </c>
      <c r="M2808" t="s">
        <v>51</v>
      </c>
      <c r="N2808">
        <v>1</v>
      </c>
      <c r="O2808">
        <v>1</v>
      </c>
      <c r="P2808">
        <v>65</v>
      </c>
      <c r="Q2808">
        <v>2</v>
      </c>
      <c r="R2808" s="1">
        <v>41017</v>
      </c>
      <c r="S2808" t="s">
        <v>29</v>
      </c>
      <c r="T2808" t="str">
        <f t="shared" si="215"/>
        <v>Grade B</v>
      </c>
      <c r="U2808">
        <f t="shared" si="216"/>
        <v>4</v>
      </c>
      <c r="V2808" t="str">
        <f t="shared" si="217"/>
        <v>Senior</v>
      </c>
      <c r="W2808" t="str">
        <f t="shared" si="218"/>
        <v>Low Risk</v>
      </c>
      <c r="X2808" t="str">
        <f t="shared" si="219"/>
        <v>Fair</v>
      </c>
    </row>
    <row r="2809" spans="1:24" x14ac:dyDescent="0.3">
      <c r="A2809" t="s">
        <v>2877</v>
      </c>
      <c r="B2809" t="s">
        <v>39</v>
      </c>
      <c r="C2809">
        <v>42</v>
      </c>
      <c r="D2809" t="s">
        <v>57</v>
      </c>
      <c r="E2809" t="s">
        <v>40</v>
      </c>
      <c r="F2809" t="s">
        <v>62</v>
      </c>
      <c r="G2809" t="s">
        <v>33</v>
      </c>
      <c r="H2809" t="s">
        <v>76</v>
      </c>
      <c r="I2809" t="s">
        <v>54</v>
      </c>
      <c r="J2809" t="s">
        <v>27</v>
      </c>
      <c r="K2809">
        <v>14</v>
      </c>
      <c r="L2809">
        <v>87579</v>
      </c>
      <c r="M2809" t="s">
        <v>51</v>
      </c>
      <c r="N2809">
        <v>4</v>
      </c>
      <c r="O2809">
        <v>1</v>
      </c>
      <c r="P2809">
        <v>36</v>
      </c>
      <c r="Q2809">
        <v>1</v>
      </c>
      <c r="R2809" s="1">
        <v>39968</v>
      </c>
      <c r="S2809" t="s">
        <v>29</v>
      </c>
      <c r="T2809" t="str">
        <f t="shared" si="215"/>
        <v>Grade A</v>
      </c>
      <c r="U2809">
        <f t="shared" si="216"/>
        <v>4</v>
      </c>
      <c r="V2809" t="str">
        <f t="shared" si="217"/>
        <v>Senior</v>
      </c>
      <c r="W2809" t="str">
        <f t="shared" si="218"/>
        <v>Low Risk</v>
      </c>
      <c r="X2809" t="str">
        <f t="shared" si="219"/>
        <v>Competitive</v>
      </c>
    </row>
    <row r="2810" spans="1:24" x14ac:dyDescent="0.3">
      <c r="A2810" t="s">
        <v>2878</v>
      </c>
      <c r="B2810" t="s">
        <v>39</v>
      </c>
      <c r="C2810">
        <v>30</v>
      </c>
      <c r="D2810" t="s">
        <v>21</v>
      </c>
      <c r="E2810" t="s">
        <v>48</v>
      </c>
      <c r="F2810" t="s">
        <v>41</v>
      </c>
      <c r="G2810" t="s">
        <v>33</v>
      </c>
      <c r="H2810" t="s">
        <v>34</v>
      </c>
      <c r="I2810" t="s">
        <v>96</v>
      </c>
      <c r="J2810" t="s">
        <v>44</v>
      </c>
      <c r="K2810">
        <v>6</v>
      </c>
      <c r="L2810">
        <v>72754</v>
      </c>
      <c r="M2810" t="s">
        <v>36</v>
      </c>
      <c r="N2810">
        <v>3</v>
      </c>
      <c r="O2810">
        <v>2</v>
      </c>
      <c r="P2810">
        <v>15</v>
      </c>
      <c r="Q2810">
        <v>2</v>
      </c>
      <c r="R2810" s="1">
        <v>42820</v>
      </c>
      <c r="S2810" t="s">
        <v>29</v>
      </c>
      <c r="T2810" t="str">
        <f t="shared" si="215"/>
        <v>Grade B</v>
      </c>
      <c r="U2810">
        <f t="shared" si="216"/>
        <v>1</v>
      </c>
      <c r="V2810" t="str">
        <f t="shared" si="217"/>
        <v>Mid Level</v>
      </c>
      <c r="W2810" t="str">
        <f t="shared" si="218"/>
        <v>Medium Risk</v>
      </c>
      <c r="X2810" t="str">
        <f t="shared" si="219"/>
        <v>Fair</v>
      </c>
    </row>
    <row r="2811" spans="1:24" x14ac:dyDescent="0.3">
      <c r="A2811" t="s">
        <v>2879</v>
      </c>
      <c r="B2811" t="s">
        <v>20</v>
      </c>
      <c r="C2811">
        <v>52</v>
      </c>
      <c r="D2811" t="s">
        <v>57</v>
      </c>
      <c r="E2811" t="s">
        <v>22</v>
      </c>
      <c r="F2811" t="s">
        <v>23</v>
      </c>
      <c r="G2811" t="s">
        <v>58</v>
      </c>
      <c r="H2811" t="s">
        <v>76</v>
      </c>
      <c r="I2811" t="s">
        <v>43</v>
      </c>
      <c r="J2811" t="s">
        <v>44</v>
      </c>
      <c r="K2811">
        <v>4</v>
      </c>
      <c r="L2811">
        <v>96071</v>
      </c>
      <c r="M2811" t="s">
        <v>45</v>
      </c>
      <c r="N2811">
        <v>2</v>
      </c>
      <c r="O2811">
        <v>1</v>
      </c>
      <c r="P2811">
        <v>29</v>
      </c>
      <c r="Q2811">
        <v>2</v>
      </c>
      <c r="R2811" s="1">
        <v>43560</v>
      </c>
      <c r="S2811" t="s">
        <v>29</v>
      </c>
      <c r="T2811" t="str">
        <f t="shared" si="215"/>
        <v>Grade A</v>
      </c>
      <c r="U2811">
        <f t="shared" si="216"/>
        <v>2</v>
      </c>
      <c r="V2811" t="str">
        <f t="shared" si="217"/>
        <v>Junior</v>
      </c>
      <c r="W2811" t="str">
        <f t="shared" si="218"/>
        <v>Medium Risk</v>
      </c>
      <c r="X2811" t="str">
        <f t="shared" si="219"/>
        <v>Fair</v>
      </c>
    </row>
    <row r="2812" spans="1:24" x14ac:dyDescent="0.3">
      <c r="A2812" t="s">
        <v>2880</v>
      </c>
      <c r="B2812" t="s">
        <v>39</v>
      </c>
      <c r="C2812">
        <v>29</v>
      </c>
      <c r="D2812" t="s">
        <v>21</v>
      </c>
      <c r="E2812" t="s">
        <v>22</v>
      </c>
      <c r="F2812" t="s">
        <v>62</v>
      </c>
      <c r="G2812" t="s">
        <v>79</v>
      </c>
      <c r="H2812" t="s">
        <v>83</v>
      </c>
      <c r="I2812" t="s">
        <v>80</v>
      </c>
      <c r="J2812" t="s">
        <v>60</v>
      </c>
      <c r="K2812">
        <v>4</v>
      </c>
      <c r="L2812">
        <v>56813</v>
      </c>
      <c r="M2812" t="s">
        <v>36</v>
      </c>
      <c r="N2812">
        <v>1</v>
      </c>
      <c r="O2812">
        <v>2</v>
      </c>
      <c r="P2812">
        <v>60</v>
      </c>
      <c r="Q2812">
        <v>3</v>
      </c>
      <c r="R2812" s="1">
        <v>43555</v>
      </c>
      <c r="S2812" t="s">
        <v>37</v>
      </c>
      <c r="T2812" t="str">
        <f t="shared" si="215"/>
        <v>Grade B</v>
      </c>
      <c r="U2812">
        <f t="shared" si="216"/>
        <v>1</v>
      </c>
      <c r="V2812" t="str">
        <f t="shared" si="217"/>
        <v>Junior</v>
      </c>
      <c r="W2812" t="str">
        <f t="shared" si="218"/>
        <v>Already Left</v>
      </c>
      <c r="X2812" t="str">
        <f t="shared" si="219"/>
        <v>Fair</v>
      </c>
    </row>
    <row r="2813" spans="1:24" x14ac:dyDescent="0.3">
      <c r="A2813" t="s">
        <v>2881</v>
      </c>
      <c r="B2813" t="s">
        <v>20</v>
      </c>
      <c r="C2813">
        <v>48</v>
      </c>
      <c r="D2813" t="s">
        <v>57</v>
      </c>
      <c r="E2813" t="s">
        <v>48</v>
      </c>
      <c r="F2813" t="s">
        <v>41</v>
      </c>
      <c r="G2813" t="s">
        <v>24</v>
      </c>
      <c r="H2813" t="s">
        <v>76</v>
      </c>
      <c r="I2813" t="s">
        <v>68</v>
      </c>
      <c r="J2813" t="s">
        <v>60</v>
      </c>
      <c r="K2813">
        <v>15</v>
      </c>
      <c r="L2813">
        <v>109206</v>
      </c>
      <c r="M2813" t="s">
        <v>45</v>
      </c>
      <c r="N2813">
        <v>4</v>
      </c>
      <c r="O2813">
        <v>1</v>
      </c>
      <c r="P2813">
        <v>13</v>
      </c>
      <c r="Q2813">
        <v>3</v>
      </c>
      <c r="R2813" s="1">
        <v>39491</v>
      </c>
      <c r="S2813" t="s">
        <v>37</v>
      </c>
      <c r="T2813" t="str">
        <f t="shared" si="215"/>
        <v>Grade A</v>
      </c>
      <c r="U2813">
        <f t="shared" si="216"/>
        <v>2</v>
      </c>
      <c r="V2813" t="str">
        <f t="shared" si="217"/>
        <v>Senior</v>
      </c>
      <c r="W2813" t="str">
        <f t="shared" si="218"/>
        <v>Already Left</v>
      </c>
      <c r="X2813" t="str">
        <f t="shared" si="219"/>
        <v>Fair</v>
      </c>
    </row>
    <row r="2814" spans="1:24" x14ac:dyDescent="0.3">
      <c r="A2814" t="s">
        <v>2882</v>
      </c>
      <c r="B2814" t="s">
        <v>39</v>
      </c>
      <c r="C2814">
        <v>37</v>
      </c>
      <c r="D2814" t="s">
        <v>21</v>
      </c>
      <c r="E2814" t="s">
        <v>40</v>
      </c>
      <c r="F2814" t="s">
        <v>32</v>
      </c>
      <c r="G2814" t="s">
        <v>66</v>
      </c>
      <c r="H2814" t="s">
        <v>25</v>
      </c>
      <c r="I2814" t="s">
        <v>54</v>
      </c>
      <c r="J2814" t="s">
        <v>27</v>
      </c>
      <c r="K2814">
        <v>8</v>
      </c>
      <c r="L2814">
        <v>54772</v>
      </c>
      <c r="M2814" t="s">
        <v>28</v>
      </c>
      <c r="N2814">
        <v>2</v>
      </c>
      <c r="O2814">
        <v>1</v>
      </c>
      <c r="P2814">
        <v>10</v>
      </c>
      <c r="Q2814">
        <v>0</v>
      </c>
      <c r="R2814" s="1">
        <v>42303</v>
      </c>
      <c r="S2814" t="s">
        <v>29</v>
      </c>
      <c r="T2814" t="str">
        <f t="shared" si="215"/>
        <v>Grade B</v>
      </c>
      <c r="U2814">
        <f t="shared" si="216"/>
        <v>3</v>
      </c>
      <c r="V2814" t="str">
        <f t="shared" si="217"/>
        <v>Mid Level</v>
      </c>
      <c r="W2814" t="str">
        <f t="shared" si="218"/>
        <v>Medium Risk</v>
      </c>
      <c r="X2814" t="str">
        <f t="shared" si="219"/>
        <v>Competitive</v>
      </c>
    </row>
    <row r="2815" spans="1:24" x14ac:dyDescent="0.3">
      <c r="A2815" t="s">
        <v>2883</v>
      </c>
      <c r="B2815" t="s">
        <v>39</v>
      </c>
      <c r="C2815">
        <v>25</v>
      </c>
      <c r="D2815" t="s">
        <v>57</v>
      </c>
      <c r="E2815" t="s">
        <v>48</v>
      </c>
      <c r="F2815" t="s">
        <v>41</v>
      </c>
      <c r="G2815" t="s">
        <v>79</v>
      </c>
      <c r="H2815" t="s">
        <v>34</v>
      </c>
      <c r="I2815" t="s">
        <v>43</v>
      </c>
      <c r="J2815" t="s">
        <v>44</v>
      </c>
      <c r="K2815">
        <v>3</v>
      </c>
      <c r="L2815">
        <v>46830</v>
      </c>
      <c r="M2815" t="s">
        <v>28</v>
      </c>
      <c r="N2815">
        <v>1</v>
      </c>
      <c r="O2815">
        <v>4</v>
      </c>
      <c r="P2815">
        <v>58</v>
      </c>
      <c r="Q2815">
        <v>2</v>
      </c>
      <c r="R2815" s="1">
        <v>43906</v>
      </c>
      <c r="S2815" t="s">
        <v>29</v>
      </c>
      <c r="T2815" t="str">
        <f t="shared" si="215"/>
        <v>Grade C</v>
      </c>
      <c r="U2815">
        <f t="shared" si="216"/>
        <v>3</v>
      </c>
      <c r="V2815" t="str">
        <f t="shared" si="217"/>
        <v>Junior</v>
      </c>
      <c r="W2815" t="str">
        <f t="shared" si="218"/>
        <v>Medium Risk</v>
      </c>
      <c r="X2815" t="str">
        <f t="shared" si="219"/>
        <v>Fair</v>
      </c>
    </row>
    <row r="2816" spans="1:24" x14ac:dyDescent="0.3">
      <c r="A2816" t="s">
        <v>2884</v>
      </c>
      <c r="B2816" t="s">
        <v>39</v>
      </c>
      <c r="C2816">
        <v>47</v>
      </c>
      <c r="D2816" t="s">
        <v>57</v>
      </c>
      <c r="E2816" t="s">
        <v>22</v>
      </c>
      <c r="F2816" t="s">
        <v>23</v>
      </c>
      <c r="G2816" t="s">
        <v>42</v>
      </c>
      <c r="H2816" t="s">
        <v>34</v>
      </c>
      <c r="I2816" t="s">
        <v>59</v>
      </c>
      <c r="J2816" t="s">
        <v>60</v>
      </c>
      <c r="K2816">
        <v>1</v>
      </c>
      <c r="L2816">
        <v>91861</v>
      </c>
      <c r="M2816" t="s">
        <v>36</v>
      </c>
      <c r="N2816">
        <v>2</v>
      </c>
      <c r="O2816">
        <v>2</v>
      </c>
      <c r="P2816">
        <v>48</v>
      </c>
      <c r="Q2816">
        <v>3</v>
      </c>
      <c r="R2816" s="1">
        <v>44807</v>
      </c>
      <c r="S2816" t="s">
        <v>29</v>
      </c>
      <c r="T2816" t="str">
        <f t="shared" si="215"/>
        <v>Grade A</v>
      </c>
      <c r="U2816">
        <f t="shared" si="216"/>
        <v>1</v>
      </c>
      <c r="V2816" t="str">
        <f t="shared" si="217"/>
        <v>New Joiner</v>
      </c>
      <c r="W2816" t="str">
        <f t="shared" si="218"/>
        <v>High Risk</v>
      </c>
      <c r="X2816" t="str">
        <f t="shared" si="219"/>
        <v>Overpaid</v>
      </c>
    </row>
    <row r="2817" spans="1:24" x14ac:dyDescent="0.3">
      <c r="A2817" t="s">
        <v>2885</v>
      </c>
      <c r="B2817" t="s">
        <v>20</v>
      </c>
      <c r="C2817">
        <v>51</v>
      </c>
      <c r="D2817" t="s">
        <v>47</v>
      </c>
      <c r="E2817" t="s">
        <v>48</v>
      </c>
      <c r="F2817" t="s">
        <v>62</v>
      </c>
      <c r="G2817" t="s">
        <v>63</v>
      </c>
      <c r="H2817" t="s">
        <v>76</v>
      </c>
      <c r="I2817" t="s">
        <v>80</v>
      </c>
      <c r="J2817" t="s">
        <v>60</v>
      </c>
      <c r="K2817">
        <v>1</v>
      </c>
      <c r="L2817">
        <v>38580</v>
      </c>
      <c r="M2817" t="s">
        <v>51</v>
      </c>
      <c r="N2817">
        <v>4</v>
      </c>
      <c r="O2817">
        <v>2</v>
      </c>
      <c r="P2817">
        <v>19</v>
      </c>
      <c r="Q2817">
        <v>2</v>
      </c>
      <c r="R2817" s="1">
        <v>44896</v>
      </c>
      <c r="S2817" t="s">
        <v>29</v>
      </c>
      <c r="T2817" t="str">
        <f t="shared" si="215"/>
        <v>Grade C</v>
      </c>
      <c r="U2817">
        <f t="shared" si="216"/>
        <v>4</v>
      </c>
      <c r="V2817" t="str">
        <f t="shared" si="217"/>
        <v>New Joiner</v>
      </c>
      <c r="W2817" t="str">
        <f t="shared" si="218"/>
        <v>Low Risk</v>
      </c>
      <c r="X2817" t="str">
        <f t="shared" si="219"/>
        <v>Fair</v>
      </c>
    </row>
    <row r="2818" spans="1:24" x14ac:dyDescent="0.3">
      <c r="A2818" t="s">
        <v>2886</v>
      </c>
      <c r="B2818" t="s">
        <v>20</v>
      </c>
      <c r="C2818">
        <v>52</v>
      </c>
      <c r="D2818" t="s">
        <v>88</v>
      </c>
      <c r="E2818" t="s">
        <v>40</v>
      </c>
      <c r="F2818" t="s">
        <v>41</v>
      </c>
      <c r="G2818" t="s">
        <v>24</v>
      </c>
      <c r="H2818" t="s">
        <v>83</v>
      </c>
      <c r="I2818" t="s">
        <v>26</v>
      </c>
      <c r="J2818" t="s">
        <v>27</v>
      </c>
      <c r="K2818">
        <v>8</v>
      </c>
      <c r="L2818">
        <v>100925</v>
      </c>
      <c r="M2818" t="s">
        <v>51</v>
      </c>
      <c r="N2818">
        <v>1</v>
      </c>
      <c r="O2818">
        <v>1</v>
      </c>
      <c r="P2818">
        <v>22</v>
      </c>
      <c r="Q2818">
        <v>3</v>
      </c>
      <c r="R2818" s="1">
        <v>42115</v>
      </c>
      <c r="S2818" t="s">
        <v>37</v>
      </c>
      <c r="T2818" t="str">
        <f t="shared" ref="T2818:T2881" si="220">IF(L2818&gt;=80000,"Grade A",IF(L2818&gt;=50000,"Grade B",IF(L2818&gt;=35000,"Grade C","Grade D")))</f>
        <v>Grade A</v>
      </c>
      <c r="U2818">
        <f t="shared" ref="U2818:U2881" si="221">IF(M2818="Excellent",4,IF(M2818="Good",3,IF(M2818="Average",2,1)))</f>
        <v>4</v>
      </c>
      <c r="V2818" t="str">
        <f t="shared" ref="V2818:V2881" si="222">IF(K2818&lt;=2,"New Joiner",IF(K2818&lt;=5,"Junior",IF(K2818&lt;=10,"Mid Level","Senior")))</f>
        <v>Mid Level</v>
      </c>
      <c r="W2818" t="str">
        <f t="shared" ref="W2818:W2881" si="223">IF(S2818="Yes","Already Left",IF(AND(K2818&lt;=2,M2818="Poor"),"High Risk",IF(AND(K2818&lt;=5,M2818="Average"),"Medium Risk",IF(M2818="Excellent","Low Risk","Medium Risk"))))</f>
        <v>Already Left</v>
      </c>
      <c r="X2818" t="str">
        <f t="shared" ref="X2818:X2881" si="224">IF(AND(L2818&gt;=80000,M2818="Excellent"),"Competitive",IF(AND(L2818&gt;=50000,M2818="Good"),"Competitive",IF(AND(L2818&lt;35000,M2818="Excellent"),"Underpaid",IF(AND(L2818&gt;=80000,M2818="Poor"),"Overpaid","Fair"))))</f>
        <v>Competitive</v>
      </c>
    </row>
    <row r="2819" spans="1:24" x14ac:dyDescent="0.3">
      <c r="A2819" t="s">
        <v>2887</v>
      </c>
      <c r="B2819" t="s">
        <v>20</v>
      </c>
      <c r="C2819">
        <v>51</v>
      </c>
      <c r="D2819" t="s">
        <v>31</v>
      </c>
      <c r="E2819" t="s">
        <v>48</v>
      </c>
      <c r="F2819" t="s">
        <v>65</v>
      </c>
      <c r="G2819" t="s">
        <v>63</v>
      </c>
      <c r="H2819" t="s">
        <v>76</v>
      </c>
      <c r="I2819" t="s">
        <v>50</v>
      </c>
      <c r="J2819" t="s">
        <v>44</v>
      </c>
      <c r="K2819">
        <v>8</v>
      </c>
      <c r="L2819">
        <v>61847</v>
      </c>
      <c r="M2819" t="s">
        <v>45</v>
      </c>
      <c r="N2819">
        <v>1</v>
      </c>
      <c r="O2819">
        <v>2</v>
      </c>
      <c r="P2819">
        <v>38</v>
      </c>
      <c r="Q2819">
        <v>3</v>
      </c>
      <c r="R2819" s="1">
        <v>42050</v>
      </c>
      <c r="S2819" t="s">
        <v>29</v>
      </c>
      <c r="T2819" t="str">
        <f t="shared" si="220"/>
        <v>Grade B</v>
      </c>
      <c r="U2819">
        <f t="shared" si="221"/>
        <v>2</v>
      </c>
      <c r="V2819" t="str">
        <f t="shared" si="222"/>
        <v>Mid Level</v>
      </c>
      <c r="W2819" t="str">
        <f t="shared" si="223"/>
        <v>Medium Risk</v>
      </c>
      <c r="X2819" t="str">
        <f t="shared" si="224"/>
        <v>Fair</v>
      </c>
    </row>
    <row r="2820" spans="1:24" x14ac:dyDescent="0.3">
      <c r="A2820" t="s">
        <v>2888</v>
      </c>
      <c r="B2820" t="s">
        <v>39</v>
      </c>
      <c r="C2820">
        <v>52</v>
      </c>
      <c r="D2820" t="s">
        <v>88</v>
      </c>
      <c r="E2820" t="s">
        <v>48</v>
      </c>
      <c r="F2820" t="s">
        <v>65</v>
      </c>
      <c r="G2820" t="s">
        <v>33</v>
      </c>
      <c r="H2820" t="s">
        <v>34</v>
      </c>
      <c r="I2820" t="s">
        <v>96</v>
      </c>
      <c r="J2820" t="s">
        <v>44</v>
      </c>
      <c r="K2820">
        <v>13</v>
      </c>
      <c r="L2820">
        <v>95765</v>
      </c>
      <c r="M2820" t="s">
        <v>45</v>
      </c>
      <c r="N2820">
        <v>4</v>
      </c>
      <c r="O2820">
        <v>3</v>
      </c>
      <c r="P2820">
        <v>30</v>
      </c>
      <c r="Q2820">
        <v>1</v>
      </c>
      <c r="R2820" s="1">
        <v>40537</v>
      </c>
      <c r="S2820" t="s">
        <v>37</v>
      </c>
      <c r="T2820" t="str">
        <f t="shared" si="220"/>
        <v>Grade A</v>
      </c>
      <c r="U2820">
        <f t="shared" si="221"/>
        <v>2</v>
      </c>
      <c r="V2820" t="str">
        <f t="shared" si="222"/>
        <v>Senior</v>
      </c>
      <c r="W2820" t="str">
        <f t="shared" si="223"/>
        <v>Already Left</v>
      </c>
      <c r="X2820" t="str">
        <f t="shared" si="224"/>
        <v>Fair</v>
      </c>
    </row>
    <row r="2821" spans="1:24" x14ac:dyDescent="0.3">
      <c r="A2821" t="s">
        <v>2889</v>
      </c>
      <c r="B2821" t="s">
        <v>39</v>
      </c>
      <c r="C2821">
        <v>38</v>
      </c>
      <c r="D2821" t="s">
        <v>88</v>
      </c>
      <c r="E2821" t="s">
        <v>40</v>
      </c>
      <c r="F2821" t="s">
        <v>23</v>
      </c>
      <c r="G2821" t="s">
        <v>49</v>
      </c>
      <c r="H2821" t="s">
        <v>25</v>
      </c>
      <c r="I2821" t="s">
        <v>50</v>
      </c>
      <c r="J2821" t="s">
        <v>44</v>
      </c>
      <c r="K2821">
        <v>14</v>
      </c>
      <c r="L2821">
        <v>74343</v>
      </c>
      <c r="M2821" t="s">
        <v>45</v>
      </c>
      <c r="N2821">
        <v>2</v>
      </c>
      <c r="O2821">
        <v>1</v>
      </c>
      <c r="P2821">
        <v>69</v>
      </c>
      <c r="Q2821">
        <v>0</v>
      </c>
      <c r="R2821" s="1">
        <v>40074</v>
      </c>
      <c r="S2821" t="s">
        <v>29</v>
      </c>
      <c r="T2821" t="str">
        <f t="shared" si="220"/>
        <v>Grade B</v>
      </c>
      <c r="U2821">
        <f t="shared" si="221"/>
        <v>2</v>
      </c>
      <c r="V2821" t="str">
        <f t="shared" si="222"/>
        <v>Senior</v>
      </c>
      <c r="W2821" t="str">
        <f t="shared" si="223"/>
        <v>Medium Risk</v>
      </c>
      <c r="X2821" t="str">
        <f t="shared" si="224"/>
        <v>Fair</v>
      </c>
    </row>
    <row r="2822" spans="1:24" x14ac:dyDescent="0.3">
      <c r="A2822" t="s">
        <v>2890</v>
      </c>
      <c r="B2822" t="s">
        <v>20</v>
      </c>
      <c r="C2822">
        <v>34</v>
      </c>
      <c r="D2822" t="s">
        <v>88</v>
      </c>
      <c r="E2822" t="s">
        <v>48</v>
      </c>
      <c r="F2822" t="s">
        <v>23</v>
      </c>
      <c r="G2822" t="s">
        <v>33</v>
      </c>
      <c r="H2822" t="s">
        <v>67</v>
      </c>
      <c r="I2822" t="s">
        <v>50</v>
      </c>
      <c r="J2822" t="s">
        <v>44</v>
      </c>
      <c r="K2822">
        <v>13</v>
      </c>
      <c r="L2822">
        <v>87452</v>
      </c>
      <c r="M2822" t="s">
        <v>36</v>
      </c>
      <c r="N2822">
        <v>3</v>
      </c>
      <c r="O2822">
        <v>1</v>
      </c>
      <c r="P2822">
        <v>64</v>
      </c>
      <c r="Q2822">
        <v>1</v>
      </c>
      <c r="R2822" s="1">
        <v>40319</v>
      </c>
      <c r="S2822" t="s">
        <v>37</v>
      </c>
      <c r="T2822" t="str">
        <f t="shared" si="220"/>
        <v>Grade A</v>
      </c>
      <c r="U2822">
        <f t="shared" si="221"/>
        <v>1</v>
      </c>
      <c r="V2822" t="str">
        <f t="shared" si="222"/>
        <v>Senior</v>
      </c>
      <c r="W2822" t="str">
        <f t="shared" si="223"/>
        <v>Already Left</v>
      </c>
      <c r="X2822" t="str">
        <f t="shared" si="224"/>
        <v>Overpaid</v>
      </c>
    </row>
    <row r="2823" spans="1:24" x14ac:dyDescent="0.3">
      <c r="A2823" t="s">
        <v>2891</v>
      </c>
      <c r="B2823" t="s">
        <v>39</v>
      </c>
      <c r="C2823">
        <v>44</v>
      </c>
      <c r="D2823" t="s">
        <v>88</v>
      </c>
      <c r="E2823" t="s">
        <v>22</v>
      </c>
      <c r="F2823" t="s">
        <v>53</v>
      </c>
      <c r="G2823" t="s">
        <v>33</v>
      </c>
      <c r="H2823" t="s">
        <v>25</v>
      </c>
      <c r="I2823" t="s">
        <v>35</v>
      </c>
      <c r="J2823" t="s">
        <v>27</v>
      </c>
      <c r="K2823">
        <v>2</v>
      </c>
      <c r="L2823">
        <v>58622</v>
      </c>
      <c r="M2823" t="s">
        <v>51</v>
      </c>
      <c r="N2823">
        <v>1</v>
      </c>
      <c r="O2823">
        <v>4</v>
      </c>
      <c r="P2823">
        <v>32</v>
      </c>
      <c r="Q2823">
        <v>3</v>
      </c>
      <c r="R2823" s="1">
        <v>44536</v>
      </c>
      <c r="S2823" t="s">
        <v>29</v>
      </c>
      <c r="T2823" t="str">
        <f t="shared" si="220"/>
        <v>Grade B</v>
      </c>
      <c r="U2823">
        <f t="shared" si="221"/>
        <v>4</v>
      </c>
      <c r="V2823" t="str">
        <f t="shared" si="222"/>
        <v>New Joiner</v>
      </c>
      <c r="W2823" t="str">
        <f t="shared" si="223"/>
        <v>Low Risk</v>
      </c>
      <c r="X2823" t="str">
        <f t="shared" si="224"/>
        <v>Fair</v>
      </c>
    </row>
    <row r="2824" spans="1:24" x14ac:dyDescent="0.3">
      <c r="A2824" t="s">
        <v>2892</v>
      </c>
      <c r="B2824" t="s">
        <v>20</v>
      </c>
      <c r="C2824">
        <v>27</v>
      </c>
      <c r="D2824" t="s">
        <v>21</v>
      </c>
      <c r="E2824" t="s">
        <v>22</v>
      </c>
      <c r="F2824" t="s">
        <v>32</v>
      </c>
      <c r="G2824" t="s">
        <v>42</v>
      </c>
      <c r="H2824" t="s">
        <v>83</v>
      </c>
      <c r="I2824" t="s">
        <v>59</v>
      </c>
      <c r="J2824" t="s">
        <v>60</v>
      </c>
      <c r="K2824">
        <v>13</v>
      </c>
      <c r="L2824">
        <v>129133</v>
      </c>
      <c r="M2824" t="s">
        <v>51</v>
      </c>
      <c r="N2824">
        <v>3</v>
      </c>
      <c r="O2824">
        <v>1</v>
      </c>
      <c r="P2824">
        <v>48</v>
      </c>
      <c r="Q2824">
        <v>2</v>
      </c>
      <c r="R2824" s="1">
        <v>40273</v>
      </c>
      <c r="S2824" t="s">
        <v>37</v>
      </c>
      <c r="T2824" t="str">
        <f t="shared" si="220"/>
        <v>Grade A</v>
      </c>
      <c r="U2824">
        <f t="shared" si="221"/>
        <v>4</v>
      </c>
      <c r="V2824" t="str">
        <f t="shared" si="222"/>
        <v>Senior</v>
      </c>
      <c r="W2824" t="str">
        <f t="shared" si="223"/>
        <v>Already Left</v>
      </c>
      <c r="X2824" t="str">
        <f t="shared" si="224"/>
        <v>Competitive</v>
      </c>
    </row>
    <row r="2825" spans="1:24" x14ac:dyDescent="0.3">
      <c r="A2825" t="s">
        <v>2893</v>
      </c>
      <c r="B2825" t="s">
        <v>39</v>
      </c>
      <c r="C2825">
        <v>30</v>
      </c>
      <c r="D2825" t="s">
        <v>57</v>
      </c>
      <c r="E2825" t="s">
        <v>22</v>
      </c>
      <c r="F2825" t="s">
        <v>23</v>
      </c>
      <c r="G2825" t="s">
        <v>33</v>
      </c>
      <c r="H2825" t="s">
        <v>76</v>
      </c>
      <c r="I2825" t="s">
        <v>59</v>
      </c>
      <c r="J2825" t="s">
        <v>60</v>
      </c>
      <c r="K2825">
        <v>11</v>
      </c>
      <c r="L2825">
        <v>87850</v>
      </c>
      <c r="M2825" t="s">
        <v>45</v>
      </c>
      <c r="N2825">
        <v>4</v>
      </c>
      <c r="O2825">
        <v>1</v>
      </c>
      <c r="P2825">
        <v>10</v>
      </c>
      <c r="Q2825">
        <v>0</v>
      </c>
      <c r="R2825" s="1">
        <v>41230</v>
      </c>
      <c r="S2825" t="s">
        <v>29</v>
      </c>
      <c r="T2825" t="str">
        <f t="shared" si="220"/>
        <v>Grade A</v>
      </c>
      <c r="U2825">
        <f t="shared" si="221"/>
        <v>2</v>
      </c>
      <c r="V2825" t="str">
        <f t="shared" si="222"/>
        <v>Senior</v>
      </c>
      <c r="W2825" t="str">
        <f t="shared" si="223"/>
        <v>Medium Risk</v>
      </c>
      <c r="X2825" t="str">
        <f t="shared" si="224"/>
        <v>Fair</v>
      </c>
    </row>
    <row r="2826" spans="1:24" x14ac:dyDescent="0.3">
      <c r="A2826" t="s">
        <v>2894</v>
      </c>
      <c r="B2826" t="s">
        <v>39</v>
      </c>
      <c r="C2826">
        <v>48</v>
      </c>
      <c r="D2826" t="s">
        <v>57</v>
      </c>
      <c r="E2826" t="s">
        <v>22</v>
      </c>
      <c r="F2826" t="s">
        <v>75</v>
      </c>
      <c r="G2826" t="s">
        <v>66</v>
      </c>
      <c r="H2826" t="s">
        <v>76</v>
      </c>
      <c r="I2826" t="s">
        <v>96</v>
      </c>
      <c r="J2826" t="s">
        <v>44</v>
      </c>
      <c r="K2826">
        <v>15</v>
      </c>
      <c r="L2826">
        <v>59217</v>
      </c>
      <c r="M2826" t="s">
        <v>28</v>
      </c>
      <c r="N2826">
        <v>4</v>
      </c>
      <c r="O2826">
        <v>1</v>
      </c>
      <c r="P2826">
        <v>19</v>
      </c>
      <c r="Q2826">
        <v>0</v>
      </c>
      <c r="R2826" s="1">
        <v>39647</v>
      </c>
      <c r="S2826" t="s">
        <v>37</v>
      </c>
      <c r="T2826" t="str">
        <f t="shared" si="220"/>
        <v>Grade B</v>
      </c>
      <c r="U2826">
        <f t="shared" si="221"/>
        <v>3</v>
      </c>
      <c r="V2826" t="str">
        <f t="shared" si="222"/>
        <v>Senior</v>
      </c>
      <c r="W2826" t="str">
        <f t="shared" si="223"/>
        <v>Already Left</v>
      </c>
      <c r="X2826" t="str">
        <f t="shared" si="224"/>
        <v>Competitive</v>
      </c>
    </row>
    <row r="2827" spans="1:24" x14ac:dyDescent="0.3">
      <c r="A2827" t="s">
        <v>2895</v>
      </c>
      <c r="B2827" t="s">
        <v>39</v>
      </c>
      <c r="C2827">
        <v>40</v>
      </c>
      <c r="D2827" t="s">
        <v>57</v>
      </c>
      <c r="E2827" t="s">
        <v>22</v>
      </c>
      <c r="F2827" t="s">
        <v>23</v>
      </c>
      <c r="G2827" t="s">
        <v>63</v>
      </c>
      <c r="H2827" t="s">
        <v>76</v>
      </c>
      <c r="I2827" t="s">
        <v>96</v>
      </c>
      <c r="J2827" t="s">
        <v>44</v>
      </c>
      <c r="K2827">
        <v>9</v>
      </c>
      <c r="L2827">
        <v>61981</v>
      </c>
      <c r="M2827" t="s">
        <v>36</v>
      </c>
      <c r="N2827">
        <v>3</v>
      </c>
      <c r="O2827">
        <v>3</v>
      </c>
      <c r="P2827">
        <v>64</v>
      </c>
      <c r="Q2827">
        <v>2</v>
      </c>
      <c r="R2827" s="1">
        <v>41850</v>
      </c>
      <c r="S2827" t="s">
        <v>29</v>
      </c>
      <c r="T2827" t="str">
        <f t="shared" si="220"/>
        <v>Grade B</v>
      </c>
      <c r="U2827">
        <f t="shared" si="221"/>
        <v>1</v>
      </c>
      <c r="V2827" t="str">
        <f t="shared" si="222"/>
        <v>Mid Level</v>
      </c>
      <c r="W2827" t="str">
        <f t="shared" si="223"/>
        <v>Medium Risk</v>
      </c>
      <c r="X2827" t="str">
        <f t="shared" si="224"/>
        <v>Fair</v>
      </c>
    </row>
    <row r="2828" spans="1:24" x14ac:dyDescent="0.3">
      <c r="A2828" t="s">
        <v>2896</v>
      </c>
      <c r="B2828" t="s">
        <v>20</v>
      </c>
      <c r="C2828">
        <v>53</v>
      </c>
      <c r="D2828" t="s">
        <v>57</v>
      </c>
      <c r="E2828" t="s">
        <v>22</v>
      </c>
      <c r="F2828" t="s">
        <v>78</v>
      </c>
      <c r="G2828" t="s">
        <v>24</v>
      </c>
      <c r="H2828" t="s">
        <v>25</v>
      </c>
      <c r="I2828" t="s">
        <v>59</v>
      </c>
      <c r="J2828" t="s">
        <v>60</v>
      </c>
      <c r="K2828">
        <v>6</v>
      </c>
      <c r="L2828">
        <v>87404</v>
      </c>
      <c r="M2828" t="s">
        <v>28</v>
      </c>
      <c r="N2828">
        <v>3</v>
      </c>
      <c r="O2828">
        <v>1</v>
      </c>
      <c r="P2828">
        <v>59</v>
      </c>
      <c r="Q2828">
        <v>3</v>
      </c>
      <c r="R2828" s="1">
        <v>42875</v>
      </c>
      <c r="S2828" t="s">
        <v>29</v>
      </c>
      <c r="T2828" t="str">
        <f t="shared" si="220"/>
        <v>Grade A</v>
      </c>
      <c r="U2828">
        <f t="shared" si="221"/>
        <v>3</v>
      </c>
      <c r="V2828" t="str">
        <f t="shared" si="222"/>
        <v>Mid Level</v>
      </c>
      <c r="W2828" t="str">
        <f t="shared" si="223"/>
        <v>Medium Risk</v>
      </c>
      <c r="X2828" t="str">
        <f t="shared" si="224"/>
        <v>Competitive</v>
      </c>
    </row>
    <row r="2829" spans="1:24" x14ac:dyDescent="0.3">
      <c r="A2829" t="s">
        <v>2897</v>
      </c>
      <c r="B2829" t="s">
        <v>39</v>
      </c>
      <c r="C2829">
        <v>44</v>
      </c>
      <c r="D2829" t="s">
        <v>21</v>
      </c>
      <c r="E2829" t="s">
        <v>40</v>
      </c>
      <c r="F2829" t="s">
        <v>32</v>
      </c>
      <c r="G2829" t="s">
        <v>33</v>
      </c>
      <c r="H2829" t="s">
        <v>67</v>
      </c>
      <c r="I2829" t="s">
        <v>50</v>
      </c>
      <c r="J2829" t="s">
        <v>44</v>
      </c>
      <c r="K2829">
        <v>11</v>
      </c>
      <c r="L2829">
        <v>72987</v>
      </c>
      <c r="M2829" t="s">
        <v>28</v>
      </c>
      <c r="N2829">
        <v>4</v>
      </c>
      <c r="O2829">
        <v>1</v>
      </c>
      <c r="P2829">
        <v>54</v>
      </c>
      <c r="Q2829">
        <v>0</v>
      </c>
      <c r="R2829" s="1">
        <v>41142</v>
      </c>
      <c r="S2829" t="s">
        <v>37</v>
      </c>
      <c r="T2829" t="str">
        <f t="shared" si="220"/>
        <v>Grade B</v>
      </c>
      <c r="U2829">
        <f t="shared" si="221"/>
        <v>3</v>
      </c>
      <c r="V2829" t="str">
        <f t="shared" si="222"/>
        <v>Senior</v>
      </c>
      <c r="W2829" t="str">
        <f t="shared" si="223"/>
        <v>Already Left</v>
      </c>
      <c r="X2829" t="str">
        <f t="shared" si="224"/>
        <v>Competitive</v>
      </c>
    </row>
    <row r="2830" spans="1:24" x14ac:dyDescent="0.3">
      <c r="A2830" t="s">
        <v>2898</v>
      </c>
      <c r="B2830" t="s">
        <v>39</v>
      </c>
      <c r="C2830">
        <v>43</v>
      </c>
      <c r="D2830" t="s">
        <v>88</v>
      </c>
      <c r="E2830" t="s">
        <v>48</v>
      </c>
      <c r="F2830" t="s">
        <v>75</v>
      </c>
      <c r="G2830" t="s">
        <v>58</v>
      </c>
      <c r="H2830" t="s">
        <v>67</v>
      </c>
      <c r="I2830" t="s">
        <v>54</v>
      </c>
      <c r="J2830" t="s">
        <v>27</v>
      </c>
      <c r="K2830">
        <v>4</v>
      </c>
      <c r="L2830">
        <v>93058</v>
      </c>
      <c r="M2830" t="s">
        <v>28</v>
      </c>
      <c r="N2830">
        <v>1</v>
      </c>
      <c r="O2830">
        <v>1</v>
      </c>
      <c r="P2830">
        <v>56</v>
      </c>
      <c r="Q2830">
        <v>2</v>
      </c>
      <c r="R2830" s="1">
        <v>43581</v>
      </c>
      <c r="S2830" t="s">
        <v>29</v>
      </c>
      <c r="T2830" t="str">
        <f t="shared" si="220"/>
        <v>Grade A</v>
      </c>
      <c r="U2830">
        <f t="shared" si="221"/>
        <v>3</v>
      </c>
      <c r="V2830" t="str">
        <f t="shared" si="222"/>
        <v>Junior</v>
      </c>
      <c r="W2830" t="str">
        <f t="shared" si="223"/>
        <v>Medium Risk</v>
      </c>
      <c r="X2830" t="str">
        <f t="shared" si="224"/>
        <v>Competitive</v>
      </c>
    </row>
    <row r="2831" spans="1:24" x14ac:dyDescent="0.3">
      <c r="A2831" t="s">
        <v>2899</v>
      </c>
      <c r="B2831" t="s">
        <v>39</v>
      </c>
      <c r="C2831">
        <v>49</v>
      </c>
      <c r="D2831" t="s">
        <v>47</v>
      </c>
      <c r="E2831" t="s">
        <v>40</v>
      </c>
      <c r="F2831" t="s">
        <v>32</v>
      </c>
      <c r="G2831" t="s">
        <v>63</v>
      </c>
      <c r="H2831" t="s">
        <v>34</v>
      </c>
      <c r="I2831" t="s">
        <v>59</v>
      </c>
      <c r="J2831" t="s">
        <v>60</v>
      </c>
      <c r="K2831">
        <v>2</v>
      </c>
      <c r="L2831">
        <v>43119</v>
      </c>
      <c r="M2831" t="s">
        <v>45</v>
      </c>
      <c r="N2831">
        <v>1</v>
      </c>
      <c r="O2831">
        <v>3</v>
      </c>
      <c r="P2831">
        <v>62</v>
      </c>
      <c r="Q2831">
        <v>3</v>
      </c>
      <c r="R2831" s="1">
        <v>44213</v>
      </c>
      <c r="S2831" t="s">
        <v>29</v>
      </c>
      <c r="T2831" t="str">
        <f t="shared" si="220"/>
        <v>Grade C</v>
      </c>
      <c r="U2831">
        <f t="shared" si="221"/>
        <v>2</v>
      </c>
      <c r="V2831" t="str">
        <f t="shared" si="222"/>
        <v>New Joiner</v>
      </c>
      <c r="W2831" t="str">
        <f t="shared" si="223"/>
        <v>Medium Risk</v>
      </c>
      <c r="X2831" t="str">
        <f t="shared" si="224"/>
        <v>Fair</v>
      </c>
    </row>
    <row r="2832" spans="1:24" x14ac:dyDescent="0.3">
      <c r="A2832" t="s">
        <v>2900</v>
      </c>
      <c r="B2832" t="s">
        <v>39</v>
      </c>
      <c r="C2832">
        <v>39</v>
      </c>
      <c r="D2832" t="s">
        <v>88</v>
      </c>
      <c r="E2832" t="s">
        <v>22</v>
      </c>
      <c r="F2832" t="s">
        <v>32</v>
      </c>
      <c r="G2832" t="s">
        <v>79</v>
      </c>
      <c r="H2832" t="s">
        <v>83</v>
      </c>
      <c r="I2832" t="s">
        <v>50</v>
      </c>
      <c r="J2832" t="s">
        <v>44</v>
      </c>
      <c r="K2832">
        <v>6</v>
      </c>
      <c r="L2832">
        <v>59104</v>
      </c>
      <c r="M2832" t="s">
        <v>51</v>
      </c>
      <c r="N2832">
        <v>4</v>
      </c>
      <c r="O2832">
        <v>2</v>
      </c>
      <c r="P2832">
        <v>51</v>
      </c>
      <c r="Q2832">
        <v>3</v>
      </c>
      <c r="R2832" s="1">
        <v>42968</v>
      </c>
      <c r="S2832" t="s">
        <v>29</v>
      </c>
      <c r="T2832" t="str">
        <f t="shared" si="220"/>
        <v>Grade B</v>
      </c>
      <c r="U2832">
        <f t="shared" si="221"/>
        <v>4</v>
      </c>
      <c r="V2832" t="str">
        <f t="shared" si="222"/>
        <v>Mid Level</v>
      </c>
      <c r="W2832" t="str">
        <f t="shared" si="223"/>
        <v>Low Risk</v>
      </c>
      <c r="X2832" t="str">
        <f t="shared" si="224"/>
        <v>Fair</v>
      </c>
    </row>
    <row r="2833" spans="1:24" x14ac:dyDescent="0.3">
      <c r="A2833" t="s">
        <v>2901</v>
      </c>
      <c r="B2833" t="s">
        <v>20</v>
      </c>
      <c r="C2833">
        <v>28</v>
      </c>
      <c r="D2833" t="s">
        <v>57</v>
      </c>
      <c r="E2833" t="s">
        <v>48</v>
      </c>
      <c r="F2833" t="s">
        <v>23</v>
      </c>
      <c r="G2833" t="s">
        <v>49</v>
      </c>
      <c r="H2833" t="s">
        <v>34</v>
      </c>
      <c r="I2833" t="s">
        <v>35</v>
      </c>
      <c r="J2833" t="s">
        <v>27</v>
      </c>
      <c r="K2833">
        <v>8</v>
      </c>
      <c r="L2833">
        <v>65318</v>
      </c>
      <c r="M2833" t="s">
        <v>36</v>
      </c>
      <c r="N2833">
        <v>4</v>
      </c>
      <c r="O2833">
        <v>2</v>
      </c>
      <c r="P2833">
        <v>22</v>
      </c>
      <c r="Q2833">
        <v>3</v>
      </c>
      <c r="R2833" s="1">
        <v>42222</v>
      </c>
      <c r="S2833" t="s">
        <v>37</v>
      </c>
      <c r="T2833" t="str">
        <f t="shared" si="220"/>
        <v>Grade B</v>
      </c>
      <c r="U2833">
        <f t="shared" si="221"/>
        <v>1</v>
      </c>
      <c r="V2833" t="str">
        <f t="shared" si="222"/>
        <v>Mid Level</v>
      </c>
      <c r="W2833" t="str">
        <f t="shared" si="223"/>
        <v>Already Left</v>
      </c>
      <c r="X2833" t="str">
        <f t="shared" si="224"/>
        <v>Fair</v>
      </c>
    </row>
    <row r="2834" spans="1:24" x14ac:dyDescent="0.3">
      <c r="A2834" t="s">
        <v>2902</v>
      </c>
      <c r="B2834" t="s">
        <v>39</v>
      </c>
      <c r="C2834">
        <v>30</v>
      </c>
      <c r="D2834" t="s">
        <v>57</v>
      </c>
      <c r="E2834" t="s">
        <v>40</v>
      </c>
      <c r="F2834" t="s">
        <v>32</v>
      </c>
      <c r="G2834" t="s">
        <v>33</v>
      </c>
      <c r="H2834" t="s">
        <v>83</v>
      </c>
      <c r="I2834" t="s">
        <v>80</v>
      </c>
      <c r="J2834" t="s">
        <v>60</v>
      </c>
      <c r="K2834">
        <v>5</v>
      </c>
      <c r="L2834">
        <v>69876</v>
      </c>
      <c r="M2834" t="s">
        <v>36</v>
      </c>
      <c r="N2834">
        <v>2</v>
      </c>
      <c r="O2834">
        <v>3</v>
      </c>
      <c r="P2834">
        <v>76</v>
      </c>
      <c r="Q2834">
        <v>3</v>
      </c>
      <c r="R2834" s="1">
        <v>43140</v>
      </c>
      <c r="S2834" t="s">
        <v>29</v>
      </c>
      <c r="T2834" t="str">
        <f t="shared" si="220"/>
        <v>Grade B</v>
      </c>
      <c r="U2834">
        <f t="shared" si="221"/>
        <v>1</v>
      </c>
      <c r="V2834" t="str">
        <f t="shared" si="222"/>
        <v>Junior</v>
      </c>
      <c r="W2834" t="str">
        <f t="shared" si="223"/>
        <v>Medium Risk</v>
      </c>
      <c r="X2834" t="str">
        <f t="shared" si="224"/>
        <v>Fair</v>
      </c>
    </row>
    <row r="2835" spans="1:24" x14ac:dyDescent="0.3">
      <c r="A2835" t="s">
        <v>2903</v>
      </c>
      <c r="B2835" t="s">
        <v>39</v>
      </c>
      <c r="C2835">
        <v>41</v>
      </c>
      <c r="D2835" t="s">
        <v>31</v>
      </c>
      <c r="E2835" t="s">
        <v>48</v>
      </c>
      <c r="F2835" t="s">
        <v>53</v>
      </c>
      <c r="G2835" t="s">
        <v>63</v>
      </c>
      <c r="H2835" t="s">
        <v>34</v>
      </c>
      <c r="I2835" t="s">
        <v>50</v>
      </c>
      <c r="J2835" t="s">
        <v>44</v>
      </c>
      <c r="K2835">
        <v>2</v>
      </c>
      <c r="L2835">
        <v>44530</v>
      </c>
      <c r="M2835" t="s">
        <v>45</v>
      </c>
      <c r="N2835">
        <v>2</v>
      </c>
      <c r="O2835">
        <v>4</v>
      </c>
      <c r="P2835">
        <v>27</v>
      </c>
      <c r="Q2835">
        <v>3</v>
      </c>
      <c r="R2835" s="1">
        <v>44199</v>
      </c>
      <c r="S2835" t="s">
        <v>29</v>
      </c>
      <c r="T2835" t="str">
        <f t="shared" si="220"/>
        <v>Grade C</v>
      </c>
      <c r="U2835">
        <f t="shared" si="221"/>
        <v>2</v>
      </c>
      <c r="V2835" t="str">
        <f t="shared" si="222"/>
        <v>New Joiner</v>
      </c>
      <c r="W2835" t="str">
        <f t="shared" si="223"/>
        <v>Medium Risk</v>
      </c>
      <c r="X2835" t="str">
        <f t="shared" si="224"/>
        <v>Fair</v>
      </c>
    </row>
    <row r="2836" spans="1:24" x14ac:dyDescent="0.3">
      <c r="A2836" t="s">
        <v>2904</v>
      </c>
      <c r="B2836" t="s">
        <v>39</v>
      </c>
      <c r="C2836">
        <v>51</v>
      </c>
      <c r="D2836" t="s">
        <v>57</v>
      </c>
      <c r="E2836" t="s">
        <v>48</v>
      </c>
      <c r="F2836" t="s">
        <v>32</v>
      </c>
      <c r="G2836" t="s">
        <v>24</v>
      </c>
      <c r="H2836" t="s">
        <v>67</v>
      </c>
      <c r="I2836" t="s">
        <v>96</v>
      </c>
      <c r="J2836" t="s">
        <v>44</v>
      </c>
      <c r="K2836">
        <v>14</v>
      </c>
      <c r="L2836">
        <v>104063</v>
      </c>
      <c r="M2836" t="s">
        <v>51</v>
      </c>
      <c r="N2836">
        <v>2</v>
      </c>
      <c r="O2836">
        <v>3</v>
      </c>
      <c r="P2836">
        <v>10</v>
      </c>
      <c r="Q2836">
        <v>2</v>
      </c>
      <c r="R2836" s="1">
        <v>40133</v>
      </c>
      <c r="S2836" t="s">
        <v>29</v>
      </c>
      <c r="T2836" t="str">
        <f t="shared" si="220"/>
        <v>Grade A</v>
      </c>
      <c r="U2836">
        <f t="shared" si="221"/>
        <v>4</v>
      </c>
      <c r="V2836" t="str">
        <f t="shared" si="222"/>
        <v>Senior</v>
      </c>
      <c r="W2836" t="str">
        <f t="shared" si="223"/>
        <v>Low Risk</v>
      </c>
      <c r="X2836" t="str">
        <f t="shared" si="224"/>
        <v>Competitive</v>
      </c>
    </row>
    <row r="2837" spans="1:24" x14ac:dyDescent="0.3">
      <c r="A2837" t="s">
        <v>2905</v>
      </c>
      <c r="B2837" t="s">
        <v>39</v>
      </c>
      <c r="C2837">
        <v>41</v>
      </c>
      <c r="D2837" t="s">
        <v>57</v>
      </c>
      <c r="E2837" t="s">
        <v>40</v>
      </c>
      <c r="F2837" t="s">
        <v>78</v>
      </c>
      <c r="G2837" t="s">
        <v>33</v>
      </c>
      <c r="H2837" t="s">
        <v>25</v>
      </c>
      <c r="I2837" t="s">
        <v>26</v>
      </c>
      <c r="J2837" t="s">
        <v>27</v>
      </c>
      <c r="K2837">
        <v>15</v>
      </c>
      <c r="L2837">
        <v>93937</v>
      </c>
      <c r="M2837" t="s">
        <v>45</v>
      </c>
      <c r="N2837">
        <v>4</v>
      </c>
      <c r="O2837">
        <v>3</v>
      </c>
      <c r="P2837">
        <v>24</v>
      </c>
      <c r="Q2837">
        <v>3</v>
      </c>
      <c r="R2837" s="1">
        <v>39724</v>
      </c>
      <c r="S2837" t="s">
        <v>29</v>
      </c>
      <c r="T2837" t="str">
        <f t="shared" si="220"/>
        <v>Grade A</v>
      </c>
      <c r="U2837">
        <f t="shared" si="221"/>
        <v>2</v>
      </c>
      <c r="V2837" t="str">
        <f t="shared" si="222"/>
        <v>Senior</v>
      </c>
      <c r="W2837" t="str">
        <f t="shared" si="223"/>
        <v>Medium Risk</v>
      </c>
      <c r="X2837" t="str">
        <f t="shared" si="224"/>
        <v>Fair</v>
      </c>
    </row>
    <row r="2838" spans="1:24" x14ac:dyDescent="0.3">
      <c r="A2838" t="s">
        <v>2906</v>
      </c>
      <c r="B2838" t="s">
        <v>39</v>
      </c>
      <c r="C2838">
        <v>41</v>
      </c>
      <c r="D2838" t="s">
        <v>31</v>
      </c>
      <c r="E2838" t="s">
        <v>48</v>
      </c>
      <c r="F2838" t="s">
        <v>53</v>
      </c>
      <c r="G2838" t="s">
        <v>79</v>
      </c>
      <c r="H2838" t="s">
        <v>83</v>
      </c>
      <c r="I2838" t="s">
        <v>54</v>
      </c>
      <c r="J2838" t="s">
        <v>27</v>
      </c>
      <c r="K2838">
        <v>6</v>
      </c>
      <c r="L2838">
        <v>57118</v>
      </c>
      <c r="M2838" t="s">
        <v>36</v>
      </c>
      <c r="N2838">
        <v>4</v>
      </c>
      <c r="O2838">
        <v>1</v>
      </c>
      <c r="P2838">
        <v>51</v>
      </c>
      <c r="Q2838">
        <v>0</v>
      </c>
      <c r="R2838" s="1">
        <v>42912</v>
      </c>
      <c r="S2838" t="s">
        <v>37</v>
      </c>
      <c r="T2838" t="str">
        <f t="shared" si="220"/>
        <v>Grade B</v>
      </c>
      <c r="U2838">
        <f t="shared" si="221"/>
        <v>1</v>
      </c>
      <c r="V2838" t="str">
        <f t="shared" si="222"/>
        <v>Mid Level</v>
      </c>
      <c r="W2838" t="str">
        <f t="shared" si="223"/>
        <v>Already Left</v>
      </c>
      <c r="X2838" t="str">
        <f t="shared" si="224"/>
        <v>Fair</v>
      </c>
    </row>
    <row r="2839" spans="1:24" x14ac:dyDescent="0.3">
      <c r="A2839" t="s">
        <v>2907</v>
      </c>
      <c r="B2839" t="s">
        <v>20</v>
      </c>
      <c r="C2839">
        <v>48</v>
      </c>
      <c r="D2839" t="s">
        <v>31</v>
      </c>
      <c r="E2839" t="s">
        <v>40</v>
      </c>
      <c r="F2839" t="s">
        <v>65</v>
      </c>
      <c r="G2839" t="s">
        <v>66</v>
      </c>
      <c r="H2839" t="s">
        <v>76</v>
      </c>
      <c r="I2839" t="s">
        <v>50</v>
      </c>
      <c r="J2839" t="s">
        <v>44</v>
      </c>
      <c r="K2839">
        <v>11</v>
      </c>
      <c r="L2839">
        <v>64253</v>
      </c>
      <c r="M2839" t="s">
        <v>45</v>
      </c>
      <c r="N2839">
        <v>4</v>
      </c>
      <c r="O2839">
        <v>3</v>
      </c>
      <c r="P2839">
        <v>24</v>
      </c>
      <c r="Q2839">
        <v>1</v>
      </c>
      <c r="R2839" s="1">
        <v>41029</v>
      </c>
      <c r="S2839" t="s">
        <v>37</v>
      </c>
      <c r="T2839" t="str">
        <f t="shared" si="220"/>
        <v>Grade B</v>
      </c>
      <c r="U2839">
        <f t="shared" si="221"/>
        <v>2</v>
      </c>
      <c r="V2839" t="str">
        <f t="shared" si="222"/>
        <v>Senior</v>
      </c>
      <c r="W2839" t="str">
        <f t="shared" si="223"/>
        <v>Already Left</v>
      </c>
      <c r="X2839" t="str">
        <f t="shared" si="224"/>
        <v>Fair</v>
      </c>
    </row>
    <row r="2840" spans="1:24" x14ac:dyDescent="0.3">
      <c r="A2840" t="s">
        <v>2908</v>
      </c>
      <c r="B2840" t="s">
        <v>39</v>
      </c>
      <c r="C2840">
        <v>34</v>
      </c>
      <c r="D2840" t="s">
        <v>31</v>
      </c>
      <c r="E2840" t="s">
        <v>40</v>
      </c>
      <c r="F2840" t="s">
        <v>32</v>
      </c>
      <c r="G2840" t="s">
        <v>63</v>
      </c>
      <c r="H2840" t="s">
        <v>83</v>
      </c>
      <c r="I2840" t="s">
        <v>35</v>
      </c>
      <c r="J2840" t="s">
        <v>27</v>
      </c>
      <c r="K2840">
        <v>8</v>
      </c>
      <c r="L2840">
        <v>52522</v>
      </c>
      <c r="M2840" t="s">
        <v>28</v>
      </c>
      <c r="N2840">
        <v>3</v>
      </c>
      <c r="O2840">
        <v>2</v>
      </c>
      <c r="P2840">
        <v>26</v>
      </c>
      <c r="Q2840">
        <v>2</v>
      </c>
      <c r="R2840" s="1">
        <v>42098</v>
      </c>
      <c r="S2840" t="s">
        <v>29</v>
      </c>
      <c r="T2840" t="str">
        <f t="shared" si="220"/>
        <v>Grade B</v>
      </c>
      <c r="U2840">
        <f t="shared" si="221"/>
        <v>3</v>
      </c>
      <c r="V2840" t="str">
        <f t="shared" si="222"/>
        <v>Mid Level</v>
      </c>
      <c r="W2840" t="str">
        <f t="shared" si="223"/>
        <v>Medium Risk</v>
      </c>
      <c r="X2840" t="str">
        <f t="shared" si="224"/>
        <v>Competitive</v>
      </c>
    </row>
    <row r="2841" spans="1:24" x14ac:dyDescent="0.3">
      <c r="A2841" t="s">
        <v>2909</v>
      </c>
      <c r="B2841" t="s">
        <v>20</v>
      </c>
      <c r="C2841">
        <v>28</v>
      </c>
      <c r="D2841" t="s">
        <v>57</v>
      </c>
      <c r="E2841" t="s">
        <v>48</v>
      </c>
      <c r="F2841" t="s">
        <v>53</v>
      </c>
      <c r="G2841" t="s">
        <v>58</v>
      </c>
      <c r="H2841" t="s">
        <v>25</v>
      </c>
      <c r="I2841" t="s">
        <v>72</v>
      </c>
      <c r="J2841" t="s">
        <v>73</v>
      </c>
      <c r="K2841">
        <v>7</v>
      </c>
      <c r="L2841">
        <v>95193</v>
      </c>
      <c r="M2841" t="s">
        <v>51</v>
      </c>
      <c r="N2841">
        <v>3</v>
      </c>
      <c r="O2841">
        <v>3</v>
      </c>
      <c r="P2841">
        <v>62</v>
      </c>
      <c r="Q2841">
        <v>0</v>
      </c>
      <c r="R2841" s="1">
        <v>42610</v>
      </c>
      <c r="S2841" t="s">
        <v>29</v>
      </c>
      <c r="T2841" t="str">
        <f t="shared" si="220"/>
        <v>Grade A</v>
      </c>
      <c r="U2841">
        <f t="shared" si="221"/>
        <v>4</v>
      </c>
      <c r="V2841" t="str">
        <f t="shared" si="222"/>
        <v>Mid Level</v>
      </c>
      <c r="W2841" t="str">
        <f t="shared" si="223"/>
        <v>Low Risk</v>
      </c>
      <c r="X2841" t="str">
        <f t="shared" si="224"/>
        <v>Competitive</v>
      </c>
    </row>
    <row r="2842" spans="1:24" x14ac:dyDescent="0.3">
      <c r="A2842" t="s">
        <v>2910</v>
      </c>
      <c r="B2842" t="s">
        <v>39</v>
      </c>
      <c r="C2842">
        <v>32</v>
      </c>
      <c r="D2842" t="s">
        <v>88</v>
      </c>
      <c r="E2842" t="s">
        <v>40</v>
      </c>
      <c r="F2842" t="s">
        <v>41</v>
      </c>
      <c r="G2842" t="s">
        <v>79</v>
      </c>
      <c r="H2842" t="s">
        <v>83</v>
      </c>
      <c r="I2842" t="s">
        <v>80</v>
      </c>
      <c r="J2842" t="s">
        <v>60</v>
      </c>
      <c r="K2842">
        <v>1</v>
      </c>
      <c r="L2842">
        <v>41597</v>
      </c>
      <c r="M2842" t="s">
        <v>51</v>
      </c>
      <c r="N2842">
        <v>2</v>
      </c>
      <c r="O2842">
        <v>3</v>
      </c>
      <c r="P2842">
        <v>76</v>
      </c>
      <c r="Q2842">
        <v>2</v>
      </c>
      <c r="R2842" s="1">
        <v>44814</v>
      </c>
      <c r="S2842" t="s">
        <v>29</v>
      </c>
      <c r="T2842" t="str">
        <f t="shared" si="220"/>
        <v>Grade C</v>
      </c>
      <c r="U2842">
        <f t="shared" si="221"/>
        <v>4</v>
      </c>
      <c r="V2842" t="str">
        <f t="shared" si="222"/>
        <v>New Joiner</v>
      </c>
      <c r="W2842" t="str">
        <f t="shared" si="223"/>
        <v>Low Risk</v>
      </c>
      <c r="X2842" t="str">
        <f t="shared" si="224"/>
        <v>Fair</v>
      </c>
    </row>
    <row r="2843" spans="1:24" x14ac:dyDescent="0.3">
      <c r="A2843" t="s">
        <v>2911</v>
      </c>
      <c r="B2843" t="s">
        <v>20</v>
      </c>
      <c r="C2843">
        <v>28</v>
      </c>
      <c r="D2843" t="s">
        <v>31</v>
      </c>
      <c r="E2843" t="s">
        <v>48</v>
      </c>
      <c r="F2843" t="s">
        <v>23</v>
      </c>
      <c r="G2843" t="s">
        <v>33</v>
      </c>
      <c r="H2843" t="s">
        <v>83</v>
      </c>
      <c r="I2843" t="s">
        <v>80</v>
      </c>
      <c r="J2843" t="s">
        <v>60</v>
      </c>
      <c r="K2843">
        <v>8</v>
      </c>
      <c r="L2843">
        <v>68407</v>
      </c>
      <c r="M2843" t="s">
        <v>28</v>
      </c>
      <c r="N2843">
        <v>3</v>
      </c>
      <c r="O2843">
        <v>2</v>
      </c>
      <c r="P2843">
        <v>10</v>
      </c>
      <c r="Q2843">
        <v>0</v>
      </c>
      <c r="R2843" s="1">
        <v>42146</v>
      </c>
      <c r="S2843" t="s">
        <v>29</v>
      </c>
      <c r="T2843" t="str">
        <f t="shared" si="220"/>
        <v>Grade B</v>
      </c>
      <c r="U2843">
        <f t="shared" si="221"/>
        <v>3</v>
      </c>
      <c r="V2843" t="str">
        <f t="shared" si="222"/>
        <v>Mid Level</v>
      </c>
      <c r="W2843" t="str">
        <f t="shared" si="223"/>
        <v>Medium Risk</v>
      </c>
      <c r="X2843" t="str">
        <f t="shared" si="224"/>
        <v>Competitive</v>
      </c>
    </row>
    <row r="2844" spans="1:24" x14ac:dyDescent="0.3">
      <c r="A2844" t="s">
        <v>2912</v>
      </c>
      <c r="B2844" t="s">
        <v>39</v>
      </c>
      <c r="C2844">
        <v>23</v>
      </c>
      <c r="D2844" t="s">
        <v>88</v>
      </c>
      <c r="E2844" t="s">
        <v>40</v>
      </c>
      <c r="F2844" t="s">
        <v>62</v>
      </c>
      <c r="G2844" t="s">
        <v>42</v>
      </c>
      <c r="H2844" t="s">
        <v>25</v>
      </c>
      <c r="I2844" t="s">
        <v>96</v>
      </c>
      <c r="J2844" t="s">
        <v>44</v>
      </c>
      <c r="K2844">
        <v>10</v>
      </c>
      <c r="L2844">
        <v>105459</v>
      </c>
      <c r="M2844" t="s">
        <v>36</v>
      </c>
      <c r="N2844">
        <v>2</v>
      </c>
      <c r="O2844">
        <v>2</v>
      </c>
      <c r="P2844">
        <v>15</v>
      </c>
      <c r="Q2844">
        <v>3</v>
      </c>
      <c r="R2844" s="1">
        <v>41306</v>
      </c>
      <c r="S2844" t="s">
        <v>37</v>
      </c>
      <c r="T2844" t="str">
        <f t="shared" si="220"/>
        <v>Grade A</v>
      </c>
      <c r="U2844">
        <f t="shared" si="221"/>
        <v>1</v>
      </c>
      <c r="V2844" t="str">
        <f t="shared" si="222"/>
        <v>Mid Level</v>
      </c>
      <c r="W2844" t="str">
        <f t="shared" si="223"/>
        <v>Already Left</v>
      </c>
      <c r="X2844" t="str">
        <f t="shared" si="224"/>
        <v>Overpaid</v>
      </c>
    </row>
    <row r="2845" spans="1:24" x14ac:dyDescent="0.3">
      <c r="A2845" t="s">
        <v>2913</v>
      </c>
      <c r="B2845" t="s">
        <v>39</v>
      </c>
      <c r="C2845">
        <v>51</v>
      </c>
      <c r="D2845" t="s">
        <v>57</v>
      </c>
      <c r="E2845" t="s">
        <v>48</v>
      </c>
      <c r="F2845" t="s">
        <v>41</v>
      </c>
      <c r="G2845" t="s">
        <v>42</v>
      </c>
      <c r="H2845" t="s">
        <v>34</v>
      </c>
      <c r="I2845" t="s">
        <v>80</v>
      </c>
      <c r="J2845" t="s">
        <v>60</v>
      </c>
      <c r="K2845">
        <v>6</v>
      </c>
      <c r="L2845">
        <v>98079</v>
      </c>
      <c r="M2845" t="s">
        <v>36</v>
      </c>
      <c r="N2845">
        <v>3</v>
      </c>
      <c r="O2845">
        <v>2</v>
      </c>
      <c r="P2845">
        <v>63</v>
      </c>
      <c r="Q2845">
        <v>2</v>
      </c>
      <c r="R2845" s="1">
        <v>42813</v>
      </c>
      <c r="S2845" t="s">
        <v>29</v>
      </c>
      <c r="T2845" t="str">
        <f t="shared" si="220"/>
        <v>Grade A</v>
      </c>
      <c r="U2845">
        <f t="shared" si="221"/>
        <v>1</v>
      </c>
      <c r="V2845" t="str">
        <f t="shared" si="222"/>
        <v>Mid Level</v>
      </c>
      <c r="W2845" t="str">
        <f t="shared" si="223"/>
        <v>Medium Risk</v>
      </c>
      <c r="X2845" t="str">
        <f t="shared" si="224"/>
        <v>Overpaid</v>
      </c>
    </row>
    <row r="2846" spans="1:24" x14ac:dyDescent="0.3">
      <c r="A2846" t="s">
        <v>2914</v>
      </c>
      <c r="B2846" t="s">
        <v>20</v>
      </c>
      <c r="C2846">
        <v>48</v>
      </c>
      <c r="D2846" t="s">
        <v>47</v>
      </c>
      <c r="E2846" t="s">
        <v>48</v>
      </c>
      <c r="F2846" t="s">
        <v>78</v>
      </c>
      <c r="G2846" t="s">
        <v>24</v>
      </c>
      <c r="H2846" t="s">
        <v>67</v>
      </c>
      <c r="I2846" t="s">
        <v>35</v>
      </c>
      <c r="J2846" t="s">
        <v>27</v>
      </c>
      <c r="K2846">
        <v>15</v>
      </c>
      <c r="L2846">
        <v>102798</v>
      </c>
      <c r="M2846" t="s">
        <v>51</v>
      </c>
      <c r="N2846">
        <v>1</v>
      </c>
      <c r="O2846">
        <v>1</v>
      </c>
      <c r="P2846">
        <v>80</v>
      </c>
      <c r="Q2846">
        <v>0</v>
      </c>
      <c r="R2846" s="1">
        <v>39620</v>
      </c>
      <c r="S2846" t="s">
        <v>29</v>
      </c>
      <c r="T2846" t="str">
        <f t="shared" si="220"/>
        <v>Grade A</v>
      </c>
      <c r="U2846">
        <f t="shared" si="221"/>
        <v>4</v>
      </c>
      <c r="V2846" t="str">
        <f t="shared" si="222"/>
        <v>Senior</v>
      </c>
      <c r="W2846" t="str">
        <f t="shared" si="223"/>
        <v>Low Risk</v>
      </c>
      <c r="X2846" t="str">
        <f t="shared" si="224"/>
        <v>Competitive</v>
      </c>
    </row>
    <row r="2847" spans="1:24" x14ac:dyDescent="0.3">
      <c r="A2847" t="s">
        <v>2915</v>
      </c>
      <c r="B2847" t="s">
        <v>39</v>
      </c>
      <c r="C2847">
        <v>51</v>
      </c>
      <c r="D2847" t="s">
        <v>88</v>
      </c>
      <c r="E2847" t="s">
        <v>22</v>
      </c>
      <c r="F2847" t="s">
        <v>23</v>
      </c>
      <c r="G2847" t="s">
        <v>49</v>
      </c>
      <c r="H2847" t="s">
        <v>83</v>
      </c>
      <c r="I2847" t="s">
        <v>72</v>
      </c>
      <c r="J2847" t="s">
        <v>73</v>
      </c>
      <c r="K2847">
        <v>1</v>
      </c>
      <c r="L2847">
        <v>42001</v>
      </c>
      <c r="M2847" t="s">
        <v>51</v>
      </c>
      <c r="N2847">
        <v>4</v>
      </c>
      <c r="O2847">
        <v>4</v>
      </c>
      <c r="P2847">
        <v>30</v>
      </c>
      <c r="Q2847">
        <v>1</v>
      </c>
      <c r="R2847" s="1">
        <v>44757</v>
      </c>
      <c r="S2847" t="s">
        <v>37</v>
      </c>
      <c r="T2847" t="str">
        <f t="shared" si="220"/>
        <v>Grade C</v>
      </c>
      <c r="U2847">
        <f t="shared" si="221"/>
        <v>4</v>
      </c>
      <c r="V2847" t="str">
        <f t="shared" si="222"/>
        <v>New Joiner</v>
      </c>
      <c r="W2847" t="str">
        <f t="shared" si="223"/>
        <v>Already Left</v>
      </c>
      <c r="X2847" t="str">
        <f t="shared" si="224"/>
        <v>Fair</v>
      </c>
    </row>
    <row r="2848" spans="1:24" x14ac:dyDescent="0.3">
      <c r="A2848" t="s">
        <v>2916</v>
      </c>
      <c r="B2848" t="s">
        <v>39</v>
      </c>
      <c r="C2848">
        <v>32</v>
      </c>
      <c r="D2848" t="s">
        <v>47</v>
      </c>
      <c r="E2848" t="s">
        <v>40</v>
      </c>
      <c r="F2848" t="s">
        <v>32</v>
      </c>
      <c r="G2848" t="s">
        <v>58</v>
      </c>
      <c r="H2848" t="s">
        <v>83</v>
      </c>
      <c r="I2848" t="s">
        <v>50</v>
      </c>
      <c r="J2848" t="s">
        <v>44</v>
      </c>
      <c r="K2848">
        <v>2</v>
      </c>
      <c r="L2848">
        <v>96773</v>
      </c>
      <c r="M2848" t="s">
        <v>36</v>
      </c>
      <c r="N2848">
        <v>4</v>
      </c>
      <c r="O2848">
        <v>4</v>
      </c>
      <c r="P2848">
        <v>60</v>
      </c>
      <c r="Q2848">
        <v>1</v>
      </c>
      <c r="R2848" s="1">
        <v>44270</v>
      </c>
      <c r="S2848" t="s">
        <v>37</v>
      </c>
      <c r="T2848" t="str">
        <f t="shared" si="220"/>
        <v>Grade A</v>
      </c>
      <c r="U2848">
        <f t="shared" si="221"/>
        <v>1</v>
      </c>
      <c r="V2848" t="str">
        <f t="shared" si="222"/>
        <v>New Joiner</v>
      </c>
      <c r="W2848" t="str">
        <f t="shared" si="223"/>
        <v>Already Left</v>
      </c>
      <c r="X2848" t="str">
        <f t="shared" si="224"/>
        <v>Overpaid</v>
      </c>
    </row>
    <row r="2849" spans="1:24" x14ac:dyDescent="0.3">
      <c r="A2849" t="s">
        <v>2917</v>
      </c>
      <c r="B2849" t="s">
        <v>20</v>
      </c>
      <c r="C2849">
        <v>22</v>
      </c>
      <c r="D2849" t="s">
        <v>47</v>
      </c>
      <c r="E2849" t="s">
        <v>48</v>
      </c>
      <c r="F2849" t="s">
        <v>65</v>
      </c>
      <c r="G2849" t="s">
        <v>79</v>
      </c>
      <c r="H2849" t="s">
        <v>25</v>
      </c>
      <c r="I2849" t="s">
        <v>26</v>
      </c>
      <c r="J2849" t="s">
        <v>27</v>
      </c>
      <c r="K2849">
        <v>6</v>
      </c>
      <c r="L2849">
        <v>60954</v>
      </c>
      <c r="M2849" t="s">
        <v>51</v>
      </c>
      <c r="N2849">
        <v>2</v>
      </c>
      <c r="O2849">
        <v>2</v>
      </c>
      <c r="P2849">
        <v>49</v>
      </c>
      <c r="Q2849">
        <v>1</v>
      </c>
      <c r="R2849" s="1">
        <v>43072</v>
      </c>
      <c r="S2849" t="s">
        <v>29</v>
      </c>
      <c r="T2849" t="str">
        <f t="shared" si="220"/>
        <v>Grade B</v>
      </c>
      <c r="U2849">
        <f t="shared" si="221"/>
        <v>4</v>
      </c>
      <c r="V2849" t="str">
        <f t="shared" si="222"/>
        <v>Mid Level</v>
      </c>
      <c r="W2849" t="str">
        <f t="shared" si="223"/>
        <v>Low Risk</v>
      </c>
      <c r="X2849" t="str">
        <f t="shared" si="224"/>
        <v>Fair</v>
      </c>
    </row>
    <row r="2850" spans="1:24" x14ac:dyDescent="0.3">
      <c r="A2850" t="s">
        <v>2918</v>
      </c>
      <c r="B2850" t="s">
        <v>20</v>
      </c>
      <c r="C2850">
        <v>34</v>
      </c>
      <c r="D2850" t="s">
        <v>88</v>
      </c>
      <c r="E2850" t="s">
        <v>40</v>
      </c>
      <c r="F2850" t="s">
        <v>75</v>
      </c>
      <c r="G2850" t="s">
        <v>49</v>
      </c>
      <c r="H2850" t="s">
        <v>67</v>
      </c>
      <c r="I2850" t="s">
        <v>35</v>
      </c>
      <c r="J2850" t="s">
        <v>27</v>
      </c>
      <c r="K2850">
        <v>9</v>
      </c>
      <c r="L2850">
        <v>68038</v>
      </c>
      <c r="M2850" t="s">
        <v>45</v>
      </c>
      <c r="N2850">
        <v>4</v>
      </c>
      <c r="O2850">
        <v>3</v>
      </c>
      <c r="P2850">
        <v>51</v>
      </c>
      <c r="Q2850">
        <v>2</v>
      </c>
      <c r="R2850" s="1">
        <v>41922</v>
      </c>
      <c r="S2850" t="s">
        <v>29</v>
      </c>
      <c r="T2850" t="str">
        <f t="shared" si="220"/>
        <v>Grade B</v>
      </c>
      <c r="U2850">
        <f t="shared" si="221"/>
        <v>2</v>
      </c>
      <c r="V2850" t="str">
        <f t="shared" si="222"/>
        <v>Mid Level</v>
      </c>
      <c r="W2850" t="str">
        <f t="shared" si="223"/>
        <v>Medium Risk</v>
      </c>
      <c r="X2850" t="str">
        <f t="shared" si="224"/>
        <v>Fair</v>
      </c>
    </row>
    <row r="2851" spans="1:24" x14ac:dyDescent="0.3">
      <c r="A2851" t="s">
        <v>2919</v>
      </c>
      <c r="B2851" t="s">
        <v>20</v>
      </c>
      <c r="C2851">
        <v>51</v>
      </c>
      <c r="D2851" t="s">
        <v>47</v>
      </c>
      <c r="E2851" t="s">
        <v>40</v>
      </c>
      <c r="F2851" t="s">
        <v>41</v>
      </c>
      <c r="G2851" t="s">
        <v>49</v>
      </c>
      <c r="H2851" t="s">
        <v>83</v>
      </c>
      <c r="I2851" t="s">
        <v>54</v>
      </c>
      <c r="J2851" t="s">
        <v>27</v>
      </c>
      <c r="K2851">
        <v>13</v>
      </c>
      <c r="L2851">
        <v>73856</v>
      </c>
      <c r="M2851" t="s">
        <v>28</v>
      </c>
      <c r="N2851">
        <v>2</v>
      </c>
      <c r="O2851">
        <v>3</v>
      </c>
      <c r="P2851">
        <v>61</v>
      </c>
      <c r="Q2851">
        <v>1</v>
      </c>
      <c r="R2851" s="1">
        <v>40362</v>
      </c>
      <c r="S2851" t="s">
        <v>29</v>
      </c>
      <c r="T2851" t="str">
        <f t="shared" si="220"/>
        <v>Grade B</v>
      </c>
      <c r="U2851">
        <f t="shared" si="221"/>
        <v>3</v>
      </c>
      <c r="V2851" t="str">
        <f t="shared" si="222"/>
        <v>Senior</v>
      </c>
      <c r="W2851" t="str">
        <f t="shared" si="223"/>
        <v>Medium Risk</v>
      </c>
      <c r="X2851" t="str">
        <f t="shared" si="224"/>
        <v>Competitive</v>
      </c>
    </row>
    <row r="2852" spans="1:24" x14ac:dyDescent="0.3">
      <c r="A2852" t="s">
        <v>2920</v>
      </c>
      <c r="B2852" t="s">
        <v>20</v>
      </c>
      <c r="C2852">
        <v>45</v>
      </c>
      <c r="D2852" t="s">
        <v>47</v>
      </c>
      <c r="E2852" t="s">
        <v>22</v>
      </c>
      <c r="F2852" t="s">
        <v>41</v>
      </c>
      <c r="G2852" t="s">
        <v>58</v>
      </c>
      <c r="H2852" t="s">
        <v>76</v>
      </c>
      <c r="I2852" t="s">
        <v>35</v>
      </c>
      <c r="J2852" t="s">
        <v>27</v>
      </c>
      <c r="K2852">
        <v>11</v>
      </c>
      <c r="L2852">
        <v>108473</v>
      </c>
      <c r="M2852" t="s">
        <v>51</v>
      </c>
      <c r="N2852">
        <v>2</v>
      </c>
      <c r="O2852">
        <v>4</v>
      </c>
      <c r="P2852">
        <v>21</v>
      </c>
      <c r="Q2852">
        <v>2</v>
      </c>
      <c r="R2852" s="1">
        <v>40993</v>
      </c>
      <c r="S2852" t="s">
        <v>29</v>
      </c>
      <c r="T2852" t="str">
        <f t="shared" si="220"/>
        <v>Grade A</v>
      </c>
      <c r="U2852">
        <f t="shared" si="221"/>
        <v>4</v>
      </c>
      <c r="V2852" t="str">
        <f t="shared" si="222"/>
        <v>Senior</v>
      </c>
      <c r="W2852" t="str">
        <f t="shared" si="223"/>
        <v>Low Risk</v>
      </c>
      <c r="X2852" t="str">
        <f t="shared" si="224"/>
        <v>Competitive</v>
      </c>
    </row>
    <row r="2853" spans="1:24" x14ac:dyDescent="0.3">
      <c r="A2853" t="s">
        <v>2921</v>
      </c>
      <c r="B2853" t="s">
        <v>39</v>
      </c>
      <c r="C2853">
        <v>24</v>
      </c>
      <c r="D2853" t="s">
        <v>47</v>
      </c>
      <c r="E2853" t="s">
        <v>48</v>
      </c>
      <c r="F2853" t="s">
        <v>23</v>
      </c>
      <c r="G2853" t="s">
        <v>63</v>
      </c>
      <c r="H2853" t="s">
        <v>34</v>
      </c>
      <c r="I2853" t="s">
        <v>54</v>
      </c>
      <c r="J2853" t="s">
        <v>27</v>
      </c>
      <c r="K2853">
        <v>2</v>
      </c>
      <c r="L2853">
        <v>54335</v>
      </c>
      <c r="M2853" t="s">
        <v>45</v>
      </c>
      <c r="N2853">
        <v>1</v>
      </c>
      <c r="O2853">
        <v>3</v>
      </c>
      <c r="P2853">
        <v>52</v>
      </c>
      <c r="Q2853">
        <v>2</v>
      </c>
      <c r="R2853" s="1">
        <v>44395</v>
      </c>
      <c r="S2853" t="s">
        <v>29</v>
      </c>
      <c r="T2853" t="str">
        <f t="shared" si="220"/>
        <v>Grade B</v>
      </c>
      <c r="U2853">
        <f t="shared" si="221"/>
        <v>2</v>
      </c>
      <c r="V2853" t="str">
        <f t="shared" si="222"/>
        <v>New Joiner</v>
      </c>
      <c r="W2853" t="str">
        <f t="shared" si="223"/>
        <v>Medium Risk</v>
      </c>
      <c r="X2853" t="str">
        <f t="shared" si="224"/>
        <v>Fair</v>
      </c>
    </row>
    <row r="2854" spans="1:24" x14ac:dyDescent="0.3">
      <c r="A2854" t="s">
        <v>2922</v>
      </c>
      <c r="B2854" t="s">
        <v>20</v>
      </c>
      <c r="C2854">
        <v>52</v>
      </c>
      <c r="D2854" t="s">
        <v>31</v>
      </c>
      <c r="E2854" t="s">
        <v>40</v>
      </c>
      <c r="F2854" t="s">
        <v>41</v>
      </c>
      <c r="G2854" t="s">
        <v>24</v>
      </c>
      <c r="H2854" t="s">
        <v>83</v>
      </c>
      <c r="I2854" t="s">
        <v>35</v>
      </c>
      <c r="J2854" t="s">
        <v>27</v>
      </c>
      <c r="K2854">
        <v>8</v>
      </c>
      <c r="L2854">
        <v>97820</v>
      </c>
      <c r="M2854" t="s">
        <v>51</v>
      </c>
      <c r="N2854">
        <v>3</v>
      </c>
      <c r="O2854">
        <v>1</v>
      </c>
      <c r="P2854">
        <v>15</v>
      </c>
      <c r="Q2854">
        <v>1</v>
      </c>
      <c r="R2854" s="1">
        <v>42200</v>
      </c>
      <c r="S2854" t="s">
        <v>29</v>
      </c>
      <c r="T2854" t="str">
        <f t="shared" si="220"/>
        <v>Grade A</v>
      </c>
      <c r="U2854">
        <f t="shared" si="221"/>
        <v>4</v>
      </c>
      <c r="V2854" t="str">
        <f t="shared" si="222"/>
        <v>Mid Level</v>
      </c>
      <c r="W2854" t="str">
        <f t="shared" si="223"/>
        <v>Low Risk</v>
      </c>
      <c r="X2854" t="str">
        <f t="shared" si="224"/>
        <v>Competitive</v>
      </c>
    </row>
    <row r="2855" spans="1:24" x14ac:dyDescent="0.3">
      <c r="A2855" t="s">
        <v>2923</v>
      </c>
      <c r="B2855" t="s">
        <v>39</v>
      </c>
      <c r="C2855">
        <v>44</v>
      </c>
      <c r="D2855" t="s">
        <v>57</v>
      </c>
      <c r="E2855" t="s">
        <v>22</v>
      </c>
      <c r="F2855" t="s">
        <v>53</v>
      </c>
      <c r="G2855" t="s">
        <v>58</v>
      </c>
      <c r="H2855" t="s">
        <v>34</v>
      </c>
      <c r="I2855" t="s">
        <v>43</v>
      </c>
      <c r="J2855" t="s">
        <v>44</v>
      </c>
      <c r="K2855">
        <v>6</v>
      </c>
      <c r="L2855">
        <v>103162</v>
      </c>
      <c r="M2855" t="s">
        <v>36</v>
      </c>
      <c r="N2855">
        <v>1</v>
      </c>
      <c r="O2855">
        <v>4</v>
      </c>
      <c r="P2855">
        <v>46</v>
      </c>
      <c r="Q2855">
        <v>1</v>
      </c>
      <c r="R2855" s="1">
        <v>43074</v>
      </c>
      <c r="S2855" t="s">
        <v>37</v>
      </c>
      <c r="T2855" t="str">
        <f t="shared" si="220"/>
        <v>Grade A</v>
      </c>
      <c r="U2855">
        <f t="shared" si="221"/>
        <v>1</v>
      </c>
      <c r="V2855" t="str">
        <f t="shared" si="222"/>
        <v>Mid Level</v>
      </c>
      <c r="W2855" t="str">
        <f t="shared" si="223"/>
        <v>Already Left</v>
      </c>
      <c r="X2855" t="str">
        <f t="shared" si="224"/>
        <v>Overpaid</v>
      </c>
    </row>
    <row r="2856" spans="1:24" x14ac:dyDescent="0.3">
      <c r="A2856" t="s">
        <v>2924</v>
      </c>
      <c r="B2856" t="s">
        <v>20</v>
      </c>
      <c r="C2856">
        <v>48</v>
      </c>
      <c r="D2856" t="s">
        <v>88</v>
      </c>
      <c r="E2856" t="s">
        <v>22</v>
      </c>
      <c r="F2856" t="s">
        <v>78</v>
      </c>
      <c r="G2856" t="s">
        <v>24</v>
      </c>
      <c r="H2856" t="s">
        <v>25</v>
      </c>
      <c r="I2856" t="s">
        <v>72</v>
      </c>
      <c r="J2856" t="s">
        <v>73</v>
      </c>
      <c r="K2856">
        <v>11</v>
      </c>
      <c r="L2856">
        <v>97819</v>
      </c>
      <c r="M2856" t="s">
        <v>28</v>
      </c>
      <c r="N2856">
        <v>3</v>
      </c>
      <c r="O2856">
        <v>4</v>
      </c>
      <c r="P2856">
        <v>11</v>
      </c>
      <c r="Q2856">
        <v>0</v>
      </c>
      <c r="R2856" s="1">
        <v>40920</v>
      </c>
      <c r="S2856" t="s">
        <v>29</v>
      </c>
      <c r="T2856" t="str">
        <f t="shared" si="220"/>
        <v>Grade A</v>
      </c>
      <c r="U2856">
        <f t="shared" si="221"/>
        <v>3</v>
      </c>
      <c r="V2856" t="str">
        <f t="shared" si="222"/>
        <v>Senior</v>
      </c>
      <c r="W2856" t="str">
        <f t="shared" si="223"/>
        <v>Medium Risk</v>
      </c>
      <c r="X2856" t="str">
        <f t="shared" si="224"/>
        <v>Competitive</v>
      </c>
    </row>
    <row r="2857" spans="1:24" x14ac:dyDescent="0.3">
      <c r="A2857" t="s">
        <v>2925</v>
      </c>
      <c r="B2857" t="s">
        <v>39</v>
      </c>
      <c r="C2857">
        <v>40</v>
      </c>
      <c r="D2857" t="s">
        <v>88</v>
      </c>
      <c r="E2857" t="s">
        <v>40</v>
      </c>
      <c r="F2857" t="s">
        <v>65</v>
      </c>
      <c r="G2857" t="s">
        <v>49</v>
      </c>
      <c r="H2857" t="s">
        <v>34</v>
      </c>
      <c r="I2857" t="s">
        <v>26</v>
      </c>
      <c r="J2857" t="s">
        <v>27</v>
      </c>
      <c r="K2857">
        <v>3</v>
      </c>
      <c r="L2857">
        <v>58457</v>
      </c>
      <c r="M2857" t="s">
        <v>51</v>
      </c>
      <c r="N2857">
        <v>3</v>
      </c>
      <c r="O2857">
        <v>4</v>
      </c>
      <c r="P2857">
        <v>14</v>
      </c>
      <c r="Q2857">
        <v>0</v>
      </c>
      <c r="R2857" s="1">
        <v>44058</v>
      </c>
      <c r="S2857" t="s">
        <v>29</v>
      </c>
      <c r="T2857" t="str">
        <f t="shared" si="220"/>
        <v>Grade B</v>
      </c>
      <c r="U2857">
        <f t="shared" si="221"/>
        <v>4</v>
      </c>
      <c r="V2857" t="str">
        <f t="shared" si="222"/>
        <v>Junior</v>
      </c>
      <c r="W2857" t="str">
        <f t="shared" si="223"/>
        <v>Low Risk</v>
      </c>
      <c r="X2857" t="str">
        <f t="shared" si="224"/>
        <v>Fair</v>
      </c>
    </row>
    <row r="2858" spans="1:24" x14ac:dyDescent="0.3">
      <c r="A2858" t="s">
        <v>2926</v>
      </c>
      <c r="B2858" t="s">
        <v>20</v>
      </c>
      <c r="C2858">
        <v>49</v>
      </c>
      <c r="D2858" t="s">
        <v>21</v>
      </c>
      <c r="E2858" t="s">
        <v>40</v>
      </c>
      <c r="F2858" t="s">
        <v>65</v>
      </c>
      <c r="G2858" t="s">
        <v>33</v>
      </c>
      <c r="H2858" t="s">
        <v>83</v>
      </c>
      <c r="I2858" t="s">
        <v>68</v>
      </c>
      <c r="J2858" t="s">
        <v>60</v>
      </c>
      <c r="K2858">
        <v>7</v>
      </c>
      <c r="L2858">
        <v>68554</v>
      </c>
      <c r="M2858" t="s">
        <v>51</v>
      </c>
      <c r="N2858">
        <v>3</v>
      </c>
      <c r="O2858">
        <v>4</v>
      </c>
      <c r="P2858">
        <v>72</v>
      </c>
      <c r="Q2858">
        <v>1</v>
      </c>
      <c r="R2858" s="1">
        <v>42382</v>
      </c>
      <c r="S2858" t="s">
        <v>29</v>
      </c>
      <c r="T2858" t="str">
        <f t="shared" si="220"/>
        <v>Grade B</v>
      </c>
      <c r="U2858">
        <f t="shared" si="221"/>
        <v>4</v>
      </c>
      <c r="V2858" t="str">
        <f t="shared" si="222"/>
        <v>Mid Level</v>
      </c>
      <c r="W2858" t="str">
        <f t="shared" si="223"/>
        <v>Low Risk</v>
      </c>
      <c r="X2858" t="str">
        <f t="shared" si="224"/>
        <v>Fair</v>
      </c>
    </row>
    <row r="2859" spans="1:24" x14ac:dyDescent="0.3">
      <c r="A2859" t="s">
        <v>2927</v>
      </c>
      <c r="B2859" t="s">
        <v>39</v>
      </c>
      <c r="C2859">
        <v>43</v>
      </c>
      <c r="D2859" t="s">
        <v>57</v>
      </c>
      <c r="E2859" t="s">
        <v>22</v>
      </c>
      <c r="F2859" t="s">
        <v>78</v>
      </c>
      <c r="G2859" t="s">
        <v>63</v>
      </c>
      <c r="H2859" t="s">
        <v>76</v>
      </c>
      <c r="I2859" t="s">
        <v>80</v>
      </c>
      <c r="J2859" t="s">
        <v>60</v>
      </c>
      <c r="K2859">
        <v>8</v>
      </c>
      <c r="L2859">
        <v>58956</v>
      </c>
      <c r="M2859" t="s">
        <v>45</v>
      </c>
      <c r="N2859">
        <v>1</v>
      </c>
      <c r="O2859">
        <v>1</v>
      </c>
      <c r="P2859">
        <v>17</v>
      </c>
      <c r="Q2859">
        <v>0</v>
      </c>
      <c r="R2859" s="1">
        <v>42021</v>
      </c>
      <c r="S2859" t="s">
        <v>37</v>
      </c>
      <c r="T2859" t="str">
        <f t="shared" si="220"/>
        <v>Grade B</v>
      </c>
      <c r="U2859">
        <f t="shared" si="221"/>
        <v>2</v>
      </c>
      <c r="V2859" t="str">
        <f t="shared" si="222"/>
        <v>Mid Level</v>
      </c>
      <c r="W2859" t="str">
        <f t="shared" si="223"/>
        <v>Already Left</v>
      </c>
      <c r="X2859" t="str">
        <f t="shared" si="224"/>
        <v>Fair</v>
      </c>
    </row>
    <row r="2860" spans="1:24" x14ac:dyDescent="0.3">
      <c r="A2860" t="s">
        <v>2928</v>
      </c>
      <c r="B2860" t="s">
        <v>39</v>
      </c>
      <c r="C2860">
        <v>31</v>
      </c>
      <c r="D2860" t="s">
        <v>47</v>
      </c>
      <c r="E2860" t="s">
        <v>22</v>
      </c>
      <c r="F2860" t="s">
        <v>32</v>
      </c>
      <c r="G2860" t="s">
        <v>79</v>
      </c>
      <c r="H2860" t="s">
        <v>25</v>
      </c>
      <c r="I2860" t="s">
        <v>43</v>
      </c>
      <c r="J2860" t="s">
        <v>44</v>
      </c>
      <c r="K2860">
        <v>5</v>
      </c>
      <c r="L2860">
        <v>56544</v>
      </c>
      <c r="M2860" t="s">
        <v>36</v>
      </c>
      <c r="N2860">
        <v>1</v>
      </c>
      <c r="O2860">
        <v>3</v>
      </c>
      <c r="P2860">
        <v>71</v>
      </c>
      <c r="Q2860">
        <v>2</v>
      </c>
      <c r="R2860" s="1">
        <v>43399</v>
      </c>
      <c r="S2860" t="s">
        <v>37</v>
      </c>
      <c r="T2860" t="str">
        <f t="shared" si="220"/>
        <v>Grade B</v>
      </c>
      <c r="U2860">
        <f t="shared" si="221"/>
        <v>1</v>
      </c>
      <c r="V2860" t="str">
        <f t="shared" si="222"/>
        <v>Junior</v>
      </c>
      <c r="W2860" t="str">
        <f t="shared" si="223"/>
        <v>Already Left</v>
      </c>
      <c r="X2860" t="str">
        <f t="shared" si="224"/>
        <v>Fair</v>
      </c>
    </row>
    <row r="2861" spans="1:24" x14ac:dyDescent="0.3">
      <c r="A2861" t="s">
        <v>2929</v>
      </c>
      <c r="B2861" t="s">
        <v>20</v>
      </c>
      <c r="C2861">
        <v>45</v>
      </c>
      <c r="D2861" t="s">
        <v>31</v>
      </c>
      <c r="E2861" t="s">
        <v>48</v>
      </c>
      <c r="F2861" t="s">
        <v>32</v>
      </c>
      <c r="G2861" t="s">
        <v>24</v>
      </c>
      <c r="H2861" t="s">
        <v>67</v>
      </c>
      <c r="I2861" t="s">
        <v>96</v>
      </c>
      <c r="J2861" t="s">
        <v>44</v>
      </c>
      <c r="K2861">
        <v>9</v>
      </c>
      <c r="L2861">
        <v>99424</v>
      </c>
      <c r="M2861" t="s">
        <v>36</v>
      </c>
      <c r="N2861">
        <v>2</v>
      </c>
      <c r="O2861">
        <v>3</v>
      </c>
      <c r="P2861">
        <v>75</v>
      </c>
      <c r="Q2861">
        <v>3</v>
      </c>
      <c r="R2861" s="1">
        <v>41831</v>
      </c>
      <c r="S2861" t="s">
        <v>37</v>
      </c>
      <c r="T2861" t="str">
        <f t="shared" si="220"/>
        <v>Grade A</v>
      </c>
      <c r="U2861">
        <f t="shared" si="221"/>
        <v>1</v>
      </c>
      <c r="V2861" t="str">
        <f t="shared" si="222"/>
        <v>Mid Level</v>
      </c>
      <c r="W2861" t="str">
        <f t="shared" si="223"/>
        <v>Already Left</v>
      </c>
      <c r="X2861" t="str">
        <f t="shared" si="224"/>
        <v>Overpaid</v>
      </c>
    </row>
    <row r="2862" spans="1:24" x14ac:dyDescent="0.3">
      <c r="A2862" t="s">
        <v>2930</v>
      </c>
      <c r="B2862" t="s">
        <v>20</v>
      </c>
      <c r="C2862">
        <v>55</v>
      </c>
      <c r="D2862" t="s">
        <v>47</v>
      </c>
      <c r="E2862" t="s">
        <v>40</v>
      </c>
      <c r="F2862" t="s">
        <v>65</v>
      </c>
      <c r="G2862" t="s">
        <v>63</v>
      </c>
      <c r="H2862" t="s">
        <v>76</v>
      </c>
      <c r="I2862" t="s">
        <v>35</v>
      </c>
      <c r="J2862" t="s">
        <v>27</v>
      </c>
      <c r="K2862">
        <v>1</v>
      </c>
      <c r="L2862">
        <v>49599</v>
      </c>
      <c r="M2862" t="s">
        <v>45</v>
      </c>
      <c r="N2862">
        <v>4</v>
      </c>
      <c r="O2862">
        <v>3</v>
      </c>
      <c r="P2862">
        <v>75</v>
      </c>
      <c r="Q2862">
        <v>3</v>
      </c>
      <c r="R2862" s="1">
        <v>44671</v>
      </c>
      <c r="S2862" t="s">
        <v>29</v>
      </c>
      <c r="T2862" t="str">
        <f t="shared" si="220"/>
        <v>Grade C</v>
      </c>
      <c r="U2862">
        <f t="shared" si="221"/>
        <v>2</v>
      </c>
      <c r="V2862" t="str">
        <f t="shared" si="222"/>
        <v>New Joiner</v>
      </c>
      <c r="W2862" t="str">
        <f t="shared" si="223"/>
        <v>Medium Risk</v>
      </c>
      <c r="X2862" t="str">
        <f t="shared" si="224"/>
        <v>Fair</v>
      </c>
    </row>
    <row r="2863" spans="1:24" x14ac:dyDescent="0.3">
      <c r="A2863" t="s">
        <v>2931</v>
      </c>
      <c r="B2863" t="s">
        <v>20</v>
      </c>
      <c r="C2863">
        <v>38</v>
      </c>
      <c r="D2863" t="s">
        <v>31</v>
      </c>
      <c r="E2863" t="s">
        <v>22</v>
      </c>
      <c r="F2863" t="s">
        <v>32</v>
      </c>
      <c r="G2863" t="s">
        <v>24</v>
      </c>
      <c r="H2863" t="s">
        <v>83</v>
      </c>
      <c r="I2863" t="s">
        <v>26</v>
      </c>
      <c r="J2863" t="s">
        <v>27</v>
      </c>
      <c r="K2863">
        <v>1</v>
      </c>
      <c r="L2863">
        <v>78252</v>
      </c>
      <c r="M2863" t="s">
        <v>51</v>
      </c>
      <c r="N2863">
        <v>2</v>
      </c>
      <c r="O2863">
        <v>3</v>
      </c>
      <c r="P2863">
        <v>66</v>
      </c>
      <c r="Q2863">
        <v>2</v>
      </c>
      <c r="R2863" s="1">
        <v>44794</v>
      </c>
      <c r="S2863" t="s">
        <v>29</v>
      </c>
      <c r="T2863" t="str">
        <f t="shared" si="220"/>
        <v>Grade B</v>
      </c>
      <c r="U2863">
        <f t="shared" si="221"/>
        <v>4</v>
      </c>
      <c r="V2863" t="str">
        <f t="shared" si="222"/>
        <v>New Joiner</v>
      </c>
      <c r="W2863" t="str">
        <f t="shared" si="223"/>
        <v>Low Risk</v>
      </c>
      <c r="X2863" t="str">
        <f t="shared" si="224"/>
        <v>Fair</v>
      </c>
    </row>
    <row r="2864" spans="1:24" x14ac:dyDescent="0.3">
      <c r="A2864" t="s">
        <v>2932</v>
      </c>
      <c r="B2864" t="s">
        <v>20</v>
      </c>
      <c r="C2864">
        <v>45</v>
      </c>
      <c r="D2864" t="s">
        <v>21</v>
      </c>
      <c r="E2864" t="s">
        <v>48</v>
      </c>
      <c r="F2864" t="s">
        <v>62</v>
      </c>
      <c r="G2864" t="s">
        <v>33</v>
      </c>
      <c r="H2864" t="s">
        <v>34</v>
      </c>
      <c r="I2864" t="s">
        <v>68</v>
      </c>
      <c r="J2864" t="s">
        <v>60</v>
      </c>
      <c r="K2864">
        <v>5</v>
      </c>
      <c r="L2864">
        <v>60198</v>
      </c>
      <c r="M2864" t="s">
        <v>45</v>
      </c>
      <c r="N2864">
        <v>4</v>
      </c>
      <c r="O2864">
        <v>2</v>
      </c>
      <c r="P2864">
        <v>35</v>
      </c>
      <c r="Q2864">
        <v>3</v>
      </c>
      <c r="R2864" s="1">
        <v>43407</v>
      </c>
      <c r="S2864" t="s">
        <v>29</v>
      </c>
      <c r="T2864" t="str">
        <f t="shared" si="220"/>
        <v>Grade B</v>
      </c>
      <c r="U2864">
        <f t="shared" si="221"/>
        <v>2</v>
      </c>
      <c r="V2864" t="str">
        <f t="shared" si="222"/>
        <v>Junior</v>
      </c>
      <c r="W2864" t="str">
        <f t="shared" si="223"/>
        <v>Medium Risk</v>
      </c>
      <c r="X2864" t="str">
        <f t="shared" si="224"/>
        <v>Fair</v>
      </c>
    </row>
    <row r="2865" spans="1:24" x14ac:dyDescent="0.3">
      <c r="A2865" t="s">
        <v>2933</v>
      </c>
      <c r="B2865" t="s">
        <v>20</v>
      </c>
      <c r="C2865">
        <v>29</v>
      </c>
      <c r="D2865" t="s">
        <v>47</v>
      </c>
      <c r="E2865" t="s">
        <v>40</v>
      </c>
      <c r="F2865" t="s">
        <v>75</v>
      </c>
      <c r="G2865" t="s">
        <v>79</v>
      </c>
      <c r="H2865" t="s">
        <v>34</v>
      </c>
      <c r="I2865" t="s">
        <v>50</v>
      </c>
      <c r="J2865" t="s">
        <v>44</v>
      </c>
      <c r="K2865">
        <v>11</v>
      </c>
      <c r="L2865">
        <v>54151</v>
      </c>
      <c r="M2865" t="s">
        <v>45</v>
      </c>
      <c r="N2865">
        <v>4</v>
      </c>
      <c r="O2865">
        <v>3</v>
      </c>
      <c r="P2865">
        <v>54</v>
      </c>
      <c r="Q2865">
        <v>2</v>
      </c>
      <c r="R2865" s="1">
        <v>41224</v>
      </c>
      <c r="S2865" t="s">
        <v>29</v>
      </c>
      <c r="T2865" t="str">
        <f t="shared" si="220"/>
        <v>Grade B</v>
      </c>
      <c r="U2865">
        <f t="shared" si="221"/>
        <v>2</v>
      </c>
      <c r="V2865" t="str">
        <f t="shared" si="222"/>
        <v>Senior</v>
      </c>
      <c r="W2865" t="str">
        <f t="shared" si="223"/>
        <v>Medium Risk</v>
      </c>
      <c r="X2865" t="str">
        <f t="shared" si="224"/>
        <v>Fair</v>
      </c>
    </row>
    <row r="2866" spans="1:24" x14ac:dyDescent="0.3">
      <c r="A2866" t="s">
        <v>2934</v>
      </c>
      <c r="B2866" t="s">
        <v>39</v>
      </c>
      <c r="C2866">
        <v>40</v>
      </c>
      <c r="D2866" t="s">
        <v>21</v>
      </c>
      <c r="E2866" t="s">
        <v>40</v>
      </c>
      <c r="F2866" t="s">
        <v>62</v>
      </c>
      <c r="G2866" t="s">
        <v>79</v>
      </c>
      <c r="H2866" t="s">
        <v>67</v>
      </c>
      <c r="I2866" t="s">
        <v>54</v>
      </c>
      <c r="J2866" t="s">
        <v>27</v>
      </c>
      <c r="K2866">
        <v>10</v>
      </c>
      <c r="L2866">
        <v>56257</v>
      </c>
      <c r="M2866" t="s">
        <v>28</v>
      </c>
      <c r="N2866">
        <v>4</v>
      </c>
      <c r="O2866">
        <v>4</v>
      </c>
      <c r="P2866">
        <v>21</v>
      </c>
      <c r="Q2866">
        <v>0</v>
      </c>
      <c r="R2866" s="1">
        <v>41311</v>
      </c>
      <c r="S2866" t="s">
        <v>29</v>
      </c>
      <c r="T2866" t="str">
        <f t="shared" si="220"/>
        <v>Grade B</v>
      </c>
      <c r="U2866">
        <f t="shared" si="221"/>
        <v>3</v>
      </c>
      <c r="V2866" t="str">
        <f t="shared" si="222"/>
        <v>Mid Level</v>
      </c>
      <c r="W2866" t="str">
        <f t="shared" si="223"/>
        <v>Medium Risk</v>
      </c>
      <c r="X2866" t="str">
        <f t="shared" si="224"/>
        <v>Competitive</v>
      </c>
    </row>
    <row r="2867" spans="1:24" x14ac:dyDescent="0.3">
      <c r="A2867" t="s">
        <v>2935</v>
      </c>
      <c r="B2867" t="s">
        <v>20</v>
      </c>
      <c r="C2867">
        <v>22</v>
      </c>
      <c r="D2867" t="s">
        <v>88</v>
      </c>
      <c r="E2867" t="s">
        <v>40</v>
      </c>
      <c r="F2867" t="s">
        <v>23</v>
      </c>
      <c r="G2867" t="s">
        <v>33</v>
      </c>
      <c r="H2867" t="s">
        <v>83</v>
      </c>
      <c r="I2867" t="s">
        <v>35</v>
      </c>
      <c r="J2867" t="s">
        <v>27</v>
      </c>
      <c r="K2867">
        <v>8</v>
      </c>
      <c r="L2867">
        <v>75650</v>
      </c>
      <c r="M2867" t="s">
        <v>36</v>
      </c>
      <c r="N2867">
        <v>3</v>
      </c>
      <c r="O2867">
        <v>2</v>
      </c>
      <c r="P2867">
        <v>66</v>
      </c>
      <c r="Q2867">
        <v>0</v>
      </c>
      <c r="R2867" s="1">
        <v>42346</v>
      </c>
      <c r="S2867" t="s">
        <v>37</v>
      </c>
      <c r="T2867" t="str">
        <f t="shared" si="220"/>
        <v>Grade B</v>
      </c>
      <c r="U2867">
        <f t="shared" si="221"/>
        <v>1</v>
      </c>
      <c r="V2867" t="str">
        <f t="shared" si="222"/>
        <v>Mid Level</v>
      </c>
      <c r="W2867" t="str">
        <f t="shared" si="223"/>
        <v>Already Left</v>
      </c>
      <c r="X2867" t="str">
        <f t="shared" si="224"/>
        <v>Fair</v>
      </c>
    </row>
    <row r="2868" spans="1:24" x14ac:dyDescent="0.3">
      <c r="A2868" t="s">
        <v>2936</v>
      </c>
      <c r="B2868" t="s">
        <v>20</v>
      </c>
      <c r="C2868">
        <v>52</v>
      </c>
      <c r="D2868" t="s">
        <v>57</v>
      </c>
      <c r="E2868" t="s">
        <v>40</v>
      </c>
      <c r="F2868" t="s">
        <v>32</v>
      </c>
      <c r="G2868" t="s">
        <v>42</v>
      </c>
      <c r="H2868" t="s">
        <v>76</v>
      </c>
      <c r="I2868" t="s">
        <v>80</v>
      </c>
      <c r="J2868" t="s">
        <v>60</v>
      </c>
      <c r="K2868">
        <v>8</v>
      </c>
      <c r="L2868">
        <v>120806</v>
      </c>
      <c r="M2868" t="s">
        <v>45</v>
      </c>
      <c r="N2868">
        <v>2</v>
      </c>
      <c r="O2868">
        <v>4</v>
      </c>
      <c r="P2868">
        <v>20</v>
      </c>
      <c r="Q2868">
        <v>3</v>
      </c>
      <c r="R2868" s="1">
        <v>42047</v>
      </c>
      <c r="S2868" t="s">
        <v>29</v>
      </c>
      <c r="T2868" t="str">
        <f t="shared" si="220"/>
        <v>Grade A</v>
      </c>
      <c r="U2868">
        <f t="shared" si="221"/>
        <v>2</v>
      </c>
      <c r="V2868" t="str">
        <f t="shared" si="222"/>
        <v>Mid Level</v>
      </c>
      <c r="W2868" t="str">
        <f t="shared" si="223"/>
        <v>Medium Risk</v>
      </c>
      <c r="X2868" t="str">
        <f t="shared" si="224"/>
        <v>Fair</v>
      </c>
    </row>
    <row r="2869" spans="1:24" x14ac:dyDescent="0.3">
      <c r="A2869" t="s">
        <v>2937</v>
      </c>
      <c r="B2869" t="s">
        <v>39</v>
      </c>
      <c r="C2869">
        <v>27</v>
      </c>
      <c r="D2869" t="s">
        <v>88</v>
      </c>
      <c r="E2869" t="s">
        <v>48</v>
      </c>
      <c r="F2869" t="s">
        <v>78</v>
      </c>
      <c r="G2869" t="s">
        <v>66</v>
      </c>
      <c r="H2869" t="s">
        <v>76</v>
      </c>
      <c r="I2869" t="s">
        <v>26</v>
      </c>
      <c r="J2869" t="s">
        <v>27</v>
      </c>
      <c r="K2869">
        <v>5</v>
      </c>
      <c r="L2869">
        <v>52154</v>
      </c>
      <c r="M2869" t="s">
        <v>36</v>
      </c>
      <c r="N2869">
        <v>3</v>
      </c>
      <c r="O2869">
        <v>2</v>
      </c>
      <c r="P2869">
        <v>18</v>
      </c>
      <c r="Q2869">
        <v>3</v>
      </c>
      <c r="R2869" s="1">
        <v>43318</v>
      </c>
      <c r="S2869" t="s">
        <v>29</v>
      </c>
      <c r="T2869" t="str">
        <f t="shared" si="220"/>
        <v>Grade B</v>
      </c>
      <c r="U2869">
        <f t="shared" si="221"/>
        <v>1</v>
      </c>
      <c r="V2869" t="str">
        <f t="shared" si="222"/>
        <v>Junior</v>
      </c>
      <c r="W2869" t="str">
        <f t="shared" si="223"/>
        <v>Medium Risk</v>
      </c>
      <c r="X2869" t="str">
        <f t="shared" si="224"/>
        <v>Fair</v>
      </c>
    </row>
    <row r="2870" spans="1:24" x14ac:dyDescent="0.3">
      <c r="A2870" t="s">
        <v>2938</v>
      </c>
      <c r="B2870" t="s">
        <v>20</v>
      </c>
      <c r="C2870">
        <v>42</v>
      </c>
      <c r="D2870" t="s">
        <v>57</v>
      </c>
      <c r="E2870" t="s">
        <v>48</v>
      </c>
      <c r="F2870" t="s">
        <v>23</v>
      </c>
      <c r="G2870" t="s">
        <v>79</v>
      </c>
      <c r="H2870" t="s">
        <v>83</v>
      </c>
      <c r="I2870" t="s">
        <v>54</v>
      </c>
      <c r="J2870" t="s">
        <v>27</v>
      </c>
      <c r="K2870">
        <v>4</v>
      </c>
      <c r="L2870">
        <v>42396</v>
      </c>
      <c r="M2870" t="s">
        <v>45</v>
      </c>
      <c r="N2870">
        <v>1</v>
      </c>
      <c r="O2870">
        <v>2</v>
      </c>
      <c r="P2870">
        <v>78</v>
      </c>
      <c r="Q2870">
        <v>2</v>
      </c>
      <c r="R2870" s="1">
        <v>43822</v>
      </c>
      <c r="S2870" t="s">
        <v>29</v>
      </c>
      <c r="T2870" t="str">
        <f t="shared" si="220"/>
        <v>Grade C</v>
      </c>
      <c r="U2870">
        <f t="shared" si="221"/>
        <v>2</v>
      </c>
      <c r="V2870" t="str">
        <f t="shared" si="222"/>
        <v>Junior</v>
      </c>
      <c r="W2870" t="str">
        <f t="shared" si="223"/>
        <v>Medium Risk</v>
      </c>
      <c r="X2870" t="str">
        <f t="shared" si="224"/>
        <v>Fair</v>
      </c>
    </row>
    <row r="2871" spans="1:24" x14ac:dyDescent="0.3">
      <c r="A2871" t="s">
        <v>2939</v>
      </c>
      <c r="B2871" t="s">
        <v>39</v>
      </c>
      <c r="C2871">
        <v>48</v>
      </c>
      <c r="D2871" t="s">
        <v>88</v>
      </c>
      <c r="E2871" t="s">
        <v>22</v>
      </c>
      <c r="F2871" t="s">
        <v>65</v>
      </c>
      <c r="G2871" t="s">
        <v>66</v>
      </c>
      <c r="H2871" t="s">
        <v>34</v>
      </c>
      <c r="I2871" t="s">
        <v>72</v>
      </c>
      <c r="J2871" t="s">
        <v>73</v>
      </c>
      <c r="K2871">
        <v>7</v>
      </c>
      <c r="L2871">
        <v>51266</v>
      </c>
      <c r="M2871" t="s">
        <v>36</v>
      </c>
      <c r="N2871">
        <v>2</v>
      </c>
      <c r="O2871">
        <v>1</v>
      </c>
      <c r="P2871">
        <v>73</v>
      </c>
      <c r="Q2871">
        <v>1</v>
      </c>
      <c r="R2871" s="1">
        <v>42410</v>
      </c>
      <c r="S2871" t="s">
        <v>37</v>
      </c>
      <c r="T2871" t="str">
        <f t="shared" si="220"/>
        <v>Grade B</v>
      </c>
      <c r="U2871">
        <f t="shared" si="221"/>
        <v>1</v>
      </c>
      <c r="V2871" t="str">
        <f t="shared" si="222"/>
        <v>Mid Level</v>
      </c>
      <c r="W2871" t="str">
        <f t="shared" si="223"/>
        <v>Already Left</v>
      </c>
      <c r="X2871" t="str">
        <f t="shared" si="224"/>
        <v>Fair</v>
      </c>
    </row>
    <row r="2872" spans="1:24" x14ac:dyDescent="0.3">
      <c r="A2872" t="s">
        <v>2940</v>
      </c>
      <c r="B2872" t="s">
        <v>20</v>
      </c>
      <c r="C2872">
        <v>42</v>
      </c>
      <c r="D2872" t="s">
        <v>88</v>
      </c>
      <c r="E2872" t="s">
        <v>40</v>
      </c>
      <c r="F2872" t="s">
        <v>32</v>
      </c>
      <c r="G2872" t="s">
        <v>42</v>
      </c>
      <c r="H2872" t="s">
        <v>83</v>
      </c>
      <c r="I2872" t="s">
        <v>96</v>
      </c>
      <c r="J2872" t="s">
        <v>44</v>
      </c>
      <c r="K2872">
        <v>6</v>
      </c>
      <c r="L2872">
        <v>100575</v>
      </c>
      <c r="M2872" t="s">
        <v>28</v>
      </c>
      <c r="N2872">
        <v>2</v>
      </c>
      <c r="O2872">
        <v>2</v>
      </c>
      <c r="P2872">
        <v>32</v>
      </c>
      <c r="Q2872">
        <v>2</v>
      </c>
      <c r="R2872" s="1">
        <v>42982</v>
      </c>
      <c r="S2872" t="s">
        <v>29</v>
      </c>
      <c r="T2872" t="str">
        <f t="shared" si="220"/>
        <v>Grade A</v>
      </c>
      <c r="U2872">
        <f t="shared" si="221"/>
        <v>3</v>
      </c>
      <c r="V2872" t="str">
        <f t="shared" si="222"/>
        <v>Mid Level</v>
      </c>
      <c r="W2872" t="str">
        <f t="shared" si="223"/>
        <v>Medium Risk</v>
      </c>
      <c r="X2872" t="str">
        <f t="shared" si="224"/>
        <v>Competitive</v>
      </c>
    </row>
    <row r="2873" spans="1:24" x14ac:dyDescent="0.3">
      <c r="A2873" t="s">
        <v>2941</v>
      </c>
      <c r="B2873" t="s">
        <v>20</v>
      </c>
      <c r="C2873">
        <v>33</v>
      </c>
      <c r="D2873" t="s">
        <v>57</v>
      </c>
      <c r="E2873" t="s">
        <v>48</v>
      </c>
      <c r="F2873" t="s">
        <v>23</v>
      </c>
      <c r="G2873" t="s">
        <v>66</v>
      </c>
      <c r="H2873" t="s">
        <v>67</v>
      </c>
      <c r="I2873" t="s">
        <v>35</v>
      </c>
      <c r="J2873" t="s">
        <v>27</v>
      </c>
      <c r="K2873">
        <v>6</v>
      </c>
      <c r="L2873">
        <v>53382</v>
      </c>
      <c r="M2873" t="s">
        <v>45</v>
      </c>
      <c r="N2873">
        <v>2</v>
      </c>
      <c r="O2873">
        <v>3</v>
      </c>
      <c r="P2873">
        <v>23</v>
      </c>
      <c r="Q2873">
        <v>2</v>
      </c>
      <c r="R2873" s="1">
        <v>43050</v>
      </c>
      <c r="S2873" t="s">
        <v>37</v>
      </c>
      <c r="T2873" t="str">
        <f t="shared" si="220"/>
        <v>Grade B</v>
      </c>
      <c r="U2873">
        <f t="shared" si="221"/>
        <v>2</v>
      </c>
      <c r="V2873" t="str">
        <f t="shared" si="222"/>
        <v>Mid Level</v>
      </c>
      <c r="W2873" t="str">
        <f t="shared" si="223"/>
        <v>Already Left</v>
      </c>
      <c r="X2873" t="str">
        <f t="shared" si="224"/>
        <v>Fair</v>
      </c>
    </row>
    <row r="2874" spans="1:24" x14ac:dyDescent="0.3">
      <c r="A2874" t="s">
        <v>2942</v>
      </c>
      <c r="B2874" t="s">
        <v>39</v>
      </c>
      <c r="C2874">
        <v>51</v>
      </c>
      <c r="D2874" t="s">
        <v>31</v>
      </c>
      <c r="E2874" t="s">
        <v>40</v>
      </c>
      <c r="F2874" t="s">
        <v>53</v>
      </c>
      <c r="G2874" t="s">
        <v>24</v>
      </c>
      <c r="H2874" t="s">
        <v>34</v>
      </c>
      <c r="I2874" t="s">
        <v>54</v>
      </c>
      <c r="J2874" t="s">
        <v>27</v>
      </c>
      <c r="K2874">
        <v>4</v>
      </c>
      <c r="L2874">
        <v>89246</v>
      </c>
      <c r="M2874" t="s">
        <v>36</v>
      </c>
      <c r="N2874">
        <v>1</v>
      </c>
      <c r="O2874">
        <v>2</v>
      </c>
      <c r="P2874">
        <v>77</v>
      </c>
      <c r="Q2874">
        <v>0</v>
      </c>
      <c r="R2874" s="1">
        <v>43727</v>
      </c>
      <c r="S2874" t="s">
        <v>37</v>
      </c>
      <c r="T2874" t="str">
        <f t="shared" si="220"/>
        <v>Grade A</v>
      </c>
      <c r="U2874">
        <f t="shared" si="221"/>
        <v>1</v>
      </c>
      <c r="V2874" t="str">
        <f t="shared" si="222"/>
        <v>Junior</v>
      </c>
      <c r="W2874" t="str">
        <f t="shared" si="223"/>
        <v>Already Left</v>
      </c>
      <c r="X2874" t="str">
        <f t="shared" si="224"/>
        <v>Overpaid</v>
      </c>
    </row>
    <row r="2875" spans="1:24" x14ac:dyDescent="0.3">
      <c r="A2875" t="s">
        <v>2943</v>
      </c>
      <c r="B2875" t="s">
        <v>20</v>
      </c>
      <c r="C2875">
        <v>48</v>
      </c>
      <c r="D2875" t="s">
        <v>21</v>
      </c>
      <c r="E2875" t="s">
        <v>22</v>
      </c>
      <c r="F2875" t="s">
        <v>75</v>
      </c>
      <c r="G2875" t="s">
        <v>49</v>
      </c>
      <c r="H2875" t="s">
        <v>83</v>
      </c>
      <c r="I2875" t="s">
        <v>50</v>
      </c>
      <c r="J2875" t="s">
        <v>44</v>
      </c>
      <c r="K2875">
        <v>7</v>
      </c>
      <c r="L2875">
        <v>63723</v>
      </c>
      <c r="M2875" t="s">
        <v>36</v>
      </c>
      <c r="N2875">
        <v>4</v>
      </c>
      <c r="O2875">
        <v>2</v>
      </c>
      <c r="P2875">
        <v>41</v>
      </c>
      <c r="Q2875">
        <v>2</v>
      </c>
      <c r="R2875" s="1">
        <v>42631</v>
      </c>
      <c r="S2875" t="s">
        <v>37</v>
      </c>
      <c r="T2875" t="str">
        <f t="shared" si="220"/>
        <v>Grade B</v>
      </c>
      <c r="U2875">
        <f t="shared" si="221"/>
        <v>1</v>
      </c>
      <c r="V2875" t="str">
        <f t="shared" si="222"/>
        <v>Mid Level</v>
      </c>
      <c r="W2875" t="str">
        <f t="shared" si="223"/>
        <v>Already Left</v>
      </c>
      <c r="X2875" t="str">
        <f t="shared" si="224"/>
        <v>Fair</v>
      </c>
    </row>
    <row r="2876" spans="1:24" x14ac:dyDescent="0.3">
      <c r="A2876" t="s">
        <v>2944</v>
      </c>
      <c r="B2876" t="s">
        <v>39</v>
      </c>
      <c r="C2876">
        <v>32</v>
      </c>
      <c r="D2876" t="s">
        <v>31</v>
      </c>
      <c r="E2876" t="s">
        <v>22</v>
      </c>
      <c r="F2876" t="s">
        <v>62</v>
      </c>
      <c r="G2876" t="s">
        <v>24</v>
      </c>
      <c r="H2876" t="s">
        <v>83</v>
      </c>
      <c r="I2876" t="s">
        <v>43</v>
      </c>
      <c r="J2876" t="s">
        <v>44</v>
      </c>
      <c r="K2876">
        <v>11</v>
      </c>
      <c r="L2876">
        <v>106412</v>
      </c>
      <c r="M2876" t="s">
        <v>36</v>
      </c>
      <c r="N2876">
        <v>1</v>
      </c>
      <c r="O2876">
        <v>3</v>
      </c>
      <c r="P2876">
        <v>21</v>
      </c>
      <c r="Q2876">
        <v>2</v>
      </c>
      <c r="R2876" s="1">
        <v>41024</v>
      </c>
      <c r="S2876" t="s">
        <v>29</v>
      </c>
      <c r="T2876" t="str">
        <f t="shared" si="220"/>
        <v>Grade A</v>
      </c>
      <c r="U2876">
        <f t="shared" si="221"/>
        <v>1</v>
      </c>
      <c r="V2876" t="str">
        <f t="shared" si="222"/>
        <v>Senior</v>
      </c>
      <c r="W2876" t="str">
        <f t="shared" si="223"/>
        <v>Medium Risk</v>
      </c>
      <c r="X2876" t="str">
        <f t="shared" si="224"/>
        <v>Overpaid</v>
      </c>
    </row>
    <row r="2877" spans="1:24" x14ac:dyDescent="0.3">
      <c r="A2877" t="s">
        <v>2945</v>
      </c>
      <c r="B2877" t="s">
        <v>20</v>
      </c>
      <c r="C2877">
        <v>41</v>
      </c>
      <c r="D2877" t="s">
        <v>88</v>
      </c>
      <c r="E2877" t="s">
        <v>48</v>
      </c>
      <c r="F2877" t="s">
        <v>65</v>
      </c>
      <c r="G2877" t="s">
        <v>49</v>
      </c>
      <c r="H2877" t="s">
        <v>83</v>
      </c>
      <c r="I2877" t="s">
        <v>59</v>
      </c>
      <c r="J2877" t="s">
        <v>60</v>
      </c>
      <c r="K2877">
        <v>3</v>
      </c>
      <c r="L2877">
        <v>58495</v>
      </c>
      <c r="M2877" t="s">
        <v>36</v>
      </c>
      <c r="N2877">
        <v>2</v>
      </c>
      <c r="O2877">
        <v>4</v>
      </c>
      <c r="P2877">
        <v>16</v>
      </c>
      <c r="Q2877">
        <v>1</v>
      </c>
      <c r="R2877" s="1">
        <v>44175</v>
      </c>
      <c r="S2877" t="s">
        <v>37</v>
      </c>
      <c r="T2877" t="str">
        <f t="shared" si="220"/>
        <v>Grade B</v>
      </c>
      <c r="U2877">
        <f t="shared" si="221"/>
        <v>1</v>
      </c>
      <c r="V2877" t="str">
        <f t="shared" si="222"/>
        <v>Junior</v>
      </c>
      <c r="W2877" t="str">
        <f t="shared" si="223"/>
        <v>Already Left</v>
      </c>
      <c r="X2877" t="str">
        <f t="shared" si="224"/>
        <v>Fair</v>
      </c>
    </row>
    <row r="2878" spans="1:24" x14ac:dyDescent="0.3">
      <c r="A2878" t="s">
        <v>2946</v>
      </c>
      <c r="B2878" t="s">
        <v>39</v>
      </c>
      <c r="C2878">
        <v>24</v>
      </c>
      <c r="D2878" t="s">
        <v>57</v>
      </c>
      <c r="E2878" t="s">
        <v>22</v>
      </c>
      <c r="F2878" t="s">
        <v>65</v>
      </c>
      <c r="G2878" t="s">
        <v>24</v>
      </c>
      <c r="H2878" t="s">
        <v>25</v>
      </c>
      <c r="I2878" t="s">
        <v>59</v>
      </c>
      <c r="J2878" t="s">
        <v>60</v>
      </c>
      <c r="K2878">
        <v>3</v>
      </c>
      <c r="L2878">
        <v>79404</v>
      </c>
      <c r="M2878" t="s">
        <v>36</v>
      </c>
      <c r="N2878">
        <v>1</v>
      </c>
      <c r="O2878">
        <v>2</v>
      </c>
      <c r="P2878">
        <v>12</v>
      </c>
      <c r="Q2878">
        <v>0</v>
      </c>
      <c r="R2878" s="1">
        <v>44013</v>
      </c>
      <c r="S2878" t="s">
        <v>37</v>
      </c>
      <c r="T2878" t="str">
        <f t="shared" si="220"/>
        <v>Grade B</v>
      </c>
      <c r="U2878">
        <f t="shared" si="221"/>
        <v>1</v>
      </c>
      <c r="V2878" t="str">
        <f t="shared" si="222"/>
        <v>Junior</v>
      </c>
      <c r="W2878" t="str">
        <f t="shared" si="223"/>
        <v>Already Left</v>
      </c>
      <c r="X2878" t="str">
        <f t="shared" si="224"/>
        <v>Fair</v>
      </c>
    </row>
    <row r="2879" spans="1:24" x14ac:dyDescent="0.3">
      <c r="A2879" t="s">
        <v>2947</v>
      </c>
      <c r="B2879" t="s">
        <v>39</v>
      </c>
      <c r="C2879">
        <v>54</v>
      </c>
      <c r="D2879" t="s">
        <v>57</v>
      </c>
      <c r="E2879" t="s">
        <v>22</v>
      </c>
      <c r="F2879" t="s">
        <v>65</v>
      </c>
      <c r="G2879" t="s">
        <v>66</v>
      </c>
      <c r="H2879" t="s">
        <v>34</v>
      </c>
      <c r="I2879" t="s">
        <v>80</v>
      </c>
      <c r="J2879" t="s">
        <v>60</v>
      </c>
      <c r="K2879">
        <v>8</v>
      </c>
      <c r="L2879">
        <v>46410</v>
      </c>
      <c r="M2879" t="s">
        <v>28</v>
      </c>
      <c r="N2879">
        <v>3</v>
      </c>
      <c r="O2879">
        <v>4</v>
      </c>
      <c r="P2879">
        <v>38</v>
      </c>
      <c r="Q2879">
        <v>1</v>
      </c>
      <c r="R2879" s="1">
        <v>42235</v>
      </c>
      <c r="S2879" t="s">
        <v>29</v>
      </c>
      <c r="T2879" t="str">
        <f t="shared" si="220"/>
        <v>Grade C</v>
      </c>
      <c r="U2879">
        <f t="shared" si="221"/>
        <v>3</v>
      </c>
      <c r="V2879" t="str">
        <f t="shared" si="222"/>
        <v>Mid Level</v>
      </c>
      <c r="W2879" t="str">
        <f t="shared" si="223"/>
        <v>Medium Risk</v>
      </c>
      <c r="X2879" t="str">
        <f t="shared" si="224"/>
        <v>Fair</v>
      </c>
    </row>
    <row r="2880" spans="1:24" x14ac:dyDescent="0.3">
      <c r="A2880" t="s">
        <v>2948</v>
      </c>
      <c r="B2880" t="s">
        <v>39</v>
      </c>
      <c r="C2880">
        <v>38</v>
      </c>
      <c r="D2880" t="s">
        <v>47</v>
      </c>
      <c r="E2880" t="s">
        <v>40</v>
      </c>
      <c r="F2880" t="s">
        <v>65</v>
      </c>
      <c r="G2880" t="s">
        <v>66</v>
      </c>
      <c r="H2880" t="s">
        <v>25</v>
      </c>
      <c r="I2880" t="s">
        <v>72</v>
      </c>
      <c r="J2880" t="s">
        <v>73</v>
      </c>
      <c r="K2880">
        <v>4</v>
      </c>
      <c r="L2880">
        <v>52335</v>
      </c>
      <c r="M2880" t="s">
        <v>36</v>
      </c>
      <c r="N2880">
        <v>4</v>
      </c>
      <c r="O2880">
        <v>3</v>
      </c>
      <c r="P2880">
        <v>77</v>
      </c>
      <c r="Q2880">
        <v>3</v>
      </c>
      <c r="R2880" s="1">
        <v>43563</v>
      </c>
      <c r="S2880" t="s">
        <v>37</v>
      </c>
      <c r="T2880" t="str">
        <f t="shared" si="220"/>
        <v>Grade B</v>
      </c>
      <c r="U2880">
        <f t="shared" si="221"/>
        <v>1</v>
      </c>
      <c r="V2880" t="str">
        <f t="shared" si="222"/>
        <v>Junior</v>
      </c>
      <c r="W2880" t="str">
        <f t="shared" si="223"/>
        <v>Already Left</v>
      </c>
      <c r="X2880" t="str">
        <f t="shared" si="224"/>
        <v>Fair</v>
      </c>
    </row>
    <row r="2881" spans="1:24" x14ac:dyDescent="0.3">
      <c r="A2881" t="s">
        <v>2949</v>
      </c>
      <c r="B2881" t="s">
        <v>39</v>
      </c>
      <c r="C2881">
        <v>51</v>
      </c>
      <c r="D2881" t="s">
        <v>88</v>
      </c>
      <c r="E2881" t="s">
        <v>40</v>
      </c>
      <c r="F2881" t="s">
        <v>23</v>
      </c>
      <c r="G2881" t="s">
        <v>66</v>
      </c>
      <c r="H2881" t="s">
        <v>83</v>
      </c>
      <c r="I2881" t="s">
        <v>54</v>
      </c>
      <c r="J2881" t="s">
        <v>27</v>
      </c>
      <c r="K2881">
        <v>12</v>
      </c>
      <c r="L2881">
        <v>65001</v>
      </c>
      <c r="M2881" t="s">
        <v>45</v>
      </c>
      <c r="N2881">
        <v>2</v>
      </c>
      <c r="O2881">
        <v>4</v>
      </c>
      <c r="P2881">
        <v>59</v>
      </c>
      <c r="Q2881">
        <v>0</v>
      </c>
      <c r="R2881" s="1">
        <v>40809</v>
      </c>
      <c r="S2881" t="s">
        <v>29</v>
      </c>
      <c r="T2881" t="str">
        <f t="shared" si="220"/>
        <v>Grade B</v>
      </c>
      <c r="U2881">
        <f t="shared" si="221"/>
        <v>2</v>
      </c>
      <c r="V2881" t="str">
        <f t="shared" si="222"/>
        <v>Senior</v>
      </c>
      <c r="W2881" t="str">
        <f t="shared" si="223"/>
        <v>Medium Risk</v>
      </c>
      <c r="X2881" t="str">
        <f t="shared" si="224"/>
        <v>Fair</v>
      </c>
    </row>
    <row r="2882" spans="1:24" x14ac:dyDescent="0.3">
      <c r="A2882" t="s">
        <v>2950</v>
      </c>
      <c r="B2882" t="s">
        <v>20</v>
      </c>
      <c r="C2882">
        <v>42</v>
      </c>
      <c r="D2882" t="s">
        <v>21</v>
      </c>
      <c r="E2882" t="s">
        <v>48</v>
      </c>
      <c r="F2882" t="s">
        <v>62</v>
      </c>
      <c r="G2882" t="s">
        <v>33</v>
      </c>
      <c r="H2882" t="s">
        <v>83</v>
      </c>
      <c r="I2882" t="s">
        <v>54</v>
      </c>
      <c r="J2882" t="s">
        <v>27</v>
      </c>
      <c r="K2882">
        <v>5</v>
      </c>
      <c r="L2882">
        <v>72133</v>
      </c>
      <c r="M2882" t="s">
        <v>45</v>
      </c>
      <c r="N2882">
        <v>4</v>
      </c>
      <c r="O2882">
        <v>4</v>
      </c>
      <c r="P2882">
        <v>54</v>
      </c>
      <c r="Q2882">
        <v>2</v>
      </c>
      <c r="R2882" s="1">
        <v>43415</v>
      </c>
      <c r="S2882" t="s">
        <v>37</v>
      </c>
      <c r="T2882" t="str">
        <f t="shared" ref="T2882:T2945" si="225">IF(L2882&gt;=80000,"Grade A",IF(L2882&gt;=50000,"Grade B",IF(L2882&gt;=35000,"Grade C","Grade D")))</f>
        <v>Grade B</v>
      </c>
      <c r="U2882">
        <f t="shared" ref="U2882:U2945" si="226">IF(M2882="Excellent",4,IF(M2882="Good",3,IF(M2882="Average",2,1)))</f>
        <v>2</v>
      </c>
      <c r="V2882" t="str">
        <f t="shared" ref="V2882:V2945" si="227">IF(K2882&lt;=2,"New Joiner",IF(K2882&lt;=5,"Junior",IF(K2882&lt;=10,"Mid Level","Senior")))</f>
        <v>Junior</v>
      </c>
      <c r="W2882" t="str">
        <f t="shared" ref="W2882:W2945" si="228">IF(S2882="Yes","Already Left",IF(AND(K2882&lt;=2,M2882="Poor"),"High Risk",IF(AND(K2882&lt;=5,M2882="Average"),"Medium Risk",IF(M2882="Excellent","Low Risk","Medium Risk"))))</f>
        <v>Already Left</v>
      </c>
      <c r="X2882" t="str">
        <f t="shared" ref="X2882:X2945" si="229">IF(AND(L2882&gt;=80000,M2882="Excellent"),"Competitive",IF(AND(L2882&gt;=50000,M2882="Good"),"Competitive",IF(AND(L2882&lt;35000,M2882="Excellent"),"Underpaid",IF(AND(L2882&gt;=80000,M2882="Poor"),"Overpaid","Fair"))))</f>
        <v>Fair</v>
      </c>
    </row>
    <row r="2883" spans="1:24" x14ac:dyDescent="0.3">
      <c r="A2883" t="s">
        <v>2951</v>
      </c>
      <c r="B2883" t="s">
        <v>39</v>
      </c>
      <c r="C2883">
        <v>32</v>
      </c>
      <c r="D2883" t="s">
        <v>47</v>
      </c>
      <c r="E2883" t="s">
        <v>22</v>
      </c>
      <c r="F2883" t="s">
        <v>23</v>
      </c>
      <c r="G2883" t="s">
        <v>63</v>
      </c>
      <c r="H2883" t="s">
        <v>76</v>
      </c>
      <c r="I2883" t="s">
        <v>35</v>
      </c>
      <c r="J2883" t="s">
        <v>27</v>
      </c>
      <c r="K2883">
        <v>9</v>
      </c>
      <c r="L2883">
        <v>72357</v>
      </c>
      <c r="M2883" t="s">
        <v>45</v>
      </c>
      <c r="N2883">
        <v>3</v>
      </c>
      <c r="O2883">
        <v>2</v>
      </c>
      <c r="P2883">
        <v>15</v>
      </c>
      <c r="Q2883">
        <v>2</v>
      </c>
      <c r="R2883" s="1">
        <v>41643</v>
      </c>
      <c r="S2883" t="s">
        <v>29</v>
      </c>
      <c r="T2883" t="str">
        <f t="shared" si="225"/>
        <v>Grade B</v>
      </c>
      <c r="U2883">
        <f t="shared" si="226"/>
        <v>2</v>
      </c>
      <c r="V2883" t="str">
        <f t="shared" si="227"/>
        <v>Mid Level</v>
      </c>
      <c r="W2883" t="str">
        <f t="shared" si="228"/>
        <v>Medium Risk</v>
      </c>
      <c r="X2883" t="str">
        <f t="shared" si="229"/>
        <v>Fair</v>
      </c>
    </row>
    <row r="2884" spans="1:24" x14ac:dyDescent="0.3">
      <c r="A2884" t="s">
        <v>2952</v>
      </c>
      <c r="B2884" t="s">
        <v>20</v>
      </c>
      <c r="C2884">
        <v>28</v>
      </c>
      <c r="D2884" t="s">
        <v>47</v>
      </c>
      <c r="E2884" t="s">
        <v>48</v>
      </c>
      <c r="F2884" t="s">
        <v>23</v>
      </c>
      <c r="G2884" t="s">
        <v>79</v>
      </c>
      <c r="H2884" t="s">
        <v>83</v>
      </c>
      <c r="I2884" t="s">
        <v>59</v>
      </c>
      <c r="J2884" t="s">
        <v>60</v>
      </c>
      <c r="K2884">
        <v>4</v>
      </c>
      <c r="L2884">
        <v>56813</v>
      </c>
      <c r="M2884" t="s">
        <v>36</v>
      </c>
      <c r="N2884">
        <v>2</v>
      </c>
      <c r="O2884">
        <v>3</v>
      </c>
      <c r="P2884">
        <v>20</v>
      </c>
      <c r="Q2884">
        <v>0</v>
      </c>
      <c r="R2884" s="1">
        <v>43613</v>
      </c>
      <c r="S2884" t="s">
        <v>37</v>
      </c>
      <c r="T2884" t="str">
        <f t="shared" si="225"/>
        <v>Grade B</v>
      </c>
      <c r="U2884">
        <f t="shared" si="226"/>
        <v>1</v>
      </c>
      <c r="V2884" t="str">
        <f t="shared" si="227"/>
        <v>Junior</v>
      </c>
      <c r="W2884" t="str">
        <f t="shared" si="228"/>
        <v>Already Left</v>
      </c>
      <c r="X2884" t="str">
        <f t="shared" si="229"/>
        <v>Fair</v>
      </c>
    </row>
    <row r="2885" spans="1:24" x14ac:dyDescent="0.3">
      <c r="A2885" t="s">
        <v>2953</v>
      </c>
      <c r="B2885" t="s">
        <v>39</v>
      </c>
      <c r="C2885">
        <v>32</v>
      </c>
      <c r="D2885" t="s">
        <v>88</v>
      </c>
      <c r="E2885" t="s">
        <v>48</v>
      </c>
      <c r="F2885" t="s">
        <v>53</v>
      </c>
      <c r="G2885" t="s">
        <v>63</v>
      </c>
      <c r="H2885" t="s">
        <v>83</v>
      </c>
      <c r="I2885" t="s">
        <v>80</v>
      </c>
      <c r="J2885" t="s">
        <v>60</v>
      </c>
      <c r="K2885">
        <v>9</v>
      </c>
      <c r="L2885">
        <v>56565</v>
      </c>
      <c r="M2885" t="s">
        <v>28</v>
      </c>
      <c r="N2885">
        <v>1</v>
      </c>
      <c r="O2885">
        <v>3</v>
      </c>
      <c r="P2885">
        <v>10</v>
      </c>
      <c r="Q2885">
        <v>1</v>
      </c>
      <c r="R2885" s="1">
        <v>41934</v>
      </c>
      <c r="S2885" t="s">
        <v>29</v>
      </c>
      <c r="T2885" t="str">
        <f t="shared" si="225"/>
        <v>Grade B</v>
      </c>
      <c r="U2885">
        <f t="shared" si="226"/>
        <v>3</v>
      </c>
      <c r="V2885" t="str">
        <f t="shared" si="227"/>
        <v>Mid Level</v>
      </c>
      <c r="W2885" t="str">
        <f t="shared" si="228"/>
        <v>Medium Risk</v>
      </c>
      <c r="X2885" t="str">
        <f t="shared" si="229"/>
        <v>Competitive</v>
      </c>
    </row>
    <row r="2886" spans="1:24" x14ac:dyDescent="0.3">
      <c r="A2886" t="s">
        <v>2954</v>
      </c>
      <c r="B2886" t="s">
        <v>20</v>
      </c>
      <c r="C2886">
        <v>37</v>
      </c>
      <c r="D2886" t="s">
        <v>21</v>
      </c>
      <c r="E2886" t="s">
        <v>22</v>
      </c>
      <c r="F2886" t="s">
        <v>65</v>
      </c>
      <c r="G2886" t="s">
        <v>42</v>
      </c>
      <c r="H2886" t="s">
        <v>25</v>
      </c>
      <c r="I2886" t="s">
        <v>80</v>
      </c>
      <c r="J2886" t="s">
        <v>60</v>
      </c>
      <c r="K2886">
        <v>3</v>
      </c>
      <c r="L2886">
        <v>110484</v>
      </c>
      <c r="M2886" t="s">
        <v>28</v>
      </c>
      <c r="N2886">
        <v>2</v>
      </c>
      <c r="O2886">
        <v>2</v>
      </c>
      <c r="P2886">
        <v>17</v>
      </c>
      <c r="Q2886">
        <v>0</v>
      </c>
      <c r="R2886" s="1">
        <v>44110</v>
      </c>
      <c r="S2886" t="s">
        <v>29</v>
      </c>
      <c r="T2886" t="str">
        <f t="shared" si="225"/>
        <v>Grade A</v>
      </c>
      <c r="U2886">
        <f t="shared" si="226"/>
        <v>3</v>
      </c>
      <c r="V2886" t="str">
        <f t="shared" si="227"/>
        <v>Junior</v>
      </c>
      <c r="W2886" t="str">
        <f t="shared" si="228"/>
        <v>Medium Risk</v>
      </c>
      <c r="X2886" t="str">
        <f t="shared" si="229"/>
        <v>Competitive</v>
      </c>
    </row>
    <row r="2887" spans="1:24" x14ac:dyDescent="0.3">
      <c r="A2887" t="s">
        <v>2955</v>
      </c>
      <c r="B2887" t="s">
        <v>39</v>
      </c>
      <c r="C2887">
        <v>43</v>
      </c>
      <c r="D2887" t="s">
        <v>21</v>
      </c>
      <c r="E2887" t="s">
        <v>40</v>
      </c>
      <c r="F2887" t="s">
        <v>41</v>
      </c>
      <c r="G2887" t="s">
        <v>24</v>
      </c>
      <c r="H2887" t="s">
        <v>67</v>
      </c>
      <c r="I2887" t="s">
        <v>50</v>
      </c>
      <c r="J2887" t="s">
        <v>44</v>
      </c>
      <c r="K2887">
        <v>8</v>
      </c>
      <c r="L2887">
        <v>98844</v>
      </c>
      <c r="M2887" t="s">
        <v>28</v>
      </c>
      <c r="N2887">
        <v>4</v>
      </c>
      <c r="O2887">
        <v>1</v>
      </c>
      <c r="P2887">
        <v>39</v>
      </c>
      <c r="Q2887">
        <v>2</v>
      </c>
      <c r="R2887" s="1">
        <v>42237</v>
      </c>
      <c r="S2887" t="s">
        <v>29</v>
      </c>
      <c r="T2887" t="str">
        <f t="shared" si="225"/>
        <v>Grade A</v>
      </c>
      <c r="U2887">
        <f t="shared" si="226"/>
        <v>3</v>
      </c>
      <c r="V2887" t="str">
        <f t="shared" si="227"/>
        <v>Mid Level</v>
      </c>
      <c r="W2887" t="str">
        <f t="shared" si="228"/>
        <v>Medium Risk</v>
      </c>
      <c r="X2887" t="str">
        <f t="shared" si="229"/>
        <v>Competitive</v>
      </c>
    </row>
    <row r="2888" spans="1:24" x14ac:dyDescent="0.3">
      <c r="A2888" t="s">
        <v>2956</v>
      </c>
      <c r="B2888" t="s">
        <v>20</v>
      </c>
      <c r="C2888">
        <v>55</v>
      </c>
      <c r="D2888" t="s">
        <v>31</v>
      </c>
      <c r="E2888" t="s">
        <v>48</v>
      </c>
      <c r="F2888" t="s">
        <v>53</v>
      </c>
      <c r="G2888" t="s">
        <v>79</v>
      </c>
      <c r="H2888" t="s">
        <v>34</v>
      </c>
      <c r="I2888" t="s">
        <v>59</v>
      </c>
      <c r="J2888" t="s">
        <v>60</v>
      </c>
      <c r="K2888">
        <v>7</v>
      </c>
      <c r="L2888">
        <v>59882</v>
      </c>
      <c r="M2888" t="s">
        <v>45</v>
      </c>
      <c r="N2888">
        <v>4</v>
      </c>
      <c r="O2888">
        <v>4</v>
      </c>
      <c r="P2888">
        <v>46</v>
      </c>
      <c r="Q2888">
        <v>0</v>
      </c>
      <c r="R2888" s="1">
        <v>42643</v>
      </c>
      <c r="S2888" t="s">
        <v>29</v>
      </c>
      <c r="T2888" t="str">
        <f t="shared" si="225"/>
        <v>Grade B</v>
      </c>
      <c r="U2888">
        <f t="shared" si="226"/>
        <v>2</v>
      </c>
      <c r="V2888" t="str">
        <f t="shared" si="227"/>
        <v>Mid Level</v>
      </c>
      <c r="W2888" t="str">
        <f t="shared" si="228"/>
        <v>Medium Risk</v>
      </c>
      <c r="X2888" t="str">
        <f t="shared" si="229"/>
        <v>Fair</v>
      </c>
    </row>
    <row r="2889" spans="1:24" x14ac:dyDescent="0.3">
      <c r="A2889" t="s">
        <v>2957</v>
      </c>
      <c r="B2889" t="s">
        <v>39</v>
      </c>
      <c r="C2889">
        <v>22</v>
      </c>
      <c r="D2889" t="s">
        <v>57</v>
      </c>
      <c r="E2889" t="s">
        <v>22</v>
      </c>
      <c r="F2889" t="s">
        <v>78</v>
      </c>
      <c r="G2889" t="s">
        <v>63</v>
      </c>
      <c r="H2889" t="s">
        <v>76</v>
      </c>
      <c r="I2889" t="s">
        <v>35</v>
      </c>
      <c r="J2889" t="s">
        <v>27</v>
      </c>
      <c r="K2889">
        <v>4</v>
      </c>
      <c r="L2889">
        <v>45264</v>
      </c>
      <c r="M2889" t="s">
        <v>45</v>
      </c>
      <c r="N2889">
        <v>1</v>
      </c>
      <c r="O2889">
        <v>4</v>
      </c>
      <c r="P2889">
        <v>41</v>
      </c>
      <c r="Q2889">
        <v>1</v>
      </c>
      <c r="R2889" s="1">
        <v>43831</v>
      </c>
      <c r="S2889" t="s">
        <v>29</v>
      </c>
      <c r="T2889" t="str">
        <f t="shared" si="225"/>
        <v>Grade C</v>
      </c>
      <c r="U2889">
        <f t="shared" si="226"/>
        <v>2</v>
      </c>
      <c r="V2889" t="str">
        <f t="shared" si="227"/>
        <v>Junior</v>
      </c>
      <c r="W2889" t="str">
        <f t="shared" si="228"/>
        <v>Medium Risk</v>
      </c>
      <c r="X2889" t="str">
        <f t="shared" si="229"/>
        <v>Fair</v>
      </c>
    </row>
    <row r="2890" spans="1:24" x14ac:dyDescent="0.3">
      <c r="A2890" t="s">
        <v>2958</v>
      </c>
      <c r="B2890" t="s">
        <v>20</v>
      </c>
      <c r="C2890">
        <v>26</v>
      </c>
      <c r="D2890" t="s">
        <v>57</v>
      </c>
      <c r="E2890" t="s">
        <v>40</v>
      </c>
      <c r="F2890" t="s">
        <v>23</v>
      </c>
      <c r="G2890" t="s">
        <v>79</v>
      </c>
      <c r="H2890" t="s">
        <v>67</v>
      </c>
      <c r="I2890" t="s">
        <v>43</v>
      </c>
      <c r="J2890" t="s">
        <v>44</v>
      </c>
      <c r="K2890">
        <v>4</v>
      </c>
      <c r="L2890">
        <v>48956</v>
      </c>
      <c r="M2890" t="s">
        <v>36</v>
      </c>
      <c r="N2890">
        <v>2</v>
      </c>
      <c r="O2890">
        <v>4</v>
      </c>
      <c r="P2890">
        <v>33</v>
      </c>
      <c r="Q2890">
        <v>1</v>
      </c>
      <c r="R2890" s="1">
        <v>43749</v>
      </c>
      <c r="S2890" t="s">
        <v>37</v>
      </c>
      <c r="T2890" t="str">
        <f t="shared" si="225"/>
        <v>Grade C</v>
      </c>
      <c r="U2890">
        <f t="shared" si="226"/>
        <v>1</v>
      </c>
      <c r="V2890" t="str">
        <f t="shared" si="227"/>
        <v>Junior</v>
      </c>
      <c r="W2890" t="str">
        <f t="shared" si="228"/>
        <v>Already Left</v>
      </c>
      <c r="X2890" t="str">
        <f t="shared" si="229"/>
        <v>Fair</v>
      </c>
    </row>
    <row r="2891" spans="1:24" x14ac:dyDescent="0.3">
      <c r="A2891" t="s">
        <v>2959</v>
      </c>
      <c r="B2891" t="s">
        <v>20</v>
      </c>
      <c r="C2891">
        <v>34</v>
      </c>
      <c r="D2891" t="s">
        <v>88</v>
      </c>
      <c r="E2891" t="s">
        <v>22</v>
      </c>
      <c r="F2891" t="s">
        <v>65</v>
      </c>
      <c r="G2891" t="s">
        <v>33</v>
      </c>
      <c r="H2891" t="s">
        <v>34</v>
      </c>
      <c r="I2891" t="s">
        <v>80</v>
      </c>
      <c r="J2891" t="s">
        <v>60</v>
      </c>
      <c r="K2891">
        <v>12</v>
      </c>
      <c r="L2891">
        <v>88905</v>
      </c>
      <c r="M2891" t="s">
        <v>36</v>
      </c>
      <c r="N2891">
        <v>1</v>
      </c>
      <c r="O2891">
        <v>3</v>
      </c>
      <c r="P2891">
        <v>65</v>
      </c>
      <c r="Q2891">
        <v>1</v>
      </c>
      <c r="R2891" s="1">
        <v>40819</v>
      </c>
      <c r="S2891" t="s">
        <v>29</v>
      </c>
      <c r="T2891" t="str">
        <f t="shared" si="225"/>
        <v>Grade A</v>
      </c>
      <c r="U2891">
        <f t="shared" si="226"/>
        <v>1</v>
      </c>
      <c r="V2891" t="str">
        <f t="shared" si="227"/>
        <v>Senior</v>
      </c>
      <c r="W2891" t="str">
        <f t="shared" si="228"/>
        <v>Medium Risk</v>
      </c>
      <c r="X2891" t="str">
        <f t="shared" si="229"/>
        <v>Overpaid</v>
      </c>
    </row>
    <row r="2892" spans="1:24" x14ac:dyDescent="0.3">
      <c r="A2892" t="s">
        <v>2960</v>
      </c>
      <c r="B2892" t="s">
        <v>39</v>
      </c>
      <c r="C2892">
        <v>54</v>
      </c>
      <c r="D2892" t="s">
        <v>31</v>
      </c>
      <c r="E2892" t="s">
        <v>22</v>
      </c>
      <c r="F2892" t="s">
        <v>53</v>
      </c>
      <c r="G2892" t="s">
        <v>49</v>
      </c>
      <c r="H2892" t="s">
        <v>67</v>
      </c>
      <c r="I2892" t="s">
        <v>54</v>
      </c>
      <c r="J2892" t="s">
        <v>27</v>
      </c>
      <c r="K2892">
        <v>3</v>
      </c>
      <c r="L2892">
        <v>52448</v>
      </c>
      <c r="M2892" t="s">
        <v>28</v>
      </c>
      <c r="N2892">
        <v>2</v>
      </c>
      <c r="O2892">
        <v>2</v>
      </c>
      <c r="P2892">
        <v>53</v>
      </c>
      <c r="Q2892">
        <v>0</v>
      </c>
      <c r="R2892" s="1">
        <v>44155</v>
      </c>
      <c r="S2892" t="s">
        <v>29</v>
      </c>
      <c r="T2892" t="str">
        <f t="shared" si="225"/>
        <v>Grade B</v>
      </c>
      <c r="U2892">
        <f t="shared" si="226"/>
        <v>3</v>
      </c>
      <c r="V2892" t="str">
        <f t="shared" si="227"/>
        <v>Junior</v>
      </c>
      <c r="W2892" t="str">
        <f t="shared" si="228"/>
        <v>Medium Risk</v>
      </c>
      <c r="X2892" t="str">
        <f t="shared" si="229"/>
        <v>Competitive</v>
      </c>
    </row>
    <row r="2893" spans="1:24" x14ac:dyDescent="0.3">
      <c r="A2893" t="s">
        <v>2961</v>
      </c>
      <c r="B2893" t="s">
        <v>20</v>
      </c>
      <c r="C2893">
        <v>26</v>
      </c>
      <c r="D2893" t="s">
        <v>47</v>
      </c>
      <c r="E2893" t="s">
        <v>48</v>
      </c>
      <c r="F2893" t="s">
        <v>53</v>
      </c>
      <c r="G2893" t="s">
        <v>42</v>
      </c>
      <c r="H2893" t="s">
        <v>76</v>
      </c>
      <c r="I2893" t="s">
        <v>43</v>
      </c>
      <c r="J2893" t="s">
        <v>44</v>
      </c>
      <c r="K2893">
        <v>13</v>
      </c>
      <c r="L2893">
        <v>112388</v>
      </c>
      <c r="M2893" t="s">
        <v>51</v>
      </c>
      <c r="N2893">
        <v>3</v>
      </c>
      <c r="O2893">
        <v>2</v>
      </c>
      <c r="P2893">
        <v>33</v>
      </c>
      <c r="Q2893">
        <v>1</v>
      </c>
      <c r="R2893" s="1">
        <v>40405</v>
      </c>
      <c r="S2893" t="s">
        <v>37</v>
      </c>
      <c r="T2893" t="str">
        <f t="shared" si="225"/>
        <v>Grade A</v>
      </c>
      <c r="U2893">
        <f t="shared" si="226"/>
        <v>4</v>
      </c>
      <c r="V2893" t="str">
        <f t="shared" si="227"/>
        <v>Senior</v>
      </c>
      <c r="W2893" t="str">
        <f t="shared" si="228"/>
        <v>Already Left</v>
      </c>
      <c r="X2893" t="str">
        <f t="shared" si="229"/>
        <v>Competitive</v>
      </c>
    </row>
    <row r="2894" spans="1:24" x14ac:dyDescent="0.3">
      <c r="A2894" t="s">
        <v>2962</v>
      </c>
      <c r="B2894" t="s">
        <v>39</v>
      </c>
      <c r="C2894">
        <v>44</v>
      </c>
      <c r="D2894" t="s">
        <v>21</v>
      </c>
      <c r="E2894" t="s">
        <v>48</v>
      </c>
      <c r="F2894" t="s">
        <v>65</v>
      </c>
      <c r="G2894" t="s">
        <v>58</v>
      </c>
      <c r="H2894" t="s">
        <v>76</v>
      </c>
      <c r="I2894" t="s">
        <v>80</v>
      </c>
      <c r="J2894" t="s">
        <v>60</v>
      </c>
      <c r="K2894">
        <v>11</v>
      </c>
      <c r="L2894">
        <v>114118</v>
      </c>
      <c r="M2894" t="s">
        <v>36</v>
      </c>
      <c r="N2894">
        <v>4</v>
      </c>
      <c r="O2894">
        <v>2</v>
      </c>
      <c r="P2894">
        <v>34</v>
      </c>
      <c r="Q2894">
        <v>1</v>
      </c>
      <c r="R2894" s="1">
        <v>40983</v>
      </c>
      <c r="S2894" t="s">
        <v>37</v>
      </c>
      <c r="T2894" t="str">
        <f t="shared" si="225"/>
        <v>Grade A</v>
      </c>
      <c r="U2894">
        <f t="shared" si="226"/>
        <v>1</v>
      </c>
      <c r="V2894" t="str">
        <f t="shared" si="227"/>
        <v>Senior</v>
      </c>
      <c r="W2894" t="str">
        <f t="shared" si="228"/>
        <v>Already Left</v>
      </c>
      <c r="X2894" t="str">
        <f t="shared" si="229"/>
        <v>Overpaid</v>
      </c>
    </row>
    <row r="2895" spans="1:24" x14ac:dyDescent="0.3">
      <c r="A2895" t="s">
        <v>2963</v>
      </c>
      <c r="B2895" t="s">
        <v>39</v>
      </c>
      <c r="C2895">
        <v>55</v>
      </c>
      <c r="D2895" t="s">
        <v>57</v>
      </c>
      <c r="E2895" t="s">
        <v>40</v>
      </c>
      <c r="F2895" t="s">
        <v>62</v>
      </c>
      <c r="G2895" t="s">
        <v>49</v>
      </c>
      <c r="H2895" t="s">
        <v>83</v>
      </c>
      <c r="I2895" t="s">
        <v>96</v>
      </c>
      <c r="J2895" t="s">
        <v>44</v>
      </c>
      <c r="K2895">
        <v>15</v>
      </c>
      <c r="L2895">
        <v>81206</v>
      </c>
      <c r="M2895" t="s">
        <v>45</v>
      </c>
      <c r="N2895">
        <v>3</v>
      </c>
      <c r="O2895">
        <v>1</v>
      </c>
      <c r="P2895">
        <v>12</v>
      </c>
      <c r="Q2895">
        <v>2</v>
      </c>
      <c r="R2895" s="1">
        <v>39698</v>
      </c>
      <c r="S2895" t="s">
        <v>29</v>
      </c>
      <c r="T2895" t="str">
        <f t="shared" si="225"/>
        <v>Grade A</v>
      </c>
      <c r="U2895">
        <f t="shared" si="226"/>
        <v>2</v>
      </c>
      <c r="V2895" t="str">
        <f t="shared" si="227"/>
        <v>Senior</v>
      </c>
      <c r="W2895" t="str">
        <f t="shared" si="228"/>
        <v>Medium Risk</v>
      </c>
      <c r="X2895" t="str">
        <f t="shared" si="229"/>
        <v>Fair</v>
      </c>
    </row>
    <row r="2896" spans="1:24" x14ac:dyDescent="0.3">
      <c r="A2896" t="s">
        <v>2964</v>
      </c>
      <c r="B2896" t="s">
        <v>39</v>
      </c>
      <c r="C2896">
        <v>54</v>
      </c>
      <c r="D2896" t="s">
        <v>47</v>
      </c>
      <c r="E2896" t="s">
        <v>48</v>
      </c>
      <c r="F2896" t="s">
        <v>23</v>
      </c>
      <c r="G2896" t="s">
        <v>33</v>
      </c>
      <c r="H2896" t="s">
        <v>34</v>
      </c>
      <c r="I2896" t="s">
        <v>59</v>
      </c>
      <c r="J2896" t="s">
        <v>60</v>
      </c>
      <c r="K2896">
        <v>6</v>
      </c>
      <c r="L2896">
        <v>73842</v>
      </c>
      <c r="M2896" t="s">
        <v>45</v>
      </c>
      <c r="N2896">
        <v>4</v>
      </c>
      <c r="O2896">
        <v>2</v>
      </c>
      <c r="P2896">
        <v>38</v>
      </c>
      <c r="Q2896">
        <v>1</v>
      </c>
      <c r="R2896" s="1">
        <v>42926</v>
      </c>
      <c r="S2896" t="s">
        <v>29</v>
      </c>
      <c r="T2896" t="str">
        <f t="shared" si="225"/>
        <v>Grade B</v>
      </c>
      <c r="U2896">
        <f t="shared" si="226"/>
        <v>2</v>
      </c>
      <c r="V2896" t="str">
        <f t="shared" si="227"/>
        <v>Mid Level</v>
      </c>
      <c r="W2896" t="str">
        <f t="shared" si="228"/>
        <v>Medium Risk</v>
      </c>
      <c r="X2896" t="str">
        <f t="shared" si="229"/>
        <v>Fair</v>
      </c>
    </row>
    <row r="2897" spans="1:24" x14ac:dyDescent="0.3">
      <c r="A2897" t="s">
        <v>2965</v>
      </c>
      <c r="B2897" t="s">
        <v>20</v>
      </c>
      <c r="C2897">
        <v>54</v>
      </c>
      <c r="D2897" t="s">
        <v>31</v>
      </c>
      <c r="E2897" t="s">
        <v>48</v>
      </c>
      <c r="F2897" t="s">
        <v>23</v>
      </c>
      <c r="G2897" t="s">
        <v>63</v>
      </c>
      <c r="H2897" t="s">
        <v>83</v>
      </c>
      <c r="I2897" t="s">
        <v>59</v>
      </c>
      <c r="J2897" t="s">
        <v>60</v>
      </c>
      <c r="K2897">
        <v>1</v>
      </c>
      <c r="L2897">
        <v>39295</v>
      </c>
      <c r="M2897" t="s">
        <v>36</v>
      </c>
      <c r="N2897">
        <v>4</v>
      </c>
      <c r="O2897">
        <v>3</v>
      </c>
      <c r="P2897">
        <v>69</v>
      </c>
      <c r="Q2897">
        <v>2</v>
      </c>
      <c r="R2897" s="1">
        <v>44619</v>
      </c>
      <c r="S2897" t="s">
        <v>37</v>
      </c>
      <c r="T2897" t="str">
        <f t="shared" si="225"/>
        <v>Grade C</v>
      </c>
      <c r="U2897">
        <f t="shared" si="226"/>
        <v>1</v>
      </c>
      <c r="V2897" t="str">
        <f t="shared" si="227"/>
        <v>New Joiner</v>
      </c>
      <c r="W2897" t="str">
        <f t="shared" si="228"/>
        <v>Already Left</v>
      </c>
      <c r="X2897" t="str">
        <f t="shared" si="229"/>
        <v>Fair</v>
      </c>
    </row>
    <row r="2898" spans="1:24" x14ac:dyDescent="0.3">
      <c r="A2898" t="s">
        <v>2966</v>
      </c>
      <c r="B2898" t="s">
        <v>20</v>
      </c>
      <c r="C2898">
        <v>30</v>
      </c>
      <c r="D2898" t="s">
        <v>47</v>
      </c>
      <c r="E2898" t="s">
        <v>48</v>
      </c>
      <c r="F2898" t="s">
        <v>41</v>
      </c>
      <c r="G2898" t="s">
        <v>66</v>
      </c>
      <c r="H2898" t="s">
        <v>25</v>
      </c>
      <c r="I2898" t="s">
        <v>68</v>
      </c>
      <c r="J2898" t="s">
        <v>60</v>
      </c>
      <c r="K2898">
        <v>12</v>
      </c>
      <c r="L2898">
        <v>61478</v>
      </c>
      <c r="M2898" t="s">
        <v>28</v>
      </c>
      <c r="N2898">
        <v>1</v>
      </c>
      <c r="O2898">
        <v>2</v>
      </c>
      <c r="P2898">
        <v>52</v>
      </c>
      <c r="Q2898">
        <v>1</v>
      </c>
      <c r="R2898" s="1">
        <v>40891</v>
      </c>
      <c r="S2898" t="s">
        <v>29</v>
      </c>
      <c r="T2898" t="str">
        <f t="shared" si="225"/>
        <v>Grade B</v>
      </c>
      <c r="U2898">
        <f t="shared" si="226"/>
        <v>3</v>
      </c>
      <c r="V2898" t="str">
        <f t="shared" si="227"/>
        <v>Senior</v>
      </c>
      <c r="W2898" t="str">
        <f t="shared" si="228"/>
        <v>Medium Risk</v>
      </c>
      <c r="X2898" t="str">
        <f t="shared" si="229"/>
        <v>Competitive</v>
      </c>
    </row>
    <row r="2899" spans="1:24" x14ac:dyDescent="0.3">
      <c r="A2899" t="s">
        <v>2967</v>
      </c>
      <c r="B2899" t="s">
        <v>39</v>
      </c>
      <c r="C2899">
        <v>41</v>
      </c>
      <c r="D2899" t="s">
        <v>21</v>
      </c>
      <c r="E2899" t="s">
        <v>22</v>
      </c>
      <c r="F2899" t="s">
        <v>62</v>
      </c>
      <c r="G2899" t="s">
        <v>58</v>
      </c>
      <c r="H2899" t="s">
        <v>83</v>
      </c>
      <c r="I2899" t="s">
        <v>72</v>
      </c>
      <c r="J2899" t="s">
        <v>73</v>
      </c>
      <c r="K2899">
        <v>12</v>
      </c>
      <c r="L2899">
        <v>111057</v>
      </c>
      <c r="M2899" t="s">
        <v>51</v>
      </c>
      <c r="N2899">
        <v>4</v>
      </c>
      <c r="O2899">
        <v>4</v>
      </c>
      <c r="P2899">
        <v>67</v>
      </c>
      <c r="Q2899">
        <v>3</v>
      </c>
      <c r="R2899" s="1">
        <v>40702</v>
      </c>
      <c r="S2899" t="s">
        <v>29</v>
      </c>
      <c r="T2899" t="str">
        <f t="shared" si="225"/>
        <v>Grade A</v>
      </c>
      <c r="U2899">
        <f t="shared" si="226"/>
        <v>4</v>
      </c>
      <c r="V2899" t="str">
        <f t="shared" si="227"/>
        <v>Senior</v>
      </c>
      <c r="W2899" t="str">
        <f t="shared" si="228"/>
        <v>Low Risk</v>
      </c>
      <c r="X2899" t="str">
        <f t="shared" si="229"/>
        <v>Competitive</v>
      </c>
    </row>
    <row r="2900" spans="1:24" x14ac:dyDescent="0.3">
      <c r="A2900" t="s">
        <v>2968</v>
      </c>
      <c r="B2900" t="s">
        <v>20</v>
      </c>
      <c r="C2900">
        <v>24</v>
      </c>
      <c r="D2900" t="s">
        <v>47</v>
      </c>
      <c r="E2900" t="s">
        <v>22</v>
      </c>
      <c r="F2900" t="s">
        <v>23</v>
      </c>
      <c r="G2900" t="s">
        <v>66</v>
      </c>
      <c r="H2900" t="s">
        <v>34</v>
      </c>
      <c r="I2900" t="s">
        <v>35</v>
      </c>
      <c r="J2900" t="s">
        <v>27</v>
      </c>
      <c r="K2900">
        <v>1</v>
      </c>
      <c r="L2900">
        <v>45626</v>
      </c>
      <c r="M2900" t="s">
        <v>45</v>
      </c>
      <c r="N2900">
        <v>4</v>
      </c>
      <c r="O2900">
        <v>3</v>
      </c>
      <c r="P2900">
        <v>31</v>
      </c>
      <c r="Q2900">
        <v>2</v>
      </c>
      <c r="R2900" s="1">
        <v>44773</v>
      </c>
      <c r="S2900" t="s">
        <v>29</v>
      </c>
      <c r="T2900" t="str">
        <f t="shared" si="225"/>
        <v>Grade C</v>
      </c>
      <c r="U2900">
        <f t="shared" si="226"/>
        <v>2</v>
      </c>
      <c r="V2900" t="str">
        <f t="shared" si="227"/>
        <v>New Joiner</v>
      </c>
      <c r="W2900" t="str">
        <f t="shared" si="228"/>
        <v>Medium Risk</v>
      </c>
      <c r="X2900" t="str">
        <f t="shared" si="229"/>
        <v>Fair</v>
      </c>
    </row>
    <row r="2901" spans="1:24" x14ac:dyDescent="0.3">
      <c r="A2901" t="s">
        <v>2969</v>
      </c>
      <c r="B2901" t="s">
        <v>20</v>
      </c>
      <c r="C2901">
        <v>26</v>
      </c>
      <c r="D2901" t="s">
        <v>31</v>
      </c>
      <c r="E2901" t="s">
        <v>22</v>
      </c>
      <c r="F2901" t="s">
        <v>32</v>
      </c>
      <c r="G2901" t="s">
        <v>66</v>
      </c>
      <c r="H2901" t="s">
        <v>67</v>
      </c>
      <c r="I2901" t="s">
        <v>72</v>
      </c>
      <c r="J2901" t="s">
        <v>73</v>
      </c>
      <c r="K2901">
        <v>7</v>
      </c>
      <c r="L2901">
        <v>47868</v>
      </c>
      <c r="M2901" t="s">
        <v>51</v>
      </c>
      <c r="N2901">
        <v>3</v>
      </c>
      <c r="O2901">
        <v>1</v>
      </c>
      <c r="P2901">
        <v>36</v>
      </c>
      <c r="Q2901">
        <v>3</v>
      </c>
      <c r="R2901" s="1">
        <v>42666</v>
      </c>
      <c r="S2901" t="s">
        <v>29</v>
      </c>
      <c r="T2901" t="str">
        <f t="shared" si="225"/>
        <v>Grade C</v>
      </c>
      <c r="U2901">
        <f t="shared" si="226"/>
        <v>4</v>
      </c>
      <c r="V2901" t="str">
        <f t="shared" si="227"/>
        <v>Mid Level</v>
      </c>
      <c r="W2901" t="str">
        <f t="shared" si="228"/>
        <v>Low Risk</v>
      </c>
      <c r="X2901" t="str">
        <f t="shared" si="229"/>
        <v>Fair</v>
      </c>
    </row>
    <row r="2902" spans="1:24" x14ac:dyDescent="0.3">
      <c r="A2902" t="s">
        <v>2970</v>
      </c>
      <c r="B2902" t="s">
        <v>20</v>
      </c>
      <c r="C2902">
        <v>48</v>
      </c>
      <c r="D2902" t="s">
        <v>88</v>
      </c>
      <c r="E2902" t="s">
        <v>22</v>
      </c>
      <c r="F2902" t="s">
        <v>65</v>
      </c>
      <c r="G2902" t="s">
        <v>79</v>
      </c>
      <c r="H2902" t="s">
        <v>67</v>
      </c>
      <c r="I2902" t="s">
        <v>26</v>
      </c>
      <c r="J2902" t="s">
        <v>27</v>
      </c>
      <c r="K2902">
        <v>4</v>
      </c>
      <c r="L2902">
        <v>39409</v>
      </c>
      <c r="M2902" t="s">
        <v>45</v>
      </c>
      <c r="N2902">
        <v>1</v>
      </c>
      <c r="O2902">
        <v>3</v>
      </c>
      <c r="P2902">
        <v>40</v>
      </c>
      <c r="Q2902">
        <v>0</v>
      </c>
      <c r="R2902" s="1">
        <v>43799</v>
      </c>
      <c r="S2902" t="s">
        <v>29</v>
      </c>
      <c r="T2902" t="str">
        <f t="shared" si="225"/>
        <v>Grade C</v>
      </c>
      <c r="U2902">
        <f t="shared" si="226"/>
        <v>2</v>
      </c>
      <c r="V2902" t="str">
        <f t="shared" si="227"/>
        <v>Junior</v>
      </c>
      <c r="W2902" t="str">
        <f t="shared" si="228"/>
        <v>Medium Risk</v>
      </c>
      <c r="X2902" t="str">
        <f t="shared" si="229"/>
        <v>Fair</v>
      </c>
    </row>
    <row r="2903" spans="1:24" x14ac:dyDescent="0.3">
      <c r="A2903" t="s">
        <v>2971</v>
      </c>
      <c r="B2903" t="s">
        <v>20</v>
      </c>
      <c r="C2903">
        <v>50</v>
      </c>
      <c r="D2903" t="s">
        <v>88</v>
      </c>
      <c r="E2903" t="s">
        <v>48</v>
      </c>
      <c r="F2903" t="s">
        <v>53</v>
      </c>
      <c r="G2903" t="s">
        <v>63</v>
      </c>
      <c r="H2903" t="s">
        <v>25</v>
      </c>
      <c r="I2903" t="s">
        <v>68</v>
      </c>
      <c r="J2903" t="s">
        <v>60</v>
      </c>
      <c r="K2903">
        <v>12</v>
      </c>
      <c r="L2903">
        <v>68032</v>
      </c>
      <c r="M2903" t="s">
        <v>28</v>
      </c>
      <c r="N2903">
        <v>1</v>
      </c>
      <c r="O2903">
        <v>4</v>
      </c>
      <c r="P2903">
        <v>66</v>
      </c>
      <c r="Q2903">
        <v>3</v>
      </c>
      <c r="R2903" s="1">
        <v>40685</v>
      </c>
      <c r="S2903" t="s">
        <v>29</v>
      </c>
      <c r="T2903" t="str">
        <f t="shared" si="225"/>
        <v>Grade B</v>
      </c>
      <c r="U2903">
        <f t="shared" si="226"/>
        <v>3</v>
      </c>
      <c r="V2903" t="str">
        <f t="shared" si="227"/>
        <v>Senior</v>
      </c>
      <c r="W2903" t="str">
        <f t="shared" si="228"/>
        <v>Medium Risk</v>
      </c>
      <c r="X2903" t="str">
        <f t="shared" si="229"/>
        <v>Competitive</v>
      </c>
    </row>
    <row r="2904" spans="1:24" x14ac:dyDescent="0.3">
      <c r="A2904" t="s">
        <v>2972</v>
      </c>
      <c r="B2904" t="s">
        <v>20</v>
      </c>
      <c r="C2904">
        <v>55</v>
      </c>
      <c r="D2904" t="s">
        <v>21</v>
      </c>
      <c r="E2904" t="s">
        <v>40</v>
      </c>
      <c r="F2904" t="s">
        <v>62</v>
      </c>
      <c r="G2904" t="s">
        <v>49</v>
      </c>
      <c r="H2904" t="s">
        <v>67</v>
      </c>
      <c r="I2904" t="s">
        <v>80</v>
      </c>
      <c r="J2904" t="s">
        <v>60</v>
      </c>
      <c r="K2904">
        <v>11</v>
      </c>
      <c r="L2904">
        <v>63212</v>
      </c>
      <c r="M2904" t="s">
        <v>36</v>
      </c>
      <c r="N2904">
        <v>1</v>
      </c>
      <c r="O2904">
        <v>1</v>
      </c>
      <c r="P2904">
        <v>14</v>
      </c>
      <c r="Q2904">
        <v>0</v>
      </c>
      <c r="R2904" s="1">
        <v>41262</v>
      </c>
      <c r="S2904" t="s">
        <v>29</v>
      </c>
      <c r="T2904" t="str">
        <f t="shared" si="225"/>
        <v>Grade B</v>
      </c>
      <c r="U2904">
        <f t="shared" si="226"/>
        <v>1</v>
      </c>
      <c r="V2904" t="str">
        <f t="shared" si="227"/>
        <v>Senior</v>
      </c>
      <c r="W2904" t="str">
        <f t="shared" si="228"/>
        <v>Medium Risk</v>
      </c>
      <c r="X2904" t="str">
        <f t="shared" si="229"/>
        <v>Fair</v>
      </c>
    </row>
    <row r="2905" spans="1:24" x14ac:dyDescent="0.3">
      <c r="A2905" t="s">
        <v>2973</v>
      </c>
      <c r="B2905" t="s">
        <v>39</v>
      </c>
      <c r="C2905">
        <v>29</v>
      </c>
      <c r="D2905" t="s">
        <v>88</v>
      </c>
      <c r="E2905" t="s">
        <v>48</v>
      </c>
      <c r="F2905" t="s">
        <v>62</v>
      </c>
      <c r="G2905" t="s">
        <v>63</v>
      </c>
      <c r="H2905" t="s">
        <v>25</v>
      </c>
      <c r="I2905" t="s">
        <v>68</v>
      </c>
      <c r="J2905" t="s">
        <v>60</v>
      </c>
      <c r="K2905">
        <v>6</v>
      </c>
      <c r="L2905">
        <v>66857</v>
      </c>
      <c r="M2905" t="s">
        <v>51</v>
      </c>
      <c r="N2905">
        <v>3</v>
      </c>
      <c r="O2905">
        <v>1</v>
      </c>
      <c r="P2905">
        <v>13</v>
      </c>
      <c r="Q2905">
        <v>2</v>
      </c>
      <c r="R2905" s="1">
        <v>43037</v>
      </c>
      <c r="S2905" t="s">
        <v>29</v>
      </c>
      <c r="T2905" t="str">
        <f t="shared" si="225"/>
        <v>Grade B</v>
      </c>
      <c r="U2905">
        <f t="shared" si="226"/>
        <v>4</v>
      </c>
      <c r="V2905" t="str">
        <f t="shared" si="227"/>
        <v>Mid Level</v>
      </c>
      <c r="W2905" t="str">
        <f t="shared" si="228"/>
        <v>Low Risk</v>
      </c>
      <c r="X2905" t="str">
        <f t="shared" si="229"/>
        <v>Fair</v>
      </c>
    </row>
    <row r="2906" spans="1:24" x14ac:dyDescent="0.3">
      <c r="A2906" t="s">
        <v>2974</v>
      </c>
      <c r="B2906" t="s">
        <v>39</v>
      </c>
      <c r="C2906">
        <v>23</v>
      </c>
      <c r="D2906" t="s">
        <v>31</v>
      </c>
      <c r="E2906" t="s">
        <v>40</v>
      </c>
      <c r="F2906" t="s">
        <v>41</v>
      </c>
      <c r="G2906" t="s">
        <v>24</v>
      </c>
      <c r="H2906" t="s">
        <v>83</v>
      </c>
      <c r="I2906" t="s">
        <v>80</v>
      </c>
      <c r="J2906" t="s">
        <v>60</v>
      </c>
      <c r="K2906">
        <v>8</v>
      </c>
      <c r="L2906">
        <v>87302</v>
      </c>
      <c r="M2906" t="s">
        <v>51</v>
      </c>
      <c r="N2906">
        <v>2</v>
      </c>
      <c r="O2906">
        <v>1</v>
      </c>
      <c r="P2906">
        <v>63</v>
      </c>
      <c r="Q2906">
        <v>2</v>
      </c>
      <c r="R2906" s="1">
        <v>42222</v>
      </c>
      <c r="S2906" t="s">
        <v>37</v>
      </c>
      <c r="T2906" t="str">
        <f t="shared" si="225"/>
        <v>Grade A</v>
      </c>
      <c r="U2906">
        <f t="shared" si="226"/>
        <v>4</v>
      </c>
      <c r="V2906" t="str">
        <f t="shared" si="227"/>
        <v>Mid Level</v>
      </c>
      <c r="W2906" t="str">
        <f t="shared" si="228"/>
        <v>Already Left</v>
      </c>
      <c r="X2906" t="str">
        <f t="shared" si="229"/>
        <v>Competitive</v>
      </c>
    </row>
    <row r="2907" spans="1:24" x14ac:dyDescent="0.3">
      <c r="A2907" t="s">
        <v>2975</v>
      </c>
      <c r="B2907" t="s">
        <v>20</v>
      </c>
      <c r="C2907">
        <v>35</v>
      </c>
      <c r="D2907" t="s">
        <v>21</v>
      </c>
      <c r="E2907" t="s">
        <v>22</v>
      </c>
      <c r="F2907" t="s">
        <v>62</v>
      </c>
      <c r="G2907" t="s">
        <v>58</v>
      </c>
      <c r="H2907" t="s">
        <v>83</v>
      </c>
      <c r="I2907" t="s">
        <v>50</v>
      </c>
      <c r="J2907" t="s">
        <v>44</v>
      </c>
      <c r="K2907">
        <v>2</v>
      </c>
      <c r="L2907">
        <v>94021</v>
      </c>
      <c r="M2907" t="s">
        <v>28</v>
      </c>
      <c r="N2907">
        <v>3</v>
      </c>
      <c r="O2907">
        <v>3</v>
      </c>
      <c r="P2907">
        <v>11</v>
      </c>
      <c r="Q2907">
        <v>1</v>
      </c>
      <c r="R2907" s="1">
        <v>44219</v>
      </c>
      <c r="S2907" t="s">
        <v>37</v>
      </c>
      <c r="T2907" t="str">
        <f t="shared" si="225"/>
        <v>Grade A</v>
      </c>
      <c r="U2907">
        <f t="shared" si="226"/>
        <v>3</v>
      </c>
      <c r="V2907" t="str">
        <f t="shared" si="227"/>
        <v>New Joiner</v>
      </c>
      <c r="W2907" t="str">
        <f t="shared" si="228"/>
        <v>Already Left</v>
      </c>
      <c r="X2907" t="str">
        <f t="shared" si="229"/>
        <v>Competitive</v>
      </c>
    </row>
    <row r="2908" spans="1:24" x14ac:dyDescent="0.3">
      <c r="A2908" t="s">
        <v>2976</v>
      </c>
      <c r="B2908" t="s">
        <v>20</v>
      </c>
      <c r="C2908">
        <v>50</v>
      </c>
      <c r="D2908" t="s">
        <v>31</v>
      </c>
      <c r="E2908" t="s">
        <v>40</v>
      </c>
      <c r="F2908" t="s">
        <v>65</v>
      </c>
      <c r="G2908" t="s">
        <v>66</v>
      </c>
      <c r="H2908" t="s">
        <v>34</v>
      </c>
      <c r="I2908" t="s">
        <v>26</v>
      </c>
      <c r="J2908" t="s">
        <v>27</v>
      </c>
      <c r="K2908">
        <v>9</v>
      </c>
      <c r="L2908">
        <v>44274</v>
      </c>
      <c r="M2908" t="s">
        <v>36</v>
      </c>
      <c r="N2908">
        <v>1</v>
      </c>
      <c r="O2908">
        <v>3</v>
      </c>
      <c r="P2908">
        <v>24</v>
      </c>
      <c r="Q2908">
        <v>2</v>
      </c>
      <c r="R2908" s="1">
        <v>42000</v>
      </c>
      <c r="S2908" t="s">
        <v>37</v>
      </c>
      <c r="T2908" t="str">
        <f t="shared" si="225"/>
        <v>Grade C</v>
      </c>
      <c r="U2908">
        <f t="shared" si="226"/>
        <v>1</v>
      </c>
      <c r="V2908" t="str">
        <f t="shared" si="227"/>
        <v>Mid Level</v>
      </c>
      <c r="W2908" t="str">
        <f t="shared" si="228"/>
        <v>Already Left</v>
      </c>
      <c r="X2908" t="str">
        <f t="shared" si="229"/>
        <v>Fair</v>
      </c>
    </row>
    <row r="2909" spans="1:24" x14ac:dyDescent="0.3">
      <c r="A2909" t="s">
        <v>2977</v>
      </c>
      <c r="B2909" t="s">
        <v>39</v>
      </c>
      <c r="C2909">
        <v>39</v>
      </c>
      <c r="D2909" t="s">
        <v>47</v>
      </c>
      <c r="E2909" t="s">
        <v>48</v>
      </c>
      <c r="F2909" t="s">
        <v>32</v>
      </c>
      <c r="G2909" t="s">
        <v>63</v>
      </c>
      <c r="H2909" t="s">
        <v>25</v>
      </c>
      <c r="I2909" t="s">
        <v>35</v>
      </c>
      <c r="J2909" t="s">
        <v>27</v>
      </c>
      <c r="K2909">
        <v>6</v>
      </c>
      <c r="L2909">
        <v>47688</v>
      </c>
      <c r="M2909" t="s">
        <v>51</v>
      </c>
      <c r="N2909">
        <v>4</v>
      </c>
      <c r="O2909">
        <v>1</v>
      </c>
      <c r="P2909">
        <v>29</v>
      </c>
      <c r="Q2909">
        <v>0</v>
      </c>
      <c r="R2909" s="1">
        <v>42923</v>
      </c>
      <c r="S2909" t="s">
        <v>29</v>
      </c>
      <c r="T2909" t="str">
        <f t="shared" si="225"/>
        <v>Grade C</v>
      </c>
      <c r="U2909">
        <f t="shared" si="226"/>
        <v>4</v>
      </c>
      <c r="V2909" t="str">
        <f t="shared" si="227"/>
        <v>Mid Level</v>
      </c>
      <c r="W2909" t="str">
        <f t="shared" si="228"/>
        <v>Low Risk</v>
      </c>
      <c r="X2909" t="str">
        <f t="shared" si="229"/>
        <v>Fair</v>
      </c>
    </row>
    <row r="2910" spans="1:24" x14ac:dyDescent="0.3">
      <c r="A2910" t="s">
        <v>2978</v>
      </c>
      <c r="B2910" t="s">
        <v>20</v>
      </c>
      <c r="C2910">
        <v>33</v>
      </c>
      <c r="D2910" t="s">
        <v>57</v>
      </c>
      <c r="E2910" t="s">
        <v>22</v>
      </c>
      <c r="F2910" t="s">
        <v>32</v>
      </c>
      <c r="G2910" t="s">
        <v>79</v>
      </c>
      <c r="H2910" t="s">
        <v>34</v>
      </c>
      <c r="I2910" t="s">
        <v>72</v>
      </c>
      <c r="J2910" t="s">
        <v>73</v>
      </c>
      <c r="K2910">
        <v>2</v>
      </c>
      <c r="L2910">
        <v>44975</v>
      </c>
      <c r="M2910" t="s">
        <v>36</v>
      </c>
      <c r="N2910">
        <v>3</v>
      </c>
      <c r="O2910">
        <v>2</v>
      </c>
      <c r="P2910">
        <v>57</v>
      </c>
      <c r="Q2910">
        <v>1</v>
      </c>
      <c r="R2910" s="1">
        <v>44522</v>
      </c>
      <c r="S2910" t="s">
        <v>37</v>
      </c>
      <c r="T2910" t="str">
        <f t="shared" si="225"/>
        <v>Grade C</v>
      </c>
      <c r="U2910">
        <f t="shared" si="226"/>
        <v>1</v>
      </c>
      <c r="V2910" t="str">
        <f t="shared" si="227"/>
        <v>New Joiner</v>
      </c>
      <c r="W2910" t="str">
        <f t="shared" si="228"/>
        <v>Already Left</v>
      </c>
      <c r="X2910" t="str">
        <f t="shared" si="229"/>
        <v>Fair</v>
      </c>
    </row>
    <row r="2911" spans="1:24" x14ac:dyDescent="0.3">
      <c r="A2911" t="s">
        <v>2979</v>
      </c>
      <c r="B2911" t="s">
        <v>20</v>
      </c>
      <c r="C2911">
        <v>33</v>
      </c>
      <c r="D2911" t="s">
        <v>31</v>
      </c>
      <c r="E2911" t="s">
        <v>48</v>
      </c>
      <c r="F2911" t="s">
        <v>41</v>
      </c>
      <c r="G2911" t="s">
        <v>63</v>
      </c>
      <c r="H2911" t="s">
        <v>83</v>
      </c>
      <c r="I2911" t="s">
        <v>80</v>
      </c>
      <c r="J2911" t="s">
        <v>60</v>
      </c>
      <c r="K2911">
        <v>2</v>
      </c>
      <c r="L2911">
        <v>49669</v>
      </c>
      <c r="M2911" t="s">
        <v>36</v>
      </c>
      <c r="N2911">
        <v>2</v>
      </c>
      <c r="O2911">
        <v>1</v>
      </c>
      <c r="P2911">
        <v>14</v>
      </c>
      <c r="Q2911">
        <v>3</v>
      </c>
      <c r="R2911" s="1">
        <v>44432</v>
      </c>
      <c r="S2911" t="s">
        <v>29</v>
      </c>
      <c r="T2911" t="str">
        <f t="shared" si="225"/>
        <v>Grade C</v>
      </c>
      <c r="U2911">
        <f t="shared" si="226"/>
        <v>1</v>
      </c>
      <c r="V2911" t="str">
        <f t="shared" si="227"/>
        <v>New Joiner</v>
      </c>
      <c r="W2911" t="str">
        <f t="shared" si="228"/>
        <v>High Risk</v>
      </c>
      <c r="X2911" t="str">
        <f t="shared" si="229"/>
        <v>Fair</v>
      </c>
    </row>
    <row r="2912" spans="1:24" x14ac:dyDescent="0.3">
      <c r="A2912" t="s">
        <v>2980</v>
      </c>
      <c r="B2912" t="s">
        <v>39</v>
      </c>
      <c r="C2912">
        <v>41</v>
      </c>
      <c r="D2912" t="s">
        <v>31</v>
      </c>
      <c r="E2912" t="s">
        <v>40</v>
      </c>
      <c r="F2912" t="s">
        <v>78</v>
      </c>
      <c r="G2912" t="s">
        <v>58</v>
      </c>
      <c r="H2912" t="s">
        <v>83</v>
      </c>
      <c r="I2912" t="s">
        <v>59</v>
      </c>
      <c r="J2912" t="s">
        <v>60</v>
      </c>
      <c r="K2912">
        <v>3</v>
      </c>
      <c r="L2912">
        <v>95375</v>
      </c>
      <c r="M2912" t="s">
        <v>28</v>
      </c>
      <c r="N2912">
        <v>2</v>
      </c>
      <c r="O2912">
        <v>3</v>
      </c>
      <c r="P2912">
        <v>12</v>
      </c>
      <c r="Q2912">
        <v>3</v>
      </c>
      <c r="R2912" s="1">
        <v>44033</v>
      </c>
      <c r="S2912" t="s">
        <v>29</v>
      </c>
      <c r="T2912" t="str">
        <f t="shared" si="225"/>
        <v>Grade A</v>
      </c>
      <c r="U2912">
        <f t="shared" si="226"/>
        <v>3</v>
      </c>
      <c r="V2912" t="str">
        <f t="shared" si="227"/>
        <v>Junior</v>
      </c>
      <c r="W2912" t="str">
        <f t="shared" si="228"/>
        <v>Medium Risk</v>
      </c>
      <c r="X2912" t="str">
        <f t="shared" si="229"/>
        <v>Competitive</v>
      </c>
    </row>
    <row r="2913" spans="1:24" x14ac:dyDescent="0.3">
      <c r="A2913" t="s">
        <v>2981</v>
      </c>
      <c r="B2913" t="s">
        <v>39</v>
      </c>
      <c r="C2913">
        <v>22</v>
      </c>
      <c r="D2913" t="s">
        <v>88</v>
      </c>
      <c r="E2913" t="s">
        <v>40</v>
      </c>
      <c r="F2913" t="s">
        <v>75</v>
      </c>
      <c r="G2913" t="s">
        <v>49</v>
      </c>
      <c r="H2913" t="s">
        <v>34</v>
      </c>
      <c r="I2913" t="s">
        <v>50</v>
      </c>
      <c r="J2913" t="s">
        <v>44</v>
      </c>
      <c r="K2913">
        <v>6</v>
      </c>
      <c r="L2913">
        <v>59693</v>
      </c>
      <c r="M2913" t="s">
        <v>28</v>
      </c>
      <c r="N2913">
        <v>2</v>
      </c>
      <c r="O2913">
        <v>1</v>
      </c>
      <c r="P2913">
        <v>22</v>
      </c>
      <c r="Q2913">
        <v>2</v>
      </c>
      <c r="R2913" s="1">
        <v>43083</v>
      </c>
      <c r="S2913" t="s">
        <v>29</v>
      </c>
      <c r="T2913" t="str">
        <f t="shared" si="225"/>
        <v>Grade B</v>
      </c>
      <c r="U2913">
        <f t="shared" si="226"/>
        <v>3</v>
      </c>
      <c r="V2913" t="str">
        <f t="shared" si="227"/>
        <v>Mid Level</v>
      </c>
      <c r="W2913" t="str">
        <f t="shared" si="228"/>
        <v>Medium Risk</v>
      </c>
      <c r="X2913" t="str">
        <f t="shared" si="229"/>
        <v>Competitive</v>
      </c>
    </row>
    <row r="2914" spans="1:24" x14ac:dyDescent="0.3">
      <c r="A2914" t="s">
        <v>2982</v>
      </c>
      <c r="B2914" t="s">
        <v>39</v>
      </c>
      <c r="C2914">
        <v>55</v>
      </c>
      <c r="D2914" t="s">
        <v>88</v>
      </c>
      <c r="E2914" t="s">
        <v>48</v>
      </c>
      <c r="F2914" t="s">
        <v>23</v>
      </c>
      <c r="G2914" t="s">
        <v>33</v>
      </c>
      <c r="H2914" t="s">
        <v>34</v>
      </c>
      <c r="I2914" t="s">
        <v>50</v>
      </c>
      <c r="J2914" t="s">
        <v>44</v>
      </c>
      <c r="K2914">
        <v>3</v>
      </c>
      <c r="L2914">
        <v>59624</v>
      </c>
      <c r="M2914" t="s">
        <v>51</v>
      </c>
      <c r="N2914">
        <v>3</v>
      </c>
      <c r="O2914">
        <v>1</v>
      </c>
      <c r="P2914">
        <v>52</v>
      </c>
      <c r="Q2914">
        <v>2</v>
      </c>
      <c r="R2914" s="1">
        <v>44128</v>
      </c>
      <c r="S2914" t="s">
        <v>29</v>
      </c>
      <c r="T2914" t="str">
        <f t="shared" si="225"/>
        <v>Grade B</v>
      </c>
      <c r="U2914">
        <f t="shared" si="226"/>
        <v>4</v>
      </c>
      <c r="V2914" t="str">
        <f t="shared" si="227"/>
        <v>Junior</v>
      </c>
      <c r="W2914" t="str">
        <f t="shared" si="228"/>
        <v>Low Risk</v>
      </c>
      <c r="X2914" t="str">
        <f t="shared" si="229"/>
        <v>Fair</v>
      </c>
    </row>
    <row r="2915" spans="1:24" x14ac:dyDescent="0.3">
      <c r="A2915" t="s">
        <v>2983</v>
      </c>
      <c r="B2915" t="s">
        <v>39</v>
      </c>
      <c r="C2915">
        <v>47</v>
      </c>
      <c r="D2915" t="s">
        <v>57</v>
      </c>
      <c r="E2915" t="s">
        <v>48</v>
      </c>
      <c r="F2915" t="s">
        <v>53</v>
      </c>
      <c r="G2915" t="s">
        <v>49</v>
      </c>
      <c r="H2915" t="s">
        <v>25</v>
      </c>
      <c r="I2915" t="s">
        <v>54</v>
      </c>
      <c r="J2915" t="s">
        <v>27</v>
      </c>
      <c r="K2915">
        <v>11</v>
      </c>
      <c r="L2915">
        <v>71760</v>
      </c>
      <c r="M2915" t="s">
        <v>45</v>
      </c>
      <c r="N2915">
        <v>2</v>
      </c>
      <c r="O2915">
        <v>4</v>
      </c>
      <c r="P2915">
        <v>41</v>
      </c>
      <c r="Q2915">
        <v>3</v>
      </c>
      <c r="R2915" s="1">
        <v>41255</v>
      </c>
      <c r="S2915" t="s">
        <v>29</v>
      </c>
      <c r="T2915" t="str">
        <f t="shared" si="225"/>
        <v>Grade B</v>
      </c>
      <c r="U2915">
        <f t="shared" si="226"/>
        <v>2</v>
      </c>
      <c r="V2915" t="str">
        <f t="shared" si="227"/>
        <v>Senior</v>
      </c>
      <c r="W2915" t="str">
        <f t="shared" si="228"/>
        <v>Medium Risk</v>
      </c>
      <c r="X2915" t="str">
        <f t="shared" si="229"/>
        <v>Fair</v>
      </c>
    </row>
    <row r="2916" spans="1:24" x14ac:dyDescent="0.3">
      <c r="A2916" t="s">
        <v>2984</v>
      </c>
      <c r="B2916" t="s">
        <v>39</v>
      </c>
      <c r="C2916">
        <v>32</v>
      </c>
      <c r="D2916" t="s">
        <v>88</v>
      </c>
      <c r="E2916" t="s">
        <v>40</v>
      </c>
      <c r="F2916" t="s">
        <v>75</v>
      </c>
      <c r="G2916" t="s">
        <v>79</v>
      </c>
      <c r="H2916" t="s">
        <v>76</v>
      </c>
      <c r="I2916" t="s">
        <v>54</v>
      </c>
      <c r="J2916" t="s">
        <v>27</v>
      </c>
      <c r="K2916">
        <v>9</v>
      </c>
      <c r="L2916">
        <v>50720</v>
      </c>
      <c r="M2916" t="s">
        <v>45</v>
      </c>
      <c r="N2916">
        <v>2</v>
      </c>
      <c r="O2916">
        <v>4</v>
      </c>
      <c r="P2916">
        <v>28</v>
      </c>
      <c r="Q2916">
        <v>2</v>
      </c>
      <c r="R2916" s="1">
        <v>41836</v>
      </c>
      <c r="S2916" t="s">
        <v>37</v>
      </c>
      <c r="T2916" t="str">
        <f t="shared" si="225"/>
        <v>Grade B</v>
      </c>
      <c r="U2916">
        <f t="shared" si="226"/>
        <v>2</v>
      </c>
      <c r="V2916" t="str">
        <f t="shared" si="227"/>
        <v>Mid Level</v>
      </c>
      <c r="W2916" t="str">
        <f t="shared" si="228"/>
        <v>Already Left</v>
      </c>
      <c r="X2916" t="str">
        <f t="shared" si="229"/>
        <v>Fair</v>
      </c>
    </row>
    <row r="2917" spans="1:24" x14ac:dyDescent="0.3">
      <c r="A2917" t="s">
        <v>2985</v>
      </c>
      <c r="B2917" t="s">
        <v>20</v>
      </c>
      <c r="C2917">
        <v>51</v>
      </c>
      <c r="D2917" t="s">
        <v>88</v>
      </c>
      <c r="E2917" t="s">
        <v>22</v>
      </c>
      <c r="F2917" t="s">
        <v>23</v>
      </c>
      <c r="G2917" t="s">
        <v>33</v>
      </c>
      <c r="H2917" t="s">
        <v>76</v>
      </c>
      <c r="I2917" t="s">
        <v>59</v>
      </c>
      <c r="J2917" t="s">
        <v>60</v>
      </c>
      <c r="K2917">
        <v>8</v>
      </c>
      <c r="L2917">
        <v>82929</v>
      </c>
      <c r="M2917" t="s">
        <v>36</v>
      </c>
      <c r="N2917">
        <v>1</v>
      </c>
      <c r="O2917">
        <v>4</v>
      </c>
      <c r="P2917">
        <v>10</v>
      </c>
      <c r="Q2917">
        <v>1</v>
      </c>
      <c r="R2917" s="1">
        <v>42175</v>
      </c>
      <c r="S2917" t="s">
        <v>29</v>
      </c>
      <c r="T2917" t="str">
        <f t="shared" si="225"/>
        <v>Grade A</v>
      </c>
      <c r="U2917">
        <f t="shared" si="226"/>
        <v>1</v>
      </c>
      <c r="V2917" t="str">
        <f t="shared" si="227"/>
        <v>Mid Level</v>
      </c>
      <c r="W2917" t="str">
        <f t="shared" si="228"/>
        <v>Medium Risk</v>
      </c>
      <c r="X2917" t="str">
        <f t="shared" si="229"/>
        <v>Overpaid</v>
      </c>
    </row>
    <row r="2918" spans="1:24" x14ac:dyDescent="0.3">
      <c r="A2918" t="s">
        <v>2986</v>
      </c>
      <c r="B2918" t="s">
        <v>39</v>
      </c>
      <c r="C2918">
        <v>44</v>
      </c>
      <c r="D2918" t="s">
        <v>57</v>
      </c>
      <c r="E2918" t="s">
        <v>40</v>
      </c>
      <c r="F2918" t="s">
        <v>23</v>
      </c>
      <c r="G2918" t="s">
        <v>66</v>
      </c>
      <c r="H2918" t="s">
        <v>34</v>
      </c>
      <c r="I2918" t="s">
        <v>80</v>
      </c>
      <c r="J2918" t="s">
        <v>60</v>
      </c>
      <c r="K2918">
        <v>11</v>
      </c>
      <c r="L2918">
        <v>49727</v>
      </c>
      <c r="M2918" t="s">
        <v>28</v>
      </c>
      <c r="N2918">
        <v>2</v>
      </c>
      <c r="O2918">
        <v>1</v>
      </c>
      <c r="P2918">
        <v>33</v>
      </c>
      <c r="Q2918">
        <v>1</v>
      </c>
      <c r="R2918" s="1">
        <v>41180</v>
      </c>
      <c r="S2918" t="s">
        <v>29</v>
      </c>
      <c r="T2918" t="str">
        <f t="shared" si="225"/>
        <v>Grade C</v>
      </c>
      <c r="U2918">
        <f t="shared" si="226"/>
        <v>3</v>
      </c>
      <c r="V2918" t="str">
        <f t="shared" si="227"/>
        <v>Senior</v>
      </c>
      <c r="W2918" t="str">
        <f t="shared" si="228"/>
        <v>Medium Risk</v>
      </c>
      <c r="X2918" t="str">
        <f t="shared" si="229"/>
        <v>Fair</v>
      </c>
    </row>
    <row r="2919" spans="1:24" x14ac:dyDescent="0.3">
      <c r="A2919" t="s">
        <v>2987</v>
      </c>
      <c r="B2919" t="s">
        <v>20</v>
      </c>
      <c r="C2919">
        <v>29</v>
      </c>
      <c r="D2919" t="s">
        <v>47</v>
      </c>
      <c r="E2919" t="s">
        <v>48</v>
      </c>
      <c r="F2919" t="s">
        <v>75</v>
      </c>
      <c r="G2919" t="s">
        <v>24</v>
      </c>
      <c r="H2919" t="s">
        <v>83</v>
      </c>
      <c r="I2919" t="s">
        <v>43</v>
      </c>
      <c r="J2919" t="s">
        <v>44</v>
      </c>
      <c r="K2919">
        <v>11</v>
      </c>
      <c r="L2919">
        <v>87529</v>
      </c>
      <c r="M2919" t="s">
        <v>36</v>
      </c>
      <c r="N2919">
        <v>4</v>
      </c>
      <c r="O2919">
        <v>1</v>
      </c>
      <c r="P2919">
        <v>63</v>
      </c>
      <c r="Q2919">
        <v>3</v>
      </c>
      <c r="R2919" s="1">
        <v>41200</v>
      </c>
      <c r="S2919" t="s">
        <v>37</v>
      </c>
      <c r="T2919" t="str">
        <f t="shared" si="225"/>
        <v>Grade A</v>
      </c>
      <c r="U2919">
        <f t="shared" si="226"/>
        <v>1</v>
      </c>
      <c r="V2919" t="str">
        <f t="shared" si="227"/>
        <v>Senior</v>
      </c>
      <c r="W2919" t="str">
        <f t="shared" si="228"/>
        <v>Already Left</v>
      </c>
      <c r="X2919" t="str">
        <f t="shared" si="229"/>
        <v>Overpaid</v>
      </c>
    </row>
    <row r="2920" spans="1:24" x14ac:dyDescent="0.3">
      <c r="A2920" t="s">
        <v>2988</v>
      </c>
      <c r="B2920" t="s">
        <v>20</v>
      </c>
      <c r="C2920">
        <v>47</v>
      </c>
      <c r="D2920" t="s">
        <v>57</v>
      </c>
      <c r="E2920" t="s">
        <v>22</v>
      </c>
      <c r="F2920" t="s">
        <v>41</v>
      </c>
      <c r="G2920" t="s">
        <v>49</v>
      </c>
      <c r="H2920" t="s">
        <v>83</v>
      </c>
      <c r="I2920" t="s">
        <v>26</v>
      </c>
      <c r="J2920" t="s">
        <v>27</v>
      </c>
      <c r="K2920">
        <v>1</v>
      </c>
      <c r="L2920">
        <v>42883</v>
      </c>
      <c r="M2920" t="s">
        <v>45</v>
      </c>
      <c r="N2920">
        <v>4</v>
      </c>
      <c r="O2920">
        <v>1</v>
      </c>
      <c r="P2920">
        <v>77</v>
      </c>
      <c r="Q2920">
        <v>3</v>
      </c>
      <c r="R2920" s="1">
        <v>44835</v>
      </c>
      <c r="S2920" t="s">
        <v>29</v>
      </c>
      <c r="T2920" t="str">
        <f t="shared" si="225"/>
        <v>Grade C</v>
      </c>
      <c r="U2920">
        <f t="shared" si="226"/>
        <v>2</v>
      </c>
      <c r="V2920" t="str">
        <f t="shared" si="227"/>
        <v>New Joiner</v>
      </c>
      <c r="W2920" t="str">
        <f t="shared" si="228"/>
        <v>Medium Risk</v>
      </c>
      <c r="X2920" t="str">
        <f t="shared" si="229"/>
        <v>Fair</v>
      </c>
    </row>
    <row r="2921" spans="1:24" x14ac:dyDescent="0.3">
      <c r="A2921" t="s">
        <v>2989</v>
      </c>
      <c r="B2921" t="s">
        <v>20</v>
      </c>
      <c r="C2921">
        <v>49</v>
      </c>
      <c r="D2921" t="s">
        <v>21</v>
      </c>
      <c r="E2921" t="s">
        <v>40</v>
      </c>
      <c r="F2921" t="s">
        <v>32</v>
      </c>
      <c r="G2921" t="s">
        <v>63</v>
      </c>
      <c r="H2921" t="s">
        <v>67</v>
      </c>
      <c r="I2921" t="s">
        <v>59</v>
      </c>
      <c r="J2921" t="s">
        <v>60</v>
      </c>
      <c r="K2921">
        <v>1</v>
      </c>
      <c r="L2921">
        <v>49813</v>
      </c>
      <c r="M2921" t="s">
        <v>45</v>
      </c>
      <c r="N2921">
        <v>3</v>
      </c>
      <c r="O2921">
        <v>3</v>
      </c>
      <c r="P2921">
        <v>12</v>
      </c>
      <c r="Q2921">
        <v>0</v>
      </c>
      <c r="R2921" s="1">
        <v>44598</v>
      </c>
      <c r="S2921" t="s">
        <v>29</v>
      </c>
      <c r="T2921" t="str">
        <f t="shared" si="225"/>
        <v>Grade C</v>
      </c>
      <c r="U2921">
        <f t="shared" si="226"/>
        <v>2</v>
      </c>
      <c r="V2921" t="str">
        <f t="shared" si="227"/>
        <v>New Joiner</v>
      </c>
      <c r="W2921" t="str">
        <f t="shared" si="228"/>
        <v>Medium Risk</v>
      </c>
      <c r="X2921" t="str">
        <f t="shared" si="229"/>
        <v>Fair</v>
      </c>
    </row>
    <row r="2922" spans="1:24" x14ac:dyDescent="0.3">
      <c r="A2922" t="s">
        <v>2990</v>
      </c>
      <c r="B2922" t="s">
        <v>39</v>
      </c>
      <c r="C2922">
        <v>45</v>
      </c>
      <c r="D2922" t="s">
        <v>21</v>
      </c>
      <c r="E2922" t="s">
        <v>40</v>
      </c>
      <c r="F2922" t="s">
        <v>65</v>
      </c>
      <c r="G2922" t="s">
        <v>49</v>
      </c>
      <c r="H2922" t="s">
        <v>83</v>
      </c>
      <c r="I2922" t="s">
        <v>50</v>
      </c>
      <c r="J2922" t="s">
        <v>44</v>
      </c>
      <c r="K2922">
        <v>9</v>
      </c>
      <c r="L2922">
        <v>59410</v>
      </c>
      <c r="M2922" t="s">
        <v>51</v>
      </c>
      <c r="N2922">
        <v>1</v>
      </c>
      <c r="O2922">
        <v>3</v>
      </c>
      <c r="P2922">
        <v>57</v>
      </c>
      <c r="Q2922">
        <v>3</v>
      </c>
      <c r="R2922" s="1">
        <v>41687</v>
      </c>
      <c r="S2922" t="s">
        <v>29</v>
      </c>
      <c r="T2922" t="str">
        <f t="shared" si="225"/>
        <v>Grade B</v>
      </c>
      <c r="U2922">
        <f t="shared" si="226"/>
        <v>4</v>
      </c>
      <c r="V2922" t="str">
        <f t="shared" si="227"/>
        <v>Mid Level</v>
      </c>
      <c r="W2922" t="str">
        <f t="shared" si="228"/>
        <v>Low Risk</v>
      </c>
      <c r="X2922" t="str">
        <f t="shared" si="229"/>
        <v>Fair</v>
      </c>
    </row>
    <row r="2923" spans="1:24" x14ac:dyDescent="0.3">
      <c r="A2923" t="s">
        <v>2991</v>
      </c>
      <c r="B2923" t="s">
        <v>20</v>
      </c>
      <c r="C2923">
        <v>26</v>
      </c>
      <c r="D2923" t="s">
        <v>57</v>
      </c>
      <c r="E2923" t="s">
        <v>22</v>
      </c>
      <c r="F2923" t="s">
        <v>62</v>
      </c>
      <c r="G2923" t="s">
        <v>79</v>
      </c>
      <c r="H2923" t="s">
        <v>83</v>
      </c>
      <c r="I2923" t="s">
        <v>80</v>
      </c>
      <c r="J2923" t="s">
        <v>60</v>
      </c>
      <c r="K2923">
        <v>13</v>
      </c>
      <c r="L2923">
        <v>60155</v>
      </c>
      <c r="M2923" t="s">
        <v>45</v>
      </c>
      <c r="N2923">
        <v>3</v>
      </c>
      <c r="O2923">
        <v>1</v>
      </c>
      <c r="P2923">
        <v>33</v>
      </c>
      <c r="Q2923">
        <v>0</v>
      </c>
      <c r="R2923" s="1">
        <v>40439</v>
      </c>
      <c r="S2923" t="s">
        <v>29</v>
      </c>
      <c r="T2923" t="str">
        <f t="shared" si="225"/>
        <v>Grade B</v>
      </c>
      <c r="U2923">
        <f t="shared" si="226"/>
        <v>2</v>
      </c>
      <c r="V2923" t="str">
        <f t="shared" si="227"/>
        <v>Senior</v>
      </c>
      <c r="W2923" t="str">
        <f t="shared" si="228"/>
        <v>Medium Risk</v>
      </c>
      <c r="X2923" t="str">
        <f t="shared" si="229"/>
        <v>Fair</v>
      </c>
    </row>
    <row r="2924" spans="1:24" x14ac:dyDescent="0.3">
      <c r="A2924" t="s">
        <v>2992</v>
      </c>
      <c r="B2924" t="s">
        <v>39</v>
      </c>
      <c r="C2924">
        <v>48</v>
      </c>
      <c r="D2924" t="s">
        <v>57</v>
      </c>
      <c r="E2924" t="s">
        <v>40</v>
      </c>
      <c r="F2924" t="s">
        <v>75</v>
      </c>
      <c r="G2924" t="s">
        <v>79</v>
      </c>
      <c r="H2924" t="s">
        <v>83</v>
      </c>
      <c r="I2924" t="s">
        <v>96</v>
      </c>
      <c r="J2924" t="s">
        <v>44</v>
      </c>
      <c r="K2924">
        <v>13</v>
      </c>
      <c r="L2924">
        <v>66174</v>
      </c>
      <c r="M2924" t="s">
        <v>51</v>
      </c>
      <c r="N2924">
        <v>3</v>
      </c>
      <c r="O2924">
        <v>1</v>
      </c>
      <c r="P2924">
        <v>40</v>
      </c>
      <c r="Q2924">
        <v>1</v>
      </c>
      <c r="R2924" s="1">
        <v>40273</v>
      </c>
      <c r="S2924" t="s">
        <v>29</v>
      </c>
      <c r="T2924" t="str">
        <f t="shared" si="225"/>
        <v>Grade B</v>
      </c>
      <c r="U2924">
        <f t="shared" si="226"/>
        <v>4</v>
      </c>
      <c r="V2924" t="str">
        <f t="shared" si="227"/>
        <v>Senior</v>
      </c>
      <c r="W2924" t="str">
        <f t="shared" si="228"/>
        <v>Low Risk</v>
      </c>
      <c r="X2924" t="str">
        <f t="shared" si="229"/>
        <v>Fair</v>
      </c>
    </row>
    <row r="2925" spans="1:24" x14ac:dyDescent="0.3">
      <c r="A2925" t="s">
        <v>2993</v>
      </c>
      <c r="B2925" t="s">
        <v>20</v>
      </c>
      <c r="C2925">
        <v>43</v>
      </c>
      <c r="D2925" t="s">
        <v>31</v>
      </c>
      <c r="E2925" t="s">
        <v>22</v>
      </c>
      <c r="F2925" t="s">
        <v>78</v>
      </c>
      <c r="G2925" t="s">
        <v>79</v>
      </c>
      <c r="H2925" t="s">
        <v>76</v>
      </c>
      <c r="I2925" t="s">
        <v>26</v>
      </c>
      <c r="J2925" t="s">
        <v>27</v>
      </c>
      <c r="K2925">
        <v>10</v>
      </c>
      <c r="L2925">
        <v>53896</v>
      </c>
      <c r="M2925" t="s">
        <v>45</v>
      </c>
      <c r="N2925">
        <v>1</v>
      </c>
      <c r="O2925">
        <v>3</v>
      </c>
      <c r="P2925">
        <v>34</v>
      </c>
      <c r="Q2925">
        <v>3</v>
      </c>
      <c r="R2925" s="1">
        <v>41420</v>
      </c>
      <c r="S2925" t="s">
        <v>29</v>
      </c>
      <c r="T2925" t="str">
        <f t="shared" si="225"/>
        <v>Grade B</v>
      </c>
      <c r="U2925">
        <f t="shared" si="226"/>
        <v>2</v>
      </c>
      <c r="V2925" t="str">
        <f t="shared" si="227"/>
        <v>Mid Level</v>
      </c>
      <c r="W2925" t="str">
        <f t="shared" si="228"/>
        <v>Medium Risk</v>
      </c>
      <c r="X2925" t="str">
        <f t="shared" si="229"/>
        <v>Fair</v>
      </c>
    </row>
    <row r="2926" spans="1:24" x14ac:dyDescent="0.3">
      <c r="A2926" t="s">
        <v>2994</v>
      </c>
      <c r="B2926" t="s">
        <v>20</v>
      </c>
      <c r="C2926">
        <v>25</v>
      </c>
      <c r="D2926" t="s">
        <v>88</v>
      </c>
      <c r="E2926" t="s">
        <v>22</v>
      </c>
      <c r="F2926" t="s">
        <v>32</v>
      </c>
      <c r="G2926" t="s">
        <v>33</v>
      </c>
      <c r="H2926" t="s">
        <v>83</v>
      </c>
      <c r="I2926" t="s">
        <v>72</v>
      </c>
      <c r="J2926" t="s">
        <v>73</v>
      </c>
      <c r="K2926">
        <v>14</v>
      </c>
      <c r="L2926">
        <v>89613</v>
      </c>
      <c r="M2926" t="s">
        <v>45</v>
      </c>
      <c r="N2926">
        <v>4</v>
      </c>
      <c r="O2926">
        <v>1</v>
      </c>
      <c r="P2926">
        <v>35</v>
      </c>
      <c r="Q2926">
        <v>0</v>
      </c>
      <c r="R2926" s="1">
        <v>40092</v>
      </c>
      <c r="S2926" t="s">
        <v>29</v>
      </c>
      <c r="T2926" t="str">
        <f t="shared" si="225"/>
        <v>Grade A</v>
      </c>
      <c r="U2926">
        <f t="shared" si="226"/>
        <v>2</v>
      </c>
      <c r="V2926" t="str">
        <f t="shared" si="227"/>
        <v>Senior</v>
      </c>
      <c r="W2926" t="str">
        <f t="shared" si="228"/>
        <v>Medium Risk</v>
      </c>
      <c r="X2926" t="str">
        <f t="shared" si="229"/>
        <v>Fair</v>
      </c>
    </row>
    <row r="2927" spans="1:24" x14ac:dyDescent="0.3">
      <c r="A2927" t="s">
        <v>2995</v>
      </c>
      <c r="B2927" t="s">
        <v>20</v>
      </c>
      <c r="C2927">
        <v>45</v>
      </c>
      <c r="D2927" t="s">
        <v>47</v>
      </c>
      <c r="E2927" t="s">
        <v>48</v>
      </c>
      <c r="F2927" t="s">
        <v>75</v>
      </c>
      <c r="G2927" t="s">
        <v>63</v>
      </c>
      <c r="H2927" t="s">
        <v>76</v>
      </c>
      <c r="I2927" t="s">
        <v>59</v>
      </c>
      <c r="J2927" t="s">
        <v>60</v>
      </c>
      <c r="K2927">
        <v>9</v>
      </c>
      <c r="L2927">
        <v>67486</v>
      </c>
      <c r="M2927" t="s">
        <v>45</v>
      </c>
      <c r="N2927">
        <v>1</v>
      </c>
      <c r="O2927">
        <v>3</v>
      </c>
      <c r="P2927">
        <v>41</v>
      </c>
      <c r="Q2927">
        <v>2</v>
      </c>
      <c r="R2927" s="1">
        <v>41805</v>
      </c>
      <c r="S2927" t="s">
        <v>29</v>
      </c>
      <c r="T2927" t="str">
        <f t="shared" si="225"/>
        <v>Grade B</v>
      </c>
      <c r="U2927">
        <f t="shared" si="226"/>
        <v>2</v>
      </c>
      <c r="V2927" t="str">
        <f t="shared" si="227"/>
        <v>Mid Level</v>
      </c>
      <c r="W2927" t="str">
        <f t="shared" si="228"/>
        <v>Medium Risk</v>
      </c>
      <c r="X2927" t="str">
        <f t="shared" si="229"/>
        <v>Fair</v>
      </c>
    </row>
    <row r="2928" spans="1:24" x14ac:dyDescent="0.3">
      <c r="A2928" t="s">
        <v>2996</v>
      </c>
      <c r="B2928" t="s">
        <v>39</v>
      </c>
      <c r="C2928">
        <v>51</v>
      </c>
      <c r="D2928" t="s">
        <v>88</v>
      </c>
      <c r="E2928" t="s">
        <v>22</v>
      </c>
      <c r="F2928" t="s">
        <v>62</v>
      </c>
      <c r="G2928" t="s">
        <v>58</v>
      </c>
      <c r="H2928" t="s">
        <v>67</v>
      </c>
      <c r="I2928" t="s">
        <v>96</v>
      </c>
      <c r="J2928" t="s">
        <v>44</v>
      </c>
      <c r="K2928">
        <v>8</v>
      </c>
      <c r="L2928">
        <v>107977</v>
      </c>
      <c r="M2928" t="s">
        <v>28</v>
      </c>
      <c r="N2928">
        <v>1</v>
      </c>
      <c r="O2928">
        <v>2</v>
      </c>
      <c r="P2928">
        <v>73</v>
      </c>
      <c r="Q2928">
        <v>0</v>
      </c>
      <c r="R2928" s="1">
        <v>42285</v>
      </c>
      <c r="S2928" t="s">
        <v>37</v>
      </c>
      <c r="T2928" t="str">
        <f t="shared" si="225"/>
        <v>Grade A</v>
      </c>
      <c r="U2928">
        <f t="shared" si="226"/>
        <v>3</v>
      </c>
      <c r="V2928" t="str">
        <f t="shared" si="227"/>
        <v>Mid Level</v>
      </c>
      <c r="W2928" t="str">
        <f t="shared" si="228"/>
        <v>Already Left</v>
      </c>
      <c r="X2928" t="str">
        <f t="shared" si="229"/>
        <v>Competitive</v>
      </c>
    </row>
    <row r="2929" spans="1:24" x14ac:dyDescent="0.3">
      <c r="A2929" t="s">
        <v>2997</v>
      </c>
      <c r="B2929" t="s">
        <v>39</v>
      </c>
      <c r="C2929">
        <v>38</v>
      </c>
      <c r="D2929" t="s">
        <v>21</v>
      </c>
      <c r="E2929" t="s">
        <v>48</v>
      </c>
      <c r="F2929" t="s">
        <v>41</v>
      </c>
      <c r="G2929" t="s">
        <v>24</v>
      </c>
      <c r="H2929" t="s">
        <v>83</v>
      </c>
      <c r="I2929" t="s">
        <v>50</v>
      </c>
      <c r="J2929" t="s">
        <v>44</v>
      </c>
      <c r="K2929">
        <v>11</v>
      </c>
      <c r="L2929">
        <v>87180</v>
      </c>
      <c r="M2929" t="s">
        <v>28</v>
      </c>
      <c r="N2929">
        <v>1</v>
      </c>
      <c r="O2929">
        <v>1</v>
      </c>
      <c r="P2929">
        <v>69</v>
      </c>
      <c r="Q2929">
        <v>2</v>
      </c>
      <c r="R2929" s="1">
        <v>41200</v>
      </c>
      <c r="S2929" t="s">
        <v>29</v>
      </c>
      <c r="T2929" t="str">
        <f t="shared" si="225"/>
        <v>Grade A</v>
      </c>
      <c r="U2929">
        <f t="shared" si="226"/>
        <v>3</v>
      </c>
      <c r="V2929" t="str">
        <f t="shared" si="227"/>
        <v>Senior</v>
      </c>
      <c r="W2929" t="str">
        <f t="shared" si="228"/>
        <v>Medium Risk</v>
      </c>
      <c r="X2929" t="str">
        <f t="shared" si="229"/>
        <v>Competitive</v>
      </c>
    </row>
    <row r="2930" spans="1:24" x14ac:dyDescent="0.3">
      <c r="A2930" t="s">
        <v>2998</v>
      </c>
      <c r="B2930" t="s">
        <v>20</v>
      </c>
      <c r="C2930">
        <v>41</v>
      </c>
      <c r="D2930" t="s">
        <v>31</v>
      </c>
      <c r="E2930" t="s">
        <v>40</v>
      </c>
      <c r="F2930" t="s">
        <v>65</v>
      </c>
      <c r="G2930" t="s">
        <v>79</v>
      </c>
      <c r="H2930" t="s">
        <v>83</v>
      </c>
      <c r="I2930" t="s">
        <v>96</v>
      </c>
      <c r="J2930" t="s">
        <v>44</v>
      </c>
      <c r="K2930">
        <v>7</v>
      </c>
      <c r="L2930">
        <v>62432</v>
      </c>
      <c r="M2930" t="s">
        <v>36</v>
      </c>
      <c r="N2930">
        <v>1</v>
      </c>
      <c r="O2930">
        <v>3</v>
      </c>
      <c r="P2930">
        <v>38</v>
      </c>
      <c r="Q2930">
        <v>2</v>
      </c>
      <c r="R2930" s="1">
        <v>42535</v>
      </c>
      <c r="S2930" t="s">
        <v>37</v>
      </c>
      <c r="T2930" t="str">
        <f t="shared" si="225"/>
        <v>Grade B</v>
      </c>
      <c r="U2930">
        <f t="shared" si="226"/>
        <v>1</v>
      </c>
      <c r="V2930" t="str">
        <f t="shared" si="227"/>
        <v>Mid Level</v>
      </c>
      <c r="W2930" t="str">
        <f t="shared" si="228"/>
        <v>Already Left</v>
      </c>
      <c r="X2930" t="str">
        <f t="shared" si="229"/>
        <v>Fair</v>
      </c>
    </row>
    <row r="2931" spans="1:24" x14ac:dyDescent="0.3">
      <c r="A2931" t="s">
        <v>2999</v>
      </c>
      <c r="B2931" t="s">
        <v>20</v>
      </c>
      <c r="C2931">
        <v>28</v>
      </c>
      <c r="D2931" t="s">
        <v>21</v>
      </c>
      <c r="E2931" t="s">
        <v>48</v>
      </c>
      <c r="F2931" t="s">
        <v>41</v>
      </c>
      <c r="G2931" t="s">
        <v>24</v>
      </c>
      <c r="H2931" t="s">
        <v>76</v>
      </c>
      <c r="I2931" t="s">
        <v>43</v>
      </c>
      <c r="J2931" t="s">
        <v>44</v>
      </c>
      <c r="K2931">
        <v>3</v>
      </c>
      <c r="L2931">
        <v>86277</v>
      </c>
      <c r="M2931" t="s">
        <v>28</v>
      </c>
      <c r="N2931">
        <v>3</v>
      </c>
      <c r="O2931">
        <v>1</v>
      </c>
      <c r="P2931">
        <v>31</v>
      </c>
      <c r="Q2931">
        <v>3</v>
      </c>
      <c r="R2931" s="1">
        <v>44130</v>
      </c>
      <c r="S2931" t="s">
        <v>29</v>
      </c>
      <c r="T2931" t="str">
        <f t="shared" si="225"/>
        <v>Grade A</v>
      </c>
      <c r="U2931">
        <f t="shared" si="226"/>
        <v>3</v>
      </c>
      <c r="V2931" t="str">
        <f t="shared" si="227"/>
        <v>Junior</v>
      </c>
      <c r="W2931" t="str">
        <f t="shared" si="228"/>
        <v>Medium Risk</v>
      </c>
      <c r="X2931" t="str">
        <f t="shared" si="229"/>
        <v>Competitive</v>
      </c>
    </row>
    <row r="2932" spans="1:24" x14ac:dyDescent="0.3">
      <c r="A2932" t="s">
        <v>3000</v>
      </c>
      <c r="B2932" t="s">
        <v>39</v>
      </c>
      <c r="C2932">
        <v>27</v>
      </c>
      <c r="D2932" t="s">
        <v>88</v>
      </c>
      <c r="E2932" t="s">
        <v>40</v>
      </c>
      <c r="F2932" t="s">
        <v>53</v>
      </c>
      <c r="G2932" t="s">
        <v>63</v>
      </c>
      <c r="H2932" t="s">
        <v>34</v>
      </c>
      <c r="I2932" t="s">
        <v>50</v>
      </c>
      <c r="J2932" t="s">
        <v>44</v>
      </c>
      <c r="K2932">
        <v>14</v>
      </c>
      <c r="L2932">
        <v>74655</v>
      </c>
      <c r="M2932" t="s">
        <v>45</v>
      </c>
      <c r="N2932">
        <v>3</v>
      </c>
      <c r="O2932">
        <v>4</v>
      </c>
      <c r="P2932">
        <v>79</v>
      </c>
      <c r="Q2932">
        <v>3</v>
      </c>
      <c r="R2932" s="1">
        <v>39883</v>
      </c>
      <c r="S2932" t="s">
        <v>29</v>
      </c>
      <c r="T2932" t="str">
        <f t="shared" si="225"/>
        <v>Grade B</v>
      </c>
      <c r="U2932">
        <f t="shared" si="226"/>
        <v>2</v>
      </c>
      <c r="V2932" t="str">
        <f t="shared" si="227"/>
        <v>Senior</v>
      </c>
      <c r="W2932" t="str">
        <f t="shared" si="228"/>
        <v>Medium Risk</v>
      </c>
      <c r="X2932" t="str">
        <f t="shared" si="229"/>
        <v>Fair</v>
      </c>
    </row>
    <row r="2933" spans="1:24" x14ac:dyDescent="0.3">
      <c r="A2933" t="s">
        <v>3001</v>
      </c>
      <c r="B2933" t="s">
        <v>39</v>
      </c>
      <c r="C2933">
        <v>33</v>
      </c>
      <c r="D2933" t="s">
        <v>47</v>
      </c>
      <c r="E2933" t="s">
        <v>40</v>
      </c>
      <c r="F2933" t="s">
        <v>32</v>
      </c>
      <c r="G2933" t="s">
        <v>66</v>
      </c>
      <c r="H2933" t="s">
        <v>67</v>
      </c>
      <c r="I2933" t="s">
        <v>80</v>
      </c>
      <c r="J2933" t="s">
        <v>60</v>
      </c>
      <c r="K2933">
        <v>5</v>
      </c>
      <c r="L2933">
        <v>41232</v>
      </c>
      <c r="M2933" t="s">
        <v>36</v>
      </c>
      <c r="N2933">
        <v>3</v>
      </c>
      <c r="O2933">
        <v>4</v>
      </c>
      <c r="P2933">
        <v>62</v>
      </c>
      <c r="Q2933">
        <v>0</v>
      </c>
      <c r="R2933" s="1">
        <v>43195</v>
      </c>
      <c r="S2933" t="s">
        <v>37</v>
      </c>
      <c r="T2933" t="str">
        <f t="shared" si="225"/>
        <v>Grade C</v>
      </c>
      <c r="U2933">
        <f t="shared" si="226"/>
        <v>1</v>
      </c>
      <c r="V2933" t="str">
        <f t="shared" si="227"/>
        <v>Junior</v>
      </c>
      <c r="W2933" t="str">
        <f t="shared" si="228"/>
        <v>Already Left</v>
      </c>
      <c r="X2933" t="str">
        <f t="shared" si="229"/>
        <v>Fair</v>
      </c>
    </row>
    <row r="2934" spans="1:24" x14ac:dyDescent="0.3">
      <c r="A2934" t="s">
        <v>3002</v>
      </c>
      <c r="B2934" t="s">
        <v>39</v>
      </c>
      <c r="C2934">
        <v>25</v>
      </c>
      <c r="D2934" t="s">
        <v>88</v>
      </c>
      <c r="E2934" t="s">
        <v>48</v>
      </c>
      <c r="F2934" t="s">
        <v>62</v>
      </c>
      <c r="G2934" t="s">
        <v>49</v>
      </c>
      <c r="H2934" t="s">
        <v>25</v>
      </c>
      <c r="I2934" t="s">
        <v>80</v>
      </c>
      <c r="J2934" t="s">
        <v>60</v>
      </c>
      <c r="K2934">
        <v>12</v>
      </c>
      <c r="L2934">
        <v>78456</v>
      </c>
      <c r="M2934" t="s">
        <v>28</v>
      </c>
      <c r="N2934">
        <v>4</v>
      </c>
      <c r="O2934">
        <v>3</v>
      </c>
      <c r="P2934">
        <v>38</v>
      </c>
      <c r="Q2934">
        <v>3</v>
      </c>
      <c r="R2934" s="1">
        <v>40719</v>
      </c>
      <c r="S2934" t="s">
        <v>29</v>
      </c>
      <c r="T2934" t="str">
        <f t="shared" si="225"/>
        <v>Grade B</v>
      </c>
      <c r="U2934">
        <f t="shared" si="226"/>
        <v>3</v>
      </c>
      <c r="V2934" t="str">
        <f t="shared" si="227"/>
        <v>Senior</v>
      </c>
      <c r="W2934" t="str">
        <f t="shared" si="228"/>
        <v>Medium Risk</v>
      </c>
      <c r="X2934" t="str">
        <f t="shared" si="229"/>
        <v>Competitive</v>
      </c>
    </row>
    <row r="2935" spans="1:24" x14ac:dyDescent="0.3">
      <c r="A2935" t="s">
        <v>3003</v>
      </c>
      <c r="B2935" t="s">
        <v>20</v>
      </c>
      <c r="C2935">
        <v>33</v>
      </c>
      <c r="D2935" t="s">
        <v>88</v>
      </c>
      <c r="E2935" t="s">
        <v>22</v>
      </c>
      <c r="F2935" t="s">
        <v>62</v>
      </c>
      <c r="G2935" t="s">
        <v>49</v>
      </c>
      <c r="H2935" t="s">
        <v>76</v>
      </c>
      <c r="I2935" t="s">
        <v>54</v>
      </c>
      <c r="J2935" t="s">
        <v>27</v>
      </c>
      <c r="K2935">
        <v>13</v>
      </c>
      <c r="L2935">
        <v>69430</v>
      </c>
      <c r="M2935" t="s">
        <v>36</v>
      </c>
      <c r="N2935">
        <v>1</v>
      </c>
      <c r="O2935">
        <v>2</v>
      </c>
      <c r="P2935">
        <v>46</v>
      </c>
      <c r="Q2935">
        <v>1</v>
      </c>
      <c r="R2935" s="1">
        <v>40436</v>
      </c>
      <c r="S2935" t="s">
        <v>29</v>
      </c>
      <c r="T2935" t="str">
        <f t="shared" si="225"/>
        <v>Grade B</v>
      </c>
      <c r="U2935">
        <f t="shared" si="226"/>
        <v>1</v>
      </c>
      <c r="V2935" t="str">
        <f t="shared" si="227"/>
        <v>Senior</v>
      </c>
      <c r="W2935" t="str">
        <f t="shared" si="228"/>
        <v>Medium Risk</v>
      </c>
      <c r="X2935" t="str">
        <f t="shared" si="229"/>
        <v>Fair</v>
      </c>
    </row>
    <row r="2936" spans="1:24" x14ac:dyDescent="0.3">
      <c r="A2936" t="s">
        <v>3004</v>
      </c>
      <c r="B2936" t="s">
        <v>39</v>
      </c>
      <c r="C2936">
        <v>29</v>
      </c>
      <c r="D2936" t="s">
        <v>57</v>
      </c>
      <c r="E2936" t="s">
        <v>48</v>
      </c>
      <c r="F2936" t="s">
        <v>65</v>
      </c>
      <c r="G2936" t="s">
        <v>63</v>
      </c>
      <c r="H2936" t="s">
        <v>67</v>
      </c>
      <c r="I2936" t="s">
        <v>96</v>
      </c>
      <c r="J2936" t="s">
        <v>44</v>
      </c>
      <c r="K2936">
        <v>5</v>
      </c>
      <c r="L2936">
        <v>47569</v>
      </c>
      <c r="M2936" t="s">
        <v>28</v>
      </c>
      <c r="N2936">
        <v>4</v>
      </c>
      <c r="O2936">
        <v>1</v>
      </c>
      <c r="P2936">
        <v>76</v>
      </c>
      <c r="Q2936">
        <v>3</v>
      </c>
      <c r="R2936" s="1">
        <v>43432</v>
      </c>
      <c r="S2936" t="s">
        <v>29</v>
      </c>
      <c r="T2936" t="str">
        <f t="shared" si="225"/>
        <v>Grade C</v>
      </c>
      <c r="U2936">
        <f t="shared" si="226"/>
        <v>3</v>
      </c>
      <c r="V2936" t="str">
        <f t="shared" si="227"/>
        <v>Junior</v>
      </c>
      <c r="W2936" t="str">
        <f t="shared" si="228"/>
        <v>Medium Risk</v>
      </c>
      <c r="X2936" t="str">
        <f t="shared" si="229"/>
        <v>Fair</v>
      </c>
    </row>
    <row r="2937" spans="1:24" x14ac:dyDescent="0.3">
      <c r="A2937" t="s">
        <v>3005</v>
      </c>
      <c r="B2937" t="s">
        <v>39</v>
      </c>
      <c r="C2937">
        <v>41</v>
      </c>
      <c r="D2937" t="s">
        <v>47</v>
      </c>
      <c r="E2937" t="s">
        <v>40</v>
      </c>
      <c r="F2937" t="s">
        <v>41</v>
      </c>
      <c r="G2937" t="s">
        <v>63</v>
      </c>
      <c r="H2937" t="s">
        <v>83</v>
      </c>
      <c r="I2937" t="s">
        <v>50</v>
      </c>
      <c r="J2937" t="s">
        <v>44</v>
      </c>
      <c r="K2937">
        <v>15</v>
      </c>
      <c r="L2937">
        <v>75398</v>
      </c>
      <c r="M2937" t="s">
        <v>36</v>
      </c>
      <c r="N2937">
        <v>3</v>
      </c>
      <c r="O2937">
        <v>4</v>
      </c>
      <c r="P2937">
        <v>56</v>
      </c>
      <c r="Q2937">
        <v>1</v>
      </c>
      <c r="R2937" s="1">
        <v>39589</v>
      </c>
      <c r="S2937" t="s">
        <v>29</v>
      </c>
      <c r="T2937" t="str">
        <f t="shared" si="225"/>
        <v>Grade B</v>
      </c>
      <c r="U2937">
        <f t="shared" si="226"/>
        <v>1</v>
      </c>
      <c r="V2937" t="str">
        <f t="shared" si="227"/>
        <v>Senior</v>
      </c>
      <c r="W2937" t="str">
        <f t="shared" si="228"/>
        <v>Medium Risk</v>
      </c>
      <c r="X2937" t="str">
        <f t="shared" si="229"/>
        <v>Fair</v>
      </c>
    </row>
    <row r="2938" spans="1:24" x14ac:dyDescent="0.3">
      <c r="A2938" t="s">
        <v>3006</v>
      </c>
      <c r="B2938" t="s">
        <v>20</v>
      </c>
      <c r="C2938">
        <v>23</v>
      </c>
      <c r="D2938" t="s">
        <v>47</v>
      </c>
      <c r="E2938" t="s">
        <v>40</v>
      </c>
      <c r="F2938" t="s">
        <v>32</v>
      </c>
      <c r="G2938" t="s">
        <v>58</v>
      </c>
      <c r="H2938" t="s">
        <v>34</v>
      </c>
      <c r="I2938" t="s">
        <v>54</v>
      </c>
      <c r="J2938" t="s">
        <v>27</v>
      </c>
      <c r="K2938">
        <v>5</v>
      </c>
      <c r="L2938">
        <v>94848</v>
      </c>
      <c r="M2938" t="s">
        <v>45</v>
      </c>
      <c r="N2938">
        <v>4</v>
      </c>
      <c r="O2938">
        <v>2</v>
      </c>
      <c r="P2938">
        <v>77</v>
      </c>
      <c r="Q2938">
        <v>1</v>
      </c>
      <c r="R2938" s="1">
        <v>43147</v>
      </c>
      <c r="S2938" t="s">
        <v>29</v>
      </c>
      <c r="T2938" t="str">
        <f t="shared" si="225"/>
        <v>Grade A</v>
      </c>
      <c r="U2938">
        <f t="shared" si="226"/>
        <v>2</v>
      </c>
      <c r="V2938" t="str">
        <f t="shared" si="227"/>
        <v>Junior</v>
      </c>
      <c r="W2938" t="str">
        <f t="shared" si="228"/>
        <v>Medium Risk</v>
      </c>
      <c r="X2938" t="str">
        <f t="shared" si="229"/>
        <v>Fair</v>
      </c>
    </row>
    <row r="2939" spans="1:24" x14ac:dyDescent="0.3">
      <c r="A2939" t="s">
        <v>3007</v>
      </c>
      <c r="B2939" t="s">
        <v>20</v>
      </c>
      <c r="C2939">
        <v>24</v>
      </c>
      <c r="D2939" t="s">
        <v>47</v>
      </c>
      <c r="E2939" t="s">
        <v>40</v>
      </c>
      <c r="F2939" t="s">
        <v>75</v>
      </c>
      <c r="G2939" t="s">
        <v>79</v>
      </c>
      <c r="H2939" t="s">
        <v>76</v>
      </c>
      <c r="I2939" t="s">
        <v>80</v>
      </c>
      <c r="J2939" t="s">
        <v>60</v>
      </c>
      <c r="K2939">
        <v>9</v>
      </c>
      <c r="L2939">
        <v>56437</v>
      </c>
      <c r="M2939" t="s">
        <v>51</v>
      </c>
      <c r="N2939">
        <v>4</v>
      </c>
      <c r="O2939">
        <v>3</v>
      </c>
      <c r="P2939">
        <v>38</v>
      </c>
      <c r="Q2939">
        <v>1</v>
      </c>
      <c r="R2939" s="1">
        <v>41697</v>
      </c>
      <c r="S2939" t="s">
        <v>29</v>
      </c>
      <c r="T2939" t="str">
        <f t="shared" si="225"/>
        <v>Grade B</v>
      </c>
      <c r="U2939">
        <f t="shared" si="226"/>
        <v>4</v>
      </c>
      <c r="V2939" t="str">
        <f t="shared" si="227"/>
        <v>Mid Level</v>
      </c>
      <c r="W2939" t="str">
        <f t="shared" si="228"/>
        <v>Low Risk</v>
      </c>
      <c r="X2939" t="str">
        <f t="shared" si="229"/>
        <v>Fair</v>
      </c>
    </row>
    <row r="2940" spans="1:24" x14ac:dyDescent="0.3">
      <c r="A2940" t="s">
        <v>3008</v>
      </c>
      <c r="B2940" t="s">
        <v>20</v>
      </c>
      <c r="C2940">
        <v>28</v>
      </c>
      <c r="D2940" t="s">
        <v>88</v>
      </c>
      <c r="E2940" t="s">
        <v>22</v>
      </c>
      <c r="F2940" t="s">
        <v>32</v>
      </c>
      <c r="G2940" t="s">
        <v>49</v>
      </c>
      <c r="H2940" t="s">
        <v>83</v>
      </c>
      <c r="I2940" t="s">
        <v>35</v>
      </c>
      <c r="J2940" t="s">
        <v>27</v>
      </c>
      <c r="K2940">
        <v>11</v>
      </c>
      <c r="L2940">
        <v>62726</v>
      </c>
      <c r="M2940" t="s">
        <v>45</v>
      </c>
      <c r="N2940">
        <v>3</v>
      </c>
      <c r="O2940">
        <v>4</v>
      </c>
      <c r="P2940">
        <v>76</v>
      </c>
      <c r="Q2940">
        <v>3</v>
      </c>
      <c r="R2940" s="1">
        <v>41269</v>
      </c>
      <c r="S2940" t="s">
        <v>29</v>
      </c>
      <c r="T2940" t="str">
        <f t="shared" si="225"/>
        <v>Grade B</v>
      </c>
      <c r="U2940">
        <f t="shared" si="226"/>
        <v>2</v>
      </c>
      <c r="V2940" t="str">
        <f t="shared" si="227"/>
        <v>Senior</v>
      </c>
      <c r="W2940" t="str">
        <f t="shared" si="228"/>
        <v>Medium Risk</v>
      </c>
      <c r="X2940" t="str">
        <f t="shared" si="229"/>
        <v>Fair</v>
      </c>
    </row>
    <row r="2941" spans="1:24" x14ac:dyDescent="0.3">
      <c r="A2941" t="s">
        <v>3009</v>
      </c>
      <c r="B2941" t="s">
        <v>39</v>
      </c>
      <c r="C2941">
        <v>33</v>
      </c>
      <c r="D2941" t="s">
        <v>88</v>
      </c>
      <c r="E2941" t="s">
        <v>40</v>
      </c>
      <c r="F2941" t="s">
        <v>41</v>
      </c>
      <c r="G2941" t="s">
        <v>49</v>
      </c>
      <c r="H2941" t="s">
        <v>25</v>
      </c>
      <c r="I2941" t="s">
        <v>50</v>
      </c>
      <c r="J2941" t="s">
        <v>44</v>
      </c>
      <c r="K2941">
        <v>9</v>
      </c>
      <c r="L2941">
        <v>65823</v>
      </c>
      <c r="M2941" t="s">
        <v>51</v>
      </c>
      <c r="N2941">
        <v>2</v>
      </c>
      <c r="O2941">
        <v>3</v>
      </c>
      <c r="P2941">
        <v>54</v>
      </c>
      <c r="Q2941">
        <v>2</v>
      </c>
      <c r="R2941" s="1">
        <v>41844</v>
      </c>
      <c r="S2941" t="s">
        <v>29</v>
      </c>
      <c r="T2941" t="str">
        <f t="shared" si="225"/>
        <v>Grade B</v>
      </c>
      <c r="U2941">
        <f t="shared" si="226"/>
        <v>4</v>
      </c>
      <c r="V2941" t="str">
        <f t="shared" si="227"/>
        <v>Mid Level</v>
      </c>
      <c r="W2941" t="str">
        <f t="shared" si="228"/>
        <v>Low Risk</v>
      </c>
      <c r="X2941" t="str">
        <f t="shared" si="229"/>
        <v>Fair</v>
      </c>
    </row>
    <row r="2942" spans="1:24" x14ac:dyDescent="0.3">
      <c r="A2942" t="s">
        <v>3010</v>
      </c>
      <c r="B2942" t="s">
        <v>39</v>
      </c>
      <c r="C2942">
        <v>44</v>
      </c>
      <c r="D2942" t="s">
        <v>21</v>
      </c>
      <c r="E2942" t="s">
        <v>48</v>
      </c>
      <c r="F2942" t="s">
        <v>32</v>
      </c>
      <c r="G2942" t="s">
        <v>79</v>
      </c>
      <c r="H2942" t="s">
        <v>67</v>
      </c>
      <c r="I2942" t="s">
        <v>26</v>
      </c>
      <c r="J2942" t="s">
        <v>27</v>
      </c>
      <c r="K2942">
        <v>9</v>
      </c>
      <c r="L2942">
        <v>57971</v>
      </c>
      <c r="M2942" t="s">
        <v>36</v>
      </c>
      <c r="N2942">
        <v>3</v>
      </c>
      <c r="O2942">
        <v>2</v>
      </c>
      <c r="P2942">
        <v>77</v>
      </c>
      <c r="Q2942">
        <v>1</v>
      </c>
      <c r="R2942" s="1">
        <v>41850</v>
      </c>
      <c r="S2942" t="s">
        <v>29</v>
      </c>
      <c r="T2942" t="str">
        <f t="shared" si="225"/>
        <v>Grade B</v>
      </c>
      <c r="U2942">
        <f t="shared" si="226"/>
        <v>1</v>
      </c>
      <c r="V2942" t="str">
        <f t="shared" si="227"/>
        <v>Mid Level</v>
      </c>
      <c r="W2942" t="str">
        <f t="shared" si="228"/>
        <v>Medium Risk</v>
      </c>
      <c r="X2942" t="str">
        <f t="shared" si="229"/>
        <v>Fair</v>
      </c>
    </row>
    <row r="2943" spans="1:24" x14ac:dyDescent="0.3">
      <c r="A2943" t="s">
        <v>3011</v>
      </c>
      <c r="B2943" t="s">
        <v>20</v>
      </c>
      <c r="C2943">
        <v>50</v>
      </c>
      <c r="D2943" t="s">
        <v>57</v>
      </c>
      <c r="E2943" t="s">
        <v>48</v>
      </c>
      <c r="F2943" t="s">
        <v>32</v>
      </c>
      <c r="G2943" t="s">
        <v>58</v>
      </c>
      <c r="H2943" t="s">
        <v>34</v>
      </c>
      <c r="I2943" t="s">
        <v>50</v>
      </c>
      <c r="J2943" t="s">
        <v>44</v>
      </c>
      <c r="K2943">
        <v>14</v>
      </c>
      <c r="L2943">
        <v>104818</v>
      </c>
      <c r="M2943" t="s">
        <v>45</v>
      </c>
      <c r="N2943">
        <v>3</v>
      </c>
      <c r="O2943">
        <v>1</v>
      </c>
      <c r="P2943">
        <v>14</v>
      </c>
      <c r="Q2943">
        <v>2</v>
      </c>
      <c r="R2943" s="1">
        <v>39922</v>
      </c>
      <c r="S2943" t="s">
        <v>29</v>
      </c>
      <c r="T2943" t="str">
        <f t="shared" si="225"/>
        <v>Grade A</v>
      </c>
      <c r="U2943">
        <f t="shared" si="226"/>
        <v>2</v>
      </c>
      <c r="V2943" t="str">
        <f t="shared" si="227"/>
        <v>Senior</v>
      </c>
      <c r="W2943" t="str">
        <f t="shared" si="228"/>
        <v>Medium Risk</v>
      </c>
      <c r="X2943" t="str">
        <f t="shared" si="229"/>
        <v>Fair</v>
      </c>
    </row>
    <row r="2944" spans="1:24" x14ac:dyDescent="0.3">
      <c r="A2944" t="s">
        <v>3012</v>
      </c>
      <c r="B2944" t="s">
        <v>39</v>
      </c>
      <c r="C2944">
        <v>46</v>
      </c>
      <c r="D2944" t="s">
        <v>21</v>
      </c>
      <c r="E2944" t="s">
        <v>48</v>
      </c>
      <c r="F2944" t="s">
        <v>65</v>
      </c>
      <c r="G2944" t="s">
        <v>58</v>
      </c>
      <c r="H2944" t="s">
        <v>76</v>
      </c>
      <c r="I2944" t="s">
        <v>59</v>
      </c>
      <c r="J2944" t="s">
        <v>60</v>
      </c>
      <c r="K2944">
        <v>12</v>
      </c>
      <c r="L2944">
        <v>106207</v>
      </c>
      <c r="M2944" t="s">
        <v>36</v>
      </c>
      <c r="N2944">
        <v>2</v>
      </c>
      <c r="O2944">
        <v>3</v>
      </c>
      <c r="P2944">
        <v>70</v>
      </c>
      <c r="Q2944">
        <v>2</v>
      </c>
      <c r="R2944" s="1">
        <v>40806</v>
      </c>
      <c r="S2944" t="s">
        <v>37</v>
      </c>
      <c r="T2944" t="str">
        <f t="shared" si="225"/>
        <v>Grade A</v>
      </c>
      <c r="U2944">
        <f t="shared" si="226"/>
        <v>1</v>
      </c>
      <c r="V2944" t="str">
        <f t="shared" si="227"/>
        <v>Senior</v>
      </c>
      <c r="W2944" t="str">
        <f t="shared" si="228"/>
        <v>Already Left</v>
      </c>
      <c r="X2944" t="str">
        <f t="shared" si="229"/>
        <v>Overpaid</v>
      </c>
    </row>
    <row r="2945" spans="1:24" x14ac:dyDescent="0.3">
      <c r="A2945" t="s">
        <v>3013</v>
      </c>
      <c r="B2945" t="s">
        <v>20</v>
      </c>
      <c r="C2945">
        <v>26</v>
      </c>
      <c r="D2945" t="s">
        <v>31</v>
      </c>
      <c r="E2945" t="s">
        <v>40</v>
      </c>
      <c r="F2945" t="s">
        <v>65</v>
      </c>
      <c r="G2945" t="s">
        <v>49</v>
      </c>
      <c r="H2945" t="s">
        <v>83</v>
      </c>
      <c r="I2945" t="s">
        <v>26</v>
      </c>
      <c r="J2945" t="s">
        <v>27</v>
      </c>
      <c r="K2945">
        <v>12</v>
      </c>
      <c r="L2945">
        <v>68909</v>
      </c>
      <c r="M2945" t="s">
        <v>36</v>
      </c>
      <c r="N2945">
        <v>2</v>
      </c>
      <c r="O2945">
        <v>3</v>
      </c>
      <c r="P2945">
        <v>40</v>
      </c>
      <c r="Q2945">
        <v>3</v>
      </c>
      <c r="R2945" s="1">
        <v>40689</v>
      </c>
      <c r="S2945" t="s">
        <v>37</v>
      </c>
      <c r="T2945" t="str">
        <f t="shared" si="225"/>
        <v>Grade B</v>
      </c>
      <c r="U2945">
        <f t="shared" si="226"/>
        <v>1</v>
      </c>
      <c r="V2945" t="str">
        <f t="shared" si="227"/>
        <v>Senior</v>
      </c>
      <c r="W2945" t="str">
        <f t="shared" si="228"/>
        <v>Already Left</v>
      </c>
      <c r="X2945" t="str">
        <f t="shared" si="229"/>
        <v>Fair</v>
      </c>
    </row>
    <row r="2946" spans="1:24" x14ac:dyDescent="0.3">
      <c r="A2946" t="s">
        <v>3014</v>
      </c>
      <c r="B2946" t="s">
        <v>20</v>
      </c>
      <c r="C2946">
        <v>34</v>
      </c>
      <c r="D2946" t="s">
        <v>21</v>
      </c>
      <c r="E2946" t="s">
        <v>48</v>
      </c>
      <c r="F2946" t="s">
        <v>65</v>
      </c>
      <c r="G2946" t="s">
        <v>24</v>
      </c>
      <c r="H2946" t="s">
        <v>83</v>
      </c>
      <c r="I2946" t="s">
        <v>80</v>
      </c>
      <c r="J2946" t="s">
        <v>60</v>
      </c>
      <c r="K2946">
        <v>9</v>
      </c>
      <c r="L2946">
        <v>97732</v>
      </c>
      <c r="M2946" t="s">
        <v>36</v>
      </c>
      <c r="N2946">
        <v>1</v>
      </c>
      <c r="O2946">
        <v>3</v>
      </c>
      <c r="P2946">
        <v>60</v>
      </c>
      <c r="Q2946">
        <v>0</v>
      </c>
      <c r="R2946" s="1">
        <v>41754</v>
      </c>
      <c r="S2946" t="s">
        <v>29</v>
      </c>
      <c r="T2946" t="str">
        <f t="shared" ref="T2946:T3009" si="230">IF(L2946&gt;=80000,"Grade A",IF(L2946&gt;=50000,"Grade B",IF(L2946&gt;=35000,"Grade C","Grade D")))</f>
        <v>Grade A</v>
      </c>
      <c r="U2946">
        <f t="shared" ref="U2946:U3009" si="231">IF(M2946="Excellent",4,IF(M2946="Good",3,IF(M2946="Average",2,1)))</f>
        <v>1</v>
      </c>
      <c r="V2946" t="str">
        <f t="shared" ref="V2946:V3009" si="232">IF(K2946&lt;=2,"New Joiner",IF(K2946&lt;=5,"Junior",IF(K2946&lt;=10,"Mid Level","Senior")))</f>
        <v>Mid Level</v>
      </c>
      <c r="W2946" t="str">
        <f t="shared" ref="W2946:W3009" si="233">IF(S2946="Yes","Already Left",IF(AND(K2946&lt;=2,M2946="Poor"),"High Risk",IF(AND(K2946&lt;=5,M2946="Average"),"Medium Risk",IF(M2946="Excellent","Low Risk","Medium Risk"))))</f>
        <v>Medium Risk</v>
      </c>
      <c r="X2946" t="str">
        <f t="shared" ref="X2946:X3009" si="234">IF(AND(L2946&gt;=80000,M2946="Excellent"),"Competitive",IF(AND(L2946&gt;=50000,M2946="Good"),"Competitive",IF(AND(L2946&lt;35000,M2946="Excellent"),"Underpaid",IF(AND(L2946&gt;=80000,M2946="Poor"),"Overpaid","Fair"))))</f>
        <v>Overpaid</v>
      </c>
    </row>
    <row r="2947" spans="1:24" x14ac:dyDescent="0.3">
      <c r="A2947" t="s">
        <v>3015</v>
      </c>
      <c r="B2947" t="s">
        <v>39</v>
      </c>
      <c r="C2947">
        <v>31</v>
      </c>
      <c r="D2947" t="s">
        <v>31</v>
      </c>
      <c r="E2947" t="s">
        <v>48</v>
      </c>
      <c r="F2947" t="s">
        <v>78</v>
      </c>
      <c r="G2947" t="s">
        <v>63</v>
      </c>
      <c r="H2947" t="s">
        <v>25</v>
      </c>
      <c r="I2947" t="s">
        <v>26</v>
      </c>
      <c r="J2947" t="s">
        <v>27</v>
      </c>
      <c r="K2947">
        <v>10</v>
      </c>
      <c r="L2947">
        <v>65045</v>
      </c>
      <c r="M2947" t="s">
        <v>51</v>
      </c>
      <c r="N2947">
        <v>2</v>
      </c>
      <c r="O2947">
        <v>3</v>
      </c>
      <c r="P2947">
        <v>64</v>
      </c>
      <c r="Q2947">
        <v>1</v>
      </c>
      <c r="R2947" s="1">
        <v>41612</v>
      </c>
      <c r="S2947" t="s">
        <v>37</v>
      </c>
      <c r="T2947" t="str">
        <f t="shared" si="230"/>
        <v>Grade B</v>
      </c>
      <c r="U2947">
        <f t="shared" si="231"/>
        <v>4</v>
      </c>
      <c r="V2947" t="str">
        <f t="shared" si="232"/>
        <v>Mid Level</v>
      </c>
      <c r="W2947" t="str">
        <f t="shared" si="233"/>
        <v>Already Left</v>
      </c>
      <c r="X2947" t="str">
        <f t="shared" si="234"/>
        <v>Fair</v>
      </c>
    </row>
    <row r="2948" spans="1:24" x14ac:dyDescent="0.3">
      <c r="A2948" t="s">
        <v>3016</v>
      </c>
      <c r="B2948" t="s">
        <v>39</v>
      </c>
      <c r="C2948">
        <v>36</v>
      </c>
      <c r="D2948" t="s">
        <v>31</v>
      </c>
      <c r="E2948" t="s">
        <v>48</v>
      </c>
      <c r="F2948" t="s">
        <v>32</v>
      </c>
      <c r="G2948" t="s">
        <v>33</v>
      </c>
      <c r="H2948" t="s">
        <v>34</v>
      </c>
      <c r="I2948" t="s">
        <v>96</v>
      </c>
      <c r="J2948" t="s">
        <v>44</v>
      </c>
      <c r="K2948">
        <v>8</v>
      </c>
      <c r="L2948">
        <v>78531</v>
      </c>
      <c r="M2948" t="s">
        <v>36</v>
      </c>
      <c r="N2948">
        <v>1</v>
      </c>
      <c r="O2948">
        <v>3</v>
      </c>
      <c r="P2948">
        <v>54</v>
      </c>
      <c r="Q2948">
        <v>0</v>
      </c>
      <c r="R2948" s="1">
        <v>42372</v>
      </c>
      <c r="S2948" t="s">
        <v>37</v>
      </c>
      <c r="T2948" t="str">
        <f t="shared" si="230"/>
        <v>Grade B</v>
      </c>
      <c r="U2948">
        <f t="shared" si="231"/>
        <v>1</v>
      </c>
      <c r="V2948" t="str">
        <f t="shared" si="232"/>
        <v>Mid Level</v>
      </c>
      <c r="W2948" t="str">
        <f t="shared" si="233"/>
        <v>Already Left</v>
      </c>
      <c r="X2948" t="str">
        <f t="shared" si="234"/>
        <v>Fair</v>
      </c>
    </row>
    <row r="2949" spans="1:24" x14ac:dyDescent="0.3">
      <c r="A2949" t="s">
        <v>3017</v>
      </c>
      <c r="B2949" t="s">
        <v>20</v>
      </c>
      <c r="C2949">
        <v>49</v>
      </c>
      <c r="D2949" t="s">
        <v>31</v>
      </c>
      <c r="E2949" t="s">
        <v>22</v>
      </c>
      <c r="F2949" t="s">
        <v>78</v>
      </c>
      <c r="G2949" t="s">
        <v>24</v>
      </c>
      <c r="H2949" t="s">
        <v>25</v>
      </c>
      <c r="I2949" t="s">
        <v>59</v>
      </c>
      <c r="J2949" t="s">
        <v>60</v>
      </c>
      <c r="K2949">
        <v>13</v>
      </c>
      <c r="L2949">
        <v>108422</v>
      </c>
      <c r="M2949" t="s">
        <v>51</v>
      </c>
      <c r="N2949">
        <v>2</v>
      </c>
      <c r="O2949">
        <v>4</v>
      </c>
      <c r="P2949">
        <v>71</v>
      </c>
      <c r="Q2949">
        <v>2</v>
      </c>
      <c r="R2949" s="1">
        <v>40333</v>
      </c>
      <c r="S2949" t="s">
        <v>29</v>
      </c>
      <c r="T2949" t="str">
        <f t="shared" si="230"/>
        <v>Grade A</v>
      </c>
      <c r="U2949">
        <f t="shared" si="231"/>
        <v>4</v>
      </c>
      <c r="V2949" t="str">
        <f t="shared" si="232"/>
        <v>Senior</v>
      </c>
      <c r="W2949" t="str">
        <f t="shared" si="233"/>
        <v>Low Risk</v>
      </c>
      <c r="X2949" t="str">
        <f t="shared" si="234"/>
        <v>Competitive</v>
      </c>
    </row>
    <row r="2950" spans="1:24" x14ac:dyDescent="0.3">
      <c r="A2950" t="s">
        <v>3018</v>
      </c>
      <c r="B2950" t="s">
        <v>39</v>
      </c>
      <c r="C2950">
        <v>41</v>
      </c>
      <c r="D2950" t="s">
        <v>88</v>
      </c>
      <c r="E2950" t="s">
        <v>40</v>
      </c>
      <c r="F2950" t="s">
        <v>53</v>
      </c>
      <c r="G2950" t="s">
        <v>42</v>
      </c>
      <c r="H2950" t="s">
        <v>76</v>
      </c>
      <c r="I2950" t="s">
        <v>43</v>
      </c>
      <c r="J2950" t="s">
        <v>44</v>
      </c>
      <c r="K2950">
        <v>13</v>
      </c>
      <c r="L2950">
        <v>122175</v>
      </c>
      <c r="M2950" t="s">
        <v>45</v>
      </c>
      <c r="N2950">
        <v>2</v>
      </c>
      <c r="O2950">
        <v>4</v>
      </c>
      <c r="P2950">
        <v>56</v>
      </c>
      <c r="Q2950">
        <v>2</v>
      </c>
      <c r="R2950" s="1">
        <v>40540</v>
      </c>
      <c r="S2950" t="s">
        <v>29</v>
      </c>
      <c r="T2950" t="str">
        <f t="shared" si="230"/>
        <v>Grade A</v>
      </c>
      <c r="U2950">
        <f t="shared" si="231"/>
        <v>2</v>
      </c>
      <c r="V2950" t="str">
        <f t="shared" si="232"/>
        <v>Senior</v>
      </c>
      <c r="W2950" t="str">
        <f t="shared" si="233"/>
        <v>Medium Risk</v>
      </c>
      <c r="X2950" t="str">
        <f t="shared" si="234"/>
        <v>Fair</v>
      </c>
    </row>
    <row r="2951" spans="1:24" x14ac:dyDescent="0.3">
      <c r="A2951" t="s">
        <v>3019</v>
      </c>
      <c r="B2951" t="s">
        <v>20</v>
      </c>
      <c r="C2951">
        <v>50</v>
      </c>
      <c r="D2951" t="s">
        <v>21</v>
      </c>
      <c r="E2951" t="s">
        <v>48</v>
      </c>
      <c r="F2951" t="s">
        <v>32</v>
      </c>
      <c r="G2951" t="s">
        <v>24</v>
      </c>
      <c r="H2951" t="s">
        <v>76</v>
      </c>
      <c r="I2951" t="s">
        <v>72</v>
      </c>
      <c r="J2951" t="s">
        <v>73</v>
      </c>
      <c r="K2951">
        <v>11</v>
      </c>
      <c r="L2951">
        <v>92937</v>
      </c>
      <c r="M2951" t="s">
        <v>45</v>
      </c>
      <c r="N2951">
        <v>3</v>
      </c>
      <c r="O2951">
        <v>3</v>
      </c>
      <c r="P2951">
        <v>73</v>
      </c>
      <c r="Q2951">
        <v>3</v>
      </c>
      <c r="R2951" s="1">
        <v>40981</v>
      </c>
      <c r="S2951" t="s">
        <v>37</v>
      </c>
      <c r="T2951" t="str">
        <f t="shared" si="230"/>
        <v>Grade A</v>
      </c>
      <c r="U2951">
        <f t="shared" si="231"/>
        <v>2</v>
      </c>
      <c r="V2951" t="str">
        <f t="shared" si="232"/>
        <v>Senior</v>
      </c>
      <c r="W2951" t="str">
        <f t="shared" si="233"/>
        <v>Already Left</v>
      </c>
      <c r="X2951" t="str">
        <f t="shared" si="234"/>
        <v>Fair</v>
      </c>
    </row>
    <row r="2952" spans="1:24" x14ac:dyDescent="0.3">
      <c r="A2952" t="s">
        <v>3020</v>
      </c>
      <c r="B2952" t="s">
        <v>20</v>
      </c>
      <c r="C2952">
        <v>25</v>
      </c>
      <c r="D2952" t="s">
        <v>31</v>
      </c>
      <c r="E2952" t="s">
        <v>22</v>
      </c>
      <c r="F2952" t="s">
        <v>32</v>
      </c>
      <c r="G2952" t="s">
        <v>33</v>
      </c>
      <c r="H2952" t="s">
        <v>34</v>
      </c>
      <c r="I2952" t="s">
        <v>72</v>
      </c>
      <c r="J2952" t="s">
        <v>73</v>
      </c>
      <c r="K2952">
        <v>2</v>
      </c>
      <c r="L2952">
        <v>66618</v>
      </c>
      <c r="M2952" t="s">
        <v>51</v>
      </c>
      <c r="N2952">
        <v>3</v>
      </c>
      <c r="O2952">
        <v>2</v>
      </c>
      <c r="P2952">
        <v>76</v>
      </c>
      <c r="Q2952">
        <v>3</v>
      </c>
      <c r="R2952" s="1">
        <v>44478</v>
      </c>
      <c r="S2952" t="s">
        <v>29</v>
      </c>
      <c r="T2952" t="str">
        <f t="shared" si="230"/>
        <v>Grade B</v>
      </c>
      <c r="U2952">
        <f t="shared" si="231"/>
        <v>4</v>
      </c>
      <c r="V2952" t="str">
        <f t="shared" si="232"/>
        <v>New Joiner</v>
      </c>
      <c r="W2952" t="str">
        <f t="shared" si="233"/>
        <v>Low Risk</v>
      </c>
      <c r="X2952" t="str">
        <f t="shared" si="234"/>
        <v>Fair</v>
      </c>
    </row>
    <row r="2953" spans="1:24" x14ac:dyDescent="0.3">
      <c r="A2953" t="s">
        <v>3021</v>
      </c>
      <c r="B2953" t="s">
        <v>20</v>
      </c>
      <c r="C2953">
        <v>37</v>
      </c>
      <c r="D2953" t="s">
        <v>88</v>
      </c>
      <c r="E2953" t="s">
        <v>48</v>
      </c>
      <c r="F2953" t="s">
        <v>65</v>
      </c>
      <c r="G2953" t="s">
        <v>42</v>
      </c>
      <c r="H2953" t="s">
        <v>34</v>
      </c>
      <c r="I2953" t="s">
        <v>26</v>
      </c>
      <c r="J2953" t="s">
        <v>27</v>
      </c>
      <c r="K2953">
        <v>5</v>
      </c>
      <c r="L2953">
        <v>102363</v>
      </c>
      <c r="M2953" t="s">
        <v>28</v>
      </c>
      <c r="N2953">
        <v>3</v>
      </c>
      <c r="O2953">
        <v>3</v>
      </c>
      <c r="P2953">
        <v>32</v>
      </c>
      <c r="Q2953">
        <v>2</v>
      </c>
      <c r="R2953" s="1">
        <v>43400</v>
      </c>
      <c r="S2953" t="s">
        <v>37</v>
      </c>
      <c r="T2953" t="str">
        <f t="shared" si="230"/>
        <v>Grade A</v>
      </c>
      <c r="U2953">
        <f t="shared" si="231"/>
        <v>3</v>
      </c>
      <c r="V2953" t="str">
        <f t="shared" si="232"/>
        <v>Junior</v>
      </c>
      <c r="W2953" t="str">
        <f t="shared" si="233"/>
        <v>Already Left</v>
      </c>
      <c r="X2953" t="str">
        <f t="shared" si="234"/>
        <v>Competitive</v>
      </c>
    </row>
    <row r="2954" spans="1:24" x14ac:dyDescent="0.3">
      <c r="A2954" t="s">
        <v>3022</v>
      </c>
      <c r="B2954" t="s">
        <v>20</v>
      </c>
      <c r="C2954">
        <v>24</v>
      </c>
      <c r="D2954" t="s">
        <v>88</v>
      </c>
      <c r="E2954" t="s">
        <v>40</v>
      </c>
      <c r="F2954" t="s">
        <v>53</v>
      </c>
      <c r="G2954" t="s">
        <v>58</v>
      </c>
      <c r="H2954" t="s">
        <v>34</v>
      </c>
      <c r="I2954" t="s">
        <v>50</v>
      </c>
      <c r="J2954" t="s">
        <v>44</v>
      </c>
      <c r="K2954">
        <v>14</v>
      </c>
      <c r="L2954">
        <v>112880</v>
      </c>
      <c r="M2954" t="s">
        <v>45</v>
      </c>
      <c r="N2954">
        <v>4</v>
      </c>
      <c r="O2954">
        <v>4</v>
      </c>
      <c r="P2954">
        <v>35</v>
      </c>
      <c r="Q2954">
        <v>2</v>
      </c>
      <c r="R2954" s="1">
        <v>39919</v>
      </c>
      <c r="S2954" t="s">
        <v>29</v>
      </c>
      <c r="T2954" t="str">
        <f t="shared" si="230"/>
        <v>Grade A</v>
      </c>
      <c r="U2954">
        <f t="shared" si="231"/>
        <v>2</v>
      </c>
      <c r="V2954" t="str">
        <f t="shared" si="232"/>
        <v>Senior</v>
      </c>
      <c r="W2954" t="str">
        <f t="shared" si="233"/>
        <v>Medium Risk</v>
      </c>
      <c r="X2954" t="str">
        <f t="shared" si="234"/>
        <v>Fair</v>
      </c>
    </row>
    <row r="2955" spans="1:24" x14ac:dyDescent="0.3">
      <c r="A2955" t="s">
        <v>3023</v>
      </c>
      <c r="B2955" t="s">
        <v>20</v>
      </c>
      <c r="C2955">
        <v>51</v>
      </c>
      <c r="D2955" t="s">
        <v>47</v>
      </c>
      <c r="E2955" t="s">
        <v>48</v>
      </c>
      <c r="F2955" t="s">
        <v>78</v>
      </c>
      <c r="G2955" t="s">
        <v>33</v>
      </c>
      <c r="H2955" t="s">
        <v>67</v>
      </c>
      <c r="I2955" t="s">
        <v>68</v>
      </c>
      <c r="J2955" t="s">
        <v>60</v>
      </c>
      <c r="K2955">
        <v>8</v>
      </c>
      <c r="L2955">
        <v>69394</v>
      </c>
      <c r="M2955" t="s">
        <v>45</v>
      </c>
      <c r="N2955">
        <v>1</v>
      </c>
      <c r="O2955">
        <v>3</v>
      </c>
      <c r="P2955">
        <v>62</v>
      </c>
      <c r="Q2955">
        <v>0</v>
      </c>
      <c r="R2955" s="1">
        <v>42193</v>
      </c>
      <c r="S2955" t="s">
        <v>37</v>
      </c>
      <c r="T2955" t="str">
        <f t="shared" si="230"/>
        <v>Grade B</v>
      </c>
      <c r="U2955">
        <f t="shared" si="231"/>
        <v>2</v>
      </c>
      <c r="V2955" t="str">
        <f t="shared" si="232"/>
        <v>Mid Level</v>
      </c>
      <c r="W2955" t="str">
        <f t="shared" si="233"/>
        <v>Already Left</v>
      </c>
      <c r="X2955" t="str">
        <f t="shared" si="234"/>
        <v>Fair</v>
      </c>
    </row>
    <row r="2956" spans="1:24" x14ac:dyDescent="0.3">
      <c r="A2956" t="s">
        <v>3024</v>
      </c>
      <c r="B2956" t="s">
        <v>20</v>
      </c>
      <c r="C2956">
        <v>34</v>
      </c>
      <c r="D2956" t="s">
        <v>21</v>
      </c>
      <c r="E2956" t="s">
        <v>48</v>
      </c>
      <c r="F2956" t="s">
        <v>53</v>
      </c>
      <c r="G2956" t="s">
        <v>63</v>
      </c>
      <c r="H2956" t="s">
        <v>83</v>
      </c>
      <c r="I2956" t="s">
        <v>43</v>
      </c>
      <c r="J2956" t="s">
        <v>44</v>
      </c>
      <c r="K2956">
        <v>4</v>
      </c>
      <c r="L2956">
        <v>58522</v>
      </c>
      <c r="M2956" t="s">
        <v>36</v>
      </c>
      <c r="N2956">
        <v>1</v>
      </c>
      <c r="O2956">
        <v>2</v>
      </c>
      <c r="P2956">
        <v>19</v>
      </c>
      <c r="Q2956">
        <v>0</v>
      </c>
      <c r="R2956" s="1">
        <v>43562</v>
      </c>
      <c r="S2956" t="s">
        <v>37</v>
      </c>
      <c r="T2956" t="str">
        <f t="shared" si="230"/>
        <v>Grade B</v>
      </c>
      <c r="U2956">
        <f t="shared" si="231"/>
        <v>1</v>
      </c>
      <c r="V2956" t="str">
        <f t="shared" si="232"/>
        <v>Junior</v>
      </c>
      <c r="W2956" t="str">
        <f t="shared" si="233"/>
        <v>Already Left</v>
      </c>
      <c r="X2956" t="str">
        <f t="shared" si="234"/>
        <v>Fair</v>
      </c>
    </row>
    <row r="2957" spans="1:24" x14ac:dyDescent="0.3">
      <c r="A2957" t="s">
        <v>3025</v>
      </c>
      <c r="B2957" t="s">
        <v>20</v>
      </c>
      <c r="C2957">
        <v>52</v>
      </c>
      <c r="D2957" t="s">
        <v>57</v>
      </c>
      <c r="E2957" t="s">
        <v>22</v>
      </c>
      <c r="F2957" t="s">
        <v>75</v>
      </c>
      <c r="G2957" t="s">
        <v>24</v>
      </c>
      <c r="H2957" t="s">
        <v>76</v>
      </c>
      <c r="I2957" t="s">
        <v>43</v>
      </c>
      <c r="J2957" t="s">
        <v>44</v>
      </c>
      <c r="K2957">
        <v>7</v>
      </c>
      <c r="L2957">
        <v>89181</v>
      </c>
      <c r="M2957" t="s">
        <v>51</v>
      </c>
      <c r="N2957">
        <v>1</v>
      </c>
      <c r="O2957">
        <v>2</v>
      </c>
      <c r="P2957">
        <v>33</v>
      </c>
      <c r="Q2957">
        <v>2</v>
      </c>
      <c r="R2957" s="1">
        <v>42421</v>
      </c>
      <c r="S2957" t="s">
        <v>29</v>
      </c>
      <c r="T2957" t="str">
        <f t="shared" si="230"/>
        <v>Grade A</v>
      </c>
      <c r="U2957">
        <f t="shared" si="231"/>
        <v>4</v>
      </c>
      <c r="V2957" t="str">
        <f t="shared" si="232"/>
        <v>Mid Level</v>
      </c>
      <c r="W2957" t="str">
        <f t="shared" si="233"/>
        <v>Low Risk</v>
      </c>
      <c r="X2957" t="str">
        <f t="shared" si="234"/>
        <v>Competitive</v>
      </c>
    </row>
    <row r="2958" spans="1:24" x14ac:dyDescent="0.3">
      <c r="A2958" t="s">
        <v>3026</v>
      </c>
      <c r="B2958" t="s">
        <v>39</v>
      </c>
      <c r="C2958">
        <v>51</v>
      </c>
      <c r="D2958" t="s">
        <v>21</v>
      </c>
      <c r="E2958" t="s">
        <v>48</v>
      </c>
      <c r="F2958" t="s">
        <v>53</v>
      </c>
      <c r="G2958" t="s">
        <v>63</v>
      </c>
      <c r="H2958" t="s">
        <v>67</v>
      </c>
      <c r="I2958" t="s">
        <v>96</v>
      </c>
      <c r="J2958" t="s">
        <v>44</v>
      </c>
      <c r="K2958">
        <v>8</v>
      </c>
      <c r="L2958">
        <v>69089</v>
      </c>
      <c r="M2958" t="s">
        <v>45</v>
      </c>
      <c r="N2958">
        <v>4</v>
      </c>
      <c r="O2958">
        <v>1</v>
      </c>
      <c r="P2958">
        <v>44</v>
      </c>
      <c r="Q2958">
        <v>2</v>
      </c>
      <c r="R2958" s="1">
        <v>42147</v>
      </c>
      <c r="S2958" t="s">
        <v>29</v>
      </c>
      <c r="T2958" t="str">
        <f t="shared" si="230"/>
        <v>Grade B</v>
      </c>
      <c r="U2958">
        <f t="shared" si="231"/>
        <v>2</v>
      </c>
      <c r="V2958" t="str">
        <f t="shared" si="232"/>
        <v>Mid Level</v>
      </c>
      <c r="W2958" t="str">
        <f t="shared" si="233"/>
        <v>Medium Risk</v>
      </c>
      <c r="X2958" t="str">
        <f t="shared" si="234"/>
        <v>Fair</v>
      </c>
    </row>
    <row r="2959" spans="1:24" x14ac:dyDescent="0.3">
      <c r="A2959" t="s">
        <v>3027</v>
      </c>
      <c r="B2959" t="s">
        <v>39</v>
      </c>
      <c r="C2959">
        <v>23</v>
      </c>
      <c r="D2959" t="s">
        <v>88</v>
      </c>
      <c r="E2959" t="s">
        <v>22</v>
      </c>
      <c r="F2959" t="s">
        <v>53</v>
      </c>
      <c r="G2959" t="s">
        <v>66</v>
      </c>
      <c r="H2959" t="s">
        <v>25</v>
      </c>
      <c r="I2959" t="s">
        <v>96</v>
      </c>
      <c r="J2959" t="s">
        <v>44</v>
      </c>
      <c r="K2959">
        <v>9</v>
      </c>
      <c r="L2959">
        <v>48653</v>
      </c>
      <c r="M2959" t="s">
        <v>36</v>
      </c>
      <c r="N2959">
        <v>3</v>
      </c>
      <c r="O2959">
        <v>1</v>
      </c>
      <c r="P2959">
        <v>38</v>
      </c>
      <c r="Q2959">
        <v>3</v>
      </c>
      <c r="R2959" s="1">
        <v>41930</v>
      </c>
      <c r="S2959" t="s">
        <v>37</v>
      </c>
      <c r="T2959" t="str">
        <f t="shared" si="230"/>
        <v>Grade C</v>
      </c>
      <c r="U2959">
        <f t="shared" si="231"/>
        <v>1</v>
      </c>
      <c r="V2959" t="str">
        <f t="shared" si="232"/>
        <v>Mid Level</v>
      </c>
      <c r="W2959" t="str">
        <f t="shared" si="233"/>
        <v>Already Left</v>
      </c>
      <c r="X2959" t="str">
        <f t="shared" si="234"/>
        <v>Fair</v>
      </c>
    </row>
    <row r="2960" spans="1:24" x14ac:dyDescent="0.3">
      <c r="A2960" t="s">
        <v>3028</v>
      </c>
      <c r="B2960" t="s">
        <v>20</v>
      </c>
      <c r="C2960">
        <v>42</v>
      </c>
      <c r="D2960" t="s">
        <v>88</v>
      </c>
      <c r="E2960" t="s">
        <v>22</v>
      </c>
      <c r="F2960" t="s">
        <v>62</v>
      </c>
      <c r="G2960" t="s">
        <v>42</v>
      </c>
      <c r="H2960" t="s">
        <v>25</v>
      </c>
      <c r="I2960" t="s">
        <v>59</v>
      </c>
      <c r="J2960" t="s">
        <v>60</v>
      </c>
      <c r="K2960">
        <v>3</v>
      </c>
      <c r="L2960">
        <v>106673</v>
      </c>
      <c r="M2960" t="s">
        <v>45</v>
      </c>
      <c r="N2960">
        <v>2</v>
      </c>
      <c r="O2960">
        <v>1</v>
      </c>
      <c r="P2960">
        <v>24</v>
      </c>
      <c r="Q2960">
        <v>2</v>
      </c>
      <c r="R2960" s="1">
        <v>44164</v>
      </c>
      <c r="S2960" t="s">
        <v>37</v>
      </c>
      <c r="T2960" t="str">
        <f t="shared" si="230"/>
        <v>Grade A</v>
      </c>
      <c r="U2960">
        <f t="shared" si="231"/>
        <v>2</v>
      </c>
      <c r="V2960" t="str">
        <f t="shared" si="232"/>
        <v>Junior</v>
      </c>
      <c r="W2960" t="str">
        <f t="shared" si="233"/>
        <v>Already Left</v>
      </c>
      <c r="X2960" t="str">
        <f t="shared" si="234"/>
        <v>Fair</v>
      </c>
    </row>
    <row r="2961" spans="1:24" x14ac:dyDescent="0.3">
      <c r="A2961" t="s">
        <v>3029</v>
      </c>
      <c r="B2961" t="s">
        <v>20</v>
      </c>
      <c r="C2961">
        <v>34</v>
      </c>
      <c r="D2961" t="s">
        <v>21</v>
      </c>
      <c r="E2961" t="s">
        <v>22</v>
      </c>
      <c r="F2961" t="s">
        <v>78</v>
      </c>
      <c r="G2961" t="s">
        <v>58</v>
      </c>
      <c r="H2961" t="s">
        <v>83</v>
      </c>
      <c r="I2961" t="s">
        <v>26</v>
      </c>
      <c r="J2961" t="s">
        <v>27</v>
      </c>
      <c r="K2961">
        <v>8</v>
      </c>
      <c r="L2961">
        <v>105247</v>
      </c>
      <c r="M2961" t="s">
        <v>51</v>
      </c>
      <c r="N2961">
        <v>1</v>
      </c>
      <c r="O2961">
        <v>4</v>
      </c>
      <c r="P2961">
        <v>48</v>
      </c>
      <c r="Q2961">
        <v>2</v>
      </c>
      <c r="R2961" s="1">
        <v>42131</v>
      </c>
      <c r="S2961" t="s">
        <v>29</v>
      </c>
      <c r="T2961" t="str">
        <f t="shared" si="230"/>
        <v>Grade A</v>
      </c>
      <c r="U2961">
        <f t="shared" si="231"/>
        <v>4</v>
      </c>
      <c r="V2961" t="str">
        <f t="shared" si="232"/>
        <v>Mid Level</v>
      </c>
      <c r="W2961" t="str">
        <f t="shared" si="233"/>
        <v>Low Risk</v>
      </c>
      <c r="X2961" t="str">
        <f t="shared" si="234"/>
        <v>Competitive</v>
      </c>
    </row>
    <row r="2962" spans="1:24" x14ac:dyDescent="0.3">
      <c r="A2962" t="s">
        <v>3030</v>
      </c>
      <c r="B2962" t="s">
        <v>39</v>
      </c>
      <c r="C2962">
        <v>45</v>
      </c>
      <c r="D2962" t="s">
        <v>47</v>
      </c>
      <c r="E2962" t="s">
        <v>22</v>
      </c>
      <c r="F2962" t="s">
        <v>32</v>
      </c>
      <c r="G2962" t="s">
        <v>42</v>
      </c>
      <c r="H2962" t="s">
        <v>67</v>
      </c>
      <c r="I2962" t="s">
        <v>59</v>
      </c>
      <c r="J2962" t="s">
        <v>60</v>
      </c>
      <c r="K2962">
        <v>15</v>
      </c>
      <c r="L2962">
        <v>120287</v>
      </c>
      <c r="M2962" t="s">
        <v>36</v>
      </c>
      <c r="N2962">
        <v>2</v>
      </c>
      <c r="O2962">
        <v>1</v>
      </c>
      <c r="P2962">
        <v>14</v>
      </c>
      <c r="Q2962">
        <v>0</v>
      </c>
      <c r="R2962" s="1">
        <v>39813</v>
      </c>
      <c r="S2962" t="s">
        <v>37</v>
      </c>
      <c r="T2962" t="str">
        <f t="shared" si="230"/>
        <v>Grade A</v>
      </c>
      <c r="U2962">
        <f t="shared" si="231"/>
        <v>1</v>
      </c>
      <c r="V2962" t="str">
        <f t="shared" si="232"/>
        <v>Senior</v>
      </c>
      <c r="W2962" t="str">
        <f t="shared" si="233"/>
        <v>Already Left</v>
      </c>
      <c r="X2962" t="str">
        <f t="shared" si="234"/>
        <v>Overpaid</v>
      </c>
    </row>
    <row r="2963" spans="1:24" x14ac:dyDescent="0.3">
      <c r="A2963" t="s">
        <v>3031</v>
      </c>
      <c r="B2963" t="s">
        <v>20</v>
      </c>
      <c r="C2963">
        <v>50</v>
      </c>
      <c r="D2963" t="s">
        <v>57</v>
      </c>
      <c r="E2963" t="s">
        <v>22</v>
      </c>
      <c r="F2963" t="s">
        <v>65</v>
      </c>
      <c r="G2963" t="s">
        <v>66</v>
      </c>
      <c r="H2963" t="s">
        <v>25</v>
      </c>
      <c r="I2963" t="s">
        <v>68</v>
      </c>
      <c r="J2963" t="s">
        <v>60</v>
      </c>
      <c r="K2963">
        <v>8</v>
      </c>
      <c r="L2963">
        <v>60521</v>
      </c>
      <c r="M2963" t="s">
        <v>36</v>
      </c>
      <c r="N2963">
        <v>2</v>
      </c>
      <c r="O2963">
        <v>1</v>
      </c>
      <c r="P2963">
        <v>71</v>
      </c>
      <c r="Q2963">
        <v>0</v>
      </c>
      <c r="R2963" s="1">
        <v>42076</v>
      </c>
      <c r="S2963" t="s">
        <v>37</v>
      </c>
      <c r="T2963" t="str">
        <f t="shared" si="230"/>
        <v>Grade B</v>
      </c>
      <c r="U2963">
        <f t="shared" si="231"/>
        <v>1</v>
      </c>
      <c r="V2963" t="str">
        <f t="shared" si="232"/>
        <v>Mid Level</v>
      </c>
      <c r="W2963" t="str">
        <f t="shared" si="233"/>
        <v>Already Left</v>
      </c>
      <c r="X2963" t="str">
        <f t="shared" si="234"/>
        <v>Fair</v>
      </c>
    </row>
    <row r="2964" spans="1:24" x14ac:dyDescent="0.3">
      <c r="A2964" t="s">
        <v>3032</v>
      </c>
      <c r="B2964" t="s">
        <v>20</v>
      </c>
      <c r="C2964">
        <v>35</v>
      </c>
      <c r="D2964" t="s">
        <v>31</v>
      </c>
      <c r="E2964" t="s">
        <v>48</v>
      </c>
      <c r="F2964" t="s">
        <v>75</v>
      </c>
      <c r="G2964" t="s">
        <v>49</v>
      </c>
      <c r="H2964" t="s">
        <v>34</v>
      </c>
      <c r="I2964" t="s">
        <v>72</v>
      </c>
      <c r="J2964" t="s">
        <v>73</v>
      </c>
      <c r="K2964">
        <v>6</v>
      </c>
      <c r="L2964">
        <v>58114</v>
      </c>
      <c r="M2964" t="s">
        <v>28</v>
      </c>
      <c r="N2964">
        <v>3</v>
      </c>
      <c r="O2964">
        <v>4</v>
      </c>
      <c r="P2964">
        <v>34</v>
      </c>
      <c r="Q2964">
        <v>3</v>
      </c>
      <c r="R2964" s="1">
        <v>43068</v>
      </c>
      <c r="S2964" t="s">
        <v>37</v>
      </c>
      <c r="T2964" t="str">
        <f t="shared" si="230"/>
        <v>Grade B</v>
      </c>
      <c r="U2964">
        <f t="shared" si="231"/>
        <v>3</v>
      </c>
      <c r="V2964" t="str">
        <f t="shared" si="232"/>
        <v>Mid Level</v>
      </c>
      <c r="W2964" t="str">
        <f t="shared" si="233"/>
        <v>Already Left</v>
      </c>
      <c r="X2964" t="str">
        <f t="shared" si="234"/>
        <v>Competitive</v>
      </c>
    </row>
    <row r="2965" spans="1:24" x14ac:dyDescent="0.3">
      <c r="A2965" t="s">
        <v>3033</v>
      </c>
      <c r="B2965" t="s">
        <v>39</v>
      </c>
      <c r="C2965">
        <v>23</v>
      </c>
      <c r="D2965" t="s">
        <v>57</v>
      </c>
      <c r="E2965" t="s">
        <v>22</v>
      </c>
      <c r="F2965" t="s">
        <v>32</v>
      </c>
      <c r="G2965" t="s">
        <v>63</v>
      </c>
      <c r="H2965" t="s">
        <v>76</v>
      </c>
      <c r="I2965" t="s">
        <v>96</v>
      </c>
      <c r="J2965" t="s">
        <v>44</v>
      </c>
      <c r="K2965">
        <v>4</v>
      </c>
      <c r="L2965">
        <v>52840</v>
      </c>
      <c r="M2965" t="s">
        <v>36</v>
      </c>
      <c r="N2965">
        <v>2</v>
      </c>
      <c r="O2965">
        <v>4</v>
      </c>
      <c r="P2965">
        <v>67</v>
      </c>
      <c r="Q2965">
        <v>1</v>
      </c>
      <c r="R2965" s="1">
        <v>43674</v>
      </c>
      <c r="S2965" t="s">
        <v>29</v>
      </c>
      <c r="T2965" t="str">
        <f t="shared" si="230"/>
        <v>Grade B</v>
      </c>
      <c r="U2965">
        <f t="shared" si="231"/>
        <v>1</v>
      </c>
      <c r="V2965" t="str">
        <f t="shared" si="232"/>
        <v>Junior</v>
      </c>
      <c r="W2965" t="str">
        <f t="shared" si="233"/>
        <v>Medium Risk</v>
      </c>
      <c r="X2965" t="str">
        <f t="shared" si="234"/>
        <v>Fair</v>
      </c>
    </row>
    <row r="2966" spans="1:24" x14ac:dyDescent="0.3">
      <c r="A2966" t="s">
        <v>3034</v>
      </c>
      <c r="B2966" t="s">
        <v>39</v>
      </c>
      <c r="C2966">
        <v>30</v>
      </c>
      <c r="D2966" t="s">
        <v>21</v>
      </c>
      <c r="E2966" t="s">
        <v>22</v>
      </c>
      <c r="F2966" t="s">
        <v>53</v>
      </c>
      <c r="G2966" t="s">
        <v>58</v>
      </c>
      <c r="H2966" t="s">
        <v>83</v>
      </c>
      <c r="I2966" t="s">
        <v>54</v>
      </c>
      <c r="J2966" t="s">
        <v>27</v>
      </c>
      <c r="K2966">
        <v>14</v>
      </c>
      <c r="L2966">
        <v>112003</v>
      </c>
      <c r="M2966" t="s">
        <v>36</v>
      </c>
      <c r="N2966">
        <v>2</v>
      </c>
      <c r="O2966">
        <v>3</v>
      </c>
      <c r="P2966">
        <v>67</v>
      </c>
      <c r="Q2966">
        <v>2</v>
      </c>
      <c r="R2966" s="1">
        <v>40032</v>
      </c>
      <c r="S2966" t="s">
        <v>29</v>
      </c>
      <c r="T2966" t="str">
        <f t="shared" si="230"/>
        <v>Grade A</v>
      </c>
      <c r="U2966">
        <f t="shared" si="231"/>
        <v>1</v>
      </c>
      <c r="V2966" t="str">
        <f t="shared" si="232"/>
        <v>Senior</v>
      </c>
      <c r="W2966" t="str">
        <f t="shared" si="233"/>
        <v>Medium Risk</v>
      </c>
      <c r="X2966" t="str">
        <f t="shared" si="234"/>
        <v>Overpaid</v>
      </c>
    </row>
    <row r="2967" spans="1:24" x14ac:dyDescent="0.3">
      <c r="A2967" t="s">
        <v>3035</v>
      </c>
      <c r="B2967" t="s">
        <v>39</v>
      </c>
      <c r="C2967">
        <v>54</v>
      </c>
      <c r="D2967" t="s">
        <v>57</v>
      </c>
      <c r="E2967" t="s">
        <v>22</v>
      </c>
      <c r="F2967" t="s">
        <v>65</v>
      </c>
      <c r="G2967" t="s">
        <v>33</v>
      </c>
      <c r="H2967" t="s">
        <v>83</v>
      </c>
      <c r="I2967" t="s">
        <v>59</v>
      </c>
      <c r="J2967" t="s">
        <v>60</v>
      </c>
      <c r="K2967">
        <v>10</v>
      </c>
      <c r="L2967">
        <v>87743</v>
      </c>
      <c r="M2967" t="s">
        <v>36</v>
      </c>
      <c r="N2967">
        <v>1</v>
      </c>
      <c r="O2967">
        <v>1</v>
      </c>
      <c r="P2967">
        <v>27</v>
      </c>
      <c r="Q2967">
        <v>0</v>
      </c>
      <c r="R2967" s="1">
        <v>41348</v>
      </c>
      <c r="S2967" t="s">
        <v>37</v>
      </c>
      <c r="T2967" t="str">
        <f t="shared" si="230"/>
        <v>Grade A</v>
      </c>
      <c r="U2967">
        <f t="shared" si="231"/>
        <v>1</v>
      </c>
      <c r="V2967" t="str">
        <f t="shared" si="232"/>
        <v>Mid Level</v>
      </c>
      <c r="W2967" t="str">
        <f t="shared" si="233"/>
        <v>Already Left</v>
      </c>
      <c r="X2967" t="str">
        <f t="shared" si="234"/>
        <v>Overpaid</v>
      </c>
    </row>
    <row r="2968" spans="1:24" x14ac:dyDescent="0.3">
      <c r="A2968" t="s">
        <v>3036</v>
      </c>
      <c r="B2968" t="s">
        <v>20</v>
      </c>
      <c r="C2968">
        <v>44</v>
      </c>
      <c r="D2968" t="s">
        <v>31</v>
      </c>
      <c r="E2968" t="s">
        <v>48</v>
      </c>
      <c r="F2968" t="s">
        <v>53</v>
      </c>
      <c r="G2968" t="s">
        <v>58</v>
      </c>
      <c r="H2968" t="s">
        <v>34</v>
      </c>
      <c r="I2968" t="s">
        <v>59</v>
      </c>
      <c r="J2968" t="s">
        <v>60</v>
      </c>
      <c r="K2968">
        <v>10</v>
      </c>
      <c r="L2968">
        <v>98435</v>
      </c>
      <c r="M2968" t="s">
        <v>28</v>
      </c>
      <c r="N2968">
        <v>4</v>
      </c>
      <c r="O2968">
        <v>1</v>
      </c>
      <c r="P2968">
        <v>65</v>
      </c>
      <c r="Q2968">
        <v>0</v>
      </c>
      <c r="R2968" s="1">
        <v>41641</v>
      </c>
      <c r="S2968" t="s">
        <v>29</v>
      </c>
      <c r="T2968" t="str">
        <f t="shared" si="230"/>
        <v>Grade A</v>
      </c>
      <c r="U2968">
        <f t="shared" si="231"/>
        <v>3</v>
      </c>
      <c r="V2968" t="str">
        <f t="shared" si="232"/>
        <v>Mid Level</v>
      </c>
      <c r="W2968" t="str">
        <f t="shared" si="233"/>
        <v>Medium Risk</v>
      </c>
      <c r="X2968" t="str">
        <f t="shared" si="234"/>
        <v>Competitive</v>
      </c>
    </row>
    <row r="2969" spans="1:24" x14ac:dyDescent="0.3">
      <c r="A2969" t="s">
        <v>3037</v>
      </c>
      <c r="B2969" t="s">
        <v>20</v>
      </c>
      <c r="C2969">
        <v>48</v>
      </c>
      <c r="D2969" t="s">
        <v>88</v>
      </c>
      <c r="E2969" t="s">
        <v>22</v>
      </c>
      <c r="F2969" t="s">
        <v>23</v>
      </c>
      <c r="G2969" t="s">
        <v>58</v>
      </c>
      <c r="H2969" t="s">
        <v>67</v>
      </c>
      <c r="I2969" t="s">
        <v>43</v>
      </c>
      <c r="J2969" t="s">
        <v>44</v>
      </c>
      <c r="K2969">
        <v>5</v>
      </c>
      <c r="L2969">
        <v>85200</v>
      </c>
      <c r="M2969" t="s">
        <v>51</v>
      </c>
      <c r="N2969">
        <v>1</v>
      </c>
      <c r="O2969">
        <v>2</v>
      </c>
      <c r="P2969">
        <v>25</v>
      </c>
      <c r="Q2969">
        <v>2</v>
      </c>
      <c r="R2969" s="1">
        <v>43118</v>
      </c>
      <c r="S2969" t="s">
        <v>29</v>
      </c>
      <c r="T2969" t="str">
        <f t="shared" si="230"/>
        <v>Grade A</v>
      </c>
      <c r="U2969">
        <f t="shared" si="231"/>
        <v>4</v>
      </c>
      <c r="V2969" t="str">
        <f t="shared" si="232"/>
        <v>Junior</v>
      </c>
      <c r="W2969" t="str">
        <f t="shared" si="233"/>
        <v>Low Risk</v>
      </c>
      <c r="X2969" t="str">
        <f t="shared" si="234"/>
        <v>Competitive</v>
      </c>
    </row>
    <row r="2970" spans="1:24" x14ac:dyDescent="0.3">
      <c r="A2970" t="s">
        <v>3038</v>
      </c>
      <c r="B2970" t="s">
        <v>39</v>
      </c>
      <c r="C2970">
        <v>28</v>
      </c>
      <c r="D2970" t="s">
        <v>21</v>
      </c>
      <c r="E2970" t="s">
        <v>22</v>
      </c>
      <c r="F2970" t="s">
        <v>32</v>
      </c>
      <c r="G2970" t="s">
        <v>66</v>
      </c>
      <c r="H2970" t="s">
        <v>76</v>
      </c>
      <c r="I2970" t="s">
        <v>59</v>
      </c>
      <c r="J2970" t="s">
        <v>60</v>
      </c>
      <c r="K2970">
        <v>15</v>
      </c>
      <c r="L2970">
        <v>71174</v>
      </c>
      <c r="M2970" t="s">
        <v>51</v>
      </c>
      <c r="N2970">
        <v>3</v>
      </c>
      <c r="O2970">
        <v>3</v>
      </c>
      <c r="P2970">
        <v>52</v>
      </c>
      <c r="Q2970">
        <v>1</v>
      </c>
      <c r="R2970" s="1">
        <v>39717</v>
      </c>
      <c r="S2970" t="s">
        <v>29</v>
      </c>
      <c r="T2970" t="str">
        <f t="shared" si="230"/>
        <v>Grade B</v>
      </c>
      <c r="U2970">
        <f t="shared" si="231"/>
        <v>4</v>
      </c>
      <c r="V2970" t="str">
        <f t="shared" si="232"/>
        <v>Senior</v>
      </c>
      <c r="W2970" t="str">
        <f t="shared" si="233"/>
        <v>Low Risk</v>
      </c>
      <c r="X2970" t="str">
        <f t="shared" si="234"/>
        <v>Fair</v>
      </c>
    </row>
    <row r="2971" spans="1:24" x14ac:dyDescent="0.3">
      <c r="A2971" t="s">
        <v>3039</v>
      </c>
      <c r="B2971" t="s">
        <v>39</v>
      </c>
      <c r="C2971">
        <v>46</v>
      </c>
      <c r="D2971" t="s">
        <v>31</v>
      </c>
      <c r="E2971" t="s">
        <v>22</v>
      </c>
      <c r="F2971" t="s">
        <v>41</v>
      </c>
      <c r="G2971" t="s">
        <v>63</v>
      </c>
      <c r="H2971" t="s">
        <v>76</v>
      </c>
      <c r="I2971" t="s">
        <v>54</v>
      </c>
      <c r="J2971" t="s">
        <v>27</v>
      </c>
      <c r="K2971">
        <v>10</v>
      </c>
      <c r="L2971">
        <v>56546</v>
      </c>
      <c r="M2971" t="s">
        <v>51</v>
      </c>
      <c r="N2971">
        <v>4</v>
      </c>
      <c r="O2971">
        <v>4</v>
      </c>
      <c r="P2971">
        <v>50</v>
      </c>
      <c r="Q2971">
        <v>1</v>
      </c>
      <c r="R2971" s="1">
        <v>41608</v>
      </c>
      <c r="S2971" t="s">
        <v>29</v>
      </c>
      <c r="T2971" t="str">
        <f t="shared" si="230"/>
        <v>Grade B</v>
      </c>
      <c r="U2971">
        <f t="shared" si="231"/>
        <v>4</v>
      </c>
      <c r="V2971" t="str">
        <f t="shared" si="232"/>
        <v>Mid Level</v>
      </c>
      <c r="W2971" t="str">
        <f t="shared" si="233"/>
        <v>Low Risk</v>
      </c>
      <c r="X2971" t="str">
        <f t="shared" si="234"/>
        <v>Fair</v>
      </c>
    </row>
    <row r="2972" spans="1:24" x14ac:dyDescent="0.3">
      <c r="A2972" t="s">
        <v>3040</v>
      </c>
      <c r="B2972" t="s">
        <v>39</v>
      </c>
      <c r="C2972">
        <v>26</v>
      </c>
      <c r="D2972" t="s">
        <v>57</v>
      </c>
      <c r="E2972" t="s">
        <v>40</v>
      </c>
      <c r="F2972" t="s">
        <v>65</v>
      </c>
      <c r="G2972" t="s">
        <v>49</v>
      </c>
      <c r="H2972" t="s">
        <v>34</v>
      </c>
      <c r="I2972" t="s">
        <v>50</v>
      </c>
      <c r="J2972" t="s">
        <v>44</v>
      </c>
      <c r="K2972">
        <v>9</v>
      </c>
      <c r="L2972">
        <v>71039</v>
      </c>
      <c r="M2972" t="s">
        <v>45</v>
      </c>
      <c r="N2972">
        <v>1</v>
      </c>
      <c r="O2972">
        <v>1</v>
      </c>
      <c r="P2972">
        <v>20</v>
      </c>
      <c r="Q2972">
        <v>2</v>
      </c>
      <c r="R2972" s="1">
        <v>41716</v>
      </c>
      <c r="S2972" t="s">
        <v>37</v>
      </c>
      <c r="T2972" t="str">
        <f t="shared" si="230"/>
        <v>Grade B</v>
      </c>
      <c r="U2972">
        <f t="shared" si="231"/>
        <v>2</v>
      </c>
      <c r="V2972" t="str">
        <f t="shared" si="232"/>
        <v>Mid Level</v>
      </c>
      <c r="W2972" t="str">
        <f t="shared" si="233"/>
        <v>Already Left</v>
      </c>
      <c r="X2972" t="str">
        <f t="shared" si="234"/>
        <v>Fair</v>
      </c>
    </row>
    <row r="2973" spans="1:24" x14ac:dyDescent="0.3">
      <c r="A2973" t="s">
        <v>3041</v>
      </c>
      <c r="B2973" t="s">
        <v>39</v>
      </c>
      <c r="C2973">
        <v>39</v>
      </c>
      <c r="D2973" t="s">
        <v>88</v>
      </c>
      <c r="E2973" t="s">
        <v>48</v>
      </c>
      <c r="F2973" t="s">
        <v>75</v>
      </c>
      <c r="G2973" t="s">
        <v>49</v>
      </c>
      <c r="H2973" t="s">
        <v>83</v>
      </c>
      <c r="I2973" t="s">
        <v>59</v>
      </c>
      <c r="J2973" t="s">
        <v>60</v>
      </c>
      <c r="K2973">
        <v>5</v>
      </c>
      <c r="L2973">
        <v>69938</v>
      </c>
      <c r="M2973" t="s">
        <v>36</v>
      </c>
      <c r="N2973">
        <v>2</v>
      </c>
      <c r="O2973">
        <v>2</v>
      </c>
      <c r="P2973">
        <v>17</v>
      </c>
      <c r="Q2973">
        <v>0</v>
      </c>
      <c r="R2973" s="1">
        <v>43144</v>
      </c>
      <c r="S2973" t="s">
        <v>37</v>
      </c>
      <c r="T2973" t="str">
        <f t="shared" si="230"/>
        <v>Grade B</v>
      </c>
      <c r="U2973">
        <f t="shared" si="231"/>
        <v>1</v>
      </c>
      <c r="V2973" t="str">
        <f t="shared" si="232"/>
        <v>Junior</v>
      </c>
      <c r="W2973" t="str">
        <f t="shared" si="233"/>
        <v>Already Left</v>
      </c>
      <c r="X2973" t="str">
        <f t="shared" si="234"/>
        <v>Fair</v>
      </c>
    </row>
    <row r="2974" spans="1:24" x14ac:dyDescent="0.3">
      <c r="A2974" t="s">
        <v>3042</v>
      </c>
      <c r="B2974" t="s">
        <v>39</v>
      </c>
      <c r="C2974">
        <v>44</v>
      </c>
      <c r="D2974" t="s">
        <v>47</v>
      </c>
      <c r="E2974" t="s">
        <v>22</v>
      </c>
      <c r="F2974" t="s">
        <v>75</v>
      </c>
      <c r="G2974" t="s">
        <v>49</v>
      </c>
      <c r="H2974" t="s">
        <v>83</v>
      </c>
      <c r="I2974" t="s">
        <v>54</v>
      </c>
      <c r="J2974" t="s">
        <v>27</v>
      </c>
      <c r="K2974">
        <v>6</v>
      </c>
      <c r="L2974">
        <v>62969</v>
      </c>
      <c r="M2974" t="s">
        <v>51</v>
      </c>
      <c r="N2974">
        <v>3</v>
      </c>
      <c r="O2974">
        <v>4</v>
      </c>
      <c r="P2974">
        <v>32</v>
      </c>
      <c r="Q2974">
        <v>2</v>
      </c>
      <c r="R2974" s="1">
        <v>42780</v>
      </c>
      <c r="S2974" t="s">
        <v>29</v>
      </c>
      <c r="T2974" t="str">
        <f t="shared" si="230"/>
        <v>Grade B</v>
      </c>
      <c r="U2974">
        <f t="shared" si="231"/>
        <v>4</v>
      </c>
      <c r="V2974" t="str">
        <f t="shared" si="232"/>
        <v>Mid Level</v>
      </c>
      <c r="W2974" t="str">
        <f t="shared" si="233"/>
        <v>Low Risk</v>
      </c>
      <c r="X2974" t="str">
        <f t="shared" si="234"/>
        <v>Fair</v>
      </c>
    </row>
    <row r="2975" spans="1:24" x14ac:dyDescent="0.3">
      <c r="A2975" t="s">
        <v>3043</v>
      </c>
      <c r="B2975" t="s">
        <v>20</v>
      </c>
      <c r="C2975">
        <v>42</v>
      </c>
      <c r="D2975" t="s">
        <v>31</v>
      </c>
      <c r="E2975" t="s">
        <v>22</v>
      </c>
      <c r="F2975" t="s">
        <v>23</v>
      </c>
      <c r="G2975" t="s">
        <v>42</v>
      </c>
      <c r="H2975" t="s">
        <v>25</v>
      </c>
      <c r="I2975" t="s">
        <v>35</v>
      </c>
      <c r="J2975" t="s">
        <v>27</v>
      </c>
      <c r="K2975">
        <v>1</v>
      </c>
      <c r="L2975">
        <v>100493</v>
      </c>
      <c r="M2975" t="s">
        <v>36</v>
      </c>
      <c r="N2975">
        <v>4</v>
      </c>
      <c r="O2975">
        <v>2</v>
      </c>
      <c r="P2975">
        <v>30</v>
      </c>
      <c r="Q2975">
        <v>2</v>
      </c>
      <c r="R2975" s="1">
        <v>44569</v>
      </c>
      <c r="S2975" t="s">
        <v>29</v>
      </c>
      <c r="T2975" t="str">
        <f t="shared" si="230"/>
        <v>Grade A</v>
      </c>
      <c r="U2975">
        <f t="shared" si="231"/>
        <v>1</v>
      </c>
      <c r="V2975" t="str">
        <f t="shared" si="232"/>
        <v>New Joiner</v>
      </c>
      <c r="W2975" t="str">
        <f t="shared" si="233"/>
        <v>High Risk</v>
      </c>
      <c r="X2975" t="str">
        <f t="shared" si="234"/>
        <v>Overpaid</v>
      </c>
    </row>
    <row r="2976" spans="1:24" x14ac:dyDescent="0.3">
      <c r="A2976" t="s">
        <v>3044</v>
      </c>
      <c r="B2976" t="s">
        <v>39</v>
      </c>
      <c r="C2976">
        <v>28</v>
      </c>
      <c r="D2976" t="s">
        <v>21</v>
      </c>
      <c r="E2976" t="s">
        <v>22</v>
      </c>
      <c r="F2976" t="s">
        <v>65</v>
      </c>
      <c r="G2976" t="s">
        <v>79</v>
      </c>
      <c r="H2976" t="s">
        <v>76</v>
      </c>
      <c r="I2976" t="s">
        <v>50</v>
      </c>
      <c r="J2976" t="s">
        <v>44</v>
      </c>
      <c r="K2976">
        <v>2</v>
      </c>
      <c r="L2976">
        <v>52538</v>
      </c>
      <c r="M2976" t="s">
        <v>45</v>
      </c>
      <c r="N2976">
        <v>1</v>
      </c>
      <c r="O2976">
        <v>4</v>
      </c>
      <c r="P2976">
        <v>61</v>
      </c>
      <c r="Q2976">
        <v>3</v>
      </c>
      <c r="R2976" s="1">
        <v>44373</v>
      </c>
      <c r="S2976" t="s">
        <v>29</v>
      </c>
      <c r="T2976" t="str">
        <f t="shared" si="230"/>
        <v>Grade B</v>
      </c>
      <c r="U2976">
        <f t="shared" si="231"/>
        <v>2</v>
      </c>
      <c r="V2976" t="str">
        <f t="shared" si="232"/>
        <v>New Joiner</v>
      </c>
      <c r="W2976" t="str">
        <f t="shared" si="233"/>
        <v>Medium Risk</v>
      </c>
      <c r="X2976" t="str">
        <f t="shared" si="234"/>
        <v>Fair</v>
      </c>
    </row>
    <row r="2977" spans="1:24" x14ac:dyDescent="0.3">
      <c r="A2977" t="s">
        <v>3045</v>
      </c>
      <c r="B2977" t="s">
        <v>20</v>
      </c>
      <c r="C2977">
        <v>55</v>
      </c>
      <c r="D2977" t="s">
        <v>21</v>
      </c>
      <c r="E2977" t="s">
        <v>48</v>
      </c>
      <c r="F2977" t="s">
        <v>23</v>
      </c>
      <c r="G2977" t="s">
        <v>79</v>
      </c>
      <c r="H2977" t="s">
        <v>34</v>
      </c>
      <c r="I2977" t="s">
        <v>96</v>
      </c>
      <c r="J2977" t="s">
        <v>44</v>
      </c>
      <c r="K2977">
        <v>3</v>
      </c>
      <c r="L2977">
        <v>52625</v>
      </c>
      <c r="M2977" t="s">
        <v>45</v>
      </c>
      <c r="N2977">
        <v>2</v>
      </c>
      <c r="O2977">
        <v>3</v>
      </c>
      <c r="P2977">
        <v>28</v>
      </c>
      <c r="Q2977">
        <v>0</v>
      </c>
      <c r="R2977" s="1">
        <v>43851</v>
      </c>
      <c r="S2977" t="s">
        <v>29</v>
      </c>
      <c r="T2977" t="str">
        <f t="shared" si="230"/>
        <v>Grade B</v>
      </c>
      <c r="U2977">
        <f t="shared" si="231"/>
        <v>2</v>
      </c>
      <c r="V2977" t="str">
        <f t="shared" si="232"/>
        <v>Junior</v>
      </c>
      <c r="W2977" t="str">
        <f t="shared" si="233"/>
        <v>Medium Risk</v>
      </c>
      <c r="X2977" t="str">
        <f t="shared" si="234"/>
        <v>Fair</v>
      </c>
    </row>
    <row r="2978" spans="1:24" x14ac:dyDescent="0.3">
      <c r="A2978" t="s">
        <v>3046</v>
      </c>
      <c r="B2978" t="s">
        <v>39</v>
      </c>
      <c r="C2978">
        <v>52</v>
      </c>
      <c r="D2978" t="s">
        <v>21</v>
      </c>
      <c r="E2978" t="s">
        <v>22</v>
      </c>
      <c r="F2978" t="s">
        <v>53</v>
      </c>
      <c r="G2978" t="s">
        <v>49</v>
      </c>
      <c r="H2978" t="s">
        <v>25</v>
      </c>
      <c r="I2978" t="s">
        <v>50</v>
      </c>
      <c r="J2978" t="s">
        <v>44</v>
      </c>
      <c r="K2978">
        <v>8</v>
      </c>
      <c r="L2978">
        <v>75947</v>
      </c>
      <c r="M2978" t="s">
        <v>45</v>
      </c>
      <c r="N2978">
        <v>4</v>
      </c>
      <c r="O2978">
        <v>4</v>
      </c>
      <c r="P2978">
        <v>36</v>
      </c>
      <c r="Q2978">
        <v>0</v>
      </c>
      <c r="R2978" s="1">
        <v>42349</v>
      </c>
      <c r="S2978" t="s">
        <v>29</v>
      </c>
      <c r="T2978" t="str">
        <f t="shared" si="230"/>
        <v>Grade B</v>
      </c>
      <c r="U2978">
        <f t="shared" si="231"/>
        <v>2</v>
      </c>
      <c r="V2978" t="str">
        <f t="shared" si="232"/>
        <v>Mid Level</v>
      </c>
      <c r="W2978" t="str">
        <f t="shared" si="233"/>
        <v>Medium Risk</v>
      </c>
      <c r="X2978" t="str">
        <f t="shared" si="234"/>
        <v>Fair</v>
      </c>
    </row>
    <row r="2979" spans="1:24" x14ac:dyDescent="0.3">
      <c r="A2979" t="s">
        <v>3047</v>
      </c>
      <c r="B2979" t="s">
        <v>39</v>
      </c>
      <c r="C2979">
        <v>51</v>
      </c>
      <c r="D2979" t="s">
        <v>31</v>
      </c>
      <c r="E2979" t="s">
        <v>40</v>
      </c>
      <c r="F2979" t="s">
        <v>23</v>
      </c>
      <c r="G2979" t="s">
        <v>42</v>
      </c>
      <c r="H2979" t="s">
        <v>25</v>
      </c>
      <c r="I2979" t="s">
        <v>68</v>
      </c>
      <c r="J2979" t="s">
        <v>60</v>
      </c>
      <c r="K2979">
        <v>10</v>
      </c>
      <c r="L2979">
        <v>122018</v>
      </c>
      <c r="M2979" t="s">
        <v>36</v>
      </c>
      <c r="N2979">
        <v>4</v>
      </c>
      <c r="O2979">
        <v>1</v>
      </c>
      <c r="P2979">
        <v>34</v>
      </c>
      <c r="Q2979">
        <v>2</v>
      </c>
      <c r="R2979" s="1">
        <v>41288</v>
      </c>
      <c r="S2979" t="s">
        <v>37</v>
      </c>
      <c r="T2979" t="str">
        <f t="shared" si="230"/>
        <v>Grade A</v>
      </c>
      <c r="U2979">
        <f t="shared" si="231"/>
        <v>1</v>
      </c>
      <c r="V2979" t="str">
        <f t="shared" si="232"/>
        <v>Mid Level</v>
      </c>
      <c r="W2979" t="str">
        <f t="shared" si="233"/>
        <v>Already Left</v>
      </c>
      <c r="X2979" t="str">
        <f t="shared" si="234"/>
        <v>Overpaid</v>
      </c>
    </row>
    <row r="2980" spans="1:24" x14ac:dyDescent="0.3">
      <c r="A2980" t="s">
        <v>3048</v>
      </c>
      <c r="B2980" t="s">
        <v>39</v>
      </c>
      <c r="C2980">
        <v>37</v>
      </c>
      <c r="D2980" t="s">
        <v>57</v>
      </c>
      <c r="E2980" t="s">
        <v>22</v>
      </c>
      <c r="F2980" t="s">
        <v>65</v>
      </c>
      <c r="G2980" t="s">
        <v>66</v>
      </c>
      <c r="H2980" t="s">
        <v>83</v>
      </c>
      <c r="I2980" t="s">
        <v>50</v>
      </c>
      <c r="J2980" t="s">
        <v>44</v>
      </c>
      <c r="K2980">
        <v>1</v>
      </c>
      <c r="L2980">
        <v>28877</v>
      </c>
      <c r="M2980" t="s">
        <v>45</v>
      </c>
      <c r="N2980">
        <v>4</v>
      </c>
      <c r="O2980">
        <v>1</v>
      </c>
      <c r="P2980">
        <v>10</v>
      </c>
      <c r="Q2980">
        <v>0</v>
      </c>
      <c r="R2980" s="1">
        <v>44644</v>
      </c>
      <c r="S2980" t="s">
        <v>37</v>
      </c>
      <c r="T2980" t="str">
        <f t="shared" si="230"/>
        <v>Grade D</v>
      </c>
      <c r="U2980">
        <f t="shared" si="231"/>
        <v>2</v>
      </c>
      <c r="V2980" t="str">
        <f t="shared" si="232"/>
        <v>New Joiner</v>
      </c>
      <c r="W2980" t="str">
        <f t="shared" si="233"/>
        <v>Already Left</v>
      </c>
      <c r="X2980" t="str">
        <f t="shared" si="234"/>
        <v>Fair</v>
      </c>
    </row>
    <row r="2981" spans="1:24" x14ac:dyDescent="0.3">
      <c r="A2981" t="s">
        <v>3049</v>
      </c>
      <c r="B2981" t="s">
        <v>39</v>
      </c>
      <c r="C2981">
        <v>22</v>
      </c>
      <c r="D2981" t="s">
        <v>88</v>
      </c>
      <c r="E2981" t="s">
        <v>48</v>
      </c>
      <c r="F2981" t="s">
        <v>65</v>
      </c>
      <c r="G2981" t="s">
        <v>24</v>
      </c>
      <c r="H2981" t="s">
        <v>25</v>
      </c>
      <c r="I2981" t="s">
        <v>80</v>
      </c>
      <c r="J2981" t="s">
        <v>60</v>
      </c>
      <c r="K2981">
        <v>12</v>
      </c>
      <c r="L2981">
        <v>95301</v>
      </c>
      <c r="M2981" t="s">
        <v>51</v>
      </c>
      <c r="N2981">
        <v>3</v>
      </c>
      <c r="O2981">
        <v>2</v>
      </c>
      <c r="P2981">
        <v>50</v>
      </c>
      <c r="Q2981">
        <v>2</v>
      </c>
      <c r="R2981" s="1">
        <v>40653</v>
      </c>
      <c r="S2981" t="s">
        <v>29</v>
      </c>
      <c r="T2981" t="str">
        <f t="shared" si="230"/>
        <v>Grade A</v>
      </c>
      <c r="U2981">
        <f t="shared" si="231"/>
        <v>4</v>
      </c>
      <c r="V2981" t="str">
        <f t="shared" si="232"/>
        <v>Senior</v>
      </c>
      <c r="W2981" t="str">
        <f t="shared" si="233"/>
        <v>Low Risk</v>
      </c>
      <c r="X2981" t="str">
        <f t="shared" si="234"/>
        <v>Competitive</v>
      </c>
    </row>
    <row r="2982" spans="1:24" x14ac:dyDescent="0.3">
      <c r="A2982" t="s">
        <v>3050</v>
      </c>
      <c r="B2982" t="s">
        <v>20</v>
      </c>
      <c r="C2982">
        <v>28</v>
      </c>
      <c r="D2982" t="s">
        <v>47</v>
      </c>
      <c r="E2982" t="s">
        <v>40</v>
      </c>
      <c r="F2982" t="s">
        <v>75</v>
      </c>
      <c r="G2982" t="s">
        <v>66</v>
      </c>
      <c r="H2982" t="s">
        <v>67</v>
      </c>
      <c r="I2982" t="s">
        <v>59</v>
      </c>
      <c r="J2982" t="s">
        <v>60</v>
      </c>
      <c r="K2982">
        <v>14</v>
      </c>
      <c r="L2982">
        <v>67134</v>
      </c>
      <c r="M2982" t="s">
        <v>45</v>
      </c>
      <c r="N2982">
        <v>4</v>
      </c>
      <c r="O2982">
        <v>1</v>
      </c>
      <c r="P2982">
        <v>18</v>
      </c>
      <c r="Q2982">
        <v>0</v>
      </c>
      <c r="R2982" s="1">
        <v>40043</v>
      </c>
      <c r="S2982" t="s">
        <v>37</v>
      </c>
      <c r="T2982" t="str">
        <f t="shared" si="230"/>
        <v>Grade B</v>
      </c>
      <c r="U2982">
        <f t="shared" si="231"/>
        <v>2</v>
      </c>
      <c r="V2982" t="str">
        <f t="shared" si="232"/>
        <v>Senior</v>
      </c>
      <c r="W2982" t="str">
        <f t="shared" si="233"/>
        <v>Already Left</v>
      </c>
      <c r="X2982" t="str">
        <f t="shared" si="234"/>
        <v>Fair</v>
      </c>
    </row>
    <row r="2983" spans="1:24" x14ac:dyDescent="0.3">
      <c r="A2983" t="s">
        <v>3051</v>
      </c>
      <c r="B2983" t="s">
        <v>20</v>
      </c>
      <c r="C2983">
        <v>49</v>
      </c>
      <c r="D2983" t="s">
        <v>21</v>
      </c>
      <c r="E2983" t="s">
        <v>22</v>
      </c>
      <c r="F2983" t="s">
        <v>32</v>
      </c>
      <c r="G2983" t="s">
        <v>24</v>
      </c>
      <c r="H2983" t="s">
        <v>67</v>
      </c>
      <c r="I2983" t="s">
        <v>54</v>
      </c>
      <c r="J2983" t="s">
        <v>27</v>
      </c>
      <c r="K2983">
        <v>6</v>
      </c>
      <c r="L2983">
        <v>96294</v>
      </c>
      <c r="M2983" t="s">
        <v>51</v>
      </c>
      <c r="N2983">
        <v>1</v>
      </c>
      <c r="O2983">
        <v>3</v>
      </c>
      <c r="P2983">
        <v>75</v>
      </c>
      <c r="Q2983">
        <v>1</v>
      </c>
      <c r="R2983" s="1">
        <v>43047</v>
      </c>
      <c r="S2983" t="s">
        <v>29</v>
      </c>
      <c r="T2983" t="str">
        <f t="shared" si="230"/>
        <v>Grade A</v>
      </c>
      <c r="U2983">
        <f t="shared" si="231"/>
        <v>4</v>
      </c>
      <c r="V2983" t="str">
        <f t="shared" si="232"/>
        <v>Mid Level</v>
      </c>
      <c r="W2983" t="str">
        <f t="shared" si="233"/>
        <v>Low Risk</v>
      </c>
      <c r="X2983" t="str">
        <f t="shared" si="234"/>
        <v>Competitive</v>
      </c>
    </row>
    <row r="2984" spans="1:24" x14ac:dyDescent="0.3">
      <c r="A2984" t="s">
        <v>3052</v>
      </c>
      <c r="B2984" t="s">
        <v>39</v>
      </c>
      <c r="C2984">
        <v>46</v>
      </c>
      <c r="D2984" t="s">
        <v>57</v>
      </c>
      <c r="E2984" t="s">
        <v>40</v>
      </c>
      <c r="F2984" t="s">
        <v>62</v>
      </c>
      <c r="G2984" t="s">
        <v>66</v>
      </c>
      <c r="H2984" t="s">
        <v>83</v>
      </c>
      <c r="I2984" t="s">
        <v>68</v>
      </c>
      <c r="J2984" t="s">
        <v>60</v>
      </c>
      <c r="K2984">
        <v>12</v>
      </c>
      <c r="L2984">
        <v>53440</v>
      </c>
      <c r="M2984" t="s">
        <v>36</v>
      </c>
      <c r="N2984">
        <v>3</v>
      </c>
      <c r="O2984">
        <v>1</v>
      </c>
      <c r="P2984">
        <v>17</v>
      </c>
      <c r="Q2984">
        <v>0</v>
      </c>
      <c r="R2984" s="1">
        <v>40845</v>
      </c>
      <c r="S2984" t="s">
        <v>37</v>
      </c>
      <c r="T2984" t="str">
        <f t="shared" si="230"/>
        <v>Grade B</v>
      </c>
      <c r="U2984">
        <f t="shared" si="231"/>
        <v>1</v>
      </c>
      <c r="V2984" t="str">
        <f t="shared" si="232"/>
        <v>Senior</v>
      </c>
      <c r="W2984" t="str">
        <f t="shared" si="233"/>
        <v>Already Left</v>
      </c>
      <c r="X2984" t="str">
        <f t="shared" si="234"/>
        <v>Fair</v>
      </c>
    </row>
    <row r="2985" spans="1:24" x14ac:dyDescent="0.3">
      <c r="A2985" t="s">
        <v>3053</v>
      </c>
      <c r="B2985" t="s">
        <v>20</v>
      </c>
      <c r="C2985">
        <v>43</v>
      </c>
      <c r="D2985" t="s">
        <v>31</v>
      </c>
      <c r="E2985" t="s">
        <v>40</v>
      </c>
      <c r="F2985" t="s">
        <v>41</v>
      </c>
      <c r="G2985" t="s">
        <v>58</v>
      </c>
      <c r="H2985" t="s">
        <v>67</v>
      </c>
      <c r="I2985" t="s">
        <v>26</v>
      </c>
      <c r="J2985" t="s">
        <v>27</v>
      </c>
      <c r="K2985">
        <v>4</v>
      </c>
      <c r="L2985">
        <v>87016</v>
      </c>
      <c r="M2985" t="s">
        <v>28</v>
      </c>
      <c r="N2985">
        <v>4</v>
      </c>
      <c r="O2985">
        <v>4</v>
      </c>
      <c r="P2985">
        <v>41</v>
      </c>
      <c r="Q2985">
        <v>1</v>
      </c>
      <c r="R2985" s="1">
        <v>43600</v>
      </c>
      <c r="S2985" t="s">
        <v>29</v>
      </c>
      <c r="T2985" t="str">
        <f t="shared" si="230"/>
        <v>Grade A</v>
      </c>
      <c r="U2985">
        <f t="shared" si="231"/>
        <v>3</v>
      </c>
      <c r="V2985" t="str">
        <f t="shared" si="232"/>
        <v>Junior</v>
      </c>
      <c r="W2985" t="str">
        <f t="shared" si="233"/>
        <v>Medium Risk</v>
      </c>
      <c r="X2985" t="str">
        <f t="shared" si="234"/>
        <v>Competitive</v>
      </c>
    </row>
    <row r="2986" spans="1:24" x14ac:dyDescent="0.3">
      <c r="A2986" t="s">
        <v>3054</v>
      </c>
      <c r="B2986" t="s">
        <v>20</v>
      </c>
      <c r="C2986">
        <v>32</v>
      </c>
      <c r="D2986" t="s">
        <v>47</v>
      </c>
      <c r="E2986" t="s">
        <v>40</v>
      </c>
      <c r="F2986" t="s">
        <v>32</v>
      </c>
      <c r="G2986" t="s">
        <v>42</v>
      </c>
      <c r="H2986" t="s">
        <v>76</v>
      </c>
      <c r="I2986" t="s">
        <v>59</v>
      </c>
      <c r="J2986" t="s">
        <v>60</v>
      </c>
      <c r="K2986">
        <v>2</v>
      </c>
      <c r="L2986">
        <v>96892</v>
      </c>
      <c r="M2986" t="s">
        <v>45</v>
      </c>
      <c r="N2986">
        <v>1</v>
      </c>
      <c r="O2986">
        <v>4</v>
      </c>
      <c r="P2986">
        <v>43</v>
      </c>
      <c r="Q2986">
        <v>0</v>
      </c>
      <c r="R2986" s="1">
        <v>44418</v>
      </c>
      <c r="S2986" t="s">
        <v>29</v>
      </c>
      <c r="T2986" t="str">
        <f t="shared" si="230"/>
        <v>Grade A</v>
      </c>
      <c r="U2986">
        <f t="shared" si="231"/>
        <v>2</v>
      </c>
      <c r="V2986" t="str">
        <f t="shared" si="232"/>
        <v>New Joiner</v>
      </c>
      <c r="W2986" t="str">
        <f t="shared" si="233"/>
        <v>Medium Risk</v>
      </c>
      <c r="X2986" t="str">
        <f t="shared" si="234"/>
        <v>Fair</v>
      </c>
    </row>
    <row r="2987" spans="1:24" x14ac:dyDescent="0.3">
      <c r="A2987" t="s">
        <v>3055</v>
      </c>
      <c r="B2987" t="s">
        <v>39</v>
      </c>
      <c r="C2987">
        <v>55</v>
      </c>
      <c r="D2987" t="s">
        <v>21</v>
      </c>
      <c r="E2987" t="s">
        <v>48</v>
      </c>
      <c r="F2987" t="s">
        <v>32</v>
      </c>
      <c r="G2987" t="s">
        <v>66</v>
      </c>
      <c r="H2987" t="s">
        <v>34</v>
      </c>
      <c r="I2987" t="s">
        <v>72</v>
      </c>
      <c r="J2987" t="s">
        <v>73</v>
      </c>
      <c r="K2987">
        <v>6</v>
      </c>
      <c r="L2987">
        <v>37242</v>
      </c>
      <c r="M2987" t="s">
        <v>51</v>
      </c>
      <c r="N2987">
        <v>2</v>
      </c>
      <c r="O2987">
        <v>4</v>
      </c>
      <c r="P2987">
        <v>29</v>
      </c>
      <c r="Q2987">
        <v>2</v>
      </c>
      <c r="R2987" s="1">
        <v>42964</v>
      </c>
      <c r="S2987" t="s">
        <v>29</v>
      </c>
      <c r="T2987" t="str">
        <f t="shared" si="230"/>
        <v>Grade C</v>
      </c>
      <c r="U2987">
        <f t="shared" si="231"/>
        <v>4</v>
      </c>
      <c r="V2987" t="str">
        <f t="shared" si="232"/>
        <v>Mid Level</v>
      </c>
      <c r="W2987" t="str">
        <f t="shared" si="233"/>
        <v>Low Risk</v>
      </c>
      <c r="X2987" t="str">
        <f t="shared" si="234"/>
        <v>Fair</v>
      </c>
    </row>
    <row r="2988" spans="1:24" x14ac:dyDescent="0.3">
      <c r="A2988" t="s">
        <v>3056</v>
      </c>
      <c r="B2988" t="s">
        <v>39</v>
      </c>
      <c r="C2988">
        <v>25</v>
      </c>
      <c r="D2988" t="s">
        <v>31</v>
      </c>
      <c r="E2988" t="s">
        <v>40</v>
      </c>
      <c r="F2988" t="s">
        <v>78</v>
      </c>
      <c r="G2988" t="s">
        <v>33</v>
      </c>
      <c r="H2988" t="s">
        <v>67</v>
      </c>
      <c r="I2988" t="s">
        <v>96</v>
      </c>
      <c r="J2988" t="s">
        <v>44</v>
      </c>
      <c r="K2988">
        <v>1</v>
      </c>
      <c r="L2988">
        <v>58062</v>
      </c>
      <c r="M2988" t="s">
        <v>51</v>
      </c>
      <c r="N2988">
        <v>1</v>
      </c>
      <c r="O2988">
        <v>3</v>
      </c>
      <c r="P2988">
        <v>68</v>
      </c>
      <c r="Q2988">
        <v>0</v>
      </c>
      <c r="R2988" s="1">
        <v>44781</v>
      </c>
      <c r="S2988" t="s">
        <v>29</v>
      </c>
      <c r="T2988" t="str">
        <f t="shared" si="230"/>
        <v>Grade B</v>
      </c>
      <c r="U2988">
        <f t="shared" si="231"/>
        <v>4</v>
      </c>
      <c r="V2988" t="str">
        <f t="shared" si="232"/>
        <v>New Joiner</v>
      </c>
      <c r="W2988" t="str">
        <f t="shared" si="233"/>
        <v>Low Risk</v>
      </c>
      <c r="X2988" t="str">
        <f t="shared" si="234"/>
        <v>Fair</v>
      </c>
    </row>
    <row r="2989" spans="1:24" x14ac:dyDescent="0.3">
      <c r="A2989" t="s">
        <v>3057</v>
      </c>
      <c r="B2989" t="s">
        <v>39</v>
      </c>
      <c r="C2989">
        <v>49</v>
      </c>
      <c r="D2989" t="s">
        <v>31</v>
      </c>
      <c r="E2989" t="s">
        <v>22</v>
      </c>
      <c r="F2989" t="s">
        <v>65</v>
      </c>
      <c r="G2989" t="s">
        <v>42</v>
      </c>
      <c r="H2989" t="s">
        <v>25</v>
      </c>
      <c r="I2989" t="s">
        <v>72</v>
      </c>
      <c r="J2989" t="s">
        <v>73</v>
      </c>
      <c r="K2989">
        <v>9</v>
      </c>
      <c r="L2989">
        <v>122429</v>
      </c>
      <c r="M2989" t="s">
        <v>51</v>
      </c>
      <c r="N2989">
        <v>3</v>
      </c>
      <c r="O2989">
        <v>2</v>
      </c>
      <c r="P2989">
        <v>27</v>
      </c>
      <c r="Q2989">
        <v>0</v>
      </c>
      <c r="R2989" s="1">
        <v>41819</v>
      </c>
      <c r="S2989" t="s">
        <v>29</v>
      </c>
      <c r="T2989" t="str">
        <f t="shared" si="230"/>
        <v>Grade A</v>
      </c>
      <c r="U2989">
        <f t="shared" si="231"/>
        <v>4</v>
      </c>
      <c r="V2989" t="str">
        <f t="shared" si="232"/>
        <v>Mid Level</v>
      </c>
      <c r="W2989" t="str">
        <f t="shared" si="233"/>
        <v>Low Risk</v>
      </c>
      <c r="X2989" t="str">
        <f t="shared" si="234"/>
        <v>Competitive</v>
      </c>
    </row>
    <row r="2990" spans="1:24" x14ac:dyDescent="0.3">
      <c r="A2990" t="s">
        <v>3058</v>
      </c>
      <c r="B2990" t="s">
        <v>39</v>
      </c>
      <c r="C2990">
        <v>25</v>
      </c>
      <c r="D2990" t="s">
        <v>47</v>
      </c>
      <c r="E2990" t="s">
        <v>22</v>
      </c>
      <c r="F2990" t="s">
        <v>32</v>
      </c>
      <c r="G2990" t="s">
        <v>42</v>
      </c>
      <c r="H2990" t="s">
        <v>67</v>
      </c>
      <c r="I2990" t="s">
        <v>96</v>
      </c>
      <c r="J2990" t="s">
        <v>44</v>
      </c>
      <c r="K2990">
        <v>3</v>
      </c>
      <c r="L2990">
        <v>108186</v>
      </c>
      <c r="M2990" t="s">
        <v>45</v>
      </c>
      <c r="N2990">
        <v>2</v>
      </c>
      <c r="O2990">
        <v>1</v>
      </c>
      <c r="P2990">
        <v>68</v>
      </c>
      <c r="Q2990">
        <v>1</v>
      </c>
      <c r="R2990" s="1">
        <v>43868</v>
      </c>
      <c r="S2990" t="s">
        <v>29</v>
      </c>
      <c r="T2990" t="str">
        <f t="shared" si="230"/>
        <v>Grade A</v>
      </c>
      <c r="U2990">
        <f t="shared" si="231"/>
        <v>2</v>
      </c>
      <c r="V2990" t="str">
        <f t="shared" si="232"/>
        <v>Junior</v>
      </c>
      <c r="W2990" t="str">
        <f t="shared" si="233"/>
        <v>Medium Risk</v>
      </c>
      <c r="X2990" t="str">
        <f t="shared" si="234"/>
        <v>Fair</v>
      </c>
    </row>
    <row r="2991" spans="1:24" x14ac:dyDescent="0.3">
      <c r="A2991" t="s">
        <v>3059</v>
      </c>
      <c r="B2991" t="s">
        <v>20</v>
      </c>
      <c r="C2991">
        <v>53</v>
      </c>
      <c r="D2991" t="s">
        <v>88</v>
      </c>
      <c r="E2991" t="s">
        <v>22</v>
      </c>
      <c r="F2991" t="s">
        <v>65</v>
      </c>
      <c r="G2991" t="s">
        <v>42</v>
      </c>
      <c r="H2991" t="s">
        <v>83</v>
      </c>
      <c r="I2991" t="s">
        <v>43</v>
      </c>
      <c r="J2991" t="s">
        <v>44</v>
      </c>
      <c r="K2991">
        <v>12</v>
      </c>
      <c r="L2991">
        <v>113771</v>
      </c>
      <c r="M2991" t="s">
        <v>28</v>
      </c>
      <c r="N2991">
        <v>2</v>
      </c>
      <c r="O2991">
        <v>1</v>
      </c>
      <c r="P2991">
        <v>47</v>
      </c>
      <c r="Q2991">
        <v>2</v>
      </c>
      <c r="R2991" s="1">
        <v>40753</v>
      </c>
      <c r="S2991" t="s">
        <v>37</v>
      </c>
      <c r="T2991" t="str">
        <f t="shared" si="230"/>
        <v>Grade A</v>
      </c>
      <c r="U2991">
        <f t="shared" si="231"/>
        <v>3</v>
      </c>
      <c r="V2991" t="str">
        <f t="shared" si="232"/>
        <v>Senior</v>
      </c>
      <c r="W2991" t="str">
        <f t="shared" si="233"/>
        <v>Already Left</v>
      </c>
      <c r="X2991" t="str">
        <f t="shared" si="234"/>
        <v>Competitive</v>
      </c>
    </row>
    <row r="2992" spans="1:24" x14ac:dyDescent="0.3">
      <c r="A2992" t="s">
        <v>3060</v>
      </c>
      <c r="B2992" t="s">
        <v>39</v>
      </c>
      <c r="C2992">
        <v>36</v>
      </c>
      <c r="D2992" t="s">
        <v>21</v>
      </c>
      <c r="E2992" t="s">
        <v>22</v>
      </c>
      <c r="F2992" t="s">
        <v>53</v>
      </c>
      <c r="G2992" t="s">
        <v>49</v>
      </c>
      <c r="H2992" t="s">
        <v>25</v>
      </c>
      <c r="I2992" t="s">
        <v>43</v>
      </c>
      <c r="J2992" t="s">
        <v>44</v>
      </c>
      <c r="K2992">
        <v>1</v>
      </c>
      <c r="L2992">
        <v>43981</v>
      </c>
      <c r="M2992" t="s">
        <v>28</v>
      </c>
      <c r="N2992">
        <v>1</v>
      </c>
      <c r="O2992">
        <v>1</v>
      </c>
      <c r="P2992">
        <v>36</v>
      </c>
      <c r="Q2992">
        <v>0</v>
      </c>
      <c r="R2992" s="1">
        <v>44784</v>
      </c>
      <c r="S2992" t="s">
        <v>29</v>
      </c>
      <c r="T2992" t="str">
        <f t="shared" si="230"/>
        <v>Grade C</v>
      </c>
      <c r="U2992">
        <f t="shared" si="231"/>
        <v>3</v>
      </c>
      <c r="V2992" t="str">
        <f t="shared" si="232"/>
        <v>New Joiner</v>
      </c>
      <c r="W2992" t="str">
        <f t="shared" si="233"/>
        <v>Medium Risk</v>
      </c>
      <c r="X2992" t="str">
        <f t="shared" si="234"/>
        <v>Fair</v>
      </c>
    </row>
    <row r="2993" spans="1:24" x14ac:dyDescent="0.3">
      <c r="A2993" t="s">
        <v>3061</v>
      </c>
      <c r="B2993" t="s">
        <v>20</v>
      </c>
      <c r="C2993">
        <v>54</v>
      </c>
      <c r="D2993" t="s">
        <v>21</v>
      </c>
      <c r="E2993" t="s">
        <v>48</v>
      </c>
      <c r="F2993" t="s">
        <v>75</v>
      </c>
      <c r="G2993" t="s">
        <v>79</v>
      </c>
      <c r="H2993" t="s">
        <v>25</v>
      </c>
      <c r="I2993" t="s">
        <v>80</v>
      </c>
      <c r="J2993" t="s">
        <v>60</v>
      </c>
      <c r="K2993">
        <v>3</v>
      </c>
      <c r="L2993">
        <v>45240</v>
      </c>
      <c r="M2993" t="s">
        <v>45</v>
      </c>
      <c r="N2993">
        <v>3</v>
      </c>
      <c r="O2993">
        <v>2</v>
      </c>
      <c r="P2993">
        <v>27</v>
      </c>
      <c r="Q2993">
        <v>3</v>
      </c>
      <c r="R2993" s="1">
        <v>43959</v>
      </c>
      <c r="S2993" t="s">
        <v>29</v>
      </c>
      <c r="T2993" t="str">
        <f t="shared" si="230"/>
        <v>Grade C</v>
      </c>
      <c r="U2993">
        <f t="shared" si="231"/>
        <v>2</v>
      </c>
      <c r="V2993" t="str">
        <f t="shared" si="232"/>
        <v>Junior</v>
      </c>
      <c r="W2993" t="str">
        <f t="shared" si="233"/>
        <v>Medium Risk</v>
      </c>
      <c r="X2993" t="str">
        <f t="shared" si="234"/>
        <v>Fair</v>
      </c>
    </row>
    <row r="2994" spans="1:24" x14ac:dyDescent="0.3">
      <c r="A2994" t="s">
        <v>3062</v>
      </c>
      <c r="B2994" t="s">
        <v>20</v>
      </c>
      <c r="C2994">
        <v>55</v>
      </c>
      <c r="D2994" t="s">
        <v>57</v>
      </c>
      <c r="E2994" t="s">
        <v>40</v>
      </c>
      <c r="F2994" t="s">
        <v>23</v>
      </c>
      <c r="G2994" t="s">
        <v>42</v>
      </c>
      <c r="H2994" t="s">
        <v>67</v>
      </c>
      <c r="I2994" t="s">
        <v>96</v>
      </c>
      <c r="J2994" t="s">
        <v>44</v>
      </c>
      <c r="K2994">
        <v>1</v>
      </c>
      <c r="L2994">
        <v>105460</v>
      </c>
      <c r="M2994" t="s">
        <v>36</v>
      </c>
      <c r="N2994">
        <v>2</v>
      </c>
      <c r="O2994">
        <v>3</v>
      </c>
      <c r="P2994">
        <v>61</v>
      </c>
      <c r="Q2994">
        <v>3</v>
      </c>
      <c r="R2994" s="1">
        <v>44609</v>
      </c>
      <c r="S2994" t="s">
        <v>37</v>
      </c>
      <c r="T2994" t="str">
        <f t="shared" si="230"/>
        <v>Grade A</v>
      </c>
      <c r="U2994">
        <f t="shared" si="231"/>
        <v>1</v>
      </c>
      <c r="V2994" t="str">
        <f t="shared" si="232"/>
        <v>New Joiner</v>
      </c>
      <c r="W2994" t="str">
        <f t="shared" si="233"/>
        <v>Already Left</v>
      </c>
      <c r="X2994" t="str">
        <f t="shared" si="234"/>
        <v>Overpaid</v>
      </c>
    </row>
    <row r="2995" spans="1:24" x14ac:dyDescent="0.3">
      <c r="A2995" t="s">
        <v>3063</v>
      </c>
      <c r="B2995" t="s">
        <v>20</v>
      </c>
      <c r="C2995">
        <v>50</v>
      </c>
      <c r="D2995" t="s">
        <v>47</v>
      </c>
      <c r="E2995" t="s">
        <v>40</v>
      </c>
      <c r="F2995" t="s">
        <v>41</v>
      </c>
      <c r="G2995" t="s">
        <v>58</v>
      </c>
      <c r="H2995" t="s">
        <v>83</v>
      </c>
      <c r="I2995" t="s">
        <v>80</v>
      </c>
      <c r="J2995" t="s">
        <v>60</v>
      </c>
      <c r="K2995">
        <v>6</v>
      </c>
      <c r="L2995">
        <v>101674</v>
      </c>
      <c r="M2995" t="s">
        <v>28</v>
      </c>
      <c r="N2995">
        <v>4</v>
      </c>
      <c r="O2995">
        <v>4</v>
      </c>
      <c r="P2995">
        <v>34</v>
      </c>
      <c r="Q2995">
        <v>1</v>
      </c>
      <c r="R2995" s="1">
        <v>42954</v>
      </c>
      <c r="S2995" t="s">
        <v>29</v>
      </c>
      <c r="T2995" t="str">
        <f t="shared" si="230"/>
        <v>Grade A</v>
      </c>
      <c r="U2995">
        <f t="shared" si="231"/>
        <v>3</v>
      </c>
      <c r="V2995" t="str">
        <f t="shared" si="232"/>
        <v>Mid Level</v>
      </c>
      <c r="W2995" t="str">
        <f t="shared" si="233"/>
        <v>Medium Risk</v>
      </c>
      <c r="X2995" t="str">
        <f t="shared" si="234"/>
        <v>Competitive</v>
      </c>
    </row>
    <row r="2996" spans="1:24" x14ac:dyDescent="0.3">
      <c r="A2996" t="s">
        <v>3064</v>
      </c>
      <c r="B2996" t="s">
        <v>20</v>
      </c>
      <c r="C2996">
        <v>53</v>
      </c>
      <c r="D2996" t="s">
        <v>31</v>
      </c>
      <c r="E2996" t="s">
        <v>22</v>
      </c>
      <c r="F2996" t="s">
        <v>75</v>
      </c>
      <c r="G2996" t="s">
        <v>33</v>
      </c>
      <c r="H2996" t="s">
        <v>34</v>
      </c>
      <c r="I2996" t="s">
        <v>54</v>
      </c>
      <c r="J2996" t="s">
        <v>27</v>
      </c>
      <c r="K2996">
        <v>1</v>
      </c>
      <c r="L2996">
        <v>55708</v>
      </c>
      <c r="M2996" t="s">
        <v>51</v>
      </c>
      <c r="N2996">
        <v>3</v>
      </c>
      <c r="O2996">
        <v>2</v>
      </c>
      <c r="P2996">
        <v>26</v>
      </c>
      <c r="Q2996">
        <v>0</v>
      </c>
      <c r="R2996" s="1">
        <v>44612</v>
      </c>
      <c r="S2996" t="s">
        <v>37</v>
      </c>
      <c r="T2996" t="str">
        <f t="shared" si="230"/>
        <v>Grade B</v>
      </c>
      <c r="U2996">
        <f t="shared" si="231"/>
        <v>4</v>
      </c>
      <c r="V2996" t="str">
        <f t="shared" si="232"/>
        <v>New Joiner</v>
      </c>
      <c r="W2996" t="str">
        <f t="shared" si="233"/>
        <v>Already Left</v>
      </c>
      <c r="X2996" t="str">
        <f t="shared" si="234"/>
        <v>Fair</v>
      </c>
    </row>
    <row r="2997" spans="1:24" x14ac:dyDescent="0.3">
      <c r="A2997" t="s">
        <v>3065</v>
      </c>
      <c r="B2997" t="s">
        <v>20</v>
      </c>
      <c r="C2997">
        <v>36</v>
      </c>
      <c r="D2997" t="s">
        <v>47</v>
      </c>
      <c r="E2997" t="s">
        <v>40</v>
      </c>
      <c r="F2997" t="s">
        <v>41</v>
      </c>
      <c r="G2997" t="s">
        <v>58</v>
      </c>
      <c r="H2997" t="s">
        <v>67</v>
      </c>
      <c r="I2997" t="s">
        <v>26</v>
      </c>
      <c r="J2997" t="s">
        <v>27</v>
      </c>
      <c r="K2997">
        <v>14</v>
      </c>
      <c r="L2997">
        <v>112239</v>
      </c>
      <c r="M2997" t="s">
        <v>36</v>
      </c>
      <c r="N2997">
        <v>2</v>
      </c>
      <c r="O2997">
        <v>2</v>
      </c>
      <c r="P2997">
        <v>80</v>
      </c>
      <c r="Q2997">
        <v>0</v>
      </c>
      <c r="R2997" s="1">
        <v>39824</v>
      </c>
      <c r="S2997" t="s">
        <v>37</v>
      </c>
      <c r="T2997" t="str">
        <f t="shared" si="230"/>
        <v>Grade A</v>
      </c>
      <c r="U2997">
        <f t="shared" si="231"/>
        <v>1</v>
      </c>
      <c r="V2997" t="str">
        <f t="shared" si="232"/>
        <v>Senior</v>
      </c>
      <c r="W2997" t="str">
        <f t="shared" si="233"/>
        <v>Already Left</v>
      </c>
      <c r="X2997" t="str">
        <f t="shared" si="234"/>
        <v>Overpaid</v>
      </c>
    </row>
    <row r="2998" spans="1:24" x14ac:dyDescent="0.3">
      <c r="A2998" t="s">
        <v>3066</v>
      </c>
      <c r="B2998" t="s">
        <v>20</v>
      </c>
      <c r="C2998">
        <v>41</v>
      </c>
      <c r="D2998" t="s">
        <v>31</v>
      </c>
      <c r="E2998" t="s">
        <v>48</v>
      </c>
      <c r="F2998" t="s">
        <v>32</v>
      </c>
      <c r="G2998" t="s">
        <v>79</v>
      </c>
      <c r="H2998" t="s">
        <v>67</v>
      </c>
      <c r="I2998" t="s">
        <v>80</v>
      </c>
      <c r="J2998" t="s">
        <v>60</v>
      </c>
      <c r="K2998">
        <v>7</v>
      </c>
      <c r="L2998">
        <v>58135</v>
      </c>
      <c r="M2998" t="s">
        <v>51</v>
      </c>
      <c r="N2998">
        <v>4</v>
      </c>
      <c r="O2998">
        <v>1</v>
      </c>
      <c r="P2998">
        <v>72</v>
      </c>
      <c r="Q2998">
        <v>0</v>
      </c>
      <c r="R2998" s="1">
        <v>42419</v>
      </c>
      <c r="S2998" t="s">
        <v>29</v>
      </c>
      <c r="T2998" t="str">
        <f t="shared" si="230"/>
        <v>Grade B</v>
      </c>
      <c r="U2998">
        <f t="shared" si="231"/>
        <v>4</v>
      </c>
      <c r="V2998" t="str">
        <f t="shared" si="232"/>
        <v>Mid Level</v>
      </c>
      <c r="W2998" t="str">
        <f t="shared" si="233"/>
        <v>Low Risk</v>
      </c>
      <c r="X2998" t="str">
        <f t="shared" si="234"/>
        <v>Fair</v>
      </c>
    </row>
    <row r="2999" spans="1:24" x14ac:dyDescent="0.3">
      <c r="A2999" t="s">
        <v>3067</v>
      </c>
      <c r="B2999" t="s">
        <v>39</v>
      </c>
      <c r="C2999">
        <v>37</v>
      </c>
      <c r="D2999" t="s">
        <v>88</v>
      </c>
      <c r="E2999" t="s">
        <v>22</v>
      </c>
      <c r="F2999" t="s">
        <v>65</v>
      </c>
      <c r="G2999" t="s">
        <v>66</v>
      </c>
      <c r="H2999" t="s">
        <v>83</v>
      </c>
      <c r="I2999" t="s">
        <v>26</v>
      </c>
      <c r="J2999" t="s">
        <v>27</v>
      </c>
      <c r="K2999">
        <v>2</v>
      </c>
      <c r="L2999">
        <v>45190</v>
      </c>
      <c r="M2999" t="s">
        <v>51</v>
      </c>
      <c r="N2999">
        <v>2</v>
      </c>
      <c r="O2999">
        <v>4</v>
      </c>
      <c r="P2999">
        <v>25</v>
      </c>
      <c r="Q2999">
        <v>2</v>
      </c>
      <c r="R2999" s="1">
        <v>44330</v>
      </c>
      <c r="S2999" t="s">
        <v>29</v>
      </c>
      <c r="T2999" t="str">
        <f t="shared" si="230"/>
        <v>Grade C</v>
      </c>
      <c r="U2999">
        <f t="shared" si="231"/>
        <v>4</v>
      </c>
      <c r="V2999" t="str">
        <f t="shared" si="232"/>
        <v>New Joiner</v>
      </c>
      <c r="W2999" t="str">
        <f t="shared" si="233"/>
        <v>Low Risk</v>
      </c>
      <c r="X2999" t="str">
        <f t="shared" si="234"/>
        <v>Fair</v>
      </c>
    </row>
    <row r="3000" spans="1:24" x14ac:dyDescent="0.3">
      <c r="A3000" t="s">
        <v>3068</v>
      </c>
      <c r="B3000" t="s">
        <v>39</v>
      </c>
      <c r="C3000">
        <v>41</v>
      </c>
      <c r="D3000" t="s">
        <v>31</v>
      </c>
      <c r="E3000" t="s">
        <v>40</v>
      </c>
      <c r="F3000" t="s">
        <v>75</v>
      </c>
      <c r="G3000" t="s">
        <v>42</v>
      </c>
      <c r="H3000" t="s">
        <v>83</v>
      </c>
      <c r="I3000" t="s">
        <v>72</v>
      </c>
      <c r="J3000" t="s">
        <v>73</v>
      </c>
      <c r="K3000">
        <v>7</v>
      </c>
      <c r="L3000">
        <v>103267</v>
      </c>
      <c r="M3000" t="s">
        <v>28</v>
      </c>
      <c r="N3000">
        <v>3</v>
      </c>
      <c r="O3000">
        <v>4</v>
      </c>
      <c r="P3000">
        <v>36</v>
      </c>
      <c r="Q3000">
        <v>3</v>
      </c>
      <c r="R3000" s="1">
        <v>42531</v>
      </c>
      <c r="S3000" t="s">
        <v>29</v>
      </c>
      <c r="T3000" t="str">
        <f t="shared" si="230"/>
        <v>Grade A</v>
      </c>
      <c r="U3000">
        <f t="shared" si="231"/>
        <v>3</v>
      </c>
      <c r="V3000" t="str">
        <f t="shared" si="232"/>
        <v>Mid Level</v>
      </c>
      <c r="W3000" t="str">
        <f t="shared" si="233"/>
        <v>Medium Risk</v>
      </c>
      <c r="X3000" t="str">
        <f t="shared" si="234"/>
        <v>Competitive</v>
      </c>
    </row>
    <row r="3001" spans="1:24" x14ac:dyDescent="0.3">
      <c r="A3001" t="s">
        <v>3069</v>
      </c>
      <c r="B3001" t="s">
        <v>20</v>
      </c>
      <c r="C3001">
        <v>26</v>
      </c>
      <c r="D3001" t="s">
        <v>21</v>
      </c>
      <c r="E3001" t="s">
        <v>48</v>
      </c>
      <c r="F3001" t="s">
        <v>62</v>
      </c>
      <c r="G3001" t="s">
        <v>58</v>
      </c>
      <c r="H3001" t="s">
        <v>76</v>
      </c>
      <c r="I3001" t="s">
        <v>26</v>
      </c>
      <c r="J3001" t="s">
        <v>27</v>
      </c>
      <c r="K3001">
        <v>6</v>
      </c>
      <c r="L3001">
        <v>104011</v>
      </c>
      <c r="M3001" t="s">
        <v>36</v>
      </c>
      <c r="N3001">
        <v>3</v>
      </c>
      <c r="O3001">
        <v>3</v>
      </c>
      <c r="P3001">
        <v>45</v>
      </c>
      <c r="Q3001">
        <v>0</v>
      </c>
      <c r="R3001" s="1">
        <v>42772</v>
      </c>
      <c r="S3001" t="s">
        <v>37</v>
      </c>
      <c r="T3001" t="str">
        <f t="shared" si="230"/>
        <v>Grade A</v>
      </c>
      <c r="U3001">
        <f t="shared" si="231"/>
        <v>1</v>
      </c>
      <c r="V3001" t="str">
        <f t="shared" si="232"/>
        <v>Mid Level</v>
      </c>
      <c r="W3001" t="str">
        <f t="shared" si="233"/>
        <v>Already Left</v>
      </c>
      <c r="X3001" t="str">
        <f t="shared" si="234"/>
        <v>Overpaid</v>
      </c>
    </row>
    <row r="3002" spans="1:24" x14ac:dyDescent="0.3">
      <c r="A3002" t="s">
        <v>3070</v>
      </c>
      <c r="B3002" t="s">
        <v>39</v>
      </c>
      <c r="C3002">
        <v>50</v>
      </c>
      <c r="D3002" t="s">
        <v>88</v>
      </c>
      <c r="E3002" t="s">
        <v>22</v>
      </c>
      <c r="F3002" t="s">
        <v>53</v>
      </c>
      <c r="G3002" t="s">
        <v>42</v>
      </c>
      <c r="H3002" t="s">
        <v>76</v>
      </c>
      <c r="I3002" t="s">
        <v>50</v>
      </c>
      <c r="J3002" t="s">
        <v>44</v>
      </c>
      <c r="K3002">
        <v>13</v>
      </c>
      <c r="L3002">
        <v>116570</v>
      </c>
      <c r="M3002" t="s">
        <v>45</v>
      </c>
      <c r="N3002">
        <v>4</v>
      </c>
      <c r="O3002">
        <v>4</v>
      </c>
      <c r="P3002">
        <v>64</v>
      </c>
      <c r="Q3002">
        <v>0</v>
      </c>
      <c r="R3002" s="1">
        <v>40390</v>
      </c>
      <c r="S3002" t="s">
        <v>29</v>
      </c>
      <c r="T3002" t="str">
        <f t="shared" si="230"/>
        <v>Grade A</v>
      </c>
      <c r="U3002">
        <f t="shared" si="231"/>
        <v>2</v>
      </c>
      <c r="V3002" t="str">
        <f t="shared" si="232"/>
        <v>Senior</v>
      </c>
      <c r="W3002" t="str">
        <f t="shared" si="233"/>
        <v>Medium Risk</v>
      </c>
      <c r="X3002" t="str">
        <f t="shared" si="234"/>
        <v>Fair</v>
      </c>
    </row>
    <row r="3003" spans="1:24" x14ac:dyDescent="0.3">
      <c r="A3003" t="s">
        <v>3071</v>
      </c>
      <c r="B3003" t="s">
        <v>39</v>
      </c>
      <c r="C3003">
        <v>48</v>
      </c>
      <c r="D3003" t="s">
        <v>21</v>
      </c>
      <c r="E3003" t="s">
        <v>40</v>
      </c>
      <c r="F3003" t="s">
        <v>62</v>
      </c>
      <c r="G3003" t="s">
        <v>33</v>
      </c>
      <c r="H3003" t="s">
        <v>34</v>
      </c>
      <c r="I3003" t="s">
        <v>80</v>
      </c>
      <c r="J3003" t="s">
        <v>60</v>
      </c>
      <c r="K3003">
        <v>13</v>
      </c>
      <c r="L3003">
        <v>79824</v>
      </c>
      <c r="M3003" t="s">
        <v>36</v>
      </c>
      <c r="N3003">
        <v>2</v>
      </c>
      <c r="O3003">
        <v>4</v>
      </c>
      <c r="P3003">
        <v>66</v>
      </c>
      <c r="Q3003">
        <v>1</v>
      </c>
      <c r="R3003" s="1">
        <v>40279</v>
      </c>
      <c r="S3003" t="s">
        <v>29</v>
      </c>
      <c r="T3003" t="str">
        <f t="shared" si="230"/>
        <v>Grade B</v>
      </c>
      <c r="U3003">
        <f t="shared" si="231"/>
        <v>1</v>
      </c>
      <c r="V3003" t="str">
        <f t="shared" si="232"/>
        <v>Senior</v>
      </c>
      <c r="W3003" t="str">
        <f t="shared" si="233"/>
        <v>Medium Risk</v>
      </c>
      <c r="X3003" t="str">
        <f t="shared" si="234"/>
        <v>Fair</v>
      </c>
    </row>
    <row r="3004" spans="1:24" x14ac:dyDescent="0.3">
      <c r="A3004" t="s">
        <v>3072</v>
      </c>
      <c r="B3004" t="s">
        <v>20</v>
      </c>
      <c r="C3004">
        <v>30</v>
      </c>
      <c r="D3004" t="s">
        <v>57</v>
      </c>
      <c r="E3004" t="s">
        <v>22</v>
      </c>
      <c r="F3004" t="s">
        <v>78</v>
      </c>
      <c r="G3004" t="s">
        <v>63</v>
      </c>
      <c r="H3004" t="s">
        <v>76</v>
      </c>
      <c r="I3004" t="s">
        <v>80</v>
      </c>
      <c r="J3004" t="s">
        <v>60</v>
      </c>
      <c r="K3004">
        <v>10</v>
      </c>
      <c r="L3004">
        <v>69357</v>
      </c>
      <c r="M3004" t="s">
        <v>45</v>
      </c>
      <c r="N3004">
        <v>2</v>
      </c>
      <c r="O3004">
        <v>1</v>
      </c>
      <c r="P3004">
        <v>76</v>
      </c>
      <c r="Q3004">
        <v>0</v>
      </c>
      <c r="R3004" s="1">
        <v>41493</v>
      </c>
      <c r="S3004" t="s">
        <v>29</v>
      </c>
      <c r="T3004" t="str">
        <f t="shared" si="230"/>
        <v>Grade B</v>
      </c>
      <c r="U3004">
        <f t="shared" si="231"/>
        <v>2</v>
      </c>
      <c r="V3004" t="str">
        <f t="shared" si="232"/>
        <v>Mid Level</v>
      </c>
      <c r="W3004" t="str">
        <f t="shared" si="233"/>
        <v>Medium Risk</v>
      </c>
      <c r="X3004" t="str">
        <f t="shared" si="234"/>
        <v>Fair</v>
      </c>
    </row>
    <row r="3005" spans="1:24" x14ac:dyDescent="0.3">
      <c r="A3005" t="s">
        <v>3073</v>
      </c>
      <c r="B3005" t="s">
        <v>20</v>
      </c>
      <c r="C3005">
        <v>44</v>
      </c>
      <c r="D3005" t="s">
        <v>31</v>
      </c>
      <c r="E3005" t="s">
        <v>40</v>
      </c>
      <c r="F3005" t="s">
        <v>75</v>
      </c>
      <c r="G3005" t="s">
        <v>42</v>
      </c>
      <c r="H3005" t="s">
        <v>76</v>
      </c>
      <c r="I3005" t="s">
        <v>72</v>
      </c>
      <c r="J3005" t="s">
        <v>73</v>
      </c>
      <c r="K3005">
        <v>14</v>
      </c>
      <c r="L3005">
        <v>116961</v>
      </c>
      <c r="M3005" t="s">
        <v>45</v>
      </c>
      <c r="N3005">
        <v>4</v>
      </c>
      <c r="O3005">
        <v>4</v>
      </c>
      <c r="P3005">
        <v>13</v>
      </c>
      <c r="Q3005">
        <v>3</v>
      </c>
      <c r="R3005" s="1">
        <v>40011</v>
      </c>
      <c r="S3005" t="s">
        <v>29</v>
      </c>
      <c r="T3005" t="str">
        <f t="shared" si="230"/>
        <v>Grade A</v>
      </c>
      <c r="U3005">
        <f t="shared" si="231"/>
        <v>2</v>
      </c>
      <c r="V3005" t="str">
        <f t="shared" si="232"/>
        <v>Senior</v>
      </c>
      <c r="W3005" t="str">
        <f t="shared" si="233"/>
        <v>Medium Risk</v>
      </c>
      <c r="X3005" t="str">
        <f t="shared" si="234"/>
        <v>Fair</v>
      </c>
    </row>
    <row r="3006" spans="1:24" x14ac:dyDescent="0.3">
      <c r="A3006" t="s">
        <v>3074</v>
      </c>
      <c r="B3006" t="s">
        <v>39</v>
      </c>
      <c r="C3006">
        <v>23</v>
      </c>
      <c r="D3006" t="s">
        <v>21</v>
      </c>
      <c r="E3006" t="s">
        <v>48</v>
      </c>
      <c r="F3006" t="s">
        <v>23</v>
      </c>
      <c r="G3006" t="s">
        <v>58</v>
      </c>
      <c r="H3006" t="s">
        <v>76</v>
      </c>
      <c r="I3006" t="s">
        <v>54</v>
      </c>
      <c r="J3006" t="s">
        <v>27</v>
      </c>
      <c r="K3006">
        <v>11</v>
      </c>
      <c r="L3006">
        <v>107116</v>
      </c>
      <c r="M3006" t="s">
        <v>36</v>
      </c>
      <c r="N3006">
        <v>2</v>
      </c>
      <c r="O3006">
        <v>1</v>
      </c>
      <c r="P3006">
        <v>43</v>
      </c>
      <c r="Q3006">
        <v>0</v>
      </c>
      <c r="R3006" s="1">
        <v>41170</v>
      </c>
      <c r="S3006" t="s">
        <v>37</v>
      </c>
      <c r="T3006" t="str">
        <f t="shared" si="230"/>
        <v>Grade A</v>
      </c>
      <c r="U3006">
        <f t="shared" si="231"/>
        <v>1</v>
      </c>
      <c r="V3006" t="str">
        <f t="shared" si="232"/>
        <v>Senior</v>
      </c>
      <c r="W3006" t="str">
        <f t="shared" si="233"/>
        <v>Already Left</v>
      </c>
      <c r="X3006" t="str">
        <f t="shared" si="234"/>
        <v>Overpaid</v>
      </c>
    </row>
    <row r="3007" spans="1:24" x14ac:dyDescent="0.3">
      <c r="A3007" t="s">
        <v>3075</v>
      </c>
      <c r="B3007" t="s">
        <v>20</v>
      </c>
      <c r="C3007">
        <v>46</v>
      </c>
      <c r="D3007" t="s">
        <v>57</v>
      </c>
      <c r="E3007" t="s">
        <v>40</v>
      </c>
      <c r="F3007" t="s">
        <v>78</v>
      </c>
      <c r="G3007" t="s">
        <v>24</v>
      </c>
      <c r="H3007" t="s">
        <v>67</v>
      </c>
      <c r="I3007" t="s">
        <v>68</v>
      </c>
      <c r="J3007" t="s">
        <v>60</v>
      </c>
      <c r="K3007">
        <v>10</v>
      </c>
      <c r="L3007">
        <v>88553</v>
      </c>
      <c r="M3007" t="s">
        <v>45</v>
      </c>
      <c r="N3007">
        <v>2</v>
      </c>
      <c r="O3007">
        <v>3</v>
      </c>
      <c r="P3007">
        <v>16</v>
      </c>
      <c r="Q3007">
        <v>2</v>
      </c>
      <c r="R3007" s="1">
        <v>41348</v>
      </c>
      <c r="S3007" t="s">
        <v>29</v>
      </c>
      <c r="T3007" t="str">
        <f t="shared" si="230"/>
        <v>Grade A</v>
      </c>
      <c r="U3007">
        <f t="shared" si="231"/>
        <v>2</v>
      </c>
      <c r="V3007" t="str">
        <f t="shared" si="232"/>
        <v>Mid Level</v>
      </c>
      <c r="W3007" t="str">
        <f t="shared" si="233"/>
        <v>Medium Risk</v>
      </c>
      <c r="X3007" t="str">
        <f t="shared" si="234"/>
        <v>Fair</v>
      </c>
    </row>
    <row r="3008" spans="1:24" x14ac:dyDescent="0.3">
      <c r="A3008" t="s">
        <v>3076</v>
      </c>
      <c r="B3008" t="s">
        <v>20</v>
      </c>
      <c r="C3008">
        <v>49</v>
      </c>
      <c r="D3008" t="s">
        <v>31</v>
      </c>
      <c r="E3008" t="s">
        <v>22</v>
      </c>
      <c r="F3008" t="s">
        <v>65</v>
      </c>
      <c r="G3008" t="s">
        <v>79</v>
      </c>
      <c r="H3008" t="s">
        <v>67</v>
      </c>
      <c r="I3008" t="s">
        <v>72</v>
      </c>
      <c r="J3008" t="s">
        <v>73</v>
      </c>
      <c r="K3008">
        <v>14</v>
      </c>
      <c r="L3008">
        <v>74320</v>
      </c>
      <c r="M3008" t="s">
        <v>45</v>
      </c>
      <c r="N3008">
        <v>4</v>
      </c>
      <c r="O3008">
        <v>3</v>
      </c>
      <c r="P3008">
        <v>29</v>
      </c>
      <c r="Q3008">
        <v>2</v>
      </c>
      <c r="R3008" s="1">
        <v>40035</v>
      </c>
      <c r="S3008" t="s">
        <v>29</v>
      </c>
      <c r="T3008" t="str">
        <f t="shared" si="230"/>
        <v>Grade B</v>
      </c>
      <c r="U3008">
        <f t="shared" si="231"/>
        <v>2</v>
      </c>
      <c r="V3008" t="str">
        <f t="shared" si="232"/>
        <v>Senior</v>
      </c>
      <c r="W3008" t="str">
        <f t="shared" si="233"/>
        <v>Medium Risk</v>
      </c>
      <c r="X3008" t="str">
        <f t="shared" si="234"/>
        <v>Fair</v>
      </c>
    </row>
    <row r="3009" spans="1:24" x14ac:dyDescent="0.3">
      <c r="A3009" t="s">
        <v>3077</v>
      </c>
      <c r="B3009" t="s">
        <v>39</v>
      </c>
      <c r="C3009">
        <v>25</v>
      </c>
      <c r="D3009" t="s">
        <v>31</v>
      </c>
      <c r="E3009" t="s">
        <v>22</v>
      </c>
      <c r="F3009" t="s">
        <v>78</v>
      </c>
      <c r="G3009" t="s">
        <v>24</v>
      </c>
      <c r="H3009" t="s">
        <v>25</v>
      </c>
      <c r="I3009" t="s">
        <v>59</v>
      </c>
      <c r="J3009" t="s">
        <v>60</v>
      </c>
      <c r="K3009">
        <v>9</v>
      </c>
      <c r="L3009">
        <v>88043</v>
      </c>
      <c r="M3009" t="s">
        <v>28</v>
      </c>
      <c r="N3009">
        <v>1</v>
      </c>
      <c r="O3009">
        <v>4</v>
      </c>
      <c r="P3009">
        <v>47</v>
      </c>
      <c r="Q3009">
        <v>3</v>
      </c>
      <c r="R3009" s="1">
        <v>41913</v>
      </c>
      <c r="S3009" t="s">
        <v>37</v>
      </c>
      <c r="T3009" t="str">
        <f t="shared" si="230"/>
        <v>Grade A</v>
      </c>
      <c r="U3009">
        <f t="shared" si="231"/>
        <v>3</v>
      </c>
      <c r="V3009" t="str">
        <f t="shared" si="232"/>
        <v>Mid Level</v>
      </c>
      <c r="W3009" t="str">
        <f t="shared" si="233"/>
        <v>Already Left</v>
      </c>
      <c r="X3009" t="str">
        <f t="shared" si="234"/>
        <v>Competitive</v>
      </c>
    </row>
    <row r="3010" spans="1:24" x14ac:dyDescent="0.3">
      <c r="A3010" t="s">
        <v>3078</v>
      </c>
      <c r="B3010" t="s">
        <v>20</v>
      </c>
      <c r="C3010">
        <v>48</v>
      </c>
      <c r="D3010" t="s">
        <v>21</v>
      </c>
      <c r="E3010" t="s">
        <v>40</v>
      </c>
      <c r="F3010" t="s">
        <v>78</v>
      </c>
      <c r="G3010" t="s">
        <v>24</v>
      </c>
      <c r="H3010" t="s">
        <v>67</v>
      </c>
      <c r="I3010" t="s">
        <v>50</v>
      </c>
      <c r="J3010" t="s">
        <v>44</v>
      </c>
      <c r="K3010">
        <v>6</v>
      </c>
      <c r="L3010">
        <v>79021</v>
      </c>
      <c r="M3010" t="s">
        <v>36</v>
      </c>
      <c r="N3010">
        <v>4</v>
      </c>
      <c r="O3010">
        <v>4</v>
      </c>
      <c r="P3010">
        <v>39</v>
      </c>
      <c r="Q3010">
        <v>3</v>
      </c>
      <c r="R3010" s="1">
        <v>42960</v>
      </c>
      <c r="S3010" t="s">
        <v>29</v>
      </c>
      <c r="T3010" t="str">
        <f t="shared" ref="T3010:T3073" si="235">IF(L3010&gt;=80000,"Grade A",IF(L3010&gt;=50000,"Grade B",IF(L3010&gt;=35000,"Grade C","Grade D")))</f>
        <v>Grade B</v>
      </c>
      <c r="U3010">
        <f t="shared" ref="U3010:U3073" si="236">IF(M3010="Excellent",4,IF(M3010="Good",3,IF(M3010="Average",2,1)))</f>
        <v>1</v>
      </c>
      <c r="V3010" t="str">
        <f t="shared" ref="V3010:V3073" si="237">IF(K3010&lt;=2,"New Joiner",IF(K3010&lt;=5,"Junior",IF(K3010&lt;=10,"Mid Level","Senior")))</f>
        <v>Mid Level</v>
      </c>
      <c r="W3010" t="str">
        <f t="shared" ref="W3010:W3073" si="238">IF(S3010="Yes","Already Left",IF(AND(K3010&lt;=2,M3010="Poor"),"High Risk",IF(AND(K3010&lt;=5,M3010="Average"),"Medium Risk",IF(M3010="Excellent","Low Risk","Medium Risk"))))</f>
        <v>Medium Risk</v>
      </c>
      <c r="X3010" t="str">
        <f t="shared" ref="X3010:X3073" si="239">IF(AND(L3010&gt;=80000,M3010="Excellent"),"Competitive",IF(AND(L3010&gt;=50000,M3010="Good"),"Competitive",IF(AND(L3010&lt;35000,M3010="Excellent"),"Underpaid",IF(AND(L3010&gt;=80000,M3010="Poor"),"Overpaid","Fair"))))</f>
        <v>Fair</v>
      </c>
    </row>
    <row r="3011" spans="1:24" x14ac:dyDescent="0.3">
      <c r="A3011" t="s">
        <v>3079</v>
      </c>
      <c r="B3011" t="s">
        <v>20</v>
      </c>
      <c r="C3011">
        <v>46</v>
      </c>
      <c r="D3011" t="s">
        <v>88</v>
      </c>
      <c r="E3011" t="s">
        <v>22</v>
      </c>
      <c r="F3011" t="s">
        <v>65</v>
      </c>
      <c r="G3011" t="s">
        <v>49</v>
      </c>
      <c r="H3011" t="s">
        <v>83</v>
      </c>
      <c r="I3011" t="s">
        <v>68</v>
      </c>
      <c r="J3011" t="s">
        <v>60</v>
      </c>
      <c r="K3011">
        <v>10</v>
      </c>
      <c r="L3011">
        <v>65268</v>
      </c>
      <c r="M3011" t="s">
        <v>51</v>
      </c>
      <c r="N3011">
        <v>2</v>
      </c>
      <c r="O3011">
        <v>1</v>
      </c>
      <c r="P3011">
        <v>57</v>
      </c>
      <c r="Q3011">
        <v>0</v>
      </c>
      <c r="R3011" s="1">
        <v>41349</v>
      </c>
      <c r="S3011" t="s">
        <v>37</v>
      </c>
      <c r="T3011" t="str">
        <f t="shared" si="235"/>
        <v>Grade B</v>
      </c>
      <c r="U3011">
        <f t="shared" si="236"/>
        <v>4</v>
      </c>
      <c r="V3011" t="str">
        <f t="shared" si="237"/>
        <v>Mid Level</v>
      </c>
      <c r="W3011" t="str">
        <f t="shared" si="238"/>
        <v>Already Left</v>
      </c>
      <c r="X3011" t="str">
        <f t="shared" si="239"/>
        <v>Fair</v>
      </c>
    </row>
    <row r="3012" spans="1:24" x14ac:dyDescent="0.3">
      <c r="A3012" t="s">
        <v>3080</v>
      </c>
      <c r="B3012" t="s">
        <v>20</v>
      </c>
      <c r="C3012">
        <v>39</v>
      </c>
      <c r="D3012" t="s">
        <v>31</v>
      </c>
      <c r="E3012" t="s">
        <v>22</v>
      </c>
      <c r="F3012" t="s">
        <v>65</v>
      </c>
      <c r="G3012" t="s">
        <v>63</v>
      </c>
      <c r="H3012" t="s">
        <v>83</v>
      </c>
      <c r="I3012" t="s">
        <v>43</v>
      </c>
      <c r="J3012" t="s">
        <v>44</v>
      </c>
      <c r="K3012">
        <v>15</v>
      </c>
      <c r="L3012">
        <v>68719</v>
      </c>
      <c r="M3012" t="s">
        <v>36</v>
      </c>
      <c r="N3012">
        <v>2</v>
      </c>
      <c r="O3012">
        <v>4</v>
      </c>
      <c r="P3012">
        <v>42</v>
      </c>
      <c r="Q3012">
        <v>2</v>
      </c>
      <c r="R3012" s="1">
        <v>39551</v>
      </c>
      <c r="S3012" t="s">
        <v>29</v>
      </c>
      <c r="T3012" t="str">
        <f t="shared" si="235"/>
        <v>Grade B</v>
      </c>
      <c r="U3012">
        <f t="shared" si="236"/>
        <v>1</v>
      </c>
      <c r="V3012" t="str">
        <f t="shared" si="237"/>
        <v>Senior</v>
      </c>
      <c r="W3012" t="str">
        <f t="shared" si="238"/>
        <v>Medium Risk</v>
      </c>
      <c r="X3012" t="str">
        <f t="shared" si="239"/>
        <v>Fair</v>
      </c>
    </row>
    <row r="3013" spans="1:24" x14ac:dyDescent="0.3">
      <c r="A3013" t="s">
        <v>3081</v>
      </c>
      <c r="B3013" t="s">
        <v>20</v>
      </c>
      <c r="C3013">
        <v>53</v>
      </c>
      <c r="D3013" t="s">
        <v>57</v>
      </c>
      <c r="E3013" t="s">
        <v>40</v>
      </c>
      <c r="F3013" t="s">
        <v>41</v>
      </c>
      <c r="G3013" t="s">
        <v>24</v>
      </c>
      <c r="H3013" t="s">
        <v>83</v>
      </c>
      <c r="I3013" t="s">
        <v>26</v>
      </c>
      <c r="J3013" t="s">
        <v>27</v>
      </c>
      <c r="K3013">
        <v>13</v>
      </c>
      <c r="L3013">
        <v>92087</v>
      </c>
      <c r="M3013" t="s">
        <v>51</v>
      </c>
      <c r="N3013">
        <v>1</v>
      </c>
      <c r="O3013">
        <v>3</v>
      </c>
      <c r="P3013">
        <v>17</v>
      </c>
      <c r="Q3013">
        <v>3</v>
      </c>
      <c r="R3013" s="1">
        <v>40256</v>
      </c>
      <c r="S3013" t="s">
        <v>29</v>
      </c>
      <c r="T3013" t="str">
        <f t="shared" si="235"/>
        <v>Grade A</v>
      </c>
      <c r="U3013">
        <f t="shared" si="236"/>
        <v>4</v>
      </c>
      <c r="V3013" t="str">
        <f t="shared" si="237"/>
        <v>Senior</v>
      </c>
      <c r="W3013" t="str">
        <f t="shared" si="238"/>
        <v>Low Risk</v>
      </c>
      <c r="X3013" t="str">
        <f t="shared" si="239"/>
        <v>Competitive</v>
      </c>
    </row>
    <row r="3014" spans="1:24" x14ac:dyDescent="0.3">
      <c r="A3014" t="s">
        <v>3082</v>
      </c>
      <c r="B3014" t="s">
        <v>39</v>
      </c>
      <c r="C3014">
        <v>46</v>
      </c>
      <c r="D3014" t="s">
        <v>57</v>
      </c>
      <c r="E3014" t="s">
        <v>40</v>
      </c>
      <c r="F3014" t="s">
        <v>32</v>
      </c>
      <c r="G3014" t="s">
        <v>66</v>
      </c>
      <c r="H3014" t="s">
        <v>67</v>
      </c>
      <c r="I3014" t="s">
        <v>68</v>
      </c>
      <c r="J3014" t="s">
        <v>60</v>
      </c>
      <c r="K3014">
        <v>14</v>
      </c>
      <c r="L3014">
        <v>56926</v>
      </c>
      <c r="M3014" t="s">
        <v>51</v>
      </c>
      <c r="N3014">
        <v>2</v>
      </c>
      <c r="O3014">
        <v>4</v>
      </c>
      <c r="P3014">
        <v>13</v>
      </c>
      <c r="Q3014">
        <v>2</v>
      </c>
      <c r="R3014" s="1">
        <v>40021</v>
      </c>
      <c r="S3014" t="s">
        <v>29</v>
      </c>
      <c r="T3014" t="str">
        <f t="shared" si="235"/>
        <v>Grade B</v>
      </c>
      <c r="U3014">
        <f t="shared" si="236"/>
        <v>4</v>
      </c>
      <c r="V3014" t="str">
        <f t="shared" si="237"/>
        <v>Senior</v>
      </c>
      <c r="W3014" t="str">
        <f t="shared" si="238"/>
        <v>Low Risk</v>
      </c>
      <c r="X3014" t="str">
        <f t="shared" si="239"/>
        <v>Fair</v>
      </c>
    </row>
    <row r="3015" spans="1:24" x14ac:dyDescent="0.3">
      <c r="A3015" t="s">
        <v>3083</v>
      </c>
      <c r="B3015" t="s">
        <v>39</v>
      </c>
      <c r="C3015">
        <v>24</v>
      </c>
      <c r="D3015" t="s">
        <v>57</v>
      </c>
      <c r="E3015" t="s">
        <v>22</v>
      </c>
      <c r="F3015" t="s">
        <v>75</v>
      </c>
      <c r="G3015" t="s">
        <v>42</v>
      </c>
      <c r="H3015" t="s">
        <v>25</v>
      </c>
      <c r="I3015" t="s">
        <v>35</v>
      </c>
      <c r="J3015" t="s">
        <v>27</v>
      </c>
      <c r="K3015">
        <v>2</v>
      </c>
      <c r="L3015">
        <v>95940</v>
      </c>
      <c r="M3015" t="s">
        <v>28</v>
      </c>
      <c r="N3015">
        <v>3</v>
      </c>
      <c r="O3015">
        <v>2</v>
      </c>
      <c r="P3015">
        <v>20</v>
      </c>
      <c r="Q3015">
        <v>0</v>
      </c>
      <c r="R3015" s="1">
        <v>44471</v>
      </c>
      <c r="S3015" t="s">
        <v>29</v>
      </c>
      <c r="T3015" t="str">
        <f t="shared" si="235"/>
        <v>Grade A</v>
      </c>
      <c r="U3015">
        <f t="shared" si="236"/>
        <v>3</v>
      </c>
      <c r="V3015" t="str">
        <f t="shared" si="237"/>
        <v>New Joiner</v>
      </c>
      <c r="W3015" t="str">
        <f t="shared" si="238"/>
        <v>Medium Risk</v>
      </c>
      <c r="X3015" t="str">
        <f t="shared" si="239"/>
        <v>Competitive</v>
      </c>
    </row>
    <row r="3016" spans="1:24" x14ac:dyDescent="0.3">
      <c r="A3016" t="s">
        <v>3084</v>
      </c>
      <c r="B3016" t="s">
        <v>20</v>
      </c>
      <c r="C3016">
        <v>54</v>
      </c>
      <c r="D3016" t="s">
        <v>88</v>
      </c>
      <c r="E3016" t="s">
        <v>22</v>
      </c>
      <c r="F3016" t="s">
        <v>78</v>
      </c>
      <c r="G3016" t="s">
        <v>33</v>
      </c>
      <c r="H3016" t="s">
        <v>67</v>
      </c>
      <c r="I3016" t="s">
        <v>96</v>
      </c>
      <c r="J3016" t="s">
        <v>44</v>
      </c>
      <c r="K3016">
        <v>3</v>
      </c>
      <c r="L3016">
        <v>64316</v>
      </c>
      <c r="M3016" t="s">
        <v>28</v>
      </c>
      <c r="N3016">
        <v>4</v>
      </c>
      <c r="O3016">
        <v>4</v>
      </c>
      <c r="P3016">
        <v>47</v>
      </c>
      <c r="Q3016">
        <v>1</v>
      </c>
      <c r="R3016" s="1">
        <v>43892</v>
      </c>
      <c r="S3016" t="s">
        <v>29</v>
      </c>
      <c r="T3016" t="str">
        <f t="shared" si="235"/>
        <v>Grade B</v>
      </c>
      <c r="U3016">
        <f t="shared" si="236"/>
        <v>3</v>
      </c>
      <c r="V3016" t="str">
        <f t="shared" si="237"/>
        <v>Junior</v>
      </c>
      <c r="W3016" t="str">
        <f t="shared" si="238"/>
        <v>Medium Risk</v>
      </c>
      <c r="X3016" t="str">
        <f t="shared" si="239"/>
        <v>Competitive</v>
      </c>
    </row>
    <row r="3017" spans="1:24" x14ac:dyDescent="0.3">
      <c r="A3017" t="s">
        <v>3085</v>
      </c>
      <c r="B3017" t="s">
        <v>39</v>
      </c>
      <c r="C3017">
        <v>54</v>
      </c>
      <c r="D3017" t="s">
        <v>88</v>
      </c>
      <c r="E3017" t="s">
        <v>22</v>
      </c>
      <c r="F3017" t="s">
        <v>75</v>
      </c>
      <c r="G3017" t="s">
        <v>63</v>
      </c>
      <c r="H3017" t="s">
        <v>83</v>
      </c>
      <c r="I3017" t="s">
        <v>35</v>
      </c>
      <c r="J3017" t="s">
        <v>27</v>
      </c>
      <c r="K3017">
        <v>8</v>
      </c>
      <c r="L3017">
        <v>66439</v>
      </c>
      <c r="M3017" t="s">
        <v>51</v>
      </c>
      <c r="N3017">
        <v>1</v>
      </c>
      <c r="O3017">
        <v>1</v>
      </c>
      <c r="P3017">
        <v>18</v>
      </c>
      <c r="Q3017">
        <v>1</v>
      </c>
      <c r="R3017" s="1">
        <v>42142</v>
      </c>
      <c r="S3017" t="s">
        <v>29</v>
      </c>
      <c r="T3017" t="str">
        <f t="shared" si="235"/>
        <v>Grade B</v>
      </c>
      <c r="U3017">
        <f t="shared" si="236"/>
        <v>4</v>
      </c>
      <c r="V3017" t="str">
        <f t="shared" si="237"/>
        <v>Mid Level</v>
      </c>
      <c r="W3017" t="str">
        <f t="shared" si="238"/>
        <v>Low Risk</v>
      </c>
      <c r="X3017" t="str">
        <f t="shared" si="239"/>
        <v>Fair</v>
      </c>
    </row>
    <row r="3018" spans="1:24" x14ac:dyDescent="0.3">
      <c r="A3018" t="s">
        <v>3086</v>
      </c>
      <c r="B3018" t="s">
        <v>39</v>
      </c>
      <c r="C3018">
        <v>51</v>
      </c>
      <c r="D3018" t="s">
        <v>57</v>
      </c>
      <c r="E3018" t="s">
        <v>48</v>
      </c>
      <c r="F3018" t="s">
        <v>65</v>
      </c>
      <c r="G3018" t="s">
        <v>49</v>
      </c>
      <c r="H3018" t="s">
        <v>67</v>
      </c>
      <c r="I3018" t="s">
        <v>50</v>
      </c>
      <c r="J3018" t="s">
        <v>44</v>
      </c>
      <c r="K3018">
        <v>4</v>
      </c>
      <c r="L3018">
        <v>59931</v>
      </c>
      <c r="M3018" t="s">
        <v>28</v>
      </c>
      <c r="N3018">
        <v>1</v>
      </c>
      <c r="O3018">
        <v>3</v>
      </c>
      <c r="P3018">
        <v>46</v>
      </c>
      <c r="Q3018">
        <v>0</v>
      </c>
      <c r="R3018" s="1">
        <v>43757</v>
      </c>
      <c r="S3018" t="s">
        <v>29</v>
      </c>
      <c r="T3018" t="str">
        <f t="shared" si="235"/>
        <v>Grade B</v>
      </c>
      <c r="U3018">
        <f t="shared" si="236"/>
        <v>3</v>
      </c>
      <c r="V3018" t="str">
        <f t="shared" si="237"/>
        <v>Junior</v>
      </c>
      <c r="W3018" t="str">
        <f t="shared" si="238"/>
        <v>Medium Risk</v>
      </c>
      <c r="X3018" t="str">
        <f t="shared" si="239"/>
        <v>Competitive</v>
      </c>
    </row>
    <row r="3019" spans="1:24" x14ac:dyDescent="0.3">
      <c r="A3019" t="s">
        <v>3087</v>
      </c>
      <c r="B3019" t="s">
        <v>39</v>
      </c>
      <c r="C3019">
        <v>39</v>
      </c>
      <c r="D3019" t="s">
        <v>21</v>
      </c>
      <c r="E3019" t="s">
        <v>40</v>
      </c>
      <c r="F3019" t="s">
        <v>32</v>
      </c>
      <c r="G3019" t="s">
        <v>63</v>
      </c>
      <c r="H3019" t="s">
        <v>67</v>
      </c>
      <c r="I3019" t="s">
        <v>43</v>
      </c>
      <c r="J3019" t="s">
        <v>44</v>
      </c>
      <c r="K3019">
        <v>5</v>
      </c>
      <c r="L3019">
        <v>62985</v>
      </c>
      <c r="M3019" t="s">
        <v>45</v>
      </c>
      <c r="N3019">
        <v>2</v>
      </c>
      <c r="O3019">
        <v>4</v>
      </c>
      <c r="P3019">
        <v>23</v>
      </c>
      <c r="Q3019">
        <v>3</v>
      </c>
      <c r="R3019" s="1">
        <v>43258</v>
      </c>
      <c r="S3019" t="s">
        <v>29</v>
      </c>
      <c r="T3019" t="str">
        <f t="shared" si="235"/>
        <v>Grade B</v>
      </c>
      <c r="U3019">
        <f t="shared" si="236"/>
        <v>2</v>
      </c>
      <c r="V3019" t="str">
        <f t="shared" si="237"/>
        <v>Junior</v>
      </c>
      <c r="W3019" t="str">
        <f t="shared" si="238"/>
        <v>Medium Risk</v>
      </c>
      <c r="X3019" t="str">
        <f t="shared" si="239"/>
        <v>Fair</v>
      </c>
    </row>
    <row r="3020" spans="1:24" x14ac:dyDescent="0.3">
      <c r="A3020" t="s">
        <v>3088</v>
      </c>
      <c r="B3020" t="s">
        <v>20</v>
      </c>
      <c r="C3020">
        <v>25</v>
      </c>
      <c r="D3020" t="s">
        <v>47</v>
      </c>
      <c r="E3020" t="s">
        <v>22</v>
      </c>
      <c r="F3020" t="s">
        <v>65</v>
      </c>
      <c r="G3020" t="s">
        <v>49</v>
      </c>
      <c r="H3020" t="s">
        <v>25</v>
      </c>
      <c r="I3020" t="s">
        <v>72</v>
      </c>
      <c r="J3020" t="s">
        <v>73</v>
      </c>
      <c r="K3020">
        <v>8</v>
      </c>
      <c r="L3020">
        <v>62435</v>
      </c>
      <c r="M3020" t="s">
        <v>28</v>
      </c>
      <c r="N3020">
        <v>3</v>
      </c>
      <c r="O3020">
        <v>4</v>
      </c>
      <c r="P3020">
        <v>19</v>
      </c>
      <c r="Q3020">
        <v>3</v>
      </c>
      <c r="R3020" s="1">
        <v>42080</v>
      </c>
      <c r="S3020" t="s">
        <v>29</v>
      </c>
      <c r="T3020" t="str">
        <f t="shared" si="235"/>
        <v>Grade B</v>
      </c>
      <c r="U3020">
        <f t="shared" si="236"/>
        <v>3</v>
      </c>
      <c r="V3020" t="str">
        <f t="shared" si="237"/>
        <v>Mid Level</v>
      </c>
      <c r="W3020" t="str">
        <f t="shared" si="238"/>
        <v>Medium Risk</v>
      </c>
      <c r="X3020" t="str">
        <f t="shared" si="239"/>
        <v>Competitive</v>
      </c>
    </row>
    <row r="3021" spans="1:24" x14ac:dyDescent="0.3">
      <c r="A3021" t="s">
        <v>3089</v>
      </c>
      <c r="B3021" t="s">
        <v>20</v>
      </c>
      <c r="C3021">
        <v>45</v>
      </c>
      <c r="D3021" t="s">
        <v>31</v>
      </c>
      <c r="E3021" t="s">
        <v>48</v>
      </c>
      <c r="F3021" t="s">
        <v>23</v>
      </c>
      <c r="G3021" t="s">
        <v>63</v>
      </c>
      <c r="H3021" t="s">
        <v>25</v>
      </c>
      <c r="I3021" t="s">
        <v>54</v>
      </c>
      <c r="J3021" t="s">
        <v>27</v>
      </c>
      <c r="K3021">
        <v>11</v>
      </c>
      <c r="L3021">
        <v>59387</v>
      </c>
      <c r="M3021" t="s">
        <v>36</v>
      </c>
      <c r="N3021">
        <v>1</v>
      </c>
      <c r="O3021">
        <v>1</v>
      </c>
      <c r="P3021">
        <v>43</v>
      </c>
      <c r="Q3021">
        <v>1</v>
      </c>
      <c r="R3021" s="1">
        <v>40965</v>
      </c>
      <c r="S3021" t="s">
        <v>37</v>
      </c>
      <c r="T3021" t="str">
        <f t="shared" si="235"/>
        <v>Grade B</v>
      </c>
      <c r="U3021">
        <f t="shared" si="236"/>
        <v>1</v>
      </c>
      <c r="V3021" t="str">
        <f t="shared" si="237"/>
        <v>Senior</v>
      </c>
      <c r="W3021" t="str">
        <f t="shared" si="238"/>
        <v>Already Left</v>
      </c>
      <c r="X3021" t="str">
        <f t="shared" si="239"/>
        <v>Fair</v>
      </c>
    </row>
    <row r="3022" spans="1:24" x14ac:dyDescent="0.3">
      <c r="A3022" t="s">
        <v>3090</v>
      </c>
      <c r="B3022" t="s">
        <v>39</v>
      </c>
      <c r="C3022">
        <v>35</v>
      </c>
      <c r="D3022" t="s">
        <v>31</v>
      </c>
      <c r="E3022" t="s">
        <v>48</v>
      </c>
      <c r="F3022" t="s">
        <v>78</v>
      </c>
      <c r="G3022" t="s">
        <v>63</v>
      </c>
      <c r="H3022" t="s">
        <v>83</v>
      </c>
      <c r="I3022" t="s">
        <v>96</v>
      </c>
      <c r="J3022" t="s">
        <v>44</v>
      </c>
      <c r="K3022">
        <v>10</v>
      </c>
      <c r="L3022">
        <v>70020</v>
      </c>
      <c r="M3022" t="s">
        <v>28</v>
      </c>
      <c r="N3022">
        <v>2</v>
      </c>
      <c r="O3022">
        <v>2</v>
      </c>
      <c r="P3022">
        <v>67</v>
      </c>
      <c r="Q3022">
        <v>1</v>
      </c>
      <c r="R3022" s="1">
        <v>41473</v>
      </c>
      <c r="S3022" t="s">
        <v>37</v>
      </c>
      <c r="T3022" t="str">
        <f t="shared" si="235"/>
        <v>Grade B</v>
      </c>
      <c r="U3022">
        <f t="shared" si="236"/>
        <v>3</v>
      </c>
      <c r="V3022" t="str">
        <f t="shared" si="237"/>
        <v>Mid Level</v>
      </c>
      <c r="W3022" t="str">
        <f t="shared" si="238"/>
        <v>Already Left</v>
      </c>
      <c r="X3022" t="str">
        <f t="shared" si="239"/>
        <v>Competitive</v>
      </c>
    </row>
    <row r="3023" spans="1:24" x14ac:dyDescent="0.3">
      <c r="A3023" t="s">
        <v>3091</v>
      </c>
      <c r="B3023" t="s">
        <v>20</v>
      </c>
      <c r="C3023">
        <v>27</v>
      </c>
      <c r="D3023" t="s">
        <v>21</v>
      </c>
      <c r="E3023" t="s">
        <v>40</v>
      </c>
      <c r="F3023" t="s">
        <v>75</v>
      </c>
      <c r="G3023" t="s">
        <v>63</v>
      </c>
      <c r="H3023" t="s">
        <v>25</v>
      </c>
      <c r="I3023" t="s">
        <v>80</v>
      </c>
      <c r="J3023" t="s">
        <v>60</v>
      </c>
      <c r="K3023">
        <v>13</v>
      </c>
      <c r="L3023">
        <v>61314</v>
      </c>
      <c r="M3023" t="s">
        <v>45</v>
      </c>
      <c r="N3023">
        <v>1</v>
      </c>
      <c r="O3023">
        <v>4</v>
      </c>
      <c r="P3023">
        <v>50</v>
      </c>
      <c r="Q3023">
        <v>3</v>
      </c>
      <c r="R3023" s="1">
        <v>40272</v>
      </c>
      <c r="S3023" t="s">
        <v>29</v>
      </c>
      <c r="T3023" t="str">
        <f t="shared" si="235"/>
        <v>Grade B</v>
      </c>
      <c r="U3023">
        <f t="shared" si="236"/>
        <v>2</v>
      </c>
      <c r="V3023" t="str">
        <f t="shared" si="237"/>
        <v>Senior</v>
      </c>
      <c r="W3023" t="str">
        <f t="shared" si="238"/>
        <v>Medium Risk</v>
      </c>
      <c r="X3023" t="str">
        <f t="shared" si="239"/>
        <v>Fair</v>
      </c>
    </row>
    <row r="3024" spans="1:24" x14ac:dyDescent="0.3">
      <c r="A3024" t="s">
        <v>3092</v>
      </c>
      <c r="B3024" t="s">
        <v>20</v>
      </c>
      <c r="C3024">
        <v>29</v>
      </c>
      <c r="D3024" t="s">
        <v>47</v>
      </c>
      <c r="E3024" t="s">
        <v>48</v>
      </c>
      <c r="F3024" t="s">
        <v>53</v>
      </c>
      <c r="G3024" t="s">
        <v>79</v>
      </c>
      <c r="H3024" t="s">
        <v>67</v>
      </c>
      <c r="I3024" t="s">
        <v>59</v>
      </c>
      <c r="J3024" t="s">
        <v>60</v>
      </c>
      <c r="K3024">
        <v>8</v>
      </c>
      <c r="L3024">
        <v>49780</v>
      </c>
      <c r="M3024" t="s">
        <v>36</v>
      </c>
      <c r="N3024">
        <v>2</v>
      </c>
      <c r="O3024">
        <v>4</v>
      </c>
      <c r="P3024">
        <v>32</v>
      </c>
      <c r="Q3024">
        <v>0</v>
      </c>
      <c r="R3024" s="1">
        <v>42112</v>
      </c>
      <c r="S3024" t="s">
        <v>37</v>
      </c>
      <c r="T3024" t="str">
        <f t="shared" si="235"/>
        <v>Grade C</v>
      </c>
      <c r="U3024">
        <f t="shared" si="236"/>
        <v>1</v>
      </c>
      <c r="V3024" t="str">
        <f t="shared" si="237"/>
        <v>Mid Level</v>
      </c>
      <c r="W3024" t="str">
        <f t="shared" si="238"/>
        <v>Already Left</v>
      </c>
      <c r="X3024" t="str">
        <f t="shared" si="239"/>
        <v>Fair</v>
      </c>
    </row>
    <row r="3025" spans="1:24" x14ac:dyDescent="0.3">
      <c r="A3025" t="s">
        <v>3093</v>
      </c>
      <c r="B3025" t="s">
        <v>20</v>
      </c>
      <c r="C3025">
        <v>26</v>
      </c>
      <c r="D3025" t="s">
        <v>88</v>
      </c>
      <c r="E3025" t="s">
        <v>48</v>
      </c>
      <c r="F3025" t="s">
        <v>62</v>
      </c>
      <c r="G3025" t="s">
        <v>24</v>
      </c>
      <c r="H3025" t="s">
        <v>67</v>
      </c>
      <c r="I3025" t="s">
        <v>43</v>
      </c>
      <c r="J3025" t="s">
        <v>44</v>
      </c>
      <c r="K3025">
        <v>3</v>
      </c>
      <c r="L3025">
        <v>82408</v>
      </c>
      <c r="M3025" t="s">
        <v>28</v>
      </c>
      <c r="N3025">
        <v>3</v>
      </c>
      <c r="O3025">
        <v>4</v>
      </c>
      <c r="P3025">
        <v>59</v>
      </c>
      <c r="Q3025">
        <v>0</v>
      </c>
      <c r="R3025" s="1">
        <v>43918</v>
      </c>
      <c r="S3025" t="s">
        <v>29</v>
      </c>
      <c r="T3025" t="str">
        <f t="shared" si="235"/>
        <v>Grade A</v>
      </c>
      <c r="U3025">
        <f t="shared" si="236"/>
        <v>3</v>
      </c>
      <c r="V3025" t="str">
        <f t="shared" si="237"/>
        <v>Junior</v>
      </c>
      <c r="W3025" t="str">
        <f t="shared" si="238"/>
        <v>Medium Risk</v>
      </c>
      <c r="X3025" t="str">
        <f t="shared" si="239"/>
        <v>Competitive</v>
      </c>
    </row>
    <row r="3026" spans="1:24" x14ac:dyDescent="0.3">
      <c r="A3026" t="s">
        <v>3094</v>
      </c>
      <c r="B3026" t="s">
        <v>39</v>
      </c>
      <c r="C3026">
        <v>49</v>
      </c>
      <c r="D3026" t="s">
        <v>57</v>
      </c>
      <c r="E3026" t="s">
        <v>22</v>
      </c>
      <c r="F3026" t="s">
        <v>75</v>
      </c>
      <c r="G3026" t="s">
        <v>24</v>
      </c>
      <c r="H3026" t="s">
        <v>25</v>
      </c>
      <c r="I3026" t="s">
        <v>96</v>
      </c>
      <c r="J3026" t="s">
        <v>44</v>
      </c>
      <c r="K3026">
        <v>3</v>
      </c>
      <c r="L3026">
        <v>79465</v>
      </c>
      <c r="M3026" t="s">
        <v>36</v>
      </c>
      <c r="N3026">
        <v>4</v>
      </c>
      <c r="O3026">
        <v>2</v>
      </c>
      <c r="P3026">
        <v>40</v>
      </c>
      <c r="Q3026">
        <v>2</v>
      </c>
      <c r="R3026" s="1">
        <v>43931</v>
      </c>
      <c r="S3026" t="s">
        <v>29</v>
      </c>
      <c r="T3026" t="str">
        <f t="shared" si="235"/>
        <v>Grade B</v>
      </c>
      <c r="U3026">
        <f t="shared" si="236"/>
        <v>1</v>
      </c>
      <c r="V3026" t="str">
        <f t="shared" si="237"/>
        <v>Junior</v>
      </c>
      <c r="W3026" t="str">
        <f t="shared" si="238"/>
        <v>Medium Risk</v>
      </c>
      <c r="X3026" t="str">
        <f t="shared" si="239"/>
        <v>Fair</v>
      </c>
    </row>
    <row r="3027" spans="1:24" x14ac:dyDescent="0.3">
      <c r="A3027" t="s">
        <v>3095</v>
      </c>
      <c r="B3027" t="s">
        <v>39</v>
      </c>
      <c r="C3027">
        <v>46</v>
      </c>
      <c r="D3027" t="s">
        <v>57</v>
      </c>
      <c r="E3027" t="s">
        <v>40</v>
      </c>
      <c r="F3027" t="s">
        <v>32</v>
      </c>
      <c r="G3027" t="s">
        <v>49</v>
      </c>
      <c r="H3027" t="s">
        <v>67</v>
      </c>
      <c r="I3027" t="s">
        <v>50</v>
      </c>
      <c r="J3027" t="s">
        <v>44</v>
      </c>
      <c r="K3027">
        <v>9</v>
      </c>
      <c r="L3027">
        <v>70857</v>
      </c>
      <c r="M3027" t="s">
        <v>36</v>
      </c>
      <c r="N3027">
        <v>4</v>
      </c>
      <c r="O3027">
        <v>4</v>
      </c>
      <c r="P3027">
        <v>76</v>
      </c>
      <c r="Q3027">
        <v>0</v>
      </c>
      <c r="R3027" s="1">
        <v>41683</v>
      </c>
      <c r="S3027" t="s">
        <v>37</v>
      </c>
      <c r="T3027" t="str">
        <f t="shared" si="235"/>
        <v>Grade B</v>
      </c>
      <c r="U3027">
        <f t="shared" si="236"/>
        <v>1</v>
      </c>
      <c r="V3027" t="str">
        <f t="shared" si="237"/>
        <v>Mid Level</v>
      </c>
      <c r="W3027" t="str">
        <f t="shared" si="238"/>
        <v>Already Left</v>
      </c>
      <c r="X3027" t="str">
        <f t="shared" si="239"/>
        <v>Fair</v>
      </c>
    </row>
    <row r="3028" spans="1:24" x14ac:dyDescent="0.3">
      <c r="A3028" t="s">
        <v>3096</v>
      </c>
      <c r="B3028" t="s">
        <v>39</v>
      </c>
      <c r="C3028">
        <v>33</v>
      </c>
      <c r="D3028" t="s">
        <v>47</v>
      </c>
      <c r="E3028" t="s">
        <v>48</v>
      </c>
      <c r="F3028" t="s">
        <v>23</v>
      </c>
      <c r="G3028" t="s">
        <v>66</v>
      </c>
      <c r="H3028" t="s">
        <v>76</v>
      </c>
      <c r="I3028" t="s">
        <v>35</v>
      </c>
      <c r="J3028" t="s">
        <v>27</v>
      </c>
      <c r="K3028">
        <v>7</v>
      </c>
      <c r="L3028">
        <v>46817</v>
      </c>
      <c r="M3028" t="s">
        <v>45</v>
      </c>
      <c r="N3028">
        <v>3</v>
      </c>
      <c r="O3028">
        <v>1</v>
      </c>
      <c r="P3028">
        <v>35</v>
      </c>
      <c r="Q3028">
        <v>3</v>
      </c>
      <c r="R3028" s="1">
        <v>42725</v>
      </c>
      <c r="S3028" t="s">
        <v>37</v>
      </c>
      <c r="T3028" t="str">
        <f t="shared" si="235"/>
        <v>Grade C</v>
      </c>
      <c r="U3028">
        <f t="shared" si="236"/>
        <v>2</v>
      </c>
      <c r="V3028" t="str">
        <f t="shared" si="237"/>
        <v>Mid Level</v>
      </c>
      <c r="W3028" t="str">
        <f t="shared" si="238"/>
        <v>Already Left</v>
      </c>
      <c r="X3028" t="str">
        <f t="shared" si="239"/>
        <v>Fair</v>
      </c>
    </row>
    <row r="3029" spans="1:24" x14ac:dyDescent="0.3">
      <c r="A3029" t="s">
        <v>3097</v>
      </c>
      <c r="B3029" t="s">
        <v>39</v>
      </c>
      <c r="C3029">
        <v>50</v>
      </c>
      <c r="D3029" t="s">
        <v>21</v>
      </c>
      <c r="E3029" t="s">
        <v>48</v>
      </c>
      <c r="F3029" t="s">
        <v>62</v>
      </c>
      <c r="G3029" t="s">
        <v>24</v>
      </c>
      <c r="H3029" t="s">
        <v>76</v>
      </c>
      <c r="I3029" t="s">
        <v>50</v>
      </c>
      <c r="J3029" t="s">
        <v>44</v>
      </c>
      <c r="K3029">
        <v>10</v>
      </c>
      <c r="L3029">
        <v>103360</v>
      </c>
      <c r="M3029" t="s">
        <v>51</v>
      </c>
      <c r="N3029">
        <v>2</v>
      </c>
      <c r="O3029">
        <v>1</v>
      </c>
      <c r="P3029">
        <v>37</v>
      </c>
      <c r="Q3029">
        <v>3</v>
      </c>
      <c r="R3029" s="1">
        <v>41522</v>
      </c>
      <c r="S3029" t="s">
        <v>37</v>
      </c>
      <c r="T3029" t="str">
        <f t="shared" si="235"/>
        <v>Grade A</v>
      </c>
      <c r="U3029">
        <f t="shared" si="236"/>
        <v>4</v>
      </c>
      <c r="V3029" t="str">
        <f t="shared" si="237"/>
        <v>Mid Level</v>
      </c>
      <c r="W3029" t="str">
        <f t="shared" si="238"/>
        <v>Already Left</v>
      </c>
      <c r="X3029" t="str">
        <f t="shared" si="239"/>
        <v>Competitive</v>
      </c>
    </row>
    <row r="3030" spans="1:24" x14ac:dyDescent="0.3">
      <c r="A3030" t="s">
        <v>3098</v>
      </c>
      <c r="B3030" t="s">
        <v>20</v>
      </c>
      <c r="C3030">
        <v>54</v>
      </c>
      <c r="D3030" t="s">
        <v>88</v>
      </c>
      <c r="E3030" t="s">
        <v>48</v>
      </c>
      <c r="F3030" t="s">
        <v>78</v>
      </c>
      <c r="G3030" t="s">
        <v>49</v>
      </c>
      <c r="H3030" t="s">
        <v>67</v>
      </c>
      <c r="I3030" t="s">
        <v>80</v>
      </c>
      <c r="J3030" t="s">
        <v>60</v>
      </c>
      <c r="K3030">
        <v>14</v>
      </c>
      <c r="L3030">
        <v>86965</v>
      </c>
      <c r="M3030" t="s">
        <v>36</v>
      </c>
      <c r="N3030">
        <v>3</v>
      </c>
      <c r="O3030">
        <v>3</v>
      </c>
      <c r="P3030">
        <v>30</v>
      </c>
      <c r="Q3030">
        <v>3</v>
      </c>
      <c r="R3030" s="1">
        <v>40109</v>
      </c>
      <c r="S3030" t="s">
        <v>29</v>
      </c>
      <c r="T3030" t="str">
        <f t="shared" si="235"/>
        <v>Grade A</v>
      </c>
      <c r="U3030">
        <f t="shared" si="236"/>
        <v>1</v>
      </c>
      <c r="V3030" t="str">
        <f t="shared" si="237"/>
        <v>Senior</v>
      </c>
      <c r="W3030" t="str">
        <f t="shared" si="238"/>
        <v>Medium Risk</v>
      </c>
      <c r="X3030" t="str">
        <f t="shared" si="239"/>
        <v>Overpaid</v>
      </c>
    </row>
    <row r="3031" spans="1:24" x14ac:dyDescent="0.3">
      <c r="A3031" t="s">
        <v>3099</v>
      </c>
      <c r="B3031" t="s">
        <v>39</v>
      </c>
      <c r="C3031">
        <v>31</v>
      </c>
      <c r="D3031" t="s">
        <v>31</v>
      </c>
      <c r="E3031" t="s">
        <v>22</v>
      </c>
      <c r="F3031" t="s">
        <v>53</v>
      </c>
      <c r="G3031" t="s">
        <v>49</v>
      </c>
      <c r="H3031" t="s">
        <v>34</v>
      </c>
      <c r="I3031" t="s">
        <v>43</v>
      </c>
      <c r="J3031" t="s">
        <v>44</v>
      </c>
      <c r="K3031">
        <v>12</v>
      </c>
      <c r="L3031">
        <v>76950</v>
      </c>
      <c r="M3031" t="s">
        <v>28</v>
      </c>
      <c r="N3031">
        <v>4</v>
      </c>
      <c r="O3031">
        <v>2</v>
      </c>
      <c r="P3031">
        <v>75</v>
      </c>
      <c r="Q3031">
        <v>0</v>
      </c>
      <c r="R3031" s="1">
        <v>40651</v>
      </c>
      <c r="S3031" t="s">
        <v>29</v>
      </c>
      <c r="T3031" t="str">
        <f t="shared" si="235"/>
        <v>Grade B</v>
      </c>
      <c r="U3031">
        <f t="shared" si="236"/>
        <v>3</v>
      </c>
      <c r="V3031" t="str">
        <f t="shared" si="237"/>
        <v>Senior</v>
      </c>
      <c r="W3031" t="str">
        <f t="shared" si="238"/>
        <v>Medium Risk</v>
      </c>
      <c r="X3031" t="str">
        <f t="shared" si="239"/>
        <v>Competitive</v>
      </c>
    </row>
    <row r="3032" spans="1:24" x14ac:dyDescent="0.3">
      <c r="A3032" t="s">
        <v>3100</v>
      </c>
      <c r="B3032" t="s">
        <v>39</v>
      </c>
      <c r="C3032">
        <v>25</v>
      </c>
      <c r="D3032" t="s">
        <v>31</v>
      </c>
      <c r="E3032" t="s">
        <v>22</v>
      </c>
      <c r="F3032" t="s">
        <v>65</v>
      </c>
      <c r="G3032" t="s">
        <v>63</v>
      </c>
      <c r="H3032" t="s">
        <v>34</v>
      </c>
      <c r="I3032" t="s">
        <v>54</v>
      </c>
      <c r="J3032" t="s">
        <v>27</v>
      </c>
      <c r="K3032">
        <v>11</v>
      </c>
      <c r="L3032">
        <v>59467</v>
      </c>
      <c r="M3032" t="s">
        <v>51</v>
      </c>
      <c r="N3032">
        <v>2</v>
      </c>
      <c r="O3032">
        <v>2</v>
      </c>
      <c r="P3032">
        <v>60</v>
      </c>
      <c r="Q3032">
        <v>1</v>
      </c>
      <c r="R3032" s="1">
        <v>41264</v>
      </c>
      <c r="S3032" t="s">
        <v>29</v>
      </c>
      <c r="T3032" t="str">
        <f t="shared" si="235"/>
        <v>Grade B</v>
      </c>
      <c r="U3032">
        <f t="shared" si="236"/>
        <v>4</v>
      </c>
      <c r="V3032" t="str">
        <f t="shared" si="237"/>
        <v>Senior</v>
      </c>
      <c r="W3032" t="str">
        <f t="shared" si="238"/>
        <v>Low Risk</v>
      </c>
      <c r="X3032" t="str">
        <f t="shared" si="239"/>
        <v>Fair</v>
      </c>
    </row>
    <row r="3033" spans="1:24" x14ac:dyDescent="0.3">
      <c r="A3033" t="s">
        <v>3101</v>
      </c>
      <c r="B3033" t="s">
        <v>20</v>
      </c>
      <c r="C3033">
        <v>30</v>
      </c>
      <c r="D3033" t="s">
        <v>57</v>
      </c>
      <c r="E3033" t="s">
        <v>48</v>
      </c>
      <c r="F3033" t="s">
        <v>53</v>
      </c>
      <c r="G3033" t="s">
        <v>24</v>
      </c>
      <c r="H3033" t="s">
        <v>25</v>
      </c>
      <c r="I3033" t="s">
        <v>96</v>
      </c>
      <c r="J3033" t="s">
        <v>44</v>
      </c>
      <c r="K3033">
        <v>6</v>
      </c>
      <c r="L3033">
        <v>83084</v>
      </c>
      <c r="M3033" t="s">
        <v>45</v>
      </c>
      <c r="N3033">
        <v>2</v>
      </c>
      <c r="O3033">
        <v>2</v>
      </c>
      <c r="P3033">
        <v>71</v>
      </c>
      <c r="Q3033">
        <v>1</v>
      </c>
      <c r="R3033" s="1">
        <v>42918</v>
      </c>
      <c r="S3033" t="s">
        <v>29</v>
      </c>
      <c r="T3033" t="str">
        <f t="shared" si="235"/>
        <v>Grade A</v>
      </c>
      <c r="U3033">
        <f t="shared" si="236"/>
        <v>2</v>
      </c>
      <c r="V3033" t="str">
        <f t="shared" si="237"/>
        <v>Mid Level</v>
      </c>
      <c r="W3033" t="str">
        <f t="shared" si="238"/>
        <v>Medium Risk</v>
      </c>
      <c r="X3033" t="str">
        <f t="shared" si="239"/>
        <v>Fair</v>
      </c>
    </row>
    <row r="3034" spans="1:24" x14ac:dyDescent="0.3">
      <c r="A3034" t="s">
        <v>3102</v>
      </c>
      <c r="B3034" t="s">
        <v>39</v>
      </c>
      <c r="C3034">
        <v>47</v>
      </c>
      <c r="D3034" t="s">
        <v>88</v>
      </c>
      <c r="E3034" t="s">
        <v>40</v>
      </c>
      <c r="F3034" t="s">
        <v>53</v>
      </c>
      <c r="G3034" t="s">
        <v>49</v>
      </c>
      <c r="H3034" t="s">
        <v>83</v>
      </c>
      <c r="I3034" t="s">
        <v>68</v>
      </c>
      <c r="J3034" t="s">
        <v>60</v>
      </c>
      <c r="K3034">
        <v>6</v>
      </c>
      <c r="L3034">
        <v>56784</v>
      </c>
      <c r="M3034" t="s">
        <v>45</v>
      </c>
      <c r="N3034">
        <v>2</v>
      </c>
      <c r="O3034">
        <v>2</v>
      </c>
      <c r="P3034">
        <v>66</v>
      </c>
      <c r="Q3034">
        <v>2</v>
      </c>
      <c r="R3034" s="1">
        <v>43077</v>
      </c>
      <c r="S3034" t="s">
        <v>29</v>
      </c>
      <c r="T3034" t="str">
        <f t="shared" si="235"/>
        <v>Grade B</v>
      </c>
      <c r="U3034">
        <f t="shared" si="236"/>
        <v>2</v>
      </c>
      <c r="V3034" t="str">
        <f t="shared" si="237"/>
        <v>Mid Level</v>
      </c>
      <c r="W3034" t="str">
        <f t="shared" si="238"/>
        <v>Medium Risk</v>
      </c>
      <c r="X3034" t="str">
        <f t="shared" si="239"/>
        <v>Fair</v>
      </c>
    </row>
    <row r="3035" spans="1:24" x14ac:dyDescent="0.3">
      <c r="A3035" t="s">
        <v>3103</v>
      </c>
      <c r="B3035" t="s">
        <v>39</v>
      </c>
      <c r="C3035">
        <v>40</v>
      </c>
      <c r="D3035" t="s">
        <v>88</v>
      </c>
      <c r="E3035" t="s">
        <v>48</v>
      </c>
      <c r="F3035" t="s">
        <v>41</v>
      </c>
      <c r="G3035" t="s">
        <v>79</v>
      </c>
      <c r="H3035" t="s">
        <v>83</v>
      </c>
      <c r="I3035" t="s">
        <v>72</v>
      </c>
      <c r="J3035" t="s">
        <v>73</v>
      </c>
      <c r="K3035">
        <v>6</v>
      </c>
      <c r="L3035">
        <v>55830</v>
      </c>
      <c r="M3035" t="s">
        <v>36</v>
      </c>
      <c r="N3035">
        <v>1</v>
      </c>
      <c r="O3035">
        <v>2</v>
      </c>
      <c r="P3035">
        <v>35</v>
      </c>
      <c r="Q3035">
        <v>3</v>
      </c>
      <c r="R3035" s="1">
        <v>42898</v>
      </c>
      <c r="S3035" t="s">
        <v>29</v>
      </c>
      <c r="T3035" t="str">
        <f t="shared" si="235"/>
        <v>Grade B</v>
      </c>
      <c r="U3035">
        <f t="shared" si="236"/>
        <v>1</v>
      </c>
      <c r="V3035" t="str">
        <f t="shared" si="237"/>
        <v>Mid Level</v>
      </c>
      <c r="W3035" t="str">
        <f t="shared" si="238"/>
        <v>Medium Risk</v>
      </c>
      <c r="X3035" t="str">
        <f t="shared" si="239"/>
        <v>Fair</v>
      </c>
    </row>
    <row r="3036" spans="1:24" x14ac:dyDescent="0.3">
      <c r="A3036" t="s">
        <v>3104</v>
      </c>
      <c r="B3036" t="s">
        <v>20</v>
      </c>
      <c r="C3036">
        <v>26</v>
      </c>
      <c r="D3036" t="s">
        <v>21</v>
      </c>
      <c r="E3036" t="s">
        <v>40</v>
      </c>
      <c r="F3036" t="s">
        <v>23</v>
      </c>
      <c r="G3036" t="s">
        <v>24</v>
      </c>
      <c r="H3036" t="s">
        <v>25</v>
      </c>
      <c r="I3036" t="s">
        <v>43</v>
      </c>
      <c r="J3036" t="s">
        <v>44</v>
      </c>
      <c r="K3036">
        <v>6</v>
      </c>
      <c r="L3036">
        <v>95840</v>
      </c>
      <c r="M3036" t="s">
        <v>36</v>
      </c>
      <c r="N3036">
        <v>1</v>
      </c>
      <c r="O3036">
        <v>2</v>
      </c>
      <c r="P3036">
        <v>27</v>
      </c>
      <c r="Q3036">
        <v>0</v>
      </c>
      <c r="R3036" s="1">
        <v>42946</v>
      </c>
      <c r="S3036" t="s">
        <v>37</v>
      </c>
      <c r="T3036" t="str">
        <f t="shared" si="235"/>
        <v>Grade A</v>
      </c>
      <c r="U3036">
        <f t="shared" si="236"/>
        <v>1</v>
      </c>
      <c r="V3036" t="str">
        <f t="shared" si="237"/>
        <v>Mid Level</v>
      </c>
      <c r="W3036" t="str">
        <f t="shared" si="238"/>
        <v>Already Left</v>
      </c>
      <c r="X3036" t="str">
        <f t="shared" si="239"/>
        <v>Overpaid</v>
      </c>
    </row>
    <row r="3037" spans="1:24" x14ac:dyDescent="0.3">
      <c r="A3037" t="s">
        <v>3105</v>
      </c>
      <c r="B3037" t="s">
        <v>20</v>
      </c>
      <c r="C3037">
        <v>45</v>
      </c>
      <c r="D3037" t="s">
        <v>21</v>
      </c>
      <c r="E3037" t="s">
        <v>48</v>
      </c>
      <c r="F3037" t="s">
        <v>53</v>
      </c>
      <c r="G3037" t="s">
        <v>79</v>
      </c>
      <c r="H3037" t="s">
        <v>67</v>
      </c>
      <c r="I3037" t="s">
        <v>96</v>
      </c>
      <c r="J3037" t="s">
        <v>44</v>
      </c>
      <c r="K3037">
        <v>10</v>
      </c>
      <c r="L3037">
        <v>67607</v>
      </c>
      <c r="M3037" t="s">
        <v>51</v>
      </c>
      <c r="N3037">
        <v>2</v>
      </c>
      <c r="O3037">
        <v>4</v>
      </c>
      <c r="P3037">
        <v>75</v>
      </c>
      <c r="Q3037">
        <v>2</v>
      </c>
      <c r="R3037" s="1">
        <v>41438</v>
      </c>
      <c r="S3037" t="s">
        <v>29</v>
      </c>
      <c r="T3037" t="str">
        <f t="shared" si="235"/>
        <v>Grade B</v>
      </c>
      <c r="U3037">
        <f t="shared" si="236"/>
        <v>4</v>
      </c>
      <c r="V3037" t="str">
        <f t="shared" si="237"/>
        <v>Mid Level</v>
      </c>
      <c r="W3037" t="str">
        <f t="shared" si="238"/>
        <v>Low Risk</v>
      </c>
      <c r="X3037" t="str">
        <f t="shared" si="239"/>
        <v>Fair</v>
      </c>
    </row>
    <row r="3038" spans="1:24" x14ac:dyDescent="0.3">
      <c r="A3038" t="s">
        <v>3106</v>
      </c>
      <c r="B3038" t="s">
        <v>39</v>
      </c>
      <c r="C3038">
        <v>46</v>
      </c>
      <c r="D3038" t="s">
        <v>57</v>
      </c>
      <c r="E3038" t="s">
        <v>40</v>
      </c>
      <c r="F3038" t="s">
        <v>75</v>
      </c>
      <c r="G3038" t="s">
        <v>66</v>
      </c>
      <c r="H3038" t="s">
        <v>76</v>
      </c>
      <c r="I3038" t="s">
        <v>26</v>
      </c>
      <c r="J3038" t="s">
        <v>27</v>
      </c>
      <c r="K3038">
        <v>11</v>
      </c>
      <c r="L3038">
        <v>58639</v>
      </c>
      <c r="M3038" t="s">
        <v>36</v>
      </c>
      <c r="N3038">
        <v>4</v>
      </c>
      <c r="O3038">
        <v>4</v>
      </c>
      <c r="P3038">
        <v>17</v>
      </c>
      <c r="Q3038">
        <v>1</v>
      </c>
      <c r="R3038" s="1">
        <v>40980</v>
      </c>
      <c r="S3038" t="s">
        <v>29</v>
      </c>
      <c r="T3038" t="str">
        <f t="shared" si="235"/>
        <v>Grade B</v>
      </c>
      <c r="U3038">
        <f t="shared" si="236"/>
        <v>1</v>
      </c>
      <c r="V3038" t="str">
        <f t="shared" si="237"/>
        <v>Senior</v>
      </c>
      <c r="W3038" t="str">
        <f t="shared" si="238"/>
        <v>Medium Risk</v>
      </c>
      <c r="X3038" t="str">
        <f t="shared" si="239"/>
        <v>Fair</v>
      </c>
    </row>
    <row r="3039" spans="1:24" x14ac:dyDescent="0.3">
      <c r="A3039" t="s">
        <v>3107</v>
      </c>
      <c r="B3039" t="s">
        <v>20</v>
      </c>
      <c r="C3039">
        <v>22</v>
      </c>
      <c r="D3039" t="s">
        <v>31</v>
      </c>
      <c r="E3039" t="s">
        <v>22</v>
      </c>
      <c r="F3039" t="s">
        <v>32</v>
      </c>
      <c r="G3039" t="s">
        <v>66</v>
      </c>
      <c r="H3039" t="s">
        <v>76</v>
      </c>
      <c r="I3039" t="s">
        <v>68</v>
      </c>
      <c r="J3039" t="s">
        <v>60</v>
      </c>
      <c r="K3039">
        <v>5</v>
      </c>
      <c r="L3039">
        <v>38412</v>
      </c>
      <c r="M3039" t="s">
        <v>45</v>
      </c>
      <c r="N3039">
        <v>3</v>
      </c>
      <c r="O3039">
        <v>2</v>
      </c>
      <c r="P3039">
        <v>47</v>
      </c>
      <c r="Q3039">
        <v>0</v>
      </c>
      <c r="R3039" s="1">
        <v>43347</v>
      </c>
      <c r="S3039" t="s">
        <v>29</v>
      </c>
      <c r="T3039" t="str">
        <f t="shared" si="235"/>
        <v>Grade C</v>
      </c>
      <c r="U3039">
        <f t="shared" si="236"/>
        <v>2</v>
      </c>
      <c r="V3039" t="str">
        <f t="shared" si="237"/>
        <v>Junior</v>
      </c>
      <c r="W3039" t="str">
        <f t="shared" si="238"/>
        <v>Medium Risk</v>
      </c>
      <c r="X3039" t="str">
        <f t="shared" si="239"/>
        <v>Fair</v>
      </c>
    </row>
    <row r="3040" spans="1:24" x14ac:dyDescent="0.3">
      <c r="A3040" t="s">
        <v>3108</v>
      </c>
      <c r="B3040" t="s">
        <v>20</v>
      </c>
      <c r="C3040">
        <v>31</v>
      </c>
      <c r="D3040" t="s">
        <v>47</v>
      </c>
      <c r="E3040" t="s">
        <v>22</v>
      </c>
      <c r="F3040" t="s">
        <v>53</v>
      </c>
      <c r="G3040" t="s">
        <v>33</v>
      </c>
      <c r="H3040" t="s">
        <v>76</v>
      </c>
      <c r="I3040" t="s">
        <v>43</v>
      </c>
      <c r="J3040" t="s">
        <v>44</v>
      </c>
      <c r="K3040">
        <v>2</v>
      </c>
      <c r="L3040">
        <v>69332</v>
      </c>
      <c r="M3040" t="s">
        <v>28</v>
      </c>
      <c r="N3040">
        <v>1</v>
      </c>
      <c r="O3040">
        <v>2</v>
      </c>
      <c r="P3040">
        <v>48</v>
      </c>
      <c r="Q3040">
        <v>1</v>
      </c>
      <c r="R3040" s="1">
        <v>44423</v>
      </c>
      <c r="S3040" t="s">
        <v>29</v>
      </c>
      <c r="T3040" t="str">
        <f t="shared" si="235"/>
        <v>Grade B</v>
      </c>
      <c r="U3040">
        <f t="shared" si="236"/>
        <v>3</v>
      </c>
      <c r="V3040" t="str">
        <f t="shared" si="237"/>
        <v>New Joiner</v>
      </c>
      <c r="W3040" t="str">
        <f t="shared" si="238"/>
        <v>Medium Risk</v>
      </c>
      <c r="X3040" t="str">
        <f t="shared" si="239"/>
        <v>Competitive</v>
      </c>
    </row>
    <row r="3041" spans="1:24" x14ac:dyDescent="0.3">
      <c r="A3041" t="s">
        <v>3109</v>
      </c>
      <c r="B3041" t="s">
        <v>39</v>
      </c>
      <c r="C3041">
        <v>28</v>
      </c>
      <c r="D3041" t="s">
        <v>57</v>
      </c>
      <c r="E3041" t="s">
        <v>48</v>
      </c>
      <c r="F3041" t="s">
        <v>78</v>
      </c>
      <c r="G3041" t="s">
        <v>58</v>
      </c>
      <c r="H3041" t="s">
        <v>67</v>
      </c>
      <c r="I3041" t="s">
        <v>26</v>
      </c>
      <c r="J3041" t="s">
        <v>27</v>
      </c>
      <c r="K3041">
        <v>11</v>
      </c>
      <c r="L3041">
        <v>104621</v>
      </c>
      <c r="M3041" t="s">
        <v>51</v>
      </c>
      <c r="N3041">
        <v>1</v>
      </c>
      <c r="O3041">
        <v>1</v>
      </c>
      <c r="P3041">
        <v>32</v>
      </c>
      <c r="Q3041">
        <v>2</v>
      </c>
      <c r="R3041" s="1">
        <v>41050</v>
      </c>
      <c r="S3041" t="s">
        <v>29</v>
      </c>
      <c r="T3041" t="str">
        <f t="shared" si="235"/>
        <v>Grade A</v>
      </c>
      <c r="U3041">
        <f t="shared" si="236"/>
        <v>4</v>
      </c>
      <c r="V3041" t="str">
        <f t="shared" si="237"/>
        <v>Senior</v>
      </c>
      <c r="W3041" t="str">
        <f t="shared" si="238"/>
        <v>Low Risk</v>
      </c>
      <c r="X3041" t="str">
        <f t="shared" si="239"/>
        <v>Competitive</v>
      </c>
    </row>
    <row r="3042" spans="1:24" x14ac:dyDescent="0.3">
      <c r="A3042" t="s">
        <v>3110</v>
      </c>
      <c r="B3042" t="s">
        <v>39</v>
      </c>
      <c r="C3042">
        <v>23</v>
      </c>
      <c r="D3042" t="s">
        <v>31</v>
      </c>
      <c r="E3042" t="s">
        <v>48</v>
      </c>
      <c r="F3042" t="s">
        <v>32</v>
      </c>
      <c r="G3042" t="s">
        <v>49</v>
      </c>
      <c r="H3042" t="s">
        <v>34</v>
      </c>
      <c r="I3042" t="s">
        <v>35</v>
      </c>
      <c r="J3042" t="s">
        <v>27</v>
      </c>
      <c r="K3042">
        <v>1</v>
      </c>
      <c r="L3042">
        <v>49705</v>
      </c>
      <c r="M3042" t="s">
        <v>45</v>
      </c>
      <c r="N3042">
        <v>2</v>
      </c>
      <c r="O3042">
        <v>3</v>
      </c>
      <c r="P3042">
        <v>21</v>
      </c>
      <c r="Q3042">
        <v>1</v>
      </c>
      <c r="R3042" s="1">
        <v>44685</v>
      </c>
      <c r="S3042" t="s">
        <v>29</v>
      </c>
      <c r="T3042" t="str">
        <f t="shared" si="235"/>
        <v>Grade C</v>
      </c>
      <c r="U3042">
        <f t="shared" si="236"/>
        <v>2</v>
      </c>
      <c r="V3042" t="str">
        <f t="shared" si="237"/>
        <v>New Joiner</v>
      </c>
      <c r="W3042" t="str">
        <f t="shared" si="238"/>
        <v>Medium Risk</v>
      </c>
      <c r="X3042" t="str">
        <f t="shared" si="239"/>
        <v>Fair</v>
      </c>
    </row>
    <row r="3043" spans="1:24" x14ac:dyDescent="0.3">
      <c r="A3043" t="s">
        <v>3111</v>
      </c>
      <c r="B3043" t="s">
        <v>39</v>
      </c>
      <c r="C3043">
        <v>46</v>
      </c>
      <c r="D3043" t="s">
        <v>47</v>
      </c>
      <c r="E3043" t="s">
        <v>22</v>
      </c>
      <c r="F3043" t="s">
        <v>75</v>
      </c>
      <c r="G3043" t="s">
        <v>79</v>
      </c>
      <c r="H3043" t="s">
        <v>67</v>
      </c>
      <c r="I3043" t="s">
        <v>72</v>
      </c>
      <c r="J3043" t="s">
        <v>73</v>
      </c>
      <c r="K3043">
        <v>4</v>
      </c>
      <c r="L3043">
        <v>52401</v>
      </c>
      <c r="M3043" t="s">
        <v>45</v>
      </c>
      <c r="N3043">
        <v>3</v>
      </c>
      <c r="O3043">
        <v>3</v>
      </c>
      <c r="P3043">
        <v>67</v>
      </c>
      <c r="Q3043">
        <v>0</v>
      </c>
      <c r="R3043" s="1">
        <v>43523</v>
      </c>
      <c r="S3043" t="s">
        <v>37</v>
      </c>
      <c r="T3043" t="str">
        <f t="shared" si="235"/>
        <v>Grade B</v>
      </c>
      <c r="U3043">
        <f t="shared" si="236"/>
        <v>2</v>
      </c>
      <c r="V3043" t="str">
        <f t="shared" si="237"/>
        <v>Junior</v>
      </c>
      <c r="W3043" t="str">
        <f t="shared" si="238"/>
        <v>Already Left</v>
      </c>
      <c r="X3043" t="str">
        <f t="shared" si="239"/>
        <v>Fair</v>
      </c>
    </row>
    <row r="3044" spans="1:24" x14ac:dyDescent="0.3">
      <c r="A3044" t="s">
        <v>3112</v>
      </c>
      <c r="B3044" t="s">
        <v>20</v>
      </c>
      <c r="C3044">
        <v>48</v>
      </c>
      <c r="D3044" t="s">
        <v>88</v>
      </c>
      <c r="E3044" t="s">
        <v>40</v>
      </c>
      <c r="F3044" t="s">
        <v>62</v>
      </c>
      <c r="G3044" t="s">
        <v>24</v>
      </c>
      <c r="H3044" t="s">
        <v>67</v>
      </c>
      <c r="I3044" t="s">
        <v>72</v>
      </c>
      <c r="J3044" t="s">
        <v>73</v>
      </c>
      <c r="K3044">
        <v>15</v>
      </c>
      <c r="L3044">
        <v>105605</v>
      </c>
      <c r="M3044" t="s">
        <v>28</v>
      </c>
      <c r="N3044">
        <v>2</v>
      </c>
      <c r="O3044">
        <v>2</v>
      </c>
      <c r="P3044">
        <v>14</v>
      </c>
      <c r="Q3044">
        <v>3</v>
      </c>
      <c r="R3044" s="1">
        <v>39762</v>
      </c>
      <c r="S3044" t="s">
        <v>29</v>
      </c>
      <c r="T3044" t="str">
        <f t="shared" si="235"/>
        <v>Grade A</v>
      </c>
      <c r="U3044">
        <f t="shared" si="236"/>
        <v>3</v>
      </c>
      <c r="V3044" t="str">
        <f t="shared" si="237"/>
        <v>Senior</v>
      </c>
      <c r="W3044" t="str">
        <f t="shared" si="238"/>
        <v>Medium Risk</v>
      </c>
      <c r="X3044" t="str">
        <f t="shared" si="239"/>
        <v>Competitive</v>
      </c>
    </row>
    <row r="3045" spans="1:24" x14ac:dyDescent="0.3">
      <c r="A3045" t="s">
        <v>3113</v>
      </c>
      <c r="B3045" t="s">
        <v>20</v>
      </c>
      <c r="C3045">
        <v>51</v>
      </c>
      <c r="D3045" t="s">
        <v>21</v>
      </c>
      <c r="E3045" t="s">
        <v>40</v>
      </c>
      <c r="F3045" t="s">
        <v>53</v>
      </c>
      <c r="G3045" t="s">
        <v>58</v>
      </c>
      <c r="H3045" t="s">
        <v>34</v>
      </c>
      <c r="I3045" t="s">
        <v>35</v>
      </c>
      <c r="J3045" t="s">
        <v>27</v>
      </c>
      <c r="K3045">
        <v>6</v>
      </c>
      <c r="L3045">
        <v>92692</v>
      </c>
      <c r="M3045" t="s">
        <v>45</v>
      </c>
      <c r="N3045">
        <v>4</v>
      </c>
      <c r="O3045">
        <v>1</v>
      </c>
      <c r="P3045">
        <v>75</v>
      </c>
      <c r="Q3045">
        <v>0</v>
      </c>
      <c r="R3045" s="1">
        <v>42947</v>
      </c>
      <c r="S3045" t="s">
        <v>29</v>
      </c>
      <c r="T3045" t="str">
        <f t="shared" si="235"/>
        <v>Grade A</v>
      </c>
      <c r="U3045">
        <f t="shared" si="236"/>
        <v>2</v>
      </c>
      <c r="V3045" t="str">
        <f t="shared" si="237"/>
        <v>Mid Level</v>
      </c>
      <c r="W3045" t="str">
        <f t="shared" si="238"/>
        <v>Medium Risk</v>
      </c>
      <c r="X3045" t="str">
        <f t="shared" si="239"/>
        <v>Fair</v>
      </c>
    </row>
    <row r="3046" spans="1:24" x14ac:dyDescent="0.3">
      <c r="A3046" t="s">
        <v>3114</v>
      </c>
      <c r="B3046" t="s">
        <v>39</v>
      </c>
      <c r="C3046">
        <v>48</v>
      </c>
      <c r="D3046" t="s">
        <v>31</v>
      </c>
      <c r="E3046" t="s">
        <v>22</v>
      </c>
      <c r="F3046" t="s">
        <v>53</v>
      </c>
      <c r="G3046" t="s">
        <v>49</v>
      </c>
      <c r="H3046" t="s">
        <v>25</v>
      </c>
      <c r="I3046" t="s">
        <v>43</v>
      </c>
      <c r="J3046" t="s">
        <v>44</v>
      </c>
      <c r="K3046">
        <v>10</v>
      </c>
      <c r="L3046">
        <v>63498</v>
      </c>
      <c r="M3046" t="s">
        <v>45</v>
      </c>
      <c r="N3046">
        <v>2</v>
      </c>
      <c r="O3046">
        <v>2</v>
      </c>
      <c r="P3046">
        <v>76</v>
      </c>
      <c r="Q3046">
        <v>3</v>
      </c>
      <c r="R3046" s="1">
        <v>41478</v>
      </c>
      <c r="S3046" t="s">
        <v>29</v>
      </c>
      <c r="T3046" t="str">
        <f t="shared" si="235"/>
        <v>Grade B</v>
      </c>
      <c r="U3046">
        <f t="shared" si="236"/>
        <v>2</v>
      </c>
      <c r="V3046" t="str">
        <f t="shared" si="237"/>
        <v>Mid Level</v>
      </c>
      <c r="W3046" t="str">
        <f t="shared" si="238"/>
        <v>Medium Risk</v>
      </c>
      <c r="X3046" t="str">
        <f t="shared" si="239"/>
        <v>Fair</v>
      </c>
    </row>
    <row r="3047" spans="1:24" x14ac:dyDescent="0.3">
      <c r="A3047" t="s">
        <v>3115</v>
      </c>
      <c r="B3047" t="s">
        <v>20</v>
      </c>
      <c r="C3047">
        <v>22</v>
      </c>
      <c r="D3047" t="s">
        <v>31</v>
      </c>
      <c r="E3047" t="s">
        <v>48</v>
      </c>
      <c r="F3047" t="s">
        <v>32</v>
      </c>
      <c r="G3047" t="s">
        <v>42</v>
      </c>
      <c r="H3047" t="s">
        <v>76</v>
      </c>
      <c r="I3047" t="s">
        <v>26</v>
      </c>
      <c r="J3047" t="s">
        <v>27</v>
      </c>
      <c r="K3047">
        <v>12</v>
      </c>
      <c r="L3047">
        <v>121649</v>
      </c>
      <c r="M3047" t="s">
        <v>36</v>
      </c>
      <c r="N3047">
        <v>2</v>
      </c>
      <c r="O3047">
        <v>2</v>
      </c>
      <c r="P3047">
        <v>67</v>
      </c>
      <c r="Q3047">
        <v>0</v>
      </c>
      <c r="R3047" s="1">
        <v>40861</v>
      </c>
      <c r="S3047" t="s">
        <v>37</v>
      </c>
      <c r="T3047" t="str">
        <f t="shared" si="235"/>
        <v>Grade A</v>
      </c>
      <c r="U3047">
        <f t="shared" si="236"/>
        <v>1</v>
      </c>
      <c r="V3047" t="str">
        <f t="shared" si="237"/>
        <v>Senior</v>
      </c>
      <c r="W3047" t="str">
        <f t="shared" si="238"/>
        <v>Already Left</v>
      </c>
      <c r="X3047" t="str">
        <f t="shared" si="239"/>
        <v>Overpaid</v>
      </c>
    </row>
    <row r="3048" spans="1:24" x14ac:dyDescent="0.3">
      <c r="A3048" t="s">
        <v>3116</v>
      </c>
      <c r="B3048" t="s">
        <v>20</v>
      </c>
      <c r="C3048">
        <v>45</v>
      </c>
      <c r="D3048" t="s">
        <v>47</v>
      </c>
      <c r="E3048" t="s">
        <v>22</v>
      </c>
      <c r="F3048" t="s">
        <v>32</v>
      </c>
      <c r="G3048" t="s">
        <v>24</v>
      </c>
      <c r="H3048" t="s">
        <v>76</v>
      </c>
      <c r="I3048" t="s">
        <v>96</v>
      </c>
      <c r="J3048" t="s">
        <v>44</v>
      </c>
      <c r="K3048">
        <v>2</v>
      </c>
      <c r="L3048">
        <v>85323</v>
      </c>
      <c r="M3048" t="s">
        <v>36</v>
      </c>
      <c r="N3048">
        <v>2</v>
      </c>
      <c r="O3048">
        <v>1</v>
      </c>
      <c r="P3048">
        <v>68</v>
      </c>
      <c r="Q3048">
        <v>2</v>
      </c>
      <c r="R3048" s="1">
        <v>44560</v>
      </c>
      <c r="S3048" t="s">
        <v>37</v>
      </c>
      <c r="T3048" t="str">
        <f t="shared" si="235"/>
        <v>Grade A</v>
      </c>
      <c r="U3048">
        <f t="shared" si="236"/>
        <v>1</v>
      </c>
      <c r="V3048" t="str">
        <f t="shared" si="237"/>
        <v>New Joiner</v>
      </c>
      <c r="W3048" t="str">
        <f t="shared" si="238"/>
        <v>Already Left</v>
      </c>
      <c r="X3048" t="str">
        <f t="shared" si="239"/>
        <v>Overpaid</v>
      </c>
    </row>
    <row r="3049" spans="1:24" x14ac:dyDescent="0.3">
      <c r="A3049" t="s">
        <v>3117</v>
      </c>
      <c r="B3049" t="s">
        <v>39</v>
      </c>
      <c r="C3049">
        <v>49</v>
      </c>
      <c r="D3049" t="s">
        <v>47</v>
      </c>
      <c r="E3049" t="s">
        <v>40</v>
      </c>
      <c r="F3049" t="s">
        <v>75</v>
      </c>
      <c r="G3049" t="s">
        <v>63</v>
      </c>
      <c r="H3049" t="s">
        <v>34</v>
      </c>
      <c r="I3049" t="s">
        <v>50</v>
      </c>
      <c r="J3049" t="s">
        <v>44</v>
      </c>
      <c r="K3049">
        <v>3</v>
      </c>
      <c r="L3049">
        <v>55624</v>
      </c>
      <c r="M3049" t="s">
        <v>36</v>
      </c>
      <c r="N3049">
        <v>2</v>
      </c>
      <c r="O3049">
        <v>1</v>
      </c>
      <c r="P3049">
        <v>23</v>
      </c>
      <c r="Q3049">
        <v>3</v>
      </c>
      <c r="R3049" s="1">
        <v>44058</v>
      </c>
      <c r="S3049" t="s">
        <v>37</v>
      </c>
      <c r="T3049" t="str">
        <f t="shared" si="235"/>
        <v>Grade B</v>
      </c>
      <c r="U3049">
        <f t="shared" si="236"/>
        <v>1</v>
      </c>
      <c r="V3049" t="str">
        <f t="shared" si="237"/>
        <v>Junior</v>
      </c>
      <c r="W3049" t="str">
        <f t="shared" si="238"/>
        <v>Already Left</v>
      </c>
      <c r="X3049" t="str">
        <f t="shared" si="239"/>
        <v>Fair</v>
      </c>
    </row>
    <row r="3050" spans="1:24" x14ac:dyDescent="0.3">
      <c r="A3050" t="s">
        <v>3118</v>
      </c>
      <c r="B3050" t="s">
        <v>39</v>
      </c>
      <c r="C3050">
        <v>45</v>
      </c>
      <c r="D3050" t="s">
        <v>31</v>
      </c>
      <c r="E3050" t="s">
        <v>22</v>
      </c>
      <c r="F3050" t="s">
        <v>78</v>
      </c>
      <c r="G3050" t="s">
        <v>42</v>
      </c>
      <c r="H3050" t="s">
        <v>25</v>
      </c>
      <c r="I3050" t="s">
        <v>96</v>
      </c>
      <c r="J3050" t="s">
        <v>44</v>
      </c>
      <c r="K3050">
        <v>12</v>
      </c>
      <c r="L3050">
        <v>125102</v>
      </c>
      <c r="M3050" t="s">
        <v>36</v>
      </c>
      <c r="N3050">
        <v>1</v>
      </c>
      <c r="O3050">
        <v>4</v>
      </c>
      <c r="P3050">
        <v>52</v>
      </c>
      <c r="Q3050">
        <v>2</v>
      </c>
      <c r="R3050" s="1">
        <v>40853</v>
      </c>
      <c r="S3050" t="s">
        <v>37</v>
      </c>
      <c r="T3050" t="str">
        <f t="shared" si="235"/>
        <v>Grade A</v>
      </c>
      <c r="U3050">
        <f t="shared" si="236"/>
        <v>1</v>
      </c>
      <c r="V3050" t="str">
        <f t="shared" si="237"/>
        <v>Senior</v>
      </c>
      <c r="W3050" t="str">
        <f t="shared" si="238"/>
        <v>Already Left</v>
      </c>
      <c r="X3050" t="str">
        <f t="shared" si="239"/>
        <v>Overpaid</v>
      </c>
    </row>
    <row r="3051" spans="1:24" x14ac:dyDescent="0.3">
      <c r="A3051" t="s">
        <v>3119</v>
      </c>
      <c r="B3051" t="s">
        <v>20</v>
      </c>
      <c r="C3051">
        <v>25</v>
      </c>
      <c r="D3051" t="s">
        <v>47</v>
      </c>
      <c r="E3051" t="s">
        <v>40</v>
      </c>
      <c r="F3051" t="s">
        <v>62</v>
      </c>
      <c r="G3051" t="s">
        <v>79</v>
      </c>
      <c r="H3051" t="s">
        <v>76</v>
      </c>
      <c r="I3051" t="s">
        <v>50</v>
      </c>
      <c r="J3051" t="s">
        <v>44</v>
      </c>
      <c r="K3051">
        <v>7</v>
      </c>
      <c r="L3051">
        <v>53665</v>
      </c>
      <c r="M3051" t="s">
        <v>51</v>
      </c>
      <c r="N3051">
        <v>4</v>
      </c>
      <c r="O3051">
        <v>2</v>
      </c>
      <c r="P3051">
        <v>58</v>
      </c>
      <c r="Q3051">
        <v>3</v>
      </c>
      <c r="R3051" s="1">
        <v>42460</v>
      </c>
      <c r="S3051" t="s">
        <v>29</v>
      </c>
      <c r="T3051" t="str">
        <f t="shared" si="235"/>
        <v>Grade B</v>
      </c>
      <c r="U3051">
        <f t="shared" si="236"/>
        <v>4</v>
      </c>
      <c r="V3051" t="str">
        <f t="shared" si="237"/>
        <v>Mid Level</v>
      </c>
      <c r="W3051" t="str">
        <f t="shared" si="238"/>
        <v>Low Risk</v>
      </c>
      <c r="X3051" t="str">
        <f t="shared" si="239"/>
        <v>Fair</v>
      </c>
    </row>
    <row r="3052" spans="1:24" x14ac:dyDescent="0.3">
      <c r="A3052" t="s">
        <v>3120</v>
      </c>
      <c r="B3052" t="s">
        <v>39</v>
      </c>
      <c r="C3052">
        <v>44</v>
      </c>
      <c r="D3052" t="s">
        <v>21</v>
      </c>
      <c r="E3052" t="s">
        <v>40</v>
      </c>
      <c r="F3052" t="s">
        <v>62</v>
      </c>
      <c r="G3052" t="s">
        <v>58</v>
      </c>
      <c r="H3052" t="s">
        <v>25</v>
      </c>
      <c r="I3052" t="s">
        <v>72</v>
      </c>
      <c r="J3052" t="s">
        <v>73</v>
      </c>
      <c r="K3052">
        <v>7</v>
      </c>
      <c r="L3052">
        <v>108066</v>
      </c>
      <c r="M3052" t="s">
        <v>36</v>
      </c>
      <c r="N3052">
        <v>3</v>
      </c>
      <c r="O3052">
        <v>4</v>
      </c>
      <c r="P3052">
        <v>35</v>
      </c>
      <c r="Q3052">
        <v>3</v>
      </c>
      <c r="R3052" s="1">
        <v>42605</v>
      </c>
      <c r="S3052" t="s">
        <v>37</v>
      </c>
      <c r="T3052" t="str">
        <f t="shared" si="235"/>
        <v>Grade A</v>
      </c>
      <c r="U3052">
        <f t="shared" si="236"/>
        <v>1</v>
      </c>
      <c r="V3052" t="str">
        <f t="shared" si="237"/>
        <v>Mid Level</v>
      </c>
      <c r="W3052" t="str">
        <f t="shared" si="238"/>
        <v>Already Left</v>
      </c>
      <c r="X3052" t="str">
        <f t="shared" si="239"/>
        <v>Overpaid</v>
      </c>
    </row>
    <row r="3053" spans="1:24" x14ac:dyDescent="0.3">
      <c r="A3053" t="s">
        <v>3121</v>
      </c>
      <c r="B3053" t="s">
        <v>39</v>
      </c>
      <c r="C3053">
        <v>34</v>
      </c>
      <c r="D3053" t="s">
        <v>21</v>
      </c>
      <c r="E3053" t="s">
        <v>22</v>
      </c>
      <c r="F3053" t="s">
        <v>32</v>
      </c>
      <c r="G3053" t="s">
        <v>66</v>
      </c>
      <c r="H3053" t="s">
        <v>34</v>
      </c>
      <c r="I3053" t="s">
        <v>50</v>
      </c>
      <c r="J3053" t="s">
        <v>44</v>
      </c>
      <c r="K3053">
        <v>11</v>
      </c>
      <c r="L3053">
        <v>52258</v>
      </c>
      <c r="M3053" t="s">
        <v>45</v>
      </c>
      <c r="N3053">
        <v>2</v>
      </c>
      <c r="O3053">
        <v>4</v>
      </c>
      <c r="P3053">
        <v>72</v>
      </c>
      <c r="Q3053">
        <v>1</v>
      </c>
      <c r="R3053" s="1">
        <v>41010</v>
      </c>
      <c r="S3053" t="s">
        <v>29</v>
      </c>
      <c r="T3053" t="str">
        <f t="shared" si="235"/>
        <v>Grade B</v>
      </c>
      <c r="U3053">
        <f t="shared" si="236"/>
        <v>2</v>
      </c>
      <c r="V3053" t="str">
        <f t="shared" si="237"/>
        <v>Senior</v>
      </c>
      <c r="W3053" t="str">
        <f t="shared" si="238"/>
        <v>Medium Risk</v>
      </c>
      <c r="X3053" t="str">
        <f t="shared" si="239"/>
        <v>Fair</v>
      </c>
    </row>
    <row r="3054" spans="1:24" x14ac:dyDescent="0.3">
      <c r="A3054" t="s">
        <v>3122</v>
      </c>
      <c r="B3054" t="s">
        <v>20</v>
      </c>
      <c r="C3054">
        <v>37</v>
      </c>
      <c r="D3054" t="s">
        <v>88</v>
      </c>
      <c r="E3054" t="s">
        <v>48</v>
      </c>
      <c r="F3054" t="s">
        <v>32</v>
      </c>
      <c r="G3054" t="s">
        <v>79</v>
      </c>
      <c r="H3054" t="s">
        <v>25</v>
      </c>
      <c r="I3054" t="s">
        <v>80</v>
      </c>
      <c r="J3054" t="s">
        <v>60</v>
      </c>
      <c r="K3054">
        <v>10</v>
      </c>
      <c r="L3054">
        <v>69872</v>
      </c>
      <c r="M3054" t="s">
        <v>45</v>
      </c>
      <c r="N3054">
        <v>4</v>
      </c>
      <c r="O3054">
        <v>2</v>
      </c>
      <c r="P3054">
        <v>28</v>
      </c>
      <c r="Q3054">
        <v>2</v>
      </c>
      <c r="R3054" s="1">
        <v>41404</v>
      </c>
      <c r="S3054" t="s">
        <v>29</v>
      </c>
      <c r="T3054" t="str">
        <f t="shared" si="235"/>
        <v>Grade B</v>
      </c>
      <c r="U3054">
        <f t="shared" si="236"/>
        <v>2</v>
      </c>
      <c r="V3054" t="str">
        <f t="shared" si="237"/>
        <v>Mid Level</v>
      </c>
      <c r="W3054" t="str">
        <f t="shared" si="238"/>
        <v>Medium Risk</v>
      </c>
      <c r="X3054" t="str">
        <f t="shared" si="239"/>
        <v>Fair</v>
      </c>
    </row>
    <row r="3055" spans="1:24" x14ac:dyDescent="0.3">
      <c r="A3055" t="s">
        <v>3123</v>
      </c>
      <c r="B3055" t="s">
        <v>39</v>
      </c>
      <c r="C3055">
        <v>26</v>
      </c>
      <c r="D3055" t="s">
        <v>57</v>
      </c>
      <c r="E3055" t="s">
        <v>22</v>
      </c>
      <c r="F3055" t="s">
        <v>32</v>
      </c>
      <c r="G3055" t="s">
        <v>63</v>
      </c>
      <c r="H3055" t="s">
        <v>76</v>
      </c>
      <c r="I3055" t="s">
        <v>80</v>
      </c>
      <c r="J3055" t="s">
        <v>60</v>
      </c>
      <c r="K3055">
        <v>4</v>
      </c>
      <c r="L3055">
        <v>56279</v>
      </c>
      <c r="M3055" t="s">
        <v>36</v>
      </c>
      <c r="N3055">
        <v>4</v>
      </c>
      <c r="O3055">
        <v>3</v>
      </c>
      <c r="P3055">
        <v>37</v>
      </c>
      <c r="Q3055">
        <v>2</v>
      </c>
      <c r="R3055" s="1">
        <v>43578</v>
      </c>
      <c r="S3055" t="s">
        <v>29</v>
      </c>
      <c r="T3055" t="str">
        <f t="shared" si="235"/>
        <v>Grade B</v>
      </c>
      <c r="U3055">
        <f t="shared" si="236"/>
        <v>1</v>
      </c>
      <c r="V3055" t="str">
        <f t="shared" si="237"/>
        <v>Junior</v>
      </c>
      <c r="W3055" t="str">
        <f t="shared" si="238"/>
        <v>Medium Risk</v>
      </c>
      <c r="X3055" t="str">
        <f t="shared" si="239"/>
        <v>Fair</v>
      </c>
    </row>
    <row r="3056" spans="1:24" x14ac:dyDescent="0.3">
      <c r="A3056" t="s">
        <v>3124</v>
      </c>
      <c r="B3056" t="s">
        <v>20</v>
      </c>
      <c r="C3056">
        <v>54</v>
      </c>
      <c r="D3056" t="s">
        <v>47</v>
      </c>
      <c r="E3056" t="s">
        <v>40</v>
      </c>
      <c r="F3056" t="s">
        <v>65</v>
      </c>
      <c r="G3056" t="s">
        <v>42</v>
      </c>
      <c r="H3056" t="s">
        <v>25</v>
      </c>
      <c r="I3056" t="s">
        <v>54</v>
      </c>
      <c r="J3056" t="s">
        <v>27</v>
      </c>
      <c r="K3056">
        <v>10</v>
      </c>
      <c r="L3056">
        <v>117101</v>
      </c>
      <c r="M3056" t="s">
        <v>28</v>
      </c>
      <c r="N3056">
        <v>3</v>
      </c>
      <c r="O3056">
        <v>4</v>
      </c>
      <c r="P3056">
        <v>40</v>
      </c>
      <c r="Q3056">
        <v>0</v>
      </c>
      <c r="R3056" s="1">
        <v>41425</v>
      </c>
      <c r="S3056" t="s">
        <v>37</v>
      </c>
      <c r="T3056" t="str">
        <f t="shared" si="235"/>
        <v>Grade A</v>
      </c>
      <c r="U3056">
        <f t="shared" si="236"/>
        <v>3</v>
      </c>
      <c r="V3056" t="str">
        <f t="shared" si="237"/>
        <v>Mid Level</v>
      </c>
      <c r="W3056" t="str">
        <f t="shared" si="238"/>
        <v>Already Left</v>
      </c>
      <c r="X3056" t="str">
        <f t="shared" si="239"/>
        <v>Competitive</v>
      </c>
    </row>
    <row r="3057" spans="1:24" x14ac:dyDescent="0.3">
      <c r="A3057" t="s">
        <v>3125</v>
      </c>
      <c r="B3057" t="s">
        <v>39</v>
      </c>
      <c r="C3057">
        <v>41</v>
      </c>
      <c r="D3057" t="s">
        <v>47</v>
      </c>
      <c r="E3057" t="s">
        <v>22</v>
      </c>
      <c r="F3057" t="s">
        <v>78</v>
      </c>
      <c r="G3057" t="s">
        <v>42</v>
      </c>
      <c r="H3057" t="s">
        <v>67</v>
      </c>
      <c r="I3057" t="s">
        <v>54</v>
      </c>
      <c r="J3057" t="s">
        <v>27</v>
      </c>
      <c r="K3057">
        <v>6</v>
      </c>
      <c r="L3057">
        <v>100978</v>
      </c>
      <c r="M3057" t="s">
        <v>45</v>
      </c>
      <c r="N3057">
        <v>3</v>
      </c>
      <c r="O3057">
        <v>1</v>
      </c>
      <c r="P3057">
        <v>43</v>
      </c>
      <c r="Q3057">
        <v>1</v>
      </c>
      <c r="R3057" s="1">
        <v>42805</v>
      </c>
      <c r="S3057" t="s">
        <v>29</v>
      </c>
      <c r="T3057" t="str">
        <f t="shared" si="235"/>
        <v>Grade A</v>
      </c>
      <c r="U3057">
        <f t="shared" si="236"/>
        <v>2</v>
      </c>
      <c r="V3057" t="str">
        <f t="shared" si="237"/>
        <v>Mid Level</v>
      </c>
      <c r="W3057" t="str">
        <f t="shared" si="238"/>
        <v>Medium Risk</v>
      </c>
      <c r="X3057" t="str">
        <f t="shared" si="239"/>
        <v>Fair</v>
      </c>
    </row>
    <row r="3058" spans="1:24" x14ac:dyDescent="0.3">
      <c r="A3058" t="s">
        <v>3126</v>
      </c>
      <c r="B3058" t="s">
        <v>20</v>
      </c>
      <c r="C3058">
        <v>31</v>
      </c>
      <c r="D3058" t="s">
        <v>31</v>
      </c>
      <c r="E3058" t="s">
        <v>22</v>
      </c>
      <c r="F3058" t="s">
        <v>65</v>
      </c>
      <c r="G3058" t="s">
        <v>58</v>
      </c>
      <c r="H3058" t="s">
        <v>25</v>
      </c>
      <c r="I3058" t="s">
        <v>26</v>
      </c>
      <c r="J3058" t="s">
        <v>27</v>
      </c>
      <c r="K3058">
        <v>12</v>
      </c>
      <c r="L3058">
        <v>117998</v>
      </c>
      <c r="M3058" t="s">
        <v>45</v>
      </c>
      <c r="N3058">
        <v>3</v>
      </c>
      <c r="O3058">
        <v>4</v>
      </c>
      <c r="P3058">
        <v>43</v>
      </c>
      <c r="Q3058">
        <v>0</v>
      </c>
      <c r="R3058" s="1">
        <v>40676</v>
      </c>
      <c r="S3058" t="s">
        <v>29</v>
      </c>
      <c r="T3058" t="str">
        <f t="shared" si="235"/>
        <v>Grade A</v>
      </c>
      <c r="U3058">
        <f t="shared" si="236"/>
        <v>2</v>
      </c>
      <c r="V3058" t="str">
        <f t="shared" si="237"/>
        <v>Senior</v>
      </c>
      <c r="W3058" t="str">
        <f t="shared" si="238"/>
        <v>Medium Risk</v>
      </c>
      <c r="X3058" t="str">
        <f t="shared" si="239"/>
        <v>Fair</v>
      </c>
    </row>
    <row r="3059" spans="1:24" x14ac:dyDescent="0.3">
      <c r="A3059" t="s">
        <v>3127</v>
      </c>
      <c r="B3059" t="s">
        <v>20</v>
      </c>
      <c r="C3059">
        <v>38</v>
      </c>
      <c r="D3059" t="s">
        <v>57</v>
      </c>
      <c r="E3059" t="s">
        <v>48</v>
      </c>
      <c r="F3059" t="s">
        <v>23</v>
      </c>
      <c r="G3059" t="s">
        <v>33</v>
      </c>
      <c r="H3059" t="s">
        <v>25</v>
      </c>
      <c r="I3059" t="s">
        <v>80</v>
      </c>
      <c r="J3059" t="s">
        <v>60</v>
      </c>
      <c r="K3059">
        <v>12</v>
      </c>
      <c r="L3059">
        <v>89245</v>
      </c>
      <c r="M3059" t="s">
        <v>28</v>
      </c>
      <c r="N3059">
        <v>4</v>
      </c>
      <c r="O3059">
        <v>2</v>
      </c>
      <c r="P3059">
        <v>16</v>
      </c>
      <c r="Q3059">
        <v>3</v>
      </c>
      <c r="R3059" s="1">
        <v>40810</v>
      </c>
      <c r="S3059" t="s">
        <v>37</v>
      </c>
      <c r="T3059" t="str">
        <f t="shared" si="235"/>
        <v>Grade A</v>
      </c>
      <c r="U3059">
        <f t="shared" si="236"/>
        <v>3</v>
      </c>
      <c r="V3059" t="str">
        <f t="shared" si="237"/>
        <v>Senior</v>
      </c>
      <c r="W3059" t="str">
        <f t="shared" si="238"/>
        <v>Already Left</v>
      </c>
      <c r="X3059" t="str">
        <f t="shared" si="239"/>
        <v>Competitive</v>
      </c>
    </row>
    <row r="3060" spans="1:24" x14ac:dyDescent="0.3">
      <c r="A3060" t="s">
        <v>3128</v>
      </c>
      <c r="B3060" t="s">
        <v>20</v>
      </c>
      <c r="C3060">
        <v>28</v>
      </c>
      <c r="D3060" t="s">
        <v>88</v>
      </c>
      <c r="E3060" t="s">
        <v>48</v>
      </c>
      <c r="F3060" t="s">
        <v>78</v>
      </c>
      <c r="G3060" t="s">
        <v>58</v>
      </c>
      <c r="H3060" t="s">
        <v>25</v>
      </c>
      <c r="I3060" t="s">
        <v>96</v>
      </c>
      <c r="J3060" t="s">
        <v>44</v>
      </c>
      <c r="K3060">
        <v>11</v>
      </c>
      <c r="L3060">
        <v>116096</v>
      </c>
      <c r="M3060" t="s">
        <v>51</v>
      </c>
      <c r="N3060">
        <v>1</v>
      </c>
      <c r="O3060">
        <v>4</v>
      </c>
      <c r="P3060">
        <v>31</v>
      </c>
      <c r="Q3060">
        <v>1</v>
      </c>
      <c r="R3060" s="1">
        <v>41075</v>
      </c>
      <c r="S3060" t="s">
        <v>37</v>
      </c>
      <c r="T3060" t="str">
        <f t="shared" si="235"/>
        <v>Grade A</v>
      </c>
      <c r="U3060">
        <f t="shared" si="236"/>
        <v>4</v>
      </c>
      <c r="V3060" t="str">
        <f t="shared" si="237"/>
        <v>Senior</v>
      </c>
      <c r="W3060" t="str">
        <f t="shared" si="238"/>
        <v>Already Left</v>
      </c>
      <c r="X3060" t="str">
        <f t="shared" si="239"/>
        <v>Competitive</v>
      </c>
    </row>
    <row r="3061" spans="1:24" x14ac:dyDescent="0.3">
      <c r="A3061" t="s">
        <v>3129</v>
      </c>
      <c r="B3061" t="s">
        <v>39</v>
      </c>
      <c r="C3061">
        <v>53</v>
      </c>
      <c r="D3061" t="s">
        <v>21</v>
      </c>
      <c r="E3061" t="s">
        <v>40</v>
      </c>
      <c r="F3061" t="s">
        <v>75</v>
      </c>
      <c r="G3061" t="s">
        <v>58</v>
      </c>
      <c r="H3061" t="s">
        <v>83</v>
      </c>
      <c r="I3061" t="s">
        <v>80</v>
      </c>
      <c r="J3061" t="s">
        <v>60</v>
      </c>
      <c r="K3061">
        <v>12</v>
      </c>
      <c r="L3061">
        <v>107911</v>
      </c>
      <c r="M3061" t="s">
        <v>45</v>
      </c>
      <c r="N3061">
        <v>2</v>
      </c>
      <c r="O3061">
        <v>2</v>
      </c>
      <c r="P3061">
        <v>27</v>
      </c>
      <c r="Q3061">
        <v>0</v>
      </c>
      <c r="R3061" s="1">
        <v>40548</v>
      </c>
      <c r="S3061" t="s">
        <v>37</v>
      </c>
      <c r="T3061" t="str">
        <f t="shared" si="235"/>
        <v>Grade A</v>
      </c>
      <c r="U3061">
        <f t="shared" si="236"/>
        <v>2</v>
      </c>
      <c r="V3061" t="str">
        <f t="shared" si="237"/>
        <v>Senior</v>
      </c>
      <c r="W3061" t="str">
        <f t="shared" si="238"/>
        <v>Already Left</v>
      </c>
      <c r="X3061" t="str">
        <f t="shared" si="239"/>
        <v>Fair</v>
      </c>
    </row>
    <row r="3062" spans="1:24" x14ac:dyDescent="0.3">
      <c r="A3062" t="s">
        <v>3130</v>
      </c>
      <c r="B3062" t="s">
        <v>20</v>
      </c>
      <c r="C3062">
        <v>24</v>
      </c>
      <c r="D3062" t="s">
        <v>21</v>
      </c>
      <c r="E3062" t="s">
        <v>40</v>
      </c>
      <c r="F3062" t="s">
        <v>53</v>
      </c>
      <c r="G3062" t="s">
        <v>49</v>
      </c>
      <c r="H3062" t="s">
        <v>25</v>
      </c>
      <c r="I3062" t="s">
        <v>54</v>
      </c>
      <c r="J3062" t="s">
        <v>27</v>
      </c>
      <c r="K3062">
        <v>13</v>
      </c>
      <c r="L3062">
        <v>66929</v>
      </c>
      <c r="M3062" t="s">
        <v>51</v>
      </c>
      <c r="N3062">
        <v>1</v>
      </c>
      <c r="O3062">
        <v>3</v>
      </c>
      <c r="P3062">
        <v>66</v>
      </c>
      <c r="Q3062">
        <v>2</v>
      </c>
      <c r="R3062" s="1">
        <v>40456</v>
      </c>
      <c r="S3062" t="s">
        <v>37</v>
      </c>
      <c r="T3062" t="str">
        <f t="shared" si="235"/>
        <v>Grade B</v>
      </c>
      <c r="U3062">
        <f t="shared" si="236"/>
        <v>4</v>
      </c>
      <c r="V3062" t="str">
        <f t="shared" si="237"/>
        <v>Senior</v>
      </c>
      <c r="W3062" t="str">
        <f t="shared" si="238"/>
        <v>Already Left</v>
      </c>
      <c r="X3062" t="str">
        <f t="shared" si="239"/>
        <v>Fair</v>
      </c>
    </row>
    <row r="3063" spans="1:24" x14ac:dyDescent="0.3">
      <c r="A3063" t="s">
        <v>3131</v>
      </c>
      <c r="B3063" t="s">
        <v>39</v>
      </c>
      <c r="C3063">
        <v>52</v>
      </c>
      <c r="D3063" t="s">
        <v>88</v>
      </c>
      <c r="E3063" t="s">
        <v>22</v>
      </c>
      <c r="F3063" t="s">
        <v>53</v>
      </c>
      <c r="G3063" t="s">
        <v>66</v>
      </c>
      <c r="H3063" t="s">
        <v>34</v>
      </c>
      <c r="I3063" t="s">
        <v>96</v>
      </c>
      <c r="J3063" t="s">
        <v>44</v>
      </c>
      <c r="K3063">
        <v>12</v>
      </c>
      <c r="L3063">
        <v>61128</v>
      </c>
      <c r="M3063" t="s">
        <v>51</v>
      </c>
      <c r="N3063">
        <v>1</v>
      </c>
      <c r="O3063">
        <v>3</v>
      </c>
      <c r="P3063">
        <v>73</v>
      </c>
      <c r="Q3063">
        <v>2</v>
      </c>
      <c r="R3063" s="1">
        <v>40848</v>
      </c>
      <c r="S3063" t="s">
        <v>29</v>
      </c>
      <c r="T3063" t="str">
        <f t="shared" si="235"/>
        <v>Grade B</v>
      </c>
      <c r="U3063">
        <f t="shared" si="236"/>
        <v>4</v>
      </c>
      <c r="V3063" t="str">
        <f t="shared" si="237"/>
        <v>Senior</v>
      </c>
      <c r="W3063" t="str">
        <f t="shared" si="238"/>
        <v>Low Risk</v>
      </c>
      <c r="X3063" t="str">
        <f t="shared" si="239"/>
        <v>Fair</v>
      </c>
    </row>
    <row r="3064" spans="1:24" x14ac:dyDescent="0.3">
      <c r="A3064" t="s">
        <v>3132</v>
      </c>
      <c r="B3064" t="s">
        <v>39</v>
      </c>
      <c r="C3064">
        <v>35</v>
      </c>
      <c r="D3064" t="s">
        <v>47</v>
      </c>
      <c r="E3064" t="s">
        <v>40</v>
      </c>
      <c r="F3064" t="s">
        <v>62</v>
      </c>
      <c r="G3064" t="s">
        <v>42</v>
      </c>
      <c r="H3064" t="s">
        <v>25</v>
      </c>
      <c r="I3064" t="s">
        <v>96</v>
      </c>
      <c r="J3064" t="s">
        <v>44</v>
      </c>
      <c r="K3064">
        <v>15</v>
      </c>
      <c r="L3064">
        <v>124291</v>
      </c>
      <c r="M3064" t="s">
        <v>36</v>
      </c>
      <c r="N3064">
        <v>3</v>
      </c>
      <c r="O3064">
        <v>4</v>
      </c>
      <c r="P3064">
        <v>53</v>
      </c>
      <c r="Q3064">
        <v>0</v>
      </c>
      <c r="R3064" s="1">
        <v>39699</v>
      </c>
      <c r="S3064" t="s">
        <v>37</v>
      </c>
      <c r="T3064" t="str">
        <f t="shared" si="235"/>
        <v>Grade A</v>
      </c>
      <c r="U3064">
        <f t="shared" si="236"/>
        <v>1</v>
      </c>
      <c r="V3064" t="str">
        <f t="shared" si="237"/>
        <v>Senior</v>
      </c>
      <c r="W3064" t="str">
        <f t="shared" si="238"/>
        <v>Already Left</v>
      </c>
      <c r="X3064" t="str">
        <f t="shared" si="239"/>
        <v>Overpaid</v>
      </c>
    </row>
    <row r="3065" spans="1:24" x14ac:dyDescent="0.3">
      <c r="A3065" t="s">
        <v>3133</v>
      </c>
      <c r="B3065" t="s">
        <v>20</v>
      </c>
      <c r="C3065">
        <v>27</v>
      </c>
      <c r="D3065" t="s">
        <v>47</v>
      </c>
      <c r="E3065" t="s">
        <v>22</v>
      </c>
      <c r="F3065" t="s">
        <v>23</v>
      </c>
      <c r="G3065" t="s">
        <v>49</v>
      </c>
      <c r="H3065" t="s">
        <v>67</v>
      </c>
      <c r="I3065" t="s">
        <v>54</v>
      </c>
      <c r="J3065" t="s">
        <v>27</v>
      </c>
      <c r="K3065">
        <v>9</v>
      </c>
      <c r="L3065">
        <v>59738</v>
      </c>
      <c r="M3065" t="s">
        <v>45</v>
      </c>
      <c r="N3065">
        <v>1</v>
      </c>
      <c r="O3065">
        <v>4</v>
      </c>
      <c r="P3065">
        <v>16</v>
      </c>
      <c r="Q3065">
        <v>3</v>
      </c>
      <c r="R3065" s="1">
        <v>41937</v>
      </c>
      <c r="S3065" t="s">
        <v>29</v>
      </c>
      <c r="T3065" t="str">
        <f t="shared" si="235"/>
        <v>Grade B</v>
      </c>
      <c r="U3065">
        <f t="shared" si="236"/>
        <v>2</v>
      </c>
      <c r="V3065" t="str">
        <f t="shared" si="237"/>
        <v>Mid Level</v>
      </c>
      <c r="W3065" t="str">
        <f t="shared" si="238"/>
        <v>Medium Risk</v>
      </c>
      <c r="X3065" t="str">
        <f t="shared" si="239"/>
        <v>Fair</v>
      </c>
    </row>
    <row r="3066" spans="1:24" x14ac:dyDescent="0.3">
      <c r="A3066" t="s">
        <v>3134</v>
      </c>
      <c r="B3066" t="s">
        <v>39</v>
      </c>
      <c r="C3066">
        <v>53</v>
      </c>
      <c r="D3066" t="s">
        <v>57</v>
      </c>
      <c r="E3066" t="s">
        <v>40</v>
      </c>
      <c r="F3066" t="s">
        <v>62</v>
      </c>
      <c r="G3066" t="s">
        <v>66</v>
      </c>
      <c r="H3066" t="s">
        <v>34</v>
      </c>
      <c r="I3066" t="s">
        <v>80</v>
      </c>
      <c r="J3066" t="s">
        <v>60</v>
      </c>
      <c r="K3066">
        <v>4</v>
      </c>
      <c r="L3066">
        <v>51545</v>
      </c>
      <c r="M3066" t="s">
        <v>51</v>
      </c>
      <c r="N3066">
        <v>2</v>
      </c>
      <c r="O3066">
        <v>2</v>
      </c>
      <c r="P3066">
        <v>46</v>
      </c>
      <c r="Q3066">
        <v>1</v>
      </c>
      <c r="R3066" s="1">
        <v>43684</v>
      </c>
      <c r="S3066" t="s">
        <v>29</v>
      </c>
      <c r="T3066" t="str">
        <f t="shared" si="235"/>
        <v>Grade B</v>
      </c>
      <c r="U3066">
        <f t="shared" si="236"/>
        <v>4</v>
      </c>
      <c r="V3066" t="str">
        <f t="shared" si="237"/>
        <v>Junior</v>
      </c>
      <c r="W3066" t="str">
        <f t="shared" si="238"/>
        <v>Low Risk</v>
      </c>
      <c r="X3066" t="str">
        <f t="shared" si="239"/>
        <v>Fair</v>
      </c>
    </row>
    <row r="3067" spans="1:24" x14ac:dyDescent="0.3">
      <c r="A3067" t="s">
        <v>3135</v>
      </c>
      <c r="B3067" t="s">
        <v>20</v>
      </c>
      <c r="C3067">
        <v>23</v>
      </c>
      <c r="D3067" t="s">
        <v>57</v>
      </c>
      <c r="E3067" t="s">
        <v>40</v>
      </c>
      <c r="F3067" t="s">
        <v>78</v>
      </c>
      <c r="G3067" t="s">
        <v>79</v>
      </c>
      <c r="H3067" t="s">
        <v>83</v>
      </c>
      <c r="I3067" t="s">
        <v>50</v>
      </c>
      <c r="J3067" t="s">
        <v>44</v>
      </c>
      <c r="K3067">
        <v>14</v>
      </c>
      <c r="L3067">
        <v>75410</v>
      </c>
      <c r="M3067" t="s">
        <v>28</v>
      </c>
      <c r="N3067">
        <v>2</v>
      </c>
      <c r="O3067">
        <v>2</v>
      </c>
      <c r="P3067">
        <v>38</v>
      </c>
      <c r="Q3067">
        <v>0</v>
      </c>
      <c r="R3067" s="1">
        <v>40135</v>
      </c>
      <c r="S3067" t="s">
        <v>29</v>
      </c>
      <c r="T3067" t="str">
        <f t="shared" si="235"/>
        <v>Grade B</v>
      </c>
      <c r="U3067">
        <f t="shared" si="236"/>
        <v>3</v>
      </c>
      <c r="V3067" t="str">
        <f t="shared" si="237"/>
        <v>Senior</v>
      </c>
      <c r="W3067" t="str">
        <f t="shared" si="238"/>
        <v>Medium Risk</v>
      </c>
      <c r="X3067" t="str">
        <f t="shared" si="239"/>
        <v>Competitive</v>
      </c>
    </row>
    <row r="3068" spans="1:24" x14ac:dyDescent="0.3">
      <c r="A3068" t="s">
        <v>3136</v>
      </c>
      <c r="B3068" t="s">
        <v>39</v>
      </c>
      <c r="C3068">
        <v>37</v>
      </c>
      <c r="D3068" t="s">
        <v>88</v>
      </c>
      <c r="E3068" t="s">
        <v>40</v>
      </c>
      <c r="F3068" t="s">
        <v>75</v>
      </c>
      <c r="G3068" t="s">
        <v>79</v>
      </c>
      <c r="H3068" t="s">
        <v>76</v>
      </c>
      <c r="I3068" t="s">
        <v>35</v>
      </c>
      <c r="J3068" t="s">
        <v>27</v>
      </c>
      <c r="K3068">
        <v>11</v>
      </c>
      <c r="L3068">
        <v>52893</v>
      </c>
      <c r="M3068" t="s">
        <v>51</v>
      </c>
      <c r="N3068">
        <v>2</v>
      </c>
      <c r="O3068">
        <v>4</v>
      </c>
      <c r="P3068">
        <v>71</v>
      </c>
      <c r="Q3068">
        <v>0</v>
      </c>
      <c r="R3068" s="1">
        <v>41246</v>
      </c>
      <c r="S3068" t="s">
        <v>29</v>
      </c>
      <c r="T3068" t="str">
        <f t="shared" si="235"/>
        <v>Grade B</v>
      </c>
      <c r="U3068">
        <f t="shared" si="236"/>
        <v>4</v>
      </c>
      <c r="V3068" t="str">
        <f t="shared" si="237"/>
        <v>Senior</v>
      </c>
      <c r="W3068" t="str">
        <f t="shared" si="238"/>
        <v>Low Risk</v>
      </c>
      <c r="X3068" t="str">
        <f t="shared" si="239"/>
        <v>Fair</v>
      </c>
    </row>
    <row r="3069" spans="1:24" x14ac:dyDescent="0.3">
      <c r="A3069" t="s">
        <v>3137</v>
      </c>
      <c r="B3069" t="s">
        <v>39</v>
      </c>
      <c r="C3069">
        <v>26</v>
      </c>
      <c r="D3069" t="s">
        <v>88</v>
      </c>
      <c r="E3069" t="s">
        <v>40</v>
      </c>
      <c r="F3069" t="s">
        <v>65</v>
      </c>
      <c r="G3069" t="s">
        <v>66</v>
      </c>
      <c r="H3069" t="s">
        <v>76</v>
      </c>
      <c r="I3069" t="s">
        <v>68</v>
      </c>
      <c r="J3069" t="s">
        <v>60</v>
      </c>
      <c r="K3069">
        <v>4</v>
      </c>
      <c r="L3069">
        <v>46863</v>
      </c>
      <c r="M3069" t="s">
        <v>45</v>
      </c>
      <c r="N3069">
        <v>2</v>
      </c>
      <c r="O3069">
        <v>3</v>
      </c>
      <c r="P3069">
        <v>47</v>
      </c>
      <c r="Q3069">
        <v>3</v>
      </c>
      <c r="R3069" s="1">
        <v>43694</v>
      </c>
      <c r="S3069" t="s">
        <v>29</v>
      </c>
      <c r="T3069" t="str">
        <f t="shared" si="235"/>
        <v>Grade C</v>
      </c>
      <c r="U3069">
        <f t="shared" si="236"/>
        <v>2</v>
      </c>
      <c r="V3069" t="str">
        <f t="shared" si="237"/>
        <v>Junior</v>
      </c>
      <c r="W3069" t="str">
        <f t="shared" si="238"/>
        <v>Medium Risk</v>
      </c>
      <c r="X3069" t="str">
        <f t="shared" si="239"/>
        <v>Fair</v>
      </c>
    </row>
    <row r="3070" spans="1:24" x14ac:dyDescent="0.3">
      <c r="A3070" t="s">
        <v>3138</v>
      </c>
      <c r="B3070" t="s">
        <v>20</v>
      </c>
      <c r="C3070">
        <v>31</v>
      </c>
      <c r="D3070" t="s">
        <v>21</v>
      </c>
      <c r="E3070" t="s">
        <v>22</v>
      </c>
      <c r="F3070" t="s">
        <v>75</v>
      </c>
      <c r="G3070" t="s">
        <v>42</v>
      </c>
      <c r="H3070" t="s">
        <v>67</v>
      </c>
      <c r="I3070" t="s">
        <v>68</v>
      </c>
      <c r="J3070" t="s">
        <v>60</v>
      </c>
      <c r="K3070">
        <v>3</v>
      </c>
      <c r="L3070">
        <v>91545</v>
      </c>
      <c r="M3070" t="s">
        <v>36</v>
      </c>
      <c r="N3070">
        <v>1</v>
      </c>
      <c r="O3070">
        <v>4</v>
      </c>
      <c r="P3070">
        <v>54</v>
      </c>
      <c r="Q3070">
        <v>0</v>
      </c>
      <c r="R3070" s="1">
        <v>43940</v>
      </c>
      <c r="S3070" t="s">
        <v>37</v>
      </c>
      <c r="T3070" t="str">
        <f t="shared" si="235"/>
        <v>Grade A</v>
      </c>
      <c r="U3070">
        <f t="shared" si="236"/>
        <v>1</v>
      </c>
      <c r="V3070" t="str">
        <f t="shared" si="237"/>
        <v>Junior</v>
      </c>
      <c r="W3070" t="str">
        <f t="shared" si="238"/>
        <v>Already Left</v>
      </c>
      <c r="X3070" t="str">
        <f t="shared" si="239"/>
        <v>Overpaid</v>
      </c>
    </row>
    <row r="3071" spans="1:24" x14ac:dyDescent="0.3">
      <c r="A3071" t="s">
        <v>3139</v>
      </c>
      <c r="B3071" t="s">
        <v>20</v>
      </c>
      <c r="C3071">
        <v>52</v>
      </c>
      <c r="D3071" t="s">
        <v>47</v>
      </c>
      <c r="E3071" t="s">
        <v>40</v>
      </c>
      <c r="F3071" t="s">
        <v>65</v>
      </c>
      <c r="G3071" t="s">
        <v>58</v>
      </c>
      <c r="H3071" t="s">
        <v>83</v>
      </c>
      <c r="I3071" t="s">
        <v>80</v>
      </c>
      <c r="J3071" t="s">
        <v>60</v>
      </c>
      <c r="K3071">
        <v>10</v>
      </c>
      <c r="L3071">
        <v>101266</v>
      </c>
      <c r="M3071" t="s">
        <v>51</v>
      </c>
      <c r="N3071">
        <v>4</v>
      </c>
      <c r="O3071">
        <v>2</v>
      </c>
      <c r="P3071">
        <v>53</v>
      </c>
      <c r="Q3071">
        <v>1</v>
      </c>
      <c r="R3071" s="1">
        <v>41297</v>
      </c>
      <c r="S3071" t="s">
        <v>29</v>
      </c>
      <c r="T3071" t="str">
        <f t="shared" si="235"/>
        <v>Grade A</v>
      </c>
      <c r="U3071">
        <f t="shared" si="236"/>
        <v>4</v>
      </c>
      <c r="V3071" t="str">
        <f t="shared" si="237"/>
        <v>Mid Level</v>
      </c>
      <c r="W3071" t="str">
        <f t="shared" si="238"/>
        <v>Low Risk</v>
      </c>
      <c r="X3071" t="str">
        <f t="shared" si="239"/>
        <v>Competitive</v>
      </c>
    </row>
    <row r="3072" spans="1:24" x14ac:dyDescent="0.3">
      <c r="A3072" t="s">
        <v>3140</v>
      </c>
      <c r="B3072" t="s">
        <v>39</v>
      </c>
      <c r="C3072">
        <v>50</v>
      </c>
      <c r="D3072" t="s">
        <v>57</v>
      </c>
      <c r="E3072" t="s">
        <v>48</v>
      </c>
      <c r="F3072" t="s">
        <v>41</v>
      </c>
      <c r="G3072" t="s">
        <v>33</v>
      </c>
      <c r="H3072" t="s">
        <v>83</v>
      </c>
      <c r="I3072" t="s">
        <v>54</v>
      </c>
      <c r="J3072" t="s">
        <v>27</v>
      </c>
      <c r="K3072">
        <v>14</v>
      </c>
      <c r="L3072">
        <v>85421</v>
      </c>
      <c r="M3072" t="s">
        <v>36</v>
      </c>
      <c r="N3072">
        <v>2</v>
      </c>
      <c r="O3072">
        <v>3</v>
      </c>
      <c r="P3072">
        <v>79</v>
      </c>
      <c r="Q3072">
        <v>0</v>
      </c>
      <c r="R3072" s="1">
        <v>39916</v>
      </c>
      <c r="S3072" t="s">
        <v>37</v>
      </c>
      <c r="T3072" t="str">
        <f t="shared" si="235"/>
        <v>Grade A</v>
      </c>
      <c r="U3072">
        <f t="shared" si="236"/>
        <v>1</v>
      </c>
      <c r="V3072" t="str">
        <f t="shared" si="237"/>
        <v>Senior</v>
      </c>
      <c r="W3072" t="str">
        <f t="shared" si="238"/>
        <v>Already Left</v>
      </c>
      <c r="X3072" t="str">
        <f t="shared" si="239"/>
        <v>Overpaid</v>
      </c>
    </row>
    <row r="3073" spans="1:24" x14ac:dyDescent="0.3">
      <c r="A3073" t="s">
        <v>3141</v>
      </c>
      <c r="B3073" t="s">
        <v>20</v>
      </c>
      <c r="C3073">
        <v>43</v>
      </c>
      <c r="D3073" t="s">
        <v>47</v>
      </c>
      <c r="E3073" t="s">
        <v>22</v>
      </c>
      <c r="F3073" t="s">
        <v>62</v>
      </c>
      <c r="G3073" t="s">
        <v>24</v>
      </c>
      <c r="H3073" t="s">
        <v>34</v>
      </c>
      <c r="I3073" t="s">
        <v>68</v>
      </c>
      <c r="J3073" t="s">
        <v>60</v>
      </c>
      <c r="K3073">
        <v>7</v>
      </c>
      <c r="L3073">
        <v>86715</v>
      </c>
      <c r="M3073" t="s">
        <v>36</v>
      </c>
      <c r="N3073">
        <v>1</v>
      </c>
      <c r="O3073">
        <v>1</v>
      </c>
      <c r="P3073">
        <v>24</v>
      </c>
      <c r="Q3073">
        <v>2</v>
      </c>
      <c r="R3073" s="1">
        <v>42457</v>
      </c>
      <c r="S3073" t="s">
        <v>37</v>
      </c>
      <c r="T3073" t="str">
        <f t="shared" si="235"/>
        <v>Grade A</v>
      </c>
      <c r="U3073">
        <f t="shared" si="236"/>
        <v>1</v>
      </c>
      <c r="V3073" t="str">
        <f t="shared" si="237"/>
        <v>Mid Level</v>
      </c>
      <c r="W3073" t="str">
        <f t="shared" si="238"/>
        <v>Already Left</v>
      </c>
      <c r="X3073" t="str">
        <f t="shared" si="239"/>
        <v>Overpaid</v>
      </c>
    </row>
    <row r="3074" spans="1:24" x14ac:dyDescent="0.3">
      <c r="A3074" t="s">
        <v>3142</v>
      </c>
      <c r="B3074" t="s">
        <v>39</v>
      </c>
      <c r="C3074">
        <v>45</v>
      </c>
      <c r="D3074" t="s">
        <v>21</v>
      </c>
      <c r="E3074" t="s">
        <v>40</v>
      </c>
      <c r="F3074" t="s">
        <v>62</v>
      </c>
      <c r="G3074" t="s">
        <v>24</v>
      </c>
      <c r="H3074" t="s">
        <v>25</v>
      </c>
      <c r="I3074" t="s">
        <v>80</v>
      </c>
      <c r="J3074" t="s">
        <v>60</v>
      </c>
      <c r="K3074">
        <v>8</v>
      </c>
      <c r="L3074">
        <v>81128</v>
      </c>
      <c r="M3074" t="s">
        <v>45</v>
      </c>
      <c r="N3074">
        <v>4</v>
      </c>
      <c r="O3074">
        <v>1</v>
      </c>
      <c r="P3074">
        <v>34</v>
      </c>
      <c r="Q3074">
        <v>1</v>
      </c>
      <c r="R3074" s="1">
        <v>42234</v>
      </c>
      <c r="S3074" t="s">
        <v>29</v>
      </c>
      <c r="T3074" t="str">
        <f t="shared" ref="T3074:T3137" si="240">IF(L3074&gt;=80000,"Grade A",IF(L3074&gt;=50000,"Grade B",IF(L3074&gt;=35000,"Grade C","Grade D")))</f>
        <v>Grade A</v>
      </c>
      <c r="U3074">
        <f t="shared" ref="U3074:U3137" si="241">IF(M3074="Excellent",4,IF(M3074="Good",3,IF(M3074="Average",2,1)))</f>
        <v>2</v>
      </c>
      <c r="V3074" t="str">
        <f t="shared" ref="V3074:V3137" si="242">IF(K3074&lt;=2,"New Joiner",IF(K3074&lt;=5,"Junior",IF(K3074&lt;=10,"Mid Level","Senior")))</f>
        <v>Mid Level</v>
      </c>
      <c r="W3074" t="str">
        <f t="shared" ref="W3074:W3137" si="243">IF(S3074="Yes","Already Left",IF(AND(K3074&lt;=2,M3074="Poor"),"High Risk",IF(AND(K3074&lt;=5,M3074="Average"),"Medium Risk",IF(M3074="Excellent","Low Risk","Medium Risk"))))</f>
        <v>Medium Risk</v>
      </c>
      <c r="X3074" t="str">
        <f t="shared" ref="X3074:X3137" si="244">IF(AND(L3074&gt;=80000,M3074="Excellent"),"Competitive",IF(AND(L3074&gt;=50000,M3074="Good"),"Competitive",IF(AND(L3074&lt;35000,M3074="Excellent"),"Underpaid",IF(AND(L3074&gt;=80000,M3074="Poor"),"Overpaid","Fair"))))</f>
        <v>Fair</v>
      </c>
    </row>
    <row r="3075" spans="1:24" x14ac:dyDescent="0.3">
      <c r="A3075" t="s">
        <v>3143</v>
      </c>
      <c r="B3075" t="s">
        <v>39</v>
      </c>
      <c r="C3075">
        <v>26</v>
      </c>
      <c r="D3075" t="s">
        <v>21</v>
      </c>
      <c r="E3075" t="s">
        <v>22</v>
      </c>
      <c r="F3075" t="s">
        <v>41</v>
      </c>
      <c r="G3075" t="s">
        <v>58</v>
      </c>
      <c r="H3075" t="s">
        <v>76</v>
      </c>
      <c r="I3075" t="s">
        <v>68</v>
      </c>
      <c r="J3075" t="s">
        <v>60</v>
      </c>
      <c r="K3075">
        <v>6</v>
      </c>
      <c r="L3075">
        <v>91389</v>
      </c>
      <c r="M3075" t="s">
        <v>36</v>
      </c>
      <c r="N3075">
        <v>2</v>
      </c>
      <c r="O3075">
        <v>1</v>
      </c>
      <c r="P3075">
        <v>45</v>
      </c>
      <c r="Q3075">
        <v>0</v>
      </c>
      <c r="R3075" s="1">
        <v>42781</v>
      </c>
      <c r="S3075" t="s">
        <v>37</v>
      </c>
      <c r="T3075" t="str">
        <f t="shared" si="240"/>
        <v>Grade A</v>
      </c>
      <c r="U3075">
        <f t="shared" si="241"/>
        <v>1</v>
      </c>
      <c r="V3075" t="str">
        <f t="shared" si="242"/>
        <v>Mid Level</v>
      </c>
      <c r="W3075" t="str">
        <f t="shared" si="243"/>
        <v>Already Left</v>
      </c>
      <c r="X3075" t="str">
        <f t="shared" si="244"/>
        <v>Overpaid</v>
      </c>
    </row>
    <row r="3076" spans="1:24" x14ac:dyDescent="0.3">
      <c r="A3076" t="s">
        <v>3144</v>
      </c>
      <c r="B3076" t="s">
        <v>20</v>
      </c>
      <c r="C3076">
        <v>33</v>
      </c>
      <c r="D3076" t="s">
        <v>88</v>
      </c>
      <c r="E3076" t="s">
        <v>48</v>
      </c>
      <c r="F3076" t="s">
        <v>32</v>
      </c>
      <c r="G3076" t="s">
        <v>79</v>
      </c>
      <c r="H3076" t="s">
        <v>76</v>
      </c>
      <c r="I3076" t="s">
        <v>50</v>
      </c>
      <c r="J3076" t="s">
        <v>44</v>
      </c>
      <c r="K3076">
        <v>9</v>
      </c>
      <c r="L3076">
        <v>49795</v>
      </c>
      <c r="M3076" t="s">
        <v>28</v>
      </c>
      <c r="N3076">
        <v>4</v>
      </c>
      <c r="O3076">
        <v>3</v>
      </c>
      <c r="P3076">
        <v>55</v>
      </c>
      <c r="Q3076">
        <v>0</v>
      </c>
      <c r="R3076" s="1">
        <v>41702</v>
      </c>
      <c r="S3076" t="s">
        <v>29</v>
      </c>
      <c r="T3076" t="str">
        <f t="shared" si="240"/>
        <v>Grade C</v>
      </c>
      <c r="U3076">
        <f t="shared" si="241"/>
        <v>3</v>
      </c>
      <c r="V3076" t="str">
        <f t="shared" si="242"/>
        <v>Mid Level</v>
      </c>
      <c r="W3076" t="str">
        <f t="shared" si="243"/>
        <v>Medium Risk</v>
      </c>
      <c r="X3076" t="str">
        <f t="shared" si="244"/>
        <v>Fair</v>
      </c>
    </row>
    <row r="3077" spans="1:24" x14ac:dyDescent="0.3">
      <c r="A3077" t="s">
        <v>3145</v>
      </c>
      <c r="B3077" t="s">
        <v>39</v>
      </c>
      <c r="C3077">
        <v>35</v>
      </c>
      <c r="D3077" t="s">
        <v>21</v>
      </c>
      <c r="E3077" t="s">
        <v>22</v>
      </c>
      <c r="F3077" t="s">
        <v>75</v>
      </c>
      <c r="G3077" t="s">
        <v>58</v>
      </c>
      <c r="H3077" t="s">
        <v>67</v>
      </c>
      <c r="I3077" t="s">
        <v>68</v>
      </c>
      <c r="J3077" t="s">
        <v>60</v>
      </c>
      <c r="K3077">
        <v>1</v>
      </c>
      <c r="L3077">
        <v>93183</v>
      </c>
      <c r="M3077" t="s">
        <v>36</v>
      </c>
      <c r="N3077">
        <v>2</v>
      </c>
      <c r="O3077">
        <v>3</v>
      </c>
      <c r="P3077">
        <v>23</v>
      </c>
      <c r="Q3077">
        <v>3</v>
      </c>
      <c r="R3077" s="1">
        <v>44592</v>
      </c>
      <c r="S3077" t="s">
        <v>37</v>
      </c>
      <c r="T3077" t="str">
        <f t="shared" si="240"/>
        <v>Grade A</v>
      </c>
      <c r="U3077">
        <f t="shared" si="241"/>
        <v>1</v>
      </c>
      <c r="V3077" t="str">
        <f t="shared" si="242"/>
        <v>New Joiner</v>
      </c>
      <c r="W3077" t="str">
        <f t="shared" si="243"/>
        <v>Already Left</v>
      </c>
      <c r="X3077" t="str">
        <f t="shared" si="244"/>
        <v>Overpaid</v>
      </c>
    </row>
    <row r="3078" spans="1:24" x14ac:dyDescent="0.3">
      <c r="A3078" t="s">
        <v>3146</v>
      </c>
      <c r="B3078" t="s">
        <v>39</v>
      </c>
      <c r="C3078">
        <v>28</v>
      </c>
      <c r="D3078" t="s">
        <v>47</v>
      </c>
      <c r="E3078" t="s">
        <v>22</v>
      </c>
      <c r="F3078" t="s">
        <v>75</v>
      </c>
      <c r="G3078" t="s">
        <v>24</v>
      </c>
      <c r="H3078" t="s">
        <v>76</v>
      </c>
      <c r="I3078" t="s">
        <v>43</v>
      </c>
      <c r="J3078" t="s">
        <v>44</v>
      </c>
      <c r="K3078">
        <v>2</v>
      </c>
      <c r="L3078">
        <v>85026</v>
      </c>
      <c r="M3078" t="s">
        <v>28</v>
      </c>
      <c r="N3078">
        <v>3</v>
      </c>
      <c r="O3078">
        <v>3</v>
      </c>
      <c r="P3078">
        <v>54</v>
      </c>
      <c r="Q3078">
        <v>1</v>
      </c>
      <c r="R3078" s="1">
        <v>44349</v>
      </c>
      <c r="S3078" t="s">
        <v>29</v>
      </c>
      <c r="T3078" t="str">
        <f t="shared" si="240"/>
        <v>Grade A</v>
      </c>
      <c r="U3078">
        <f t="shared" si="241"/>
        <v>3</v>
      </c>
      <c r="V3078" t="str">
        <f t="shared" si="242"/>
        <v>New Joiner</v>
      </c>
      <c r="W3078" t="str">
        <f t="shared" si="243"/>
        <v>Medium Risk</v>
      </c>
      <c r="X3078" t="str">
        <f t="shared" si="244"/>
        <v>Competitive</v>
      </c>
    </row>
    <row r="3079" spans="1:24" x14ac:dyDescent="0.3">
      <c r="A3079" t="s">
        <v>3147</v>
      </c>
      <c r="B3079" t="s">
        <v>20</v>
      </c>
      <c r="C3079">
        <v>24</v>
      </c>
      <c r="D3079" t="s">
        <v>88</v>
      </c>
      <c r="E3079" t="s">
        <v>40</v>
      </c>
      <c r="F3079" t="s">
        <v>65</v>
      </c>
      <c r="G3079" t="s">
        <v>24</v>
      </c>
      <c r="H3079" t="s">
        <v>76</v>
      </c>
      <c r="I3079" t="s">
        <v>54</v>
      </c>
      <c r="J3079" t="s">
        <v>27</v>
      </c>
      <c r="K3079">
        <v>7</v>
      </c>
      <c r="L3079">
        <v>81094</v>
      </c>
      <c r="M3079" t="s">
        <v>45</v>
      </c>
      <c r="N3079">
        <v>3</v>
      </c>
      <c r="O3079">
        <v>3</v>
      </c>
      <c r="P3079">
        <v>19</v>
      </c>
      <c r="Q3079">
        <v>2</v>
      </c>
      <c r="R3079" s="1">
        <v>42650</v>
      </c>
      <c r="S3079" t="s">
        <v>29</v>
      </c>
      <c r="T3079" t="str">
        <f t="shared" si="240"/>
        <v>Grade A</v>
      </c>
      <c r="U3079">
        <f t="shared" si="241"/>
        <v>2</v>
      </c>
      <c r="V3079" t="str">
        <f t="shared" si="242"/>
        <v>Mid Level</v>
      </c>
      <c r="W3079" t="str">
        <f t="shared" si="243"/>
        <v>Medium Risk</v>
      </c>
      <c r="X3079" t="str">
        <f t="shared" si="244"/>
        <v>Fair</v>
      </c>
    </row>
    <row r="3080" spans="1:24" x14ac:dyDescent="0.3">
      <c r="A3080" t="s">
        <v>3148</v>
      </c>
      <c r="B3080" t="s">
        <v>20</v>
      </c>
      <c r="C3080">
        <v>48</v>
      </c>
      <c r="D3080" t="s">
        <v>31</v>
      </c>
      <c r="E3080" t="s">
        <v>40</v>
      </c>
      <c r="F3080" t="s">
        <v>65</v>
      </c>
      <c r="G3080" t="s">
        <v>49</v>
      </c>
      <c r="H3080" t="s">
        <v>67</v>
      </c>
      <c r="I3080" t="s">
        <v>96</v>
      </c>
      <c r="J3080" t="s">
        <v>44</v>
      </c>
      <c r="K3080">
        <v>7</v>
      </c>
      <c r="L3080">
        <v>68806</v>
      </c>
      <c r="M3080" t="s">
        <v>36</v>
      </c>
      <c r="N3080">
        <v>3</v>
      </c>
      <c r="O3080">
        <v>4</v>
      </c>
      <c r="P3080">
        <v>49</v>
      </c>
      <c r="Q3080">
        <v>3</v>
      </c>
      <c r="R3080" s="1">
        <v>42648</v>
      </c>
      <c r="S3080" t="s">
        <v>29</v>
      </c>
      <c r="T3080" t="str">
        <f t="shared" si="240"/>
        <v>Grade B</v>
      </c>
      <c r="U3080">
        <f t="shared" si="241"/>
        <v>1</v>
      </c>
      <c r="V3080" t="str">
        <f t="shared" si="242"/>
        <v>Mid Level</v>
      </c>
      <c r="W3080" t="str">
        <f t="shared" si="243"/>
        <v>Medium Risk</v>
      </c>
      <c r="X3080" t="str">
        <f t="shared" si="244"/>
        <v>Fair</v>
      </c>
    </row>
    <row r="3081" spans="1:24" x14ac:dyDescent="0.3">
      <c r="A3081" t="s">
        <v>3149</v>
      </c>
      <c r="B3081" t="s">
        <v>20</v>
      </c>
      <c r="C3081">
        <v>29</v>
      </c>
      <c r="D3081" t="s">
        <v>88</v>
      </c>
      <c r="E3081" t="s">
        <v>48</v>
      </c>
      <c r="F3081" t="s">
        <v>75</v>
      </c>
      <c r="G3081" t="s">
        <v>66</v>
      </c>
      <c r="H3081" t="s">
        <v>34</v>
      </c>
      <c r="I3081" t="s">
        <v>43</v>
      </c>
      <c r="J3081" t="s">
        <v>44</v>
      </c>
      <c r="K3081">
        <v>15</v>
      </c>
      <c r="L3081">
        <v>71274</v>
      </c>
      <c r="M3081" t="s">
        <v>45</v>
      </c>
      <c r="N3081">
        <v>3</v>
      </c>
      <c r="O3081">
        <v>1</v>
      </c>
      <c r="P3081">
        <v>60</v>
      </c>
      <c r="Q3081">
        <v>3</v>
      </c>
      <c r="R3081" s="1">
        <v>39815</v>
      </c>
      <c r="S3081" t="s">
        <v>29</v>
      </c>
      <c r="T3081" t="str">
        <f t="shared" si="240"/>
        <v>Grade B</v>
      </c>
      <c r="U3081">
        <f t="shared" si="241"/>
        <v>2</v>
      </c>
      <c r="V3081" t="str">
        <f t="shared" si="242"/>
        <v>Senior</v>
      </c>
      <c r="W3081" t="str">
        <f t="shared" si="243"/>
        <v>Medium Risk</v>
      </c>
      <c r="X3081" t="str">
        <f t="shared" si="244"/>
        <v>Fair</v>
      </c>
    </row>
    <row r="3082" spans="1:24" x14ac:dyDescent="0.3">
      <c r="A3082" t="s">
        <v>3150</v>
      </c>
      <c r="B3082" t="s">
        <v>39</v>
      </c>
      <c r="C3082">
        <v>42</v>
      </c>
      <c r="D3082" t="s">
        <v>88</v>
      </c>
      <c r="E3082" t="s">
        <v>22</v>
      </c>
      <c r="F3082" t="s">
        <v>75</v>
      </c>
      <c r="G3082" t="s">
        <v>79</v>
      </c>
      <c r="H3082" t="s">
        <v>25</v>
      </c>
      <c r="I3082" t="s">
        <v>54</v>
      </c>
      <c r="J3082" t="s">
        <v>27</v>
      </c>
      <c r="K3082">
        <v>2</v>
      </c>
      <c r="L3082">
        <v>46257</v>
      </c>
      <c r="M3082" t="s">
        <v>45</v>
      </c>
      <c r="N3082">
        <v>3</v>
      </c>
      <c r="O3082">
        <v>4</v>
      </c>
      <c r="P3082">
        <v>74</v>
      </c>
      <c r="Q3082">
        <v>3</v>
      </c>
      <c r="R3082" s="1">
        <v>44234</v>
      </c>
      <c r="S3082" t="s">
        <v>29</v>
      </c>
      <c r="T3082" t="str">
        <f t="shared" si="240"/>
        <v>Grade C</v>
      </c>
      <c r="U3082">
        <f t="shared" si="241"/>
        <v>2</v>
      </c>
      <c r="V3082" t="str">
        <f t="shared" si="242"/>
        <v>New Joiner</v>
      </c>
      <c r="W3082" t="str">
        <f t="shared" si="243"/>
        <v>Medium Risk</v>
      </c>
      <c r="X3082" t="str">
        <f t="shared" si="244"/>
        <v>Fair</v>
      </c>
    </row>
    <row r="3083" spans="1:24" x14ac:dyDescent="0.3">
      <c r="A3083" t="s">
        <v>3151</v>
      </c>
      <c r="B3083" t="s">
        <v>39</v>
      </c>
      <c r="C3083">
        <v>25</v>
      </c>
      <c r="D3083" t="s">
        <v>31</v>
      </c>
      <c r="E3083" t="s">
        <v>40</v>
      </c>
      <c r="F3083" t="s">
        <v>62</v>
      </c>
      <c r="G3083" t="s">
        <v>63</v>
      </c>
      <c r="H3083" t="s">
        <v>67</v>
      </c>
      <c r="I3083" t="s">
        <v>50</v>
      </c>
      <c r="J3083" t="s">
        <v>44</v>
      </c>
      <c r="K3083">
        <v>5</v>
      </c>
      <c r="L3083">
        <v>65000</v>
      </c>
      <c r="M3083" t="s">
        <v>36</v>
      </c>
      <c r="N3083">
        <v>4</v>
      </c>
      <c r="O3083">
        <v>4</v>
      </c>
      <c r="P3083">
        <v>10</v>
      </c>
      <c r="Q3083">
        <v>3</v>
      </c>
      <c r="R3083" s="1">
        <v>43285</v>
      </c>
      <c r="S3083" t="s">
        <v>29</v>
      </c>
      <c r="T3083" t="str">
        <f t="shared" si="240"/>
        <v>Grade B</v>
      </c>
      <c r="U3083">
        <f t="shared" si="241"/>
        <v>1</v>
      </c>
      <c r="V3083" t="str">
        <f t="shared" si="242"/>
        <v>Junior</v>
      </c>
      <c r="W3083" t="str">
        <f t="shared" si="243"/>
        <v>Medium Risk</v>
      </c>
      <c r="X3083" t="str">
        <f t="shared" si="244"/>
        <v>Fair</v>
      </c>
    </row>
    <row r="3084" spans="1:24" x14ac:dyDescent="0.3">
      <c r="A3084" t="s">
        <v>3152</v>
      </c>
      <c r="B3084" t="s">
        <v>20</v>
      </c>
      <c r="C3084">
        <v>43</v>
      </c>
      <c r="D3084" t="s">
        <v>21</v>
      </c>
      <c r="E3084" t="s">
        <v>40</v>
      </c>
      <c r="F3084" t="s">
        <v>53</v>
      </c>
      <c r="G3084" t="s">
        <v>42</v>
      </c>
      <c r="H3084" t="s">
        <v>34</v>
      </c>
      <c r="I3084" t="s">
        <v>59</v>
      </c>
      <c r="J3084" t="s">
        <v>60</v>
      </c>
      <c r="K3084">
        <v>1</v>
      </c>
      <c r="L3084">
        <v>90349</v>
      </c>
      <c r="M3084" t="s">
        <v>45</v>
      </c>
      <c r="N3084">
        <v>2</v>
      </c>
      <c r="O3084">
        <v>1</v>
      </c>
      <c r="P3084">
        <v>30</v>
      </c>
      <c r="Q3084">
        <v>1</v>
      </c>
      <c r="R3084" s="1">
        <v>44855</v>
      </c>
      <c r="S3084" t="s">
        <v>29</v>
      </c>
      <c r="T3084" t="str">
        <f t="shared" si="240"/>
        <v>Grade A</v>
      </c>
      <c r="U3084">
        <f t="shared" si="241"/>
        <v>2</v>
      </c>
      <c r="V3084" t="str">
        <f t="shared" si="242"/>
        <v>New Joiner</v>
      </c>
      <c r="W3084" t="str">
        <f t="shared" si="243"/>
        <v>Medium Risk</v>
      </c>
      <c r="X3084" t="str">
        <f t="shared" si="244"/>
        <v>Fair</v>
      </c>
    </row>
    <row r="3085" spans="1:24" x14ac:dyDescent="0.3">
      <c r="A3085" t="s">
        <v>3153</v>
      </c>
      <c r="B3085" t="s">
        <v>20</v>
      </c>
      <c r="C3085">
        <v>38</v>
      </c>
      <c r="D3085" t="s">
        <v>57</v>
      </c>
      <c r="E3085" t="s">
        <v>22</v>
      </c>
      <c r="F3085" t="s">
        <v>53</v>
      </c>
      <c r="G3085" t="s">
        <v>49</v>
      </c>
      <c r="H3085" t="s">
        <v>83</v>
      </c>
      <c r="I3085" t="s">
        <v>72</v>
      </c>
      <c r="J3085" t="s">
        <v>73</v>
      </c>
      <c r="K3085">
        <v>13</v>
      </c>
      <c r="L3085">
        <v>84385</v>
      </c>
      <c r="M3085" t="s">
        <v>28</v>
      </c>
      <c r="N3085">
        <v>4</v>
      </c>
      <c r="O3085">
        <v>4</v>
      </c>
      <c r="P3085">
        <v>41</v>
      </c>
      <c r="Q3085">
        <v>2</v>
      </c>
      <c r="R3085" s="1">
        <v>40458</v>
      </c>
      <c r="S3085" t="s">
        <v>37</v>
      </c>
      <c r="T3085" t="str">
        <f t="shared" si="240"/>
        <v>Grade A</v>
      </c>
      <c r="U3085">
        <f t="shared" si="241"/>
        <v>3</v>
      </c>
      <c r="V3085" t="str">
        <f t="shared" si="242"/>
        <v>Senior</v>
      </c>
      <c r="W3085" t="str">
        <f t="shared" si="243"/>
        <v>Already Left</v>
      </c>
      <c r="X3085" t="str">
        <f t="shared" si="244"/>
        <v>Competitive</v>
      </c>
    </row>
    <row r="3086" spans="1:24" x14ac:dyDescent="0.3">
      <c r="A3086" t="s">
        <v>3154</v>
      </c>
      <c r="B3086" t="s">
        <v>39</v>
      </c>
      <c r="C3086">
        <v>43</v>
      </c>
      <c r="D3086" t="s">
        <v>31</v>
      </c>
      <c r="E3086" t="s">
        <v>48</v>
      </c>
      <c r="F3086" t="s">
        <v>62</v>
      </c>
      <c r="G3086" t="s">
        <v>33</v>
      </c>
      <c r="H3086" t="s">
        <v>34</v>
      </c>
      <c r="I3086" t="s">
        <v>26</v>
      </c>
      <c r="J3086" t="s">
        <v>27</v>
      </c>
      <c r="K3086">
        <v>5</v>
      </c>
      <c r="L3086">
        <v>63001</v>
      </c>
      <c r="M3086" t="s">
        <v>36</v>
      </c>
      <c r="N3086">
        <v>2</v>
      </c>
      <c r="O3086">
        <v>3</v>
      </c>
      <c r="P3086">
        <v>38</v>
      </c>
      <c r="Q3086">
        <v>1</v>
      </c>
      <c r="R3086" s="1">
        <v>43418</v>
      </c>
      <c r="S3086" t="s">
        <v>29</v>
      </c>
      <c r="T3086" t="str">
        <f t="shared" si="240"/>
        <v>Grade B</v>
      </c>
      <c r="U3086">
        <f t="shared" si="241"/>
        <v>1</v>
      </c>
      <c r="V3086" t="str">
        <f t="shared" si="242"/>
        <v>Junior</v>
      </c>
      <c r="W3086" t="str">
        <f t="shared" si="243"/>
        <v>Medium Risk</v>
      </c>
      <c r="X3086" t="str">
        <f t="shared" si="244"/>
        <v>Fair</v>
      </c>
    </row>
    <row r="3087" spans="1:24" x14ac:dyDescent="0.3">
      <c r="A3087" t="s">
        <v>3155</v>
      </c>
      <c r="B3087" t="s">
        <v>20</v>
      </c>
      <c r="C3087">
        <v>31</v>
      </c>
      <c r="D3087" t="s">
        <v>47</v>
      </c>
      <c r="E3087" t="s">
        <v>40</v>
      </c>
      <c r="F3087" t="s">
        <v>62</v>
      </c>
      <c r="G3087" t="s">
        <v>66</v>
      </c>
      <c r="H3087" t="s">
        <v>34</v>
      </c>
      <c r="I3087" t="s">
        <v>72</v>
      </c>
      <c r="J3087" t="s">
        <v>73</v>
      </c>
      <c r="K3087">
        <v>7</v>
      </c>
      <c r="L3087">
        <v>46302</v>
      </c>
      <c r="M3087" t="s">
        <v>51</v>
      </c>
      <c r="N3087">
        <v>4</v>
      </c>
      <c r="O3087">
        <v>3</v>
      </c>
      <c r="P3087">
        <v>20</v>
      </c>
      <c r="Q3087">
        <v>1</v>
      </c>
      <c r="R3087" s="1">
        <v>42407</v>
      </c>
      <c r="S3087" t="s">
        <v>29</v>
      </c>
      <c r="T3087" t="str">
        <f t="shared" si="240"/>
        <v>Grade C</v>
      </c>
      <c r="U3087">
        <f t="shared" si="241"/>
        <v>4</v>
      </c>
      <c r="V3087" t="str">
        <f t="shared" si="242"/>
        <v>Mid Level</v>
      </c>
      <c r="W3087" t="str">
        <f t="shared" si="243"/>
        <v>Low Risk</v>
      </c>
      <c r="X3087" t="str">
        <f t="shared" si="244"/>
        <v>Fair</v>
      </c>
    </row>
    <row r="3088" spans="1:24" x14ac:dyDescent="0.3">
      <c r="A3088" t="s">
        <v>3156</v>
      </c>
      <c r="B3088" t="s">
        <v>39</v>
      </c>
      <c r="C3088">
        <v>29</v>
      </c>
      <c r="D3088" t="s">
        <v>21</v>
      </c>
      <c r="E3088" t="s">
        <v>48</v>
      </c>
      <c r="F3088" t="s">
        <v>23</v>
      </c>
      <c r="G3088" t="s">
        <v>42</v>
      </c>
      <c r="H3088" t="s">
        <v>83</v>
      </c>
      <c r="I3088" t="s">
        <v>50</v>
      </c>
      <c r="J3088" t="s">
        <v>44</v>
      </c>
      <c r="K3088">
        <v>8</v>
      </c>
      <c r="L3088">
        <v>119847</v>
      </c>
      <c r="M3088" t="s">
        <v>51</v>
      </c>
      <c r="N3088">
        <v>4</v>
      </c>
      <c r="O3088">
        <v>2</v>
      </c>
      <c r="P3088">
        <v>36</v>
      </c>
      <c r="Q3088">
        <v>3</v>
      </c>
      <c r="R3088" s="1">
        <v>42245</v>
      </c>
      <c r="S3088" t="s">
        <v>29</v>
      </c>
      <c r="T3088" t="str">
        <f t="shared" si="240"/>
        <v>Grade A</v>
      </c>
      <c r="U3088">
        <f t="shared" si="241"/>
        <v>4</v>
      </c>
      <c r="V3088" t="str">
        <f t="shared" si="242"/>
        <v>Mid Level</v>
      </c>
      <c r="W3088" t="str">
        <f t="shared" si="243"/>
        <v>Low Risk</v>
      </c>
      <c r="X3088" t="str">
        <f t="shared" si="244"/>
        <v>Competitive</v>
      </c>
    </row>
    <row r="3089" spans="1:24" x14ac:dyDescent="0.3">
      <c r="A3089" t="s">
        <v>3157</v>
      </c>
      <c r="B3089" t="s">
        <v>20</v>
      </c>
      <c r="C3089">
        <v>28</v>
      </c>
      <c r="D3089" t="s">
        <v>88</v>
      </c>
      <c r="E3089" t="s">
        <v>40</v>
      </c>
      <c r="F3089" t="s">
        <v>41</v>
      </c>
      <c r="G3089" t="s">
        <v>58</v>
      </c>
      <c r="H3089" t="s">
        <v>83</v>
      </c>
      <c r="I3089" t="s">
        <v>50</v>
      </c>
      <c r="J3089" t="s">
        <v>44</v>
      </c>
      <c r="K3089">
        <v>11</v>
      </c>
      <c r="L3089">
        <v>106235</v>
      </c>
      <c r="M3089" t="s">
        <v>45</v>
      </c>
      <c r="N3089">
        <v>4</v>
      </c>
      <c r="O3089">
        <v>3</v>
      </c>
      <c r="P3089">
        <v>17</v>
      </c>
      <c r="Q3089">
        <v>0</v>
      </c>
      <c r="R3089" s="1">
        <v>40968</v>
      </c>
      <c r="S3089" t="s">
        <v>29</v>
      </c>
      <c r="T3089" t="str">
        <f t="shared" si="240"/>
        <v>Grade A</v>
      </c>
      <c r="U3089">
        <f t="shared" si="241"/>
        <v>2</v>
      </c>
      <c r="V3089" t="str">
        <f t="shared" si="242"/>
        <v>Senior</v>
      </c>
      <c r="W3089" t="str">
        <f t="shared" si="243"/>
        <v>Medium Risk</v>
      </c>
      <c r="X3089" t="str">
        <f t="shared" si="244"/>
        <v>Fair</v>
      </c>
    </row>
    <row r="3090" spans="1:24" x14ac:dyDescent="0.3">
      <c r="A3090" t="s">
        <v>3158</v>
      </c>
      <c r="B3090" t="s">
        <v>39</v>
      </c>
      <c r="C3090">
        <v>27</v>
      </c>
      <c r="D3090" t="s">
        <v>21</v>
      </c>
      <c r="E3090" t="s">
        <v>40</v>
      </c>
      <c r="F3090" t="s">
        <v>78</v>
      </c>
      <c r="G3090" t="s">
        <v>42</v>
      </c>
      <c r="H3090" t="s">
        <v>25</v>
      </c>
      <c r="I3090" t="s">
        <v>72</v>
      </c>
      <c r="J3090" t="s">
        <v>73</v>
      </c>
      <c r="K3090">
        <v>5</v>
      </c>
      <c r="L3090">
        <v>106718</v>
      </c>
      <c r="M3090" t="s">
        <v>28</v>
      </c>
      <c r="N3090">
        <v>3</v>
      </c>
      <c r="O3090">
        <v>2</v>
      </c>
      <c r="P3090">
        <v>12</v>
      </c>
      <c r="Q3090">
        <v>2</v>
      </c>
      <c r="R3090" s="1">
        <v>43328</v>
      </c>
      <c r="S3090" t="s">
        <v>29</v>
      </c>
      <c r="T3090" t="str">
        <f t="shared" si="240"/>
        <v>Grade A</v>
      </c>
      <c r="U3090">
        <f t="shared" si="241"/>
        <v>3</v>
      </c>
      <c r="V3090" t="str">
        <f t="shared" si="242"/>
        <v>Junior</v>
      </c>
      <c r="W3090" t="str">
        <f t="shared" si="243"/>
        <v>Medium Risk</v>
      </c>
      <c r="X3090" t="str">
        <f t="shared" si="244"/>
        <v>Competitive</v>
      </c>
    </row>
    <row r="3091" spans="1:24" x14ac:dyDescent="0.3">
      <c r="A3091" t="s">
        <v>3159</v>
      </c>
      <c r="B3091" t="s">
        <v>20</v>
      </c>
      <c r="C3091">
        <v>33</v>
      </c>
      <c r="D3091" t="s">
        <v>31</v>
      </c>
      <c r="E3091" t="s">
        <v>48</v>
      </c>
      <c r="F3091" t="s">
        <v>53</v>
      </c>
      <c r="G3091" t="s">
        <v>42</v>
      </c>
      <c r="H3091" t="s">
        <v>34</v>
      </c>
      <c r="I3091" t="s">
        <v>26</v>
      </c>
      <c r="J3091" t="s">
        <v>27</v>
      </c>
      <c r="K3091">
        <v>6</v>
      </c>
      <c r="L3091">
        <v>115686</v>
      </c>
      <c r="M3091" t="s">
        <v>36</v>
      </c>
      <c r="N3091">
        <v>1</v>
      </c>
      <c r="O3091">
        <v>3</v>
      </c>
      <c r="P3091">
        <v>49</v>
      </c>
      <c r="Q3091">
        <v>0</v>
      </c>
      <c r="R3091" s="1">
        <v>42822</v>
      </c>
      <c r="S3091" t="s">
        <v>37</v>
      </c>
      <c r="T3091" t="str">
        <f t="shared" si="240"/>
        <v>Grade A</v>
      </c>
      <c r="U3091">
        <f t="shared" si="241"/>
        <v>1</v>
      </c>
      <c r="V3091" t="str">
        <f t="shared" si="242"/>
        <v>Mid Level</v>
      </c>
      <c r="W3091" t="str">
        <f t="shared" si="243"/>
        <v>Already Left</v>
      </c>
      <c r="X3091" t="str">
        <f t="shared" si="244"/>
        <v>Overpaid</v>
      </c>
    </row>
    <row r="3092" spans="1:24" x14ac:dyDescent="0.3">
      <c r="A3092" t="s">
        <v>3160</v>
      </c>
      <c r="B3092" t="s">
        <v>20</v>
      </c>
      <c r="C3092">
        <v>22</v>
      </c>
      <c r="D3092" t="s">
        <v>57</v>
      </c>
      <c r="E3092" t="s">
        <v>40</v>
      </c>
      <c r="F3092" t="s">
        <v>41</v>
      </c>
      <c r="G3092" t="s">
        <v>49</v>
      </c>
      <c r="H3092" t="s">
        <v>34</v>
      </c>
      <c r="I3092" t="s">
        <v>72</v>
      </c>
      <c r="J3092" t="s">
        <v>73</v>
      </c>
      <c r="K3092">
        <v>10</v>
      </c>
      <c r="L3092">
        <v>75007</v>
      </c>
      <c r="M3092" t="s">
        <v>51</v>
      </c>
      <c r="N3092">
        <v>4</v>
      </c>
      <c r="O3092">
        <v>1</v>
      </c>
      <c r="P3092">
        <v>61</v>
      </c>
      <c r="Q3092">
        <v>0</v>
      </c>
      <c r="R3092" s="1">
        <v>41413</v>
      </c>
      <c r="S3092" t="s">
        <v>29</v>
      </c>
      <c r="T3092" t="str">
        <f t="shared" si="240"/>
        <v>Grade B</v>
      </c>
      <c r="U3092">
        <f t="shared" si="241"/>
        <v>4</v>
      </c>
      <c r="V3092" t="str">
        <f t="shared" si="242"/>
        <v>Mid Level</v>
      </c>
      <c r="W3092" t="str">
        <f t="shared" si="243"/>
        <v>Low Risk</v>
      </c>
      <c r="X3092" t="str">
        <f t="shared" si="244"/>
        <v>Fair</v>
      </c>
    </row>
    <row r="3093" spans="1:24" x14ac:dyDescent="0.3">
      <c r="A3093" t="s">
        <v>3161</v>
      </c>
      <c r="B3093" t="s">
        <v>20</v>
      </c>
      <c r="C3093">
        <v>35</v>
      </c>
      <c r="D3093" t="s">
        <v>57</v>
      </c>
      <c r="E3093" t="s">
        <v>40</v>
      </c>
      <c r="F3093" t="s">
        <v>62</v>
      </c>
      <c r="G3093" t="s">
        <v>66</v>
      </c>
      <c r="H3093" t="s">
        <v>83</v>
      </c>
      <c r="I3093" t="s">
        <v>43</v>
      </c>
      <c r="J3093" t="s">
        <v>44</v>
      </c>
      <c r="K3093">
        <v>13</v>
      </c>
      <c r="L3093">
        <v>54295</v>
      </c>
      <c r="M3093" t="s">
        <v>28</v>
      </c>
      <c r="N3093">
        <v>3</v>
      </c>
      <c r="O3093">
        <v>3</v>
      </c>
      <c r="P3093">
        <v>56</v>
      </c>
      <c r="Q3093">
        <v>1</v>
      </c>
      <c r="R3093" s="1">
        <v>40270</v>
      </c>
      <c r="S3093" t="s">
        <v>29</v>
      </c>
      <c r="T3093" t="str">
        <f t="shared" si="240"/>
        <v>Grade B</v>
      </c>
      <c r="U3093">
        <f t="shared" si="241"/>
        <v>3</v>
      </c>
      <c r="V3093" t="str">
        <f t="shared" si="242"/>
        <v>Senior</v>
      </c>
      <c r="W3093" t="str">
        <f t="shared" si="243"/>
        <v>Medium Risk</v>
      </c>
      <c r="X3093" t="str">
        <f t="shared" si="244"/>
        <v>Competitive</v>
      </c>
    </row>
    <row r="3094" spans="1:24" x14ac:dyDescent="0.3">
      <c r="A3094" t="s">
        <v>3162</v>
      </c>
      <c r="B3094" t="s">
        <v>39</v>
      </c>
      <c r="C3094">
        <v>45</v>
      </c>
      <c r="D3094" t="s">
        <v>57</v>
      </c>
      <c r="E3094" t="s">
        <v>40</v>
      </c>
      <c r="F3094" t="s">
        <v>78</v>
      </c>
      <c r="G3094" t="s">
        <v>24</v>
      </c>
      <c r="H3094" t="s">
        <v>83</v>
      </c>
      <c r="I3094" t="s">
        <v>96</v>
      </c>
      <c r="J3094" t="s">
        <v>44</v>
      </c>
      <c r="K3094">
        <v>10</v>
      </c>
      <c r="L3094">
        <v>89471</v>
      </c>
      <c r="M3094" t="s">
        <v>36</v>
      </c>
      <c r="N3094">
        <v>3</v>
      </c>
      <c r="O3094">
        <v>1</v>
      </c>
      <c r="P3094">
        <v>65</v>
      </c>
      <c r="Q3094">
        <v>0</v>
      </c>
      <c r="R3094" s="1">
        <v>41306</v>
      </c>
      <c r="S3094" t="s">
        <v>29</v>
      </c>
      <c r="T3094" t="str">
        <f t="shared" si="240"/>
        <v>Grade A</v>
      </c>
      <c r="U3094">
        <f t="shared" si="241"/>
        <v>1</v>
      </c>
      <c r="V3094" t="str">
        <f t="shared" si="242"/>
        <v>Mid Level</v>
      </c>
      <c r="W3094" t="str">
        <f t="shared" si="243"/>
        <v>Medium Risk</v>
      </c>
      <c r="X3094" t="str">
        <f t="shared" si="244"/>
        <v>Overpaid</v>
      </c>
    </row>
    <row r="3095" spans="1:24" x14ac:dyDescent="0.3">
      <c r="A3095" t="s">
        <v>3163</v>
      </c>
      <c r="B3095" t="s">
        <v>20</v>
      </c>
      <c r="C3095">
        <v>26</v>
      </c>
      <c r="D3095" t="s">
        <v>47</v>
      </c>
      <c r="E3095" t="s">
        <v>22</v>
      </c>
      <c r="F3095" t="s">
        <v>53</v>
      </c>
      <c r="G3095" t="s">
        <v>58</v>
      </c>
      <c r="H3095" t="s">
        <v>76</v>
      </c>
      <c r="I3095" t="s">
        <v>35</v>
      </c>
      <c r="J3095" t="s">
        <v>27</v>
      </c>
      <c r="K3095">
        <v>2</v>
      </c>
      <c r="L3095">
        <v>79352</v>
      </c>
      <c r="M3095" t="s">
        <v>36</v>
      </c>
      <c r="N3095">
        <v>3</v>
      </c>
      <c r="O3095">
        <v>3</v>
      </c>
      <c r="P3095">
        <v>59</v>
      </c>
      <c r="Q3095">
        <v>0</v>
      </c>
      <c r="R3095" s="1">
        <v>44447</v>
      </c>
      <c r="S3095" t="s">
        <v>29</v>
      </c>
      <c r="T3095" t="str">
        <f t="shared" si="240"/>
        <v>Grade B</v>
      </c>
      <c r="U3095">
        <f t="shared" si="241"/>
        <v>1</v>
      </c>
      <c r="V3095" t="str">
        <f t="shared" si="242"/>
        <v>New Joiner</v>
      </c>
      <c r="W3095" t="str">
        <f t="shared" si="243"/>
        <v>High Risk</v>
      </c>
      <c r="X3095" t="str">
        <f t="shared" si="244"/>
        <v>Fair</v>
      </c>
    </row>
    <row r="3096" spans="1:24" x14ac:dyDescent="0.3">
      <c r="A3096" t="s">
        <v>3164</v>
      </c>
      <c r="B3096" t="s">
        <v>20</v>
      </c>
      <c r="C3096">
        <v>34</v>
      </c>
      <c r="D3096" t="s">
        <v>47</v>
      </c>
      <c r="E3096" t="s">
        <v>48</v>
      </c>
      <c r="F3096" t="s">
        <v>78</v>
      </c>
      <c r="G3096" t="s">
        <v>42</v>
      </c>
      <c r="H3096" t="s">
        <v>67</v>
      </c>
      <c r="I3096" t="s">
        <v>72</v>
      </c>
      <c r="J3096" t="s">
        <v>73</v>
      </c>
      <c r="K3096">
        <v>10</v>
      </c>
      <c r="L3096">
        <v>111379</v>
      </c>
      <c r="M3096" t="s">
        <v>45</v>
      </c>
      <c r="N3096">
        <v>3</v>
      </c>
      <c r="O3096">
        <v>3</v>
      </c>
      <c r="P3096">
        <v>20</v>
      </c>
      <c r="Q3096">
        <v>1</v>
      </c>
      <c r="R3096" s="1">
        <v>41465</v>
      </c>
      <c r="S3096" t="s">
        <v>29</v>
      </c>
      <c r="T3096" t="str">
        <f t="shared" si="240"/>
        <v>Grade A</v>
      </c>
      <c r="U3096">
        <f t="shared" si="241"/>
        <v>2</v>
      </c>
      <c r="V3096" t="str">
        <f t="shared" si="242"/>
        <v>Mid Level</v>
      </c>
      <c r="W3096" t="str">
        <f t="shared" si="243"/>
        <v>Medium Risk</v>
      </c>
      <c r="X3096" t="str">
        <f t="shared" si="244"/>
        <v>Fair</v>
      </c>
    </row>
    <row r="3097" spans="1:24" x14ac:dyDescent="0.3">
      <c r="A3097" t="s">
        <v>3165</v>
      </c>
      <c r="B3097" t="s">
        <v>39</v>
      </c>
      <c r="C3097">
        <v>29</v>
      </c>
      <c r="D3097" t="s">
        <v>47</v>
      </c>
      <c r="E3097" t="s">
        <v>22</v>
      </c>
      <c r="F3097" t="s">
        <v>78</v>
      </c>
      <c r="G3097" t="s">
        <v>58</v>
      </c>
      <c r="H3097" t="s">
        <v>34</v>
      </c>
      <c r="I3097" t="s">
        <v>35</v>
      </c>
      <c r="J3097" t="s">
        <v>27</v>
      </c>
      <c r="K3097">
        <v>14</v>
      </c>
      <c r="L3097">
        <v>106702</v>
      </c>
      <c r="M3097" t="s">
        <v>36</v>
      </c>
      <c r="N3097">
        <v>4</v>
      </c>
      <c r="O3097">
        <v>3</v>
      </c>
      <c r="P3097">
        <v>30</v>
      </c>
      <c r="Q3097">
        <v>1</v>
      </c>
      <c r="R3097" s="1">
        <v>40137</v>
      </c>
      <c r="S3097" t="s">
        <v>29</v>
      </c>
      <c r="T3097" t="str">
        <f t="shared" si="240"/>
        <v>Grade A</v>
      </c>
      <c r="U3097">
        <f t="shared" si="241"/>
        <v>1</v>
      </c>
      <c r="V3097" t="str">
        <f t="shared" si="242"/>
        <v>Senior</v>
      </c>
      <c r="W3097" t="str">
        <f t="shared" si="243"/>
        <v>Medium Risk</v>
      </c>
      <c r="X3097" t="str">
        <f t="shared" si="244"/>
        <v>Overpaid</v>
      </c>
    </row>
    <row r="3098" spans="1:24" x14ac:dyDescent="0.3">
      <c r="A3098" t="s">
        <v>3166</v>
      </c>
      <c r="B3098" t="s">
        <v>20</v>
      </c>
      <c r="C3098">
        <v>28</v>
      </c>
      <c r="D3098" t="s">
        <v>47</v>
      </c>
      <c r="E3098" t="s">
        <v>48</v>
      </c>
      <c r="F3098" t="s">
        <v>41</v>
      </c>
      <c r="G3098" t="s">
        <v>42</v>
      </c>
      <c r="H3098" t="s">
        <v>25</v>
      </c>
      <c r="I3098" t="s">
        <v>59</v>
      </c>
      <c r="J3098" t="s">
        <v>60</v>
      </c>
      <c r="K3098">
        <v>3</v>
      </c>
      <c r="L3098">
        <v>93671</v>
      </c>
      <c r="M3098" t="s">
        <v>28</v>
      </c>
      <c r="N3098">
        <v>4</v>
      </c>
      <c r="O3098">
        <v>4</v>
      </c>
      <c r="P3098">
        <v>40</v>
      </c>
      <c r="Q3098">
        <v>1</v>
      </c>
      <c r="R3098" s="1">
        <v>44191</v>
      </c>
      <c r="S3098" t="s">
        <v>29</v>
      </c>
      <c r="T3098" t="str">
        <f t="shared" si="240"/>
        <v>Grade A</v>
      </c>
      <c r="U3098">
        <f t="shared" si="241"/>
        <v>3</v>
      </c>
      <c r="V3098" t="str">
        <f t="shared" si="242"/>
        <v>Junior</v>
      </c>
      <c r="W3098" t="str">
        <f t="shared" si="243"/>
        <v>Medium Risk</v>
      </c>
      <c r="X3098" t="str">
        <f t="shared" si="244"/>
        <v>Competitive</v>
      </c>
    </row>
    <row r="3099" spans="1:24" x14ac:dyDescent="0.3">
      <c r="A3099" t="s">
        <v>3167</v>
      </c>
      <c r="B3099" t="s">
        <v>39</v>
      </c>
      <c r="C3099">
        <v>54</v>
      </c>
      <c r="D3099" t="s">
        <v>47</v>
      </c>
      <c r="E3099" t="s">
        <v>22</v>
      </c>
      <c r="F3099" t="s">
        <v>78</v>
      </c>
      <c r="G3099" t="s">
        <v>79</v>
      </c>
      <c r="H3099" t="s">
        <v>34</v>
      </c>
      <c r="I3099" t="s">
        <v>35</v>
      </c>
      <c r="J3099" t="s">
        <v>27</v>
      </c>
      <c r="K3099">
        <v>14</v>
      </c>
      <c r="L3099">
        <v>64290</v>
      </c>
      <c r="M3099" t="s">
        <v>51</v>
      </c>
      <c r="N3099">
        <v>1</v>
      </c>
      <c r="O3099">
        <v>3</v>
      </c>
      <c r="P3099">
        <v>46</v>
      </c>
      <c r="Q3099">
        <v>2</v>
      </c>
      <c r="R3099" s="1">
        <v>40094</v>
      </c>
      <c r="S3099" t="s">
        <v>29</v>
      </c>
      <c r="T3099" t="str">
        <f t="shared" si="240"/>
        <v>Grade B</v>
      </c>
      <c r="U3099">
        <f t="shared" si="241"/>
        <v>4</v>
      </c>
      <c r="V3099" t="str">
        <f t="shared" si="242"/>
        <v>Senior</v>
      </c>
      <c r="W3099" t="str">
        <f t="shared" si="243"/>
        <v>Low Risk</v>
      </c>
      <c r="X3099" t="str">
        <f t="shared" si="244"/>
        <v>Fair</v>
      </c>
    </row>
    <row r="3100" spans="1:24" x14ac:dyDescent="0.3">
      <c r="A3100" t="s">
        <v>3168</v>
      </c>
      <c r="B3100" t="s">
        <v>20</v>
      </c>
      <c r="C3100">
        <v>29</v>
      </c>
      <c r="D3100" t="s">
        <v>21</v>
      </c>
      <c r="E3100" t="s">
        <v>48</v>
      </c>
      <c r="F3100" t="s">
        <v>65</v>
      </c>
      <c r="G3100" t="s">
        <v>79</v>
      </c>
      <c r="H3100" t="s">
        <v>83</v>
      </c>
      <c r="I3100" t="s">
        <v>59</v>
      </c>
      <c r="J3100" t="s">
        <v>60</v>
      </c>
      <c r="K3100">
        <v>9</v>
      </c>
      <c r="L3100">
        <v>61611</v>
      </c>
      <c r="M3100" t="s">
        <v>36</v>
      </c>
      <c r="N3100">
        <v>2</v>
      </c>
      <c r="O3100">
        <v>3</v>
      </c>
      <c r="P3100">
        <v>12</v>
      </c>
      <c r="Q3100">
        <v>0</v>
      </c>
      <c r="R3100" s="1">
        <v>41827</v>
      </c>
      <c r="S3100" t="s">
        <v>29</v>
      </c>
      <c r="T3100" t="str">
        <f t="shared" si="240"/>
        <v>Grade B</v>
      </c>
      <c r="U3100">
        <f t="shared" si="241"/>
        <v>1</v>
      </c>
      <c r="V3100" t="str">
        <f t="shared" si="242"/>
        <v>Mid Level</v>
      </c>
      <c r="W3100" t="str">
        <f t="shared" si="243"/>
        <v>Medium Risk</v>
      </c>
      <c r="X3100" t="str">
        <f t="shared" si="244"/>
        <v>Fair</v>
      </c>
    </row>
    <row r="3101" spans="1:24" x14ac:dyDescent="0.3">
      <c r="A3101" t="s">
        <v>3169</v>
      </c>
      <c r="B3101" t="s">
        <v>39</v>
      </c>
      <c r="C3101">
        <v>36</v>
      </c>
      <c r="D3101" t="s">
        <v>21</v>
      </c>
      <c r="E3101" t="s">
        <v>22</v>
      </c>
      <c r="F3101" t="s">
        <v>62</v>
      </c>
      <c r="G3101" t="s">
        <v>79</v>
      </c>
      <c r="H3101" t="s">
        <v>67</v>
      </c>
      <c r="I3101" t="s">
        <v>68</v>
      </c>
      <c r="J3101" t="s">
        <v>60</v>
      </c>
      <c r="K3101">
        <v>5</v>
      </c>
      <c r="L3101">
        <v>56336</v>
      </c>
      <c r="M3101" t="s">
        <v>28</v>
      </c>
      <c r="N3101">
        <v>4</v>
      </c>
      <c r="O3101">
        <v>4</v>
      </c>
      <c r="P3101">
        <v>45</v>
      </c>
      <c r="Q3101">
        <v>1</v>
      </c>
      <c r="R3101" s="1">
        <v>43106</v>
      </c>
      <c r="S3101" t="s">
        <v>37</v>
      </c>
      <c r="T3101" t="str">
        <f t="shared" si="240"/>
        <v>Grade B</v>
      </c>
      <c r="U3101">
        <f t="shared" si="241"/>
        <v>3</v>
      </c>
      <c r="V3101" t="str">
        <f t="shared" si="242"/>
        <v>Junior</v>
      </c>
      <c r="W3101" t="str">
        <f t="shared" si="243"/>
        <v>Already Left</v>
      </c>
      <c r="X3101" t="str">
        <f t="shared" si="244"/>
        <v>Competitive</v>
      </c>
    </row>
    <row r="3102" spans="1:24" x14ac:dyDescent="0.3">
      <c r="A3102" t="s">
        <v>3170</v>
      </c>
      <c r="B3102" t="s">
        <v>20</v>
      </c>
      <c r="C3102">
        <v>27</v>
      </c>
      <c r="D3102" t="s">
        <v>57</v>
      </c>
      <c r="E3102" t="s">
        <v>22</v>
      </c>
      <c r="F3102" t="s">
        <v>23</v>
      </c>
      <c r="G3102" t="s">
        <v>66</v>
      </c>
      <c r="H3102" t="s">
        <v>67</v>
      </c>
      <c r="I3102" t="s">
        <v>80</v>
      </c>
      <c r="J3102" t="s">
        <v>60</v>
      </c>
      <c r="K3102">
        <v>14</v>
      </c>
      <c r="L3102">
        <v>68499</v>
      </c>
      <c r="M3102" t="s">
        <v>51</v>
      </c>
      <c r="N3102">
        <v>2</v>
      </c>
      <c r="O3102">
        <v>2</v>
      </c>
      <c r="P3102">
        <v>54</v>
      </c>
      <c r="Q3102">
        <v>0</v>
      </c>
      <c r="R3102" s="1">
        <v>40095</v>
      </c>
      <c r="S3102" t="s">
        <v>29</v>
      </c>
      <c r="T3102" t="str">
        <f t="shared" si="240"/>
        <v>Grade B</v>
      </c>
      <c r="U3102">
        <f t="shared" si="241"/>
        <v>4</v>
      </c>
      <c r="V3102" t="str">
        <f t="shared" si="242"/>
        <v>Senior</v>
      </c>
      <c r="W3102" t="str">
        <f t="shared" si="243"/>
        <v>Low Risk</v>
      </c>
      <c r="X3102" t="str">
        <f t="shared" si="244"/>
        <v>Fair</v>
      </c>
    </row>
    <row r="3103" spans="1:24" x14ac:dyDescent="0.3">
      <c r="A3103" t="s">
        <v>3171</v>
      </c>
      <c r="B3103" t="s">
        <v>20</v>
      </c>
      <c r="C3103">
        <v>31</v>
      </c>
      <c r="D3103" t="s">
        <v>88</v>
      </c>
      <c r="E3103" t="s">
        <v>40</v>
      </c>
      <c r="F3103" t="s">
        <v>75</v>
      </c>
      <c r="G3103" t="s">
        <v>24</v>
      </c>
      <c r="H3103" t="s">
        <v>34</v>
      </c>
      <c r="I3103" t="s">
        <v>59</v>
      </c>
      <c r="J3103" t="s">
        <v>60</v>
      </c>
      <c r="K3103">
        <v>13</v>
      </c>
      <c r="L3103">
        <v>92536</v>
      </c>
      <c r="M3103" t="s">
        <v>28</v>
      </c>
      <c r="N3103">
        <v>4</v>
      </c>
      <c r="O3103">
        <v>4</v>
      </c>
      <c r="P3103">
        <v>80</v>
      </c>
      <c r="Q3103">
        <v>2</v>
      </c>
      <c r="R3103" s="1">
        <v>40226</v>
      </c>
      <c r="S3103" t="s">
        <v>37</v>
      </c>
      <c r="T3103" t="str">
        <f t="shared" si="240"/>
        <v>Grade A</v>
      </c>
      <c r="U3103">
        <f t="shared" si="241"/>
        <v>3</v>
      </c>
      <c r="V3103" t="str">
        <f t="shared" si="242"/>
        <v>Senior</v>
      </c>
      <c r="W3103" t="str">
        <f t="shared" si="243"/>
        <v>Already Left</v>
      </c>
      <c r="X3103" t="str">
        <f t="shared" si="244"/>
        <v>Competitive</v>
      </c>
    </row>
    <row r="3104" spans="1:24" x14ac:dyDescent="0.3">
      <c r="A3104" t="s">
        <v>3172</v>
      </c>
      <c r="B3104" t="s">
        <v>39</v>
      </c>
      <c r="C3104">
        <v>48</v>
      </c>
      <c r="D3104" t="s">
        <v>47</v>
      </c>
      <c r="E3104" t="s">
        <v>22</v>
      </c>
      <c r="F3104" t="s">
        <v>75</v>
      </c>
      <c r="G3104" t="s">
        <v>63</v>
      </c>
      <c r="H3104" t="s">
        <v>67</v>
      </c>
      <c r="I3104" t="s">
        <v>80</v>
      </c>
      <c r="J3104" t="s">
        <v>60</v>
      </c>
      <c r="K3104">
        <v>2</v>
      </c>
      <c r="L3104">
        <v>53800</v>
      </c>
      <c r="M3104" t="s">
        <v>51</v>
      </c>
      <c r="N3104">
        <v>2</v>
      </c>
      <c r="O3104">
        <v>1</v>
      </c>
      <c r="P3104">
        <v>26</v>
      </c>
      <c r="Q3104">
        <v>2</v>
      </c>
      <c r="R3104" s="1">
        <v>44238</v>
      </c>
      <c r="S3104" t="s">
        <v>37</v>
      </c>
      <c r="T3104" t="str">
        <f t="shared" si="240"/>
        <v>Grade B</v>
      </c>
      <c r="U3104">
        <f t="shared" si="241"/>
        <v>4</v>
      </c>
      <c r="V3104" t="str">
        <f t="shared" si="242"/>
        <v>New Joiner</v>
      </c>
      <c r="W3104" t="str">
        <f t="shared" si="243"/>
        <v>Already Left</v>
      </c>
      <c r="X3104" t="str">
        <f t="shared" si="244"/>
        <v>Fair</v>
      </c>
    </row>
    <row r="3105" spans="1:24" x14ac:dyDescent="0.3">
      <c r="A3105" t="s">
        <v>3173</v>
      </c>
      <c r="B3105" t="s">
        <v>39</v>
      </c>
      <c r="C3105">
        <v>29</v>
      </c>
      <c r="D3105" t="s">
        <v>47</v>
      </c>
      <c r="E3105" t="s">
        <v>40</v>
      </c>
      <c r="F3105" t="s">
        <v>78</v>
      </c>
      <c r="G3105" t="s">
        <v>66</v>
      </c>
      <c r="H3105" t="s">
        <v>76</v>
      </c>
      <c r="I3105" t="s">
        <v>50</v>
      </c>
      <c r="J3105" t="s">
        <v>44</v>
      </c>
      <c r="K3105">
        <v>5</v>
      </c>
      <c r="L3105">
        <v>41982</v>
      </c>
      <c r="M3105" t="s">
        <v>36</v>
      </c>
      <c r="N3105">
        <v>3</v>
      </c>
      <c r="O3105">
        <v>1</v>
      </c>
      <c r="P3105">
        <v>22</v>
      </c>
      <c r="Q3105">
        <v>0</v>
      </c>
      <c r="R3105" s="1">
        <v>43173</v>
      </c>
      <c r="S3105" t="s">
        <v>37</v>
      </c>
      <c r="T3105" t="str">
        <f t="shared" si="240"/>
        <v>Grade C</v>
      </c>
      <c r="U3105">
        <f t="shared" si="241"/>
        <v>1</v>
      </c>
      <c r="V3105" t="str">
        <f t="shared" si="242"/>
        <v>Junior</v>
      </c>
      <c r="W3105" t="str">
        <f t="shared" si="243"/>
        <v>Already Left</v>
      </c>
      <c r="X3105" t="str">
        <f t="shared" si="244"/>
        <v>Fair</v>
      </c>
    </row>
    <row r="3106" spans="1:24" x14ac:dyDescent="0.3">
      <c r="A3106" t="s">
        <v>3174</v>
      </c>
      <c r="B3106" t="s">
        <v>39</v>
      </c>
      <c r="C3106">
        <v>55</v>
      </c>
      <c r="D3106" t="s">
        <v>31</v>
      </c>
      <c r="E3106" t="s">
        <v>40</v>
      </c>
      <c r="F3106" t="s">
        <v>62</v>
      </c>
      <c r="G3106" t="s">
        <v>66</v>
      </c>
      <c r="H3106" t="s">
        <v>25</v>
      </c>
      <c r="I3106" t="s">
        <v>59</v>
      </c>
      <c r="J3106" t="s">
        <v>60</v>
      </c>
      <c r="K3106">
        <v>9</v>
      </c>
      <c r="L3106">
        <v>43886</v>
      </c>
      <c r="M3106" t="s">
        <v>36</v>
      </c>
      <c r="N3106">
        <v>3</v>
      </c>
      <c r="O3106">
        <v>3</v>
      </c>
      <c r="P3106">
        <v>44</v>
      </c>
      <c r="Q3106">
        <v>2</v>
      </c>
      <c r="R3106" s="1">
        <v>41719</v>
      </c>
      <c r="S3106" t="s">
        <v>37</v>
      </c>
      <c r="T3106" t="str">
        <f t="shared" si="240"/>
        <v>Grade C</v>
      </c>
      <c r="U3106">
        <f t="shared" si="241"/>
        <v>1</v>
      </c>
      <c r="V3106" t="str">
        <f t="shared" si="242"/>
        <v>Mid Level</v>
      </c>
      <c r="W3106" t="str">
        <f t="shared" si="243"/>
        <v>Already Left</v>
      </c>
      <c r="X3106" t="str">
        <f t="shared" si="244"/>
        <v>Fair</v>
      </c>
    </row>
    <row r="3107" spans="1:24" x14ac:dyDescent="0.3">
      <c r="A3107" t="s">
        <v>3175</v>
      </c>
      <c r="B3107" t="s">
        <v>20</v>
      </c>
      <c r="C3107">
        <v>38</v>
      </c>
      <c r="D3107" t="s">
        <v>31</v>
      </c>
      <c r="E3107" t="s">
        <v>22</v>
      </c>
      <c r="F3107" t="s">
        <v>78</v>
      </c>
      <c r="G3107" t="s">
        <v>33</v>
      </c>
      <c r="H3107" t="s">
        <v>67</v>
      </c>
      <c r="I3107" t="s">
        <v>54</v>
      </c>
      <c r="J3107" t="s">
        <v>27</v>
      </c>
      <c r="K3107">
        <v>5</v>
      </c>
      <c r="L3107">
        <v>64807</v>
      </c>
      <c r="M3107" t="s">
        <v>45</v>
      </c>
      <c r="N3107">
        <v>1</v>
      </c>
      <c r="O3107">
        <v>4</v>
      </c>
      <c r="P3107">
        <v>56</v>
      </c>
      <c r="Q3107">
        <v>3</v>
      </c>
      <c r="R3107" s="1">
        <v>43320</v>
      </c>
      <c r="S3107" t="s">
        <v>37</v>
      </c>
      <c r="T3107" t="str">
        <f t="shared" si="240"/>
        <v>Grade B</v>
      </c>
      <c r="U3107">
        <f t="shared" si="241"/>
        <v>2</v>
      </c>
      <c r="V3107" t="str">
        <f t="shared" si="242"/>
        <v>Junior</v>
      </c>
      <c r="W3107" t="str">
        <f t="shared" si="243"/>
        <v>Already Left</v>
      </c>
      <c r="X3107" t="str">
        <f t="shared" si="244"/>
        <v>Fair</v>
      </c>
    </row>
    <row r="3108" spans="1:24" x14ac:dyDescent="0.3">
      <c r="A3108" t="s">
        <v>3176</v>
      </c>
      <c r="B3108" t="s">
        <v>20</v>
      </c>
      <c r="C3108">
        <v>38</v>
      </c>
      <c r="D3108" t="s">
        <v>31</v>
      </c>
      <c r="E3108" t="s">
        <v>48</v>
      </c>
      <c r="F3108" t="s">
        <v>62</v>
      </c>
      <c r="G3108" t="s">
        <v>63</v>
      </c>
      <c r="H3108" t="s">
        <v>34</v>
      </c>
      <c r="I3108" t="s">
        <v>59</v>
      </c>
      <c r="J3108" t="s">
        <v>60</v>
      </c>
      <c r="K3108">
        <v>5</v>
      </c>
      <c r="L3108">
        <v>55668</v>
      </c>
      <c r="M3108" t="s">
        <v>51</v>
      </c>
      <c r="N3108">
        <v>3</v>
      </c>
      <c r="O3108">
        <v>4</v>
      </c>
      <c r="P3108">
        <v>49</v>
      </c>
      <c r="Q3108">
        <v>0</v>
      </c>
      <c r="R3108" s="1">
        <v>43322</v>
      </c>
      <c r="S3108" t="s">
        <v>37</v>
      </c>
      <c r="T3108" t="str">
        <f t="shared" si="240"/>
        <v>Grade B</v>
      </c>
      <c r="U3108">
        <f t="shared" si="241"/>
        <v>4</v>
      </c>
      <c r="V3108" t="str">
        <f t="shared" si="242"/>
        <v>Junior</v>
      </c>
      <c r="W3108" t="str">
        <f t="shared" si="243"/>
        <v>Already Left</v>
      </c>
      <c r="X3108" t="str">
        <f t="shared" si="244"/>
        <v>Fair</v>
      </c>
    </row>
    <row r="3109" spans="1:24" x14ac:dyDescent="0.3">
      <c r="A3109" t="s">
        <v>3177</v>
      </c>
      <c r="B3109" t="s">
        <v>39</v>
      </c>
      <c r="C3109">
        <v>36</v>
      </c>
      <c r="D3109" t="s">
        <v>21</v>
      </c>
      <c r="E3109" t="s">
        <v>48</v>
      </c>
      <c r="F3109" t="s">
        <v>65</v>
      </c>
      <c r="G3109" t="s">
        <v>63</v>
      </c>
      <c r="H3109" t="s">
        <v>67</v>
      </c>
      <c r="I3109" t="s">
        <v>80</v>
      </c>
      <c r="J3109" t="s">
        <v>60</v>
      </c>
      <c r="K3109">
        <v>3</v>
      </c>
      <c r="L3109">
        <v>50764</v>
      </c>
      <c r="M3109" t="s">
        <v>45</v>
      </c>
      <c r="N3109">
        <v>2</v>
      </c>
      <c r="O3109">
        <v>1</v>
      </c>
      <c r="P3109">
        <v>70</v>
      </c>
      <c r="Q3109">
        <v>2</v>
      </c>
      <c r="R3109" s="1">
        <v>44035</v>
      </c>
      <c r="S3109" t="s">
        <v>29</v>
      </c>
      <c r="T3109" t="str">
        <f t="shared" si="240"/>
        <v>Grade B</v>
      </c>
      <c r="U3109">
        <f t="shared" si="241"/>
        <v>2</v>
      </c>
      <c r="V3109" t="str">
        <f t="shared" si="242"/>
        <v>Junior</v>
      </c>
      <c r="W3109" t="str">
        <f t="shared" si="243"/>
        <v>Medium Risk</v>
      </c>
      <c r="X3109" t="str">
        <f t="shared" si="244"/>
        <v>Fair</v>
      </c>
    </row>
    <row r="3110" spans="1:24" x14ac:dyDescent="0.3">
      <c r="A3110" t="s">
        <v>3178</v>
      </c>
      <c r="B3110" t="s">
        <v>20</v>
      </c>
      <c r="C3110">
        <v>38</v>
      </c>
      <c r="D3110" t="s">
        <v>88</v>
      </c>
      <c r="E3110" t="s">
        <v>22</v>
      </c>
      <c r="F3110" t="s">
        <v>41</v>
      </c>
      <c r="G3110" t="s">
        <v>63</v>
      </c>
      <c r="H3110" t="s">
        <v>67</v>
      </c>
      <c r="I3110" t="s">
        <v>68</v>
      </c>
      <c r="J3110" t="s">
        <v>60</v>
      </c>
      <c r="K3110">
        <v>4</v>
      </c>
      <c r="L3110">
        <v>62967</v>
      </c>
      <c r="M3110" t="s">
        <v>51</v>
      </c>
      <c r="N3110">
        <v>2</v>
      </c>
      <c r="O3110">
        <v>4</v>
      </c>
      <c r="P3110">
        <v>72</v>
      </c>
      <c r="Q3110">
        <v>3</v>
      </c>
      <c r="R3110" s="1">
        <v>43577</v>
      </c>
      <c r="S3110" t="s">
        <v>29</v>
      </c>
      <c r="T3110" t="str">
        <f t="shared" si="240"/>
        <v>Grade B</v>
      </c>
      <c r="U3110">
        <f t="shared" si="241"/>
        <v>4</v>
      </c>
      <c r="V3110" t="str">
        <f t="shared" si="242"/>
        <v>Junior</v>
      </c>
      <c r="W3110" t="str">
        <f t="shared" si="243"/>
        <v>Low Risk</v>
      </c>
      <c r="X3110" t="str">
        <f t="shared" si="244"/>
        <v>Fair</v>
      </c>
    </row>
    <row r="3111" spans="1:24" x14ac:dyDescent="0.3">
      <c r="A3111" t="s">
        <v>3179</v>
      </c>
      <c r="B3111" t="s">
        <v>39</v>
      </c>
      <c r="C3111">
        <v>42</v>
      </c>
      <c r="D3111" t="s">
        <v>21</v>
      </c>
      <c r="E3111" t="s">
        <v>40</v>
      </c>
      <c r="F3111" t="s">
        <v>78</v>
      </c>
      <c r="G3111" t="s">
        <v>24</v>
      </c>
      <c r="H3111" t="s">
        <v>83</v>
      </c>
      <c r="I3111" t="s">
        <v>68</v>
      </c>
      <c r="J3111" t="s">
        <v>60</v>
      </c>
      <c r="K3111">
        <v>5</v>
      </c>
      <c r="L3111">
        <v>80348</v>
      </c>
      <c r="M3111" t="s">
        <v>45</v>
      </c>
      <c r="N3111">
        <v>2</v>
      </c>
      <c r="O3111">
        <v>2</v>
      </c>
      <c r="P3111">
        <v>45</v>
      </c>
      <c r="Q3111">
        <v>0</v>
      </c>
      <c r="R3111" s="1">
        <v>43408</v>
      </c>
      <c r="S3111" t="s">
        <v>29</v>
      </c>
      <c r="T3111" t="str">
        <f t="shared" si="240"/>
        <v>Grade A</v>
      </c>
      <c r="U3111">
        <f t="shared" si="241"/>
        <v>2</v>
      </c>
      <c r="V3111" t="str">
        <f t="shared" si="242"/>
        <v>Junior</v>
      </c>
      <c r="W3111" t="str">
        <f t="shared" si="243"/>
        <v>Medium Risk</v>
      </c>
      <c r="X3111" t="str">
        <f t="shared" si="244"/>
        <v>Fair</v>
      </c>
    </row>
    <row r="3112" spans="1:24" x14ac:dyDescent="0.3">
      <c r="A3112" t="s">
        <v>3180</v>
      </c>
      <c r="B3112" t="s">
        <v>20</v>
      </c>
      <c r="C3112">
        <v>41</v>
      </c>
      <c r="D3112" t="s">
        <v>21</v>
      </c>
      <c r="E3112" t="s">
        <v>40</v>
      </c>
      <c r="F3112" t="s">
        <v>62</v>
      </c>
      <c r="G3112" t="s">
        <v>49</v>
      </c>
      <c r="H3112" t="s">
        <v>76</v>
      </c>
      <c r="I3112" t="s">
        <v>68</v>
      </c>
      <c r="J3112" t="s">
        <v>60</v>
      </c>
      <c r="K3112">
        <v>3</v>
      </c>
      <c r="L3112">
        <v>60919</v>
      </c>
      <c r="M3112" t="s">
        <v>28</v>
      </c>
      <c r="N3112">
        <v>4</v>
      </c>
      <c r="O3112">
        <v>3</v>
      </c>
      <c r="P3112">
        <v>37</v>
      </c>
      <c r="Q3112">
        <v>3</v>
      </c>
      <c r="R3112" s="1">
        <v>44175</v>
      </c>
      <c r="S3112" t="s">
        <v>29</v>
      </c>
      <c r="T3112" t="str">
        <f t="shared" si="240"/>
        <v>Grade B</v>
      </c>
      <c r="U3112">
        <f t="shared" si="241"/>
        <v>3</v>
      </c>
      <c r="V3112" t="str">
        <f t="shared" si="242"/>
        <v>Junior</v>
      </c>
      <c r="W3112" t="str">
        <f t="shared" si="243"/>
        <v>Medium Risk</v>
      </c>
      <c r="X3112" t="str">
        <f t="shared" si="244"/>
        <v>Competitive</v>
      </c>
    </row>
    <row r="3113" spans="1:24" x14ac:dyDescent="0.3">
      <c r="A3113" t="s">
        <v>3181</v>
      </c>
      <c r="B3113" t="s">
        <v>20</v>
      </c>
      <c r="C3113">
        <v>51</v>
      </c>
      <c r="D3113" t="s">
        <v>47</v>
      </c>
      <c r="E3113" t="s">
        <v>22</v>
      </c>
      <c r="F3113" t="s">
        <v>23</v>
      </c>
      <c r="G3113" t="s">
        <v>49</v>
      </c>
      <c r="H3113" t="s">
        <v>76</v>
      </c>
      <c r="I3113" t="s">
        <v>50</v>
      </c>
      <c r="J3113" t="s">
        <v>44</v>
      </c>
      <c r="K3113">
        <v>3</v>
      </c>
      <c r="L3113">
        <v>65521</v>
      </c>
      <c r="M3113" t="s">
        <v>28</v>
      </c>
      <c r="N3113">
        <v>3</v>
      </c>
      <c r="O3113">
        <v>2</v>
      </c>
      <c r="P3113">
        <v>22</v>
      </c>
      <c r="Q3113">
        <v>0</v>
      </c>
      <c r="R3113" s="1">
        <v>43912</v>
      </c>
      <c r="S3113" t="s">
        <v>29</v>
      </c>
      <c r="T3113" t="str">
        <f t="shared" si="240"/>
        <v>Grade B</v>
      </c>
      <c r="U3113">
        <f t="shared" si="241"/>
        <v>3</v>
      </c>
      <c r="V3113" t="str">
        <f t="shared" si="242"/>
        <v>Junior</v>
      </c>
      <c r="W3113" t="str">
        <f t="shared" si="243"/>
        <v>Medium Risk</v>
      </c>
      <c r="X3113" t="str">
        <f t="shared" si="244"/>
        <v>Competitive</v>
      </c>
    </row>
    <row r="3114" spans="1:24" x14ac:dyDescent="0.3">
      <c r="A3114" t="s">
        <v>3182</v>
      </c>
      <c r="B3114" t="s">
        <v>39</v>
      </c>
      <c r="C3114">
        <v>48</v>
      </c>
      <c r="D3114" t="s">
        <v>47</v>
      </c>
      <c r="E3114" t="s">
        <v>22</v>
      </c>
      <c r="F3114" t="s">
        <v>65</v>
      </c>
      <c r="G3114" t="s">
        <v>33</v>
      </c>
      <c r="H3114" t="s">
        <v>34</v>
      </c>
      <c r="I3114" t="s">
        <v>35</v>
      </c>
      <c r="J3114" t="s">
        <v>27</v>
      </c>
      <c r="K3114">
        <v>11</v>
      </c>
      <c r="L3114">
        <v>83983</v>
      </c>
      <c r="M3114" t="s">
        <v>28</v>
      </c>
      <c r="N3114">
        <v>1</v>
      </c>
      <c r="O3114">
        <v>3</v>
      </c>
      <c r="P3114">
        <v>57</v>
      </c>
      <c r="Q3114">
        <v>0</v>
      </c>
      <c r="R3114" s="1">
        <v>40928</v>
      </c>
      <c r="S3114" t="s">
        <v>29</v>
      </c>
      <c r="T3114" t="str">
        <f t="shared" si="240"/>
        <v>Grade A</v>
      </c>
      <c r="U3114">
        <f t="shared" si="241"/>
        <v>3</v>
      </c>
      <c r="V3114" t="str">
        <f t="shared" si="242"/>
        <v>Senior</v>
      </c>
      <c r="W3114" t="str">
        <f t="shared" si="243"/>
        <v>Medium Risk</v>
      </c>
      <c r="X3114" t="str">
        <f t="shared" si="244"/>
        <v>Competitive</v>
      </c>
    </row>
    <row r="3115" spans="1:24" x14ac:dyDescent="0.3">
      <c r="A3115" t="s">
        <v>3183</v>
      </c>
      <c r="B3115" t="s">
        <v>20</v>
      </c>
      <c r="C3115">
        <v>33</v>
      </c>
      <c r="D3115" t="s">
        <v>88</v>
      </c>
      <c r="E3115" t="s">
        <v>22</v>
      </c>
      <c r="F3115" t="s">
        <v>65</v>
      </c>
      <c r="G3115" t="s">
        <v>79</v>
      </c>
      <c r="H3115" t="s">
        <v>34</v>
      </c>
      <c r="I3115" t="s">
        <v>50</v>
      </c>
      <c r="J3115" t="s">
        <v>44</v>
      </c>
      <c r="K3115">
        <v>9</v>
      </c>
      <c r="L3115">
        <v>51267</v>
      </c>
      <c r="M3115" t="s">
        <v>51</v>
      </c>
      <c r="N3115">
        <v>4</v>
      </c>
      <c r="O3115">
        <v>2</v>
      </c>
      <c r="P3115">
        <v>46</v>
      </c>
      <c r="Q3115">
        <v>1</v>
      </c>
      <c r="R3115" s="1">
        <v>41690</v>
      </c>
      <c r="S3115" t="s">
        <v>29</v>
      </c>
      <c r="T3115" t="str">
        <f t="shared" si="240"/>
        <v>Grade B</v>
      </c>
      <c r="U3115">
        <f t="shared" si="241"/>
        <v>4</v>
      </c>
      <c r="V3115" t="str">
        <f t="shared" si="242"/>
        <v>Mid Level</v>
      </c>
      <c r="W3115" t="str">
        <f t="shared" si="243"/>
        <v>Low Risk</v>
      </c>
      <c r="X3115" t="str">
        <f t="shared" si="244"/>
        <v>Fair</v>
      </c>
    </row>
    <row r="3116" spans="1:24" x14ac:dyDescent="0.3">
      <c r="A3116" t="s">
        <v>3184</v>
      </c>
      <c r="B3116" t="s">
        <v>39</v>
      </c>
      <c r="C3116">
        <v>34</v>
      </c>
      <c r="D3116" t="s">
        <v>31</v>
      </c>
      <c r="E3116" t="s">
        <v>40</v>
      </c>
      <c r="F3116" t="s">
        <v>75</v>
      </c>
      <c r="G3116" t="s">
        <v>66</v>
      </c>
      <c r="H3116" t="s">
        <v>25</v>
      </c>
      <c r="I3116" t="s">
        <v>50</v>
      </c>
      <c r="J3116" t="s">
        <v>44</v>
      </c>
      <c r="K3116">
        <v>4</v>
      </c>
      <c r="L3116">
        <v>44121</v>
      </c>
      <c r="M3116" t="s">
        <v>28</v>
      </c>
      <c r="N3116">
        <v>4</v>
      </c>
      <c r="O3116">
        <v>1</v>
      </c>
      <c r="P3116">
        <v>66</v>
      </c>
      <c r="Q3116">
        <v>1</v>
      </c>
      <c r="R3116" s="1">
        <v>43674</v>
      </c>
      <c r="S3116" t="s">
        <v>29</v>
      </c>
      <c r="T3116" t="str">
        <f t="shared" si="240"/>
        <v>Grade C</v>
      </c>
      <c r="U3116">
        <f t="shared" si="241"/>
        <v>3</v>
      </c>
      <c r="V3116" t="str">
        <f t="shared" si="242"/>
        <v>Junior</v>
      </c>
      <c r="W3116" t="str">
        <f t="shared" si="243"/>
        <v>Medium Risk</v>
      </c>
      <c r="X3116" t="str">
        <f t="shared" si="244"/>
        <v>Fair</v>
      </c>
    </row>
    <row r="3117" spans="1:24" x14ac:dyDescent="0.3">
      <c r="A3117" t="s">
        <v>3185</v>
      </c>
      <c r="B3117" t="s">
        <v>39</v>
      </c>
      <c r="C3117">
        <v>23</v>
      </c>
      <c r="D3117" t="s">
        <v>88</v>
      </c>
      <c r="E3117" t="s">
        <v>40</v>
      </c>
      <c r="F3117" t="s">
        <v>62</v>
      </c>
      <c r="G3117" t="s">
        <v>42</v>
      </c>
      <c r="H3117" t="s">
        <v>83</v>
      </c>
      <c r="I3117" t="s">
        <v>50</v>
      </c>
      <c r="J3117" t="s">
        <v>44</v>
      </c>
      <c r="K3117">
        <v>3</v>
      </c>
      <c r="L3117">
        <v>95860</v>
      </c>
      <c r="M3117" t="s">
        <v>28</v>
      </c>
      <c r="N3117">
        <v>1</v>
      </c>
      <c r="O3117">
        <v>4</v>
      </c>
      <c r="P3117">
        <v>38</v>
      </c>
      <c r="Q3117">
        <v>0</v>
      </c>
      <c r="R3117" s="1">
        <v>44097</v>
      </c>
      <c r="S3117" t="s">
        <v>29</v>
      </c>
      <c r="T3117" t="str">
        <f t="shared" si="240"/>
        <v>Grade A</v>
      </c>
      <c r="U3117">
        <f t="shared" si="241"/>
        <v>3</v>
      </c>
      <c r="V3117" t="str">
        <f t="shared" si="242"/>
        <v>Junior</v>
      </c>
      <c r="W3117" t="str">
        <f t="shared" si="243"/>
        <v>Medium Risk</v>
      </c>
      <c r="X3117" t="str">
        <f t="shared" si="244"/>
        <v>Competitive</v>
      </c>
    </row>
    <row r="3118" spans="1:24" x14ac:dyDescent="0.3">
      <c r="A3118" t="s">
        <v>3186</v>
      </c>
      <c r="B3118" t="s">
        <v>20</v>
      </c>
      <c r="C3118">
        <v>32</v>
      </c>
      <c r="D3118" t="s">
        <v>31</v>
      </c>
      <c r="E3118" t="s">
        <v>48</v>
      </c>
      <c r="F3118" t="s">
        <v>32</v>
      </c>
      <c r="G3118" t="s">
        <v>49</v>
      </c>
      <c r="H3118" t="s">
        <v>67</v>
      </c>
      <c r="I3118" t="s">
        <v>43</v>
      </c>
      <c r="J3118" t="s">
        <v>44</v>
      </c>
      <c r="K3118">
        <v>5</v>
      </c>
      <c r="L3118">
        <v>50124</v>
      </c>
      <c r="M3118" t="s">
        <v>28</v>
      </c>
      <c r="N3118">
        <v>4</v>
      </c>
      <c r="O3118">
        <v>2</v>
      </c>
      <c r="P3118">
        <v>13</v>
      </c>
      <c r="Q3118">
        <v>3</v>
      </c>
      <c r="R3118" s="1">
        <v>43132</v>
      </c>
      <c r="S3118" t="s">
        <v>29</v>
      </c>
      <c r="T3118" t="str">
        <f t="shared" si="240"/>
        <v>Grade B</v>
      </c>
      <c r="U3118">
        <f t="shared" si="241"/>
        <v>3</v>
      </c>
      <c r="V3118" t="str">
        <f t="shared" si="242"/>
        <v>Junior</v>
      </c>
      <c r="W3118" t="str">
        <f t="shared" si="243"/>
        <v>Medium Risk</v>
      </c>
      <c r="X3118" t="str">
        <f t="shared" si="244"/>
        <v>Competitive</v>
      </c>
    </row>
    <row r="3119" spans="1:24" x14ac:dyDescent="0.3">
      <c r="A3119" t="s">
        <v>3187</v>
      </c>
      <c r="B3119" t="s">
        <v>39</v>
      </c>
      <c r="C3119">
        <v>25</v>
      </c>
      <c r="D3119" t="s">
        <v>47</v>
      </c>
      <c r="E3119" t="s">
        <v>48</v>
      </c>
      <c r="F3119" t="s">
        <v>53</v>
      </c>
      <c r="G3119" t="s">
        <v>33</v>
      </c>
      <c r="H3119" t="s">
        <v>83</v>
      </c>
      <c r="I3119" t="s">
        <v>26</v>
      </c>
      <c r="J3119" t="s">
        <v>27</v>
      </c>
      <c r="K3119">
        <v>6</v>
      </c>
      <c r="L3119">
        <v>79684</v>
      </c>
      <c r="M3119" t="s">
        <v>28</v>
      </c>
      <c r="N3119">
        <v>1</v>
      </c>
      <c r="O3119">
        <v>2</v>
      </c>
      <c r="P3119">
        <v>70</v>
      </c>
      <c r="Q3119">
        <v>1</v>
      </c>
      <c r="R3119" s="1">
        <v>42881</v>
      </c>
      <c r="S3119" t="s">
        <v>29</v>
      </c>
      <c r="T3119" t="str">
        <f t="shared" si="240"/>
        <v>Grade B</v>
      </c>
      <c r="U3119">
        <f t="shared" si="241"/>
        <v>3</v>
      </c>
      <c r="V3119" t="str">
        <f t="shared" si="242"/>
        <v>Mid Level</v>
      </c>
      <c r="W3119" t="str">
        <f t="shared" si="243"/>
        <v>Medium Risk</v>
      </c>
      <c r="X3119" t="str">
        <f t="shared" si="244"/>
        <v>Competitive</v>
      </c>
    </row>
    <row r="3120" spans="1:24" x14ac:dyDescent="0.3">
      <c r="A3120" t="s">
        <v>3188</v>
      </c>
      <c r="B3120" t="s">
        <v>39</v>
      </c>
      <c r="C3120">
        <v>44</v>
      </c>
      <c r="D3120" t="s">
        <v>47</v>
      </c>
      <c r="E3120" t="s">
        <v>40</v>
      </c>
      <c r="F3120" t="s">
        <v>62</v>
      </c>
      <c r="G3120" t="s">
        <v>58</v>
      </c>
      <c r="H3120" t="s">
        <v>34</v>
      </c>
      <c r="I3120" t="s">
        <v>80</v>
      </c>
      <c r="J3120" t="s">
        <v>60</v>
      </c>
      <c r="K3120">
        <v>3</v>
      </c>
      <c r="L3120">
        <v>95439</v>
      </c>
      <c r="M3120" t="s">
        <v>45</v>
      </c>
      <c r="N3120">
        <v>2</v>
      </c>
      <c r="O3120">
        <v>1</v>
      </c>
      <c r="P3120">
        <v>21</v>
      </c>
      <c r="Q3120">
        <v>3</v>
      </c>
      <c r="R3120" s="1">
        <v>43905</v>
      </c>
      <c r="S3120" t="s">
        <v>29</v>
      </c>
      <c r="T3120" t="str">
        <f t="shared" si="240"/>
        <v>Grade A</v>
      </c>
      <c r="U3120">
        <f t="shared" si="241"/>
        <v>2</v>
      </c>
      <c r="V3120" t="str">
        <f t="shared" si="242"/>
        <v>Junior</v>
      </c>
      <c r="W3120" t="str">
        <f t="shared" si="243"/>
        <v>Medium Risk</v>
      </c>
      <c r="X3120" t="str">
        <f t="shared" si="244"/>
        <v>Fair</v>
      </c>
    </row>
    <row r="3121" spans="1:24" x14ac:dyDescent="0.3">
      <c r="A3121" t="s">
        <v>3189</v>
      </c>
      <c r="B3121" t="s">
        <v>39</v>
      </c>
      <c r="C3121">
        <v>45</v>
      </c>
      <c r="D3121" t="s">
        <v>31</v>
      </c>
      <c r="E3121" t="s">
        <v>48</v>
      </c>
      <c r="F3121" t="s">
        <v>65</v>
      </c>
      <c r="G3121" t="s">
        <v>66</v>
      </c>
      <c r="H3121" t="s">
        <v>83</v>
      </c>
      <c r="I3121" t="s">
        <v>96</v>
      </c>
      <c r="J3121" t="s">
        <v>44</v>
      </c>
      <c r="K3121">
        <v>7</v>
      </c>
      <c r="L3121">
        <v>40846</v>
      </c>
      <c r="M3121" t="s">
        <v>36</v>
      </c>
      <c r="N3121">
        <v>1</v>
      </c>
      <c r="O3121">
        <v>2</v>
      </c>
      <c r="P3121">
        <v>69</v>
      </c>
      <c r="Q3121">
        <v>3</v>
      </c>
      <c r="R3121" s="1">
        <v>42713</v>
      </c>
      <c r="S3121" t="s">
        <v>29</v>
      </c>
      <c r="T3121" t="str">
        <f t="shared" si="240"/>
        <v>Grade C</v>
      </c>
      <c r="U3121">
        <f t="shared" si="241"/>
        <v>1</v>
      </c>
      <c r="V3121" t="str">
        <f t="shared" si="242"/>
        <v>Mid Level</v>
      </c>
      <c r="W3121" t="str">
        <f t="shared" si="243"/>
        <v>Medium Risk</v>
      </c>
      <c r="X3121" t="str">
        <f t="shared" si="244"/>
        <v>Fair</v>
      </c>
    </row>
    <row r="3122" spans="1:24" x14ac:dyDescent="0.3">
      <c r="A3122" t="s">
        <v>3190</v>
      </c>
      <c r="B3122" t="s">
        <v>20</v>
      </c>
      <c r="C3122">
        <v>45</v>
      </c>
      <c r="D3122" t="s">
        <v>21</v>
      </c>
      <c r="E3122" t="s">
        <v>22</v>
      </c>
      <c r="F3122" t="s">
        <v>23</v>
      </c>
      <c r="G3122" t="s">
        <v>79</v>
      </c>
      <c r="H3122" t="s">
        <v>83</v>
      </c>
      <c r="I3122" t="s">
        <v>43</v>
      </c>
      <c r="J3122" t="s">
        <v>44</v>
      </c>
      <c r="K3122">
        <v>4</v>
      </c>
      <c r="L3122">
        <v>50745</v>
      </c>
      <c r="M3122" t="s">
        <v>28</v>
      </c>
      <c r="N3122">
        <v>1</v>
      </c>
      <c r="O3122">
        <v>1</v>
      </c>
      <c r="P3122">
        <v>37</v>
      </c>
      <c r="Q3122">
        <v>3</v>
      </c>
      <c r="R3122" s="1">
        <v>43659</v>
      </c>
      <c r="S3122" t="s">
        <v>29</v>
      </c>
      <c r="T3122" t="str">
        <f t="shared" si="240"/>
        <v>Grade B</v>
      </c>
      <c r="U3122">
        <f t="shared" si="241"/>
        <v>3</v>
      </c>
      <c r="V3122" t="str">
        <f t="shared" si="242"/>
        <v>Junior</v>
      </c>
      <c r="W3122" t="str">
        <f t="shared" si="243"/>
        <v>Medium Risk</v>
      </c>
      <c r="X3122" t="str">
        <f t="shared" si="244"/>
        <v>Competitive</v>
      </c>
    </row>
    <row r="3123" spans="1:24" x14ac:dyDescent="0.3">
      <c r="A3123" t="s">
        <v>3191</v>
      </c>
      <c r="B3123" t="s">
        <v>20</v>
      </c>
      <c r="C3123">
        <v>27</v>
      </c>
      <c r="D3123" t="s">
        <v>88</v>
      </c>
      <c r="E3123" t="s">
        <v>48</v>
      </c>
      <c r="F3123" t="s">
        <v>65</v>
      </c>
      <c r="G3123" t="s">
        <v>33</v>
      </c>
      <c r="H3123" t="s">
        <v>76</v>
      </c>
      <c r="I3123" t="s">
        <v>43</v>
      </c>
      <c r="J3123" t="s">
        <v>44</v>
      </c>
      <c r="K3123">
        <v>4</v>
      </c>
      <c r="L3123">
        <v>65758</v>
      </c>
      <c r="M3123" t="s">
        <v>45</v>
      </c>
      <c r="N3123">
        <v>3</v>
      </c>
      <c r="O3123">
        <v>1</v>
      </c>
      <c r="P3123">
        <v>59</v>
      </c>
      <c r="Q3123">
        <v>1</v>
      </c>
      <c r="R3123" s="1">
        <v>43694</v>
      </c>
      <c r="S3123" t="s">
        <v>29</v>
      </c>
      <c r="T3123" t="str">
        <f t="shared" si="240"/>
        <v>Grade B</v>
      </c>
      <c r="U3123">
        <f t="shared" si="241"/>
        <v>2</v>
      </c>
      <c r="V3123" t="str">
        <f t="shared" si="242"/>
        <v>Junior</v>
      </c>
      <c r="W3123" t="str">
        <f t="shared" si="243"/>
        <v>Medium Risk</v>
      </c>
      <c r="X3123" t="str">
        <f t="shared" si="244"/>
        <v>Fair</v>
      </c>
    </row>
    <row r="3124" spans="1:24" x14ac:dyDescent="0.3">
      <c r="A3124" t="s">
        <v>3192</v>
      </c>
      <c r="B3124" t="s">
        <v>20</v>
      </c>
      <c r="C3124">
        <v>34</v>
      </c>
      <c r="D3124" t="s">
        <v>57</v>
      </c>
      <c r="E3124" t="s">
        <v>22</v>
      </c>
      <c r="F3124" t="s">
        <v>53</v>
      </c>
      <c r="G3124" t="s">
        <v>79</v>
      </c>
      <c r="H3124" t="s">
        <v>83</v>
      </c>
      <c r="I3124" t="s">
        <v>50</v>
      </c>
      <c r="J3124" t="s">
        <v>44</v>
      </c>
      <c r="K3124">
        <v>10</v>
      </c>
      <c r="L3124">
        <v>67562</v>
      </c>
      <c r="M3124" t="s">
        <v>28</v>
      </c>
      <c r="N3124">
        <v>3</v>
      </c>
      <c r="O3124">
        <v>1</v>
      </c>
      <c r="P3124">
        <v>21</v>
      </c>
      <c r="Q3124">
        <v>1</v>
      </c>
      <c r="R3124" s="1">
        <v>41544</v>
      </c>
      <c r="S3124" t="s">
        <v>29</v>
      </c>
      <c r="T3124" t="str">
        <f t="shared" si="240"/>
        <v>Grade B</v>
      </c>
      <c r="U3124">
        <f t="shared" si="241"/>
        <v>3</v>
      </c>
      <c r="V3124" t="str">
        <f t="shared" si="242"/>
        <v>Mid Level</v>
      </c>
      <c r="W3124" t="str">
        <f t="shared" si="243"/>
        <v>Medium Risk</v>
      </c>
      <c r="X3124" t="str">
        <f t="shared" si="244"/>
        <v>Competitive</v>
      </c>
    </row>
    <row r="3125" spans="1:24" x14ac:dyDescent="0.3">
      <c r="A3125" t="s">
        <v>3193</v>
      </c>
      <c r="B3125" t="s">
        <v>20</v>
      </c>
      <c r="C3125">
        <v>23</v>
      </c>
      <c r="D3125" t="s">
        <v>31</v>
      </c>
      <c r="E3125" t="s">
        <v>22</v>
      </c>
      <c r="F3125" t="s">
        <v>23</v>
      </c>
      <c r="G3125" t="s">
        <v>24</v>
      </c>
      <c r="H3125" t="s">
        <v>67</v>
      </c>
      <c r="I3125" t="s">
        <v>54</v>
      </c>
      <c r="J3125" t="s">
        <v>27</v>
      </c>
      <c r="K3125">
        <v>1</v>
      </c>
      <c r="L3125">
        <v>79473</v>
      </c>
      <c r="M3125" t="s">
        <v>51</v>
      </c>
      <c r="N3125">
        <v>4</v>
      </c>
      <c r="O3125">
        <v>4</v>
      </c>
      <c r="P3125">
        <v>47</v>
      </c>
      <c r="Q3125">
        <v>1</v>
      </c>
      <c r="R3125" s="1">
        <v>44808</v>
      </c>
      <c r="S3125" t="s">
        <v>29</v>
      </c>
      <c r="T3125" t="str">
        <f t="shared" si="240"/>
        <v>Grade B</v>
      </c>
      <c r="U3125">
        <f t="shared" si="241"/>
        <v>4</v>
      </c>
      <c r="V3125" t="str">
        <f t="shared" si="242"/>
        <v>New Joiner</v>
      </c>
      <c r="W3125" t="str">
        <f t="shared" si="243"/>
        <v>Low Risk</v>
      </c>
      <c r="X3125" t="str">
        <f t="shared" si="244"/>
        <v>Fair</v>
      </c>
    </row>
    <row r="3126" spans="1:24" x14ac:dyDescent="0.3">
      <c r="A3126" t="s">
        <v>3194</v>
      </c>
      <c r="B3126" t="s">
        <v>20</v>
      </c>
      <c r="C3126">
        <v>53</v>
      </c>
      <c r="D3126" t="s">
        <v>57</v>
      </c>
      <c r="E3126" t="s">
        <v>22</v>
      </c>
      <c r="F3126" t="s">
        <v>53</v>
      </c>
      <c r="G3126" t="s">
        <v>42</v>
      </c>
      <c r="H3126" t="s">
        <v>67</v>
      </c>
      <c r="I3126" t="s">
        <v>72</v>
      </c>
      <c r="J3126" t="s">
        <v>73</v>
      </c>
      <c r="K3126">
        <v>6</v>
      </c>
      <c r="L3126">
        <v>109888</v>
      </c>
      <c r="M3126" t="s">
        <v>28</v>
      </c>
      <c r="N3126">
        <v>1</v>
      </c>
      <c r="O3126">
        <v>4</v>
      </c>
      <c r="P3126">
        <v>21</v>
      </c>
      <c r="Q3126">
        <v>2</v>
      </c>
      <c r="R3126" s="1">
        <v>42742</v>
      </c>
      <c r="S3126" t="s">
        <v>29</v>
      </c>
      <c r="T3126" t="str">
        <f t="shared" si="240"/>
        <v>Grade A</v>
      </c>
      <c r="U3126">
        <f t="shared" si="241"/>
        <v>3</v>
      </c>
      <c r="V3126" t="str">
        <f t="shared" si="242"/>
        <v>Mid Level</v>
      </c>
      <c r="W3126" t="str">
        <f t="shared" si="243"/>
        <v>Medium Risk</v>
      </c>
      <c r="X3126" t="str">
        <f t="shared" si="244"/>
        <v>Competitive</v>
      </c>
    </row>
    <row r="3127" spans="1:24" x14ac:dyDescent="0.3">
      <c r="A3127" t="s">
        <v>3195</v>
      </c>
      <c r="B3127" t="s">
        <v>20</v>
      </c>
      <c r="C3127">
        <v>32</v>
      </c>
      <c r="D3127" t="s">
        <v>47</v>
      </c>
      <c r="E3127" t="s">
        <v>48</v>
      </c>
      <c r="F3127" t="s">
        <v>65</v>
      </c>
      <c r="G3127" t="s">
        <v>63</v>
      </c>
      <c r="H3127" t="s">
        <v>34</v>
      </c>
      <c r="I3127" t="s">
        <v>72</v>
      </c>
      <c r="J3127" t="s">
        <v>73</v>
      </c>
      <c r="K3127">
        <v>4</v>
      </c>
      <c r="L3127">
        <v>54086</v>
      </c>
      <c r="M3127" t="s">
        <v>51</v>
      </c>
      <c r="N3127">
        <v>2</v>
      </c>
      <c r="O3127">
        <v>3</v>
      </c>
      <c r="P3127">
        <v>65</v>
      </c>
      <c r="Q3127">
        <v>3</v>
      </c>
      <c r="R3127" s="1">
        <v>43651</v>
      </c>
      <c r="S3127" t="s">
        <v>29</v>
      </c>
      <c r="T3127" t="str">
        <f t="shared" si="240"/>
        <v>Grade B</v>
      </c>
      <c r="U3127">
        <f t="shared" si="241"/>
        <v>4</v>
      </c>
      <c r="V3127" t="str">
        <f t="shared" si="242"/>
        <v>Junior</v>
      </c>
      <c r="W3127" t="str">
        <f t="shared" si="243"/>
        <v>Low Risk</v>
      </c>
      <c r="X3127" t="str">
        <f t="shared" si="244"/>
        <v>Fair</v>
      </c>
    </row>
    <row r="3128" spans="1:24" x14ac:dyDescent="0.3">
      <c r="A3128" t="s">
        <v>3196</v>
      </c>
      <c r="B3128" t="s">
        <v>20</v>
      </c>
      <c r="C3128">
        <v>50</v>
      </c>
      <c r="D3128" t="s">
        <v>88</v>
      </c>
      <c r="E3128" t="s">
        <v>22</v>
      </c>
      <c r="F3128" t="s">
        <v>75</v>
      </c>
      <c r="G3128" t="s">
        <v>33</v>
      </c>
      <c r="H3128" t="s">
        <v>67</v>
      </c>
      <c r="I3128" t="s">
        <v>96</v>
      </c>
      <c r="J3128" t="s">
        <v>44</v>
      </c>
      <c r="K3128">
        <v>7</v>
      </c>
      <c r="L3128">
        <v>76774</v>
      </c>
      <c r="M3128" t="s">
        <v>28</v>
      </c>
      <c r="N3128">
        <v>3</v>
      </c>
      <c r="O3128">
        <v>3</v>
      </c>
      <c r="P3128">
        <v>52</v>
      </c>
      <c r="Q3128">
        <v>1</v>
      </c>
      <c r="R3128" s="1">
        <v>42485</v>
      </c>
      <c r="S3128" t="s">
        <v>37</v>
      </c>
      <c r="T3128" t="str">
        <f t="shared" si="240"/>
        <v>Grade B</v>
      </c>
      <c r="U3128">
        <f t="shared" si="241"/>
        <v>3</v>
      </c>
      <c r="V3128" t="str">
        <f t="shared" si="242"/>
        <v>Mid Level</v>
      </c>
      <c r="W3128" t="str">
        <f t="shared" si="243"/>
        <v>Already Left</v>
      </c>
      <c r="X3128" t="str">
        <f t="shared" si="244"/>
        <v>Competitive</v>
      </c>
    </row>
    <row r="3129" spans="1:24" x14ac:dyDescent="0.3">
      <c r="A3129" t="s">
        <v>3197</v>
      </c>
      <c r="B3129" t="s">
        <v>20</v>
      </c>
      <c r="C3129">
        <v>50</v>
      </c>
      <c r="D3129" t="s">
        <v>88</v>
      </c>
      <c r="E3129" t="s">
        <v>22</v>
      </c>
      <c r="F3129" t="s">
        <v>62</v>
      </c>
      <c r="G3129" t="s">
        <v>63</v>
      </c>
      <c r="H3129" t="s">
        <v>67</v>
      </c>
      <c r="I3129" t="s">
        <v>68</v>
      </c>
      <c r="J3129" t="s">
        <v>60</v>
      </c>
      <c r="K3129">
        <v>6</v>
      </c>
      <c r="L3129">
        <v>55543</v>
      </c>
      <c r="M3129" t="s">
        <v>51</v>
      </c>
      <c r="N3129">
        <v>4</v>
      </c>
      <c r="O3129">
        <v>3</v>
      </c>
      <c r="P3129">
        <v>39</v>
      </c>
      <c r="Q3129">
        <v>3</v>
      </c>
      <c r="R3129" s="1">
        <v>42915</v>
      </c>
      <c r="S3129" t="s">
        <v>29</v>
      </c>
      <c r="T3129" t="str">
        <f t="shared" si="240"/>
        <v>Grade B</v>
      </c>
      <c r="U3129">
        <f t="shared" si="241"/>
        <v>4</v>
      </c>
      <c r="V3129" t="str">
        <f t="shared" si="242"/>
        <v>Mid Level</v>
      </c>
      <c r="W3129" t="str">
        <f t="shared" si="243"/>
        <v>Low Risk</v>
      </c>
      <c r="X3129" t="str">
        <f t="shared" si="244"/>
        <v>Fair</v>
      </c>
    </row>
    <row r="3130" spans="1:24" x14ac:dyDescent="0.3">
      <c r="A3130" t="s">
        <v>3198</v>
      </c>
      <c r="B3130" t="s">
        <v>20</v>
      </c>
      <c r="C3130">
        <v>24</v>
      </c>
      <c r="D3130" t="s">
        <v>21</v>
      </c>
      <c r="E3130" t="s">
        <v>48</v>
      </c>
      <c r="F3130" t="s">
        <v>75</v>
      </c>
      <c r="G3130" t="s">
        <v>33</v>
      </c>
      <c r="H3130" t="s">
        <v>83</v>
      </c>
      <c r="I3130" t="s">
        <v>26</v>
      </c>
      <c r="J3130" t="s">
        <v>27</v>
      </c>
      <c r="K3130">
        <v>5</v>
      </c>
      <c r="L3130">
        <v>67278</v>
      </c>
      <c r="M3130" t="s">
        <v>28</v>
      </c>
      <c r="N3130">
        <v>4</v>
      </c>
      <c r="O3130">
        <v>3</v>
      </c>
      <c r="P3130">
        <v>40</v>
      </c>
      <c r="Q3130">
        <v>2</v>
      </c>
      <c r="R3130" s="1">
        <v>43412</v>
      </c>
      <c r="S3130" t="s">
        <v>37</v>
      </c>
      <c r="T3130" t="str">
        <f t="shared" si="240"/>
        <v>Grade B</v>
      </c>
      <c r="U3130">
        <f t="shared" si="241"/>
        <v>3</v>
      </c>
      <c r="V3130" t="str">
        <f t="shared" si="242"/>
        <v>Junior</v>
      </c>
      <c r="W3130" t="str">
        <f t="shared" si="243"/>
        <v>Already Left</v>
      </c>
      <c r="X3130" t="str">
        <f t="shared" si="244"/>
        <v>Competitive</v>
      </c>
    </row>
    <row r="3131" spans="1:24" x14ac:dyDescent="0.3">
      <c r="A3131" t="s">
        <v>3199</v>
      </c>
      <c r="B3131" t="s">
        <v>20</v>
      </c>
      <c r="C3131">
        <v>23</v>
      </c>
      <c r="D3131" t="s">
        <v>31</v>
      </c>
      <c r="E3131" t="s">
        <v>22</v>
      </c>
      <c r="F3131" t="s">
        <v>41</v>
      </c>
      <c r="G3131" t="s">
        <v>24</v>
      </c>
      <c r="H3131" t="s">
        <v>83</v>
      </c>
      <c r="I3131" t="s">
        <v>68</v>
      </c>
      <c r="J3131" t="s">
        <v>60</v>
      </c>
      <c r="K3131">
        <v>5</v>
      </c>
      <c r="L3131">
        <v>83358</v>
      </c>
      <c r="M3131" t="s">
        <v>45</v>
      </c>
      <c r="N3131">
        <v>4</v>
      </c>
      <c r="O3131">
        <v>1</v>
      </c>
      <c r="P3131">
        <v>77</v>
      </c>
      <c r="Q3131">
        <v>3</v>
      </c>
      <c r="R3131" s="1">
        <v>43420</v>
      </c>
      <c r="S3131" t="s">
        <v>37</v>
      </c>
      <c r="T3131" t="str">
        <f t="shared" si="240"/>
        <v>Grade A</v>
      </c>
      <c r="U3131">
        <f t="shared" si="241"/>
        <v>2</v>
      </c>
      <c r="V3131" t="str">
        <f t="shared" si="242"/>
        <v>Junior</v>
      </c>
      <c r="W3131" t="str">
        <f t="shared" si="243"/>
        <v>Already Left</v>
      </c>
      <c r="X3131" t="str">
        <f t="shared" si="244"/>
        <v>Fair</v>
      </c>
    </row>
    <row r="3132" spans="1:24" x14ac:dyDescent="0.3">
      <c r="A3132" t="s">
        <v>3200</v>
      </c>
      <c r="B3132" t="s">
        <v>39</v>
      </c>
      <c r="C3132">
        <v>49</v>
      </c>
      <c r="D3132" t="s">
        <v>31</v>
      </c>
      <c r="E3132" t="s">
        <v>48</v>
      </c>
      <c r="F3132" t="s">
        <v>23</v>
      </c>
      <c r="G3132" t="s">
        <v>66</v>
      </c>
      <c r="H3132" t="s">
        <v>34</v>
      </c>
      <c r="I3132" t="s">
        <v>35</v>
      </c>
      <c r="J3132" t="s">
        <v>27</v>
      </c>
      <c r="K3132">
        <v>6</v>
      </c>
      <c r="L3132">
        <v>48543</v>
      </c>
      <c r="M3132" t="s">
        <v>28</v>
      </c>
      <c r="N3132">
        <v>3</v>
      </c>
      <c r="O3132">
        <v>4</v>
      </c>
      <c r="P3132">
        <v>57</v>
      </c>
      <c r="Q3132">
        <v>3</v>
      </c>
      <c r="R3132" s="1">
        <v>42772</v>
      </c>
      <c r="S3132" t="s">
        <v>29</v>
      </c>
      <c r="T3132" t="str">
        <f t="shared" si="240"/>
        <v>Grade C</v>
      </c>
      <c r="U3132">
        <f t="shared" si="241"/>
        <v>3</v>
      </c>
      <c r="V3132" t="str">
        <f t="shared" si="242"/>
        <v>Mid Level</v>
      </c>
      <c r="W3132" t="str">
        <f t="shared" si="243"/>
        <v>Medium Risk</v>
      </c>
      <c r="X3132" t="str">
        <f t="shared" si="244"/>
        <v>Fair</v>
      </c>
    </row>
    <row r="3133" spans="1:24" x14ac:dyDescent="0.3">
      <c r="A3133" t="s">
        <v>3201</v>
      </c>
      <c r="B3133" t="s">
        <v>39</v>
      </c>
      <c r="C3133">
        <v>41</v>
      </c>
      <c r="D3133" t="s">
        <v>47</v>
      </c>
      <c r="E3133" t="s">
        <v>48</v>
      </c>
      <c r="F3133" t="s">
        <v>78</v>
      </c>
      <c r="G3133" t="s">
        <v>42</v>
      </c>
      <c r="H3133" t="s">
        <v>25</v>
      </c>
      <c r="I3133" t="s">
        <v>54</v>
      </c>
      <c r="J3133" t="s">
        <v>27</v>
      </c>
      <c r="K3133">
        <v>6</v>
      </c>
      <c r="L3133">
        <v>102309</v>
      </c>
      <c r="M3133" t="s">
        <v>28</v>
      </c>
      <c r="N3133">
        <v>2</v>
      </c>
      <c r="O3133">
        <v>4</v>
      </c>
      <c r="P3133">
        <v>51</v>
      </c>
      <c r="Q3133">
        <v>3</v>
      </c>
      <c r="R3133" s="1">
        <v>42771</v>
      </c>
      <c r="S3133" t="s">
        <v>29</v>
      </c>
      <c r="T3133" t="str">
        <f t="shared" si="240"/>
        <v>Grade A</v>
      </c>
      <c r="U3133">
        <f t="shared" si="241"/>
        <v>3</v>
      </c>
      <c r="V3133" t="str">
        <f t="shared" si="242"/>
        <v>Mid Level</v>
      </c>
      <c r="W3133" t="str">
        <f t="shared" si="243"/>
        <v>Medium Risk</v>
      </c>
      <c r="X3133" t="str">
        <f t="shared" si="244"/>
        <v>Competitive</v>
      </c>
    </row>
    <row r="3134" spans="1:24" x14ac:dyDescent="0.3">
      <c r="A3134" t="s">
        <v>3202</v>
      </c>
      <c r="B3134" t="s">
        <v>20</v>
      </c>
      <c r="C3134">
        <v>52</v>
      </c>
      <c r="D3134" t="s">
        <v>47</v>
      </c>
      <c r="E3134" t="s">
        <v>48</v>
      </c>
      <c r="F3134" t="s">
        <v>62</v>
      </c>
      <c r="G3134" t="s">
        <v>66</v>
      </c>
      <c r="H3134" t="s">
        <v>34</v>
      </c>
      <c r="I3134" t="s">
        <v>35</v>
      </c>
      <c r="J3134" t="s">
        <v>27</v>
      </c>
      <c r="K3134">
        <v>15</v>
      </c>
      <c r="L3134">
        <v>57022</v>
      </c>
      <c r="M3134" t="s">
        <v>36</v>
      </c>
      <c r="N3134">
        <v>2</v>
      </c>
      <c r="O3134">
        <v>1</v>
      </c>
      <c r="P3134">
        <v>75</v>
      </c>
      <c r="Q3134">
        <v>0</v>
      </c>
      <c r="R3134" s="1">
        <v>39489</v>
      </c>
      <c r="S3134" t="s">
        <v>29</v>
      </c>
      <c r="T3134" t="str">
        <f t="shared" si="240"/>
        <v>Grade B</v>
      </c>
      <c r="U3134">
        <f t="shared" si="241"/>
        <v>1</v>
      </c>
      <c r="V3134" t="str">
        <f t="shared" si="242"/>
        <v>Senior</v>
      </c>
      <c r="W3134" t="str">
        <f t="shared" si="243"/>
        <v>Medium Risk</v>
      </c>
      <c r="X3134" t="str">
        <f t="shared" si="244"/>
        <v>Fair</v>
      </c>
    </row>
    <row r="3135" spans="1:24" x14ac:dyDescent="0.3">
      <c r="A3135" t="s">
        <v>3203</v>
      </c>
      <c r="B3135" t="s">
        <v>39</v>
      </c>
      <c r="C3135">
        <v>32</v>
      </c>
      <c r="D3135" t="s">
        <v>31</v>
      </c>
      <c r="E3135" t="s">
        <v>48</v>
      </c>
      <c r="F3135" t="s">
        <v>23</v>
      </c>
      <c r="G3135" t="s">
        <v>42</v>
      </c>
      <c r="H3135" t="s">
        <v>34</v>
      </c>
      <c r="I3135" t="s">
        <v>72</v>
      </c>
      <c r="J3135" t="s">
        <v>73</v>
      </c>
      <c r="K3135">
        <v>8</v>
      </c>
      <c r="L3135">
        <v>113226</v>
      </c>
      <c r="M3135" t="s">
        <v>36</v>
      </c>
      <c r="N3135">
        <v>4</v>
      </c>
      <c r="O3135">
        <v>1</v>
      </c>
      <c r="P3135">
        <v>29</v>
      </c>
      <c r="Q3135">
        <v>3</v>
      </c>
      <c r="R3135" s="1">
        <v>42064</v>
      </c>
      <c r="S3135" t="s">
        <v>37</v>
      </c>
      <c r="T3135" t="str">
        <f t="shared" si="240"/>
        <v>Grade A</v>
      </c>
      <c r="U3135">
        <f t="shared" si="241"/>
        <v>1</v>
      </c>
      <c r="V3135" t="str">
        <f t="shared" si="242"/>
        <v>Mid Level</v>
      </c>
      <c r="W3135" t="str">
        <f t="shared" si="243"/>
        <v>Already Left</v>
      </c>
      <c r="X3135" t="str">
        <f t="shared" si="244"/>
        <v>Overpaid</v>
      </c>
    </row>
    <row r="3136" spans="1:24" x14ac:dyDescent="0.3">
      <c r="A3136" t="s">
        <v>3204</v>
      </c>
      <c r="B3136" t="s">
        <v>20</v>
      </c>
      <c r="C3136">
        <v>46</v>
      </c>
      <c r="D3136" t="s">
        <v>47</v>
      </c>
      <c r="E3136" t="s">
        <v>48</v>
      </c>
      <c r="F3136" t="s">
        <v>53</v>
      </c>
      <c r="G3136" t="s">
        <v>79</v>
      </c>
      <c r="H3136" t="s">
        <v>67</v>
      </c>
      <c r="I3136" t="s">
        <v>72</v>
      </c>
      <c r="J3136" t="s">
        <v>73</v>
      </c>
      <c r="K3136">
        <v>15</v>
      </c>
      <c r="L3136">
        <v>60664</v>
      </c>
      <c r="M3136" t="s">
        <v>36</v>
      </c>
      <c r="N3136">
        <v>1</v>
      </c>
      <c r="O3136">
        <v>4</v>
      </c>
      <c r="P3136">
        <v>54</v>
      </c>
      <c r="Q3136">
        <v>3</v>
      </c>
      <c r="R3136" s="1">
        <v>39742</v>
      </c>
      <c r="S3136" t="s">
        <v>29</v>
      </c>
      <c r="T3136" t="str">
        <f t="shared" si="240"/>
        <v>Grade B</v>
      </c>
      <c r="U3136">
        <f t="shared" si="241"/>
        <v>1</v>
      </c>
      <c r="V3136" t="str">
        <f t="shared" si="242"/>
        <v>Senior</v>
      </c>
      <c r="W3136" t="str">
        <f t="shared" si="243"/>
        <v>Medium Risk</v>
      </c>
      <c r="X3136" t="str">
        <f t="shared" si="244"/>
        <v>Fair</v>
      </c>
    </row>
    <row r="3137" spans="1:24" x14ac:dyDescent="0.3">
      <c r="A3137" t="s">
        <v>3205</v>
      </c>
      <c r="B3137" t="s">
        <v>39</v>
      </c>
      <c r="C3137">
        <v>26</v>
      </c>
      <c r="D3137" t="s">
        <v>31</v>
      </c>
      <c r="E3137" t="s">
        <v>48</v>
      </c>
      <c r="F3137" t="s">
        <v>65</v>
      </c>
      <c r="G3137" t="s">
        <v>49</v>
      </c>
      <c r="H3137" t="s">
        <v>67</v>
      </c>
      <c r="I3137" t="s">
        <v>50</v>
      </c>
      <c r="J3137" t="s">
        <v>44</v>
      </c>
      <c r="K3137">
        <v>1</v>
      </c>
      <c r="L3137">
        <v>54329</v>
      </c>
      <c r="M3137" t="s">
        <v>28</v>
      </c>
      <c r="N3137">
        <v>4</v>
      </c>
      <c r="O3137">
        <v>3</v>
      </c>
      <c r="P3137">
        <v>23</v>
      </c>
      <c r="Q3137">
        <v>3</v>
      </c>
      <c r="R3137" s="1">
        <v>44814</v>
      </c>
      <c r="S3137" t="s">
        <v>37</v>
      </c>
      <c r="T3137" t="str">
        <f t="shared" si="240"/>
        <v>Grade B</v>
      </c>
      <c r="U3137">
        <f t="shared" si="241"/>
        <v>3</v>
      </c>
      <c r="V3137" t="str">
        <f t="shared" si="242"/>
        <v>New Joiner</v>
      </c>
      <c r="W3137" t="str">
        <f t="shared" si="243"/>
        <v>Already Left</v>
      </c>
      <c r="X3137" t="str">
        <f t="shared" si="244"/>
        <v>Competitive</v>
      </c>
    </row>
    <row r="3138" spans="1:24" x14ac:dyDescent="0.3">
      <c r="A3138" t="s">
        <v>3206</v>
      </c>
      <c r="B3138" t="s">
        <v>39</v>
      </c>
      <c r="C3138">
        <v>46</v>
      </c>
      <c r="D3138" t="s">
        <v>88</v>
      </c>
      <c r="E3138" t="s">
        <v>40</v>
      </c>
      <c r="F3138" t="s">
        <v>62</v>
      </c>
      <c r="G3138" t="s">
        <v>63</v>
      </c>
      <c r="H3138" t="s">
        <v>83</v>
      </c>
      <c r="I3138" t="s">
        <v>68</v>
      </c>
      <c r="J3138" t="s">
        <v>60</v>
      </c>
      <c r="K3138">
        <v>4</v>
      </c>
      <c r="L3138">
        <v>59156</v>
      </c>
      <c r="M3138" t="s">
        <v>51</v>
      </c>
      <c r="N3138">
        <v>2</v>
      </c>
      <c r="O3138">
        <v>2</v>
      </c>
      <c r="P3138">
        <v>77</v>
      </c>
      <c r="Q3138">
        <v>2</v>
      </c>
      <c r="R3138" s="1">
        <v>43561</v>
      </c>
      <c r="S3138" t="s">
        <v>29</v>
      </c>
      <c r="T3138" t="str">
        <f t="shared" ref="T3138:T3201" si="245">IF(L3138&gt;=80000,"Grade A",IF(L3138&gt;=50000,"Grade B",IF(L3138&gt;=35000,"Grade C","Grade D")))</f>
        <v>Grade B</v>
      </c>
      <c r="U3138">
        <f t="shared" ref="U3138:U3201" si="246">IF(M3138="Excellent",4,IF(M3138="Good",3,IF(M3138="Average",2,1)))</f>
        <v>4</v>
      </c>
      <c r="V3138" t="str">
        <f t="shared" ref="V3138:V3201" si="247">IF(K3138&lt;=2,"New Joiner",IF(K3138&lt;=5,"Junior",IF(K3138&lt;=10,"Mid Level","Senior")))</f>
        <v>Junior</v>
      </c>
      <c r="W3138" t="str">
        <f t="shared" ref="W3138:W3201" si="248">IF(S3138="Yes","Already Left",IF(AND(K3138&lt;=2,M3138="Poor"),"High Risk",IF(AND(K3138&lt;=5,M3138="Average"),"Medium Risk",IF(M3138="Excellent","Low Risk","Medium Risk"))))</f>
        <v>Low Risk</v>
      </c>
      <c r="X3138" t="str">
        <f t="shared" ref="X3138:X3201" si="249">IF(AND(L3138&gt;=80000,M3138="Excellent"),"Competitive",IF(AND(L3138&gt;=50000,M3138="Good"),"Competitive",IF(AND(L3138&lt;35000,M3138="Excellent"),"Underpaid",IF(AND(L3138&gt;=80000,M3138="Poor"),"Overpaid","Fair"))))</f>
        <v>Fair</v>
      </c>
    </row>
    <row r="3139" spans="1:24" x14ac:dyDescent="0.3">
      <c r="A3139" t="s">
        <v>3207</v>
      </c>
      <c r="B3139" t="s">
        <v>39</v>
      </c>
      <c r="C3139">
        <v>51</v>
      </c>
      <c r="D3139" t="s">
        <v>21</v>
      </c>
      <c r="E3139" t="s">
        <v>40</v>
      </c>
      <c r="F3139" t="s">
        <v>41</v>
      </c>
      <c r="G3139" t="s">
        <v>49</v>
      </c>
      <c r="H3139" t="s">
        <v>83</v>
      </c>
      <c r="I3139" t="s">
        <v>50</v>
      </c>
      <c r="J3139" t="s">
        <v>44</v>
      </c>
      <c r="K3139">
        <v>2</v>
      </c>
      <c r="L3139">
        <v>45109</v>
      </c>
      <c r="M3139" t="s">
        <v>36</v>
      </c>
      <c r="N3139">
        <v>3</v>
      </c>
      <c r="O3139">
        <v>4</v>
      </c>
      <c r="P3139">
        <v>68</v>
      </c>
      <c r="Q3139">
        <v>0</v>
      </c>
      <c r="R3139" s="1">
        <v>44314</v>
      </c>
      <c r="S3139" t="s">
        <v>29</v>
      </c>
      <c r="T3139" t="str">
        <f t="shared" si="245"/>
        <v>Grade C</v>
      </c>
      <c r="U3139">
        <f t="shared" si="246"/>
        <v>1</v>
      </c>
      <c r="V3139" t="str">
        <f t="shared" si="247"/>
        <v>New Joiner</v>
      </c>
      <c r="W3139" t="str">
        <f t="shared" si="248"/>
        <v>High Risk</v>
      </c>
      <c r="X3139" t="str">
        <f t="shared" si="249"/>
        <v>Fair</v>
      </c>
    </row>
    <row r="3140" spans="1:24" x14ac:dyDescent="0.3">
      <c r="A3140" t="s">
        <v>3208</v>
      </c>
      <c r="B3140" t="s">
        <v>39</v>
      </c>
      <c r="C3140">
        <v>50</v>
      </c>
      <c r="D3140" t="s">
        <v>31</v>
      </c>
      <c r="E3140" t="s">
        <v>40</v>
      </c>
      <c r="F3140" t="s">
        <v>78</v>
      </c>
      <c r="G3140" t="s">
        <v>49</v>
      </c>
      <c r="H3140" t="s">
        <v>76</v>
      </c>
      <c r="I3140" t="s">
        <v>35</v>
      </c>
      <c r="J3140" t="s">
        <v>27</v>
      </c>
      <c r="K3140">
        <v>8</v>
      </c>
      <c r="L3140">
        <v>59459</v>
      </c>
      <c r="M3140" t="s">
        <v>28</v>
      </c>
      <c r="N3140">
        <v>2</v>
      </c>
      <c r="O3140">
        <v>4</v>
      </c>
      <c r="P3140">
        <v>49</v>
      </c>
      <c r="Q3140">
        <v>3</v>
      </c>
      <c r="R3140" s="1">
        <v>42080</v>
      </c>
      <c r="S3140" t="s">
        <v>29</v>
      </c>
      <c r="T3140" t="str">
        <f t="shared" si="245"/>
        <v>Grade B</v>
      </c>
      <c r="U3140">
        <f t="shared" si="246"/>
        <v>3</v>
      </c>
      <c r="V3140" t="str">
        <f t="shared" si="247"/>
        <v>Mid Level</v>
      </c>
      <c r="W3140" t="str">
        <f t="shared" si="248"/>
        <v>Medium Risk</v>
      </c>
      <c r="X3140" t="str">
        <f t="shared" si="249"/>
        <v>Competitive</v>
      </c>
    </row>
    <row r="3141" spans="1:24" x14ac:dyDescent="0.3">
      <c r="A3141" t="s">
        <v>3209</v>
      </c>
      <c r="B3141" t="s">
        <v>39</v>
      </c>
      <c r="C3141">
        <v>51</v>
      </c>
      <c r="D3141" t="s">
        <v>21</v>
      </c>
      <c r="E3141" t="s">
        <v>22</v>
      </c>
      <c r="F3141" t="s">
        <v>41</v>
      </c>
      <c r="G3141" t="s">
        <v>33</v>
      </c>
      <c r="H3141" t="s">
        <v>83</v>
      </c>
      <c r="I3141" t="s">
        <v>50</v>
      </c>
      <c r="J3141" t="s">
        <v>44</v>
      </c>
      <c r="K3141">
        <v>7</v>
      </c>
      <c r="L3141">
        <v>79422</v>
      </c>
      <c r="M3141" t="s">
        <v>51</v>
      </c>
      <c r="N3141">
        <v>2</v>
      </c>
      <c r="O3141">
        <v>2</v>
      </c>
      <c r="P3141">
        <v>57</v>
      </c>
      <c r="Q3141">
        <v>3</v>
      </c>
      <c r="R3141" s="1">
        <v>42711</v>
      </c>
      <c r="S3141" t="s">
        <v>29</v>
      </c>
      <c r="T3141" t="str">
        <f t="shared" si="245"/>
        <v>Grade B</v>
      </c>
      <c r="U3141">
        <f t="shared" si="246"/>
        <v>4</v>
      </c>
      <c r="V3141" t="str">
        <f t="shared" si="247"/>
        <v>Mid Level</v>
      </c>
      <c r="W3141" t="str">
        <f t="shared" si="248"/>
        <v>Low Risk</v>
      </c>
      <c r="X3141" t="str">
        <f t="shared" si="249"/>
        <v>Fair</v>
      </c>
    </row>
    <row r="3142" spans="1:24" x14ac:dyDescent="0.3">
      <c r="A3142" t="s">
        <v>3210</v>
      </c>
      <c r="B3142" t="s">
        <v>39</v>
      </c>
      <c r="C3142">
        <v>51</v>
      </c>
      <c r="D3142" t="s">
        <v>21</v>
      </c>
      <c r="E3142" t="s">
        <v>22</v>
      </c>
      <c r="F3142" t="s">
        <v>41</v>
      </c>
      <c r="G3142" t="s">
        <v>79</v>
      </c>
      <c r="H3142" t="s">
        <v>34</v>
      </c>
      <c r="I3142" t="s">
        <v>43</v>
      </c>
      <c r="J3142" t="s">
        <v>44</v>
      </c>
      <c r="K3142">
        <v>7</v>
      </c>
      <c r="L3142">
        <v>44105</v>
      </c>
      <c r="M3142" t="s">
        <v>51</v>
      </c>
      <c r="N3142">
        <v>4</v>
      </c>
      <c r="O3142">
        <v>1</v>
      </c>
      <c r="P3142">
        <v>12</v>
      </c>
      <c r="Q3142">
        <v>0</v>
      </c>
      <c r="R3142" s="1">
        <v>42564</v>
      </c>
      <c r="S3142" t="s">
        <v>29</v>
      </c>
      <c r="T3142" t="str">
        <f t="shared" si="245"/>
        <v>Grade C</v>
      </c>
      <c r="U3142">
        <f t="shared" si="246"/>
        <v>4</v>
      </c>
      <c r="V3142" t="str">
        <f t="shared" si="247"/>
        <v>Mid Level</v>
      </c>
      <c r="W3142" t="str">
        <f t="shared" si="248"/>
        <v>Low Risk</v>
      </c>
      <c r="X3142" t="str">
        <f t="shared" si="249"/>
        <v>Fair</v>
      </c>
    </row>
    <row r="3143" spans="1:24" x14ac:dyDescent="0.3">
      <c r="A3143" t="s">
        <v>3211</v>
      </c>
      <c r="B3143" t="s">
        <v>39</v>
      </c>
      <c r="C3143">
        <v>24</v>
      </c>
      <c r="D3143" t="s">
        <v>31</v>
      </c>
      <c r="E3143" t="s">
        <v>22</v>
      </c>
      <c r="F3143" t="s">
        <v>53</v>
      </c>
      <c r="G3143" t="s">
        <v>79</v>
      </c>
      <c r="H3143" t="s">
        <v>67</v>
      </c>
      <c r="I3143" t="s">
        <v>50</v>
      </c>
      <c r="J3143" t="s">
        <v>44</v>
      </c>
      <c r="K3143">
        <v>12</v>
      </c>
      <c r="L3143">
        <v>59546</v>
      </c>
      <c r="M3143" t="s">
        <v>28</v>
      </c>
      <c r="N3143">
        <v>1</v>
      </c>
      <c r="O3143">
        <v>1</v>
      </c>
      <c r="P3143">
        <v>19</v>
      </c>
      <c r="Q3143">
        <v>0</v>
      </c>
      <c r="R3143" s="1">
        <v>40626</v>
      </c>
      <c r="S3143" t="s">
        <v>29</v>
      </c>
      <c r="T3143" t="str">
        <f t="shared" si="245"/>
        <v>Grade B</v>
      </c>
      <c r="U3143">
        <f t="shared" si="246"/>
        <v>3</v>
      </c>
      <c r="V3143" t="str">
        <f t="shared" si="247"/>
        <v>Senior</v>
      </c>
      <c r="W3143" t="str">
        <f t="shared" si="248"/>
        <v>Medium Risk</v>
      </c>
      <c r="X3143" t="str">
        <f t="shared" si="249"/>
        <v>Competitive</v>
      </c>
    </row>
    <row r="3144" spans="1:24" x14ac:dyDescent="0.3">
      <c r="A3144" t="s">
        <v>3212</v>
      </c>
      <c r="B3144" t="s">
        <v>20</v>
      </c>
      <c r="C3144">
        <v>26</v>
      </c>
      <c r="D3144" t="s">
        <v>21</v>
      </c>
      <c r="E3144" t="s">
        <v>22</v>
      </c>
      <c r="F3144" t="s">
        <v>32</v>
      </c>
      <c r="G3144" t="s">
        <v>63</v>
      </c>
      <c r="H3144" t="s">
        <v>25</v>
      </c>
      <c r="I3144" t="s">
        <v>43</v>
      </c>
      <c r="J3144" t="s">
        <v>44</v>
      </c>
      <c r="K3144">
        <v>1</v>
      </c>
      <c r="L3144">
        <v>52178</v>
      </c>
      <c r="M3144" t="s">
        <v>51</v>
      </c>
      <c r="N3144">
        <v>3</v>
      </c>
      <c r="O3144">
        <v>3</v>
      </c>
      <c r="P3144">
        <v>20</v>
      </c>
      <c r="Q3144">
        <v>0</v>
      </c>
      <c r="R3144" s="1">
        <v>44612</v>
      </c>
      <c r="S3144" t="s">
        <v>29</v>
      </c>
      <c r="T3144" t="str">
        <f t="shared" si="245"/>
        <v>Grade B</v>
      </c>
      <c r="U3144">
        <f t="shared" si="246"/>
        <v>4</v>
      </c>
      <c r="V3144" t="str">
        <f t="shared" si="247"/>
        <v>New Joiner</v>
      </c>
      <c r="W3144" t="str">
        <f t="shared" si="248"/>
        <v>Low Risk</v>
      </c>
      <c r="X3144" t="str">
        <f t="shared" si="249"/>
        <v>Fair</v>
      </c>
    </row>
    <row r="3145" spans="1:24" x14ac:dyDescent="0.3">
      <c r="A3145" t="s">
        <v>3213</v>
      </c>
      <c r="B3145" t="s">
        <v>20</v>
      </c>
      <c r="C3145">
        <v>38</v>
      </c>
      <c r="D3145" t="s">
        <v>47</v>
      </c>
      <c r="E3145" t="s">
        <v>40</v>
      </c>
      <c r="F3145" t="s">
        <v>32</v>
      </c>
      <c r="G3145" t="s">
        <v>24</v>
      </c>
      <c r="H3145" t="s">
        <v>67</v>
      </c>
      <c r="I3145" t="s">
        <v>43</v>
      </c>
      <c r="J3145" t="s">
        <v>44</v>
      </c>
      <c r="K3145">
        <v>12</v>
      </c>
      <c r="L3145">
        <v>100888</v>
      </c>
      <c r="M3145" t="s">
        <v>28</v>
      </c>
      <c r="N3145">
        <v>3</v>
      </c>
      <c r="O3145">
        <v>4</v>
      </c>
      <c r="P3145">
        <v>25</v>
      </c>
      <c r="Q3145">
        <v>3</v>
      </c>
      <c r="R3145" s="1">
        <v>40622</v>
      </c>
      <c r="S3145" t="s">
        <v>37</v>
      </c>
      <c r="T3145" t="str">
        <f t="shared" si="245"/>
        <v>Grade A</v>
      </c>
      <c r="U3145">
        <f t="shared" si="246"/>
        <v>3</v>
      </c>
      <c r="V3145" t="str">
        <f t="shared" si="247"/>
        <v>Senior</v>
      </c>
      <c r="W3145" t="str">
        <f t="shared" si="248"/>
        <v>Already Left</v>
      </c>
      <c r="X3145" t="str">
        <f t="shared" si="249"/>
        <v>Competitive</v>
      </c>
    </row>
    <row r="3146" spans="1:24" x14ac:dyDescent="0.3">
      <c r="A3146" t="s">
        <v>3214</v>
      </c>
      <c r="B3146" t="s">
        <v>20</v>
      </c>
      <c r="C3146">
        <v>41</v>
      </c>
      <c r="D3146" t="s">
        <v>88</v>
      </c>
      <c r="E3146" t="s">
        <v>48</v>
      </c>
      <c r="F3146" t="s">
        <v>53</v>
      </c>
      <c r="G3146" t="s">
        <v>33</v>
      </c>
      <c r="H3146" t="s">
        <v>83</v>
      </c>
      <c r="I3146" t="s">
        <v>96</v>
      </c>
      <c r="J3146" t="s">
        <v>44</v>
      </c>
      <c r="K3146">
        <v>15</v>
      </c>
      <c r="L3146">
        <v>80647</v>
      </c>
      <c r="M3146" t="s">
        <v>51</v>
      </c>
      <c r="N3146">
        <v>3</v>
      </c>
      <c r="O3146">
        <v>3</v>
      </c>
      <c r="P3146">
        <v>14</v>
      </c>
      <c r="Q3146">
        <v>1</v>
      </c>
      <c r="R3146" s="1">
        <v>39650</v>
      </c>
      <c r="S3146" t="s">
        <v>29</v>
      </c>
      <c r="T3146" t="str">
        <f t="shared" si="245"/>
        <v>Grade A</v>
      </c>
      <c r="U3146">
        <f t="shared" si="246"/>
        <v>4</v>
      </c>
      <c r="V3146" t="str">
        <f t="shared" si="247"/>
        <v>Senior</v>
      </c>
      <c r="W3146" t="str">
        <f t="shared" si="248"/>
        <v>Low Risk</v>
      </c>
      <c r="X3146" t="str">
        <f t="shared" si="249"/>
        <v>Competitive</v>
      </c>
    </row>
    <row r="3147" spans="1:24" x14ac:dyDescent="0.3">
      <c r="A3147" t="s">
        <v>3215</v>
      </c>
      <c r="B3147" t="s">
        <v>20</v>
      </c>
      <c r="C3147">
        <v>51</v>
      </c>
      <c r="D3147" t="s">
        <v>31</v>
      </c>
      <c r="E3147" t="s">
        <v>40</v>
      </c>
      <c r="F3147" t="s">
        <v>53</v>
      </c>
      <c r="G3147" t="s">
        <v>66</v>
      </c>
      <c r="H3147" t="s">
        <v>83</v>
      </c>
      <c r="I3147" t="s">
        <v>80</v>
      </c>
      <c r="J3147" t="s">
        <v>60</v>
      </c>
      <c r="K3147">
        <v>15</v>
      </c>
      <c r="L3147">
        <v>63630</v>
      </c>
      <c r="M3147" t="s">
        <v>28</v>
      </c>
      <c r="N3147">
        <v>3</v>
      </c>
      <c r="O3147">
        <v>1</v>
      </c>
      <c r="P3147">
        <v>31</v>
      </c>
      <c r="Q3147">
        <v>2</v>
      </c>
      <c r="R3147" s="1">
        <v>39792</v>
      </c>
      <c r="S3147" t="s">
        <v>29</v>
      </c>
      <c r="T3147" t="str">
        <f t="shared" si="245"/>
        <v>Grade B</v>
      </c>
      <c r="U3147">
        <f t="shared" si="246"/>
        <v>3</v>
      </c>
      <c r="V3147" t="str">
        <f t="shared" si="247"/>
        <v>Senior</v>
      </c>
      <c r="W3147" t="str">
        <f t="shared" si="248"/>
        <v>Medium Risk</v>
      </c>
      <c r="X3147" t="str">
        <f t="shared" si="249"/>
        <v>Competitive</v>
      </c>
    </row>
    <row r="3148" spans="1:24" x14ac:dyDescent="0.3">
      <c r="A3148" t="s">
        <v>3216</v>
      </c>
      <c r="B3148" t="s">
        <v>20</v>
      </c>
      <c r="C3148">
        <v>42</v>
      </c>
      <c r="D3148" t="s">
        <v>31</v>
      </c>
      <c r="E3148" t="s">
        <v>40</v>
      </c>
      <c r="F3148" t="s">
        <v>62</v>
      </c>
      <c r="G3148" t="s">
        <v>49</v>
      </c>
      <c r="H3148" t="s">
        <v>67</v>
      </c>
      <c r="I3148" t="s">
        <v>68</v>
      </c>
      <c r="J3148" t="s">
        <v>60</v>
      </c>
      <c r="K3148">
        <v>4</v>
      </c>
      <c r="L3148">
        <v>60281</v>
      </c>
      <c r="M3148" t="s">
        <v>36</v>
      </c>
      <c r="N3148">
        <v>4</v>
      </c>
      <c r="O3148">
        <v>4</v>
      </c>
      <c r="P3148">
        <v>25</v>
      </c>
      <c r="Q3148">
        <v>1</v>
      </c>
      <c r="R3148" s="1">
        <v>43773</v>
      </c>
      <c r="S3148" t="s">
        <v>37</v>
      </c>
      <c r="T3148" t="str">
        <f t="shared" si="245"/>
        <v>Grade B</v>
      </c>
      <c r="U3148">
        <f t="shared" si="246"/>
        <v>1</v>
      </c>
      <c r="V3148" t="str">
        <f t="shared" si="247"/>
        <v>Junior</v>
      </c>
      <c r="W3148" t="str">
        <f t="shared" si="248"/>
        <v>Already Left</v>
      </c>
      <c r="X3148" t="str">
        <f t="shared" si="249"/>
        <v>Fair</v>
      </c>
    </row>
    <row r="3149" spans="1:24" x14ac:dyDescent="0.3">
      <c r="A3149" t="s">
        <v>3217</v>
      </c>
      <c r="B3149" t="s">
        <v>39</v>
      </c>
      <c r="C3149">
        <v>22</v>
      </c>
      <c r="D3149" t="s">
        <v>47</v>
      </c>
      <c r="E3149" t="s">
        <v>22</v>
      </c>
      <c r="F3149" t="s">
        <v>23</v>
      </c>
      <c r="G3149" t="s">
        <v>79</v>
      </c>
      <c r="H3149" t="s">
        <v>67</v>
      </c>
      <c r="I3149" t="s">
        <v>68</v>
      </c>
      <c r="J3149" t="s">
        <v>60</v>
      </c>
      <c r="K3149">
        <v>7</v>
      </c>
      <c r="L3149">
        <v>50761</v>
      </c>
      <c r="M3149" t="s">
        <v>51</v>
      </c>
      <c r="N3149">
        <v>4</v>
      </c>
      <c r="O3149">
        <v>4</v>
      </c>
      <c r="P3149">
        <v>64</v>
      </c>
      <c r="Q3149">
        <v>3</v>
      </c>
      <c r="R3149" s="1">
        <v>42411</v>
      </c>
      <c r="S3149" t="s">
        <v>29</v>
      </c>
      <c r="T3149" t="str">
        <f t="shared" si="245"/>
        <v>Grade B</v>
      </c>
      <c r="U3149">
        <f t="shared" si="246"/>
        <v>4</v>
      </c>
      <c r="V3149" t="str">
        <f t="shared" si="247"/>
        <v>Mid Level</v>
      </c>
      <c r="W3149" t="str">
        <f t="shared" si="248"/>
        <v>Low Risk</v>
      </c>
      <c r="X3149" t="str">
        <f t="shared" si="249"/>
        <v>Fair</v>
      </c>
    </row>
    <row r="3150" spans="1:24" x14ac:dyDescent="0.3">
      <c r="A3150" t="s">
        <v>3218</v>
      </c>
      <c r="B3150" t="s">
        <v>39</v>
      </c>
      <c r="C3150">
        <v>25</v>
      </c>
      <c r="D3150" t="s">
        <v>21</v>
      </c>
      <c r="E3150" t="s">
        <v>48</v>
      </c>
      <c r="F3150" t="s">
        <v>62</v>
      </c>
      <c r="G3150" t="s">
        <v>33</v>
      </c>
      <c r="H3150" t="s">
        <v>34</v>
      </c>
      <c r="I3150" t="s">
        <v>80</v>
      </c>
      <c r="J3150" t="s">
        <v>60</v>
      </c>
      <c r="K3150">
        <v>3</v>
      </c>
      <c r="L3150">
        <v>74174</v>
      </c>
      <c r="M3150" t="s">
        <v>28</v>
      </c>
      <c r="N3150">
        <v>4</v>
      </c>
      <c r="O3150">
        <v>2</v>
      </c>
      <c r="P3150">
        <v>14</v>
      </c>
      <c r="Q3150">
        <v>3</v>
      </c>
      <c r="R3150" s="1">
        <v>43942</v>
      </c>
      <c r="S3150" t="s">
        <v>37</v>
      </c>
      <c r="T3150" t="str">
        <f t="shared" si="245"/>
        <v>Grade B</v>
      </c>
      <c r="U3150">
        <f t="shared" si="246"/>
        <v>3</v>
      </c>
      <c r="V3150" t="str">
        <f t="shared" si="247"/>
        <v>Junior</v>
      </c>
      <c r="W3150" t="str">
        <f t="shared" si="248"/>
        <v>Already Left</v>
      </c>
      <c r="X3150" t="str">
        <f t="shared" si="249"/>
        <v>Competitive</v>
      </c>
    </row>
    <row r="3151" spans="1:24" x14ac:dyDescent="0.3">
      <c r="A3151" t="s">
        <v>3219</v>
      </c>
      <c r="B3151" t="s">
        <v>20</v>
      </c>
      <c r="C3151">
        <v>41</v>
      </c>
      <c r="D3151" t="s">
        <v>88</v>
      </c>
      <c r="E3151" t="s">
        <v>40</v>
      </c>
      <c r="F3151" t="s">
        <v>75</v>
      </c>
      <c r="G3151" t="s">
        <v>63</v>
      </c>
      <c r="H3151" t="s">
        <v>76</v>
      </c>
      <c r="I3151" t="s">
        <v>43</v>
      </c>
      <c r="J3151" t="s">
        <v>44</v>
      </c>
      <c r="K3151">
        <v>3</v>
      </c>
      <c r="L3151">
        <v>42036</v>
      </c>
      <c r="M3151" t="s">
        <v>36</v>
      </c>
      <c r="N3151">
        <v>1</v>
      </c>
      <c r="O3151">
        <v>1</v>
      </c>
      <c r="P3151">
        <v>42</v>
      </c>
      <c r="Q3151">
        <v>3</v>
      </c>
      <c r="R3151" s="1">
        <v>43886</v>
      </c>
      <c r="S3151" t="s">
        <v>29</v>
      </c>
      <c r="T3151" t="str">
        <f t="shared" si="245"/>
        <v>Grade C</v>
      </c>
      <c r="U3151">
        <f t="shared" si="246"/>
        <v>1</v>
      </c>
      <c r="V3151" t="str">
        <f t="shared" si="247"/>
        <v>Junior</v>
      </c>
      <c r="W3151" t="str">
        <f t="shared" si="248"/>
        <v>Medium Risk</v>
      </c>
      <c r="X3151" t="str">
        <f t="shared" si="249"/>
        <v>Fair</v>
      </c>
    </row>
    <row r="3152" spans="1:24" x14ac:dyDescent="0.3">
      <c r="A3152" t="s">
        <v>3220</v>
      </c>
      <c r="B3152" t="s">
        <v>20</v>
      </c>
      <c r="C3152">
        <v>48</v>
      </c>
      <c r="D3152" t="s">
        <v>31</v>
      </c>
      <c r="E3152" t="s">
        <v>48</v>
      </c>
      <c r="F3152" t="s">
        <v>75</v>
      </c>
      <c r="G3152" t="s">
        <v>42</v>
      </c>
      <c r="H3152" t="s">
        <v>25</v>
      </c>
      <c r="I3152" t="s">
        <v>26</v>
      </c>
      <c r="J3152" t="s">
        <v>27</v>
      </c>
      <c r="K3152">
        <v>14</v>
      </c>
      <c r="L3152">
        <v>123509</v>
      </c>
      <c r="M3152" t="s">
        <v>45</v>
      </c>
      <c r="N3152">
        <v>4</v>
      </c>
      <c r="O3152">
        <v>1</v>
      </c>
      <c r="P3152">
        <v>41</v>
      </c>
      <c r="Q3152">
        <v>3</v>
      </c>
      <c r="R3152" s="1">
        <v>40047</v>
      </c>
      <c r="S3152" t="s">
        <v>29</v>
      </c>
      <c r="T3152" t="str">
        <f t="shared" si="245"/>
        <v>Grade A</v>
      </c>
      <c r="U3152">
        <f t="shared" si="246"/>
        <v>2</v>
      </c>
      <c r="V3152" t="str">
        <f t="shared" si="247"/>
        <v>Senior</v>
      </c>
      <c r="W3152" t="str">
        <f t="shared" si="248"/>
        <v>Medium Risk</v>
      </c>
      <c r="X3152" t="str">
        <f t="shared" si="249"/>
        <v>Fair</v>
      </c>
    </row>
    <row r="3153" spans="1:24" x14ac:dyDescent="0.3">
      <c r="A3153" t="s">
        <v>3221</v>
      </c>
      <c r="B3153" t="s">
        <v>39</v>
      </c>
      <c r="C3153">
        <v>55</v>
      </c>
      <c r="D3153" t="s">
        <v>57</v>
      </c>
      <c r="E3153" t="s">
        <v>22</v>
      </c>
      <c r="F3153" t="s">
        <v>65</v>
      </c>
      <c r="G3153" t="s">
        <v>33</v>
      </c>
      <c r="H3153" t="s">
        <v>67</v>
      </c>
      <c r="I3153" t="s">
        <v>26</v>
      </c>
      <c r="J3153" t="s">
        <v>27</v>
      </c>
      <c r="K3153">
        <v>3</v>
      </c>
      <c r="L3153">
        <v>72449</v>
      </c>
      <c r="M3153" t="s">
        <v>45</v>
      </c>
      <c r="N3153">
        <v>2</v>
      </c>
      <c r="O3153">
        <v>2</v>
      </c>
      <c r="P3153">
        <v>69</v>
      </c>
      <c r="Q3153">
        <v>3</v>
      </c>
      <c r="R3153" s="1">
        <v>44089</v>
      </c>
      <c r="S3153" t="s">
        <v>29</v>
      </c>
      <c r="T3153" t="str">
        <f t="shared" si="245"/>
        <v>Grade B</v>
      </c>
      <c r="U3153">
        <f t="shared" si="246"/>
        <v>2</v>
      </c>
      <c r="V3153" t="str">
        <f t="shared" si="247"/>
        <v>Junior</v>
      </c>
      <c r="W3153" t="str">
        <f t="shared" si="248"/>
        <v>Medium Risk</v>
      </c>
      <c r="X3153" t="str">
        <f t="shared" si="249"/>
        <v>Fair</v>
      </c>
    </row>
    <row r="3154" spans="1:24" x14ac:dyDescent="0.3">
      <c r="A3154" t="s">
        <v>3222</v>
      </c>
      <c r="B3154" t="s">
        <v>20</v>
      </c>
      <c r="C3154">
        <v>41</v>
      </c>
      <c r="D3154" t="s">
        <v>31</v>
      </c>
      <c r="E3154" t="s">
        <v>40</v>
      </c>
      <c r="F3154" t="s">
        <v>65</v>
      </c>
      <c r="G3154" t="s">
        <v>33</v>
      </c>
      <c r="H3154" t="s">
        <v>25</v>
      </c>
      <c r="I3154" t="s">
        <v>43</v>
      </c>
      <c r="J3154" t="s">
        <v>44</v>
      </c>
      <c r="K3154">
        <v>3</v>
      </c>
      <c r="L3154">
        <v>65998</v>
      </c>
      <c r="M3154" t="s">
        <v>45</v>
      </c>
      <c r="N3154">
        <v>3</v>
      </c>
      <c r="O3154">
        <v>1</v>
      </c>
      <c r="P3154">
        <v>34</v>
      </c>
      <c r="Q3154">
        <v>0</v>
      </c>
      <c r="R3154" s="1">
        <v>44049</v>
      </c>
      <c r="S3154" t="s">
        <v>29</v>
      </c>
      <c r="T3154" t="str">
        <f t="shared" si="245"/>
        <v>Grade B</v>
      </c>
      <c r="U3154">
        <f t="shared" si="246"/>
        <v>2</v>
      </c>
      <c r="V3154" t="str">
        <f t="shared" si="247"/>
        <v>Junior</v>
      </c>
      <c r="W3154" t="str">
        <f t="shared" si="248"/>
        <v>Medium Risk</v>
      </c>
      <c r="X3154" t="str">
        <f t="shared" si="249"/>
        <v>Fair</v>
      </c>
    </row>
    <row r="3155" spans="1:24" x14ac:dyDescent="0.3">
      <c r="A3155" t="s">
        <v>3223</v>
      </c>
      <c r="B3155" t="s">
        <v>20</v>
      </c>
      <c r="C3155">
        <v>44</v>
      </c>
      <c r="D3155" t="s">
        <v>47</v>
      </c>
      <c r="E3155" t="s">
        <v>40</v>
      </c>
      <c r="F3155" t="s">
        <v>53</v>
      </c>
      <c r="G3155" t="s">
        <v>63</v>
      </c>
      <c r="H3155" t="s">
        <v>83</v>
      </c>
      <c r="I3155" t="s">
        <v>50</v>
      </c>
      <c r="J3155" t="s">
        <v>44</v>
      </c>
      <c r="K3155">
        <v>4</v>
      </c>
      <c r="L3155">
        <v>56622</v>
      </c>
      <c r="M3155" t="s">
        <v>45</v>
      </c>
      <c r="N3155">
        <v>2</v>
      </c>
      <c r="O3155">
        <v>2</v>
      </c>
      <c r="P3155">
        <v>27</v>
      </c>
      <c r="Q3155">
        <v>1</v>
      </c>
      <c r="R3155" s="1">
        <v>43544</v>
      </c>
      <c r="S3155" t="s">
        <v>29</v>
      </c>
      <c r="T3155" t="str">
        <f t="shared" si="245"/>
        <v>Grade B</v>
      </c>
      <c r="U3155">
        <f t="shared" si="246"/>
        <v>2</v>
      </c>
      <c r="V3155" t="str">
        <f t="shared" si="247"/>
        <v>Junior</v>
      </c>
      <c r="W3155" t="str">
        <f t="shared" si="248"/>
        <v>Medium Risk</v>
      </c>
      <c r="X3155" t="str">
        <f t="shared" si="249"/>
        <v>Fair</v>
      </c>
    </row>
    <row r="3156" spans="1:24" x14ac:dyDescent="0.3">
      <c r="A3156" t="s">
        <v>3224</v>
      </c>
      <c r="B3156" t="s">
        <v>39</v>
      </c>
      <c r="C3156">
        <v>55</v>
      </c>
      <c r="D3156" t="s">
        <v>88</v>
      </c>
      <c r="E3156" t="s">
        <v>40</v>
      </c>
      <c r="F3156" t="s">
        <v>65</v>
      </c>
      <c r="G3156" t="s">
        <v>63</v>
      </c>
      <c r="H3156" t="s">
        <v>67</v>
      </c>
      <c r="I3156" t="s">
        <v>80</v>
      </c>
      <c r="J3156" t="s">
        <v>60</v>
      </c>
      <c r="K3156">
        <v>6</v>
      </c>
      <c r="L3156">
        <v>60671</v>
      </c>
      <c r="M3156" t="s">
        <v>28</v>
      </c>
      <c r="N3156">
        <v>4</v>
      </c>
      <c r="O3156">
        <v>3</v>
      </c>
      <c r="P3156">
        <v>71</v>
      </c>
      <c r="Q3156">
        <v>2</v>
      </c>
      <c r="R3156" s="1">
        <v>43020</v>
      </c>
      <c r="S3156" t="s">
        <v>29</v>
      </c>
      <c r="T3156" t="str">
        <f t="shared" si="245"/>
        <v>Grade B</v>
      </c>
      <c r="U3156">
        <f t="shared" si="246"/>
        <v>3</v>
      </c>
      <c r="V3156" t="str">
        <f t="shared" si="247"/>
        <v>Mid Level</v>
      </c>
      <c r="W3156" t="str">
        <f t="shared" si="248"/>
        <v>Medium Risk</v>
      </c>
      <c r="X3156" t="str">
        <f t="shared" si="249"/>
        <v>Competitive</v>
      </c>
    </row>
    <row r="3157" spans="1:24" x14ac:dyDescent="0.3">
      <c r="A3157" t="s">
        <v>3225</v>
      </c>
      <c r="B3157" t="s">
        <v>20</v>
      </c>
      <c r="C3157">
        <v>47</v>
      </c>
      <c r="D3157" t="s">
        <v>21</v>
      </c>
      <c r="E3157" t="s">
        <v>40</v>
      </c>
      <c r="F3157" t="s">
        <v>53</v>
      </c>
      <c r="G3157" t="s">
        <v>58</v>
      </c>
      <c r="H3157" t="s">
        <v>83</v>
      </c>
      <c r="I3157" t="s">
        <v>80</v>
      </c>
      <c r="J3157" t="s">
        <v>60</v>
      </c>
      <c r="K3157">
        <v>14</v>
      </c>
      <c r="L3157">
        <v>106704</v>
      </c>
      <c r="M3157" t="s">
        <v>28</v>
      </c>
      <c r="N3157">
        <v>1</v>
      </c>
      <c r="O3157">
        <v>3</v>
      </c>
      <c r="P3157">
        <v>68</v>
      </c>
      <c r="Q3157">
        <v>3</v>
      </c>
      <c r="R3157" s="1">
        <v>40063</v>
      </c>
      <c r="S3157" t="s">
        <v>29</v>
      </c>
      <c r="T3157" t="str">
        <f t="shared" si="245"/>
        <v>Grade A</v>
      </c>
      <c r="U3157">
        <f t="shared" si="246"/>
        <v>3</v>
      </c>
      <c r="V3157" t="str">
        <f t="shared" si="247"/>
        <v>Senior</v>
      </c>
      <c r="W3157" t="str">
        <f t="shared" si="248"/>
        <v>Medium Risk</v>
      </c>
      <c r="X3157" t="str">
        <f t="shared" si="249"/>
        <v>Competitive</v>
      </c>
    </row>
    <row r="3158" spans="1:24" x14ac:dyDescent="0.3">
      <c r="A3158" t="s">
        <v>3226</v>
      </c>
      <c r="B3158" t="s">
        <v>20</v>
      </c>
      <c r="C3158">
        <v>31</v>
      </c>
      <c r="D3158" t="s">
        <v>47</v>
      </c>
      <c r="E3158" t="s">
        <v>22</v>
      </c>
      <c r="F3158" t="s">
        <v>41</v>
      </c>
      <c r="G3158" t="s">
        <v>79</v>
      </c>
      <c r="H3158" t="s">
        <v>25</v>
      </c>
      <c r="I3158" t="s">
        <v>50</v>
      </c>
      <c r="J3158" t="s">
        <v>44</v>
      </c>
      <c r="K3158">
        <v>2</v>
      </c>
      <c r="L3158">
        <v>45669</v>
      </c>
      <c r="M3158" t="s">
        <v>51</v>
      </c>
      <c r="N3158">
        <v>3</v>
      </c>
      <c r="O3158">
        <v>2</v>
      </c>
      <c r="P3158">
        <v>44</v>
      </c>
      <c r="Q3158">
        <v>1</v>
      </c>
      <c r="R3158" s="1">
        <v>44507</v>
      </c>
      <c r="S3158" t="s">
        <v>29</v>
      </c>
      <c r="T3158" t="str">
        <f t="shared" si="245"/>
        <v>Grade C</v>
      </c>
      <c r="U3158">
        <f t="shared" si="246"/>
        <v>4</v>
      </c>
      <c r="V3158" t="str">
        <f t="shared" si="247"/>
        <v>New Joiner</v>
      </c>
      <c r="W3158" t="str">
        <f t="shared" si="248"/>
        <v>Low Risk</v>
      </c>
      <c r="X3158" t="str">
        <f t="shared" si="249"/>
        <v>Fair</v>
      </c>
    </row>
    <row r="3159" spans="1:24" x14ac:dyDescent="0.3">
      <c r="A3159" t="s">
        <v>3227</v>
      </c>
      <c r="B3159" t="s">
        <v>39</v>
      </c>
      <c r="C3159">
        <v>46</v>
      </c>
      <c r="D3159" t="s">
        <v>47</v>
      </c>
      <c r="E3159" t="s">
        <v>40</v>
      </c>
      <c r="F3159" t="s">
        <v>41</v>
      </c>
      <c r="G3159" t="s">
        <v>33</v>
      </c>
      <c r="H3159" t="s">
        <v>83</v>
      </c>
      <c r="I3159" t="s">
        <v>35</v>
      </c>
      <c r="J3159" t="s">
        <v>27</v>
      </c>
      <c r="K3159">
        <v>9</v>
      </c>
      <c r="L3159">
        <v>81271</v>
      </c>
      <c r="M3159" t="s">
        <v>45</v>
      </c>
      <c r="N3159">
        <v>4</v>
      </c>
      <c r="O3159">
        <v>3</v>
      </c>
      <c r="P3159">
        <v>12</v>
      </c>
      <c r="Q3159">
        <v>2</v>
      </c>
      <c r="R3159" s="1">
        <v>41988</v>
      </c>
      <c r="S3159" t="s">
        <v>29</v>
      </c>
      <c r="T3159" t="str">
        <f t="shared" si="245"/>
        <v>Grade A</v>
      </c>
      <c r="U3159">
        <f t="shared" si="246"/>
        <v>2</v>
      </c>
      <c r="V3159" t="str">
        <f t="shared" si="247"/>
        <v>Mid Level</v>
      </c>
      <c r="W3159" t="str">
        <f t="shared" si="248"/>
        <v>Medium Risk</v>
      </c>
      <c r="X3159" t="str">
        <f t="shared" si="249"/>
        <v>Fair</v>
      </c>
    </row>
    <row r="3160" spans="1:24" x14ac:dyDescent="0.3">
      <c r="A3160" t="s">
        <v>3228</v>
      </c>
      <c r="B3160" t="s">
        <v>39</v>
      </c>
      <c r="C3160">
        <v>23</v>
      </c>
      <c r="D3160" t="s">
        <v>88</v>
      </c>
      <c r="E3160" t="s">
        <v>48</v>
      </c>
      <c r="F3160" t="s">
        <v>53</v>
      </c>
      <c r="G3160" t="s">
        <v>58</v>
      </c>
      <c r="H3160" t="s">
        <v>83</v>
      </c>
      <c r="I3160" t="s">
        <v>96</v>
      </c>
      <c r="J3160" t="s">
        <v>44</v>
      </c>
      <c r="K3160">
        <v>2</v>
      </c>
      <c r="L3160">
        <v>98778</v>
      </c>
      <c r="M3160" t="s">
        <v>45</v>
      </c>
      <c r="N3160">
        <v>3</v>
      </c>
      <c r="O3160">
        <v>2</v>
      </c>
      <c r="P3160">
        <v>11</v>
      </c>
      <c r="Q3160">
        <v>0</v>
      </c>
      <c r="R3160" s="1">
        <v>44515</v>
      </c>
      <c r="S3160" t="s">
        <v>29</v>
      </c>
      <c r="T3160" t="str">
        <f t="shared" si="245"/>
        <v>Grade A</v>
      </c>
      <c r="U3160">
        <f t="shared" si="246"/>
        <v>2</v>
      </c>
      <c r="V3160" t="str">
        <f t="shared" si="247"/>
        <v>New Joiner</v>
      </c>
      <c r="W3160" t="str">
        <f t="shared" si="248"/>
        <v>Medium Risk</v>
      </c>
      <c r="X3160" t="str">
        <f t="shared" si="249"/>
        <v>Fair</v>
      </c>
    </row>
    <row r="3161" spans="1:24" x14ac:dyDescent="0.3">
      <c r="A3161" t="s">
        <v>3229</v>
      </c>
      <c r="B3161" t="s">
        <v>20</v>
      </c>
      <c r="C3161">
        <v>31</v>
      </c>
      <c r="D3161" t="s">
        <v>57</v>
      </c>
      <c r="E3161" t="s">
        <v>40</v>
      </c>
      <c r="F3161" t="s">
        <v>78</v>
      </c>
      <c r="G3161" t="s">
        <v>58</v>
      </c>
      <c r="H3161" t="s">
        <v>76</v>
      </c>
      <c r="I3161" t="s">
        <v>68</v>
      </c>
      <c r="J3161" t="s">
        <v>60</v>
      </c>
      <c r="K3161">
        <v>3</v>
      </c>
      <c r="L3161">
        <v>93290</v>
      </c>
      <c r="M3161" t="s">
        <v>28</v>
      </c>
      <c r="N3161">
        <v>4</v>
      </c>
      <c r="O3161">
        <v>2</v>
      </c>
      <c r="P3161">
        <v>80</v>
      </c>
      <c r="Q3161">
        <v>0</v>
      </c>
      <c r="R3161" s="1">
        <v>43994</v>
      </c>
      <c r="S3161" t="s">
        <v>29</v>
      </c>
      <c r="T3161" t="str">
        <f t="shared" si="245"/>
        <v>Grade A</v>
      </c>
      <c r="U3161">
        <f t="shared" si="246"/>
        <v>3</v>
      </c>
      <c r="V3161" t="str">
        <f t="shared" si="247"/>
        <v>Junior</v>
      </c>
      <c r="W3161" t="str">
        <f t="shared" si="248"/>
        <v>Medium Risk</v>
      </c>
      <c r="X3161" t="str">
        <f t="shared" si="249"/>
        <v>Competitive</v>
      </c>
    </row>
    <row r="3162" spans="1:24" x14ac:dyDescent="0.3">
      <c r="A3162" t="s">
        <v>3230</v>
      </c>
      <c r="B3162" t="s">
        <v>39</v>
      </c>
      <c r="C3162">
        <v>28</v>
      </c>
      <c r="D3162" t="s">
        <v>21</v>
      </c>
      <c r="E3162" t="s">
        <v>48</v>
      </c>
      <c r="F3162" t="s">
        <v>53</v>
      </c>
      <c r="G3162" t="s">
        <v>24</v>
      </c>
      <c r="H3162" t="s">
        <v>76</v>
      </c>
      <c r="I3162" t="s">
        <v>35</v>
      </c>
      <c r="J3162" t="s">
        <v>27</v>
      </c>
      <c r="K3162">
        <v>15</v>
      </c>
      <c r="L3162">
        <v>107896</v>
      </c>
      <c r="M3162" t="s">
        <v>28</v>
      </c>
      <c r="N3162">
        <v>2</v>
      </c>
      <c r="O3162">
        <v>1</v>
      </c>
      <c r="P3162">
        <v>17</v>
      </c>
      <c r="Q3162">
        <v>3</v>
      </c>
      <c r="R3162" s="1">
        <v>39604</v>
      </c>
      <c r="S3162" t="s">
        <v>29</v>
      </c>
      <c r="T3162" t="str">
        <f t="shared" si="245"/>
        <v>Grade A</v>
      </c>
      <c r="U3162">
        <f t="shared" si="246"/>
        <v>3</v>
      </c>
      <c r="V3162" t="str">
        <f t="shared" si="247"/>
        <v>Senior</v>
      </c>
      <c r="W3162" t="str">
        <f t="shared" si="248"/>
        <v>Medium Risk</v>
      </c>
      <c r="X3162" t="str">
        <f t="shared" si="249"/>
        <v>Competitive</v>
      </c>
    </row>
    <row r="3163" spans="1:24" x14ac:dyDescent="0.3">
      <c r="A3163" t="s">
        <v>3231</v>
      </c>
      <c r="B3163" t="s">
        <v>20</v>
      </c>
      <c r="C3163">
        <v>30</v>
      </c>
      <c r="D3163" t="s">
        <v>88</v>
      </c>
      <c r="E3163" t="s">
        <v>22</v>
      </c>
      <c r="F3163" t="s">
        <v>32</v>
      </c>
      <c r="G3163" t="s">
        <v>42</v>
      </c>
      <c r="H3163" t="s">
        <v>34</v>
      </c>
      <c r="I3163" t="s">
        <v>72</v>
      </c>
      <c r="J3163" t="s">
        <v>73</v>
      </c>
      <c r="K3163">
        <v>2</v>
      </c>
      <c r="L3163">
        <v>92564</v>
      </c>
      <c r="M3163" t="s">
        <v>36</v>
      </c>
      <c r="N3163">
        <v>1</v>
      </c>
      <c r="O3163">
        <v>4</v>
      </c>
      <c r="P3163">
        <v>42</v>
      </c>
      <c r="Q3163">
        <v>3</v>
      </c>
      <c r="R3163" s="1">
        <v>44341</v>
      </c>
      <c r="S3163" t="s">
        <v>37</v>
      </c>
      <c r="T3163" t="str">
        <f t="shared" si="245"/>
        <v>Grade A</v>
      </c>
      <c r="U3163">
        <f t="shared" si="246"/>
        <v>1</v>
      </c>
      <c r="V3163" t="str">
        <f t="shared" si="247"/>
        <v>New Joiner</v>
      </c>
      <c r="W3163" t="str">
        <f t="shared" si="248"/>
        <v>Already Left</v>
      </c>
      <c r="X3163" t="str">
        <f t="shared" si="249"/>
        <v>Overpaid</v>
      </c>
    </row>
    <row r="3164" spans="1:24" x14ac:dyDescent="0.3">
      <c r="A3164" t="s">
        <v>3232</v>
      </c>
      <c r="B3164" t="s">
        <v>39</v>
      </c>
      <c r="C3164">
        <v>42</v>
      </c>
      <c r="D3164" t="s">
        <v>31</v>
      </c>
      <c r="E3164" t="s">
        <v>22</v>
      </c>
      <c r="F3164" t="s">
        <v>62</v>
      </c>
      <c r="G3164" t="s">
        <v>79</v>
      </c>
      <c r="H3164" t="s">
        <v>67</v>
      </c>
      <c r="I3164" t="s">
        <v>26</v>
      </c>
      <c r="J3164" t="s">
        <v>27</v>
      </c>
      <c r="K3164">
        <v>14</v>
      </c>
      <c r="L3164">
        <v>71534</v>
      </c>
      <c r="M3164" t="s">
        <v>28</v>
      </c>
      <c r="N3164">
        <v>3</v>
      </c>
      <c r="O3164">
        <v>3</v>
      </c>
      <c r="P3164">
        <v>70</v>
      </c>
      <c r="Q3164">
        <v>2</v>
      </c>
      <c r="R3164" s="1">
        <v>40029</v>
      </c>
      <c r="S3164" t="s">
        <v>29</v>
      </c>
      <c r="T3164" t="str">
        <f t="shared" si="245"/>
        <v>Grade B</v>
      </c>
      <c r="U3164">
        <f t="shared" si="246"/>
        <v>3</v>
      </c>
      <c r="V3164" t="str">
        <f t="shared" si="247"/>
        <v>Senior</v>
      </c>
      <c r="W3164" t="str">
        <f t="shared" si="248"/>
        <v>Medium Risk</v>
      </c>
      <c r="X3164" t="str">
        <f t="shared" si="249"/>
        <v>Competitive</v>
      </c>
    </row>
    <row r="3165" spans="1:24" x14ac:dyDescent="0.3">
      <c r="A3165" t="s">
        <v>3233</v>
      </c>
      <c r="B3165" t="s">
        <v>20</v>
      </c>
      <c r="C3165">
        <v>33</v>
      </c>
      <c r="D3165" t="s">
        <v>47</v>
      </c>
      <c r="E3165" t="s">
        <v>48</v>
      </c>
      <c r="F3165" t="s">
        <v>62</v>
      </c>
      <c r="G3165" t="s">
        <v>33</v>
      </c>
      <c r="H3165" t="s">
        <v>76</v>
      </c>
      <c r="I3165" t="s">
        <v>59</v>
      </c>
      <c r="J3165" t="s">
        <v>60</v>
      </c>
      <c r="K3165">
        <v>3</v>
      </c>
      <c r="L3165">
        <v>61306</v>
      </c>
      <c r="M3165" t="s">
        <v>45</v>
      </c>
      <c r="N3165">
        <v>3</v>
      </c>
      <c r="O3165">
        <v>3</v>
      </c>
      <c r="P3165">
        <v>47</v>
      </c>
      <c r="Q3165">
        <v>0</v>
      </c>
      <c r="R3165" s="1">
        <v>44027</v>
      </c>
      <c r="S3165" t="s">
        <v>29</v>
      </c>
      <c r="T3165" t="str">
        <f t="shared" si="245"/>
        <v>Grade B</v>
      </c>
      <c r="U3165">
        <f t="shared" si="246"/>
        <v>2</v>
      </c>
      <c r="V3165" t="str">
        <f t="shared" si="247"/>
        <v>Junior</v>
      </c>
      <c r="W3165" t="str">
        <f t="shared" si="248"/>
        <v>Medium Risk</v>
      </c>
      <c r="X3165" t="str">
        <f t="shared" si="249"/>
        <v>Fair</v>
      </c>
    </row>
    <row r="3166" spans="1:24" x14ac:dyDescent="0.3">
      <c r="A3166" t="s">
        <v>3234</v>
      </c>
      <c r="B3166" t="s">
        <v>20</v>
      </c>
      <c r="C3166">
        <v>29</v>
      </c>
      <c r="D3166" t="s">
        <v>21</v>
      </c>
      <c r="E3166" t="s">
        <v>48</v>
      </c>
      <c r="F3166" t="s">
        <v>53</v>
      </c>
      <c r="G3166" t="s">
        <v>79</v>
      </c>
      <c r="H3166" t="s">
        <v>83</v>
      </c>
      <c r="I3166" t="s">
        <v>80</v>
      </c>
      <c r="J3166" t="s">
        <v>60</v>
      </c>
      <c r="K3166">
        <v>1</v>
      </c>
      <c r="L3166">
        <v>41837</v>
      </c>
      <c r="M3166" t="s">
        <v>51</v>
      </c>
      <c r="N3166">
        <v>4</v>
      </c>
      <c r="O3166">
        <v>3</v>
      </c>
      <c r="P3166">
        <v>45</v>
      </c>
      <c r="Q3166">
        <v>2</v>
      </c>
      <c r="R3166" s="1">
        <v>44615</v>
      </c>
      <c r="S3166" t="s">
        <v>29</v>
      </c>
      <c r="T3166" t="str">
        <f t="shared" si="245"/>
        <v>Grade C</v>
      </c>
      <c r="U3166">
        <f t="shared" si="246"/>
        <v>4</v>
      </c>
      <c r="V3166" t="str">
        <f t="shared" si="247"/>
        <v>New Joiner</v>
      </c>
      <c r="W3166" t="str">
        <f t="shared" si="248"/>
        <v>Low Risk</v>
      </c>
      <c r="X3166" t="str">
        <f t="shared" si="249"/>
        <v>Fair</v>
      </c>
    </row>
    <row r="3167" spans="1:24" x14ac:dyDescent="0.3">
      <c r="A3167" t="s">
        <v>3235</v>
      </c>
      <c r="B3167" t="s">
        <v>39</v>
      </c>
      <c r="C3167">
        <v>35</v>
      </c>
      <c r="D3167" t="s">
        <v>47</v>
      </c>
      <c r="E3167" t="s">
        <v>40</v>
      </c>
      <c r="F3167" t="s">
        <v>23</v>
      </c>
      <c r="G3167" t="s">
        <v>63</v>
      </c>
      <c r="H3167" t="s">
        <v>25</v>
      </c>
      <c r="I3167" t="s">
        <v>59</v>
      </c>
      <c r="J3167" t="s">
        <v>60</v>
      </c>
      <c r="K3167">
        <v>12</v>
      </c>
      <c r="L3167">
        <v>71593</v>
      </c>
      <c r="M3167" t="s">
        <v>36</v>
      </c>
      <c r="N3167">
        <v>3</v>
      </c>
      <c r="O3167">
        <v>2</v>
      </c>
      <c r="P3167">
        <v>11</v>
      </c>
      <c r="Q3167">
        <v>0</v>
      </c>
      <c r="R3167" s="1">
        <v>40692</v>
      </c>
      <c r="S3167" t="s">
        <v>29</v>
      </c>
      <c r="T3167" t="str">
        <f t="shared" si="245"/>
        <v>Grade B</v>
      </c>
      <c r="U3167">
        <f t="shared" si="246"/>
        <v>1</v>
      </c>
      <c r="V3167" t="str">
        <f t="shared" si="247"/>
        <v>Senior</v>
      </c>
      <c r="W3167" t="str">
        <f t="shared" si="248"/>
        <v>Medium Risk</v>
      </c>
      <c r="X3167" t="str">
        <f t="shared" si="249"/>
        <v>Fair</v>
      </c>
    </row>
    <row r="3168" spans="1:24" x14ac:dyDescent="0.3">
      <c r="A3168" t="s">
        <v>3236</v>
      </c>
      <c r="B3168" t="s">
        <v>39</v>
      </c>
      <c r="C3168">
        <v>51</v>
      </c>
      <c r="D3168" t="s">
        <v>57</v>
      </c>
      <c r="E3168" t="s">
        <v>40</v>
      </c>
      <c r="F3168" t="s">
        <v>65</v>
      </c>
      <c r="G3168" t="s">
        <v>66</v>
      </c>
      <c r="H3168" t="s">
        <v>25</v>
      </c>
      <c r="I3168" t="s">
        <v>68</v>
      </c>
      <c r="J3168" t="s">
        <v>60</v>
      </c>
      <c r="K3168">
        <v>10</v>
      </c>
      <c r="L3168">
        <v>51006</v>
      </c>
      <c r="M3168" t="s">
        <v>28</v>
      </c>
      <c r="N3168">
        <v>2</v>
      </c>
      <c r="O3168">
        <v>1</v>
      </c>
      <c r="P3168">
        <v>32</v>
      </c>
      <c r="Q3168">
        <v>2</v>
      </c>
      <c r="R3168" s="1">
        <v>41438</v>
      </c>
      <c r="S3168" t="s">
        <v>29</v>
      </c>
      <c r="T3168" t="str">
        <f t="shared" si="245"/>
        <v>Grade B</v>
      </c>
      <c r="U3168">
        <f t="shared" si="246"/>
        <v>3</v>
      </c>
      <c r="V3168" t="str">
        <f t="shared" si="247"/>
        <v>Mid Level</v>
      </c>
      <c r="W3168" t="str">
        <f t="shared" si="248"/>
        <v>Medium Risk</v>
      </c>
      <c r="X3168" t="str">
        <f t="shared" si="249"/>
        <v>Competitive</v>
      </c>
    </row>
    <row r="3169" spans="1:24" x14ac:dyDescent="0.3">
      <c r="A3169" t="s">
        <v>3237</v>
      </c>
      <c r="B3169" t="s">
        <v>39</v>
      </c>
      <c r="C3169">
        <v>50</v>
      </c>
      <c r="D3169" t="s">
        <v>31</v>
      </c>
      <c r="E3169" t="s">
        <v>22</v>
      </c>
      <c r="F3169" t="s">
        <v>62</v>
      </c>
      <c r="G3169" t="s">
        <v>58</v>
      </c>
      <c r="H3169" t="s">
        <v>25</v>
      </c>
      <c r="I3169" t="s">
        <v>68</v>
      </c>
      <c r="J3169" t="s">
        <v>60</v>
      </c>
      <c r="K3169">
        <v>13</v>
      </c>
      <c r="L3169">
        <v>105030</v>
      </c>
      <c r="M3169" t="s">
        <v>36</v>
      </c>
      <c r="N3169">
        <v>4</v>
      </c>
      <c r="O3169">
        <v>2</v>
      </c>
      <c r="P3169">
        <v>36</v>
      </c>
      <c r="Q3169">
        <v>2</v>
      </c>
      <c r="R3169" s="1">
        <v>40488</v>
      </c>
      <c r="S3169" t="s">
        <v>37</v>
      </c>
      <c r="T3169" t="str">
        <f t="shared" si="245"/>
        <v>Grade A</v>
      </c>
      <c r="U3169">
        <f t="shared" si="246"/>
        <v>1</v>
      </c>
      <c r="V3169" t="str">
        <f t="shared" si="247"/>
        <v>Senior</v>
      </c>
      <c r="W3169" t="str">
        <f t="shared" si="248"/>
        <v>Already Left</v>
      </c>
      <c r="X3169" t="str">
        <f t="shared" si="249"/>
        <v>Overpaid</v>
      </c>
    </row>
    <row r="3170" spans="1:24" x14ac:dyDescent="0.3">
      <c r="A3170" t="s">
        <v>3238</v>
      </c>
      <c r="B3170" t="s">
        <v>20</v>
      </c>
      <c r="C3170">
        <v>27</v>
      </c>
      <c r="D3170" t="s">
        <v>31</v>
      </c>
      <c r="E3170" t="s">
        <v>48</v>
      </c>
      <c r="F3170" t="s">
        <v>32</v>
      </c>
      <c r="G3170" t="s">
        <v>42</v>
      </c>
      <c r="H3170" t="s">
        <v>76</v>
      </c>
      <c r="I3170" t="s">
        <v>35</v>
      </c>
      <c r="J3170" t="s">
        <v>27</v>
      </c>
      <c r="K3170">
        <v>15</v>
      </c>
      <c r="L3170">
        <v>133452</v>
      </c>
      <c r="M3170" t="s">
        <v>28</v>
      </c>
      <c r="N3170">
        <v>3</v>
      </c>
      <c r="O3170">
        <v>3</v>
      </c>
      <c r="P3170">
        <v>38</v>
      </c>
      <c r="Q3170">
        <v>3</v>
      </c>
      <c r="R3170" s="1">
        <v>39754</v>
      </c>
      <c r="S3170" t="s">
        <v>29</v>
      </c>
      <c r="T3170" t="str">
        <f t="shared" si="245"/>
        <v>Grade A</v>
      </c>
      <c r="U3170">
        <f t="shared" si="246"/>
        <v>3</v>
      </c>
      <c r="V3170" t="str">
        <f t="shared" si="247"/>
        <v>Senior</v>
      </c>
      <c r="W3170" t="str">
        <f t="shared" si="248"/>
        <v>Medium Risk</v>
      </c>
      <c r="X3170" t="str">
        <f t="shared" si="249"/>
        <v>Competitive</v>
      </c>
    </row>
    <row r="3171" spans="1:24" x14ac:dyDescent="0.3">
      <c r="A3171" t="s">
        <v>3239</v>
      </c>
      <c r="B3171" t="s">
        <v>39</v>
      </c>
      <c r="C3171">
        <v>44</v>
      </c>
      <c r="D3171" t="s">
        <v>88</v>
      </c>
      <c r="E3171" t="s">
        <v>40</v>
      </c>
      <c r="F3171" t="s">
        <v>78</v>
      </c>
      <c r="G3171" t="s">
        <v>79</v>
      </c>
      <c r="H3171" t="s">
        <v>83</v>
      </c>
      <c r="I3171" t="s">
        <v>35</v>
      </c>
      <c r="J3171" t="s">
        <v>27</v>
      </c>
      <c r="K3171">
        <v>15</v>
      </c>
      <c r="L3171">
        <v>67568</v>
      </c>
      <c r="M3171" t="s">
        <v>36</v>
      </c>
      <c r="N3171">
        <v>1</v>
      </c>
      <c r="O3171">
        <v>1</v>
      </c>
      <c r="P3171">
        <v>54</v>
      </c>
      <c r="Q3171">
        <v>2</v>
      </c>
      <c r="R3171" s="1">
        <v>39506</v>
      </c>
      <c r="S3171" t="s">
        <v>29</v>
      </c>
      <c r="T3171" t="str">
        <f t="shared" si="245"/>
        <v>Grade B</v>
      </c>
      <c r="U3171">
        <f t="shared" si="246"/>
        <v>1</v>
      </c>
      <c r="V3171" t="str">
        <f t="shared" si="247"/>
        <v>Senior</v>
      </c>
      <c r="W3171" t="str">
        <f t="shared" si="248"/>
        <v>Medium Risk</v>
      </c>
      <c r="X3171" t="str">
        <f t="shared" si="249"/>
        <v>Fair</v>
      </c>
    </row>
    <row r="3172" spans="1:24" x14ac:dyDescent="0.3">
      <c r="A3172" t="s">
        <v>3240</v>
      </c>
      <c r="B3172" t="s">
        <v>39</v>
      </c>
      <c r="C3172">
        <v>34</v>
      </c>
      <c r="D3172" t="s">
        <v>21</v>
      </c>
      <c r="E3172" t="s">
        <v>48</v>
      </c>
      <c r="F3172" t="s">
        <v>53</v>
      </c>
      <c r="G3172" t="s">
        <v>33</v>
      </c>
      <c r="H3172" t="s">
        <v>25</v>
      </c>
      <c r="I3172" t="s">
        <v>35</v>
      </c>
      <c r="J3172" t="s">
        <v>27</v>
      </c>
      <c r="K3172">
        <v>3</v>
      </c>
      <c r="L3172">
        <v>62977</v>
      </c>
      <c r="M3172" t="s">
        <v>36</v>
      </c>
      <c r="N3172">
        <v>1</v>
      </c>
      <c r="O3172">
        <v>2</v>
      </c>
      <c r="P3172">
        <v>10</v>
      </c>
      <c r="Q3172">
        <v>1</v>
      </c>
      <c r="R3172" s="1">
        <v>44054</v>
      </c>
      <c r="S3172" t="s">
        <v>37</v>
      </c>
      <c r="T3172" t="str">
        <f t="shared" si="245"/>
        <v>Grade B</v>
      </c>
      <c r="U3172">
        <f t="shared" si="246"/>
        <v>1</v>
      </c>
      <c r="V3172" t="str">
        <f t="shared" si="247"/>
        <v>Junior</v>
      </c>
      <c r="W3172" t="str">
        <f t="shared" si="248"/>
        <v>Already Left</v>
      </c>
      <c r="X3172" t="str">
        <f t="shared" si="249"/>
        <v>Fair</v>
      </c>
    </row>
    <row r="3173" spans="1:24" x14ac:dyDescent="0.3">
      <c r="A3173" t="s">
        <v>3241</v>
      </c>
      <c r="B3173" t="s">
        <v>39</v>
      </c>
      <c r="C3173">
        <v>42</v>
      </c>
      <c r="D3173" t="s">
        <v>47</v>
      </c>
      <c r="E3173" t="s">
        <v>48</v>
      </c>
      <c r="F3173" t="s">
        <v>75</v>
      </c>
      <c r="G3173" t="s">
        <v>42</v>
      </c>
      <c r="H3173" t="s">
        <v>34</v>
      </c>
      <c r="I3173" t="s">
        <v>35</v>
      </c>
      <c r="J3173" t="s">
        <v>27</v>
      </c>
      <c r="K3173">
        <v>9</v>
      </c>
      <c r="L3173">
        <v>108019</v>
      </c>
      <c r="M3173" t="s">
        <v>36</v>
      </c>
      <c r="N3173">
        <v>4</v>
      </c>
      <c r="O3173">
        <v>2</v>
      </c>
      <c r="P3173">
        <v>16</v>
      </c>
      <c r="Q3173">
        <v>3</v>
      </c>
      <c r="R3173" s="1">
        <v>41838</v>
      </c>
      <c r="S3173" t="s">
        <v>37</v>
      </c>
      <c r="T3173" t="str">
        <f t="shared" si="245"/>
        <v>Grade A</v>
      </c>
      <c r="U3173">
        <f t="shared" si="246"/>
        <v>1</v>
      </c>
      <c r="V3173" t="str">
        <f t="shared" si="247"/>
        <v>Mid Level</v>
      </c>
      <c r="W3173" t="str">
        <f t="shared" si="248"/>
        <v>Already Left</v>
      </c>
      <c r="X3173" t="str">
        <f t="shared" si="249"/>
        <v>Overpaid</v>
      </c>
    </row>
    <row r="3174" spans="1:24" x14ac:dyDescent="0.3">
      <c r="A3174" t="s">
        <v>3242</v>
      </c>
      <c r="B3174" t="s">
        <v>20</v>
      </c>
      <c r="C3174">
        <v>39</v>
      </c>
      <c r="D3174" t="s">
        <v>31</v>
      </c>
      <c r="E3174" t="s">
        <v>22</v>
      </c>
      <c r="F3174" t="s">
        <v>23</v>
      </c>
      <c r="G3174" t="s">
        <v>79</v>
      </c>
      <c r="H3174" t="s">
        <v>76</v>
      </c>
      <c r="I3174" t="s">
        <v>72</v>
      </c>
      <c r="J3174" t="s">
        <v>73</v>
      </c>
      <c r="K3174">
        <v>10</v>
      </c>
      <c r="L3174">
        <v>54208</v>
      </c>
      <c r="M3174" t="s">
        <v>36</v>
      </c>
      <c r="N3174">
        <v>4</v>
      </c>
      <c r="O3174">
        <v>3</v>
      </c>
      <c r="P3174">
        <v>40</v>
      </c>
      <c r="Q3174">
        <v>1</v>
      </c>
      <c r="R3174" s="1">
        <v>41440</v>
      </c>
      <c r="S3174" t="s">
        <v>37</v>
      </c>
      <c r="T3174" t="str">
        <f t="shared" si="245"/>
        <v>Grade B</v>
      </c>
      <c r="U3174">
        <f t="shared" si="246"/>
        <v>1</v>
      </c>
      <c r="V3174" t="str">
        <f t="shared" si="247"/>
        <v>Mid Level</v>
      </c>
      <c r="W3174" t="str">
        <f t="shared" si="248"/>
        <v>Already Left</v>
      </c>
      <c r="X3174" t="str">
        <f t="shared" si="249"/>
        <v>Fair</v>
      </c>
    </row>
    <row r="3175" spans="1:24" x14ac:dyDescent="0.3">
      <c r="A3175" t="s">
        <v>3243</v>
      </c>
      <c r="B3175" t="s">
        <v>20</v>
      </c>
      <c r="C3175">
        <v>30</v>
      </c>
      <c r="D3175" t="s">
        <v>21</v>
      </c>
      <c r="E3175" t="s">
        <v>40</v>
      </c>
      <c r="F3175" t="s">
        <v>41</v>
      </c>
      <c r="G3175" t="s">
        <v>66</v>
      </c>
      <c r="H3175" t="s">
        <v>83</v>
      </c>
      <c r="I3175" t="s">
        <v>26</v>
      </c>
      <c r="J3175" t="s">
        <v>27</v>
      </c>
      <c r="K3175">
        <v>7</v>
      </c>
      <c r="L3175">
        <v>49229</v>
      </c>
      <c r="M3175" t="s">
        <v>45</v>
      </c>
      <c r="N3175">
        <v>1</v>
      </c>
      <c r="O3175">
        <v>4</v>
      </c>
      <c r="P3175">
        <v>11</v>
      </c>
      <c r="Q3175">
        <v>1</v>
      </c>
      <c r="R3175" s="1">
        <v>42650</v>
      </c>
      <c r="S3175" t="s">
        <v>37</v>
      </c>
      <c r="T3175" t="str">
        <f t="shared" si="245"/>
        <v>Grade C</v>
      </c>
      <c r="U3175">
        <f t="shared" si="246"/>
        <v>2</v>
      </c>
      <c r="V3175" t="str">
        <f t="shared" si="247"/>
        <v>Mid Level</v>
      </c>
      <c r="W3175" t="str">
        <f t="shared" si="248"/>
        <v>Already Left</v>
      </c>
      <c r="X3175" t="str">
        <f t="shared" si="249"/>
        <v>Fair</v>
      </c>
    </row>
    <row r="3176" spans="1:24" x14ac:dyDescent="0.3">
      <c r="A3176" t="s">
        <v>3244</v>
      </c>
      <c r="B3176" t="s">
        <v>39</v>
      </c>
      <c r="C3176">
        <v>31</v>
      </c>
      <c r="D3176" t="s">
        <v>88</v>
      </c>
      <c r="E3176" t="s">
        <v>40</v>
      </c>
      <c r="F3176" t="s">
        <v>32</v>
      </c>
      <c r="G3176" t="s">
        <v>66</v>
      </c>
      <c r="H3176" t="s">
        <v>67</v>
      </c>
      <c r="I3176" t="s">
        <v>43</v>
      </c>
      <c r="J3176" t="s">
        <v>44</v>
      </c>
      <c r="K3176">
        <v>11</v>
      </c>
      <c r="L3176">
        <v>51010</v>
      </c>
      <c r="M3176" t="s">
        <v>28</v>
      </c>
      <c r="N3176">
        <v>1</v>
      </c>
      <c r="O3176">
        <v>4</v>
      </c>
      <c r="P3176">
        <v>55</v>
      </c>
      <c r="Q3176">
        <v>3</v>
      </c>
      <c r="R3176" s="1">
        <v>41111</v>
      </c>
      <c r="S3176" t="s">
        <v>29</v>
      </c>
      <c r="T3176" t="str">
        <f t="shared" si="245"/>
        <v>Grade B</v>
      </c>
      <c r="U3176">
        <f t="shared" si="246"/>
        <v>3</v>
      </c>
      <c r="V3176" t="str">
        <f t="shared" si="247"/>
        <v>Senior</v>
      </c>
      <c r="W3176" t="str">
        <f t="shared" si="248"/>
        <v>Medium Risk</v>
      </c>
      <c r="X3176" t="str">
        <f t="shared" si="249"/>
        <v>Competitive</v>
      </c>
    </row>
    <row r="3177" spans="1:24" x14ac:dyDescent="0.3">
      <c r="A3177" t="s">
        <v>3245</v>
      </c>
      <c r="B3177" t="s">
        <v>20</v>
      </c>
      <c r="C3177">
        <v>54</v>
      </c>
      <c r="D3177" t="s">
        <v>31</v>
      </c>
      <c r="E3177" t="s">
        <v>40</v>
      </c>
      <c r="F3177" t="s">
        <v>32</v>
      </c>
      <c r="G3177" t="s">
        <v>49</v>
      </c>
      <c r="H3177" t="s">
        <v>83</v>
      </c>
      <c r="I3177" t="s">
        <v>26</v>
      </c>
      <c r="J3177" t="s">
        <v>27</v>
      </c>
      <c r="K3177">
        <v>12</v>
      </c>
      <c r="L3177">
        <v>80893</v>
      </c>
      <c r="M3177" t="s">
        <v>36</v>
      </c>
      <c r="N3177">
        <v>3</v>
      </c>
      <c r="O3177">
        <v>3</v>
      </c>
      <c r="P3177">
        <v>49</v>
      </c>
      <c r="Q3177">
        <v>1</v>
      </c>
      <c r="R3177" s="1">
        <v>40581</v>
      </c>
      <c r="S3177" t="s">
        <v>37</v>
      </c>
      <c r="T3177" t="str">
        <f t="shared" si="245"/>
        <v>Grade A</v>
      </c>
      <c r="U3177">
        <f t="shared" si="246"/>
        <v>1</v>
      </c>
      <c r="V3177" t="str">
        <f t="shared" si="247"/>
        <v>Senior</v>
      </c>
      <c r="W3177" t="str">
        <f t="shared" si="248"/>
        <v>Already Left</v>
      </c>
      <c r="X3177" t="str">
        <f t="shared" si="249"/>
        <v>Overpaid</v>
      </c>
    </row>
    <row r="3178" spans="1:24" x14ac:dyDescent="0.3">
      <c r="A3178" t="s">
        <v>3246</v>
      </c>
      <c r="B3178" t="s">
        <v>20</v>
      </c>
      <c r="C3178">
        <v>29</v>
      </c>
      <c r="D3178" t="s">
        <v>31</v>
      </c>
      <c r="E3178" t="s">
        <v>48</v>
      </c>
      <c r="F3178" t="s">
        <v>23</v>
      </c>
      <c r="G3178" t="s">
        <v>66</v>
      </c>
      <c r="H3178" t="s">
        <v>76</v>
      </c>
      <c r="I3178" t="s">
        <v>50</v>
      </c>
      <c r="J3178" t="s">
        <v>44</v>
      </c>
      <c r="K3178">
        <v>13</v>
      </c>
      <c r="L3178">
        <v>65769</v>
      </c>
      <c r="M3178" t="s">
        <v>45</v>
      </c>
      <c r="N3178">
        <v>3</v>
      </c>
      <c r="O3178">
        <v>1</v>
      </c>
      <c r="P3178">
        <v>74</v>
      </c>
      <c r="Q3178">
        <v>1</v>
      </c>
      <c r="R3178" s="1">
        <v>40307</v>
      </c>
      <c r="S3178" t="s">
        <v>29</v>
      </c>
      <c r="T3178" t="str">
        <f t="shared" si="245"/>
        <v>Grade B</v>
      </c>
      <c r="U3178">
        <f t="shared" si="246"/>
        <v>2</v>
      </c>
      <c r="V3178" t="str">
        <f t="shared" si="247"/>
        <v>Senior</v>
      </c>
      <c r="W3178" t="str">
        <f t="shared" si="248"/>
        <v>Medium Risk</v>
      </c>
      <c r="X3178" t="str">
        <f t="shared" si="249"/>
        <v>Fair</v>
      </c>
    </row>
    <row r="3179" spans="1:24" x14ac:dyDescent="0.3">
      <c r="A3179" t="s">
        <v>3247</v>
      </c>
      <c r="B3179" t="s">
        <v>20</v>
      </c>
      <c r="C3179">
        <v>34</v>
      </c>
      <c r="D3179" t="s">
        <v>21</v>
      </c>
      <c r="E3179" t="s">
        <v>48</v>
      </c>
      <c r="F3179" t="s">
        <v>75</v>
      </c>
      <c r="G3179" t="s">
        <v>24</v>
      </c>
      <c r="H3179" t="s">
        <v>67</v>
      </c>
      <c r="I3179" t="s">
        <v>26</v>
      </c>
      <c r="J3179" t="s">
        <v>27</v>
      </c>
      <c r="K3179">
        <v>13</v>
      </c>
      <c r="L3179">
        <v>103022</v>
      </c>
      <c r="M3179" t="s">
        <v>28</v>
      </c>
      <c r="N3179">
        <v>4</v>
      </c>
      <c r="O3179">
        <v>3</v>
      </c>
      <c r="P3179">
        <v>69</v>
      </c>
      <c r="Q3179">
        <v>3</v>
      </c>
      <c r="R3179" s="1">
        <v>40423</v>
      </c>
      <c r="S3179" t="s">
        <v>29</v>
      </c>
      <c r="T3179" t="str">
        <f t="shared" si="245"/>
        <v>Grade A</v>
      </c>
      <c r="U3179">
        <f t="shared" si="246"/>
        <v>3</v>
      </c>
      <c r="V3179" t="str">
        <f t="shared" si="247"/>
        <v>Senior</v>
      </c>
      <c r="W3179" t="str">
        <f t="shared" si="248"/>
        <v>Medium Risk</v>
      </c>
      <c r="X3179" t="str">
        <f t="shared" si="249"/>
        <v>Competitive</v>
      </c>
    </row>
    <row r="3180" spans="1:24" x14ac:dyDescent="0.3">
      <c r="A3180" t="s">
        <v>3248</v>
      </c>
      <c r="B3180" t="s">
        <v>20</v>
      </c>
      <c r="C3180">
        <v>49</v>
      </c>
      <c r="D3180" t="s">
        <v>21</v>
      </c>
      <c r="E3180" t="s">
        <v>48</v>
      </c>
      <c r="F3180" t="s">
        <v>23</v>
      </c>
      <c r="G3180" t="s">
        <v>66</v>
      </c>
      <c r="H3180" t="s">
        <v>76</v>
      </c>
      <c r="I3180" t="s">
        <v>43</v>
      </c>
      <c r="J3180" t="s">
        <v>44</v>
      </c>
      <c r="K3180">
        <v>3</v>
      </c>
      <c r="L3180">
        <v>31761</v>
      </c>
      <c r="M3180" t="s">
        <v>51</v>
      </c>
      <c r="N3180">
        <v>3</v>
      </c>
      <c r="O3180">
        <v>1</v>
      </c>
      <c r="P3180">
        <v>75</v>
      </c>
      <c r="Q3180">
        <v>2</v>
      </c>
      <c r="R3180" s="1">
        <v>44002</v>
      </c>
      <c r="S3180" t="s">
        <v>29</v>
      </c>
      <c r="T3180" t="str">
        <f t="shared" si="245"/>
        <v>Grade D</v>
      </c>
      <c r="U3180">
        <f t="shared" si="246"/>
        <v>4</v>
      </c>
      <c r="V3180" t="str">
        <f t="shared" si="247"/>
        <v>Junior</v>
      </c>
      <c r="W3180" t="str">
        <f t="shared" si="248"/>
        <v>Low Risk</v>
      </c>
      <c r="X3180" t="str">
        <f t="shared" si="249"/>
        <v>Underpaid</v>
      </c>
    </row>
    <row r="3181" spans="1:24" x14ac:dyDescent="0.3">
      <c r="A3181" t="s">
        <v>3249</v>
      </c>
      <c r="B3181" t="s">
        <v>39</v>
      </c>
      <c r="C3181">
        <v>46</v>
      </c>
      <c r="D3181" t="s">
        <v>31</v>
      </c>
      <c r="E3181" t="s">
        <v>48</v>
      </c>
      <c r="F3181" t="s">
        <v>75</v>
      </c>
      <c r="G3181" t="s">
        <v>63</v>
      </c>
      <c r="H3181" t="s">
        <v>83</v>
      </c>
      <c r="I3181" t="s">
        <v>68</v>
      </c>
      <c r="J3181" t="s">
        <v>60</v>
      </c>
      <c r="K3181">
        <v>7</v>
      </c>
      <c r="L3181">
        <v>61204</v>
      </c>
      <c r="M3181" t="s">
        <v>51</v>
      </c>
      <c r="N3181">
        <v>3</v>
      </c>
      <c r="O3181">
        <v>1</v>
      </c>
      <c r="P3181">
        <v>43</v>
      </c>
      <c r="Q3181">
        <v>0</v>
      </c>
      <c r="R3181" s="1">
        <v>42630</v>
      </c>
      <c r="S3181" t="s">
        <v>29</v>
      </c>
      <c r="T3181" t="str">
        <f t="shared" si="245"/>
        <v>Grade B</v>
      </c>
      <c r="U3181">
        <f t="shared" si="246"/>
        <v>4</v>
      </c>
      <c r="V3181" t="str">
        <f t="shared" si="247"/>
        <v>Mid Level</v>
      </c>
      <c r="W3181" t="str">
        <f t="shared" si="248"/>
        <v>Low Risk</v>
      </c>
      <c r="X3181" t="str">
        <f t="shared" si="249"/>
        <v>Fair</v>
      </c>
    </row>
    <row r="3182" spans="1:24" x14ac:dyDescent="0.3">
      <c r="A3182" t="s">
        <v>3250</v>
      </c>
      <c r="B3182" t="s">
        <v>39</v>
      </c>
      <c r="C3182">
        <v>42</v>
      </c>
      <c r="D3182" t="s">
        <v>88</v>
      </c>
      <c r="E3182" t="s">
        <v>48</v>
      </c>
      <c r="F3182" t="s">
        <v>62</v>
      </c>
      <c r="G3182" t="s">
        <v>63</v>
      </c>
      <c r="H3182" t="s">
        <v>83</v>
      </c>
      <c r="I3182" t="s">
        <v>68</v>
      </c>
      <c r="J3182" t="s">
        <v>60</v>
      </c>
      <c r="K3182">
        <v>4</v>
      </c>
      <c r="L3182">
        <v>60052</v>
      </c>
      <c r="M3182" t="s">
        <v>45</v>
      </c>
      <c r="N3182">
        <v>1</v>
      </c>
      <c r="O3182">
        <v>1</v>
      </c>
      <c r="P3182">
        <v>10</v>
      </c>
      <c r="Q3182">
        <v>0</v>
      </c>
      <c r="R3182" s="1">
        <v>43569</v>
      </c>
      <c r="S3182" t="s">
        <v>29</v>
      </c>
      <c r="T3182" t="str">
        <f t="shared" si="245"/>
        <v>Grade B</v>
      </c>
      <c r="U3182">
        <f t="shared" si="246"/>
        <v>2</v>
      </c>
      <c r="V3182" t="str">
        <f t="shared" si="247"/>
        <v>Junior</v>
      </c>
      <c r="W3182" t="str">
        <f t="shared" si="248"/>
        <v>Medium Risk</v>
      </c>
      <c r="X3182" t="str">
        <f t="shared" si="249"/>
        <v>Fair</v>
      </c>
    </row>
    <row r="3183" spans="1:24" x14ac:dyDescent="0.3">
      <c r="A3183" t="s">
        <v>3251</v>
      </c>
      <c r="B3183" t="s">
        <v>39</v>
      </c>
      <c r="C3183">
        <v>31</v>
      </c>
      <c r="D3183" t="s">
        <v>57</v>
      </c>
      <c r="E3183" t="s">
        <v>22</v>
      </c>
      <c r="F3183" t="s">
        <v>53</v>
      </c>
      <c r="G3183" t="s">
        <v>63</v>
      </c>
      <c r="H3183" t="s">
        <v>83</v>
      </c>
      <c r="I3183" t="s">
        <v>35</v>
      </c>
      <c r="J3183" t="s">
        <v>27</v>
      </c>
      <c r="K3183">
        <v>2</v>
      </c>
      <c r="L3183">
        <v>46101</v>
      </c>
      <c r="M3183" t="s">
        <v>36</v>
      </c>
      <c r="N3183">
        <v>1</v>
      </c>
      <c r="O3183">
        <v>2</v>
      </c>
      <c r="P3183">
        <v>23</v>
      </c>
      <c r="Q3183">
        <v>3</v>
      </c>
      <c r="R3183" s="1">
        <v>44500</v>
      </c>
      <c r="S3183" t="s">
        <v>29</v>
      </c>
      <c r="T3183" t="str">
        <f t="shared" si="245"/>
        <v>Grade C</v>
      </c>
      <c r="U3183">
        <f t="shared" si="246"/>
        <v>1</v>
      </c>
      <c r="V3183" t="str">
        <f t="shared" si="247"/>
        <v>New Joiner</v>
      </c>
      <c r="W3183" t="str">
        <f t="shared" si="248"/>
        <v>High Risk</v>
      </c>
      <c r="X3183" t="str">
        <f t="shared" si="249"/>
        <v>Fair</v>
      </c>
    </row>
    <row r="3184" spans="1:24" x14ac:dyDescent="0.3">
      <c r="A3184" t="s">
        <v>3252</v>
      </c>
      <c r="B3184" t="s">
        <v>20</v>
      </c>
      <c r="C3184">
        <v>51</v>
      </c>
      <c r="D3184" t="s">
        <v>57</v>
      </c>
      <c r="E3184" t="s">
        <v>40</v>
      </c>
      <c r="F3184" t="s">
        <v>53</v>
      </c>
      <c r="G3184" t="s">
        <v>58</v>
      </c>
      <c r="H3184" t="s">
        <v>83</v>
      </c>
      <c r="I3184" t="s">
        <v>54</v>
      </c>
      <c r="J3184" t="s">
        <v>27</v>
      </c>
      <c r="K3184">
        <v>6</v>
      </c>
      <c r="L3184">
        <v>90189</v>
      </c>
      <c r="M3184" t="s">
        <v>36</v>
      </c>
      <c r="N3184">
        <v>1</v>
      </c>
      <c r="O3184">
        <v>1</v>
      </c>
      <c r="P3184">
        <v>75</v>
      </c>
      <c r="Q3184">
        <v>0</v>
      </c>
      <c r="R3184" s="1">
        <v>42864</v>
      </c>
      <c r="S3184" t="s">
        <v>37</v>
      </c>
      <c r="T3184" t="str">
        <f t="shared" si="245"/>
        <v>Grade A</v>
      </c>
      <c r="U3184">
        <f t="shared" si="246"/>
        <v>1</v>
      </c>
      <c r="V3184" t="str">
        <f t="shared" si="247"/>
        <v>Mid Level</v>
      </c>
      <c r="W3184" t="str">
        <f t="shared" si="248"/>
        <v>Already Left</v>
      </c>
      <c r="X3184" t="str">
        <f t="shared" si="249"/>
        <v>Overpaid</v>
      </c>
    </row>
    <row r="3185" spans="1:24" x14ac:dyDescent="0.3">
      <c r="A3185" t="s">
        <v>3253</v>
      </c>
      <c r="B3185" t="s">
        <v>20</v>
      </c>
      <c r="C3185">
        <v>27</v>
      </c>
      <c r="D3185" t="s">
        <v>31</v>
      </c>
      <c r="E3185" t="s">
        <v>22</v>
      </c>
      <c r="F3185" t="s">
        <v>75</v>
      </c>
      <c r="G3185" t="s">
        <v>24</v>
      </c>
      <c r="H3185" t="s">
        <v>76</v>
      </c>
      <c r="I3185" t="s">
        <v>35</v>
      </c>
      <c r="J3185" t="s">
        <v>27</v>
      </c>
      <c r="K3185">
        <v>12</v>
      </c>
      <c r="L3185">
        <v>93133</v>
      </c>
      <c r="M3185" t="s">
        <v>45</v>
      </c>
      <c r="N3185">
        <v>2</v>
      </c>
      <c r="O3185">
        <v>2</v>
      </c>
      <c r="P3185">
        <v>75</v>
      </c>
      <c r="Q3185">
        <v>0</v>
      </c>
      <c r="R3185" s="1">
        <v>40845</v>
      </c>
      <c r="S3185" t="s">
        <v>29</v>
      </c>
      <c r="T3185" t="str">
        <f t="shared" si="245"/>
        <v>Grade A</v>
      </c>
      <c r="U3185">
        <f t="shared" si="246"/>
        <v>2</v>
      </c>
      <c r="V3185" t="str">
        <f t="shared" si="247"/>
        <v>Senior</v>
      </c>
      <c r="W3185" t="str">
        <f t="shared" si="248"/>
        <v>Medium Risk</v>
      </c>
      <c r="X3185" t="str">
        <f t="shared" si="249"/>
        <v>Fair</v>
      </c>
    </row>
    <row r="3186" spans="1:24" x14ac:dyDescent="0.3">
      <c r="A3186" t="s">
        <v>3254</v>
      </c>
      <c r="B3186" t="s">
        <v>39</v>
      </c>
      <c r="C3186">
        <v>51</v>
      </c>
      <c r="D3186" t="s">
        <v>31</v>
      </c>
      <c r="E3186" t="s">
        <v>40</v>
      </c>
      <c r="F3186" t="s">
        <v>75</v>
      </c>
      <c r="G3186" t="s">
        <v>33</v>
      </c>
      <c r="H3186" t="s">
        <v>25</v>
      </c>
      <c r="I3186" t="s">
        <v>43</v>
      </c>
      <c r="J3186" t="s">
        <v>44</v>
      </c>
      <c r="K3186">
        <v>8</v>
      </c>
      <c r="L3186">
        <v>72583</v>
      </c>
      <c r="M3186" t="s">
        <v>51</v>
      </c>
      <c r="N3186">
        <v>2</v>
      </c>
      <c r="O3186">
        <v>1</v>
      </c>
      <c r="P3186">
        <v>40</v>
      </c>
      <c r="Q3186">
        <v>2</v>
      </c>
      <c r="R3186" s="1">
        <v>42267</v>
      </c>
      <c r="S3186" t="s">
        <v>37</v>
      </c>
      <c r="T3186" t="str">
        <f t="shared" si="245"/>
        <v>Grade B</v>
      </c>
      <c r="U3186">
        <f t="shared" si="246"/>
        <v>4</v>
      </c>
      <c r="V3186" t="str">
        <f t="shared" si="247"/>
        <v>Mid Level</v>
      </c>
      <c r="W3186" t="str">
        <f t="shared" si="248"/>
        <v>Already Left</v>
      </c>
      <c r="X3186" t="str">
        <f t="shared" si="249"/>
        <v>Fair</v>
      </c>
    </row>
    <row r="3187" spans="1:24" x14ac:dyDescent="0.3">
      <c r="A3187" t="s">
        <v>3255</v>
      </c>
      <c r="B3187" t="s">
        <v>20</v>
      </c>
      <c r="C3187">
        <v>49</v>
      </c>
      <c r="D3187" t="s">
        <v>31</v>
      </c>
      <c r="E3187" t="s">
        <v>22</v>
      </c>
      <c r="F3187" t="s">
        <v>78</v>
      </c>
      <c r="G3187" t="s">
        <v>66</v>
      </c>
      <c r="H3187" t="s">
        <v>76</v>
      </c>
      <c r="I3187" t="s">
        <v>68</v>
      </c>
      <c r="J3187" t="s">
        <v>60</v>
      </c>
      <c r="K3187">
        <v>13</v>
      </c>
      <c r="L3187">
        <v>62229</v>
      </c>
      <c r="M3187" t="s">
        <v>28</v>
      </c>
      <c r="N3187">
        <v>1</v>
      </c>
      <c r="O3187">
        <v>2</v>
      </c>
      <c r="P3187">
        <v>51</v>
      </c>
      <c r="Q3187">
        <v>3</v>
      </c>
      <c r="R3187" s="1">
        <v>40421</v>
      </c>
      <c r="S3187" t="s">
        <v>29</v>
      </c>
      <c r="T3187" t="str">
        <f t="shared" si="245"/>
        <v>Grade B</v>
      </c>
      <c r="U3187">
        <f t="shared" si="246"/>
        <v>3</v>
      </c>
      <c r="V3187" t="str">
        <f t="shared" si="247"/>
        <v>Senior</v>
      </c>
      <c r="W3187" t="str">
        <f t="shared" si="248"/>
        <v>Medium Risk</v>
      </c>
      <c r="X3187" t="str">
        <f t="shared" si="249"/>
        <v>Competitive</v>
      </c>
    </row>
    <row r="3188" spans="1:24" x14ac:dyDescent="0.3">
      <c r="A3188" t="s">
        <v>3256</v>
      </c>
      <c r="B3188" t="s">
        <v>20</v>
      </c>
      <c r="C3188">
        <v>38</v>
      </c>
      <c r="D3188" t="s">
        <v>88</v>
      </c>
      <c r="E3188" t="s">
        <v>40</v>
      </c>
      <c r="F3188" t="s">
        <v>65</v>
      </c>
      <c r="G3188" t="s">
        <v>79</v>
      </c>
      <c r="H3188" t="s">
        <v>83</v>
      </c>
      <c r="I3188" t="s">
        <v>43</v>
      </c>
      <c r="J3188" t="s">
        <v>44</v>
      </c>
      <c r="K3188">
        <v>4</v>
      </c>
      <c r="L3188">
        <v>52934</v>
      </c>
      <c r="M3188" t="s">
        <v>36</v>
      </c>
      <c r="N3188">
        <v>2</v>
      </c>
      <c r="O3188">
        <v>4</v>
      </c>
      <c r="P3188">
        <v>32</v>
      </c>
      <c r="Q3188">
        <v>0</v>
      </c>
      <c r="R3188" s="1">
        <v>43784</v>
      </c>
      <c r="S3188" t="s">
        <v>37</v>
      </c>
      <c r="T3188" t="str">
        <f t="shared" si="245"/>
        <v>Grade B</v>
      </c>
      <c r="U3188">
        <f t="shared" si="246"/>
        <v>1</v>
      </c>
      <c r="V3188" t="str">
        <f t="shared" si="247"/>
        <v>Junior</v>
      </c>
      <c r="W3188" t="str">
        <f t="shared" si="248"/>
        <v>Already Left</v>
      </c>
      <c r="X3188" t="str">
        <f t="shared" si="249"/>
        <v>Fair</v>
      </c>
    </row>
    <row r="3189" spans="1:24" x14ac:dyDescent="0.3">
      <c r="A3189" t="s">
        <v>3257</v>
      </c>
      <c r="B3189" t="s">
        <v>20</v>
      </c>
      <c r="C3189">
        <v>47</v>
      </c>
      <c r="D3189" t="s">
        <v>21</v>
      </c>
      <c r="E3189" t="s">
        <v>40</v>
      </c>
      <c r="F3189" t="s">
        <v>62</v>
      </c>
      <c r="G3189" t="s">
        <v>66</v>
      </c>
      <c r="H3189" t="s">
        <v>83</v>
      </c>
      <c r="I3189" t="s">
        <v>59</v>
      </c>
      <c r="J3189" t="s">
        <v>60</v>
      </c>
      <c r="K3189">
        <v>13</v>
      </c>
      <c r="L3189">
        <v>51769</v>
      </c>
      <c r="M3189" t="s">
        <v>28</v>
      </c>
      <c r="N3189">
        <v>4</v>
      </c>
      <c r="O3189">
        <v>3</v>
      </c>
      <c r="P3189">
        <v>63</v>
      </c>
      <c r="Q3189">
        <v>3</v>
      </c>
      <c r="R3189" s="1">
        <v>40444</v>
      </c>
      <c r="S3189" t="s">
        <v>29</v>
      </c>
      <c r="T3189" t="str">
        <f t="shared" si="245"/>
        <v>Grade B</v>
      </c>
      <c r="U3189">
        <f t="shared" si="246"/>
        <v>3</v>
      </c>
      <c r="V3189" t="str">
        <f t="shared" si="247"/>
        <v>Senior</v>
      </c>
      <c r="W3189" t="str">
        <f t="shared" si="248"/>
        <v>Medium Risk</v>
      </c>
      <c r="X3189" t="str">
        <f t="shared" si="249"/>
        <v>Competitive</v>
      </c>
    </row>
    <row r="3190" spans="1:24" x14ac:dyDescent="0.3">
      <c r="A3190" t="s">
        <v>3258</v>
      </c>
      <c r="B3190" t="s">
        <v>39</v>
      </c>
      <c r="C3190">
        <v>29</v>
      </c>
      <c r="D3190" t="s">
        <v>88</v>
      </c>
      <c r="E3190" t="s">
        <v>48</v>
      </c>
      <c r="F3190" t="s">
        <v>78</v>
      </c>
      <c r="G3190" t="s">
        <v>66</v>
      </c>
      <c r="H3190" t="s">
        <v>25</v>
      </c>
      <c r="I3190" t="s">
        <v>72</v>
      </c>
      <c r="J3190" t="s">
        <v>73</v>
      </c>
      <c r="K3190">
        <v>7</v>
      </c>
      <c r="L3190">
        <v>48980</v>
      </c>
      <c r="M3190" t="s">
        <v>45</v>
      </c>
      <c r="N3190">
        <v>2</v>
      </c>
      <c r="O3190">
        <v>2</v>
      </c>
      <c r="P3190">
        <v>23</v>
      </c>
      <c r="Q3190">
        <v>1</v>
      </c>
      <c r="R3190" s="1">
        <v>42462</v>
      </c>
      <c r="S3190" t="s">
        <v>29</v>
      </c>
      <c r="T3190" t="str">
        <f t="shared" si="245"/>
        <v>Grade C</v>
      </c>
      <c r="U3190">
        <f t="shared" si="246"/>
        <v>2</v>
      </c>
      <c r="V3190" t="str">
        <f t="shared" si="247"/>
        <v>Mid Level</v>
      </c>
      <c r="W3190" t="str">
        <f t="shared" si="248"/>
        <v>Medium Risk</v>
      </c>
      <c r="X3190" t="str">
        <f t="shared" si="249"/>
        <v>Fair</v>
      </c>
    </row>
    <row r="3191" spans="1:24" x14ac:dyDescent="0.3">
      <c r="A3191" t="s">
        <v>3259</v>
      </c>
      <c r="B3191" t="s">
        <v>39</v>
      </c>
      <c r="C3191">
        <v>43</v>
      </c>
      <c r="D3191" t="s">
        <v>21</v>
      </c>
      <c r="E3191" t="s">
        <v>22</v>
      </c>
      <c r="F3191" t="s">
        <v>65</v>
      </c>
      <c r="G3191" t="s">
        <v>42</v>
      </c>
      <c r="H3191" t="s">
        <v>34</v>
      </c>
      <c r="I3191" t="s">
        <v>72</v>
      </c>
      <c r="J3191" t="s">
        <v>73</v>
      </c>
      <c r="K3191">
        <v>8</v>
      </c>
      <c r="L3191">
        <v>102310</v>
      </c>
      <c r="M3191" t="s">
        <v>36</v>
      </c>
      <c r="N3191">
        <v>3</v>
      </c>
      <c r="O3191">
        <v>4</v>
      </c>
      <c r="P3191">
        <v>57</v>
      </c>
      <c r="Q3191">
        <v>0</v>
      </c>
      <c r="R3191" s="1">
        <v>42261</v>
      </c>
      <c r="S3191" t="s">
        <v>37</v>
      </c>
      <c r="T3191" t="str">
        <f t="shared" si="245"/>
        <v>Grade A</v>
      </c>
      <c r="U3191">
        <f t="shared" si="246"/>
        <v>1</v>
      </c>
      <c r="V3191" t="str">
        <f t="shared" si="247"/>
        <v>Mid Level</v>
      </c>
      <c r="W3191" t="str">
        <f t="shared" si="248"/>
        <v>Already Left</v>
      </c>
      <c r="X3191" t="str">
        <f t="shared" si="249"/>
        <v>Overpaid</v>
      </c>
    </row>
    <row r="3192" spans="1:24" x14ac:dyDescent="0.3">
      <c r="A3192" t="s">
        <v>3260</v>
      </c>
      <c r="B3192" t="s">
        <v>20</v>
      </c>
      <c r="C3192">
        <v>52</v>
      </c>
      <c r="D3192" t="s">
        <v>57</v>
      </c>
      <c r="E3192" t="s">
        <v>22</v>
      </c>
      <c r="F3192" t="s">
        <v>75</v>
      </c>
      <c r="G3192" t="s">
        <v>63</v>
      </c>
      <c r="H3192" t="s">
        <v>25</v>
      </c>
      <c r="I3192" t="s">
        <v>35</v>
      </c>
      <c r="J3192" t="s">
        <v>27</v>
      </c>
      <c r="K3192">
        <v>10</v>
      </c>
      <c r="L3192">
        <v>62180</v>
      </c>
      <c r="M3192" t="s">
        <v>36</v>
      </c>
      <c r="N3192">
        <v>2</v>
      </c>
      <c r="O3192">
        <v>3</v>
      </c>
      <c r="P3192">
        <v>21</v>
      </c>
      <c r="Q3192">
        <v>1</v>
      </c>
      <c r="R3192" s="1">
        <v>41506</v>
      </c>
      <c r="S3192" t="s">
        <v>37</v>
      </c>
      <c r="T3192" t="str">
        <f t="shared" si="245"/>
        <v>Grade B</v>
      </c>
      <c r="U3192">
        <f t="shared" si="246"/>
        <v>1</v>
      </c>
      <c r="V3192" t="str">
        <f t="shared" si="247"/>
        <v>Mid Level</v>
      </c>
      <c r="W3192" t="str">
        <f t="shared" si="248"/>
        <v>Already Left</v>
      </c>
      <c r="X3192" t="str">
        <f t="shared" si="249"/>
        <v>Fair</v>
      </c>
    </row>
    <row r="3193" spans="1:24" x14ac:dyDescent="0.3">
      <c r="A3193" t="s">
        <v>3261</v>
      </c>
      <c r="B3193" t="s">
        <v>20</v>
      </c>
      <c r="C3193">
        <v>30</v>
      </c>
      <c r="D3193" t="s">
        <v>88</v>
      </c>
      <c r="E3193" t="s">
        <v>40</v>
      </c>
      <c r="F3193" t="s">
        <v>32</v>
      </c>
      <c r="G3193" t="s">
        <v>79</v>
      </c>
      <c r="H3193" t="s">
        <v>34</v>
      </c>
      <c r="I3193" t="s">
        <v>72</v>
      </c>
      <c r="J3193" t="s">
        <v>73</v>
      </c>
      <c r="K3193">
        <v>5</v>
      </c>
      <c r="L3193">
        <v>40835</v>
      </c>
      <c r="M3193" t="s">
        <v>28</v>
      </c>
      <c r="N3193">
        <v>4</v>
      </c>
      <c r="O3193">
        <v>4</v>
      </c>
      <c r="P3193">
        <v>58</v>
      </c>
      <c r="Q3193">
        <v>2</v>
      </c>
      <c r="R3193" s="1">
        <v>43279</v>
      </c>
      <c r="S3193" t="s">
        <v>29</v>
      </c>
      <c r="T3193" t="str">
        <f t="shared" si="245"/>
        <v>Grade C</v>
      </c>
      <c r="U3193">
        <f t="shared" si="246"/>
        <v>3</v>
      </c>
      <c r="V3193" t="str">
        <f t="shared" si="247"/>
        <v>Junior</v>
      </c>
      <c r="W3193" t="str">
        <f t="shared" si="248"/>
        <v>Medium Risk</v>
      </c>
      <c r="X3193" t="str">
        <f t="shared" si="249"/>
        <v>Fair</v>
      </c>
    </row>
    <row r="3194" spans="1:24" x14ac:dyDescent="0.3">
      <c r="A3194" t="s">
        <v>3262</v>
      </c>
      <c r="B3194" t="s">
        <v>39</v>
      </c>
      <c r="C3194">
        <v>46</v>
      </c>
      <c r="D3194" t="s">
        <v>57</v>
      </c>
      <c r="E3194" t="s">
        <v>40</v>
      </c>
      <c r="F3194" t="s">
        <v>53</v>
      </c>
      <c r="G3194" t="s">
        <v>33</v>
      </c>
      <c r="H3194" t="s">
        <v>83</v>
      </c>
      <c r="I3194" t="s">
        <v>43</v>
      </c>
      <c r="J3194" t="s">
        <v>44</v>
      </c>
      <c r="K3194">
        <v>14</v>
      </c>
      <c r="L3194">
        <v>79614</v>
      </c>
      <c r="M3194" t="s">
        <v>36</v>
      </c>
      <c r="N3194">
        <v>4</v>
      </c>
      <c r="O3194">
        <v>4</v>
      </c>
      <c r="P3194">
        <v>42</v>
      </c>
      <c r="Q3194">
        <v>2</v>
      </c>
      <c r="R3194" s="1">
        <v>40063</v>
      </c>
      <c r="S3194" t="s">
        <v>29</v>
      </c>
      <c r="T3194" t="str">
        <f t="shared" si="245"/>
        <v>Grade B</v>
      </c>
      <c r="U3194">
        <f t="shared" si="246"/>
        <v>1</v>
      </c>
      <c r="V3194" t="str">
        <f t="shared" si="247"/>
        <v>Senior</v>
      </c>
      <c r="W3194" t="str">
        <f t="shared" si="248"/>
        <v>Medium Risk</v>
      </c>
      <c r="X3194" t="str">
        <f t="shared" si="249"/>
        <v>Fair</v>
      </c>
    </row>
    <row r="3195" spans="1:24" x14ac:dyDescent="0.3">
      <c r="A3195" t="s">
        <v>3263</v>
      </c>
      <c r="B3195" t="s">
        <v>39</v>
      </c>
      <c r="C3195">
        <v>25</v>
      </c>
      <c r="D3195" t="s">
        <v>21</v>
      </c>
      <c r="E3195" t="s">
        <v>22</v>
      </c>
      <c r="F3195" t="s">
        <v>23</v>
      </c>
      <c r="G3195" t="s">
        <v>33</v>
      </c>
      <c r="H3195" t="s">
        <v>34</v>
      </c>
      <c r="I3195" t="s">
        <v>26</v>
      </c>
      <c r="J3195" t="s">
        <v>27</v>
      </c>
      <c r="K3195">
        <v>4</v>
      </c>
      <c r="L3195">
        <v>61997</v>
      </c>
      <c r="M3195" t="s">
        <v>45</v>
      </c>
      <c r="N3195">
        <v>3</v>
      </c>
      <c r="O3195">
        <v>1</v>
      </c>
      <c r="P3195">
        <v>41</v>
      </c>
      <c r="Q3195">
        <v>2</v>
      </c>
      <c r="R3195" s="1">
        <v>43566</v>
      </c>
      <c r="S3195" t="s">
        <v>37</v>
      </c>
      <c r="T3195" t="str">
        <f t="shared" si="245"/>
        <v>Grade B</v>
      </c>
      <c r="U3195">
        <f t="shared" si="246"/>
        <v>2</v>
      </c>
      <c r="V3195" t="str">
        <f t="shared" si="247"/>
        <v>Junior</v>
      </c>
      <c r="W3195" t="str">
        <f t="shared" si="248"/>
        <v>Already Left</v>
      </c>
      <c r="X3195" t="str">
        <f t="shared" si="249"/>
        <v>Fair</v>
      </c>
    </row>
    <row r="3196" spans="1:24" x14ac:dyDescent="0.3">
      <c r="A3196" t="s">
        <v>3264</v>
      </c>
      <c r="B3196" t="s">
        <v>39</v>
      </c>
      <c r="C3196">
        <v>27</v>
      </c>
      <c r="D3196" t="s">
        <v>21</v>
      </c>
      <c r="E3196" t="s">
        <v>48</v>
      </c>
      <c r="F3196" t="s">
        <v>53</v>
      </c>
      <c r="G3196" t="s">
        <v>33</v>
      </c>
      <c r="H3196" t="s">
        <v>76</v>
      </c>
      <c r="I3196" t="s">
        <v>35</v>
      </c>
      <c r="J3196" t="s">
        <v>27</v>
      </c>
      <c r="K3196">
        <v>15</v>
      </c>
      <c r="L3196">
        <v>86491</v>
      </c>
      <c r="M3196" t="s">
        <v>51</v>
      </c>
      <c r="N3196">
        <v>4</v>
      </c>
      <c r="O3196">
        <v>4</v>
      </c>
      <c r="P3196">
        <v>46</v>
      </c>
      <c r="Q3196">
        <v>3</v>
      </c>
      <c r="R3196" s="1">
        <v>39790</v>
      </c>
      <c r="S3196" t="s">
        <v>29</v>
      </c>
      <c r="T3196" t="str">
        <f t="shared" si="245"/>
        <v>Grade A</v>
      </c>
      <c r="U3196">
        <f t="shared" si="246"/>
        <v>4</v>
      </c>
      <c r="V3196" t="str">
        <f t="shared" si="247"/>
        <v>Senior</v>
      </c>
      <c r="W3196" t="str">
        <f t="shared" si="248"/>
        <v>Low Risk</v>
      </c>
      <c r="X3196" t="str">
        <f t="shared" si="249"/>
        <v>Competitive</v>
      </c>
    </row>
    <row r="3197" spans="1:24" x14ac:dyDescent="0.3">
      <c r="A3197" t="s">
        <v>3265</v>
      </c>
      <c r="B3197" t="s">
        <v>20</v>
      </c>
      <c r="C3197">
        <v>44</v>
      </c>
      <c r="D3197" t="s">
        <v>88</v>
      </c>
      <c r="E3197" t="s">
        <v>40</v>
      </c>
      <c r="F3197" t="s">
        <v>41</v>
      </c>
      <c r="G3197" t="s">
        <v>33</v>
      </c>
      <c r="H3197" t="s">
        <v>34</v>
      </c>
      <c r="I3197" t="s">
        <v>72</v>
      </c>
      <c r="J3197" t="s">
        <v>73</v>
      </c>
      <c r="K3197">
        <v>8</v>
      </c>
      <c r="L3197">
        <v>81302</v>
      </c>
      <c r="M3197" t="s">
        <v>45</v>
      </c>
      <c r="N3197">
        <v>4</v>
      </c>
      <c r="O3197">
        <v>3</v>
      </c>
      <c r="P3197">
        <v>69</v>
      </c>
      <c r="Q3197">
        <v>3</v>
      </c>
      <c r="R3197" s="1">
        <v>42091</v>
      </c>
      <c r="S3197" t="s">
        <v>29</v>
      </c>
      <c r="T3197" t="str">
        <f t="shared" si="245"/>
        <v>Grade A</v>
      </c>
      <c r="U3197">
        <f t="shared" si="246"/>
        <v>2</v>
      </c>
      <c r="V3197" t="str">
        <f t="shared" si="247"/>
        <v>Mid Level</v>
      </c>
      <c r="W3197" t="str">
        <f t="shared" si="248"/>
        <v>Medium Risk</v>
      </c>
      <c r="X3197" t="str">
        <f t="shared" si="249"/>
        <v>Fair</v>
      </c>
    </row>
    <row r="3198" spans="1:24" x14ac:dyDescent="0.3">
      <c r="A3198" t="s">
        <v>3266</v>
      </c>
      <c r="B3198" t="s">
        <v>39</v>
      </c>
      <c r="C3198">
        <v>46</v>
      </c>
      <c r="D3198" t="s">
        <v>88</v>
      </c>
      <c r="E3198" t="s">
        <v>40</v>
      </c>
      <c r="F3198" t="s">
        <v>41</v>
      </c>
      <c r="G3198" t="s">
        <v>42</v>
      </c>
      <c r="H3198" t="s">
        <v>25</v>
      </c>
      <c r="I3198" t="s">
        <v>26</v>
      </c>
      <c r="J3198" t="s">
        <v>27</v>
      </c>
      <c r="K3198">
        <v>8</v>
      </c>
      <c r="L3198">
        <v>114655</v>
      </c>
      <c r="M3198" t="s">
        <v>51</v>
      </c>
      <c r="N3198">
        <v>2</v>
      </c>
      <c r="O3198">
        <v>2</v>
      </c>
      <c r="P3198">
        <v>55</v>
      </c>
      <c r="Q3198">
        <v>0</v>
      </c>
      <c r="R3198" s="1">
        <v>42041</v>
      </c>
      <c r="S3198" t="s">
        <v>37</v>
      </c>
      <c r="T3198" t="str">
        <f t="shared" si="245"/>
        <v>Grade A</v>
      </c>
      <c r="U3198">
        <f t="shared" si="246"/>
        <v>4</v>
      </c>
      <c r="V3198" t="str">
        <f t="shared" si="247"/>
        <v>Mid Level</v>
      </c>
      <c r="W3198" t="str">
        <f t="shared" si="248"/>
        <v>Already Left</v>
      </c>
      <c r="X3198" t="str">
        <f t="shared" si="249"/>
        <v>Competitive</v>
      </c>
    </row>
    <row r="3199" spans="1:24" x14ac:dyDescent="0.3">
      <c r="A3199" t="s">
        <v>3267</v>
      </c>
      <c r="B3199" t="s">
        <v>20</v>
      </c>
      <c r="C3199">
        <v>31</v>
      </c>
      <c r="D3199" t="s">
        <v>21</v>
      </c>
      <c r="E3199" t="s">
        <v>22</v>
      </c>
      <c r="F3199" t="s">
        <v>32</v>
      </c>
      <c r="G3199" t="s">
        <v>63</v>
      </c>
      <c r="H3199" t="s">
        <v>67</v>
      </c>
      <c r="I3199" t="s">
        <v>50</v>
      </c>
      <c r="J3199" t="s">
        <v>44</v>
      </c>
      <c r="K3199">
        <v>11</v>
      </c>
      <c r="L3199">
        <v>69860</v>
      </c>
      <c r="M3199" t="s">
        <v>36</v>
      </c>
      <c r="N3199">
        <v>2</v>
      </c>
      <c r="O3199">
        <v>2</v>
      </c>
      <c r="P3199">
        <v>59</v>
      </c>
      <c r="Q3199">
        <v>2</v>
      </c>
      <c r="R3199" s="1">
        <v>41000</v>
      </c>
      <c r="S3199" t="s">
        <v>37</v>
      </c>
      <c r="T3199" t="str">
        <f t="shared" si="245"/>
        <v>Grade B</v>
      </c>
      <c r="U3199">
        <f t="shared" si="246"/>
        <v>1</v>
      </c>
      <c r="V3199" t="str">
        <f t="shared" si="247"/>
        <v>Senior</v>
      </c>
      <c r="W3199" t="str">
        <f t="shared" si="248"/>
        <v>Already Left</v>
      </c>
      <c r="X3199" t="str">
        <f t="shared" si="249"/>
        <v>Fair</v>
      </c>
    </row>
    <row r="3200" spans="1:24" x14ac:dyDescent="0.3">
      <c r="A3200" t="s">
        <v>3268</v>
      </c>
      <c r="B3200" t="s">
        <v>20</v>
      </c>
      <c r="C3200">
        <v>32</v>
      </c>
      <c r="D3200" t="s">
        <v>21</v>
      </c>
      <c r="E3200" t="s">
        <v>40</v>
      </c>
      <c r="F3200" t="s">
        <v>32</v>
      </c>
      <c r="G3200" t="s">
        <v>24</v>
      </c>
      <c r="H3200" t="s">
        <v>83</v>
      </c>
      <c r="I3200" t="s">
        <v>50</v>
      </c>
      <c r="J3200" t="s">
        <v>44</v>
      </c>
      <c r="K3200">
        <v>15</v>
      </c>
      <c r="L3200">
        <v>103569</v>
      </c>
      <c r="M3200" t="s">
        <v>45</v>
      </c>
      <c r="N3200">
        <v>4</v>
      </c>
      <c r="O3200">
        <v>4</v>
      </c>
      <c r="P3200">
        <v>57</v>
      </c>
      <c r="Q3200">
        <v>0</v>
      </c>
      <c r="R3200" s="1">
        <v>39768</v>
      </c>
      <c r="S3200" t="s">
        <v>37</v>
      </c>
      <c r="T3200" t="str">
        <f t="shared" si="245"/>
        <v>Grade A</v>
      </c>
      <c r="U3200">
        <f t="shared" si="246"/>
        <v>2</v>
      </c>
      <c r="V3200" t="str">
        <f t="shared" si="247"/>
        <v>Senior</v>
      </c>
      <c r="W3200" t="str">
        <f t="shared" si="248"/>
        <v>Already Left</v>
      </c>
      <c r="X3200" t="str">
        <f t="shared" si="249"/>
        <v>Fair</v>
      </c>
    </row>
    <row r="3201" spans="1:24" x14ac:dyDescent="0.3">
      <c r="A3201" t="s">
        <v>3269</v>
      </c>
      <c r="B3201" t="s">
        <v>20</v>
      </c>
      <c r="C3201">
        <v>25</v>
      </c>
      <c r="D3201" t="s">
        <v>47</v>
      </c>
      <c r="E3201" t="s">
        <v>40</v>
      </c>
      <c r="F3201" t="s">
        <v>32</v>
      </c>
      <c r="G3201" t="s">
        <v>42</v>
      </c>
      <c r="H3201" t="s">
        <v>25</v>
      </c>
      <c r="I3201" t="s">
        <v>59</v>
      </c>
      <c r="J3201" t="s">
        <v>60</v>
      </c>
      <c r="K3201">
        <v>14</v>
      </c>
      <c r="L3201">
        <v>132666</v>
      </c>
      <c r="M3201" t="s">
        <v>28</v>
      </c>
      <c r="N3201">
        <v>4</v>
      </c>
      <c r="O3201">
        <v>1</v>
      </c>
      <c r="P3201">
        <v>13</v>
      </c>
      <c r="Q3201">
        <v>2</v>
      </c>
      <c r="R3201" s="1">
        <v>39939</v>
      </c>
      <c r="S3201" t="s">
        <v>29</v>
      </c>
      <c r="T3201" t="str">
        <f t="shared" si="245"/>
        <v>Grade A</v>
      </c>
      <c r="U3201">
        <f t="shared" si="246"/>
        <v>3</v>
      </c>
      <c r="V3201" t="str">
        <f t="shared" si="247"/>
        <v>Senior</v>
      </c>
      <c r="W3201" t="str">
        <f t="shared" si="248"/>
        <v>Medium Risk</v>
      </c>
      <c r="X3201" t="str">
        <f t="shared" si="249"/>
        <v>Competitive</v>
      </c>
    </row>
    <row r="3202" spans="1:24" x14ac:dyDescent="0.3">
      <c r="A3202" t="s">
        <v>3270</v>
      </c>
      <c r="B3202" t="s">
        <v>20</v>
      </c>
      <c r="C3202">
        <v>47</v>
      </c>
      <c r="D3202" t="s">
        <v>21</v>
      </c>
      <c r="E3202" t="s">
        <v>22</v>
      </c>
      <c r="F3202" t="s">
        <v>53</v>
      </c>
      <c r="G3202" t="s">
        <v>42</v>
      </c>
      <c r="H3202" t="s">
        <v>34</v>
      </c>
      <c r="I3202" t="s">
        <v>54</v>
      </c>
      <c r="J3202" t="s">
        <v>27</v>
      </c>
      <c r="K3202">
        <v>1</v>
      </c>
      <c r="L3202">
        <v>97398</v>
      </c>
      <c r="M3202" t="s">
        <v>36</v>
      </c>
      <c r="N3202">
        <v>4</v>
      </c>
      <c r="O3202">
        <v>4</v>
      </c>
      <c r="P3202">
        <v>72</v>
      </c>
      <c r="Q3202">
        <v>3</v>
      </c>
      <c r="R3202" s="1">
        <v>44710</v>
      </c>
      <c r="S3202" t="s">
        <v>29</v>
      </c>
      <c r="T3202" t="str">
        <f t="shared" ref="T3202:T3265" si="250">IF(L3202&gt;=80000,"Grade A",IF(L3202&gt;=50000,"Grade B",IF(L3202&gt;=35000,"Grade C","Grade D")))</f>
        <v>Grade A</v>
      </c>
      <c r="U3202">
        <f t="shared" ref="U3202:U3265" si="251">IF(M3202="Excellent",4,IF(M3202="Good",3,IF(M3202="Average",2,1)))</f>
        <v>1</v>
      </c>
      <c r="V3202" t="str">
        <f t="shared" ref="V3202:V3265" si="252">IF(K3202&lt;=2,"New Joiner",IF(K3202&lt;=5,"Junior",IF(K3202&lt;=10,"Mid Level","Senior")))</f>
        <v>New Joiner</v>
      </c>
      <c r="W3202" t="str">
        <f t="shared" ref="W3202:W3265" si="253">IF(S3202="Yes","Already Left",IF(AND(K3202&lt;=2,M3202="Poor"),"High Risk",IF(AND(K3202&lt;=5,M3202="Average"),"Medium Risk",IF(M3202="Excellent","Low Risk","Medium Risk"))))</f>
        <v>High Risk</v>
      </c>
      <c r="X3202" t="str">
        <f t="shared" ref="X3202:X3265" si="254">IF(AND(L3202&gt;=80000,M3202="Excellent"),"Competitive",IF(AND(L3202&gt;=50000,M3202="Good"),"Competitive",IF(AND(L3202&lt;35000,M3202="Excellent"),"Underpaid",IF(AND(L3202&gt;=80000,M3202="Poor"),"Overpaid","Fair"))))</f>
        <v>Overpaid</v>
      </c>
    </row>
    <row r="3203" spans="1:24" x14ac:dyDescent="0.3">
      <c r="A3203" t="s">
        <v>3271</v>
      </c>
      <c r="B3203" t="s">
        <v>39</v>
      </c>
      <c r="C3203">
        <v>29</v>
      </c>
      <c r="D3203" t="s">
        <v>31</v>
      </c>
      <c r="E3203" t="s">
        <v>40</v>
      </c>
      <c r="F3203" t="s">
        <v>41</v>
      </c>
      <c r="G3203" t="s">
        <v>66</v>
      </c>
      <c r="H3203" t="s">
        <v>67</v>
      </c>
      <c r="I3203" t="s">
        <v>68</v>
      </c>
      <c r="J3203" t="s">
        <v>60</v>
      </c>
      <c r="K3203">
        <v>5</v>
      </c>
      <c r="L3203">
        <v>48239</v>
      </c>
      <c r="M3203" t="s">
        <v>45</v>
      </c>
      <c r="N3203">
        <v>2</v>
      </c>
      <c r="O3203">
        <v>2</v>
      </c>
      <c r="P3203">
        <v>48</v>
      </c>
      <c r="Q3203">
        <v>2</v>
      </c>
      <c r="R3203" s="1">
        <v>43324</v>
      </c>
      <c r="S3203" t="s">
        <v>37</v>
      </c>
      <c r="T3203" t="str">
        <f t="shared" si="250"/>
        <v>Grade C</v>
      </c>
      <c r="U3203">
        <f t="shared" si="251"/>
        <v>2</v>
      </c>
      <c r="V3203" t="str">
        <f t="shared" si="252"/>
        <v>Junior</v>
      </c>
      <c r="W3203" t="str">
        <f t="shared" si="253"/>
        <v>Already Left</v>
      </c>
      <c r="X3203" t="str">
        <f t="shared" si="254"/>
        <v>Fair</v>
      </c>
    </row>
    <row r="3204" spans="1:24" x14ac:dyDescent="0.3">
      <c r="A3204" t="s">
        <v>3272</v>
      </c>
      <c r="B3204" t="s">
        <v>39</v>
      </c>
      <c r="C3204">
        <v>23</v>
      </c>
      <c r="D3204" t="s">
        <v>47</v>
      </c>
      <c r="E3204" t="s">
        <v>48</v>
      </c>
      <c r="F3204" t="s">
        <v>41</v>
      </c>
      <c r="G3204" t="s">
        <v>66</v>
      </c>
      <c r="H3204" t="s">
        <v>67</v>
      </c>
      <c r="I3204" t="s">
        <v>59</v>
      </c>
      <c r="J3204" t="s">
        <v>60</v>
      </c>
      <c r="K3204">
        <v>1</v>
      </c>
      <c r="L3204">
        <v>45906</v>
      </c>
      <c r="M3204" t="s">
        <v>51</v>
      </c>
      <c r="N3204">
        <v>1</v>
      </c>
      <c r="O3204">
        <v>4</v>
      </c>
      <c r="P3204">
        <v>14</v>
      </c>
      <c r="Q3204">
        <v>1</v>
      </c>
      <c r="R3204" s="1">
        <v>44768</v>
      </c>
      <c r="S3204" t="s">
        <v>37</v>
      </c>
      <c r="T3204" t="str">
        <f t="shared" si="250"/>
        <v>Grade C</v>
      </c>
      <c r="U3204">
        <f t="shared" si="251"/>
        <v>4</v>
      </c>
      <c r="V3204" t="str">
        <f t="shared" si="252"/>
        <v>New Joiner</v>
      </c>
      <c r="W3204" t="str">
        <f t="shared" si="253"/>
        <v>Already Left</v>
      </c>
      <c r="X3204" t="str">
        <f t="shared" si="254"/>
        <v>Fair</v>
      </c>
    </row>
    <row r="3205" spans="1:24" x14ac:dyDescent="0.3">
      <c r="A3205" t="s">
        <v>3273</v>
      </c>
      <c r="B3205" t="s">
        <v>39</v>
      </c>
      <c r="C3205">
        <v>41</v>
      </c>
      <c r="D3205" t="s">
        <v>47</v>
      </c>
      <c r="E3205" t="s">
        <v>48</v>
      </c>
      <c r="F3205" t="s">
        <v>62</v>
      </c>
      <c r="G3205" t="s">
        <v>33</v>
      </c>
      <c r="H3205" t="s">
        <v>67</v>
      </c>
      <c r="I3205" t="s">
        <v>43</v>
      </c>
      <c r="J3205" t="s">
        <v>44</v>
      </c>
      <c r="K3205">
        <v>13</v>
      </c>
      <c r="L3205">
        <v>84134</v>
      </c>
      <c r="M3205" t="s">
        <v>28</v>
      </c>
      <c r="N3205">
        <v>1</v>
      </c>
      <c r="O3205">
        <v>3</v>
      </c>
      <c r="P3205">
        <v>66</v>
      </c>
      <c r="Q3205">
        <v>0</v>
      </c>
      <c r="R3205" s="1">
        <v>40508</v>
      </c>
      <c r="S3205" t="s">
        <v>29</v>
      </c>
      <c r="T3205" t="str">
        <f t="shared" si="250"/>
        <v>Grade A</v>
      </c>
      <c r="U3205">
        <f t="shared" si="251"/>
        <v>3</v>
      </c>
      <c r="V3205" t="str">
        <f t="shared" si="252"/>
        <v>Senior</v>
      </c>
      <c r="W3205" t="str">
        <f t="shared" si="253"/>
        <v>Medium Risk</v>
      </c>
      <c r="X3205" t="str">
        <f t="shared" si="254"/>
        <v>Competitive</v>
      </c>
    </row>
    <row r="3206" spans="1:24" x14ac:dyDescent="0.3">
      <c r="A3206" t="s">
        <v>3274</v>
      </c>
      <c r="B3206" t="s">
        <v>20</v>
      </c>
      <c r="C3206">
        <v>31</v>
      </c>
      <c r="D3206" t="s">
        <v>88</v>
      </c>
      <c r="E3206" t="s">
        <v>22</v>
      </c>
      <c r="F3206" t="s">
        <v>78</v>
      </c>
      <c r="G3206" t="s">
        <v>79</v>
      </c>
      <c r="H3206" t="s">
        <v>76</v>
      </c>
      <c r="I3206" t="s">
        <v>35</v>
      </c>
      <c r="J3206" t="s">
        <v>27</v>
      </c>
      <c r="K3206">
        <v>14</v>
      </c>
      <c r="L3206">
        <v>73739</v>
      </c>
      <c r="M3206" t="s">
        <v>28</v>
      </c>
      <c r="N3206">
        <v>1</v>
      </c>
      <c r="O3206">
        <v>1</v>
      </c>
      <c r="P3206">
        <v>23</v>
      </c>
      <c r="Q3206">
        <v>3</v>
      </c>
      <c r="R3206" s="1">
        <v>39872</v>
      </c>
      <c r="S3206" t="s">
        <v>29</v>
      </c>
      <c r="T3206" t="str">
        <f t="shared" si="250"/>
        <v>Grade B</v>
      </c>
      <c r="U3206">
        <f t="shared" si="251"/>
        <v>3</v>
      </c>
      <c r="V3206" t="str">
        <f t="shared" si="252"/>
        <v>Senior</v>
      </c>
      <c r="W3206" t="str">
        <f t="shared" si="253"/>
        <v>Medium Risk</v>
      </c>
      <c r="X3206" t="str">
        <f t="shared" si="254"/>
        <v>Competitive</v>
      </c>
    </row>
    <row r="3207" spans="1:24" x14ac:dyDescent="0.3">
      <c r="A3207" t="s">
        <v>3275</v>
      </c>
      <c r="B3207" t="s">
        <v>39</v>
      </c>
      <c r="C3207">
        <v>53</v>
      </c>
      <c r="D3207" t="s">
        <v>88</v>
      </c>
      <c r="E3207" t="s">
        <v>48</v>
      </c>
      <c r="F3207" t="s">
        <v>78</v>
      </c>
      <c r="G3207" t="s">
        <v>66</v>
      </c>
      <c r="H3207" t="s">
        <v>25</v>
      </c>
      <c r="I3207" t="s">
        <v>68</v>
      </c>
      <c r="J3207" t="s">
        <v>60</v>
      </c>
      <c r="K3207">
        <v>2</v>
      </c>
      <c r="L3207">
        <v>31847</v>
      </c>
      <c r="M3207" t="s">
        <v>28</v>
      </c>
      <c r="N3207">
        <v>2</v>
      </c>
      <c r="O3207">
        <v>1</v>
      </c>
      <c r="P3207">
        <v>38</v>
      </c>
      <c r="Q3207">
        <v>1</v>
      </c>
      <c r="R3207" s="1">
        <v>44390</v>
      </c>
      <c r="S3207" t="s">
        <v>29</v>
      </c>
      <c r="T3207" t="str">
        <f t="shared" si="250"/>
        <v>Grade D</v>
      </c>
      <c r="U3207">
        <f t="shared" si="251"/>
        <v>3</v>
      </c>
      <c r="V3207" t="str">
        <f t="shared" si="252"/>
        <v>New Joiner</v>
      </c>
      <c r="W3207" t="str">
        <f t="shared" si="253"/>
        <v>Medium Risk</v>
      </c>
      <c r="X3207" t="str">
        <f t="shared" si="254"/>
        <v>Fair</v>
      </c>
    </row>
    <row r="3208" spans="1:24" x14ac:dyDescent="0.3">
      <c r="A3208" t="s">
        <v>3276</v>
      </c>
      <c r="B3208" t="s">
        <v>20</v>
      </c>
      <c r="C3208">
        <v>47</v>
      </c>
      <c r="D3208" t="s">
        <v>47</v>
      </c>
      <c r="E3208" t="s">
        <v>48</v>
      </c>
      <c r="F3208" t="s">
        <v>23</v>
      </c>
      <c r="G3208" t="s">
        <v>79</v>
      </c>
      <c r="H3208" t="s">
        <v>25</v>
      </c>
      <c r="I3208" t="s">
        <v>80</v>
      </c>
      <c r="J3208" t="s">
        <v>60</v>
      </c>
      <c r="K3208">
        <v>14</v>
      </c>
      <c r="L3208">
        <v>71754</v>
      </c>
      <c r="M3208" t="s">
        <v>36</v>
      </c>
      <c r="N3208">
        <v>1</v>
      </c>
      <c r="O3208">
        <v>3</v>
      </c>
      <c r="P3208">
        <v>54</v>
      </c>
      <c r="Q3208">
        <v>3</v>
      </c>
      <c r="R3208" s="1">
        <v>39870</v>
      </c>
      <c r="S3208" t="s">
        <v>37</v>
      </c>
      <c r="T3208" t="str">
        <f t="shared" si="250"/>
        <v>Grade B</v>
      </c>
      <c r="U3208">
        <f t="shared" si="251"/>
        <v>1</v>
      </c>
      <c r="V3208" t="str">
        <f t="shared" si="252"/>
        <v>Senior</v>
      </c>
      <c r="W3208" t="str">
        <f t="shared" si="253"/>
        <v>Already Left</v>
      </c>
      <c r="X3208" t="str">
        <f t="shared" si="254"/>
        <v>Fair</v>
      </c>
    </row>
    <row r="3209" spans="1:24" x14ac:dyDescent="0.3">
      <c r="A3209" t="s">
        <v>3277</v>
      </c>
      <c r="B3209" t="s">
        <v>20</v>
      </c>
      <c r="C3209">
        <v>50</v>
      </c>
      <c r="D3209" t="s">
        <v>57</v>
      </c>
      <c r="E3209" t="s">
        <v>22</v>
      </c>
      <c r="F3209" t="s">
        <v>75</v>
      </c>
      <c r="G3209" t="s">
        <v>63</v>
      </c>
      <c r="H3209" t="s">
        <v>25</v>
      </c>
      <c r="I3209" t="s">
        <v>50</v>
      </c>
      <c r="J3209" t="s">
        <v>44</v>
      </c>
      <c r="K3209">
        <v>13</v>
      </c>
      <c r="L3209">
        <v>66338</v>
      </c>
      <c r="M3209" t="s">
        <v>36</v>
      </c>
      <c r="N3209">
        <v>4</v>
      </c>
      <c r="O3209">
        <v>1</v>
      </c>
      <c r="P3209">
        <v>32</v>
      </c>
      <c r="Q3209">
        <v>0</v>
      </c>
      <c r="R3209" s="1">
        <v>40286</v>
      </c>
      <c r="S3209" t="s">
        <v>37</v>
      </c>
      <c r="T3209" t="str">
        <f t="shared" si="250"/>
        <v>Grade B</v>
      </c>
      <c r="U3209">
        <f t="shared" si="251"/>
        <v>1</v>
      </c>
      <c r="V3209" t="str">
        <f t="shared" si="252"/>
        <v>Senior</v>
      </c>
      <c r="W3209" t="str">
        <f t="shared" si="253"/>
        <v>Already Left</v>
      </c>
      <c r="X3209" t="str">
        <f t="shared" si="254"/>
        <v>Fair</v>
      </c>
    </row>
    <row r="3210" spans="1:24" x14ac:dyDescent="0.3">
      <c r="A3210" t="s">
        <v>3278</v>
      </c>
      <c r="B3210" t="s">
        <v>20</v>
      </c>
      <c r="C3210">
        <v>22</v>
      </c>
      <c r="D3210" t="s">
        <v>21</v>
      </c>
      <c r="E3210" t="s">
        <v>22</v>
      </c>
      <c r="F3210" t="s">
        <v>32</v>
      </c>
      <c r="G3210" t="s">
        <v>63</v>
      </c>
      <c r="H3210" t="s">
        <v>34</v>
      </c>
      <c r="I3210" t="s">
        <v>54</v>
      </c>
      <c r="J3210" t="s">
        <v>27</v>
      </c>
      <c r="K3210">
        <v>8</v>
      </c>
      <c r="L3210">
        <v>66672</v>
      </c>
      <c r="M3210" t="s">
        <v>51</v>
      </c>
      <c r="N3210">
        <v>2</v>
      </c>
      <c r="O3210">
        <v>4</v>
      </c>
      <c r="P3210">
        <v>64</v>
      </c>
      <c r="Q3210">
        <v>1</v>
      </c>
      <c r="R3210" s="1">
        <v>42032</v>
      </c>
      <c r="S3210" t="s">
        <v>37</v>
      </c>
      <c r="T3210" t="str">
        <f t="shared" si="250"/>
        <v>Grade B</v>
      </c>
      <c r="U3210">
        <f t="shared" si="251"/>
        <v>4</v>
      </c>
      <c r="V3210" t="str">
        <f t="shared" si="252"/>
        <v>Mid Level</v>
      </c>
      <c r="W3210" t="str">
        <f t="shared" si="253"/>
        <v>Already Left</v>
      </c>
      <c r="X3210" t="str">
        <f t="shared" si="254"/>
        <v>Fair</v>
      </c>
    </row>
    <row r="3211" spans="1:24" x14ac:dyDescent="0.3">
      <c r="A3211" t="s">
        <v>3279</v>
      </c>
      <c r="B3211" t="s">
        <v>39</v>
      </c>
      <c r="C3211">
        <v>36</v>
      </c>
      <c r="D3211" t="s">
        <v>88</v>
      </c>
      <c r="E3211" t="s">
        <v>40</v>
      </c>
      <c r="F3211" t="s">
        <v>62</v>
      </c>
      <c r="G3211" t="s">
        <v>42</v>
      </c>
      <c r="H3211" t="s">
        <v>25</v>
      </c>
      <c r="I3211" t="s">
        <v>80</v>
      </c>
      <c r="J3211" t="s">
        <v>60</v>
      </c>
      <c r="K3211">
        <v>8</v>
      </c>
      <c r="L3211">
        <v>107421</v>
      </c>
      <c r="M3211" t="s">
        <v>28</v>
      </c>
      <c r="N3211">
        <v>4</v>
      </c>
      <c r="O3211">
        <v>1</v>
      </c>
      <c r="P3211">
        <v>63</v>
      </c>
      <c r="Q3211">
        <v>2</v>
      </c>
      <c r="R3211" s="1">
        <v>42014</v>
      </c>
      <c r="S3211" t="s">
        <v>37</v>
      </c>
      <c r="T3211" t="str">
        <f t="shared" si="250"/>
        <v>Grade A</v>
      </c>
      <c r="U3211">
        <f t="shared" si="251"/>
        <v>3</v>
      </c>
      <c r="V3211" t="str">
        <f t="shared" si="252"/>
        <v>Mid Level</v>
      </c>
      <c r="W3211" t="str">
        <f t="shared" si="253"/>
        <v>Already Left</v>
      </c>
      <c r="X3211" t="str">
        <f t="shared" si="254"/>
        <v>Competitive</v>
      </c>
    </row>
    <row r="3212" spans="1:24" x14ac:dyDescent="0.3">
      <c r="A3212" t="s">
        <v>3280</v>
      </c>
      <c r="B3212" t="s">
        <v>20</v>
      </c>
      <c r="C3212">
        <v>54</v>
      </c>
      <c r="D3212" t="s">
        <v>57</v>
      </c>
      <c r="E3212" t="s">
        <v>40</v>
      </c>
      <c r="F3212" t="s">
        <v>65</v>
      </c>
      <c r="G3212" t="s">
        <v>79</v>
      </c>
      <c r="H3212" t="s">
        <v>34</v>
      </c>
      <c r="I3212" t="s">
        <v>43</v>
      </c>
      <c r="J3212" t="s">
        <v>44</v>
      </c>
      <c r="K3212">
        <v>12</v>
      </c>
      <c r="L3212">
        <v>71711</v>
      </c>
      <c r="M3212" t="s">
        <v>45</v>
      </c>
      <c r="N3212">
        <v>3</v>
      </c>
      <c r="O3212">
        <v>2</v>
      </c>
      <c r="P3212">
        <v>32</v>
      </c>
      <c r="Q3212">
        <v>0</v>
      </c>
      <c r="R3212" s="1">
        <v>40635</v>
      </c>
      <c r="S3212" t="s">
        <v>29</v>
      </c>
      <c r="T3212" t="str">
        <f t="shared" si="250"/>
        <v>Grade B</v>
      </c>
      <c r="U3212">
        <f t="shared" si="251"/>
        <v>2</v>
      </c>
      <c r="V3212" t="str">
        <f t="shared" si="252"/>
        <v>Senior</v>
      </c>
      <c r="W3212" t="str">
        <f t="shared" si="253"/>
        <v>Medium Risk</v>
      </c>
      <c r="X3212" t="str">
        <f t="shared" si="254"/>
        <v>Fair</v>
      </c>
    </row>
    <row r="3213" spans="1:24" x14ac:dyDescent="0.3">
      <c r="A3213" t="s">
        <v>3281</v>
      </c>
      <c r="B3213" t="s">
        <v>39</v>
      </c>
      <c r="C3213">
        <v>52</v>
      </c>
      <c r="D3213" t="s">
        <v>31</v>
      </c>
      <c r="E3213" t="s">
        <v>48</v>
      </c>
      <c r="F3213" t="s">
        <v>53</v>
      </c>
      <c r="G3213" t="s">
        <v>63</v>
      </c>
      <c r="H3213" t="s">
        <v>67</v>
      </c>
      <c r="I3213" t="s">
        <v>59</v>
      </c>
      <c r="J3213" t="s">
        <v>60</v>
      </c>
      <c r="K3213">
        <v>9</v>
      </c>
      <c r="L3213">
        <v>69423</v>
      </c>
      <c r="M3213" t="s">
        <v>36</v>
      </c>
      <c r="N3213">
        <v>4</v>
      </c>
      <c r="O3213">
        <v>3</v>
      </c>
      <c r="P3213">
        <v>46</v>
      </c>
      <c r="Q3213">
        <v>2</v>
      </c>
      <c r="R3213" s="1">
        <v>41676</v>
      </c>
      <c r="S3213" t="s">
        <v>37</v>
      </c>
      <c r="T3213" t="str">
        <f t="shared" si="250"/>
        <v>Grade B</v>
      </c>
      <c r="U3213">
        <f t="shared" si="251"/>
        <v>1</v>
      </c>
      <c r="V3213" t="str">
        <f t="shared" si="252"/>
        <v>Mid Level</v>
      </c>
      <c r="W3213" t="str">
        <f t="shared" si="253"/>
        <v>Already Left</v>
      </c>
      <c r="X3213" t="str">
        <f t="shared" si="254"/>
        <v>Fair</v>
      </c>
    </row>
    <row r="3214" spans="1:24" x14ac:dyDescent="0.3">
      <c r="A3214" t="s">
        <v>3282</v>
      </c>
      <c r="B3214" t="s">
        <v>39</v>
      </c>
      <c r="C3214">
        <v>23</v>
      </c>
      <c r="D3214" t="s">
        <v>88</v>
      </c>
      <c r="E3214" t="s">
        <v>22</v>
      </c>
      <c r="F3214" t="s">
        <v>75</v>
      </c>
      <c r="G3214" t="s">
        <v>24</v>
      </c>
      <c r="H3214" t="s">
        <v>25</v>
      </c>
      <c r="I3214" t="s">
        <v>96</v>
      </c>
      <c r="J3214" t="s">
        <v>44</v>
      </c>
      <c r="K3214">
        <v>1</v>
      </c>
      <c r="L3214">
        <v>75541</v>
      </c>
      <c r="M3214" t="s">
        <v>28</v>
      </c>
      <c r="N3214">
        <v>2</v>
      </c>
      <c r="O3214">
        <v>2</v>
      </c>
      <c r="P3214">
        <v>29</v>
      </c>
      <c r="Q3214">
        <v>1</v>
      </c>
      <c r="R3214" s="1">
        <v>44780</v>
      </c>
      <c r="S3214" t="s">
        <v>29</v>
      </c>
      <c r="T3214" t="str">
        <f t="shared" si="250"/>
        <v>Grade B</v>
      </c>
      <c r="U3214">
        <f t="shared" si="251"/>
        <v>3</v>
      </c>
      <c r="V3214" t="str">
        <f t="shared" si="252"/>
        <v>New Joiner</v>
      </c>
      <c r="W3214" t="str">
        <f t="shared" si="253"/>
        <v>Medium Risk</v>
      </c>
      <c r="X3214" t="str">
        <f t="shared" si="254"/>
        <v>Competitive</v>
      </c>
    </row>
    <row r="3215" spans="1:24" x14ac:dyDescent="0.3">
      <c r="A3215" t="s">
        <v>3283</v>
      </c>
      <c r="B3215" t="s">
        <v>20</v>
      </c>
      <c r="C3215">
        <v>41</v>
      </c>
      <c r="D3215" t="s">
        <v>47</v>
      </c>
      <c r="E3215" t="s">
        <v>40</v>
      </c>
      <c r="F3215" t="s">
        <v>78</v>
      </c>
      <c r="G3215" t="s">
        <v>79</v>
      </c>
      <c r="H3215" t="s">
        <v>25</v>
      </c>
      <c r="I3215" t="s">
        <v>72</v>
      </c>
      <c r="J3215" t="s">
        <v>73</v>
      </c>
      <c r="K3215">
        <v>5</v>
      </c>
      <c r="L3215">
        <v>44526</v>
      </c>
      <c r="M3215" t="s">
        <v>51</v>
      </c>
      <c r="N3215">
        <v>3</v>
      </c>
      <c r="O3215">
        <v>1</v>
      </c>
      <c r="P3215">
        <v>45</v>
      </c>
      <c r="Q3215">
        <v>2</v>
      </c>
      <c r="R3215" s="1">
        <v>43252</v>
      </c>
      <c r="S3215" t="s">
        <v>29</v>
      </c>
      <c r="T3215" t="str">
        <f t="shared" si="250"/>
        <v>Grade C</v>
      </c>
      <c r="U3215">
        <f t="shared" si="251"/>
        <v>4</v>
      </c>
      <c r="V3215" t="str">
        <f t="shared" si="252"/>
        <v>Junior</v>
      </c>
      <c r="W3215" t="str">
        <f t="shared" si="253"/>
        <v>Low Risk</v>
      </c>
      <c r="X3215" t="str">
        <f t="shared" si="254"/>
        <v>Fair</v>
      </c>
    </row>
    <row r="3216" spans="1:24" x14ac:dyDescent="0.3">
      <c r="A3216" t="s">
        <v>3284</v>
      </c>
      <c r="B3216" t="s">
        <v>39</v>
      </c>
      <c r="C3216">
        <v>38</v>
      </c>
      <c r="D3216" t="s">
        <v>57</v>
      </c>
      <c r="E3216" t="s">
        <v>48</v>
      </c>
      <c r="F3216" t="s">
        <v>78</v>
      </c>
      <c r="G3216" t="s">
        <v>24</v>
      </c>
      <c r="H3216" t="s">
        <v>67</v>
      </c>
      <c r="I3216" t="s">
        <v>72</v>
      </c>
      <c r="J3216" t="s">
        <v>73</v>
      </c>
      <c r="K3216">
        <v>5</v>
      </c>
      <c r="L3216">
        <v>88891</v>
      </c>
      <c r="M3216" t="s">
        <v>51</v>
      </c>
      <c r="N3216">
        <v>4</v>
      </c>
      <c r="O3216">
        <v>1</v>
      </c>
      <c r="P3216">
        <v>35</v>
      </c>
      <c r="Q3216">
        <v>1</v>
      </c>
      <c r="R3216" s="1">
        <v>43377</v>
      </c>
      <c r="S3216" t="s">
        <v>29</v>
      </c>
      <c r="T3216" t="str">
        <f t="shared" si="250"/>
        <v>Grade A</v>
      </c>
      <c r="U3216">
        <f t="shared" si="251"/>
        <v>4</v>
      </c>
      <c r="V3216" t="str">
        <f t="shared" si="252"/>
        <v>Junior</v>
      </c>
      <c r="W3216" t="str">
        <f t="shared" si="253"/>
        <v>Low Risk</v>
      </c>
      <c r="X3216" t="str">
        <f t="shared" si="254"/>
        <v>Competitive</v>
      </c>
    </row>
    <row r="3217" spans="1:24" x14ac:dyDescent="0.3">
      <c r="A3217" t="s">
        <v>3285</v>
      </c>
      <c r="B3217" t="s">
        <v>20</v>
      </c>
      <c r="C3217">
        <v>39</v>
      </c>
      <c r="D3217" t="s">
        <v>21</v>
      </c>
      <c r="E3217" t="s">
        <v>40</v>
      </c>
      <c r="F3217" t="s">
        <v>23</v>
      </c>
      <c r="G3217" t="s">
        <v>58</v>
      </c>
      <c r="H3217" t="s">
        <v>76</v>
      </c>
      <c r="I3217" t="s">
        <v>35</v>
      </c>
      <c r="J3217" t="s">
        <v>27</v>
      </c>
      <c r="K3217">
        <v>1</v>
      </c>
      <c r="L3217">
        <v>81734</v>
      </c>
      <c r="M3217" t="s">
        <v>51</v>
      </c>
      <c r="N3217">
        <v>4</v>
      </c>
      <c r="O3217">
        <v>2</v>
      </c>
      <c r="P3217">
        <v>59</v>
      </c>
      <c r="Q3217">
        <v>3</v>
      </c>
      <c r="R3217" s="1">
        <v>44766</v>
      </c>
      <c r="S3217" t="s">
        <v>29</v>
      </c>
      <c r="T3217" t="str">
        <f t="shared" si="250"/>
        <v>Grade A</v>
      </c>
      <c r="U3217">
        <f t="shared" si="251"/>
        <v>4</v>
      </c>
      <c r="V3217" t="str">
        <f t="shared" si="252"/>
        <v>New Joiner</v>
      </c>
      <c r="W3217" t="str">
        <f t="shared" si="253"/>
        <v>Low Risk</v>
      </c>
      <c r="X3217" t="str">
        <f t="shared" si="254"/>
        <v>Competitive</v>
      </c>
    </row>
    <row r="3218" spans="1:24" x14ac:dyDescent="0.3">
      <c r="A3218" t="s">
        <v>3286</v>
      </c>
      <c r="B3218" t="s">
        <v>20</v>
      </c>
      <c r="C3218">
        <v>54</v>
      </c>
      <c r="D3218" t="s">
        <v>47</v>
      </c>
      <c r="E3218" t="s">
        <v>40</v>
      </c>
      <c r="F3218" t="s">
        <v>32</v>
      </c>
      <c r="G3218" t="s">
        <v>49</v>
      </c>
      <c r="H3218" t="s">
        <v>67</v>
      </c>
      <c r="I3218" t="s">
        <v>54</v>
      </c>
      <c r="J3218" t="s">
        <v>27</v>
      </c>
      <c r="K3218">
        <v>4</v>
      </c>
      <c r="L3218">
        <v>54419</v>
      </c>
      <c r="M3218" t="s">
        <v>28</v>
      </c>
      <c r="N3218">
        <v>4</v>
      </c>
      <c r="O3218">
        <v>2</v>
      </c>
      <c r="P3218">
        <v>54</v>
      </c>
      <c r="Q3218">
        <v>0</v>
      </c>
      <c r="R3218" s="1">
        <v>43604</v>
      </c>
      <c r="S3218" t="s">
        <v>29</v>
      </c>
      <c r="T3218" t="str">
        <f t="shared" si="250"/>
        <v>Grade B</v>
      </c>
      <c r="U3218">
        <f t="shared" si="251"/>
        <v>3</v>
      </c>
      <c r="V3218" t="str">
        <f t="shared" si="252"/>
        <v>Junior</v>
      </c>
      <c r="W3218" t="str">
        <f t="shared" si="253"/>
        <v>Medium Risk</v>
      </c>
      <c r="X3218" t="str">
        <f t="shared" si="254"/>
        <v>Competitive</v>
      </c>
    </row>
    <row r="3219" spans="1:24" x14ac:dyDescent="0.3">
      <c r="A3219" t="s">
        <v>3287</v>
      </c>
      <c r="B3219" t="s">
        <v>39</v>
      </c>
      <c r="C3219">
        <v>43</v>
      </c>
      <c r="D3219" t="s">
        <v>21</v>
      </c>
      <c r="E3219" t="s">
        <v>48</v>
      </c>
      <c r="F3219" t="s">
        <v>32</v>
      </c>
      <c r="G3219" t="s">
        <v>79</v>
      </c>
      <c r="H3219" t="s">
        <v>34</v>
      </c>
      <c r="I3219" t="s">
        <v>96</v>
      </c>
      <c r="J3219" t="s">
        <v>44</v>
      </c>
      <c r="K3219">
        <v>9</v>
      </c>
      <c r="L3219">
        <v>60415</v>
      </c>
      <c r="M3219" t="s">
        <v>36</v>
      </c>
      <c r="N3219">
        <v>2</v>
      </c>
      <c r="O3219">
        <v>4</v>
      </c>
      <c r="P3219">
        <v>79</v>
      </c>
      <c r="Q3219">
        <v>3</v>
      </c>
      <c r="R3219" s="1">
        <v>41935</v>
      </c>
      <c r="S3219" t="s">
        <v>37</v>
      </c>
      <c r="T3219" t="str">
        <f t="shared" si="250"/>
        <v>Grade B</v>
      </c>
      <c r="U3219">
        <f t="shared" si="251"/>
        <v>1</v>
      </c>
      <c r="V3219" t="str">
        <f t="shared" si="252"/>
        <v>Mid Level</v>
      </c>
      <c r="W3219" t="str">
        <f t="shared" si="253"/>
        <v>Already Left</v>
      </c>
      <c r="X3219" t="str">
        <f t="shared" si="254"/>
        <v>Fair</v>
      </c>
    </row>
    <row r="3220" spans="1:24" x14ac:dyDescent="0.3">
      <c r="A3220" t="s">
        <v>3288</v>
      </c>
      <c r="B3220" t="s">
        <v>20</v>
      </c>
      <c r="C3220">
        <v>23</v>
      </c>
      <c r="D3220" t="s">
        <v>47</v>
      </c>
      <c r="E3220" t="s">
        <v>22</v>
      </c>
      <c r="F3220" t="s">
        <v>65</v>
      </c>
      <c r="G3220" t="s">
        <v>58</v>
      </c>
      <c r="H3220" t="s">
        <v>67</v>
      </c>
      <c r="I3220" t="s">
        <v>59</v>
      </c>
      <c r="J3220" t="s">
        <v>60</v>
      </c>
      <c r="K3220">
        <v>10</v>
      </c>
      <c r="L3220">
        <v>107350</v>
      </c>
      <c r="M3220" t="s">
        <v>51</v>
      </c>
      <c r="N3220">
        <v>3</v>
      </c>
      <c r="O3220">
        <v>2</v>
      </c>
      <c r="P3220">
        <v>54</v>
      </c>
      <c r="Q3220">
        <v>0</v>
      </c>
      <c r="R3220" s="1">
        <v>41512</v>
      </c>
      <c r="S3220" t="s">
        <v>29</v>
      </c>
      <c r="T3220" t="str">
        <f t="shared" si="250"/>
        <v>Grade A</v>
      </c>
      <c r="U3220">
        <f t="shared" si="251"/>
        <v>4</v>
      </c>
      <c r="V3220" t="str">
        <f t="shared" si="252"/>
        <v>Mid Level</v>
      </c>
      <c r="W3220" t="str">
        <f t="shared" si="253"/>
        <v>Low Risk</v>
      </c>
      <c r="X3220" t="str">
        <f t="shared" si="254"/>
        <v>Competitive</v>
      </c>
    </row>
    <row r="3221" spans="1:24" x14ac:dyDescent="0.3">
      <c r="A3221" t="s">
        <v>3289</v>
      </c>
      <c r="B3221" t="s">
        <v>39</v>
      </c>
      <c r="C3221">
        <v>25</v>
      </c>
      <c r="D3221" t="s">
        <v>57</v>
      </c>
      <c r="E3221" t="s">
        <v>48</v>
      </c>
      <c r="F3221" t="s">
        <v>75</v>
      </c>
      <c r="G3221" t="s">
        <v>24</v>
      </c>
      <c r="H3221" t="s">
        <v>76</v>
      </c>
      <c r="I3221" t="s">
        <v>35</v>
      </c>
      <c r="J3221" t="s">
        <v>27</v>
      </c>
      <c r="K3221">
        <v>12</v>
      </c>
      <c r="L3221">
        <v>102380</v>
      </c>
      <c r="M3221" t="s">
        <v>28</v>
      </c>
      <c r="N3221">
        <v>4</v>
      </c>
      <c r="O3221">
        <v>4</v>
      </c>
      <c r="P3221">
        <v>66</v>
      </c>
      <c r="Q3221">
        <v>3</v>
      </c>
      <c r="R3221" s="1">
        <v>40818</v>
      </c>
      <c r="S3221" t="s">
        <v>29</v>
      </c>
      <c r="T3221" t="str">
        <f t="shared" si="250"/>
        <v>Grade A</v>
      </c>
      <c r="U3221">
        <f t="shared" si="251"/>
        <v>3</v>
      </c>
      <c r="V3221" t="str">
        <f t="shared" si="252"/>
        <v>Senior</v>
      </c>
      <c r="W3221" t="str">
        <f t="shared" si="253"/>
        <v>Medium Risk</v>
      </c>
      <c r="X3221" t="str">
        <f t="shared" si="254"/>
        <v>Competitive</v>
      </c>
    </row>
    <row r="3222" spans="1:24" x14ac:dyDescent="0.3">
      <c r="A3222" t="s">
        <v>3290</v>
      </c>
      <c r="B3222" t="s">
        <v>20</v>
      </c>
      <c r="C3222">
        <v>38</v>
      </c>
      <c r="D3222" t="s">
        <v>57</v>
      </c>
      <c r="E3222" t="s">
        <v>40</v>
      </c>
      <c r="F3222" t="s">
        <v>32</v>
      </c>
      <c r="G3222" t="s">
        <v>79</v>
      </c>
      <c r="H3222" t="s">
        <v>34</v>
      </c>
      <c r="I3222" t="s">
        <v>96</v>
      </c>
      <c r="J3222" t="s">
        <v>44</v>
      </c>
      <c r="K3222">
        <v>2</v>
      </c>
      <c r="L3222">
        <v>53949</v>
      </c>
      <c r="M3222" t="s">
        <v>36</v>
      </c>
      <c r="N3222">
        <v>2</v>
      </c>
      <c r="O3222">
        <v>2</v>
      </c>
      <c r="P3222">
        <v>14</v>
      </c>
      <c r="Q3222">
        <v>2</v>
      </c>
      <c r="R3222" s="1">
        <v>44229</v>
      </c>
      <c r="S3222" t="s">
        <v>37</v>
      </c>
      <c r="T3222" t="str">
        <f t="shared" si="250"/>
        <v>Grade B</v>
      </c>
      <c r="U3222">
        <f t="shared" si="251"/>
        <v>1</v>
      </c>
      <c r="V3222" t="str">
        <f t="shared" si="252"/>
        <v>New Joiner</v>
      </c>
      <c r="W3222" t="str">
        <f t="shared" si="253"/>
        <v>Already Left</v>
      </c>
      <c r="X3222" t="str">
        <f t="shared" si="254"/>
        <v>Fair</v>
      </c>
    </row>
    <row r="3223" spans="1:24" x14ac:dyDescent="0.3">
      <c r="A3223" t="s">
        <v>3291</v>
      </c>
      <c r="B3223" t="s">
        <v>20</v>
      </c>
      <c r="C3223">
        <v>29</v>
      </c>
      <c r="D3223" t="s">
        <v>21</v>
      </c>
      <c r="E3223" t="s">
        <v>40</v>
      </c>
      <c r="F3223" t="s">
        <v>78</v>
      </c>
      <c r="G3223" t="s">
        <v>63</v>
      </c>
      <c r="H3223" t="s">
        <v>25</v>
      </c>
      <c r="I3223" t="s">
        <v>59</v>
      </c>
      <c r="J3223" t="s">
        <v>60</v>
      </c>
      <c r="K3223">
        <v>11</v>
      </c>
      <c r="L3223">
        <v>62171</v>
      </c>
      <c r="M3223" t="s">
        <v>51</v>
      </c>
      <c r="N3223">
        <v>2</v>
      </c>
      <c r="O3223">
        <v>2</v>
      </c>
      <c r="P3223">
        <v>29</v>
      </c>
      <c r="Q3223">
        <v>2</v>
      </c>
      <c r="R3223" s="1">
        <v>41206</v>
      </c>
      <c r="S3223" t="s">
        <v>29</v>
      </c>
      <c r="T3223" t="str">
        <f t="shared" si="250"/>
        <v>Grade B</v>
      </c>
      <c r="U3223">
        <f t="shared" si="251"/>
        <v>4</v>
      </c>
      <c r="V3223" t="str">
        <f t="shared" si="252"/>
        <v>Senior</v>
      </c>
      <c r="W3223" t="str">
        <f t="shared" si="253"/>
        <v>Low Risk</v>
      </c>
      <c r="X3223" t="str">
        <f t="shared" si="254"/>
        <v>Fair</v>
      </c>
    </row>
    <row r="3224" spans="1:24" x14ac:dyDescent="0.3">
      <c r="A3224" t="s">
        <v>3292</v>
      </c>
      <c r="B3224" t="s">
        <v>20</v>
      </c>
      <c r="C3224">
        <v>29</v>
      </c>
      <c r="D3224" t="s">
        <v>88</v>
      </c>
      <c r="E3224" t="s">
        <v>40</v>
      </c>
      <c r="F3224" t="s">
        <v>78</v>
      </c>
      <c r="G3224" t="s">
        <v>66</v>
      </c>
      <c r="H3224" t="s">
        <v>76</v>
      </c>
      <c r="I3224" t="s">
        <v>35</v>
      </c>
      <c r="J3224" t="s">
        <v>27</v>
      </c>
      <c r="K3224">
        <v>7</v>
      </c>
      <c r="L3224">
        <v>42561</v>
      </c>
      <c r="M3224" t="s">
        <v>28</v>
      </c>
      <c r="N3224">
        <v>4</v>
      </c>
      <c r="O3224">
        <v>4</v>
      </c>
      <c r="P3224">
        <v>20</v>
      </c>
      <c r="Q3224">
        <v>1</v>
      </c>
      <c r="R3224" s="1">
        <v>42463</v>
      </c>
      <c r="S3224" t="s">
        <v>29</v>
      </c>
      <c r="T3224" t="str">
        <f t="shared" si="250"/>
        <v>Grade C</v>
      </c>
      <c r="U3224">
        <f t="shared" si="251"/>
        <v>3</v>
      </c>
      <c r="V3224" t="str">
        <f t="shared" si="252"/>
        <v>Mid Level</v>
      </c>
      <c r="W3224" t="str">
        <f t="shared" si="253"/>
        <v>Medium Risk</v>
      </c>
      <c r="X3224" t="str">
        <f t="shared" si="254"/>
        <v>Fair</v>
      </c>
    </row>
    <row r="3225" spans="1:24" x14ac:dyDescent="0.3">
      <c r="A3225" t="s">
        <v>3293</v>
      </c>
      <c r="B3225" t="s">
        <v>20</v>
      </c>
      <c r="C3225">
        <v>35</v>
      </c>
      <c r="D3225" t="s">
        <v>88</v>
      </c>
      <c r="E3225" t="s">
        <v>40</v>
      </c>
      <c r="F3225" t="s">
        <v>62</v>
      </c>
      <c r="G3225" t="s">
        <v>66</v>
      </c>
      <c r="H3225" t="s">
        <v>83</v>
      </c>
      <c r="I3225" t="s">
        <v>68</v>
      </c>
      <c r="J3225" t="s">
        <v>60</v>
      </c>
      <c r="K3225">
        <v>4</v>
      </c>
      <c r="L3225">
        <v>48484</v>
      </c>
      <c r="M3225" t="s">
        <v>36</v>
      </c>
      <c r="N3225">
        <v>3</v>
      </c>
      <c r="O3225">
        <v>4</v>
      </c>
      <c r="P3225">
        <v>28</v>
      </c>
      <c r="Q3225">
        <v>3</v>
      </c>
      <c r="R3225" s="1">
        <v>43593</v>
      </c>
      <c r="S3225" t="s">
        <v>37</v>
      </c>
      <c r="T3225" t="str">
        <f t="shared" si="250"/>
        <v>Grade C</v>
      </c>
      <c r="U3225">
        <f t="shared" si="251"/>
        <v>1</v>
      </c>
      <c r="V3225" t="str">
        <f t="shared" si="252"/>
        <v>Junior</v>
      </c>
      <c r="W3225" t="str">
        <f t="shared" si="253"/>
        <v>Already Left</v>
      </c>
      <c r="X3225" t="str">
        <f t="shared" si="254"/>
        <v>Fair</v>
      </c>
    </row>
    <row r="3226" spans="1:24" x14ac:dyDescent="0.3">
      <c r="A3226" t="s">
        <v>3294</v>
      </c>
      <c r="B3226" t="s">
        <v>20</v>
      </c>
      <c r="C3226">
        <v>55</v>
      </c>
      <c r="D3226" t="s">
        <v>21</v>
      </c>
      <c r="E3226" t="s">
        <v>22</v>
      </c>
      <c r="F3226" t="s">
        <v>65</v>
      </c>
      <c r="G3226" t="s">
        <v>24</v>
      </c>
      <c r="H3226" t="s">
        <v>83</v>
      </c>
      <c r="I3226" t="s">
        <v>35</v>
      </c>
      <c r="J3226" t="s">
        <v>27</v>
      </c>
      <c r="K3226">
        <v>8</v>
      </c>
      <c r="L3226">
        <v>99112</v>
      </c>
      <c r="M3226" t="s">
        <v>51</v>
      </c>
      <c r="N3226">
        <v>4</v>
      </c>
      <c r="O3226">
        <v>4</v>
      </c>
      <c r="P3226">
        <v>30</v>
      </c>
      <c r="Q3226">
        <v>2</v>
      </c>
      <c r="R3226" s="1">
        <v>42256</v>
      </c>
      <c r="S3226" t="s">
        <v>29</v>
      </c>
      <c r="T3226" t="str">
        <f t="shared" si="250"/>
        <v>Grade A</v>
      </c>
      <c r="U3226">
        <f t="shared" si="251"/>
        <v>4</v>
      </c>
      <c r="V3226" t="str">
        <f t="shared" si="252"/>
        <v>Mid Level</v>
      </c>
      <c r="W3226" t="str">
        <f t="shared" si="253"/>
        <v>Low Risk</v>
      </c>
      <c r="X3226" t="str">
        <f t="shared" si="254"/>
        <v>Competitive</v>
      </c>
    </row>
    <row r="3227" spans="1:24" x14ac:dyDescent="0.3">
      <c r="A3227" t="s">
        <v>3295</v>
      </c>
      <c r="B3227" t="s">
        <v>20</v>
      </c>
      <c r="C3227">
        <v>36</v>
      </c>
      <c r="D3227" t="s">
        <v>31</v>
      </c>
      <c r="E3227" t="s">
        <v>40</v>
      </c>
      <c r="F3227" t="s">
        <v>23</v>
      </c>
      <c r="G3227" t="s">
        <v>42</v>
      </c>
      <c r="H3227" t="s">
        <v>25</v>
      </c>
      <c r="I3227" t="s">
        <v>72</v>
      </c>
      <c r="J3227" t="s">
        <v>73</v>
      </c>
      <c r="K3227">
        <v>14</v>
      </c>
      <c r="L3227">
        <v>113940</v>
      </c>
      <c r="M3227" t="s">
        <v>51</v>
      </c>
      <c r="N3227">
        <v>4</v>
      </c>
      <c r="O3227">
        <v>3</v>
      </c>
      <c r="P3227">
        <v>44</v>
      </c>
      <c r="Q3227">
        <v>1</v>
      </c>
      <c r="R3227" s="1">
        <v>39925</v>
      </c>
      <c r="S3227" t="s">
        <v>29</v>
      </c>
      <c r="T3227" t="str">
        <f t="shared" si="250"/>
        <v>Grade A</v>
      </c>
      <c r="U3227">
        <f t="shared" si="251"/>
        <v>4</v>
      </c>
      <c r="V3227" t="str">
        <f t="shared" si="252"/>
        <v>Senior</v>
      </c>
      <c r="W3227" t="str">
        <f t="shared" si="253"/>
        <v>Low Risk</v>
      </c>
      <c r="X3227" t="str">
        <f t="shared" si="254"/>
        <v>Competitive</v>
      </c>
    </row>
    <row r="3228" spans="1:24" x14ac:dyDescent="0.3">
      <c r="A3228" t="s">
        <v>3296</v>
      </c>
      <c r="B3228" t="s">
        <v>20</v>
      </c>
      <c r="C3228">
        <v>53</v>
      </c>
      <c r="D3228" t="s">
        <v>88</v>
      </c>
      <c r="E3228" t="s">
        <v>40</v>
      </c>
      <c r="F3228" t="s">
        <v>65</v>
      </c>
      <c r="G3228" t="s">
        <v>42</v>
      </c>
      <c r="H3228" t="s">
        <v>67</v>
      </c>
      <c r="I3228" t="s">
        <v>80</v>
      </c>
      <c r="J3228" t="s">
        <v>60</v>
      </c>
      <c r="K3228">
        <v>14</v>
      </c>
      <c r="L3228">
        <v>131524</v>
      </c>
      <c r="M3228" t="s">
        <v>36</v>
      </c>
      <c r="N3228">
        <v>4</v>
      </c>
      <c r="O3228">
        <v>4</v>
      </c>
      <c r="P3228">
        <v>28</v>
      </c>
      <c r="Q3228">
        <v>1</v>
      </c>
      <c r="R3228" s="1">
        <v>40151</v>
      </c>
      <c r="S3228" t="s">
        <v>37</v>
      </c>
      <c r="T3228" t="str">
        <f t="shared" si="250"/>
        <v>Grade A</v>
      </c>
      <c r="U3228">
        <f t="shared" si="251"/>
        <v>1</v>
      </c>
      <c r="V3228" t="str">
        <f t="shared" si="252"/>
        <v>Senior</v>
      </c>
      <c r="W3228" t="str">
        <f t="shared" si="253"/>
        <v>Already Left</v>
      </c>
      <c r="X3228" t="str">
        <f t="shared" si="254"/>
        <v>Overpaid</v>
      </c>
    </row>
    <row r="3229" spans="1:24" x14ac:dyDescent="0.3">
      <c r="A3229" t="s">
        <v>3297</v>
      </c>
      <c r="B3229" t="s">
        <v>39</v>
      </c>
      <c r="C3229">
        <v>24</v>
      </c>
      <c r="D3229" t="s">
        <v>21</v>
      </c>
      <c r="E3229" t="s">
        <v>22</v>
      </c>
      <c r="F3229" t="s">
        <v>53</v>
      </c>
      <c r="G3229" t="s">
        <v>63</v>
      </c>
      <c r="H3229" t="s">
        <v>76</v>
      </c>
      <c r="I3229" t="s">
        <v>68</v>
      </c>
      <c r="J3229" t="s">
        <v>60</v>
      </c>
      <c r="K3229">
        <v>14</v>
      </c>
      <c r="L3229">
        <v>65771</v>
      </c>
      <c r="M3229" t="s">
        <v>45</v>
      </c>
      <c r="N3229">
        <v>4</v>
      </c>
      <c r="O3229">
        <v>1</v>
      </c>
      <c r="P3229">
        <v>27</v>
      </c>
      <c r="Q3229">
        <v>3</v>
      </c>
      <c r="R3229" s="1">
        <v>40059</v>
      </c>
      <c r="S3229" t="s">
        <v>29</v>
      </c>
      <c r="T3229" t="str">
        <f t="shared" si="250"/>
        <v>Grade B</v>
      </c>
      <c r="U3229">
        <f t="shared" si="251"/>
        <v>2</v>
      </c>
      <c r="V3229" t="str">
        <f t="shared" si="252"/>
        <v>Senior</v>
      </c>
      <c r="W3229" t="str">
        <f t="shared" si="253"/>
        <v>Medium Risk</v>
      </c>
      <c r="X3229" t="str">
        <f t="shared" si="254"/>
        <v>Fair</v>
      </c>
    </row>
    <row r="3230" spans="1:24" x14ac:dyDescent="0.3">
      <c r="A3230" t="s">
        <v>3298</v>
      </c>
      <c r="B3230" t="s">
        <v>39</v>
      </c>
      <c r="C3230">
        <v>42</v>
      </c>
      <c r="D3230" t="s">
        <v>21</v>
      </c>
      <c r="E3230" t="s">
        <v>48</v>
      </c>
      <c r="F3230" t="s">
        <v>23</v>
      </c>
      <c r="G3230" t="s">
        <v>33</v>
      </c>
      <c r="H3230" t="s">
        <v>76</v>
      </c>
      <c r="I3230" t="s">
        <v>72</v>
      </c>
      <c r="J3230" t="s">
        <v>73</v>
      </c>
      <c r="K3230">
        <v>13</v>
      </c>
      <c r="L3230">
        <v>90316</v>
      </c>
      <c r="M3230" t="s">
        <v>36</v>
      </c>
      <c r="N3230">
        <v>3</v>
      </c>
      <c r="O3230">
        <v>2</v>
      </c>
      <c r="P3230">
        <v>80</v>
      </c>
      <c r="Q3230">
        <v>3</v>
      </c>
      <c r="R3230" s="1">
        <v>40272</v>
      </c>
      <c r="S3230" t="s">
        <v>37</v>
      </c>
      <c r="T3230" t="str">
        <f t="shared" si="250"/>
        <v>Grade A</v>
      </c>
      <c r="U3230">
        <f t="shared" si="251"/>
        <v>1</v>
      </c>
      <c r="V3230" t="str">
        <f t="shared" si="252"/>
        <v>Senior</v>
      </c>
      <c r="W3230" t="str">
        <f t="shared" si="253"/>
        <v>Already Left</v>
      </c>
      <c r="X3230" t="str">
        <f t="shared" si="254"/>
        <v>Overpaid</v>
      </c>
    </row>
    <row r="3231" spans="1:24" x14ac:dyDescent="0.3">
      <c r="A3231" t="s">
        <v>3299</v>
      </c>
      <c r="B3231" t="s">
        <v>39</v>
      </c>
      <c r="C3231">
        <v>25</v>
      </c>
      <c r="D3231" t="s">
        <v>21</v>
      </c>
      <c r="E3231" t="s">
        <v>48</v>
      </c>
      <c r="F3231" t="s">
        <v>23</v>
      </c>
      <c r="G3231" t="s">
        <v>79</v>
      </c>
      <c r="H3231" t="s">
        <v>83</v>
      </c>
      <c r="I3231" t="s">
        <v>54</v>
      </c>
      <c r="J3231" t="s">
        <v>27</v>
      </c>
      <c r="K3231">
        <v>9</v>
      </c>
      <c r="L3231">
        <v>53077</v>
      </c>
      <c r="M3231" t="s">
        <v>36</v>
      </c>
      <c r="N3231">
        <v>1</v>
      </c>
      <c r="O3231">
        <v>3</v>
      </c>
      <c r="P3231">
        <v>56</v>
      </c>
      <c r="Q3231">
        <v>2</v>
      </c>
      <c r="R3231" s="1">
        <v>41832</v>
      </c>
      <c r="S3231" t="s">
        <v>37</v>
      </c>
      <c r="T3231" t="str">
        <f t="shared" si="250"/>
        <v>Grade B</v>
      </c>
      <c r="U3231">
        <f t="shared" si="251"/>
        <v>1</v>
      </c>
      <c r="V3231" t="str">
        <f t="shared" si="252"/>
        <v>Mid Level</v>
      </c>
      <c r="W3231" t="str">
        <f t="shared" si="253"/>
        <v>Already Left</v>
      </c>
      <c r="X3231" t="str">
        <f t="shared" si="254"/>
        <v>Fair</v>
      </c>
    </row>
    <row r="3232" spans="1:24" x14ac:dyDescent="0.3">
      <c r="A3232" t="s">
        <v>3300</v>
      </c>
      <c r="B3232" t="s">
        <v>20</v>
      </c>
      <c r="C3232">
        <v>49</v>
      </c>
      <c r="D3232" t="s">
        <v>31</v>
      </c>
      <c r="E3232" t="s">
        <v>22</v>
      </c>
      <c r="F3232" t="s">
        <v>32</v>
      </c>
      <c r="G3232" t="s">
        <v>24</v>
      </c>
      <c r="H3232" t="s">
        <v>34</v>
      </c>
      <c r="I3232" t="s">
        <v>54</v>
      </c>
      <c r="J3232" t="s">
        <v>27</v>
      </c>
      <c r="K3232">
        <v>14</v>
      </c>
      <c r="L3232">
        <v>101466</v>
      </c>
      <c r="M3232" t="s">
        <v>28</v>
      </c>
      <c r="N3232">
        <v>2</v>
      </c>
      <c r="O3232">
        <v>2</v>
      </c>
      <c r="P3232">
        <v>26</v>
      </c>
      <c r="Q3232">
        <v>0</v>
      </c>
      <c r="R3232" s="1">
        <v>40019</v>
      </c>
      <c r="S3232" t="s">
        <v>29</v>
      </c>
      <c r="T3232" t="str">
        <f t="shared" si="250"/>
        <v>Grade A</v>
      </c>
      <c r="U3232">
        <f t="shared" si="251"/>
        <v>3</v>
      </c>
      <c r="V3232" t="str">
        <f t="shared" si="252"/>
        <v>Senior</v>
      </c>
      <c r="W3232" t="str">
        <f t="shared" si="253"/>
        <v>Medium Risk</v>
      </c>
      <c r="X3232" t="str">
        <f t="shared" si="254"/>
        <v>Competitive</v>
      </c>
    </row>
    <row r="3233" spans="1:24" x14ac:dyDescent="0.3">
      <c r="A3233" t="s">
        <v>3301</v>
      </c>
      <c r="B3233" t="s">
        <v>39</v>
      </c>
      <c r="C3233">
        <v>35</v>
      </c>
      <c r="D3233" t="s">
        <v>21</v>
      </c>
      <c r="E3233" t="s">
        <v>22</v>
      </c>
      <c r="F3233" t="s">
        <v>62</v>
      </c>
      <c r="G3233" t="s">
        <v>66</v>
      </c>
      <c r="H3233" t="s">
        <v>25</v>
      </c>
      <c r="I3233" t="s">
        <v>80</v>
      </c>
      <c r="J3233" t="s">
        <v>60</v>
      </c>
      <c r="K3233">
        <v>4</v>
      </c>
      <c r="L3233">
        <v>35798</v>
      </c>
      <c r="M3233" t="s">
        <v>51</v>
      </c>
      <c r="N3233">
        <v>1</v>
      </c>
      <c r="O3233">
        <v>3</v>
      </c>
      <c r="P3233">
        <v>65</v>
      </c>
      <c r="Q3233">
        <v>2</v>
      </c>
      <c r="R3233" s="1">
        <v>43627</v>
      </c>
      <c r="S3233" t="s">
        <v>29</v>
      </c>
      <c r="T3233" t="str">
        <f t="shared" si="250"/>
        <v>Grade C</v>
      </c>
      <c r="U3233">
        <f t="shared" si="251"/>
        <v>4</v>
      </c>
      <c r="V3233" t="str">
        <f t="shared" si="252"/>
        <v>Junior</v>
      </c>
      <c r="W3233" t="str">
        <f t="shared" si="253"/>
        <v>Low Risk</v>
      </c>
      <c r="X3233" t="str">
        <f t="shared" si="254"/>
        <v>Fair</v>
      </c>
    </row>
    <row r="3234" spans="1:24" x14ac:dyDescent="0.3">
      <c r="A3234" t="s">
        <v>3302</v>
      </c>
      <c r="B3234" t="s">
        <v>39</v>
      </c>
      <c r="C3234">
        <v>22</v>
      </c>
      <c r="D3234" t="s">
        <v>57</v>
      </c>
      <c r="E3234" t="s">
        <v>22</v>
      </c>
      <c r="F3234" t="s">
        <v>23</v>
      </c>
      <c r="G3234" t="s">
        <v>63</v>
      </c>
      <c r="H3234" t="s">
        <v>76</v>
      </c>
      <c r="I3234" t="s">
        <v>54</v>
      </c>
      <c r="J3234" t="s">
        <v>27</v>
      </c>
      <c r="K3234">
        <v>6</v>
      </c>
      <c r="L3234">
        <v>66586</v>
      </c>
      <c r="M3234" t="s">
        <v>51</v>
      </c>
      <c r="N3234">
        <v>4</v>
      </c>
      <c r="O3234">
        <v>1</v>
      </c>
      <c r="P3234">
        <v>18</v>
      </c>
      <c r="Q3234">
        <v>1</v>
      </c>
      <c r="R3234" s="1">
        <v>42740</v>
      </c>
      <c r="S3234" t="s">
        <v>29</v>
      </c>
      <c r="T3234" t="str">
        <f t="shared" si="250"/>
        <v>Grade B</v>
      </c>
      <c r="U3234">
        <f t="shared" si="251"/>
        <v>4</v>
      </c>
      <c r="V3234" t="str">
        <f t="shared" si="252"/>
        <v>Mid Level</v>
      </c>
      <c r="W3234" t="str">
        <f t="shared" si="253"/>
        <v>Low Risk</v>
      </c>
      <c r="X3234" t="str">
        <f t="shared" si="254"/>
        <v>Fair</v>
      </c>
    </row>
    <row r="3235" spans="1:24" x14ac:dyDescent="0.3">
      <c r="A3235" t="s">
        <v>3303</v>
      </c>
      <c r="B3235" t="s">
        <v>39</v>
      </c>
      <c r="C3235">
        <v>46</v>
      </c>
      <c r="D3235" t="s">
        <v>88</v>
      </c>
      <c r="E3235" t="s">
        <v>40</v>
      </c>
      <c r="F3235" t="s">
        <v>78</v>
      </c>
      <c r="G3235" t="s">
        <v>79</v>
      </c>
      <c r="H3235" t="s">
        <v>25</v>
      </c>
      <c r="I3235" t="s">
        <v>35</v>
      </c>
      <c r="J3235" t="s">
        <v>27</v>
      </c>
      <c r="K3235">
        <v>12</v>
      </c>
      <c r="L3235">
        <v>56092</v>
      </c>
      <c r="M3235" t="s">
        <v>51</v>
      </c>
      <c r="N3235">
        <v>2</v>
      </c>
      <c r="O3235">
        <v>2</v>
      </c>
      <c r="P3235">
        <v>18</v>
      </c>
      <c r="Q3235">
        <v>2</v>
      </c>
      <c r="R3235" s="1">
        <v>40815</v>
      </c>
      <c r="S3235" t="s">
        <v>29</v>
      </c>
      <c r="T3235" t="str">
        <f t="shared" si="250"/>
        <v>Grade B</v>
      </c>
      <c r="U3235">
        <f t="shared" si="251"/>
        <v>4</v>
      </c>
      <c r="V3235" t="str">
        <f t="shared" si="252"/>
        <v>Senior</v>
      </c>
      <c r="W3235" t="str">
        <f t="shared" si="253"/>
        <v>Low Risk</v>
      </c>
      <c r="X3235" t="str">
        <f t="shared" si="254"/>
        <v>Fair</v>
      </c>
    </row>
    <row r="3236" spans="1:24" x14ac:dyDescent="0.3">
      <c r="A3236" t="s">
        <v>3304</v>
      </c>
      <c r="B3236" t="s">
        <v>39</v>
      </c>
      <c r="C3236">
        <v>33</v>
      </c>
      <c r="D3236" t="s">
        <v>88</v>
      </c>
      <c r="E3236" t="s">
        <v>48</v>
      </c>
      <c r="F3236" t="s">
        <v>53</v>
      </c>
      <c r="G3236" t="s">
        <v>63</v>
      </c>
      <c r="H3236" t="s">
        <v>34</v>
      </c>
      <c r="I3236" t="s">
        <v>72</v>
      </c>
      <c r="J3236" t="s">
        <v>73</v>
      </c>
      <c r="K3236">
        <v>15</v>
      </c>
      <c r="L3236">
        <v>69422</v>
      </c>
      <c r="M3236" t="s">
        <v>36</v>
      </c>
      <c r="N3236">
        <v>1</v>
      </c>
      <c r="O3236">
        <v>3</v>
      </c>
      <c r="P3236">
        <v>28</v>
      </c>
      <c r="Q3236">
        <v>0</v>
      </c>
      <c r="R3236" s="1">
        <v>39697</v>
      </c>
      <c r="S3236" t="s">
        <v>29</v>
      </c>
      <c r="T3236" t="str">
        <f t="shared" si="250"/>
        <v>Grade B</v>
      </c>
      <c r="U3236">
        <f t="shared" si="251"/>
        <v>1</v>
      </c>
      <c r="V3236" t="str">
        <f t="shared" si="252"/>
        <v>Senior</v>
      </c>
      <c r="W3236" t="str">
        <f t="shared" si="253"/>
        <v>Medium Risk</v>
      </c>
      <c r="X3236" t="str">
        <f t="shared" si="254"/>
        <v>Fair</v>
      </c>
    </row>
    <row r="3237" spans="1:24" x14ac:dyDescent="0.3">
      <c r="A3237" t="s">
        <v>3305</v>
      </c>
      <c r="B3237" t="s">
        <v>39</v>
      </c>
      <c r="C3237">
        <v>31</v>
      </c>
      <c r="D3237" t="s">
        <v>57</v>
      </c>
      <c r="E3237" t="s">
        <v>22</v>
      </c>
      <c r="F3237" t="s">
        <v>65</v>
      </c>
      <c r="G3237" t="s">
        <v>58</v>
      </c>
      <c r="H3237" t="s">
        <v>83</v>
      </c>
      <c r="I3237" t="s">
        <v>35</v>
      </c>
      <c r="J3237" t="s">
        <v>27</v>
      </c>
      <c r="K3237">
        <v>7</v>
      </c>
      <c r="L3237">
        <v>107338</v>
      </c>
      <c r="M3237" t="s">
        <v>45</v>
      </c>
      <c r="N3237">
        <v>3</v>
      </c>
      <c r="O3237">
        <v>3</v>
      </c>
      <c r="P3237">
        <v>77</v>
      </c>
      <c r="Q3237">
        <v>3</v>
      </c>
      <c r="R3237" s="1">
        <v>42683</v>
      </c>
      <c r="S3237" t="s">
        <v>29</v>
      </c>
      <c r="T3237" t="str">
        <f t="shared" si="250"/>
        <v>Grade A</v>
      </c>
      <c r="U3237">
        <f t="shared" si="251"/>
        <v>2</v>
      </c>
      <c r="V3237" t="str">
        <f t="shared" si="252"/>
        <v>Mid Level</v>
      </c>
      <c r="W3237" t="str">
        <f t="shared" si="253"/>
        <v>Medium Risk</v>
      </c>
      <c r="X3237" t="str">
        <f t="shared" si="254"/>
        <v>Fair</v>
      </c>
    </row>
    <row r="3238" spans="1:24" x14ac:dyDescent="0.3">
      <c r="A3238" t="s">
        <v>3306</v>
      </c>
      <c r="B3238" t="s">
        <v>39</v>
      </c>
      <c r="C3238">
        <v>49</v>
      </c>
      <c r="D3238" t="s">
        <v>31</v>
      </c>
      <c r="E3238" t="s">
        <v>48</v>
      </c>
      <c r="F3238" t="s">
        <v>62</v>
      </c>
      <c r="G3238" t="s">
        <v>42</v>
      </c>
      <c r="H3238" t="s">
        <v>34</v>
      </c>
      <c r="I3238" t="s">
        <v>72</v>
      </c>
      <c r="J3238" t="s">
        <v>73</v>
      </c>
      <c r="K3238">
        <v>9</v>
      </c>
      <c r="L3238">
        <v>111924</v>
      </c>
      <c r="M3238" t="s">
        <v>51</v>
      </c>
      <c r="N3238">
        <v>4</v>
      </c>
      <c r="O3238">
        <v>1</v>
      </c>
      <c r="P3238">
        <v>33</v>
      </c>
      <c r="Q3238">
        <v>3</v>
      </c>
      <c r="R3238" s="1">
        <v>41703</v>
      </c>
      <c r="S3238" t="s">
        <v>37</v>
      </c>
      <c r="T3238" t="str">
        <f t="shared" si="250"/>
        <v>Grade A</v>
      </c>
      <c r="U3238">
        <f t="shared" si="251"/>
        <v>4</v>
      </c>
      <c r="V3238" t="str">
        <f t="shared" si="252"/>
        <v>Mid Level</v>
      </c>
      <c r="W3238" t="str">
        <f t="shared" si="253"/>
        <v>Already Left</v>
      </c>
      <c r="X3238" t="str">
        <f t="shared" si="254"/>
        <v>Competitive</v>
      </c>
    </row>
    <row r="3239" spans="1:24" x14ac:dyDescent="0.3">
      <c r="A3239" t="s">
        <v>3307</v>
      </c>
      <c r="B3239" t="s">
        <v>39</v>
      </c>
      <c r="C3239">
        <v>36</v>
      </c>
      <c r="D3239" t="s">
        <v>21</v>
      </c>
      <c r="E3239" t="s">
        <v>40</v>
      </c>
      <c r="F3239" t="s">
        <v>65</v>
      </c>
      <c r="G3239" t="s">
        <v>33</v>
      </c>
      <c r="H3239" t="s">
        <v>25</v>
      </c>
      <c r="I3239" t="s">
        <v>50</v>
      </c>
      <c r="J3239" t="s">
        <v>44</v>
      </c>
      <c r="K3239">
        <v>5</v>
      </c>
      <c r="L3239">
        <v>61210</v>
      </c>
      <c r="M3239" t="s">
        <v>36</v>
      </c>
      <c r="N3239">
        <v>1</v>
      </c>
      <c r="O3239">
        <v>3</v>
      </c>
      <c r="P3239">
        <v>60</v>
      </c>
      <c r="Q3239">
        <v>0</v>
      </c>
      <c r="R3239" s="1">
        <v>43273</v>
      </c>
      <c r="S3239" t="s">
        <v>37</v>
      </c>
      <c r="T3239" t="str">
        <f t="shared" si="250"/>
        <v>Grade B</v>
      </c>
      <c r="U3239">
        <f t="shared" si="251"/>
        <v>1</v>
      </c>
      <c r="V3239" t="str">
        <f t="shared" si="252"/>
        <v>Junior</v>
      </c>
      <c r="W3239" t="str">
        <f t="shared" si="253"/>
        <v>Already Left</v>
      </c>
      <c r="X3239" t="str">
        <f t="shared" si="254"/>
        <v>Fair</v>
      </c>
    </row>
    <row r="3240" spans="1:24" x14ac:dyDescent="0.3">
      <c r="A3240" t="s">
        <v>3308</v>
      </c>
      <c r="B3240" t="s">
        <v>39</v>
      </c>
      <c r="C3240">
        <v>43</v>
      </c>
      <c r="D3240" t="s">
        <v>21</v>
      </c>
      <c r="E3240" t="s">
        <v>48</v>
      </c>
      <c r="F3240" t="s">
        <v>62</v>
      </c>
      <c r="G3240" t="s">
        <v>79</v>
      </c>
      <c r="H3240" t="s">
        <v>25</v>
      </c>
      <c r="I3240" t="s">
        <v>54</v>
      </c>
      <c r="J3240" t="s">
        <v>27</v>
      </c>
      <c r="K3240">
        <v>14</v>
      </c>
      <c r="L3240">
        <v>69819</v>
      </c>
      <c r="M3240" t="s">
        <v>36</v>
      </c>
      <c r="N3240">
        <v>4</v>
      </c>
      <c r="O3240">
        <v>3</v>
      </c>
      <c r="P3240">
        <v>58</v>
      </c>
      <c r="Q3240">
        <v>3</v>
      </c>
      <c r="R3240" s="1">
        <v>40112</v>
      </c>
      <c r="S3240" t="s">
        <v>37</v>
      </c>
      <c r="T3240" t="str">
        <f t="shared" si="250"/>
        <v>Grade B</v>
      </c>
      <c r="U3240">
        <f t="shared" si="251"/>
        <v>1</v>
      </c>
      <c r="V3240" t="str">
        <f t="shared" si="252"/>
        <v>Senior</v>
      </c>
      <c r="W3240" t="str">
        <f t="shared" si="253"/>
        <v>Already Left</v>
      </c>
      <c r="X3240" t="str">
        <f t="shared" si="254"/>
        <v>Fair</v>
      </c>
    </row>
    <row r="3241" spans="1:24" x14ac:dyDescent="0.3">
      <c r="A3241" t="s">
        <v>3309</v>
      </c>
      <c r="B3241" t="s">
        <v>20</v>
      </c>
      <c r="C3241">
        <v>51</v>
      </c>
      <c r="D3241" t="s">
        <v>57</v>
      </c>
      <c r="E3241" t="s">
        <v>48</v>
      </c>
      <c r="F3241" t="s">
        <v>65</v>
      </c>
      <c r="G3241" t="s">
        <v>58</v>
      </c>
      <c r="H3241" t="s">
        <v>83</v>
      </c>
      <c r="I3241" t="s">
        <v>50</v>
      </c>
      <c r="J3241" t="s">
        <v>44</v>
      </c>
      <c r="K3241">
        <v>10</v>
      </c>
      <c r="L3241">
        <v>111755</v>
      </c>
      <c r="M3241" t="s">
        <v>45</v>
      </c>
      <c r="N3241">
        <v>4</v>
      </c>
      <c r="O3241">
        <v>2</v>
      </c>
      <c r="P3241">
        <v>70</v>
      </c>
      <c r="Q3241">
        <v>1</v>
      </c>
      <c r="R3241" s="1">
        <v>41313</v>
      </c>
      <c r="S3241" t="s">
        <v>29</v>
      </c>
      <c r="T3241" t="str">
        <f t="shared" si="250"/>
        <v>Grade A</v>
      </c>
      <c r="U3241">
        <f t="shared" si="251"/>
        <v>2</v>
      </c>
      <c r="V3241" t="str">
        <f t="shared" si="252"/>
        <v>Mid Level</v>
      </c>
      <c r="W3241" t="str">
        <f t="shared" si="253"/>
        <v>Medium Risk</v>
      </c>
      <c r="X3241" t="str">
        <f t="shared" si="254"/>
        <v>Fair</v>
      </c>
    </row>
    <row r="3242" spans="1:24" x14ac:dyDescent="0.3">
      <c r="A3242" t="s">
        <v>3310</v>
      </c>
      <c r="B3242" t="s">
        <v>39</v>
      </c>
      <c r="C3242">
        <v>34</v>
      </c>
      <c r="D3242" t="s">
        <v>31</v>
      </c>
      <c r="E3242" t="s">
        <v>22</v>
      </c>
      <c r="F3242" t="s">
        <v>41</v>
      </c>
      <c r="G3242" t="s">
        <v>42</v>
      </c>
      <c r="H3242" t="s">
        <v>34</v>
      </c>
      <c r="I3242" t="s">
        <v>54</v>
      </c>
      <c r="J3242" t="s">
        <v>27</v>
      </c>
      <c r="K3242">
        <v>8</v>
      </c>
      <c r="L3242">
        <v>108397</v>
      </c>
      <c r="M3242" t="s">
        <v>45</v>
      </c>
      <c r="N3242">
        <v>1</v>
      </c>
      <c r="O3242">
        <v>4</v>
      </c>
      <c r="P3242">
        <v>12</v>
      </c>
      <c r="Q3242">
        <v>0</v>
      </c>
      <c r="R3242" s="1">
        <v>42295</v>
      </c>
      <c r="S3242" t="s">
        <v>29</v>
      </c>
      <c r="T3242" t="str">
        <f t="shared" si="250"/>
        <v>Grade A</v>
      </c>
      <c r="U3242">
        <f t="shared" si="251"/>
        <v>2</v>
      </c>
      <c r="V3242" t="str">
        <f t="shared" si="252"/>
        <v>Mid Level</v>
      </c>
      <c r="W3242" t="str">
        <f t="shared" si="253"/>
        <v>Medium Risk</v>
      </c>
      <c r="X3242" t="str">
        <f t="shared" si="254"/>
        <v>Fair</v>
      </c>
    </row>
    <row r="3243" spans="1:24" x14ac:dyDescent="0.3">
      <c r="A3243" t="s">
        <v>3311</v>
      </c>
      <c r="B3243" t="s">
        <v>20</v>
      </c>
      <c r="C3243">
        <v>36</v>
      </c>
      <c r="D3243" t="s">
        <v>47</v>
      </c>
      <c r="E3243" t="s">
        <v>22</v>
      </c>
      <c r="F3243" t="s">
        <v>53</v>
      </c>
      <c r="G3243" t="s">
        <v>42</v>
      </c>
      <c r="H3243" t="s">
        <v>76</v>
      </c>
      <c r="I3243" t="s">
        <v>50</v>
      </c>
      <c r="J3243" t="s">
        <v>44</v>
      </c>
      <c r="K3243">
        <v>15</v>
      </c>
      <c r="L3243">
        <v>131288</v>
      </c>
      <c r="M3243" t="s">
        <v>36</v>
      </c>
      <c r="N3243">
        <v>1</v>
      </c>
      <c r="O3243">
        <v>1</v>
      </c>
      <c r="P3243">
        <v>16</v>
      </c>
      <c r="Q3243">
        <v>1</v>
      </c>
      <c r="R3243" s="1">
        <v>39722</v>
      </c>
      <c r="S3243" t="s">
        <v>37</v>
      </c>
      <c r="T3243" t="str">
        <f t="shared" si="250"/>
        <v>Grade A</v>
      </c>
      <c r="U3243">
        <f t="shared" si="251"/>
        <v>1</v>
      </c>
      <c r="V3243" t="str">
        <f t="shared" si="252"/>
        <v>Senior</v>
      </c>
      <c r="W3243" t="str">
        <f t="shared" si="253"/>
        <v>Already Left</v>
      </c>
      <c r="X3243" t="str">
        <f t="shared" si="254"/>
        <v>Overpaid</v>
      </c>
    </row>
    <row r="3244" spans="1:24" x14ac:dyDescent="0.3">
      <c r="A3244" t="s">
        <v>3312</v>
      </c>
      <c r="B3244" t="s">
        <v>39</v>
      </c>
      <c r="C3244">
        <v>37</v>
      </c>
      <c r="D3244" t="s">
        <v>21</v>
      </c>
      <c r="E3244" t="s">
        <v>40</v>
      </c>
      <c r="F3244" t="s">
        <v>75</v>
      </c>
      <c r="G3244" t="s">
        <v>33</v>
      </c>
      <c r="H3244" t="s">
        <v>67</v>
      </c>
      <c r="I3244" t="s">
        <v>43</v>
      </c>
      <c r="J3244" t="s">
        <v>44</v>
      </c>
      <c r="K3244">
        <v>8</v>
      </c>
      <c r="L3244">
        <v>72296</v>
      </c>
      <c r="M3244" t="s">
        <v>28</v>
      </c>
      <c r="N3244">
        <v>2</v>
      </c>
      <c r="O3244">
        <v>1</v>
      </c>
      <c r="P3244">
        <v>43</v>
      </c>
      <c r="Q3244">
        <v>2</v>
      </c>
      <c r="R3244" s="1">
        <v>42317</v>
      </c>
      <c r="S3244" t="s">
        <v>29</v>
      </c>
      <c r="T3244" t="str">
        <f t="shared" si="250"/>
        <v>Grade B</v>
      </c>
      <c r="U3244">
        <f t="shared" si="251"/>
        <v>3</v>
      </c>
      <c r="V3244" t="str">
        <f t="shared" si="252"/>
        <v>Mid Level</v>
      </c>
      <c r="W3244" t="str">
        <f t="shared" si="253"/>
        <v>Medium Risk</v>
      </c>
      <c r="X3244" t="str">
        <f t="shared" si="254"/>
        <v>Competitive</v>
      </c>
    </row>
    <row r="3245" spans="1:24" x14ac:dyDescent="0.3">
      <c r="A3245" t="s">
        <v>3313</v>
      </c>
      <c r="B3245" t="s">
        <v>39</v>
      </c>
      <c r="C3245">
        <v>54</v>
      </c>
      <c r="D3245" t="s">
        <v>57</v>
      </c>
      <c r="E3245" t="s">
        <v>48</v>
      </c>
      <c r="F3245" t="s">
        <v>32</v>
      </c>
      <c r="G3245" t="s">
        <v>42</v>
      </c>
      <c r="H3245" t="s">
        <v>76</v>
      </c>
      <c r="I3245" t="s">
        <v>68</v>
      </c>
      <c r="J3245" t="s">
        <v>60</v>
      </c>
      <c r="K3245">
        <v>4</v>
      </c>
      <c r="L3245">
        <v>105644</v>
      </c>
      <c r="M3245" t="s">
        <v>51</v>
      </c>
      <c r="N3245">
        <v>2</v>
      </c>
      <c r="O3245">
        <v>3</v>
      </c>
      <c r="P3245">
        <v>63</v>
      </c>
      <c r="Q3245">
        <v>2</v>
      </c>
      <c r="R3245" s="1">
        <v>43732</v>
      </c>
      <c r="S3245" t="s">
        <v>29</v>
      </c>
      <c r="T3245" t="str">
        <f t="shared" si="250"/>
        <v>Grade A</v>
      </c>
      <c r="U3245">
        <f t="shared" si="251"/>
        <v>4</v>
      </c>
      <c r="V3245" t="str">
        <f t="shared" si="252"/>
        <v>Junior</v>
      </c>
      <c r="W3245" t="str">
        <f t="shared" si="253"/>
        <v>Low Risk</v>
      </c>
      <c r="X3245" t="str">
        <f t="shared" si="254"/>
        <v>Competitive</v>
      </c>
    </row>
    <row r="3246" spans="1:24" x14ac:dyDescent="0.3">
      <c r="A3246" t="s">
        <v>3314</v>
      </c>
      <c r="B3246" t="s">
        <v>39</v>
      </c>
      <c r="C3246">
        <v>45</v>
      </c>
      <c r="D3246" t="s">
        <v>88</v>
      </c>
      <c r="E3246" t="s">
        <v>40</v>
      </c>
      <c r="F3246" t="s">
        <v>75</v>
      </c>
      <c r="G3246" t="s">
        <v>66</v>
      </c>
      <c r="H3246" t="s">
        <v>76</v>
      </c>
      <c r="I3246" t="s">
        <v>43</v>
      </c>
      <c r="J3246" t="s">
        <v>44</v>
      </c>
      <c r="K3246">
        <v>12</v>
      </c>
      <c r="L3246">
        <v>67146</v>
      </c>
      <c r="M3246" t="s">
        <v>51</v>
      </c>
      <c r="N3246">
        <v>3</v>
      </c>
      <c r="O3246">
        <v>2</v>
      </c>
      <c r="P3246">
        <v>79</v>
      </c>
      <c r="Q3246">
        <v>0</v>
      </c>
      <c r="R3246" s="1">
        <v>40896</v>
      </c>
      <c r="S3246" t="s">
        <v>37</v>
      </c>
      <c r="T3246" t="str">
        <f t="shared" si="250"/>
        <v>Grade B</v>
      </c>
      <c r="U3246">
        <f t="shared" si="251"/>
        <v>4</v>
      </c>
      <c r="V3246" t="str">
        <f t="shared" si="252"/>
        <v>Senior</v>
      </c>
      <c r="W3246" t="str">
        <f t="shared" si="253"/>
        <v>Already Left</v>
      </c>
      <c r="X3246" t="str">
        <f t="shared" si="254"/>
        <v>Fair</v>
      </c>
    </row>
    <row r="3247" spans="1:24" x14ac:dyDescent="0.3">
      <c r="A3247" t="s">
        <v>3315</v>
      </c>
      <c r="B3247" t="s">
        <v>20</v>
      </c>
      <c r="C3247">
        <v>51</v>
      </c>
      <c r="D3247" t="s">
        <v>88</v>
      </c>
      <c r="E3247" t="s">
        <v>22</v>
      </c>
      <c r="F3247" t="s">
        <v>78</v>
      </c>
      <c r="G3247" t="s">
        <v>79</v>
      </c>
      <c r="H3247" t="s">
        <v>25</v>
      </c>
      <c r="I3247" t="s">
        <v>72</v>
      </c>
      <c r="J3247" t="s">
        <v>73</v>
      </c>
      <c r="K3247">
        <v>15</v>
      </c>
      <c r="L3247">
        <v>70288</v>
      </c>
      <c r="M3247" t="s">
        <v>51</v>
      </c>
      <c r="N3247">
        <v>1</v>
      </c>
      <c r="O3247">
        <v>4</v>
      </c>
      <c r="P3247">
        <v>68</v>
      </c>
      <c r="Q3247">
        <v>2</v>
      </c>
      <c r="R3247" s="1">
        <v>39704</v>
      </c>
      <c r="S3247" t="s">
        <v>29</v>
      </c>
      <c r="T3247" t="str">
        <f t="shared" si="250"/>
        <v>Grade B</v>
      </c>
      <c r="U3247">
        <f t="shared" si="251"/>
        <v>4</v>
      </c>
      <c r="V3247" t="str">
        <f t="shared" si="252"/>
        <v>Senior</v>
      </c>
      <c r="W3247" t="str">
        <f t="shared" si="253"/>
        <v>Low Risk</v>
      </c>
      <c r="X3247" t="str">
        <f t="shared" si="254"/>
        <v>Fair</v>
      </c>
    </row>
    <row r="3248" spans="1:24" x14ac:dyDescent="0.3">
      <c r="A3248" t="s">
        <v>3316</v>
      </c>
      <c r="B3248" t="s">
        <v>20</v>
      </c>
      <c r="C3248">
        <v>27</v>
      </c>
      <c r="D3248" t="s">
        <v>88</v>
      </c>
      <c r="E3248" t="s">
        <v>40</v>
      </c>
      <c r="F3248" t="s">
        <v>41</v>
      </c>
      <c r="G3248" t="s">
        <v>79</v>
      </c>
      <c r="H3248" t="s">
        <v>25</v>
      </c>
      <c r="I3248" t="s">
        <v>54</v>
      </c>
      <c r="J3248" t="s">
        <v>27</v>
      </c>
      <c r="K3248">
        <v>6</v>
      </c>
      <c r="L3248">
        <v>51665</v>
      </c>
      <c r="M3248" t="s">
        <v>51</v>
      </c>
      <c r="N3248">
        <v>3</v>
      </c>
      <c r="O3248">
        <v>3</v>
      </c>
      <c r="P3248">
        <v>24</v>
      </c>
      <c r="Q3248">
        <v>3</v>
      </c>
      <c r="R3248" s="1">
        <v>42884</v>
      </c>
      <c r="S3248" t="s">
        <v>29</v>
      </c>
      <c r="T3248" t="str">
        <f t="shared" si="250"/>
        <v>Grade B</v>
      </c>
      <c r="U3248">
        <f t="shared" si="251"/>
        <v>4</v>
      </c>
      <c r="V3248" t="str">
        <f t="shared" si="252"/>
        <v>Mid Level</v>
      </c>
      <c r="W3248" t="str">
        <f t="shared" si="253"/>
        <v>Low Risk</v>
      </c>
      <c r="X3248" t="str">
        <f t="shared" si="254"/>
        <v>Fair</v>
      </c>
    </row>
    <row r="3249" spans="1:24" x14ac:dyDescent="0.3">
      <c r="A3249" t="s">
        <v>3317</v>
      </c>
      <c r="B3249" t="s">
        <v>20</v>
      </c>
      <c r="C3249">
        <v>45</v>
      </c>
      <c r="D3249" t="s">
        <v>31</v>
      </c>
      <c r="E3249" t="s">
        <v>48</v>
      </c>
      <c r="F3249" t="s">
        <v>23</v>
      </c>
      <c r="G3249" t="s">
        <v>66</v>
      </c>
      <c r="H3249" t="s">
        <v>83</v>
      </c>
      <c r="I3249" t="s">
        <v>26</v>
      </c>
      <c r="J3249" t="s">
        <v>27</v>
      </c>
      <c r="K3249">
        <v>15</v>
      </c>
      <c r="L3249">
        <v>68599</v>
      </c>
      <c r="M3249" t="s">
        <v>36</v>
      </c>
      <c r="N3249">
        <v>3</v>
      </c>
      <c r="O3249">
        <v>2</v>
      </c>
      <c r="P3249">
        <v>61</v>
      </c>
      <c r="Q3249">
        <v>1</v>
      </c>
      <c r="R3249" s="1">
        <v>39617</v>
      </c>
      <c r="S3249" t="s">
        <v>37</v>
      </c>
      <c r="T3249" t="str">
        <f t="shared" si="250"/>
        <v>Grade B</v>
      </c>
      <c r="U3249">
        <f t="shared" si="251"/>
        <v>1</v>
      </c>
      <c r="V3249" t="str">
        <f t="shared" si="252"/>
        <v>Senior</v>
      </c>
      <c r="W3249" t="str">
        <f t="shared" si="253"/>
        <v>Already Left</v>
      </c>
      <c r="X3249" t="str">
        <f t="shared" si="254"/>
        <v>Fair</v>
      </c>
    </row>
    <row r="3250" spans="1:24" x14ac:dyDescent="0.3">
      <c r="A3250" t="s">
        <v>3318</v>
      </c>
      <c r="B3250" t="s">
        <v>39</v>
      </c>
      <c r="C3250">
        <v>39</v>
      </c>
      <c r="D3250" t="s">
        <v>31</v>
      </c>
      <c r="E3250" t="s">
        <v>22</v>
      </c>
      <c r="F3250" t="s">
        <v>78</v>
      </c>
      <c r="G3250" t="s">
        <v>66</v>
      </c>
      <c r="H3250" t="s">
        <v>76</v>
      </c>
      <c r="I3250" t="s">
        <v>96</v>
      </c>
      <c r="J3250" t="s">
        <v>44</v>
      </c>
      <c r="K3250">
        <v>6</v>
      </c>
      <c r="L3250">
        <v>56645</v>
      </c>
      <c r="M3250" t="s">
        <v>36</v>
      </c>
      <c r="N3250">
        <v>2</v>
      </c>
      <c r="O3250">
        <v>1</v>
      </c>
      <c r="P3250">
        <v>64</v>
      </c>
      <c r="Q3250">
        <v>1</v>
      </c>
      <c r="R3250" s="1">
        <v>42763</v>
      </c>
      <c r="S3250" t="s">
        <v>37</v>
      </c>
      <c r="T3250" t="str">
        <f t="shared" si="250"/>
        <v>Grade B</v>
      </c>
      <c r="U3250">
        <f t="shared" si="251"/>
        <v>1</v>
      </c>
      <c r="V3250" t="str">
        <f t="shared" si="252"/>
        <v>Mid Level</v>
      </c>
      <c r="W3250" t="str">
        <f t="shared" si="253"/>
        <v>Already Left</v>
      </c>
      <c r="X3250" t="str">
        <f t="shared" si="254"/>
        <v>Fair</v>
      </c>
    </row>
    <row r="3251" spans="1:24" x14ac:dyDescent="0.3">
      <c r="A3251" t="s">
        <v>3319</v>
      </c>
      <c r="B3251" t="s">
        <v>20</v>
      </c>
      <c r="C3251">
        <v>28</v>
      </c>
      <c r="D3251" t="s">
        <v>31</v>
      </c>
      <c r="E3251" t="s">
        <v>48</v>
      </c>
      <c r="F3251" t="s">
        <v>75</v>
      </c>
      <c r="G3251" t="s">
        <v>42</v>
      </c>
      <c r="H3251" t="s">
        <v>76</v>
      </c>
      <c r="I3251" t="s">
        <v>68</v>
      </c>
      <c r="J3251" t="s">
        <v>60</v>
      </c>
      <c r="K3251">
        <v>9</v>
      </c>
      <c r="L3251">
        <v>106529</v>
      </c>
      <c r="M3251" t="s">
        <v>45</v>
      </c>
      <c r="N3251">
        <v>2</v>
      </c>
      <c r="O3251">
        <v>2</v>
      </c>
      <c r="P3251">
        <v>61</v>
      </c>
      <c r="Q3251">
        <v>1</v>
      </c>
      <c r="R3251" s="1">
        <v>41676</v>
      </c>
      <c r="S3251" t="s">
        <v>29</v>
      </c>
      <c r="T3251" t="str">
        <f t="shared" si="250"/>
        <v>Grade A</v>
      </c>
      <c r="U3251">
        <f t="shared" si="251"/>
        <v>2</v>
      </c>
      <c r="V3251" t="str">
        <f t="shared" si="252"/>
        <v>Mid Level</v>
      </c>
      <c r="W3251" t="str">
        <f t="shared" si="253"/>
        <v>Medium Risk</v>
      </c>
      <c r="X3251" t="str">
        <f t="shared" si="254"/>
        <v>Fair</v>
      </c>
    </row>
    <row r="3252" spans="1:24" x14ac:dyDescent="0.3">
      <c r="A3252" t="s">
        <v>3320</v>
      </c>
      <c r="B3252" t="s">
        <v>39</v>
      </c>
      <c r="C3252">
        <v>26</v>
      </c>
      <c r="D3252" t="s">
        <v>47</v>
      </c>
      <c r="E3252" t="s">
        <v>48</v>
      </c>
      <c r="F3252" t="s">
        <v>23</v>
      </c>
      <c r="G3252" t="s">
        <v>79</v>
      </c>
      <c r="H3252" t="s">
        <v>25</v>
      </c>
      <c r="I3252" t="s">
        <v>72</v>
      </c>
      <c r="J3252" t="s">
        <v>73</v>
      </c>
      <c r="K3252">
        <v>4</v>
      </c>
      <c r="L3252">
        <v>49821</v>
      </c>
      <c r="M3252" t="s">
        <v>28</v>
      </c>
      <c r="N3252">
        <v>4</v>
      </c>
      <c r="O3252">
        <v>1</v>
      </c>
      <c r="P3252">
        <v>23</v>
      </c>
      <c r="Q3252">
        <v>3</v>
      </c>
      <c r="R3252" s="1">
        <v>43510</v>
      </c>
      <c r="S3252" t="s">
        <v>37</v>
      </c>
      <c r="T3252" t="str">
        <f t="shared" si="250"/>
        <v>Grade C</v>
      </c>
      <c r="U3252">
        <f t="shared" si="251"/>
        <v>3</v>
      </c>
      <c r="V3252" t="str">
        <f t="shared" si="252"/>
        <v>Junior</v>
      </c>
      <c r="W3252" t="str">
        <f t="shared" si="253"/>
        <v>Already Left</v>
      </c>
      <c r="X3252" t="str">
        <f t="shared" si="254"/>
        <v>Fair</v>
      </c>
    </row>
    <row r="3253" spans="1:24" x14ac:dyDescent="0.3">
      <c r="A3253" t="s">
        <v>3321</v>
      </c>
      <c r="B3253" t="s">
        <v>39</v>
      </c>
      <c r="C3253">
        <v>50</v>
      </c>
      <c r="D3253" t="s">
        <v>47</v>
      </c>
      <c r="E3253" t="s">
        <v>40</v>
      </c>
      <c r="F3253" t="s">
        <v>53</v>
      </c>
      <c r="G3253" t="s">
        <v>49</v>
      </c>
      <c r="H3253" t="s">
        <v>76</v>
      </c>
      <c r="I3253" t="s">
        <v>50</v>
      </c>
      <c r="J3253" t="s">
        <v>44</v>
      </c>
      <c r="K3253">
        <v>8</v>
      </c>
      <c r="L3253">
        <v>65735</v>
      </c>
      <c r="M3253" t="s">
        <v>45</v>
      </c>
      <c r="N3253">
        <v>2</v>
      </c>
      <c r="O3253">
        <v>2</v>
      </c>
      <c r="P3253">
        <v>24</v>
      </c>
      <c r="Q3253">
        <v>3</v>
      </c>
      <c r="R3253" s="1">
        <v>42139</v>
      </c>
      <c r="S3253" t="s">
        <v>29</v>
      </c>
      <c r="T3253" t="str">
        <f t="shared" si="250"/>
        <v>Grade B</v>
      </c>
      <c r="U3253">
        <f t="shared" si="251"/>
        <v>2</v>
      </c>
      <c r="V3253" t="str">
        <f t="shared" si="252"/>
        <v>Mid Level</v>
      </c>
      <c r="W3253" t="str">
        <f t="shared" si="253"/>
        <v>Medium Risk</v>
      </c>
      <c r="X3253" t="str">
        <f t="shared" si="254"/>
        <v>Fair</v>
      </c>
    </row>
    <row r="3254" spans="1:24" x14ac:dyDescent="0.3">
      <c r="A3254" t="s">
        <v>3322</v>
      </c>
      <c r="B3254" t="s">
        <v>20</v>
      </c>
      <c r="C3254">
        <v>55</v>
      </c>
      <c r="D3254" t="s">
        <v>31</v>
      </c>
      <c r="E3254" t="s">
        <v>40</v>
      </c>
      <c r="F3254" t="s">
        <v>41</v>
      </c>
      <c r="G3254" t="s">
        <v>24</v>
      </c>
      <c r="H3254" t="s">
        <v>34</v>
      </c>
      <c r="I3254" t="s">
        <v>43</v>
      </c>
      <c r="J3254" t="s">
        <v>44</v>
      </c>
      <c r="K3254">
        <v>9</v>
      </c>
      <c r="L3254">
        <v>88575</v>
      </c>
      <c r="M3254" t="s">
        <v>36</v>
      </c>
      <c r="N3254">
        <v>2</v>
      </c>
      <c r="O3254">
        <v>1</v>
      </c>
      <c r="P3254">
        <v>37</v>
      </c>
      <c r="Q3254">
        <v>2</v>
      </c>
      <c r="R3254" s="1">
        <v>41728</v>
      </c>
      <c r="S3254" t="s">
        <v>29</v>
      </c>
      <c r="T3254" t="str">
        <f t="shared" si="250"/>
        <v>Grade A</v>
      </c>
      <c r="U3254">
        <f t="shared" si="251"/>
        <v>1</v>
      </c>
      <c r="V3254" t="str">
        <f t="shared" si="252"/>
        <v>Mid Level</v>
      </c>
      <c r="W3254" t="str">
        <f t="shared" si="253"/>
        <v>Medium Risk</v>
      </c>
      <c r="X3254" t="str">
        <f t="shared" si="254"/>
        <v>Overpaid</v>
      </c>
    </row>
    <row r="3255" spans="1:24" x14ac:dyDescent="0.3">
      <c r="A3255" t="s">
        <v>3323</v>
      </c>
      <c r="B3255" t="s">
        <v>20</v>
      </c>
      <c r="C3255">
        <v>31</v>
      </c>
      <c r="D3255" t="s">
        <v>88</v>
      </c>
      <c r="E3255" t="s">
        <v>40</v>
      </c>
      <c r="F3255" t="s">
        <v>62</v>
      </c>
      <c r="G3255" t="s">
        <v>33</v>
      </c>
      <c r="H3255" t="s">
        <v>83</v>
      </c>
      <c r="I3255" t="s">
        <v>96</v>
      </c>
      <c r="J3255" t="s">
        <v>44</v>
      </c>
      <c r="K3255">
        <v>5</v>
      </c>
      <c r="L3255">
        <v>68974</v>
      </c>
      <c r="M3255" t="s">
        <v>36</v>
      </c>
      <c r="N3255">
        <v>4</v>
      </c>
      <c r="O3255">
        <v>1</v>
      </c>
      <c r="P3255">
        <v>72</v>
      </c>
      <c r="Q3255">
        <v>2</v>
      </c>
      <c r="R3255" s="1">
        <v>43368</v>
      </c>
      <c r="S3255" t="s">
        <v>37</v>
      </c>
      <c r="T3255" t="str">
        <f t="shared" si="250"/>
        <v>Grade B</v>
      </c>
      <c r="U3255">
        <f t="shared" si="251"/>
        <v>1</v>
      </c>
      <c r="V3255" t="str">
        <f t="shared" si="252"/>
        <v>Junior</v>
      </c>
      <c r="W3255" t="str">
        <f t="shared" si="253"/>
        <v>Already Left</v>
      </c>
      <c r="X3255" t="str">
        <f t="shared" si="254"/>
        <v>Fair</v>
      </c>
    </row>
    <row r="3256" spans="1:24" x14ac:dyDescent="0.3">
      <c r="A3256" t="s">
        <v>3324</v>
      </c>
      <c r="B3256" t="s">
        <v>20</v>
      </c>
      <c r="C3256">
        <v>38</v>
      </c>
      <c r="D3256" t="s">
        <v>47</v>
      </c>
      <c r="E3256" t="s">
        <v>48</v>
      </c>
      <c r="F3256" t="s">
        <v>65</v>
      </c>
      <c r="G3256" t="s">
        <v>58</v>
      </c>
      <c r="H3256" t="s">
        <v>76</v>
      </c>
      <c r="I3256" t="s">
        <v>43</v>
      </c>
      <c r="J3256" t="s">
        <v>44</v>
      </c>
      <c r="K3256">
        <v>10</v>
      </c>
      <c r="L3256">
        <v>107611</v>
      </c>
      <c r="M3256" t="s">
        <v>36</v>
      </c>
      <c r="N3256">
        <v>1</v>
      </c>
      <c r="O3256">
        <v>1</v>
      </c>
      <c r="P3256">
        <v>74</v>
      </c>
      <c r="Q3256">
        <v>0</v>
      </c>
      <c r="R3256" s="1">
        <v>41518</v>
      </c>
      <c r="S3256" t="s">
        <v>29</v>
      </c>
      <c r="T3256" t="str">
        <f t="shared" si="250"/>
        <v>Grade A</v>
      </c>
      <c r="U3256">
        <f t="shared" si="251"/>
        <v>1</v>
      </c>
      <c r="V3256" t="str">
        <f t="shared" si="252"/>
        <v>Mid Level</v>
      </c>
      <c r="W3256" t="str">
        <f t="shared" si="253"/>
        <v>Medium Risk</v>
      </c>
      <c r="X3256" t="str">
        <f t="shared" si="254"/>
        <v>Overpaid</v>
      </c>
    </row>
    <row r="3257" spans="1:24" x14ac:dyDescent="0.3">
      <c r="A3257" t="s">
        <v>3325</v>
      </c>
      <c r="B3257" t="s">
        <v>39</v>
      </c>
      <c r="C3257">
        <v>45</v>
      </c>
      <c r="D3257" t="s">
        <v>47</v>
      </c>
      <c r="E3257" t="s">
        <v>40</v>
      </c>
      <c r="F3257" t="s">
        <v>65</v>
      </c>
      <c r="G3257" t="s">
        <v>79</v>
      </c>
      <c r="H3257" t="s">
        <v>25</v>
      </c>
      <c r="I3257" t="s">
        <v>54</v>
      </c>
      <c r="J3257" t="s">
        <v>27</v>
      </c>
      <c r="K3257">
        <v>6</v>
      </c>
      <c r="L3257">
        <v>61170</v>
      </c>
      <c r="M3257" t="s">
        <v>45</v>
      </c>
      <c r="N3257">
        <v>4</v>
      </c>
      <c r="O3257">
        <v>2</v>
      </c>
      <c r="P3257">
        <v>49</v>
      </c>
      <c r="Q3257">
        <v>2</v>
      </c>
      <c r="R3257" s="1">
        <v>42954</v>
      </c>
      <c r="S3257" t="s">
        <v>29</v>
      </c>
      <c r="T3257" t="str">
        <f t="shared" si="250"/>
        <v>Grade B</v>
      </c>
      <c r="U3257">
        <f t="shared" si="251"/>
        <v>2</v>
      </c>
      <c r="V3257" t="str">
        <f t="shared" si="252"/>
        <v>Mid Level</v>
      </c>
      <c r="W3257" t="str">
        <f t="shared" si="253"/>
        <v>Medium Risk</v>
      </c>
      <c r="X3257" t="str">
        <f t="shared" si="254"/>
        <v>Fair</v>
      </c>
    </row>
    <row r="3258" spans="1:24" x14ac:dyDescent="0.3">
      <c r="A3258" t="s">
        <v>3326</v>
      </c>
      <c r="B3258" t="s">
        <v>39</v>
      </c>
      <c r="C3258">
        <v>41</v>
      </c>
      <c r="D3258" t="s">
        <v>31</v>
      </c>
      <c r="E3258" t="s">
        <v>48</v>
      </c>
      <c r="F3258" t="s">
        <v>41</v>
      </c>
      <c r="G3258" t="s">
        <v>33</v>
      </c>
      <c r="H3258" t="s">
        <v>76</v>
      </c>
      <c r="I3258" t="s">
        <v>50</v>
      </c>
      <c r="J3258" t="s">
        <v>44</v>
      </c>
      <c r="K3258">
        <v>11</v>
      </c>
      <c r="L3258">
        <v>73571</v>
      </c>
      <c r="M3258" t="s">
        <v>51</v>
      </c>
      <c r="N3258">
        <v>2</v>
      </c>
      <c r="O3258">
        <v>2</v>
      </c>
      <c r="P3258">
        <v>73</v>
      </c>
      <c r="Q3258">
        <v>2</v>
      </c>
      <c r="R3258" s="1">
        <v>41149</v>
      </c>
      <c r="S3258" t="s">
        <v>29</v>
      </c>
      <c r="T3258" t="str">
        <f t="shared" si="250"/>
        <v>Grade B</v>
      </c>
      <c r="U3258">
        <f t="shared" si="251"/>
        <v>4</v>
      </c>
      <c r="V3258" t="str">
        <f t="shared" si="252"/>
        <v>Senior</v>
      </c>
      <c r="W3258" t="str">
        <f t="shared" si="253"/>
        <v>Low Risk</v>
      </c>
      <c r="X3258" t="str">
        <f t="shared" si="254"/>
        <v>Fair</v>
      </c>
    </row>
    <row r="3259" spans="1:24" x14ac:dyDescent="0.3">
      <c r="A3259" t="s">
        <v>3327</v>
      </c>
      <c r="B3259" t="s">
        <v>39</v>
      </c>
      <c r="C3259">
        <v>46</v>
      </c>
      <c r="D3259" t="s">
        <v>31</v>
      </c>
      <c r="E3259" t="s">
        <v>22</v>
      </c>
      <c r="F3259" t="s">
        <v>23</v>
      </c>
      <c r="G3259" t="s">
        <v>79</v>
      </c>
      <c r="H3259" t="s">
        <v>83</v>
      </c>
      <c r="I3259" t="s">
        <v>68</v>
      </c>
      <c r="J3259" t="s">
        <v>60</v>
      </c>
      <c r="K3259">
        <v>7</v>
      </c>
      <c r="L3259">
        <v>53046</v>
      </c>
      <c r="M3259" t="s">
        <v>45</v>
      </c>
      <c r="N3259">
        <v>3</v>
      </c>
      <c r="O3259">
        <v>4</v>
      </c>
      <c r="P3259">
        <v>39</v>
      </c>
      <c r="Q3259">
        <v>1</v>
      </c>
      <c r="R3259" s="1">
        <v>42393</v>
      </c>
      <c r="S3259" t="s">
        <v>29</v>
      </c>
      <c r="T3259" t="str">
        <f t="shared" si="250"/>
        <v>Grade B</v>
      </c>
      <c r="U3259">
        <f t="shared" si="251"/>
        <v>2</v>
      </c>
      <c r="V3259" t="str">
        <f t="shared" si="252"/>
        <v>Mid Level</v>
      </c>
      <c r="W3259" t="str">
        <f t="shared" si="253"/>
        <v>Medium Risk</v>
      </c>
      <c r="X3259" t="str">
        <f t="shared" si="254"/>
        <v>Fair</v>
      </c>
    </row>
    <row r="3260" spans="1:24" x14ac:dyDescent="0.3">
      <c r="A3260" t="s">
        <v>3328</v>
      </c>
      <c r="B3260" t="s">
        <v>20</v>
      </c>
      <c r="C3260">
        <v>54</v>
      </c>
      <c r="D3260" t="s">
        <v>21</v>
      </c>
      <c r="E3260" t="s">
        <v>22</v>
      </c>
      <c r="F3260" t="s">
        <v>75</v>
      </c>
      <c r="G3260" t="s">
        <v>79</v>
      </c>
      <c r="H3260" t="s">
        <v>34</v>
      </c>
      <c r="I3260" t="s">
        <v>96</v>
      </c>
      <c r="J3260" t="s">
        <v>44</v>
      </c>
      <c r="K3260">
        <v>1</v>
      </c>
      <c r="L3260">
        <v>38606</v>
      </c>
      <c r="M3260" t="s">
        <v>45</v>
      </c>
      <c r="N3260">
        <v>1</v>
      </c>
      <c r="O3260">
        <v>4</v>
      </c>
      <c r="P3260">
        <v>24</v>
      </c>
      <c r="Q3260">
        <v>2</v>
      </c>
      <c r="R3260" s="1">
        <v>44891</v>
      </c>
      <c r="S3260" t="s">
        <v>29</v>
      </c>
      <c r="T3260" t="str">
        <f t="shared" si="250"/>
        <v>Grade C</v>
      </c>
      <c r="U3260">
        <f t="shared" si="251"/>
        <v>2</v>
      </c>
      <c r="V3260" t="str">
        <f t="shared" si="252"/>
        <v>New Joiner</v>
      </c>
      <c r="W3260" t="str">
        <f t="shared" si="253"/>
        <v>Medium Risk</v>
      </c>
      <c r="X3260" t="str">
        <f t="shared" si="254"/>
        <v>Fair</v>
      </c>
    </row>
    <row r="3261" spans="1:24" x14ac:dyDescent="0.3">
      <c r="A3261" t="s">
        <v>3329</v>
      </c>
      <c r="B3261" t="s">
        <v>20</v>
      </c>
      <c r="C3261">
        <v>44</v>
      </c>
      <c r="D3261" t="s">
        <v>31</v>
      </c>
      <c r="E3261" t="s">
        <v>40</v>
      </c>
      <c r="F3261" t="s">
        <v>41</v>
      </c>
      <c r="G3261" t="s">
        <v>42</v>
      </c>
      <c r="H3261" t="s">
        <v>25</v>
      </c>
      <c r="I3261" t="s">
        <v>96</v>
      </c>
      <c r="J3261" t="s">
        <v>44</v>
      </c>
      <c r="K3261">
        <v>2</v>
      </c>
      <c r="L3261">
        <v>108099</v>
      </c>
      <c r="M3261" t="s">
        <v>45</v>
      </c>
      <c r="N3261">
        <v>2</v>
      </c>
      <c r="O3261">
        <v>4</v>
      </c>
      <c r="P3261">
        <v>37</v>
      </c>
      <c r="Q3261">
        <v>3</v>
      </c>
      <c r="R3261" s="1">
        <v>44512</v>
      </c>
      <c r="S3261" t="s">
        <v>29</v>
      </c>
      <c r="T3261" t="str">
        <f t="shared" si="250"/>
        <v>Grade A</v>
      </c>
      <c r="U3261">
        <f t="shared" si="251"/>
        <v>2</v>
      </c>
      <c r="V3261" t="str">
        <f t="shared" si="252"/>
        <v>New Joiner</v>
      </c>
      <c r="W3261" t="str">
        <f t="shared" si="253"/>
        <v>Medium Risk</v>
      </c>
      <c r="X3261" t="str">
        <f t="shared" si="254"/>
        <v>Fair</v>
      </c>
    </row>
    <row r="3262" spans="1:24" x14ac:dyDescent="0.3">
      <c r="A3262" t="s">
        <v>3330</v>
      </c>
      <c r="B3262" t="s">
        <v>39</v>
      </c>
      <c r="C3262">
        <v>38</v>
      </c>
      <c r="D3262" t="s">
        <v>47</v>
      </c>
      <c r="E3262" t="s">
        <v>40</v>
      </c>
      <c r="F3262" t="s">
        <v>23</v>
      </c>
      <c r="G3262" t="s">
        <v>63</v>
      </c>
      <c r="H3262" t="s">
        <v>76</v>
      </c>
      <c r="I3262" t="s">
        <v>35</v>
      </c>
      <c r="J3262" t="s">
        <v>27</v>
      </c>
      <c r="K3262">
        <v>10</v>
      </c>
      <c r="L3262">
        <v>68970</v>
      </c>
      <c r="M3262" t="s">
        <v>28</v>
      </c>
      <c r="N3262">
        <v>1</v>
      </c>
      <c r="O3262">
        <v>4</v>
      </c>
      <c r="P3262">
        <v>79</v>
      </c>
      <c r="Q3262">
        <v>2</v>
      </c>
      <c r="R3262" s="1">
        <v>41378</v>
      </c>
      <c r="S3262" t="s">
        <v>37</v>
      </c>
      <c r="T3262" t="str">
        <f t="shared" si="250"/>
        <v>Grade B</v>
      </c>
      <c r="U3262">
        <f t="shared" si="251"/>
        <v>3</v>
      </c>
      <c r="V3262" t="str">
        <f t="shared" si="252"/>
        <v>Mid Level</v>
      </c>
      <c r="W3262" t="str">
        <f t="shared" si="253"/>
        <v>Already Left</v>
      </c>
      <c r="X3262" t="str">
        <f t="shared" si="254"/>
        <v>Competitive</v>
      </c>
    </row>
    <row r="3263" spans="1:24" x14ac:dyDescent="0.3">
      <c r="A3263" t="s">
        <v>3331</v>
      </c>
      <c r="B3263" t="s">
        <v>20</v>
      </c>
      <c r="C3263">
        <v>23</v>
      </c>
      <c r="D3263" t="s">
        <v>31</v>
      </c>
      <c r="E3263" t="s">
        <v>40</v>
      </c>
      <c r="F3263" t="s">
        <v>53</v>
      </c>
      <c r="G3263" t="s">
        <v>58</v>
      </c>
      <c r="H3263" t="s">
        <v>76</v>
      </c>
      <c r="I3263" t="s">
        <v>35</v>
      </c>
      <c r="J3263" t="s">
        <v>27</v>
      </c>
      <c r="K3263">
        <v>4</v>
      </c>
      <c r="L3263">
        <v>102481</v>
      </c>
      <c r="M3263" t="s">
        <v>28</v>
      </c>
      <c r="N3263">
        <v>4</v>
      </c>
      <c r="O3263">
        <v>3</v>
      </c>
      <c r="P3263">
        <v>42</v>
      </c>
      <c r="Q3263">
        <v>2</v>
      </c>
      <c r="R3263" s="1">
        <v>43816</v>
      </c>
      <c r="S3263" t="s">
        <v>29</v>
      </c>
      <c r="T3263" t="str">
        <f t="shared" si="250"/>
        <v>Grade A</v>
      </c>
      <c r="U3263">
        <f t="shared" si="251"/>
        <v>3</v>
      </c>
      <c r="V3263" t="str">
        <f t="shared" si="252"/>
        <v>Junior</v>
      </c>
      <c r="W3263" t="str">
        <f t="shared" si="253"/>
        <v>Medium Risk</v>
      </c>
      <c r="X3263" t="str">
        <f t="shared" si="254"/>
        <v>Competitive</v>
      </c>
    </row>
    <row r="3264" spans="1:24" x14ac:dyDescent="0.3">
      <c r="A3264" t="s">
        <v>3332</v>
      </c>
      <c r="B3264" t="s">
        <v>39</v>
      </c>
      <c r="C3264">
        <v>25</v>
      </c>
      <c r="D3264" t="s">
        <v>88</v>
      </c>
      <c r="E3264" t="s">
        <v>22</v>
      </c>
      <c r="F3264" t="s">
        <v>32</v>
      </c>
      <c r="G3264" t="s">
        <v>58</v>
      </c>
      <c r="H3264" t="s">
        <v>83</v>
      </c>
      <c r="I3264" t="s">
        <v>50</v>
      </c>
      <c r="J3264" t="s">
        <v>44</v>
      </c>
      <c r="K3264">
        <v>7</v>
      </c>
      <c r="L3264">
        <v>97575</v>
      </c>
      <c r="M3264" t="s">
        <v>51</v>
      </c>
      <c r="N3264">
        <v>4</v>
      </c>
      <c r="O3264">
        <v>2</v>
      </c>
      <c r="P3264">
        <v>37</v>
      </c>
      <c r="Q3264">
        <v>0</v>
      </c>
      <c r="R3264" s="1">
        <v>42372</v>
      </c>
      <c r="S3264" t="s">
        <v>29</v>
      </c>
      <c r="T3264" t="str">
        <f t="shared" si="250"/>
        <v>Grade A</v>
      </c>
      <c r="U3264">
        <f t="shared" si="251"/>
        <v>4</v>
      </c>
      <c r="V3264" t="str">
        <f t="shared" si="252"/>
        <v>Mid Level</v>
      </c>
      <c r="W3264" t="str">
        <f t="shared" si="253"/>
        <v>Low Risk</v>
      </c>
      <c r="X3264" t="str">
        <f t="shared" si="254"/>
        <v>Competitive</v>
      </c>
    </row>
    <row r="3265" spans="1:24" x14ac:dyDescent="0.3">
      <c r="A3265" t="s">
        <v>3333</v>
      </c>
      <c r="B3265" t="s">
        <v>20</v>
      </c>
      <c r="C3265">
        <v>36</v>
      </c>
      <c r="D3265" t="s">
        <v>57</v>
      </c>
      <c r="E3265" t="s">
        <v>40</v>
      </c>
      <c r="F3265" t="s">
        <v>53</v>
      </c>
      <c r="G3265" t="s">
        <v>24</v>
      </c>
      <c r="H3265" t="s">
        <v>76</v>
      </c>
      <c r="I3265" t="s">
        <v>50</v>
      </c>
      <c r="J3265" t="s">
        <v>44</v>
      </c>
      <c r="K3265">
        <v>4</v>
      </c>
      <c r="L3265">
        <v>87974</v>
      </c>
      <c r="M3265" t="s">
        <v>36</v>
      </c>
      <c r="N3265">
        <v>3</v>
      </c>
      <c r="O3265">
        <v>1</v>
      </c>
      <c r="P3265">
        <v>43</v>
      </c>
      <c r="Q3265">
        <v>1</v>
      </c>
      <c r="R3265" s="1">
        <v>43727</v>
      </c>
      <c r="S3265" t="s">
        <v>37</v>
      </c>
      <c r="T3265" t="str">
        <f t="shared" si="250"/>
        <v>Grade A</v>
      </c>
      <c r="U3265">
        <f t="shared" si="251"/>
        <v>1</v>
      </c>
      <c r="V3265" t="str">
        <f t="shared" si="252"/>
        <v>Junior</v>
      </c>
      <c r="W3265" t="str">
        <f t="shared" si="253"/>
        <v>Already Left</v>
      </c>
      <c r="X3265" t="str">
        <f t="shared" si="254"/>
        <v>Overpaid</v>
      </c>
    </row>
    <row r="3266" spans="1:24" x14ac:dyDescent="0.3">
      <c r="A3266" t="s">
        <v>3334</v>
      </c>
      <c r="B3266" t="s">
        <v>20</v>
      </c>
      <c r="C3266">
        <v>35</v>
      </c>
      <c r="D3266" t="s">
        <v>31</v>
      </c>
      <c r="E3266" t="s">
        <v>22</v>
      </c>
      <c r="F3266" t="s">
        <v>75</v>
      </c>
      <c r="G3266" t="s">
        <v>58</v>
      </c>
      <c r="H3266" t="s">
        <v>83</v>
      </c>
      <c r="I3266" t="s">
        <v>68</v>
      </c>
      <c r="J3266" t="s">
        <v>60</v>
      </c>
      <c r="K3266">
        <v>10</v>
      </c>
      <c r="L3266">
        <v>103531</v>
      </c>
      <c r="M3266" t="s">
        <v>45</v>
      </c>
      <c r="N3266">
        <v>2</v>
      </c>
      <c r="O3266">
        <v>4</v>
      </c>
      <c r="P3266">
        <v>56</v>
      </c>
      <c r="Q3266">
        <v>2</v>
      </c>
      <c r="R3266" s="1">
        <v>41523</v>
      </c>
      <c r="S3266" t="s">
        <v>29</v>
      </c>
      <c r="T3266" t="str">
        <f t="shared" ref="T3266:T3329" si="255">IF(L3266&gt;=80000,"Grade A",IF(L3266&gt;=50000,"Grade B",IF(L3266&gt;=35000,"Grade C","Grade D")))</f>
        <v>Grade A</v>
      </c>
      <c r="U3266">
        <f t="shared" ref="U3266:U3329" si="256">IF(M3266="Excellent",4,IF(M3266="Good",3,IF(M3266="Average",2,1)))</f>
        <v>2</v>
      </c>
      <c r="V3266" t="str">
        <f t="shared" ref="V3266:V3329" si="257">IF(K3266&lt;=2,"New Joiner",IF(K3266&lt;=5,"Junior",IF(K3266&lt;=10,"Mid Level","Senior")))</f>
        <v>Mid Level</v>
      </c>
      <c r="W3266" t="str">
        <f t="shared" ref="W3266:W3329" si="258">IF(S3266="Yes","Already Left",IF(AND(K3266&lt;=2,M3266="Poor"),"High Risk",IF(AND(K3266&lt;=5,M3266="Average"),"Medium Risk",IF(M3266="Excellent","Low Risk","Medium Risk"))))</f>
        <v>Medium Risk</v>
      </c>
      <c r="X3266" t="str">
        <f t="shared" ref="X3266:X3329" si="259">IF(AND(L3266&gt;=80000,M3266="Excellent"),"Competitive",IF(AND(L3266&gt;=50000,M3266="Good"),"Competitive",IF(AND(L3266&lt;35000,M3266="Excellent"),"Underpaid",IF(AND(L3266&gt;=80000,M3266="Poor"),"Overpaid","Fair"))))</f>
        <v>Fair</v>
      </c>
    </row>
    <row r="3267" spans="1:24" x14ac:dyDescent="0.3">
      <c r="A3267" t="s">
        <v>3335</v>
      </c>
      <c r="B3267" t="s">
        <v>20</v>
      </c>
      <c r="C3267">
        <v>45</v>
      </c>
      <c r="D3267" t="s">
        <v>21</v>
      </c>
      <c r="E3267" t="s">
        <v>22</v>
      </c>
      <c r="F3267" t="s">
        <v>32</v>
      </c>
      <c r="G3267" t="s">
        <v>49</v>
      </c>
      <c r="H3267" t="s">
        <v>83</v>
      </c>
      <c r="I3267" t="s">
        <v>54</v>
      </c>
      <c r="J3267" t="s">
        <v>27</v>
      </c>
      <c r="K3267">
        <v>14</v>
      </c>
      <c r="L3267">
        <v>86459</v>
      </c>
      <c r="M3267" t="s">
        <v>45</v>
      </c>
      <c r="N3267">
        <v>3</v>
      </c>
      <c r="O3267">
        <v>4</v>
      </c>
      <c r="P3267">
        <v>47</v>
      </c>
      <c r="Q3267">
        <v>1</v>
      </c>
      <c r="R3267" s="1">
        <v>40085</v>
      </c>
      <c r="S3267" t="s">
        <v>29</v>
      </c>
      <c r="T3267" t="str">
        <f t="shared" si="255"/>
        <v>Grade A</v>
      </c>
      <c r="U3267">
        <f t="shared" si="256"/>
        <v>2</v>
      </c>
      <c r="V3267" t="str">
        <f t="shared" si="257"/>
        <v>Senior</v>
      </c>
      <c r="W3267" t="str">
        <f t="shared" si="258"/>
        <v>Medium Risk</v>
      </c>
      <c r="X3267" t="str">
        <f t="shared" si="259"/>
        <v>Fair</v>
      </c>
    </row>
    <row r="3268" spans="1:24" x14ac:dyDescent="0.3">
      <c r="A3268" t="s">
        <v>3336</v>
      </c>
      <c r="B3268" t="s">
        <v>20</v>
      </c>
      <c r="C3268">
        <v>32</v>
      </c>
      <c r="D3268" t="s">
        <v>57</v>
      </c>
      <c r="E3268" t="s">
        <v>48</v>
      </c>
      <c r="F3268" t="s">
        <v>23</v>
      </c>
      <c r="G3268" t="s">
        <v>58</v>
      </c>
      <c r="H3268" t="s">
        <v>76</v>
      </c>
      <c r="I3268" t="s">
        <v>43</v>
      </c>
      <c r="J3268" t="s">
        <v>44</v>
      </c>
      <c r="K3268">
        <v>12</v>
      </c>
      <c r="L3268">
        <v>118990</v>
      </c>
      <c r="M3268" t="s">
        <v>51</v>
      </c>
      <c r="N3268">
        <v>1</v>
      </c>
      <c r="O3268">
        <v>3</v>
      </c>
      <c r="P3268">
        <v>21</v>
      </c>
      <c r="Q3268">
        <v>2</v>
      </c>
      <c r="R3268" s="1">
        <v>40594</v>
      </c>
      <c r="S3268" t="s">
        <v>29</v>
      </c>
      <c r="T3268" t="str">
        <f t="shared" si="255"/>
        <v>Grade A</v>
      </c>
      <c r="U3268">
        <f t="shared" si="256"/>
        <v>4</v>
      </c>
      <c r="V3268" t="str">
        <f t="shared" si="257"/>
        <v>Senior</v>
      </c>
      <c r="W3268" t="str">
        <f t="shared" si="258"/>
        <v>Low Risk</v>
      </c>
      <c r="X3268" t="str">
        <f t="shared" si="259"/>
        <v>Competitive</v>
      </c>
    </row>
    <row r="3269" spans="1:24" x14ac:dyDescent="0.3">
      <c r="A3269" t="s">
        <v>3337</v>
      </c>
      <c r="B3269" t="s">
        <v>39</v>
      </c>
      <c r="C3269">
        <v>49</v>
      </c>
      <c r="D3269" t="s">
        <v>31</v>
      </c>
      <c r="E3269" t="s">
        <v>48</v>
      </c>
      <c r="F3269" t="s">
        <v>41</v>
      </c>
      <c r="G3269" t="s">
        <v>79</v>
      </c>
      <c r="H3269" t="s">
        <v>76</v>
      </c>
      <c r="I3269" t="s">
        <v>59</v>
      </c>
      <c r="J3269" t="s">
        <v>60</v>
      </c>
      <c r="K3269">
        <v>2</v>
      </c>
      <c r="L3269">
        <v>53923</v>
      </c>
      <c r="M3269" t="s">
        <v>45</v>
      </c>
      <c r="N3269">
        <v>3</v>
      </c>
      <c r="O3269">
        <v>1</v>
      </c>
      <c r="P3269">
        <v>30</v>
      </c>
      <c r="Q3269">
        <v>2</v>
      </c>
      <c r="R3269" s="1">
        <v>44517</v>
      </c>
      <c r="S3269" t="s">
        <v>29</v>
      </c>
      <c r="T3269" t="str">
        <f t="shared" si="255"/>
        <v>Grade B</v>
      </c>
      <c r="U3269">
        <f t="shared" si="256"/>
        <v>2</v>
      </c>
      <c r="V3269" t="str">
        <f t="shared" si="257"/>
        <v>New Joiner</v>
      </c>
      <c r="W3269" t="str">
        <f t="shared" si="258"/>
        <v>Medium Risk</v>
      </c>
      <c r="X3269" t="str">
        <f t="shared" si="259"/>
        <v>Fair</v>
      </c>
    </row>
    <row r="3270" spans="1:24" x14ac:dyDescent="0.3">
      <c r="A3270" t="s">
        <v>3338</v>
      </c>
      <c r="B3270" t="s">
        <v>39</v>
      </c>
      <c r="C3270">
        <v>32</v>
      </c>
      <c r="D3270" t="s">
        <v>47</v>
      </c>
      <c r="E3270" t="s">
        <v>40</v>
      </c>
      <c r="F3270" t="s">
        <v>53</v>
      </c>
      <c r="G3270" t="s">
        <v>63</v>
      </c>
      <c r="H3270" t="s">
        <v>76</v>
      </c>
      <c r="I3270" t="s">
        <v>80</v>
      </c>
      <c r="J3270" t="s">
        <v>60</v>
      </c>
      <c r="K3270">
        <v>1</v>
      </c>
      <c r="L3270">
        <v>41166</v>
      </c>
      <c r="M3270" t="s">
        <v>51</v>
      </c>
      <c r="N3270">
        <v>3</v>
      </c>
      <c r="O3270">
        <v>2</v>
      </c>
      <c r="P3270">
        <v>56</v>
      </c>
      <c r="Q3270">
        <v>3</v>
      </c>
      <c r="R3270" s="1">
        <v>44597</v>
      </c>
      <c r="S3270" t="s">
        <v>29</v>
      </c>
      <c r="T3270" t="str">
        <f t="shared" si="255"/>
        <v>Grade C</v>
      </c>
      <c r="U3270">
        <f t="shared" si="256"/>
        <v>4</v>
      </c>
      <c r="V3270" t="str">
        <f t="shared" si="257"/>
        <v>New Joiner</v>
      </c>
      <c r="W3270" t="str">
        <f t="shared" si="258"/>
        <v>Low Risk</v>
      </c>
      <c r="X3270" t="str">
        <f t="shared" si="259"/>
        <v>Fair</v>
      </c>
    </row>
    <row r="3271" spans="1:24" x14ac:dyDescent="0.3">
      <c r="A3271" t="s">
        <v>3339</v>
      </c>
      <c r="B3271" t="s">
        <v>39</v>
      </c>
      <c r="C3271">
        <v>31</v>
      </c>
      <c r="D3271" t="s">
        <v>31</v>
      </c>
      <c r="E3271" t="s">
        <v>22</v>
      </c>
      <c r="F3271" t="s">
        <v>32</v>
      </c>
      <c r="G3271" t="s">
        <v>42</v>
      </c>
      <c r="H3271" t="s">
        <v>34</v>
      </c>
      <c r="I3271" t="s">
        <v>54</v>
      </c>
      <c r="J3271" t="s">
        <v>27</v>
      </c>
      <c r="K3271">
        <v>15</v>
      </c>
      <c r="L3271">
        <v>127035</v>
      </c>
      <c r="M3271" t="s">
        <v>45</v>
      </c>
      <c r="N3271">
        <v>4</v>
      </c>
      <c r="O3271">
        <v>3</v>
      </c>
      <c r="P3271">
        <v>72</v>
      </c>
      <c r="Q3271">
        <v>2</v>
      </c>
      <c r="R3271" s="1">
        <v>39528</v>
      </c>
      <c r="S3271" t="s">
        <v>29</v>
      </c>
      <c r="T3271" t="str">
        <f t="shared" si="255"/>
        <v>Grade A</v>
      </c>
      <c r="U3271">
        <f t="shared" si="256"/>
        <v>2</v>
      </c>
      <c r="V3271" t="str">
        <f t="shared" si="257"/>
        <v>Senior</v>
      </c>
      <c r="W3271" t="str">
        <f t="shared" si="258"/>
        <v>Medium Risk</v>
      </c>
      <c r="X3271" t="str">
        <f t="shared" si="259"/>
        <v>Fair</v>
      </c>
    </row>
    <row r="3272" spans="1:24" x14ac:dyDescent="0.3">
      <c r="A3272" t="s">
        <v>3340</v>
      </c>
      <c r="B3272" t="s">
        <v>39</v>
      </c>
      <c r="C3272">
        <v>54</v>
      </c>
      <c r="D3272" t="s">
        <v>88</v>
      </c>
      <c r="E3272" t="s">
        <v>40</v>
      </c>
      <c r="F3272" t="s">
        <v>62</v>
      </c>
      <c r="G3272" t="s">
        <v>66</v>
      </c>
      <c r="H3272" t="s">
        <v>34</v>
      </c>
      <c r="I3272" t="s">
        <v>68</v>
      </c>
      <c r="J3272" t="s">
        <v>60</v>
      </c>
      <c r="K3272">
        <v>8</v>
      </c>
      <c r="L3272">
        <v>54046</v>
      </c>
      <c r="M3272" t="s">
        <v>36</v>
      </c>
      <c r="N3272">
        <v>3</v>
      </c>
      <c r="O3272">
        <v>4</v>
      </c>
      <c r="P3272">
        <v>35</v>
      </c>
      <c r="Q3272">
        <v>1</v>
      </c>
      <c r="R3272" s="1">
        <v>42320</v>
      </c>
      <c r="S3272" t="s">
        <v>37</v>
      </c>
      <c r="T3272" t="str">
        <f t="shared" si="255"/>
        <v>Grade B</v>
      </c>
      <c r="U3272">
        <f t="shared" si="256"/>
        <v>1</v>
      </c>
      <c r="V3272" t="str">
        <f t="shared" si="257"/>
        <v>Mid Level</v>
      </c>
      <c r="W3272" t="str">
        <f t="shared" si="258"/>
        <v>Already Left</v>
      </c>
      <c r="X3272" t="str">
        <f t="shared" si="259"/>
        <v>Fair</v>
      </c>
    </row>
    <row r="3273" spans="1:24" x14ac:dyDescent="0.3">
      <c r="A3273" t="s">
        <v>3341</v>
      </c>
      <c r="B3273" t="s">
        <v>39</v>
      </c>
      <c r="C3273">
        <v>32</v>
      </c>
      <c r="D3273" t="s">
        <v>47</v>
      </c>
      <c r="E3273" t="s">
        <v>40</v>
      </c>
      <c r="F3273" t="s">
        <v>78</v>
      </c>
      <c r="G3273" t="s">
        <v>33</v>
      </c>
      <c r="H3273" t="s">
        <v>76</v>
      </c>
      <c r="I3273" t="s">
        <v>43</v>
      </c>
      <c r="J3273" t="s">
        <v>44</v>
      </c>
      <c r="K3273">
        <v>6</v>
      </c>
      <c r="L3273">
        <v>63908</v>
      </c>
      <c r="M3273" t="s">
        <v>36</v>
      </c>
      <c r="N3273">
        <v>1</v>
      </c>
      <c r="O3273">
        <v>2</v>
      </c>
      <c r="P3273">
        <v>38</v>
      </c>
      <c r="Q3273">
        <v>3</v>
      </c>
      <c r="R3273" s="1">
        <v>43101</v>
      </c>
      <c r="S3273" t="s">
        <v>37</v>
      </c>
      <c r="T3273" t="str">
        <f t="shared" si="255"/>
        <v>Grade B</v>
      </c>
      <c r="U3273">
        <f t="shared" si="256"/>
        <v>1</v>
      </c>
      <c r="V3273" t="str">
        <f t="shared" si="257"/>
        <v>Mid Level</v>
      </c>
      <c r="W3273" t="str">
        <f t="shared" si="258"/>
        <v>Already Left</v>
      </c>
      <c r="X3273" t="str">
        <f t="shared" si="259"/>
        <v>Fair</v>
      </c>
    </row>
    <row r="3274" spans="1:24" x14ac:dyDescent="0.3">
      <c r="A3274" t="s">
        <v>3342</v>
      </c>
      <c r="B3274" t="s">
        <v>20</v>
      </c>
      <c r="C3274">
        <v>40</v>
      </c>
      <c r="D3274" t="s">
        <v>31</v>
      </c>
      <c r="E3274" t="s">
        <v>48</v>
      </c>
      <c r="F3274" t="s">
        <v>32</v>
      </c>
      <c r="G3274" t="s">
        <v>42</v>
      </c>
      <c r="H3274" t="s">
        <v>25</v>
      </c>
      <c r="I3274" t="s">
        <v>72</v>
      </c>
      <c r="J3274" t="s">
        <v>73</v>
      </c>
      <c r="K3274">
        <v>2</v>
      </c>
      <c r="L3274">
        <v>98412</v>
      </c>
      <c r="M3274" t="s">
        <v>28</v>
      </c>
      <c r="N3274">
        <v>3</v>
      </c>
      <c r="O3274">
        <v>2</v>
      </c>
      <c r="P3274">
        <v>64</v>
      </c>
      <c r="Q3274">
        <v>1</v>
      </c>
      <c r="R3274" s="1">
        <v>44453</v>
      </c>
      <c r="S3274" t="s">
        <v>29</v>
      </c>
      <c r="T3274" t="str">
        <f t="shared" si="255"/>
        <v>Grade A</v>
      </c>
      <c r="U3274">
        <f t="shared" si="256"/>
        <v>3</v>
      </c>
      <c r="V3274" t="str">
        <f t="shared" si="257"/>
        <v>New Joiner</v>
      </c>
      <c r="W3274" t="str">
        <f t="shared" si="258"/>
        <v>Medium Risk</v>
      </c>
      <c r="X3274" t="str">
        <f t="shared" si="259"/>
        <v>Competitive</v>
      </c>
    </row>
    <row r="3275" spans="1:24" x14ac:dyDescent="0.3">
      <c r="A3275" t="s">
        <v>3343</v>
      </c>
      <c r="B3275" t="s">
        <v>39</v>
      </c>
      <c r="C3275">
        <v>43</v>
      </c>
      <c r="D3275" t="s">
        <v>47</v>
      </c>
      <c r="E3275" t="s">
        <v>48</v>
      </c>
      <c r="F3275" t="s">
        <v>53</v>
      </c>
      <c r="G3275" t="s">
        <v>42</v>
      </c>
      <c r="H3275" t="s">
        <v>25</v>
      </c>
      <c r="I3275" t="s">
        <v>35</v>
      </c>
      <c r="J3275" t="s">
        <v>27</v>
      </c>
      <c r="K3275">
        <v>6</v>
      </c>
      <c r="L3275">
        <v>104049</v>
      </c>
      <c r="M3275" t="s">
        <v>28</v>
      </c>
      <c r="N3275">
        <v>2</v>
      </c>
      <c r="O3275">
        <v>1</v>
      </c>
      <c r="P3275">
        <v>55</v>
      </c>
      <c r="Q3275">
        <v>0</v>
      </c>
      <c r="R3275" s="1">
        <v>42783</v>
      </c>
      <c r="S3275" t="s">
        <v>37</v>
      </c>
      <c r="T3275" t="str">
        <f t="shared" si="255"/>
        <v>Grade A</v>
      </c>
      <c r="U3275">
        <f t="shared" si="256"/>
        <v>3</v>
      </c>
      <c r="V3275" t="str">
        <f t="shared" si="257"/>
        <v>Mid Level</v>
      </c>
      <c r="W3275" t="str">
        <f t="shared" si="258"/>
        <v>Already Left</v>
      </c>
      <c r="X3275" t="str">
        <f t="shared" si="259"/>
        <v>Competitive</v>
      </c>
    </row>
    <row r="3276" spans="1:24" x14ac:dyDescent="0.3">
      <c r="A3276" t="s">
        <v>3344</v>
      </c>
      <c r="B3276" t="s">
        <v>39</v>
      </c>
      <c r="C3276">
        <v>38</v>
      </c>
      <c r="D3276" t="s">
        <v>57</v>
      </c>
      <c r="E3276" t="s">
        <v>22</v>
      </c>
      <c r="F3276" t="s">
        <v>32</v>
      </c>
      <c r="G3276" t="s">
        <v>58</v>
      </c>
      <c r="H3276" t="s">
        <v>25</v>
      </c>
      <c r="I3276" t="s">
        <v>96</v>
      </c>
      <c r="J3276" t="s">
        <v>44</v>
      </c>
      <c r="K3276">
        <v>7</v>
      </c>
      <c r="L3276">
        <v>103173</v>
      </c>
      <c r="M3276" t="s">
        <v>36</v>
      </c>
      <c r="N3276">
        <v>3</v>
      </c>
      <c r="O3276">
        <v>4</v>
      </c>
      <c r="P3276">
        <v>51</v>
      </c>
      <c r="Q3276">
        <v>3</v>
      </c>
      <c r="R3276" s="1">
        <v>42444</v>
      </c>
      <c r="S3276" t="s">
        <v>29</v>
      </c>
      <c r="T3276" t="str">
        <f t="shared" si="255"/>
        <v>Grade A</v>
      </c>
      <c r="U3276">
        <f t="shared" si="256"/>
        <v>1</v>
      </c>
      <c r="V3276" t="str">
        <f t="shared" si="257"/>
        <v>Mid Level</v>
      </c>
      <c r="W3276" t="str">
        <f t="shared" si="258"/>
        <v>Medium Risk</v>
      </c>
      <c r="X3276" t="str">
        <f t="shared" si="259"/>
        <v>Overpaid</v>
      </c>
    </row>
    <row r="3277" spans="1:24" x14ac:dyDescent="0.3">
      <c r="A3277" t="s">
        <v>3345</v>
      </c>
      <c r="B3277" t="s">
        <v>39</v>
      </c>
      <c r="C3277">
        <v>33</v>
      </c>
      <c r="D3277" t="s">
        <v>21</v>
      </c>
      <c r="E3277" t="s">
        <v>40</v>
      </c>
      <c r="F3277" t="s">
        <v>23</v>
      </c>
      <c r="G3277" t="s">
        <v>79</v>
      </c>
      <c r="H3277" t="s">
        <v>34</v>
      </c>
      <c r="I3277" t="s">
        <v>26</v>
      </c>
      <c r="J3277" t="s">
        <v>27</v>
      </c>
      <c r="K3277">
        <v>11</v>
      </c>
      <c r="L3277">
        <v>53274</v>
      </c>
      <c r="M3277" t="s">
        <v>51</v>
      </c>
      <c r="N3277">
        <v>2</v>
      </c>
      <c r="O3277">
        <v>2</v>
      </c>
      <c r="P3277">
        <v>53</v>
      </c>
      <c r="Q3277">
        <v>2</v>
      </c>
      <c r="R3277" s="1">
        <v>41267</v>
      </c>
      <c r="S3277" t="s">
        <v>29</v>
      </c>
      <c r="T3277" t="str">
        <f t="shared" si="255"/>
        <v>Grade B</v>
      </c>
      <c r="U3277">
        <f t="shared" si="256"/>
        <v>4</v>
      </c>
      <c r="V3277" t="str">
        <f t="shared" si="257"/>
        <v>Senior</v>
      </c>
      <c r="W3277" t="str">
        <f t="shared" si="258"/>
        <v>Low Risk</v>
      </c>
      <c r="X3277" t="str">
        <f t="shared" si="259"/>
        <v>Fair</v>
      </c>
    </row>
    <row r="3278" spans="1:24" x14ac:dyDescent="0.3">
      <c r="A3278" t="s">
        <v>3346</v>
      </c>
      <c r="B3278" t="s">
        <v>20</v>
      </c>
      <c r="C3278">
        <v>38</v>
      </c>
      <c r="D3278" t="s">
        <v>21</v>
      </c>
      <c r="E3278" t="s">
        <v>48</v>
      </c>
      <c r="F3278" t="s">
        <v>53</v>
      </c>
      <c r="G3278" t="s">
        <v>49</v>
      </c>
      <c r="H3278" t="s">
        <v>83</v>
      </c>
      <c r="I3278" t="s">
        <v>26</v>
      </c>
      <c r="J3278" t="s">
        <v>27</v>
      </c>
      <c r="K3278">
        <v>10</v>
      </c>
      <c r="L3278">
        <v>64469</v>
      </c>
      <c r="M3278" t="s">
        <v>36</v>
      </c>
      <c r="N3278">
        <v>2</v>
      </c>
      <c r="O3278">
        <v>2</v>
      </c>
      <c r="P3278">
        <v>62</v>
      </c>
      <c r="Q3278">
        <v>1</v>
      </c>
      <c r="R3278" s="1">
        <v>41358</v>
      </c>
      <c r="S3278" t="s">
        <v>37</v>
      </c>
      <c r="T3278" t="str">
        <f t="shared" si="255"/>
        <v>Grade B</v>
      </c>
      <c r="U3278">
        <f t="shared" si="256"/>
        <v>1</v>
      </c>
      <c r="V3278" t="str">
        <f t="shared" si="257"/>
        <v>Mid Level</v>
      </c>
      <c r="W3278" t="str">
        <f t="shared" si="258"/>
        <v>Already Left</v>
      </c>
      <c r="X3278" t="str">
        <f t="shared" si="259"/>
        <v>Fair</v>
      </c>
    </row>
    <row r="3279" spans="1:24" x14ac:dyDescent="0.3">
      <c r="A3279" t="s">
        <v>3347</v>
      </c>
      <c r="B3279" t="s">
        <v>39</v>
      </c>
      <c r="C3279">
        <v>43</v>
      </c>
      <c r="D3279" t="s">
        <v>21</v>
      </c>
      <c r="E3279" t="s">
        <v>48</v>
      </c>
      <c r="F3279" t="s">
        <v>75</v>
      </c>
      <c r="G3279" t="s">
        <v>42</v>
      </c>
      <c r="H3279" t="s">
        <v>67</v>
      </c>
      <c r="I3279" t="s">
        <v>68</v>
      </c>
      <c r="J3279" t="s">
        <v>60</v>
      </c>
      <c r="K3279">
        <v>5</v>
      </c>
      <c r="L3279">
        <v>105467</v>
      </c>
      <c r="M3279" t="s">
        <v>51</v>
      </c>
      <c r="N3279">
        <v>3</v>
      </c>
      <c r="O3279">
        <v>1</v>
      </c>
      <c r="P3279">
        <v>60</v>
      </c>
      <c r="Q3279">
        <v>3</v>
      </c>
      <c r="R3279" s="1">
        <v>43224</v>
      </c>
      <c r="S3279" t="s">
        <v>29</v>
      </c>
      <c r="T3279" t="str">
        <f t="shared" si="255"/>
        <v>Grade A</v>
      </c>
      <c r="U3279">
        <f t="shared" si="256"/>
        <v>4</v>
      </c>
      <c r="V3279" t="str">
        <f t="shared" si="257"/>
        <v>Junior</v>
      </c>
      <c r="W3279" t="str">
        <f t="shared" si="258"/>
        <v>Low Risk</v>
      </c>
      <c r="X3279" t="str">
        <f t="shared" si="259"/>
        <v>Competitive</v>
      </c>
    </row>
    <row r="3280" spans="1:24" x14ac:dyDescent="0.3">
      <c r="A3280" t="s">
        <v>3348</v>
      </c>
      <c r="B3280" t="s">
        <v>39</v>
      </c>
      <c r="C3280">
        <v>35</v>
      </c>
      <c r="D3280" t="s">
        <v>47</v>
      </c>
      <c r="E3280" t="s">
        <v>48</v>
      </c>
      <c r="F3280" t="s">
        <v>78</v>
      </c>
      <c r="G3280" t="s">
        <v>79</v>
      </c>
      <c r="H3280" t="s">
        <v>76</v>
      </c>
      <c r="I3280" t="s">
        <v>35</v>
      </c>
      <c r="J3280" t="s">
        <v>27</v>
      </c>
      <c r="K3280">
        <v>13</v>
      </c>
      <c r="L3280">
        <v>60084</v>
      </c>
      <c r="M3280" t="s">
        <v>51</v>
      </c>
      <c r="N3280">
        <v>3</v>
      </c>
      <c r="O3280">
        <v>2</v>
      </c>
      <c r="P3280">
        <v>35</v>
      </c>
      <c r="Q3280">
        <v>1</v>
      </c>
      <c r="R3280" s="1">
        <v>40237</v>
      </c>
      <c r="S3280" t="s">
        <v>29</v>
      </c>
      <c r="T3280" t="str">
        <f t="shared" si="255"/>
        <v>Grade B</v>
      </c>
      <c r="U3280">
        <f t="shared" si="256"/>
        <v>4</v>
      </c>
      <c r="V3280" t="str">
        <f t="shared" si="257"/>
        <v>Senior</v>
      </c>
      <c r="W3280" t="str">
        <f t="shared" si="258"/>
        <v>Low Risk</v>
      </c>
      <c r="X3280" t="str">
        <f t="shared" si="259"/>
        <v>Fair</v>
      </c>
    </row>
    <row r="3281" spans="1:24" x14ac:dyDescent="0.3">
      <c r="A3281" t="s">
        <v>3349</v>
      </c>
      <c r="B3281" t="s">
        <v>39</v>
      </c>
      <c r="C3281">
        <v>35</v>
      </c>
      <c r="D3281" t="s">
        <v>47</v>
      </c>
      <c r="E3281" t="s">
        <v>40</v>
      </c>
      <c r="F3281" t="s">
        <v>32</v>
      </c>
      <c r="G3281" t="s">
        <v>42</v>
      </c>
      <c r="H3281" t="s">
        <v>25</v>
      </c>
      <c r="I3281" t="s">
        <v>43</v>
      </c>
      <c r="J3281" t="s">
        <v>44</v>
      </c>
      <c r="K3281">
        <v>13</v>
      </c>
      <c r="L3281">
        <v>124583</v>
      </c>
      <c r="M3281" t="s">
        <v>45</v>
      </c>
      <c r="N3281">
        <v>4</v>
      </c>
      <c r="O3281">
        <v>2</v>
      </c>
      <c r="P3281">
        <v>21</v>
      </c>
      <c r="Q3281">
        <v>0</v>
      </c>
      <c r="R3281" s="1">
        <v>40199</v>
      </c>
      <c r="S3281" t="s">
        <v>29</v>
      </c>
      <c r="T3281" t="str">
        <f t="shared" si="255"/>
        <v>Grade A</v>
      </c>
      <c r="U3281">
        <f t="shared" si="256"/>
        <v>2</v>
      </c>
      <c r="V3281" t="str">
        <f t="shared" si="257"/>
        <v>Senior</v>
      </c>
      <c r="W3281" t="str">
        <f t="shared" si="258"/>
        <v>Medium Risk</v>
      </c>
      <c r="X3281" t="str">
        <f t="shared" si="259"/>
        <v>Fair</v>
      </c>
    </row>
    <row r="3282" spans="1:24" x14ac:dyDescent="0.3">
      <c r="A3282" t="s">
        <v>3350</v>
      </c>
      <c r="B3282" t="s">
        <v>20</v>
      </c>
      <c r="C3282">
        <v>43</v>
      </c>
      <c r="D3282" t="s">
        <v>31</v>
      </c>
      <c r="E3282" t="s">
        <v>22</v>
      </c>
      <c r="F3282" t="s">
        <v>78</v>
      </c>
      <c r="G3282" t="s">
        <v>24</v>
      </c>
      <c r="H3282" t="s">
        <v>83</v>
      </c>
      <c r="I3282" t="s">
        <v>72</v>
      </c>
      <c r="J3282" t="s">
        <v>73</v>
      </c>
      <c r="K3282">
        <v>4</v>
      </c>
      <c r="L3282">
        <v>79561</v>
      </c>
      <c r="M3282" t="s">
        <v>36</v>
      </c>
      <c r="N3282">
        <v>4</v>
      </c>
      <c r="O3282">
        <v>4</v>
      </c>
      <c r="P3282">
        <v>65</v>
      </c>
      <c r="Q3282">
        <v>1</v>
      </c>
      <c r="R3282" s="1">
        <v>43651</v>
      </c>
      <c r="S3282" t="s">
        <v>37</v>
      </c>
      <c r="T3282" t="str">
        <f t="shared" si="255"/>
        <v>Grade B</v>
      </c>
      <c r="U3282">
        <f t="shared" si="256"/>
        <v>1</v>
      </c>
      <c r="V3282" t="str">
        <f t="shared" si="257"/>
        <v>Junior</v>
      </c>
      <c r="W3282" t="str">
        <f t="shared" si="258"/>
        <v>Already Left</v>
      </c>
      <c r="X3282" t="str">
        <f t="shared" si="259"/>
        <v>Fair</v>
      </c>
    </row>
    <row r="3283" spans="1:24" x14ac:dyDescent="0.3">
      <c r="A3283" t="s">
        <v>3351</v>
      </c>
      <c r="B3283" t="s">
        <v>39</v>
      </c>
      <c r="C3283">
        <v>22</v>
      </c>
      <c r="D3283" t="s">
        <v>88</v>
      </c>
      <c r="E3283" t="s">
        <v>40</v>
      </c>
      <c r="F3283" t="s">
        <v>23</v>
      </c>
      <c r="G3283" t="s">
        <v>63</v>
      </c>
      <c r="H3283" t="s">
        <v>67</v>
      </c>
      <c r="I3283" t="s">
        <v>43</v>
      </c>
      <c r="J3283" t="s">
        <v>44</v>
      </c>
      <c r="K3283">
        <v>6</v>
      </c>
      <c r="L3283">
        <v>56312</v>
      </c>
      <c r="M3283" t="s">
        <v>28</v>
      </c>
      <c r="N3283">
        <v>4</v>
      </c>
      <c r="O3283">
        <v>1</v>
      </c>
      <c r="P3283">
        <v>57</v>
      </c>
      <c r="Q3283">
        <v>0</v>
      </c>
      <c r="R3283" s="1">
        <v>42756</v>
      </c>
      <c r="S3283" t="s">
        <v>37</v>
      </c>
      <c r="T3283" t="str">
        <f t="shared" si="255"/>
        <v>Grade B</v>
      </c>
      <c r="U3283">
        <f t="shared" si="256"/>
        <v>3</v>
      </c>
      <c r="V3283" t="str">
        <f t="shared" si="257"/>
        <v>Mid Level</v>
      </c>
      <c r="W3283" t="str">
        <f t="shared" si="258"/>
        <v>Already Left</v>
      </c>
      <c r="X3283" t="str">
        <f t="shared" si="259"/>
        <v>Competitive</v>
      </c>
    </row>
    <row r="3284" spans="1:24" x14ac:dyDescent="0.3">
      <c r="A3284" t="s">
        <v>3352</v>
      </c>
      <c r="B3284" t="s">
        <v>39</v>
      </c>
      <c r="C3284">
        <v>40</v>
      </c>
      <c r="D3284" t="s">
        <v>88</v>
      </c>
      <c r="E3284" t="s">
        <v>40</v>
      </c>
      <c r="F3284" t="s">
        <v>75</v>
      </c>
      <c r="G3284" t="s">
        <v>49</v>
      </c>
      <c r="H3284" t="s">
        <v>76</v>
      </c>
      <c r="I3284" t="s">
        <v>96</v>
      </c>
      <c r="J3284" t="s">
        <v>44</v>
      </c>
      <c r="K3284">
        <v>10</v>
      </c>
      <c r="L3284">
        <v>77190</v>
      </c>
      <c r="M3284" t="s">
        <v>36</v>
      </c>
      <c r="N3284">
        <v>4</v>
      </c>
      <c r="O3284">
        <v>3</v>
      </c>
      <c r="P3284">
        <v>59</v>
      </c>
      <c r="Q3284">
        <v>0</v>
      </c>
      <c r="R3284" s="1">
        <v>41312</v>
      </c>
      <c r="S3284" t="s">
        <v>29</v>
      </c>
      <c r="T3284" t="str">
        <f t="shared" si="255"/>
        <v>Grade B</v>
      </c>
      <c r="U3284">
        <f t="shared" si="256"/>
        <v>1</v>
      </c>
      <c r="V3284" t="str">
        <f t="shared" si="257"/>
        <v>Mid Level</v>
      </c>
      <c r="W3284" t="str">
        <f t="shared" si="258"/>
        <v>Medium Risk</v>
      </c>
      <c r="X3284" t="str">
        <f t="shared" si="259"/>
        <v>Fair</v>
      </c>
    </row>
    <row r="3285" spans="1:24" x14ac:dyDescent="0.3">
      <c r="A3285" t="s">
        <v>3353</v>
      </c>
      <c r="B3285" t="s">
        <v>20</v>
      </c>
      <c r="C3285">
        <v>29</v>
      </c>
      <c r="D3285" t="s">
        <v>57</v>
      </c>
      <c r="E3285" t="s">
        <v>48</v>
      </c>
      <c r="F3285" t="s">
        <v>32</v>
      </c>
      <c r="G3285" t="s">
        <v>24</v>
      </c>
      <c r="H3285" t="s">
        <v>83</v>
      </c>
      <c r="I3285" t="s">
        <v>68</v>
      </c>
      <c r="J3285" t="s">
        <v>60</v>
      </c>
      <c r="K3285">
        <v>1</v>
      </c>
      <c r="L3285">
        <v>76472</v>
      </c>
      <c r="M3285" t="s">
        <v>51</v>
      </c>
      <c r="N3285">
        <v>4</v>
      </c>
      <c r="O3285">
        <v>2</v>
      </c>
      <c r="P3285">
        <v>67</v>
      </c>
      <c r="Q3285">
        <v>1</v>
      </c>
      <c r="R3285" s="1">
        <v>44742</v>
      </c>
      <c r="S3285" t="s">
        <v>37</v>
      </c>
      <c r="T3285" t="str">
        <f t="shared" si="255"/>
        <v>Grade B</v>
      </c>
      <c r="U3285">
        <f t="shared" si="256"/>
        <v>4</v>
      </c>
      <c r="V3285" t="str">
        <f t="shared" si="257"/>
        <v>New Joiner</v>
      </c>
      <c r="W3285" t="str">
        <f t="shared" si="258"/>
        <v>Already Left</v>
      </c>
      <c r="X3285" t="str">
        <f t="shared" si="259"/>
        <v>Fair</v>
      </c>
    </row>
    <row r="3286" spans="1:24" x14ac:dyDescent="0.3">
      <c r="A3286" t="s">
        <v>3354</v>
      </c>
      <c r="B3286" t="s">
        <v>20</v>
      </c>
      <c r="C3286">
        <v>48</v>
      </c>
      <c r="D3286" t="s">
        <v>57</v>
      </c>
      <c r="E3286" t="s">
        <v>40</v>
      </c>
      <c r="F3286" t="s">
        <v>32</v>
      </c>
      <c r="G3286" t="s">
        <v>33</v>
      </c>
      <c r="H3286" t="s">
        <v>67</v>
      </c>
      <c r="I3286" t="s">
        <v>72</v>
      </c>
      <c r="J3286" t="s">
        <v>73</v>
      </c>
      <c r="K3286">
        <v>15</v>
      </c>
      <c r="L3286">
        <v>81122</v>
      </c>
      <c r="M3286" t="s">
        <v>28</v>
      </c>
      <c r="N3286">
        <v>4</v>
      </c>
      <c r="O3286">
        <v>3</v>
      </c>
      <c r="P3286">
        <v>79</v>
      </c>
      <c r="Q3286">
        <v>2</v>
      </c>
      <c r="R3286" s="1">
        <v>39559</v>
      </c>
      <c r="S3286" t="s">
        <v>29</v>
      </c>
      <c r="T3286" t="str">
        <f t="shared" si="255"/>
        <v>Grade A</v>
      </c>
      <c r="U3286">
        <f t="shared" si="256"/>
        <v>3</v>
      </c>
      <c r="V3286" t="str">
        <f t="shared" si="257"/>
        <v>Senior</v>
      </c>
      <c r="W3286" t="str">
        <f t="shared" si="258"/>
        <v>Medium Risk</v>
      </c>
      <c r="X3286" t="str">
        <f t="shared" si="259"/>
        <v>Competitive</v>
      </c>
    </row>
    <row r="3287" spans="1:24" x14ac:dyDescent="0.3">
      <c r="A3287" t="s">
        <v>3355</v>
      </c>
      <c r="B3287" t="s">
        <v>20</v>
      </c>
      <c r="C3287">
        <v>38</v>
      </c>
      <c r="D3287" t="s">
        <v>57</v>
      </c>
      <c r="E3287" t="s">
        <v>22</v>
      </c>
      <c r="F3287" t="s">
        <v>41</v>
      </c>
      <c r="G3287" t="s">
        <v>79</v>
      </c>
      <c r="H3287" t="s">
        <v>83</v>
      </c>
      <c r="I3287" t="s">
        <v>59</v>
      </c>
      <c r="J3287" t="s">
        <v>60</v>
      </c>
      <c r="K3287">
        <v>3</v>
      </c>
      <c r="L3287">
        <v>37945</v>
      </c>
      <c r="M3287" t="s">
        <v>36</v>
      </c>
      <c r="N3287">
        <v>4</v>
      </c>
      <c r="O3287">
        <v>3</v>
      </c>
      <c r="P3287">
        <v>47</v>
      </c>
      <c r="Q3287">
        <v>1</v>
      </c>
      <c r="R3287" s="1">
        <v>44154</v>
      </c>
      <c r="S3287" t="s">
        <v>37</v>
      </c>
      <c r="T3287" t="str">
        <f t="shared" si="255"/>
        <v>Grade C</v>
      </c>
      <c r="U3287">
        <f t="shared" si="256"/>
        <v>1</v>
      </c>
      <c r="V3287" t="str">
        <f t="shared" si="257"/>
        <v>Junior</v>
      </c>
      <c r="W3287" t="str">
        <f t="shared" si="258"/>
        <v>Already Left</v>
      </c>
      <c r="X3287" t="str">
        <f t="shared" si="259"/>
        <v>Fair</v>
      </c>
    </row>
    <row r="3288" spans="1:24" x14ac:dyDescent="0.3">
      <c r="A3288" t="s">
        <v>3356</v>
      </c>
      <c r="B3288" t="s">
        <v>39</v>
      </c>
      <c r="C3288">
        <v>31</v>
      </c>
      <c r="D3288" t="s">
        <v>57</v>
      </c>
      <c r="E3288" t="s">
        <v>48</v>
      </c>
      <c r="F3288" t="s">
        <v>23</v>
      </c>
      <c r="G3288" t="s">
        <v>33</v>
      </c>
      <c r="H3288" t="s">
        <v>25</v>
      </c>
      <c r="I3288" t="s">
        <v>26</v>
      </c>
      <c r="J3288" t="s">
        <v>27</v>
      </c>
      <c r="K3288">
        <v>8</v>
      </c>
      <c r="L3288">
        <v>68175</v>
      </c>
      <c r="M3288" t="s">
        <v>45</v>
      </c>
      <c r="N3288">
        <v>4</v>
      </c>
      <c r="O3288">
        <v>1</v>
      </c>
      <c r="P3288">
        <v>79</v>
      </c>
      <c r="Q3288">
        <v>2</v>
      </c>
      <c r="R3288" s="1">
        <v>42268</v>
      </c>
      <c r="S3288" t="s">
        <v>37</v>
      </c>
      <c r="T3288" t="str">
        <f t="shared" si="255"/>
        <v>Grade B</v>
      </c>
      <c r="U3288">
        <f t="shared" si="256"/>
        <v>2</v>
      </c>
      <c r="V3288" t="str">
        <f t="shared" si="257"/>
        <v>Mid Level</v>
      </c>
      <c r="W3288" t="str">
        <f t="shared" si="258"/>
        <v>Already Left</v>
      </c>
      <c r="X3288" t="str">
        <f t="shared" si="259"/>
        <v>Fair</v>
      </c>
    </row>
    <row r="3289" spans="1:24" x14ac:dyDescent="0.3">
      <c r="A3289" t="s">
        <v>3357</v>
      </c>
      <c r="B3289" t="s">
        <v>20</v>
      </c>
      <c r="C3289">
        <v>32</v>
      </c>
      <c r="D3289" t="s">
        <v>47</v>
      </c>
      <c r="E3289" t="s">
        <v>22</v>
      </c>
      <c r="F3289" t="s">
        <v>75</v>
      </c>
      <c r="G3289" t="s">
        <v>49</v>
      </c>
      <c r="H3289" t="s">
        <v>34</v>
      </c>
      <c r="I3289" t="s">
        <v>35</v>
      </c>
      <c r="J3289" t="s">
        <v>27</v>
      </c>
      <c r="K3289">
        <v>10</v>
      </c>
      <c r="L3289">
        <v>70870</v>
      </c>
      <c r="M3289" t="s">
        <v>36</v>
      </c>
      <c r="N3289">
        <v>3</v>
      </c>
      <c r="O3289">
        <v>3</v>
      </c>
      <c r="P3289">
        <v>52</v>
      </c>
      <c r="Q3289">
        <v>1</v>
      </c>
      <c r="R3289" s="1">
        <v>41538</v>
      </c>
      <c r="S3289" t="s">
        <v>37</v>
      </c>
      <c r="T3289" t="str">
        <f t="shared" si="255"/>
        <v>Grade B</v>
      </c>
      <c r="U3289">
        <f t="shared" si="256"/>
        <v>1</v>
      </c>
      <c r="V3289" t="str">
        <f t="shared" si="257"/>
        <v>Mid Level</v>
      </c>
      <c r="W3289" t="str">
        <f t="shared" si="258"/>
        <v>Already Left</v>
      </c>
      <c r="X3289" t="str">
        <f t="shared" si="259"/>
        <v>Fair</v>
      </c>
    </row>
    <row r="3290" spans="1:24" x14ac:dyDescent="0.3">
      <c r="A3290" t="s">
        <v>3358</v>
      </c>
      <c r="B3290" t="s">
        <v>39</v>
      </c>
      <c r="C3290">
        <v>24</v>
      </c>
      <c r="D3290" t="s">
        <v>31</v>
      </c>
      <c r="E3290" t="s">
        <v>22</v>
      </c>
      <c r="F3290" t="s">
        <v>53</v>
      </c>
      <c r="G3290" t="s">
        <v>63</v>
      </c>
      <c r="H3290" t="s">
        <v>25</v>
      </c>
      <c r="I3290" t="s">
        <v>26</v>
      </c>
      <c r="J3290" t="s">
        <v>27</v>
      </c>
      <c r="K3290">
        <v>1</v>
      </c>
      <c r="L3290">
        <v>41553</v>
      </c>
      <c r="M3290" t="s">
        <v>36</v>
      </c>
      <c r="N3290">
        <v>1</v>
      </c>
      <c r="O3290">
        <v>3</v>
      </c>
      <c r="P3290">
        <v>25</v>
      </c>
      <c r="Q3290">
        <v>2</v>
      </c>
      <c r="R3290" s="1">
        <v>44665</v>
      </c>
      <c r="S3290" t="s">
        <v>29</v>
      </c>
      <c r="T3290" t="str">
        <f t="shared" si="255"/>
        <v>Grade C</v>
      </c>
      <c r="U3290">
        <f t="shared" si="256"/>
        <v>1</v>
      </c>
      <c r="V3290" t="str">
        <f t="shared" si="257"/>
        <v>New Joiner</v>
      </c>
      <c r="W3290" t="str">
        <f t="shared" si="258"/>
        <v>High Risk</v>
      </c>
      <c r="X3290" t="str">
        <f t="shared" si="259"/>
        <v>Fair</v>
      </c>
    </row>
    <row r="3291" spans="1:24" x14ac:dyDescent="0.3">
      <c r="A3291" t="s">
        <v>3359</v>
      </c>
      <c r="B3291" t="s">
        <v>39</v>
      </c>
      <c r="C3291">
        <v>37</v>
      </c>
      <c r="D3291" t="s">
        <v>31</v>
      </c>
      <c r="E3291" t="s">
        <v>48</v>
      </c>
      <c r="F3291" t="s">
        <v>62</v>
      </c>
      <c r="G3291" t="s">
        <v>58</v>
      </c>
      <c r="H3291" t="s">
        <v>83</v>
      </c>
      <c r="I3291" t="s">
        <v>26</v>
      </c>
      <c r="J3291" t="s">
        <v>27</v>
      </c>
      <c r="K3291">
        <v>13</v>
      </c>
      <c r="L3291">
        <v>119296</v>
      </c>
      <c r="M3291" t="s">
        <v>45</v>
      </c>
      <c r="N3291">
        <v>3</v>
      </c>
      <c r="O3291">
        <v>2</v>
      </c>
      <c r="P3291">
        <v>61</v>
      </c>
      <c r="Q3291">
        <v>1</v>
      </c>
      <c r="R3291" s="1">
        <v>40540</v>
      </c>
      <c r="S3291" t="s">
        <v>29</v>
      </c>
      <c r="T3291" t="str">
        <f t="shared" si="255"/>
        <v>Grade A</v>
      </c>
      <c r="U3291">
        <f t="shared" si="256"/>
        <v>2</v>
      </c>
      <c r="V3291" t="str">
        <f t="shared" si="257"/>
        <v>Senior</v>
      </c>
      <c r="W3291" t="str">
        <f t="shared" si="258"/>
        <v>Medium Risk</v>
      </c>
      <c r="X3291" t="str">
        <f t="shared" si="259"/>
        <v>Fair</v>
      </c>
    </row>
    <row r="3292" spans="1:24" x14ac:dyDescent="0.3">
      <c r="A3292" t="s">
        <v>3360</v>
      </c>
      <c r="B3292" t="s">
        <v>20</v>
      </c>
      <c r="C3292">
        <v>39</v>
      </c>
      <c r="D3292" t="s">
        <v>47</v>
      </c>
      <c r="E3292" t="s">
        <v>40</v>
      </c>
      <c r="F3292" t="s">
        <v>62</v>
      </c>
      <c r="G3292" t="s">
        <v>63</v>
      </c>
      <c r="H3292" t="s">
        <v>83</v>
      </c>
      <c r="I3292" t="s">
        <v>43</v>
      </c>
      <c r="J3292" t="s">
        <v>44</v>
      </c>
      <c r="K3292">
        <v>3</v>
      </c>
      <c r="L3292">
        <v>50935</v>
      </c>
      <c r="M3292" t="s">
        <v>28</v>
      </c>
      <c r="N3292">
        <v>2</v>
      </c>
      <c r="O3292">
        <v>3</v>
      </c>
      <c r="P3292">
        <v>53</v>
      </c>
      <c r="Q3292">
        <v>1</v>
      </c>
      <c r="R3292" s="1">
        <v>44128</v>
      </c>
      <c r="S3292" t="s">
        <v>29</v>
      </c>
      <c r="T3292" t="str">
        <f t="shared" si="255"/>
        <v>Grade B</v>
      </c>
      <c r="U3292">
        <f t="shared" si="256"/>
        <v>3</v>
      </c>
      <c r="V3292" t="str">
        <f t="shared" si="257"/>
        <v>Junior</v>
      </c>
      <c r="W3292" t="str">
        <f t="shared" si="258"/>
        <v>Medium Risk</v>
      </c>
      <c r="X3292" t="str">
        <f t="shared" si="259"/>
        <v>Competitive</v>
      </c>
    </row>
    <row r="3293" spans="1:24" x14ac:dyDescent="0.3">
      <c r="A3293" t="s">
        <v>3361</v>
      </c>
      <c r="B3293" t="s">
        <v>20</v>
      </c>
      <c r="C3293">
        <v>40</v>
      </c>
      <c r="D3293" t="s">
        <v>31</v>
      </c>
      <c r="E3293" t="s">
        <v>22</v>
      </c>
      <c r="F3293" t="s">
        <v>75</v>
      </c>
      <c r="G3293" t="s">
        <v>42</v>
      </c>
      <c r="H3293" t="s">
        <v>83</v>
      </c>
      <c r="I3293" t="s">
        <v>54</v>
      </c>
      <c r="J3293" t="s">
        <v>27</v>
      </c>
      <c r="K3293">
        <v>3</v>
      </c>
      <c r="L3293">
        <v>91857</v>
      </c>
      <c r="M3293" t="s">
        <v>45</v>
      </c>
      <c r="N3293">
        <v>3</v>
      </c>
      <c r="O3293">
        <v>2</v>
      </c>
      <c r="P3293">
        <v>61</v>
      </c>
      <c r="Q3293">
        <v>2</v>
      </c>
      <c r="R3293" s="1">
        <v>44155</v>
      </c>
      <c r="S3293" t="s">
        <v>29</v>
      </c>
      <c r="T3293" t="str">
        <f t="shared" si="255"/>
        <v>Grade A</v>
      </c>
      <c r="U3293">
        <f t="shared" si="256"/>
        <v>2</v>
      </c>
      <c r="V3293" t="str">
        <f t="shared" si="257"/>
        <v>Junior</v>
      </c>
      <c r="W3293" t="str">
        <f t="shared" si="258"/>
        <v>Medium Risk</v>
      </c>
      <c r="X3293" t="str">
        <f t="shared" si="259"/>
        <v>Fair</v>
      </c>
    </row>
    <row r="3294" spans="1:24" x14ac:dyDescent="0.3">
      <c r="A3294" t="s">
        <v>3362</v>
      </c>
      <c r="B3294" t="s">
        <v>39</v>
      </c>
      <c r="C3294">
        <v>31</v>
      </c>
      <c r="D3294" t="s">
        <v>31</v>
      </c>
      <c r="E3294" t="s">
        <v>48</v>
      </c>
      <c r="F3294" t="s">
        <v>78</v>
      </c>
      <c r="G3294" t="s">
        <v>79</v>
      </c>
      <c r="H3294" t="s">
        <v>76</v>
      </c>
      <c r="I3294" t="s">
        <v>68</v>
      </c>
      <c r="J3294" t="s">
        <v>60</v>
      </c>
      <c r="K3294">
        <v>1</v>
      </c>
      <c r="L3294">
        <v>49959</v>
      </c>
      <c r="M3294" t="s">
        <v>28</v>
      </c>
      <c r="N3294">
        <v>4</v>
      </c>
      <c r="O3294">
        <v>1</v>
      </c>
      <c r="P3294">
        <v>43</v>
      </c>
      <c r="Q3294">
        <v>1</v>
      </c>
      <c r="R3294" s="1">
        <v>44875</v>
      </c>
      <c r="S3294" t="s">
        <v>29</v>
      </c>
      <c r="T3294" t="str">
        <f t="shared" si="255"/>
        <v>Grade C</v>
      </c>
      <c r="U3294">
        <f t="shared" si="256"/>
        <v>3</v>
      </c>
      <c r="V3294" t="str">
        <f t="shared" si="257"/>
        <v>New Joiner</v>
      </c>
      <c r="W3294" t="str">
        <f t="shared" si="258"/>
        <v>Medium Risk</v>
      </c>
      <c r="X3294" t="str">
        <f t="shared" si="259"/>
        <v>Fair</v>
      </c>
    </row>
    <row r="3295" spans="1:24" x14ac:dyDescent="0.3">
      <c r="A3295" t="s">
        <v>3363</v>
      </c>
      <c r="B3295" t="s">
        <v>39</v>
      </c>
      <c r="C3295">
        <v>49</v>
      </c>
      <c r="D3295" t="s">
        <v>47</v>
      </c>
      <c r="E3295" t="s">
        <v>48</v>
      </c>
      <c r="F3295" t="s">
        <v>23</v>
      </c>
      <c r="G3295" t="s">
        <v>24</v>
      </c>
      <c r="H3295" t="s">
        <v>34</v>
      </c>
      <c r="I3295" t="s">
        <v>35</v>
      </c>
      <c r="J3295" t="s">
        <v>27</v>
      </c>
      <c r="K3295">
        <v>1</v>
      </c>
      <c r="L3295">
        <v>67262</v>
      </c>
      <c r="M3295" t="s">
        <v>36</v>
      </c>
      <c r="N3295">
        <v>1</v>
      </c>
      <c r="O3295">
        <v>3</v>
      </c>
      <c r="P3295">
        <v>19</v>
      </c>
      <c r="Q3295">
        <v>0</v>
      </c>
      <c r="R3295" s="1">
        <v>44627</v>
      </c>
      <c r="S3295" t="s">
        <v>37</v>
      </c>
      <c r="T3295" t="str">
        <f t="shared" si="255"/>
        <v>Grade B</v>
      </c>
      <c r="U3295">
        <f t="shared" si="256"/>
        <v>1</v>
      </c>
      <c r="V3295" t="str">
        <f t="shared" si="257"/>
        <v>New Joiner</v>
      </c>
      <c r="W3295" t="str">
        <f t="shared" si="258"/>
        <v>Already Left</v>
      </c>
      <c r="X3295" t="str">
        <f t="shared" si="259"/>
        <v>Fair</v>
      </c>
    </row>
    <row r="3296" spans="1:24" x14ac:dyDescent="0.3">
      <c r="A3296" t="s">
        <v>3364</v>
      </c>
      <c r="B3296" t="s">
        <v>20</v>
      </c>
      <c r="C3296">
        <v>35</v>
      </c>
      <c r="D3296" t="s">
        <v>47</v>
      </c>
      <c r="E3296" t="s">
        <v>48</v>
      </c>
      <c r="F3296" t="s">
        <v>65</v>
      </c>
      <c r="G3296" t="s">
        <v>33</v>
      </c>
      <c r="H3296" t="s">
        <v>67</v>
      </c>
      <c r="I3296" t="s">
        <v>96</v>
      </c>
      <c r="J3296" t="s">
        <v>44</v>
      </c>
      <c r="K3296">
        <v>2</v>
      </c>
      <c r="L3296">
        <v>55798</v>
      </c>
      <c r="M3296" t="s">
        <v>28</v>
      </c>
      <c r="N3296">
        <v>4</v>
      </c>
      <c r="O3296">
        <v>1</v>
      </c>
      <c r="P3296">
        <v>78</v>
      </c>
      <c r="Q3296">
        <v>3</v>
      </c>
      <c r="R3296" s="1">
        <v>44219</v>
      </c>
      <c r="S3296" t="s">
        <v>29</v>
      </c>
      <c r="T3296" t="str">
        <f t="shared" si="255"/>
        <v>Grade B</v>
      </c>
      <c r="U3296">
        <f t="shared" si="256"/>
        <v>3</v>
      </c>
      <c r="V3296" t="str">
        <f t="shared" si="257"/>
        <v>New Joiner</v>
      </c>
      <c r="W3296" t="str">
        <f t="shared" si="258"/>
        <v>Medium Risk</v>
      </c>
      <c r="X3296" t="str">
        <f t="shared" si="259"/>
        <v>Competitive</v>
      </c>
    </row>
    <row r="3297" spans="1:24" x14ac:dyDescent="0.3">
      <c r="A3297" t="s">
        <v>3365</v>
      </c>
      <c r="B3297" t="s">
        <v>20</v>
      </c>
      <c r="C3297">
        <v>34</v>
      </c>
      <c r="D3297" t="s">
        <v>57</v>
      </c>
      <c r="E3297" t="s">
        <v>22</v>
      </c>
      <c r="F3297" t="s">
        <v>62</v>
      </c>
      <c r="G3297" t="s">
        <v>33</v>
      </c>
      <c r="H3297" t="s">
        <v>67</v>
      </c>
      <c r="I3297" t="s">
        <v>50</v>
      </c>
      <c r="J3297" t="s">
        <v>44</v>
      </c>
      <c r="K3297">
        <v>13</v>
      </c>
      <c r="L3297">
        <v>87324</v>
      </c>
      <c r="M3297" t="s">
        <v>36</v>
      </c>
      <c r="N3297">
        <v>4</v>
      </c>
      <c r="O3297">
        <v>2</v>
      </c>
      <c r="P3297">
        <v>14</v>
      </c>
      <c r="Q3297">
        <v>0</v>
      </c>
      <c r="R3297" s="1">
        <v>40455</v>
      </c>
      <c r="S3297" t="s">
        <v>37</v>
      </c>
      <c r="T3297" t="str">
        <f t="shared" si="255"/>
        <v>Grade A</v>
      </c>
      <c r="U3297">
        <f t="shared" si="256"/>
        <v>1</v>
      </c>
      <c r="V3297" t="str">
        <f t="shared" si="257"/>
        <v>Senior</v>
      </c>
      <c r="W3297" t="str">
        <f t="shared" si="258"/>
        <v>Already Left</v>
      </c>
      <c r="X3297" t="str">
        <f t="shared" si="259"/>
        <v>Overpaid</v>
      </c>
    </row>
    <row r="3298" spans="1:24" x14ac:dyDescent="0.3">
      <c r="A3298" t="s">
        <v>3366</v>
      </c>
      <c r="B3298" t="s">
        <v>20</v>
      </c>
      <c r="C3298">
        <v>48</v>
      </c>
      <c r="D3298" t="s">
        <v>31</v>
      </c>
      <c r="E3298" t="s">
        <v>48</v>
      </c>
      <c r="F3298" t="s">
        <v>32</v>
      </c>
      <c r="G3298" t="s">
        <v>58</v>
      </c>
      <c r="H3298" t="s">
        <v>67</v>
      </c>
      <c r="I3298" t="s">
        <v>72</v>
      </c>
      <c r="J3298" t="s">
        <v>73</v>
      </c>
      <c r="K3298">
        <v>1</v>
      </c>
      <c r="L3298">
        <v>83543</v>
      </c>
      <c r="M3298" t="s">
        <v>28</v>
      </c>
      <c r="N3298">
        <v>3</v>
      </c>
      <c r="O3298">
        <v>1</v>
      </c>
      <c r="P3298">
        <v>34</v>
      </c>
      <c r="Q3298">
        <v>1</v>
      </c>
      <c r="R3298" s="1">
        <v>44755</v>
      </c>
      <c r="S3298" t="s">
        <v>29</v>
      </c>
      <c r="T3298" t="str">
        <f t="shared" si="255"/>
        <v>Grade A</v>
      </c>
      <c r="U3298">
        <f t="shared" si="256"/>
        <v>3</v>
      </c>
      <c r="V3298" t="str">
        <f t="shared" si="257"/>
        <v>New Joiner</v>
      </c>
      <c r="W3298" t="str">
        <f t="shared" si="258"/>
        <v>Medium Risk</v>
      </c>
      <c r="X3298" t="str">
        <f t="shared" si="259"/>
        <v>Competitive</v>
      </c>
    </row>
    <row r="3299" spans="1:24" x14ac:dyDescent="0.3">
      <c r="A3299" t="s">
        <v>3367</v>
      </c>
      <c r="B3299" t="s">
        <v>20</v>
      </c>
      <c r="C3299">
        <v>41</v>
      </c>
      <c r="D3299" t="s">
        <v>47</v>
      </c>
      <c r="E3299" t="s">
        <v>22</v>
      </c>
      <c r="F3299" t="s">
        <v>41</v>
      </c>
      <c r="G3299" t="s">
        <v>63</v>
      </c>
      <c r="H3299" t="s">
        <v>25</v>
      </c>
      <c r="I3299" t="s">
        <v>26</v>
      </c>
      <c r="J3299" t="s">
        <v>27</v>
      </c>
      <c r="K3299">
        <v>10</v>
      </c>
      <c r="L3299">
        <v>71487</v>
      </c>
      <c r="M3299" t="s">
        <v>51</v>
      </c>
      <c r="N3299">
        <v>4</v>
      </c>
      <c r="O3299">
        <v>4</v>
      </c>
      <c r="P3299">
        <v>35</v>
      </c>
      <c r="Q3299">
        <v>0</v>
      </c>
      <c r="R3299" s="1">
        <v>41330</v>
      </c>
      <c r="S3299" t="s">
        <v>29</v>
      </c>
      <c r="T3299" t="str">
        <f t="shared" si="255"/>
        <v>Grade B</v>
      </c>
      <c r="U3299">
        <f t="shared" si="256"/>
        <v>4</v>
      </c>
      <c r="V3299" t="str">
        <f t="shared" si="257"/>
        <v>Mid Level</v>
      </c>
      <c r="W3299" t="str">
        <f t="shared" si="258"/>
        <v>Low Risk</v>
      </c>
      <c r="X3299" t="str">
        <f t="shared" si="259"/>
        <v>Fair</v>
      </c>
    </row>
    <row r="3300" spans="1:24" x14ac:dyDescent="0.3">
      <c r="A3300" t="s">
        <v>3368</v>
      </c>
      <c r="B3300" t="s">
        <v>39</v>
      </c>
      <c r="C3300">
        <v>37</v>
      </c>
      <c r="D3300" t="s">
        <v>21</v>
      </c>
      <c r="E3300" t="s">
        <v>48</v>
      </c>
      <c r="F3300" t="s">
        <v>62</v>
      </c>
      <c r="G3300" t="s">
        <v>58</v>
      </c>
      <c r="H3300" t="s">
        <v>67</v>
      </c>
      <c r="I3300" t="s">
        <v>72</v>
      </c>
      <c r="J3300" t="s">
        <v>73</v>
      </c>
      <c r="K3300">
        <v>10</v>
      </c>
      <c r="L3300">
        <v>101761</v>
      </c>
      <c r="M3300" t="s">
        <v>51</v>
      </c>
      <c r="N3300">
        <v>4</v>
      </c>
      <c r="O3300">
        <v>3</v>
      </c>
      <c r="P3300">
        <v>35</v>
      </c>
      <c r="Q3300">
        <v>3</v>
      </c>
      <c r="R3300" s="1">
        <v>41288</v>
      </c>
      <c r="S3300" t="s">
        <v>29</v>
      </c>
      <c r="T3300" t="str">
        <f t="shared" si="255"/>
        <v>Grade A</v>
      </c>
      <c r="U3300">
        <f t="shared" si="256"/>
        <v>4</v>
      </c>
      <c r="V3300" t="str">
        <f t="shared" si="257"/>
        <v>Mid Level</v>
      </c>
      <c r="W3300" t="str">
        <f t="shared" si="258"/>
        <v>Low Risk</v>
      </c>
      <c r="X3300" t="str">
        <f t="shared" si="259"/>
        <v>Competitive</v>
      </c>
    </row>
    <row r="3301" spans="1:24" x14ac:dyDescent="0.3">
      <c r="A3301" t="s">
        <v>3369</v>
      </c>
      <c r="B3301" t="s">
        <v>39</v>
      </c>
      <c r="C3301">
        <v>41</v>
      </c>
      <c r="D3301" t="s">
        <v>31</v>
      </c>
      <c r="E3301" t="s">
        <v>22</v>
      </c>
      <c r="F3301" t="s">
        <v>78</v>
      </c>
      <c r="G3301" t="s">
        <v>42</v>
      </c>
      <c r="H3301" t="s">
        <v>83</v>
      </c>
      <c r="I3301" t="s">
        <v>43</v>
      </c>
      <c r="J3301" t="s">
        <v>44</v>
      </c>
      <c r="K3301">
        <v>7</v>
      </c>
      <c r="L3301">
        <v>112720</v>
      </c>
      <c r="M3301" t="s">
        <v>28</v>
      </c>
      <c r="N3301">
        <v>2</v>
      </c>
      <c r="O3301">
        <v>2</v>
      </c>
      <c r="P3301">
        <v>37</v>
      </c>
      <c r="Q3301">
        <v>1</v>
      </c>
      <c r="R3301" s="1">
        <v>42569</v>
      </c>
      <c r="S3301" t="s">
        <v>29</v>
      </c>
      <c r="T3301" t="str">
        <f t="shared" si="255"/>
        <v>Grade A</v>
      </c>
      <c r="U3301">
        <f t="shared" si="256"/>
        <v>3</v>
      </c>
      <c r="V3301" t="str">
        <f t="shared" si="257"/>
        <v>Mid Level</v>
      </c>
      <c r="W3301" t="str">
        <f t="shared" si="258"/>
        <v>Medium Risk</v>
      </c>
      <c r="X3301" t="str">
        <f t="shared" si="259"/>
        <v>Competitive</v>
      </c>
    </row>
    <row r="3302" spans="1:24" x14ac:dyDescent="0.3">
      <c r="A3302" t="s">
        <v>3370</v>
      </c>
      <c r="B3302" t="s">
        <v>39</v>
      </c>
      <c r="C3302">
        <v>38</v>
      </c>
      <c r="D3302" t="s">
        <v>88</v>
      </c>
      <c r="E3302" t="s">
        <v>48</v>
      </c>
      <c r="F3302" t="s">
        <v>32</v>
      </c>
      <c r="G3302" t="s">
        <v>24</v>
      </c>
      <c r="H3302" t="s">
        <v>25</v>
      </c>
      <c r="I3302" t="s">
        <v>72</v>
      </c>
      <c r="J3302" t="s">
        <v>73</v>
      </c>
      <c r="K3302">
        <v>12</v>
      </c>
      <c r="L3302">
        <v>108516</v>
      </c>
      <c r="M3302" t="s">
        <v>45</v>
      </c>
      <c r="N3302">
        <v>3</v>
      </c>
      <c r="O3302">
        <v>4</v>
      </c>
      <c r="P3302">
        <v>68</v>
      </c>
      <c r="Q3302">
        <v>2</v>
      </c>
      <c r="R3302" s="1">
        <v>40599</v>
      </c>
      <c r="S3302" t="s">
        <v>29</v>
      </c>
      <c r="T3302" t="str">
        <f t="shared" si="255"/>
        <v>Grade A</v>
      </c>
      <c r="U3302">
        <f t="shared" si="256"/>
        <v>2</v>
      </c>
      <c r="V3302" t="str">
        <f t="shared" si="257"/>
        <v>Senior</v>
      </c>
      <c r="W3302" t="str">
        <f t="shared" si="258"/>
        <v>Medium Risk</v>
      </c>
      <c r="X3302" t="str">
        <f t="shared" si="259"/>
        <v>Fair</v>
      </c>
    </row>
    <row r="3303" spans="1:24" x14ac:dyDescent="0.3">
      <c r="A3303" t="s">
        <v>3371</v>
      </c>
      <c r="B3303" t="s">
        <v>20</v>
      </c>
      <c r="C3303">
        <v>40</v>
      </c>
      <c r="D3303" t="s">
        <v>21</v>
      </c>
      <c r="E3303" t="s">
        <v>48</v>
      </c>
      <c r="F3303" t="s">
        <v>32</v>
      </c>
      <c r="G3303" t="s">
        <v>79</v>
      </c>
      <c r="H3303" t="s">
        <v>67</v>
      </c>
      <c r="I3303" t="s">
        <v>35</v>
      </c>
      <c r="J3303" t="s">
        <v>27</v>
      </c>
      <c r="K3303">
        <v>3</v>
      </c>
      <c r="L3303">
        <v>55904</v>
      </c>
      <c r="M3303" t="s">
        <v>45</v>
      </c>
      <c r="N3303">
        <v>3</v>
      </c>
      <c r="O3303">
        <v>1</v>
      </c>
      <c r="P3303">
        <v>28</v>
      </c>
      <c r="Q3303">
        <v>1</v>
      </c>
      <c r="R3303" s="1">
        <v>44197</v>
      </c>
      <c r="S3303" t="s">
        <v>29</v>
      </c>
      <c r="T3303" t="str">
        <f t="shared" si="255"/>
        <v>Grade B</v>
      </c>
      <c r="U3303">
        <f t="shared" si="256"/>
        <v>2</v>
      </c>
      <c r="V3303" t="str">
        <f t="shared" si="257"/>
        <v>Junior</v>
      </c>
      <c r="W3303" t="str">
        <f t="shared" si="258"/>
        <v>Medium Risk</v>
      </c>
      <c r="X3303" t="str">
        <f t="shared" si="259"/>
        <v>Fair</v>
      </c>
    </row>
    <row r="3304" spans="1:24" x14ac:dyDescent="0.3">
      <c r="A3304" t="s">
        <v>3372</v>
      </c>
      <c r="B3304" t="s">
        <v>39</v>
      </c>
      <c r="C3304">
        <v>22</v>
      </c>
      <c r="D3304" t="s">
        <v>57</v>
      </c>
      <c r="E3304" t="s">
        <v>48</v>
      </c>
      <c r="F3304" t="s">
        <v>65</v>
      </c>
      <c r="G3304" t="s">
        <v>42</v>
      </c>
      <c r="H3304" t="s">
        <v>25</v>
      </c>
      <c r="I3304" t="s">
        <v>26</v>
      </c>
      <c r="J3304" t="s">
        <v>27</v>
      </c>
      <c r="K3304">
        <v>3</v>
      </c>
      <c r="L3304">
        <v>99561</v>
      </c>
      <c r="M3304" t="s">
        <v>51</v>
      </c>
      <c r="N3304">
        <v>1</v>
      </c>
      <c r="O3304">
        <v>1</v>
      </c>
      <c r="P3304">
        <v>61</v>
      </c>
      <c r="Q3304">
        <v>1</v>
      </c>
      <c r="R3304" s="1">
        <v>43940</v>
      </c>
      <c r="S3304" t="s">
        <v>29</v>
      </c>
      <c r="T3304" t="str">
        <f t="shared" si="255"/>
        <v>Grade A</v>
      </c>
      <c r="U3304">
        <f t="shared" si="256"/>
        <v>4</v>
      </c>
      <c r="V3304" t="str">
        <f t="shared" si="257"/>
        <v>Junior</v>
      </c>
      <c r="W3304" t="str">
        <f t="shared" si="258"/>
        <v>Low Risk</v>
      </c>
      <c r="X3304" t="str">
        <f t="shared" si="259"/>
        <v>Competitive</v>
      </c>
    </row>
    <row r="3305" spans="1:24" x14ac:dyDescent="0.3">
      <c r="A3305" t="s">
        <v>3373</v>
      </c>
      <c r="B3305" t="s">
        <v>39</v>
      </c>
      <c r="C3305">
        <v>23</v>
      </c>
      <c r="D3305" t="s">
        <v>31</v>
      </c>
      <c r="E3305" t="s">
        <v>22</v>
      </c>
      <c r="F3305" t="s">
        <v>78</v>
      </c>
      <c r="G3305" t="s">
        <v>42</v>
      </c>
      <c r="H3305" t="s">
        <v>83</v>
      </c>
      <c r="I3305" t="s">
        <v>68</v>
      </c>
      <c r="J3305" t="s">
        <v>60</v>
      </c>
      <c r="K3305">
        <v>11</v>
      </c>
      <c r="L3305">
        <v>125714</v>
      </c>
      <c r="M3305" t="s">
        <v>28</v>
      </c>
      <c r="N3305">
        <v>4</v>
      </c>
      <c r="O3305">
        <v>4</v>
      </c>
      <c r="P3305">
        <v>35</v>
      </c>
      <c r="Q3305">
        <v>3</v>
      </c>
      <c r="R3305" s="1">
        <v>41148</v>
      </c>
      <c r="S3305" t="s">
        <v>37</v>
      </c>
      <c r="T3305" t="str">
        <f t="shared" si="255"/>
        <v>Grade A</v>
      </c>
      <c r="U3305">
        <f t="shared" si="256"/>
        <v>3</v>
      </c>
      <c r="V3305" t="str">
        <f t="shared" si="257"/>
        <v>Senior</v>
      </c>
      <c r="W3305" t="str">
        <f t="shared" si="258"/>
        <v>Already Left</v>
      </c>
      <c r="X3305" t="str">
        <f t="shared" si="259"/>
        <v>Competitive</v>
      </c>
    </row>
    <row r="3306" spans="1:24" x14ac:dyDescent="0.3">
      <c r="A3306" t="s">
        <v>3374</v>
      </c>
      <c r="B3306" t="s">
        <v>20</v>
      </c>
      <c r="C3306">
        <v>40</v>
      </c>
      <c r="D3306" t="s">
        <v>47</v>
      </c>
      <c r="E3306" t="s">
        <v>48</v>
      </c>
      <c r="F3306" t="s">
        <v>53</v>
      </c>
      <c r="G3306" t="s">
        <v>79</v>
      </c>
      <c r="H3306" t="s">
        <v>76</v>
      </c>
      <c r="I3306" t="s">
        <v>80</v>
      </c>
      <c r="J3306" t="s">
        <v>60</v>
      </c>
      <c r="K3306">
        <v>12</v>
      </c>
      <c r="L3306">
        <v>60143</v>
      </c>
      <c r="M3306" t="s">
        <v>28</v>
      </c>
      <c r="N3306">
        <v>4</v>
      </c>
      <c r="O3306">
        <v>4</v>
      </c>
      <c r="P3306">
        <v>75</v>
      </c>
      <c r="Q3306">
        <v>3</v>
      </c>
      <c r="R3306" s="1">
        <v>40779</v>
      </c>
      <c r="S3306" t="s">
        <v>29</v>
      </c>
      <c r="T3306" t="str">
        <f t="shared" si="255"/>
        <v>Grade B</v>
      </c>
      <c r="U3306">
        <f t="shared" si="256"/>
        <v>3</v>
      </c>
      <c r="V3306" t="str">
        <f t="shared" si="257"/>
        <v>Senior</v>
      </c>
      <c r="W3306" t="str">
        <f t="shared" si="258"/>
        <v>Medium Risk</v>
      </c>
      <c r="X3306" t="str">
        <f t="shared" si="259"/>
        <v>Competitive</v>
      </c>
    </row>
    <row r="3307" spans="1:24" x14ac:dyDescent="0.3">
      <c r="A3307" t="s">
        <v>3375</v>
      </c>
      <c r="B3307" t="s">
        <v>20</v>
      </c>
      <c r="C3307">
        <v>34</v>
      </c>
      <c r="D3307" t="s">
        <v>21</v>
      </c>
      <c r="E3307" t="s">
        <v>22</v>
      </c>
      <c r="F3307" t="s">
        <v>75</v>
      </c>
      <c r="G3307" t="s">
        <v>33</v>
      </c>
      <c r="H3307" t="s">
        <v>76</v>
      </c>
      <c r="I3307" t="s">
        <v>54</v>
      </c>
      <c r="J3307" t="s">
        <v>27</v>
      </c>
      <c r="K3307">
        <v>7</v>
      </c>
      <c r="L3307">
        <v>70092</v>
      </c>
      <c r="M3307" t="s">
        <v>45</v>
      </c>
      <c r="N3307">
        <v>2</v>
      </c>
      <c r="O3307">
        <v>2</v>
      </c>
      <c r="P3307">
        <v>38</v>
      </c>
      <c r="Q3307">
        <v>1</v>
      </c>
      <c r="R3307" s="1">
        <v>42432</v>
      </c>
      <c r="S3307" t="s">
        <v>29</v>
      </c>
      <c r="T3307" t="str">
        <f t="shared" si="255"/>
        <v>Grade B</v>
      </c>
      <c r="U3307">
        <f t="shared" si="256"/>
        <v>2</v>
      </c>
      <c r="V3307" t="str">
        <f t="shared" si="257"/>
        <v>Mid Level</v>
      </c>
      <c r="W3307" t="str">
        <f t="shared" si="258"/>
        <v>Medium Risk</v>
      </c>
      <c r="X3307" t="str">
        <f t="shared" si="259"/>
        <v>Fair</v>
      </c>
    </row>
    <row r="3308" spans="1:24" x14ac:dyDescent="0.3">
      <c r="A3308" t="s">
        <v>3376</v>
      </c>
      <c r="B3308" t="s">
        <v>20</v>
      </c>
      <c r="C3308">
        <v>26</v>
      </c>
      <c r="D3308" t="s">
        <v>31</v>
      </c>
      <c r="E3308" t="s">
        <v>40</v>
      </c>
      <c r="F3308" t="s">
        <v>53</v>
      </c>
      <c r="G3308" t="s">
        <v>24</v>
      </c>
      <c r="H3308" t="s">
        <v>83</v>
      </c>
      <c r="I3308" t="s">
        <v>96</v>
      </c>
      <c r="J3308" t="s">
        <v>44</v>
      </c>
      <c r="K3308">
        <v>1</v>
      </c>
      <c r="L3308">
        <v>80665</v>
      </c>
      <c r="M3308" t="s">
        <v>36</v>
      </c>
      <c r="N3308">
        <v>3</v>
      </c>
      <c r="O3308">
        <v>1</v>
      </c>
      <c r="P3308">
        <v>79</v>
      </c>
      <c r="Q3308">
        <v>2</v>
      </c>
      <c r="R3308" s="1">
        <v>44619</v>
      </c>
      <c r="S3308" t="s">
        <v>37</v>
      </c>
      <c r="T3308" t="str">
        <f t="shared" si="255"/>
        <v>Grade A</v>
      </c>
      <c r="U3308">
        <f t="shared" si="256"/>
        <v>1</v>
      </c>
      <c r="V3308" t="str">
        <f t="shared" si="257"/>
        <v>New Joiner</v>
      </c>
      <c r="W3308" t="str">
        <f t="shared" si="258"/>
        <v>Already Left</v>
      </c>
      <c r="X3308" t="str">
        <f t="shared" si="259"/>
        <v>Overpaid</v>
      </c>
    </row>
    <row r="3309" spans="1:24" x14ac:dyDescent="0.3">
      <c r="A3309" t="s">
        <v>3377</v>
      </c>
      <c r="B3309" t="s">
        <v>20</v>
      </c>
      <c r="C3309">
        <v>42</v>
      </c>
      <c r="D3309" t="s">
        <v>47</v>
      </c>
      <c r="E3309" t="s">
        <v>48</v>
      </c>
      <c r="F3309" t="s">
        <v>62</v>
      </c>
      <c r="G3309" t="s">
        <v>79</v>
      </c>
      <c r="H3309" t="s">
        <v>76</v>
      </c>
      <c r="I3309" t="s">
        <v>26</v>
      </c>
      <c r="J3309" t="s">
        <v>27</v>
      </c>
      <c r="K3309">
        <v>7</v>
      </c>
      <c r="L3309">
        <v>57625</v>
      </c>
      <c r="M3309" t="s">
        <v>45</v>
      </c>
      <c r="N3309">
        <v>1</v>
      </c>
      <c r="O3309">
        <v>4</v>
      </c>
      <c r="P3309">
        <v>75</v>
      </c>
      <c r="Q3309">
        <v>1</v>
      </c>
      <c r="R3309" s="1">
        <v>42631</v>
      </c>
      <c r="S3309" t="s">
        <v>37</v>
      </c>
      <c r="T3309" t="str">
        <f t="shared" si="255"/>
        <v>Grade B</v>
      </c>
      <c r="U3309">
        <f t="shared" si="256"/>
        <v>2</v>
      </c>
      <c r="V3309" t="str">
        <f t="shared" si="257"/>
        <v>Mid Level</v>
      </c>
      <c r="W3309" t="str">
        <f t="shared" si="258"/>
        <v>Already Left</v>
      </c>
      <c r="X3309" t="str">
        <f t="shared" si="259"/>
        <v>Fair</v>
      </c>
    </row>
    <row r="3310" spans="1:24" x14ac:dyDescent="0.3">
      <c r="A3310" t="s">
        <v>3378</v>
      </c>
      <c r="B3310" t="s">
        <v>39</v>
      </c>
      <c r="C3310">
        <v>46</v>
      </c>
      <c r="D3310" t="s">
        <v>57</v>
      </c>
      <c r="E3310" t="s">
        <v>22</v>
      </c>
      <c r="F3310" t="s">
        <v>78</v>
      </c>
      <c r="G3310" t="s">
        <v>63</v>
      </c>
      <c r="H3310" t="s">
        <v>34</v>
      </c>
      <c r="I3310" t="s">
        <v>68</v>
      </c>
      <c r="J3310" t="s">
        <v>60</v>
      </c>
      <c r="K3310">
        <v>12</v>
      </c>
      <c r="L3310">
        <v>61347</v>
      </c>
      <c r="M3310" t="s">
        <v>45</v>
      </c>
      <c r="N3310">
        <v>3</v>
      </c>
      <c r="O3310">
        <v>2</v>
      </c>
      <c r="P3310">
        <v>34</v>
      </c>
      <c r="Q3310">
        <v>1</v>
      </c>
      <c r="R3310" s="1">
        <v>40869</v>
      </c>
      <c r="S3310" t="s">
        <v>29</v>
      </c>
      <c r="T3310" t="str">
        <f t="shared" si="255"/>
        <v>Grade B</v>
      </c>
      <c r="U3310">
        <f t="shared" si="256"/>
        <v>2</v>
      </c>
      <c r="V3310" t="str">
        <f t="shared" si="257"/>
        <v>Senior</v>
      </c>
      <c r="W3310" t="str">
        <f t="shared" si="258"/>
        <v>Medium Risk</v>
      </c>
      <c r="X3310" t="str">
        <f t="shared" si="259"/>
        <v>Fair</v>
      </c>
    </row>
    <row r="3311" spans="1:24" x14ac:dyDescent="0.3">
      <c r="A3311" t="s">
        <v>3379</v>
      </c>
      <c r="B3311" t="s">
        <v>39</v>
      </c>
      <c r="C3311">
        <v>34</v>
      </c>
      <c r="D3311" t="s">
        <v>21</v>
      </c>
      <c r="E3311" t="s">
        <v>40</v>
      </c>
      <c r="F3311" t="s">
        <v>78</v>
      </c>
      <c r="G3311" t="s">
        <v>66</v>
      </c>
      <c r="H3311" t="s">
        <v>34</v>
      </c>
      <c r="I3311" t="s">
        <v>72</v>
      </c>
      <c r="J3311" t="s">
        <v>73</v>
      </c>
      <c r="K3311">
        <v>15</v>
      </c>
      <c r="L3311">
        <v>56418</v>
      </c>
      <c r="M3311" t="s">
        <v>51</v>
      </c>
      <c r="N3311">
        <v>2</v>
      </c>
      <c r="O3311">
        <v>3</v>
      </c>
      <c r="P3311">
        <v>71</v>
      </c>
      <c r="Q3311">
        <v>0</v>
      </c>
      <c r="R3311" s="1">
        <v>39526</v>
      </c>
      <c r="S3311" t="s">
        <v>29</v>
      </c>
      <c r="T3311" t="str">
        <f t="shared" si="255"/>
        <v>Grade B</v>
      </c>
      <c r="U3311">
        <f t="shared" si="256"/>
        <v>4</v>
      </c>
      <c r="V3311" t="str">
        <f t="shared" si="257"/>
        <v>Senior</v>
      </c>
      <c r="W3311" t="str">
        <f t="shared" si="258"/>
        <v>Low Risk</v>
      </c>
      <c r="X3311" t="str">
        <f t="shared" si="259"/>
        <v>Fair</v>
      </c>
    </row>
    <row r="3312" spans="1:24" x14ac:dyDescent="0.3">
      <c r="A3312" t="s">
        <v>3380</v>
      </c>
      <c r="B3312" t="s">
        <v>20</v>
      </c>
      <c r="C3312">
        <v>43</v>
      </c>
      <c r="D3312" t="s">
        <v>21</v>
      </c>
      <c r="E3312" t="s">
        <v>40</v>
      </c>
      <c r="F3312" t="s">
        <v>53</v>
      </c>
      <c r="G3312" t="s">
        <v>49</v>
      </c>
      <c r="H3312" t="s">
        <v>83</v>
      </c>
      <c r="I3312" t="s">
        <v>26</v>
      </c>
      <c r="J3312" t="s">
        <v>27</v>
      </c>
      <c r="K3312">
        <v>8</v>
      </c>
      <c r="L3312">
        <v>56803</v>
      </c>
      <c r="M3312" t="s">
        <v>28</v>
      </c>
      <c r="N3312">
        <v>2</v>
      </c>
      <c r="O3312">
        <v>2</v>
      </c>
      <c r="P3312">
        <v>14</v>
      </c>
      <c r="Q3312">
        <v>3</v>
      </c>
      <c r="R3312" s="1">
        <v>42253</v>
      </c>
      <c r="S3312" t="s">
        <v>29</v>
      </c>
      <c r="T3312" t="str">
        <f t="shared" si="255"/>
        <v>Grade B</v>
      </c>
      <c r="U3312">
        <f t="shared" si="256"/>
        <v>3</v>
      </c>
      <c r="V3312" t="str">
        <f t="shared" si="257"/>
        <v>Mid Level</v>
      </c>
      <c r="W3312" t="str">
        <f t="shared" si="258"/>
        <v>Medium Risk</v>
      </c>
      <c r="X3312" t="str">
        <f t="shared" si="259"/>
        <v>Competitive</v>
      </c>
    </row>
    <row r="3313" spans="1:24" x14ac:dyDescent="0.3">
      <c r="A3313" t="s">
        <v>3381</v>
      </c>
      <c r="B3313" t="s">
        <v>39</v>
      </c>
      <c r="C3313">
        <v>36</v>
      </c>
      <c r="D3313" t="s">
        <v>47</v>
      </c>
      <c r="E3313" t="s">
        <v>40</v>
      </c>
      <c r="F3313" t="s">
        <v>53</v>
      </c>
      <c r="G3313" t="s">
        <v>49</v>
      </c>
      <c r="H3313" t="s">
        <v>67</v>
      </c>
      <c r="I3313" t="s">
        <v>68</v>
      </c>
      <c r="J3313" t="s">
        <v>60</v>
      </c>
      <c r="K3313">
        <v>13</v>
      </c>
      <c r="L3313">
        <v>73946</v>
      </c>
      <c r="M3313" t="s">
        <v>51</v>
      </c>
      <c r="N3313">
        <v>3</v>
      </c>
      <c r="O3313">
        <v>1</v>
      </c>
      <c r="P3313">
        <v>23</v>
      </c>
      <c r="Q3313">
        <v>0</v>
      </c>
      <c r="R3313" s="1">
        <v>40264</v>
      </c>
      <c r="S3313" t="s">
        <v>29</v>
      </c>
      <c r="T3313" t="str">
        <f t="shared" si="255"/>
        <v>Grade B</v>
      </c>
      <c r="U3313">
        <f t="shared" si="256"/>
        <v>4</v>
      </c>
      <c r="V3313" t="str">
        <f t="shared" si="257"/>
        <v>Senior</v>
      </c>
      <c r="W3313" t="str">
        <f t="shared" si="258"/>
        <v>Low Risk</v>
      </c>
      <c r="X3313" t="str">
        <f t="shared" si="259"/>
        <v>Fair</v>
      </c>
    </row>
    <row r="3314" spans="1:24" x14ac:dyDescent="0.3">
      <c r="A3314" t="s">
        <v>3382</v>
      </c>
      <c r="B3314" t="s">
        <v>20</v>
      </c>
      <c r="C3314">
        <v>46</v>
      </c>
      <c r="D3314" t="s">
        <v>57</v>
      </c>
      <c r="E3314" t="s">
        <v>40</v>
      </c>
      <c r="F3314" t="s">
        <v>78</v>
      </c>
      <c r="G3314" t="s">
        <v>33</v>
      </c>
      <c r="H3314" t="s">
        <v>76</v>
      </c>
      <c r="I3314" t="s">
        <v>59</v>
      </c>
      <c r="J3314" t="s">
        <v>60</v>
      </c>
      <c r="K3314">
        <v>9</v>
      </c>
      <c r="L3314">
        <v>87713</v>
      </c>
      <c r="M3314" t="s">
        <v>28</v>
      </c>
      <c r="N3314">
        <v>2</v>
      </c>
      <c r="O3314">
        <v>2</v>
      </c>
      <c r="P3314">
        <v>60</v>
      </c>
      <c r="Q3314">
        <v>0</v>
      </c>
      <c r="R3314" s="1">
        <v>41783</v>
      </c>
      <c r="S3314" t="s">
        <v>29</v>
      </c>
      <c r="T3314" t="str">
        <f t="shared" si="255"/>
        <v>Grade A</v>
      </c>
      <c r="U3314">
        <f t="shared" si="256"/>
        <v>3</v>
      </c>
      <c r="V3314" t="str">
        <f t="shared" si="257"/>
        <v>Mid Level</v>
      </c>
      <c r="W3314" t="str">
        <f t="shared" si="258"/>
        <v>Medium Risk</v>
      </c>
      <c r="X3314" t="str">
        <f t="shared" si="259"/>
        <v>Competitive</v>
      </c>
    </row>
    <row r="3315" spans="1:24" x14ac:dyDescent="0.3">
      <c r="A3315" t="s">
        <v>3383</v>
      </c>
      <c r="B3315" t="s">
        <v>20</v>
      </c>
      <c r="C3315">
        <v>38</v>
      </c>
      <c r="D3315" t="s">
        <v>31</v>
      </c>
      <c r="E3315" t="s">
        <v>40</v>
      </c>
      <c r="F3315" t="s">
        <v>62</v>
      </c>
      <c r="G3315" t="s">
        <v>63</v>
      </c>
      <c r="H3315" t="s">
        <v>67</v>
      </c>
      <c r="I3315" t="s">
        <v>35</v>
      </c>
      <c r="J3315" t="s">
        <v>27</v>
      </c>
      <c r="K3315">
        <v>10</v>
      </c>
      <c r="L3315">
        <v>68372</v>
      </c>
      <c r="M3315" t="s">
        <v>28</v>
      </c>
      <c r="N3315">
        <v>4</v>
      </c>
      <c r="O3315">
        <v>3</v>
      </c>
      <c r="P3315">
        <v>68</v>
      </c>
      <c r="Q3315">
        <v>2</v>
      </c>
      <c r="R3315" s="1">
        <v>41589</v>
      </c>
      <c r="S3315" t="s">
        <v>29</v>
      </c>
      <c r="T3315" t="str">
        <f t="shared" si="255"/>
        <v>Grade B</v>
      </c>
      <c r="U3315">
        <f t="shared" si="256"/>
        <v>3</v>
      </c>
      <c r="V3315" t="str">
        <f t="shared" si="257"/>
        <v>Mid Level</v>
      </c>
      <c r="W3315" t="str">
        <f t="shared" si="258"/>
        <v>Medium Risk</v>
      </c>
      <c r="X3315" t="str">
        <f t="shared" si="259"/>
        <v>Competitive</v>
      </c>
    </row>
    <row r="3316" spans="1:24" x14ac:dyDescent="0.3">
      <c r="A3316" t="s">
        <v>3384</v>
      </c>
      <c r="B3316" t="s">
        <v>20</v>
      </c>
      <c r="C3316">
        <v>41</v>
      </c>
      <c r="D3316" t="s">
        <v>88</v>
      </c>
      <c r="E3316" t="s">
        <v>40</v>
      </c>
      <c r="F3316" t="s">
        <v>23</v>
      </c>
      <c r="G3316" t="s">
        <v>58</v>
      </c>
      <c r="H3316" t="s">
        <v>76</v>
      </c>
      <c r="I3316" t="s">
        <v>59</v>
      </c>
      <c r="J3316" t="s">
        <v>60</v>
      </c>
      <c r="K3316">
        <v>14</v>
      </c>
      <c r="L3316">
        <v>115521</v>
      </c>
      <c r="M3316" t="s">
        <v>28</v>
      </c>
      <c r="N3316">
        <v>1</v>
      </c>
      <c r="O3316">
        <v>4</v>
      </c>
      <c r="P3316">
        <v>28</v>
      </c>
      <c r="Q3316">
        <v>0</v>
      </c>
      <c r="R3316" s="1">
        <v>40149</v>
      </c>
      <c r="S3316" t="s">
        <v>29</v>
      </c>
      <c r="T3316" t="str">
        <f t="shared" si="255"/>
        <v>Grade A</v>
      </c>
      <c r="U3316">
        <f t="shared" si="256"/>
        <v>3</v>
      </c>
      <c r="V3316" t="str">
        <f t="shared" si="257"/>
        <v>Senior</v>
      </c>
      <c r="W3316" t="str">
        <f t="shared" si="258"/>
        <v>Medium Risk</v>
      </c>
      <c r="X3316" t="str">
        <f t="shared" si="259"/>
        <v>Competitive</v>
      </c>
    </row>
    <row r="3317" spans="1:24" x14ac:dyDescent="0.3">
      <c r="A3317" t="s">
        <v>3385</v>
      </c>
      <c r="B3317" t="s">
        <v>39</v>
      </c>
      <c r="C3317">
        <v>29</v>
      </c>
      <c r="D3317" t="s">
        <v>31</v>
      </c>
      <c r="E3317" t="s">
        <v>22</v>
      </c>
      <c r="F3317" t="s">
        <v>41</v>
      </c>
      <c r="G3317" t="s">
        <v>58</v>
      </c>
      <c r="H3317" t="s">
        <v>83</v>
      </c>
      <c r="I3317" t="s">
        <v>68</v>
      </c>
      <c r="J3317" t="s">
        <v>60</v>
      </c>
      <c r="K3317">
        <v>1</v>
      </c>
      <c r="L3317">
        <v>93964</v>
      </c>
      <c r="M3317" t="s">
        <v>28</v>
      </c>
      <c r="N3317">
        <v>1</v>
      </c>
      <c r="O3317">
        <v>1</v>
      </c>
      <c r="P3317">
        <v>66</v>
      </c>
      <c r="Q3317">
        <v>3</v>
      </c>
      <c r="R3317" s="1">
        <v>44806</v>
      </c>
      <c r="S3317" t="s">
        <v>29</v>
      </c>
      <c r="T3317" t="str">
        <f t="shared" si="255"/>
        <v>Grade A</v>
      </c>
      <c r="U3317">
        <f t="shared" si="256"/>
        <v>3</v>
      </c>
      <c r="V3317" t="str">
        <f t="shared" si="257"/>
        <v>New Joiner</v>
      </c>
      <c r="W3317" t="str">
        <f t="shared" si="258"/>
        <v>Medium Risk</v>
      </c>
      <c r="X3317" t="str">
        <f t="shared" si="259"/>
        <v>Competitive</v>
      </c>
    </row>
    <row r="3318" spans="1:24" x14ac:dyDescent="0.3">
      <c r="A3318" t="s">
        <v>3386</v>
      </c>
      <c r="B3318" t="s">
        <v>39</v>
      </c>
      <c r="C3318">
        <v>40</v>
      </c>
      <c r="D3318" t="s">
        <v>31</v>
      </c>
      <c r="E3318" t="s">
        <v>22</v>
      </c>
      <c r="F3318" t="s">
        <v>32</v>
      </c>
      <c r="G3318" t="s">
        <v>33</v>
      </c>
      <c r="H3318" t="s">
        <v>83</v>
      </c>
      <c r="I3318" t="s">
        <v>59</v>
      </c>
      <c r="J3318" t="s">
        <v>60</v>
      </c>
      <c r="K3318">
        <v>1</v>
      </c>
      <c r="L3318">
        <v>61160</v>
      </c>
      <c r="M3318" t="s">
        <v>45</v>
      </c>
      <c r="N3318">
        <v>2</v>
      </c>
      <c r="O3318">
        <v>4</v>
      </c>
      <c r="P3318">
        <v>22</v>
      </c>
      <c r="Q3318">
        <v>1</v>
      </c>
      <c r="R3318" s="1">
        <v>44754</v>
      </c>
      <c r="S3318" t="s">
        <v>29</v>
      </c>
      <c r="T3318" t="str">
        <f t="shared" si="255"/>
        <v>Grade B</v>
      </c>
      <c r="U3318">
        <f t="shared" si="256"/>
        <v>2</v>
      </c>
      <c r="V3318" t="str">
        <f t="shared" si="257"/>
        <v>New Joiner</v>
      </c>
      <c r="W3318" t="str">
        <f t="shared" si="258"/>
        <v>Medium Risk</v>
      </c>
      <c r="X3318" t="str">
        <f t="shared" si="259"/>
        <v>Fair</v>
      </c>
    </row>
    <row r="3319" spans="1:24" x14ac:dyDescent="0.3">
      <c r="A3319" t="s">
        <v>3387</v>
      </c>
      <c r="B3319" t="s">
        <v>20</v>
      </c>
      <c r="C3319">
        <v>35</v>
      </c>
      <c r="D3319" t="s">
        <v>57</v>
      </c>
      <c r="E3319" t="s">
        <v>22</v>
      </c>
      <c r="F3319" t="s">
        <v>23</v>
      </c>
      <c r="G3319" t="s">
        <v>42</v>
      </c>
      <c r="H3319" t="s">
        <v>67</v>
      </c>
      <c r="I3319" t="s">
        <v>54</v>
      </c>
      <c r="J3319" t="s">
        <v>27</v>
      </c>
      <c r="K3319">
        <v>11</v>
      </c>
      <c r="L3319">
        <v>110652</v>
      </c>
      <c r="M3319" t="s">
        <v>45</v>
      </c>
      <c r="N3319">
        <v>3</v>
      </c>
      <c r="O3319">
        <v>1</v>
      </c>
      <c r="P3319">
        <v>76</v>
      </c>
      <c r="Q3319">
        <v>2</v>
      </c>
      <c r="R3319" s="1">
        <v>41233</v>
      </c>
      <c r="S3319" t="s">
        <v>29</v>
      </c>
      <c r="T3319" t="str">
        <f t="shared" si="255"/>
        <v>Grade A</v>
      </c>
      <c r="U3319">
        <f t="shared" si="256"/>
        <v>2</v>
      </c>
      <c r="V3319" t="str">
        <f t="shared" si="257"/>
        <v>Senior</v>
      </c>
      <c r="W3319" t="str">
        <f t="shared" si="258"/>
        <v>Medium Risk</v>
      </c>
      <c r="X3319" t="str">
        <f t="shared" si="259"/>
        <v>Fair</v>
      </c>
    </row>
    <row r="3320" spans="1:24" x14ac:dyDescent="0.3">
      <c r="A3320" t="s">
        <v>3388</v>
      </c>
      <c r="B3320" t="s">
        <v>20</v>
      </c>
      <c r="C3320">
        <v>52</v>
      </c>
      <c r="D3320" t="s">
        <v>31</v>
      </c>
      <c r="E3320" t="s">
        <v>22</v>
      </c>
      <c r="F3320" t="s">
        <v>75</v>
      </c>
      <c r="G3320" t="s">
        <v>79</v>
      </c>
      <c r="H3320" t="s">
        <v>67</v>
      </c>
      <c r="I3320" t="s">
        <v>26</v>
      </c>
      <c r="J3320" t="s">
        <v>27</v>
      </c>
      <c r="K3320">
        <v>4</v>
      </c>
      <c r="L3320">
        <v>44416</v>
      </c>
      <c r="M3320" t="s">
        <v>28</v>
      </c>
      <c r="N3320">
        <v>1</v>
      </c>
      <c r="O3320">
        <v>2</v>
      </c>
      <c r="P3320">
        <v>70</v>
      </c>
      <c r="Q3320">
        <v>3</v>
      </c>
      <c r="R3320" s="1">
        <v>43825</v>
      </c>
      <c r="S3320" t="s">
        <v>29</v>
      </c>
      <c r="T3320" t="str">
        <f t="shared" si="255"/>
        <v>Grade C</v>
      </c>
      <c r="U3320">
        <f t="shared" si="256"/>
        <v>3</v>
      </c>
      <c r="V3320" t="str">
        <f t="shared" si="257"/>
        <v>Junior</v>
      </c>
      <c r="W3320" t="str">
        <f t="shared" si="258"/>
        <v>Medium Risk</v>
      </c>
      <c r="X3320" t="str">
        <f t="shared" si="259"/>
        <v>Fair</v>
      </c>
    </row>
    <row r="3321" spans="1:24" x14ac:dyDescent="0.3">
      <c r="A3321" t="s">
        <v>3389</v>
      </c>
      <c r="B3321" t="s">
        <v>20</v>
      </c>
      <c r="C3321">
        <v>35</v>
      </c>
      <c r="D3321" t="s">
        <v>88</v>
      </c>
      <c r="E3321" t="s">
        <v>48</v>
      </c>
      <c r="F3321" t="s">
        <v>53</v>
      </c>
      <c r="G3321" t="s">
        <v>42</v>
      </c>
      <c r="H3321" t="s">
        <v>76</v>
      </c>
      <c r="I3321" t="s">
        <v>68</v>
      </c>
      <c r="J3321" t="s">
        <v>60</v>
      </c>
      <c r="K3321">
        <v>10</v>
      </c>
      <c r="L3321">
        <v>109003</v>
      </c>
      <c r="M3321" t="s">
        <v>45</v>
      </c>
      <c r="N3321">
        <v>1</v>
      </c>
      <c r="O3321">
        <v>4</v>
      </c>
      <c r="P3321">
        <v>39</v>
      </c>
      <c r="Q3321">
        <v>2</v>
      </c>
      <c r="R3321" s="1">
        <v>41577</v>
      </c>
      <c r="S3321" t="s">
        <v>29</v>
      </c>
      <c r="T3321" t="str">
        <f t="shared" si="255"/>
        <v>Grade A</v>
      </c>
      <c r="U3321">
        <f t="shared" si="256"/>
        <v>2</v>
      </c>
      <c r="V3321" t="str">
        <f t="shared" si="257"/>
        <v>Mid Level</v>
      </c>
      <c r="W3321" t="str">
        <f t="shared" si="258"/>
        <v>Medium Risk</v>
      </c>
      <c r="X3321" t="str">
        <f t="shared" si="259"/>
        <v>Fair</v>
      </c>
    </row>
    <row r="3322" spans="1:24" x14ac:dyDescent="0.3">
      <c r="A3322" t="s">
        <v>3390</v>
      </c>
      <c r="B3322" t="s">
        <v>20</v>
      </c>
      <c r="C3322">
        <v>28</v>
      </c>
      <c r="D3322" t="s">
        <v>47</v>
      </c>
      <c r="E3322" t="s">
        <v>22</v>
      </c>
      <c r="F3322" t="s">
        <v>41</v>
      </c>
      <c r="G3322" t="s">
        <v>42</v>
      </c>
      <c r="H3322" t="s">
        <v>83</v>
      </c>
      <c r="I3322" t="s">
        <v>96</v>
      </c>
      <c r="J3322" t="s">
        <v>44</v>
      </c>
      <c r="K3322">
        <v>5</v>
      </c>
      <c r="L3322">
        <v>109212</v>
      </c>
      <c r="M3322" t="s">
        <v>36</v>
      </c>
      <c r="N3322">
        <v>1</v>
      </c>
      <c r="O3322">
        <v>1</v>
      </c>
      <c r="P3322">
        <v>17</v>
      </c>
      <c r="Q3322">
        <v>1</v>
      </c>
      <c r="R3322" s="1">
        <v>43327</v>
      </c>
      <c r="S3322" t="s">
        <v>29</v>
      </c>
      <c r="T3322" t="str">
        <f t="shared" si="255"/>
        <v>Grade A</v>
      </c>
      <c r="U3322">
        <f t="shared" si="256"/>
        <v>1</v>
      </c>
      <c r="V3322" t="str">
        <f t="shared" si="257"/>
        <v>Junior</v>
      </c>
      <c r="W3322" t="str">
        <f t="shared" si="258"/>
        <v>Medium Risk</v>
      </c>
      <c r="X3322" t="str">
        <f t="shared" si="259"/>
        <v>Overpaid</v>
      </c>
    </row>
    <row r="3323" spans="1:24" x14ac:dyDescent="0.3">
      <c r="A3323" t="s">
        <v>3391</v>
      </c>
      <c r="B3323" t="s">
        <v>39</v>
      </c>
      <c r="C3323">
        <v>29</v>
      </c>
      <c r="D3323" t="s">
        <v>21</v>
      </c>
      <c r="E3323" t="s">
        <v>22</v>
      </c>
      <c r="F3323" t="s">
        <v>41</v>
      </c>
      <c r="G3323" t="s">
        <v>79</v>
      </c>
      <c r="H3323" t="s">
        <v>25</v>
      </c>
      <c r="I3323" t="s">
        <v>54</v>
      </c>
      <c r="J3323" t="s">
        <v>27</v>
      </c>
      <c r="K3323">
        <v>11</v>
      </c>
      <c r="L3323">
        <v>55225</v>
      </c>
      <c r="M3323" t="s">
        <v>45</v>
      </c>
      <c r="N3323">
        <v>3</v>
      </c>
      <c r="O3323">
        <v>4</v>
      </c>
      <c r="P3323">
        <v>15</v>
      </c>
      <c r="Q3323">
        <v>1</v>
      </c>
      <c r="R3323" s="1">
        <v>41089</v>
      </c>
      <c r="S3323" t="s">
        <v>29</v>
      </c>
      <c r="T3323" t="str">
        <f t="shared" si="255"/>
        <v>Grade B</v>
      </c>
      <c r="U3323">
        <f t="shared" si="256"/>
        <v>2</v>
      </c>
      <c r="V3323" t="str">
        <f t="shared" si="257"/>
        <v>Senior</v>
      </c>
      <c r="W3323" t="str">
        <f t="shared" si="258"/>
        <v>Medium Risk</v>
      </c>
      <c r="X3323" t="str">
        <f t="shared" si="259"/>
        <v>Fair</v>
      </c>
    </row>
    <row r="3324" spans="1:24" x14ac:dyDescent="0.3">
      <c r="A3324" t="s">
        <v>3392</v>
      </c>
      <c r="B3324" t="s">
        <v>39</v>
      </c>
      <c r="C3324">
        <v>28</v>
      </c>
      <c r="D3324" t="s">
        <v>31</v>
      </c>
      <c r="E3324" t="s">
        <v>22</v>
      </c>
      <c r="F3324" t="s">
        <v>65</v>
      </c>
      <c r="G3324" t="s">
        <v>63</v>
      </c>
      <c r="H3324" t="s">
        <v>67</v>
      </c>
      <c r="I3324" t="s">
        <v>59</v>
      </c>
      <c r="J3324" t="s">
        <v>60</v>
      </c>
      <c r="K3324">
        <v>11</v>
      </c>
      <c r="L3324">
        <v>73691</v>
      </c>
      <c r="M3324" t="s">
        <v>45</v>
      </c>
      <c r="N3324">
        <v>1</v>
      </c>
      <c r="O3324">
        <v>2</v>
      </c>
      <c r="P3324">
        <v>41</v>
      </c>
      <c r="Q3324">
        <v>2</v>
      </c>
      <c r="R3324" s="1">
        <v>41016</v>
      </c>
      <c r="S3324" t="s">
        <v>29</v>
      </c>
      <c r="T3324" t="str">
        <f t="shared" si="255"/>
        <v>Grade B</v>
      </c>
      <c r="U3324">
        <f t="shared" si="256"/>
        <v>2</v>
      </c>
      <c r="V3324" t="str">
        <f t="shared" si="257"/>
        <v>Senior</v>
      </c>
      <c r="W3324" t="str">
        <f t="shared" si="258"/>
        <v>Medium Risk</v>
      </c>
      <c r="X3324" t="str">
        <f t="shared" si="259"/>
        <v>Fair</v>
      </c>
    </row>
    <row r="3325" spans="1:24" x14ac:dyDescent="0.3">
      <c r="A3325" t="s">
        <v>3393</v>
      </c>
      <c r="B3325" t="s">
        <v>39</v>
      </c>
      <c r="C3325">
        <v>47</v>
      </c>
      <c r="D3325" t="s">
        <v>88</v>
      </c>
      <c r="E3325" t="s">
        <v>40</v>
      </c>
      <c r="F3325" t="s">
        <v>32</v>
      </c>
      <c r="G3325" t="s">
        <v>63</v>
      </c>
      <c r="H3325" t="s">
        <v>83</v>
      </c>
      <c r="I3325" t="s">
        <v>43</v>
      </c>
      <c r="J3325" t="s">
        <v>44</v>
      </c>
      <c r="K3325">
        <v>8</v>
      </c>
      <c r="L3325">
        <v>63950</v>
      </c>
      <c r="M3325" t="s">
        <v>36</v>
      </c>
      <c r="N3325">
        <v>2</v>
      </c>
      <c r="O3325">
        <v>4</v>
      </c>
      <c r="P3325">
        <v>77</v>
      </c>
      <c r="Q3325">
        <v>2</v>
      </c>
      <c r="R3325" s="1">
        <v>42141</v>
      </c>
      <c r="S3325" t="s">
        <v>37</v>
      </c>
      <c r="T3325" t="str">
        <f t="shared" si="255"/>
        <v>Grade B</v>
      </c>
      <c r="U3325">
        <f t="shared" si="256"/>
        <v>1</v>
      </c>
      <c r="V3325" t="str">
        <f t="shared" si="257"/>
        <v>Mid Level</v>
      </c>
      <c r="W3325" t="str">
        <f t="shared" si="258"/>
        <v>Already Left</v>
      </c>
      <c r="X3325" t="str">
        <f t="shared" si="259"/>
        <v>Fair</v>
      </c>
    </row>
    <row r="3326" spans="1:24" x14ac:dyDescent="0.3">
      <c r="A3326" t="s">
        <v>3394</v>
      </c>
      <c r="B3326" t="s">
        <v>20</v>
      </c>
      <c r="C3326">
        <v>50</v>
      </c>
      <c r="D3326" t="s">
        <v>21</v>
      </c>
      <c r="E3326" t="s">
        <v>48</v>
      </c>
      <c r="F3326" t="s">
        <v>78</v>
      </c>
      <c r="G3326" t="s">
        <v>49</v>
      </c>
      <c r="H3326" t="s">
        <v>83</v>
      </c>
      <c r="I3326" t="s">
        <v>96</v>
      </c>
      <c r="J3326" t="s">
        <v>44</v>
      </c>
      <c r="K3326">
        <v>14</v>
      </c>
      <c r="L3326">
        <v>85425</v>
      </c>
      <c r="M3326" t="s">
        <v>51</v>
      </c>
      <c r="N3326">
        <v>1</v>
      </c>
      <c r="O3326">
        <v>1</v>
      </c>
      <c r="P3326">
        <v>42</v>
      </c>
      <c r="Q3326">
        <v>3</v>
      </c>
      <c r="R3326" s="1">
        <v>40025</v>
      </c>
      <c r="S3326" t="s">
        <v>29</v>
      </c>
      <c r="T3326" t="str">
        <f t="shared" si="255"/>
        <v>Grade A</v>
      </c>
      <c r="U3326">
        <f t="shared" si="256"/>
        <v>4</v>
      </c>
      <c r="V3326" t="str">
        <f t="shared" si="257"/>
        <v>Senior</v>
      </c>
      <c r="W3326" t="str">
        <f t="shared" si="258"/>
        <v>Low Risk</v>
      </c>
      <c r="X3326" t="str">
        <f t="shared" si="259"/>
        <v>Competitive</v>
      </c>
    </row>
    <row r="3327" spans="1:24" x14ac:dyDescent="0.3">
      <c r="A3327" t="s">
        <v>3395</v>
      </c>
      <c r="B3327" t="s">
        <v>39</v>
      </c>
      <c r="C3327">
        <v>41</v>
      </c>
      <c r="D3327" t="s">
        <v>88</v>
      </c>
      <c r="E3327" t="s">
        <v>22</v>
      </c>
      <c r="F3327" t="s">
        <v>23</v>
      </c>
      <c r="G3327" t="s">
        <v>24</v>
      </c>
      <c r="H3327" t="s">
        <v>34</v>
      </c>
      <c r="I3327" t="s">
        <v>59</v>
      </c>
      <c r="J3327" t="s">
        <v>60</v>
      </c>
      <c r="K3327">
        <v>3</v>
      </c>
      <c r="L3327">
        <v>74092</v>
      </c>
      <c r="M3327" t="s">
        <v>51</v>
      </c>
      <c r="N3327">
        <v>3</v>
      </c>
      <c r="O3327">
        <v>1</v>
      </c>
      <c r="P3327">
        <v>48</v>
      </c>
      <c r="Q3327">
        <v>1</v>
      </c>
      <c r="R3327" s="1">
        <v>44139</v>
      </c>
      <c r="S3327" t="s">
        <v>29</v>
      </c>
      <c r="T3327" t="str">
        <f t="shared" si="255"/>
        <v>Grade B</v>
      </c>
      <c r="U3327">
        <f t="shared" si="256"/>
        <v>4</v>
      </c>
      <c r="V3327" t="str">
        <f t="shared" si="257"/>
        <v>Junior</v>
      </c>
      <c r="W3327" t="str">
        <f t="shared" si="258"/>
        <v>Low Risk</v>
      </c>
      <c r="X3327" t="str">
        <f t="shared" si="259"/>
        <v>Fair</v>
      </c>
    </row>
    <row r="3328" spans="1:24" x14ac:dyDescent="0.3">
      <c r="A3328" t="s">
        <v>3396</v>
      </c>
      <c r="B3328" t="s">
        <v>39</v>
      </c>
      <c r="C3328">
        <v>42</v>
      </c>
      <c r="D3328" t="s">
        <v>88</v>
      </c>
      <c r="E3328" t="s">
        <v>48</v>
      </c>
      <c r="F3328" t="s">
        <v>62</v>
      </c>
      <c r="G3328" t="s">
        <v>33</v>
      </c>
      <c r="H3328" t="s">
        <v>25</v>
      </c>
      <c r="I3328" t="s">
        <v>50</v>
      </c>
      <c r="J3328" t="s">
        <v>44</v>
      </c>
      <c r="K3328">
        <v>7</v>
      </c>
      <c r="L3328">
        <v>81449</v>
      </c>
      <c r="M3328" t="s">
        <v>45</v>
      </c>
      <c r="N3328">
        <v>2</v>
      </c>
      <c r="O3328">
        <v>3</v>
      </c>
      <c r="P3328">
        <v>12</v>
      </c>
      <c r="Q3328">
        <v>0</v>
      </c>
      <c r="R3328" s="1">
        <v>42586</v>
      </c>
      <c r="S3328" t="s">
        <v>29</v>
      </c>
      <c r="T3328" t="str">
        <f t="shared" si="255"/>
        <v>Grade A</v>
      </c>
      <c r="U3328">
        <f t="shared" si="256"/>
        <v>2</v>
      </c>
      <c r="V3328" t="str">
        <f t="shared" si="257"/>
        <v>Mid Level</v>
      </c>
      <c r="W3328" t="str">
        <f t="shared" si="258"/>
        <v>Medium Risk</v>
      </c>
      <c r="X3328" t="str">
        <f t="shared" si="259"/>
        <v>Fair</v>
      </c>
    </row>
    <row r="3329" spans="1:24" x14ac:dyDescent="0.3">
      <c r="A3329" t="s">
        <v>3397</v>
      </c>
      <c r="B3329" t="s">
        <v>20</v>
      </c>
      <c r="C3329">
        <v>28</v>
      </c>
      <c r="D3329" t="s">
        <v>88</v>
      </c>
      <c r="E3329" t="s">
        <v>48</v>
      </c>
      <c r="F3329" t="s">
        <v>78</v>
      </c>
      <c r="G3329" t="s">
        <v>42</v>
      </c>
      <c r="H3329" t="s">
        <v>76</v>
      </c>
      <c r="I3329" t="s">
        <v>26</v>
      </c>
      <c r="J3329" t="s">
        <v>27</v>
      </c>
      <c r="K3329">
        <v>4</v>
      </c>
      <c r="L3329">
        <v>104786</v>
      </c>
      <c r="M3329" t="s">
        <v>28</v>
      </c>
      <c r="N3329">
        <v>1</v>
      </c>
      <c r="O3329">
        <v>1</v>
      </c>
      <c r="P3329">
        <v>35</v>
      </c>
      <c r="Q3329">
        <v>0</v>
      </c>
      <c r="R3329" s="1">
        <v>43801</v>
      </c>
      <c r="S3329" t="s">
        <v>37</v>
      </c>
      <c r="T3329" t="str">
        <f t="shared" si="255"/>
        <v>Grade A</v>
      </c>
      <c r="U3329">
        <f t="shared" si="256"/>
        <v>3</v>
      </c>
      <c r="V3329" t="str">
        <f t="shared" si="257"/>
        <v>Junior</v>
      </c>
      <c r="W3329" t="str">
        <f t="shared" si="258"/>
        <v>Already Left</v>
      </c>
      <c r="X3329" t="str">
        <f t="shared" si="259"/>
        <v>Competitive</v>
      </c>
    </row>
    <row r="3330" spans="1:24" x14ac:dyDescent="0.3">
      <c r="A3330" t="s">
        <v>3398</v>
      </c>
      <c r="B3330" t="s">
        <v>39</v>
      </c>
      <c r="C3330">
        <v>46</v>
      </c>
      <c r="D3330" t="s">
        <v>57</v>
      </c>
      <c r="E3330" t="s">
        <v>40</v>
      </c>
      <c r="F3330" t="s">
        <v>23</v>
      </c>
      <c r="G3330" t="s">
        <v>63</v>
      </c>
      <c r="H3330" t="s">
        <v>76</v>
      </c>
      <c r="I3330" t="s">
        <v>59</v>
      </c>
      <c r="J3330" t="s">
        <v>60</v>
      </c>
      <c r="K3330">
        <v>14</v>
      </c>
      <c r="L3330">
        <v>65311</v>
      </c>
      <c r="M3330" t="s">
        <v>36</v>
      </c>
      <c r="N3330">
        <v>3</v>
      </c>
      <c r="O3330">
        <v>4</v>
      </c>
      <c r="P3330">
        <v>49</v>
      </c>
      <c r="Q3330">
        <v>1</v>
      </c>
      <c r="R3330" s="1">
        <v>39984</v>
      </c>
      <c r="S3330" t="s">
        <v>37</v>
      </c>
      <c r="T3330" t="str">
        <f t="shared" ref="T3330:T3393" si="260">IF(L3330&gt;=80000,"Grade A",IF(L3330&gt;=50000,"Grade B",IF(L3330&gt;=35000,"Grade C","Grade D")))</f>
        <v>Grade B</v>
      </c>
      <c r="U3330">
        <f t="shared" ref="U3330:U3393" si="261">IF(M3330="Excellent",4,IF(M3330="Good",3,IF(M3330="Average",2,1)))</f>
        <v>1</v>
      </c>
      <c r="V3330" t="str">
        <f t="shared" ref="V3330:V3393" si="262">IF(K3330&lt;=2,"New Joiner",IF(K3330&lt;=5,"Junior",IF(K3330&lt;=10,"Mid Level","Senior")))</f>
        <v>Senior</v>
      </c>
      <c r="W3330" t="str">
        <f t="shared" ref="W3330:W3393" si="263">IF(S3330="Yes","Already Left",IF(AND(K3330&lt;=2,M3330="Poor"),"High Risk",IF(AND(K3330&lt;=5,M3330="Average"),"Medium Risk",IF(M3330="Excellent","Low Risk","Medium Risk"))))</f>
        <v>Already Left</v>
      </c>
      <c r="X3330" t="str">
        <f t="shared" ref="X3330:X3393" si="264">IF(AND(L3330&gt;=80000,M3330="Excellent"),"Competitive",IF(AND(L3330&gt;=50000,M3330="Good"),"Competitive",IF(AND(L3330&lt;35000,M3330="Excellent"),"Underpaid",IF(AND(L3330&gt;=80000,M3330="Poor"),"Overpaid","Fair"))))</f>
        <v>Fair</v>
      </c>
    </row>
    <row r="3331" spans="1:24" x14ac:dyDescent="0.3">
      <c r="A3331" t="s">
        <v>3399</v>
      </c>
      <c r="B3331" t="s">
        <v>20</v>
      </c>
      <c r="C3331">
        <v>47</v>
      </c>
      <c r="D3331" t="s">
        <v>88</v>
      </c>
      <c r="E3331" t="s">
        <v>22</v>
      </c>
      <c r="F3331" t="s">
        <v>78</v>
      </c>
      <c r="G3331" t="s">
        <v>79</v>
      </c>
      <c r="H3331" t="s">
        <v>67</v>
      </c>
      <c r="I3331" t="s">
        <v>50</v>
      </c>
      <c r="J3331" t="s">
        <v>44</v>
      </c>
      <c r="K3331">
        <v>13</v>
      </c>
      <c r="L3331">
        <v>72773</v>
      </c>
      <c r="M3331" t="s">
        <v>45</v>
      </c>
      <c r="N3331">
        <v>2</v>
      </c>
      <c r="O3331">
        <v>3</v>
      </c>
      <c r="P3331">
        <v>42</v>
      </c>
      <c r="Q3331">
        <v>2</v>
      </c>
      <c r="R3331" s="1">
        <v>40274</v>
      </c>
      <c r="S3331" t="s">
        <v>37</v>
      </c>
      <c r="T3331" t="str">
        <f t="shared" si="260"/>
        <v>Grade B</v>
      </c>
      <c r="U3331">
        <f t="shared" si="261"/>
        <v>2</v>
      </c>
      <c r="V3331" t="str">
        <f t="shared" si="262"/>
        <v>Senior</v>
      </c>
      <c r="W3331" t="str">
        <f t="shared" si="263"/>
        <v>Already Left</v>
      </c>
      <c r="X3331" t="str">
        <f t="shared" si="264"/>
        <v>Fair</v>
      </c>
    </row>
    <row r="3332" spans="1:24" x14ac:dyDescent="0.3">
      <c r="A3332" t="s">
        <v>3400</v>
      </c>
      <c r="B3332" t="s">
        <v>39</v>
      </c>
      <c r="C3332">
        <v>48</v>
      </c>
      <c r="D3332" t="s">
        <v>47</v>
      </c>
      <c r="E3332" t="s">
        <v>40</v>
      </c>
      <c r="F3332" t="s">
        <v>65</v>
      </c>
      <c r="G3332" t="s">
        <v>42</v>
      </c>
      <c r="H3332" t="s">
        <v>25</v>
      </c>
      <c r="I3332" t="s">
        <v>50</v>
      </c>
      <c r="J3332" t="s">
        <v>44</v>
      </c>
      <c r="K3332">
        <v>3</v>
      </c>
      <c r="L3332">
        <v>107333</v>
      </c>
      <c r="M3332" t="s">
        <v>36</v>
      </c>
      <c r="N3332">
        <v>4</v>
      </c>
      <c r="O3332">
        <v>2</v>
      </c>
      <c r="P3332">
        <v>13</v>
      </c>
      <c r="Q3332">
        <v>0</v>
      </c>
      <c r="R3332" s="1">
        <v>44155</v>
      </c>
      <c r="S3332" t="s">
        <v>37</v>
      </c>
      <c r="T3332" t="str">
        <f t="shared" si="260"/>
        <v>Grade A</v>
      </c>
      <c r="U3332">
        <f t="shared" si="261"/>
        <v>1</v>
      </c>
      <c r="V3332" t="str">
        <f t="shared" si="262"/>
        <v>Junior</v>
      </c>
      <c r="W3332" t="str">
        <f t="shared" si="263"/>
        <v>Already Left</v>
      </c>
      <c r="X3332" t="str">
        <f t="shared" si="264"/>
        <v>Overpaid</v>
      </c>
    </row>
    <row r="3333" spans="1:24" x14ac:dyDescent="0.3">
      <c r="A3333" t="s">
        <v>3401</v>
      </c>
      <c r="B3333" t="s">
        <v>39</v>
      </c>
      <c r="C3333">
        <v>26</v>
      </c>
      <c r="D3333" t="s">
        <v>57</v>
      </c>
      <c r="E3333" t="s">
        <v>22</v>
      </c>
      <c r="F3333" t="s">
        <v>23</v>
      </c>
      <c r="G3333" t="s">
        <v>33</v>
      </c>
      <c r="H3333" t="s">
        <v>25</v>
      </c>
      <c r="I3333" t="s">
        <v>43</v>
      </c>
      <c r="J3333" t="s">
        <v>44</v>
      </c>
      <c r="K3333">
        <v>2</v>
      </c>
      <c r="L3333">
        <v>59163</v>
      </c>
      <c r="M3333" t="s">
        <v>45</v>
      </c>
      <c r="N3333">
        <v>4</v>
      </c>
      <c r="O3333">
        <v>4</v>
      </c>
      <c r="P3333">
        <v>77</v>
      </c>
      <c r="Q3333">
        <v>3</v>
      </c>
      <c r="R3333" s="1">
        <v>44528</v>
      </c>
      <c r="S3333" t="s">
        <v>29</v>
      </c>
      <c r="T3333" t="str">
        <f t="shared" si="260"/>
        <v>Grade B</v>
      </c>
      <c r="U3333">
        <f t="shared" si="261"/>
        <v>2</v>
      </c>
      <c r="V3333" t="str">
        <f t="shared" si="262"/>
        <v>New Joiner</v>
      </c>
      <c r="W3333" t="str">
        <f t="shared" si="263"/>
        <v>Medium Risk</v>
      </c>
      <c r="X3333" t="str">
        <f t="shared" si="264"/>
        <v>Fair</v>
      </c>
    </row>
    <row r="3334" spans="1:24" x14ac:dyDescent="0.3">
      <c r="A3334" t="s">
        <v>3402</v>
      </c>
      <c r="B3334" t="s">
        <v>20</v>
      </c>
      <c r="C3334">
        <v>54</v>
      </c>
      <c r="D3334" t="s">
        <v>31</v>
      </c>
      <c r="E3334" t="s">
        <v>40</v>
      </c>
      <c r="F3334" t="s">
        <v>78</v>
      </c>
      <c r="G3334" t="s">
        <v>66</v>
      </c>
      <c r="H3334" t="s">
        <v>67</v>
      </c>
      <c r="I3334" t="s">
        <v>59</v>
      </c>
      <c r="J3334" t="s">
        <v>60</v>
      </c>
      <c r="K3334">
        <v>12</v>
      </c>
      <c r="L3334">
        <v>67178</v>
      </c>
      <c r="M3334" t="s">
        <v>51</v>
      </c>
      <c r="N3334">
        <v>1</v>
      </c>
      <c r="O3334">
        <v>3</v>
      </c>
      <c r="P3334">
        <v>71</v>
      </c>
      <c r="Q3334">
        <v>0</v>
      </c>
      <c r="R3334" s="1">
        <v>40802</v>
      </c>
      <c r="S3334" t="s">
        <v>29</v>
      </c>
      <c r="T3334" t="str">
        <f t="shared" si="260"/>
        <v>Grade B</v>
      </c>
      <c r="U3334">
        <f t="shared" si="261"/>
        <v>4</v>
      </c>
      <c r="V3334" t="str">
        <f t="shared" si="262"/>
        <v>Senior</v>
      </c>
      <c r="W3334" t="str">
        <f t="shared" si="263"/>
        <v>Low Risk</v>
      </c>
      <c r="X3334" t="str">
        <f t="shared" si="264"/>
        <v>Fair</v>
      </c>
    </row>
    <row r="3335" spans="1:24" x14ac:dyDescent="0.3">
      <c r="A3335" t="s">
        <v>3403</v>
      </c>
      <c r="B3335" t="s">
        <v>20</v>
      </c>
      <c r="C3335">
        <v>39</v>
      </c>
      <c r="D3335" t="s">
        <v>21</v>
      </c>
      <c r="E3335" t="s">
        <v>40</v>
      </c>
      <c r="F3335" t="s">
        <v>78</v>
      </c>
      <c r="G3335" t="s">
        <v>63</v>
      </c>
      <c r="H3335" t="s">
        <v>83</v>
      </c>
      <c r="I3335" t="s">
        <v>72</v>
      </c>
      <c r="J3335" t="s">
        <v>73</v>
      </c>
      <c r="K3335">
        <v>14</v>
      </c>
      <c r="L3335">
        <v>73408</v>
      </c>
      <c r="M3335" t="s">
        <v>28</v>
      </c>
      <c r="N3335">
        <v>4</v>
      </c>
      <c r="O3335">
        <v>3</v>
      </c>
      <c r="P3335">
        <v>60</v>
      </c>
      <c r="Q3335">
        <v>3</v>
      </c>
      <c r="R3335" s="1">
        <v>40005</v>
      </c>
      <c r="S3335" t="s">
        <v>29</v>
      </c>
      <c r="T3335" t="str">
        <f t="shared" si="260"/>
        <v>Grade B</v>
      </c>
      <c r="U3335">
        <f t="shared" si="261"/>
        <v>3</v>
      </c>
      <c r="V3335" t="str">
        <f t="shared" si="262"/>
        <v>Senior</v>
      </c>
      <c r="W3335" t="str">
        <f t="shared" si="263"/>
        <v>Medium Risk</v>
      </c>
      <c r="X3335" t="str">
        <f t="shared" si="264"/>
        <v>Competitive</v>
      </c>
    </row>
    <row r="3336" spans="1:24" x14ac:dyDescent="0.3">
      <c r="A3336" t="s">
        <v>3404</v>
      </c>
      <c r="B3336" t="s">
        <v>39</v>
      </c>
      <c r="C3336">
        <v>53</v>
      </c>
      <c r="D3336" t="s">
        <v>21</v>
      </c>
      <c r="E3336" t="s">
        <v>22</v>
      </c>
      <c r="F3336" t="s">
        <v>78</v>
      </c>
      <c r="G3336" t="s">
        <v>79</v>
      </c>
      <c r="H3336" t="s">
        <v>83</v>
      </c>
      <c r="I3336" t="s">
        <v>43</v>
      </c>
      <c r="J3336" t="s">
        <v>44</v>
      </c>
      <c r="K3336">
        <v>8</v>
      </c>
      <c r="L3336">
        <v>48724</v>
      </c>
      <c r="M3336" t="s">
        <v>45</v>
      </c>
      <c r="N3336">
        <v>1</v>
      </c>
      <c r="O3336">
        <v>3</v>
      </c>
      <c r="P3336">
        <v>77</v>
      </c>
      <c r="Q3336">
        <v>1</v>
      </c>
      <c r="R3336" s="1">
        <v>42301</v>
      </c>
      <c r="S3336" t="s">
        <v>37</v>
      </c>
      <c r="T3336" t="str">
        <f t="shared" si="260"/>
        <v>Grade C</v>
      </c>
      <c r="U3336">
        <f t="shared" si="261"/>
        <v>2</v>
      </c>
      <c r="V3336" t="str">
        <f t="shared" si="262"/>
        <v>Mid Level</v>
      </c>
      <c r="W3336" t="str">
        <f t="shared" si="263"/>
        <v>Already Left</v>
      </c>
      <c r="X3336" t="str">
        <f t="shared" si="264"/>
        <v>Fair</v>
      </c>
    </row>
    <row r="3337" spans="1:24" x14ac:dyDescent="0.3">
      <c r="A3337" t="s">
        <v>3405</v>
      </c>
      <c r="B3337" t="s">
        <v>39</v>
      </c>
      <c r="C3337">
        <v>44</v>
      </c>
      <c r="D3337" t="s">
        <v>57</v>
      </c>
      <c r="E3337" t="s">
        <v>48</v>
      </c>
      <c r="F3337" t="s">
        <v>75</v>
      </c>
      <c r="G3337" t="s">
        <v>63</v>
      </c>
      <c r="H3337" t="s">
        <v>76</v>
      </c>
      <c r="I3337" t="s">
        <v>72</v>
      </c>
      <c r="J3337" t="s">
        <v>73</v>
      </c>
      <c r="K3337">
        <v>13</v>
      </c>
      <c r="L3337">
        <v>66977</v>
      </c>
      <c r="M3337" t="s">
        <v>28</v>
      </c>
      <c r="N3337">
        <v>1</v>
      </c>
      <c r="O3337">
        <v>3</v>
      </c>
      <c r="P3337">
        <v>13</v>
      </c>
      <c r="Q3337">
        <v>1</v>
      </c>
      <c r="R3337" s="1">
        <v>40374</v>
      </c>
      <c r="S3337" t="s">
        <v>29</v>
      </c>
      <c r="T3337" t="str">
        <f t="shared" si="260"/>
        <v>Grade B</v>
      </c>
      <c r="U3337">
        <f t="shared" si="261"/>
        <v>3</v>
      </c>
      <c r="V3337" t="str">
        <f t="shared" si="262"/>
        <v>Senior</v>
      </c>
      <c r="W3337" t="str">
        <f t="shared" si="263"/>
        <v>Medium Risk</v>
      </c>
      <c r="X3337" t="str">
        <f t="shared" si="264"/>
        <v>Competitive</v>
      </c>
    </row>
    <row r="3338" spans="1:24" x14ac:dyDescent="0.3">
      <c r="A3338" t="s">
        <v>3406</v>
      </c>
      <c r="B3338" t="s">
        <v>20</v>
      </c>
      <c r="C3338">
        <v>55</v>
      </c>
      <c r="D3338" t="s">
        <v>47</v>
      </c>
      <c r="E3338" t="s">
        <v>22</v>
      </c>
      <c r="F3338" t="s">
        <v>65</v>
      </c>
      <c r="G3338" t="s">
        <v>58</v>
      </c>
      <c r="H3338" t="s">
        <v>34</v>
      </c>
      <c r="I3338" t="s">
        <v>59</v>
      </c>
      <c r="J3338" t="s">
        <v>60</v>
      </c>
      <c r="K3338">
        <v>9</v>
      </c>
      <c r="L3338">
        <v>109899</v>
      </c>
      <c r="M3338" t="s">
        <v>45</v>
      </c>
      <c r="N3338">
        <v>3</v>
      </c>
      <c r="O3338">
        <v>2</v>
      </c>
      <c r="P3338">
        <v>45</v>
      </c>
      <c r="Q3338">
        <v>1</v>
      </c>
      <c r="R3338" s="1">
        <v>41974</v>
      </c>
      <c r="S3338" t="s">
        <v>29</v>
      </c>
      <c r="T3338" t="str">
        <f t="shared" si="260"/>
        <v>Grade A</v>
      </c>
      <c r="U3338">
        <f t="shared" si="261"/>
        <v>2</v>
      </c>
      <c r="V3338" t="str">
        <f t="shared" si="262"/>
        <v>Mid Level</v>
      </c>
      <c r="W3338" t="str">
        <f t="shared" si="263"/>
        <v>Medium Risk</v>
      </c>
      <c r="X3338" t="str">
        <f t="shared" si="264"/>
        <v>Fair</v>
      </c>
    </row>
    <row r="3339" spans="1:24" x14ac:dyDescent="0.3">
      <c r="A3339" t="s">
        <v>3407</v>
      </c>
      <c r="B3339" t="s">
        <v>39</v>
      </c>
      <c r="C3339">
        <v>36</v>
      </c>
      <c r="D3339" t="s">
        <v>88</v>
      </c>
      <c r="E3339" t="s">
        <v>40</v>
      </c>
      <c r="F3339" t="s">
        <v>78</v>
      </c>
      <c r="G3339" t="s">
        <v>24</v>
      </c>
      <c r="H3339" t="s">
        <v>34</v>
      </c>
      <c r="I3339" t="s">
        <v>68</v>
      </c>
      <c r="J3339" t="s">
        <v>60</v>
      </c>
      <c r="K3339">
        <v>4</v>
      </c>
      <c r="L3339">
        <v>77059</v>
      </c>
      <c r="M3339" t="s">
        <v>45</v>
      </c>
      <c r="N3339">
        <v>2</v>
      </c>
      <c r="O3339">
        <v>1</v>
      </c>
      <c r="P3339">
        <v>11</v>
      </c>
      <c r="Q3339">
        <v>2</v>
      </c>
      <c r="R3339" s="1">
        <v>43799</v>
      </c>
      <c r="S3339" t="s">
        <v>37</v>
      </c>
      <c r="T3339" t="str">
        <f t="shared" si="260"/>
        <v>Grade B</v>
      </c>
      <c r="U3339">
        <f t="shared" si="261"/>
        <v>2</v>
      </c>
      <c r="V3339" t="str">
        <f t="shared" si="262"/>
        <v>Junior</v>
      </c>
      <c r="W3339" t="str">
        <f t="shared" si="263"/>
        <v>Already Left</v>
      </c>
      <c r="X3339" t="str">
        <f t="shared" si="264"/>
        <v>Fair</v>
      </c>
    </row>
    <row r="3340" spans="1:24" x14ac:dyDescent="0.3">
      <c r="A3340" t="s">
        <v>3408</v>
      </c>
      <c r="B3340" t="s">
        <v>39</v>
      </c>
      <c r="C3340">
        <v>28</v>
      </c>
      <c r="D3340" t="s">
        <v>31</v>
      </c>
      <c r="E3340" t="s">
        <v>22</v>
      </c>
      <c r="F3340" t="s">
        <v>23</v>
      </c>
      <c r="G3340" t="s">
        <v>63</v>
      </c>
      <c r="H3340" t="s">
        <v>67</v>
      </c>
      <c r="I3340" t="s">
        <v>50</v>
      </c>
      <c r="J3340" t="s">
        <v>44</v>
      </c>
      <c r="K3340">
        <v>15</v>
      </c>
      <c r="L3340">
        <v>76294</v>
      </c>
      <c r="M3340" t="s">
        <v>36</v>
      </c>
      <c r="N3340">
        <v>3</v>
      </c>
      <c r="O3340">
        <v>4</v>
      </c>
      <c r="P3340">
        <v>52</v>
      </c>
      <c r="Q3340">
        <v>0</v>
      </c>
      <c r="R3340" s="1">
        <v>39481</v>
      </c>
      <c r="S3340" t="s">
        <v>37</v>
      </c>
      <c r="T3340" t="str">
        <f t="shared" si="260"/>
        <v>Grade B</v>
      </c>
      <c r="U3340">
        <f t="shared" si="261"/>
        <v>1</v>
      </c>
      <c r="V3340" t="str">
        <f t="shared" si="262"/>
        <v>Senior</v>
      </c>
      <c r="W3340" t="str">
        <f t="shared" si="263"/>
        <v>Already Left</v>
      </c>
      <c r="X3340" t="str">
        <f t="shared" si="264"/>
        <v>Fair</v>
      </c>
    </row>
    <row r="3341" spans="1:24" x14ac:dyDescent="0.3">
      <c r="A3341" t="s">
        <v>3409</v>
      </c>
      <c r="B3341" t="s">
        <v>20</v>
      </c>
      <c r="C3341">
        <v>22</v>
      </c>
      <c r="D3341" t="s">
        <v>31</v>
      </c>
      <c r="E3341" t="s">
        <v>48</v>
      </c>
      <c r="F3341" t="s">
        <v>65</v>
      </c>
      <c r="G3341" t="s">
        <v>58</v>
      </c>
      <c r="H3341" t="s">
        <v>76</v>
      </c>
      <c r="I3341" t="s">
        <v>68</v>
      </c>
      <c r="J3341" t="s">
        <v>60</v>
      </c>
      <c r="K3341">
        <v>1</v>
      </c>
      <c r="L3341">
        <v>87646</v>
      </c>
      <c r="M3341" t="s">
        <v>36</v>
      </c>
      <c r="N3341">
        <v>2</v>
      </c>
      <c r="O3341">
        <v>4</v>
      </c>
      <c r="P3341">
        <v>18</v>
      </c>
      <c r="Q3341">
        <v>0</v>
      </c>
      <c r="R3341" s="1">
        <v>44854</v>
      </c>
      <c r="S3341" t="s">
        <v>37</v>
      </c>
      <c r="T3341" t="str">
        <f t="shared" si="260"/>
        <v>Grade A</v>
      </c>
      <c r="U3341">
        <f t="shared" si="261"/>
        <v>1</v>
      </c>
      <c r="V3341" t="str">
        <f t="shared" si="262"/>
        <v>New Joiner</v>
      </c>
      <c r="W3341" t="str">
        <f t="shared" si="263"/>
        <v>Already Left</v>
      </c>
      <c r="X3341" t="str">
        <f t="shared" si="264"/>
        <v>Overpaid</v>
      </c>
    </row>
    <row r="3342" spans="1:24" x14ac:dyDescent="0.3">
      <c r="A3342" t="s">
        <v>3410</v>
      </c>
      <c r="B3342" t="s">
        <v>39</v>
      </c>
      <c r="C3342">
        <v>48</v>
      </c>
      <c r="D3342" t="s">
        <v>88</v>
      </c>
      <c r="E3342" t="s">
        <v>48</v>
      </c>
      <c r="F3342" t="s">
        <v>32</v>
      </c>
      <c r="G3342" t="s">
        <v>42</v>
      </c>
      <c r="H3342" t="s">
        <v>34</v>
      </c>
      <c r="I3342" t="s">
        <v>35</v>
      </c>
      <c r="J3342" t="s">
        <v>27</v>
      </c>
      <c r="K3342">
        <v>15</v>
      </c>
      <c r="L3342">
        <v>132387</v>
      </c>
      <c r="M3342" t="s">
        <v>36</v>
      </c>
      <c r="N3342">
        <v>1</v>
      </c>
      <c r="O3342">
        <v>4</v>
      </c>
      <c r="P3342">
        <v>34</v>
      </c>
      <c r="Q3342">
        <v>3</v>
      </c>
      <c r="R3342" s="1">
        <v>39623</v>
      </c>
      <c r="S3342" t="s">
        <v>37</v>
      </c>
      <c r="T3342" t="str">
        <f t="shared" si="260"/>
        <v>Grade A</v>
      </c>
      <c r="U3342">
        <f t="shared" si="261"/>
        <v>1</v>
      </c>
      <c r="V3342" t="str">
        <f t="shared" si="262"/>
        <v>Senior</v>
      </c>
      <c r="W3342" t="str">
        <f t="shared" si="263"/>
        <v>Already Left</v>
      </c>
      <c r="X3342" t="str">
        <f t="shared" si="264"/>
        <v>Overpaid</v>
      </c>
    </row>
    <row r="3343" spans="1:24" x14ac:dyDescent="0.3">
      <c r="A3343" t="s">
        <v>3411</v>
      </c>
      <c r="B3343" t="s">
        <v>20</v>
      </c>
      <c r="C3343">
        <v>33</v>
      </c>
      <c r="D3343" t="s">
        <v>57</v>
      </c>
      <c r="E3343" t="s">
        <v>40</v>
      </c>
      <c r="F3343" t="s">
        <v>78</v>
      </c>
      <c r="G3343" t="s">
        <v>33</v>
      </c>
      <c r="H3343" t="s">
        <v>83</v>
      </c>
      <c r="I3343" t="s">
        <v>96</v>
      </c>
      <c r="J3343" t="s">
        <v>44</v>
      </c>
      <c r="K3343">
        <v>15</v>
      </c>
      <c r="L3343">
        <v>90429</v>
      </c>
      <c r="M3343" t="s">
        <v>36</v>
      </c>
      <c r="N3343">
        <v>1</v>
      </c>
      <c r="O3343">
        <v>3</v>
      </c>
      <c r="P3343">
        <v>44</v>
      </c>
      <c r="Q3343">
        <v>3</v>
      </c>
      <c r="R3343" s="1">
        <v>39607</v>
      </c>
      <c r="S3343" t="s">
        <v>29</v>
      </c>
      <c r="T3343" t="str">
        <f t="shared" si="260"/>
        <v>Grade A</v>
      </c>
      <c r="U3343">
        <f t="shared" si="261"/>
        <v>1</v>
      </c>
      <c r="V3343" t="str">
        <f t="shared" si="262"/>
        <v>Senior</v>
      </c>
      <c r="W3343" t="str">
        <f t="shared" si="263"/>
        <v>Medium Risk</v>
      </c>
      <c r="X3343" t="str">
        <f t="shared" si="264"/>
        <v>Overpaid</v>
      </c>
    </row>
    <row r="3344" spans="1:24" x14ac:dyDescent="0.3">
      <c r="A3344" t="s">
        <v>3412</v>
      </c>
      <c r="B3344" t="s">
        <v>20</v>
      </c>
      <c r="C3344">
        <v>52</v>
      </c>
      <c r="D3344" t="s">
        <v>21</v>
      </c>
      <c r="E3344" t="s">
        <v>48</v>
      </c>
      <c r="F3344" t="s">
        <v>41</v>
      </c>
      <c r="G3344" t="s">
        <v>24</v>
      </c>
      <c r="H3344" t="s">
        <v>25</v>
      </c>
      <c r="I3344" t="s">
        <v>35</v>
      </c>
      <c r="J3344" t="s">
        <v>27</v>
      </c>
      <c r="K3344">
        <v>12</v>
      </c>
      <c r="L3344">
        <v>97448</v>
      </c>
      <c r="M3344" t="s">
        <v>51</v>
      </c>
      <c r="N3344">
        <v>1</v>
      </c>
      <c r="O3344">
        <v>4</v>
      </c>
      <c r="P3344">
        <v>53</v>
      </c>
      <c r="Q3344">
        <v>2</v>
      </c>
      <c r="R3344" s="1">
        <v>40829</v>
      </c>
      <c r="S3344" t="s">
        <v>29</v>
      </c>
      <c r="T3344" t="str">
        <f t="shared" si="260"/>
        <v>Grade A</v>
      </c>
      <c r="U3344">
        <f t="shared" si="261"/>
        <v>4</v>
      </c>
      <c r="V3344" t="str">
        <f t="shared" si="262"/>
        <v>Senior</v>
      </c>
      <c r="W3344" t="str">
        <f t="shared" si="263"/>
        <v>Low Risk</v>
      </c>
      <c r="X3344" t="str">
        <f t="shared" si="264"/>
        <v>Competitive</v>
      </c>
    </row>
    <row r="3345" spans="1:24" x14ac:dyDescent="0.3">
      <c r="A3345" t="s">
        <v>3413</v>
      </c>
      <c r="B3345" t="s">
        <v>20</v>
      </c>
      <c r="C3345">
        <v>50</v>
      </c>
      <c r="D3345" t="s">
        <v>88</v>
      </c>
      <c r="E3345" t="s">
        <v>40</v>
      </c>
      <c r="F3345" t="s">
        <v>65</v>
      </c>
      <c r="G3345" t="s">
        <v>42</v>
      </c>
      <c r="H3345" t="s">
        <v>76</v>
      </c>
      <c r="I3345" t="s">
        <v>50</v>
      </c>
      <c r="J3345" t="s">
        <v>44</v>
      </c>
      <c r="K3345">
        <v>5</v>
      </c>
      <c r="L3345">
        <v>112507</v>
      </c>
      <c r="M3345" t="s">
        <v>28</v>
      </c>
      <c r="N3345">
        <v>3</v>
      </c>
      <c r="O3345">
        <v>1</v>
      </c>
      <c r="P3345">
        <v>22</v>
      </c>
      <c r="Q3345">
        <v>1</v>
      </c>
      <c r="R3345" s="1">
        <v>43189</v>
      </c>
      <c r="S3345" t="s">
        <v>37</v>
      </c>
      <c r="T3345" t="str">
        <f t="shared" si="260"/>
        <v>Grade A</v>
      </c>
      <c r="U3345">
        <f t="shared" si="261"/>
        <v>3</v>
      </c>
      <c r="V3345" t="str">
        <f t="shared" si="262"/>
        <v>Junior</v>
      </c>
      <c r="W3345" t="str">
        <f t="shared" si="263"/>
        <v>Already Left</v>
      </c>
      <c r="X3345" t="str">
        <f t="shared" si="264"/>
        <v>Competitive</v>
      </c>
    </row>
    <row r="3346" spans="1:24" x14ac:dyDescent="0.3">
      <c r="A3346" t="s">
        <v>3414</v>
      </c>
      <c r="B3346" t="s">
        <v>39</v>
      </c>
      <c r="C3346">
        <v>41</v>
      </c>
      <c r="D3346" t="s">
        <v>47</v>
      </c>
      <c r="E3346" t="s">
        <v>22</v>
      </c>
      <c r="F3346" t="s">
        <v>41</v>
      </c>
      <c r="G3346" t="s">
        <v>33</v>
      </c>
      <c r="H3346" t="s">
        <v>34</v>
      </c>
      <c r="I3346" t="s">
        <v>54</v>
      </c>
      <c r="J3346" t="s">
        <v>27</v>
      </c>
      <c r="K3346">
        <v>9</v>
      </c>
      <c r="L3346">
        <v>70039</v>
      </c>
      <c r="M3346" t="s">
        <v>28</v>
      </c>
      <c r="N3346">
        <v>1</v>
      </c>
      <c r="O3346">
        <v>2</v>
      </c>
      <c r="P3346">
        <v>45</v>
      </c>
      <c r="Q3346">
        <v>2</v>
      </c>
      <c r="R3346" s="1">
        <v>41865</v>
      </c>
      <c r="S3346" t="s">
        <v>29</v>
      </c>
      <c r="T3346" t="str">
        <f t="shared" si="260"/>
        <v>Grade B</v>
      </c>
      <c r="U3346">
        <f t="shared" si="261"/>
        <v>3</v>
      </c>
      <c r="V3346" t="str">
        <f t="shared" si="262"/>
        <v>Mid Level</v>
      </c>
      <c r="W3346" t="str">
        <f t="shared" si="263"/>
        <v>Medium Risk</v>
      </c>
      <c r="X3346" t="str">
        <f t="shared" si="264"/>
        <v>Competitive</v>
      </c>
    </row>
    <row r="3347" spans="1:24" x14ac:dyDescent="0.3">
      <c r="A3347" t="s">
        <v>3415</v>
      </c>
      <c r="B3347" t="s">
        <v>39</v>
      </c>
      <c r="C3347">
        <v>41</v>
      </c>
      <c r="D3347" t="s">
        <v>57</v>
      </c>
      <c r="E3347" t="s">
        <v>40</v>
      </c>
      <c r="F3347" t="s">
        <v>53</v>
      </c>
      <c r="G3347" t="s">
        <v>42</v>
      </c>
      <c r="H3347" t="s">
        <v>34</v>
      </c>
      <c r="I3347" t="s">
        <v>59</v>
      </c>
      <c r="J3347" t="s">
        <v>60</v>
      </c>
      <c r="K3347">
        <v>15</v>
      </c>
      <c r="L3347">
        <v>115545</v>
      </c>
      <c r="M3347" t="s">
        <v>51</v>
      </c>
      <c r="N3347">
        <v>4</v>
      </c>
      <c r="O3347">
        <v>2</v>
      </c>
      <c r="P3347">
        <v>55</v>
      </c>
      <c r="Q3347">
        <v>3</v>
      </c>
      <c r="R3347" s="1">
        <v>39618</v>
      </c>
      <c r="S3347" t="s">
        <v>29</v>
      </c>
      <c r="T3347" t="str">
        <f t="shared" si="260"/>
        <v>Grade A</v>
      </c>
      <c r="U3347">
        <f t="shared" si="261"/>
        <v>4</v>
      </c>
      <c r="V3347" t="str">
        <f t="shared" si="262"/>
        <v>Senior</v>
      </c>
      <c r="W3347" t="str">
        <f t="shared" si="263"/>
        <v>Low Risk</v>
      </c>
      <c r="X3347" t="str">
        <f t="shared" si="264"/>
        <v>Competitive</v>
      </c>
    </row>
    <row r="3348" spans="1:24" x14ac:dyDescent="0.3">
      <c r="A3348" t="s">
        <v>3416</v>
      </c>
      <c r="B3348" t="s">
        <v>39</v>
      </c>
      <c r="C3348">
        <v>37</v>
      </c>
      <c r="D3348" t="s">
        <v>31</v>
      </c>
      <c r="E3348" t="s">
        <v>48</v>
      </c>
      <c r="F3348" t="s">
        <v>32</v>
      </c>
      <c r="G3348" t="s">
        <v>49</v>
      </c>
      <c r="H3348" t="s">
        <v>76</v>
      </c>
      <c r="I3348" t="s">
        <v>68</v>
      </c>
      <c r="J3348" t="s">
        <v>60</v>
      </c>
      <c r="K3348">
        <v>8</v>
      </c>
      <c r="L3348">
        <v>63621</v>
      </c>
      <c r="M3348" t="s">
        <v>28</v>
      </c>
      <c r="N3348">
        <v>3</v>
      </c>
      <c r="O3348">
        <v>3</v>
      </c>
      <c r="P3348">
        <v>60</v>
      </c>
      <c r="Q3348">
        <v>2</v>
      </c>
      <c r="R3348" s="1">
        <v>42116</v>
      </c>
      <c r="S3348" t="s">
        <v>37</v>
      </c>
      <c r="T3348" t="str">
        <f t="shared" si="260"/>
        <v>Grade B</v>
      </c>
      <c r="U3348">
        <f t="shared" si="261"/>
        <v>3</v>
      </c>
      <c r="V3348" t="str">
        <f t="shared" si="262"/>
        <v>Mid Level</v>
      </c>
      <c r="W3348" t="str">
        <f t="shared" si="263"/>
        <v>Already Left</v>
      </c>
      <c r="X3348" t="str">
        <f t="shared" si="264"/>
        <v>Competitive</v>
      </c>
    </row>
    <row r="3349" spans="1:24" x14ac:dyDescent="0.3">
      <c r="A3349" t="s">
        <v>3417</v>
      </c>
      <c r="B3349" t="s">
        <v>20</v>
      </c>
      <c r="C3349">
        <v>28</v>
      </c>
      <c r="D3349" t="s">
        <v>57</v>
      </c>
      <c r="E3349" t="s">
        <v>48</v>
      </c>
      <c r="F3349" t="s">
        <v>53</v>
      </c>
      <c r="G3349" t="s">
        <v>66</v>
      </c>
      <c r="H3349" t="s">
        <v>83</v>
      </c>
      <c r="I3349" t="s">
        <v>59</v>
      </c>
      <c r="J3349" t="s">
        <v>60</v>
      </c>
      <c r="K3349">
        <v>14</v>
      </c>
      <c r="L3349">
        <v>62696</v>
      </c>
      <c r="M3349" t="s">
        <v>51</v>
      </c>
      <c r="N3349">
        <v>2</v>
      </c>
      <c r="O3349">
        <v>1</v>
      </c>
      <c r="P3349">
        <v>70</v>
      </c>
      <c r="Q3349">
        <v>0</v>
      </c>
      <c r="R3349" s="1">
        <v>39984</v>
      </c>
      <c r="S3349" t="s">
        <v>29</v>
      </c>
      <c r="T3349" t="str">
        <f t="shared" si="260"/>
        <v>Grade B</v>
      </c>
      <c r="U3349">
        <f t="shared" si="261"/>
        <v>4</v>
      </c>
      <c r="V3349" t="str">
        <f t="shared" si="262"/>
        <v>Senior</v>
      </c>
      <c r="W3349" t="str">
        <f t="shared" si="263"/>
        <v>Low Risk</v>
      </c>
      <c r="X3349" t="str">
        <f t="shared" si="264"/>
        <v>Fair</v>
      </c>
    </row>
    <row r="3350" spans="1:24" x14ac:dyDescent="0.3">
      <c r="A3350" t="s">
        <v>3418</v>
      </c>
      <c r="B3350" t="s">
        <v>39</v>
      </c>
      <c r="C3350">
        <v>45</v>
      </c>
      <c r="D3350" t="s">
        <v>21</v>
      </c>
      <c r="E3350" t="s">
        <v>22</v>
      </c>
      <c r="F3350" t="s">
        <v>41</v>
      </c>
      <c r="G3350" t="s">
        <v>33</v>
      </c>
      <c r="H3350" t="s">
        <v>34</v>
      </c>
      <c r="I3350" t="s">
        <v>54</v>
      </c>
      <c r="J3350" t="s">
        <v>27</v>
      </c>
      <c r="K3350">
        <v>7</v>
      </c>
      <c r="L3350">
        <v>77741</v>
      </c>
      <c r="M3350" t="s">
        <v>45</v>
      </c>
      <c r="N3350">
        <v>1</v>
      </c>
      <c r="O3350">
        <v>2</v>
      </c>
      <c r="P3350">
        <v>54</v>
      </c>
      <c r="Q3350">
        <v>3</v>
      </c>
      <c r="R3350" s="1">
        <v>42499</v>
      </c>
      <c r="S3350" t="s">
        <v>37</v>
      </c>
      <c r="T3350" t="str">
        <f t="shared" si="260"/>
        <v>Grade B</v>
      </c>
      <c r="U3350">
        <f t="shared" si="261"/>
        <v>2</v>
      </c>
      <c r="V3350" t="str">
        <f t="shared" si="262"/>
        <v>Mid Level</v>
      </c>
      <c r="W3350" t="str">
        <f t="shared" si="263"/>
        <v>Already Left</v>
      </c>
      <c r="X3350" t="str">
        <f t="shared" si="264"/>
        <v>Fair</v>
      </c>
    </row>
    <row r="3351" spans="1:24" x14ac:dyDescent="0.3">
      <c r="A3351" t="s">
        <v>3419</v>
      </c>
      <c r="B3351" t="s">
        <v>39</v>
      </c>
      <c r="C3351">
        <v>44</v>
      </c>
      <c r="D3351" t="s">
        <v>57</v>
      </c>
      <c r="E3351" t="s">
        <v>40</v>
      </c>
      <c r="F3351" t="s">
        <v>65</v>
      </c>
      <c r="G3351" t="s">
        <v>79</v>
      </c>
      <c r="H3351" t="s">
        <v>76</v>
      </c>
      <c r="I3351" t="s">
        <v>68</v>
      </c>
      <c r="J3351" t="s">
        <v>60</v>
      </c>
      <c r="K3351">
        <v>3</v>
      </c>
      <c r="L3351">
        <v>37859</v>
      </c>
      <c r="M3351" t="s">
        <v>36</v>
      </c>
      <c r="N3351">
        <v>3</v>
      </c>
      <c r="O3351">
        <v>3</v>
      </c>
      <c r="P3351">
        <v>12</v>
      </c>
      <c r="Q3351">
        <v>0</v>
      </c>
      <c r="R3351" s="1">
        <v>44125</v>
      </c>
      <c r="S3351" t="s">
        <v>37</v>
      </c>
      <c r="T3351" t="str">
        <f t="shared" si="260"/>
        <v>Grade C</v>
      </c>
      <c r="U3351">
        <f t="shared" si="261"/>
        <v>1</v>
      </c>
      <c r="V3351" t="str">
        <f t="shared" si="262"/>
        <v>Junior</v>
      </c>
      <c r="W3351" t="str">
        <f t="shared" si="263"/>
        <v>Already Left</v>
      </c>
      <c r="X3351" t="str">
        <f t="shared" si="264"/>
        <v>Fair</v>
      </c>
    </row>
    <row r="3352" spans="1:24" x14ac:dyDescent="0.3">
      <c r="A3352" t="s">
        <v>3420</v>
      </c>
      <c r="B3352" t="s">
        <v>39</v>
      </c>
      <c r="C3352">
        <v>24</v>
      </c>
      <c r="D3352" t="s">
        <v>31</v>
      </c>
      <c r="E3352" t="s">
        <v>40</v>
      </c>
      <c r="F3352" t="s">
        <v>62</v>
      </c>
      <c r="G3352" t="s">
        <v>66</v>
      </c>
      <c r="H3352" t="s">
        <v>25</v>
      </c>
      <c r="I3352" t="s">
        <v>50</v>
      </c>
      <c r="J3352" t="s">
        <v>44</v>
      </c>
      <c r="K3352">
        <v>2</v>
      </c>
      <c r="L3352">
        <v>42973</v>
      </c>
      <c r="M3352" t="s">
        <v>45</v>
      </c>
      <c r="N3352">
        <v>4</v>
      </c>
      <c r="O3352">
        <v>2</v>
      </c>
      <c r="P3352">
        <v>73</v>
      </c>
      <c r="Q3352">
        <v>2</v>
      </c>
      <c r="R3352" s="1">
        <v>44214</v>
      </c>
      <c r="S3352" t="s">
        <v>29</v>
      </c>
      <c r="T3352" t="str">
        <f t="shared" si="260"/>
        <v>Grade C</v>
      </c>
      <c r="U3352">
        <f t="shared" si="261"/>
        <v>2</v>
      </c>
      <c r="V3352" t="str">
        <f t="shared" si="262"/>
        <v>New Joiner</v>
      </c>
      <c r="W3352" t="str">
        <f t="shared" si="263"/>
        <v>Medium Risk</v>
      </c>
      <c r="X3352" t="str">
        <f t="shared" si="264"/>
        <v>Fair</v>
      </c>
    </row>
    <row r="3353" spans="1:24" x14ac:dyDescent="0.3">
      <c r="A3353" t="s">
        <v>3421</v>
      </c>
      <c r="B3353" t="s">
        <v>39</v>
      </c>
      <c r="C3353">
        <v>35</v>
      </c>
      <c r="D3353" t="s">
        <v>88</v>
      </c>
      <c r="E3353" t="s">
        <v>40</v>
      </c>
      <c r="F3353" t="s">
        <v>53</v>
      </c>
      <c r="G3353" t="s">
        <v>79</v>
      </c>
      <c r="H3353" t="s">
        <v>67</v>
      </c>
      <c r="I3353" t="s">
        <v>43</v>
      </c>
      <c r="J3353" t="s">
        <v>44</v>
      </c>
      <c r="K3353">
        <v>3</v>
      </c>
      <c r="L3353">
        <v>50778</v>
      </c>
      <c r="M3353" t="s">
        <v>51</v>
      </c>
      <c r="N3353">
        <v>1</v>
      </c>
      <c r="O3353">
        <v>3</v>
      </c>
      <c r="P3353">
        <v>34</v>
      </c>
      <c r="Q3353">
        <v>3</v>
      </c>
      <c r="R3353" s="1">
        <v>43921</v>
      </c>
      <c r="S3353" t="s">
        <v>29</v>
      </c>
      <c r="T3353" t="str">
        <f t="shared" si="260"/>
        <v>Grade B</v>
      </c>
      <c r="U3353">
        <f t="shared" si="261"/>
        <v>4</v>
      </c>
      <c r="V3353" t="str">
        <f t="shared" si="262"/>
        <v>Junior</v>
      </c>
      <c r="W3353" t="str">
        <f t="shared" si="263"/>
        <v>Low Risk</v>
      </c>
      <c r="X3353" t="str">
        <f t="shared" si="264"/>
        <v>Fair</v>
      </c>
    </row>
    <row r="3354" spans="1:24" x14ac:dyDescent="0.3">
      <c r="A3354" t="s">
        <v>3422</v>
      </c>
      <c r="B3354" t="s">
        <v>39</v>
      </c>
      <c r="C3354">
        <v>31</v>
      </c>
      <c r="D3354" t="s">
        <v>31</v>
      </c>
      <c r="E3354" t="s">
        <v>40</v>
      </c>
      <c r="F3354" t="s">
        <v>41</v>
      </c>
      <c r="G3354" t="s">
        <v>63</v>
      </c>
      <c r="H3354" t="s">
        <v>67</v>
      </c>
      <c r="I3354" t="s">
        <v>50</v>
      </c>
      <c r="J3354" t="s">
        <v>44</v>
      </c>
      <c r="K3354">
        <v>12</v>
      </c>
      <c r="L3354">
        <v>59946</v>
      </c>
      <c r="M3354" t="s">
        <v>36</v>
      </c>
      <c r="N3354">
        <v>2</v>
      </c>
      <c r="O3354">
        <v>2</v>
      </c>
      <c r="P3354">
        <v>39</v>
      </c>
      <c r="Q3354">
        <v>3</v>
      </c>
      <c r="R3354" s="1">
        <v>40910</v>
      </c>
      <c r="S3354" t="s">
        <v>37</v>
      </c>
      <c r="T3354" t="str">
        <f t="shared" si="260"/>
        <v>Grade B</v>
      </c>
      <c r="U3354">
        <f t="shared" si="261"/>
        <v>1</v>
      </c>
      <c r="V3354" t="str">
        <f t="shared" si="262"/>
        <v>Senior</v>
      </c>
      <c r="W3354" t="str">
        <f t="shared" si="263"/>
        <v>Already Left</v>
      </c>
      <c r="X3354" t="str">
        <f t="shared" si="264"/>
        <v>Fair</v>
      </c>
    </row>
    <row r="3355" spans="1:24" x14ac:dyDescent="0.3">
      <c r="A3355" t="s">
        <v>3423</v>
      </c>
      <c r="B3355" t="s">
        <v>39</v>
      </c>
      <c r="C3355">
        <v>33</v>
      </c>
      <c r="D3355" t="s">
        <v>31</v>
      </c>
      <c r="E3355" t="s">
        <v>22</v>
      </c>
      <c r="F3355" t="s">
        <v>65</v>
      </c>
      <c r="G3355" t="s">
        <v>42</v>
      </c>
      <c r="H3355" t="s">
        <v>76</v>
      </c>
      <c r="I3355" t="s">
        <v>96</v>
      </c>
      <c r="J3355" t="s">
        <v>44</v>
      </c>
      <c r="K3355">
        <v>8</v>
      </c>
      <c r="L3355">
        <v>113317</v>
      </c>
      <c r="M3355" t="s">
        <v>36</v>
      </c>
      <c r="N3355">
        <v>3</v>
      </c>
      <c r="O3355">
        <v>3</v>
      </c>
      <c r="P3355">
        <v>29</v>
      </c>
      <c r="Q3355">
        <v>3</v>
      </c>
      <c r="R3355" s="1">
        <v>42206</v>
      </c>
      <c r="S3355" t="s">
        <v>29</v>
      </c>
      <c r="T3355" t="str">
        <f t="shared" si="260"/>
        <v>Grade A</v>
      </c>
      <c r="U3355">
        <f t="shared" si="261"/>
        <v>1</v>
      </c>
      <c r="V3355" t="str">
        <f t="shared" si="262"/>
        <v>Mid Level</v>
      </c>
      <c r="W3355" t="str">
        <f t="shared" si="263"/>
        <v>Medium Risk</v>
      </c>
      <c r="X3355" t="str">
        <f t="shared" si="264"/>
        <v>Overpaid</v>
      </c>
    </row>
    <row r="3356" spans="1:24" x14ac:dyDescent="0.3">
      <c r="A3356" t="s">
        <v>3424</v>
      </c>
      <c r="B3356" t="s">
        <v>20</v>
      </c>
      <c r="C3356">
        <v>50</v>
      </c>
      <c r="D3356" t="s">
        <v>88</v>
      </c>
      <c r="E3356" t="s">
        <v>48</v>
      </c>
      <c r="F3356" t="s">
        <v>23</v>
      </c>
      <c r="G3356" t="s">
        <v>33</v>
      </c>
      <c r="H3356" t="s">
        <v>76</v>
      </c>
      <c r="I3356" t="s">
        <v>35</v>
      </c>
      <c r="J3356" t="s">
        <v>27</v>
      </c>
      <c r="K3356">
        <v>6</v>
      </c>
      <c r="L3356">
        <v>71364</v>
      </c>
      <c r="M3356" t="s">
        <v>36</v>
      </c>
      <c r="N3356">
        <v>4</v>
      </c>
      <c r="O3356">
        <v>3</v>
      </c>
      <c r="P3356">
        <v>56</v>
      </c>
      <c r="Q3356">
        <v>0</v>
      </c>
      <c r="R3356" s="1">
        <v>42831</v>
      </c>
      <c r="S3356" t="s">
        <v>37</v>
      </c>
      <c r="T3356" t="str">
        <f t="shared" si="260"/>
        <v>Grade B</v>
      </c>
      <c r="U3356">
        <f t="shared" si="261"/>
        <v>1</v>
      </c>
      <c r="V3356" t="str">
        <f t="shared" si="262"/>
        <v>Mid Level</v>
      </c>
      <c r="W3356" t="str">
        <f t="shared" si="263"/>
        <v>Already Left</v>
      </c>
      <c r="X3356" t="str">
        <f t="shared" si="264"/>
        <v>Fair</v>
      </c>
    </row>
    <row r="3357" spans="1:24" x14ac:dyDescent="0.3">
      <c r="A3357" t="s">
        <v>3425</v>
      </c>
      <c r="B3357" t="s">
        <v>39</v>
      </c>
      <c r="C3357">
        <v>45</v>
      </c>
      <c r="D3357" t="s">
        <v>21</v>
      </c>
      <c r="E3357" t="s">
        <v>48</v>
      </c>
      <c r="F3357" t="s">
        <v>53</v>
      </c>
      <c r="G3357" t="s">
        <v>49</v>
      </c>
      <c r="H3357" t="s">
        <v>25</v>
      </c>
      <c r="I3357" t="s">
        <v>54</v>
      </c>
      <c r="J3357" t="s">
        <v>27</v>
      </c>
      <c r="K3357">
        <v>8</v>
      </c>
      <c r="L3357">
        <v>64695</v>
      </c>
      <c r="M3357" t="s">
        <v>28</v>
      </c>
      <c r="N3357">
        <v>3</v>
      </c>
      <c r="O3357">
        <v>2</v>
      </c>
      <c r="P3357">
        <v>33</v>
      </c>
      <c r="Q3357">
        <v>3</v>
      </c>
      <c r="R3357" s="1">
        <v>42097</v>
      </c>
      <c r="S3357" t="s">
        <v>29</v>
      </c>
      <c r="T3357" t="str">
        <f t="shared" si="260"/>
        <v>Grade B</v>
      </c>
      <c r="U3357">
        <f t="shared" si="261"/>
        <v>3</v>
      </c>
      <c r="V3357" t="str">
        <f t="shared" si="262"/>
        <v>Mid Level</v>
      </c>
      <c r="W3357" t="str">
        <f t="shared" si="263"/>
        <v>Medium Risk</v>
      </c>
      <c r="X3357" t="str">
        <f t="shared" si="264"/>
        <v>Competitive</v>
      </c>
    </row>
    <row r="3358" spans="1:24" x14ac:dyDescent="0.3">
      <c r="A3358" t="s">
        <v>3426</v>
      </c>
      <c r="B3358" t="s">
        <v>39</v>
      </c>
      <c r="C3358">
        <v>38</v>
      </c>
      <c r="D3358" t="s">
        <v>21</v>
      </c>
      <c r="E3358" t="s">
        <v>48</v>
      </c>
      <c r="F3358" t="s">
        <v>65</v>
      </c>
      <c r="G3358" t="s">
        <v>33</v>
      </c>
      <c r="H3358" t="s">
        <v>83</v>
      </c>
      <c r="I3358" t="s">
        <v>59</v>
      </c>
      <c r="J3358" t="s">
        <v>60</v>
      </c>
      <c r="K3358">
        <v>9</v>
      </c>
      <c r="L3358">
        <v>83746</v>
      </c>
      <c r="M3358" t="s">
        <v>51</v>
      </c>
      <c r="N3358">
        <v>3</v>
      </c>
      <c r="O3358">
        <v>4</v>
      </c>
      <c r="P3358">
        <v>72</v>
      </c>
      <c r="Q3358">
        <v>3</v>
      </c>
      <c r="R3358" s="1">
        <v>41806</v>
      </c>
      <c r="S3358" t="s">
        <v>29</v>
      </c>
      <c r="T3358" t="str">
        <f t="shared" si="260"/>
        <v>Grade A</v>
      </c>
      <c r="U3358">
        <f t="shared" si="261"/>
        <v>4</v>
      </c>
      <c r="V3358" t="str">
        <f t="shared" si="262"/>
        <v>Mid Level</v>
      </c>
      <c r="W3358" t="str">
        <f t="shared" si="263"/>
        <v>Low Risk</v>
      </c>
      <c r="X3358" t="str">
        <f t="shared" si="264"/>
        <v>Competitive</v>
      </c>
    </row>
    <row r="3359" spans="1:24" x14ac:dyDescent="0.3">
      <c r="A3359" t="s">
        <v>3427</v>
      </c>
      <c r="B3359" t="s">
        <v>39</v>
      </c>
      <c r="C3359">
        <v>55</v>
      </c>
      <c r="D3359" t="s">
        <v>88</v>
      </c>
      <c r="E3359" t="s">
        <v>48</v>
      </c>
      <c r="F3359" t="s">
        <v>78</v>
      </c>
      <c r="G3359" t="s">
        <v>33</v>
      </c>
      <c r="H3359" t="s">
        <v>76</v>
      </c>
      <c r="I3359" t="s">
        <v>80</v>
      </c>
      <c r="J3359" t="s">
        <v>60</v>
      </c>
      <c r="K3359">
        <v>10</v>
      </c>
      <c r="L3359">
        <v>72534</v>
      </c>
      <c r="M3359" t="s">
        <v>28</v>
      </c>
      <c r="N3359">
        <v>2</v>
      </c>
      <c r="O3359">
        <v>4</v>
      </c>
      <c r="P3359">
        <v>72</v>
      </c>
      <c r="Q3359">
        <v>3</v>
      </c>
      <c r="R3359" s="1">
        <v>41544</v>
      </c>
      <c r="S3359" t="s">
        <v>37</v>
      </c>
      <c r="T3359" t="str">
        <f t="shared" si="260"/>
        <v>Grade B</v>
      </c>
      <c r="U3359">
        <f t="shared" si="261"/>
        <v>3</v>
      </c>
      <c r="V3359" t="str">
        <f t="shared" si="262"/>
        <v>Mid Level</v>
      </c>
      <c r="W3359" t="str">
        <f t="shared" si="263"/>
        <v>Already Left</v>
      </c>
      <c r="X3359" t="str">
        <f t="shared" si="264"/>
        <v>Competitive</v>
      </c>
    </row>
    <row r="3360" spans="1:24" x14ac:dyDescent="0.3">
      <c r="A3360" t="s">
        <v>3428</v>
      </c>
      <c r="B3360" t="s">
        <v>39</v>
      </c>
      <c r="C3360">
        <v>42</v>
      </c>
      <c r="D3360" t="s">
        <v>57</v>
      </c>
      <c r="E3360" t="s">
        <v>40</v>
      </c>
      <c r="F3360" t="s">
        <v>75</v>
      </c>
      <c r="G3360" t="s">
        <v>42</v>
      </c>
      <c r="H3360" t="s">
        <v>34</v>
      </c>
      <c r="I3360" t="s">
        <v>50</v>
      </c>
      <c r="J3360" t="s">
        <v>44</v>
      </c>
      <c r="K3360">
        <v>8</v>
      </c>
      <c r="L3360">
        <v>106725</v>
      </c>
      <c r="M3360" t="s">
        <v>36</v>
      </c>
      <c r="N3360">
        <v>3</v>
      </c>
      <c r="O3360">
        <v>4</v>
      </c>
      <c r="P3360">
        <v>32</v>
      </c>
      <c r="Q3360">
        <v>1</v>
      </c>
      <c r="R3360" s="1">
        <v>42021</v>
      </c>
      <c r="S3360" t="s">
        <v>37</v>
      </c>
      <c r="T3360" t="str">
        <f t="shared" si="260"/>
        <v>Grade A</v>
      </c>
      <c r="U3360">
        <f t="shared" si="261"/>
        <v>1</v>
      </c>
      <c r="V3360" t="str">
        <f t="shared" si="262"/>
        <v>Mid Level</v>
      </c>
      <c r="W3360" t="str">
        <f t="shared" si="263"/>
        <v>Already Left</v>
      </c>
      <c r="X3360" t="str">
        <f t="shared" si="264"/>
        <v>Overpaid</v>
      </c>
    </row>
    <row r="3361" spans="1:24" x14ac:dyDescent="0.3">
      <c r="A3361" t="s">
        <v>3429</v>
      </c>
      <c r="B3361" t="s">
        <v>20</v>
      </c>
      <c r="C3361">
        <v>42</v>
      </c>
      <c r="D3361" t="s">
        <v>21</v>
      </c>
      <c r="E3361" t="s">
        <v>48</v>
      </c>
      <c r="F3361" t="s">
        <v>75</v>
      </c>
      <c r="G3361" t="s">
        <v>63</v>
      </c>
      <c r="H3361" t="s">
        <v>67</v>
      </c>
      <c r="I3361" t="s">
        <v>26</v>
      </c>
      <c r="J3361" t="s">
        <v>27</v>
      </c>
      <c r="K3361">
        <v>13</v>
      </c>
      <c r="L3361">
        <v>71828</v>
      </c>
      <c r="M3361" t="s">
        <v>45</v>
      </c>
      <c r="N3361">
        <v>2</v>
      </c>
      <c r="O3361">
        <v>1</v>
      </c>
      <c r="P3361">
        <v>26</v>
      </c>
      <c r="Q3361">
        <v>0</v>
      </c>
      <c r="R3361" s="1">
        <v>40275</v>
      </c>
      <c r="S3361" t="s">
        <v>37</v>
      </c>
      <c r="T3361" t="str">
        <f t="shared" si="260"/>
        <v>Grade B</v>
      </c>
      <c r="U3361">
        <f t="shared" si="261"/>
        <v>2</v>
      </c>
      <c r="V3361" t="str">
        <f t="shared" si="262"/>
        <v>Senior</v>
      </c>
      <c r="W3361" t="str">
        <f t="shared" si="263"/>
        <v>Already Left</v>
      </c>
      <c r="X3361" t="str">
        <f t="shared" si="264"/>
        <v>Fair</v>
      </c>
    </row>
    <row r="3362" spans="1:24" x14ac:dyDescent="0.3">
      <c r="A3362" t="s">
        <v>3430</v>
      </c>
      <c r="B3362" t="s">
        <v>20</v>
      </c>
      <c r="C3362">
        <v>42</v>
      </c>
      <c r="D3362" t="s">
        <v>21</v>
      </c>
      <c r="E3362" t="s">
        <v>40</v>
      </c>
      <c r="F3362" t="s">
        <v>41</v>
      </c>
      <c r="G3362" t="s">
        <v>33</v>
      </c>
      <c r="H3362" t="s">
        <v>67</v>
      </c>
      <c r="I3362" t="s">
        <v>80</v>
      </c>
      <c r="J3362" t="s">
        <v>60</v>
      </c>
      <c r="K3362">
        <v>11</v>
      </c>
      <c r="L3362">
        <v>73536</v>
      </c>
      <c r="M3362" t="s">
        <v>28</v>
      </c>
      <c r="N3362">
        <v>3</v>
      </c>
      <c r="O3362">
        <v>4</v>
      </c>
      <c r="P3362">
        <v>62</v>
      </c>
      <c r="Q3362">
        <v>0</v>
      </c>
      <c r="R3362" s="1">
        <v>41057</v>
      </c>
      <c r="S3362" t="s">
        <v>29</v>
      </c>
      <c r="T3362" t="str">
        <f t="shared" si="260"/>
        <v>Grade B</v>
      </c>
      <c r="U3362">
        <f t="shared" si="261"/>
        <v>3</v>
      </c>
      <c r="V3362" t="str">
        <f t="shared" si="262"/>
        <v>Senior</v>
      </c>
      <c r="W3362" t="str">
        <f t="shared" si="263"/>
        <v>Medium Risk</v>
      </c>
      <c r="X3362" t="str">
        <f t="shared" si="264"/>
        <v>Competitive</v>
      </c>
    </row>
    <row r="3363" spans="1:24" x14ac:dyDescent="0.3">
      <c r="A3363" t="s">
        <v>3431</v>
      </c>
      <c r="B3363" t="s">
        <v>39</v>
      </c>
      <c r="C3363">
        <v>43</v>
      </c>
      <c r="D3363" t="s">
        <v>31</v>
      </c>
      <c r="E3363" t="s">
        <v>40</v>
      </c>
      <c r="F3363" t="s">
        <v>78</v>
      </c>
      <c r="G3363" t="s">
        <v>49</v>
      </c>
      <c r="H3363" t="s">
        <v>83</v>
      </c>
      <c r="I3363" t="s">
        <v>26</v>
      </c>
      <c r="J3363" t="s">
        <v>27</v>
      </c>
      <c r="K3363">
        <v>10</v>
      </c>
      <c r="L3363">
        <v>73591</v>
      </c>
      <c r="M3363" t="s">
        <v>45</v>
      </c>
      <c r="N3363">
        <v>2</v>
      </c>
      <c r="O3363">
        <v>2</v>
      </c>
      <c r="P3363">
        <v>59</v>
      </c>
      <c r="Q3363">
        <v>2</v>
      </c>
      <c r="R3363" s="1">
        <v>41624</v>
      </c>
      <c r="S3363" t="s">
        <v>29</v>
      </c>
      <c r="T3363" t="str">
        <f t="shared" si="260"/>
        <v>Grade B</v>
      </c>
      <c r="U3363">
        <f t="shared" si="261"/>
        <v>2</v>
      </c>
      <c r="V3363" t="str">
        <f t="shared" si="262"/>
        <v>Mid Level</v>
      </c>
      <c r="W3363" t="str">
        <f t="shared" si="263"/>
        <v>Medium Risk</v>
      </c>
      <c r="X3363" t="str">
        <f t="shared" si="264"/>
        <v>Fair</v>
      </c>
    </row>
    <row r="3364" spans="1:24" x14ac:dyDescent="0.3">
      <c r="A3364" t="s">
        <v>3432</v>
      </c>
      <c r="B3364" t="s">
        <v>20</v>
      </c>
      <c r="C3364">
        <v>53</v>
      </c>
      <c r="D3364" t="s">
        <v>88</v>
      </c>
      <c r="E3364" t="s">
        <v>48</v>
      </c>
      <c r="F3364" t="s">
        <v>53</v>
      </c>
      <c r="G3364" t="s">
        <v>66</v>
      </c>
      <c r="H3364" t="s">
        <v>25</v>
      </c>
      <c r="I3364" t="s">
        <v>26</v>
      </c>
      <c r="J3364" t="s">
        <v>27</v>
      </c>
      <c r="K3364">
        <v>15</v>
      </c>
      <c r="L3364">
        <v>65972</v>
      </c>
      <c r="M3364" t="s">
        <v>36</v>
      </c>
      <c r="N3364">
        <v>2</v>
      </c>
      <c r="O3364">
        <v>3</v>
      </c>
      <c r="P3364">
        <v>24</v>
      </c>
      <c r="Q3364">
        <v>3</v>
      </c>
      <c r="R3364" s="1">
        <v>39481</v>
      </c>
      <c r="S3364" t="s">
        <v>29</v>
      </c>
      <c r="T3364" t="str">
        <f t="shared" si="260"/>
        <v>Grade B</v>
      </c>
      <c r="U3364">
        <f t="shared" si="261"/>
        <v>1</v>
      </c>
      <c r="V3364" t="str">
        <f t="shared" si="262"/>
        <v>Senior</v>
      </c>
      <c r="W3364" t="str">
        <f t="shared" si="263"/>
        <v>Medium Risk</v>
      </c>
      <c r="X3364" t="str">
        <f t="shared" si="264"/>
        <v>Fair</v>
      </c>
    </row>
    <row r="3365" spans="1:24" x14ac:dyDescent="0.3">
      <c r="A3365" t="s">
        <v>3433</v>
      </c>
      <c r="B3365" t="s">
        <v>39</v>
      </c>
      <c r="C3365">
        <v>35</v>
      </c>
      <c r="D3365" t="s">
        <v>21</v>
      </c>
      <c r="E3365" t="s">
        <v>40</v>
      </c>
      <c r="F3365" t="s">
        <v>32</v>
      </c>
      <c r="G3365" t="s">
        <v>24</v>
      </c>
      <c r="H3365" t="s">
        <v>67</v>
      </c>
      <c r="I3365" t="s">
        <v>35</v>
      </c>
      <c r="J3365" t="s">
        <v>27</v>
      </c>
      <c r="K3365">
        <v>14</v>
      </c>
      <c r="L3365">
        <v>98213</v>
      </c>
      <c r="M3365" t="s">
        <v>51</v>
      </c>
      <c r="N3365">
        <v>1</v>
      </c>
      <c r="O3365">
        <v>1</v>
      </c>
      <c r="P3365">
        <v>28</v>
      </c>
      <c r="Q3365">
        <v>0</v>
      </c>
      <c r="R3365" s="1">
        <v>40119</v>
      </c>
      <c r="S3365" t="s">
        <v>29</v>
      </c>
      <c r="T3365" t="str">
        <f t="shared" si="260"/>
        <v>Grade A</v>
      </c>
      <c r="U3365">
        <f t="shared" si="261"/>
        <v>4</v>
      </c>
      <c r="V3365" t="str">
        <f t="shared" si="262"/>
        <v>Senior</v>
      </c>
      <c r="W3365" t="str">
        <f t="shared" si="263"/>
        <v>Low Risk</v>
      </c>
      <c r="X3365" t="str">
        <f t="shared" si="264"/>
        <v>Competitive</v>
      </c>
    </row>
    <row r="3366" spans="1:24" x14ac:dyDescent="0.3">
      <c r="A3366" t="s">
        <v>3434</v>
      </c>
      <c r="B3366" t="s">
        <v>20</v>
      </c>
      <c r="C3366">
        <v>37</v>
      </c>
      <c r="D3366" t="s">
        <v>31</v>
      </c>
      <c r="E3366" t="s">
        <v>40</v>
      </c>
      <c r="F3366" t="s">
        <v>23</v>
      </c>
      <c r="G3366" t="s">
        <v>66</v>
      </c>
      <c r="H3366" t="s">
        <v>83</v>
      </c>
      <c r="I3366" t="s">
        <v>80</v>
      </c>
      <c r="J3366" t="s">
        <v>60</v>
      </c>
      <c r="K3366">
        <v>8</v>
      </c>
      <c r="L3366">
        <v>51907</v>
      </c>
      <c r="M3366" t="s">
        <v>45</v>
      </c>
      <c r="N3366">
        <v>2</v>
      </c>
      <c r="O3366">
        <v>2</v>
      </c>
      <c r="P3366">
        <v>33</v>
      </c>
      <c r="Q3366">
        <v>1</v>
      </c>
      <c r="R3366" s="1">
        <v>42144</v>
      </c>
      <c r="S3366" t="s">
        <v>29</v>
      </c>
      <c r="T3366" t="str">
        <f t="shared" si="260"/>
        <v>Grade B</v>
      </c>
      <c r="U3366">
        <f t="shared" si="261"/>
        <v>2</v>
      </c>
      <c r="V3366" t="str">
        <f t="shared" si="262"/>
        <v>Mid Level</v>
      </c>
      <c r="W3366" t="str">
        <f t="shared" si="263"/>
        <v>Medium Risk</v>
      </c>
      <c r="X3366" t="str">
        <f t="shared" si="264"/>
        <v>Fair</v>
      </c>
    </row>
    <row r="3367" spans="1:24" x14ac:dyDescent="0.3">
      <c r="A3367" t="s">
        <v>3435</v>
      </c>
      <c r="B3367" t="s">
        <v>20</v>
      </c>
      <c r="C3367">
        <v>38</v>
      </c>
      <c r="D3367" t="s">
        <v>88</v>
      </c>
      <c r="E3367" t="s">
        <v>40</v>
      </c>
      <c r="F3367" t="s">
        <v>41</v>
      </c>
      <c r="G3367" t="s">
        <v>79</v>
      </c>
      <c r="H3367" t="s">
        <v>67</v>
      </c>
      <c r="I3367" t="s">
        <v>54</v>
      </c>
      <c r="J3367" t="s">
        <v>27</v>
      </c>
      <c r="K3367">
        <v>11</v>
      </c>
      <c r="L3367">
        <v>70015</v>
      </c>
      <c r="M3367" t="s">
        <v>28</v>
      </c>
      <c r="N3367">
        <v>2</v>
      </c>
      <c r="O3367">
        <v>3</v>
      </c>
      <c r="P3367">
        <v>75</v>
      </c>
      <c r="Q3367">
        <v>0</v>
      </c>
      <c r="R3367" s="1">
        <v>41065</v>
      </c>
      <c r="S3367" t="s">
        <v>29</v>
      </c>
      <c r="T3367" t="str">
        <f t="shared" si="260"/>
        <v>Grade B</v>
      </c>
      <c r="U3367">
        <f t="shared" si="261"/>
        <v>3</v>
      </c>
      <c r="V3367" t="str">
        <f t="shared" si="262"/>
        <v>Senior</v>
      </c>
      <c r="W3367" t="str">
        <f t="shared" si="263"/>
        <v>Medium Risk</v>
      </c>
      <c r="X3367" t="str">
        <f t="shared" si="264"/>
        <v>Competitive</v>
      </c>
    </row>
    <row r="3368" spans="1:24" x14ac:dyDescent="0.3">
      <c r="A3368" t="s">
        <v>3436</v>
      </c>
      <c r="B3368" t="s">
        <v>20</v>
      </c>
      <c r="C3368">
        <v>43</v>
      </c>
      <c r="D3368" t="s">
        <v>57</v>
      </c>
      <c r="E3368" t="s">
        <v>22</v>
      </c>
      <c r="F3368" t="s">
        <v>62</v>
      </c>
      <c r="G3368" t="s">
        <v>24</v>
      </c>
      <c r="H3368" t="s">
        <v>76</v>
      </c>
      <c r="I3368" t="s">
        <v>35</v>
      </c>
      <c r="J3368" t="s">
        <v>27</v>
      </c>
      <c r="K3368">
        <v>4</v>
      </c>
      <c r="L3368">
        <v>91927</v>
      </c>
      <c r="M3368" t="s">
        <v>36</v>
      </c>
      <c r="N3368">
        <v>4</v>
      </c>
      <c r="O3368">
        <v>1</v>
      </c>
      <c r="P3368">
        <v>34</v>
      </c>
      <c r="Q3368">
        <v>3</v>
      </c>
      <c r="R3368" s="1">
        <v>43571</v>
      </c>
      <c r="S3368" t="s">
        <v>37</v>
      </c>
      <c r="T3368" t="str">
        <f t="shared" si="260"/>
        <v>Grade A</v>
      </c>
      <c r="U3368">
        <f t="shared" si="261"/>
        <v>1</v>
      </c>
      <c r="V3368" t="str">
        <f t="shared" si="262"/>
        <v>Junior</v>
      </c>
      <c r="W3368" t="str">
        <f t="shared" si="263"/>
        <v>Already Left</v>
      </c>
      <c r="X3368" t="str">
        <f t="shared" si="264"/>
        <v>Overpaid</v>
      </c>
    </row>
    <row r="3369" spans="1:24" x14ac:dyDescent="0.3">
      <c r="A3369" t="s">
        <v>3437</v>
      </c>
      <c r="B3369" t="s">
        <v>39</v>
      </c>
      <c r="C3369">
        <v>25</v>
      </c>
      <c r="D3369" t="s">
        <v>57</v>
      </c>
      <c r="E3369" t="s">
        <v>48</v>
      </c>
      <c r="F3369" t="s">
        <v>53</v>
      </c>
      <c r="G3369" t="s">
        <v>42</v>
      </c>
      <c r="H3369" t="s">
        <v>25</v>
      </c>
      <c r="I3369" t="s">
        <v>50</v>
      </c>
      <c r="J3369" t="s">
        <v>44</v>
      </c>
      <c r="K3369">
        <v>7</v>
      </c>
      <c r="L3369">
        <v>110393</v>
      </c>
      <c r="M3369" t="s">
        <v>45</v>
      </c>
      <c r="N3369">
        <v>1</v>
      </c>
      <c r="O3369">
        <v>3</v>
      </c>
      <c r="P3369">
        <v>69</v>
      </c>
      <c r="Q3369">
        <v>1</v>
      </c>
      <c r="R3369" s="1">
        <v>42460</v>
      </c>
      <c r="S3369" t="s">
        <v>29</v>
      </c>
      <c r="T3369" t="str">
        <f t="shared" si="260"/>
        <v>Grade A</v>
      </c>
      <c r="U3369">
        <f t="shared" si="261"/>
        <v>2</v>
      </c>
      <c r="V3369" t="str">
        <f t="shared" si="262"/>
        <v>Mid Level</v>
      </c>
      <c r="W3369" t="str">
        <f t="shared" si="263"/>
        <v>Medium Risk</v>
      </c>
      <c r="X3369" t="str">
        <f t="shared" si="264"/>
        <v>Fair</v>
      </c>
    </row>
    <row r="3370" spans="1:24" x14ac:dyDescent="0.3">
      <c r="A3370" t="s">
        <v>3438</v>
      </c>
      <c r="B3370" t="s">
        <v>20</v>
      </c>
      <c r="C3370">
        <v>33</v>
      </c>
      <c r="D3370" t="s">
        <v>31</v>
      </c>
      <c r="E3370" t="s">
        <v>48</v>
      </c>
      <c r="F3370" t="s">
        <v>75</v>
      </c>
      <c r="G3370" t="s">
        <v>63</v>
      </c>
      <c r="H3370" t="s">
        <v>67</v>
      </c>
      <c r="I3370" t="s">
        <v>50</v>
      </c>
      <c r="J3370" t="s">
        <v>44</v>
      </c>
      <c r="K3370">
        <v>5</v>
      </c>
      <c r="L3370">
        <v>55865</v>
      </c>
      <c r="M3370" t="s">
        <v>36</v>
      </c>
      <c r="N3370">
        <v>3</v>
      </c>
      <c r="O3370">
        <v>4</v>
      </c>
      <c r="P3370">
        <v>41</v>
      </c>
      <c r="Q3370">
        <v>0</v>
      </c>
      <c r="R3370" s="1">
        <v>43178</v>
      </c>
      <c r="S3370" t="s">
        <v>29</v>
      </c>
      <c r="T3370" t="str">
        <f t="shared" si="260"/>
        <v>Grade B</v>
      </c>
      <c r="U3370">
        <f t="shared" si="261"/>
        <v>1</v>
      </c>
      <c r="V3370" t="str">
        <f t="shared" si="262"/>
        <v>Junior</v>
      </c>
      <c r="W3370" t="str">
        <f t="shared" si="263"/>
        <v>Medium Risk</v>
      </c>
      <c r="X3370" t="str">
        <f t="shared" si="264"/>
        <v>Fair</v>
      </c>
    </row>
    <row r="3371" spans="1:24" x14ac:dyDescent="0.3">
      <c r="A3371" t="s">
        <v>3439</v>
      </c>
      <c r="B3371" t="s">
        <v>39</v>
      </c>
      <c r="C3371">
        <v>24</v>
      </c>
      <c r="D3371" t="s">
        <v>88</v>
      </c>
      <c r="E3371" t="s">
        <v>40</v>
      </c>
      <c r="F3371" t="s">
        <v>62</v>
      </c>
      <c r="G3371" t="s">
        <v>24</v>
      </c>
      <c r="H3371" t="s">
        <v>67</v>
      </c>
      <c r="I3371" t="s">
        <v>68</v>
      </c>
      <c r="J3371" t="s">
        <v>60</v>
      </c>
      <c r="K3371">
        <v>10</v>
      </c>
      <c r="L3371">
        <v>100025</v>
      </c>
      <c r="M3371" t="s">
        <v>51</v>
      </c>
      <c r="N3371">
        <v>1</v>
      </c>
      <c r="O3371">
        <v>1</v>
      </c>
      <c r="P3371">
        <v>28</v>
      </c>
      <c r="Q3371">
        <v>1</v>
      </c>
      <c r="R3371" s="1">
        <v>41343</v>
      </c>
      <c r="S3371" t="s">
        <v>29</v>
      </c>
      <c r="T3371" t="str">
        <f t="shared" si="260"/>
        <v>Grade A</v>
      </c>
      <c r="U3371">
        <f t="shared" si="261"/>
        <v>4</v>
      </c>
      <c r="V3371" t="str">
        <f t="shared" si="262"/>
        <v>Mid Level</v>
      </c>
      <c r="W3371" t="str">
        <f t="shared" si="263"/>
        <v>Low Risk</v>
      </c>
      <c r="X3371" t="str">
        <f t="shared" si="264"/>
        <v>Competitive</v>
      </c>
    </row>
    <row r="3372" spans="1:24" x14ac:dyDescent="0.3">
      <c r="A3372" t="s">
        <v>3440</v>
      </c>
      <c r="B3372" t="s">
        <v>39</v>
      </c>
      <c r="C3372">
        <v>35</v>
      </c>
      <c r="D3372" t="s">
        <v>57</v>
      </c>
      <c r="E3372" t="s">
        <v>40</v>
      </c>
      <c r="F3372" t="s">
        <v>53</v>
      </c>
      <c r="G3372" t="s">
        <v>79</v>
      </c>
      <c r="H3372" t="s">
        <v>83</v>
      </c>
      <c r="I3372" t="s">
        <v>50</v>
      </c>
      <c r="J3372" t="s">
        <v>44</v>
      </c>
      <c r="K3372">
        <v>11</v>
      </c>
      <c r="L3372">
        <v>56537</v>
      </c>
      <c r="M3372" t="s">
        <v>45</v>
      </c>
      <c r="N3372">
        <v>3</v>
      </c>
      <c r="O3372">
        <v>1</v>
      </c>
      <c r="P3372">
        <v>51</v>
      </c>
      <c r="Q3372">
        <v>2</v>
      </c>
      <c r="R3372" s="1">
        <v>41096</v>
      </c>
      <c r="S3372" t="s">
        <v>29</v>
      </c>
      <c r="T3372" t="str">
        <f t="shared" si="260"/>
        <v>Grade B</v>
      </c>
      <c r="U3372">
        <f t="shared" si="261"/>
        <v>2</v>
      </c>
      <c r="V3372" t="str">
        <f t="shared" si="262"/>
        <v>Senior</v>
      </c>
      <c r="W3372" t="str">
        <f t="shared" si="263"/>
        <v>Medium Risk</v>
      </c>
      <c r="X3372" t="str">
        <f t="shared" si="264"/>
        <v>Fair</v>
      </c>
    </row>
    <row r="3373" spans="1:24" x14ac:dyDescent="0.3">
      <c r="A3373" t="s">
        <v>3441</v>
      </c>
      <c r="B3373" t="s">
        <v>20</v>
      </c>
      <c r="C3373">
        <v>53</v>
      </c>
      <c r="D3373" t="s">
        <v>57</v>
      </c>
      <c r="E3373" t="s">
        <v>48</v>
      </c>
      <c r="F3373" t="s">
        <v>75</v>
      </c>
      <c r="G3373" t="s">
        <v>33</v>
      </c>
      <c r="H3373" t="s">
        <v>25</v>
      </c>
      <c r="I3373" t="s">
        <v>26</v>
      </c>
      <c r="J3373" t="s">
        <v>27</v>
      </c>
      <c r="K3373">
        <v>4</v>
      </c>
      <c r="L3373">
        <v>58257</v>
      </c>
      <c r="M3373" t="s">
        <v>28</v>
      </c>
      <c r="N3373">
        <v>1</v>
      </c>
      <c r="O3373">
        <v>1</v>
      </c>
      <c r="P3373">
        <v>15</v>
      </c>
      <c r="Q3373">
        <v>1</v>
      </c>
      <c r="R3373" s="1">
        <v>43557</v>
      </c>
      <c r="S3373" t="s">
        <v>37</v>
      </c>
      <c r="T3373" t="str">
        <f t="shared" si="260"/>
        <v>Grade B</v>
      </c>
      <c r="U3373">
        <f t="shared" si="261"/>
        <v>3</v>
      </c>
      <c r="V3373" t="str">
        <f t="shared" si="262"/>
        <v>Junior</v>
      </c>
      <c r="W3373" t="str">
        <f t="shared" si="263"/>
        <v>Already Left</v>
      </c>
      <c r="X3373" t="str">
        <f t="shared" si="264"/>
        <v>Competitive</v>
      </c>
    </row>
    <row r="3374" spans="1:24" x14ac:dyDescent="0.3">
      <c r="A3374" t="s">
        <v>3442</v>
      </c>
      <c r="B3374" t="s">
        <v>20</v>
      </c>
      <c r="C3374">
        <v>37</v>
      </c>
      <c r="D3374" t="s">
        <v>47</v>
      </c>
      <c r="E3374" t="s">
        <v>48</v>
      </c>
      <c r="F3374" t="s">
        <v>53</v>
      </c>
      <c r="G3374" t="s">
        <v>49</v>
      </c>
      <c r="H3374" t="s">
        <v>76</v>
      </c>
      <c r="I3374" t="s">
        <v>68</v>
      </c>
      <c r="J3374" t="s">
        <v>60</v>
      </c>
      <c r="K3374">
        <v>8</v>
      </c>
      <c r="L3374">
        <v>65402</v>
      </c>
      <c r="M3374" t="s">
        <v>51</v>
      </c>
      <c r="N3374">
        <v>4</v>
      </c>
      <c r="O3374">
        <v>3</v>
      </c>
      <c r="P3374">
        <v>78</v>
      </c>
      <c r="Q3374">
        <v>2</v>
      </c>
      <c r="R3374" s="1">
        <v>42112</v>
      </c>
      <c r="S3374" t="s">
        <v>29</v>
      </c>
      <c r="T3374" t="str">
        <f t="shared" si="260"/>
        <v>Grade B</v>
      </c>
      <c r="U3374">
        <f t="shared" si="261"/>
        <v>4</v>
      </c>
      <c r="V3374" t="str">
        <f t="shared" si="262"/>
        <v>Mid Level</v>
      </c>
      <c r="W3374" t="str">
        <f t="shared" si="263"/>
        <v>Low Risk</v>
      </c>
      <c r="X3374" t="str">
        <f t="shared" si="264"/>
        <v>Fair</v>
      </c>
    </row>
    <row r="3375" spans="1:24" x14ac:dyDescent="0.3">
      <c r="A3375" t="s">
        <v>3443</v>
      </c>
      <c r="B3375" t="s">
        <v>39</v>
      </c>
      <c r="C3375">
        <v>44</v>
      </c>
      <c r="D3375" t="s">
        <v>31</v>
      </c>
      <c r="E3375" t="s">
        <v>22</v>
      </c>
      <c r="F3375" t="s">
        <v>62</v>
      </c>
      <c r="G3375" t="s">
        <v>58</v>
      </c>
      <c r="H3375" t="s">
        <v>67</v>
      </c>
      <c r="I3375" t="s">
        <v>43</v>
      </c>
      <c r="J3375" t="s">
        <v>44</v>
      </c>
      <c r="K3375">
        <v>13</v>
      </c>
      <c r="L3375">
        <v>107843</v>
      </c>
      <c r="M3375" t="s">
        <v>51</v>
      </c>
      <c r="N3375">
        <v>4</v>
      </c>
      <c r="O3375">
        <v>4</v>
      </c>
      <c r="P3375">
        <v>71</v>
      </c>
      <c r="Q3375">
        <v>1</v>
      </c>
      <c r="R3375" s="1">
        <v>40436</v>
      </c>
      <c r="S3375" t="s">
        <v>29</v>
      </c>
      <c r="T3375" t="str">
        <f t="shared" si="260"/>
        <v>Grade A</v>
      </c>
      <c r="U3375">
        <f t="shared" si="261"/>
        <v>4</v>
      </c>
      <c r="V3375" t="str">
        <f t="shared" si="262"/>
        <v>Senior</v>
      </c>
      <c r="W3375" t="str">
        <f t="shared" si="263"/>
        <v>Low Risk</v>
      </c>
      <c r="X3375" t="str">
        <f t="shared" si="264"/>
        <v>Competitive</v>
      </c>
    </row>
    <row r="3376" spans="1:24" x14ac:dyDescent="0.3">
      <c r="A3376" t="s">
        <v>3444</v>
      </c>
      <c r="B3376" t="s">
        <v>20</v>
      </c>
      <c r="C3376">
        <v>43</v>
      </c>
      <c r="D3376" t="s">
        <v>88</v>
      </c>
      <c r="E3376" t="s">
        <v>40</v>
      </c>
      <c r="F3376" t="s">
        <v>65</v>
      </c>
      <c r="G3376" t="s">
        <v>24</v>
      </c>
      <c r="H3376" t="s">
        <v>34</v>
      </c>
      <c r="I3376" t="s">
        <v>50</v>
      </c>
      <c r="J3376" t="s">
        <v>44</v>
      </c>
      <c r="K3376">
        <v>9</v>
      </c>
      <c r="L3376">
        <v>85528</v>
      </c>
      <c r="M3376" t="s">
        <v>45</v>
      </c>
      <c r="N3376">
        <v>4</v>
      </c>
      <c r="O3376">
        <v>2</v>
      </c>
      <c r="P3376">
        <v>27</v>
      </c>
      <c r="Q3376">
        <v>2</v>
      </c>
      <c r="R3376" s="1">
        <v>41791</v>
      </c>
      <c r="S3376" t="s">
        <v>29</v>
      </c>
      <c r="T3376" t="str">
        <f t="shared" si="260"/>
        <v>Grade A</v>
      </c>
      <c r="U3376">
        <f t="shared" si="261"/>
        <v>2</v>
      </c>
      <c r="V3376" t="str">
        <f t="shared" si="262"/>
        <v>Mid Level</v>
      </c>
      <c r="W3376" t="str">
        <f t="shared" si="263"/>
        <v>Medium Risk</v>
      </c>
      <c r="X3376" t="str">
        <f t="shared" si="264"/>
        <v>Fair</v>
      </c>
    </row>
    <row r="3377" spans="1:24" x14ac:dyDescent="0.3">
      <c r="A3377" t="s">
        <v>3445</v>
      </c>
      <c r="B3377" t="s">
        <v>39</v>
      </c>
      <c r="C3377">
        <v>32</v>
      </c>
      <c r="D3377" t="s">
        <v>47</v>
      </c>
      <c r="E3377" t="s">
        <v>22</v>
      </c>
      <c r="F3377" t="s">
        <v>41</v>
      </c>
      <c r="G3377" t="s">
        <v>66</v>
      </c>
      <c r="H3377" t="s">
        <v>67</v>
      </c>
      <c r="I3377" t="s">
        <v>59</v>
      </c>
      <c r="J3377" t="s">
        <v>60</v>
      </c>
      <c r="K3377">
        <v>3</v>
      </c>
      <c r="L3377">
        <v>42982</v>
      </c>
      <c r="M3377" t="s">
        <v>51</v>
      </c>
      <c r="N3377">
        <v>4</v>
      </c>
      <c r="O3377">
        <v>1</v>
      </c>
      <c r="P3377">
        <v>44</v>
      </c>
      <c r="Q3377">
        <v>0</v>
      </c>
      <c r="R3377" s="1">
        <v>43941</v>
      </c>
      <c r="S3377" t="s">
        <v>29</v>
      </c>
      <c r="T3377" t="str">
        <f t="shared" si="260"/>
        <v>Grade C</v>
      </c>
      <c r="U3377">
        <f t="shared" si="261"/>
        <v>4</v>
      </c>
      <c r="V3377" t="str">
        <f t="shared" si="262"/>
        <v>Junior</v>
      </c>
      <c r="W3377" t="str">
        <f t="shared" si="263"/>
        <v>Low Risk</v>
      </c>
      <c r="X3377" t="str">
        <f t="shared" si="264"/>
        <v>Fair</v>
      </c>
    </row>
    <row r="3378" spans="1:24" x14ac:dyDescent="0.3">
      <c r="A3378" t="s">
        <v>3446</v>
      </c>
      <c r="B3378" t="s">
        <v>20</v>
      </c>
      <c r="C3378">
        <v>33</v>
      </c>
      <c r="D3378" t="s">
        <v>31</v>
      </c>
      <c r="E3378" t="s">
        <v>48</v>
      </c>
      <c r="F3378" t="s">
        <v>65</v>
      </c>
      <c r="G3378" t="s">
        <v>63</v>
      </c>
      <c r="H3378" t="s">
        <v>76</v>
      </c>
      <c r="I3378" t="s">
        <v>68</v>
      </c>
      <c r="J3378" t="s">
        <v>60</v>
      </c>
      <c r="K3378">
        <v>11</v>
      </c>
      <c r="L3378">
        <v>71763</v>
      </c>
      <c r="M3378" t="s">
        <v>51</v>
      </c>
      <c r="N3378">
        <v>3</v>
      </c>
      <c r="O3378">
        <v>3</v>
      </c>
      <c r="P3378">
        <v>70</v>
      </c>
      <c r="Q3378">
        <v>2</v>
      </c>
      <c r="R3378" s="1">
        <v>41043</v>
      </c>
      <c r="S3378" t="s">
        <v>37</v>
      </c>
      <c r="T3378" t="str">
        <f t="shared" si="260"/>
        <v>Grade B</v>
      </c>
      <c r="U3378">
        <f t="shared" si="261"/>
        <v>4</v>
      </c>
      <c r="V3378" t="str">
        <f t="shared" si="262"/>
        <v>Senior</v>
      </c>
      <c r="W3378" t="str">
        <f t="shared" si="263"/>
        <v>Already Left</v>
      </c>
      <c r="X3378" t="str">
        <f t="shared" si="264"/>
        <v>Fair</v>
      </c>
    </row>
    <row r="3379" spans="1:24" x14ac:dyDescent="0.3">
      <c r="A3379" t="s">
        <v>3447</v>
      </c>
      <c r="B3379" t="s">
        <v>20</v>
      </c>
      <c r="C3379">
        <v>35</v>
      </c>
      <c r="D3379" t="s">
        <v>21</v>
      </c>
      <c r="E3379" t="s">
        <v>40</v>
      </c>
      <c r="F3379" t="s">
        <v>78</v>
      </c>
      <c r="G3379" t="s">
        <v>79</v>
      </c>
      <c r="H3379" t="s">
        <v>83</v>
      </c>
      <c r="I3379" t="s">
        <v>54</v>
      </c>
      <c r="J3379" t="s">
        <v>27</v>
      </c>
      <c r="K3379">
        <v>4</v>
      </c>
      <c r="L3379">
        <v>50250</v>
      </c>
      <c r="M3379" t="s">
        <v>51</v>
      </c>
      <c r="N3379">
        <v>1</v>
      </c>
      <c r="O3379">
        <v>2</v>
      </c>
      <c r="P3379">
        <v>48</v>
      </c>
      <c r="Q3379">
        <v>1</v>
      </c>
      <c r="R3379" s="1">
        <v>43563</v>
      </c>
      <c r="S3379" t="s">
        <v>29</v>
      </c>
      <c r="T3379" t="str">
        <f t="shared" si="260"/>
        <v>Grade B</v>
      </c>
      <c r="U3379">
        <f t="shared" si="261"/>
        <v>4</v>
      </c>
      <c r="V3379" t="str">
        <f t="shared" si="262"/>
        <v>Junior</v>
      </c>
      <c r="W3379" t="str">
        <f t="shared" si="263"/>
        <v>Low Risk</v>
      </c>
      <c r="X3379" t="str">
        <f t="shared" si="264"/>
        <v>Fair</v>
      </c>
    </row>
    <row r="3380" spans="1:24" x14ac:dyDescent="0.3">
      <c r="A3380" t="s">
        <v>3448</v>
      </c>
      <c r="B3380" t="s">
        <v>20</v>
      </c>
      <c r="C3380">
        <v>45</v>
      </c>
      <c r="D3380" t="s">
        <v>88</v>
      </c>
      <c r="E3380" t="s">
        <v>22</v>
      </c>
      <c r="F3380" t="s">
        <v>62</v>
      </c>
      <c r="G3380" t="s">
        <v>49</v>
      </c>
      <c r="H3380" t="s">
        <v>25</v>
      </c>
      <c r="I3380" t="s">
        <v>43</v>
      </c>
      <c r="J3380" t="s">
        <v>44</v>
      </c>
      <c r="K3380">
        <v>15</v>
      </c>
      <c r="L3380">
        <v>88739</v>
      </c>
      <c r="M3380" t="s">
        <v>36</v>
      </c>
      <c r="N3380">
        <v>1</v>
      </c>
      <c r="O3380">
        <v>1</v>
      </c>
      <c r="P3380">
        <v>11</v>
      </c>
      <c r="Q3380">
        <v>1</v>
      </c>
      <c r="R3380" s="1">
        <v>39547</v>
      </c>
      <c r="S3380" t="s">
        <v>37</v>
      </c>
      <c r="T3380" t="str">
        <f t="shared" si="260"/>
        <v>Grade A</v>
      </c>
      <c r="U3380">
        <f t="shared" si="261"/>
        <v>1</v>
      </c>
      <c r="V3380" t="str">
        <f t="shared" si="262"/>
        <v>Senior</v>
      </c>
      <c r="W3380" t="str">
        <f t="shared" si="263"/>
        <v>Already Left</v>
      </c>
      <c r="X3380" t="str">
        <f t="shared" si="264"/>
        <v>Overpaid</v>
      </c>
    </row>
    <row r="3381" spans="1:24" x14ac:dyDescent="0.3">
      <c r="A3381" t="s">
        <v>3449</v>
      </c>
      <c r="B3381" t="s">
        <v>20</v>
      </c>
      <c r="C3381">
        <v>24</v>
      </c>
      <c r="D3381" t="s">
        <v>47</v>
      </c>
      <c r="E3381" t="s">
        <v>48</v>
      </c>
      <c r="F3381" t="s">
        <v>65</v>
      </c>
      <c r="G3381" t="s">
        <v>63</v>
      </c>
      <c r="H3381" t="s">
        <v>34</v>
      </c>
      <c r="I3381" t="s">
        <v>72</v>
      </c>
      <c r="J3381" t="s">
        <v>73</v>
      </c>
      <c r="K3381">
        <v>3</v>
      </c>
      <c r="L3381">
        <v>47239</v>
      </c>
      <c r="M3381" t="s">
        <v>36</v>
      </c>
      <c r="N3381">
        <v>1</v>
      </c>
      <c r="O3381">
        <v>2</v>
      </c>
      <c r="P3381">
        <v>59</v>
      </c>
      <c r="Q3381">
        <v>2</v>
      </c>
      <c r="R3381" s="1">
        <v>43955</v>
      </c>
      <c r="S3381" t="s">
        <v>29</v>
      </c>
      <c r="T3381" t="str">
        <f t="shared" si="260"/>
        <v>Grade C</v>
      </c>
      <c r="U3381">
        <f t="shared" si="261"/>
        <v>1</v>
      </c>
      <c r="V3381" t="str">
        <f t="shared" si="262"/>
        <v>Junior</v>
      </c>
      <c r="W3381" t="str">
        <f t="shared" si="263"/>
        <v>Medium Risk</v>
      </c>
      <c r="X3381" t="str">
        <f t="shared" si="264"/>
        <v>Fair</v>
      </c>
    </row>
    <row r="3382" spans="1:24" x14ac:dyDescent="0.3">
      <c r="A3382" t="s">
        <v>3450</v>
      </c>
      <c r="B3382" t="s">
        <v>39</v>
      </c>
      <c r="C3382">
        <v>53</v>
      </c>
      <c r="D3382" t="s">
        <v>47</v>
      </c>
      <c r="E3382" t="s">
        <v>48</v>
      </c>
      <c r="F3382" t="s">
        <v>41</v>
      </c>
      <c r="G3382" t="s">
        <v>33</v>
      </c>
      <c r="H3382" t="s">
        <v>83</v>
      </c>
      <c r="I3382" t="s">
        <v>68</v>
      </c>
      <c r="J3382" t="s">
        <v>60</v>
      </c>
      <c r="K3382">
        <v>4</v>
      </c>
      <c r="L3382">
        <v>63320</v>
      </c>
      <c r="M3382" t="s">
        <v>28</v>
      </c>
      <c r="N3382">
        <v>4</v>
      </c>
      <c r="O3382">
        <v>3</v>
      </c>
      <c r="P3382">
        <v>73</v>
      </c>
      <c r="Q3382">
        <v>0</v>
      </c>
      <c r="R3382" s="1">
        <v>43552</v>
      </c>
      <c r="S3382" t="s">
        <v>29</v>
      </c>
      <c r="T3382" t="str">
        <f t="shared" si="260"/>
        <v>Grade B</v>
      </c>
      <c r="U3382">
        <f t="shared" si="261"/>
        <v>3</v>
      </c>
      <c r="V3382" t="str">
        <f t="shared" si="262"/>
        <v>Junior</v>
      </c>
      <c r="W3382" t="str">
        <f t="shared" si="263"/>
        <v>Medium Risk</v>
      </c>
      <c r="X3382" t="str">
        <f t="shared" si="264"/>
        <v>Competitive</v>
      </c>
    </row>
    <row r="3383" spans="1:24" x14ac:dyDescent="0.3">
      <c r="A3383" t="s">
        <v>3451</v>
      </c>
      <c r="B3383" t="s">
        <v>20</v>
      </c>
      <c r="C3383">
        <v>36</v>
      </c>
      <c r="D3383" t="s">
        <v>47</v>
      </c>
      <c r="E3383" t="s">
        <v>48</v>
      </c>
      <c r="F3383" t="s">
        <v>65</v>
      </c>
      <c r="G3383" t="s">
        <v>79</v>
      </c>
      <c r="H3383" t="s">
        <v>34</v>
      </c>
      <c r="I3383" t="s">
        <v>43</v>
      </c>
      <c r="J3383" t="s">
        <v>44</v>
      </c>
      <c r="K3383">
        <v>12</v>
      </c>
      <c r="L3383">
        <v>72454</v>
      </c>
      <c r="M3383" t="s">
        <v>51</v>
      </c>
      <c r="N3383">
        <v>4</v>
      </c>
      <c r="O3383">
        <v>2</v>
      </c>
      <c r="P3383">
        <v>34</v>
      </c>
      <c r="Q3383">
        <v>2</v>
      </c>
      <c r="R3383" s="1">
        <v>40573</v>
      </c>
      <c r="S3383" t="s">
        <v>29</v>
      </c>
      <c r="T3383" t="str">
        <f t="shared" si="260"/>
        <v>Grade B</v>
      </c>
      <c r="U3383">
        <f t="shared" si="261"/>
        <v>4</v>
      </c>
      <c r="V3383" t="str">
        <f t="shared" si="262"/>
        <v>Senior</v>
      </c>
      <c r="W3383" t="str">
        <f t="shared" si="263"/>
        <v>Low Risk</v>
      </c>
      <c r="X3383" t="str">
        <f t="shared" si="264"/>
        <v>Fair</v>
      </c>
    </row>
    <row r="3384" spans="1:24" x14ac:dyDescent="0.3">
      <c r="A3384" t="s">
        <v>3452</v>
      </c>
      <c r="B3384" t="s">
        <v>39</v>
      </c>
      <c r="C3384">
        <v>22</v>
      </c>
      <c r="D3384" t="s">
        <v>21</v>
      </c>
      <c r="E3384" t="s">
        <v>40</v>
      </c>
      <c r="F3384" t="s">
        <v>53</v>
      </c>
      <c r="G3384" t="s">
        <v>79</v>
      </c>
      <c r="H3384" t="s">
        <v>83</v>
      </c>
      <c r="I3384" t="s">
        <v>50</v>
      </c>
      <c r="J3384" t="s">
        <v>44</v>
      </c>
      <c r="K3384">
        <v>14</v>
      </c>
      <c r="L3384">
        <v>74671</v>
      </c>
      <c r="M3384" t="s">
        <v>51</v>
      </c>
      <c r="N3384">
        <v>2</v>
      </c>
      <c r="O3384">
        <v>2</v>
      </c>
      <c r="P3384">
        <v>26</v>
      </c>
      <c r="Q3384">
        <v>0</v>
      </c>
      <c r="R3384" s="1">
        <v>40180</v>
      </c>
      <c r="S3384" t="s">
        <v>29</v>
      </c>
      <c r="T3384" t="str">
        <f t="shared" si="260"/>
        <v>Grade B</v>
      </c>
      <c r="U3384">
        <f t="shared" si="261"/>
        <v>4</v>
      </c>
      <c r="V3384" t="str">
        <f t="shared" si="262"/>
        <v>Senior</v>
      </c>
      <c r="W3384" t="str">
        <f t="shared" si="263"/>
        <v>Low Risk</v>
      </c>
      <c r="X3384" t="str">
        <f t="shared" si="264"/>
        <v>Fair</v>
      </c>
    </row>
    <row r="3385" spans="1:24" x14ac:dyDescent="0.3">
      <c r="A3385" t="s">
        <v>3453</v>
      </c>
      <c r="B3385" t="s">
        <v>39</v>
      </c>
      <c r="C3385">
        <v>55</v>
      </c>
      <c r="D3385" t="s">
        <v>88</v>
      </c>
      <c r="E3385" t="s">
        <v>40</v>
      </c>
      <c r="F3385" t="s">
        <v>32</v>
      </c>
      <c r="G3385" t="s">
        <v>49</v>
      </c>
      <c r="H3385" t="s">
        <v>67</v>
      </c>
      <c r="I3385" t="s">
        <v>72</v>
      </c>
      <c r="J3385" t="s">
        <v>73</v>
      </c>
      <c r="K3385">
        <v>1</v>
      </c>
      <c r="L3385">
        <v>60869</v>
      </c>
      <c r="M3385" t="s">
        <v>28</v>
      </c>
      <c r="N3385">
        <v>1</v>
      </c>
      <c r="O3385">
        <v>3</v>
      </c>
      <c r="P3385">
        <v>64</v>
      </c>
      <c r="Q3385">
        <v>3</v>
      </c>
      <c r="R3385" s="1">
        <v>44731</v>
      </c>
      <c r="S3385" t="s">
        <v>29</v>
      </c>
      <c r="T3385" t="str">
        <f t="shared" si="260"/>
        <v>Grade B</v>
      </c>
      <c r="U3385">
        <f t="shared" si="261"/>
        <v>3</v>
      </c>
      <c r="V3385" t="str">
        <f t="shared" si="262"/>
        <v>New Joiner</v>
      </c>
      <c r="W3385" t="str">
        <f t="shared" si="263"/>
        <v>Medium Risk</v>
      </c>
      <c r="X3385" t="str">
        <f t="shared" si="264"/>
        <v>Competitive</v>
      </c>
    </row>
    <row r="3386" spans="1:24" x14ac:dyDescent="0.3">
      <c r="A3386" t="s">
        <v>3454</v>
      </c>
      <c r="B3386" t="s">
        <v>39</v>
      </c>
      <c r="C3386">
        <v>38</v>
      </c>
      <c r="D3386" t="s">
        <v>57</v>
      </c>
      <c r="E3386" t="s">
        <v>48</v>
      </c>
      <c r="F3386" t="s">
        <v>78</v>
      </c>
      <c r="G3386" t="s">
        <v>79</v>
      </c>
      <c r="H3386" t="s">
        <v>83</v>
      </c>
      <c r="I3386" t="s">
        <v>26</v>
      </c>
      <c r="J3386" t="s">
        <v>27</v>
      </c>
      <c r="K3386">
        <v>14</v>
      </c>
      <c r="L3386">
        <v>67371</v>
      </c>
      <c r="M3386" t="s">
        <v>51</v>
      </c>
      <c r="N3386">
        <v>1</v>
      </c>
      <c r="O3386">
        <v>1</v>
      </c>
      <c r="P3386">
        <v>72</v>
      </c>
      <c r="Q3386">
        <v>1</v>
      </c>
      <c r="R3386" s="1">
        <v>39908</v>
      </c>
      <c r="S3386" t="s">
        <v>29</v>
      </c>
      <c r="T3386" t="str">
        <f t="shared" si="260"/>
        <v>Grade B</v>
      </c>
      <c r="U3386">
        <f t="shared" si="261"/>
        <v>4</v>
      </c>
      <c r="V3386" t="str">
        <f t="shared" si="262"/>
        <v>Senior</v>
      </c>
      <c r="W3386" t="str">
        <f t="shared" si="263"/>
        <v>Low Risk</v>
      </c>
      <c r="X3386" t="str">
        <f t="shared" si="264"/>
        <v>Fair</v>
      </c>
    </row>
    <row r="3387" spans="1:24" x14ac:dyDescent="0.3">
      <c r="A3387" t="s">
        <v>3455</v>
      </c>
      <c r="B3387" t="s">
        <v>20</v>
      </c>
      <c r="C3387">
        <v>51</v>
      </c>
      <c r="D3387" t="s">
        <v>57</v>
      </c>
      <c r="E3387" t="s">
        <v>22</v>
      </c>
      <c r="F3387" t="s">
        <v>23</v>
      </c>
      <c r="G3387" t="s">
        <v>58</v>
      </c>
      <c r="H3387" t="s">
        <v>76</v>
      </c>
      <c r="I3387" t="s">
        <v>54</v>
      </c>
      <c r="J3387" t="s">
        <v>27</v>
      </c>
      <c r="K3387">
        <v>6</v>
      </c>
      <c r="L3387">
        <v>100201</v>
      </c>
      <c r="M3387" t="s">
        <v>36</v>
      </c>
      <c r="N3387">
        <v>2</v>
      </c>
      <c r="O3387">
        <v>4</v>
      </c>
      <c r="P3387">
        <v>35</v>
      </c>
      <c r="Q3387">
        <v>0</v>
      </c>
      <c r="R3387" s="1">
        <v>42780</v>
      </c>
      <c r="S3387" t="s">
        <v>29</v>
      </c>
      <c r="T3387" t="str">
        <f t="shared" si="260"/>
        <v>Grade A</v>
      </c>
      <c r="U3387">
        <f t="shared" si="261"/>
        <v>1</v>
      </c>
      <c r="V3387" t="str">
        <f t="shared" si="262"/>
        <v>Mid Level</v>
      </c>
      <c r="W3387" t="str">
        <f t="shared" si="263"/>
        <v>Medium Risk</v>
      </c>
      <c r="X3387" t="str">
        <f t="shared" si="264"/>
        <v>Overpaid</v>
      </c>
    </row>
    <row r="3388" spans="1:24" x14ac:dyDescent="0.3">
      <c r="A3388" t="s">
        <v>3456</v>
      </c>
      <c r="B3388" t="s">
        <v>20</v>
      </c>
      <c r="C3388">
        <v>34</v>
      </c>
      <c r="D3388" t="s">
        <v>47</v>
      </c>
      <c r="E3388" t="s">
        <v>40</v>
      </c>
      <c r="F3388" t="s">
        <v>23</v>
      </c>
      <c r="G3388" t="s">
        <v>24</v>
      </c>
      <c r="H3388" t="s">
        <v>67</v>
      </c>
      <c r="I3388" t="s">
        <v>43</v>
      </c>
      <c r="J3388" t="s">
        <v>44</v>
      </c>
      <c r="K3388">
        <v>1</v>
      </c>
      <c r="L3388">
        <v>77006</v>
      </c>
      <c r="M3388" t="s">
        <v>45</v>
      </c>
      <c r="N3388">
        <v>4</v>
      </c>
      <c r="O3388">
        <v>1</v>
      </c>
      <c r="P3388">
        <v>54</v>
      </c>
      <c r="Q3388">
        <v>1</v>
      </c>
      <c r="R3388" s="1">
        <v>44920</v>
      </c>
      <c r="S3388" t="s">
        <v>29</v>
      </c>
      <c r="T3388" t="str">
        <f t="shared" si="260"/>
        <v>Grade B</v>
      </c>
      <c r="U3388">
        <f t="shared" si="261"/>
        <v>2</v>
      </c>
      <c r="V3388" t="str">
        <f t="shared" si="262"/>
        <v>New Joiner</v>
      </c>
      <c r="W3388" t="str">
        <f t="shared" si="263"/>
        <v>Medium Risk</v>
      </c>
      <c r="X3388" t="str">
        <f t="shared" si="264"/>
        <v>Fair</v>
      </c>
    </row>
    <row r="3389" spans="1:24" x14ac:dyDescent="0.3">
      <c r="A3389" t="s">
        <v>3457</v>
      </c>
      <c r="B3389" t="s">
        <v>20</v>
      </c>
      <c r="C3389">
        <v>46</v>
      </c>
      <c r="D3389" t="s">
        <v>57</v>
      </c>
      <c r="E3389" t="s">
        <v>48</v>
      </c>
      <c r="F3389" t="s">
        <v>41</v>
      </c>
      <c r="G3389" t="s">
        <v>66</v>
      </c>
      <c r="H3389" t="s">
        <v>76</v>
      </c>
      <c r="I3389" t="s">
        <v>80</v>
      </c>
      <c r="J3389" t="s">
        <v>60</v>
      </c>
      <c r="K3389">
        <v>13</v>
      </c>
      <c r="L3389">
        <v>65131</v>
      </c>
      <c r="M3389" t="s">
        <v>45</v>
      </c>
      <c r="N3389">
        <v>3</v>
      </c>
      <c r="O3389">
        <v>4</v>
      </c>
      <c r="P3389">
        <v>25</v>
      </c>
      <c r="Q3389">
        <v>2</v>
      </c>
      <c r="R3389" s="1">
        <v>40352</v>
      </c>
      <c r="S3389" t="s">
        <v>29</v>
      </c>
      <c r="T3389" t="str">
        <f t="shared" si="260"/>
        <v>Grade B</v>
      </c>
      <c r="U3389">
        <f t="shared" si="261"/>
        <v>2</v>
      </c>
      <c r="V3389" t="str">
        <f t="shared" si="262"/>
        <v>Senior</v>
      </c>
      <c r="W3389" t="str">
        <f t="shared" si="263"/>
        <v>Medium Risk</v>
      </c>
      <c r="X3389" t="str">
        <f t="shared" si="264"/>
        <v>Fair</v>
      </c>
    </row>
    <row r="3390" spans="1:24" x14ac:dyDescent="0.3">
      <c r="A3390" t="s">
        <v>3458</v>
      </c>
      <c r="B3390" t="s">
        <v>20</v>
      </c>
      <c r="C3390">
        <v>34</v>
      </c>
      <c r="D3390" t="s">
        <v>57</v>
      </c>
      <c r="E3390" t="s">
        <v>40</v>
      </c>
      <c r="F3390" t="s">
        <v>62</v>
      </c>
      <c r="G3390" t="s">
        <v>58</v>
      </c>
      <c r="H3390" t="s">
        <v>83</v>
      </c>
      <c r="I3390" t="s">
        <v>68</v>
      </c>
      <c r="J3390" t="s">
        <v>60</v>
      </c>
      <c r="K3390">
        <v>1</v>
      </c>
      <c r="L3390">
        <v>80595</v>
      </c>
      <c r="M3390" t="s">
        <v>51</v>
      </c>
      <c r="N3390">
        <v>3</v>
      </c>
      <c r="O3390">
        <v>4</v>
      </c>
      <c r="P3390">
        <v>22</v>
      </c>
      <c r="Q3390">
        <v>0</v>
      </c>
      <c r="R3390" s="1">
        <v>44700</v>
      </c>
      <c r="S3390" t="s">
        <v>29</v>
      </c>
      <c r="T3390" t="str">
        <f t="shared" si="260"/>
        <v>Grade A</v>
      </c>
      <c r="U3390">
        <f t="shared" si="261"/>
        <v>4</v>
      </c>
      <c r="V3390" t="str">
        <f t="shared" si="262"/>
        <v>New Joiner</v>
      </c>
      <c r="W3390" t="str">
        <f t="shared" si="263"/>
        <v>Low Risk</v>
      </c>
      <c r="X3390" t="str">
        <f t="shared" si="264"/>
        <v>Competitive</v>
      </c>
    </row>
    <row r="3391" spans="1:24" x14ac:dyDescent="0.3">
      <c r="A3391" t="s">
        <v>3459</v>
      </c>
      <c r="B3391" t="s">
        <v>39</v>
      </c>
      <c r="C3391">
        <v>36</v>
      </c>
      <c r="D3391" t="s">
        <v>57</v>
      </c>
      <c r="E3391" t="s">
        <v>48</v>
      </c>
      <c r="F3391" t="s">
        <v>32</v>
      </c>
      <c r="G3391" t="s">
        <v>24</v>
      </c>
      <c r="H3391" t="s">
        <v>34</v>
      </c>
      <c r="I3391" t="s">
        <v>96</v>
      </c>
      <c r="J3391" t="s">
        <v>44</v>
      </c>
      <c r="K3391">
        <v>4</v>
      </c>
      <c r="L3391">
        <v>77825</v>
      </c>
      <c r="M3391" t="s">
        <v>28</v>
      </c>
      <c r="N3391">
        <v>2</v>
      </c>
      <c r="O3391">
        <v>2</v>
      </c>
      <c r="P3391">
        <v>36</v>
      </c>
      <c r="Q3391">
        <v>1</v>
      </c>
      <c r="R3391" s="1">
        <v>43493</v>
      </c>
      <c r="S3391" t="s">
        <v>29</v>
      </c>
      <c r="T3391" t="str">
        <f t="shared" si="260"/>
        <v>Grade B</v>
      </c>
      <c r="U3391">
        <f t="shared" si="261"/>
        <v>3</v>
      </c>
      <c r="V3391" t="str">
        <f t="shared" si="262"/>
        <v>Junior</v>
      </c>
      <c r="W3391" t="str">
        <f t="shared" si="263"/>
        <v>Medium Risk</v>
      </c>
      <c r="X3391" t="str">
        <f t="shared" si="264"/>
        <v>Competitive</v>
      </c>
    </row>
    <row r="3392" spans="1:24" x14ac:dyDescent="0.3">
      <c r="A3392" t="s">
        <v>3460</v>
      </c>
      <c r="B3392" t="s">
        <v>20</v>
      </c>
      <c r="C3392">
        <v>45</v>
      </c>
      <c r="D3392" t="s">
        <v>57</v>
      </c>
      <c r="E3392" t="s">
        <v>40</v>
      </c>
      <c r="F3392" t="s">
        <v>65</v>
      </c>
      <c r="G3392" t="s">
        <v>42</v>
      </c>
      <c r="H3392" t="s">
        <v>83</v>
      </c>
      <c r="I3392" t="s">
        <v>80</v>
      </c>
      <c r="J3392" t="s">
        <v>60</v>
      </c>
      <c r="K3392">
        <v>6</v>
      </c>
      <c r="L3392">
        <v>100886</v>
      </c>
      <c r="M3392" t="s">
        <v>51</v>
      </c>
      <c r="N3392">
        <v>4</v>
      </c>
      <c r="O3392">
        <v>4</v>
      </c>
      <c r="P3392">
        <v>20</v>
      </c>
      <c r="Q3392">
        <v>0</v>
      </c>
      <c r="R3392" s="1">
        <v>42850</v>
      </c>
      <c r="S3392" t="s">
        <v>29</v>
      </c>
      <c r="T3392" t="str">
        <f t="shared" si="260"/>
        <v>Grade A</v>
      </c>
      <c r="U3392">
        <f t="shared" si="261"/>
        <v>4</v>
      </c>
      <c r="V3392" t="str">
        <f t="shared" si="262"/>
        <v>Mid Level</v>
      </c>
      <c r="W3392" t="str">
        <f t="shared" si="263"/>
        <v>Low Risk</v>
      </c>
      <c r="X3392" t="str">
        <f t="shared" si="264"/>
        <v>Competitive</v>
      </c>
    </row>
    <row r="3393" spans="1:24" x14ac:dyDescent="0.3">
      <c r="A3393" t="s">
        <v>3461</v>
      </c>
      <c r="B3393" t="s">
        <v>39</v>
      </c>
      <c r="C3393">
        <v>39</v>
      </c>
      <c r="D3393" t="s">
        <v>57</v>
      </c>
      <c r="E3393" t="s">
        <v>40</v>
      </c>
      <c r="F3393" t="s">
        <v>23</v>
      </c>
      <c r="G3393" t="s">
        <v>79</v>
      </c>
      <c r="H3393" t="s">
        <v>83</v>
      </c>
      <c r="I3393" t="s">
        <v>50</v>
      </c>
      <c r="J3393" t="s">
        <v>44</v>
      </c>
      <c r="K3393">
        <v>10</v>
      </c>
      <c r="L3393">
        <v>54016</v>
      </c>
      <c r="M3393" t="s">
        <v>45</v>
      </c>
      <c r="N3393">
        <v>2</v>
      </c>
      <c r="O3393">
        <v>2</v>
      </c>
      <c r="P3393">
        <v>36</v>
      </c>
      <c r="Q3393">
        <v>2</v>
      </c>
      <c r="R3393" s="1">
        <v>41447</v>
      </c>
      <c r="S3393" t="s">
        <v>29</v>
      </c>
      <c r="T3393" t="str">
        <f t="shared" si="260"/>
        <v>Grade B</v>
      </c>
      <c r="U3393">
        <f t="shared" si="261"/>
        <v>2</v>
      </c>
      <c r="V3393" t="str">
        <f t="shared" si="262"/>
        <v>Mid Level</v>
      </c>
      <c r="W3393" t="str">
        <f t="shared" si="263"/>
        <v>Medium Risk</v>
      </c>
      <c r="X3393" t="str">
        <f t="shared" si="264"/>
        <v>Fair</v>
      </c>
    </row>
    <row r="3394" spans="1:24" x14ac:dyDescent="0.3">
      <c r="A3394" t="s">
        <v>3462</v>
      </c>
      <c r="B3394" t="s">
        <v>39</v>
      </c>
      <c r="C3394">
        <v>42</v>
      </c>
      <c r="D3394" t="s">
        <v>31</v>
      </c>
      <c r="E3394" t="s">
        <v>40</v>
      </c>
      <c r="F3394" t="s">
        <v>41</v>
      </c>
      <c r="G3394" t="s">
        <v>63</v>
      </c>
      <c r="H3394" t="s">
        <v>25</v>
      </c>
      <c r="I3394" t="s">
        <v>35</v>
      </c>
      <c r="J3394" t="s">
        <v>27</v>
      </c>
      <c r="K3394">
        <v>3</v>
      </c>
      <c r="L3394">
        <v>60295</v>
      </c>
      <c r="M3394" t="s">
        <v>51</v>
      </c>
      <c r="N3394">
        <v>3</v>
      </c>
      <c r="O3394">
        <v>1</v>
      </c>
      <c r="P3394">
        <v>12</v>
      </c>
      <c r="Q3394">
        <v>3</v>
      </c>
      <c r="R3394" s="1">
        <v>44082</v>
      </c>
      <c r="S3394" t="s">
        <v>29</v>
      </c>
      <c r="T3394" t="str">
        <f t="shared" ref="T3394:T3457" si="265">IF(L3394&gt;=80000,"Grade A",IF(L3394&gt;=50000,"Grade B",IF(L3394&gt;=35000,"Grade C","Grade D")))</f>
        <v>Grade B</v>
      </c>
      <c r="U3394">
        <f t="shared" ref="U3394:U3457" si="266">IF(M3394="Excellent",4,IF(M3394="Good",3,IF(M3394="Average",2,1)))</f>
        <v>4</v>
      </c>
      <c r="V3394" t="str">
        <f t="shared" ref="V3394:V3457" si="267">IF(K3394&lt;=2,"New Joiner",IF(K3394&lt;=5,"Junior",IF(K3394&lt;=10,"Mid Level","Senior")))</f>
        <v>Junior</v>
      </c>
      <c r="W3394" t="str">
        <f t="shared" ref="W3394:W3457" si="268">IF(S3394="Yes","Already Left",IF(AND(K3394&lt;=2,M3394="Poor"),"High Risk",IF(AND(K3394&lt;=5,M3394="Average"),"Medium Risk",IF(M3394="Excellent","Low Risk","Medium Risk"))))</f>
        <v>Low Risk</v>
      </c>
      <c r="X3394" t="str">
        <f t="shared" ref="X3394:X3457" si="269">IF(AND(L3394&gt;=80000,M3394="Excellent"),"Competitive",IF(AND(L3394&gt;=50000,M3394="Good"),"Competitive",IF(AND(L3394&lt;35000,M3394="Excellent"),"Underpaid",IF(AND(L3394&gt;=80000,M3394="Poor"),"Overpaid","Fair"))))</f>
        <v>Fair</v>
      </c>
    </row>
    <row r="3395" spans="1:24" x14ac:dyDescent="0.3">
      <c r="A3395" t="s">
        <v>3463</v>
      </c>
      <c r="B3395" t="s">
        <v>39</v>
      </c>
      <c r="C3395">
        <v>34</v>
      </c>
      <c r="D3395" t="s">
        <v>57</v>
      </c>
      <c r="E3395" t="s">
        <v>22</v>
      </c>
      <c r="F3395" t="s">
        <v>78</v>
      </c>
      <c r="G3395" t="s">
        <v>79</v>
      </c>
      <c r="H3395" t="s">
        <v>25</v>
      </c>
      <c r="I3395" t="s">
        <v>72</v>
      </c>
      <c r="J3395" t="s">
        <v>73</v>
      </c>
      <c r="K3395">
        <v>6</v>
      </c>
      <c r="L3395">
        <v>48946</v>
      </c>
      <c r="M3395" t="s">
        <v>36</v>
      </c>
      <c r="N3395">
        <v>3</v>
      </c>
      <c r="O3395">
        <v>3</v>
      </c>
      <c r="P3395">
        <v>42</v>
      </c>
      <c r="Q3395">
        <v>3</v>
      </c>
      <c r="R3395" s="1">
        <v>42988</v>
      </c>
      <c r="S3395" t="s">
        <v>29</v>
      </c>
      <c r="T3395" t="str">
        <f t="shared" si="265"/>
        <v>Grade C</v>
      </c>
      <c r="U3395">
        <f t="shared" si="266"/>
        <v>1</v>
      </c>
      <c r="V3395" t="str">
        <f t="shared" si="267"/>
        <v>Mid Level</v>
      </c>
      <c r="W3395" t="str">
        <f t="shared" si="268"/>
        <v>Medium Risk</v>
      </c>
      <c r="X3395" t="str">
        <f t="shared" si="269"/>
        <v>Fair</v>
      </c>
    </row>
    <row r="3396" spans="1:24" x14ac:dyDescent="0.3">
      <c r="A3396" t="s">
        <v>3464</v>
      </c>
      <c r="B3396" t="s">
        <v>20</v>
      </c>
      <c r="C3396">
        <v>41</v>
      </c>
      <c r="D3396" t="s">
        <v>21</v>
      </c>
      <c r="E3396" t="s">
        <v>40</v>
      </c>
      <c r="F3396" t="s">
        <v>65</v>
      </c>
      <c r="G3396" t="s">
        <v>49</v>
      </c>
      <c r="H3396" t="s">
        <v>83</v>
      </c>
      <c r="I3396" t="s">
        <v>35</v>
      </c>
      <c r="J3396" t="s">
        <v>27</v>
      </c>
      <c r="K3396">
        <v>11</v>
      </c>
      <c r="L3396">
        <v>79749</v>
      </c>
      <c r="M3396" t="s">
        <v>51</v>
      </c>
      <c r="N3396">
        <v>3</v>
      </c>
      <c r="O3396">
        <v>2</v>
      </c>
      <c r="P3396">
        <v>38</v>
      </c>
      <c r="Q3396">
        <v>1</v>
      </c>
      <c r="R3396" s="1">
        <v>41152</v>
      </c>
      <c r="S3396" t="s">
        <v>37</v>
      </c>
      <c r="T3396" t="str">
        <f t="shared" si="265"/>
        <v>Grade B</v>
      </c>
      <c r="U3396">
        <f t="shared" si="266"/>
        <v>4</v>
      </c>
      <c r="V3396" t="str">
        <f t="shared" si="267"/>
        <v>Senior</v>
      </c>
      <c r="W3396" t="str">
        <f t="shared" si="268"/>
        <v>Already Left</v>
      </c>
      <c r="X3396" t="str">
        <f t="shared" si="269"/>
        <v>Fair</v>
      </c>
    </row>
    <row r="3397" spans="1:24" x14ac:dyDescent="0.3">
      <c r="A3397" t="s">
        <v>3465</v>
      </c>
      <c r="B3397" t="s">
        <v>20</v>
      </c>
      <c r="C3397">
        <v>24</v>
      </c>
      <c r="D3397" t="s">
        <v>21</v>
      </c>
      <c r="E3397" t="s">
        <v>22</v>
      </c>
      <c r="F3397" t="s">
        <v>62</v>
      </c>
      <c r="G3397" t="s">
        <v>79</v>
      </c>
      <c r="H3397" t="s">
        <v>25</v>
      </c>
      <c r="I3397" t="s">
        <v>43</v>
      </c>
      <c r="J3397" t="s">
        <v>44</v>
      </c>
      <c r="K3397">
        <v>1</v>
      </c>
      <c r="L3397">
        <v>47398</v>
      </c>
      <c r="M3397" t="s">
        <v>36</v>
      </c>
      <c r="N3397">
        <v>4</v>
      </c>
      <c r="O3397">
        <v>3</v>
      </c>
      <c r="P3397">
        <v>34</v>
      </c>
      <c r="Q3397">
        <v>3</v>
      </c>
      <c r="R3397" s="1">
        <v>44810</v>
      </c>
      <c r="S3397" t="s">
        <v>37</v>
      </c>
      <c r="T3397" t="str">
        <f t="shared" si="265"/>
        <v>Grade C</v>
      </c>
      <c r="U3397">
        <f t="shared" si="266"/>
        <v>1</v>
      </c>
      <c r="V3397" t="str">
        <f t="shared" si="267"/>
        <v>New Joiner</v>
      </c>
      <c r="W3397" t="str">
        <f t="shared" si="268"/>
        <v>Already Left</v>
      </c>
      <c r="X3397" t="str">
        <f t="shared" si="269"/>
        <v>Fair</v>
      </c>
    </row>
    <row r="3398" spans="1:24" x14ac:dyDescent="0.3">
      <c r="A3398" t="s">
        <v>3466</v>
      </c>
      <c r="B3398" t="s">
        <v>39</v>
      </c>
      <c r="C3398">
        <v>31</v>
      </c>
      <c r="D3398" t="s">
        <v>57</v>
      </c>
      <c r="E3398" t="s">
        <v>22</v>
      </c>
      <c r="F3398" t="s">
        <v>65</v>
      </c>
      <c r="G3398" t="s">
        <v>24</v>
      </c>
      <c r="H3398" t="s">
        <v>25</v>
      </c>
      <c r="I3398" t="s">
        <v>50</v>
      </c>
      <c r="J3398" t="s">
        <v>44</v>
      </c>
      <c r="K3398">
        <v>2</v>
      </c>
      <c r="L3398">
        <v>84498</v>
      </c>
      <c r="M3398" t="s">
        <v>36</v>
      </c>
      <c r="N3398">
        <v>4</v>
      </c>
      <c r="O3398">
        <v>4</v>
      </c>
      <c r="P3398">
        <v>50</v>
      </c>
      <c r="Q3398">
        <v>3</v>
      </c>
      <c r="R3398" s="1">
        <v>44522</v>
      </c>
      <c r="S3398" t="s">
        <v>37</v>
      </c>
      <c r="T3398" t="str">
        <f t="shared" si="265"/>
        <v>Grade A</v>
      </c>
      <c r="U3398">
        <f t="shared" si="266"/>
        <v>1</v>
      </c>
      <c r="V3398" t="str">
        <f t="shared" si="267"/>
        <v>New Joiner</v>
      </c>
      <c r="W3398" t="str">
        <f t="shared" si="268"/>
        <v>Already Left</v>
      </c>
      <c r="X3398" t="str">
        <f t="shared" si="269"/>
        <v>Overpaid</v>
      </c>
    </row>
    <row r="3399" spans="1:24" x14ac:dyDescent="0.3">
      <c r="A3399" t="s">
        <v>3467</v>
      </c>
      <c r="B3399" t="s">
        <v>20</v>
      </c>
      <c r="C3399">
        <v>22</v>
      </c>
      <c r="D3399" t="s">
        <v>88</v>
      </c>
      <c r="E3399" t="s">
        <v>48</v>
      </c>
      <c r="F3399" t="s">
        <v>23</v>
      </c>
      <c r="G3399" t="s">
        <v>79</v>
      </c>
      <c r="H3399" t="s">
        <v>76</v>
      </c>
      <c r="I3399" t="s">
        <v>54</v>
      </c>
      <c r="J3399" t="s">
        <v>27</v>
      </c>
      <c r="K3399">
        <v>5</v>
      </c>
      <c r="L3399">
        <v>56562</v>
      </c>
      <c r="M3399" t="s">
        <v>51</v>
      </c>
      <c r="N3399">
        <v>4</v>
      </c>
      <c r="O3399">
        <v>4</v>
      </c>
      <c r="P3399">
        <v>22</v>
      </c>
      <c r="Q3399">
        <v>0</v>
      </c>
      <c r="R3399" s="1">
        <v>43152</v>
      </c>
      <c r="S3399" t="s">
        <v>29</v>
      </c>
      <c r="T3399" t="str">
        <f t="shared" si="265"/>
        <v>Grade B</v>
      </c>
      <c r="U3399">
        <f t="shared" si="266"/>
        <v>4</v>
      </c>
      <c r="V3399" t="str">
        <f t="shared" si="267"/>
        <v>Junior</v>
      </c>
      <c r="W3399" t="str">
        <f t="shared" si="268"/>
        <v>Low Risk</v>
      </c>
      <c r="X3399" t="str">
        <f t="shared" si="269"/>
        <v>Fair</v>
      </c>
    </row>
    <row r="3400" spans="1:24" x14ac:dyDescent="0.3">
      <c r="A3400" t="s">
        <v>3468</v>
      </c>
      <c r="B3400" t="s">
        <v>20</v>
      </c>
      <c r="C3400">
        <v>41</v>
      </c>
      <c r="D3400" t="s">
        <v>47</v>
      </c>
      <c r="E3400" t="s">
        <v>48</v>
      </c>
      <c r="F3400" t="s">
        <v>53</v>
      </c>
      <c r="G3400" t="s">
        <v>79</v>
      </c>
      <c r="H3400" t="s">
        <v>34</v>
      </c>
      <c r="I3400" t="s">
        <v>35</v>
      </c>
      <c r="J3400" t="s">
        <v>27</v>
      </c>
      <c r="K3400">
        <v>14</v>
      </c>
      <c r="L3400">
        <v>58570</v>
      </c>
      <c r="M3400" t="s">
        <v>28</v>
      </c>
      <c r="N3400">
        <v>2</v>
      </c>
      <c r="O3400">
        <v>1</v>
      </c>
      <c r="P3400">
        <v>73</v>
      </c>
      <c r="Q3400">
        <v>2</v>
      </c>
      <c r="R3400" s="1">
        <v>40022</v>
      </c>
      <c r="S3400" t="s">
        <v>29</v>
      </c>
      <c r="T3400" t="str">
        <f t="shared" si="265"/>
        <v>Grade B</v>
      </c>
      <c r="U3400">
        <f t="shared" si="266"/>
        <v>3</v>
      </c>
      <c r="V3400" t="str">
        <f t="shared" si="267"/>
        <v>Senior</v>
      </c>
      <c r="W3400" t="str">
        <f t="shared" si="268"/>
        <v>Medium Risk</v>
      </c>
      <c r="X3400" t="str">
        <f t="shared" si="269"/>
        <v>Competitive</v>
      </c>
    </row>
    <row r="3401" spans="1:24" x14ac:dyDescent="0.3">
      <c r="A3401" t="s">
        <v>3469</v>
      </c>
      <c r="B3401" t="s">
        <v>20</v>
      </c>
      <c r="C3401">
        <v>28</v>
      </c>
      <c r="D3401" t="s">
        <v>88</v>
      </c>
      <c r="E3401" t="s">
        <v>40</v>
      </c>
      <c r="F3401" t="s">
        <v>32</v>
      </c>
      <c r="G3401" t="s">
        <v>42</v>
      </c>
      <c r="H3401" t="s">
        <v>76</v>
      </c>
      <c r="I3401" t="s">
        <v>59</v>
      </c>
      <c r="J3401" t="s">
        <v>60</v>
      </c>
      <c r="K3401">
        <v>2</v>
      </c>
      <c r="L3401">
        <v>107948</v>
      </c>
      <c r="M3401" t="s">
        <v>28</v>
      </c>
      <c r="N3401">
        <v>4</v>
      </c>
      <c r="O3401">
        <v>1</v>
      </c>
      <c r="P3401">
        <v>70</v>
      </c>
      <c r="Q3401">
        <v>2</v>
      </c>
      <c r="R3401" s="1">
        <v>44306</v>
      </c>
      <c r="S3401" t="s">
        <v>29</v>
      </c>
      <c r="T3401" t="str">
        <f t="shared" si="265"/>
        <v>Grade A</v>
      </c>
      <c r="U3401">
        <f t="shared" si="266"/>
        <v>3</v>
      </c>
      <c r="V3401" t="str">
        <f t="shared" si="267"/>
        <v>New Joiner</v>
      </c>
      <c r="W3401" t="str">
        <f t="shared" si="268"/>
        <v>Medium Risk</v>
      </c>
      <c r="X3401" t="str">
        <f t="shared" si="269"/>
        <v>Competitive</v>
      </c>
    </row>
    <row r="3402" spans="1:24" x14ac:dyDescent="0.3">
      <c r="A3402" t="s">
        <v>3470</v>
      </c>
      <c r="B3402" t="s">
        <v>20</v>
      </c>
      <c r="C3402">
        <v>32</v>
      </c>
      <c r="D3402" t="s">
        <v>47</v>
      </c>
      <c r="E3402" t="s">
        <v>22</v>
      </c>
      <c r="F3402" t="s">
        <v>75</v>
      </c>
      <c r="G3402" t="s">
        <v>66</v>
      </c>
      <c r="H3402" t="s">
        <v>67</v>
      </c>
      <c r="I3402" t="s">
        <v>43</v>
      </c>
      <c r="J3402" t="s">
        <v>44</v>
      </c>
      <c r="K3402">
        <v>15</v>
      </c>
      <c r="L3402">
        <v>64006</v>
      </c>
      <c r="M3402" t="s">
        <v>45</v>
      </c>
      <c r="N3402">
        <v>4</v>
      </c>
      <c r="O3402">
        <v>2</v>
      </c>
      <c r="P3402">
        <v>53</v>
      </c>
      <c r="Q3402">
        <v>2</v>
      </c>
      <c r="R3402" s="1">
        <v>39622</v>
      </c>
      <c r="S3402" t="s">
        <v>29</v>
      </c>
      <c r="T3402" t="str">
        <f t="shared" si="265"/>
        <v>Grade B</v>
      </c>
      <c r="U3402">
        <f t="shared" si="266"/>
        <v>2</v>
      </c>
      <c r="V3402" t="str">
        <f t="shared" si="267"/>
        <v>Senior</v>
      </c>
      <c r="W3402" t="str">
        <f t="shared" si="268"/>
        <v>Medium Risk</v>
      </c>
      <c r="X3402" t="str">
        <f t="shared" si="269"/>
        <v>Fair</v>
      </c>
    </row>
    <row r="3403" spans="1:24" x14ac:dyDescent="0.3">
      <c r="A3403" t="s">
        <v>3471</v>
      </c>
      <c r="B3403" t="s">
        <v>20</v>
      </c>
      <c r="C3403">
        <v>45</v>
      </c>
      <c r="D3403" t="s">
        <v>57</v>
      </c>
      <c r="E3403" t="s">
        <v>40</v>
      </c>
      <c r="F3403" t="s">
        <v>32</v>
      </c>
      <c r="G3403" t="s">
        <v>66</v>
      </c>
      <c r="H3403" t="s">
        <v>83</v>
      </c>
      <c r="I3403" t="s">
        <v>35</v>
      </c>
      <c r="J3403" t="s">
        <v>27</v>
      </c>
      <c r="K3403">
        <v>4</v>
      </c>
      <c r="L3403">
        <v>50521</v>
      </c>
      <c r="M3403" t="s">
        <v>51</v>
      </c>
      <c r="N3403">
        <v>2</v>
      </c>
      <c r="O3403">
        <v>3</v>
      </c>
      <c r="P3403">
        <v>47</v>
      </c>
      <c r="Q3403">
        <v>0</v>
      </c>
      <c r="R3403" s="1">
        <v>43493</v>
      </c>
      <c r="S3403" t="s">
        <v>37</v>
      </c>
      <c r="T3403" t="str">
        <f t="shared" si="265"/>
        <v>Grade B</v>
      </c>
      <c r="U3403">
        <f t="shared" si="266"/>
        <v>4</v>
      </c>
      <c r="V3403" t="str">
        <f t="shared" si="267"/>
        <v>Junior</v>
      </c>
      <c r="W3403" t="str">
        <f t="shared" si="268"/>
        <v>Already Left</v>
      </c>
      <c r="X3403" t="str">
        <f t="shared" si="269"/>
        <v>Fair</v>
      </c>
    </row>
    <row r="3404" spans="1:24" x14ac:dyDescent="0.3">
      <c r="A3404" t="s">
        <v>3472</v>
      </c>
      <c r="B3404" t="s">
        <v>20</v>
      </c>
      <c r="C3404">
        <v>32</v>
      </c>
      <c r="D3404" t="s">
        <v>57</v>
      </c>
      <c r="E3404" t="s">
        <v>48</v>
      </c>
      <c r="F3404" t="s">
        <v>65</v>
      </c>
      <c r="G3404" t="s">
        <v>49</v>
      </c>
      <c r="H3404" t="s">
        <v>67</v>
      </c>
      <c r="I3404" t="s">
        <v>50</v>
      </c>
      <c r="J3404" t="s">
        <v>44</v>
      </c>
      <c r="K3404">
        <v>9</v>
      </c>
      <c r="L3404">
        <v>60799</v>
      </c>
      <c r="M3404" t="s">
        <v>45</v>
      </c>
      <c r="N3404">
        <v>2</v>
      </c>
      <c r="O3404">
        <v>3</v>
      </c>
      <c r="P3404">
        <v>16</v>
      </c>
      <c r="Q3404">
        <v>3</v>
      </c>
      <c r="R3404" s="1">
        <v>41912</v>
      </c>
      <c r="S3404" t="s">
        <v>29</v>
      </c>
      <c r="T3404" t="str">
        <f t="shared" si="265"/>
        <v>Grade B</v>
      </c>
      <c r="U3404">
        <f t="shared" si="266"/>
        <v>2</v>
      </c>
      <c r="V3404" t="str">
        <f t="shared" si="267"/>
        <v>Mid Level</v>
      </c>
      <c r="W3404" t="str">
        <f t="shared" si="268"/>
        <v>Medium Risk</v>
      </c>
      <c r="X3404" t="str">
        <f t="shared" si="269"/>
        <v>Fair</v>
      </c>
    </row>
    <row r="3405" spans="1:24" x14ac:dyDescent="0.3">
      <c r="A3405" t="s">
        <v>3473</v>
      </c>
      <c r="B3405" t="s">
        <v>20</v>
      </c>
      <c r="C3405">
        <v>50</v>
      </c>
      <c r="D3405" t="s">
        <v>21</v>
      </c>
      <c r="E3405" t="s">
        <v>22</v>
      </c>
      <c r="F3405" t="s">
        <v>32</v>
      </c>
      <c r="G3405" t="s">
        <v>79</v>
      </c>
      <c r="H3405" t="s">
        <v>67</v>
      </c>
      <c r="I3405" t="s">
        <v>54</v>
      </c>
      <c r="J3405" t="s">
        <v>27</v>
      </c>
      <c r="K3405">
        <v>9</v>
      </c>
      <c r="L3405">
        <v>60652</v>
      </c>
      <c r="M3405" t="s">
        <v>51</v>
      </c>
      <c r="N3405">
        <v>1</v>
      </c>
      <c r="O3405">
        <v>2</v>
      </c>
      <c r="P3405">
        <v>46</v>
      </c>
      <c r="Q3405">
        <v>0</v>
      </c>
      <c r="R3405" s="1">
        <v>41963</v>
      </c>
      <c r="S3405" t="s">
        <v>29</v>
      </c>
      <c r="T3405" t="str">
        <f t="shared" si="265"/>
        <v>Grade B</v>
      </c>
      <c r="U3405">
        <f t="shared" si="266"/>
        <v>4</v>
      </c>
      <c r="V3405" t="str">
        <f t="shared" si="267"/>
        <v>Mid Level</v>
      </c>
      <c r="W3405" t="str">
        <f t="shared" si="268"/>
        <v>Low Risk</v>
      </c>
      <c r="X3405" t="str">
        <f t="shared" si="269"/>
        <v>Fair</v>
      </c>
    </row>
    <row r="3406" spans="1:24" x14ac:dyDescent="0.3">
      <c r="A3406" t="s">
        <v>3474</v>
      </c>
      <c r="B3406" t="s">
        <v>20</v>
      </c>
      <c r="C3406">
        <v>38</v>
      </c>
      <c r="D3406" t="s">
        <v>21</v>
      </c>
      <c r="E3406" t="s">
        <v>48</v>
      </c>
      <c r="F3406" t="s">
        <v>23</v>
      </c>
      <c r="G3406" t="s">
        <v>79</v>
      </c>
      <c r="H3406" t="s">
        <v>76</v>
      </c>
      <c r="I3406" t="s">
        <v>68</v>
      </c>
      <c r="J3406" t="s">
        <v>60</v>
      </c>
      <c r="K3406">
        <v>7</v>
      </c>
      <c r="L3406">
        <v>60321</v>
      </c>
      <c r="M3406" t="s">
        <v>28</v>
      </c>
      <c r="N3406">
        <v>1</v>
      </c>
      <c r="O3406">
        <v>3</v>
      </c>
      <c r="P3406">
        <v>77</v>
      </c>
      <c r="Q3406">
        <v>0</v>
      </c>
      <c r="R3406" s="1">
        <v>42574</v>
      </c>
      <c r="S3406" t="s">
        <v>29</v>
      </c>
      <c r="T3406" t="str">
        <f t="shared" si="265"/>
        <v>Grade B</v>
      </c>
      <c r="U3406">
        <f t="shared" si="266"/>
        <v>3</v>
      </c>
      <c r="V3406" t="str">
        <f t="shared" si="267"/>
        <v>Mid Level</v>
      </c>
      <c r="W3406" t="str">
        <f t="shared" si="268"/>
        <v>Medium Risk</v>
      </c>
      <c r="X3406" t="str">
        <f t="shared" si="269"/>
        <v>Competitive</v>
      </c>
    </row>
    <row r="3407" spans="1:24" x14ac:dyDescent="0.3">
      <c r="A3407" t="s">
        <v>3475</v>
      </c>
      <c r="B3407" t="s">
        <v>39</v>
      </c>
      <c r="C3407">
        <v>29</v>
      </c>
      <c r="D3407" t="s">
        <v>31</v>
      </c>
      <c r="E3407" t="s">
        <v>40</v>
      </c>
      <c r="F3407" t="s">
        <v>23</v>
      </c>
      <c r="G3407" t="s">
        <v>79</v>
      </c>
      <c r="H3407" t="s">
        <v>83</v>
      </c>
      <c r="I3407" t="s">
        <v>50</v>
      </c>
      <c r="J3407" t="s">
        <v>44</v>
      </c>
      <c r="K3407">
        <v>15</v>
      </c>
      <c r="L3407">
        <v>67460</v>
      </c>
      <c r="M3407" t="s">
        <v>51</v>
      </c>
      <c r="N3407">
        <v>1</v>
      </c>
      <c r="O3407">
        <v>3</v>
      </c>
      <c r="P3407">
        <v>11</v>
      </c>
      <c r="Q3407">
        <v>0</v>
      </c>
      <c r="R3407" s="1">
        <v>39787</v>
      </c>
      <c r="S3407" t="s">
        <v>29</v>
      </c>
      <c r="T3407" t="str">
        <f t="shared" si="265"/>
        <v>Grade B</v>
      </c>
      <c r="U3407">
        <f t="shared" si="266"/>
        <v>4</v>
      </c>
      <c r="V3407" t="str">
        <f t="shared" si="267"/>
        <v>Senior</v>
      </c>
      <c r="W3407" t="str">
        <f t="shared" si="268"/>
        <v>Low Risk</v>
      </c>
      <c r="X3407" t="str">
        <f t="shared" si="269"/>
        <v>Fair</v>
      </c>
    </row>
    <row r="3408" spans="1:24" x14ac:dyDescent="0.3">
      <c r="A3408" t="s">
        <v>3476</v>
      </c>
      <c r="B3408" t="s">
        <v>39</v>
      </c>
      <c r="C3408">
        <v>51</v>
      </c>
      <c r="D3408" t="s">
        <v>57</v>
      </c>
      <c r="E3408" t="s">
        <v>22</v>
      </c>
      <c r="F3408" t="s">
        <v>32</v>
      </c>
      <c r="G3408" t="s">
        <v>66</v>
      </c>
      <c r="H3408" t="s">
        <v>34</v>
      </c>
      <c r="I3408" t="s">
        <v>26</v>
      </c>
      <c r="J3408" t="s">
        <v>27</v>
      </c>
      <c r="K3408">
        <v>2</v>
      </c>
      <c r="L3408">
        <v>47303</v>
      </c>
      <c r="M3408" t="s">
        <v>28</v>
      </c>
      <c r="N3408">
        <v>3</v>
      </c>
      <c r="O3408">
        <v>3</v>
      </c>
      <c r="P3408">
        <v>41</v>
      </c>
      <c r="Q3408">
        <v>3</v>
      </c>
      <c r="R3408" s="1">
        <v>44265</v>
      </c>
      <c r="S3408" t="s">
        <v>37</v>
      </c>
      <c r="T3408" t="str">
        <f t="shared" si="265"/>
        <v>Grade C</v>
      </c>
      <c r="U3408">
        <f t="shared" si="266"/>
        <v>3</v>
      </c>
      <c r="V3408" t="str">
        <f t="shared" si="267"/>
        <v>New Joiner</v>
      </c>
      <c r="W3408" t="str">
        <f t="shared" si="268"/>
        <v>Already Left</v>
      </c>
      <c r="X3408" t="str">
        <f t="shared" si="269"/>
        <v>Fair</v>
      </c>
    </row>
    <row r="3409" spans="1:24" x14ac:dyDescent="0.3">
      <c r="A3409" t="s">
        <v>3477</v>
      </c>
      <c r="B3409" t="s">
        <v>20</v>
      </c>
      <c r="C3409">
        <v>34</v>
      </c>
      <c r="D3409" t="s">
        <v>47</v>
      </c>
      <c r="E3409" t="s">
        <v>48</v>
      </c>
      <c r="F3409" t="s">
        <v>62</v>
      </c>
      <c r="G3409" t="s">
        <v>42</v>
      </c>
      <c r="H3409" t="s">
        <v>25</v>
      </c>
      <c r="I3409" t="s">
        <v>43</v>
      </c>
      <c r="J3409" t="s">
        <v>44</v>
      </c>
      <c r="K3409">
        <v>2</v>
      </c>
      <c r="L3409">
        <v>102968</v>
      </c>
      <c r="M3409" t="s">
        <v>36</v>
      </c>
      <c r="N3409">
        <v>3</v>
      </c>
      <c r="O3409">
        <v>4</v>
      </c>
      <c r="P3409">
        <v>49</v>
      </c>
      <c r="Q3409">
        <v>3</v>
      </c>
      <c r="R3409" s="1">
        <v>44512</v>
      </c>
      <c r="S3409" t="s">
        <v>29</v>
      </c>
      <c r="T3409" t="str">
        <f t="shared" si="265"/>
        <v>Grade A</v>
      </c>
      <c r="U3409">
        <f t="shared" si="266"/>
        <v>1</v>
      </c>
      <c r="V3409" t="str">
        <f t="shared" si="267"/>
        <v>New Joiner</v>
      </c>
      <c r="W3409" t="str">
        <f t="shared" si="268"/>
        <v>High Risk</v>
      </c>
      <c r="X3409" t="str">
        <f t="shared" si="269"/>
        <v>Overpaid</v>
      </c>
    </row>
    <row r="3410" spans="1:24" x14ac:dyDescent="0.3">
      <c r="A3410" t="s">
        <v>3478</v>
      </c>
      <c r="B3410" t="s">
        <v>39</v>
      </c>
      <c r="C3410">
        <v>54</v>
      </c>
      <c r="D3410" t="s">
        <v>47</v>
      </c>
      <c r="E3410" t="s">
        <v>22</v>
      </c>
      <c r="F3410" t="s">
        <v>41</v>
      </c>
      <c r="G3410" t="s">
        <v>79</v>
      </c>
      <c r="H3410" t="s">
        <v>25</v>
      </c>
      <c r="I3410" t="s">
        <v>50</v>
      </c>
      <c r="J3410" t="s">
        <v>44</v>
      </c>
      <c r="K3410">
        <v>12</v>
      </c>
      <c r="L3410">
        <v>73767</v>
      </c>
      <c r="M3410" t="s">
        <v>36</v>
      </c>
      <c r="N3410">
        <v>2</v>
      </c>
      <c r="O3410">
        <v>4</v>
      </c>
      <c r="P3410">
        <v>54</v>
      </c>
      <c r="Q3410">
        <v>3</v>
      </c>
      <c r="R3410" s="1">
        <v>40568</v>
      </c>
      <c r="S3410" t="s">
        <v>29</v>
      </c>
      <c r="T3410" t="str">
        <f t="shared" si="265"/>
        <v>Grade B</v>
      </c>
      <c r="U3410">
        <f t="shared" si="266"/>
        <v>1</v>
      </c>
      <c r="V3410" t="str">
        <f t="shared" si="267"/>
        <v>Senior</v>
      </c>
      <c r="W3410" t="str">
        <f t="shared" si="268"/>
        <v>Medium Risk</v>
      </c>
      <c r="X3410" t="str">
        <f t="shared" si="269"/>
        <v>Fair</v>
      </c>
    </row>
    <row r="3411" spans="1:24" x14ac:dyDescent="0.3">
      <c r="A3411" t="s">
        <v>3479</v>
      </c>
      <c r="B3411" t="s">
        <v>39</v>
      </c>
      <c r="C3411">
        <v>46</v>
      </c>
      <c r="D3411" t="s">
        <v>88</v>
      </c>
      <c r="E3411" t="s">
        <v>40</v>
      </c>
      <c r="F3411" t="s">
        <v>78</v>
      </c>
      <c r="G3411" t="s">
        <v>79</v>
      </c>
      <c r="H3411" t="s">
        <v>34</v>
      </c>
      <c r="I3411" t="s">
        <v>26</v>
      </c>
      <c r="J3411" t="s">
        <v>27</v>
      </c>
      <c r="K3411">
        <v>9</v>
      </c>
      <c r="L3411">
        <v>52443</v>
      </c>
      <c r="M3411" t="s">
        <v>36</v>
      </c>
      <c r="N3411">
        <v>2</v>
      </c>
      <c r="O3411">
        <v>4</v>
      </c>
      <c r="P3411">
        <v>67</v>
      </c>
      <c r="Q3411">
        <v>0</v>
      </c>
      <c r="R3411" s="1">
        <v>41797</v>
      </c>
      <c r="S3411" t="s">
        <v>37</v>
      </c>
      <c r="T3411" t="str">
        <f t="shared" si="265"/>
        <v>Grade B</v>
      </c>
      <c r="U3411">
        <f t="shared" si="266"/>
        <v>1</v>
      </c>
      <c r="V3411" t="str">
        <f t="shared" si="267"/>
        <v>Mid Level</v>
      </c>
      <c r="W3411" t="str">
        <f t="shared" si="268"/>
        <v>Already Left</v>
      </c>
      <c r="X3411" t="str">
        <f t="shared" si="269"/>
        <v>Fair</v>
      </c>
    </row>
    <row r="3412" spans="1:24" x14ac:dyDescent="0.3">
      <c r="A3412" t="s">
        <v>3480</v>
      </c>
      <c r="B3412" t="s">
        <v>20</v>
      </c>
      <c r="C3412">
        <v>50</v>
      </c>
      <c r="D3412" t="s">
        <v>31</v>
      </c>
      <c r="E3412" t="s">
        <v>40</v>
      </c>
      <c r="F3412" t="s">
        <v>75</v>
      </c>
      <c r="G3412" t="s">
        <v>42</v>
      </c>
      <c r="H3412" t="s">
        <v>76</v>
      </c>
      <c r="I3412" t="s">
        <v>35</v>
      </c>
      <c r="J3412" t="s">
        <v>27</v>
      </c>
      <c r="K3412">
        <v>8</v>
      </c>
      <c r="L3412">
        <v>118662</v>
      </c>
      <c r="M3412" t="s">
        <v>45</v>
      </c>
      <c r="N3412">
        <v>4</v>
      </c>
      <c r="O3412">
        <v>4</v>
      </c>
      <c r="P3412">
        <v>65</v>
      </c>
      <c r="Q3412">
        <v>3</v>
      </c>
      <c r="R3412" s="1">
        <v>42182</v>
      </c>
      <c r="S3412" t="s">
        <v>29</v>
      </c>
      <c r="T3412" t="str">
        <f t="shared" si="265"/>
        <v>Grade A</v>
      </c>
      <c r="U3412">
        <f t="shared" si="266"/>
        <v>2</v>
      </c>
      <c r="V3412" t="str">
        <f t="shared" si="267"/>
        <v>Mid Level</v>
      </c>
      <c r="W3412" t="str">
        <f t="shared" si="268"/>
        <v>Medium Risk</v>
      </c>
      <c r="X3412" t="str">
        <f t="shared" si="269"/>
        <v>Fair</v>
      </c>
    </row>
    <row r="3413" spans="1:24" x14ac:dyDescent="0.3">
      <c r="A3413" t="s">
        <v>3481</v>
      </c>
      <c r="B3413" t="s">
        <v>39</v>
      </c>
      <c r="C3413">
        <v>52</v>
      </c>
      <c r="D3413" t="s">
        <v>47</v>
      </c>
      <c r="E3413" t="s">
        <v>22</v>
      </c>
      <c r="F3413" t="s">
        <v>23</v>
      </c>
      <c r="G3413" t="s">
        <v>58</v>
      </c>
      <c r="H3413" t="s">
        <v>83</v>
      </c>
      <c r="I3413" t="s">
        <v>59</v>
      </c>
      <c r="J3413" t="s">
        <v>60</v>
      </c>
      <c r="K3413">
        <v>6</v>
      </c>
      <c r="L3413">
        <v>100483</v>
      </c>
      <c r="M3413" t="s">
        <v>36</v>
      </c>
      <c r="N3413">
        <v>2</v>
      </c>
      <c r="O3413">
        <v>3</v>
      </c>
      <c r="P3413">
        <v>69</v>
      </c>
      <c r="Q3413">
        <v>2</v>
      </c>
      <c r="R3413" s="1">
        <v>43004</v>
      </c>
      <c r="S3413" t="s">
        <v>37</v>
      </c>
      <c r="T3413" t="str">
        <f t="shared" si="265"/>
        <v>Grade A</v>
      </c>
      <c r="U3413">
        <f t="shared" si="266"/>
        <v>1</v>
      </c>
      <c r="V3413" t="str">
        <f t="shared" si="267"/>
        <v>Mid Level</v>
      </c>
      <c r="W3413" t="str">
        <f t="shared" si="268"/>
        <v>Already Left</v>
      </c>
      <c r="X3413" t="str">
        <f t="shared" si="269"/>
        <v>Overpaid</v>
      </c>
    </row>
    <row r="3414" spans="1:24" x14ac:dyDescent="0.3">
      <c r="A3414" t="s">
        <v>3482</v>
      </c>
      <c r="B3414" t="s">
        <v>39</v>
      </c>
      <c r="C3414">
        <v>45</v>
      </c>
      <c r="D3414" t="s">
        <v>31</v>
      </c>
      <c r="E3414" t="s">
        <v>48</v>
      </c>
      <c r="F3414" t="s">
        <v>53</v>
      </c>
      <c r="G3414" t="s">
        <v>63</v>
      </c>
      <c r="H3414" t="s">
        <v>76</v>
      </c>
      <c r="I3414" t="s">
        <v>26</v>
      </c>
      <c r="J3414" t="s">
        <v>27</v>
      </c>
      <c r="K3414">
        <v>9</v>
      </c>
      <c r="L3414">
        <v>64070</v>
      </c>
      <c r="M3414" t="s">
        <v>36</v>
      </c>
      <c r="N3414">
        <v>1</v>
      </c>
      <c r="O3414">
        <v>3</v>
      </c>
      <c r="P3414">
        <v>29</v>
      </c>
      <c r="Q3414">
        <v>0</v>
      </c>
      <c r="R3414" s="1">
        <v>41779</v>
      </c>
      <c r="S3414" t="s">
        <v>37</v>
      </c>
      <c r="T3414" t="str">
        <f t="shared" si="265"/>
        <v>Grade B</v>
      </c>
      <c r="U3414">
        <f t="shared" si="266"/>
        <v>1</v>
      </c>
      <c r="V3414" t="str">
        <f t="shared" si="267"/>
        <v>Mid Level</v>
      </c>
      <c r="W3414" t="str">
        <f t="shared" si="268"/>
        <v>Already Left</v>
      </c>
      <c r="X3414" t="str">
        <f t="shared" si="269"/>
        <v>Fair</v>
      </c>
    </row>
    <row r="3415" spans="1:24" x14ac:dyDescent="0.3">
      <c r="A3415" t="s">
        <v>3483</v>
      </c>
      <c r="B3415" t="s">
        <v>20</v>
      </c>
      <c r="C3415">
        <v>32</v>
      </c>
      <c r="D3415" t="s">
        <v>88</v>
      </c>
      <c r="E3415" t="s">
        <v>40</v>
      </c>
      <c r="F3415" t="s">
        <v>32</v>
      </c>
      <c r="G3415" t="s">
        <v>49</v>
      </c>
      <c r="H3415" t="s">
        <v>67</v>
      </c>
      <c r="I3415" t="s">
        <v>96</v>
      </c>
      <c r="J3415" t="s">
        <v>44</v>
      </c>
      <c r="K3415">
        <v>4</v>
      </c>
      <c r="L3415">
        <v>48099</v>
      </c>
      <c r="M3415" t="s">
        <v>51</v>
      </c>
      <c r="N3415">
        <v>1</v>
      </c>
      <c r="O3415">
        <v>2</v>
      </c>
      <c r="P3415">
        <v>30</v>
      </c>
      <c r="Q3415">
        <v>2</v>
      </c>
      <c r="R3415" s="1">
        <v>43569</v>
      </c>
      <c r="S3415" t="s">
        <v>29</v>
      </c>
      <c r="T3415" t="str">
        <f t="shared" si="265"/>
        <v>Grade C</v>
      </c>
      <c r="U3415">
        <f t="shared" si="266"/>
        <v>4</v>
      </c>
      <c r="V3415" t="str">
        <f t="shared" si="267"/>
        <v>Junior</v>
      </c>
      <c r="W3415" t="str">
        <f t="shared" si="268"/>
        <v>Low Risk</v>
      </c>
      <c r="X3415" t="str">
        <f t="shared" si="269"/>
        <v>Fair</v>
      </c>
    </row>
    <row r="3416" spans="1:24" x14ac:dyDescent="0.3">
      <c r="A3416" t="s">
        <v>3484</v>
      </c>
      <c r="B3416" t="s">
        <v>39</v>
      </c>
      <c r="C3416">
        <v>22</v>
      </c>
      <c r="D3416" t="s">
        <v>57</v>
      </c>
      <c r="E3416" t="s">
        <v>22</v>
      </c>
      <c r="F3416" t="s">
        <v>78</v>
      </c>
      <c r="G3416" t="s">
        <v>49</v>
      </c>
      <c r="H3416" t="s">
        <v>76</v>
      </c>
      <c r="I3416" t="s">
        <v>72</v>
      </c>
      <c r="J3416" t="s">
        <v>73</v>
      </c>
      <c r="K3416">
        <v>1</v>
      </c>
      <c r="L3416">
        <v>58323</v>
      </c>
      <c r="M3416" t="s">
        <v>28</v>
      </c>
      <c r="N3416">
        <v>2</v>
      </c>
      <c r="O3416">
        <v>1</v>
      </c>
      <c r="P3416">
        <v>54</v>
      </c>
      <c r="Q3416">
        <v>2</v>
      </c>
      <c r="R3416" s="1">
        <v>44703</v>
      </c>
      <c r="S3416" t="s">
        <v>37</v>
      </c>
      <c r="T3416" t="str">
        <f t="shared" si="265"/>
        <v>Grade B</v>
      </c>
      <c r="U3416">
        <f t="shared" si="266"/>
        <v>3</v>
      </c>
      <c r="V3416" t="str">
        <f t="shared" si="267"/>
        <v>New Joiner</v>
      </c>
      <c r="W3416" t="str">
        <f t="shared" si="268"/>
        <v>Already Left</v>
      </c>
      <c r="X3416" t="str">
        <f t="shared" si="269"/>
        <v>Competitive</v>
      </c>
    </row>
    <row r="3417" spans="1:24" x14ac:dyDescent="0.3">
      <c r="A3417" t="s">
        <v>3485</v>
      </c>
      <c r="B3417" t="s">
        <v>20</v>
      </c>
      <c r="C3417">
        <v>47</v>
      </c>
      <c r="D3417" t="s">
        <v>57</v>
      </c>
      <c r="E3417" t="s">
        <v>22</v>
      </c>
      <c r="F3417" t="s">
        <v>62</v>
      </c>
      <c r="G3417" t="s">
        <v>33</v>
      </c>
      <c r="H3417" t="s">
        <v>25</v>
      </c>
      <c r="I3417" t="s">
        <v>59</v>
      </c>
      <c r="J3417" t="s">
        <v>60</v>
      </c>
      <c r="K3417">
        <v>10</v>
      </c>
      <c r="L3417">
        <v>80167</v>
      </c>
      <c r="M3417" t="s">
        <v>51</v>
      </c>
      <c r="N3417">
        <v>1</v>
      </c>
      <c r="O3417">
        <v>4</v>
      </c>
      <c r="P3417">
        <v>30</v>
      </c>
      <c r="Q3417">
        <v>2</v>
      </c>
      <c r="R3417" s="1">
        <v>41641</v>
      </c>
      <c r="S3417" t="s">
        <v>29</v>
      </c>
      <c r="T3417" t="str">
        <f t="shared" si="265"/>
        <v>Grade A</v>
      </c>
      <c r="U3417">
        <f t="shared" si="266"/>
        <v>4</v>
      </c>
      <c r="V3417" t="str">
        <f t="shared" si="267"/>
        <v>Mid Level</v>
      </c>
      <c r="W3417" t="str">
        <f t="shared" si="268"/>
        <v>Low Risk</v>
      </c>
      <c r="X3417" t="str">
        <f t="shared" si="269"/>
        <v>Competitive</v>
      </c>
    </row>
    <row r="3418" spans="1:24" x14ac:dyDescent="0.3">
      <c r="A3418" t="s">
        <v>3486</v>
      </c>
      <c r="B3418" t="s">
        <v>20</v>
      </c>
      <c r="C3418">
        <v>28</v>
      </c>
      <c r="D3418" t="s">
        <v>57</v>
      </c>
      <c r="E3418" t="s">
        <v>22</v>
      </c>
      <c r="F3418" t="s">
        <v>65</v>
      </c>
      <c r="G3418" t="s">
        <v>42</v>
      </c>
      <c r="H3418" t="s">
        <v>34</v>
      </c>
      <c r="I3418" t="s">
        <v>54</v>
      </c>
      <c r="J3418" t="s">
        <v>27</v>
      </c>
      <c r="K3418">
        <v>4</v>
      </c>
      <c r="L3418">
        <v>99620</v>
      </c>
      <c r="M3418" t="s">
        <v>36</v>
      </c>
      <c r="N3418">
        <v>4</v>
      </c>
      <c r="O3418">
        <v>4</v>
      </c>
      <c r="P3418">
        <v>32</v>
      </c>
      <c r="Q3418">
        <v>2</v>
      </c>
      <c r="R3418" s="1">
        <v>43808</v>
      </c>
      <c r="S3418" t="s">
        <v>37</v>
      </c>
      <c r="T3418" t="str">
        <f t="shared" si="265"/>
        <v>Grade A</v>
      </c>
      <c r="U3418">
        <f t="shared" si="266"/>
        <v>1</v>
      </c>
      <c r="V3418" t="str">
        <f t="shared" si="267"/>
        <v>Junior</v>
      </c>
      <c r="W3418" t="str">
        <f t="shared" si="268"/>
        <v>Already Left</v>
      </c>
      <c r="X3418" t="str">
        <f t="shared" si="269"/>
        <v>Overpaid</v>
      </c>
    </row>
    <row r="3419" spans="1:24" x14ac:dyDescent="0.3">
      <c r="A3419" t="s">
        <v>3487</v>
      </c>
      <c r="B3419" t="s">
        <v>20</v>
      </c>
      <c r="C3419">
        <v>49</v>
      </c>
      <c r="D3419" t="s">
        <v>57</v>
      </c>
      <c r="E3419" t="s">
        <v>22</v>
      </c>
      <c r="F3419" t="s">
        <v>75</v>
      </c>
      <c r="G3419" t="s">
        <v>79</v>
      </c>
      <c r="H3419" t="s">
        <v>67</v>
      </c>
      <c r="I3419" t="s">
        <v>50</v>
      </c>
      <c r="J3419" t="s">
        <v>44</v>
      </c>
      <c r="K3419">
        <v>1</v>
      </c>
      <c r="L3419">
        <v>40080</v>
      </c>
      <c r="M3419" t="s">
        <v>36</v>
      </c>
      <c r="N3419">
        <v>1</v>
      </c>
      <c r="O3419">
        <v>1</v>
      </c>
      <c r="P3419">
        <v>75</v>
      </c>
      <c r="Q3419">
        <v>3</v>
      </c>
      <c r="R3419" s="1">
        <v>44737</v>
      </c>
      <c r="S3419" t="s">
        <v>37</v>
      </c>
      <c r="T3419" t="str">
        <f t="shared" si="265"/>
        <v>Grade C</v>
      </c>
      <c r="U3419">
        <f t="shared" si="266"/>
        <v>1</v>
      </c>
      <c r="V3419" t="str">
        <f t="shared" si="267"/>
        <v>New Joiner</v>
      </c>
      <c r="W3419" t="str">
        <f t="shared" si="268"/>
        <v>Already Left</v>
      </c>
      <c r="X3419" t="str">
        <f t="shared" si="269"/>
        <v>Fair</v>
      </c>
    </row>
    <row r="3420" spans="1:24" x14ac:dyDescent="0.3">
      <c r="A3420" t="s">
        <v>3488</v>
      </c>
      <c r="B3420" t="s">
        <v>39</v>
      </c>
      <c r="C3420">
        <v>24</v>
      </c>
      <c r="D3420" t="s">
        <v>57</v>
      </c>
      <c r="E3420" t="s">
        <v>22</v>
      </c>
      <c r="F3420" t="s">
        <v>78</v>
      </c>
      <c r="G3420" t="s">
        <v>66</v>
      </c>
      <c r="H3420" t="s">
        <v>83</v>
      </c>
      <c r="I3420" t="s">
        <v>26</v>
      </c>
      <c r="J3420" t="s">
        <v>27</v>
      </c>
      <c r="K3420">
        <v>5</v>
      </c>
      <c r="L3420">
        <v>54992</v>
      </c>
      <c r="M3420" t="s">
        <v>51</v>
      </c>
      <c r="N3420">
        <v>1</v>
      </c>
      <c r="O3420">
        <v>2</v>
      </c>
      <c r="P3420">
        <v>32</v>
      </c>
      <c r="Q3420">
        <v>0</v>
      </c>
      <c r="R3420" s="1">
        <v>43161</v>
      </c>
      <c r="S3420" t="s">
        <v>29</v>
      </c>
      <c r="T3420" t="str">
        <f t="shared" si="265"/>
        <v>Grade B</v>
      </c>
      <c r="U3420">
        <f t="shared" si="266"/>
        <v>4</v>
      </c>
      <c r="V3420" t="str">
        <f t="shared" si="267"/>
        <v>Junior</v>
      </c>
      <c r="W3420" t="str">
        <f t="shared" si="268"/>
        <v>Low Risk</v>
      </c>
      <c r="X3420" t="str">
        <f t="shared" si="269"/>
        <v>Fair</v>
      </c>
    </row>
    <row r="3421" spans="1:24" x14ac:dyDescent="0.3">
      <c r="A3421" t="s">
        <v>3489</v>
      </c>
      <c r="B3421" t="s">
        <v>39</v>
      </c>
      <c r="C3421">
        <v>27</v>
      </c>
      <c r="D3421" t="s">
        <v>57</v>
      </c>
      <c r="E3421" t="s">
        <v>22</v>
      </c>
      <c r="F3421" t="s">
        <v>41</v>
      </c>
      <c r="G3421" t="s">
        <v>66</v>
      </c>
      <c r="H3421" t="s">
        <v>34</v>
      </c>
      <c r="I3421" t="s">
        <v>59</v>
      </c>
      <c r="J3421" t="s">
        <v>60</v>
      </c>
      <c r="K3421">
        <v>1</v>
      </c>
      <c r="L3421">
        <v>28145</v>
      </c>
      <c r="M3421" t="s">
        <v>36</v>
      </c>
      <c r="N3421">
        <v>3</v>
      </c>
      <c r="O3421">
        <v>1</v>
      </c>
      <c r="P3421">
        <v>71</v>
      </c>
      <c r="Q3421">
        <v>2</v>
      </c>
      <c r="R3421" s="1">
        <v>44730</v>
      </c>
      <c r="S3421" t="s">
        <v>37</v>
      </c>
      <c r="T3421" t="str">
        <f t="shared" si="265"/>
        <v>Grade D</v>
      </c>
      <c r="U3421">
        <f t="shared" si="266"/>
        <v>1</v>
      </c>
      <c r="V3421" t="str">
        <f t="shared" si="267"/>
        <v>New Joiner</v>
      </c>
      <c r="W3421" t="str">
        <f t="shared" si="268"/>
        <v>Already Left</v>
      </c>
      <c r="X3421" t="str">
        <f t="shared" si="269"/>
        <v>Fair</v>
      </c>
    </row>
    <row r="3422" spans="1:24" x14ac:dyDescent="0.3">
      <c r="A3422" t="s">
        <v>3490</v>
      </c>
      <c r="B3422" t="s">
        <v>39</v>
      </c>
      <c r="C3422">
        <v>35</v>
      </c>
      <c r="D3422" t="s">
        <v>31</v>
      </c>
      <c r="E3422" t="s">
        <v>48</v>
      </c>
      <c r="F3422" t="s">
        <v>62</v>
      </c>
      <c r="G3422" t="s">
        <v>42</v>
      </c>
      <c r="H3422" t="s">
        <v>76</v>
      </c>
      <c r="I3422" t="s">
        <v>26</v>
      </c>
      <c r="J3422" t="s">
        <v>27</v>
      </c>
      <c r="K3422">
        <v>6</v>
      </c>
      <c r="L3422">
        <v>107736</v>
      </c>
      <c r="M3422" t="s">
        <v>45</v>
      </c>
      <c r="N3422">
        <v>1</v>
      </c>
      <c r="O3422">
        <v>4</v>
      </c>
      <c r="P3422">
        <v>48</v>
      </c>
      <c r="Q3422">
        <v>0</v>
      </c>
      <c r="R3422" s="1">
        <v>43009</v>
      </c>
      <c r="S3422" t="s">
        <v>37</v>
      </c>
      <c r="T3422" t="str">
        <f t="shared" si="265"/>
        <v>Grade A</v>
      </c>
      <c r="U3422">
        <f t="shared" si="266"/>
        <v>2</v>
      </c>
      <c r="V3422" t="str">
        <f t="shared" si="267"/>
        <v>Mid Level</v>
      </c>
      <c r="W3422" t="str">
        <f t="shared" si="268"/>
        <v>Already Left</v>
      </c>
      <c r="X3422" t="str">
        <f t="shared" si="269"/>
        <v>Fair</v>
      </c>
    </row>
    <row r="3423" spans="1:24" x14ac:dyDescent="0.3">
      <c r="A3423" t="s">
        <v>3491</v>
      </c>
      <c r="B3423" t="s">
        <v>20</v>
      </c>
      <c r="C3423">
        <v>41</v>
      </c>
      <c r="D3423" t="s">
        <v>88</v>
      </c>
      <c r="E3423" t="s">
        <v>48</v>
      </c>
      <c r="F3423" t="s">
        <v>75</v>
      </c>
      <c r="G3423" t="s">
        <v>49</v>
      </c>
      <c r="H3423" t="s">
        <v>76</v>
      </c>
      <c r="I3423" t="s">
        <v>72</v>
      </c>
      <c r="J3423" t="s">
        <v>73</v>
      </c>
      <c r="K3423">
        <v>1</v>
      </c>
      <c r="L3423">
        <v>54512</v>
      </c>
      <c r="M3423" t="s">
        <v>28</v>
      </c>
      <c r="N3423">
        <v>3</v>
      </c>
      <c r="O3423">
        <v>1</v>
      </c>
      <c r="P3423">
        <v>16</v>
      </c>
      <c r="Q3423">
        <v>3</v>
      </c>
      <c r="R3423" s="1">
        <v>44808</v>
      </c>
      <c r="S3423" t="s">
        <v>29</v>
      </c>
      <c r="T3423" t="str">
        <f t="shared" si="265"/>
        <v>Grade B</v>
      </c>
      <c r="U3423">
        <f t="shared" si="266"/>
        <v>3</v>
      </c>
      <c r="V3423" t="str">
        <f t="shared" si="267"/>
        <v>New Joiner</v>
      </c>
      <c r="W3423" t="str">
        <f t="shared" si="268"/>
        <v>Medium Risk</v>
      </c>
      <c r="X3423" t="str">
        <f t="shared" si="269"/>
        <v>Competitive</v>
      </c>
    </row>
    <row r="3424" spans="1:24" x14ac:dyDescent="0.3">
      <c r="A3424" t="s">
        <v>3492</v>
      </c>
      <c r="B3424" t="s">
        <v>39</v>
      </c>
      <c r="C3424">
        <v>48</v>
      </c>
      <c r="D3424" t="s">
        <v>31</v>
      </c>
      <c r="E3424" t="s">
        <v>22</v>
      </c>
      <c r="F3424" t="s">
        <v>62</v>
      </c>
      <c r="G3424" t="s">
        <v>66</v>
      </c>
      <c r="H3424" t="s">
        <v>67</v>
      </c>
      <c r="I3424" t="s">
        <v>80</v>
      </c>
      <c r="J3424" t="s">
        <v>60</v>
      </c>
      <c r="K3424">
        <v>3</v>
      </c>
      <c r="L3424">
        <v>31047</v>
      </c>
      <c r="M3424" t="s">
        <v>45</v>
      </c>
      <c r="N3424">
        <v>4</v>
      </c>
      <c r="O3424">
        <v>3</v>
      </c>
      <c r="P3424">
        <v>69</v>
      </c>
      <c r="Q3424">
        <v>0</v>
      </c>
      <c r="R3424" s="1">
        <v>43907</v>
      </c>
      <c r="S3424" t="s">
        <v>37</v>
      </c>
      <c r="T3424" t="str">
        <f t="shared" si="265"/>
        <v>Grade D</v>
      </c>
      <c r="U3424">
        <f t="shared" si="266"/>
        <v>2</v>
      </c>
      <c r="V3424" t="str">
        <f t="shared" si="267"/>
        <v>Junior</v>
      </c>
      <c r="W3424" t="str">
        <f t="shared" si="268"/>
        <v>Already Left</v>
      </c>
      <c r="X3424" t="str">
        <f t="shared" si="269"/>
        <v>Fair</v>
      </c>
    </row>
    <row r="3425" spans="1:24" x14ac:dyDescent="0.3">
      <c r="A3425" t="s">
        <v>3493</v>
      </c>
      <c r="B3425" t="s">
        <v>39</v>
      </c>
      <c r="C3425">
        <v>38</v>
      </c>
      <c r="D3425" t="s">
        <v>21</v>
      </c>
      <c r="E3425" t="s">
        <v>48</v>
      </c>
      <c r="F3425" t="s">
        <v>75</v>
      </c>
      <c r="G3425" t="s">
        <v>33</v>
      </c>
      <c r="H3425" t="s">
        <v>34</v>
      </c>
      <c r="I3425" t="s">
        <v>43</v>
      </c>
      <c r="J3425" t="s">
        <v>44</v>
      </c>
      <c r="K3425">
        <v>14</v>
      </c>
      <c r="L3425">
        <v>93907</v>
      </c>
      <c r="M3425" t="s">
        <v>36</v>
      </c>
      <c r="N3425">
        <v>3</v>
      </c>
      <c r="O3425">
        <v>2</v>
      </c>
      <c r="P3425">
        <v>45</v>
      </c>
      <c r="Q3425">
        <v>2</v>
      </c>
      <c r="R3425" s="1">
        <v>40132</v>
      </c>
      <c r="S3425" t="s">
        <v>29</v>
      </c>
      <c r="T3425" t="str">
        <f t="shared" si="265"/>
        <v>Grade A</v>
      </c>
      <c r="U3425">
        <f t="shared" si="266"/>
        <v>1</v>
      </c>
      <c r="V3425" t="str">
        <f t="shared" si="267"/>
        <v>Senior</v>
      </c>
      <c r="W3425" t="str">
        <f t="shared" si="268"/>
        <v>Medium Risk</v>
      </c>
      <c r="X3425" t="str">
        <f t="shared" si="269"/>
        <v>Overpaid</v>
      </c>
    </row>
    <row r="3426" spans="1:24" x14ac:dyDescent="0.3">
      <c r="A3426" t="s">
        <v>3494</v>
      </c>
      <c r="B3426" t="s">
        <v>39</v>
      </c>
      <c r="C3426">
        <v>38</v>
      </c>
      <c r="D3426" t="s">
        <v>47</v>
      </c>
      <c r="E3426" t="s">
        <v>48</v>
      </c>
      <c r="F3426" t="s">
        <v>75</v>
      </c>
      <c r="G3426" t="s">
        <v>66</v>
      </c>
      <c r="H3426" t="s">
        <v>25</v>
      </c>
      <c r="I3426" t="s">
        <v>35</v>
      </c>
      <c r="J3426" t="s">
        <v>27</v>
      </c>
      <c r="K3426">
        <v>11</v>
      </c>
      <c r="L3426">
        <v>54080</v>
      </c>
      <c r="M3426" t="s">
        <v>51</v>
      </c>
      <c r="N3426">
        <v>1</v>
      </c>
      <c r="O3426">
        <v>3</v>
      </c>
      <c r="P3426">
        <v>15</v>
      </c>
      <c r="Q3426">
        <v>3</v>
      </c>
      <c r="R3426" s="1">
        <v>41265</v>
      </c>
      <c r="S3426" t="s">
        <v>29</v>
      </c>
      <c r="T3426" t="str">
        <f t="shared" si="265"/>
        <v>Grade B</v>
      </c>
      <c r="U3426">
        <f t="shared" si="266"/>
        <v>4</v>
      </c>
      <c r="V3426" t="str">
        <f t="shared" si="267"/>
        <v>Senior</v>
      </c>
      <c r="W3426" t="str">
        <f t="shared" si="268"/>
        <v>Low Risk</v>
      </c>
      <c r="X3426" t="str">
        <f t="shared" si="269"/>
        <v>Fair</v>
      </c>
    </row>
    <row r="3427" spans="1:24" x14ac:dyDescent="0.3">
      <c r="A3427" t="s">
        <v>3495</v>
      </c>
      <c r="B3427" t="s">
        <v>39</v>
      </c>
      <c r="C3427">
        <v>51</v>
      </c>
      <c r="D3427" t="s">
        <v>21</v>
      </c>
      <c r="E3427" t="s">
        <v>22</v>
      </c>
      <c r="F3427" t="s">
        <v>53</v>
      </c>
      <c r="G3427" t="s">
        <v>63</v>
      </c>
      <c r="H3427" t="s">
        <v>34</v>
      </c>
      <c r="I3427" t="s">
        <v>59</v>
      </c>
      <c r="J3427" t="s">
        <v>60</v>
      </c>
      <c r="K3427">
        <v>11</v>
      </c>
      <c r="L3427">
        <v>68927</v>
      </c>
      <c r="M3427" t="s">
        <v>45</v>
      </c>
      <c r="N3427">
        <v>1</v>
      </c>
      <c r="O3427">
        <v>3</v>
      </c>
      <c r="P3427">
        <v>23</v>
      </c>
      <c r="Q3427">
        <v>1</v>
      </c>
      <c r="R3427" s="1">
        <v>41173</v>
      </c>
      <c r="S3427" t="s">
        <v>37</v>
      </c>
      <c r="T3427" t="str">
        <f t="shared" si="265"/>
        <v>Grade B</v>
      </c>
      <c r="U3427">
        <f t="shared" si="266"/>
        <v>2</v>
      </c>
      <c r="V3427" t="str">
        <f t="shared" si="267"/>
        <v>Senior</v>
      </c>
      <c r="W3427" t="str">
        <f t="shared" si="268"/>
        <v>Already Left</v>
      </c>
      <c r="X3427" t="str">
        <f t="shared" si="269"/>
        <v>Fair</v>
      </c>
    </row>
    <row r="3428" spans="1:24" x14ac:dyDescent="0.3">
      <c r="A3428" t="s">
        <v>3496</v>
      </c>
      <c r="B3428" t="s">
        <v>39</v>
      </c>
      <c r="C3428">
        <v>32</v>
      </c>
      <c r="D3428" t="s">
        <v>21</v>
      </c>
      <c r="E3428" t="s">
        <v>48</v>
      </c>
      <c r="F3428" t="s">
        <v>62</v>
      </c>
      <c r="G3428" t="s">
        <v>33</v>
      </c>
      <c r="H3428" t="s">
        <v>67</v>
      </c>
      <c r="I3428" t="s">
        <v>43</v>
      </c>
      <c r="J3428" t="s">
        <v>44</v>
      </c>
      <c r="K3428">
        <v>13</v>
      </c>
      <c r="L3428">
        <v>76847</v>
      </c>
      <c r="M3428" t="s">
        <v>45</v>
      </c>
      <c r="N3428">
        <v>1</v>
      </c>
      <c r="O3428">
        <v>1</v>
      </c>
      <c r="P3428">
        <v>59</v>
      </c>
      <c r="Q3428">
        <v>1</v>
      </c>
      <c r="R3428" s="1">
        <v>40260</v>
      </c>
      <c r="S3428" t="s">
        <v>29</v>
      </c>
      <c r="T3428" t="str">
        <f t="shared" si="265"/>
        <v>Grade B</v>
      </c>
      <c r="U3428">
        <f t="shared" si="266"/>
        <v>2</v>
      </c>
      <c r="V3428" t="str">
        <f t="shared" si="267"/>
        <v>Senior</v>
      </c>
      <c r="W3428" t="str">
        <f t="shared" si="268"/>
        <v>Medium Risk</v>
      </c>
      <c r="X3428" t="str">
        <f t="shared" si="269"/>
        <v>Fair</v>
      </c>
    </row>
    <row r="3429" spans="1:24" x14ac:dyDescent="0.3">
      <c r="A3429" t="s">
        <v>3497</v>
      </c>
      <c r="B3429" t="s">
        <v>20</v>
      </c>
      <c r="C3429">
        <v>45</v>
      </c>
      <c r="D3429" t="s">
        <v>57</v>
      </c>
      <c r="E3429" t="s">
        <v>40</v>
      </c>
      <c r="F3429" t="s">
        <v>53</v>
      </c>
      <c r="G3429" t="s">
        <v>66</v>
      </c>
      <c r="H3429" t="s">
        <v>67</v>
      </c>
      <c r="I3429" t="s">
        <v>59</v>
      </c>
      <c r="J3429" t="s">
        <v>60</v>
      </c>
      <c r="K3429">
        <v>3</v>
      </c>
      <c r="L3429">
        <v>50088</v>
      </c>
      <c r="M3429" t="s">
        <v>36</v>
      </c>
      <c r="N3429">
        <v>1</v>
      </c>
      <c r="O3429">
        <v>1</v>
      </c>
      <c r="P3429">
        <v>31</v>
      </c>
      <c r="Q3429">
        <v>2</v>
      </c>
      <c r="R3429" s="1">
        <v>43915</v>
      </c>
      <c r="S3429" t="s">
        <v>37</v>
      </c>
      <c r="T3429" t="str">
        <f t="shared" si="265"/>
        <v>Grade B</v>
      </c>
      <c r="U3429">
        <f t="shared" si="266"/>
        <v>1</v>
      </c>
      <c r="V3429" t="str">
        <f t="shared" si="267"/>
        <v>Junior</v>
      </c>
      <c r="W3429" t="str">
        <f t="shared" si="268"/>
        <v>Already Left</v>
      </c>
      <c r="X3429" t="str">
        <f t="shared" si="269"/>
        <v>Fair</v>
      </c>
    </row>
    <row r="3430" spans="1:24" x14ac:dyDescent="0.3">
      <c r="A3430" t="s">
        <v>3498</v>
      </c>
      <c r="B3430" t="s">
        <v>39</v>
      </c>
      <c r="C3430">
        <v>54</v>
      </c>
      <c r="D3430" t="s">
        <v>47</v>
      </c>
      <c r="E3430" t="s">
        <v>40</v>
      </c>
      <c r="F3430" t="s">
        <v>41</v>
      </c>
      <c r="G3430" t="s">
        <v>58</v>
      </c>
      <c r="H3430" t="s">
        <v>67</v>
      </c>
      <c r="I3430" t="s">
        <v>54</v>
      </c>
      <c r="J3430" t="s">
        <v>27</v>
      </c>
      <c r="K3430">
        <v>1</v>
      </c>
      <c r="L3430">
        <v>91011</v>
      </c>
      <c r="M3430" t="s">
        <v>28</v>
      </c>
      <c r="N3430">
        <v>2</v>
      </c>
      <c r="O3430">
        <v>3</v>
      </c>
      <c r="P3430">
        <v>56</v>
      </c>
      <c r="Q3430">
        <v>0</v>
      </c>
      <c r="R3430" s="1">
        <v>44805</v>
      </c>
      <c r="S3430" t="s">
        <v>29</v>
      </c>
      <c r="T3430" t="str">
        <f t="shared" si="265"/>
        <v>Grade A</v>
      </c>
      <c r="U3430">
        <f t="shared" si="266"/>
        <v>3</v>
      </c>
      <c r="V3430" t="str">
        <f t="shared" si="267"/>
        <v>New Joiner</v>
      </c>
      <c r="W3430" t="str">
        <f t="shared" si="268"/>
        <v>Medium Risk</v>
      </c>
      <c r="X3430" t="str">
        <f t="shared" si="269"/>
        <v>Competitive</v>
      </c>
    </row>
    <row r="3431" spans="1:24" x14ac:dyDescent="0.3">
      <c r="A3431" t="s">
        <v>3499</v>
      </c>
      <c r="B3431" t="s">
        <v>20</v>
      </c>
      <c r="C3431">
        <v>22</v>
      </c>
      <c r="D3431" t="s">
        <v>57</v>
      </c>
      <c r="E3431" t="s">
        <v>40</v>
      </c>
      <c r="F3431" t="s">
        <v>78</v>
      </c>
      <c r="G3431" t="s">
        <v>33</v>
      </c>
      <c r="H3431" t="s">
        <v>34</v>
      </c>
      <c r="I3431" t="s">
        <v>43</v>
      </c>
      <c r="J3431" t="s">
        <v>44</v>
      </c>
      <c r="K3431">
        <v>8</v>
      </c>
      <c r="L3431">
        <v>79106</v>
      </c>
      <c r="M3431" t="s">
        <v>51</v>
      </c>
      <c r="N3431">
        <v>1</v>
      </c>
      <c r="O3431">
        <v>1</v>
      </c>
      <c r="P3431">
        <v>70</v>
      </c>
      <c r="Q3431">
        <v>1</v>
      </c>
      <c r="R3431" s="1">
        <v>42023</v>
      </c>
      <c r="S3431" t="s">
        <v>37</v>
      </c>
      <c r="T3431" t="str">
        <f t="shared" si="265"/>
        <v>Grade B</v>
      </c>
      <c r="U3431">
        <f t="shared" si="266"/>
        <v>4</v>
      </c>
      <c r="V3431" t="str">
        <f t="shared" si="267"/>
        <v>Mid Level</v>
      </c>
      <c r="W3431" t="str">
        <f t="shared" si="268"/>
        <v>Already Left</v>
      </c>
      <c r="X3431" t="str">
        <f t="shared" si="269"/>
        <v>Fair</v>
      </c>
    </row>
    <row r="3432" spans="1:24" x14ac:dyDescent="0.3">
      <c r="A3432" t="s">
        <v>3500</v>
      </c>
      <c r="B3432" t="s">
        <v>39</v>
      </c>
      <c r="C3432">
        <v>45</v>
      </c>
      <c r="D3432" t="s">
        <v>47</v>
      </c>
      <c r="E3432" t="s">
        <v>22</v>
      </c>
      <c r="F3432" t="s">
        <v>53</v>
      </c>
      <c r="G3432" t="s">
        <v>66</v>
      </c>
      <c r="H3432" t="s">
        <v>67</v>
      </c>
      <c r="I3432" t="s">
        <v>54</v>
      </c>
      <c r="J3432" t="s">
        <v>27</v>
      </c>
      <c r="K3432">
        <v>12</v>
      </c>
      <c r="L3432">
        <v>67513</v>
      </c>
      <c r="M3432" t="s">
        <v>28</v>
      </c>
      <c r="N3432">
        <v>3</v>
      </c>
      <c r="O3432">
        <v>2</v>
      </c>
      <c r="P3432">
        <v>55</v>
      </c>
      <c r="Q3432">
        <v>3</v>
      </c>
      <c r="R3432" s="1">
        <v>40785</v>
      </c>
      <c r="S3432" t="s">
        <v>37</v>
      </c>
      <c r="T3432" t="str">
        <f t="shared" si="265"/>
        <v>Grade B</v>
      </c>
      <c r="U3432">
        <f t="shared" si="266"/>
        <v>3</v>
      </c>
      <c r="V3432" t="str">
        <f t="shared" si="267"/>
        <v>Senior</v>
      </c>
      <c r="W3432" t="str">
        <f t="shared" si="268"/>
        <v>Already Left</v>
      </c>
      <c r="X3432" t="str">
        <f t="shared" si="269"/>
        <v>Competitive</v>
      </c>
    </row>
    <row r="3433" spans="1:24" x14ac:dyDescent="0.3">
      <c r="A3433" t="s">
        <v>3501</v>
      </c>
      <c r="B3433" t="s">
        <v>20</v>
      </c>
      <c r="C3433">
        <v>28</v>
      </c>
      <c r="D3433" t="s">
        <v>31</v>
      </c>
      <c r="E3433" t="s">
        <v>48</v>
      </c>
      <c r="F3433" t="s">
        <v>78</v>
      </c>
      <c r="G3433" t="s">
        <v>58</v>
      </c>
      <c r="H3433" t="s">
        <v>67</v>
      </c>
      <c r="I3433" t="s">
        <v>68</v>
      </c>
      <c r="J3433" t="s">
        <v>60</v>
      </c>
      <c r="K3433">
        <v>6</v>
      </c>
      <c r="L3433">
        <v>95934</v>
      </c>
      <c r="M3433" t="s">
        <v>45</v>
      </c>
      <c r="N3433">
        <v>4</v>
      </c>
      <c r="O3433">
        <v>1</v>
      </c>
      <c r="P3433">
        <v>64</v>
      </c>
      <c r="Q3433">
        <v>1</v>
      </c>
      <c r="R3433" s="1">
        <v>42808</v>
      </c>
      <c r="S3433" t="s">
        <v>37</v>
      </c>
      <c r="T3433" t="str">
        <f t="shared" si="265"/>
        <v>Grade A</v>
      </c>
      <c r="U3433">
        <f t="shared" si="266"/>
        <v>2</v>
      </c>
      <c r="V3433" t="str">
        <f t="shared" si="267"/>
        <v>Mid Level</v>
      </c>
      <c r="W3433" t="str">
        <f t="shared" si="268"/>
        <v>Already Left</v>
      </c>
      <c r="X3433" t="str">
        <f t="shared" si="269"/>
        <v>Fair</v>
      </c>
    </row>
    <row r="3434" spans="1:24" x14ac:dyDescent="0.3">
      <c r="A3434" t="s">
        <v>3502</v>
      </c>
      <c r="B3434" t="s">
        <v>39</v>
      </c>
      <c r="C3434">
        <v>47</v>
      </c>
      <c r="D3434" t="s">
        <v>47</v>
      </c>
      <c r="E3434" t="s">
        <v>48</v>
      </c>
      <c r="F3434" t="s">
        <v>53</v>
      </c>
      <c r="G3434" t="s">
        <v>42</v>
      </c>
      <c r="H3434" t="s">
        <v>83</v>
      </c>
      <c r="I3434" t="s">
        <v>35</v>
      </c>
      <c r="J3434" t="s">
        <v>27</v>
      </c>
      <c r="K3434">
        <v>5</v>
      </c>
      <c r="L3434">
        <v>107653</v>
      </c>
      <c r="M3434" t="s">
        <v>28</v>
      </c>
      <c r="N3434">
        <v>2</v>
      </c>
      <c r="O3434">
        <v>4</v>
      </c>
      <c r="P3434">
        <v>10</v>
      </c>
      <c r="Q3434">
        <v>1</v>
      </c>
      <c r="R3434" s="1">
        <v>43385</v>
      </c>
      <c r="S3434" t="s">
        <v>29</v>
      </c>
      <c r="T3434" t="str">
        <f t="shared" si="265"/>
        <v>Grade A</v>
      </c>
      <c r="U3434">
        <f t="shared" si="266"/>
        <v>3</v>
      </c>
      <c r="V3434" t="str">
        <f t="shared" si="267"/>
        <v>Junior</v>
      </c>
      <c r="W3434" t="str">
        <f t="shared" si="268"/>
        <v>Medium Risk</v>
      </c>
      <c r="X3434" t="str">
        <f t="shared" si="269"/>
        <v>Competitive</v>
      </c>
    </row>
    <row r="3435" spans="1:24" x14ac:dyDescent="0.3">
      <c r="A3435" t="s">
        <v>3503</v>
      </c>
      <c r="B3435" t="s">
        <v>39</v>
      </c>
      <c r="C3435">
        <v>38</v>
      </c>
      <c r="D3435" t="s">
        <v>47</v>
      </c>
      <c r="E3435" t="s">
        <v>48</v>
      </c>
      <c r="F3435" t="s">
        <v>75</v>
      </c>
      <c r="G3435" t="s">
        <v>49</v>
      </c>
      <c r="H3435" t="s">
        <v>25</v>
      </c>
      <c r="I3435" t="s">
        <v>35</v>
      </c>
      <c r="J3435" t="s">
        <v>27</v>
      </c>
      <c r="K3435">
        <v>15</v>
      </c>
      <c r="L3435">
        <v>74637</v>
      </c>
      <c r="M3435" t="s">
        <v>36</v>
      </c>
      <c r="N3435">
        <v>2</v>
      </c>
      <c r="O3435">
        <v>4</v>
      </c>
      <c r="P3435">
        <v>37</v>
      </c>
      <c r="Q3435">
        <v>3</v>
      </c>
      <c r="R3435" s="1">
        <v>39746</v>
      </c>
      <c r="S3435" t="s">
        <v>37</v>
      </c>
      <c r="T3435" t="str">
        <f t="shared" si="265"/>
        <v>Grade B</v>
      </c>
      <c r="U3435">
        <f t="shared" si="266"/>
        <v>1</v>
      </c>
      <c r="V3435" t="str">
        <f t="shared" si="267"/>
        <v>Senior</v>
      </c>
      <c r="W3435" t="str">
        <f t="shared" si="268"/>
        <v>Already Left</v>
      </c>
      <c r="X3435" t="str">
        <f t="shared" si="269"/>
        <v>Fair</v>
      </c>
    </row>
    <row r="3436" spans="1:24" x14ac:dyDescent="0.3">
      <c r="A3436" t="s">
        <v>3504</v>
      </c>
      <c r="B3436" t="s">
        <v>20</v>
      </c>
      <c r="C3436">
        <v>39</v>
      </c>
      <c r="D3436" t="s">
        <v>57</v>
      </c>
      <c r="E3436" t="s">
        <v>48</v>
      </c>
      <c r="F3436" t="s">
        <v>41</v>
      </c>
      <c r="G3436" t="s">
        <v>79</v>
      </c>
      <c r="H3436" t="s">
        <v>67</v>
      </c>
      <c r="I3436" t="s">
        <v>35</v>
      </c>
      <c r="J3436" t="s">
        <v>27</v>
      </c>
      <c r="K3436">
        <v>5</v>
      </c>
      <c r="L3436">
        <v>49620</v>
      </c>
      <c r="M3436" t="s">
        <v>45</v>
      </c>
      <c r="N3436">
        <v>1</v>
      </c>
      <c r="O3436">
        <v>3</v>
      </c>
      <c r="P3436">
        <v>43</v>
      </c>
      <c r="Q3436">
        <v>3</v>
      </c>
      <c r="R3436" s="1">
        <v>43398</v>
      </c>
      <c r="S3436" t="s">
        <v>29</v>
      </c>
      <c r="T3436" t="str">
        <f t="shared" si="265"/>
        <v>Grade C</v>
      </c>
      <c r="U3436">
        <f t="shared" si="266"/>
        <v>2</v>
      </c>
      <c r="V3436" t="str">
        <f t="shared" si="267"/>
        <v>Junior</v>
      </c>
      <c r="W3436" t="str">
        <f t="shared" si="268"/>
        <v>Medium Risk</v>
      </c>
      <c r="X3436" t="str">
        <f t="shared" si="269"/>
        <v>Fair</v>
      </c>
    </row>
    <row r="3437" spans="1:24" x14ac:dyDescent="0.3">
      <c r="A3437" t="s">
        <v>3505</v>
      </c>
      <c r="B3437" t="s">
        <v>20</v>
      </c>
      <c r="C3437">
        <v>51</v>
      </c>
      <c r="D3437" t="s">
        <v>88</v>
      </c>
      <c r="E3437" t="s">
        <v>48</v>
      </c>
      <c r="F3437" t="s">
        <v>41</v>
      </c>
      <c r="G3437" t="s">
        <v>49</v>
      </c>
      <c r="H3437" t="s">
        <v>76</v>
      </c>
      <c r="I3437" t="s">
        <v>80</v>
      </c>
      <c r="J3437" t="s">
        <v>60</v>
      </c>
      <c r="K3437">
        <v>5</v>
      </c>
      <c r="L3437">
        <v>58948</v>
      </c>
      <c r="M3437" t="s">
        <v>36</v>
      </c>
      <c r="N3437">
        <v>1</v>
      </c>
      <c r="O3437">
        <v>4</v>
      </c>
      <c r="P3437">
        <v>51</v>
      </c>
      <c r="Q3437">
        <v>1</v>
      </c>
      <c r="R3437" s="1">
        <v>43466</v>
      </c>
      <c r="S3437" t="s">
        <v>37</v>
      </c>
      <c r="T3437" t="str">
        <f t="shared" si="265"/>
        <v>Grade B</v>
      </c>
      <c r="U3437">
        <f t="shared" si="266"/>
        <v>1</v>
      </c>
      <c r="V3437" t="str">
        <f t="shared" si="267"/>
        <v>Junior</v>
      </c>
      <c r="W3437" t="str">
        <f t="shared" si="268"/>
        <v>Already Left</v>
      </c>
      <c r="X3437" t="str">
        <f t="shared" si="269"/>
        <v>Fair</v>
      </c>
    </row>
    <row r="3438" spans="1:24" x14ac:dyDescent="0.3">
      <c r="A3438" t="s">
        <v>3506</v>
      </c>
      <c r="B3438" t="s">
        <v>39</v>
      </c>
      <c r="C3438">
        <v>39</v>
      </c>
      <c r="D3438" t="s">
        <v>31</v>
      </c>
      <c r="E3438" t="s">
        <v>22</v>
      </c>
      <c r="F3438" t="s">
        <v>32</v>
      </c>
      <c r="G3438" t="s">
        <v>24</v>
      </c>
      <c r="H3438" t="s">
        <v>67</v>
      </c>
      <c r="I3438" t="s">
        <v>72</v>
      </c>
      <c r="J3438" t="s">
        <v>73</v>
      </c>
      <c r="K3438">
        <v>11</v>
      </c>
      <c r="L3438">
        <v>95784</v>
      </c>
      <c r="M3438" t="s">
        <v>28</v>
      </c>
      <c r="N3438">
        <v>3</v>
      </c>
      <c r="O3438">
        <v>3</v>
      </c>
      <c r="P3438">
        <v>10</v>
      </c>
      <c r="Q3438">
        <v>3</v>
      </c>
      <c r="R3438" s="1">
        <v>41140</v>
      </c>
      <c r="S3438" t="s">
        <v>29</v>
      </c>
      <c r="T3438" t="str">
        <f t="shared" si="265"/>
        <v>Grade A</v>
      </c>
      <c r="U3438">
        <f t="shared" si="266"/>
        <v>3</v>
      </c>
      <c r="V3438" t="str">
        <f t="shared" si="267"/>
        <v>Senior</v>
      </c>
      <c r="W3438" t="str">
        <f t="shared" si="268"/>
        <v>Medium Risk</v>
      </c>
      <c r="X3438" t="str">
        <f t="shared" si="269"/>
        <v>Competitive</v>
      </c>
    </row>
    <row r="3439" spans="1:24" x14ac:dyDescent="0.3">
      <c r="A3439" t="s">
        <v>3507</v>
      </c>
      <c r="B3439" t="s">
        <v>20</v>
      </c>
      <c r="C3439">
        <v>33</v>
      </c>
      <c r="D3439" t="s">
        <v>31</v>
      </c>
      <c r="E3439" t="s">
        <v>40</v>
      </c>
      <c r="F3439" t="s">
        <v>65</v>
      </c>
      <c r="G3439" t="s">
        <v>79</v>
      </c>
      <c r="H3439" t="s">
        <v>25</v>
      </c>
      <c r="I3439" t="s">
        <v>96</v>
      </c>
      <c r="J3439" t="s">
        <v>44</v>
      </c>
      <c r="K3439">
        <v>3</v>
      </c>
      <c r="L3439">
        <v>46559</v>
      </c>
      <c r="M3439" t="s">
        <v>36</v>
      </c>
      <c r="N3439">
        <v>1</v>
      </c>
      <c r="O3439">
        <v>1</v>
      </c>
      <c r="P3439">
        <v>64</v>
      </c>
      <c r="Q3439">
        <v>1</v>
      </c>
      <c r="R3439" s="1">
        <v>43978</v>
      </c>
      <c r="S3439" t="s">
        <v>37</v>
      </c>
      <c r="T3439" t="str">
        <f t="shared" si="265"/>
        <v>Grade C</v>
      </c>
      <c r="U3439">
        <f t="shared" si="266"/>
        <v>1</v>
      </c>
      <c r="V3439" t="str">
        <f t="shared" si="267"/>
        <v>Junior</v>
      </c>
      <c r="W3439" t="str">
        <f t="shared" si="268"/>
        <v>Already Left</v>
      </c>
      <c r="X3439" t="str">
        <f t="shared" si="269"/>
        <v>Fair</v>
      </c>
    </row>
    <row r="3440" spans="1:24" x14ac:dyDescent="0.3">
      <c r="A3440" t="s">
        <v>3508</v>
      </c>
      <c r="B3440" t="s">
        <v>20</v>
      </c>
      <c r="C3440">
        <v>52</v>
      </c>
      <c r="D3440" t="s">
        <v>47</v>
      </c>
      <c r="E3440" t="s">
        <v>48</v>
      </c>
      <c r="F3440" t="s">
        <v>23</v>
      </c>
      <c r="G3440" t="s">
        <v>33</v>
      </c>
      <c r="H3440" t="s">
        <v>25</v>
      </c>
      <c r="I3440" t="s">
        <v>68</v>
      </c>
      <c r="J3440" t="s">
        <v>60</v>
      </c>
      <c r="K3440">
        <v>11</v>
      </c>
      <c r="L3440">
        <v>86534</v>
      </c>
      <c r="M3440" t="s">
        <v>28</v>
      </c>
      <c r="N3440">
        <v>3</v>
      </c>
      <c r="O3440">
        <v>2</v>
      </c>
      <c r="P3440">
        <v>64</v>
      </c>
      <c r="Q3440">
        <v>0</v>
      </c>
      <c r="R3440" s="1">
        <v>41145</v>
      </c>
      <c r="S3440" t="s">
        <v>37</v>
      </c>
      <c r="T3440" t="str">
        <f t="shared" si="265"/>
        <v>Grade A</v>
      </c>
      <c r="U3440">
        <f t="shared" si="266"/>
        <v>3</v>
      </c>
      <c r="V3440" t="str">
        <f t="shared" si="267"/>
        <v>Senior</v>
      </c>
      <c r="W3440" t="str">
        <f t="shared" si="268"/>
        <v>Already Left</v>
      </c>
      <c r="X3440" t="str">
        <f t="shared" si="269"/>
        <v>Competitive</v>
      </c>
    </row>
    <row r="3441" spans="1:24" x14ac:dyDescent="0.3">
      <c r="A3441" t="s">
        <v>3509</v>
      </c>
      <c r="B3441" t="s">
        <v>39</v>
      </c>
      <c r="C3441">
        <v>25</v>
      </c>
      <c r="D3441" t="s">
        <v>88</v>
      </c>
      <c r="E3441" t="s">
        <v>22</v>
      </c>
      <c r="F3441" t="s">
        <v>53</v>
      </c>
      <c r="G3441" t="s">
        <v>66</v>
      </c>
      <c r="H3441" t="s">
        <v>34</v>
      </c>
      <c r="I3441" t="s">
        <v>72</v>
      </c>
      <c r="J3441" t="s">
        <v>73</v>
      </c>
      <c r="K3441">
        <v>1</v>
      </c>
      <c r="L3441">
        <v>40925</v>
      </c>
      <c r="M3441" t="s">
        <v>28</v>
      </c>
      <c r="N3441">
        <v>1</v>
      </c>
      <c r="O3441">
        <v>4</v>
      </c>
      <c r="P3441">
        <v>74</v>
      </c>
      <c r="Q3441">
        <v>0</v>
      </c>
      <c r="R3441" s="1">
        <v>44859</v>
      </c>
      <c r="S3441" t="s">
        <v>29</v>
      </c>
      <c r="T3441" t="str">
        <f t="shared" si="265"/>
        <v>Grade C</v>
      </c>
      <c r="U3441">
        <f t="shared" si="266"/>
        <v>3</v>
      </c>
      <c r="V3441" t="str">
        <f t="shared" si="267"/>
        <v>New Joiner</v>
      </c>
      <c r="W3441" t="str">
        <f t="shared" si="268"/>
        <v>Medium Risk</v>
      </c>
      <c r="X3441" t="str">
        <f t="shared" si="269"/>
        <v>Fair</v>
      </c>
    </row>
    <row r="3442" spans="1:24" x14ac:dyDescent="0.3">
      <c r="A3442" t="s">
        <v>3510</v>
      </c>
      <c r="B3442" t="s">
        <v>39</v>
      </c>
      <c r="C3442">
        <v>22</v>
      </c>
      <c r="D3442" t="s">
        <v>88</v>
      </c>
      <c r="E3442" t="s">
        <v>48</v>
      </c>
      <c r="F3442" t="s">
        <v>53</v>
      </c>
      <c r="G3442" t="s">
        <v>24</v>
      </c>
      <c r="H3442" t="s">
        <v>67</v>
      </c>
      <c r="I3442" t="s">
        <v>54</v>
      </c>
      <c r="J3442" t="s">
        <v>27</v>
      </c>
      <c r="K3442">
        <v>10</v>
      </c>
      <c r="L3442">
        <v>96679</v>
      </c>
      <c r="M3442" t="s">
        <v>51</v>
      </c>
      <c r="N3442">
        <v>2</v>
      </c>
      <c r="O3442">
        <v>2</v>
      </c>
      <c r="P3442">
        <v>54</v>
      </c>
      <c r="Q3442">
        <v>2</v>
      </c>
      <c r="R3442" s="1">
        <v>41322</v>
      </c>
      <c r="S3442" t="s">
        <v>29</v>
      </c>
      <c r="T3442" t="str">
        <f t="shared" si="265"/>
        <v>Grade A</v>
      </c>
      <c r="U3442">
        <f t="shared" si="266"/>
        <v>4</v>
      </c>
      <c r="V3442" t="str">
        <f t="shared" si="267"/>
        <v>Mid Level</v>
      </c>
      <c r="W3442" t="str">
        <f t="shared" si="268"/>
        <v>Low Risk</v>
      </c>
      <c r="X3442" t="str">
        <f t="shared" si="269"/>
        <v>Competitive</v>
      </c>
    </row>
    <row r="3443" spans="1:24" x14ac:dyDescent="0.3">
      <c r="A3443" t="s">
        <v>3511</v>
      </c>
      <c r="B3443" t="s">
        <v>39</v>
      </c>
      <c r="C3443">
        <v>32</v>
      </c>
      <c r="D3443" t="s">
        <v>31</v>
      </c>
      <c r="E3443" t="s">
        <v>22</v>
      </c>
      <c r="F3443" t="s">
        <v>41</v>
      </c>
      <c r="G3443" t="s">
        <v>24</v>
      </c>
      <c r="H3443" t="s">
        <v>67</v>
      </c>
      <c r="I3443" t="s">
        <v>96</v>
      </c>
      <c r="J3443" t="s">
        <v>44</v>
      </c>
      <c r="K3443">
        <v>12</v>
      </c>
      <c r="L3443">
        <v>105052</v>
      </c>
      <c r="M3443" t="s">
        <v>51</v>
      </c>
      <c r="N3443">
        <v>1</v>
      </c>
      <c r="O3443">
        <v>1</v>
      </c>
      <c r="P3443">
        <v>31</v>
      </c>
      <c r="Q3443">
        <v>1</v>
      </c>
      <c r="R3443" s="1">
        <v>40846</v>
      </c>
      <c r="S3443" t="s">
        <v>29</v>
      </c>
      <c r="T3443" t="str">
        <f t="shared" si="265"/>
        <v>Grade A</v>
      </c>
      <c r="U3443">
        <f t="shared" si="266"/>
        <v>4</v>
      </c>
      <c r="V3443" t="str">
        <f t="shared" si="267"/>
        <v>Senior</v>
      </c>
      <c r="W3443" t="str">
        <f t="shared" si="268"/>
        <v>Low Risk</v>
      </c>
      <c r="X3443" t="str">
        <f t="shared" si="269"/>
        <v>Competitive</v>
      </c>
    </row>
    <row r="3444" spans="1:24" x14ac:dyDescent="0.3">
      <c r="A3444" t="s">
        <v>3512</v>
      </c>
      <c r="B3444" t="s">
        <v>20</v>
      </c>
      <c r="C3444">
        <v>35</v>
      </c>
      <c r="D3444" t="s">
        <v>47</v>
      </c>
      <c r="E3444" t="s">
        <v>48</v>
      </c>
      <c r="F3444" t="s">
        <v>53</v>
      </c>
      <c r="G3444" t="s">
        <v>49</v>
      </c>
      <c r="H3444" t="s">
        <v>25</v>
      </c>
      <c r="I3444" t="s">
        <v>96</v>
      </c>
      <c r="J3444" t="s">
        <v>44</v>
      </c>
      <c r="K3444">
        <v>10</v>
      </c>
      <c r="L3444">
        <v>70910</v>
      </c>
      <c r="M3444" t="s">
        <v>36</v>
      </c>
      <c r="N3444">
        <v>1</v>
      </c>
      <c r="O3444">
        <v>2</v>
      </c>
      <c r="P3444">
        <v>32</v>
      </c>
      <c r="Q3444">
        <v>1</v>
      </c>
      <c r="R3444" s="1">
        <v>41301</v>
      </c>
      <c r="S3444" t="s">
        <v>29</v>
      </c>
      <c r="T3444" t="str">
        <f t="shared" si="265"/>
        <v>Grade B</v>
      </c>
      <c r="U3444">
        <f t="shared" si="266"/>
        <v>1</v>
      </c>
      <c r="V3444" t="str">
        <f t="shared" si="267"/>
        <v>Mid Level</v>
      </c>
      <c r="W3444" t="str">
        <f t="shared" si="268"/>
        <v>Medium Risk</v>
      </c>
      <c r="X3444" t="str">
        <f t="shared" si="269"/>
        <v>Fair</v>
      </c>
    </row>
    <row r="3445" spans="1:24" x14ac:dyDescent="0.3">
      <c r="A3445" t="s">
        <v>3513</v>
      </c>
      <c r="B3445" t="s">
        <v>39</v>
      </c>
      <c r="C3445">
        <v>52</v>
      </c>
      <c r="D3445" t="s">
        <v>88</v>
      </c>
      <c r="E3445" t="s">
        <v>22</v>
      </c>
      <c r="F3445" t="s">
        <v>23</v>
      </c>
      <c r="G3445" t="s">
        <v>33</v>
      </c>
      <c r="H3445" t="s">
        <v>34</v>
      </c>
      <c r="I3445" t="s">
        <v>80</v>
      </c>
      <c r="J3445" t="s">
        <v>60</v>
      </c>
      <c r="K3445">
        <v>14</v>
      </c>
      <c r="L3445">
        <v>93519</v>
      </c>
      <c r="M3445" t="s">
        <v>51</v>
      </c>
      <c r="N3445">
        <v>4</v>
      </c>
      <c r="O3445">
        <v>1</v>
      </c>
      <c r="P3445">
        <v>54</v>
      </c>
      <c r="Q3445">
        <v>0</v>
      </c>
      <c r="R3445" s="1">
        <v>40176</v>
      </c>
      <c r="S3445" t="s">
        <v>37</v>
      </c>
      <c r="T3445" t="str">
        <f t="shared" si="265"/>
        <v>Grade A</v>
      </c>
      <c r="U3445">
        <f t="shared" si="266"/>
        <v>4</v>
      </c>
      <c r="V3445" t="str">
        <f t="shared" si="267"/>
        <v>Senior</v>
      </c>
      <c r="W3445" t="str">
        <f t="shared" si="268"/>
        <v>Already Left</v>
      </c>
      <c r="X3445" t="str">
        <f t="shared" si="269"/>
        <v>Competitive</v>
      </c>
    </row>
    <row r="3446" spans="1:24" x14ac:dyDescent="0.3">
      <c r="A3446" t="s">
        <v>3514</v>
      </c>
      <c r="B3446" t="s">
        <v>20</v>
      </c>
      <c r="C3446">
        <v>32</v>
      </c>
      <c r="D3446" t="s">
        <v>21</v>
      </c>
      <c r="E3446" t="s">
        <v>40</v>
      </c>
      <c r="F3446" t="s">
        <v>65</v>
      </c>
      <c r="G3446" t="s">
        <v>58</v>
      </c>
      <c r="H3446" t="s">
        <v>67</v>
      </c>
      <c r="I3446" t="s">
        <v>43</v>
      </c>
      <c r="J3446" t="s">
        <v>44</v>
      </c>
      <c r="K3446">
        <v>7</v>
      </c>
      <c r="L3446">
        <v>105588</v>
      </c>
      <c r="M3446" t="s">
        <v>45</v>
      </c>
      <c r="N3446">
        <v>3</v>
      </c>
      <c r="O3446">
        <v>1</v>
      </c>
      <c r="P3446">
        <v>55</v>
      </c>
      <c r="Q3446">
        <v>0</v>
      </c>
      <c r="R3446" s="1">
        <v>42450</v>
      </c>
      <c r="S3446" t="s">
        <v>29</v>
      </c>
      <c r="T3446" t="str">
        <f t="shared" si="265"/>
        <v>Grade A</v>
      </c>
      <c r="U3446">
        <f t="shared" si="266"/>
        <v>2</v>
      </c>
      <c r="V3446" t="str">
        <f t="shared" si="267"/>
        <v>Mid Level</v>
      </c>
      <c r="W3446" t="str">
        <f t="shared" si="268"/>
        <v>Medium Risk</v>
      </c>
      <c r="X3446" t="str">
        <f t="shared" si="269"/>
        <v>Fair</v>
      </c>
    </row>
    <row r="3447" spans="1:24" x14ac:dyDescent="0.3">
      <c r="A3447" t="s">
        <v>3515</v>
      </c>
      <c r="B3447" t="s">
        <v>20</v>
      </c>
      <c r="C3447">
        <v>40</v>
      </c>
      <c r="D3447" t="s">
        <v>88</v>
      </c>
      <c r="E3447" t="s">
        <v>48</v>
      </c>
      <c r="F3447" t="s">
        <v>53</v>
      </c>
      <c r="G3447" t="s">
        <v>63</v>
      </c>
      <c r="H3447" t="s">
        <v>34</v>
      </c>
      <c r="I3447" t="s">
        <v>68</v>
      </c>
      <c r="J3447" t="s">
        <v>60</v>
      </c>
      <c r="K3447">
        <v>15</v>
      </c>
      <c r="L3447">
        <v>66488</v>
      </c>
      <c r="M3447" t="s">
        <v>36</v>
      </c>
      <c r="N3447">
        <v>1</v>
      </c>
      <c r="O3447">
        <v>1</v>
      </c>
      <c r="P3447">
        <v>66</v>
      </c>
      <c r="Q3447">
        <v>0</v>
      </c>
      <c r="R3447" s="1">
        <v>39519</v>
      </c>
      <c r="S3447" t="s">
        <v>29</v>
      </c>
      <c r="T3447" t="str">
        <f t="shared" si="265"/>
        <v>Grade B</v>
      </c>
      <c r="U3447">
        <f t="shared" si="266"/>
        <v>1</v>
      </c>
      <c r="V3447" t="str">
        <f t="shared" si="267"/>
        <v>Senior</v>
      </c>
      <c r="W3447" t="str">
        <f t="shared" si="268"/>
        <v>Medium Risk</v>
      </c>
      <c r="X3447" t="str">
        <f t="shared" si="269"/>
        <v>Fair</v>
      </c>
    </row>
    <row r="3448" spans="1:24" x14ac:dyDescent="0.3">
      <c r="A3448" t="s">
        <v>3516</v>
      </c>
      <c r="B3448" t="s">
        <v>20</v>
      </c>
      <c r="C3448">
        <v>23</v>
      </c>
      <c r="D3448" t="s">
        <v>21</v>
      </c>
      <c r="E3448" t="s">
        <v>22</v>
      </c>
      <c r="F3448" t="s">
        <v>23</v>
      </c>
      <c r="G3448" t="s">
        <v>33</v>
      </c>
      <c r="H3448" t="s">
        <v>67</v>
      </c>
      <c r="I3448" t="s">
        <v>72</v>
      </c>
      <c r="J3448" t="s">
        <v>73</v>
      </c>
      <c r="K3448">
        <v>5</v>
      </c>
      <c r="L3448">
        <v>68129</v>
      </c>
      <c r="M3448" t="s">
        <v>36</v>
      </c>
      <c r="N3448">
        <v>3</v>
      </c>
      <c r="O3448">
        <v>4</v>
      </c>
      <c r="P3448">
        <v>74</v>
      </c>
      <c r="Q3448">
        <v>2</v>
      </c>
      <c r="R3448" s="1">
        <v>43111</v>
      </c>
      <c r="S3448" t="s">
        <v>37</v>
      </c>
      <c r="T3448" t="str">
        <f t="shared" si="265"/>
        <v>Grade B</v>
      </c>
      <c r="U3448">
        <f t="shared" si="266"/>
        <v>1</v>
      </c>
      <c r="V3448" t="str">
        <f t="shared" si="267"/>
        <v>Junior</v>
      </c>
      <c r="W3448" t="str">
        <f t="shared" si="268"/>
        <v>Already Left</v>
      </c>
      <c r="X3448" t="str">
        <f t="shared" si="269"/>
        <v>Fair</v>
      </c>
    </row>
    <row r="3449" spans="1:24" x14ac:dyDescent="0.3">
      <c r="A3449" t="s">
        <v>3517</v>
      </c>
      <c r="B3449" t="s">
        <v>20</v>
      </c>
      <c r="C3449">
        <v>53</v>
      </c>
      <c r="D3449" t="s">
        <v>21</v>
      </c>
      <c r="E3449" t="s">
        <v>48</v>
      </c>
      <c r="F3449" t="s">
        <v>32</v>
      </c>
      <c r="G3449" t="s">
        <v>24</v>
      </c>
      <c r="H3449" t="s">
        <v>25</v>
      </c>
      <c r="I3449" t="s">
        <v>35</v>
      </c>
      <c r="J3449" t="s">
        <v>27</v>
      </c>
      <c r="K3449">
        <v>12</v>
      </c>
      <c r="L3449">
        <v>107493</v>
      </c>
      <c r="M3449" t="s">
        <v>28</v>
      </c>
      <c r="N3449">
        <v>3</v>
      </c>
      <c r="O3449">
        <v>2</v>
      </c>
      <c r="P3449">
        <v>53</v>
      </c>
      <c r="Q3449">
        <v>2</v>
      </c>
      <c r="R3449" s="1">
        <v>40636</v>
      </c>
      <c r="S3449" t="s">
        <v>29</v>
      </c>
      <c r="T3449" t="str">
        <f t="shared" si="265"/>
        <v>Grade A</v>
      </c>
      <c r="U3449">
        <f t="shared" si="266"/>
        <v>3</v>
      </c>
      <c r="V3449" t="str">
        <f t="shared" si="267"/>
        <v>Senior</v>
      </c>
      <c r="W3449" t="str">
        <f t="shared" si="268"/>
        <v>Medium Risk</v>
      </c>
      <c r="X3449" t="str">
        <f t="shared" si="269"/>
        <v>Competitive</v>
      </c>
    </row>
    <row r="3450" spans="1:24" x14ac:dyDescent="0.3">
      <c r="A3450" t="s">
        <v>3518</v>
      </c>
      <c r="B3450" t="s">
        <v>39</v>
      </c>
      <c r="C3450">
        <v>27</v>
      </c>
      <c r="D3450" t="s">
        <v>21</v>
      </c>
      <c r="E3450" t="s">
        <v>22</v>
      </c>
      <c r="F3450" t="s">
        <v>41</v>
      </c>
      <c r="G3450" t="s">
        <v>33</v>
      </c>
      <c r="H3450" t="s">
        <v>34</v>
      </c>
      <c r="I3450" t="s">
        <v>96</v>
      </c>
      <c r="J3450" t="s">
        <v>44</v>
      </c>
      <c r="K3450">
        <v>8</v>
      </c>
      <c r="L3450">
        <v>67691</v>
      </c>
      <c r="M3450" t="s">
        <v>45</v>
      </c>
      <c r="N3450">
        <v>3</v>
      </c>
      <c r="O3450">
        <v>2</v>
      </c>
      <c r="P3450">
        <v>38</v>
      </c>
      <c r="Q3450">
        <v>3</v>
      </c>
      <c r="R3450" s="1">
        <v>42133</v>
      </c>
      <c r="S3450" t="s">
        <v>37</v>
      </c>
      <c r="T3450" t="str">
        <f t="shared" si="265"/>
        <v>Grade B</v>
      </c>
      <c r="U3450">
        <f t="shared" si="266"/>
        <v>2</v>
      </c>
      <c r="V3450" t="str">
        <f t="shared" si="267"/>
        <v>Mid Level</v>
      </c>
      <c r="W3450" t="str">
        <f t="shared" si="268"/>
        <v>Already Left</v>
      </c>
      <c r="X3450" t="str">
        <f t="shared" si="269"/>
        <v>Fair</v>
      </c>
    </row>
    <row r="3451" spans="1:24" x14ac:dyDescent="0.3">
      <c r="A3451" t="s">
        <v>3519</v>
      </c>
      <c r="B3451" t="s">
        <v>39</v>
      </c>
      <c r="C3451">
        <v>43</v>
      </c>
      <c r="D3451" t="s">
        <v>21</v>
      </c>
      <c r="E3451" t="s">
        <v>48</v>
      </c>
      <c r="F3451" t="s">
        <v>65</v>
      </c>
      <c r="G3451" t="s">
        <v>33</v>
      </c>
      <c r="H3451" t="s">
        <v>34</v>
      </c>
      <c r="I3451" t="s">
        <v>59</v>
      </c>
      <c r="J3451" t="s">
        <v>60</v>
      </c>
      <c r="K3451">
        <v>2</v>
      </c>
      <c r="L3451">
        <v>59883</v>
      </c>
      <c r="M3451" t="s">
        <v>28</v>
      </c>
      <c r="N3451">
        <v>3</v>
      </c>
      <c r="O3451">
        <v>4</v>
      </c>
      <c r="P3451">
        <v>63</v>
      </c>
      <c r="Q3451">
        <v>1</v>
      </c>
      <c r="R3451" s="1">
        <v>44426</v>
      </c>
      <c r="S3451" t="s">
        <v>29</v>
      </c>
      <c r="T3451" t="str">
        <f t="shared" si="265"/>
        <v>Grade B</v>
      </c>
      <c r="U3451">
        <f t="shared" si="266"/>
        <v>3</v>
      </c>
      <c r="V3451" t="str">
        <f t="shared" si="267"/>
        <v>New Joiner</v>
      </c>
      <c r="W3451" t="str">
        <f t="shared" si="268"/>
        <v>Medium Risk</v>
      </c>
      <c r="X3451" t="str">
        <f t="shared" si="269"/>
        <v>Competitive</v>
      </c>
    </row>
    <row r="3452" spans="1:24" x14ac:dyDescent="0.3">
      <c r="A3452" t="s">
        <v>3520</v>
      </c>
      <c r="B3452" t="s">
        <v>39</v>
      </c>
      <c r="C3452">
        <v>29</v>
      </c>
      <c r="D3452" t="s">
        <v>21</v>
      </c>
      <c r="E3452" t="s">
        <v>40</v>
      </c>
      <c r="F3452" t="s">
        <v>62</v>
      </c>
      <c r="G3452" t="s">
        <v>63</v>
      </c>
      <c r="H3452" t="s">
        <v>67</v>
      </c>
      <c r="I3452" t="s">
        <v>26</v>
      </c>
      <c r="J3452" t="s">
        <v>27</v>
      </c>
      <c r="K3452">
        <v>1</v>
      </c>
      <c r="L3452">
        <v>40601</v>
      </c>
      <c r="M3452" t="s">
        <v>36</v>
      </c>
      <c r="N3452">
        <v>3</v>
      </c>
      <c r="O3452">
        <v>3</v>
      </c>
      <c r="P3452">
        <v>24</v>
      </c>
      <c r="Q3452">
        <v>1</v>
      </c>
      <c r="R3452" s="1">
        <v>44772</v>
      </c>
      <c r="S3452" t="s">
        <v>37</v>
      </c>
      <c r="T3452" t="str">
        <f t="shared" si="265"/>
        <v>Grade C</v>
      </c>
      <c r="U3452">
        <f t="shared" si="266"/>
        <v>1</v>
      </c>
      <c r="V3452" t="str">
        <f t="shared" si="267"/>
        <v>New Joiner</v>
      </c>
      <c r="W3452" t="str">
        <f t="shared" si="268"/>
        <v>Already Left</v>
      </c>
      <c r="X3452" t="str">
        <f t="shared" si="269"/>
        <v>Fair</v>
      </c>
    </row>
    <row r="3453" spans="1:24" x14ac:dyDescent="0.3">
      <c r="A3453" t="s">
        <v>3521</v>
      </c>
      <c r="B3453" t="s">
        <v>20</v>
      </c>
      <c r="C3453">
        <v>49</v>
      </c>
      <c r="D3453" t="s">
        <v>31</v>
      </c>
      <c r="E3453" t="s">
        <v>40</v>
      </c>
      <c r="F3453" t="s">
        <v>65</v>
      </c>
      <c r="G3453" t="s">
        <v>33</v>
      </c>
      <c r="H3453" t="s">
        <v>34</v>
      </c>
      <c r="I3453" t="s">
        <v>43</v>
      </c>
      <c r="J3453" t="s">
        <v>44</v>
      </c>
      <c r="K3453">
        <v>2</v>
      </c>
      <c r="L3453">
        <v>60726</v>
      </c>
      <c r="M3453" t="s">
        <v>45</v>
      </c>
      <c r="N3453">
        <v>1</v>
      </c>
      <c r="O3453">
        <v>3</v>
      </c>
      <c r="P3453">
        <v>38</v>
      </c>
      <c r="Q3453">
        <v>0</v>
      </c>
      <c r="R3453" s="1">
        <v>44361</v>
      </c>
      <c r="S3453" t="s">
        <v>29</v>
      </c>
      <c r="T3453" t="str">
        <f t="shared" si="265"/>
        <v>Grade B</v>
      </c>
      <c r="U3453">
        <f t="shared" si="266"/>
        <v>2</v>
      </c>
      <c r="V3453" t="str">
        <f t="shared" si="267"/>
        <v>New Joiner</v>
      </c>
      <c r="W3453" t="str">
        <f t="shared" si="268"/>
        <v>Medium Risk</v>
      </c>
      <c r="X3453" t="str">
        <f t="shared" si="269"/>
        <v>Fair</v>
      </c>
    </row>
    <row r="3454" spans="1:24" x14ac:dyDescent="0.3">
      <c r="A3454" t="s">
        <v>3522</v>
      </c>
      <c r="B3454" t="s">
        <v>39</v>
      </c>
      <c r="C3454">
        <v>29</v>
      </c>
      <c r="D3454" t="s">
        <v>21</v>
      </c>
      <c r="E3454" t="s">
        <v>22</v>
      </c>
      <c r="F3454" t="s">
        <v>78</v>
      </c>
      <c r="G3454" t="s">
        <v>58</v>
      </c>
      <c r="H3454" t="s">
        <v>25</v>
      </c>
      <c r="I3454" t="s">
        <v>59</v>
      </c>
      <c r="J3454" t="s">
        <v>60</v>
      </c>
      <c r="K3454">
        <v>13</v>
      </c>
      <c r="L3454">
        <v>104042</v>
      </c>
      <c r="M3454" t="s">
        <v>51</v>
      </c>
      <c r="N3454">
        <v>4</v>
      </c>
      <c r="O3454">
        <v>2</v>
      </c>
      <c r="P3454">
        <v>31</v>
      </c>
      <c r="Q3454">
        <v>1</v>
      </c>
      <c r="R3454" s="1">
        <v>40268</v>
      </c>
      <c r="S3454" t="s">
        <v>29</v>
      </c>
      <c r="T3454" t="str">
        <f t="shared" si="265"/>
        <v>Grade A</v>
      </c>
      <c r="U3454">
        <f t="shared" si="266"/>
        <v>4</v>
      </c>
      <c r="V3454" t="str">
        <f t="shared" si="267"/>
        <v>Senior</v>
      </c>
      <c r="W3454" t="str">
        <f t="shared" si="268"/>
        <v>Low Risk</v>
      </c>
      <c r="X3454" t="str">
        <f t="shared" si="269"/>
        <v>Competitive</v>
      </c>
    </row>
    <row r="3455" spans="1:24" x14ac:dyDescent="0.3">
      <c r="A3455" t="s">
        <v>3523</v>
      </c>
      <c r="B3455" t="s">
        <v>39</v>
      </c>
      <c r="C3455">
        <v>54</v>
      </c>
      <c r="D3455" t="s">
        <v>88</v>
      </c>
      <c r="E3455" t="s">
        <v>40</v>
      </c>
      <c r="F3455" t="s">
        <v>62</v>
      </c>
      <c r="G3455" t="s">
        <v>66</v>
      </c>
      <c r="H3455" t="s">
        <v>67</v>
      </c>
      <c r="I3455" t="s">
        <v>80</v>
      </c>
      <c r="J3455" t="s">
        <v>60</v>
      </c>
      <c r="K3455">
        <v>7</v>
      </c>
      <c r="L3455">
        <v>47700</v>
      </c>
      <c r="M3455" t="s">
        <v>28</v>
      </c>
      <c r="N3455">
        <v>1</v>
      </c>
      <c r="O3455">
        <v>4</v>
      </c>
      <c r="P3455">
        <v>74</v>
      </c>
      <c r="Q3455">
        <v>2</v>
      </c>
      <c r="R3455" s="1">
        <v>42577</v>
      </c>
      <c r="S3455" t="s">
        <v>29</v>
      </c>
      <c r="T3455" t="str">
        <f t="shared" si="265"/>
        <v>Grade C</v>
      </c>
      <c r="U3455">
        <f t="shared" si="266"/>
        <v>3</v>
      </c>
      <c r="V3455" t="str">
        <f t="shared" si="267"/>
        <v>Mid Level</v>
      </c>
      <c r="W3455" t="str">
        <f t="shared" si="268"/>
        <v>Medium Risk</v>
      </c>
      <c r="X3455" t="str">
        <f t="shared" si="269"/>
        <v>Fair</v>
      </c>
    </row>
    <row r="3456" spans="1:24" x14ac:dyDescent="0.3">
      <c r="A3456" t="s">
        <v>3524</v>
      </c>
      <c r="B3456" t="s">
        <v>39</v>
      </c>
      <c r="C3456">
        <v>35</v>
      </c>
      <c r="D3456" t="s">
        <v>31</v>
      </c>
      <c r="E3456" t="s">
        <v>48</v>
      </c>
      <c r="F3456" t="s">
        <v>41</v>
      </c>
      <c r="G3456" t="s">
        <v>42</v>
      </c>
      <c r="H3456" t="s">
        <v>76</v>
      </c>
      <c r="I3456" t="s">
        <v>72</v>
      </c>
      <c r="J3456" t="s">
        <v>73</v>
      </c>
      <c r="K3456">
        <v>6</v>
      </c>
      <c r="L3456">
        <v>104813</v>
      </c>
      <c r="M3456" t="s">
        <v>51</v>
      </c>
      <c r="N3456">
        <v>3</v>
      </c>
      <c r="O3456">
        <v>2</v>
      </c>
      <c r="P3456">
        <v>13</v>
      </c>
      <c r="Q3456">
        <v>2</v>
      </c>
      <c r="R3456" s="1">
        <v>42806</v>
      </c>
      <c r="S3456" t="s">
        <v>29</v>
      </c>
      <c r="T3456" t="str">
        <f t="shared" si="265"/>
        <v>Grade A</v>
      </c>
      <c r="U3456">
        <f t="shared" si="266"/>
        <v>4</v>
      </c>
      <c r="V3456" t="str">
        <f t="shared" si="267"/>
        <v>Mid Level</v>
      </c>
      <c r="W3456" t="str">
        <f t="shared" si="268"/>
        <v>Low Risk</v>
      </c>
      <c r="X3456" t="str">
        <f t="shared" si="269"/>
        <v>Competitive</v>
      </c>
    </row>
    <row r="3457" spans="1:24" x14ac:dyDescent="0.3">
      <c r="A3457" t="s">
        <v>3525</v>
      </c>
      <c r="B3457" t="s">
        <v>20</v>
      </c>
      <c r="C3457">
        <v>47</v>
      </c>
      <c r="D3457" t="s">
        <v>88</v>
      </c>
      <c r="E3457" t="s">
        <v>40</v>
      </c>
      <c r="F3457" t="s">
        <v>62</v>
      </c>
      <c r="G3457" t="s">
        <v>79</v>
      </c>
      <c r="H3457" t="s">
        <v>83</v>
      </c>
      <c r="I3457" t="s">
        <v>54</v>
      </c>
      <c r="J3457" t="s">
        <v>27</v>
      </c>
      <c r="K3457">
        <v>10</v>
      </c>
      <c r="L3457">
        <v>51096</v>
      </c>
      <c r="M3457" t="s">
        <v>51</v>
      </c>
      <c r="N3457">
        <v>1</v>
      </c>
      <c r="O3457">
        <v>2</v>
      </c>
      <c r="P3457">
        <v>34</v>
      </c>
      <c r="Q3457">
        <v>1</v>
      </c>
      <c r="R3457" s="1">
        <v>41429</v>
      </c>
      <c r="S3457" t="s">
        <v>37</v>
      </c>
      <c r="T3457" t="str">
        <f t="shared" si="265"/>
        <v>Grade B</v>
      </c>
      <c r="U3457">
        <f t="shared" si="266"/>
        <v>4</v>
      </c>
      <c r="V3457" t="str">
        <f t="shared" si="267"/>
        <v>Mid Level</v>
      </c>
      <c r="W3457" t="str">
        <f t="shared" si="268"/>
        <v>Already Left</v>
      </c>
      <c r="X3457" t="str">
        <f t="shared" si="269"/>
        <v>Fair</v>
      </c>
    </row>
    <row r="3458" spans="1:24" x14ac:dyDescent="0.3">
      <c r="A3458" t="s">
        <v>3526</v>
      </c>
      <c r="B3458" t="s">
        <v>39</v>
      </c>
      <c r="C3458">
        <v>25</v>
      </c>
      <c r="D3458" t="s">
        <v>57</v>
      </c>
      <c r="E3458" t="s">
        <v>48</v>
      </c>
      <c r="F3458" t="s">
        <v>75</v>
      </c>
      <c r="G3458" t="s">
        <v>63</v>
      </c>
      <c r="H3458" t="s">
        <v>76</v>
      </c>
      <c r="I3458" t="s">
        <v>26</v>
      </c>
      <c r="J3458" t="s">
        <v>27</v>
      </c>
      <c r="K3458">
        <v>7</v>
      </c>
      <c r="L3458">
        <v>58439</v>
      </c>
      <c r="M3458" t="s">
        <v>28</v>
      </c>
      <c r="N3458">
        <v>1</v>
      </c>
      <c r="O3458">
        <v>3</v>
      </c>
      <c r="P3458">
        <v>13</v>
      </c>
      <c r="Q3458">
        <v>3</v>
      </c>
      <c r="R3458" s="1">
        <v>42379</v>
      </c>
      <c r="S3458" t="s">
        <v>37</v>
      </c>
      <c r="T3458" t="str">
        <f t="shared" ref="T3458:T3521" si="270">IF(L3458&gt;=80000,"Grade A",IF(L3458&gt;=50000,"Grade B",IF(L3458&gt;=35000,"Grade C","Grade D")))</f>
        <v>Grade B</v>
      </c>
      <c r="U3458">
        <f t="shared" ref="U3458:U3521" si="271">IF(M3458="Excellent",4,IF(M3458="Good",3,IF(M3458="Average",2,1)))</f>
        <v>3</v>
      </c>
      <c r="V3458" t="str">
        <f t="shared" ref="V3458:V3521" si="272">IF(K3458&lt;=2,"New Joiner",IF(K3458&lt;=5,"Junior",IF(K3458&lt;=10,"Mid Level","Senior")))</f>
        <v>Mid Level</v>
      </c>
      <c r="W3458" t="str">
        <f t="shared" ref="W3458:W3521" si="273">IF(S3458="Yes","Already Left",IF(AND(K3458&lt;=2,M3458="Poor"),"High Risk",IF(AND(K3458&lt;=5,M3458="Average"),"Medium Risk",IF(M3458="Excellent","Low Risk","Medium Risk"))))</f>
        <v>Already Left</v>
      </c>
      <c r="X3458" t="str">
        <f t="shared" ref="X3458:X3521" si="274">IF(AND(L3458&gt;=80000,M3458="Excellent"),"Competitive",IF(AND(L3458&gt;=50000,M3458="Good"),"Competitive",IF(AND(L3458&lt;35000,M3458="Excellent"),"Underpaid",IF(AND(L3458&gt;=80000,M3458="Poor"),"Overpaid","Fair"))))</f>
        <v>Competitive</v>
      </c>
    </row>
    <row r="3459" spans="1:24" x14ac:dyDescent="0.3">
      <c r="A3459" t="s">
        <v>3527</v>
      </c>
      <c r="B3459" t="s">
        <v>39</v>
      </c>
      <c r="C3459">
        <v>50</v>
      </c>
      <c r="D3459" t="s">
        <v>88</v>
      </c>
      <c r="E3459" t="s">
        <v>48</v>
      </c>
      <c r="F3459" t="s">
        <v>23</v>
      </c>
      <c r="G3459" t="s">
        <v>63</v>
      </c>
      <c r="H3459" t="s">
        <v>34</v>
      </c>
      <c r="I3459" t="s">
        <v>80</v>
      </c>
      <c r="J3459" t="s">
        <v>60</v>
      </c>
      <c r="K3459">
        <v>1</v>
      </c>
      <c r="L3459">
        <v>51660</v>
      </c>
      <c r="M3459" t="s">
        <v>51</v>
      </c>
      <c r="N3459">
        <v>3</v>
      </c>
      <c r="O3459">
        <v>1</v>
      </c>
      <c r="P3459">
        <v>12</v>
      </c>
      <c r="Q3459">
        <v>2</v>
      </c>
      <c r="R3459" s="1">
        <v>44898</v>
      </c>
      <c r="S3459" t="s">
        <v>37</v>
      </c>
      <c r="T3459" t="str">
        <f t="shared" si="270"/>
        <v>Grade B</v>
      </c>
      <c r="U3459">
        <f t="shared" si="271"/>
        <v>4</v>
      </c>
      <c r="V3459" t="str">
        <f t="shared" si="272"/>
        <v>New Joiner</v>
      </c>
      <c r="W3459" t="str">
        <f t="shared" si="273"/>
        <v>Already Left</v>
      </c>
      <c r="X3459" t="str">
        <f t="shared" si="274"/>
        <v>Fair</v>
      </c>
    </row>
    <row r="3460" spans="1:24" x14ac:dyDescent="0.3">
      <c r="A3460" t="s">
        <v>3528</v>
      </c>
      <c r="B3460" t="s">
        <v>20</v>
      </c>
      <c r="C3460">
        <v>44</v>
      </c>
      <c r="D3460" t="s">
        <v>88</v>
      </c>
      <c r="E3460" t="s">
        <v>22</v>
      </c>
      <c r="F3460" t="s">
        <v>53</v>
      </c>
      <c r="G3460" t="s">
        <v>49</v>
      </c>
      <c r="H3460" t="s">
        <v>83</v>
      </c>
      <c r="I3460" t="s">
        <v>54</v>
      </c>
      <c r="J3460" t="s">
        <v>27</v>
      </c>
      <c r="K3460">
        <v>6</v>
      </c>
      <c r="L3460">
        <v>68344</v>
      </c>
      <c r="M3460" t="s">
        <v>36</v>
      </c>
      <c r="N3460">
        <v>2</v>
      </c>
      <c r="O3460">
        <v>1</v>
      </c>
      <c r="P3460">
        <v>77</v>
      </c>
      <c r="Q3460">
        <v>2</v>
      </c>
      <c r="R3460" s="1">
        <v>42963</v>
      </c>
      <c r="S3460" t="s">
        <v>29</v>
      </c>
      <c r="T3460" t="str">
        <f t="shared" si="270"/>
        <v>Grade B</v>
      </c>
      <c r="U3460">
        <f t="shared" si="271"/>
        <v>1</v>
      </c>
      <c r="V3460" t="str">
        <f t="shared" si="272"/>
        <v>Mid Level</v>
      </c>
      <c r="W3460" t="str">
        <f t="shared" si="273"/>
        <v>Medium Risk</v>
      </c>
      <c r="X3460" t="str">
        <f t="shared" si="274"/>
        <v>Fair</v>
      </c>
    </row>
    <row r="3461" spans="1:24" x14ac:dyDescent="0.3">
      <c r="A3461" t="s">
        <v>3529</v>
      </c>
      <c r="B3461" t="s">
        <v>39</v>
      </c>
      <c r="C3461">
        <v>31</v>
      </c>
      <c r="D3461" t="s">
        <v>57</v>
      </c>
      <c r="E3461" t="s">
        <v>40</v>
      </c>
      <c r="F3461" t="s">
        <v>75</v>
      </c>
      <c r="G3461" t="s">
        <v>49</v>
      </c>
      <c r="H3461" t="s">
        <v>25</v>
      </c>
      <c r="I3461" t="s">
        <v>43</v>
      </c>
      <c r="J3461" t="s">
        <v>44</v>
      </c>
      <c r="K3461">
        <v>15</v>
      </c>
      <c r="L3461">
        <v>78380</v>
      </c>
      <c r="M3461" t="s">
        <v>45</v>
      </c>
      <c r="N3461">
        <v>1</v>
      </c>
      <c r="O3461">
        <v>1</v>
      </c>
      <c r="P3461">
        <v>70</v>
      </c>
      <c r="Q3461">
        <v>3</v>
      </c>
      <c r="R3461" s="1">
        <v>39556</v>
      </c>
      <c r="S3461" t="s">
        <v>29</v>
      </c>
      <c r="T3461" t="str">
        <f t="shared" si="270"/>
        <v>Grade B</v>
      </c>
      <c r="U3461">
        <f t="shared" si="271"/>
        <v>2</v>
      </c>
      <c r="V3461" t="str">
        <f t="shared" si="272"/>
        <v>Senior</v>
      </c>
      <c r="W3461" t="str">
        <f t="shared" si="273"/>
        <v>Medium Risk</v>
      </c>
      <c r="X3461" t="str">
        <f t="shared" si="274"/>
        <v>Fair</v>
      </c>
    </row>
    <row r="3462" spans="1:24" x14ac:dyDescent="0.3">
      <c r="A3462" t="s">
        <v>3530</v>
      </c>
      <c r="B3462" t="s">
        <v>20</v>
      </c>
      <c r="C3462">
        <v>55</v>
      </c>
      <c r="D3462" t="s">
        <v>21</v>
      </c>
      <c r="E3462" t="s">
        <v>48</v>
      </c>
      <c r="F3462" t="s">
        <v>53</v>
      </c>
      <c r="G3462" t="s">
        <v>33</v>
      </c>
      <c r="H3462" t="s">
        <v>83</v>
      </c>
      <c r="I3462" t="s">
        <v>59</v>
      </c>
      <c r="J3462" t="s">
        <v>60</v>
      </c>
      <c r="K3462">
        <v>10</v>
      </c>
      <c r="L3462">
        <v>71304</v>
      </c>
      <c r="M3462" t="s">
        <v>51</v>
      </c>
      <c r="N3462">
        <v>4</v>
      </c>
      <c r="O3462">
        <v>2</v>
      </c>
      <c r="P3462">
        <v>41</v>
      </c>
      <c r="Q3462">
        <v>1</v>
      </c>
      <c r="R3462" s="1">
        <v>41631</v>
      </c>
      <c r="S3462" t="s">
        <v>29</v>
      </c>
      <c r="T3462" t="str">
        <f t="shared" si="270"/>
        <v>Grade B</v>
      </c>
      <c r="U3462">
        <f t="shared" si="271"/>
        <v>4</v>
      </c>
      <c r="V3462" t="str">
        <f t="shared" si="272"/>
        <v>Mid Level</v>
      </c>
      <c r="W3462" t="str">
        <f t="shared" si="273"/>
        <v>Low Risk</v>
      </c>
      <c r="X3462" t="str">
        <f t="shared" si="274"/>
        <v>Fair</v>
      </c>
    </row>
    <row r="3463" spans="1:24" x14ac:dyDescent="0.3">
      <c r="A3463" t="s">
        <v>3531</v>
      </c>
      <c r="B3463" t="s">
        <v>20</v>
      </c>
      <c r="C3463">
        <v>28</v>
      </c>
      <c r="D3463" t="s">
        <v>31</v>
      </c>
      <c r="E3463" t="s">
        <v>22</v>
      </c>
      <c r="F3463" t="s">
        <v>65</v>
      </c>
      <c r="G3463" t="s">
        <v>79</v>
      </c>
      <c r="H3463" t="s">
        <v>34</v>
      </c>
      <c r="I3463" t="s">
        <v>72</v>
      </c>
      <c r="J3463" t="s">
        <v>73</v>
      </c>
      <c r="K3463">
        <v>2</v>
      </c>
      <c r="L3463">
        <v>39420</v>
      </c>
      <c r="M3463" t="s">
        <v>51</v>
      </c>
      <c r="N3463">
        <v>1</v>
      </c>
      <c r="O3463">
        <v>4</v>
      </c>
      <c r="P3463">
        <v>74</v>
      </c>
      <c r="Q3463">
        <v>2</v>
      </c>
      <c r="R3463" s="1">
        <v>44325</v>
      </c>
      <c r="S3463" t="s">
        <v>29</v>
      </c>
      <c r="T3463" t="str">
        <f t="shared" si="270"/>
        <v>Grade C</v>
      </c>
      <c r="U3463">
        <f t="shared" si="271"/>
        <v>4</v>
      </c>
      <c r="V3463" t="str">
        <f t="shared" si="272"/>
        <v>New Joiner</v>
      </c>
      <c r="W3463" t="str">
        <f t="shared" si="273"/>
        <v>Low Risk</v>
      </c>
      <c r="X3463" t="str">
        <f t="shared" si="274"/>
        <v>Fair</v>
      </c>
    </row>
    <row r="3464" spans="1:24" x14ac:dyDescent="0.3">
      <c r="A3464" t="s">
        <v>3532</v>
      </c>
      <c r="B3464" t="s">
        <v>39</v>
      </c>
      <c r="C3464">
        <v>44</v>
      </c>
      <c r="D3464" t="s">
        <v>88</v>
      </c>
      <c r="E3464" t="s">
        <v>48</v>
      </c>
      <c r="F3464" t="s">
        <v>53</v>
      </c>
      <c r="G3464" t="s">
        <v>63</v>
      </c>
      <c r="H3464" t="s">
        <v>25</v>
      </c>
      <c r="I3464" t="s">
        <v>80</v>
      </c>
      <c r="J3464" t="s">
        <v>60</v>
      </c>
      <c r="K3464">
        <v>8</v>
      </c>
      <c r="L3464">
        <v>51636</v>
      </c>
      <c r="M3464" t="s">
        <v>36</v>
      </c>
      <c r="N3464">
        <v>4</v>
      </c>
      <c r="O3464">
        <v>3</v>
      </c>
      <c r="P3464">
        <v>73</v>
      </c>
      <c r="Q3464">
        <v>0</v>
      </c>
      <c r="R3464" s="1">
        <v>42035</v>
      </c>
      <c r="S3464" t="s">
        <v>37</v>
      </c>
      <c r="T3464" t="str">
        <f t="shared" si="270"/>
        <v>Grade B</v>
      </c>
      <c r="U3464">
        <f t="shared" si="271"/>
        <v>1</v>
      </c>
      <c r="V3464" t="str">
        <f t="shared" si="272"/>
        <v>Mid Level</v>
      </c>
      <c r="W3464" t="str">
        <f t="shared" si="273"/>
        <v>Already Left</v>
      </c>
      <c r="X3464" t="str">
        <f t="shared" si="274"/>
        <v>Fair</v>
      </c>
    </row>
    <row r="3465" spans="1:24" x14ac:dyDescent="0.3">
      <c r="A3465" t="s">
        <v>3533</v>
      </c>
      <c r="B3465" t="s">
        <v>20</v>
      </c>
      <c r="C3465">
        <v>27</v>
      </c>
      <c r="D3465" t="s">
        <v>88</v>
      </c>
      <c r="E3465" t="s">
        <v>48</v>
      </c>
      <c r="F3465" t="s">
        <v>65</v>
      </c>
      <c r="G3465" t="s">
        <v>66</v>
      </c>
      <c r="H3465" t="s">
        <v>25</v>
      </c>
      <c r="I3465" t="s">
        <v>68</v>
      </c>
      <c r="J3465" t="s">
        <v>60</v>
      </c>
      <c r="K3465">
        <v>14</v>
      </c>
      <c r="L3465">
        <v>70860</v>
      </c>
      <c r="M3465" t="s">
        <v>45</v>
      </c>
      <c r="N3465">
        <v>1</v>
      </c>
      <c r="O3465">
        <v>3</v>
      </c>
      <c r="P3465">
        <v>12</v>
      </c>
      <c r="Q3465">
        <v>0</v>
      </c>
      <c r="R3465" s="1">
        <v>39957</v>
      </c>
      <c r="S3465" t="s">
        <v>29</v>
      </c>
      <c r="T3465" t="str">
        <f t="shared" si="270"/>
        <v>Grade B</v>
      </c>
      <c r="U3465">
        <f t="shared" si="271"/>
        <v>2</v>
      </c>
      <c r="V3465" t="str">
        <f t="shared" si="272"/>
        <v>Senior</v>
      </c>
      <c r="W3465" t="str">
        <f t="shared" si="273"/>
        <v>Medium Risk</v>
      </c>
      <c r="X3465" t="str">
        <f t="shared" si="274"/>
        <v>Fair</v>
      </c>
    </row>
    <row r="3466" spans="1:24" x14ac:dyDescent="0.3">
      <c r="A3466" t="s">
        <v>3534</v>
      </c>
      <c r="B3466" t="s">
        <v>20</v>
      </c>
      <c r="C3466">
        <v>32</v>
      </c>
      <c r="D3466" t="s">
        <v>31</v>
      </c>
      <c r="E3466" t="s">
        <v>22</v>
      </c>
      <c r="F3466" t="s">
        <v>23</v>
      </c>
      <c r="G3466" t="s">
        <v>42</v>
      </c>
      <c r="H3466" t="s">
        <v>34</v>
      </c>
      <c r="I3466" t="s">
        <v>80</v>
      </c>
      <c r="J3466" t="s">
        <v>60</v>
      </c>
      <c r="K3466">
        <v>6</v>
      </c>
      <c r="L3466">
        <v>106853</v>
      </c>
      <c r="M3466" t="s">
        <v>51</v>
      </c>
      <c r="N3466">
        <v>1</v>
      </c>
      <c r="O3466">
        <v>4</v>
      </c>
      <c r="P3466">
        <v>54</v>
      </c>
      <c r="Q3466">
        <v>1</v>
      </c>
      <c r="R3466" s="1">
        <v>42810</v>
      </c>
      <c r="S3466" t="s">
        <v>29</v>
      </c>
      <c r="T3466" t="str">
        <f t="shared" si="270"/>
        <v>Grade A</v>
      </c>
      <c r="U3466">
        <f t="shared" si="271"/>
        <v>4</v>
      </c>
      <c r="V3466" t="str">
        <f t="shared" si="272"/>
        <v>Mid Level</v>
      </c>
      <c r="W3466" t="str">
        <f t="shared" si="273"/>
        <v>Low Risk</v>
      </c>
      <c r="X3466" t="str">
        <f t="shared" si="274"/>
        <v>Competitive</v>
      </c>
    </row>
    <row r="3467" spans="1:24" x14ac:dyDescent="0.3">
      <c r="A3467" t="s">
        <v>3535</v>
      </c>
      <c r="B3467" t="s">
        <v>20</v>
      </c>
      <c r="C3467">
        <v>31</v>
      </c>
      <c r="D3467" t="s">
        <v>31</v>
      </c>
      <c r="E3467" t="s">
        <v>40</v>
      </c>
      <c r="F3467" t="s">
        <v>78</v>
      </c>
      <c r="G3467" t="s">
        <v>63</v>
      </c>
      <c r="H3467" t="s">
        <v>67</v>
      </c>
      <c r="I3467" t="s">
        <v>35</v>
      </c>
      <c r="J3467" t="s">
        <v>27</v>
      </c>
      <c r="K3467">
        <v>8</v>
      </c>
      <c r="L3467">
        <v>63791</v>
      </c>
      <c r="M3467" t="s">
        <v>51</v>
      </c>
      <c r="N3467">
        <v>3</v>
      </c>
      <c r="O3467">
        <v>2</v>
      </c>
      <c r="P3467">
        <v>11</v>
      </c>
      <c r="Q3467">
        <v>1</v>
      </c>
      <c r="R3467" s="1">
        <v>42124</v>
      </c>
      <c r="S3467" t="s">
        <v>29</v>
      </c>
      <c r="T3467" t="str">
        <f t="shared" si="270"/>
        <v>Grade B</v>
      </c>
      <c r="U3467">
        <f t="shared" si="271"/>
        <v>4</v>
      </c>
      <c r="V3467" t="str">
        <f t="shared" si="272"/>
        <v>Mid Level</v>
      </c>
      <c r="W3467" t="str">
        <f t="shared" si="273"/>
        <v>Low Risk</v>
      </c>
      <c r="X3467" t="str">
        <f t="shared" si="274"/>
        <v>Fair</v>
      </c>
    </row>
    <row r="3468" spans="1:24" x14ac:dyDescent="0.3">
      <c r="A3468" t="s">
        <v>3536</v>
      </c>
      <c r="B3468" t="s">
        <v>39</v>
      </c>
      <c r="C3468">
        <v>39</v>
      </c>
      <c r="D3468" t="s">
        <v>31</v>
      </c>
      <c r="E3468" t="s">
        <v>22</v>
      </c>
      <c r="F3468" t="s">
        <v>65</v>
      </c>
      <c r="G3468" t="s">
        <v>63</v>
      </c>
      <c r="H3468" t="s">
        <v>76</v>
      </c>
      <c r="I3468" t="s">
        <v>26</v>
      </c>
      <c r="J3468" t="s">
        <v>27</v>
      </c>
      <c r="K3468">
        <v>1</v>
      </c>
      <c r="L3468">
        <v>48375</v>
      </c>
      <c r="M3468" t="s">
        <v>36</v>
      </c>
      <c r="N3468">
        <v>4</v>
      </c>
      <c r="O3468">
        <v>4</v>
      </c>
      <c r="P3468">
        <v>80</v>
      </c>
      <c r="Q3468">
        <v>1</v>
      </c>
      <c r="R3468" s="1">
        <v>44875</v>
      </c>
      <c r="S3468" t="s">
        <v>37</v>
      </c>
      <c r="T3468" t="str">
        <f t="shared" si="270"/>
        <v>Grade C</v>
      </c>
      <c r="U3468">
        <f t="shared" si="271"/>
        <v>1</v>
      </c>
      <c r="V3468" t="str">
        <f t="shared" si="272"/>
        <v>New Joiner</v>
      </c>
      <c r="W3468" t="str">
        <f t="shared" si="273"/>
        <v>Already Left</v>
      </c>
      <c r="X3468" t="str">
        <f t="shared" si="274"/>
        <v>Fair</v>
      </c>
    </row>
    <row r="3469" spans="1:24" x14ac:dyDescent="0.3">
      <c r="A3469" t="s">
        <v>3537</v>
      </c>
      <c r="B3469" t="s">
        <v>39</v>
      </c>
      <c r="C3469">
        <v>31</v>
      </c>
      <c r="D3469" t="s">
        <v>57</v>
      </c>
      <c r="E3469" t="s">
        <v>22</v>
      </c>
      <c r="F3469" t="s">
        <v>32</v>
      </c>
      <c r="G3469" t="s">
        <v>63</v>
      </c>
      <c r="H3469" t="s">
        <v>25</v>
      </c>
      <c r="I3469" t="s">
        <v>43</v>
      </c>
      <c r="J3469" t="s">
        <v>44</v>
      </c>
      <c r="K3469">
        <v>11</v>
      </c>
      <c r="L3469">
        <v>73763</v>
      </c>
      <c r="M3469" t="s">
        <v>51</v>
      </c>
      <c r="N3469">
        <v>4</v>
      </c>
      <c r="O3469">
        <v>4</v>
      </c>
      <c r="P3469">
        <v>31</v>
      </c>
      <c r="Q3469">
        <v>1</v>
      </c>
      <c r="R3469" s="1">
        <v>41225</v>
      </c>
      <c r="S3469" t="s">
        <v>37</v>
      </c>
      <c r="T3469" t="str">
        <f t="shared" si="270"/>
        <v>Grade B</v>
      </c>
      <c r="U3469">
        <f t="shared" si="271"/>
        <v>4</v>
      </c>
      <c r="V3469" t="str">
        <f t="shared" si="272"/>
        <v>Senior</v>
      </c>
      <c r="W3469" t="str">
        <f t="shared" si="273"/>
        <v>Already Left</v>
      </c>
      <c r="X3469" t="str">
        <f t="shared" si="274"/>
        <v>Fair</v>
      </c>
    </row>
    <row r="3470" spans="1:24" x14ac:dyDescent="0.3">
      <c r="A3470" t="s">
        <v>3538</v>
      </c>
      <c r="B3470" t="s">
        <v>20</v>
      </c>
      <c r="C3470">
        <v>33</v>
      </c>
      <c r="D3470" t="s">
        <v>57</v>
      </c>
      <c r="E3470" t="s">
        <v>48</v>
      </c>
      <c r="F3470" t="s">
        <v>32</v>
      </c>
      <c r="G3470" t="s">
        <v>63</v>
      </c>
      <c r="H3470" t="s">
        <v>25</v>
      </c>
      <c r="I3470" t="s">
        <v>54</v>
      </c>
      <c r="J3470" t="s">
        <v>27</v>
      </c>
      <c r="K3470">
        <v>15</v>
      </c>
      <c r="L3470">
        <v>65040</v>
      </c>
      <c r="M3470" t="s">
        <v>28</v>
      </c>
      <c r="N3470">
        <v>3</v>
      </c>
      <c r="O3470">
        <v>1</v>
      </c>
      <c r="P3470">
        <v>36</v>
      </c>
      <c r="Q3470">
        <v>1</v>
      </c>
      <c r="R3470" s="1">
        <v>39581</v>
      </c>
      <c r="S3470" t="s">
        <v>37</v>
      </c>
      <c r="T3470" t="str">
        <f t="shared" si="270"/>
        <v>Grade B</v>
      </c>
      <c r="U3470">
        <f t="shared" si="271"/>
        <v>3</v>
      </c>
      <c r="V3470" t="str">
        <f t="shared" si="272"/>
        <v>Senior</v>
      </c>
      <c r="W3470" t="str">
        <f t="shared" si="273"/>
        <v>Already Left</v>
      </c>
      <c r="X3470" t="str">
        <f t="shared" si="274"/>
        <v>Competitive</v>
      </c>
    </row>
    <row r="3471" spans="1:24" x14ac:dyDescent="0.3">
      <c r="A3471" t="s">
        <v>3539</v>
      </c>
      <c r="B3471" t="s">
        <v>39</v>
      </c>
      <c r="C3471">
        <v>30</v>
      </c>
      <c r="D3471" t="s">
        <v>47</v>
      </c>
      <c r="E3471" t="s">
        <v>22</v>
      </c>
      <c r="F3471" t="s">
        <v>41</v>
      </c>
      <c r="G3471" t="s">
        <v>42</v>
      </c>
      <c r="H3471" t="s">
        <v>67</v>
      </c>
      <c r="I3471" t="s">
        <v>43</v>
      </c>
      <c r="J3471" t="s">
        <v>44</v>
      </c>
      <c r="K3471">
        <v>11</v>
      </c>
      <c r="L3471">
        <v>111474</v>
      </c>
      <c r="M3471" t="s">
        <v>45</v>
      </c>
      <c r="N3471">
        <v>2</v>
      </c>
      <c r="O3471">
        <v>1</v>
      </c>
      <c r="P3471">
        <v>16</v>
      </c>
      <c r="Q3471">
        <v>1</v>
      </c>
      <c r="R3471" s="1">
        <v>41275</v>
      </c>
      <c r="S3471" t="s">
        <v>29</v>
      </c>
      <c r="T3471" t="str">
        <f t="shared" si="270"/>
        <v>Grade A</v>
      </c>
      <c r="U3471">
        <f t="shared" si="271"/>
        <v>2</v>
      </c>
      <c r="V3471" t="str">
        <f t="shared" si="272"/>
        <v>Senior</v>
      </c>
      <c r="W3471" t="str">
        <f t="shared" si="273"/>
        <v>Medium Risk</v>
      </c>
      <c r="X3471" t="str">
        <f t="shared" si="274"/>
        <v>Fair</v>
      </c>
    </row>
    <row r="3472" spans="1:24" x14ac:dyDescent="0.3">
      <c r="A3472" t="s">
        <v>3540</v>
      </c>
      <c r="B3472" t="s">
        <v>20</v>
      </c>
      <c r="C3472">
        <v>28</v>
      </c>
      <c r="D3472" t="s">
        <v>88</v>
      </c>
      <c r="E3472" t="s">
        <v>40</v>
      </c>
      <c r="F3472" t="s">
        <v>32</v>
      </c>
      <c r="G3472" t="s">
        <v>63</v>
      </c>
      <c r="H3472" t="s">
        <v>83</v>
      </c>
      <c r="I3472" t="s">
        <v>72</v>
      </c>
      <c r="J3472" t="s">
        <v>73</v>
      </c>
      <c r="K3472">
        <v>14</v>
      </c>
      <c r="L3472">
        <v>78435</v>
      </c>
      <c r="M3472" t="s">
        <v>45</v>
      </c>
      <c r="N3472">
        <v>3</v>
      </c>
      <c r="O3472">
        <v>2</v>
      </c>
      <c r="P3472">
        <v>39</v>
      </c>
      <c r="Q3472">
        <v>0</v>
      </c>
      <c r="R3472" s="1">
        <v>40174</v>
      </c>
      <c r="S3472" t="s">
        <v>29</v>
      </c>
      <c r="T3472" t="str">
        <f t="shared" si="270"/>
        <v>Grade B</v>
      </c>
      <c r="U3472">
        <f t="shared" si="271"/>
        <v>2</v>
      </c>
      <c r="V3472" t="str">
        <f t="shared" si="272"/>
        <v>Senior</v>
      </c>
      <c r="W3472" t="str">
        <f t="shared" si="273"/>
        <v>Medium Risk</v>
      </c>
      <c r="X3472" t="str">
        <f t="shared" si="274"/>
        <v>Fair</v>
      </c>
    </row>
    <row r="3473" spans="1:24" x14ac:dyDescent="0.3">
      <c r="A3473" t="s">
        <v>3541</v>
      </c>
      <c r="B3473" t="s">
        <v>20</v>
      </c>
      <c r="C3473">
        <v>43</v>
      </c>
      <c r="D3473" t="s">
        <v>47</v>
      </c>
      <c r="E3473" t="s">
        <v>40</v>
      </c>
      <c r="F3473" t="s">
        <v>65</v>
      </c>
      <c r="G3473" t="s">
        <v>49</v>
      </c>
      <c r="H3473" t="s">
        <v>76</v>
      </c>
      <c r="I3473" t="s">
        <v>26</v>
      </c>
      <c r="J3473" t="s">
        <v>27</v>
      </c>
      <c r="K3473">
        <v>12</v>
      </c>
      <c r="L3473">
        <v>74608</v>
      </c>
      <c r="M3473" t="s">
        <v>45</v>
      </c>
      <c r="N3473">
        <v>1</v>
      </c>
      <c r="O3473">
        <v>3</v>
      </c>
      <c r="P3473">
        <v>79</v>
      </c>
      <c r="Q3473">
        <v>1</v>
      </c>
      <c r="R3473" s="1">
        <v>40822</v>
      </c>
      <c r="S3473" t="s">
        <v>29</v>
      </c>
      <c r="T3473" t="str">
        <f t="shared" si="270"/>
        <v>Grade B</v>
      </c>
      <c r="U3473">
        <f t="shared" si="271"/>
        <v>2</v>
      </c>
      <c r="V3473" t="str">
        <f t="shared" si="272"/>
        <v>Senior</v>
      </c>
      <c r="W3473" t="str">
        <f t="shared" si="273"/>
        <v>Medium Risk</v>
      </c>
      <c r="X3473" t="str">
        <f t="shared" si="274"/>
        <v>Fair</v>
      </c>
    </row>
    <row r="3474" spans="1:24" x14ac:dyDescent="0.3">
      <c r="A3474" t="s">
        <v>3542</v>
      </c>
      <c r="B3474" t="s">
        <v>20</v>
      </c>
      <c r="C3474">
        <v>45</v>
      </c>
      <c r="D3474" t="s">
        <v>88</v>
      </c>
      <c r="E3474" t="s">
        <v>48</v>
      </c>
      <c r="F3474" t="s">
        <v>75</v>
      </c>
      <c r="G3474" t="s">
        <v>66</v>
      </c>
      <c r="H3474" t="s">
        <v>25</v>
      </c>
      <c r="I3474" t="s">
        <v>59</v>
      </c>
      <c r="J3474" t="s">
        <v>60</v>
      </c>
      <c r="K3474">
        <v>2</v>
      </c>
      <c r="L3474">
        <v>33918</v>
      </c>
      <c r="M3474" t="s">
        <v>28</v>
      </c>
      <c r="N3474">
        <v>1</v>
      </c>
      <c r="O3474">
        <v>4</v>
      </c>
      <c r="P3474">
        <v>59</v>
      </c>
      <c r="Q3474">
        <v>1</v>
      </c>
      <c r="R3474" s="1">
        <v>44350</v>
      </c>
      <c r="S3474" t="s">
        <v>29</v>
      </c>
      <c r="T3474" t="str">
        <f t="shared" si="270"/>
        <v>Grade D</v>
      </c>
      <c r="U3474">
        <f t="shared" si="271"/>
        <v>3</v>
      </c>
      <c r="V3474" t="str">
        <f t="shared" si="272"/>
        <v>New Joiner</v>
      </c>
      <c r="W3474" t="str">
        <f t="shared" si="273"/>
        <v>Medium Risk</v>
      </c>
      <c r="X3474" t="str">
        <f t="shared" si="274"/>
        <v>Fair</v>
      </c>
    </row>
    <row r="3475" spans="1:24" x14ac:dyDescent="0.3">
      <c r="A3475" t="s">
        <v>3543</v>
      </c>
      <c r="B3475" t="s">
        <v>39</v>
      </c>
      <c r="C3475">
        <v>51</v>
      </c>
      <c r="D3475" t="s">
        <v>21</v>
      </c>
      <c r="E3475" t="s">
        <v>22</v>
      </c>
      <c r="F3475" t="s">
        <v>32</v>
      </c>
      <c r="G3475" t="s">
        <v>24</v>
      </c>
      <c r="H3475" t="s">
        <v>83</v>
      </c>
      <c r="I3475" t="s">
        <v>54</v>
      </c>
      <c r="J3475" t="s">
        <v>27</v>
      </c>
      <c r="K3475">
        <v>3</v>
      </c>
      <c r="L3475">
        <v>74148</v>
      </c>
      <c r="M3475" t="s">
        <v>28</v>
      </c>
      <c r="N3475">
        <v>2</v>
      </c>
      <c r="O3475">
        <v>1</v>
      </c>
      <c r="P3475">
        <v>52</v>
      </c>
      <c r="Q3475">
        <v>2</v>
      </c>
      <c r="R3475" s="1">
        <v>43915</v>
      </c>
      <c r="S3475" t="s">
        <v>29</v>
      </c>
      <c r="T3475" t="str">
        <f t="shared" si="270"/>
        <v>Grade B</v>
      </c>
      <c r="U3475">
        <f t="shared" si="271"/>
        <v>3</v>
      </c>
      <c r="V3475" t="str">
        <f t="shared" si="272"/>
        <v>Junior</v>
      </c>
      <c r="W3475" t="str">
        <f t="shared" si="273"/>
        <v>Medium Risk</v>
      </c>
      <c r="X3475" t="str">
        <f t="shared" si="274"/>
        <v>Competitive</v>
      </c>
    </row>
    <row r="3476" spans="1:24" x14ac:dyDescent="0.3">
      <c r="A3476" t="s">
        <v>3544</v>
      </c>
      <c r="B3476" t="s">
        <v>39</v>
      </c>
      <c r="C3476">
        <v>34</v>
      </c>
      <c r="D3476" t="s">
        <v>31</v>
      </c>
      <c r="E3476" t="s">
        <v>22</v>
      </c>
      <c r="F3476" t="s">
        <v>62</v>
      </c>
      <c r="G3476" t="s">
        <v>66</v>
      </c>
      <c r="H3476" t="s">
        <v>83</v>
      </c>
      <c r="I3476" t="s">
        <v>96</v>
      </c>
      <c r="J3476" t="s">
        <v>44</v>
      </c>
      <c r="K3476">
        <v>13</v>
      </c>
      <c r="L3476">
        <v>54290</v>
      </c>
      <c r="M3476" t="s">
        <v>28</v>
      </c>
      <c r="N3476">
        <v>1</v>
      </c>
      <c r="O3476">
        <v>4</v>
      </c>
      <c r="P3476">
        <v>19</v>
      </c>
      <c r="Q3476">
        <v>2</v>
      </c>
      <c r="R3476" s="1">
        <v>40494</v>
      </c>
      <c r="S3476" t="s">
        <v>29</v>
      </c>
      <c r="T3476" t="str">
        <f t="shared" si="270"/>
        <v>Grade B</v>
      </c>
      <c r="U3476">
        <f t="shared" si="271"/>
        <v>3</v>
      </c>
      <c r="V3476" t="str">
        <f t="shared" si="272"/>
        <v>Senior</v>
      </c>
      <c r="W3476" t="str">
        <f t="shared" si="273"/>
        <v>Medium Risk</v>
      </c>
      <c r="X3476" t="str">
        <f t="shared" si="274"/>
        <v>Competitive</v>
      </c>
    </row>
    <row r="3477" spans="1:24" x14ac:dyDescent="0.3">
      <c r="A3477" t="s">
        <v>3545</v>
      </c>
      <c r="B3477" t="s">
        <v>39</v>
      </c>
      <c r="C3477">
        <v>44</v>
      </c>
      <c r="D3477" t="s">
        <v>47</v>
      </c>
      <c r="E3477" t="s">
        <v>48</v>
      </c>
      <c r="F3477" t="s">
        <v>65</v>
      </c>
      <c r="G3477" t="s">
        <v>63</v>
      </c>
      <c r="H3477" t="s">
        <v>25</v>
      </c>
      <c r="I3477" t="s">
        <v>80</v>
      </c>
      <c r="J3477" t="s">
        <v>60</v>
      </c>
      <c r="K3477">
        <v>15</v>
      </c>
      <c r="L3477">
        <v>77721</v>
      </c>
      <c r="M3477" t="s">
        <v>36</v>
      </c>
      <c r="N3477">
        <v>4</v>
      </c>
      <c r="O3477">
        <v>1</v>
      </c>
      <c r="P3477">
        <v>23</v>
      </c>
      <c r="Q3477">
        <v>3</v>
      </c>
      <c r="R3477" s="1">
        <v>39625</v>
      </c>
      <c r="S3477" t="s">
        <v>29</v>
      </c>
      <c r="T3477" t="str">
        <f t="shared" si="270"/>
        <v>Grade B</v>
      </c>
      <c r="U3477">
        <f t="shared" si="271"/>
        <v>1</v>
      </c>
      <c r="V3477" t="str">
        <f t="shared" si="272"/>
        <v>Senior</v>
      </c>
      <c r="W3477" t="str">
        <f t="shared" si="273"/>
        <v>Medium Risk</v>
      </c>
      <c r="X3477" t="str">
        <f t="shared" si="274"/>
        <v>Fair</v>
      </c>
    </row>
    <row r="3478" spans="1:24" x14ac:dyDescent="0.3">
      <c r="A3478" t="s">
        <v>3546</v>
      </c>
      <c r="B3478" t="s">
        <v>20</v>
      </c>
      <c r="C3478">
        <v>43</v>
      </c>
      <c r="D3478" t="s">
        <v>57</v>
      </c>
      <c r="E3478" t="s">
        <v>48</v>
      </c>
      <c r="F3478" t="s">
        <v>53</v>
      </c>
      <c r="G3478" t="s">
        <v>66</v>
      </c>
      <c r="H3478" t="s">
        <v>83</v>
      </c>
      <c r="I3478" t="s">
        <v>26</v>
      </c>
      <c r="J3478" t="s">
        <v>27</v>
      </c>
      <c r="K3478">
        <v>5</v>
      </c>
      <c r="L3478">
        <v>50714</v>
      </c>
      <c r="M3478" t="s">
        <v>28</v>
      </c>
      <c r="N3478">
        <v>2</v>
      </c>
      <c r="O3478">
        <v>2</v>
      </c>
      <c r="P3478">
        <v>10</v>
      </c>
      <c r="Q3478">
        <v>0</v>
      </c>
      <c r="R3478" s="1">
        <v>43405</v>
      </c>
      <c r="S3478" t="s">
        <v>29</v>
      </c>
      <c r="T3478" t="str">
        <f t="shared" si="270"/>
        <v>Grade B</v>
      </c>
      <c r="U3478">
        <f t="shared" si="271"/>
        <v>3</v>
      </c>
      <c r="V3478" t="str">
        <f t="shared" si="272"/>
        <v>Junior</v>
      </c>
      <c r="W3478" t="str">
        <f t="shared" si="273"/>
        <v>Medium Risk</v>
      </c>
      <c r="X3478" t="str">
        <f t="shared" si="274"/>
        <v>Competitive</v>
      </c>
    </row>
    <row r="3479" spans="1:24" x14ac:dyDescent="0.3">
      <c r="A3479" t="s">
        <v>3547</v>
      </c>
      <c r="B3479" t="s">
        <v>20</v>
      </c>
      <c r="C3479">
        <v>41</v>
      </c>
      <c r="D3479" t="s">
        <v>47</v>
      </c>
      <c r="E3479" t="s">
        <v>22</v>
      </c>
      <c r="F3479" t="s">
        <v>53</v>
      </c>
      <c r="G3479" t="s">
        <v>49</v>
      </c>
      <c r="H3479" t="s">
        <v>25</v>
      </c>
      <c r="I3479" t="s">
        <v>68</v>
      </c>
      <c r="J3479" t="s">
        <v>60</v>
      </c>
      <c r="K3479">
        <v>3</v>
      </c>
      <c r="L3479">
        <v>60748</v>
      </c>
      <c r="M3479" t="s">
        <v>28</v>
      </c>
      <c r="N3479">
        <v>2</v>
      </c>
      <c r="O3479">
        <v>3</v>
      </c>
      <c r="P3479">
        <v>20</v>
      </c>
      <c r="Q3479">
        <v>3</v>
      </c>
      <c r="R3479" s="1">
        <v>43991</v>
      </c>
      <c r="S3479" t="s">
        <v>37</v>
      </c>
      <c r="T3479" t="str">
        <f t="shared" si="270"/>
        <v>Grade B</v>
      </c>
      <c r="U3479">
        <f t="shared" si="271"/>
        <v>3</v>
      </c>
      <c r="V3479" t="str">
        <f t="shared" si="272"/>
        <v>Junior</v>
      </c>
      <c r="W3479" t="str">
        <f t="shared" si="273"/>
        <v>Already Left</v>
      </c>
      <c r="X3479" t="str">
        <f t="shared" si="274"/>
        <v>Competitive</v>
      </c>
    </row>
    <row r="3480" spans="1:24" x14ac:dyDescent="0.3">
      <c r="A3480" t="s">
        <v>3548</v>
      </c>
      <c r="B3480" t="s">
        <v>39</v>
      </c>
      <c r="C3480">
        <v>25</v>
      </c>
      <c r="D3480" t="s">
        <v>57</v>
      </c>
      <c r="E3480" t="s">
        <v>48</v>
      </c>
      <c r="F3480" t="s">
        <v>41</v>
      </c>
      <c r="G3480" t="s">
        <v>24</v>
      </c>
      <c r="H3480" t="s">
        <v>83</v>
      </c>
      <c r="I3480" t="s">
        <v>68</v>
      </c>
      <c r="J3480" t="s">
        <v>60</v>
      </c>
      <c r="K3480">
        <v>6</v>
      </c>
      <c r="L3480">
        <v>82298</v>
      </c>
      <c r="M3480" t="s">
        <v>51</v>
      </c>
      <c r="N3480">
        <v>4</v>
      </c>
      <c r="O3480">
        <v>3</v>
      </c>
      <c r="P3480">
        <v>26</v>
      </c>
      <c r="Q3480">
        <v>0</v>
      </c>
      <c r="R3480" s="1">
        <v>43098</v>
      </c>
      <c r="S3480" t="s">
        <v>29</v>
      </c>
      <c r="T3480" t="str">
        <f t="shared" si="270"/>
        <v>Grade A</v>
      </c>
      <c r="U3480">
        <f t="shared" si="271"/>
        <v>4</v>
      </c>
      <c r="V3480" t="str">
        <f t="shared" si="272"/>
        <v>Mid Level</v>
      </c>
      <c r="W3480" t="str">
        <f t="shared" si="273"/>
        <v>Low Risk</v>
      </c>
      <c r="X3480" t="str">
        <f t="shared" si="274"/>
        <v>Competitive</v>
      </c>
    </row>
    <row r="3481" spans="1:24" x14ac:dyDescent="0.3">
      <c r="A3481" t="s">
        <v>3549</v>
      </c>
      <c r="B3481" t="s">
        <v>39</v>
      </c>
      <c r="C3481">
        <v>23</v>
      </c>
      <c r="D3481" t="s">
        <v>31</v>
      </c>
      <c r="E3481" t="s">
        <v>48</v>
      </c>
      <c r="F3481" t="s">
        <v>41</v>
      </c>
      <c r="G3481" t="s">
        <v>58</v>
      </c>
      <c r="H3481" t="s">
        <v>76</v>
      </c>
      <c r="I3481" t="s">
        <v>26</v>
      </c>
      <c r="J3481" t="s">
        <v>27</v>
      </c>
      <c r="K3481">
        <v>2</v>
      </c>
      <c r="L3481">
        <v>81549</v>
      </c>
      <c r="M3481" t="s">
        <v>28</v>
      </c>
      <c r="N3481">
        <v>1</v>
      </c>
      <c r="O3481">
        <v>1</v>
      </c>
      <c r="P3481">
        <v>52</v>
      </c>
      <c r="Q3481">
        <v>1</v>
      </c>
      <c r="R3481" s="1">
        <v>44249</v>
      </c>
      <c r="S3481" t="s">
        <v>37</v>
      </c>
      <c r="T3481" t="str">
        <f t="shared" si="270"/>
        <v>Grade A</v>
      </c>
      <c r="U3481">
        <f t="shared" si="271"/>
        <v>3</v>
      </c>
      <c r="V3481" t="str">
        <f t="shared" si="272"/>
        <v>New Joiner</v>
      </c>
      <c r="W3481" t="str">
        <f t="shared" si="273"/>
        <v>Already Left</v>
      </c>
      <c r="X3481" t="str">
        <f t="shared" si="274"/>
        <v>Competitive</v>
      </c>
    </row>
    <row r="3482" spans="1:24" x14ac:dyDescent="0.3">
      <c r="A3482" t="s">
        <v>3550</v>
      </c>
      <c r="B3482" t="s">
        <v>20</v>
      </c>
      <c r="C3482">
        <v>27</v>
      </c>
      <c r="D3482" t="s">
        <v>21</v>
      </c>
      <c r="E3482" t="s">
        <v>22</v>
      </c>
      <c r="F3482" t="s">
        <v>62</v>
      </c>
      <c r="G3482" t="s">
        <v>63</v>
      </c>
      <c r="H3482" t="s">
        <v>34</v>
      </c>
      <c r="I3482" t="s">
        <v>50</v>
      </c>
      <c r="J3482" t="s">
        <v>44</v>
      </c>
      <c r="K3482">
        <v>14</v>
      </c>
      <c r="L3482">
        <v>76683</v>
      </c>
      <c r="M3482" t="s">
        <v>45</v>
      </c>
      <c r="N3482">
        <v>3</v>
      </c>
      <c r="O3482">
        <v>2</v>
      </c>
      <c r="P3482">
        <v>70</v>
      </c>
      <c r="Q3482">
        <v>1</v>
      </c>
      <c r="R3482" s="1">
        <v>39977</v>
      </c>
      <c r="S3482" t="s">
        <v>29</v>
      </c>
      <c r="T3482" t="str">
        <f t="shared" si="270"/>
        <v>Grade B</v>
      </c>
      <c r="U3482">
        <f t="shared" si="271"/>
        <v>2</v>
      </c>
      <c r="V3482" t="str">
        <f t="shared" si="272"/>
        <v>Senior</v>
      </c>
      <c r="W3482" t="str">
        <f t="shared" si="273"/>
        <v>Medium Risk</v>
      </c>
      <c r="X3482" t="str">
        <f t="shared" si="274"/>
        <v>Fair</v>
      </c>
    </row>
    <row r="3483" spans="1:24" x14ac:dyDescent="0.3">
      <c r="A3483" t="s">
        <v>3551</v>
      </c>
      <c r="B3483" t="s">
        <v>20</v>
      </c>
      <c r="C3483">
        <v>35</v>
      </c>
      <c r="D3483" t="s">
        <v>47</v>
      </c>
      <c r="E3483" t="s">
        <v>48</v>
      </c>
      <c r="F3483" t="s">
        <v>78</v>
      </c>
      <c r="G3483" t="s">
        <v>24</v>
      </c>
      <c r="H3483" t="s">
        <v>34</v>
      </c>
      <c r="I3483" t="s">
        <v>68</v>
      </c>
      <c r="J3483" t="s">
        <v>60</v>
      </c>
      <c r="K3483">
        <v>14</v>
      </c>
      <c r="L3483">
        <v>112674</v>
      </c>
      <c r="M3483" t="s">
        <v>28</v>
      </c>
      <c r="N3483">
        <v>3</v>
      </c>
      <c r="O3483">
        <v>1</v>
      </c>
      <c r="P3483">
        <v>72</v>
      </c>
      <c r="Q3483">
        <v>3</v>
      </c>
      <c r="R3483" s="1">
        <v>40097</v>
      </c>
      <c r="S3483" t="s">
        <v>37</v>
      </c>
      <c r="T3483" t="str">
        <f t="shared" si="270"/>
        <v>Grade A</v>
      </c>
      <c r="U3483">
        <f t="shared" si="271"/>
        <v>3</v>
      </c>
      <c r="V3483" t="str">
        <f t="shared" si="272"/>
        <v>Senior</v>
      </c>
      <c r="W3483" t="str">
        <f t="shared" si="273"/>
        <v>Already Left</v>
      </c>
      <c r="X3483" t="str">
        <f t="shared" si="274"/>
        <v>Competitive</v>
      </c>
    </row>
    <row r="3484" spans="1:24" x14ac:dyDescent="0.3">
      <c r="A3484" t="s">
        <v>3552</v>
      </c>
      <c r="B3484" t="s">
        <v>20</v>
      </c>
      <c r="C3484">
        <v>32</v>
      </c>
      <c r="D3484" t="s">
        <v>88</v>
      </c>
      <c r="E3484" t="s">
        <v>40</v>
      </c>
      <c r="F3484" t="s">
        <v>75</v>
      </c>
      <c r="G3484" t="s">
        <v>63</v>
      </c>
      <c r="H3484" t="s">
        <v>25</v>
      </c>
      <c r="I3484" t="s">
        <v>54</v>
      </c>
      <c r="J3484" t="s">
        <v>27</v>
      </c>
      <c r="K3484">
        <v>8</v>
      </c>
      <c r="L3484">
        <v>61304</v>
      </c>
      <c r="M3484" t="s">
        <v>36</v>
      </c>
      <c r="N3484">
        <v>1</v>
      </c>
      <c r="O3484">
        <v>3</v>
      </c>
      <c r="P3484">
        <v>64</v>
      </c>
      <c r="Q3484">
        <v>1</v>
      </c>
      <c r="R3484" s="1">
        <v>42080</v>
      </c>
      <c r="S3484" t="s">
        <v>37</v>
      </c>
      <c r="T3484" t="str">
        <f t="shared" si="270"/>
        <v>Grade B</v>
      </c>
      <c r="U3484">
        <f t="shared" si="271"/>
        <v>1</v>
      </c>
      <c r="V3484" t="str">
        <f t="shared" si="272"/>
        <v>Mid Level</v>
      </c>
      <c r="W3484" t="str">
        <f t="shared" si="273"/>
        <v>Already Left</v>
      </c>
      <c r="X3484" t="str">
        <f t="shared" si="274"/>
        <v>Fair</v>
      </c>
    </row>
    <row r="3485" spans="1:24" x14ac:dyDescent="0.3">
      <c r="A3485" t="s">
        <v>3553</v>
      </c>
      <c r="B3485" t="s">
        <v>39</v>
      </c>
      <c r="C3485">
        <v>26</v>
      </c>
      <c r="D3485" t="s">
        <v>57</v>
      </c>
      <c r="E3485" t="s">
        <v>22</v>
      </c>
      <c r="F3485" t="s">
        <v>53</v>
      </c>
      <c r="G3485" t="s">
        <v>49</v>
      </c>
      <c r="H3485" t="s">
        <v>25</v>
      </c>
      <c r="I3485" t="s">
        <v>26</v>
      </c>
      <c r="J3485" t="s">
        <v>27</v>
      </c>
      <c r="K3485">
        <v>11</v>
      </c>
      <c r="L3485">
        <v>70492</v>
      </c>
      <c r="M3485" t="s">
        <v>45</v>
      </c>
      <c r="N3485">
        <v>3</v>
      </c>
      <c r="O3485">
        <v>4</v>
      </c>
      <c r="P3485">
        <v>79</v>
      </c>
      <c r="Q3485">
        <v>0</v>
      </c>
      <c r="R3485" s="1">
        <v>41144</v>
      </c>
      <c r="S3485" t="s">
        <v>29</v>
      </c>
      <c r="T3485" t="str">
        <f t="shared" si="270"/>
        <v>Grade B</v>
      </c>
      <c r="U3485">
        <f t="shared" si="271"/>
        <v>2</v>
      </c>
      <c r="V3485" t="str">
        <f t="shared" si="272"/>
        <v>Senior</v>
      </c>
      <c r="W3485" t="str">
        <f t="shared" si="273"/>
        <v>Medium Risk</v>
      </c>
      <c r="X3485" t="str">
        <f t="shared" si="274"/>
        <v>Fair</v>
      </c>
    </row>
    <row r="3486" spans="1:24" x14ac:dyDescent="0.3">
      <c r="A3486" t="s">
        <v>3554</v>
      </c>
      <c r="B3486" t="s">
        <v>20</v>
      </c>
      <c r="C3486">
        <v>51</v>
      </c>
      <c r="D3486" t="s">
        <v>31</v>
      </c>
      <c r="E3486" t="s">
        <v>40</v>
      </c>
      <c r="F3486" t="s">
        <v>53</v>
      </c>
      <c r="G3486" t="s">
        <v>42</v>
      </c>
      <c r="H3486" t="s">
        <v>67</v>
      </c>
      <c r="I3486" t="s">
        <v>35</v>
      </c>
      <c r="J3486" t="s">
        <v>27</v>
      </c>
      <c r="K3486">
        <v>4</v>
      </c>
      <c r="L3486">
        <v>101880</v>
      </c>
      <c r="M3486" t="s">
        <v>28</v>
      </c>
      <c r="N3486">
        <v>3</v>
      </c>
      <c r="O3486">
        <v>3</v>
      </c>
      <c r="P3486">
        <v>60</v>
      </c>
      <c r="Q3486">
        <v>2</v>
      </c>
      <c r="R3486" s="1">
        <v>43684</v>
      </c>
      <c r="S3486" t="s">
        <v>29</v>
      </c>
      <c r="T3486" t="str">
        <f t="shared" si="270"/>
        <v>Grade A</v>
      </c>
      <c r="U3486">
        <f t="shared" si="271"/>
        <v>3</v>
      </c>
      <c r="V3486" t="str">
        <f t="shared" si="272"/>
        <v>Junior</v>
      </c>
      <c r="W3486" t="str">
        <f t="shared" si="273"/>
        <v>Medium Risk</v>
      </c>
      <c r="X3486" t="str">
        <f t="shared" si="274"/>
        <v>Competitive</v>
      </c>
    </row>
    <row r="3487" spans="1:24" x14ac:dyDescent="0.3">
      <c r="A3487" t="s">
        <v>3555</v>
      </c>
      <c r="B3487" t="s">
        <v>39</v>
      </c>
      <c r="C3487">
        <v>38</v>
      </c>
      <c r="D3487" t="s">
        <v>47</v>
      </c>
      <c r="E3487" t="s">
        <v>48</v>
      </c>
      <c r="F3487" t="s">
        <v>65</v>
      </c>
      <c r="G3487" t="s">
        <v>79</v>
      </c>
      <c r="H3487" t="s">
        <v>83</v>
      </c>
      <c r="I3487" t="s">
        <v>80</v>
      </c>
      <c r="J3487" t="s">
        <v>60</v>
      </c>
      <c r="K3487">
        <v>3</v>
      </c>
      <c r="L3487">
        <v>48057</v>
      </c>
      <c r="M3487" t="s">
        <v>45</v>
      </c>
      <c r="N3487">
        <v>1</v>
      </c>
      <c r="O3487">
        <v>4</v>
      </c>
      <c r="P3487">
        <v>18</v>
      </c>
      <c r="Q3487">
        <v>1</v>
      </c>
      <c r="R3487" s="1">
        <v>44126</v>
      </c>
      <c r="S3487" t="s">
        <v>29</v>
      </c>
      <c r="T3487" t="str">
        <f t="shared" si="270"/>
        <v>Grade C</v>
      </c>
      <c r="U3487">
        <f t="shared" si="271"/>
        <v>2</v>
      </c>
      <c r="V3487" t="str">
        <f t="shared" si="272"/>
        <v>Junior</v>
      </c>
      <c r="W3487" t="str">
        <f t="shared" si="273"/>
        <v>Medium Risk</v>
      </c>
      <c r="X3487" t="str">
        <f t="shared" si="274"/>
        <v>Fair</v>
      </c>
    </row>
    <row r="3488" spans="1:24" x14ac:dyDescent="0.3">
      <c r="A3488" t="s">
        <v>3556</v>
      </c>
      <c r="B3488" t="s">
        <v>20</v>
      </c>
      <c r="C3488">
        <v>29</v>
      </c>
      <c r="D3488" t="s">
        <v>47</v>
      </c>
      <c r="E3488" t="s">
        <v>22</v>
      </c>
      <c r="F3488" t="s">
        <v>41</v>
      </c>
      <c r="G3488" t="s">
        <v>24</v>
      </c>
      <c r="H3488" t="s">
        <v>25</v>
      </c>
      <c r="I3488" t="s">
        <v>59</v>
      </c>
      <c r="J3488" t="s">
        <v>60</v>
      </c>
      <c r="K3488">
        <v>15</v>
      </c>
      <c r="L3488">
        <v>109440</v>
      </c>
      <c r="M3488" t="s">
        <v>28</v>
      </c>
      <c r="N3488">
        <v>3</v>
      </c>
      <c r="O3488">
        <v>3</v>
      </c>
      <c r="P3488">
        <v>43</v>
      </c>
      <c r="Q3488">
        <v>2</v>
      </c>
      <c r="R3488" s="1">
        <v>39673</v>
      </c>
      <c r="S3488" t="s">
        <v>29</v>
      </c>
      <c r="T3488" t="str">
        <f t="shared" si="270"/>
        <v>Grade A</v>
      </c>
      <c r="U3488">
        <f t="shared" si="271"/>
        <v>3</v>
      </c>
      <c r="V3488" t="str">
        <f t="shared" si="272"/>
        <v>Senior</v>
      </c>
      <c r="W3488" t="str">
        <f t="shared" si="273"/>
        <v>Medium Risk</v>
      </c>
      <c r="X3488" t="str">
        <f t="shared" si="274"/>
        <v>Competitive</v>
      </c>
    </row>
    <row r="3489" spans="1:24" x14ac:dyDescent="0.3">
      <c r="A3489" t="s">
        <v>3557</v>
      </c>
      <c r="B3489" t="s">
        <v>20</v>
      </c>
      <c r="C3489">
        <v>51</v>
      </c>
      <c r="D3489" t="s">
        <v>57</v>
      </c>
      <c r="E3489" t="s">
        <v>40</v>
      </c>
      <c r="F3489" t="s">
        <v>65</v>
      </c>
      <c r="G3489" t="s">
        <v>49</v>
      </c>
      <c r="H3489" t="s">
        <v>34</v>
      </c>
      <c r="I3489" t="s">
        <v>68</v>
      </c>
      <c r="J3489" t="s">
        <v>60</v>
      </c>
      <c r="K3489">
        <v>14</v>
      </c>
      <c r="L3489">
        <v>82466</v>
      </c>
      <c r="M3489" t="s">
        <v>51</v>
      </c>
      <c r="N3489">
        <v>2</v>
      </c>
      <c r="O3489">
        <v>1</v>
      </c>
      <c r="P3489">
        <v>68</v>
      </c>
      <c r="Q3489">
        <v>0</v>
      </c>
      <c r="R3489" s="1">
        <v>40177</v>
      </c>
      <c r="S3489" t="s">
        <v>29</v>
      </c>
      <c r="T3489" t="str">
        <f t="shared" si="270"/>
        <v>Grade A</v>
      </c>
      <c r="U3489">
        <f t="shared" si="271"/>
        <v>4</v>
      </c>
      <c r="V3489" t="str">
        <f t="shared" si="272"/>
        <v>Senior</v>
      </c>
      <c r="W3489" t="str">
        <f t="shared" si="273"/>
        <v>Low Risk</v>
      </c>
      <c r="X3489" t="str">
        <f t="shared" si="274"/>
        <v>Competitive</v>
      </c>
    </row>
    <row r="3490" spans="1:24" x14ac:dyDescent="0.3">
      <c r="A3490" t="s">
        <v>3558</v>
      </c>
      <c r="B3490" t="s">
        <v>20</v>
      </c>
      <c r="C3490">
        <v>35</v>
      </c>
      <c r="D3490" t="s">
        <v>88</v>
      </c>
      <c r="E3490" t="s">
        <v>22</v>
      </c>
      <c r="F3490" t="s">
        <v>32</v>
      </c>
      <c r="G3490" t="s">
        <v>63</v>
      </c>
      <c r="H3490" t="s">
        <v>25</v>
      </c>
      <c r="I3490" t="s">
        <v>59</v>
      </c>
      <c r="J3490" t="s">
        <v>60</v>
      </c>
      <c r="K3490">
        <v>9</v>
      </c>
      <c r="L3490">
        <v>58272</v>
      </c>
      <c r="M3490" t="s">
        <v>36</v>
      </c>
      <c r="N3490">
        <v>1</v>
      </c>
      <c r="O3490">
        <v>2</v>
      </c>
      <c r="P3490">
        <v>80</v>
      </c>
      <c r="Q3490">
        <v>1</v>
      </c>
      <c r="R3490" s="1">
        <v>41762</v>
      </c>
      <c r="S3490" t="s">
        <v>29</v>
      </c>
      <c r="T3490" t="str">
        <f t="shared" si="270"/>
        <v>Grade B</v>
      </c>
      <c r="U3490">
        <f t="shared" si="271"/>
        <v>1</v>
      </c>
      <c r="V3490" t="str">
        <f t="shared" si="272"/>
        <v>Mid Level</v>
      </c>
      <c r="W3490" t="str">
        <f t="shared" si="273"/>
        <v>Medium Risk</v>
      </c>
      <c r="X3490" t="str">
        <f t="shared" si="274"/>
        <v>Fair</v>
      </c>
    </row>
    <row r="3491" spans="1:24" x14ac:dyDescent="0.3">
      <c r="A3491" t="s">
        <v>3559</v>
      </c>
      <c r="B3491" t="s">
        <v>20</v>
      </c>
      <c r="C3491">
        <v>42</v>
      </c>
      <c r="D3491" t="s">
        <v>31</v>
      </c>
      <c r="E3491" t="s">
        <v>22</v>
      </c>
      <c r="F3491" t="s">
        <v>41</v>
      </c>
      <c r="G3491" t="s">
        <v>66</v>
      </c>
      <c r="H3491" t="s">
        <v>34</v>
      </c>
      <c r="I3491" t="s">
        <v>35</v>
      </c>
      <c r="J3491" t="s">
        <v>27</v>
      </c>
      <c r="K3491">
        <v>15</v>
      </c>
      <c r="L3491">
        <v>55431</v>
      </c>
      <c r="M3491" t="s">
        <v>28</v>
      </c>
      <c r="N3491">
        <v>3</v>
      </c>
      <c r="O3491">
        <v>1</v>
      </c>
      <c r="P3491">
        <v>60</v>
      </c>
      <c r="Q3491">
        <v>0</v>
      </c>
      <c r="R3491" s="1">
        <v>39697</v>
      </c>
      <c r="S3491" t="s">
        <v>29</v>
      </c>
      <c r="T3491" t="str">
        <f t="shared" si="270"/>
        <v>Grade B</v>
      </c>
      <c r="U3491">
        <f t="shared" si="271"/>
        <v>3</v>
      </c>
      <c r="V3491" t="str">
        <f t="shared" si="272"/>
        <v>Senior</v>
      </c>
      <c r="W3491" t="str">
        <f t="shared" si="273"/>
        <v>Medium Risk</v>
      </c>
      <c r="X3491" t="str">
        <f t="shared" si="274"/>
        <v>Competitive</v>
      </c>
    </row>
    <row r="3492" spans="1:24" x14ac:dyDescent="0.3">
      <c r="A3492" t="s">
        <v>3560</v>
      </c>
      <c r="B3492" t="s">
        <v>20</v>
      </c>
      <c r="C3492">
        <v>48</v>
      </c>
      <c r="D3492" t="s">
        <v>47</v>
      </c>
      <c r="E3492" t="s">
        <v>22</v>
      </c>
      <c r="F3492" t="s">
        <v>41</v>
      </c>
      <c r="G3492" t="s">
        <v>24</v>
      </c>
      <c r="H3492" t="s">
        <v>83</v>
      </c>
      <c r="I3492" t="s">
        <v>72</v>
      </c>
      <c r="J3492" t="s">
        <v>73</v>
      </c>
      <c r="K3492">
        <v>7</v>
      </c>
      <c r="L3492">
        <v>94093</v>
      </c>
      <c r="M3492" t="s">
        <v>45</v>
      </c>
      <c r="N3492">
        <v>4</v>
      </c>
      <c r="O3492">
        <v>4</v>
      </c>
      <c r="P3492">
        <v>30</v>
      </c>
      <c r="Q3492">
        <v>3</v>
      </c>
      <c r="R3492" s="1">
        <v>42567</v>
      </c>
      <c r="S3492" t="s">
        <v>29</v>
      </c>
      <c r="T3492" t="str">
        <f t="shared" si="270"/>
        <v>Grade A</v>
      </c>
      <c r="U3492">
        <f t="shared" si="271"/>
        <v>2</v>
      </c>
      <c r="V3492" t="str">
        <f t="shared" si="272"/>
        <v>Mid Level</v>
      </c>
      <c r="W3492" t="str">
        <f t="shared" si="273"/>
        <v>Medium Risk</v>
      </c>
      <c r="X3492" t="str">
        <f t="shared" si="274"/>
        <v>Fair</v>
      </c>
    </row>
    <row r="3493" spans="1:24" x14ac:dyDescent="0.3">
      <c r="A3493" t="s">
        <v>3561</v>
      </c>
      <c r="B3493" t="s">
        <v>20</v>
      </c>
      <c r="C3493">
        <v>27</v>
      </c>
      <c r="D3493" t="s">
        <v>31</v>
      </c>
      <c r="E3493" t="s">
        <v>40</v>
      </c>
      <c r="F3493" t="s">
        <v>62</v>
      </c>
      <c r="G3493" t="s">
        <v>42</v>
      </c>
      <c r="H3493" t="s">
        <v>67</v>
      </c>
      <c r="I3493" t="s">
        <v>68</v>
      </c>
      <c r="J3493" t="s">
        <v>60</v>
      </c>
      <c r="K3493">
        <v>15</v>
      </c>
      <c r="L3493">
        <v>123818</v>
      </c>
      <c r="M3493" t="s">
        <v>51</v>
      </c>
      <c r="N3493">
        <v>4</v>
      </c>
      <c r="O3493">
        <v>3</v>
      </c>
      <c r="P3493">
        <v>36</v>
      </c>
      <c r="Q3493">
        <v>0</v>
      </c>
      <c r="R3493" s="1">
        <v>39608</v>
      </c>
      <c r="S3493" t="s">
        <v>29</v>
      </c>
      <c r="T3493" t="str">
        <f t="shared" si="270"/>
        <v>Grade A</v>
      </c>
      <c r="U3493">
        <f t="shared" si="271"/>
        <v>4</v>
      </c>
      <c r="V3493" t="str">
        <f t="shared" si="272"/>
        <v>Senior</v>
      </c>
      <c r="W3493" t="str">
        <f t="shared" si="273"/>
        <v>Low Risk</v>
      </c>
      <c r="X3493" t="str">
        <f t="shared" si="274"/>
        <v>Competitive</v>
      </c>
    </row>
    <row r="3494" spans="1:24" x14ac:dyDescent="0.3">
      <c r="A3494" t="s">
        <v>3562</v>
      </c>
      <c r="B3494" t="s">
        <v>20</v>
      </c>
      <c r="C3494">
        <v>40</v>
      </c>
      <c r="D3494" t="s">
        <v>31</v>
      </c>
      <c r="E3494" t="s">
        <v>22</v>
      </c>
      <c r="F3494" t="s">
        <v>62</v>
      </c>
      <c r="G3494" t="s">
        <v>49</v>
      </c>
      <c r="H3494" t="s">
        <v>25</v>
      </c>
      <c r="I3494" t="s">
        <v>26</v>
      </c>
      <c r="J3494" t="s">
        <v>27</v>
      </c>
      <c r="K3494">
        <v>12</v>
      </c>
      <c r="L3494">
        <v>71999</v>
      </c>
      <c r="M3494" t="s">
        <v>36</v>
      </c>
      <c r="N3494">
        <v>1</v>
      </c>
      <c r="O3494">
        <v>2</v>
      </c>
      <c r="P3494">
        <v>28</v>
      </c>
      <c r="Q3494">
        <v>1</v>
      </c>
      <c r="R3494" s="1">
        <v>40748</v>
      </c>
      <c r="S3494" t="s">
        <v>37</v>
      </c>
      <c r="T3494" t="str">
        <f t="shared" si="270"/>
        <v>Grade B</v>
      </c>
      <c r="U3494">
        <f t="shared" si="271"/>
        <v>1</v>
      </c>
      <c r="V3494" t="str">
        <f t="shared" si="272"/>
        <v>Senior</v>
      </c>
      <c r="W3494" t="str">
        <f t="shared" si="273"/>
        <v>Already Left</v>
      </c>
      <c r="X3494" t="str">
        <f t="shared" si="274"/>
        <v>Fair</v>
      </c>
    </row>
    <row r="3495" spans="1:24" x14ac:dyDescent="0.3">
      <c r="A3495" t="s">
        <v>3563</v>
      </c>
      <c r="B3495" t="s">
        <v>39</v>
      </c>
      <c r="C3495">
        <v>25</v>
      </c>
      <c r="D3495" t="s">
        <v>88</v>
      </c>
      <c r="E3495" t="s">
        <v>40</v>
      </c>
      <c r="F3495" t="s">
        <v>62</v>
      </c>
      <c r="G3495" t="s">
        <v>79</v>
      </c>
      <c r="H3495" t="s">
        <v>34</v>
      </c>
      <c r="I3495" t="s">
        <v>26</v>
      </c>
      <c r="J3495" t="s">
        <v>27</v>
      </c>
      <c r="K3495">
        <v>4</v>
      </c>
      <c r="L3495">
        <v>42198</v>
      </c>
      <c r="M3495" t="s">
        <v>51</v>
      </c>
      <c r="N3495">
        <v>2</v>
      </c>
      <c r="O3495">
        <v>1</v>
      </c>
      <c r="P3495">
        <v>29</v>
      </c>
      <c r="Q3495">
        <v>1</v>
      </c>
      <c r="R3495" s="1">
        <v>43649</v>
      </c>
      <c r="S3495" t="s">
        <v>37</v>
      </c>
      <c r="T3495" t="str">
        <f t="shared" si="270"/>
        <v>Grade C</v>
      </c>
      <c r="U3495">
        <f t="shared" si="271"/>
        <v>4</v>
      </c>
      <c r="V3495" t="str">
        <f t="shared" si="272"/>
        <v>Junior</v>
      </c>
      <c r="W3495" t="str">
        <f t="shared" si="273"/>
        <v>Already Left</v>
      </c>
      <c r="X3495" t="str">
        <f t="shared" si="274"/>
        <v>Fair</v>
      </c>
    </row>
    <row r="3496" spans="1:24" x14ac:dyDescent="0.3">
      <c r="A3496" t="s">
        <v>3564</v>
      </c>
      <c r="B3496" t="s">
        <v>20</v>
      </c>
      <c r="C3496">
        <v>24</v>
      </c>
      <c r="D3496" t="s">
        <v>57</v>
      </c>
      <c r="E3496" t="s">
        <v>40</v>
      </c>
      <c r="F3496" t="s">
        <v>23</v>
      </c>
      <c r="G3496" t="s">
        <v>79</v>
      </c>
      <c r="H3496" t="s">
        <v>67</v>
      </c>
      <c r="I3496" t="s">
        <v>68</v>
      </c>
      <c r="J3496" t="s">
        <v>60</v>
      </c>
      <c r="K3496">
        <v>15</v>
      </c>
      <c r="L3496">
        <v>76377</v>
      </c>
      <c r="M3496" t="s">
        <v>45</v>
      </c>
      <c r="N3496">
        <v>2</v>
      </c>
      <c r="O3496">
        <v>2</v>
      </c>
      <c r="P3496">
        <v>80</v>
      </c>
      <c r="Q3496">
        <v>1</v>
      </c>
      <c r="R3496" s="1">
        <v>39609</v>
      </c>
      <c r="S3496" t="s">
        <v>29</v>
      </c>
      <c r="T3496" t="str">
        <f t="shared" si="270"/>
        <v>Grade B</v>
      </c>
      <c r="U3496">
        <f t="shared" si="271"/>
        <v>2</v>
      </c>
      <c r="V3496" t="str">
        <f t="shared" si="272"/>
        <v>Senior</v>
      </c>
      <c r="W3496" t="str">
        <f t="shared" si="273"/>
        <v>Medium Risk</v>
      </c>
      <c r="X3496" t="str">
        <f t="shared" si="274"/>
        <v>Fair</v>
      </c>
    </row>
    <row r="3497" spans="1:24" x14ac:dyDescent="0.3">
      <c r="A3497" t="s">
        <v>3565</v>
      </c>
      <c r="B3497" t="s">
        <v>20</v>
      </c>
      <c r="C3497">
        <v>53</v>
      </c>
      <c r="D3497" t="s">
        <v>47</v>
      </c>
      <c r="E3497" t="s">
        <v>48</v>
      </c>
      <c r="F3497" t="s">
        <v>75</v>
      </c>
      <c r="G3497" t="s">
        <v>58</v>
      </c>
      <c r="H3497" t="s">
        <v>76</v>
      </c>
      <c r="I3497" t="s">
        <v>43</v>
      </c>
      <c r="J3497" t="s">
        <v>44</v>
      </c>
      <c r="K3497">
        <v>1</v>
      </c>
      <c r="L3497">
        <v>77234</v>
      </c>
      <c r="M3497" t="s">
        <v>45</v>
      </c>
      <c r="N3497">
        <v>3</v>
      </c>
      <c r="O3497">
        <v>4</v>
      </c>
      <c r="P3497">
        <v>33</v>
      </c>
      <c r="Q3497">
        <v>2</v>
      </c>
      <c r="R3497" s="1">
        <v>44588</v>
      </c>
      <c r="S3497" t="s">
        <v>29</v>
      </c>
      <c r="T3497" t="str">
        <f t="shared" si="270"/>
        <v>Grade B</v>
      </c>
      <c r="U3497">
        <f t="shared" si="271"/>
        <v>2</v>
      </c>
      <c r="V3497" t="str">
        <f t="shared" si="272"/>
        <v>New Joiner</v>
      </c>
      <c r="W3497" t="str">
        <f t="shared" si="273"/>
        <v>Medium Risk</v>
      </c>
      <c r="X3497" t="str">
        <f t="shared" si="274"/>
        <v>Fair</v>
      </c>
    </row>
    <row r="3498" spans="1:24" x14ac:dyDescent="0.3">
      <c r="A3498" t="s">
        <v>3566</v>
      </c>
      <c r="B3498" t="s">
        <v>20</v>
      </c>
      <c r="C3498">
        <v>43</v>
      </c>
      <c r="D3498" t="s">
        <v>47</v>
      </c>
      <c r="E3498" t="s">
        <v>22</v>
      </c>
      <c r="F3498" t="s">
        <v>65</v>
      </c>
      <c r="G3498" t="s">
        <v>79</v>
      </c>
      <c r="H3498" t="s">
        <v>34</v>
      </c>
      <c r="I3498" t="s">
        <v>54</v>
      </c>
      <c r="J3498" t="s">
        <v>27</v>
      </c>
      <c r="K3498">
        <v>12</v>
      </c>
      <c r="L3498">
        <v>58624</v>
      </c>
      <c r="M3498" t="s">
        <v>51</v>
      </c>
      <c r="N3498">
        <v>1</v>
      </c>
      <c r="O3498">
        <v>2</v>
      </c>
      <c r="P3498">
        <v>53</v>
      </c>
      <c r="Q3498">
        <v>1</v>
      </c>
      <c r="R3498" s="1">
        <v>40801</v>
      </c>
      <c r="S3498" t="s">
        <v>37</v>
      </c>
      <c r="T3498" t="str">
        <f t="shared" si="270"/>
        <v>Grade B</v>
      </c>
      <c r="U3498">
        <f t="shared" si="271"/>
        <v>4</v>
      </c>
      <c r="V3498" t="str">
        <f t="shared" si="272"/>
        <v>Senior</v>
      </c>
      <c r="W3498" t="str">
        <f t="shared" si="273"/>
        <v>Already Left</v>
      </c>
      <c r="X3498" t="str">
        <f t="shared" si="274"/>
        <v>Fair</v>
      </c>
    </row>
    <row r="3499" spans="1:24" x14ac:dyDescent="0.3">
      <c r="A3499" t="s">
        <v>3567</v>
      </c>
      <c r="B3499" t="s">
        <v>39</v>
      </c>
      <c r="C3499">
        <v>49</v>
      </c>
      <c r="D3499" t="s">
        <v>57</v>
      </c>
      <c r="E3499" t="s">
        <v>40</v>
      </c>
      <c r="F3499" t="s">
        <v>32</v>
      </c>
      <c r="G3499" t="s">
        <v>63</v>
      </c>
      <c r="H3499" t="s">
        <v>76</v>
      </c>
      <c r="I3499" t="s">
        <v>80</v>
      </c>
      <c r="J3499" t="s">
        <v>60</v>
      </c>
      <c r="K3499">
        <v>7</v>
      </c>
      <c r="L3499">
        <v>68054</v>
      </c>
      <c r="M3499" t="s">
        <v>45</v>
      </c>
      <c r="N3499">
        <v>3</v>
      </c>
      <c r="O3499">
        <v>4</v>
      </c>
      <c r="P3499">
        <v>48</v>
      </c>
      <c r="Q3499">
        <v>2</v>
      </c>
      <c r="R3499" s="1">
        <v>42499</v>
      </c>
      <c r="S3499" t="s">
        <v>29</v>
      </c>
      <c r="T3499" t="str">
        <f t="shared" si="270"/>
        <v>Grade B</v>
      </c>
      <c r="U3499">
        <f t="shared" si="271"/>
        <v>2</v>
      </c>
      <c r="V3499" t="str">
        <f t="shared" si="272"/>
        <v>Mid Level</v>
      </c>
      <c r="W3499" t="str">
        <f t="shared" si="273"/>
        <v>Medium Risk</v>
      </c>
      <c r="X3499" t="str">
        <f t="shared" si="274"/>
        <v>Fair</v>
      </c>
    </row>
    <row r="3500" spans="1:24" x14ac:dyDescent="0.3">
      <c r="A3500" t="s">
        <v>3568</v>
      </c>
      <c r="B3500" t="s">
        <v>20</v>
      </c>
      <c r="C3500">
        <v>43</v>
      </c>
      <c r="D3500" t="s">
        <v>57</v>
      </c>
      <c r="E3500" t="s">
        <v>22</v>
      </c>
      <c r="F3500" t="s">
        <v>32</v>
      </c>
      <c r="G3500" t="s">
        <v>24</v>
      </c>
      <c r="H3500" t="s">
        <v>83</v>
      </c>
      <c r="I3500" t="s">
        <v>50</v>
      </c>
      <c r="J3500" t="s">
        <v>44</v>
      </c>
      <c r="K3500">
        <v>9</v>
      </c>
      <c r="L3500">
        <v>89012</v>
      </c>
      <c r="M3500" t="s">
        <v>45</v>
      </c>
      <c r="N3500">
        <v>1</v>
      </c>
      <c r="O3500">
        <v>3</v>
      </c>
      <c r="P3500">
        <v>57</v>
      </c>
      <c r="Q3500">
        <v>2</v>
      </c>
      <c r="R3500" s="1">
        <v>41970</v>
      </c>
      <c r="S3500" t="s">
        <v>37</v>
      </c>
      <c r="T3500" t="str">
        <f t="shared" si="270"/>
        <v>Grade A</v>
      </c>
      <c r="U3500">
        <f t="shared" si="271"/>
        <v>2</v>
      </c>
      <c r="V3500" t="str">
        <f t="shared" si="272"/>
        <v>Mid Level</v>
      </c>
      <c r="W3500" t="str">
        <f t="shared" si="273"/>
        <v>Already Left</v>
      </c>
      <c r="X3500" t="str">
        <f t="shared" si="274"/>
        <v>Fair</v>
      </c>
    </row>
    <row r="3501" spans="1:24" x14ac:dyDescent="0.3">
      <c r="A3501" t="s">
        <v>3569</v>
      </c>
      <c r="B3501" t="s">
        <v>20</v>
      </c>
      <c r="C3501">
        <v>40</v>
      </c>
      <c r="D3501" t="s">
        <v>31</v>
      </c>
      <c r="E3501" t="s">
        <v>22</v>
      </c>
      <c r="F3501" t="s">
        <v>53</v>
      </c>
      <c r="G3501" t="s">
        <v>66</v>
      </c>
      <c r="H3501" t="s">
        <v>83</v>
      </c>
      <c r="I3501" t="s">
        <v>59</v>
      </c>
      <c r="J3501" t="s">
        <v>60</v>
      </c>
      <c r="K3501">
        <v>13</v>
      </c>
      <c r="L3501">
        <v>62527</v>
      </c>
      <c r="M3501" t="s">
        <v>36</v>
      </c>
      <c r="N3501">
        <v>3</v>
      </c>
      <c r="O3501">
        <v>2</v>
      </c>
      <c r="P3501">
        <v>60</v>
      </c>
      <c r="Q3501">
        <v>0</v>
      </c>
      <c r="R3501" s="1">
        <v>40469</v>
      </c>
      <c r="S3501" t="s">
        <v>37</v>
      </c>
      <c r="T3501" t="str">
        <f t="shared" si="270"/>
        <v>Grade B</v>
      </c>
      <c r="U3501">
        <f t="shared" si="271"/>
        <v>1</v>
      </c>
      <c r="V3501" t="str">
        <f t="shared" si="272"/>
        <v>Senior</v>
      </c>
      <c r="W3501" t="str">
        <f t="shared" si="273"/>
        <v>Already Left</v>
      </c>
      <c r="X3501" t="str">
        <f t="shared" si="274"/>
        <v>Fair</v>
      </c>
    </row>
    <row r="3502" spans="1:24" x14ac:dyDescent="0.3">
      <c r="A3502" t="s">
        <v>3570</v>
      </c>
      <c r="B3502" t="s">
        <v>20</v>
      </c>
      <c r="C3502">
        <v>46</v>
      </c>
      <c r="D3502" t="s">
        <v>88</v>
      </c>
      <c r="E3502" t="s">
        <v>40</v>
      </c>
      <c r="F3502" t="s">
        <v>53</v>
      </c>
      <c r="G3502" t="s">
        <v>49</v>
      </c>
      <c r="H3502" t="s">
        <v>67</v>
      </c>
      <c r="I3502" t="s">
        <v>96</v>
      </c>
      <c r="J3502" t="s">
        <v>44</v>
      </c>
      <c r="K3502">
        <v>13</v>
      </c>
      <c r="L3502">
        <v>85004</v>
      </c>
      <c r="M3502" t="s">
        <v>45</v>
      </c>
      <c r="N3502">
        <v>1</v>
      </c>
      <c r="O3502">
        <v>1</v>
      </c>
      <c r="P3502">
        <v>13</v>
      </c>
      <c r="Q3502">
        <v>3</v>
      </c>
      <c r="R3502" s="1">
        <v>40275</v>
      </c>
      <c r="S3502" t="s">
        <v>29</v>
      </c>
      <c r="T3502" t="str">
        <f t="shared" si="270"/>
        <v>Grade A</v>
      </c>
      <c r="U3502">
        <f t="shared" si="271"/>
        <v>2</v>
      </c>
      <c r="V3502" t="str">
        <f t="shared" si="272"/>
        <v>Senior</v>
      </c>
      <c r="W3502" t="str">
        <f t="shared" si="273"/>
        <v>Medium Risk</v>
      </c>
      <c r="X3502" t="str">
        <f t="shared" si="274"/>
        <v>Fair</v>
      </c>
    </row>
    <row r="3503" spans="1:24" x14ac:dyDescent="0.3">
      <c r="A3503" t="s">
        <v>3571</v>
      </c>
      <c r="B3503" t="s">
        <v>39</v>
      </c>
      <c r="C3503">
        <v>35</v>
      </c>
      <c r="D3503" t="s">
        <v>57</v>
      </c>
      <c r="E3503" t="s">
        <v>22</v>
      </c>
      <c r="F3503" t="s">
        <v>53</v>
      </c>
      <c r="G3503" t="s">
        <v>42</v>
      </c>
      <c r="H3503" t="s">
        <v>34</v>
      </c>
      <c r="I3503" t="s">
        <v>72</v>
      </c>
      <c r="J3503" t="s">
        <v>73</v>
      </c>
      <c r="K3503">
        <v>5</v>
      </c>
      <c r="L3503">
        <v>101411</v>
      </c>
      <c r="M3503" t="s">
        <v>45</v>
      </c>
      <c r="N3503">
        <v>3</v>
      </c>
      <c r="O3503">
        <v>1</v>
      </c>
      <c r="P3503">
        <v>65</v>
      </c>
      <c r="Q3503">
        <v>1</v>
      </c>
      <c r="R3503" s="1">
        <v>43307</v>
      </c>
      <c r="S3503" t="s">
        <v>37</v>
      </c>
      <c r="T3503" t="str">
        <f t="shared" si="270"/>
        <v>Grade A</v>
      </c>
      <c r="U3503">
        <f t="shared" si="271"/>
        <v>2</v>
      </c>
      <c r="V3503" t="str">
        <f t="shared" si="272"/>
        <v>Junior</v>
      </c>
      <c r="W3503" t="str">
        <f t="shared" si="273"/>
        <v>Already Left</v>
      </c>
      <c r="X3503" t="str">
        <f t="shared" si="274"/>
        <v>Fair</v>
      </c>
    </row>
    <row r="3504" spans="1:24" x14ac:dyDescent="0.3">
      <c r="A3504" t="s">
        <v>3572</v>
      </c>
      <c r="B3504" t="s">
        <v>20</v>
      </c>
      <c r="C3504">
        <v>25</v>
      </c>
      <c r="D3504" t="s">
        <v>47</v>
      </c>
      <c r="E3504" t="s">
        <v>40</v>
      </c>
      <c r="F3504" t="s">
        <v>23</v>
      </c>
      <c r="G3504" t="s">
        <v>42</v>
      </c>
      <c r="H3504" t="s">
        <v>76</v>
      </c>
      <c r="I3504" t="s">
        <v>96</v>
      </c>
      <c r="J3504" t="s">
        <v>44</v>
      </c>
      <c r="K3504">
        <v>8</v>
      </c>
      <c r="L3504">
        <v>105564</v>
      </c>
      <c r="M3504" t="s">
        <v>28</v>
      </c>
      <c r="N3504">
        <v>3</v>
      </c>
      <c r="O3504">
        <v>1</v>
      </c>
      <c r="P3504">
        <v>66</v>
      </c>
      <c r="Q3504">
        <v>1</v>
      </c>
      <c r="R3504" s="1">
        <v>42349</v>
      </c>
      <c r="S3504" t="s">
        <v>37</v>
      </c>
      <c r="T3504" t="str">
        <f t="shared" si="270"/>
        <v>Grade A</v>
      </c>
      <c r="U3504">
        <f t="shared" si="271"/>
        <v>3</v>
      </c>
      <c r="V3504" t="str">
        <f t="shared" si="272"/>
        <v>Mid Level</v>
      </c>
      <c r="W3504" t="str">
        <f t="shared" si="273"/>
        <v>Already Left</v>
      </c>
      <c r="X3504" t="str">
        <f t="shared" si="274"/>
        <v>Competitive</v>
      </c>
    </row>
    <row r="3505" spans="1:24" x14ac:dyDescent="0.3">
      <c r="A3505" t="s">
        <v>3573</v>
      </c>
      <c r="B3505" t="s">
        <v>39</v>
      </c>
      <c r="C3505">
        <v>44</v>
      </c>
      <c r="D3505" t="s">
        <v>88</v>
      </c>
      <c r="E3505" t="s">
        <v>22</v>
      </c>
      <c r="F3505" t="s">
        <v>78</v>
      </c>
      <c r="G3505" t="s">
        <v>42</v>
      </c>
      <c r="H3505" t="s">
        <v>76</v>
      </c>
      <c r="I3505" t="s">
        <v>54</v>
      </c>
      <c r="J3505" t="s">
        <v>27</v>
      </c>
      <c r="K3505">
        <v>1</v>
      </c>
      <c r="L3505">
        <v>103640</v>
      </c>
      <c r="M3505" t="s">
        <v>51</v>
      </c>
      <c r="N3505">
        <v>3</v>
      </c>
      <c r="O3505">
        <v>3</v>
      </c>
      <c r="P3505">
        <v>31</v>
      </c>
      <c r="Q3505">
        <v>2</v>
      </c>
      <c r="R3505" s="1">
        <v>44628</v>
      </c>
      <c r="S3505" t="s">
        <v>29</v>
      </c>
      <c r="T3505" t="str">
        <f t="shared" si="270"/>
        <v>Grade A</v>
      </c>
      <c r="U3505">
        <f t="shared" si="271"/>
        <v>4</v>
      </c>
      <c r="V3505" t="str">
        <f t="shared" si="272"/>
        <v>New Joiner</v>
      </c>
      <c r="W3505" t="str">
        <f t="shared" si="273"/>
        <v>Low Risk</v>
      </c>
      <c r="X3505" t="str">
        <f t="shared" si="274"/>
        <v>Competitive</v>
      </c>
    </row>
    <row r="3506" spans="1:24" x14ac:dyDescent="0.3">
      <c r="A3506" t="s">
        <v>3574</v>
      </c>
      <c r="B3506" t="s">
        <v>20</v>
      </c>
      <c r="C3506">
        <v>28</v>
      </c>
      <c r="D3506" t="s">
        <v>31</v>
      </c>
      <c r="E3506" t="s">
        <v>22</v>
      </c>
      <c r="F3506" t="s">
        <v>78</v>
      </c>
      <c r="G3506" t="s">
        <v>58</v>
      </c>
      <c r="H3506" t="s">
        <v>34</v>
      </c>
      <c r="I3506" t="s">
        <v>35</v>
      </c>
      <c r="J3506" t="s">
        <v>27</v>
      </c>
      <c r="K3506">
        <v>11</v>
      </c>
      <c r="L3506">
        <v>107102</v>
      </c>
      <c r="M3506" t="s">
        <v>45</v>
      </c>
      <c r="N3506">
        <v>4</v>
      </c>
      <c r="O3506">
        <v>4</v>
      </c>
      <c r="P3506">
        <v>54</v>
      </c>
      <c r="Q3506">
        <v>0</v>
      </c>
      <c r="R3506" s="1">
        <v>41120</v>
      </c>
      <c r="S3506" t="s">
        <v>37</v>
      </c>
      <c r="T3506" t="str">
        <f t="shared" si="270"/>
        <v>Grade A</v>
      </c>
      <c r="U3506">
        <f t="shared" si="271"/>
        <v>2</v>
      </c>
      <c r="V3506" t="str">
        <f t="shared" si="272"/>
        <v>Senior</v>
      </c>
      <c r="W3506" t="str">
        <f t="shared" si="273"/>
        <v>Already Left</v>
      </c>
      <c r="X3506" t="str">
        <f t="shared" si="274"/>
        <v>Fair</v>
      </c>
    </row>
    <row r="3507" spans="1:24" x14ac:dyDescent="0.3">
      <c r="A3507" t="s">
        <v>3575</v>
      </c>
      <c r="B3507" t="s">
        <v>39</v>
      </c>
      <c r="C3507">
        <v>26</v>
      </c>
      <c r="D3507" t="s">
        <v>57</v>
      </c>
      <c r="E3507" t="s">
        <v>40</v>
      </c>
      <c r="F3507" t="s">
        <v>75</v>
      </c>
      <c r="G3507" t="s">
        <v>79</v>
      </c>
      <c r="H3507" t="s">
        <v>34</v>
      </c>
      <c r="I3507" t="s">
        <v>72</v>
      </c>
      <c r="J3507" t="s">
        <v>73</v>
      </c>
      <c r="K3507">
        <v>3</v>
      </c>
      <c r="L3507">
        <v>42538</v>
      </c>
      <c r="M3507" t="s">
        <v>28</v>
      </c>
      <c r="N3507">
        <v>3</v>
      </c>
      <c r="O3507">
        <v>1</v>
      </c>
      <c r="P3507">
        <v>49</v>
      </c>
      <c r="Q3507">
        <v>3</v>
      </c>
      <c r="R3507" s="1">
        <v>43874</v>
      </c>
      <c r="S3507" t="s">
        <v>29</v>
      </c>
      <c r="T3507" t="str">
        <f t="shared" si="270"/>
        <v>Grade C</v>
      </c>
      <c r="U3507">
        <f t="shared" si="271"/>
        <v>3</v>
      </c>
      <c r="V3507" t="str">
        <f t="shared" si="272"/>
        <v>Junior</v>
      </c>
      <c r="W3507" t="str">
        <f t="shared" si="273"/>
        <v>Medium Risk</v>
      </c>
      <c r="X3507" t="str">
        <f t="shared" si="274"/>
        <v>Fair</v>
      </c>
    </row>
    <row r="3508" spans="1:24" x14ac:dyDescent="0.3">
      <c r="A3508" t="s">
        <v>3576</v>
      </c>
      <c r="B3508" t="s">
        <v>20</v>
      </c>
      <c r="C3508">
        <v>28</v>
      </c>
      <c r="D3508" t="s">
        <v>31</v>
      </c>
      <c r="E3508" t="s">
        <v>40</v>
      </c>
      <c r="F3508" t="s">
        <v>32</v>
      </c>
      <c r="G3508" t="s">
        <v>42</v>
      </c>
      <c r="H3508" t="s">
        <v>67</v>
      </c>
      <c r="I3508" t="s">
        <v>43</v>
      </c>
      <c r="J3508" t="s">
        <v>44</v>
      </c>
      <c r="K3508">
        <v>13</v>
      </c>
      <c r="L3508">
        <v>126431</v>
      </c>
      <c r="M3508" t="s">
        <v>51</v>
      </c>
      <c r="N3508">
        <v>2</v>
      </c>
      <c r="O3508">
        <v>3</v>
      </c>
      <c r="P3508">
        <v>27</v>
      </c>
      <c r="Q3508">
        <v>3</v>
      </c>
      <c r="R3508" s="1">
        <v>40496</v>
      </c>
      <c r="S3508" t="s">
        <v>29</v>
      </c>
      <c r="T3508" t="str">
        <f t="shared" si="270"/>
        <v>Grade A</v>
      </c>
      <c r="U3508">
        <f t="shared" si="271"/>
        <v>4</v>
      </c>
      <c r="V3508" t="str">
        <f t="shared" si="272"/>
        <v>Senior</v>
      </c>
      <c r="W3508" t="str">
        <f t="shared" si="273"/>
        <v>Low Risk</v>
      </c>
      <c r="X3508" t="str">
        <f t="shared" si="274"/>
        <v>Competitive</v>
      </c>
    </row>
    <row r="3509" spans="1:24" x14ac:dyDescent="0.3">
      <c r="A3509" t="s">
        <v>3577</v>
      </c>
      <c r="B3509" t="s">
        <v>20</v>
      </c>
      <c r="C3509">
        <v>48</v>
      </c>
      <c r="D3509" t="s">
        <v>57</v>
      </c>
      <c r="E3509" t="s">
        <v>48</v>
      </c>
      <c r="F3509" t="s">
        <v>78</v>
      </c>
      <c r="G3509" t="s">
        <v>63</v>
      </c>
      <c r="H3509" t="s">
        <v>76</v>
      </c>
      <c r="I3509" t="s">
        <v>43</v>
      </c>
      <c r="J3509" t="s">
        <v>44</v>
      </c>
      <c r="K3509">
        <v>2</v>
      </c>
      <c r="L3509">
        <v>50014</v>
      </c>
      <c r="M3509" t="s">
        <v>45</v>
      </c>
      <c r="N3509">
        <v>3</v>
      </c>
      <c r="O3509">
        <v>4</v>
      </c>
      <c r="P3509">
        <v>36</v>
      </c>
      <c r="Q3509">
        <v>3</v>
      </c>
      <c r="R3509" s="1">
        <v>44335</v>
      </c>
      <c r="S3509" t="s">
        <v>29</v>
      </c>
      <c r="T3509" t="str">
        <f t="shared" si="270"/>
        <v>Grade B</v>
      </c>
      <c r="U3509">
        <f t="shared" si="271"/>
        <v>2</v>
      </c>
      <c r="V3509" t="str">
        <f t="shared" si="272"/>
        <v>New Joiner</v>
      </c>
      <c r="W3509" t="str">
        <f t="shared" si="273"/>
        <v>Medium Risk</v>
      </c>
      <c r="X3509" t="str">
        <f t="shared" si="274"/>
        <v>Fair</v>
      </c>
    </row>
    <row r="3510" spans="1:24" x14ac:dyDescent="0.3">
      <c r="A3510" t="s">
        <v>3578</v>
      </c>
      <c r="B3510" t="s">
        <v>20</v>
      </c>
      <c r="C3510">
        <v>45</v>
      </c>
      <c r="D3510" t="s">
        <v>47</v>
      </c>
      <c r="E3510" t="s">
        <v>48</v>
      </c>
      <c r="F3510" t="s">
        <v>75</v>
      </c>
      <c r="G3510" t="s">
        <v>79</v>
      </c>
      <c r="H3510" t="s">
        <v>25</v>
      </c>
      <c r="I3510" t="s">
        <v>26</v>
      </c>
      <c r="J3510" t="s">
        <v>27</v>
      </c>
      <c r="K3510">
        <v>7</v>
      </c>
      <c r="L3510">
        <v>47720</v>
      </c>
      <c r="M3510" t="s">
        <v>28</v>
      </c>
      <c r="N3510">
        <v>1</v>
      </c>
      <c r="O3510">
        <v>4</v>
      </c>
      <c r="P3510">
        <v>25</v>
      </c>
      <c r="Q3510">
        <v>3</v>
      </c>
      <c r="R3510" s="1">
        <v>42530</v>
      </c>
      <c r="S3510" t="s">
        <v>37</v>
      </c>
      <c r="T3510" t="str">
        <f t="shared" si="270"/>
        <v>Grade C</v>
      </c>
      <c r="U3510">
        <f t="shared" si="271"/>
        <v>3</v>
      </c>
      <c r="V3510" t="str">
        <f t="shared" si="272"/>
        <v>Mid Level</v>
      </c>
      <c r="W3510" t="str">
        <f t="shared" si="273"/>
        <v>Already Left</v>
      </c>
      <c r="X3510" t="str">
        <f t="shared" si="274"/>
        <v>Fair</v>
      </c>
    </row>
    <row r="3511" spans="1:24" x14ac:dyDescent="0.3">
      <c r="A3511" t="s">
        <v>3579</v>
      </c>
      <c r="B3511" t="s">
        <v>20</v>
      </c>
      <c r="C3511">
        <v>35</v>
      </c>
      <c r="D3511" t="s">
        <v>47</v>
      </c>
      <c r="E3511" t="s">
        <v>48</v>
      </c>
      <c r="F3511" t="s">
        <v>78</v>
      </c>
      <c r="G3511" t="s">
        <v>24</v>
      </c>
      <c r="H3511" t="s">
        <v>25</v>
      </c>
      <c r="I3511" t="s">
        <v>35</v>
      </c>
      <c r="J3511" t="s">
        <v>27</v>
      </c>
      <c r="K3511">
        <v>9</v>
      </c>
      <c r="L3511">
        <v>93305</v>
      </c>
      <c r="M3511" t="s">
        <v>36</v>
      </c>
      <c r="N3511">
        <v>1</v>
      </c>
      <c r="O3511">
        <v>1</v>
      </c>
      <c r="P3511">
        <v>25</v>
      </c>
      <c r="Q3511">
        <v>0</v>
      </c>
      <c r="R3511" s="1">
        <v>41881</v>
      </c>
      <c r="S3511" t="s">
        <v>29</v>
      </c>
      <c r="T3511" t="str">
        <f t="shared" si="270"/>
        <v>Grade A</v>
      </c>
      <c r="U3511">
        <f t="shared" si="271"/>
        <v>1</v>
      </c>
      <c r="V3511" t="str">
        <f t="shared" si="272"/>
        <v>Mid Level</v>
      </c>
      <c r="W3511" t="str">
        <f t="shared" si="273"/>
        <v>Medium Risk</v>
      </c>
      <c r="X3511" t="str">
        <f t="shared" si="274"/>
        <v>Overpaid</v>
      </c>
    </row>
    <row r="3512" spans="1:24" x14ac:dyDescent="0.3">
      <c r="A3512" t="s">
        <v>3580</v>
      </c>
      <c r="B3512" t="s">
        <v>39</v>
      </c>
      <c r="C3512">
        <v>39</v>
      </c>
      <c r="D3512" t="s">
        <v>21</v>
      </c>
      <c r="E3512" t="s">
        <v>22</v>
      </c>
      <c r="F3512" t="s">
        <v>53</v>
      </c>
      <c r="G3512" t="s">
        <v>79</v>
      </c>
      <c r="H3512" t="s">
        <v>34</v>
      </c>
      <c r="I3512" t="s">
        <v>50</v>
      </c>
      <c r="J3512" t="s">
        <v>44</v>
      </c>
      <c r="K3512">
        <v>12</v>
      </c>
      <c r="L3512">
        <v>62779</v>
      </c>
      <c r="M3512" t="s">
        <v>28</v>
      </c>
      <c r="N3512">
        <v>1</v>
      </c>
      <c r="O3512">
        <v>1</v>
      </c>
      <c r="P3512">
        <v>26</v>
      </c>
      <c r="Q3512">
        <v>0</v>
      </c>
      <c r="R3512" s="1">
        <v>40571</v>
      </c>
      <c r="S3512" t="s">
        <v>29</v>
      </c>
      <c r="T3512" t="str">
        <f t="shared" si="270"/>
        <v>Grade B</v>
      </c>
      <c r="U3512">
        <f t="shared" si="271"/>
        <v>3</v>
      </c>
      <c r="V3512" t="str">
        <f t="shared" si="272"/>
        <v>Senior</v>
      </c>
      <c r="W3512" t="str">
        <f t="shared" si="273"/>
        <v>Medium Risk</v>
      </c>
      <c r="X3512" t="str">
        <f t="shared" si="274"/>
        <v>Competitive</v>
      </c>
    </row>
    <row r="3513" spans="1:24" x14ac:dyDescent="0.3">
      <c r="A3513" t="s">
        <v>3581</v>
      </c>
      <c r="B3513" t="s">
        <v>39</v>
      </c>
      <c r="C3513">
        <v>39</v>
      </c>
      <c r="D3513" t="s">
        <v>47</v>
      </c>
      <c r="E3513" t="s">
        <v>22</v>
      </c>
      <c r="F3513" t="s">
        <v>78</v>
      </c>
      <c r="G3513" t="s">
        <v>79</v>
      </c>
      <c r="H3513" t="s">
        <v>25</v>
      </c>
      <c r="I3513" t="s">
        <v>26</v>
      </c>
      <c r="J3513" t="s">
        <v>27</v>
      </c>
      <c r="K3513">
        <v>5</v>
      </c>
      <c r="L3513">
        <v>50266</v>
      </c>
      <c r="M3513" t="s">
        <v>36</v>
      </c>
      <c r="N3513">
        <v>1</v>
      </c>
      <c r="O3513">
        <v>2</v>
      </c>
      <c r="P3513">
        <v>18</v>
      </c>
      <c r="Q3513">
        <v>1</v>
      </c>
      <c r="R3513" s="1">
        <v>43244</v>
      </c>
      <c r="S3513" t="s">
        <v>29</v>
      </c>
      <c r="T3513" t="str">
        <f t="shared" si="270"/>
        <v>Grade B</v>
      </c>
      <c r="U3513">
        <f t="shared" si="271"/>
        <v>1</v>
      </c>
      <c r="V3513" t="str">
        <f t="shared" si="272"/>
        <v>Junior</v>
      </c>
      <c r="W3513" t="str">
        <f t="shared" si="273"/>
        <v>Medium Risk</v>
      </c>
      <c r="X3513" t="str">
        <f t="shared" si="274"/>
        <v>Fair</v>
      </c>
    </row>
    <row r="3514" spans="1:24" x14ac:dyDescent="0.3">
      <c r="A3514" t="s">
        <v>3582</v>
      </c>
      <c r="B3514" t="s">
        <v>20</v>
      </c>
      <c r="C3514">
        <v>24</v>
      </c>
      <c r="D3514" t="s">
        <v>88</v>
      </c>
      <c r="E3514" t="s">
        <v>22</v>
      </c>
      <c r="F3514" t="s">
        <v>65</v>
      </c>
      <c r="G3514" t="s">
        <v>33</v>
      </c>
      <c r="H3514" t="s">
        <v>34</v>
      </c>
      <c r="I3514" t="s">
        <v>80</v>
      </c>
      <c r="J3514" t="s">
        <v>60</v>
      </c>
      <c r="K3514">
        <v>5</v>
      </c>
      <c r="L3514">
        <v>60286</v>
      </c>
      <c r="M3514" t="s">
        <v>28</v>
      </c>
      <c r="N3514">
        <v>4</v>
      </c>
      <c r="O3514">
        <v>3</v>
      </c>
      <c r="P3514">
        <v>67</v>
      </c>
      <c r="Q3514">
        <v>2</v>
      </c>
      <c r="R3514" s="1">
        <v>43455</v>
      </c>
      <c r="S3514" t="s">
        <v>29</v>
      </c>
      <c r="T3514" t="str">
        <f t="shared" si="270"/>
        <v>Grade B</v>
      </c>
      <c r="U3514">
        <f t="shared" si="271"/>
        <v>3</v>
      </c>
      <c r="V3514" t="str">
        <f t="shared" si="272"/>
        <v>Junior</v>
      </c>
      <c r="W3514" t="str">
        <f t="shared" si="273"/>
        <v>Medium Risk</v>
      </c>
      <c r="X3514" t="str">
        <f t="shared" si="274"/>
        <v>Competitive</v>
      </c>
    </row>
    <row r="3515" spans="1:24" x14ac:dyDescent="0.3">
      <c r="A3515" t="s">
        <v>3583</v>
      </c>
      <c r="B3515" t="s">
        <v>20</v>
      </c>
      <c r="C3515">
        <v>25</v>
      </c>
      <c r="D3515" t="s">
        <v>47</v>
      </c>
      <c r="E3515" t="s">
        <v>48</v>
      </c>
      <c r="F3515" t="s">
        <v>75</v>
      </c>
      <c r="G3515" t="s">
        <v>42</v>
      </c>
      <c r="H3515" t="s">
        <v>25</v>
      </c>
      <c r="I3515" t="s">
        <v>59</v>
      </c>
      <c r="J3515" t="s">
        <v>60</v>
      </c>
      <c r="K3515">
        <v>6</v>
      </c>
      <c r="L3515">
        <v>102847</v>
      </c>
      <c r="M3515" t="s">
        <v>28</v>
      </c>
      <c r="N3515">
        <v>1</v>
      </c>
      <c r="O3515">
        <v>3</v>
      </c>
      <c r="P3515">
        <v>47</v>
      </c>
      <c r="Q3515">
        <v>3</v>
      </c>
      <c r="R3515" s="1">
        <v>42755</v>
      </c>
      <c r="S3515" t="s">
        <v>29</v>
      </c>
      <c r="T3515" t="str">
        <f t="shared" si="270"/>
        <v>Grade A</v>
      </c>
      <c r="U3515">
        <f t="shared" si="271"/>
        <v>3</v>
      </c>
      <c r="V3515" t="str">
        <f t="shared" si="272"/>
        <v>Mid Level</v>
      </c>
      <c r="W3515" t="str">
        <f t="shared" si="273"/>
        <v>Medium Risk</v>
      </c>
      <c r="X3515" t="str">
        <f t="shared" si="274"/>
        <v>Competitive</v>
      </c>
    </row>
    <row r="3516" spans="1:24" x14ac:dyDescent="0.3">
      <c r="A3516" t="s">
        <v>3584</v>
      </c>
      <c r="B3516" t="s">
        <v>20</v>
      </c>
      <c r="C3516">
        <v>31</v>
      </c>
      <c r="D3516" t="s">
        <v>47</v>
      </c>
      <c r="E3516" t="s">
        <v>22</v>
      </c>
      <c r="F3516" t="s">
        <v>75</v>
      </c>
      <c r="G3516" t="s">
        <v>58</v>
      </c>
      <c r="H3516" t="s">
        <v>34</v>
      </c>
      <c r="I3516" t="s">
        <v>43</v>
      </c>
      <c r="J3516" t="s">
        <v>44</v>
      </c>
      <c r="K3516">
        <v>15</v>
      </c>
      <c r="L3516">
        <v>120852</v>
      </c>
      <c r="M3516" t="s">
        <v>28</v>
      </c>
      <c r="N3516">
        <v>1</v>
      </c>
      <c r="O3516">
        <v>4</v>
      </c>
      <c r="P3516">
        <v>13</v>
      </c>
      <c r="Q3516">
        <v>3</v>
      </c>
      <c r="R3516" s="1">
        <v>39525</v>
      </c>
      <c r="S3516" t="s">
        <v>29</v>
      </c>
      <c r="T3516" t="str">
        <f t="shared" si="270"/>
        <v>Grade A</v>
      </c>
      <c r="U3516">
        <f t="shared" si="271"/>
        <v>3</v>
      </c>
      <c r="V3516" t="str">
        <f t="shared" si="272"/>
        <v>Senior</v>
      </c>
      <c r="W3516" t="str">
        <f t="shared" si="273"/>
        <v>Medium Risk</v>
      </c>
      <c r="X3516" t="str">
        <f t="shared" si="274"/>
        <v>Competitive</v>
      </c>
    </row>
    <row r="3517" spans="1:24" x14ac:dyDescent="0.3">
      <c r="A3517" t="s">
        <v>3585</v>
      </c>
      <c r="B3517" t="s">
        <v>39</v>
      </c>
      <c r="C3517">
        <v>33</v>
      </c>
      <c r="D3517" t="s">
        <v>88</v>
      </c>
      <c r="E3517" t="s">
        <v>40</v>
      </c>
      <c r="F3517" t="s">
        <v>32</v>
      </c>
      <c r="G3517" t="s">
        <v>49</v>
      </c>
      <c r="H3517" t="s">
        <v>25</v>
      </c>
      <c r="I3517" t="s">
        <v>59</v>
      </c>
      <c r="J3517" t="s">
        <v>60</v>
      </c>
      <c r="K3517">
        <v>6</v>
      </c>
      <c r="L3517">
        <v>71076</v>
      </c>
      <c r="M3517" t="s">
        <v>45</v>
      </c>
      <c r="N3517">
        <v>1</v>
      </c>
      <c r="O3517">
        <v>2</v>
      </c>
      <c r="P3517">
        <v>75</v>
      </c>
      <c r="Q3517">
        <v>2</v>
      </c>
      <c r="R3517" s="1">
        <v>42918</v>
      </c>
      <c r="S3517" t="s">
        <v>29</v>
      </c>
      <c r="T3517" t="str">
        <f t="shared" si="270"/>
        <v>Grade B</v>
      </c>
      <c r="U3517">
        <f t="shared" si="271"/>
        <v>2</v>
      </c>
      <c r="V3517" t="str">
        <f t="shared" si="272"/>
        <v>Mid Level</v>
      </c>
      <c r="W3517" t="str">
        <f t="shared" si="273"/>
        <v>Medium Risk</v>
      </c>
      <c r="X3517" t="str">
        <f t="shared" si="274"/>
        <v>Fair</v>
      </c>
    </row>
    <row r="3518" spans="1:24" x14ac:dyDescent="0.3">
      <c r="A3518" t="s">
        <v>3586</v>
      </c>
      <c r="B3518" t="s">
        <v>39</v>
      </c>
      <c r="C3518">
        <v>48</v>
      </c>
      <c r="D3518" t="s">
        <v>47</v>
      </c>
      <c r="E3518" t="s">
        <v>40</v>
      </c>
      <c r="F3518" t="s">
        <v>23</v>
      </c>
      <c r="G3518" t="s">
        <v>58</v>
      </c>
      <c r="H3518" t="s">
        <v>67</v>
      </c>
      <c r="I3518" t="s">
        <v>43</v>
      </c>
      <c r="J3518" t="s">
        <v>44</v>
      </c>
      <c r="K3518">
        <v>5</v>
      </c>
      <c r="L3518">
        <v>90034</v>
      </c>
      <c r="M3518" t="s">
        <v>45</v>
      </c>
      <c r="N3518">
        <v>4</v>
      </c>
      <c r="O3518">
        <v>3</v>
      </c>
      <c r="P3518">
        <v>47</v>
      </c>
      <c r="Q3518">
        <v>0</v>
      </c>
      <c r="R3518" s="1">
        <v>43203</v>
      </c>
      <c r="S3518" t="s">
        <v>29</v>
      </c>
      <c r="T3518" t="str">
        <f t="shared" si="270"/>
        <v>Grade A</v>
      </c>
      <c r="U3518">
        <f t="shared" si="271"/>
        <v>2</v>
      </c>
      <c r="V3518" t="str">
        <f t="shared" si="272"/>
        <v>Junior</v>
      </c>
      <c r="W3518" t="str">
        <f t="shared" si="273"/>
        <v>Medium Risk</v>
      </c>
      <c r="X3518" t="str">
        <f t="shared" si="274"/>
        <v>Fair</v>
      </c>
    </row>
    <row r="3519" spans="1:24" x14ac:dyDescent="0.3">
      <c r="A3519" t="s">
        <v>3587</v>
      </c>
      <c r="B3519" t="s">
        <v>20</v>
      </c>
      <c r="C3519">
        <v>37</v>
      </c>
      <c r="D3519" t="s">
        <v>57</v>
      </c>
      <c r="E3519" t="s">
        <v>40</v>
      </c>
      <c r="F3519" t="s">
        <v>78</v>
      </c>
      <c r="G3519" t="s">
        <v>42</v>
      </c>
      <c r="H3519" t="s">
        <v>34</v>
      </c>
      <c r="I3519" t="s">
        <v>80</v>
      </c>
      <c r="J3519" t="s">
        <v>60</v>
      </c>
      <c r="K3519">
        <v>5</v>
      </c>
      <c r="L3519">
        <v>109932</v>
      </c>
      <c r="M3519" t="s">
        <v>51</v>
      </c>
      <c r="N3519">
        <v>2</v>
      </c>
      <c r="O3519">
        <v>4</v>
      </c>
      <c r="P3519">
        <v>12</v>
      </c>
      <c r="Q3519">
        <v>3</v>
      </c>
      <c r="R3519" s="1">
        <v>43426</v>
      </c>
      <c r="S3519" t="s">
        <v>29</v>
      </c>
      <c r="T3519" t="str">
        <f t="shared" si="270"/>
        <v>Grade A</v>
      </c>
      <c r="U3519">
        <f t="shared" si="271"/>
        <v>4</v>
      </c>
      <c r="V3519" t="str">
        <f t="shared" si="272"/>
        <v>Junior</v>
      </c>
      <c r="W3519" t="str">
        <f t="shared" si="273"/>
        <v>Low Risk</v>
      </c>
      <c r="X3519" t="str">
        <f t="shared" si="274"/>
        <v>Competitive</v>
      </c>
    </row>
    <row r="3520" spans="1:24" x14ac:dyDescent="0.3">
      <c r="A3520" t="s">
        <v>3588</v>
      </c>
      <c r="B3520" t="s">
        <v>20</v>
      </c>
      <c r="C3520">
        <v>22</v>
      </c>
      <c r="D3520" t="s">
        <v>57</v>
      </c>
      <c r="E3520" t="s">
        <v>40</v>
      </c>
      <c r="F3520" t="s">
        <v>53</v>
      </c>
      <c r="G3520" t="s">
        <v>58</v>
      </c>
      <c r="H3520" t="s">
        <v>67</v>
      </c>
      <c r="I3520" t="s">
        <v>50</v>
      </c>
      <c r="J3520" t="s">
        <v>44</v>
      </c>
      <c r="K3520">
        <v>1</v>
      </c>
      <c r="L3520">
        <v>77451</v>
      </c>
      <c r="M3520" t="s">
        <v>28</v>
      </c>
      <c r="N3520">
        <v>4</v>
      </c>
      <c r="O3520">
        <v>2</v>
      </c>
      <c r="P3520">
        <v>44</v>
      </c>
      <c r="Q3520">
        <v>3</v>
      </c>
      <c r="R3520" s="1">
        <v>44623</v>
      </c>
      <c r="S3520" t="s">
        <v>29</v>
      </c>
      <c r="T3520" t="str">
        <f t="shared" si="270"/>
        <v>Grade B</v>
      </c>
      <c r="U3520">
        <f t="shared" si="271"/>
        <v>3</v>
      </c>
      <c r="V3520" t="str">
        <f t="shared" si="272"/>
        <v>New Joiner</v>
      </c>
      <c r="W3520" t="str">
        <f t="shared" si="273"/>
        <v>Medium Risk</v>
      </c>
      <c r="X3520" t="str">
        <f t="shared" si="274"/>
        <v>Competitive</v>
      </c>
    </row>
    <row r="3521" spans="1:24" x14ac:dyDescent="0.3">
      <c r="A3521" t="s">
        <v>3589</v>
      </c>
      <c r="B3521" t="s">
        <v>39</v>
      </c>
      <c r="C3521">
        <v>30</v>
      </c>
      <c r="D3521" t="s">
        <v>88</v>
      </c>
      <c r="E3521" t="s">
        <v>40</v>
      </c>
      <c r="F3521" t="s">
        <v>65</v>
      </c>
      <c r="G3521" t="s">
        <v>24</v>
      </c>
      <c r="H3521" t="s">
        <v>67</v>
      </c>
      <c r="I3521" t="s">
        <v>72</v>
      </c>
      <c r="J3521" t="s">
        <v>73</v>
      </c>
      <c r="K3521">
        <v>10</v>
      </c>
      <c r="L3521">
        <v>89890</v>
      </c>
      <c r="M3521" t="s">
        <v>51</v>
      </c>
      <c r="N3521">
        <v>1</v>
      </c>
      <c r="O3521">
        <v>4</v>
      </c>
      <c r="P3521">
        <v>12</v>
      </c>
      <c r="Q3521">
        <v>1</v>
      </c>
      <c r="R3521" s="1">
        <v>41555</v>
      </c>
      <c r="S3521" t="s">
        <v>29</v>
      </c>
      <c r="T3521" t="str">
        <f t="shared" si="270"/>
        <v>Grade A</v>
      </c>
      <c r="U3521">
        <f t="shared" si="271"/>
        <v>4</v>
      </c>
      <c r="V3521" t="str">
        <f t="shared" si="272"/>
        <v>Mid Level</v>
      </c>
      <c r="W3521" t="str">
        <f t="shared" si="273"/>
        <v>Low Risk</v>
      </c>
      <c r="X3521" t="str">
        <f t="shared" si="274"/>
        <v>Competitive</v>
      </c>
    </row>
    <row r="3522" spans="1:24" x14ac:dyDescent="0.3">
      <c r="A3522" t="s">
        <v>3590</v>
      </c>
      <c r="B3522" t="s">
        <v>20</v>
      </c>
      <c r="C3522">
        <v>38</v>
      </c>
      <c r="D3522" t="s">
        <v>47</v>
      </c>
      <c r="E3522" t="s">
        <v>48</v>
      </c>
      <c r="F3522" t="s">
        <v>32</v>
      </c>
      <c r="G3522" t="s">
        <v>24</v>
      </c>
      <c r="H3522" t="s">
        <v>67</v>
      </c>
      <c r="I3522" t="s">
        <v>72</v>
      </c>
      <c r="J3522" t="s">
        <v>73</v>
      </c>
      <c r="K3522">
        <v>4</v>
      </c>
      <c r="L3522">
        <v>89216</v>
      </c>
      <c r="M3522" t="s">
        <v>28</v>
      </c>
      <c r="N3522">
        <v>1</v>
      </c>
      <c r="O3522">
        <v>4</v>
      </c>
      <c r="P3522">
        <v>17</v>
      </c>
      <c r="Q3522">
        <v>1</v>
      </c>
      <c r="R3522" s="1">
        <v>43717</v>
      </c>
      <c r="S3522" t="s">
        <v>29</v>
      </c>
      <c r="T3522" t="str">
        <f t="shared" ref="T3522:T3585" si="275">IF(L3522&gt;=80000,"Grade A",IF(L3522&gt;=50000,"Grade B",IF(L3522&gt;=35000,"Grade C","Grade D")))</f>
        <v>Grade A</v>
      </c>
      <c r="U3522">
        <f t="shared" ref="U3522:U3585" si="276">IF(M3522="Excellent",4,IF(M3522="Good",3,IF(M3522="Average",2,1)))</f>
        <v>3</v>
      </c>
      <c r="V3522" t="str">
        <f t="shared" ref="V3522:V3585" si="277">IF(K3522&lt;=2,"New Joiner",IF(K3522&lt;=5,"Junior",IF(K3522&lt;=10,"Mid Level","Senior")))</f>
        <v>Junior</v>
      </c>
      <c r="W3522" t="str">
        <f t="shared" ref="W3522:W3585" si="278">IF(S3522="Yes","Already Left",IF(AND(K3522&lt;=2,M3522="Poor"),"High Risk",IF(AND(K3522&lt;=5,M3522="Average"),"Medium Risk",IF(M3522="Excellent","Low Risk","Medium Risk"))))</f>
        <v>Medium Risk</v>
      </c>
      <c r="X3522" t="str">
        <f t="shared" ref="X3522:X3585" si="279">IF(AND(L3522&gt;=80000,M3522="Excellent"),"Competitive",IF(AND(L3522&gt;=50000,M3522="Good"),"Competitive",IF(AND(L3522&lt;35000,M3522="Excellent"),"Underpaid",IF(AND(L3522&gt;=80000,M3522="Poor"),"Overpaid","Fair"))))</f>
        <v>Competitive</v>
      </c>
    </row>
    <row r="3523" spans="1:24" x14ac:dyDescent="0.3">
      <c r="A3523" t="s">
        <v>3591</v>
      </c>
      <c r="B3523" t="s">
        <v>39</v>
      </c>
      <c r="C3523">
        <v>30</v>
      </c>
      <c r="D3523" t="s">
        <v>47</v>
      </c>
      <c r="E3523" t="s">
        <v>40</v>
      </c>
      <c r="F3523" t="s">
        <v>41</v>
      </c>
      <c r="G3523" t="s">
        <v>24</v>
      </c>
      <c r="H3523" t="s">
        <v>25</v>
      </c>
      <c r="I3523" t="s">
        <v>35</v>
      </c>
      <c r="J3523" t="s">
        <v>27</v>
      </c>
      <c r="K3523">
        <v>9</v>
      </c>
      <c r="L3523">
        <v>88376</v>
      </c>
      <c r="M3523" t="s">
        <v>45</v>
      </c>
      <c r="N3523">
        <v>3</v>
      </c>
      <c r="O3523">
        <v>4</v>
      </c>
      <c r="P3523">
        <v>60</v>
      </c>
      <c r="Q3523">
        <v>0</v>
      </c>
      <c r="R3523" s="1">
        <v>41656</v>
      </c>
      <c r="S3523" t="s">
        <v>29</v>
      </c>
      <c r="T3523" t="str">
        <f t="shared" si="275"/>
        <v>Grade A</v>
      </c>
      <c r="U3523">
        <f t="shared" si="276"/>
        <v>2</v>
      </c>
      <c r="V3523" t="str">
        <f t="shared" si="277"/>
        <v>Mid Level</v>
      </c>
      <c r="W3523" t="str">
        <f t="shared" si="278"/>
        <v>Medium Risk</v>
      </c>
      <c r="X3523" t="str">
        <f t="shared" si="279"/>
        <v>Fair</v>
      </c>
    </row>
    <row r="3524" spans="1:24" x14ac:dyDescent="0.3">
      <c r="A3524" t="s">
        <v>3592</v>
      </c>
      <c r="B3524" t="s">
        <v>39</v>
      </c>
      <c r="C3524">
        <v>29</v>
      </c>
      <c r="D3524" t="s">
        <v>47</v>
      </c>
      <c r="E3524" t="s">
        <v>40</v>
      </c>
      <c r="F3524" t="s">
        <v>78</v>
      </c>
      <c r="G3524" t="s">
        <v>79</v>
      </c>
      <c r="H3524" t="s">
        <v>83</v>
      </c>
      <c r="I3524" t="s">
        <v>54</v>
      </c>
      <c r="J3524" t="s">
        <v>27</v>
      </c>
      <c r="K3524">
        <v>9</v>
      </c>
      <c r="L3524">
        <v>64679</v>
      </c>
      <c r="M3524" t="s">
        <v>51</v>
      </c>
      <c r="N3524">
        <v>2</v>
      </c>
      <c r="O3524">
        <v>4</v>
      </c>
      <c r="P3524">
        <v>50</v>
      </c>
      <c r="Q3524">
        <v>1</v>
      </c>
      <c r="R3524" s="1">
        <v>41907</v>
      </c>
      <c r="S3524" t="s">
        <v>29</v>
      </c>
      <c r="T3524" t="str">
        <f t="shared" si="275"/>
        <v>Grade B</v>
      </c>
      <c r="U3524">
        <f t="shared" si="276"/>
        <v>4</v>
      </c>
      <c r="V3524" t="str">
        <f t="shared" si="277"/>
        <v>Mid Level</v>
      </c>
      <c r="W3524" t="str">
        <f t="shared" si="278"/>
        <v>Low Risk</v>
      </c>
      <c r="X3524" t="str">
        <f t="shared" si="279"/>
        <v>Fair</v>
      </c>
    </row>
    <row r="3525" spans="1:24" x14ac:dyDescent="0.3">
      <c r="A3525" t="s">
        <v>3593</v>
      </c>
      <c r="B3525" t="s">
        <v>39</v>
      </c>
      <c r="C3525">
        <v>52</v>
      </c>
      <c r="D3525" t="s">
        <v>21</v>
      </c>
      <c r="E3525" t="s">
        <v>40</v>
      </c>
      <c r="F3525" t="s">
        <v>62</v>
      </c>
      <c r="G3525" t="s">
        <v>42</v>
      </c>
      <c r="H3525" t="s">
        <v>25</v>
      </c>
      <c r="I3525" t="s">
        <v>26</v>
      </c>
      <c r="J3525" t="s">
        <v>27</v>
      </c>
      <c r="K3525">
        <v>14</v>
      </c>
      <c r="L3525">
        <v>121433</v>
      </c>
      <c r="M3525" t="s">
        <v>45</v>
      </c>
      <c r="N3525">
        <v>1</v>
      </c>
      <c r="O3525">
        <v>3</v>
      </c>
      <c r="P3525">
        <v>76</v>
      </c>
      <c r="Q3525">
        <v>3</v>
      </c>
      <c r="R3525" s="1">
        <v>40115</v>
      </c>
      <c r="S3525" t="s">
        <v>29</v>
      </c>
      <c r="T3525" t="str">
        <f t="shared" si="275"/>
        <v>Grade A</v>
      </c>
      <c r="U3525">
        <f t="shared" si="276"/>
        <v>2</v>
      </c>
      <c r="V3525" t="str">
        <f t="shared" si="277"/>
        <v>Senior</v>
      </c>
      <c r="W3525" t="str">
        <f t="shared" si="278"/>
        <v>Medium Risk</v>
      </c>
      <c r="X3525" t="str">
        <f t="shared" si="279"/>
        <v>Fair</v>
      </c>
    </row>
    <row r="3526" spans="1:24" x14ac:dyDescent="0.3">
      <c r="A3526" t="s">
        <v>3594</v>
      </c>
      <c r="B3526" t="s">
        <v>39</v>
      </c>
      <c r="C3526">
        <v>53</v>
      </c>
      <c r="D3526" t="s">
        <v>31</v>
      </c>
      <c r="E3526" t="s">
        <v>40</v>
      </c>
      <c r="F3526" t="s">
        <v>62</v>
      </c>
      <c r="G3526" t="s">
        <v>66</v>
      </c>
      <c r="H3526" t="s">
        <v>67</v>
      </c>
      <c r="I3526" t="s">
        <v>80</v>
      </c>
      <c r="J3526" t="s">
        <v>60</v>
      </c>
      <c r="K3526">
        <v>11</v>
      </c>
      <c r="L3526">
        <v>61825</v>
      </c>
      <c r="M3526" t="s">
        <v>28</v>
      </c>
      <c r="N3526">
        <v>3</v>
      </c>
      <c r="O3526">
        <v>1</v>
      </c>
      <c r="P3526">
        <v>77</v>
      </c>
      <c r="Q3526">
        <v>1</v>
      </c>
      <c r="R3526" s="1">
        <v>41261</v>
      </c>
      <c r="S3526" t="s">
        <v>29</v>
      </c>
      <c r="T3526" t="str">
        <f t="shared" si="275"/>
        <v>Grade B</v>
      </c>
      <c r="U3526">
        <f t="shared" si="276"/>
        <v>3</v>
      </c>
      <c r="V3526" t="str">
        <f t="shared" si="277"/>
        <v>Senior</v>
      </c>
      <c r="W3526" t="str">
        <f t="shared" si="278"/>
        <v>Medium Risk</v>
      </c>
      <c r="X3526" t="str">
        <f t="shared" si="279"/>
        <v>Competitive</v>
      </c>
    </row>
    <row r="3527" spans="1:24" x14ac:dyDescent="0.3">
      <c r="A3527" t="s">
        <v>3595</v>
      </c>
      <c r="B3527" t="s">
        <v>39</v>
      </c>
      <c r="C3527">
        <v>37</v>
      </c>
      <c r="D3527" t="s">
        <v>21</v>
      </c>
      <c r="E3527" t="s">
        <v>40</v>
      </c>
      <c r="F3527" t="s">
        <v>62</v>
      </c>
      <c r="G3527" t="s">
        <v>58</v>
      </c>
      <c r="H3527" t="s">
        <v>67</v>
      </c>
      <c r="I3527" t="s">
        <v>96</v>
      </c>
      <c r="J3527" t="s">
        <v>44</v>
      </c>
      <c r="K3527">
        <v>12</v>
      </c>
      <c r="L3527">
        <v>100710</v>
      </c>
      <c r="M3527" t="s">
        <v>28</v>
      </c>
      <c r="N3527">
        <v>4</v>
      </c>
      <c r="O3527">
        <v>4</v>
      </c>
      <c r="P3527">
        <v>41</v>
      </c>
      <c r="Q3527">
        <v>3</v>
      </c>
      <c r="R3527" s="1">
        <v>40575</v>
      </c>
      <c r="S3527" t="s">
        <v>29</v>
      </c>
      <c r="T3527" t="str">
        <f t="shared" si="275"/>
        <v>Grade A</v>
      </c>
      <c r="U3527">
        <f t="shared" si="276"/>
        <v>3</v>
      </c>
      <c r="V3527" t="str">
        <f t="shared" si="277"/>
        <v>Senior</v>
      </c>
      <c r="W3527" t="str">
        <f t="shared" si="278"/>
        <v>Medium Risk</v>
      </c>
      <c r="X3527" t="str">
        <f t="shared" si="279"/>
        <v>Competitive</v>
      </c>
    </row>
    <row r="3528" spans="1:24" x14ac:dyDescent="0.3">
      <c r="A3528" t="s">
        <v>3596</v>
      </c>
      <c r="B3528" t="s">
        <v>20</v>
      </c>
      <c r="C3528">
        <v>36</v>
      </c>
      <c r="D3528" t="s">
        <v>47</v>
      </c>
      <c r="E3528" t="s">
        <v>22</v>
      </c>
      <c r="F3528" t="s">
        <v>78</v>
      </c>
      <c r="G3528" t="s">
        <v>33</v>
      </c>
      <c r="H3528" t="s">
        <v>25</v>
      </c>
      <c r="I3528" t="s">
        <v>43</v>
      </c>
      <c r="J3528" t="s">
        <v>44</v>
      </c>
      <c r="K3528">
        <v>10</v>
      </c>
      <c r="L3528">
        <v>85942</v>
      </c>
      <c r="M3528" t="s">
        <v>45</v>
      </c>
      <c r="N3528">
        <v>3</v>
      </c>
      <c r="O3528">
        <v>2</v>
      </c>
      <c r="P3528">
        <v>74</v>
      </c>
      <c r="Q3528">
        <v>1</v>
      </c>
      <c r="R3528" s="1">
        <v>41480</v>
      </c>
      <c r="S3528" t="s">
        <v>37</v>
      </c>
      <c r="T3528" t="str">
        <f t="shared" si="275"/>
        <v>Grade A</v>
      </c>
      <c r="U3528">
        <f t="shared" si="276"/>
        <v>2</v>
      </c>
      <c r="V3528" t="str">
        <f t="shared" si="277"/>
        <v>Mid Level</v>
      </c>
      <c r="W3528" t="str">
        <f t="shared" si="278"/>
        <v>Already Left</v>
      </c>
      <c r="X3528" t="str">
        <f t="shared" si="279"/>
        <v>Fair</v>
      </c>
    </row>
    <row r="3529" spans="1:24" x14ac:dyDescent="0.3">
      <c r="A3529" t="s">
        <v>3597</v>
      </c>
      <c r="B3529" t="s">
        <v>20</v>
      </c>
      <c r="C3529">
        <v>51</v>
      </c>
      <c r="D3529" t="s">
        <v>57</v>
      </c>
      <c r="E3529" t="s">
        <v>22</v>
      </c>
      <c r="F3529" t="s">
        <v>23</v>
      </c>
      <c r="G3529" t="s">
        <v>42</v>
      </c>
      <c r="H3529" t="s">
        <v>67</v>
      </c>
      <c r="I3529" t="s">
        <v>96</v>
      </c>
      <c r="J3529" t="s">
        <v>44</v>
      </c>
      <c r="K3529">
        <v>9</v>
      </c>
      <c r="L3529">
        <v>104835</v>
      </c>
      <c r="M3529" t="s">
        <v>28</v>
      </c>
      <c r="N3529">
        <v>2</v>
      </c>
      <c r="O3529">
        <v>4</v>
      </c>
      <c r="P3529">
        <v>77</v>
      </c>
      <c r="Q3529">
        <v>0</v>
      </c>
      <c r="R3529" s="1">
        <v>41784</v>
      </c>
      <c r="S3529" t="s">
        <v>29</v>
      </c>
      <c r="T3529" t="str">
        <f t="shared" si="275"/>
        <v>Grade A</v>
      </c>
      <c r="U3529">
        <f t="shared" si="276"/>
        <v>3</v>
      </c>
      <c r="V3529" t="str">
        <f t="shared" si="277"/>
        <v>Mid Level</v>
      </c>
      <c r="W3529" t="str">
        <f t="shared" si="278"/>
        <v>Medium Risk</v>
      </c>
      <c r="X3529" t="str">
        <f t="shared" si="279"/>
        <v>Competitive</v>
      </c>
    </row>
    <row r="3530" spans="1:24" x14ac:dyDescent="0.3">
      <c r="A3530" t="s">
        <v>3598</v>
      </c>
      <c r="B3530" t="s">
        <v>20</v>
      </c>
      <c r="C3530">
        <v>32</v>
      </c>
      <c r="D3530" t="s">
        <v>47</v>
      </c>
      <c r="E3530" t="s">
        <v>48</v>
      </c>
      <c r="F3530" t="s">
        <v>23</v>
      </c>
      <c r="G3530" t="s">
        <v>42</v>
      </c>
      <c r="H3530" t="s">
        <v>76</v>
      </c>
      <c r="I3530" t="s">
        <v>68</v>
      </c>
      <c r="J3530" t="s">
        <v>60</v>
      </c>
      <c r="K3530">
        <v>3</v>
      </c>
      <c r="L3530">
        <v>108726</v>
      </c>
      <c r="M3530" t="s">
        <v>36</v>
      </c>
      <c r="N3530">
        <v>2</v>
      </c>
      <c r="O3530">
        <v>4</v>
      </c>
      <c r="P3530">
        <v>51</v>
      </c>
      <c r="Q3530">
        <v>3</v>
      </c>
      <c r="R3530" s="1">
        <v>43883</v>
      </c>
      <c r="S3530" t="s">
        <v>29</v>
      </c>
      <c r="T3530" t="str">
        <f t="shared" si="275"/>
        <v>Grade A</v>
      </c>
      <c r="U3530">
        <f t="shared" si="276"/>
        <v>1</v>
      </c>
      <c r="V3530" t="str">
        <f t="shared" si="277"/>
        <v>Junior</v>
      </c>
      <c r="W3530" t="str">
        <f t="shared" si="278"/>
        <v>Medium Risk</v>
      </c>
      <c r="X3530" t="str">
        <f t="shared" si="279"/>
        <v>Overpaid</v>
      </c>
    </row>
    <row r="3531" spans="1:24" x14ac:dyDescent="0.3">
      <c r="A3531" t="s">
        <v>3599</v>
      </c>
      <c r="B3531" t="s">
        <v>39</v>
      </c>
      <c r="C3531">
        <v>26</v>
      </c>
      <c r="D3531" t="s">
        <v>21</v>
      </c>
      <c r="E3531" t="s">
        <v>48</v>
      </c>
      <c r="F3531" t="s">
        <v>78</v>
      </c>
      <c r="G3531" t="s">
        <v>58</v>
      </c>
      <c r="H3531" t="s">
        <v>67</v>
      </c>
      <c r="I3531" t="s">
        <v>26</v>
      </c>
      <c r="J3531" t="s">
        <v>27</v>
      </c>
      <c r="K3531">
        <v>3</v>
      </c>
      <c r="L3531">
        <v>83584</v>
      </c>
      <c r="M3531" t="s">
        <v>36</v>
      </c>
      <c r="N3531">
        <v>3</v>
      </c>
      <c r="O3531">
        <v>3</v>
      </c>
      <c r="P3531">
        <v>52</v>
      </c>
      <c r="Q3531">
        <v>3</v>
      </c>
      <c r="R3531" s="1">
        <v>43843</v>
      </c>
      <c r="S3531" t="s">
        <v>29</v>
      </c>
      <c r="T3531" t="str">
        <f t="shared" si="275"/>
        <v>Grade A</v>
      </c>
      <c r="U3531">
        <f t="shared" si="276"/>
        <v>1</v>
      </c>
      <c r="V3531" t="str">
        <f t="shared" si="277"/>
        <v>Junior</v>
      </c>
      <c r="W3531" t="str">
        <f t="shared" si="278"/>
        <v>Medium Risk</v>
      </c>
      <c r="X3531" t="str">
        <f t="shared" si="279"/>
        <v>Overpaid</v>
      </c>
    </row>
    <row r="3532" spans="1:24" x14ac:dyDescent="0.3">
      <c r="A3532" t="s">
        <v>3600</v>
      </c>
      <c r="B3532" t="s">
        <v>20</v>
      </c>
      <c r="C3532">
        <v>41</v>
      </c>
      <c r="D3532" t="s">
        <v>31</v>
      </c>
      <c r="E3532" t="s">
        <v>40</v>
      </c>
      <c r="F3532" t="s">
        <v>78</v>
      </c>
      <c r="G3532" t="s">
        <v>66</v>
      </c>
      <c r="H3532" t="s">
        <v>25</v>
      </c>
      <c r="I3532" t="s">
        <v>96</v>
      </c>
      <c r="J3532" t="s">
        <v>44</v>
      </c>
      <c r="K3532">
        <v>4</v>
      </c>
      <c r="L3532">
        <v>36666</v>
      </c>
      <c r="M3532" t="s">
        <v>36</v>
      </c>
      <c r="N3532">
        <v>1</v>
      </c>
      <c r="O3532">
        <v>4</v>
      </c>
      <c r="P3532">
        <v>25</v>
      </c>
      <c r="Q3532">
        <v>3</v>
      </c>
      <c r="R3532" s="1">
        <v>43600</v>
      </c>
      <c r="S3532" t="s">
        <v>37</v>
      </c>
      <c r="T3532" t="str">
        <f t="shared" si="275"/>
        <v>Grade C</v>
      </c>
      <c r="U3532">
        <f t="shared" si="276"/>
        <v>1</v>
      </c>
      <c r="V3532" t="str">
        <f t="shared" si="277"/>
        <v>Junior</v>
      </c>
      <c r="W3532" t="str">
        <f t="shared" si="278"/>
        <v>Already Left</v>
      </c>
      <c r="X3532" t="str">
        <f t="shared" si="279"/>
        <v>Fair</v>
      </c>
    </row>
    <row r="3533" spans="1:24" x14ac:dyDescent="0.3">
      <c r="A3533" t="s">
        <v>3601</v>
      </c>
      <c r="B3533" t="s">
        <v>39</v>
      </c>
      <c r="C3533">
        <v>36</v>
      </c>
      <c r="D3533" t="s">
        <v>21</v>
      </c>
      <c r="E3533" t="s">
        <v>22</v>
      </c>
      <c r="F3533" t="s">
        <v>78</v>
      </c>
      <c r="G3533" t="s">
        <v>58</v>
      </c>
      <c r="H3533" t="s">
        <v>34</v>
      </c>
      <c r="I3533" t="s">
        <v>96</v>
      </c>
      <c r="J3533" t="s">
        <v>44</v>
      </c>
      <c r="K3533">
        <v>4</v>
      </c>
      <c r="L3533">
        <v>88429</v>
      </c>
      <c r="M3533" t="s">
        <v>51</v>
      </c>
      <c r="N3533">
        <v>2</v>
      </c>
      <c r="O3533">
        <v>2</v>
      </c>
      <c r="P3533">
        <v>48</v>
      </c>
      <c r="Q3533">
        <v>0</v>
      </c>
      <c r="R3533" s="1">
        <v>43538</v>
      </c>
      <c r="S3533" t="s">
        <v>29</v>
      </c>
      <c r="T3533" t="str">
        <f t="shared" si="275"/>
        <v>Grade A</v>
      </c>
      <c r="U3533">
        <f t="shared" si="276"/>
        <v>4</v>
      </c>
      <c r="V3533" t="str">
        <f t="shared" si="277"/>
        <v>Junior</v>
      </c>
      <c r="W3533" t="str">
        <f t="shared" si="278"/>
        <v>Low Risk</v>
      </c>
      <c r="X3533" t="str">
        <f t="shared" si="279"/>
        <v>Competitive</v>
      </c>
    </row>
    <row r="3534" spans="1:24" x14ac:dyDescent="0.3">
      <c r="A3534" t="s">
        <v>3602</v>
      </c>
      <c r="B3534" t="s">
        <v>39</v>
      </c>
      <c r="C3534">
        <v>25</v>
      </c>
      <c r="D3534" t="s">
        <v>47</v>
      </c>
      <c r="E3534" t="s">
        <v>40</v>
      </c>
      <c r="F3534" t="s">
        <v>78</v>
      </c>
      <c r="G3534" t="s">
        <v>66</v>
      </c>
      <c r="H3534" t="s">
        <v>83</v>
      </c>
      <c r="I3534" t="s">
        <v>35</v>
      </c>
      <c r="J3534" t="s">
        <v>27</v>
      </c>
      <c r="K3534">
        <v>12</v>
      </c>
      <c r="L3534">
        <v>49598</v>
      </c>
      <c r="M3534" t="s">
        <v>45</v>
      </c>
      <c r="N3534">
        <v>1</v>
      </c>
      <c r="O3534">
        <v>2</v>
      </c>
      <c r="P3534">
        <v>57</v>
      </c>
      <c r="Q3534">
        <v>2</v>
      </c>
      <c r="R3534" s="1">
        <v>40597</v>
      </c>
      <c r="S3534" t="s">
        <v>29</v>
      </c>
      <c r="T3534" t="str">
        <f t="shared" si="275"/>
        <v>Grade C</v>
      </c>
      <c r="U3534">
        <f t="shared" si="276"/>
        <v>2</v>
      </c>
      <c r="V3534" t="str">
        <f t="shared" si="277"/>
        <v>Senior</v>
      </c>
      <c r="W3534" t="str">
        <f t="shared" si="278"/>
        <v>Medium Risk</v>
      </c>
      <c r="X3534" t="str">
        <f t="shared" si="279"/>
        <v>Fair</v>
      </c>
    </row>
    <row r="3535" spans="1:24" x14ac:dyDescent="0.3">
      <c r="A3535" t="s">
        <v>3603</v>
      </c>
      <c r="B3535" t="s">
        <v>20</v>
      </c>
      <c r="C3535">
        <v>23</v>
      </c>
      <c r="D3535" t="s">
        <v>31</v>
      </c>
      <c r="E3535" t="s">
        <v>40</v>
      </c>
      <c r="F3535" t="s">
        <v>41</v>
      </c>
      <c r="G3535" t="s">
        <v>49</v>
      </c>
      <c r="H3535" t="s">
        <v>67</v>
      </c>
      <c r="I3535" t="s">
        <v>59</v>
      </c>
      <c r="J3535" t="s">
        <v>60</v>
      </c>
      <c r="K3535">
        <v>12</v>
      </c>
      <c r="L3535">
        <v>67582</v>
      </c>
      <c r="M3535" t="s">
        <v>36</v>
      </c>
      <c r="N3535">
        <v>1</v>
      </c>
      <c r="O3535">
        <v>4</v>
      </c>
      <c r="P3535">
        <v>56</v>
      </c>
      <c r="Q3535">
        <v>3</v>
      </c>
      <c r="R3535" s="1">
        <v>40620</v>
      </c>
      <c r="S3535" t="s">
        <v>29</v>
      </c>
      <c r="T3535" t="str">
        <f t="shared" si="275"/>
        <v>Grade B</v>
      </c>
      <c r="U3535">
        <f t="shared" si="276"/>
        <v>1</v>
      </c>
      <c r="V3535" t="str">
        <f t="shared" si="277"/>
        <v>Senior</v>
      </c>
      <c r="W3535" t="str">
        <f t="shared" si="278"/>
        <v>Medium Risk</v>
      </c>
      <c r="X3535" t="str">
        <f t="shared" si="279"/>
        <v>Fair</v>
      </c>
    </row>
    <row r="3536" spans="1:24" x14ac:dyDescent="0.3">
      <c r="A3536" t="s">
        <v>3604</v>
      </c>
      <c r="B3536" t="s">
        <v>39</v>
      </c>
      <c r="C3536">
        <v>55</v>
      </c>
      <c r="D3536" t="s">
        <v>47</v>
      </c>
      <c r="E3536" t="s">
        <v>40</v>
      </c>
      <c r="F3536" t="s">
        <v>53</v>
      </c>
      <c r="G3536" t="s">
        <v>33</v>
      </c>
      <c r="H3536" t="s">
        <v>67</v>
      </c>
      <c r="I3536" t="s">
        <v>59</v>
      </c>
      <c r="J3536" t="s">
        <v>60</v>
      </c>
      <c r="K3536">
        <v>14</v>
      </c>
      <c r="L3536">
        <v>95209</v>
      </c>
      <c r="M3536" t="s">
        <v>28</v>
      </c>
      <c r="N3536">
        <v>4</v>
      </c>
      <c r="O3536">
        <v>2</v>
      </c>
      <c r="P3536">
        <v>22</v>
      </c>
      <c r="Q3536">
        <v>0</v>
      </c>
      <c r="R3536" s="1">
        <v>39864</v>
      </c>
      <c r="S3536" t="s">
        <v>37</v>
      </c>
      <c r="T3536" t="str">
        <f t="shared" si="275"/>
        <v>Grade A</v>
      </c>
      <c r="U3536">
        <f t="shared" si="276"/>
        <v>3</v>
      </c>
      <c r="V3536" t="str">
        <f t="shared" si="277"/>
        <v>Senior</v>
      </c>
      <c r="W3536" t="str">
        <f t="shared" si="278"/>
        <v>Already Left</v>
      </c>
      <c r="X3536" t="str">
        <f t="shared" si="279"/>
        <v>Competitive</v>
      </c>
    </row>
    <row r="3537" spans="1:24" x14ac:dyDescent="0.3">
      <c r="A3537" t="s">
        <v>3605</v>
      </c>
      <c r="B3537" t="s">
        <v>39</v>
      </c>
      <c r="C3537">
        <v>36</v>
      </c>
      <c r="D3537" t="s">
        <v>88</v>
      </c>
      <c r="E3537" t="s">
        <v>22</v>
      </c>
      <c r="F3537" t="s">
        <v>53</v>
      </c>
      <c r="G3537" t="s">
        <v>33</v>
      </c>
      <c r="H3537" t="s">
        <v>83</v>
      </c>
      <c r="I3537" t="s">
        <v>43</v>
      </c>
      <c r="J3537" t="s">
        <v>44</v>
      </c>
      <c r="K3537">
        <v>7</v>
      </c>
      <c r="L3537">
        <v>82408</v>
      </c>
      <c r="M3537" t="s">
        <v>45</v>
      </c>
      <c r="N3537">
        <v>4</v>
      </c>
      <c r="O3537">
        <v>1</v>
      </c>
      <c r="P3537">
        <v>42</v>
      </c>
      <c r="Q3537">
        <v>3</v>
      </c>
      <c r="R3537" s="1">
        <v>42637</v>
      </c>
      <c r="S3537" t="s">
        <v>29</v>
      </c>
      <c r="T3537" t="str">
        <f t="shared" si="275"/>
        <v>Grade A</v>
      </c>
      <c r="U3537">
        <f t="shared" si="276"/>
        <v>2</v>
      </c>
      <c r="V3537" t="str">
        <f t="shared" si="277"/>
        <v>Mid Level</v>
      </c>
      <c r="W3537" t="str">
        <f t="shared" si="278"/>
        <v>Medium Risk</v>
      </c>
      <c r="X3537" t="str">
        <f t="shared" si="279"/>
        <v>Fair</v>
      </c>
    </row>
    <row r="3538" spans="1:24" x14ac:dyDescent="0.3">
      <c r="A3538" t="s">
        <v>3606</v>
      </c>
      <c r="B3538" t="s">
        <v>39</v>
      </c>
      <c r="C3538">
        <v>29</v>
      </c>
      <c r="D3538" t="s">
        <v>88</v>
      </c>
      <c r="E3538" t="s">
        <v>48</v>
      </c>
      <c r="F3538" t="s">
        <v>23</v>
      </c>
      <c r="G3538" t="s">
        <v>63</v>
      </c>
      <c r="H3538" t="s">
        <v>76</v>
      </c>
      <c r="I3538" t="s">
        <v>96</v>
      </c>
      <c r="J3538" t="s">
        <v>44</v>
      </c>
      <c r="K3538">
        <v>12</v>
      </c>
      <c r="L3538">
        <v>67401</v>
      </c>
      <c r="M3538" t="s">
        <v>36</v>
      </c>
      <c r="N3538">
        <v>1</v>
      </c>
      <c r="O3538">
        <v>1</v>
      </c>
      <c r="P3538">
        <v>23</v>
      </c>
      <c r="Q3538">
        <v>2</v>
      </c>
      <c r="R3538" s="1">
        <v>40612</v>
      </c>
      <c r="S3538" t="s">
        <v>37</v>
      </c>
      <c r="T3538" t="str">
        <f t="shared" si="275"/>
        <v>Grade B</v>
      </c>
      <c r="U3538">
        <f t="shared" si="276"/>
        <v>1</v>
      </c>
      <c r="V3538" t="str">
        <f t="shared" si="277"/>
        <v>Senior</v>
      </c>
      <c r="W3538" t="str">
        <f t="shared" si="278"/>
        <v>Already Left</v>
      </c>
      <c r="X3538" t="str">
        <f t="shared" si="279"/>
        <v>Fair</v>
      </c>
    </row>
    <row r="3539" spans="1:24" x14ac:dyDescent="0.3">
      <c r="A3539" t="s">
        <v>3607</v>
      </c>
      <c r="B3539" t="s">
        <v>39</v>
      </c>
      <c r="C3539">
        <v>54</v>
      </c>
      <c r="D3539" t="s">
        <v>21</v>
      </c>
      <c r="E3539" t="s">
        <v>40</v>
      </c>
      <c r="F3539" t="s">
        <v>53</v>
      </c>
      <c r="G3539" t="s">
        <v>66</v>
      </c>
      <c r="H3539" t="s">
        <v>76</v>
      </c>
      <c r="I3539" t="s">
        <v>80</v>
      </c>
      <c r="J3539" t="s">
        <v>60</v>
      </c>
      <c r="K3539">
        <v>6</v>
      </c>
      <c r="L3539">
        <v>52052</v>
      </c>
      <c r="M3539" t="s">
        <v>28</v>
      </c>
      <c r="N3539">
        <v>4</v>
      </c>
      <c r="O3539">
        <v>2</v>
      </c>
      <c r="P3539">
        <v>53</v>
      </c>
      <c r="Q3539">
        <v>2</v>
      </c>
      <c r="R3539" s="1">
        <v>43095</v>
      </c>
      <c r="S3539" t="s">
        <v>29</v>
      </c>
      <c r="T3539" t="str">
        <f t="shared" si="275"/>
        <v>Grade B</v>
      </c>
      <c r="U3539">
        <f t="shared" si="276"/>
        <v>3</v>
      </c>
      <c r="V3539" t="str">
        <f t="shared" si="277"/>
        <v>Mid Level</v>
      </c>
      <c r="W3539" t="str">
        <f t="shared" si="278"/>
        <v>Medium Risk</v>
      </c>
      <c r="X3539" t="str">
        <f t="shared" si="279"/>
        <v>Competitive</v>
      </c>
    </row>
    <row r="3540" spans="1:24" x14ac:dyDescent="0.3">
      <c r="A3540" t="s">
        <v>3608</v>
      </c>
      <c r="B3540" t="s">
        <v>20</v>
      </c>
      <c r="C3540">
        <v>32</v>
      </c>
      <c r="D3540" t="s">
        <v>21</v>
      </c>
      <c r="E3540" t="s">
        <v>40</v>
      </c>
      <c r="F3540" t="s">
        <v>32</v>
      </c>
      <c r="G3540" t="s">
        <v>33</v>
      </c>
      <c r="H3540" t="s">
        <v>83</v>
      </c>
      <c r="I3540" t="s">
        <v>68</v>
      </c>
      <c r="J3540" t="s">
        <v>60</v>
      </c>
      <c r="K3540">
        <v>3</v>
      </c>
      <c r="L3540">
        <v>61888</v>
      </c>
      <c r="M3540" t="s">
        <v>28</v>
      </c>
      <c r="N3540">
        <v>3</v>
      </c>
      <c r="O3540">
        <v>2</v>
      </c>
      <c r="P3540">
        <v>72</v>
      </c>
      <c r="Q3540">
        <v>1</v>
      </c>
      <c r="R3540" s="1">
        <v>43844</v>
      </c>
      <c r="S3540" t="s">
        <v>29</v>
      </c>
      <c r="T3540" t="str">
        <f t="shared" si="275"/>
        <v>Grade B</v>
      </c>
      <c r="U3540">
        <f t="shared" si="276"/>
        <v>3</v>
      </c>
      <c r="V3540" t="str">
        <f t="shared" si="277"/>
        <v>Junior</v>
      </c>
      <c r="W3540" t="str">
        <f t="shared" si="278"/>
        <v>Medium Risk</v>
      </c>
      <c r="X3540" t="str">
        <f t="shared" si="279"/>
        <v>Competitive</v>
      </c>
    </row>
    <row r="3541" spans="1:24" x14ac:dyDescent="0.3">
      <c r="A3541" t="s">
        <v>3609</v>
      </c>
      <c r="B3541" t="s">
        <v>39</v>
      </c>
      <c r="C3541">
        <v>32</v>
      </c>
      <c r="D3541" t="s">
        <v>57</v>
      </c>
      <c r="E3541" t="s">
        <v>48</v>
      </c>
      <c r="F3541" t="s">
        <v>41</v>
      </c>
      <c r="G3541" t="s">
        <v>42</v>
      </c>
      <c r="H3541" t="s">
        <v>83</v>
      </c>
      <c r="I3541" t="s">
        <v>59</v>
      </c>
      <c r="J3541" t="s">
        <v>60</v>
      </c>
      <c r="K3541">
        <v>4</v>
      </c>
      <c r="L3541">
        <v>95221</v>
      </c>
      <c r="M3541" t="s">
        <v>45</v>
      </c>
      <c r="N3541">
        <v>4</v>
      </c>
      <c r="O3541">
        <v>3</v>
      </c>
      <c r="P3541">
        <v>66</v>
      </c>
      <c r="Q3541">
        <v>1</v>
      </c>
      <c r="R3541" s="1">
        <v>43636</v>
      </c>
      <c r="S3541" t="s">
        <v>29</v>
      </c>
      <c r="T3541" t="str">
        <f t="shared" si="275"/>
        <v>Grade A</v>
      </c>
      <c r="U3541">
        <f t="shared" si="276"/>
        <v>2</v>
      </c>
      <c r="V3541" t="str">
        <f t="shared" si="277"/>
        <v>Junior</v>
      </c>
      <c r="W3541" t="str">
        <f t="shared" si="278"/>
        <v>Medium Risk</v>
      </c>
      <c r="X3541" t="str">
        <f t="shared" si="279"/>
        <v>Fair</v>
      </c>
    </row>
    <row r="3542" spans="1:24" x14ac:dyDescent="0.3">
      <c r="A3542" t="s">
        <v>3610</v>
      </c>
      <c r="B3542" t="s">
        <v>39</v>
      </c>
      <c r="C3542">
        <v>41</v>
      </c>
      <c r="D3542" t="s">
        <v>57</v>
      </c>
      <c r="E3542" t="s">
        <v>40</v>
      </c>
      <c r="F3542" t="s">
        <v>78</v>
      </c>
      <c r="G3542" t="s">
        <v>42</v>
      </c>
      <c r="H3542" t="s">
        <v>76</v>
      </c>
      <c r="I3542" t="s">
        <v>96</v>
      </c>
      <c r="J3542" t="s">
        <v>44</v>
      </c>
      <c r="K3542">
        <v>11</v>
      </c>
      <c r="L3542">
        <v>120349</v>
      </c>
      <c r="M3542" t="s">
        <v>51</v>
      </c>
      <c r="N3542">
        <v>3</v>
      </c>
      <c r="O3542">
        <v>4</v>
      </c>
      <c r="P3542">
        <v>46</v>
      </c>
      <c r="Q3542">
        <v>0</v>
      </c>
      <c r="R3542" s="1">
        <v>41097</v>
      </c>
      <c r="S3542" t="s">
        <v>37</v>
      </c>
      <c r="T3542" t="str">
        <f t="shared" si="275"/>
        <v>Grade A</v>
      </c>
      <c r="U3542">
        <f t="shared" si="276"/>
        <v>4</v>
      </c>
      <c r="V3542" t="str">
        <f t="shared" si="277"/>
        <v>Senior</v>
      </c>
      <c r="W3542" t="str">
        <f t="shared" si="278"/>
        <v>Already Left</v>
      </c>
      <c r="X3542" t="str">
        <f t="shared" si="279"/>
        <v>Competitive</v>
      </c>
    </row>
    <row r="3543" spans="1:24" x14ac:dyDescent="0.3">
      <c r="A3543" t="s">
        <v>3611</v>
      </c>
      <c r="B3543" t="s">
        <v>39</v>
      </c>
      <c r="C3543">
        <v>49</v>
      </c>
      <c r="D3543" t="s">
        <v>31</v>
      </c>
      <c r="E3543" t="s">
        <v>48</v>
      </c>
      <c r="F3543" t="s">
        <v>75</v>
      </c>
      <c r="G3543" t="s">
        <v>63</v>
      </c>
      <c r="H3543" t="s">
        <v>34</v>
      </c>
      <c r="I3543" t="s">
        <v>54</v>
      </c>
      <c r="J3543" t="s">
        <v>27</v>
      </c>
      <c r="K3543">
        <v>5</v>
      </c>
      <c r="L3543">
        <v>64512</v>
      </c>
      <c r="M3543" t="s">
        <v>28</v>
      </c>
      <c r="N3543">
        <v>2</v>
      </c>
      <c r="O3543">
        <v>2</v>
      </c>
      <c r="P3543">
        <v>21</v>
      </c>
      <c r="Q3543">
        <v>3</v>
      </c>
      <c r="R3543" s="1">
        <v>43217</v>
      </c>
      <c r="S3543" t="s">
        <v>29</v>
      </c>
      <c r="T3543" t="str">
        <f t="shared" si="275"/>
        <v>Grade B</v>
      </c>
      <c r="U3543">
        <f t="shared" si="276"/>
        <v>3</v>
      </c>
      <c r="V3543" t="str">
        <f t="shared" si="277"/>
        <v>Junior</v>
      </c>
      <c r="W3543" t="str">
        <f t="shared" si="278"/>
        <v>Medium Risk</v>
      </c>
      <c r="X3543" t="str">
        <f t="shared" si="279"/>
        <v>Competitive</v>
      </c>
    </row>
    <row r="3544" spans="1:24" x14ac:dyDescent="0.3">
      <c r="A3544" t="s">
        <v>3612</v>
      </c>
      <c r="B3544" t="s">
        <v>39</v>
      </c>
      <c r="C3544">
        <v>27</v>
      </c>
      <c r="D3544" t="s">
        <v>21</v>
      </c>
      <c r="E3544" t="s">
        <v>22</v>
      </c>
      <c r="F3544" t="s">
        <v>32</v>
      </c>
      <c r="G3544" t="s">
        <v>49</v>
      </c>
      <c r="H3544" t="s">
        <v>76</v>
      </c>
      <c r="I3544" t="s">
        <v>96</v>
      </c>
      <c r="J3544" t="s">
        <v>44</v>
      </c>
      <c r="K3544">
        <v>6</v>
      </c>
      <c r="L3544">
        <v>71563</v>
      </c>
      <c r="M3544" t="s">
        <v>51</v>
      </c>
      <c r="N3544">
        <v>1</v>
      </c>
      <c r="O3544">
        <v>4</v>
      </c>
      <c r="P3544">
        <v>70</v>
      </c>
      <c r="Q3544">
        <v>1</v>
      </c>
      <c r="R3544" s="1">
        <v>42824</v>
      </c>
      <c r="S3544" t="s">
        <v>37</v>
      </c>
      <c r="T3544" t="str">
        <f t="shared" si="275"/>
        <v>Grade B</v>
      </c>
      <c r="U3544">
        <f t="shared" si="276"/>
        <v>4</v>
      </c>
      <c r="V3544" t="str">
        <f t="shared" si="277"/>
        <v>Mid Level</v>
      </c>
      <c r="W3544" t="str">
        <f t="shared" si="278"/>
        <v>Already Left</v>
      </c>
      <c r="X3544" t="str">
        <f t="shared" si="279"/>
        <v>Fair</v>
      </c>
    </row>
    <row r="3545" spans="1:24" x14ac:dyDescent="0.3">
      <c r="A3545" t="s">
        <v>3613</v>
      </c>
      <c r="B3545" t="s">
        <v>20</v>
      </c>
      <c r="C3545">
        <v>25</v>
      </c>
      <c r="D3545" t="s">
        <v>47</v>
      </c>
      <c r="E3545" t="s">
        <v>22</v>
      </c>
      <c r="F3545" t="s">
        <v>53</v>
      </c>
      <c r="G3545" t="s">
        <v>42</v>
      </c>
      <c r="H3545" t="s">
        <v>76</v>
      </c>
      <c r="I3545" t="s">
        <v>26</v>
      </c>
      <c r="J3545" t="s">
        <v>27</v>
      </c>
      <c r="K3545">
        <v>8</v>
      </c>
      <c r="L3545">
        <v>103316</v>
      </c>
      <c r="M3545" t="s">
        <v>28</v>
      </c>
      <c r="N3545">
        <v>2</v>
      </c>
      <c r="O3545">
        <v>3</v>
      </c>
      <c r="P3545">
        <v>17</v>
      </c>
      <c r="Q3545">
        <v>0</v>
      </c>
      <c r="R3545" s="1">
        <v>42096</v>
      </c>
      <c r="S3545" t="s">
        <v>29</v>
      </c>
      <c r="T3545" t="str">
        <f t="shared" si="275"/>
        <v>Grade A</v>
      </c>
      <c r="U3545">
        <f t="shared" si="276"/>
        <v>3</v>
      </c>
      <c r="V3545" t="str">
        <f t="shared" si="277"/>
        <v>Mid Level</v>
      </c>
      <c r="W3545" t="str">
        <f t="shared" si="278"/>
        <v>Medium Risk</v>
      </c>
      <c r="X3545" t="str">
        <f t="shared" si="279"/>
        <v>Competitive</v>
      </c>
    </row>
    <row r="3546" spans="1:24" x14ac:dyDescent="0.3">
      <c r="A3546" t="s">
        <v>3614</v>
      </c>
      <c r="B3546" t="s">
        <v>20</v>
      </c>
      <c r="C3546">
        <v>44</v>
      </c>
      <c r="D3546" t="s">
        <v>31</v>
      </c>
      <c r="E3546" t="s">
        <v>48</v>
      </c>
      <c r="F3546" t="s">
        <v>32</v>
      </c>
      <c r="G3546" t="s">
        <v>33</v>
      </c>
      <c r="H3546" t="s">
        <v>67</v>
      </c>
      <c r="I3546" t="s">
        <v>54</v>
      </c>
      <c r="J3546" t="s">
        <v>27</v>
      </c>
      <c r="K3546">
        <v>3</v>
      </c>
      <c r="L3546">
        <v>64460</v>
      </c>
      <c r="M3546" t="s">
        <v>28</v>
      </c>
      <c r="N3546">
        <v>4</v>
      </c>
      <c r="O3546">
        <v>2</v>
      </c>
      <c r="P3546">
        <v>66</v>
      </c>
      <c r="Q3546">
        <v>3</v>
      </c>
      <c r="R3546" s="1">
        <v>44008</v>
      </c>
      <c r="S3546" t="s">
        <v>29</v>
      </c>
      <c r="T3546" t="str">
        <f t="shared" si="275"/>
        <v>Grade B</v>
      </c>
      <c r="U3546">
        <f t="shared" si="276"/>
        <v>3</v>
      </c>
      <c r="V3546" t="str">
        <f t="shared" si="277"/>
        <v>Junior</v>
      </c>
      <c r="W3546" t="str">
        <f t="shared" si="278"/>
        <v>Medium Risk</v>
      </c>
      <c r="X3546" t="str">
        <f t="shared" si="279"/>
        <v>Competitive</v>
      </c>
    </row>
    <row r="3547" spans="1:24" x14ac:dyDescent="0.3">
      <c r="A3547" t="s">
        <v>3615</v>
      </c>
      <c r="B3547" t="s">
        <v>20</v>
      </c>
      <c r="C3547">
        <v>23</v>
      </c>
      <c r="D3547" t="s">
        <v>57</v>
      </c>
      <c r="E3547" t="s">
        <v>48</v>
      </c>
      <c r="F3547" t="s">
        <v>53</v>
      </c>
      <c r="G3547" t="s">
        <v>33</v>
      </c>
      <c r="H3547" t="s">
        <v>25</v>
      </c>
      <c r="I3547" t="s">
        <v>54</v>
      </c>
      <c r="J3547" t="s">
        <v>27</v>
      </c>
      <c r="K3547">
        <v>13</v>
      </c>
      <c r="L3547">
        <v>91063</v>
      </c>
      <c r="M3547" t="s">
        <v>45</v>
      </c>
      <c r="N3547">
        <v>4</v>
      </c>
      <c r="O3547">
        <v>4</v>
      </c>
      <c r="P3547">
        <v>43</v>
      </c>
      <c r="Q3547">
        <v>1</v>
      </c>
      <c r="R3547" s="1">
        <v>40314</v>
      </c>
      <c r="S3547" t="s">
        <v>37</v>
      </c>
      <c r="T3547" t="str">
        <f t="shared" si="275"/>
        <v>Grade A</v>
      </c>
      <c r="U3547">
        <f t="shared" si="276"/>
        <v>2</v>
      </c>
      <c r="V3547" t="str">
        <f t="shared" si="277"/>
        <v>Senior</v>
      </c>
      <c r="W3547" t="str">
        <f t="shared" si="278"/>
        <v>Already Left</v>
      </c>
      <c r="X3547" t="str">
        <f t="shared" si="279"/>
        <v>Fair</v>
      </c>
    </row>
    <row r="3548" spans="1:24" x14ac:dyDescent="0.3">
      <c r="A3548" t="s">
        <v>3616</v>
      </c>
      <c r="B3548" t="s">
        <v>39</v>
      </c>
      <c r="C3548">
        <v>50</v>
      </c>
      <c r="D3548" t="s">
        <v>57</v>
      </c>
      <c r="E3548" t="s">
        <v>22</v>
      </c>
      <c r="F3548" t="s">
        <v>75</v>
      </c>
      <c r="G3548" t="s">
        <v>63</v>
      </c>
      <c r="H3548" t="s">
        <v>83</v>
      </c>
      <c r="I3548" t="s">
        <v>50</v>
      </c>
      <c r="J3548" t="s">
        <v>44</v>
      </c>
      <c r="K3548">
        <v>8</v>
      </c>
      <c r="L3548">
        <v>70964</v>
      </c>
      <c r="M3548" t="s">
        <v>28</v>
      </c>
      <c r="N3548">
        <v>2</v>
      </c>
      <c r="O3548">
        <v>3</v>
      </c>
      <c r="P3548">
        <v>36</v>
      </c>
      <c r="Q3548">
        <v>0</v>
      </c>
      <c r="R3548" s="1">
        <v>42288</v>
      </c>
      <c r="S3548" t="s">
        <v>29</v>
      </c>
      <c r="T3548" t="str">
        <f t="shared" si="275"/>
        <v>Grade B</v>
      </c>
      <c r="U3548">
        <f t="shared" si="276"/>
        <v>3</v>
      </c>
      <c r="V3548" t="str">
        <f t="shared" si="277"/>
        <v>Mid Level</v>
      </c>
      <c r="W3548" t="str">
        <f t="shared" si="278"/>
        <v>Medium Risk</v>
      </c>
      <c r="X3548" t="str">
        <f t="shared" si="279"/>
        <v>Competitive</v>
      </c>
    </row>
    <row r="3549" spans="1:24" x14ac:dyDescent="0.3">
      <c r="A3549" t="s">
        <v>3617</v>
      </c>
      <c r="B3549" t="s">
        <v>39</v>
      </c>
      <c r="C3549">
        <v>33</v>
      </c>
      <c r="D3549" t="s">
        <v>21</v>
      </c>
      <c r="E3549" t="s">
        <v>22</v>
      </c>
      <c r="F3549" t="s">
        <v>78</v>
      </c>
      <c r="G3549" t="s">
        <v>58</v>
      </c>
      <c r="H3549" t="s">
        <v>34</v>
      </c>
      <c r="I3549" t="s">
        <v>35</v>
      </c>
      <c r="J3549" t="s">
        <v>27</v>
      </c>
      <c r="K3549">
        <v>10</v>
      </c>
      <c r="L3549">
        <v>114664</v>
      </c>
      <c r="M3549" t="s">
        <v>36</v>
      </c>
      <c r="N3549">
        <v>4</v>
      </c>
      <c r="O3549">
        <v>2</v>
      </c>
      <c r="P3549">
        <v>50</v>
      </c>
      <c r="Q3549">
        <v>0</v>
      </c>
      <c r="R3549" s="1">
        <v>41386</v>
      </c>
      <c r="S3549" t="s">
        <v>37</v>
      </c>
      <c r="T3549" t="str">
        <f t="shared" si="275"/>
        <v>Grade A</v>
      </c>
      <c r="U3549">
        <f t="shared" si="276"/>
        <v>1</v>
      </c>
      <c r="V3549" t="str">
        <f t="shared" si="277"/>
        <v>Mid Level</v>
      </c>
      <c r="W3549" t="str">
        <f t="shared" si="278"/>
        <v>Already Left</v>
      </c>
      <c r="X3549" t="str">
        <f t="shared" si="279"/>
        <v>Overpaid</v>
      </c>
    </row>
    <row r="3550" spans="1:24" x14ac:dyDescent="0.3">
      <c r="A3550" t="s">
        <v>3618</v>
      </c>
      <c r="B3550" t="s">
        <v>20</v>
      </c>
      <c r="C3550">
        <v>28</v>
      </c>
      <c r="D3550" t="s">
        <v>88</v>
      </c>
      <c r="E3550" t="s">
        <v>22</v>
      </c>
      <c r="F3550" t="s">
        <v>75</v>
      </c>
      <c r="G3550" t="s">
        <v>24</v>
      </c>
      <c r="H3550" t="s">
        <v>76</v>
      </c>
      <c r="I3550" t="s">
        <v>72</v>
      </c>
      <c r="J3550" t="s">
        <v>73</v>
      </c>
      <c r="K3550">
        <v>1</v>
      </c>
      <c r="L3550">
        <v>79739</v>
      </c>
      <c r="M3550" t="s">
        <v>51</v>
      </c>
      <c r="N3550">
        <v>2</v>
      </c>
      <c r="O3550">
        <v>3</v>
      </c>
      <c r="P3550">
        <v>63</v>
      </c>
      <c r="Q3550">
        <v>1</v>
      </c>
      <c r="R3550" s="1">
        <v>44840</v>
      </c>
      <c r="S3550" t="s">
        <v>29</v>
      </c>
      <c r="T3550" t="str">
        <f t="shared" si="275"/>
        <v>Grade B</v>
      </c>
      <c r="U3550">
        <f t="shared" si="276"/>
        <v>4</v>
      </c>
      <c r="V3550" t="str">
        <f t="shared" si="277"/>
        <v>New Joiner</v>
      </c>
      <c r="W3550" t="str">
        <f t="shared" si="278"/>
        <v>Low Risk</v>
      </c>
      <c r="X3550" t="str">
        <f t="shared" si="279"/>
        <v>Fair</v>
      </c>
    </row>
    <row r="3551" spans="1:24" x14ac:dyDescent="0.3">
      <c r="A3551" t="s">
        <v>3619</v>
      </c>
      <c r="B3551" t="s">
        <v>20</v>
      </c>
      <c r="C3551">
        <v>23</v>
      </c>
      <c r="D3551" t="s">
        <v>21</v>
      </c>
      <c r="E3551" t="s">
        <v>22</v>
      </c>
      <c r="F3551" t="s">
        <v>62</v>
      </c>
      <c r="G3551" t="s">
        <v>24</v>
      </c>
      <c r="H3551" t="s">
        <v>25</v>
      </c>
      <c r="I3551" t="s">
        <v>35</v>
      </c>
      <c r="J3551" t="s">
        <v>27</v>
      </c>
      <c r="K3551">
        <v>8</v>
      </c>
      <c r="L3551">
        <v>98731</v>
      </c>
      <c r="M3551" t="s">
        <v>28</v>
      </c>
      <c r="N3551">
        <v>3</v>
      </c>
      <c r="O3551">
        <v>2</v>
      </c>
      <c r="P3551">
        <v>17</v>
      </c>
      <c r="Q3551">
        <v>0</v>
      </c>
      <c r="R3551" s="1">
        <v>42116</v>
      </c>
      <c r="S3551" t="s">
        <v>29</v>
      </c>
      <c r="T3551" t="str">
        <f t="shared" si="275"/>
        <v>Grade A</v>
      </c>
      <c r="U3551">
        <f t="shared" si="276"/>
        <v>3</v>
      </c>
      <c r="V3551" t="str">
        <f t="shared" si="277"/>
        <v>Mid Level</v>
      </c>
      <c r="W3551" t="str">
        <f t="shared" si="278"/>
        <v>Medium Risk</v>
      </c>
      <c r="X3551" t="str">
        <f t="shared" si="279"/>
        <v>Competitive</v>
      </c>
    </row>
    <row r="3552" spans="1:24" x14ac:dyDescent="0.3">
      <c r="A3552" t="s">
        <v>3620</v>
      </c>
      <c r="B3552" t="s">
        <v>39</v>
      </c>
      <c r="C3552">
        <v>31</v>
      </c>
      <c r="D3552" t="s">
        <v>31</v>
      </c>
      <c r="E3552" t="s">
        <v>48</v>
      </c>
      <c r="F3552" t="s">
        <v>32</v>
      </c>
      <c r="G3552" t="s">
        <v>79</v>
      </c>
      <c r="H3552" t="s">
        <v>67</v>
      </c>
      <c r="I3552" t="s">
        <v>80</v>
      </c>
      <c r="J3552" t="s">
        <v>60</v>
      </c>
      <c r="K3552">
        <v>10</v>
      </c>
      <c r="L3552">
        <v>67722</v>
      </c>
      <c r="M3552" t="s">
        <v>51</v>
      </c>
      <c r="N3552">
        <v>4</v>
      </c>
      <c r="O3552">
        <v>4</v>
      </c>
      <c r="P3552">
        <v>65</v>
      </c>
      <c r="Q3552">
        <v>3</v>
      </c>
      <c r="R3552" s="1">
        <v>41386</v>
      </c>
      <c r="S3552" t="s">
        <v>29</v>
      </c>
      <c r="T3552" t="str">
        <f t="shared" si="275"/>
        <v>Grade B</v>
      </c>
      <c r="U3552">
        <f t="shared" si="276"/>
        <v>4</v>
      </c>
      <c r="V3552" t="str">
        <f t="shared" si="277"/>
        <v>Mid Level</v>
      </c>
      <c r="W3552" t="str">
        <f t="shared" si="278"/>
        <v>Low Risk</v>
      </c>
      <c r="X3552" t="str">
        <f t="shared" si="279"/>
        <v>Fair</v>
      </c>
    </row>
    <row r="3553" spans="1:24" x14ac:dyDescent="0.3">
      <c r="A3553" t="s">
        <v>3621</v>
      </c>
      <c r="B3553" t="s">
        <v>39</v>
      </c>
      <c r="C3553">
        <v>35</v>
      </c>
      <c r="D3553" t="s">
        <v>57</v>
      </c>
      <c r="E3553" t="s">
        <v>48</v>
      </c>
      <c r="F3553" t="s">
        <v>32</v>
      </c>
      <c r="G3553" t="s">
        <v>33</v>
      </c>
      <c r="H3553" t="s">
        <v>83</v>
      </c>
      <c r="I3553" t="s">
        <v>35</v>
      </c>
      <c r="J3553" t="s">
        <v>27</v>
      </c>
      <c r="K3553">
        <v>2</v>
      </c>
      <c r="L3553">
        <v>59553</v>
      </c>
      <c r="M3553" t="s">
        <v>28</v>
      </c>
      <c r="N3553">
        <v>1</v>
      </c>
      <c r="O3553">
        <v>2</v>
      </c>
      <c r="P3553">
        <v>72</v>
      </c>
      <c r="Q3553">
        <v>3</v>
      </c>
      <c r="R3553" s="1">
        <v>44426</v>
      </c>
      <c r="S3553" t="s">
        <v>29</v>
      </c>
      <c r="T3553" t="str">
        <f t="shared" si="275"/>
        <v>Grade B</v>
      </c>
      <c r="U3553">
        <f t="shared" si="276"/>
        <v>3</v>
      </c>
      <c r="V3553" t="str">
        <f t="shared" si="277"/>
        <v>New Joiner</v>
      </c>
      <c r="W3553" t="str">
        <f t="shared" si="278"/>
        <v>Medium Risk</v>
      </c>
      <c r="X3553" t="str">
        <f t="shared" si="279"/>
        <v>Competitive</v>
      </c>
    </row>
    <row r="3554" spans="1:24" x14ac:dyDescent="0.3">
      <c r="A3554" t="s">
        <v>3622</v>
      </c>
      <c r="B3554" t="s">
        <v>39</v>
      </c>
      <c r="C3554">
        <v>40</v>
      </c>
      <c r="D3554" t="s">
        <v>31</v>
      </c>
      <c r="E3554" t="s">
        <v>22</v>
      </c>
      <c r="F3554" t="s">
        <v>62</v>
      </c>
      <c r="G3554" t="s">
        <v>79</v>
      </c>
      <c r="H3554" t="s">
        <v>34</v>
      </c>
      <c r="I3554" t="s">
        <v>35</v>
      </c>
      <c r="J3554" t="s">
        <v>27</v>
      </c>
      <c r="K3554">
        <v>5</v>
      </c>
      <c r="L3554">
        <v>59512</v>
      </c>
      <c r="M3554" t="s">
        <v>51</v>
      </c>
      <c r="N3554">
        <v>2</v>
      </c>
      <c r="O3554">
        <v>1</v>
      </c>
      <c r="P3554">
        <v>75</v>
      </c>
      <c r="Q3554">
        <v>2</v>
      </c>
      <c r="R3554" s="1">
        <v>43214</v>
      </c>
      <c r="S3554" t="s">
        <v>29</v>
      </c>
      <c r="T3554" t="str">
        <f t="shared" si="275"/>
        <v>Grade B</v>
      </c>
      <c r="U3554">
        <f t="shared" si="276"/>
        <v>4</v>
      </c>
      <c r="V3554" t="str">
        <f t="shared" si="277"/>
        <v>Junior</v>
      </c>
      <c r="W3554" t="str">
        <f t="shared" si="278"/>
        <v>Low Risk</v>
      </c>
      <c r="X3554" t="str">
        <f t="shared" si="279"/>
        <v>Fair</v>
      </c>
    </row>
    <row r="3555" spans="1:24" x14ac:dyDescent="0.3">
      <c r="A3555" t="s">
        <v>3623</v>
      </c>
      <c r="B3555" t="s">
        <v>39</v>
      </c>
      <c r="C3555">
        <v>45</v>
      </c>
      <c r="D3555" t="s">
        <v>57</v>
      </c>
      <c r="E3555" t="s">
        <v>40</v>
      </c>
      <c r="F3555" t="s">
        <v>75</v>
      </c>
      <c r="G3555" t="s">
        <v>66</v>
      </c>
      <c r="H3555" t="s">
        <v>25</v>
      </c>
      <c r="I3555" t="s">
        <v>54</v>
      </c>
      <c r="J3555" t="s">
        <v>27</v>
      </c>
      <c r="K3555">
        <v>13</v>
      </c>
      <c r="L3555">
        <v>53987</v>
      </c>
      <c r="M3555" t="s">
        <v>28</v>
      </c>
      <c r="N3555">
        <v>3</v>
      </c>
      <c r="O3555">
        <v>3</v>
      </c>
      <c r="P3555">
        <v>37</v>
      </c>
      <c r="Q3555">
        <v>2</v>
      </c>
      <c r="R3555" s="1">
        <v>40413</v>
      </c>
      <c r="S3555" t="s">
        <v>29</v>
      </c>
      <c r="T3555" t="str">
        <f t="shared" si="275"/>
        <v>Grade B</v>
      </c>
      <c r="U3555">
        <f t="shared" si="276"/>
        <v>3</v>
      </c>
      <c r="V3555" t="str">
        <f t="shared" si="277"/>
        <v>Senior</v>
      </c>
      <c r="W3555" t="str">
        <f t="shared" si="278"/>
        <v>Medium Risk</v>
      </c>
      <c r="X3555" t="str">
        <f t="shared" si="279"/>
        <v>Competitive</v>
      </c>
    </row>
    <row r="3556" spans="1:24" x14ac:dyDescent="0.3">
      <c r="A3556" t="s">
        <v>3624</v>
      </c>
      <c r="B3556" t="s">
        <v>20</v>
      </c>
      <c r="C3556">
        <v>32</v>
      </c>
      <c r="D3556" t="s">
        <v>47</v>
      </c>
      <c r="E3556" t="s">
        <v>48</v>
      </c>
      <c r="F3556" t="s">
        <v>41</v>
      </c>
      <c r="G3556" t="s">
        <v>24</v>
      </c>
      <c r="H3556" t="s">
        <v>83</v>
      </c>
      <c r="I3556" t="s">
        <v>50</v>
      </c>
      <c r="J3556" t="s">
        <v>44</v>
      </c>
      <c r="K3556">
        <v>6</v>
      </c>
      <c r="L3556">
        <v>94983</v>
      </c>
      <c r="M3556" t="s">
        <v>36</v>
      </c>
      <c r="N3556">
        <v>4</v>
      </c>
      <c r="O3556">
        <v>3</v>
      </c>
      <c r="P3556">
        <v>16</v>
      </c>
      <c r="Q3556">
        <v>1</v>
      </c>
      <c r="R3556" s="1">
        <v>42791</v>
      </c>
      <c r="S3556" t="s">
        <v>29</v>
      </c>
      <c r="T3556" t="str">
        <f t="shared" si="275"/>
        <v>Grade A</v>
      </c>
      <c r="U3556">
        <f t="shared" si="276"/>
        <v>1</v>
      </c>
      <c r="V3556" t="str">
        <f t="shared" si="277"/>
        <v>Mid Level</v>
      </c>
      <c r="W3556" t="str">
        <f t="shared" si="278"/>
        <v>Medium Risk</v>
      </c>
      <c r="X3556" t="str">
        <f t="shared" si="279"/>
        <v>Overpaid</v>
      </c>
    </row>
    <row r="3557" spans="1:24" x14ac:dyDescent="0.3">
      <c r="A3557" t="s">
        <v>3625</v>
      </c>
      <c r="B3557" t="s">
        <v>39</v>
      </c>
      <c r="C3557">
        <v>45</v>
      </c>
      <c r="D3557" t="s">
        <v>31</v>
      </c>
      <c r="E3557" t="s">
        <v>48</v>
      </c>
      <c r="F3557" t="s">
        <v>65</v>
      </c>
      <c r="G3557" t="s">
        <v>79</v>
      </c>
      <c r="H3557" t="s">
        <v>34</v>
      </c>
      <c r="I3557" t="s">
        <v>68</v>
      </c>
      <c r="J3557" t="s">
        <v>60</v>
      </c>
      <c r="K3557">
        <v>15</v>
      </c>
      <c r="L3557">
        <v>65128</v>
      </c>
      <c r="M3557" t="s">
        <v>28</v>
      </c>
      <c r="N3557">
        <v>3</v>
      </c>
      <c r="O3557">
        <v>3</v>
      </c>
      <c r="P3557">
        <v>11</v>
      </c>
      <c r="Q3557">
        <v>1</v>
      </c>
      <c r="R3557" s="1">
        <v>39574</v>
      </c>
      <c r="S3557" t="s">
        <v>29</v>
      </c>
      <c r="T3557" t="str">
        <f t="shared" si="275"/>
        <v>Grade B</v>
      </c>
      <c r="U3557">
        <f t="shared" si="276"/>
        <v>3</v>
      </c>
      <c r="V3557" t="str">
        <f t="shared" si="277"/>
        <v>Senior</v>
      </c>
      <c r="W3557" t="str">
        <f t="shared" si="278"/>
        <v>Medium Risk</v>
      </c>
      <c r="X3557" t="str">
        <f t="shared" si="279"/>
        <v>Competitive</v>
      </c>
    </row>
    <row r="3558" spans="1:24" x14ac:dyDescent="0.3">
      <c r="A3558" t="s">
        <v>3626</v>
      </c>
      <c r="B3558" t="s">
        <v>20</v>
      </c>
      <c r="C3558">
        <v>50</v>
      </c>
      <c r="D3558" t="s">
        <v>47</v>
      </c>
      <c r="E3558" t="s">
        <v>22</v>
      </c>
      <c r="F3558" t="s">
        <v>78</v>
      </c>
      <c r="G3558" t="s">
        <v>24</v>
      </c>
      <c r="H3558" t="s">
        <v>34</v>
      </c>
      <c r="I3558" t="s">
        <v>50</v>
      </c>
      <c r="J3558" t="s">
        <v>44</v>
      </c>
      <c r="K3558">
        <v>9</v>
      </c>
      <c r="L3558">
        <v>93822</v>
      </c>
      <c r="M3558" t="s">
        <v>45</v>
      </c>
      <c r="N3558">
        <v>4</v>
      </c>
      <c r="O3558">
        <v>4</v>
      </c>
      <c r="P3558">
        <v>72</v>
      </c>
      <c r="Q3558">
        <v>1</v>
      </c>
      <c r="R3558" s="1">
        <v>41788</v>
      </c>
      <c r="S3558" t="s">
        <v>29</v>
      </c>
      <c r="T3558" t="str">
        <f t="shared" si="275"/>
        <v>Grade A</v>
      </c>
      <c r="U3558">
        <f t="shared" si="276"/>
        <v>2</v>
      </c>
      <c r="V3558" t="str">
        <f t="shared" si="277"/>
        <v>Mid Level</v>
      </c>
      <c r="W3558" t="str">
        <f t="shared" si="278"/>
        <v>Medium Risk</v>
      </c>
      <c r="X3558" t="str">
        <f t="shared" si="279"/>
        <v>Fair</v>
      </c>
    </row>
    <row r="3559" spans="1:24" x14ac:dyDescent="0.3">
      <c r="A3559" t="s">
        <v>3627</v>
      </c>
      <c r="B3559" t="s">
        <v>39</v>
      </c>
      <c r="C3559">
        <v>47</v>
      </c>
      <c r="D3559" t="s">
        <v>57</v>
      </c>
      <c r="E3559" t="s">
        <v>22</v>
      </c>
      <c r="F3559" t="s">
        <v>23</v>
      </c>
      <c r="G3559" t="s">
        <v>79</v>
      </c>
      <c r="H3559" t="s">
        <v>76</v>
      </c>
      <c r="I3559" t="s">
        <v>54</v>
      </c>
      <c r="J3559" t="s">
        <v>27</v>
      </c>
      <c r="K3559">
        <v>15</v>
      </c>
      <c r="L3559">
        <v>73340</v>
      </c>
      <c r="M3559" t="s">
        <v>45</v>
      </c>
      <c r="N3559">
        <v>4</v>
      </c>
      <c r="O3559">
        <v>4</v>
      </c>
      <c r="P3559">
        <v>48</v>
      </c>
      <c r="Q3559">
        <v>0</v>
      </c>
      <c r="R3559" s="1">
        <v>39539</v>
      </c>
      <c r="S3559" t="s">
        <v>29</v>
      </c>
      <c r="T3559" t="str">
        <f t="shared" si="275"/>
        <v>Grade B</v>
      </c>
      <c r="U3559">
        <f t="shared" si="276"/>
        <v>2</v>
      </c>
      <c r="V3559" t="str">
        <f t="shared" si="277"/>
        <v>Senior</v>
      </c>
      <c r="W3559" t="str">
        <f t="shared" si="278"/>
        <v>Medium Risk</v>
      </c>
      <c r="X3559" t="str">
        <f t="shared" si="279"/>
        <v>Fair</v>
      </c>
    </row>
    <row r="3560" spans="1:24" x14ac:dyDescent="0.3">
      <c r="A3560" t="s">
        <v>3628</v>
      </c>
      <c r="B3560" t="s">
        <v>20</v>
      </c>
      <c r="C3560">
        <v>46</v>
      </c>
      <c r="D3560" t="s">
        <v>31</v>
      </c>
      <c r="E3560" t="s">
        <v>40</v>
      </c>
      <c r="F3560" t="s">
        <v>23</v>
      </c>
      <c r="G3560" t="s">
        <v>24</v>
      </c>
      <c r="H3560" t="s">
        <v>76</v>
      </c>
      <c r="I3560" t="s">
        <v>54</v>
      </c>
      <c r="J3560" t="s">
        <v>27</v>
      </c>
      <c r="K3560">
        <v>8</v>
      </c>
      <c r="L3560">
        <v>86564</v>
      </c>
      <c r="M3560" t="s">
        <v>28</v>
      </c>
      <c r="N3560">
        <v>1</v>
      </c>
      <c r="O3560">
        <v>2</v>
      </c>
      <c r="P3560">
        <v>61</v>
      </c>
      <c r="Q3560">
        <v>0</v>
      </c>
      <c r="R3560" s="1">
        <v>42315</v>
      </c>
      <c r="S3560" t="s">
        <v>29</v>
      </c>
      <c r="T3560" t="str">
        <f t="shared" si="275"/>
        <v>Grade A</v>
      </c>
      <c r="U3560">
        <f t="shared" si="276"/>
        <v>3</v>
      </c>
      <c r="V3560" t="str">
        <f t="shared" si="277"/>
        <v>Mid Level</v>
      </c>
      <c r="W3560" t="str">
        <f t="shared" si="278"/>
        <v>Medium Risk</v>
      </c>
      <c r="X3560" t="str">
        <f t="shared" si="279"/>
        <v>Competitive</v>
      </c>
    </row>
    <row r="3561" spans="1:24" x14ac:dyDescent="0.3">
      <c r="A3561" t="s">
        <v>3629</v>
      </c>
      <c r="B3561" t="s">
        <v>20</v>
      </c>
      <c r="C3561">
        <v>46</v>
      </c>
      <c r="D3561" t="s">
        <v>31</v>
      </c>
      <c r="E3561" t="s">
        <v>22</v>
      </c>
      <c r="F3561" t="s">
        <v>65</v>
      </c>
      <c r="G3561" t="s">
        <v>24</v>
      </c>
      <c r="H3561" t="s">
        <v>25</v>
      </c>
      <c r="I3561" t="s">
        <v>80</v>
      </c>
      <c r="J3561" t="s">
        <v>60</v>
      </c>
      <c r="K3561">
        <v>1</v>
      </c>
      <c r="L3561">
        <v>86500</v>
      </c>
      <c r="M3561" t="s">
        <v>45</v>
      </c>
      <c r="N3561">
        <v>3</v>
      </c>
      <c r="O3561">
        <v>3</v>
      </c>
      <c r="P3561">
        <v>48</v>
      </c>
      <c r="Q3561">
        <v>0</v>
      </c>
      <c r="R3561" s="1">
        <v>44614</v>
      </c>
      <c r="S3561" t="s">
        <v>37</v>
      </c>
      <c r="T3561" t="str">
        <f t="shared" si="275"/>
        <v>Grade A</v>
      </c>
      <c r="U3561">
        <f t="shared" si="276"/>
        <v>2</v>
      </c>
      <c r="V3561" t="str">
        <f t="shared" si="277"/>
        <v>New Joiner</v>
      </c>
      <c r="W3561" t="str">
        <f t="shared" si="278"/>
        <v>Already Left</v>
      </c>
      <c r="X3561" t="str">
        <f t="shared" si="279"/>
        <v>Fair</v>
      </c>
    </row>
    <row r="3562" spans="1:24" x14ac:dyDescent="0.3">
      <c r="A3562" t="s">
        <v>3630</v>
      </c>
      <c r="B3562" t="s">
        <v>39</v>
      </c>
      <c r="C3562">
        <v>30</v>
      </c>
      <c r="D3562" t="s">
        <v>88</v>
      </c>
      <c r="E3562" t="s">
        <v>22</v>
      </c>
      <c r="F3562" t="s">
        <v>53</v>
      </c>
      <c r="G3562" t="s">
        <v>66</v>
      </c>
      <c r="H3562" t="s">
        <v>67</v>
      </c>
      <c r="I3562" t="s">
        <v>80</v>
      </c>
      <c r="J3562" t="s">
        <v>60</v>
      </c>
      <c r="K3562">
        <v>14</v>
      </c>
      <c r="L3562">
        <v>66157</v>
      </c>
      <c r="M3562" t="s">
        <v>28</v>
      </c>
      <c r="N3562">
        <v>3</v>
      </c>
      <c r="O3562">
        <v>1</v>
      </c>
      <c r="P3562">
        <v>20</v>
      </c>
      <c r="Q3562">
        <v>3</v>
      </c>
      <c r="R3562" s="1">
        <v>39819</v>
      </c>
      <c r="S3562" t="s">
        <v>37</v>
      </c>
      <c r="T3562" t="str">
        <f t="shared" si="275"/>
        <v>Grade B</v>
      </c>
      <c r="U3562">
        <f t="shared" si="276"/>
        <v>3</v>
      </c>
      <c r="V3562" t="str">
        <f t="shared" si="277"/>
        <v>Senior</v>
      </c>
      <c r="W3562" t="str">
        <f t="shared" si="278"/>
        <v>Already Left</v>
      </c>
      <c r="X3562" t="str">
        <f t="shared" si="279"/>
        <v>Competitive</v>
      </c>
    </row>
    <row r="3563" spans="1:24" x14ac:dyDescent="0.3">
      <c r="A3563" t="s">
        <v>3631</v>
      </c>
      <c r="B3563" t="s">
        <v>20</v>
      </c>
      <c r="C3563">
        <v>47</v>
      </c>
      <c r="D3563" t="s">
        <v>21</v>
      </c>
      <c r="E3563" t="s">
        <v>48</v>
      </c>
      <c r="F3563" t="s">
        <v>75</v>
      </c>
      <c r="G3563" t="s">
        <v>49</v>
      </c>
      <c r="H3563" t="s">
        <v>67</v>
      </c>
      <c r="I3563" t="s">
        <v>80</v>
      </c>
      <c r="J3563" t="s">
        <v>60</v>
      </c>
      <c r="K3563">
        <v>10</v>
      </c>
      <c r="L3563">
        <v>77705</v>
      </c>
      <c r="M3563" t="s">
        <v>36</v>
      </c>
      <c r="N3563">
        <v>1</v>
      </c>
      <c r="O3563">
        <v>3</v>
      </c>
      <c r="P3563">
        <v>39</v>
      </c>
      <c r="Q3563">
        <v>2</v>
      </c>
      <c r="R3563" s="1">
        <v>41367</v>
      </c>
      <c r="S3563" t="s">
        <v>37</v>
      </c>
      <c r="T3563" t="str">
        <f t="shared" si="275"/>
        <v>Grade B</v>
      </c>
      <c r="U3563">
        <f t="shared" si="276"/>
        <v>1</v>
      </c>
      <c r="V3563" t="str">
        <f t="shared" si="277"/>
        <v>Mid Level</v>
      </c>
      <c r="W3563" t="str">
        <f t="shared" si="278"/>
        <v>Already Left</v>
      </c>
      <c r="X3563" t="str">
        <f t="shared" si="279"/>
        <v>Fair</v>
      </c>
    </row>
    <row r="3564" spans="1:24" x14ac:dyDescent="0.3">
      <c r="A3564" t="s">
        <v>3632</v>
      </c>
      <c r="B3564" t="s">
        <v>39</v>
      </c>
      <c r="C3564">
        <v>38</v>
      </c>
      <c r="D3564" t="s">
        <v>31</v>
      </c>
      <c r="E3564" t="s">
        <v>48</v>
      </c>
      <c r="F3564" t="s">
        <v>78</v>
      </c>
      <c r="G3564" t="s">
        <v>33</v>
      </c>
      <c r="H3564" t="s">
        <v>25</v>
      </c>
      <c r="I3564" t="s">
        <v>26</v>
      </c>
      <c r="J3564" t="s">
        <v>27</v>
      </c>
      <c r="K3564">
        <v>2</v>
      </c>
      <c r="L3564">
        <v>59259</v>
      </c>
      <c r="M3564" t="s">
        <v>28</v>
      </c>
      <c r="N3564">
        <v>2</v>
      </c>
      <c r="O3564">
        <v>1</v>
      </c>
      <c r="P3564">
        <v>42</v>
      </c>
      <c r="Q3564">
        <v>3</v>
      </c>
      <c r="R3564" s="1">
        <v>44529</v>
      </c>
      <c r="S3564" t="s">
        <v>29</v>
      </c>
      <c r="T3564" t="str">
        <f t="shared" si="275"/>
        <v>Grade B</v>
      </c>
      <c r="U3564">
        <f t="shared" si="276"/>
        <v>3</v>
      </c>
      <c r="V3564" t="str">
        <f t="shared" si="277"/>
        <v>New Joiner</v>
      </c>
      <c r="W3564" t="str">
        <f t="shared" si="278"/>
        <v>Medium Risk</v>
      </c>
      <c r="X3564" t="str">
        <f t="shared" si="279"/>
        <v>Competitive</v>
      </c>
    </row>
    <row r="3565" spans="1:24" x14ac:dyDescent="0.3">
      <c r="A3565" t="s">
        <v>3633</v>
      </c>
      <c r="B3565" t="s">
        <v>20</v>
      </c>
      <c r="C3565">
        <v>45</v>
      </c>
      <c r="D3565" t="s">
        <v>31</v>
      </c>
      <c r="E3565" t="s">
        <v>40</v>
      </c>
      <c r="F3565" t="s">
        <v>75</v>
      </c>
      <c r="G3565" t="s">
        <v>66</v>
      </c>
      <c r="H3565" t="s">
        <v>83</v>
      </c>
      <c r="I3565" t="s">
        <v>54</v>
      </c>
      <c r="J3565" t="s">
        <v>27</v>
      </c>
      <c r="K3565">
        <v>7</v>
      </c>
      <c r="L3565">
        <v>40643</v>
      </c>
      <c r="M3565" t="s">
        <v>28</v>
      </c>
      <c r="N3565">
        <v>3</v>
      </c>
      <c r="O3565">
        <v>2</v>
      </c>
      <c r="P3565">
        <v>70</v>
      </c>
      <c r="Q3565">
        <v>3</v>
      </c>
      <c r="R3565" s="1">
        <v>42463</v>
      </c>
      <c r="S3565" t="s">
        <v>29</v>
      </c>
      <c r="T3565" t="str">
        <f t="shared" si="275"/>
        <v>Grade C</v>
      </c>
      <c r="U3565">
        <f t="shared" si="276"/>
        <v>3</v>
      </c>
      <c r="V3565" t="str">
        <f t="shared" si="277"/>
        <v>Mid Level</v>
      </c>
      <c r="W3565" t="str">
        <f t="shared" si="278"/>
        <v>Medium Risk</v>
      </c>
      <c r="X3565" t="str">
        <f t="shared" si="279"/>
        <v>Fair</v>
      </c>
    </row>
    <row r="3566" spans="1:24" x14ac:dyDescent="0.3">
      <c r="A3566" t="s">
        <v>3634</v>
      </c>
      <c r="B3566" t="s">
        <v>20</v>
      </c>
      <c r="C3566">
        <v>40</v>
      </c>
      <c r="D3566" t="s">
        <v>31</v>
      </c>
      <c r="E3566" t="s">
        <v>40</v>
      </c>
      <c r="F3566" t="s">
        <v>41</v>
      </c>
      <c r="G3566" t="s">
        <v>58</v>
      </c>
      <c r="H3566" t="s">
        <v>76</v>
      </c>
      <c r="I3566" t="s">
        <v>35</v>
      </c>
      <c r="J3566" t="s">
        <v>27</v>
      </c>
      <c r="K3566">
        <v>9</v>
      </c>
      <c r="L3566">
        <v>106259</v>
      </c>
      <c r="M3566" t="s">
        <v>36</v>
      </c>
      <c r="N3566">
        <v>4</v>
      </c>
      <c r="O3566">
        <v>2</v>
      </c>
      <c r="P3566">
        <v>33</v>
      </c>
      <c r="Q3566">
        <v>0</v>
      </c>
      <c r="R3566" s="1">
        <v>41954</v>
      </c>
      <c r="S3566" t="s">
        <v>37</v>
      </c>
      <c r="T3566" t="str">
        <f t="shared" si="275"/>
        <v>Grade A</v>
      </c>
      <c r="U3566">
        <f t="shared" si="276"/>
        <v>1</v>
      </c>
      <c r="V3566" t="str">
        <f t="shared" si="277"/>
        <v>Mid Level</v>
      </c>
      <c r="W3566" t="str">
        <f t="shared" si="278"/>
        <v>Already Left</v>
      </c>
      <c r="X3566" t="str">
        <f t="shared" si="279"/>
        <v>Overpaid</v>
      </c>
    </row>
    <row r="3567" spans="1:24" x14ac:dyDescent="0.3">
      <c r="A3567" t="s">
        <v>3635</v>
      </c>
      <c r="B3567" t="s">
        <v>20</v>
      </c>
      <c r="C3567">
        <v>23</v>
      </c>
      <c r="D3567" t="s">
        <v>57</v>
      </c>
      <c r="E3567" t="s">
        <v>22</v>
      </c>
      <c r="F3567" t="s">
        <v>78</v>
      </c>
      <c r="G3567" t="s">
        <v>66</v>
      </c>
      <c r="H3567" t="s">
        <v>34</v>
      </c>
      <c r="I3567" t="s">
        <v>96</v>
      </c>
      <c r="J3567" t="s">
        <v>44</v>
      </c>
      <c r="K3567">
        <v>5</v>
      </c>
      <c r="L3567">
        <v>50118</v>
      </c>
      <c r="M3567" t="s">
        <v>45</v>
      </c>
      <c r="N3567">
        <v>3</v>
      </c>
      <c r="O3567">
        <v>3</v>
      </c>
      <c r="P3567">
        <v>80</v>
      </c>
      <c r="Q3567">
        <v>1</v>
      </c>
      <c r="R3567" s="1">
        <v>43223</v>
      </c>
      <c r="S3567" t="s">
        <v>29</v>
      </c>
      <c r="T3567" t="str">
        <f t="shared" si="275"/>
        <v>Grade B</v>
      </c>
      <c r="U3567">
        <f t="shared" si="276"/>
        <v>2</v>
      </c>
      <c r="V3567" t="str">
        <f t="shared" si="277"/>
        <v>Junior</v>
      </c>
      <c r="W3567" t="str">
        <f t="shared" si="278"/>
        <v>Medium Risk</v>
      </c>
      <c r="X3567" t="str">
        <f t="shared" si="279"/>
        <v>Fair</v>
      </c>
    </row>
    <row r="3568" spans="1:24" x14ac:dyDescent="0.3">
      <c r="A3568" t="s">
        <v>3636</v>
      </c>
      <c r="B3568" t="s">
        <v>20</v>
      </c>
      <c r="C3568">
        <v>41</v>
      </c>
      <c r="D3568" t="s">
        <v>21</v>
      </c>
      <c r="E3568" t="s">
        <v>22</v>
      </c>
      <c r="F3568" t="s">
        <v>65</v>
      </c>
      <c r="G3568" t="s">
        <v>49</v>
      </c>
      <c r="H3568" t="s">
        <v>76</v>
      </c>
      <c r="I3568" t="s">
        <v>80</v>
      </c>
      <c r="J3568" t="s">
        <v>60</v>
      </c>
      <c r="K3568">
        <v>13</v>
      </c>
      <c r="L3568">
        <v>71460</v>
      </c>
      <c r="M3568" t="s">
        <v>45</v>
      </c>
      <c r="N3568">
        <v>3</v>
      </c>
      <c r="O3568">
        <v>4</v>
      </c>
      <c r="P3568">
        <v>56</v>
      </c>
      <c r="Q3568">
        <v>1</v>
      </c>
      <c r="R3568" s="1">
        <v>40186</v>
      </c>
      <c r="S3568" t="s">
        <v>29</v>
      </c>
      <c r="T3568" t="str">
        <f t="shared" si="275"/>
        <v>Grade B</v>
      </c>
      <c r="U3568">
        <f t="shared" si="276"/>
        <v>2</v>
      </c>
      <c r="V3568" t="str">
        <f t="shared" si="277"/>
        <v>Senior</v>
      </c>
      <c r="W3568" t="str">
        <f t="shared" si="278"/>
        <v>Medium Risk</v>
      </c>
      <c r="X3568" t="str">
        <f t="shared" si="279"/>
        <v>Fair</v>
      </c>
    </row>
    <row r="3569" spans="1:24" x14ac:dyDescent="0.3">
      <c r="A3569" t="s">
        <v>3637</v>
      </c>
      <c r="B3569" t="s">
        <v>20</v>
      </c>
      <c r="C3569">
        <v>27</v>
      </c>
      <c r="D3569" t="s">
        <v>88</v>
      </c>
      <c r="E3569" t="s">
        <v>22</v>
      </c>
      <c r="F3569" t="s">
        <v>78</v>
      </c>
      <c r="G3569" t="s">
        <v>66</v>
      </c>
      <c r="H3569" t="s">
        <v>83</v>
      </c>
      <c r="I3569" t="s">
        <v>96</v>
      </c>
      <c r="J3569" t="s">
        <v>44</v>
      </c>
      <c r="K3569">
        <v>15</v>
      </c>
      <c r="L3569">
        <v>67544</v>
      </c>
      <c r="M3569" t="s">
        <v>51</v>
      </c>
      <c r="N3569">
        <v>3</v>
      </c>
      <c r="O3569">
        <v>2</v>
      </c>
      <c r="P3569">
        <v>67</v>
      </c>
      <c r="Q3569">
        <v>1</v>
      </c>
      <c r="R3569" s="1">
        <v>39618</v>
      </c>
      <c r="S3569" t="s">
        <v>29</v>
      </c>
      <c r="T3569" t="str">
        <f t="shared" si="275"/>
        <v>Grade B</v>
      </c>
      <c r="U3569">
        <f t="shared" si="276"/>
        <v>4</v>
      </c>
      <c r="V3569" t="str">
        <f t="shared" si="277"/>
        <v>Senior</v>
      </c>
      <c r="W3569" t="str">
        <f t="shared" si="278"/>
        <v>Low Risk</v>
      </c>
      <c r="X3569" t="str">
        <f t="shared" si="279"/>
        <v>Fair</v>
      </c>
    </row>
    <row r="3570" spans="1:24" x14ac:dyDescent="0.3">
      <c r="A3570" t="s">
        <v>3638</v>
      </c>
      <c r="B3570" t="s">
        <v>20</v>
      </c>
      <c r="C3570">
        <v>48</v>
      </c>
      <c r="D3570" t="s">
        <v>21</v>
      </c>
      <c r="E3570" t="s">
        <v>48</v>
      </c>
      <c r="F3570" t="s">
        <v>23</v>
      </c>
      <c r="G3570" t="s">
        <v>63</v>
      </c>
      <c r="H3570" t="s">
        <v>34</v>
      </c>
      <c r="I3570" t="s">
        <v>50</v>
      </c>
      <c r="J3570" t="s">
        <v>44</v>
      </c>
      <c r="K3570">
        <v>5</v>
      </c>
      <c r="L3570">
        <v>52804</v>
      </c>
      <c r="M3570" t="s">
        <v>45</v>
      </c>
      <c r="N3570">
        <v>4</v>
      </c>
      <c r="O3570">
        <v>3</v>
      </c>
      <c r="P3570">
        <v>35</v>
      </c>
      <c r="Q3570">
        <v>1</v>
      </c>
      <c r="R3570" s="1">
        <v>43251</v>
      </c>
      <c r="S3570" t="s">
        <v>37</v>
      </c>
      <c r="T3570" t="str">
        <f t="shared" si="275"/>
        <v>Grade B</v>
      </c>
      <c r="U3570">
        <f t="shared" si="276"/>
        <v>2</v>
      </c>
      <c r="V3570" t="str">
        <f t="shared" si="277"/>
        <v>Junior</v>
      </c>
      <c r="W3570" t="str">
        <f t="shared" si="278"/>
        <v>Already Left</v>
      </c>
      <c r="X3570" t="str">
        <f t="shared" si="279"/>
        <v>Fair</v>
      </c>
    </row>
    <row r="3571" spans="1:24" x14ac:dyDescent="0.3">
      <c r="A3571" t="s">
        <v>3639</v>
      </c>
      <c r="B3571" t="s">
        <v>39</v>
      </c>
      <c r="C3571">
        <v>36</v>
      </c>
      <c r="D3571" t="s">
        <v>21</v>
      </c>
      <c r="E3571" t="s">
        <v>48</v>
      </c>
      <c r="F3571" t="s">
        <v>78</v>
      </c>
      <c r="G3571" t="s">
        <v>49</v>
      </c>
      <c r="H3571" t="s">
        <v>25</v>
      </c>
      <c r="I3571" t="s">
        <v>59</v>
      </c>
      <c r="J3571" t="s">
        <v>60</v>
      </c>
      <c r="K3571">
        <v>12</v>
      </c>
      <c r="L3571">
        <v>80883</v>
      </c>
      <c r="M3571" t="s">
        <v>45</v>
      </c>
      <c r="N3571">
        <v>2</v>
      </c>
      <c r="O3571">
        <v>2</v>
      </c>
      <c r="P3571">
        <v>55</v>
      </c>
      <c r="Q3571">
        <v>2</v>
      </c>
      <c r="R3571" s="1">
        <v>40809</v>
      </c>
      <c r="S3571" t="s">
        <v>29</v>
      </c>
      <c r="T3571" t="str">
        <f t="shared" si="275"/>
        <v>Grade A</v>
      </c>
      <c r="U3571">
        <f t="shared" si="276"/>
        <v>2</v>
      </c>
      <c r="V3571" t="str">
        <f t="shared" si="277"/>
        <v>Senior</v>
      </c>
      <c r="W3571" t="str">
        <f t="shared" si="278"/>
        <v>Medium Risk</v>
      </c>
      <c r="X3571" t="str">
        <f t="shared" si="279"/>
        <v>Fair</v>
      </c>
    </row>
    <row r="3572" spans="1:24" x14ac:dyDescent="0.3">
      <c r="A3572" t="s">
        <v>3640</v>
      </c>
      <c r="B3572" t="s">
        <v>20</v>
      </c>
      <c r="C3572">
        <v>42</v>
      </c>
      <c r="D3572" t="s">
        <v>47</v>
      </c>
      <c r="E3572" t="s">
        <v>48</v>
      </c>
      <c r="F3572" t="s">
        <v>65</v>
      </c>
      <c r="G3572" t="s">
        <v>24</v>
      </c>
      <c r="H3572" t="s">
        <v>34</v>
      </c>
      <c r="I3572" t="s">
        <v>35</v>
      </c>
      <c r="J3572" t="s">
        <v>27</v>
      </c>
      <c r="K3572">
        <v>9</v>
      </c>
      <c r="L3572">
        <v>83261</v>
      </c>
      <c r="M3572" t="s">
        <v>28</v>
      </c>
      <c r="N3572">
        <v>4</v>
      </c>
      <c r="O3572">
        <v>4</v>
      </c>
      <c r="P3572">
        <v>21</v>
      </c>
      <c r="Q3572">
        <v>0</v>
      </c>
      <c r="R3572" s="1">
        <v>41788</v>
      </c>
      <c r="S3572" t="s">
        <v>29</v>
      </c>
      <c r="T3572" t="str">
        <f t="shared" si="275"/>
        <v>Grade A</v>
      </c>
      <c r="U3572">
        <f t="shared" si="276"/>
        <v>3</v>
      </c>
      <c r="V3572" t="str">
        <f t="shared" si="277"/>
        <v>Mid Level</v>
      </c>
      <c r="W3572" t="str">
        <f t="shared" si="278"/>
        <v>Medium Risk</v>
      </c>
      <c r="X3572" t="str">
        <f t="shared" si="279"/>
        <v>Competitive</v>
      </c>
    </row>
    <row r="3573" spans="1:24" x14ac:dyDescent="0.3">
      <c r="A3573" t="s">
        <v>3641</v>
      </c>
      <c r="B3573" t="s">
        <v>39</v>
      </c>
      <c r="C3573">
        <v>32</v>
      </c>
      <c r="D3573" t="s">
        <v>57</v>
      </c>
      <c r="E3573" t="s">
        <v>48</v>
      </c>
      <c r="F3573" t="s">
        <v>23</v>
      </c>
      <c r="G3573" t="s">
        <v>79</v>
      </c>
      <c r="H3573" t="s">
        <v>83</v>
      </c>
      <c r="I3573" t="s">
        <v>54</v>
      </c>
      <c r="J3573" t="s">
        <v>27</v>
      </c>
      <c r="K3573">
        <v>14</v>
      </c>
      <c r="L3573">
        <v>58003</v>
      </c>
      <c r="M3573" t="s">
        <v>28</v>
      </c>
      <c r="N3573">
        <v>4</v>
      </c>
      <c r="O3573">
        <v>1</v>
      </c>
      <c r="P3573">
        <v>69</v>
      </c>
      <c r="Q3573">
        <v>0</v>
      </c>
      <c r="R3573" s="1">
        <v>40172</v>
      </c>
      <c r="S3573" t="s">
        <v>37</v>
      </c>
      <c r="T3573" t="str">
        <f t="shared" si="275"/>
        <v>Grade B</v>
      </c>
      <c r="U3573">
        <f t="shared" si="276"/>
        <v>3</v>
      </c>
      <c r="V3573" t="str">
        <f t="shared" si="277"/>
        <v>Senior</v>
      </c>
      <c r="W3573" t="str">
        <f t="shared" si="278"/>
        <v>Already Left</v>
      </c>
      <c r="X3573" t="str">
        <f t="shared" si="279"/>
        <v>Competitive</v>
      </c>
    </row>
    <row r="3574" spans="1:24" x14ac:dyDescent="0.3">
      <c r="A3574" t="s">
        <v>3642</v>
      </c>
      <c r="B3574" t="s">
        <v>20</v>
      </c>
      <c r="C3574">
        <v>48</v>
      </c>
      <c r="D3574" t="s">
        <v>31</v>
      </c>
      <c r="E3574" t="s">
        <v>22</v>
      </c>
      <c r="F3574" t="s">
        <v>75</v>
      </c>
      <c r="G3574" t="s">
        <v>79</v>
      </c>
      <c r="H3574" t="s">
        <v>25</v>
      </c>
      <c r="I3574" t="s">
        <v>35</v>
      </c>
      <c r="J3574" t="s">
        <v>27</v>
      </c>
      <c r="K3574">
        <v>12</v>
      </c>
      <c r="L3574">
        <v>66828</v>
      </c>
      <c r="M3574" t="s">
        <v>45</v>
      </c>
      <c r="N3574">
        <v>2</v>
      </c>
      <c r="O3574">
        <v>3</v>
      </c>
      <c r="P3574">
        <v>30</v>
      </c>
      <c r="Q3574">
        <v>2</v>
      </c>
      <c r="R3574" s="1">
        <v>40659</v>
      </c>
      <c r="S3574" t="s">
        <v>29</v>
      </c>
      <c r="T3574" t="str">
        <f t="shared" si="275"/>
        <v>Grade B</v>
      </c>
      <c r="U3574">
        <f t="shared" si="276"/>
        <v>2</v>
      </c>
      <c r="V3574" t="str">
        <f t="shared" si="277"/>
        <v>Senior</v>
      </c>
      <c r="W3574" t="str">
        <f t="shared" si="278"/>
        <v>Medium Risk</v>
      </c>
      <c r="X3574" t="str">
        <f t="shared" si="279"/>
        <v>Fair</v>
      </c>
    </row>
    <row r="3575" spans="1:24" x14ac:dyDescent="0.3">
      <c r="A3575" t="s">
        <v>3643</v>
      </c>
      <c r="B3575" t="s">
        <v>39</v>
      </c>
      <c r="C3575">
        <v>51</v>
      </c>
      <c r="D3575" t="s">
        <v>31</v>
      </c>
      <c r="E3575" t="s">
        <v>40</v>
      </c>
      <c r="F3575" t="s">
        <v>41</v>
      </c>
      <c r="G3575" t="s">
        <v>79</v>
      </c>
      <c r="H3575" t="s">
        <v>67</v>
      </c>
      <c r="I3575" t="s">
        <v>50</v>
      </c>
      <c r="J3575" t="s">
        <v>44</v>
      </c>
      <c r="K3575">
        <v>14</v>
      </c>
      <c r="L3575">
        <v>69847</v>
      </c>
      <c r="M3575" t="s">
        <v>28</v>
      </c>
      <c r="N3575">
        <v>2</v>
      </c>
      <c r="O3575">
        <v>4</v>
      </c>
      <c r="P3575">
        <v>19</v>
      </c>
      <c r="Q3575">
        <v>3</v>
      </c>
      <c r="R3575" s="1">
        <v>39994</v>
      </c>
      <c r="S3575" t="s">
        <v>29</v>
      </c>
      <c r="T3575" t="str">
        <f t="shared" si="275"/>
        <v>Grade B</v>
      </c>
      <c r="U3575">
        <f t="shared" si="276"/>
        <v>3</v>
      </c>
      <c r="V3575" t="str">
        <f t="shared" si="277"/>
        <v>Senior</v>
      </c>
      <c r="W3575" t="str">
        <f t="shared" si="278"/>
        <v>Medium Risk</v>
      </c>
      <c r="X3575" t="str">
        <f t="shared" si="279"/>
        <v>Competitive</v>
      </c>
    </row>
    <row r="3576" spans="1:24" x14ac:dyDescent="0.3">
      <c r="A3576" t="s">
        <v>3644</v>
      </c>
      <c r="B3576" t="s">
        <v>39</v>
      </c>
      <c r="C3576">
        <v>29</v>
      </c>
      <c r="D3576" t="s">
        <v>21</v>
      </c>
      <c r="E3576" t="s">
        <v>48</v>
      </c>
      <c r="F3576" t="s">
        <v>75</v>
      </c>
      <c r="G3576" t="s">
        <v>42</v>
      </c>
      <c r="H3576" t="s">
        <v>83</v>
      </c>
      <c r="I3576" t="s">
        <v>43</v>
      </c>
      <c r="J3576" t="s">
        <v>44</v>
      </c>
      <c r="K3576">
        <v>3</v>
      </c>
      <c r="L3576">
        <v>95466</v>
      </c>
      <c r="M3576" t="s">
        <v>36</v>
      </c>
      <c r="N3576">
        <v>1</v>
      </c>
      <c r="O3576">
        <v>1</v>
      </c>
      <c r="P3576">
        <v>66</v>
      </c>
      <c r="Q3576">
        <v>3</v>
      </c>
      <c r="R3576" s="1">
        <v>44089</v>
      </c>
      <c r="S3576" t="s">
        <v>37</v>
      </c>
      <c r="T3576" t="str">
        <f t="shared" si="275"/>
        <v>Grade A</v>
      </c>
      <c r="U3576">
        <f t="shared" si="276"/>
        <v>1</v>
      </c>
      <c r="V3576" t="str">
        <f t="shared" si="277"/>
        <v>Junior</v>
      </c>
      <c r="W3576" t="str">
        <f t="shared" si="278"/>
        <v>Already Left</v>
      </c>
      <c r="X3576" t="str">
        <f t="shared" si="279"/>
        <v>Overpaid</v>
      </c>
    </row>
    <row r="3577" spans="1:24" x14ac:dyDescent="0.3">
      <c r="A3577" t="s">
        <v>3645</v>
      </c>
      <c r="B3577" t="s">
        <v>20</v>
      </c>
      <c r="C3577">
        <v>29</v>
      </c>
      <c r="D3577" t="s">
        <v>57</v>
      </c>
      <c r="E3577" t="s">
        <v>40</v>
      </c>
      <c r="F3577" t="s">
        <v>62</v>
      </c>
      <c r="G3577" t="s">
        <v>49</v>
      </c>
      <c r="H3577" t="s">
        <v>76</v>
      </c>
      <c r="I3577" t="s">
        <v>80</v>
      </c>
      <c r="J3577" t="s">
        <v>60</v>
      </c>
      <c r="K3577">
        <v>9</v>
      </c>
      <c r="L3577">
        <v>67699</v>
      </c>
      <c r="M3577" t="s">
        <v>51</v>
      </c>
      <c r="N3577">
        <v>3</v>
      </c>
      <c r="O3577">
        <v>1</v>
      </c>
      <c r="P3577">
        <v>68</v>
      </c>
      <c r="Q3577">
        <v>1</v>
      </c>
      <c r="R3577" s="1">
        <v>41815</v>
      </c>
      <c r="S3577" t="s">
        <v>29</v>
      </c>
      <c r="T3577" t="str">
        <f t="shared" si="275"/>
        <v>Grade B</v>
      </c>
      <c r="U3577">
        <f t="shared" si="276"/>
        <v>4</v>
      </c>
      <c r="V3577" t="str">
        <f t="shared" si="277"/>
        <v>Mid Level</v>
      </c>
      <c r="W3577" t="str">
        <f t="shared" si="278"/>
        <v>Low Risk</v>
      </c>
      <c r="X3577" t="str">
        <f t="shared" si="279"/>
        <v>Fair</v>
      </c>
    </row>
    <row r="3578" spans="1:24" x14ac:dyDescent="0.3">
      <c r="A3578" t="s">
        <v>3646</v>
      </c>
      <c r="B3578" t="s">
        <v>20</v>
      </c>
      <c r="C3578">
        <v>46</v>
      </c>
      <c r="D3578" t="s">
        <v>47</v>
      </c>
      <c r="E3578" t="s">
        <v>22</v>
      </c>
      <c r="F3578" t="s">
        <v>53</v>
      </c>
      <c r="G3578" t="s">
        <v>66</v>
      </c>
      <c r="H3578" t="s">
        <v>67</v>
      </c>
      <c r="I3578" t="s">
        <v>26</v>
      </c>
      <c r="J3578" t="s">
        <v>27</v>
      </c>
      <c r="K3578">
        <v>2</v>
      </c>
      <c r="L3578">
        <v>36414</v>
      </c>
      <c r="M3578" t="s">
        <v>28</v>
      </c>
      <c r="N3578">
        <v>4</v>
      </c>
      <c r="O3578">
        <v>3</v>
      </c>
      <c r="P3578">
        <v>19</v>
      </c>
      <c r="Q3578">
        <v>0</v>
      </c>
      <c r="R3578" s="1">
        <v>44256</v>
      </c>
      <c r="S3578" t="s">
        <v>29</v>
      </c>
      <c r="T3578" t="str">
        <f t="shared" si="275"/>
        <v>Grade C</v>
      </c>
      <c r="U3578">
        <f t="shared" si="276"/>
        <v>3</v>
      </c>
      <c r="V3578" t="str">
        <f t="shared" si="277"/>
        <v>New Joiner</v>
      </c>
      <c r="W3578" t="str">
        <f t="shared" si="278"/>
        <v>Medium Risk</v>
      </c>
      <c r="X3578" t="str">
        <f t="shared" si="279"/>
        <v>Fair</v>
      </c>
    </row>
    <row r="3579" spans="1:24" x14ac:dyDescent="0.3">
      <c r="A3579" t="s">
        <v>3647</v>
      </c>
      <c r="B3579" t="s">
        <v>20</v>
      </c>
      <c r="C3579">
        <v>46</v>
      </c>
      <c r="D3579" t="s">
        <v>88</v>
      </c>
      <c r="E3579" t="s">
        <v>40</v>
      </c>
      <c r="F3579" t="s">
        <v>78</v>
      </c>
      <c r="G3579" t="s">
        <v>79</v>
      </c>
      <c r="H3579" t="s">
        <v>25</v>
      </c>
      <c r="I3579" t="s">
        <v>59</v>
      </c>
      <c r="J3579" t="s">
        <v>60</v>
      </c>
      <c r="K3579">
        <v>5</v>
      </c>
      <c r="L3579">
        <v>52444</v>
      </c>
      <c r="M3579" t="s">
        <v>51</v>
      </c>
      <c r="N3579">
        <v>2</v>
      </c>
      <c r="O3579">
        <v>2</v>
      </c>
      <c r="P3579">
        <v>68</v>
      </c>
      <c r="Q3579">
        <v>1</v>
      </c>
      <c r="R3579" s="1">
        <v>43180</v>
      </c>
      <c r="S3579" t="s">
        <v>29</v>
      </c>
      <c r="T3579" t="str">
        <f t="shared" si="275"/>
        <v>Grade B</v>
      </c>
      <c r="U3579">
        <f t="shared" si="276"/>
        <v>4</v>
      </c>
      <c r="V3579" t="str">
        <f t="shared" si="277"/>
        <v>Junior</v>
      </c>
      <c r="W3579" t="str">
        <f t="shared" si="278"/>
        <v>Low Risk</v>
      </c>
      <c r="X3579" t="str">
        <f t="shared" si="279"/>
        <v>Fair</v>
      </c>
    </row>
    <row r="3580" spans="1:24" x14ac:dyDescent="0.3">
      <c r="A3580" t="s">
        <v>3648</v>
      </c>
      <c r="B3580" t="s">
        <v>20</v>
      </c>
      <c r="C3580">
        <v>35</v>
      </c>
      <c r="D3580" t="s">
        <v>31</v>
      </c>
      <c r="E3580" t="s">
        <v>48</v>
      </c>
      <c r="F3580" t="s">
        <v>78</v>
      </c>
      <c r="G3580" t="s">
        <v>24</v>
      </c>
      <c r="H3580" t="s">
        <v>34</v>
      </c>
      <c r="I3580" t="s">
        <v>68</v>
      </c>
      <c r="J3580" t="s">
        <v>60</v>
      </c>
      <c r="K3580">
        <v>1</v>
      </c>
      <c r="L3580">
        <v>84227</v>
      </c>
      <c r="M3580" t="s">
        <v>36</v>
      </c>
      <c r="N3580">
        <v>3</v>
      </c>
      <c r="O3580">
        <v>1</v>
      </c>
      <c r="P3580">
        <v>18</v>
      </c>
      <c r="Q3580">
        <v>1</v>
      </c>
      <c r="R3580" s="1">
        <v>44608</v>
      </c>
      <c r="S3580" t="s">
        <v>29</v>
      </c>
      <c r="T3580" t="str">
        <f t="shared" si="275"/>
        <v>Grade A</v>
      </c>
      <c r="U3580">
        <f t="shared" si="276"/>
        <v>1</v>
      </c>
      <c r="V3580" t="str">
        <f t="shared" si="277"/>
        <v>New Joiner</v>
      </c>
      <c r="W3580" t="str">
        <f t="shared" si="278"/>
        <v>High Risk</v>
      </c>
      <c r="X3580" t="str">
        <f t="shared" si="279"/>
        <v>Overpaid</v>
      </c>
    </row>
    <row r="3581" spans="1:24" x14ac:dyDescent="0.3">
      <c r="A3581" t="s">
        <v>3649</v>
      </c>
      <c r="B3581" t="s">
        <v>20</v>
      </c>
      <c r="C3581">
        <v>37</v>
      </c>
      <c r="D3581" t="s">
        <v>21</v>
      </c>
      <c r="E3581" t="s">
        <v>22</v>
      </c>
      <c r="F3581" t="s">
        <v>41</v>
      </c>
      <c r="G3581" t="s">
        <v>66</v>
      </c>
      <c r="H3581" t="s">
        <v>25</v>
      </c>
      <c r="I3581" t="s">
        <v>26</v>
      </c>
      <c r="J3581" t="s">
        <v>27</v>
      </c>
      <c r="K3581">
        <v>3</v>
      </c>
      <c r="L3581">
        <v>37269</v>
      </c>
      <c r="M3581" t="s">
        <v>45</v>
      </c>
      <c r="N3581">
        <v>4</v>
      </c>
      <c r="O3581">
        <v>3</v>
      </c>
      <c r="P3581">
        <v>44</v>
      </c>
      <c r="Q3581">
        <v>3</v>
      </c>
      <c r="R3581" s="1">
        <v>43902</v>
      </c>
      <c r="S3581" t="s">
        <v>29</v>
      </c>
      <c r="T3581" t="str">
        <f t="shared" si="275"/>
        <v>Grade C</v>
      </c>
      <c r="U3581">
        <f t="shared" si="276"/>
        <v>2</v>
      </c>
      <c r="V3581" t="str">
        <f t="shared" si="277"/>
        <v>Junior</v>
      </c>
      <c r="W3581" t="str">
        <f t="shared" si="278"/>
        <v>Medium Risk</v>
      </c>
      <c r="X3581" t="str">
        <f t="shared" si="279"/>
        <v>Fair</v>
      </c>
    </row>
    <row r="3582" spans="1:24" x14ac:dyDescent="0.3">
      <c r="A3582" t="s">
        <v>3650</v>
      </c>
      <c r="B3582" t="s">
        <v>20</v>
      </c>
      <c r="C3582">
        <v>42</v>
      </c>
      <c r="D3582" t="s">
        <v>47</v>
      </c>
      <c r="E3582" t="s">
        <v>22</v>
      </c>
      <c r="F3582" t="s">
        <v>65</v>
      </c>
      <c r="G3582" t="s">
        <v>66</v>
      </c>
      <c r="H3582" t="s">
        <v>34</v>
      </c>
      <c r="I3582" t="s">
        <v>50</v>
      </c>
      <c r="J3582" t="s">
        <v>44</v>
      </c>
      <c r="K3582">
        <v>5</v>
      </c>
      <c r="L3582">
        <v>54248</v>
      </c>
      <c r="M3582" t="s">
        <v>45</v>
      </c>
      <c r="N3582">
        <v>1</v>
      </c>
      <c r="O3582">
        <v>2</v>
      </c>
      <c r="P3582">
        <v>14</v>
      </c>
      <c r="Q3582">
        <v>1</v>
      </c>
      <c r="R3582" s="1">
        <v>43416</v>
      </c>
      <c r="S3582" t="s">
        <v>29</v>
      </c>
      <c r="T3582" t="str">
        <f t="shared" si="275"/>
        <v>Grade B</v>
      </c>
      <c r="U3582">
        <f t="shared" si="276"/>
        <v>2</v>
      </c>
      <c r="V3582" t="str">
        <f t="shared" si="277"/>
        <v>Junior</v>
      </c>
      <c r="W3582" t="str">
        <f t="shared" si="278"/>
        <v>Medium Risk</v>
      </c>
      <c r="X3582" t="str">
        <f t="shared" si="279"/>
        <v>Fair</v>
      </c>
    </row>
    <row r="3583" spans="1:24" x14ac:dyDescent="0.3">
      <c r="A3583" t="s">
        <v>3651</v>
      </c>
      <c r="B3583" t="s">
        <v>39</v>
      </c>
      <c r="C3583">
        <v>31</v>
      </c>
      <c r="D3583" t="s">
        <v>21</v>
      </c>
      <c r="E3583" t="s">
        <v>22</v>
      </c>
      <c r="F3583" t="s">
        <v>78</v>
      </c>
      <c r="G3583" t="s">
        <v>49</v>
      </c>
      <c r="H3583" t="s">
        <v>83</v>
      </c>
      <c r="I3583" t="s">
        <v>35</v>
      </c>
      <c r="J3583" t="s">
        <v>27</v>
      </c>
      <c r="K3583">
        <v>2</v>
      </c>
      <c r="L3583">
        <v>58074</v>
      </c>
      <c r="M3583" t="s">
        <v>36</v>
      </c>
      <c r="N3583">
        <v>1</v>
      </c>
      <c r="O3583">
        <v>3</v>
      </c>
      <c r="P3583">
        <v>62</v>
      </c>
      <c r="Q3583">
        <v>3</v>
      </c>
      <c r="R3583" s="1">
        <v>44495</v>
      </c>
      <c r="S3583" t="s">
        <v>37</v>
      </c>
      <c r="T3583" t="str">
        <f t="shared" si="275"/>
        <v>Grade B</v>
      </c>
      <c r="U3583">
        <f t="shared" si="276"/>
        <v>1</v>
      </c>
      <c r="V3583" t="str">
        <f t="shared" si="277"/>
        <v>New Joiner</v>
      </c>
      <c r="W3583" t="str">
        <f t="shared" si="278"/>
        <v>Already Left</v>
      </c>
      <c r="X3583" t="str">
        <f t="shared" si="279"/>
        <v>Fair</v>
      </c>
    </row>
    <row r="3584" spans="1:24" x14ac:dyDescent="0.3">
      <c r="A3584" t="s">
        <v>3652</v>
      </c>
      <c r="B3584" t="s">
        <v>20</v>
      </c>
      <c r="C3584">
        <v>42</v>
      </c>
      <c r="D3584" t="s">
        <v>31</v>
      </c>
      <c r="E3584" t="s">
        <v>22</v>
      </c>
      <c r="F3584" t="s">
        <v>78</v>
      </c>
      <c r="G3584" t="s">
        <v>58</v>
      </c>
      <c r="H3584" t="s">
        <v>25</v>
      </c>
      <c r="I3584" t="s">
        <v>54</v>
      </c>
      <c r="J3584" t="s">
        <v>27</v>
      </c>
      <c r="K3584">
        <v>2</v>
      </c>
      <c r="L3584">
        <v>80981</v>
      </c>
      <c r="M3584" t="s">
        <v>28</v>
      </c>
      <c r="N3584">
        <v>3</v>
      </c>
      <c r="O3584">
        <v>3</v>
      </c>
      <c r="P3584">
        <v>65</v>
      </c>
      <c r="Q3584">
        <v>3</v>
      </c>
      <c r="R3584" s="1">
        <v>44417</v>
      </c>
      <c r="S3584" t="s">
        <v>29</v>
      </c>
      <c r="T3584" t="str">
        <f t="shared" si="275"/>
        <v>Grade A</v>
      </c>
      <c r="U3584">
        <f t="shared" si="276"/>
        <v>3</v>
      </c>
      <c r="V3584" t="str">
        <f t="shared" si="277"/>
        <v>New Joiner</v>
      </c>
      <c r="W3584" t="str">
        <f t="shared" si="278"/>
        <v>Medium Risk</v>
      </c>
      <c r="X3584" t="str">
        <f t="shared" si="279"/>
        <v>Competitive</v>
      </c>
    </row>
    <row r="3585" spans="1:24" x14ac:dyDescent="0.3">
      <c r="A3585" t="s">
        <v>3653</v>
      </c>
      <c r="B3585" t="s">
        <v>20</v>
      </c>
      <c r="C3585">
        <v>27</v>
      </c>
      <c r="D3585" t="s">
        <v>21</v>
      </c>
      <c r="E3585" t="s">
        <v>48</v>
      </c>
      <c r="F3585" t="s">
        <v>53</v>
      </c>
      <c r="G3585" t="s">
        <v>66</v>
      </c>
      <c r="H3585" t="s">
        <v>67</v>
      </c>
      <c r="I3585" t="s">
        <v>68</v>
      </c>
      <c r="J3585" t="s">
        <v>60</v>
      </c>
      <c r="K3585">
        <v>12</v>
      </c>
      <c r="L3585">
        <v>57725</v>
      </c>
      <c r="M3585" t="s">
        <v>51</v>
      </c>
      <c r="N3585">
        <v>4</v>
      </c>
      <c r="O3585">
        <v>4</v>
      </c>
      <c r="P3585">
        <v>37</v>
      </c>
      <c r="Q3585">
        <v>1</v>
      </c>
      <c r="R3585" s="1">
        <v>40864</v>
      </c>
      <c r="S3585" t="s">
        <v>29</v>
      </c>
      <c r="T3585" t="str">
        <f t="shared" si="275"/>
        <v>Grade B</v>
      </c>
      <c r="U3585">
        <f t="shared" si="276"/>
        <v>4</v>
      </c>
      <c r="V3585" t="str">
        <f t="shared" si="277"/>
        <v>Senior</v>
      </c>
      <c r="W3585" t="str">
        <f t="shared" si="278"/>
        <v>Low Risk</v>
      </c>
      <c r="X3585" t="str">
        <f t="shared" si="279"/>
        <v>Fair</v>
      </c>
    </row>
    <row r="3586" spans="1:24" x14ac:dyDescent="0.3">
      <c r="A3586" t="s">
        <v>3654</v>
      </c>
      <c r="B3586" t="s">
        <v>20</v>
      </c>
      <c r="C3586">
        <v>31</v>
      </c>
      <c r="D3586" t="s">
        <v>47</v>
      </c>
      <c r="E3586" t="s">
        <v>48</v>
      </c>
      <c r="F3586" t="s">
        <v>32</v>
      </c>
      <c r="G3586" t="s">
        <v>58</v>
      </c>
      <c r="H3586" t="s">
        <v>76</v>
      </c>
      <c r="I3586" t="s">
        <v>54</v>
      </c>
      <c r="J3586" t="s">
        <v>27</v>
      </c>
      <c r="K3586">
        <v>8</v>
      </c>
      <c r="L3586">
        <v>103448</v>
      </c>
      <c r="M3586" t="s">
        <v>51</v>
      </c>
      <c r="N3586">
        <v>2</v>
      </c>
      <c r="O3586">
        <v>3</v>
      </c>
      <c r="P3586">
        <v>20</v>
      </c>
      <c r="Q3586">
        <v>3</v>
      </c>
      <c r="R3586" s="1">
        <v>42025</v>
      </c>
      <c r="S3586" t="s">
        <v>29</v>
      </c>
      <c r="T3586" t="str">
        <f t="shared" ref="T3586:T3649" si="280">IF(L3586&gt;=80000,"Grade A",IF(L3586&gt;=50000,"Grade B",IF(L3586&gt;=35000,"Grade C","Grade D")))</f>
        <v>Grade A</v>
      </c>
      <c r="U3586">
        <f t="shared" ref="U3586:U3649" si="281">IF(M3586="Excellent",4,IF(M3586="Good",3,IF(M3586="Average",2,1)))</f>
        <v>4</v>
      </c>
      <c r="V3586" t="str">
        <f t="shared" ref="V3586:V3649" si="282">IF(K3586&lt;=2,"New Joiner",IF(K3586&lt;=5,"Junior",IF(K3586&lt;=10,"Mid Level","Senior")))</f>
        <v>Mid Level</v>
      </c>
      <c r="W3586" t="str">
        <f t="shared" ref="W3586:W3649" si="283">IF(S3586="Yes","Already Left",IF(AND(K3586&lt;=2,M3586="Poor"),"High Risk",IF(AND(K3586&lt;=5,M3586="Average"),"Medium Risk",IF(M3586="Excellent","Low Risk","Medium Risk"))))</f>
        <v>Low Risk</v>
      </c>
      <c r="X3586" t="str">
        <f t="shared" ref="X3586:X3649" si="284">IF(AND(L3586&gt;=80000,M3586="Excellent"),"Competitive",IF(AND(L3586&gt;=50000,M3586="Good"),"Competitive",IF(AND(L3586&lt;35000,M3586="Excellent"),"Underpaid",IF(AND(L3586&gt;=80000,M3586="Poor"),"Overpaid","Fair"))))</f>
        <v>Competitive</v>
      </c>
    </row>
    <row r="3587" spans="1:24" x14ac:dyDescent="0.3">
      <c r="A3587" t="s">
        <v>3655</v>
      </c>
      <c r="B3587" t="s">
        <v>39</v>
      </c>
      <c r="C3587">
        <v>22</v>
      </c>
      <c r="D3587" t="s">
        <v>57</v>
      </c>
      <c r="E3587" t="s">
        <v>48</v>
      </c>
      <c r="F3587" t="s">
        <v>53</v>
      </c>
      <c r="G3587" t="s">
        <v>33</v>
      </c>
      <c r="H3587" t="s">
        <v>83</v>
      </c>
      <c r="I3587" t="s">
        <v>72</v>
      </c>
      <c r="J3587" t="s">
        <v>73</v>
      </c>
      <c r="K3587">
        <v>8</v>
      </c>
      <c r="L3587">
        <v>66760</v>
      </c>
      <c r="M3587" t="s">
        <v>45</v>
      </c>
      <c r="N3587">
        <v>2</v>
      </c>
      <c r="O3587">
        <v>4</v>
      </c>
      <c r="P3587">
        <v>41</v>
      </c>
      <c r="Q3587">
        <v>1</v>
      </c>
      <c r="R3587" s="1">
        <v>42216</v>
      </c>
      <c r="S3587" t="s">
        <v>37</v>
      </c>
      <c r="T3587" t="str">
        <f t="shared" si="280"/>
        <v>Grade B</v>
      </c>
      <c r="U3587">
        <f t="shared" si="281"/>
        <v>2</v>
      </c>
      <c r="V3587" t="str">
        <f t="shared" si="282"/>
        <v>Mid Level</v>
      </c>
      <c r="W3587" t="str">
        <f t="shared" si="283"/>
        <v>Already Left</v>
      </c>
      <c r="X3587" t="str">
        <f t="shared" si="284"/>
        <v>Fair</v>
      </c>
    </row>
    <row r="3588" spans="1:24" x14ac:dyDescent="0.3">
      <c r="A3588" t="s">
        <v>3656</v>
      </c>
      <c r="B3588" t="s">
        <v>39</v>
      </c>
      <c r="C3588">
        <v>47</v>
      </c>
      <c r="D3588" t="s">
        <v>47</v>
      </c>
      <c r="E3588" t="s">
        <v>22</v>
      </c>
      <c r="F3588" t="s">
        <v>65</v>
      </c>
      <c r="G3588" t="s">
        <v>42</v>
      </c>
      <c r="H3588" t="s">
        <v>67</v>
      </c>
      <c r="I3588" t="s">
        <v>72</v>
      </c>
      <c r="J3588" t="s">
        <v>73</v>
      </c>
      <c r="K3588">
        <v>8</v>
      </c>
      <c r="L3588">
        <v>108077</v>
      </c>
      <c r="M3588" t="s">
        <v>28</v>
      </c>
      <c r="N3588">
        <v>3</v>
      </c>
      <c r="O3588">
        <v>1</v>
      </c>
      <c r="P3588">
        <v>64</v>
      </c>
      <c r="Q3588">
        <v>1</v>
      </c>
      <c r="R3588" s="1">
        <v>42253</v>
      </c>
      <c r="S3588" t="s">
        <v>29</v>
      </c>
      <c r="T3588" t="str">
        <f t="shared" si="280"/>
        <v>Grade A</v>
      </c>
      <c r="U3588">
        <f t="shared" si="281"/>
        <v>3</v>
      </c>
      <c r="V3588" t="str">
        <f t="shared" si="282"/>
        <v>Mid Level</v>
      </c>
      <c r="W3588" t="str">
        <f t="shared" si="283"/>
        <v>Medium Risk</v>
      </c>
      <c r="X3588" t="str">
        <f t="shared" si="284"/>
        <v>Competitive</v>
      </c>
    </row>
    <row r="3589" spans="1:24" x14ac:dyDescent="0.3">
      <c r="A3589" t="s">
        <v>3657</v>
      </c>
      <c r="B3589" t="s">
        <v>20</v>
      </c>
      <c r="C3589">
        <v>48</v>
      </c>
      <c r="D3589" t="s">
        <v>31</v>
      </c>
      <c r="E3589" t="s">
        <v>48</v>
      </c>
      <c r="F3589" t="s">
        <v>32</v>
      </c>
      <c r="G3589" t="s">
        <v>24</v>
      </c>
      <c r="H3589" t="s">
        <v>76</v>
      </c>
      <c r="I3589" t="s">
        <v>80</v>
      </c>
      <c r="J3589" t="s">
        <v>60</v>
      </c>
      <c r="K3589">
        <v>15</v>
      </c>
      <c r="L3589">
        <v>102598</v>
      </c>
      <c r="M3589" t="s">
        <v>28</v>
      </c>
      <c r="N3589">
        <v>4</v>
      </c>
      <c r="O3589">
        <v>3</v>
      </c>
      <c r="P3589">
        <v>13</v>
      </c>
      <c r="Q3589">
        <v>1</v>
      </c>
      <c r="R3589" s="1">
        <v>39781</v>
      </c>
      <c r="S3589" t="s">
        <v>37</v>
      </c>
      <c r="T3589" t="str">
        <f t="shared" si="280"/>
        <v>Grade A</v>
      </c>
      <c r="U3589">
        <f t="shared" si="281"/>
        <v>3</v>
      </c>
      <c r="V3589" t="str">
        <f t="shared" si="282"/>
        <v>Senior</v>
      </c>
      <c r="W3589" t="str">
        <f t="shared" si="283"/>
        <v>Already Left</v>
      </c>
      <c r="X3589" t="str">
        <f t="shared" si="284"/>
        <v>Competitive</v>
      </c>
    </row>
    <row r="3590" spans="1:24" x14ac:dyDescent="0.3">
      <c r="A3590" t="s">
        <v>3658</v>
      </c>
      <c r="B3590" t="s">
        <v>39</v>
      </c>
      <c r="C3590">
        <v>25</v>
      </c>
      <c r="D3590" t="s">
        <v>47</v>
      </c>
      <c r="E3590" t="s">
        <v>40</v>
      </c>
      <c r="F3590" t="s">
        <v>23</v>
      </c>
      <c r="G3590" t="s">
        <v>42</v>
      </c>
      <c r="H3590" t="s">
        <v>34</v>
      </c>
      <c r="I3590" t="s">
        <v>35</v>
      </c>
      <c r="J3590" t="s">
        <v>27</v>
      </c>
      <c r="K3590">
        <v>12</v>
      </c>
      <c r="L3590">
        <v>111788</v>
      </c>
      <c r="M3590" t="s">
        <v>45</v>
      </c>
      <c r="N3590">
        <v>4</v>
      </c>
      <c r="O3590">
        <v>1</v>
      </c>
      <c r="P3590">
        <v>15</v>
      </c>
      <c r="Q3590">
        <v>0</v>
      </c>
      <c r="R3590" s="1">
        <v>40751</v>
      </c>
      <c r="S3590" t="s">
        <v>29</v>
      </c>
      <c r="T3590" t="str">
        <f t="shared" si="280"/>
        <v>Grade A</v>
      </c>
      <c r="U3590">
        <f t="shared" si="281"/>
        <v>2</v>
      </c>
      <c r="V3590" t="str">
        <f t="shared" si="282"/>
        <v>Senior</v>
      </c>
      <c r="W3590" t="str">
        <f t="shared" si="283"/>
        <v>Medium Risk</v>
      </c>
      <c r="X3590" t="str">
        <f t="shared" si="284"/>
        <v>Fair</v>
      </c>
    </row>
    <row r="3591" spans="1:24" x14ac:dyDescent="0.3">
      <c r="A3591" t="s">
        <v>3659</v>
      </c>
      <c r="B3591" t="s">
        <v>39</v>
      </c>
      <c r="C3591">
        <v>37</v>
      </c>
      <c r="D3591" t="s">
        <v>31</v>
      </c>
      <c r="E3591" t="s">
        <v>22</v>
      </c>
      <c r="F3591" t="s">
        <v>62</v>
      </c>
      <c r="G3591" t="s">
        <v>58</v>
      </c>
      <c r="H3591" t="s">
        <v>25</v>
      </c>
      <c r="I3591" t="s">
        <v>50</v>
      </c>
      <c r="J3591" t="s">
        <v>44</v>
      </c>
      <c r="K3591">
        <v>4</v>
      </c>
      <c r="L3591">
        <v>94913</v>
      </c>
      <c r="M3591" t="s">
        <v>28</v>
      </c>
      <c r="N3591">
        <v>4</v>
      </c>
      <c r="O3591">
        <v>1</v>
      </c>
      <c r="P3591">
        <v>17</v>
      </c>
      <c r="Q3591">
        <v>3</v>
      </c>
      <c r="R3591" s="1">
        <v>43534</v>
      </c>
      <c r="S3591" t="s">
        <v>37</v>
      </c>
      <c r="T3591" t="str">
        <f t="shared" si="280"/>
        <v>Grade A</v>
      </c>
      <c r="U3591">
        <f t="shared" si="281"/>
        <v>3</v>
      </c>
      <c r="V3591" t="str">
        <f t="shared" si="282"/>
        <v>Junior</v>
      </c>
      <c r="W3591" t="str">
        <f t="shared" si="283"/>
        <v>Already Left</v>
      </c>
      <c r="X3591" t="str">
        <f t="shared" si="284"/>
        <v>Competitive</v>
      </c>
    </row>
    <row r="3592" spans="1:24" x14ac:dyDescent="0.3">
      <c r="A3592" t="s">
        <v>3660</v>
      </c>
      <c r="B3592" t="s">
        <v>20</v>
      </c>
      <c r="C3592">
        <v>33</v>
      </c>
      <c r="D3592" t="s">
        <v>57</v>
      </c>
      <c r="E3592" t="s">
        <v>48</v>
      </c>
      <c r="F3592" t="s">
        <v>62</v>
      </c>
      <c r="G3592" t="s">
        <v>66</v>
      </c>
      <c r="H3592" t="s">
        <v>34</v>
      </c>
      <c r="I3592" t="s">
        <v>43</v>
      </c>
      <c r="J3592" t="s">
        <v>44</v>
      </c>
      <c r="K3592">
        <v>6</v>
      </c>
      <c r="L3592">
        <v>54085</v>
      </c>
      <c r="M3592" t="s">
        <v>36</v>
      </c>
      <c r="N3592">
        <v>4</v>
      </c>
      <c r="O3592">
        <v>3</v>
      </c>
      <c r="P3592">
        <v>69</v>
      </c>
      <c r="Q3592">
        <v>2</v>
      </c>
      <c r="R3592" s="1">
        <v>43019</v>
      </c>
      <c r="S3592" t="s">
        <v>37</v>
      </c>
      <c r="T3592" t="str">
        <f t="shared" si="280"/>
        <v>Grade B</v>
      </c>
      <c r="U3592">
        <f t="shared" si="281"/>
        <v>1</v>
      </c>
      <c r="V3592" t="str">
        <f t="shared" si="282"/>
        <v>Mid Level</v>
      </c>
      <c r="W3592" t="str">
        <f t="shared" si="283"/>
        <v>Already Left</v>
      </c>
      <c r="X3592" t="str">
        <f t="shared" si="284"/>
        <v>Fair</v>
      </c>
    </row>
    <row r="3593" spans="1:24" x14ac:dyDescent="0.3">
      <c r="A3593" t="s">
        <v>3661</v>
      </c>
      <c r="B3593" t="s">
        <v>39</v>
      </c>
      <c r="C3593">
        <v>27</v>
      </c>
      <c r="D3593" t="s">
        <v>88</v>
      </c>
      <c r="E3593" t="s">
        <v>22</v>
      </c>
      <c r="F3593" t="s">
        <v>75</v>
      </c>
      <c r="G3593" t="s">
        <v>24</v>
      </c>
      <c r="H3593" t="s">
        <v>25</v>
      </c>
      <c r="I3593" t="s">
        <v>72</v>
      </c>
      <c r="J3593" t="s">
        <v>73</v>
      </c>
      <c r="K3593">
        <v>3</v>
      </c>
      <c r="L3593">
        <v>87195</v>
      </c>
      <c r="M3593" t="s">
        <v>45</v>
      </c>
      <c r="N3593">
        <v>2</v>
      </c>
      <c r="O3593">
        <v>3</v>
      </c>
      <c r="P3593">
        <v>26</v>
      </c>
      <c r="Q3593">
        <v>3</v>
      </c>
      <c r="R3593" s="1">
        <v>44023</v>
      </c>
      <c r="S3593" t="s">
        <v>29</v>
      </c>
      <c r="T3593" t="str">
        <f t="shared" si="280"/>
        <v>Grade A</v>
      </c>
      <c r="U3593">
        <f t="shared" si="281"/>
        <v>2</v>
      </c>
      <c r="V3593" t="str">
        <f t="shared" si="282"/>
        <v>Junior</v>
      </c>
      <c r="W3593" t="str">
        <f t="shared" si="283"/>
        <v>Medium Risk</v>
      </c>
      <c r="X3593" t="str">
        <f t="shared" si="284"/>
        <v>Fair</v>
      </c>
    </row>
    <row r="3594" spans="1:24" x14ac:dyDescent="0.3">
      <c r="A3594" t="s">
        <v>3662</v>
      </c>
      <c r="B3594" t="s">
        <v>20</v>
      </c>
      <c r="C3594">
        <v>25</v>
      </c>
      <c r="D3594" t="s">
        <v>88</v>
      </c>
      <c r="E3594" t="s">
        <v>48</v>
      </c>
      <c r="F3594" t="s">
        <v>62</v>
      </c>
      <c r="G3594" t="s">
        <v>24</v>
      </c>
      <c r="H3594" t="s">
        <v>34</v>
      </c>
      <c r="I3594" t="s">
        <v>96</v>
      </c>
      <c r="J3594" t="s">
        <v>44</v>
      </c>
      <c r="K3594">
        <v>3</v>
      </c>
      <c r="L3594">
        <v>76671</v>
      </c>
      <c r="M3594" t="s">
        <v>45</v>
      </c>
      <c r="N3594">
        <v>2</v>
      </c>
      <c r="O3594">
        <v>2</v>
      </c>
      <c r="P3594">
        <v>75</v>
      </c>
      <c r="Q3594">
        <v>0</v>
      </c>
      <c r="R3594" s="1">
        <v>43980</v>
      </c>
      <c r="S3594" t="s">
        <v>37</v>
      </c>
      <c r="T3594" t="str">
        <f t="shared" si="280"/>
        <v>Grade B</v>
      </c>
      <c r="U3594">
        <f t="shared" si="281"/>
        <v>2</v>
      </c>
      <c r="V3594" t="str">
        <f t="shared" si="282"/>
        <v>Junior</v>
      </c>
      <c r="W3594" t="str">
        <f t="shared" si="283"/>
        <v>Already Left</v>
      </c>
      <c r="X3594" t="str">
        <f t="shared" si="284"/>
        <v>Fair</v>
      </c>
    </row>
    <row r="3595" spans="1:24" x14ac:dyDescent="0.3">
      <c r="A3595" t="s">
        <v>3663</v>
      </c>
      <c r="B3595" t="s">
        <v>20</v>
      </c>
      <c r="C3595">
        <v>50</v>
      </c>
      <c r="D3595" t="s">
        <v>88</v>
      </c>
      <c r="E3595" t="s">
        <v>22</v>
      </c>
      <c r="F3595" t="s">
        <v>78</v>
      </c>
      <c r="G3595" t="s">
        <v>58</v>
      </c>
      <c r="H3595" t="s">
        <v>83</v>
      </c>
      <c r="I3595" t="s">
        <v>80</v>
      </c>
      <c r="J3595" t="s">
        <v>60</v>
      </c>
      <c r="K3595">
        <v>3</v>
      </c>
      <c r="L3595">
        <v>88287</v>
      </c>
      <c r="M3595" t="s">
        <v>45</v>
      </c>
      <c r="N3595">
        <v>1</v>
      </c>
      <c r="O3595">
        <v>2</v>
      </c>
      <c r="P3595">
        <v>42</v>
      </c>
      <c r="Q3595">
        <v>0</v>
      </c>
      <c r="R3595" s="1">
        <v>43964</v>
      </c>
      <c r="S3595" t="s">
        <v>29</v>
      </c>
      <c r="T3595" t="str">
        <f t="shared" si="280"/>
        <v>Grade A</v>
      </c>
      <c r="U3595">
        <f t="shared" si="281"/>
        <v>2</v>
      </c>
      <c r="V3595" t="str">
        <f t="shared" si="282"/>
        <v>Junior</v>
      </c>
      <c r="W3595" t="str">
        <f t="shared" si="283"/>
        <v>Medium Risk</v>
      </c>
      <c r="X3595" t="str">
        <f t="shared" si="284"/>
        <v>Fair</v>
      </c>
    </row>
    <row r="3596" spans="1:24" x14ac:dyDescent="0.3">
      <c r="A3596" t="s">
        <v>3664</v>
      </c>
      <c r="B3596" t="s">
        <v>20</v>
      </c>
      <c r="C3596">
        <v>43</v>
      </c>
      <c r="D3596" t="s">
        <v>31</v>
      </c>
      <c r="E3596" t="s">
        <v>22</v>
      </c>
      <c r="F3596" t="s">
        <v>32</v>
      </c>
      <c r="G3596" t="s">
        <v>49</v>
      </c>
      <c r="H3596" t="s">
        <v>34</v>
      </c>
      <c r="I3596" t="s">
        <v>80</v>
      </c>
      <c r="J3596" t="s">
        <v>60</v>
      </c>
      <c r="K3596">
        <v>12</v>
      </c>
      <c r="L3596">
        <v>76288</v>
      </c>
      <c r="M3596" t="s">
        <v>36</v>
      </c>
      <c r="N3596">
        <v>2</v>
      </c>
      <c r="O3596">
        <v>4</v>
      </c>
      <c r="P3596">
        <v>35</v>
      </c>
      <c r="Q3596">
        <v>2</v>
      </c>
      <c r="R3596" s="1">
        <v>40878</v>
      </c>
      <c r="S3596" t="s">
        <v>37</v>
      </c>
      <c r="T3596" t="str">
        <f t="shared" si="280"/>
        <v>Grade B</v>
      </c>
      <c r="U3596">
        <f t="shared" si="281"/>
        <v>1</v>
      </c>
      <c r="V3596" t="str">
        <f t="shared" si="282"/>
        <v>Senior</v>
      </c>
      <c r="W3596" t="str">
        <f t="shared" si="283"/>
        <v>Already Left</v>
      </c>
      <c r="X3596" t="str">
        <f t="shared" si="284"/>
        <v>Fair</v>
      </c>
    </row>
    <row r="3597" spans="1:24" x14ac:dyDescent="0.3">
      <c r="A3597" t="s">
        <v>3665</v>
      </c>
      <c r="B3597" t="s">
        <v>39</v>
      </c>
      <c r="C3597">
        <v>51</v>
      </c>
      <c r="D3597" t="s">
        <v>57</v>
      </c>
      <c r="E3597" t="s">
        <v>48</v>
      </c>
      <c r="F3597" t="s">
        <v>78</v>
      </c>
      <c r="G3597" t="s">
        <v>63</v>
      </c>
      <c r="H3597" t="s">
        <v>76</v>
      </c>
      <c r="I3597" t="s">
        <v>96</v>
      </c>
      <c r="J3597" t="s">
        <v>44</v>
      </c>
      <c r="K3597">
        <v>1</v>
      </c>
      <c r="L3597">
        <v>47494</v>
      </c>
      <c r="M3597" t="s">
        <v>28</v>
      </c>
      <c r="N3597">
        <v>3</v>
      </c>
      <c r="O3597">
        <v>4</v>
      </c>
      <c r="P3597">
        <v>18</v>
      </c>
      <c r="Q3597">
        <v>2</v>
      </c>
      <c r="R3597" s="1">
        <v>44745</v>
      </c>
      <c r="S3597" t="s">
        <v>29</v>
      </c>
      <c r="T3597" t="str">
        <f t="shared" si="280"/>
        <v>Grade C</v>
      </c>
      <c r="U3597">
        <f t="shared" si="281"/>
        <v>3</v>
      </c>
      <c r="V3597" t="str">
        <f t="shared" si="282"/>
        <v>New Joiner</v>
      </c>
      <c r="W3597" t="str">
        <f t="shared" si="283"/>
        <v>Medium Risk</v>
      </c>
      <c r="X3597" t="str">
        <f t="shared" si="284"/>
        <v>Fair</v>
      </c>
    </row>
    <row r="3598" spans="1:24" x14ac:dyDescent="0.3">
      <c r="A3598" t="s">
        <v>3666</v>
      </c>
      <c r="B3598" t="s">
        <v>39</v>
      </c>
      <c r="C3598">
        <v>39</v>
      </c>
      <c r="D3598" t="s">
        <v>31</v>
      </c>
      <c r="E3598" t="s">
        <v>40</v>
      </c>
      <c r="F3598" t="s">
        <v>78</v>
      </c>
      <c r="G3598" t="s">
        <v>49</v>
      </c>
      <c r="H3598" t="s">
        <v>67</v>
      </c>
      <c r="I3598" t="s">
        <v>35</v>
      </c>
      <c r="J3598" t="s">
        <v>27</v>
      </c>
      <c r="K3598">
        <v>11</v>
      </c>
      <c r="L3598">
        <v>78109</v>
      </c>
      <c r="M3598" t="s">
        <v>51</v>
      </c>
      <c r="N3598">
        <v>2</v>
      </c>
      <c r="O3598">
        <v>2</v>
      </c>
      <c r="P3598">
        <v>62</v>
      </c>
      <c r="Q3598">
        <v>3</v>
      </c>
      <c r="R3598" s="1">
        <v>41113</v>
      </c>
      <c r="S3598" t="s">
        <v>29</v>
      </c>
      <c r="T3598" t="str">
        <f t="shared" si="280"/>
        <v>Grade B</v>
      </c>
      <c r="U3598">
        <f t="shared" si="281"/>
        <v>4</v>
      </c>
      <c r="V3598" t="str">
        <f t="shared" si="282"/>
        <v>Senior</v>
      </c>
      <c r="W3598" t="str">
        <f t="shared" si="283"/>
        <v>Low Risk</v>
      </c>
      <c r="X3598" t="str">
        <f t="shared" si="284"/>
        <v>Fair</v>
      </c>
    </row>
    <row r="3599" spans="1:24" x14ac:dyDescent="0.3">
      <c r="A3599" t="s">
        <v>3667</v>
      </c>
      <c r="B3599" t="s">
        <v>39</v>
      </c>
      <c r="C3599">
        <v>28</v>
      </c>
      <c r="D3599" t="s">
        <v>31</v>
      </c>
      <c r="E3599" t="s">
        <v>48</v>
      </c>
      <c r="F3599" t="s">
        <v>41</v>
      </c>
      <c r="G3599" t="s">
        <v>66</v>
      </c>
      <c r="H3599" t="s">
        <v>34</v>
      </c>
      <c r="I3599" t="s">
        <v>43</v>
      </c>
      <c r="J3599" t="s">
        <v>44</v>
      </c>
      <c r="K3599">
        <v>8</v>
      </c>
      <c r="L3599">
        <v>41772</v>
      </c>
      <c r="M3599" t="s">
        <v>51</v>
      </c>
      <c r="N3599">
        <v>3</v>
      </c>
      <c r="O3599">
        <v>1</v>
      </c>
      <c r="P3599">
        <v>15</v>
      </c>
      <c r="Q3599">
        <v>3</v>
      </c>
      <c r="R3599" s="1">
        <v>42170</v>
      </c>
      <c r="S3599" t="s">
        <v>29</v>
      </c>
      <c r="T3599" t="str">
        <f t="shared" si="280"/>
        <v>Grade C</v>
      </c>
      <c r="U3599">
        <f t="shared" si="281"/>
        <v>4</v>
      </c>
      <c r="V3599" t="str">
        <f t="shared" si="282"/>
        <v>Mid Level</v>
      </c>
      <c r="W3599" t="str">
        <f t="shared" si="283"/>
        <v>Low Risk</v>
      </c>
      <c r="X3599" t="str">
        <f t="shared" si="284"/>
        <v>Fair</v>
      </c>
    </row>
    <row r="3600" spans="1:24" x14ac:dyDescent="0.3">
      <c r="A3600" t="s">
        <v>3668</v>
      </c>
      <c r="B3600" t="s">
        <v>39</v>
      </c>
      <c r="C3600">
        <v>26</v>
      </c>
      <c r="D3600" t="s">
        <v>57</v>
      </c>
      <c r="E3600" t="s">
        <v>22</v>
      </c>
      <c r="F3600" t="s">
        <v>41</v>
      </c>
      <c r="G3600" t="s">
        <v>63</v>
      </c>
      <c r="H3600" t="s">
        <v>34</v>
      </c>
      <c r="I3600" t="s">
        <v>80</v>
      </c>
      <c r="J3600" t="s">
        <v>60</v>
      </c>
      <c r="K3600">
        <v>13</v>
      </c>
      <c r="L3600">
        <v>64421</v>
      </c>
      <c r="M3600" t="s">
        <v>36</v>
      </c>
      <c r="N3600">
        <v>4</v>
      </c>
      <c r="O3600">
        <v>2</v>
      </c>
      <c r="P3600">
        <v>68</v>
      </c>
      <c r="Q3600">
        <v>0</v>
      </c>
      <c r="R3600" s="1">
        <v>40263</v>
      </c>
      <c r="S3600" t="s">
        <v>37</v>
      </c>
      <c r="T3600" t="str">
        <f t="shared" si="280"/>
        <v>Grade B</v>
      </c>
      <c r="U3600">
        <f t="shared" si="281"/>
        <v>1</v>
      </c>
      <c r="V3600" t="str">
        <f t="shared" si="282"/>
        <v>Senior</v>
      </c>
      <c r="W3600" t="str">
        <f t="shared" si="283"/>
        <v>Already Left</v>
      </c>
      <c r="X3600" t="str">
        <f t="shared" si="284"/>
        <v>Fair</v>
      </c>
    </row>
    <row r="3601" spans="1:24" x14ac:dyDescent="0.3">
      <c r="A3601" t="s">
        <v>3669</v>
      </c>
      <c r="B3601" t="s">
        <v>20</v>
      </c>
      <c r="C3601">
        <v>33</v>
      </c>
      <c r="D3601" t="s">
        <v>21</v>
      </c>
      <c r="E3601" t="s">
        <v>48</v>
      </c>
      <c r="F3601" t="s">
        <v>53</v>
      </c>
      <c r="G3601" t="s">
        <v>79</v>
      </c>
      <c r="H3601" t="s">
        <v>76</v>
      </c>
      <c r="I3601" t="s">
        <v>26</v>
      </c>
      <c r="J3601" t="s">
        <v>27</v>
      </c>
      <c r="K3601">
        <v>11</v>
      </c>
      <c r="L3601">
        <v>63669</v>
      </c>
      <c r="M3601" t="s">
        <v>28</v>
      </c>
      <c r="N3601">
        <v>1</v>
      </c>
      <c r="O3601">
        <v>3</v>
      </c>
      <c r="P3601">
        <v>18</v>
      </c>
      <c r="Q3601">
        <v>0</v>
      </c>
      <c r="R3601" s="1">
        <v>41191</v>
      </c>
      <c r="S3601" t="s">
        <v>29</v>
      </c>
      <c r="T3601" t="str">
        <f t="shared" si="280"/>
        <v>Grade B</v>
      </c>
      <c r="U3601">
        <f t="shared" si="281"/>
        <v>3</v>
      </c>
      <c r="V3601" t="str">
        <f t="shared" si="282"/>
        <v>Senior</v>
      </c>
      <c r="W3601" t="str">
        <f t="shared" si="283"/>
        <v>Medium Risk</v>
      </c>
      <c r="X3601" t="str">
        <f t="shared" si="284"/>
        <v>Competitive</v>
      </c>
    </row>
    <row r="3602" spans="1:24" x14ac:dyDescent="0.3">
      <c r="A3602" t="s">
        <v>3670</v>
      </c>
      <c r="B3602" t="s">
        <v>20</v>
      </c>
      <c r="C3602">
        <v>30</v>
      </c>
      <c r="D3602" t="s">
        <v>21</v>
      </c>
      <c r="E3602" t="s">
        <v>40</v>
      </c>
      <c r="F3602" t="s">
        <v>78</v>
      </c>
      <c r="G3602" t="s">
        <v>42</v>
      </c>
      <c r="H3602" t="s">
        <v>76</v>
      </c>
      <c r="I3602" t="s">
        <v>43</v>
      </c>
      <c r="J3602" t="s">
        <v>44</v>
      </c>
      <c r="K3602">
        <v>6</v>
      </c>
      <c r="L3602">
        <v>105086</v>
      </c>
      <c r="M3602" t="s">
        <v>51</v>
      </c>
      <c r="N3602">
        <v>3</v>
      </c>
      <c r="O3602">
        <v>4</v>
      </c>
      <c r="P3602">
        <v>20</v>
      </c>
      <c r="Q3602">
        <v>0</v>
      </c>
      <c r="R3602" s="1">
        <v>43025</v>
      </c>
      <c r="S3602" t="s">
        <v>29</v>
      </c>
      <c r="T3602" t="str">
        <f t="shared" si="280"/>
        <v>Grade A</v>
      </c>
      <c r="U3602">
        <f t="shared" si="281"/>
        <v>4</v>
      </c>
      <c r="V3602" t="str">
        <f t="shared" si="282"/>
        <v>Mid Level</v>
      </c>
      <c r="W3602" t="str">
        <f t="shared" si="283"/>
        <v>Low Risk</v>
      </c>
      <c r="X3602" t="str">
        <f t="shared" si="284"/>
        <v>Competitive</v>
      </c>
    </row>
    <row r="3603" spans="1:24" x14ac:dyDescent="0.3">
      <c r="A3603" t="s">
        <v>3671</v>
      </c>
      <c r="B3603" t="s">
        <v>20</v>
      </c>
      <c r="C3603">
        <v>50</v>
      </c>
      <c r="D3603" t="s">
        <v>31</v>
      </c>
      <c r="E3603" t="s">
        <v>40</v>
      </c>
      <c r="F3603" t="s">
        <v>32</v>
      </c>
      <c r="G3603" t="s">
        <v>79</v>
      </c>
      <c r="H3603" t="s">
        <v>67</v>
      </c>
      <c r="I3603" t="s">
        <v>68</v>
      </c>
      <c r="J3603" t="s">
        <v>60</v>
      </c>
      <c r="K3603">
        <v>12</v>
      </c>
      <c r="L3603">
        <v>55054</v>
      </c>
      <c r="M3603" t="s">
        <v>36</v>
      </c>
      <c r="N3603">
        <v>2</v>
      </c>
      <c r="O3603">
        <v>1</v>
      </c>
      <c r="P3603">
        <v>33</v>
      </c>
      <c r="Q3603">
        <v>1</v>
      </c>
      <c r="R3603" s="1">
        <v>40848</v>
      </c>
      <c r="S3603" t="s">
        <v>37</v>
      </c>
      <c r="T3603" t="str">
        <f t="shared" si="280"/>
        <v>Grade B</v>
      </c>
      <c r="U3603">
        <f t="shared" si="281"/>
        <v>1</v>
      </c>
      <c r="V3603" t="str">
        <f t="shared" si="282"/>
        <v>Senior</v>
      </c>
      <c r="W3603" t="str">
        <f t="shared" si="283"/>
        <v>Already Left</v>
      </c>
      <c r="X3603" t="str">
        <f t="shared" si="284"/>
        <v>Fair</v>
      </c>
    </row>
    <row r="3604" spans="1:24" x14ac:dyDescent="0.3">
      <c r="A3604" t="s">
        <v>3672</v>
      </c>
      <c r="B3604" t="s">
        <v>20</v>
      </c>
      <c r="C3604">
        <v>30</v>
      </c>
      <c r="D3604" t="s">
        <v>21</v>
      </c>
      <c r="E3604" t="s">
        <v>40</v>
      </c>
      <c r="F3604" t="s">
        <v>32</v>
      </c>
      <c r="G3604" t="s">
        <v>63</v>
      </c>
      <c r="H3604" t="s">
        <v>25</v>
      </c>
      <c r="I3604" t="s">
        <v>50</v>
      </c>
      <c r="J3604" t="s">
        <v>44</v>
      </c>
      <c r="K3604">
        <v>6</v>
      </c>
      <c r="L3604">
        <v>55233</v>
      </c>
      <c r="M3604" t="s">
        <v>51</v>
      </c>
      <c r="N3604">
        <v>1</v>
      </c>
      <c r="O3604">
        <v>3</v>
      </c>
      <c r="P3604">
        <v>60</v>
      </c>
      <c r="Q3604">
        <v>1</v>
      </c>
      <c r="R3604" s="1">
        <v>43061</v>
      </c>
      <c r="S3604" t="s">
        <v>29</v>
      </c>
      <c r="T3604" t="str">
        <f t="shared" si="280"/>
        <v>Grade B</v>
      </c>
      <c r="U3604">
        <f t="shared" si="281"/>
        <v>4</v>
      </c>
      <c r="V3604" t="str">
        <f t="shared" si="282"/>
        <v>Mid Level</v>
      </c>
      <c r="W3604" t="str">
        <f t="shared" si="283"/>
        <v>Low Risk</v>
      </c>
      <c r="X3604" t="str">
        <f t="shared" si="284"/>
        <v>Fair</v>
      </c>
    </row>
    <row r="3605" spans="1:24" x14ac:dyDescent="0.3">
      <c r="A3605" t="s">
        <v>3673</v>
      </c>
      <c r="B3605" t="s">
        <v>20</v>
      </c>
      <c r="C3605">
        <v>35</v>
      </c>
      <c r="D3605" t="s">
        <v>31</v>
      </c>
      <c r="E3605" t="s">
        <v>22</v>
      </c>
      <c r="F3605" t="s">
        <v>41</v>
      </c>
      <c r="G3605" t="s">
        <v>33</v>
      </c>
      <c r="H3605" t="s">
        <v>34</v>
      </c>
      <c r="I3605" t="s">
        <v>26</v>
      </c>
      <c r="J3605" t="s">
        <v>27</v>
      </c>
      <c r="K3605">
        <v>13</v>
      </c>
      <c r="L3605">
        <v>76529</v>
      </c>
      <c r="M3605" t="s">
        <v>36</v>
      </c>
      <c r="N3605">
        <v>3</v>
      </c>
      <c r="O3605">
        <v>3</v>
      </c>
      <c r="P3605">
        <v>47</v>
      </c>
      <c r="Q3605">
        <v>2</v>
      </c>
      <c r="R3605" s="1">
        <v>40272</v>
      </c>
      <c r="S3605" t="s">
        <v>29</v>
      </c>
      <c r="T3605" t="str">
        <f t="shared" si="280"/>
        <v>Grade B</v>
      </c>
      <c r="U3605">
        <f t="shared" si="281"/>
        <v>1</v>
      </c>
      <c r="V3605" t="str">
        <f t="shared" si="282"/>
        <v>Senior</v>
      </c>
      <c r="W3605" t="str">
        <f t="shared" si="283"/>
        <v>Medium Risk</v>
      </c>
      <c r="X3605" t="str">
        <f t="shared" si="284"/>
        <v>Fair</v>
      </c>
    </row>
    <row r="3606" spans="1:24" x14ac:dyDescent="0.3">
      <c r="A3606" t="s">
        <v>3674</v>
      </c>
      <c r="B3606" t="s">
        <v>20</v>
      </c>
      <c r="C3606">
        <v>22</v>
      </c>
      <c r="D3606" t="s">
        <v>88</v>
      </c>
      <c r="E3606" t="s">
        <v>40</v>
      </c>
      <c r="F3606" t="s">
        <v>32</v>
      </c>
      <c r="G3606" t="s">
        <v>79</v>
      </c>
      <c r="H3606" t="s">
        <v>83</v>
      </c>
      <c r="I3606" t="s">
        <v>54</v>
      </c>
      <c r="J3606" t="s">
        <v>27</v>
      </c>
      <c r="K3606">
        <v>4</v>
      </c>
      <c r="L3606">
        <v>42870</v>
      </c>
      <c r="M3606" t="s">
        <v>51</v>
      </c>
      <c r="N3606">
        <v>4</v>
      </c>
      <c r="O3606">
        <v>2</v>
      </c>
      <c r="P3606">
        <v>42</v>
      </c>
      <c r="Q3606">
        <v>0</v>
      </c>
      <c r="R3606" s="1">
        <v>43683</v>
      </c>
      <c r="S3606" t="s">
        <v>29</v>
      </c>
      <c r="T3606" t="str">
        <f t="shared" si="280"/>
        <v>Grade C</v>
      </c>
      <c r="U3606">
        <f t="shared" si="281"/>
        <v>4</v>
      </c>
      <c r="V3606" t="str">
        <f t="shared" si="282"/>
        <v>Junior</v>
      </c>
      <c r="W3606" t="str">
        <f t="shared" si="283"/>
        <v>Low Risk</v>
      </c>
      <c r="X3606" t="str">
        <f t="shared" si="284"/>
        <v>Fair</v>
      </c>
    </row>
    <row r="3607" spans="1:24" x14ac:dyDescent="0.3">
      <c r="A3607" t="s">
        <v>3675</v>
      </c>
      <c r="B3607" t="s">
        <v>20</v>
      </c>
      <c r="C3607">
        <v>29</v>
      </c>
      <c r="D3607" t="s">
        <v>88</v>
      </c>
      <c r="E3607" t="s">
        <v>40</v>
      </c>
      <c r="F3607" t="s">
        <v>65</v>
      </c>
      <c r="G3607" t="s">
        <v>58</v>
      </c>
      <c r="H3607" t="s">
        <v>83</v>
      </c>
      <c r="I3607" t="s">
        <v>59</v>
      </c>
      <c r="J3607" t="s">
        <v>60</v>
      </c>
      <c r="K3607">
        <v>5</v>
      </c>
      <c r="L3607">
        <v>99731</v>
      </c>
      <c r="M3607" t="s">
        <v>45</v>
      </c>
      <c r="N3607">
        <v>4</v>
      </c>
      <c r="O3607">
        <v>2</v>
      </c>
      <c r="P3607">
        <v>44</v>
      </c>
      <c r="Q3607">
        <v>1</v>
      </c>
      <c r="R3607" s="1">
        <v>43337</v>
      </c>
      <c r="S3607" t="s">
        <v>29</v>
      </c>
      <c r="T3607" t="str">
        <f t="shared" si="280"/>
        <v>Grade A</v>
      </c>
      <c r="U3607">
        <f t="shared" si="281"/>
        <v>2</v>
      </c>
      <c r="V3607" t="str">
        <f t="shared" si="282"/>
        <v>Junior</v>
      </c>
      <c r="W3607" t="str">
        <f t="shared" si="283"/>
        <v>Medium Risk</v>
      </c>
      <c r="X3607" t="str">
        <f t="shared" si="284"/>
        <v>Fair</v>
      </c>
    </row>
    <row r="3608" spans="1:24" x14ac:dyDescent="0.3">
      <c r="A3608" t="s">
        <v>3676</v>
      </c>
      <c r="B3608" t="s">
        <v>39</v>
      </c>
      <c r="C3608">
        <v>51</v>
      </c>
      <c r="D3608" t="s">
        <v>47</v>
      </c>
      <c r="E3608" t="s">
        <v>22</v>
      </c>
      <c r="F3608" t="s">
        <v>41</v>
      </c>
      <c r="G3608" t="s">
        <v>66</v>
      </c>
      <c r="H3608" t="s">
        <v>67</v>
      </c>
      <c r="I3608" t="s">
        <v>43</v>
      </c>
      <c r="J3608" t="s">
        <v>44</v>
      </c>
      <c r="K3608">
        <v>5</v>
      </c>
      <c r="L3608">
        <v>42664</v>
      </c>
      <c r="M3608" t="s">
        <v>51</v>
      </c>
      <c r="N3608">
        <v>4</v>
      </c>
      <c r="O3608">
        <v>3</v>
      </c>
      <c r="P3608">
        <v>54</v>
      </c>
      <c r="Q3608">
        <v>2</v>
      </c>
      <c r="R3608" s="1">
        <v>43323</v>
      </c>
      <c r="S3608" t="s">
        <v>29</v>
      </c>
      <c r="T3608" t="str">
        <f t="shared" si="280"/>
        <v>Grade C</v>
      </c>
      <c r="U3608">
        <f t="shared" si="281"/>
        <v>4</v>
      </c>
      <c r="V3608" t="str">
        <f t="shared" si="282"/>
        <v>Junior</v>
      </c>
      <c r="W3608" t="str">
        <f t="shared" si="283"/>
        <v>Low Risk</v>
      </c>
      <c r="X3608" t="str">
        <f t="shared" si="284"/>
        <v>Fair</v>
      </c>
    </row>
    <row r="3609" spans="1:24" x14ac:dyDescent="0.3">
      <c r="A3609" t="s">
        <v>3677</v>
      </c>
      <c r="B3609" t="s">
        <v>39</v>
      </c>
      <c r="C3609">
        <v>30</v>
      </c>
      <c r="D3609" t="s">
        <v>21</v>
      </c>
      <c r="E3609" t="s">
        <v>40</v>
      </c>
      <c r="F3609" t="s">
        <v>62</v>
      </c>
      <c r="G3609" t="s">
        <v>24</v>
      </c>
      <c r="H3609" t="s">
        <v>83</v>
      </c>
      <c r="I3609" t="s">
        <v>72</v>
      </c>
      <c r="J3609" t="s">
        <v>73</v>
      </c>
      <c r="K3609">
        <v>3</v>
      </c>
      <c r="L3609">
        <v>85532</v>
      </c>
      <c r="M3609" t="s">
        <v>28</v>
      </c>
      <c r="N3609">
        <v>1</v>
      </c>
      <c r="O3609">
        <v>4</v>
      </c>
      <c r="P3609">
        <v>65</v>
      </c>
      <c r="Q3609">
        <v>3</v>
      </c>
      <c r="R3609" s="1">
        <v>44004</v>
      </c>
      <c r="S3609" t="s">
        <v>29</v>
      </c>
      <c r="T3609" t="str">
        <f t="shared" si="280"/>
        <v>Grade A</v>
      </c>
      <c r="U3609">
        <f t="shared" si="281"/>
        <v>3</v>
      </c>
      <c r="V3609" t="str">
        <f t="shared" si="282"/>
        <v>Junior</v>
      </c>
      <c r="W3609" t="str">
        <f t="shared" si="283"/>
        <v>Medium Risk</v>
      </c>
      <c r="X3609" t="str">
        <f t="shared" si="284"/>
        <v>Competitive</v>
      </c>
    </row>
    <row r="3610" spans="1:24" x14ac:dyDescent="0.3">
      <c r="A3610" t="s">
        <v>3678</v>
      </c>
      <c r="B3610" t="s">
        <v>39</v>
      </c>
      <c r="C3610">
        <v>24</v>
      </c>
      <c r="D3610" t="s">
        <v>57</v>
      </c>
      <c r="E3610" t="s">
        <v>48</v>
      </c>
      <c r="F3610" t="s">
        <v>65</v>
      </c>
      <c r="G3610" t="s">
        <v>49</v>
      </c>
      <c r="H3610" t="s">
        <v>67</v>
      </c>
      <c r="I3610" t="s">
        <v>68</v>
      </c>
      <c r="J3610" t="s">
        <v>60</v>
      </c>
      <c r="K3610">
        <v>10</v>
      </c>
      <c r="L3610">
        <v>69297</v>
      </c>
      <c r="M3610" t="s">
        <v>36</v>
      </c>
      <c r="N3610">
        <v>4</v>
      </c>
      <c r="O3610">
        <v>3</v>
      </c>
      <c r="P3610">
        <v>28</v>
      </c>
      <c r="Q3610">
        <v>0</v>
      </c>
      <c r="R3610" s="1">
        <v>41463</v>
      </c>
      <c r="S3610" t="s">
        <v>37</v>
      </c>
      <c r="T3610" t="str">
        <f t="shared" si="280"/>
        <v>Grade B</v>
      </c>
      <c r="U3610">
        <f t="shared" si="281"/>
        <v>1</v>
      </c>
      <c r="V3610" t="str">
        <f t="shared" si="282"/>
        <v>Mid Level</v>
      </c>
      <c r="W3610" t="str">
        <f t="shared" si="283"/>
        <v>Already Left</v>
      </c>
      <c r="X3610" t="str">
        <f t="shared" si="284"/>
        <v>Fair</v>
      </c>
    </row>
    <row r="3611" spans="1:24" x14ac:dyDescent="0.3">
      <c r="A3611" t="s">
        <v>3679</v>
      </c>
      <c r="B3611" t="s">
        <v>39</v>
      </c>
      <c r="C3611">
        <v>23</v>
      </c>
      <c r="D3611" t="s">
        <v>88</v>
      </c>
      <c r="E3611" t="s">
        <v>48</v>
      </c>
      <c r="F3611" t="s">
        <v>32</v>
      </c>
      <c r="G3611" t="s">
        <v>42</v>
      </c>
      <c r="H3611" t="s">
        <v>83</v>
      </c>
      <c r="I3611" t="s">
        <v>50</v>
      </c>
      <c r="J3611" t="s">
        <v>44</v>
      </c>
      <c r="K3611">
        <v>4</v>
      </c>
      <c r="L3611">
        <v>102674</v>
      </c>
      <c r="M3611" t="s">
        <v>36</v>
      </c>
      <c r="N3611">
        <v>2</v>
      </c>
      <c r="O3611">
        <v>3</v>
      </c>
      <c r="P3611">
        <v>66</v>
      </c>
      <c r="Q3611">
        <v>2</v>
      </c>
      <c r="R3611" s="1">
        <v>43582</v>
      </c>
      <c r="S3611" t="s">
        <v>29</v>
      </c>
      <c r="T3611" t="str">
        <f t="shared" si="280"/>
        <v>Grade A</v>
      </c>
      <c r="U3611">
        <f t="shared" si="281"/>
        <v>1</v>
      </c>
      <c r="V3611" t="str">
        <f t="shared" si="282"/>
        <v>Junior</v>
      </c>
      <c r="W3611" t="str">
        <f t="shared" si="283"/>
        <v>Medium Risk</v>
      </c>
      <c r="X3611" t="str">
        <f t="shared" si="284"/>
        <v>Overpaid</v>
      </c>
    </row>
    <row r="3612" spans="1:24" x14ac:dyDescent="0.3">
      <c r="A3612" t="s">
        <v>3680</v>
      </c>
      <c r="B3612" t="s">
        <v>39</v>
      </c>
      <c r="C3612">
        <v>41</v>
      </c>
      <c r="D3612" t="s">
        <v>88</v>
      </c>
      <c r="E3612" t="s">
        <v>48</v>
      </c>
      <c r="F3612" t="s">
        <v>53</v>
      </c>
      <c r="G3612" t="s">
        <v>66</v>
      </c>
      <c r="H3612" t="s">
        <v>67</v>
      </c>
      <c r="I3612" t="s">
        <v>80</v>
      </c>
      <c r="J3612" t="s">
        <v>60</v>
      </c>
      <c r="K3612">
        <v>4</v>
      </c>
      <c r="L3612">
        <v>39905</v>
      </c>
      <c r="M3612" t="s">
        <v>36</v>
      </c>
      <c r="N3612">
        <v>2</v>
      </c>
      <c r="O3612">
        <v>2</v>
      </c>
      <c r="P3612">
        <v>30</v>
      </c>
      <c r="Q3612">
        <v>2</v>
      </c>
      <c r="R3612" s="1">
        <v>43599</v>
      </c>
      <c r="S3612" t="s">
        <v>29</v>
      </c>
      <c r="T3612" t="str">
        <f t="shared" si="280"/>
        <v>Grade C</v>
      </c>
      <c r="U3612">
        <f t="shared" si="281"/>
        <v>1</v>
      </c>
      <c r="V3612" t="str">
        <f t="shared" si="282"/>
        <v>Junior</v>
      </c>
      <c r="W3612" t="str">
        <f t="shared" si="283"/>
        <v>Medium Risk</v>
      </c>
      <c r="X3612" t="str">
        <f t="shared" si="284"/>
        <v>Fair</v>
      </c>
    </row>
    <row r="3613" spans="1:24" x14ac:dyDescent="0.3">
      <c r="A3613" t="s">
        <v>3681</v>
      </c>
      <c r="B3613" t="s">
        <v>20</v>
      </c>
      <c r="C3613">
        <v>22</v>
      </c>
      <c r="D3613" t="s">
        <v>47</v>
      </c>
      <c r="E3613" t="s">
        <v>22</v>
      </c>
      <c r="F3613" t="s">
        <v>65</v>
      </c>
      <c r="G3613" t="s">
        <v>33</v>
      </c>
      <c r="H3613" t="s">
        <v>83</v>
      </c>
      <c r="I3613" t="s">
        <v>59</v>
      </c>
      <c r="J3613" t="s">
        <v>60</v>
      </c>
      <c r="K3613">
        <v>3</v>
      </c>
      <c r="L3613">
        <v>70612</v>
      </c>
      <c r="M3613" t="s">
        <v>28</v>
      </c>
      <c r="N3613">
        <v>3</v>
      </c>
      <c r="O3613">
        <v>4</v>
      </c>
      <c r="P3613">
        <v>24</v>
      </c>
      <c r="Q3613">
        <v>1</v>
      </c>
      <c r="R3613" s="1">
        <v>43864</v>
      </c>
      <c r="S3613" t="s">
        <v>29</v>
      </c>
      <c r="T3613" t="str">
        <f t="shared" si="280"/>
        <v>Grade B</v>
      </c>
      <c r="U3613">
        <f t="shared" si="281"/>
        <v>3</v>
      </c>
      <c r="V3613" t="str">
        <f t="shared" si="282"/>
        <v>Junior</v>
      </c>
      <c r="W3613" t="str">
        <f t="shared" si="283"/>
        <v>Medium Risk</v>
      </c>
      <c r="X3613" t="str">
        <f t="shared" si="284"/>
        <v>Competitive</v>
      </c>
    </row>
    <row r="3614" spans="1:24" x14ac:dyDescent="0.3">
      <c r="A3614" t="s">
        <v>3682</v>
      </c>
      <c r="B3614" t="s">
        <v>39</v>
      </c>
      <c r="C3614">
        <v>32</v>
      </c>
      <c r="D3614" t="s">
        <v>21</v>
      </c>
      <c r="E3614" t="s">
        <v>22</v>
      </c>
      <c r="F3614" t="s">
        <v>23</v>
      </c>
      <c r="G3614" t="s">
        <v>33</v>
      </c>
      <c r="H3614" t="s">
        <v>25</v>
      </c>
      <c r="I3614" t="s">
        <v>96</v>
      </c>
      <c r="J3614" t="s">
        <v>44</v>
      </c>
      <c r="K3614">
        <v>15</v>
      </c>
      <c r="L3614">
        <v>90976</v>
      </c>
      <c r="M3614" t="s">
        <v>36</v>
      </c>
      <c r="N3614">
        <v>3</v>
      </c>
      <c r="O3614">
        <v>1</v>
      </c>
      <c r="P3614">
        <v>29</v>
      </c>
      <c r="Q3614">
        <v>1</v>
      </c>
      <c r="R3614" s="1">
        <v>39724</v>
      </c>
      <c r="S3614" t="s">
        <v>37</v>
      </c>
      <c r="T3614" t="str">
        <f t="shared" si="280"/>
        <v>Grade A</v>
      </c>
      <c r="U3614">
        <f t="shared" si="281"/>
        <v>1</v>
      </c>
      <c r="V3614" t="str">
        <f t="shared" si="282"/>
        <v>Senior</v>
      </c>
      <c r="W3614" t="str">
        <f t="shared" si="283"/>
        <v>Already Left</v>
      </c>
      <c r="X3614" t="str">
        <f t="shared" si="284"/>
        <v>Overpaid</v>
      </c>
    </row>
    <row r="3615" spans="1:24" x14ac:dyDescent="0.3">
      <c r="A3615" t="s">
        <v>3683</v>
      </c>
      <c r="B3615" t="s">
        <v>20</v>
      </c>
      <c r="C3615">
        <v>35</v>
      </c>
      <c r="D3615" t="s">
        <v>31</v>
      </c>
      <c r="E3615" t="s">
        <v>22</v>
      </c>
      <c r="F3615" t="s">
        <v>53</v>
      </c>
      <c r="G3615" t="s">
        <v>33</v>
      </c>
      <c r="H3615" t="s">
        <v>83</v>
      </c>
      <c r="I3615" t="s">
        <v>80</v>
      </c>
      <c r="J3615" t="s">
        <v>60</v>
      </c>
      <c r="K3615">
        <v>4</v>
      </c>
      <c r="L3615">
        <v>64907</v>
      </c>
      <c r="M3615" t="s">
        <v>28</v>
      </c>
      <c r="N3615">
        <v>1</v>
      </c>
      <c r="O3615">
        <v>2</v>
      </c>
      <c r="P3615">
        <v>22</v>
      </c>
      <c r="Q3615">
        <v>2</v>
      </c>
      <c r="R3615" s="1">
        <v>43678</v>
      </c>
      <c r="S3615" t="s">
        <v>29</v>
      </c>
      <c r="T3615" t="str">
        <f t="shared" si="280"/>
        <v>Grade B</v>
      </c>
      <c r="U3615">
        <f t="shared" si="281"/>
        <v>3</v>
      </c>
      <c r="V3615" t="str">
        <f t="shared" si="282"/>
        <v>Junior</v>
      </c>
      <c r="W3615" t="str">
        <f t="shared" si="283"/>
        <v>Medium Risk</v>
      </c>
      <c r="X3615" t="str">
        <f t="shared" si="284"/>
        <v>Competitive</v>
      </c>
    </row>
    <row r="3616" spans="1:24" x14ac:dyDescent="0.3">
      <c r="A3616" t="s">
        <v>3684</v>
      </c>
      <c r="B3616" t="s">
        <v>39</v>
      </c>
      <c r="C3616">
        <v>48</v>
      </c>
      <c r="D3616" t="s">
        <v>31</v>
      </c>
      <c r="E3616" t="s">
        <v>40</v>
      </c>
      <c r="F3616" t="s">
        <v>32</v>
      </c>
      <c r="G3616" t="s">
        <v>63</v>
      </c>
      <c r="H3616" t="s">
        <v>34</v>
      </c>
      <c r="I3616" t="s">
        <v>43</v>
      </c>
      <c r="J3616" t="s">
        <v>44</v>
      </c>
      <c r="K3616">
        <v>7</v>
      </c>
      <c r="L3616">
        <v>62615</v>
      </c>
      <c r="M3616" t="s">
        <v>28</v>
      </c>
      <c r="N3616">
        <v>4</v>
      </c>
      <c r="O3616">
        <v>3</v>
      </c>
      <c r="P3616">
        <v>19</v>
      </c>
      <c r="Q3616">
        <v>3</v>
      </c>
      <c r="R3616" s="1">
        <v>42594</v>
      </c>
      <c r="S3616" t="s">
        <v>29</v>
      </c>
      <c r="T3616" t="str">
        <f t="shared" si="280"/>
        <v>Grade B</v>
      </c>
      <c r="U3616">
        <f t="shared" si="281"/>
        <v>3</v>
      </c>
      <c r="V3616" t="str">
        <f t="shared" si="282"/>
        <v>Mid Level</v>
      </c>
      <c r="W3616" t="str">
        <f t="shared" si="283"/>
        <v>Medium Risk</v>
      </c>
      <c r="X3616" t="str">
        <f t="shared" si="284"/>
        <v>Competitive</v>
      </c>
    </row>
    <row r="3617" spans="1:24" x14ac:dyDescent="0.3">
      <c r="A3617" t="s">
        <v>3685</v>
      </c>
      <c r="B3617" t="s">
        <v>39</v>
      </c>
      <c r="C3617">
        <v>32</v>
      </c>
      <c r="D3617" t="s">
        <v>88</v>
      </c>
      <c r="E3617" t="s">
        <v>48</v>
      </c>
      <c r="F3617" t="s">
        <v>65</v>
      </c>
      <c r="G3617" t="s">
        <v>42</v>
      </c>
      <c r="H3617" t="s">
        <v>83</v>
      </c>
      <c r="I3617" t="s">
        <v>35</v>
      </c>
      <c r="J3617" t="s">
        <v>27</v>
      </c>
      <c r="K3617">
        <v>12</v>
      </c>
      <c r="L3617">
        <v>118625</v>
      </c>
      <c r="M3617" t="s">
        <v>28</v>
      </c>
      <c r="N3617">
        <v>4</v>
      </c>
      <c r="O3617">
        <v>4</v>
      </c>
      <c r="P3617">
        <v>34</v>
      </c>
      <c r="Q3617">
        <v>3</v>
      </c>
      <c r="R3617" s="1">
        <v>40748</v>
      </c>
      <c r="S3617" t="s">
        <v>29</v>
      </c>
      <c r="T3617" t="str">
        <f t="shared" si="280"/>
        <v>Grade A</v>
      </c>
      <c r="U3617">
        <f t="shared" si="281"/>
        <v>3</v>
      </c>
      <c r="V3617" t="str">
        <f t="shared" si="282"/>
        <v>Senior</v>
      </c>
      <c r="W3617" t="str">
        <f t="shared" si="283"/>
        <v>Medium Risk</v>
      </c>
      <c r="X3617" t="str">
        <f t="shared" si="284"/>
        <v>Competitive</v>
      </c>
    </row>
    <row r="3618" spans="1:24" x14ac:dyDescent="0.3">
      <c r="A3618" t="s">
        <v>3686</v>
      </c>
      <c r="B3618" t="s">
        <v>20</v>
      </c>
      <c r="C3618">
        <v>36</v>
      </c>
      <c r="D3618" t="s">
        <v>47</v>
      </c>
      <c r="E3618" t="s">
        <v>48</v>
      </c>
      <c r="F3618" t="s">
        <v>62</v>
      </c>
      <c r="G3618" t="s">
        <v>63</v>
      </c>
      <c r="H3618" t="s">
        <v>67</v>
      </c>
      <c r="I3618" t="s">
        <v>72</v>
      </c>
      <c r="J3618" t="s">
        <v>73</v>
      </c>
      <c r="K3618">
        <v>2</v>
      </c>
      <c r="L3618">
        <v>42564</v>
      </c>
      <c r="M3618" t="s">
        <v>28</v>
      </c>
      <c r="N3618">
        <v>2</v>
      </c>
      <c r="O3618">
        <v>1</v>
      </c>
      <c r="P3618">
        <v>20</v>
      </c>
      <c r="Q3618">
        <v>0</v>
      </c>
      <c r="R3618" s="1">
        <v>44348</v>
      </c>
      <c r="S3618" t="s">
        <v>29</v>
      </c>
      <c r="T3618" t="str">
        <f t="shared" si="280"/>
        <v>Grade C</v>
      </c>
      <c r="U3618">
        <f t="shared" si="281"/>
        <v>3</v>
      </c>
      <c r="V3618" t="str">
        <f t="shared" si="282"/>
        <v>New Joiner</v>
      </c>
      <c r="W3618" t="str">
        <f t="shared" si="283"/>
        <v>Medium Risk</v>
      </c>
      <c r="X3618" t="str">
        <f t="shared" si="284"/>
        <v>Fair</v>
      </c>
    </row>
    <row r="3619" spans="1:24" x14ac:dyDescent="0.3">
      <c r="A3619" t="s">
        <v>3687</v>
      </c>
      <c r="B3619" t="s">
        <v>39</v>
      </c>
      <c r="C3619">
        <v>44</v>
      </c>
      <c r="D3619" t="s">
        <v>31</v>
      </c>
      <c r="E3619" t="s">
        <v>40</v>
      </c>
      <c r="F3619" t="s">
        <v>62</v>
      </c>
      <c r="G3619" t="s">
        <v>24</v>
      </c>
      <c r="H3619" t="s">
        <v>83</v>
      </c>
      <c r="I3619" t="s">
        <v>72</v>
      </c>
      <c r="J3619" t="s">
        <v>73</v>
      </c>
      <c r="K3619">
        <v>9</v>
      </c>
      <c r="L3619">
        <v>92677</v>
      </c>
      <c r="M3619" t="s">
        <v>36</v>
      </c>
      <c r="N3619">
        <v>1</v>
      </c>
      <c r="O3619">
        <v>1</v>
      </c>
      <c r="P3619">
        <v>43</v>
      </c>
      <c r="Q3619">
        <v>0</v>
      </c>
      <c r="R3619" s="1">
        <v>41774</v>
      </c>
      <c r="S3619" t="s">
        <v>37</v>
      </c>
      <c r="T3619" t="str">
        <f t="shared" si="280"/>
        <v>Grade A</v>
      </c>
      <c r="U3619">
        <f t="shared" si="281"/>
        <v>1</v>
      </c>
      <c r="V3619" t="str">
        <f t="shared" si="282"/>
        <v>Mid Level</v>
      </c>
      <c r="W3619" t="str">
        <f t="shared" si="283"/>
        <v>Already Left</v>
      </c>
      <c r="X3619" t="str">
        <f t="shared" si="284"/>
        <v>Overpaid</v>
      </c>
    </row>
    <row r="3620" spans="1:24" x14ac:dyDescent="0.3">
      <c r="A3620" t="s">
        <v>3688</v>
      </c>
      <c r="B3620" t="s">
        <v>20</v>
      </c>
      <c r="C3620">
        <v>23</v>
      </c>
      <c r="D3620" t="s">
        <v>57</v>
      </c>
      <c r="E3620" t="s">
        <v>48</v>
      </c>
      <c r="F3620" t="s">
        <v>65</v>
      </c>
      <c r="G3620" t="s">
        <v>66</v>
      </c>
      <c r="H3620" t="s">
        <v>25</v>
      </c>
      <c r="I3620" t="s">
        <v>43</v>
      </c>
      <c r="J3620" t="s">
        <v>44</v>
      </c>
      <c r="K3620">
        <v>7</v>
      </c>
      <c r="L3620">
        <v>42133</v>
      </c>
      <c r="M3620" t="s">
        <v>36</v>
      </c>
      <c r="N3620">
        <v>2</v>
      </c>
      <c r="O3620">
        <v>3</v>
      </c>
      <c r="P3620">
        <v>22</v>
      </c>
      <c r="Q3620">
        <v>1</v>
      </c>
      <c r="R3620" s="1">
        <v>42490</v>
      </c>
      <c r="S3620" t="s">
        <v>37</v>
      </c>
      <c r="T3620" t="str">
        <f t="shared" si="280"/>
        <v>Grade C</v>
      </c>
      <c r="U3620">
        <f t="shared" si="281"/>
        <v>1</v>
      </c>
      <c r="V3620" t="str">
        <f t="shared" si="282"/>
        <v>Mid Level</v>
      </c>
      <c r="W3620" t="str">
        <f t="shared" si="283"/>
        <v>Already Left</v>
      </c>
      <c r="X3620" t="str">
        <f t="shared" si="284"/>
        <v>Fair</v>
      </c>
    </row>
    <row r="3621" spans="1:24" x14ac:dyDescent="0.3">
      <c r="A3621" t="s">
        <v>3689</v>
      </c>
      <c r="B3621" t="s">
        <v>20</v>
      </c>
      <c r="C3621">
        <v>42</v>
      </c>
      <c r="D3621" t="s">
        <v>57</v>
      </c>
      <c r="E3621" t="s">
        <v>48</v>
      </c>
      <c r="F3621" t="s">
        <v>32</v>
      </c>
      <c r="G3621" t="s">
        <v>24</v>
      </c>
      <c r="H3621" t="s">
        <v>25</v>
      </c>
      <c r="I3621" t="s">
        <v>35</v>
      </c>
      <c r="J3621" t="s">
        <v>27</v>
      </c>
      <c r="K3621">
        <v>7</v>
      </c>
      <c r="L3621">
        <v>97522</v>
      </c>
      <c r="M3621" t="s">
        <v>45</v>
      </c>
      <c r="N3621">
        <v>1</v>
      </c>
      <c r="O3621">
        <v>3</v>
      </c>
      <c r="P3621">
        <v>78</v>
      </c>
      <c r="Q3621">
        <v>1</v>
      </c>
      <c r="R3621" s="1">
        <v>42624</v>
      </c>
      <c r="S3621" t="s">
        <v>29</v>
      </c>
      <c r="T3621" t="str">
        <f t="shared" si="280"/>
        <v>Grade A</v>
      </c>
      <c r="U3621">
        <f t="shared" si="281"/>
        <v>2</v>
      </c>
      <c r="V3621" t="str">
        <f t="shared" si="282"/>
        <v>Mid Level</v>
      </c>
      <c r="W3621" t="str">
        <f t="shared" si="283"/>
        <v>Medium Risk</v>
      </c>
      <c r="X3621" t="str">
        <f t="shared" si="284"/>
        <v>Fair</v>
      </c>
    </row>
    <row r="3622" spans="1:24" x14ac:dyDescent="0.3">
      <c r="A3622" t="s">
        <v>3690</v>
      </c>
      <c r="B3622" t="s">
        <v>20</v>
      </c>
      <c r="C3622">
        <v>50</v>
      </c>
      <c r="D3622" t="s">
        <v>57</v>
      </c>
      <c r="E3622" t="s">
        <v>40</v>
      </c>
      <c r="F3622" t="s">
        <v>32</v>
      </c>
      <c r="G3622" t="s">
        <v>63</v>
      </c>
      <c r="H3622" t="s">
        <v>83</v>
      </c>
      <c r="I3622" t="s">
        <v>68</v>
      </c>
      <c r="J3622" t="s">
        <v>60</v>
      </c>
      <c r="K3622">
        <v>8</v>
      </c>
      <c r="L3622">
        <v>52190</v>
      </c>
      <c r="M3622" t="s">
        <v>45</v>
      </c>
      <c r="N3622">
        <v>3</v>
      </c>
      <c r="O3622">
        <v>4</v>
      </c>
      <c r="P3622">
        <v>20</v>
      </c>
      <c r="Q3622">
        <v>1</v>
      </c>
      <c r="R3622" s="1">
        <v>42082</v>
      </c>
      <c r="S3622" t="s">
        <v>29</v>
      </c>
      <c r="T3622" t="str">
        <f t="shared" si="280"/>
        <v>Grade B</v>
      </c>
      <c r="U3622">
        <f t="shared" si="281"/>
        <v>2</v>
      </c>
      <c r="V3622" t="str">
        <f t="shared" si="282"/>
        <v>Mid Level</v>
      </c>
      <c r="W3622" t="str">
        <f t="shared" si="283"/>
        <v>Medium Risk</v>
      </c>
      <c r="X3622" t="str">
        <f t="shared" si="284"/>
        <v>Fair</v>
      </c>
    </row>
    <row r="3623" spans="1:24" x14ac:dyDescent="0.3">
      <c r="A3623" t="s">
        <v>3691</v>
      </c>
      <c r="B3623" t="s">
        <v>20</v>
      </c>
      <c r="C3623">
        <v>35</v>
      </c>
      <c r="D3623" t="s">
        <v>88</v>
      </c>
      <c r="E3623" t="s">
        <v>40</v>
      </c>
      <c r="F3623" t="s">
        <v>32</v>
      </c>
      <c r="G3623" t="s">
        <v>79</v>
      </c>
      <c r="H3623" t="s">
        <v>67</v>
      </c>
      <c r="I3623" t="s">
        <v>80</v>
      </c>
      <c r="J3623" t="s">
        <v>60</v>
      </c>
      <c r="K3623">
        <v>5</v>
      </c>
      <c r="L3623">
        <v>50232</v>
      </c>
      <c r="M3623" t="s">
        <v>45</v>
      </c>
      <c r="N3623">
        <v>2</v>
      </c>
      <c r="O3623">
        <v>3</v>
      </c>
      <c r="P3623">
        <v>31</v>
      </c>
      <c r="Q3623">
        <v>0</v>
      </c>
      <c r="R3623" s="1">
        <v>43219</v>
      </c>
      <c r="S3623" t="s">
        <v>29</v>
      </c>
      <c r="T3623" t="str">
        <f t="shared" si="280"/>
        <v>Grade B</v>
      </c>
      <c r="U3623">
        <f t="shared" si="281"/>
        <v>2</v>
      </c>
      <c r="V3623" t="str">
        <f t="shared" si="282"/>
        <v>Junior</v>
      </c>
      <c r="W3623" t="str">
        <f t="shared" si="283"/>
        <v>Medium Risk</v>
      </c>
      <c r="X3623" t="str">
        <f t="shared" si="284"/>
        <v>Fair</v>
      </c>
    </row>
    <row r="3624" spans="1:24" x14ac:dyDescent="0.3">
      <c r="A3624" t="s">
        <v>3692</v>
      </c>
      <c r="B3624" t="s">
        <v>39</v>
      </c>
      <c r="C3624">
        <v>27</v>
      </c>
      <c r="D3624" t="s">
        <v>21</v>
      </c>
      <c r="E3624" t="s">
        <v>40</v>
      </c>
      <c r="F3624" t="s">
        <v>32</v>
      </c>
      <c r="G3624" t="s">
        <v>66</v>
      </c>
      <c r="H3624" t="s">
        <v>76</v>
      </c>
      <c r="I3624" t="s">
        <v>80</v>
      </c>
      <c r="J3624" t="s">
        <v>60</v>
      </c>
      <c r="K3624">
        <v>13</v>
      </c>
      <c r="L3624">
        <v>56228</v>
      </c>
      <c r="M3624" t="s">
        <v>28</v>
      </c>
      <c r="N3624">
        <v>4</v>
      </c>
      <c r="O3624">
        <v>4</v>
      </c>
      <c r="P3624">
        <v>67</v>
      </c>
      <c r="Q3624">
        <v>2</v>
      </c>
      <c r="R3624" s="1">
        <v>40523</v>
      </c>
      <c r="S3624" t="s">
        <v>29</v>
      </c>
      <c r="T3624" t="str">
        <f t="shared" si="280"/>
        <v>Grade B</v>
      </c>
      <c r="U3624">
        <f t="shared" si="281"/>
        <v>3</v>
      </c>
      <c r="V3624" t="str">
        <f t="shared" si="282"/>
        <v>Senior</v>
      </c>
      <c r="W3624" t="str">
        <f t="shared" si="283"/>
        <v>Medium Risk</v>
      </c>
      <c r="X3624" t="str">
        <f t="shared" si="284"/>
        <v>Competitive</v>
      </c>
    </row>
    <row r="3625" spans="1:24" x14ac:dyDescent="0.3">
      <c r="A3625" t="s">
        <v>3693</v>
      </c>
      <c r="B3625" t="s">
        <v>39</v>
      </c>
      <c r="C3625">
        <v>27</v>
      </c>
      <c r="D3625" t="s">
        <v>21</v>
      </c>
      <c r="E3625" t="s">
        <v>48</v>
      </c>
      <c r="F3625" t="s">
        <v>78</v>
      </c>
      <c r="G3625" t="s">
        <v>33</v>
      </c>
      <c r="H3625" t="s">
        <v>34</v>
      </c>
      <c r="I3625" t="s">
        <v>80</v>
      </c>
      <c r="J3625" t="s">
        <v>60</v>
      </c>
      <c r="K3625">
        <v>14</v>
      </c>
      <c r="L3625">
        <v>84534</v>
      </c>
      <c r="M3625" t="s">
        <v>36</v>
      </c>
      <c r="N3625">
        <v>3</v>
      </c>
      <c r="O3625">
        <v>3</v>
      </c>
      <c r="P3625">
        <v>24</v>
      </c>
      <c r="Q3625">
        <v>1</v>
      </c>
      <c r="R3625" s="1">
        <v>39948</v>
      </c>
      <c r="S3625" t="s">
        <v>37</v>
      </c>
      <c r="T3625" t="str">
        <f t="shared" si="280"/>
        <v>Grade A</v>
      </c>
      <c r="U3625">
        <f t="shared" si="281"/>
        <v>1</v>
      </c>
      <c r="V3625" t="str">
        <f t="shared" si="282"/>
        <v>Senior</v>
      </c>
      <c r="W3625" t="str">
        <f t="shared" si="283"/>
        <v>Already Left</v>
      </c>
      <c r="X3625" t="str">
        <f t="shared" si="284"/>
        <v>Overpaid</v>
      </c>
    </row>
    <row r="3626" spans="1:24" x14ac:dyDescent="0.3">
      <c r="A3626" t="s">
        <v>3694</v>
      </c>
      <c r="B3626" t="s">
        <v>20</v>
      </c>
      <c r="C3626">
        <v>39</v>
      </c>
      <c r="D3626" t="s">
        <v>21</v>
      </c>
      <c r="E3626" t="s">
        <v>48</v>
      </c>
      <c r="F3626" t="s">
        <v>78</v>
      </c>
      <c r="G3626" t="s">
        <v>58</v>
      </c>
      <c r="H3626" t="s">
        <v>83</v>
      </c>
      <c r="I3626" t="s">
        <v>43</v>
      </c>
      <c r="J3626" t="s">
        <v>44</v>
      </c>
      <c r="K3626">
        <v>11</v>
      </c>
      <c r="L3626">
        <v>100732</v>
      </c>
      <c r="M3626" t="s">
        <v>36</v>
      </c>
      <c r="N3626">
        <v>3</v>
      </c>
      <c r="O3626">
        <v>1</v>
      </c>
      <c r="P3626">
        <v>18</v>
      </c>
      <c r="Q3626">
        <v>2</v>
      </c>
      <c r="R3626" s="1">
        <v>40985</v>
      </c>
      <c r="S3626" t="s">
        <v>37</v>
      </c>
      <c r="T3626" t="str">
        <f t="shared" si="280"/>
        <v>Grade A</v>
      </c>
      <c r="U3626">
        <f t="shared" si="281"/>
        <v>1</v>
      </c>
      <c r="V3626" t="str">
        <f t="shared" si="282"/>
        <v>Senior</v>
      </c>
      <c r="W3626" t="str">
        <f t="shared" si="283"/>
        <v>Already Left</v>
      </c>
      <c r="X3626" t="str">
        <f t="shared" si="284"/>
        <v>Overpaid</v>
      </c>
    </row>
    <row r="3627" spans="1:24" x14ac:dyDescent="0.3">
      <c r="A3627" t="s">
        <v>3695</v>
      </c>
      <c r="B3627" t="s">
        <v>39</v>
      </c>
      <c r="C3627">
        <v>41</v>
      </c>
      <c r="D3627" t="s">
        <v>47</v>
      </c>
      <c r="E3627" t="s">
        <v>22</v>
      </c>
      <c r="F3627" t="s">
        <v>65</v>
      </c>
      <c r="G3627" t="s">
        <v>33</v>
      </c>
      <c r="H3627" t="s">
        <v>83</v>
      </c>
      <c r="I3627" t="s">
        <v>54</v>
      </c>
      <c r="J3627" t="s">
        <v>27</v>
      </c>
      <c r="K3627">
        <v>15</v>
      </c>
      <c r="L3627">
        <v>89458</v>
      </c>
      <c r="M3627" t="s">
        <v>51</v>
      </c>
      <c r="N3627">
        <v>4</v>
      </c>
      <c r="O3627">
        <v>3</v>
      </c>
      <c r="P3627">
        <v>13</v>
      </c>
      <c r="Q3627">
        <v>2</v>
      </c>
      <c r="R3627" s="1">
        <v>39618</v>
      </c>
      <c r="S3627" t="s">
        <v>29</v>
      </c>
      <c r="T3627" t="str">
        <f t="shared" si="280"/>
        <v>Grade A</v>
      </c>
      <c r="U3627">
        <f t="shared" si="281"/>
        <v>4</v>
      </c>
      <c r="V3627" t="str">
        <f t="shared" si="282"/>
        <v>Senior</v>
      </c>
      <c r="W3627" t="str">
        <f t="shared" si="283"/>
        <v>Low Risk</v>
      </c>
      <c r="X3627" t="str">
        <f t="shared" si="284"/>
        <v>Competitive</v>
      </c>
    </row>
    <row r="3628" spans="1:24" x14ac:dyDescent="0.3">
      <c r="A3628" t="s">
        <v>3696</v>
      </c>
      <c r="B3628" t="s">
        <v>39</v>
      </c>
      <c r="C3628">
        <v>51</v>
      </c>
      <c r="D3628" t="s">
        <v>21</v>
      </c>
      <c r="E3628" t="s">
        <v>40</v>
      </c>
      <c r="F3628" t="s">
        <v>41</v>
      </c>
      <c r="G3628" t="s">
        <v>66</v>
      </c>
      <c r="H3628" t="s">
        <v>67</v>
      </c>
      <c r="I3628" t="s">
        <v>72</v>
      </c>
      <c r="J3628" t="s">
        <v>73</v>
      </c>
      <c r="K3628">
        <v>9</v>
      </c>
      <c r="L3628">
        <v>59431</v>
      </c>
      <c r="M3628" t="s">
        <v>28</v>
      </c>
      <c r="N3628">
        <v>1</v>
      </c>
      <c r="O3628">
        <v>1</v>
      </c>
      <c r="P3628">
        <v>40</v>
      </c>
      <c r="Q3628">
        <v>2</v>
      </c>
      <c r="R3628" s="1">
        <v>41678</v>
      </c>
      <c r="S3628" t="s">
        <v>29</v>
      </c>
      <c r="T3628" t="str">
        <f t="shared" si="280"/>
        <v>Grade B</v>
      </c>
      <c r="U3628">
        <f t="shared" si="281"/>
        <v>3</v>
      </c>
      <c r="V3628" t="str">
        <f t="shared" si="282"/>
        <v>Mid Level</v>
      </c>
      <c r="W3628" t="str">
        <f t="shared" si="283"/>
        <v>Medium Risk</v>
      </c>
      <c r="X3628" t="str">
        <f t="shared" si="284"/>
        <v>Competitive</v>
      </c>
    </row>
    <row r="3629" spans="1:24" x14ac:dyDescent="0.3">
      <c r="A3629" t="s">
        <v>3697</v>
      </c>
      <c r="B3629" t="s">
        <v>39</v>
      </c>
      <c r="C3629">
        <v>38</v>
      </c>
      <c r="D3629" t="s">
        <v>57</v>
      </c>
      <c r="E3629" t="s">
        <v>22</v>
      </c>
      <c r="F3629" t="s">
        <v>62</v>
      </c>
      <c r="G3629" t="s">
        <v>79</v>
      </c>
      <c r="H3629" t="s">
        <v>67</v>
      </c>
      <c r="I3629" t="s">
        <v>96</v>
      </c>
      <c r="J3629" t="s">
        <v>44</v>
      </c>
      <c r="K3629">
        <v>9</v>
      </c>
      <c r="L3629">
        <v>49213</v>
      </c>
      <c r="M3629" t="s">
        <v>51</v>
      </c>
      <c r="N3629">
        <v>1</v>
      </c>
      <c r="O3629">
        <v>2</v>
      </c>
      <c r="P3629">
        <v>79</v>
      </c>
      <c r="Q3629">
        <v>2</v>
      </c>
      <c r="R3629" s="1">
        <v>41848</v>
      </c>
      <c r="S3629" t="s">
        <v>37</v>
      </c>
      <c r="T3629" t="str">
        <f t="shared" si="280"/>
        <v>Grade C</v>
      </c>
      <c r="U3629">
        <f t="shared" si="281"/>
        <v>4</v>
      </c>
      <c r="V3629" t="str">
        <f t="shared" si="282"/>
        <v>Mid Level</v>
      </c>
      <c r="W3629" t="str">
        <f t="shared" si="283"/>
        <v>Already Left</v>
      </c>
      <c r="X3629" t="str">
        <f t="shared" si="284"/>
        <v>Fair</v>
      </c>
    </row>
    <row r="3630" spans="1:24" x14ac:dyDescent="0.3">
      <c r="A3630" t="s">
        <v>3698</v>
      </c>
      <c r="B3630" t="s">
        <v>39</v>
      </c>
      <c r="C3630">
        <v>22</v>
      </c>
      <c r="D3630" t="s">
        <v>88</v>
      </c>
      <c r="E3630" t="s">
        <v>48</v>
      </c>
      <c r="F3630" t="s">
        <v>78</v>
      </c>
      <c r="G3630" t="s">
        <v>49</v>
      </c>
      <c r="H3630" t="s">
        <v>67</v>
      </c>
      <c r="I3630" t="s">
        <v>80</v>
      </c>
      <c r="J3630" t="s">
        <v>60</v>
      </c>
      <c r="K3630">
        <v>13</v>
      </c>
      <c r="L3630">
        <v>69283</v>
      </c>
      <c r="M3630" t="s">
        <v>36</v>
      </c>
      <c r="N3630">
        <v>4</v>
      </c>
      <c r="O3630">
        <v>4</v>
      </c>
      <c r="P3630">
        <v>16</v>
      </c>
      <c r="Q3630">
        <v>2</v>
      </c>
      <c r="R3630" s="1">
        <v>40285</v>
      </c>
      <c r="S3630" t="s">
        <v>37</v>
      </c>
      <c r="T3630" t="str">
        <f t="shared" si="280"/>
        <v>Grade B</v>
      </c>
      <c r="U3630">
        <f t="shared" si="281"/>
        <v>1</v>
      </c>
      <c r="V3630" t="str">
        <f t="shared" si="282"/>
        <v>Senior</v>
      </c>
      <c r="W3630" t="str">
        <f t="shared" si="283"/>
        <v>Already Left</v>
      </c>
      <c r="X3630" t="str">
        <f t="shared" si="284"/>
        <v>Fair</v>
      </c>
    </row>
    <row r="3631" spans="1:24" x14ac:dyDescent="0.3">
      <c r="A3631" t="s">
        <v>3699</v>
      </c>
      <c r="B3631" t="s">
        <v>20</v>
      </c>
      <c r="C3631">
        <v>31</v>
      </c>
      <c r="D3631" t="s">
        <v>88</v>
      </c>
      <c r="E3631" t="s">
        <v>22</v>
      </c>
      <c r="F3631" t="s">
        <v>65</v>
      </c>
      <c r="G3631" t="s">
        <v>66</v>
      </c>
      <c r="H3631" t="s">
        <v>76</v>
      </c>
      <c r="I3631" t="s">
        <v>68</v>
      </c>
      <c r="J3631" t="s">
        <v>60</v>
      </c>
      <c r="K3631">
        <v>4</v>
      </c>
      <c r="L3631">
        <v>42132</v>
      </c>
      <c r="M3631" t="s">
        <v>51</v>
      </c>
      <c r="N3631">
        <v>2</v>
      </c>
      <c r="O3631">
        <v>3</v>
      </c>
      <c r="P3631">
        <v>74</v>
      </c>
      <c r="Q3631">
        <v>2</v>
      </c>
      <c r="R3631" s="1">
        <v>43634</v>
      </c>
      <c r="S3631" t="s">
        <v>37</v>
      </c>
      <c r="T3631" t="str">
        <f t="shared" si="280"/>
        <v>Grade C</v>
      </c>
      <c r="U3631">
        <f t="shared" si="281"/>
        <v>4</v>
      </c>
      <c r="V3631" t="str">
        <f t="shared" si="282"/>
        <v>Junior</v>
      </c>
      <c r="W3631" t="str">
        <f t="shared" si="283"/>
        <v>Already Left</v>
      </c>
      <c r="X3631" t="str">
        <f t="shared" si="284"/>
        <v>Fair</v>
      </c>
    </row>
    <row r="3632" spans="1:24" x14ac:dyDescent="0.3">
      <c r="A3632" t="s">
        <v>3700</v>
      </c>
      <c r="B3632" t="s">
        <v>20</v>
      </c>
      <c r="C3632">
        <v>26</v>
      </c>
      <c r="D3632" t="s">
        <v>47</v>
      </c>
      <c r="E3632" t="s">
        <v>22</v>
      </c>
      <c r="F3632" t="s">
        <v>78</v>
      </c>
      <c r="G3632" t="s">
        <v>63</v>
      </c>
      <c r="H3632" t="s">
        <v>76</v>
      </c>
      <c r="I3632" t="s">
        <v>35</v>
      </c>
      <c r="J3632" t="s">
        <v>27</v>
      </c>
      <c r="K3632">
        <v>9</v>
      </c>
      <c r="L3632">
        <v>62259</v>
      </c>
      <c r="M3632" t="s">
        <v>51</v>
      </c>
      <c r="N3632">
        <v>2</v>
      </c>
      <c r="O3632">
        <v>2</v>
      </c>
      <c r="P3632">
        <v>46</v>
      </c>
      <c r="Q3632">
        <v>3</v>
      </c>
      <c r="R3632" s="1">
        <v>41652</v>
      </c>
      <c r="S3632" t="s">
        <v>29</v>
      </c>
      <c r="T3632" t="str">
        <f t="shared" si="280"/>
        <v>Grade B</v>
      </c>
      <c r="U3632">
        <f t="shared" si="281"/>
        <v>4</v>
      </c>
      <c r="V3632" t="str">
        <f t="shared" si="282"/>
        <v>Mid Level</v>
      </c>
      <c r="W3632" t="str">
        <f t="shared" si="283"/>
        <v>Low Risk</v>
      </c>
      <c r="X3632" t="str">
        <f t="shared" si="284"/>
        <v>Fair</v>
      </c>
    </row>
    <row r="3633" spans="1:24" x14ac:dyDescent="0.3">
      <c r="A3633" t="s">
        <v>3701</v>
      </c>
      <c r="B3633" t="s">
        <v>20</v>
      </c>
      <c r="C3633">
        <v>31</v>
      </c>
      <c r="D3633" t="s">
        <v>47</v>
      </c>
      <c r="E3633" t="s">
        <v>48</v>
      </c>
      <c r="F3633" t="s">
        <v>65</v>
      </c>
      <c r="G3633" t="s">
        <v>33</v>
      </c>
      <c r="H3633" t="s">
        <v>34</v>
      </c>
      <c r="I3633" t="s">
        <v>50</v>
      </c>
      <c r="J3633" t="s">
        <v>44</v>
      </c>
      <c r="K3633">
        <v>13</v>
      </c>
      <c r="L3633">
        <v>77387</v>
      </c>
      <c r="M3633" t="s">
        <v>28</v>
      </c>
      <c r="N3633">
        <v>2</v>
      </c>
      <c r="O3633">
        <v>4</v>
      </c>
      <c r="P3633">
        <v>44</v>
      </c>
      <c r="Q3633">
        <v>1</v>
      </c>
      <c r="R3633" s="1">
        <v>40473</v>
      </c>
      <c r="S3633" t="s">
        <v>29</v>
      </c>
      <c r="T3633" t="str">
        <f t="shared" si="280"/>
        <v>Grade B</v>
      </c>
      <c r="U3633">
        <f t="shared" si="281"/>
        <v>3</v>
      </c>
      <c r="V3633" t="str">
        <f t="shared" si="282"/>
        <v>Senior</v>
      </c>
      <c r="W3633" t="str">
        <f t="shared" si="283"/>
        <v>Medium Risk</v>
      </c>
      <c r="X3633" t="str">
        <f t="shared" si="284"/>
        <v>Competitive</v>
      </c>
    </row>
    <row r="3634" spans="1:24" x14ac:dyDescent="0.3">
      <c r="A3634" t="s">
        <v>3702</v>
      </c>
      <c r="B3634" t="s">
        <v>39</v>
      </c>
      <c r="C3634">
        <v>49</v>
      </c>
      <c r="D3634" t="s">
        <v>47</v>
      </c>
      <c r="E3634" t="s">
        <v>40</v>
      </c>
      <c r="F3634" t="s">
        <v>41</v>
      </c>
      <c r="G3634" t="s">
        <v>33</v>
      </c>
      <c r="H3634" t="s">
        <v>83</v>
      </c>
      <c r="I3634" t="s">
        <v>43</v>
      </c>
      <c r="J3634" t="s">
        <v>44</v>
      </c>
      <c r="K3634">
        <v>14</v>
      </c>
      <c r="L3634">
        <v>79893</v>
      </c>
      <c r="M3634" t="s">
        <v>28</v>
      </c>
      <c r="N3634">
        <v>3</v>
      </c>
      <c r="O3634">
        <v>4</v>
      </c>
      <c r="P3634">
        <v>57</v>
      </c>
      <c r="Q3634">
        <v>2</v>
      </c>
      <c r="R3634" s="1">
        <v>39942</v>
      </c>
      <c r="S3634" t="s">
        <v>29</v>
      </c>
      <c r="T3634" t="str">
        <f t="shared" si="280"/>
        <v>Grade B</v>
      </c>
      <c r="U3634">
        <f t="shared" si="281"/>
        <v>3</v>
      </c>
      <c r="V3634" t="str">
        <f t="shared" si="282"/>
        <v>Senior</v>
      </c>
      <c r="W3634" t="str">
        <f t="shared" si="283"/>
        <v>Medium Risk</v>
      </c>
      <c r="X3634" t="str">
        <f t="shared" si="284"/>
        <v>Competitive</v>
      </c>
    </row>
    <row r="3635" spans="1:24" x14ac:dyDescent="0.3">
      <c r="A3635" t="s">
        <v>3703</v>
      </c>
      <c r="B3635" t="s">
        <v>20</v>
      </c>
      <c r="C3635">
        <v>46</v>
      </c>
      <c r="D3635" t="s">
        <v>88</v>
      </c>
      <c r="E3635" t="s">
        <v>40</v>
      </c>
      <c r="F3635" t="s">
        <v>78</v>
      </c>
      <c r="G3635" t="s">
        <v>63</v>
      </c>
      <c r="H3635" t="s">
        <v>83</v>
      </c>
      <c r="I3635" t="s">
        <v>35</v>
      </c>
      <c r="J3635" t="s">
        <v>27</v>
      </c>
      <c r="K3635">
        <v>10</v>
      </c>
      <c r="L3635">
        <v>63354</v>
      </c>
      <c r="M3635" t="s">
        <v>51</v>
      </c>
      <c r="N3635">
        <v>3</v>
      </c>
      <c r="O3635">
        <v>2</v>
      </c>
      <c r="P3635">
        <v>75</v>
      </c>
      <c r="Q3635">
        <v>2</v>
      </c>
      <c r="R3635" s="1">
        <v>41582</v>
      </c>
      <c r="S3635" t="s">
        <v>29</v>
      </c>
      <c r="T3635" t="str">
        <f t="shared" si="280"/>
        <v>Grade B</v>
      </c>
      <c r="U3635">
        <f t="shared" si="281"/>
        <v>4</v>
      </c>
      <c r="V3635" t="str">
        <f t="shared" si="282"/>
        <v>Mid Level</v>
      </c>
      <c r="W3635" t="str">
        <f t="shared" si="283"/>
        <v>Low Risk</v>
      </c>
      <c r="X3635" t="str">
        <f t="shared" si="284"/>
        <v>Fair</v>
      </c>
    </row>
    <row r="3636" spans="1:24" x14ac:dyDescent="0.3">
      <c r="A3636" t="s">
        <v>3704</v>
      </c>
      <c r="B3636" t="s">
        <v>20</v>
      </c>
      <c r="C3636">
        <v>50</v>
      </c>
      <c r="D3636" t="s">
        <v>88</v>
      </c>
      <c r="E3636" t="s">
        <v>40</v>
      </c>
      <c r="F3636" t="s">
        <v>23</v>
      </c>
      <c r="G3636" t="s">
        <v>63</v>
      </c>
      <c r="H3636" t="s">
        <v>83</v>
      </c>
      <c r="I3636" t="s">
        <v>43</v>
      </c>
      <c r="J3636" t="s">
        <v>44</v>
      </c>
      <c r="K3636">
        <v>13</v>
      </c>
      <c r="L3636">
        <v>77484</v>
      </c>
      <c r="M3636" t="s">
        <v>36</v>
      </c>
      <c r="N3636">
        <v>3</v>
      </c>
      <c r="O3636">
        <v>2</v>
      </c>
      <c r="P3636">
        <v>27</v>
      </c>
      <c r="Q3636">
        <v>2</v>
      </c>
      <c r="R3636" s="1">
        <v>40336</v>
      </c>
      <c r="S3636" t="s">
        <v>29</v>
      </c>
      <c r="T3636" t="str">
        <f t="shared" si="280"/>
        <v>Grade B</v>
      </c>
      <c r="U3636">
        <f t="shared" si="281"/>
        <v>1</v>
      </c>
      <c r="V3636" t="str">
        <f t="shared" si="282"/>
        <v>Senior</v>
      </c>
      <c r="W3636" t="str">
        <f t="shared" si="283"/>
        <v>Medium Risk</v>
      </c>
      <c r="X3636" t="str">
        <f t="shared" si="284"/>
        <v>Fair</v>
      </c>
    </row>
    <row r="3637" spans="1:24" x14ac:dyDescent="0.3">
      <c r="A3637" t="s">
        <v>3705</v>
      </c>
      <c r="B3637" t="s">
        <v>20</v>
      </c>
      <c r="C3637">
        <v>26</v>
      </c>
      <c r="D3637" t="s">
        <v>88</v>
      </c>
      <c r="E3637" t="s">
        <v>40</v>
      </c>
      <c r="F3637" t="s">
        <v>78</v>
      </c>
      <c r="G3637" t="s">
        <v>49</v>
      </c>
      <c r="H3637" t="s">
        <v>25</v>
      </c>
      <c r="I3637" t="s">
        <v>54</v>
      </c>
      <c r="J3637" t="s">
        <v>27</v>
      </c>
      <c r="K3637">
        <v>10</v>
      </c>
      <c r="L3637">
        <v>61350</v>
      </c>
      <c r="M3637" t="s">
        <v>28</v>
      </c>
      <c r="N3637">
        <v>2</v>
      </c>
      <c r="O3637">
        <v>2</v>
      </c>
      <c r="P3637">
        <v>58</v>
      </c>
      <c r="Q3637">
        <v>0</v>
      </c>
      <c r="R3637" s="1">
        <v>41314</v>
      </c>
      <c r="S3637" t="s">
        <v>29</v>
      </c>
      <c r="T3637" t="str">
        <f t="shared" si="280"/>
        <v>Grade B</v>
      </c>
      <c r="U3637">
        <f t="shared" si="281"/>
        <v>3</v>
      </c>
      <c r="V3637" t="str">
        <f t="shared" si="282"/>
        <v>Mid Level</v>
      </c>
      <c r="W3637" t="str">
        <f t="shared" si="283"/>
        <v>Medium Risk</v>
      </c>
      <c r="X3637" t="str">
        <f t="shared" si="284"/>
        <v>Competitive</v>
      </c>
    </row>
    <row r="3638" spans="1:24" x14ac:dyDescent="0.3">
      <c r="A3638" t="s">
        <v>3706</v>
      </c>
      <c r="B3638" t="s">
        <v>20</v>
      </c>
      <c r="C3638">
        <v>34</v>
      </c>
      <c r="D3638" t="s">
        <v>57</v>
      </c>
      <c r="E3638" t="s">
        <v>40</v>
      </c>
      <c r="F3638" t="s">
        <v>75</v>
      </c>
      <c r="G3638" t="s">
        <v>33</v>
      </c>
      <c r="H3638" t="s">
        <v>83</v>
      </c>
      <c r="I3638" t="s">
        <v>59</v>
      </c>
      <c r="J3638" t="s">
        <v>60</v>
      </c>
      <c r="K3638">
        <v>12</v>
      </c>
      <c r="L3638">
        <v>83351</v>
      </c>
      <c r="M3638" t="s">
        <v>45</v>
      </c>
      <c r="N3638">
        <v>1</v>
      </c>
      <c r="O3638">
        <v>2</v>
      </c>
      <c r="P3638">
        <v>67</v>
      </c>
      <c r="Q3638">
        <v>0</v>
      </c>
      <c r="R3638" s="1">
        <v>40816</v>
      </c>
      <c r="S3638" t="s">
        <v>29</v>
      </c>
      <c r="T3638" t="str">
        <f t="shared" si="280"/>
        <v>Grade A</v>
      </c>
      <c r="U3638">
        <f t="shared" si="281"/>
        <v>2</v>
      </c>
      <c r="V3638" t="str">
        <f t="shared" si="282"/>
        <v>Senior</v>
      </c>
      <c r="W3638" t="str">
        <f t="shared" si="283"/>
        <v>Medium Risk</v>
      </c>
      <c r="X3638" t="str">
        <f t="shared" si="284"/>
        <v>Fair</v>
      </c>
    </row>
    <row r="3639" spans="1:24" x14ac:dyDescent="0.3">
      <c r="A3639" t="s">
        <v>3707</v>
      </c>
      <c r="B3639" t="s">
        <v>39</v>
      </c>
      <c r="C3639">
        <v>24</v>
      </c>
      <c r="D3639" t="s">
        <v>31</v>
      </c>
      <c r="E3639" t="s">
        <v>48</v>
      </c>
      <c r="F3639" t="s">
        <v>41</v>
      </c>
      <c r="G3639" t="s">
        <v>58</v>
      </c>
      <c r="H3639" t="s">
        <v>34</v>
      </c>
      <c r="I3639" t="s">
        <v>96</v>
      </c>
      <c r="J3639" t="s">
        <v>44</v>
      </c>
      <c r="K3639">
        <v>6</v>
      </c>
      <c r="L3639">
        <v>101945</v>
      </c>
      <c r="M3639" t="s">
        <v>36</v>
      </c>
      <c r="N3639">
        <v>3</v>
      </c>
      <c r="O3639">
        <v>3</v>
      </c>
      <c r="P3639">
        <v>51</v>
      </c>
      <c r="Q3639">
        <v>3</v>
      </c>
      <c r="R3639" s="1">
        <v>43043</v>
      </c>
      <c r="S3639" t="s">
        <v>37</v>
      </c>
      <c r="T3639" t="str">
        <f t="shared" si="280"/>
        <v>Grade A</v>
      </c>
      <c r="U3639">
        <f t="shared" si="281"/>
        <v>1</v>
      </c>
      <c r="V3639" t="str">
        <f t="shared" si="282"/>
        <v>Mid Level</v>
      </c>
      <c r="W3639" t="str">
        <f t="shared" si="283"/>
        <v>Already Left</v>
      </c>
      <c r="X3639" t="str">
        <f t="shared" si="284"/>
        <v>Overpaid</v>
      </c>
    </row>
    <row r="3640" spans="1:24" x14ac:dyDescent="0.3">
      <c r="A3640" t="s">
        <v>3708</v>
      </c>
      <c r="B3640" t="s">
        <v>39</v>
      </c>
      <c r="C3640">
        <v>35</v>
      </c>
      <c r="D3640" t="s">
        <v>88</v>
      </c>
      <c r="E3640" t="s">
        <v>22</v>
      </c>
      <c r="F3640" t="s">
        <v>75</v>
      </c>
      <c r="G3640" t="s">
        <v>63</v>
      </c>
      <c r="H3640" t="s">
        <v>76</v>
      </c>
      <c r="I3640" t="s">
        <v>72</v>
      </c>
      <c r="J3640" t="s">
        <v>73</v>
      </c>
      <c r="K3640">
        <v>12</v>
      </c>
      <c r="L3640">
        <v>65873</v>
      </c>
      <c r="M3640" t="s">
        <v>28</v>
      </c>
      <c r="N3640">
        <v>2</v>
      </c>
      <c r="O3640">
        <v>2</v>
      </c>
      <c r="P3640">
        <v>36</v>
      </c>
      <c r="Q3640">
        <v>0</v>
      </c>
      <c r="R3640" s="1">
        <v>40813</v>
      </c>
      <c r="S3640" t="s">
        <v>29</v>
      </c>
      <c r="T3640" t="str">
        <f t="shared" si="280"/>
        <v>Grade B</v>
      </c>
      <c r="U3640">
        <f t="shared" si="281"/>
        <v>3</v>
      </c>
      <c r="V3640" t="str">
        <f t="shared" si="282"/>
        <v>Senior</v>
      </c>
      <c r="W3640" t="str">
        <f t="shared" si="283"/>
        <v>Medium Risk</v>
      </c>
      <c r="X3640" t="str">
        <f t="shared" si="284"/>
        <v>Competitive</v>
      </c>
    </row>
    <row r="3641" spans="1:24" x14ac:dyDescent="0.3">
      <c r="A3641" t="s">
        <v>3709</v>
      </c>
      <c r="B3641" t="s">
        <v>39</v>
      </c>
      <c r="C3641">
        <v>23</v>
      </c>
      <c r="D3641" t="s">
        <v>31</v>
      </c>
      <c r="E3641" t="s">
        <v>40</v>
      </c>
      <c r="F3641" t="s">
        <v>53</v>
      </c>
      <c r="G3641" t="s">
        <v>33</v>
      </c>
      <c r="H3641" t="s">
        <v>83</v>
      </c>
      <c r="I3641" t="s">
        <v>80</v>
      </c>
      <c r="J3641" t="s">
        <v>60</v>
      </c>
      <c r="K3641">
        <v>4</v>
      </c>
      <c r="L3641">
        <v>77479</v>
      </c>
      <c r="M3641" t="s">
        <v>51</v>
      </c>
      <c r="N3641">
        <v>4</v>
      </c>
      <c r="O3641">
        <v>2</v>
      </c>
      <c r="P3641">
        <v>73</v>
      </c>
      <c r="Q3641">
        <v>0</v>
      </c>
      <c r="R3641" s="1">
        <v>43551</v>
      </c>
      <c r="S3641" t="s">
        <v>29</v>
      </c>
      <c r="T3641" t="str">
        <f t="shared" si="280"/>
        <v>Grade B</v>
      </c>
      <c r="U3641">
        <f t="shared" si="281"/>
        <v>4</v>
      </c>
      <c r="V3641" t="str">
        <f t="shared" si="282"/>
        <v>Junior</v>
      </c>
      <c r="W3641" t="str">
        <f t="shared" si="283"/>
        <v>Low Risk</v>
      </c>
      <c r="X3641" t="str">
        <f t="shared" si="284"/>
        <v>Fair</v>
      </c>
    </row>
    <row r="3642" spans="1:24" x14ac:dyDescent="0.3">
      <c r="A3642" t="s">
        <v>3710</v>
      </c>
      <c r="B3642" t="s">
        <v>20</v>
      </c>
      <c r="C3642">
        <v>44</v>
      </c>
      <c r="D3642" t="s">
        <v>88</v>
      </c>
      <c r="E3642" t="s">
        <v>22</v>
      </c>
      <c r="F3642" t="s">
        <v>53</v>
      </c>
      <c r="G3642" t="s">
        <v>33</v>
      </c>
      <c r="H3642" t="s">
        <v>67</v>
      </c>
      <c r="I3642" t="s">
        <v>26</v>
      </c>
      <c r="J3642" t="s">
        <v>27</v>
      </c>
      <c r="K3642">
        <v>6</v>
      </c>
      <c r="L3642">
        <v>80640</v>
      </c>
      <c r="M3642" t="s">
        <v>28</v>
      </c>
      <c r="N3642">
        <v>1</v>
      </c>
      <c r="O3642">
        <v>2</v>
      </c>
      <c r="P3642">
        <v>26</v>
      </c>
      <c r="Q3642">
        <v>1</v>
      </c>
      <c r="R3642" s="1">
        <v>42849</v>
      </c>
      <c r="S3642" t="s">
        <v>29</v>
      </c>
      <c r="T3642" t="str">
        <f t="shared" si="280"/>
        <v>Grade A</v>
      </c>
      <c r="U3642">
        <f t="shared" si="281"/>
        <v>3</v>
      </c>
      <c r="V3642" t="str">
        <f t="shared" si="282"/>
        <v>Mid Level</v>
      </c>
      <c r="W3642" t="str">
        <f t="shared" si="283"/>
        <v>Medium Risk</v>
      </c>
      <c r="X3642" t="str">
        <f t="shared" si="284"/>
        <v>Competitive</v>
      </c>
    </row>
    <row r="3643" spans="1:24" x14ac:dyDescent="0.3">
      <c r="A3643" t="s">
        <v>3711</v>
      </c>
      <c r="B3643" t="s">
        <v>20</v>
      </c>
      <c r="C3643">
        <v>52</v>
      </c>
      <c r="D3643" t="s">
        <v>31</v>
      </c>
      <c r="E3643" t="s">
        <v>40</v>
      </c>
      <c r="F3643" t="s">
        <v>53</v>
      </c>
      <c r="G3643" t="s">
        <v>49</v>
      </c>
      <c r="H3643" t="s">
        <v>83</v>
      </c>
      <c r="I3643" t="s">
        <v>54</v>
      </c>
      <c r="J3643" t="s">
        <v>27</v>
      </c>
      <c r="K3643">
        <v>4</v>
      </c>
      <c r="L3643">
        <v>62547</v>
      </c>
      <c r="M3643" t="s">
        <v>51</v>
      </c>
      <c r="N3643">
        <v>1</v>
      </c>
      <c r="O3643">
        <v>3</v>
      </c>
      <c r="P3643">
        <v>16</v>
      </c>
      <c r="Q3643">
        <v>3</v>
      </c>
      <c r="R3643" s="1">
        <v>43686</v>
      </c>
      <c r="S3643" t="s">
        <v>37</v>
      </c>
      <c r="T3643" t="str">
        <f t="shared" si="280"/>
        <v>Grade B</v>
      </c>
      <c r="U3643">
        <f t="shared" si="281"/>
        <v>4</v>
      </c>
      <c r="V3643" t="str">
        <f t="shared" si="282"/>
        <v>Junior</v>
      </c>
      <c r="W3643" t="str">
        <f t="shared" si="283"/>
        <v>Already Left</v>
      </c>
      <c r="X3643" t="str">
        <f t="shared" si="284"/>
        <v>Fair</v>
      </c>
    </row>
    <row r="3644" spans="1:24" x14ac:dyDescent="0.3">
      <c r="A3644" t="s">
        <v>3712</v>
      </c>
      <c r="B3644" t="s">
        <v>20</v>
      </c>
      <c r="C3644">
        <v>49</v>
      </c>
      <c r="D3644" t="s">
        <v>31</v>
      </c>
      <c r="E3644" t="s">
        <v>40</v>
      </c>
      <c r="F3644" t="s">
        <v>41</v>
      </c>
      <c r="G3644" t="s">
        <v>24</v>
      </c>
      <c r="H3644" t="s">
        <v>83</v>
      </c>
      <c r="I3644" t="s">
        <v>80</v>
      </c>
      <c r="J3644" t="s">
        <v>60</v>
      </c>
      <c r="K3644">
        <v>10</v>
      </c>
      <c r="L3644">
        <v>102647</v>
      </c>
      <c r="M3644" t="s">
        <v>28</v>
      </c>
      <c r="N3644">
        <v>2</v>
      </c>
      <c r="O3644">
        <v>2</v>
      </c>
      <c r="P3644">
        <v>65</v>
      </c>
      <c r="Q3644">
        <v>1</v>
      </c>
      <c r="R3644" s="1">
        <v>41542</v>
      </c>
      <c r="S3644" t="s">
        <v>29</v>
      </c>
      <c r="T3644" t="str">
        <f t="shared" si="280"/>
        <v>Grade A</v>
      </c>
      <c r="U3644">
        <f t="shared" si="281"/>
        <v>3</v>
      </c>
      <c r="V3644" t="str">
        <f t="shared" si="282"/>
        <v>Mid Level</v>
      </c>
      <c r="W3644" t="str">
        <f t="shared" si="283"/>
        <v>Medium Risk</v>
      </c>
      <c r="X3644" t="str">
        <f t="shared" si="284"/>
        <v>Competitive</v>
      </c>
    </row>
    <row r="3645" spans="1:24" x14ac:dyDescent="0.3">
      <c r="A3645" t="s">
        <v>3713</v>
      </c>
      <c r="B3645" t="s">
        <v>39</v>
      </c>
      <c r="C3645">
        <v>37</v>
      </c>
      <c r="D3645" t="s">
        <v>57</v>
      </c>
      <c r="E3645" t="s">
        <v>40</v>
      </c>
      <c r="F3645" t="s">
        <v>32</v>
      </c>
      <c r="G3645" t="s">
        <v>58</v>
      </c>
      <c r="H3645" t="s">
        <v>34</v>
      </c>
      <c r="I3645" t="s">
        <v>26</v>
      </c>
      <c r="J3645" t="s">
        <v>27</v>
      </c>
      <c r="K3645">
        <v>12</v>
      </c>
      <c r="L3645">
        <v>106146</v>
      </c>
      <c r="M3645" t="s">
        <v>51</v>
      </c>
      <c r="N3645">
        <v>4</v>
      </c>
      <c r="O3645">
        <v>2</v>
      </c>
      <c r="P3645">
        <v>61</v>
      </c>
      <c r="Q3645">
        <v>0</v>
      </c>
      <c r="R3645" s="1">
        <v>40625</v>
      </c>
      <c r="S3645" t="s">
        <v>29</v>
      </c>
      <c r="T3645" t="str">
        <f t="shared" si="280"/>
        <v>Grade A</v>
      </c>
      <c r="U3645">
        <f t="shared" si="281"/>
        <v>4</v>
      </c>
      <c r="V3645" t="str">
        <f t="shared" si="282"/>
        <v>Senior</v>
      </c>
      <c r="W3645" t="str">
        <f t="shared" si="283"/>
        <v>Low Risk</v>
      </c>
      <c r="X3645" t="str">
        <f t="shared" si="284"/>
        <v>Competitive</v>
      </c>
    </row>
    <row r="3646" spans="1:24" x14ac:dyDescent="0.3">
      <c r="A3646" t="s">
        <v>3714</v>
      </c>
      <c r="B3646" t="s">
        <v>20</v>
      </c>
      <c r="C3646">
        <v>27</v>
      </c>
      <c r="D3646" t="s">
        <v>31</v>
      </c>
      <c r="E3646" t="s">
        <v>40</v>
      </c>
      <c r="F3646" t="s">
        <v>23</v>
      </c>
      <c r="G3646" t="s">
        <v>63</v>
      </c>
      <c r="H3646" t="s">
        <v>25</v>
      </c>
      <c r="I3646" t="s">
        <v>80</v>
      </c>
      <c r="J3646" t="s">
        <v>60</v>
      </c>
      <c r="K3646">
        <v>11</v>
      </c>
      <c r="L3646">
        <v>59508</v>
      </c>
      <c r="M3646" t="s">
        <v>36</v>
      </c>
      <c r="N3646">
        <v>1</v>
      </c>
      <c r="O3646">
        <v>1</v>
      </c>
      <c r="P3646">
        <v>19</v>
      </c>
      <c r="Q3646">
        <v>0</v>
      </c>
      <c r="R3646" s="1">
        <v>41091</v>
      </c>
      <c r="S3646" t="s">
        <v>37</v>
      </c>
      <c r="T3646" t="str">
        <f t="shared" si="280"/>
        <v>Grade B</v>
      </c>
      <c r="U3646">
        <f t="shared" si="281"/>
        <v>1</v>
      </c>
      <c r="V3646" t="str">
        <f t="shared" si="282"/>
        <v>Senior</v>
      </c>
      <c r="W3646" t="str">
        <f t="shared" si="283"/>
        <v>Already Left</v>
      </c>
      <c r="X3646" t="str">
        <f t="shared" si="284"/>
        <v>Fair</v>
      </c>
    </row>
    <row r="3647" spans="1:24" x14ac:dyDescent="0.3">
      <c r="A3647" t="s">
        <v>3715</v>
      </c>
      <c r="B3647" t="s">
        <v>20</v>
      </c>
      <c r="C3647">
        <v>55</v>
      </c>
      <c r="D3647" t="s">
        <v>88</v>
      </c>
      <c r="E3647" t="s">
        <v>22</v>
      </c>
      <c r="F3647" t="s">
        <v>62</v>
      </c>
      <c r="G3647" t="s">
        <v>49</v>
      </c>
      <c r="H3647" t="s">
        <v>67</v>
      </c>
      <c r="I3647" t="s">
        <v>43</v>
      </c>
      <c r="J3647" t="s">
        <v>44</v>
      </c>
      <c r="K3647">
        <v>3</v>
      </c>
      <c r="L3647">
        <v>48080</v>
      </c>
      <c r="M3647" t="s">
        <v>28</v>
      </c>
      <c r="N3647">
        <v>2</v>
      </c>
      <c r="O3647">
        <v>1</v>
      </c>
      <c r="P3647">
        <v>18</v>
      </c>
      <c r="Q3647">
        <v>0</v>
      </c>
      <c r="R3647" s="1">
        <v>43946</v>
      </c>
      <c r="S3647" t="s">
        <v>29</v>
      </c>
      <c r="T3647" t="str">
        <f t="shared" si="280"/>
        <v>Grade C</v>
      </c>
      <c r="U3647">
        <f t="shared" si="281"/>
        <v>3</v>
      </c>
      <c r="V3647" t="str">
        <f t="shared" si="282"/>
        <v>Junior</v>
      </c>
      <c r="W3647" t="str">
        <f t="shared" si="283"/>
        <v>Medium Risk</v>
      </c>
      <c r="X3647" t="str">
        <f t="shared" si="284"/>
        <v>Fair</v>
      </c>
    </row>
    <row r="3648" spans="1:24" x14ac:dyDescent="0.3">
      <c r="A3648" t="s">
        <v>3716</v>
      </c>
      <c r="B3648" t="s">
        <v>20</v>
      </c>
      <c r="C3648">
        <v>41</v>
      </c>
      <c r="D3648" t="s">
        <v>57</v>
      </c>
      <c r="E3648" t="s">
        <v>40</v>
      </c>
      <c r="F3648" t="s">
        <v>41</v>
      </c>
      <c r="G3648" t="s">
        <v>49</v>
      </c>
      <c r="H3648" t="s">
        <v>83</v>
      </c>
      <c r="I3648" t="s">
        <v>35</v>
      </c>
      <c r="J3648" t="s">
        <v>27</v>
      </c>
      <c r="K3648">
        <v>3</v>
      </c>
      <c r="L3648">
        <v>50847</v>
      </c>
      <c r="M3648" t="s">
        <v>36</v>
      </c>
      <c r="N3648">
        <v>2</v>
      </c>
      <c r="O3648">
        <v>1</v>
      </c>
      <c r="P3648">
        <v>21</v>
      </c>
      <c r="Q3648">
        <v>2</v>
      </c>
      <c r="R3648" s="1">
        <v>43853</v>
      </c>
      <c r="S3648" t="s">
        <v>29</v>
      </c>
      <c r="T3648" t="str">
        <f t="shared" si="280"/>
        <v>Grade B</v>
      </c>
      <c r="U3648">
        <f t="shared" si="281"/>
        <v>1</v>
      </c>
      <c r="V3648" t="str">
        <f t="shared" si="282"/>
        <v>Junior</v>
      </c>
      <c r="W3648" t="str">
        <f t="shared" si="283"/>
        <v>Medium Risk</v>
      </c>
      <c r="X3648" t="str">
        <f t="shared" si="284"/>
        <v>Fair</v>
      </c>
    </row>
    <row r="3649" spans="1:24" x14ac:dyDescent="0.3">
      <c r="A3649" t="s">
        <v>3717</v>
      </c>
      <c r="B3649" t="s">
        <v>39</v>
      </c>
      <c r="C3649">
        <v>53</v>
      </c>
      <c r="D3649" t="s">
        <v>31</v>
      </c>
      <c r="E3649" t="s">
        <v>22</v>
      </c>
      <c r="F3649" t="s">
        <v>41</v>
      </c>
      <c r="G3649" t="s">
        <v>42</v>
      </c>
      <c r="H3649" t="s">
        <v>83</v>
      </c>
      <c r="I3649" t="s">
        <v>80</v>
      </c>
      <c r="J3649" t="s">
        <v>60</v>
      </c>
      <c r="K3649">
        <v>5</v>
      </c>
      <c r="L3649">
        <v>103204</v>
      </c>
      <c r="M3649" t="s">
        <v>28</v>
      </c>
      <c r="N3649">
        <v>3</v>
      </c>
      <c r="O3649">
        <v>3</v>
      </c>
      <c r="P3649">
        <v>21</v>
      </c>
      <c r="Q3649">
        <v>3</v>
      </c>
      <c r="R3649" s="1">
        <v>43294</v>
      </c>
      <c r="S3649" t="s">
        <v>29</v>
      </c>
      <c r="T3649" t="str">
        <f t="shared" si="280"/>
        <v>Grade A</v>
      </c>
      <c r="U3649">
        <f t="shared" si="281"/>
        <v>3</v>
      </c>
      <c r="V3649" t="str">
        <f t="shared" si="282"/>
        <v>Junior</v>
      </c>
      <c r="W3649" t="str">
        <f t="shared" si="283"/>
        <v>Medium Risk</v>
      </c>
      <c r="X3649" t="str">
        <f t="shared" si="284"/>
        <v>Competitive</v>
      </c>
    </row>
    <row r="3650" spans="1:24" x14ac:dyDescent="0.3">
      <c r="A3650" t="s">
        <v>3718</v>
      </c>
      <c r="B3650" t="s">
        <v>39</v>
      </c>
      <c r="C3650">
        <v>54</v>
      </c>
      <c r="D3650" t="s">
        <v>47</v>
      </c>
      <c r="E3650" t="s">
        <v>22</v>
      </c>
      <c r="F3650" t="s">
        <v>65</v>
      </c>
      <c r="G3650" t="s">
        <v>33</v>
      </c>
      <c r="H3650" t="s">
        <v>34</v>
      </c>
      <c r="I3650" t="s">
        <v>35</v>
      </c>
      <c r="J3650" t="s">
        <v>27</v>
      </c>
      <c r="K3650">
        <v>8</v>
      </c>
      <c r="L3650">
        <v>67419</v>
      </c>
      <c r="M3650" t="s">
        <v>45</v>
      </c>
      <c r="N3650">
        <v>1</v>
      </c>
      <c r="O3650">
        <v>1</v>
      </c>
      <c r="P3650">
        <v>57</v>
      </c>
      <c r="Q3650">
        <v>3</v>
      </c>
      <c r="R3650" s="1">
        <v>42262</v>
      </c>
      <c r="S3650" t="s">
        <v>29</v>
      </c>
      <c r="T3650" t="str">
        <f t="shared" ref="T3650:T3713" si="285">IF(L3650&gt;=80000,"Grade A",IF(L3650&gt;=50000,"Grade B",IF(L3650&gt;=35000,"Grade C","Grade D")))</f>
        <v>Grade B</v>
      </c>
      <c r="U3650">
        <f t="shared" ref="U3650:U3713" si="286">IF(M3650="Excellent",4,IF(M3650="Good",3,IF(M3650="Average",2,1)))</f>
        <v>2</v>
      </c>
      <c r="V3650" t="str">
        <f t="shared" ref="V3650:V3713" si="287">IF(K3650&lt;=2,"New Joiner",IF(K3650&lt;=5,"Junior",IF(K3650&lt;=10,"Mid Level","Senior")))</f>
        <v>Mid Level</v>
      </c>
      <c r="W3650" t="str">
        <f t="shared" ref="W3650:W3713" si="288">IF(S3650="Yes","Already Left",IF(AND(K3650&lt;=2,M3650="Poor"),"High Risk",IF(AND(K3650&lt;=5,M3650="Average"),"Medium Risk",IF(M3650="Excellent","Low Risk","Medium Risk"))))</f>
        <v>Medium Risk</v>
      </c>
      <c r="X3650" t="str">
        <f t="shared" ref="X3650:X3713" si="289">IF(AND(L3650&gt;=80000,M3650="Excellent"),"Competitive",IF(AND(L3650&gt;=50000,M3650="Good"),"Competitive",IF(AND(L3650&lt;35000,M3650="Excellent"),"Underpaid",IF(AND(L3650&gt;=80000,M3650="Poor"),"Overpaid","Fair"))))</f>
        <v>Fair</v>
      </c>
    </row>
    <row r="3651" spans="1:24" x14ac:dyDescent="0.3">
      <c r="A3651" t="s">
        <v>3719</v>
      </c>
      <c r="B3651" t="s">
        <v>39</v>
      </c>
      <c r="C3651">
        <v>37</v>
      </c>
      <c r="D3651" t="s">
        <v>31</v>
      </c>
      <c r="E3651" t="s">
        <v>22</v>
      </c>
      <c r="F3651" t="s">
        <v>41</v>
      </c>
      <c r="G3651" t="s">
        <v>49</v>
      </c>
      <c r="H3651" t="s">
        <v>83</v>
      </c>
      <c r="I3651" t="s">
        <v>26</v>
      </c>
      <c r="J3651" t="s">
        <v>27</v>
      </c>
      <c r="K3651">
        <v>11</v>
      </c>
      <c r="L3651">
        <v>81423</v>
      </c>
      <c r="M3651" t="s">
        <v>45</v>
      </c>
      <c r="N3651">
        <v>1</v>
      </c>
      <c r="O3651">
        <v>2</v>
      </c>
      <c r="P3651">
        <v>48</v>
      </c>
      <c r="Q3651">
        <v>1</v>
      </c>
      <c r="R3651" s="1">
        <v>40982</v>
      </c>
      <c r="S3651" t="s">
        <v>29</v>
      </c>
      <c r="T3651" t="str">
        <f t="shared" si="285"/>
        <v>Grade A</v>
      </c>
      <c r="U3651">
        <f t="shared" si="286"/>
        <v>2</v>
      </c>
      <c r="V3651" t="str">
        <f t="shared" si="287"/>
        <v>Senior</v>
      </c>
      <c r="W3651" t="str">
        <f t="shared" si="288"/>
        <v>Medium Risk</v>
      </c>
      <c r="X3651" t="str">
        <f t="shared" si="289"/>
        <v>Fair</v>
      </c>
    </row>
    <row r="3652" spans="1:24" x14ac:dyDescent="0.3">
      <c r="A3652" t="s">
        <v>3720</v>
      </c>
      <c r="B3652" t="s">
        <v>20</v>
      </c>
      <c r="C3652">
        <v>40</v>
      </c>
      <c r="D3652" t="s">
        <v>21</v>
      </c>
      <c r="E3652" t="s">
        <v>40</v>
      </c>
      <c r="F3652" t="s">
        <v>23</v>
      </c>
      <c r="G3652" t="s">
        <v>79</v>
      </c>
      <c r="H3652" t="s">
        <v>25</v>
      </c>
      <c r="I3652" t="s">
        <v>72</v>
      </c>
      <c r="J3652" t="s">
        <v>73</v>
      </c>
      <c r="K3652">
        <v>4</v>
      </c>
      <c r="L3652">
        <v>39834</v>
      </c>
      <c r="M3652" t="s">
        <v>36</v>
      </c>
      <c r="N3652">
        <v>4</v>
      </c>
      <c r="O3652">
        <v>4</v>
      </c>
      <c r="P3652">
        <v>65</v>
      </c>
      <c r="Q3652">
        <v>3</v>
      </c>
      <c r="R3652" s="1">
        <v>43616</v>
      </c>
      <c r="S3652" t="s">
        <v>37</v>
      </c>
      <c r="T3652" t="str">
        <f t="shared" si="285"/>
        <v>Grade C</v>
      </c>
      <c r="U3652">
        <f t="shared" si="286"/>
        <v>1</v>
      </c>
      <c r="V3652" t="str">
        <f t="shared" si="287"/>
        <v>Junior</v>
      </c>
      <c r="W3652" t="str">
        <f t="shared" si="288"/>
        <v>Already Left</v>
      </c>
      <c r="X3652" t="str">
        <f t="shared" si="289"/>
        <v>Fair</v>
      </c>
    </row>
    <row r="3653" spans="1:24" x14ac:dyDescent="0.3">
      <c r="A3653" t="s">
        <v>3721</v>
      </c>
      <c r="B3653" t="s">
        <v>20</v>
      </c>
      <c r="C3653">
        <v>32</v>
      </c>
      <c r="D3653" t="s">
        <v>88</v>
      </c>
      <c r="E3653" t="s">
        <v>48</v>
      </c>
      <c r="F3653" t="s">
        <v>78</v>
      </c>
      <c r="G3653" t="s">
        <v>24</v>
      </c>
      <c r="H3653" t="s">
        <v>76</v>
      </c>
      <c r="I3653" t="s">
        <v>26</v>
      </c>
      <c r="J3653" t="s">
        <v>27</v>
      </c>
      <c r="K3653">
        <v>12</v>
      </c>
      <c r="L3653">
        <v>107448</v>
      </c>
      <c r="M3653" t="s">
        <v>36</v>
      </c>
      <c r="N3653">
        <v>3</v>
      </c>
      <c r="O3653">
        <v>1</v>
      </c>
      <c r="P3653">
        <v>17</v>
      </c>
      <c r="Q3653">
        <v>0</v>
      </c>
      <c r="R3653" s="1">
        <v>40902</v>
      </c>
      <c r="S3653" t="s">
        <v>37</v>
      </c>
      <c r="T3653" t="str">
        <f t="shared" si="285"/>
        <v>Grade A</v>
      </c>
      <c r="U3653">
        <f t="shared" si="286"/>
        <v>1</v>
      </c>
      <c r="V3653" t="str">
        <f t="shared" si="287"/>
        <v>Senior</v>
      </c>
      <c r="W3653" t="str">
        <f t="shared" si="288"/>
        <v>Already Left</v>
      </c>
      <c r="X3653" t="str">
        <f t="shared" si="289"/>
        <v>Overpaid</v>
      </c>
    </row>
    <row r="3654" spans="1:24" x14ac:dyDescent="0.3">
      <c r="A3654" t="s">
        <v>3722</v>
      </c>
      <c r="B3654" t="s">
        <v>39</v>
      </c>
      <c r="C3654">
        <v>35</v>
      </c>
      <c r="D3654" t="s">
        <v>21</v>
      </c>
      <c r="E3654" t="s">
        <v>48</v>
      </c>
      <c r="F3654" t="s">
        <v>41</v>
      </c>
      <c r="G3654" t="s">
        <v>24</v>
      </c>
      <c r="H3654" t="s">
        <v>83</v>
      </c>
      <c r="I3654" t="s">
        <v>80</v>
      </c>
      <c r="J3654" t="s">
        <v>60</v>
      </c>
      <c r="K3654">
        <v>9</v>
      </c>
      <c r="L3654">
        <v>94275</v>
      </c>
      <c r="M3654" t="s">
        <v>51</v>
      </c>
      <c r="N3654">
        <v>3</v>
      </c>
      <c r="O3654">
        <v>1</v>
      </c>
      <c r="P3654">
        <v>24</v>
      </c>
      <c r="Q3654">
        <v>3</v>
      </c>
      <c r="R3654" s="1">
        <v>41682</v>
      </c>
      <c r="S3654" t="s">
        <v>29</v>
      </c>
      <c r="T3654" t="str">
        <f t="shared" si="285"/>
        <v>Grade A</v>
      </c>
      <c r="U3654">
        <f t="shared" si="286"/>
        <v>4</v>
      </c>
      <c r="V3654" t="str">
        <f t="shared" si="287"/>
        <v>Mid Level</v>
      </c>
      <c r="W3654" t="str">
        <f t="shared" si="288"/>
        <v>Low Risk</v>
      </c>
      <c r="X3654" t="str">
        <f t="shared" si="289"/>
        <v>Competitive</v>
      </c>
    </row>
    <row r="3655" spans="1:24" x14ac:dyDescent="0.3">
      <c r="A3655" t="s">
        <v>3723</v>
      </c>
      <c r="B3655" t="s">
        <v>39</v>
      </c>
      <c r="C3655">
        <v>41</v>
      </c>
      <c r="D3655" t="s">
        <v>88</v>
      </c>
      <c r="E3655" t="s">
        <v>48</v>
      </c>
      <c r="F3655" t="s">
        <v>53</v>
      </c>
      <c r="G3655" t="s">
        <v>24</v>
      </c>
      <c r="H3655" t="s">
        <v>25</v>
      </c>
      <c r="I3655" t="s">
        <v>43</v>
      </c>
      <c r="J3655" t="s">
        <v>44</v>
      </c>
      <c r="K3655">
        <v>6</v>
      </c>
      <c r="L3655">
        <v>93548</v>
      </c>
      <c r="M3655" t="s">
        <v>51</v>
      </c>
      <c r="N3655">
        <v>1</v>
      </c>
      <c r="O3655">
        <v>3</v>
      </c>
      <c r="P3655">
        <v>45</v>
      </c>
      <c r="Q3655">
        <v>3</v>
      </c>
      <c r="R3655" s="1">
        <v>43089</v>
      </c>
      <c r="S3655" t="s">
        <v>29</v>
      </c>
      <c r="T3655" t="str">
        <f t="shared" si="285"/>
        <v>Grade A</v>
      </c>
      <c r="U3655">
        <f t="shared" si="286"/>
        <v>4</v>
      </c>
      <c r="V3655" t="str">
        <f t="shared" si="287"/>
        <v>Mid Level</v>
      </c>
      <c r="W3655" t="str">
        <f t="shared" si="288"/>
        <v>Low Risk</v>
      </c>
      <c r="X3655" t="str">
        <f t="shared" si="289"/>
        <v>Competitive</v>
      </c>
    </row>
    <row r="3656" spans="1:24" x14ac:dyDescent="0.3">
      <c r="A3656" t="s">
        <v>3724</v>
      </c>
      <c r="B3656" t="s">
        <v>39</v>
      </c>
      <c r="C3656">
        <v>52</v>
      </c>
      <c r="D3656" t="s">
        <v>21</v>
      </c>
      <c r="E3656" t="s">
        <v>48</v>
      </c>
      <c r="F3656" t="s">
        <v>23</v>
      </c>
      <c r="G3656" t="s">
        <v>42</v>
      </c>
      <c r="H3656" t="s">
        <v>25</v>
      </c>
      <c r="I3656" t="s">
        <v>54</v>
      </c>
      <c r="J3656" t="s">
        <v>27</v>
      </c>
      <c r="K3656">
        <v>9</v>
      </c>
      <c r="L3656">
        <v>122230</v>
      </c>
      <c r="M3656" t="s">
        <v>51</v>
      </c>
      <c r="N3656">
        <v>2</v>
      </c>
      <c r="O3656">
        <v>1</v>
      </c>
      <c r="P3656">
        <v>46</v>
      </c>
      <c r="Q3656">
        <v>3</v>
      </c>
      <c r="R3656" s="1">
        <v>41671</v>
      </c>
      <c r="S3656" t="s">
        <v>29</v>
      </c>
      <c r="T3656" t="str">
        <f t="shared" si="285"/>
        <v>Grade A</v>
      </c>
      <c r="U3656">
        <f t="shared" si="286"/>
        <v>4</v>
      </c>
      <c r="V3656" t="str">
        <f t="shared" si="287"/>
        <v>Mid Level</v>
      </c>
      <c r="W3656" t="str">
        <f t="shared" si="288"/>
        <v>Low Risk</v>
      </c>
      <c r="X3656" t="str">
        <f t="shared" si="289"/>
        <v>Competitive</v>
      </c>
    </row>
    <row r="3657" spans="1:24" x14ac:dyDescent="0.3">
      <c r="A3657" t="s">
        <v>3725</v>
      </c>
      <c r="B3657" t="s">
        <v>39</v>
      </c>
      <c r="C3657">
        <v>32</v>
      </c>
      <c r="D3657" t="s">
        <v>88</v>
      </c>
      <c r="E3657" t="s">
        <v>48</v>
      </c>
      <c r="F3657" t="s">
        <v>23</v>
      </c>
      <c r="G3657" t="s">
        <v>33</v>
      </c>
      <c r="H3657" t="s">
        <v>34</v>
      </c>
      <c r="I3657" t="s">
        <v>59</v>
      </c>
      <c r="J3657" t="s">
        <v>60</v>
      </c>
      <c r="K3657">
        <v>9</v>
      </c>
      <c r="L3657">
        <v>78861</v>
      </c>
      <c r="M3657" t="s">
        <v>36</v>
      </c>
      <c r="N3657">
        <v>3</v>
      </c>
      <c r="O3657">
        <v>1</v>
      </c>
      <c r="P3657">
        <v>39</v>
      </c>
      <c r="Q3657">
        <v>1</v>
      </c>
      <c r="R3657" s="1">
        <v>41893</v>
      </c>
      <c r="S3657" t="s">
        <v>37</v>
      </c>
      <c r="T3657" t="str">
        <f t="shared" si="285"/>
        <v>Grade B</v>
      </c>
      <c r="U3657">
        <f t="shared" si="286"/>
        <v>1</v>
      </c>
      <c r="V3657" t="str">
        <f t="shared" si="287"/>
        <v>Mid Level</v>
      </c>
      <c r="W3657" t="str">
        <f t="shared" si="288"/>
        <v>Already Left</v>
      </c>
      <c r="X3657" t="str">
        <f t="shared" si="289"/>
        <v>Fair</v>
      </c>
    </row>
    <row r="3658" spans="1:24" x14ac:dyDescent="0.3">
      <c r="A3658" t="s">
        <v>3726</v>
      </c>
      <c r="B3658" t="s">
        <v>20</v>
      </c>
      <c r="C3658">
        <v>52</v>
      </c>
      <c r="D3658" t="s">
        <v>21</v>
      </c>
      <c r="E3658" t="s">
        <v>22</v>
      </c>
      <c r="F3658" t="s">
        <v>65</v>
      </c>
      <c r="G3658" t="s">
        <v>24</v>
      </c>
      <c r="H3658" t="s">
        <v>34</v>
      </c>
      <c r="I3658" t="s">
        <v>59</v>
      </c>
      <c r="J3658" t="s">
        <v>60</v>
      </c>
      <c r="K3658">
        <v>14</v>
      </c>
      <c r="L3658">
        <v>95421</v>
      </c>
      <c r="M3658" t="s">
        <v>51</v>
      </c>
      <c r="N3658">
        <v>2</v>
      </c>
      <c r="O3658">
        <v>2</v>
      </c>
      <c r="P3658">
        <v>37</v>
      </c>
      <c r="Q3658">
        <v>2</v>
      </c>
      <c r="R3658" s="1">
        <v>40072</v>
      </c>
      <c r="S3658" t="s">
        <v>37</v>
      </c>
      <c r="T3658" t="str">
        <f t="shared" si="285"/>
        <v>Grade A</v>
      </c>
      <c r="U3658">
        <f t="shared" si="286"/>
        <v>4</v>
      </c>
      <c r="V3658" t="str">
        <f t="shared" si="287"/>
        <v>Senior</v>
      </c>
      <c r="W3658" t="str">
        <f t="shared" si="288"/>
        <v>Already Left</v>
      </c>
      <c r="X3658" t="str">
        <f t="shared" si="289"/>
        <v>Competitive</v>
      </c>
    </row>
    <row r="3659" spans="1:24" x14ac:dyDescent="0.3">
      <c r="A3659" t="s">
        <v>3727</v>
      </c>
      <c r="B3659" t="s">
        <v>20</v>
      </c>
      <c r="C3659">
        <v>27</v>
      </c>
      <c r="D3659" t="s">
        <v>31</v>
      </c>
      <c r="E3659" t="s">
        <v>48</v>
      </c>
      <c r="F3659" t="s">
        <v>53</v>
      </c>
      <c r="G3659" t="s">
        <v>58</v>
      </c>
      <c r="H3659" t="s">
        <v>67</v>
      </c>
      <c r="I3659" t="s">
        <v>35</v>
      </c>
      <c r="J3659" t="s">
        <v>27</v>
      </c>
      <c r="K3659">
        <v>13</v>
      </c>
      <c r="L3659">
        <v>115307</v>
      </c>
      <c r="M3659" t="s">
        <v>45</v>
      </c>
      <c r="N3659">
        <v>1</v>
      </c>
      <c r="O3659">
        <v>2</v>
      </c>
      <c r="P3659">
        <v>31</v>
      </c>
      <c r="Q3659">
        <v>3</v>
      </c>
      <c r="R3659" s="1">
        <v>40308</v>
      </c>
      <c r="S3659" t="s">
        <v>29</v>
      </c>
      <c r="T3659" t="str">
        <f t="shared" si="285"/>
        <v>Grade A</v>
      </c>
      <c r="U3659">
        <f t="shared" si="286"/>
        <v>2</v>
      </c>
      <c r="V3659" t="str">
        <f t="shared" si="287"/>
        <v>Senior</v>
      </c>
      <c r="W3659" t="str">
        <f t="shared" si="288"/>
        <v>Medium Risk</v>
      </c>
      <c r="X3659" t="str">
        <f t="shared" si="289"/>
        <v>Fair</v>
      </c>
    </row>
    <row r="3660" spans="1:24" x14ac:dyDescent="0.3">
      <c r="A3660" t="s">
        <v>3728</v>
      </c>
      <c r="B3660" t="s">
        <v>20</v>
      </c>
      <c r="C3660">
        <v>29</v>
      </c>
      <c r="D3660" t="s">
        <v>88</v>
      </c>
      <c r="E3660" t="s">
        <v>40</v>
      </c>
      <c r="F3660" t="s">
        <v>62</v>
      </c>
      <c r="G3660" t="s">
        <v>42</v>
      </c>
      <c r="H3660" t="s">
        <v>83</v>
      </c>
      <c r="I3660" t="s">
        <v>50</v>
      </c>
      <c r="J3660" t="s">
        <v>44</v>
      </c>
      <c r="K3660">
        <v>2</v>
      </c>
      <c r="L3660">
        <v>96364</v>
      </c>
      <c r="M3660" t="s">
        <v>36</v>
      </c>
      <c r="N3660">
        <v>2</v>
      </c>
      <c r="O3660">
        <v>3</v>
      </c>
      <c r="P3660">
        <v>54</v>
      </c>
      <c r="Q3660">
        <v>2</v>
      </c>
      <c r="R3660" s="1">
        <v>44450</v>
      </c>
      <c r="S3660" t="s">
        <v>37</v>
      </c>
      <c r="T3660" t="str">
        <f t="shared" si="285"/>
        <v>Grade A</v>
      </c>
      <c r="U3660">
        <f t="shared" si="286"/>
        <v>1</v>
      </c>
      <c r="V3660" t="str">
        <f t="shared" si="287"/>
        <v>New Joiner</v>
      </c>
      <c r="W3660" t="str">
        <f t="shared" si="288"/>
        <v>Already Left</v>
      </c>
      <c r="X3660" t="str">
        <f t="shared" si="289"/>
        <v>Overpaid</v>
      </c>
    </row>
    <row r="3661" spans="1:24" x14ac:dyDescent="0.3">
      <c r="A3661" t="s">
        <v>3729</v>
      </c>
      <c r="B3661" t="s">
        <v>20</v>
      </c>
      <c r="C3661">
        <v>23</v>
      </c>
      <c r="D3661" t="s">
        <v>47</v>
      </c>
      <c r="E3661" t="s">
        <v>22</v>
      </c>
      <c r="F3661" t="s">
        <v>62</v>
      </c>
      <c r="G3661" t="s">
        <v>49</v>
      </c>
      <c r="H3661" t="s">
        <v>76</v>
      </c>
      <c r="I3661" t="s">
        <v>96</v>
      </c>
      <c r="J3661" t="s">
        <v>44</v>
      </c>
      <c r="K3661">
        <v>12</v>
      </c>
      <c r="L3661">
        <v>70417</v>
      </c>
      <c r="M3661" t="s">
        <v>45</v>
      </c>
      <c r="N3661">
        <v>3</v>
      </c>
      <c r="O3661">
        <v>1</v>
      </c>
      <c r="P3661">
        <v>74</v>
      </c>
      <c r="Q3661">
        <v>0</v>
      </c>
      <c r="R3661" s="1">
        <v>40884</v>
      </c>
      <c r="S3661" t="s">
        <v>29</v>
      </c>
      <c r="T3661" t="str">
        <f t="shared" si="285"/>
        <v>Grade B</v>
      </c>
      <c r="U3661">
        <f t="shared" si="286"/>
        <v>2</v>
      </c>
      <c r="V3661" t="str">
        <f t="shared" si="287"/>
        <v>Senior</v>
      </c>
      <c r="W3661" t="str">
        <f t="shared" si="288"/>
        <v>Medium Risk</v>
      </c>
      <c r="X3661" t="str">
        <f t="shared" si="289"/>
        <v>Fair</v>
      </c>
    </row>
    <row r="3662" spans="1:24" x14ac:dyDescent="0.3">
      <c r="A3662" t="s">
        <v>3730</v>
      </c>
      <c r="B3662" t="s">
        <v>20</v>
      </c>
      <c r="C3662">
        <v>24</v>
      </c>
      <c r="D3662" t="s">
        <v>88</v>
      </c>
      <c r="E3662" t="s">
        <v>40</v>
      </c>
      <c r="F3662" t="s">
        <v>65</v>
      </c>
      <c r="G3662" t="s">
        <v>63</v>
      </c>
      <c r="H3662" t="s">
        <v>67</v>
      </c>
      <c r="I3662" t="s">
        <v>72</v>
      </c>
      <c r="J3662" t="s">
        <v>73</v>
      </c>
      <c r="K3662">
        <v>1</v>
      </c>
      <c r="L3662">
        <v>41110</v>
      </c>
      <c r="M3662" t="s">
        <v>45</v>
      </c>
      <c r="N3662">
        <v>3</v>
      </c>
      <c r="O3662">
        <v>1</v>
      </c>
      <c r="P3662">
        <v>42</v>
      </c>
      <c r="Q3662">
        <v>1</v>
      </c>
      <c r="R3662" s="1">
        <v>44850</v>
      </c>
      <c r="S3662" t="s">
        <v>29</v>
      </c>
      <c r="T3662" t="str">
        <f t="shared" si="285"/>
        <v>Grade C</v>
      </c>
      <c r="U3662">
        <f t="shared" si="286"/>
        <v>2</v>
      </c>
      <c r="V3662" t="str">
        <f t="shared" si="287"/>
        <v>New Joiner</v>
      </c>
      <c r="W3662" t="str">
        <f t="shared" si="288"/>
        <v>Medium Risk</v>
      </c>
      <c r="X3662" t="str">
        <f t="shared" si="289"/>
        <v>Fair</v>
      </c>
    </row>
    <row r="3663" spans="1:24" x14ac:dyDescent="0.3">
      <c r="A3663" t="s">
        <v>3731</v>
      </c>
      <c r="B3663" t="s">
        <v>20</v>
      </c>
      <c r="C3663">
        <v>43</v>
      </c>
      <c r="D3663" t="s">
        <v>57</v>
      </c>
      <c r="E3663" t="s">
        <v>40</v>
      </c>
      <c r="F3663" t="s">
        <v>32</v>
      </c>
      <c r="G3663" t="s">
        <v>24</v>
      </c>
      <c r="H3663" t="s">
        <v>67</v>
      </c>
      <c r="I3663" t="s">
        <v>96</v>
      </c>
      <c r="J3663" t="s">
        <v>44</v>
      </c>
      <c r="K3663">
        <v>2</v>
      </c>
      <c r="L3663">
        <v>75707</v>
      </c>
      <c r="M3663" t="s">
        <v>28</v>
      </c>
      <c r="N3663">
        <v>3</v>
      </c>
      <c r="O3663">
        <v>1</v>
      </c>
      <c r="P3663">
        <v>30</v>
      </c>
      <c r="Q3663">
        <v>1</v>
      </c>
      <c r="R3663" s="1">
        <v>44367</v>
      </c>
      <c r="S3663" t="s">
        <v>29</v>
      </c>
      <c r="T3663" t="str">
        <f t="shared" si="285"/>
        <v>Grade B</v>
      </c>
      <c r="U3663">
        <f t="shared" si="286"/>
        <v>3</v>
      </c>
      <c r="V3663" t="str">
        <f t="shared" si="287"/>
        <v>New Joiner</v>
      </c>
      <c r="W3663" t="str">
        <f t="shared" si="288"/>
        <v>Medium Risk</v>
      </c>
      <c r="X3663" t="str">
        <f t="shared" si="289"/>
        <v>Competitive</v>
      </c>
    </row>
    <row r="3664" spans="1:24" x14ac:dyDescent="0.3">
      <c r="A3664" t="s">
        <v>3732</v>
      </c>
      <c r="B3664" t="s">
        <v>39</v>
      </c>
      <c r="C3664">
        <v>50</v>
      </c>
      <c r="D3664" t="s">
        <v>88</v>
      </c>
      <c r="E3664" t="s">
        <v>48</v>
      </c>
      <c r="F3664" t="s">
        <v>23</v>
      </c>
      <c r="G3664" t="s">
        <v>42</v>
      </c>
      <c r="H3664" t="s">
        <v>25</v>
      </c>
      <c r="I3664" t="s">
        <v>50</v>
      </c>
      <c r="J3664" t="s">
        <v>44</v>
      </c>
      <c r="K3664">
        <v>9</v>
      </c>
      <c r="L3664">
        <v>119250</v>
      </c>
      <c r="M3664" t="s">
        <v>28</v>
      </c>
      <c r="N3664">
        <v>1</v>
      </c>
      <c r="O3664">
        <v>2</v>
      </c>
      <c r="P3664">
        <v>33</v>
      </c>
      <c r="Q3664">
        <v>2</v>
      </c>
      <c r="R3664" s="1">
        <v>41651</v>
      </c>
      <c r="S3664" t="s">
        <v>29</v>
      </c>
      <c r="T3664" t="str">
        <f t="shared" si="285"/>
        <v>Grade A</v>
      </c>
      <c r="U3664">
        <f t="shared" si="286"/>
        <v>3</v>
      </c>
      <c r="V3664" t="str">
        <f t="shared" si="287"/>
        <v>Mid Level</v>
      </c>
      <c r="W3664" t="str">
        <f t="shared" si="288"/>
        <v>Medium Risk</v>
      </c>
      <c r="X3664" t="str">
        <f t="shared" si="289"/>
        <v>Competitive</v>
      </c>
    </row>
    <row r="3665" spans="1:24" x14ac:dyDescent="0.3">
      <c r="A3665" t="s">
        <v>3733</v>
      </c>
      <c r="B3665" t="s">
        <v>20</v>
      </c>
      <c r="C3665">
        <v>29</v>
      </c>
      <c r="D3665" t="s">
        <v>47</v>
      </c>
      <c r="E3665" t="s">
        <v>22</v>
      </c>
      <c r="F3665" t="s">
        <v>65</v>
      </c>
      <c r="G3665" t="s">
        <v>66</v>
      </c>
      <c r="H3665" t="s">
        <v>83</v>
      </c>
      <c r="I3665" t="s">
        <v>43</v>
      </c>
      <c r="J3665" t="s">
        <v>44</v>
      </c>
      <c r="K3665">
        <v>11</v>
      </c>
      <c r="L3665">
        <v>66469</v>
      </c>
      <c r="M3665" t="s">
        <v>28</v>
      </c>
      <c r="N3665">
        <v>1</v>
      </c>
      <c r="O3665">
        <v>3</v>
      </c>
      <c r="P3665">
        <v>15</v>
      </c>
      <c r="Q3665">
        <v>3</v>
      </c>
      <c r="R3665" s="1">
        <v>41147</v>
      </c>
      <c r="S3665" t="s">
        <v>37</v>
      </c>
      <c r="T3665" t="str">
        <f t="shared" si="285"/>
        <v>Grade B</v>
      </c>
      <c r="U3665">
        <f t="shared" si="286"/>
        <v>3</v>
      </c>
      <c r="V3665" t="str">
        <f t="shared" si="287"/>
        <v>Senior</v>
      </c>
      <c r="W3665" t="str">
        <f t="shared" si="288"/>
        <v>Already Left</v>
      </c>
      <c r="X3665" t="str">
        <f t="shared" si="289"/>
        <v>Competitive</v>
      </c>
    </row>
    <row r="3666" spans="1:24" x14ac:dyDescent="0.3">
      <c r="A3666" t="s">
        <v>3734</v>
      </c>
      <c r="B3666" t="s">
        <v>20</v>
      </c>
      <c r="C3666">
        <v>25</v>
      </c>
      <c r="D3666" t="s">
        <v>21</v>
      </c>
      <c r="E3666" t="s">
        <v>40</v>
      </c>
      <c r="F3666" t="s">
        <v>32</v>
      </c>
      <c r="G3666" t="s">
        <v>33</v>
      </c>
      <c r="H3666" t="s">
        <v>25</v>
      </c>
      <c r="I3666" t="s">
        <v>54</v>
      </c>
      <c r="J3666" t="s">
        <v>27</v>
      </c>
      <c r="K3666">
        <v>1</v>
      </c>
      <c r="L3666">
        <v>66575</v>
      </c>
      <c r="M3666" t="s">
        <v>51</v>
      </c>
      <c r="N3666">
        <v>1</v>
      </c>
      <c r="O3666">
        <v>2</v>
      </c>
      <c r="P3666">
        <v>24</v>
      </c>
      <c r="Q3666">
        <v>3</v>
      </c>
      <c r="R3666" s="1">
        <v>44576</v>
      </c>
      <c r="S3666" t="s">
        <v>37</v>
      </c>
      <c r="T3666" t="str">
        <f t="shared" si="285"/>
        <v>Grade B</v>
      </c>
      <c r="U3666">
        <f t="shared" si="286"/>
        <v>4</v>
      </c>
      <c r="V3666" t="str">
        <f t="shared" si="287"/>
        <v>New Joiner</v>
      </c>
      <c r="W3666" t="str">
        <f t="shared" si="288"/>
        <v>Already Left</v>
      </c>
      <c r="X3666" t="str">
        <f t="shared" si="289"/>
        <v>Fair</v>
      </c>
    </row>
    <row r="3667" spans="1:24" x14ac:dyDescent="0.3">
      <c r="A3667" t="s">
        <v>3735</v>
      </c>
      <c r="B3667" t="s">
        <v>39</v>
      </c>
      <c r="C3667">
        <v>51</v>
      </c>
      <c r="D3667" t="s">
        <v>31</v>
      </c>
      <c r="E3667" t="s">
        <v>22</v>
      </c>
      <c r="F3667" t="s">
        <v>62</v>
      </c>
      <c r="G3667" t="s">
        <v>24</v>
      </c>
      <c r="H3667" t="s">
        <v>34</v>
      </c>
      <c r="I3667" t="s">
        <v>59</v>
      </c>
      <c r="J3667" t="s">
        <v>60</v>
      </c>
      <c r="K3667">
        <v>4</v>
      </c>
      <c r="L3667">
        <v>76123</v>
      </c>
      <c r="M3667" t="s">
        <v>36</v>
      </c>
      <c r="N3667">
        <v>1</v>
      </c>
      <c r="O3667">
        <v>4</v>
      </c>
      <c r="P3667">
        <v>51</v>
      </c>
      <c r="Q3667">
        <v>1</v>
      </c>
      <c r="R3667" s="1">
        <v>43719</v>
      </c>
      <c r="S3667" t="s">
        <v>37</v>
      </c>
      <c r="T3667" t="str">
        <f t="shared" si="285"/>
        <v>Grade B</v>
      </c>
      <c r="U3667">
        <f t="shared" si="286"/>
        <v>1</v>
      </c>
      <c r="V3667" t="str">
        <f t="shared" si="287"/>
        <v>Junior</v>
      </c>
      <c r="W3667" t="str">
        <f t="shared" si="288"/>
        <v>Already Left</v>
      </c>
      <c r="X3667" t="str">
        <f t="shared" si="289"/>
        <v>Fair</v>
      </c>
    </row>
    <row r="3668" spans="1:24" x14ac:dyDescent="0.3">
      <c r="A3668" t="s">
        <v>3736</v>
      </c>
      <c r="B3668" t="s">
        <v>39</v>
      </c>
      <c r="C3668">
        <v>24</v>
      </c>
      <c r="D3668" t="s">
        <v>47</v>
      </c>
      <c r="E3668" t="s">
        <v>48</v>
      </c>
      <c r="F3668" t="s">
        <v>75</v>
      </c>
      <c r="G3668" t="s">
        <v>24</v>
      </c>
      <c r="H3668" t="s">
        <v>83</v>
      </c>
      <c r="I3668" t="s">
        <v>35</v>
      </c>
      <c r="J3668" t="s">
        <v>27</v>
      </c>
      <c r="K3668">
        <v>15</v>
      </c>
      <c r="L3668">
        <v>103368</v>
      </c>
      <c r="M3668" t="s">
        <v>28</v>
      </c>
      <c r="N3668">
        <v>2</v>
      </c>
      <c r="O3668">
        <v>4</v>
      </c>
      <c r="P3668">
        <v>52</v>
      </c>
      <c r="Q3668">
        <v>0</v>
      </c>
      <c r="R3668" s="1">
        <v>39489</v>
      </c>
      <c r="S3668" t="s">
        <v>37</v>
      </c>
      <c r="T3668" t="str">
        <f t="shared" si="285"/>
        <v>Grade A</v>
      </c>
      <c r="U3668">
        <f t="shared" si="286"/>
        <v>3</v>
      </c>
      <c r="V3668" t="str">
        <f t="shared" si="287"/>
        <v>Senior</v>
      </c>
      <c r="W3668" t="str">
        <f t="shared" si="288"/>
        <v>Already Left</v>
      </c>
      <c r="X3668" t="str">
        <f t="shared" si="289"/>
        <v>Competitive</v>
      </c>
    </row>
    <row r="3669" spans="1:24" x14ac:dyDescent="0.3">
      <c r="A3669" t="s">
        <v>3737</v>
      </c>
      <c r="B3669" t="s">
        <v>20</v>
      </c>
      <c r="C3669">
        <v>39</v>
      </c>
      <c r="D3669" t="s">
        <v>21</v>
      </c>
      <c r="E3669" t="s">
        <v>40</v>
      </c>
      <c r="F3669" t="s">
        <v>32</v>
      </c>
      <c r="G3669" t="s">
        <v>58</v>
      </c>
      <c r="H3669" t="s">
        <v>25</v>
      </c>
      <c r="I3669" t="s">
        <v>35</v>
      </c>
      <c r="J3669" t="s">
        <v>27</v>
      </c>
      <c r="K3669">
        <v>11</v>
      </c>
      <c r="L3669">
        <v>103063</v>
      </c>
      <c r="M3669" t="s">
        <v>51</v>
      </c>
      <c r="N3669">
        <v>4</v>
      </c>
      <c r="O3669">
        <v>3</v>
      </c>
      <c r="P3669">
        <v>72</v>
      </c>
      <c r="Q3669">
        <v>2</v>
      </c>
      <c r="R3669" s="1">
        <v>40990</v>
      </c>
      <c r="S3669" t="s">
        <v>29</v>
      </c>
      <c r="T3669" t="str">
        <f t="shared" si="285"/>
        <v>Grade A</v>
      </c>
      <c r="U3669">
        <f t="shared" si="286"/>
        <v>4</v>
      </c>
      <c r="V3669" t="str">
        <f t="shared" si="287"/>
        <v>Senior</v>
      </c>
      <c r="W3669" t="str">
        <f t="shared" si="288"/>
        <v>Low Risk</v>
      </c>
      <c r="X3669" t="str">
        <f t="shared" si="289"/>
        <v>Competitive</v>
      </c>
    </row>
    <row r="3670" spans="1:24" x14ac:dyDescent="0.3">
      <c r="A3670" t="s">
        <v>3738</v>
      </c>
      <c r="B3670" t="s">
        <v>39</v>
      </c>
      <c r="C3670">
        <v>29</v>
      </c>
      <c r="D3670" t="s">
        <v>31</v>
      </c>
      <c r="E3670" t="s">
        <v>40</v>
      </c>
      <c r="F3670" t="s">
        <v>32</v>
      </c>
      <c r="G3670" t="s">
        <v>58</v>
      </c>
      <c r="H3670" t="s">
        <v>25</v>
      </c>
      <c r="I3670" t="s">
        <v>68</v>
      </c>
      <c r="J3670" t="s">
        <v>60</v>
      </c>
      <c r="K3670">
        <v>11</v>
      </c>
      <c r="L3670">
        <v>102245</v>
      </c>
      <c r="M3670" t="s">
        <v>51</v>
      </c>
      <c r="N3670">
        <v>2</v>
      </c>
      <c r="O3670">
        <v>3</v>
      </c>
      <c r="P3670">
        <v>19</v>
      </c>
      <c r="Q3670">
        <v>3</v>
      </c>
      <c r="R3670" s="1">
        <v>41118</v>
      </c>
      <c r="S3670" t="s">
        <v>29</v>
      </c>
      <c r="T3670" t="str">
        <f t="shared" si="285"/>
        <v>Grade A</v>
      </c>
      <c r="U3670">
        <f t="shared" si="286"/>
        <v>4</v>
      </c>
      <c r="V3670" t="str">
        <f t="shared" si="287"/>
        <v>Senior</v>
      </c>
      <c r="W3670" t="str">
        <f t="shared" si="288"/>
        <v>Low Risk</v>
      </c>
      <c r="X3670" t="str">
        <f t="shared" si="289"/>
        <v>Competitive</v>
      </c>
    </row>
    <row r="3671" spans="1:24" x14ac:dyDescent="0.3">
      <c r="A3671" t="s">
        <v>3739</v>
      </c>
      <c r="B3671" t="s">
        <v>39</v>
      </c>
      <c r="C3671">
        <v>31</v>
      </c>
      <c r="D3671" t="s">
        <v>21</v>
      </c>
      <c r="E3671" t="s">
        <v>48</v>
      </c>
      <c r="F3671" t="s">
        <v>62</v>
      </c>
      <c r="G3671" t="s">
        <v>24</v>
      </c>
      <c r="H3671" t="s">
        <v>25</v>
      </c>
      <c r="I3671" t="s">
        <v>59</v>
      </c>
      <c r="J3671" t="s">
        <v>60</v>
      </c>
      <c r="K3671">
        <v>8</v>
      </c>
      <c r="L3671">
        <v>96889</v>
      </c>
      <c r="M3671" t="s">
        <v>36</v>
      </c>
      <c r="N3671">
        <v>3</v>
      </c>
      <c r="O3671">
        <v>1</v>
      </c>
      <c r="P3671">
        <v>56</v>
      </c>
      <c r="Q3671">
        <v>3</v>
      </c>
      <c r="R3671" s="1">
        <v>42059</v>
      </c>
      <c r="S3671" t="s">
        <v>37</v>
      </c>
      <c r="T3671" t="str">
        <f t="shared" si="285"/>
        <v>Grade A</v>
      </c>
      <c r="U3671">
        <f t="shared" si="286"/>
        <v>1</v>
      </c>
      <c r="V3671" t="str">
        <f t="shared" si="287"/>
        <v>Mid Level</v>
      </c>
      <c r="W3671" t="str">
        <f t="shared" si="288"/>
        <v>Already Left</v>
      </c>
      <c r="X3671" t="str">
        <f t="shared" si="289"/>
        <v>Overpaid</v>
      </c>
    </row>
    <row r="3672" spans="1:24" x14ac:dyDescent="0.3">
      <c r="A3672" t="s">
        <v>3740</v>
      </c>
      <c r="B3672" t="s">
        <v>20</v>
      </c>
      <c r="C3672">
        <v>39</v>
      </c>
      <c r="D3672" t="s">
        <v>88</v>
      </c>
      <c r="E3672" t="s">
        <v>22</v>
      </c>
      <c r="F3672" t="s">
        <v>62</v>
      </c>
      <c r="G3672" t="s">
        <v>49</v>
      </c>
      <c r="H3672" t="s">
        <v>25</v>
      </c>
      <c r="I3672" t="s">
        <v>50</v>
      </c>
      <c r="J3672" t="s">
        <v>44</v>
      </c>
      <c r="K3672">
        <v>12</v>
      </c>
      <c r="L3672">
        <v>64363</v>
      </c>
      <c r="M3672" t="s">
        <v>28</v>
      </c>
      <c r="N3672">
        <v>3</v>
      </c>
      <c r="O3672">
        <v>2</v>
      </c>
      <c r="P3672">
        <v>59</v>
      </c>
      <c r="Q3672">
        <v>3</v>
      </c>
      <c r="R3672" s="1">
        <v>40800</v>
      </c>
      <c r="S3672" t="s">
        <v>29</v>
      </c>
      <c r="T3672" t="str">
        <f t="shared" si="285"/>
        <v>Grade B</v>
      </c>
      <c r="U3672">
        <f t="shared" si="286"/>
        <v>3</v>
      </c>
      <c r="V3672" t="str">
        <f t="shared" si="287"/>
        <v>Senior</v>
      </c>
      <c r="W3672" t="str">
        <f t="shared" si="288"/>
        <v>Medium Risk</v>
      </c>
      <c r="X3672" t="str">
        <f t="shared" si="289"/>
        <v>Competitive</v>
      </c>
    </row>
    <row r="3673" spans="1:24" x14ac:dyDescent="0.3">
      <c r="A3673" t="s">
        <v>3741</v>
      </c>
      <c r="B3673" t="s">
        <v>39</v>
      </c>
      <c r="C3673">
        <v>31</v>
      </c>
      <c r="D3673" t="s">
        <v>88</v>
      </c>
      <c r="E3673" t="s">
        <v>22</v>
      </c>
      <c r="F3673" t="s">
        <v>62</v>
      </c>
      <c r="G3673" t="s">
        <v>33</v>
      </c>
      <c r="H3673" t="s">
        <v>67</v>
      </c>
      <c r="I3673" t="s">
        <v>80</v>
      </c>
      <c r="J3673" t="s">
        <v>60</v>
      </c>
      <c r="K3673">
        <v>11</v>
      </c>
      <c r="L3673">
        <v>78759</v>
      </c>
      <c r="M3673" t="s">
        <v>28</v>
      </c>
      <c r="N3673">
        <v>2</v>
      </c>
      <c r="O3673">
        <v>1</v>
      </c>
      <c r="P3673">
        <v>16</v>
      </c>
      <c r="Q3673">
        <v>0</v>
      </c>
      <c r="R3673" s="1">
        <v>41143</v>
      </c>
      <c r="S3673" t="s">
        <v>37</v>
      </c>
      <c r="T3673" t="str">
        <f t="shared" si="285"/>
        <v>Grade B</v>
      </c>
      <c r="U3673">
        <f t="shared" si="286"/>
        <v>3</v>
      </c>
      <c r="V3673" t="str">
        <f t="shared" si="287"/>
        <v>Senior</v>
      </c>
      <c r="W3673" t="str">
        <f t="shared" si="288"/>
        <v>Already Left</v>
      </c>
      <c r="X3673" t="str">
        <f t="shared" si="289"/>
        <v>Competitive</v>
      </c>
    </row>
    <row r="3674" spans="1:24" x14ac:dyDescent="0.3">
      <c r="A3674" t="s">
        <v>3742</v>
      </c>
      <c r="B3674" t="s">
        <v>20</v>
      </c>
      <c r="C3674">
        <v>45</v>
      </c>
      <c r="D3674" t="s">
        <v>88</v>
      </c>
      <c r="E3674" t="s">
        <v>48</v>
      </c>
      <c r="F3674" t="s">
        <v>32</v>
      </c>
      <c r="G3674" t="s">
        <v>79</v>
      </c>
      <c r="H3674" t="s">
        <v>34</v>
      </c>
      <c r="I3674" t="s">
        <v>50</v>
      </c>
      <c r="J3674" t="s">
        <v>44</v>
      </c>
      <c r="K3674">
        <v>2</v>
      </c>
      <c r="L3674">
        <v>43819</v>
      </c>
      <c r="M3674" t="s">
        <v>51</v>
      </c>
      <c r="N3674">
        <v>4</v>
      </c>
      <c r="O3674">
        <v>2</v>
      </c>
      <c r="P3674">
        <v>19</v>
      </c>
      <c r="Q3674">
        <v>3</v>
      </c>
      <c r="R3674" s="1">
        <v>44311</v>
      </c>
      <c r="S3674" t="s">
        <v>37</v>
      </c>
      <c r="T3674" t="str">
        <f t="shared" si="285"/>
        <v>Grade C</v>
      </c>
      <c r="U3674">
        <f t="shared" si="286"/>
        <v>4</v>
      </c>
      <c r="V3674" t="str">
        <f t="shared" si="287"/>
        <v>New Joiner</v>
      </c>
      <c r="W3674" t="str">
        <f t="shared" si="288"/>
        <v>Already Left</v>
      </c>
      <c r="X3674" t="str">
        <f t="shared" si="289"/>
        <v>Fair</v>
      </c>
    </row>
    <row r="3675" spans="1:24" x14ac:dyDescent="0.3">
      <c r="A3675" t="s">
        <v>3743</v>
      </c>
      <c r="B3675" t="s">
        <v>39</v>
      </c>
      <c r="C3675">
        <v>41</v>
      </c>
      <c r="D3675" t="s">
        <v>31</v>
      </c>
      <c r="E3675" t="s">
        <v>40</v>
      </c>
      <c r="F3675" t="s">
        <v>62</v>
      </c>
      <c r="G3675" t="s">
        <v>42</v>
      </c>
      <c r="H3675" t="s">
        <v>34</v>
      </c>
      <c r="I3675" t="s">
        <v>59</v>
      </c>
      <c r="J3675" t="s">
        <v>60</v>
      </c>
      <c r="K3675">
        <v>12</v>
      </c>
      <c r="L3675">
        <v>116676</v>
      </c>
      <c r="M3675" t="s">
        <v>45</v>
      </c>
      <c r="N3675">
        <v>4</v>
      </c>
      <c r="O3675">
        <v>3</v>
      </c>
      <c r="P3675">
        <v>55</v>
      </c>
      <c r="Q3675">
        <v>0</v>
      </c>
      <c r="R3675" s="1">
        <v>40742</v>
      </c>
      <c r="S3675" t="s">
        <v>37</v>
      </c>
      <c r="T3675" t="str">
        <f t="shared" si="285"/>
        <v>Grade A</v>
      </c>
      <c r="U3675">
        <f t="shared" si="286"/>
        <v>2</v>
      </c>
      <c r="V3675" t="str">
        <f t="shared" si="287"/>
        <v>Senior</v>
      </c>
      <c r="W3675" t="str">
        <f t="shared" si="288"/>
        <v>Already Left</v>
      </c>
      <c r="X3675" t="str">
        <f t="shared" si="289"/>
        <v>Fair</v>
      </c>
    </row>
    <row r="3676" spans="1:24" x14ac:dyDescent="0.3">
      <c r="A3676" t="s">
        <v>3744</v>
      </c>
      <c r="B3676" t="s">
        <v>20</v>
      </c>
      <c r="C3676">
        <v>27</v>
      </c>
      <c r="D3676" t="s">
        <v>88</v>
      </c>
      <c r="E3676" t="s">
        <v>48</v>
      </c>
      <c r="F3676" t="s">
        <v>53</v>
      </c>
      <c r="G3676" t="s">
        <v>79</v>
      </c>
      <c r="H3676" t="s">
        <v>67</v>
      </c>
      <c r="I3676" t="s">
        <v>35</v>
      </c>
      <c r="J3676" t="s">
        <v>27</v>
      </c>
      <c r="K3676">
        <v>9</v>
      </c>
      <c r="L3676">
        <v>60915</v>
      </c>
      <c r="M3676" t="s">
        <v>28</v>
      </c>
      <c r="N3676">
        <v>1</v>
      </c>
      <c r="O3676">
        <v>4</v>
      </c>
      <c r="P3676">
        <v>38</v>
      </c>
      <c r="Q3676">
        <v>1</v>
      </c>
      <c r="R3676" s="1">
        <v>41888</v>
      </c>
      <c r="S3676" t="s">
        <v>37</v>
      </c>
      <c r="T3676" t="str">
        <f t="shared" si="285"/>
        <v>Grade B</v>
      </c>
      <c r="U3676">
        <f t="shared" si="286"/>
        <v>3</v>
      </c>
      <c r="V3676" t="str">
        <f t="shared" si="287"/>
        <v>Mid Level</v>
      </c>
      <c r="W3676" t="str">
        <f t="shared" si="288"/>
        <v>Already Left</v>
      </c>
      <c r="X3676" t="str">
        <f t="shared" si="289"/>
        <v>Competitive</v>
      </c>
    </row>
    <row r="3677" spans="1:24" x14ac:dyDescent="0.3">
      <c r="A3677" t="s">
        <v>3745</v>
      </c>
      <c r="B3677" t="s">
        <v>20</v>
      </c>
      <c r="C3677">
        <v>49</v>
      </c>
      <c r="D3677" t="s">
        <v>88</v>
      </c>
      <c r="E3677" t="s">
        <v>48</v>
      </c>
      <c r="F3677" t="s">
        <v>41</v>
      </c>
      <c r="G3677" t="s">
        <v>66</v>
      </c>
      <c r="H3677" t="s">
        <v>25</v>
      </c>
      <c r="I3677" t="s">
        <v>96</v>
      </c>
      <c r="J3677" t="s">
        <v>44</v>
      </c>
      <c r="K3677">
        <v>4</v>
      </c>
      <c r="L3677">
        <v>44246</v>
      </c>
      <c r="M3677" t="s">
        <v>36</v>
      </c>
      <c r="N3677">
        <v>2</v>
      </c>
      <c r="O3677">
        <v>4</v>
      </c>
      <c r="P3677">
        <v>32</v>
      </c>
      <c r="Q3677">
        <v>0</v>
      </c>
      <c r="R3677" s="1">
        <v>43559</v>
      </c>
      <c r="S3677" t="s">
        <v>37</v>
      </c>
      <c r="T3677" t="str">
        <f t="shared" si="285"/>
        <v>Grade C</v>
      </c>
      <c r="U3677">
        <f t="shared" si="286"/>
        <v>1</v>
      </c>
      <c r="V3677" t="str">
        <f t="shared" si="287"/>
        <v>Junior</v>
      </c>
      <c r="W3677" t="str">
        <f t="shared" si="288"/>
        <v>Already Left</v>
      </c>
      <c r="X3677" t="str">
        <f t="shared" si="289"/>
        <v>Fair</v>
      </c>
    </row>
    <row r="3678" spans="1:24" x14ac:dyDescent="0.3">
      <c r="A3678" t="s">
        <v>3746</v>
      </c>
      <c r="B3678" t="s">
        <v>20</v>
      </c>
      <c r="C3678">
        <v>38</v>
      </c>
      <c r="D3678" t="s">
        <v>47</v>
      </c>
      <c r="E3678" t="s">
        <v>22</v>
      </c>
      <c r="F3678" t="s">
        <v>53</v>
      </c>
      <c r="G3678" t="s">
        <v>24</v>
      </c>
      <c r="H3678" t="s">
        <v>67</v>
      </c>
      <c r="I3678" t="s">
        <v>59</v>
      </c>
      <c r="J3678" t="s">
        <v>60</v>
      </c>
      <c r="K3678">
        <v>13</v>
      </c>
      <c r="L3678">
        <v>95155</v>
      </c>
      <c r="M3678" t="s">
        <v>28</v>
      </c>
      <c r="N3678">
        <v>4</v>
      </c>
      <c r="O3678">
        <v>3</v>
      </c>
      <c r="P3678">
        <v>13</v>
      </c>
      <c r="Q3678">
        <v>1</v>
      </c>
      <c r="R3678" s="1">
        <v>40516</v>
      </c>
      <c r="S3678" t="s">
        <v>29</v>
      </c>
      <c r="T3678" t="str">
        <f t="shared" si="285"/>
        <v>Grade A</v>
      </c>
      <c r="U3678">
        <f t="shared" si="286"/>
        <v>3</v>
      </c>
      <c r="V3678" t="str">
        <f t="shared" si="287"/>
        <v>Senior</v>
      </c>
      <c r="W3678" t="str">
        <f t="shared" si="288"/>
        <v>Medium Risk</v>
      </c>
      <c r="X3678" t="str">
        <f t="shared" si="289"/>
        <v>Competitive</v>
      </c>
    </row>
    <row r="3679" spans="1:24" x14ac:dyDescent="0.3">
      <c r="A3679" t="s">
        <v>3747</v>
      </c>
      <c r="B3679" t="s">
        <v>39</v>
      </c>
      <c r="C3679">
        <v>32</v>
      </c>
      <c r="D3679" t="s">
        <v>47</v>
      </c>
      <c r="E3679" t="s">
        <v>40</v>
      </c>
      <c r="F3679" t="s">
        <v>65</v>
      </c>
      <c r="G3679" t="s">
        <v>24</v>
      </c>
      <c r="H3679" t="s">
        <v>25</v>
      </c>
      <c r="I3679" t="s">
        <v>43</v>
      </c>
      <c r="J3679" t="s">
        <v>44</v>
      </c>
      <c r="K3679">
        <v>10</v>
      </c>
      <c r="L3679">
        <v>93595</v>
      </c>
      <c r="M3679" t="s">
        <v>45</v>
      </c>
      <c r="N3679">
        <v>2</v>
      </c>
      <c r="O3679">
        <v>1</v>
      </c>
      <c r="P3679">
        <v>13</v>
      </c>
      <c r="Q3679">
        <v>0</v>
      </c>
      <c r="R3679" s="1">
        <v>41356</v>
      </c>
      <c r="S3679" t="s">
        <v>29</v>
      </c>
      <c r="T3679" t="str">
        <f t="shared" si="285"/>
        <v>Grade A</v>
      </c>
      <c r="U3679">
        <f t="shared" si="286"/>
        <v>2</v>
      </c>
      <c r="V3679" t="str">
        <f t="shared" si="287"/>
        <v>Mid Level</v>
      </c>
      <c r="W3679" t="str">
        <f t="shared" si="288"/>
        <v>Medium Risk</v>
      </c>
      <c r="X3679" t="str">
        <f t="shared" si="289"/>
        <v>Fair</v>
      </c>
    </row>
    <row r="3680" spans="1:24" x14ac:dyDescent="0.3">
      <c r="A3680" t="s">
        <v>3748</v>
      </c>
      <c r="B3680" t="s">
        <v>39</v>
      </c>
      <c r="C3680">
        <v>52</v>
      </c>
      <c r="D3680" t="s">
        <v>47</v>
      </c>
      <c r="E3680" t="s">
        <v>48</v>
      </c>
      <c r="F3680" t="s">
        <v>65</v>
      </c>
      <c r="G3680" t="s">
        <v>66</v>
      </c>
      <c r="H3680" t="s">
        <v>25</v>
      </c>
      <c r="I3680" t="s">
        <v>35</v>
      </c>
      <c r="J3680" t="s">
        <v>27</v>
      </c>
      <c r="K3680">
        <v>14</v>
      </c>
      <c r="L3680">
        <v>56044</v>
      </c>
      <c r="M3680" t="s">
        <v>51</v>
      </c>
      <c r="N3680">
        <v>3</v>
      </c>
      <c r="O3680">
        <v>1</v>
      </c>
      <c r="P3680">
        <v>43</v>
      </c>
      <c r="Q3680">
        <v>2</v>
      </c>
      <c r="R3680" s="1">
        <v>40062</v>
      </c>
      <c r="S3680" t="s">
        <v>29</v>
      </c>
      <c r="T3680" t="str">
        <f t="shared" si="285"/>
        <v>Grade B</v>
      </c>
      <c r="U3680">
        <f t="shared" si="286"/>
        <v>4</v>
      </c>
      <c r="V3680" t="str">
        <f t="shared" si="287"/>
        <v>Senior</v>
      </c>
      <c r="W3680" t="str">
        <f t="shared" si="288"/>
        <v>Low Risk</v>
      </c>
      <c r="X3680" t="str">
        <f t="shared" si="289"/>
        <v>Fair</v>
      </c>
    </row>
    <row r="3681" spans="1:24" x14ac:dyDescent="0.3">
      <c r="A3681" t="s">
        <v>3749</v>
      </c>
      <c r="B3681" t="s">
        <v>20</v>
      </c>
      <c r="C3681">
        <v>31</v>
      </c>
      <c r="D3681" t="s">
        <v>21</v>
      </c>
      <c r="E3681" t="s">
        <v>40</v>
      </c>
      <c r="F3681" t="s">
        <v>41</v>
      </c>
      <c r="G3681" t="s">
        <v>49</v>
      </c>
      <c r="H3681" t="s">
        <v>34</v>
      </c>
      <c r="I3681" t="s">
        <v>96</v>
      </c>
      <c r="J3681" t="s">
        <v>44</v>
      </c>
      <c r="K3681">
        <v>12</v>
      </c>
      <c r="L3681">
        <v>68726</v>
      </c>
      <c r="M3681" t="s">
        <v>51</v>
      </c>
      <c r="N3681">
        <v>3</v>
      </c>
      <c r="O3681">
        <v>4</v>
      </c>
      <c r="P3681">
        <v>22</v>
      </c>
      <c r="Q3681">
        <v>1</v>
      </c>
      <c r="R3681" s="1">
        <v>40893</v>
      </c>
      <c r="S3681" t="s">
        <v>29</v>
      </c>
      <c r="T3681" t="str">
        <f t="shared" si="285"/>
        <v>Grade B</v>
      </c>
      <c r="U3681">
        <f t="shared" si="286"/>
        <v>4</v>
      </c>
      <c r="V3681" t="str">
        <f t="shared" si="287"/>
        <v>Senior</v>
      </c>
      <c r="W3681" t="str">
        <f t="shared" si="288"/>
        <v>Low Risk</v>
      </c>
      <c r="X3681" t="str">
        <f t="shared" si="289"/>
        <v>Fair</v>
      </c>
    </row>
    <row r="3682" spans="1:24" x14ac:dyDescent="0.3">
      <c r="A3682" t="s">
        <v>3750</v>
      </c>
      <c r="B3682" t="s">
        <v>20</v>
      </c>
      <c r="C3682">
        <v>44</v>
      </c>
      <c r="D3682" t="s">
        <v>57</v>
      </c>
      <c r="E3682" t="s">
        <v>22</v>
      </c>
      <c r="F3682" t="s">
        <v>65</v>
      </c>
      <c r="G3682" t="s">
        <v>49</v>
      </c>
      <c r="H3682" t="s">
        <v>25</v>
      </c>
      <c r="I3682" t="s">
        <v>59</v>
      </c>
      <c r="J3682" t="s">
        <v>60</v>
      </c>
      <c r="K3682">
        <v>4</v>
      </c>
      <c r="L3682">
        <v>63469</v>
      </c>
      <c r="M3682" t="s">
        <v>36</v>
      </c>
      <c r="N3682">
        <v>3</v>
      </c>
      <c r="O3682">
        <v>1</v>
      </c>
      <c r="P3682">
        <v>43</v>
      </c>
      <c r="Q3682">
        <v>0</v>
      </c>
      <c r="R3682" s="1">
        <v>43668</v>
      </c>
      <c r="S3682" t="s">
        <v>37</v>
      </c>
      <c r="T3682" t="str">
        <f t="shared" si="285"/>
        <v>Grade B</v>
      </c>
      <c r="U3682">
        <f t="shared" si="286"/>
        <v>1</v>
      </c>
      <c r="V3682" t="str">
        <f t="shared" si="287"/>
        <v>Junior</v>
      </c>
      <c r="W3682" t="str">
        <f t="shared" si="288"/>
        <v>Already Left</v>
      </c>
      <c r="X3682" t="str">
        <f t="shared" si="289"/>
        <v>Fair</v>
      </c>
    </row>
    <row r="3683" spans="1:24" x14ac:dyDescent="0.3">
      <c r="A3683" t="s">
        <v>3751</v>
      </c>
      <c r="B3683" t="s">
        <v>39</v>
      </c>
      <c r="C3683">
        <v>31</v>
      </c>
      <c r="D3683" t="s">
        <v>47</v>
      </c>
      <c r="E3683" t="s">
        <v>40</v>
      </c>
      <c r="F3683" t="s">
        <v>78</v>
      </c>
      <c r="G3683" t="s">
        <v>58</v>
      </c>
      <c r="H3683" t="s">
        <v>76</v>
      </c>
      <c r="I3683" t="s">
        <v>72</v>
      </c>
      <c r="J3683" t="s">
        <v>73</v>
      </c>
      <c r="K3683">
        <v>9</v>
      </c>
      <c r="L3683">
        <v>107748</v>
      </c>
      <c r="M3683" t="s">
        <v>51</v>
      </c>
      <c r="N3683">
        <v>4</v>
      </c>
      <c r="O3683">
        <v>4</v>
      </c>
      <c r="P3683">
        <v>56</v>
      </c>
      <c r="Q3683">
        <v>1</v>
      </c>
      <c r="R3683" s="1">
        <v>41718</v>
      </c>
      <c r="S3683" t="s">
        <v>29</v>
      </c>
      <c r="T3683" t="str">
        <f t="shared" si="285"/>
        <v>Grade A</v>
      </c>
      <c r="U3683">
        <f t="shared" si="286"/>
        <v>4</v>
      </c>
      <c r="V3683" t="str">
        <f t="shared" si="287"/>
        <v>Mid Level</v>
      </c>
      <c r="W3683" t="str">
        <f t="shared" si="288"/>
        <v>Low Risk</v>
      </c>
      <c r="X3683" t="str">
        <f t="shared" si="289"/>
        <v>Competitive</v>
      </c>
    </row>
    <row r="3684" spans="1:24" x14ac:dyDescent="0.3">
      <c r="A3684" t="s">
        <v>3752</v>
      </c>
      <c r="B3684" t="s">
        <v>20</v>
      </c>
      <c r="C3684">
        <v>42</v>
      </c>
      <c r="D3684" t="s">
        <v>57</v>
      </c>
      <c r="E3684" t="s">
        <v>48</v>
      </c>
      <c r="F3684" t="s">
        <v>65</v>
      </c>
      <c r="G3684" t="s">
        <v>58</v>
      </c>
      <c r="H3684" t="s">
        <v>83</v>
      </c>
      <c r="I3684" t="s">
        <v>35</v>
      </c>
      <c r="J3684" t="s">
        <v>27</v>
      </c>
      <c r="K3684">
        <v>2</v>
      </c>
      <c r="L3684">
        <v>95793</v>
      </c>
      <c r="M3684" t="s">
        <v>45</v>
      </c>
      <c r="N3684">
        <v>3</v>
      </c>
      <c r="O3684">
        <v>4</v>
      </c>
      <c r="P3684">
        <v>54</v>
      </c>
      <c r="Q3684">
        <v>1</v>
      </c>
      <c r="R3684" s="1">
        <v>44333</v>
      </c>
      <c r="S3684" t="s">
        <v>29</v>
      </c>
      <c r="T3684" t="str">
        <f t="shared" si="285"/>
        <v>Grade A</v>
      </c>
      <c r="U3684">
        <f t="shared" si="286"/>
        <v>2</v>
      </c>
      <c r="V3684" t="str">
        <f t="shared" si="287"/>
        <v>New Joiner</v>
      </c>
      <c r="W3684" t="str">
        <f t="shared" si="288"/>
        <v>Medium Risk</v>
      </c>
      <c r="X3684" t="str">
        <f t="shared" si="289"/>
        <v>Fair</v>
      </c>
    </row>
    <row r="3685" spans="1:24" x14ac:dyDescent="0.3">
      <c r="A3685" t="s">
        <v>3753</v>
      </c>
      <c r="B3685" t="s">
        <v>20</v>
      </c>
      <c r="C3685">
        <v>40</v>
      </c>
      <c r="D3685" t="s">
        <v>47</v>
      </c>
      <c r="E3685" t="s">
        <v>48</v>
      </c>
      <c r="F3685" t="s">
        <v>23</v>
      </c>
      <c r="G3685" t="s">
        <v>49</v>
      </c>
      <c r="H3685" t="s">
        <v>76</v>
      </c>
      <c r="I3685" t="s">
        <v>72</v>
      </c>
      <c r="J3685" t="s">
        <v>73</v>
      </c>
      <c r="K3685">
        <v>14</v>
      </c>
      <c r="L3685">
        <v>75435</v>
      </c>
      <c r="M3685" t="s">
        <v>36</v>
      </c>
      <c r="N3685">
        <v>2</v>
      </c>
      <c r="O3685">
        <v>4</v>
      </c>
      <c r="P3685">
        <v>24</v>
      </c>
      <c r="Q3685">
        <v>1</v>
      </c>
      <c r="R3685" s="1">
        <v>40064</v>
      </c>
      <c r="S3685" t="s">
        <v>29</v>
      </c>
      <c r="T3685" t="str">
        <f t="shared" si="285"/>
        <v>Grade B</v>
      </c>
      <c r="U3685">
        <f t="shared" si="286"/>
        <v>1</v>
      </c>
      <c r="V3685" t="str">
        <f t="shared" si="287"/>
        <v>Senior</v>
      </c>
      <c r="W3685" t="str">
        <f t="shared" si="288"/>
        <v>Medium Risk</v>
      </c>
      <c r="X3685" t="str">
        <f t="shared" si="289"/>
        <v>Fair</v>
      </c>
    </row>
    <row r="3686" spans="1:24" x14ac:dyDescent="0.3">
      <c r="A3686" t="s">
        <v>3754</v>
      </c>
      <c r="B3686" t="s">
        <v>20</v>
      </c>
      <c r="C3686">
        <v>55</v>
      </c>
      <c r="D3686" t="s">
        <v>47</v>
      </c>
      <c r="E3686" t="s">
        <v>22</v>
      </c>
      <c r="F3686" t="s">
        <v>62</v>
      </c>
      <c r="G3686" t="s">
        <v>33</v>
      </c>
      <c r="H3686" t="s">
        <v>76</v>
      </c>
      <c r="I3686" t="s">
        <v>26</v>
      </c>
      <c r="J3686" t="s">
        <v>27</v>
      </c>
      <c r="K3686">
        <v>1</v>
      </c>
      <c r="L3686">
        <v>53967</v>
      </c>
      <c r="M3686" t="s">
        <v>28</v>
      </c>
      <c r="N3686">
        <v>3</v>
      </c>
      <c r="O3686">
        <v>2</v>
      </c>
      <c r="P3686">
        <v>79</v>
      </c>
      <c r="Q3686">
        <v>3</v>
      </c>
      <c r="R3686" s="1">
        <v>44616</v>
      </c>
      <c r="S3686" t="s">
        <v>37</v>
      </c>
      <c r="T3686" t="str">
        <f t="shared" si="285"/>
        <v>Grade B</v>
      </c>
      <c r="U3686">
        <f t="shared" si="286"/>
        <v>3</v>
      </c>
      <c r="V3686" t="str">
        <f t="shared" si="287"/>
        <v>New Joiner</v>
      </c>
      <c r="W3686" t="str">
        <f t="shared" si="288"/>
        <v>Already Left</v>
      </c>
      <c r="X3686" t="str">
        <f t="shared" si="289"/>
        <v>Competitive</v>
      </c>
    </row>
    <row r="3687" spans="1:24" x14ac:dyDescent="0.3">
      <c r="A3687" t="s">
        <v>3755</v>
      </c>
      <c r="B3687" t="s">
        <v>20</v>
      </c>
      <c r="C3687">
        <v>53</v>
      </c>
      <c r="D3687" t="s">
        <v>31</v>
      </c>
      <c r="E3687" t="s">
        <v>48</v>
      </c>
      <c r="F3687" t="s">
        <v>53</v>
      </c>
      <c r="G3687" t="s">
        <v>24</v>
      </c>
      <c r="H3687" t="s">
        <v>67</v>
      </c>
      <c r="I3687" t="s">
        <v>59</v>
      </c>
      <c r="J3687" t="s">
        <v>60</v>
      </c>
      <c r="K3687">
        <v>1</v>
      </c>
      <c r="L3687">
        <v>80224</v>
      </c>
      <c r="M3687" t="s">
        <v>51</v>
      </c>
      <c r="N3687">
        <v>3</v>
      </c>
      <c r="O3687">
        <v>3</v>
      </c>
      <c r="P3687">
        <v>35</v>
      </c>
      <c r="Q3687">
        <v>3</v>
      </c>
      <c r="R3687" s="1">
        <v>44575</v>
      </c>
      <c r="S3687" t="s">
        <v>29</v>
      </c>
      <c r="T3687" t="str">
        <f t="shared" si="285"/>
        <v>Grade A</v>
      </c>
      <c r="U3687">
        <f t="shared" si="286"/>
        <v>4</v>
      </c>
      <c r="V3687" t="str">
        <f t="shared" si="287"/>
        <v>New Joiner</v>
      </c>
      <c r="W3687" t="str">
        <f t="shared" si="288"/>
        <v>Low Risk</v>
      </c>
      <c r="X3687" t="str">
        <f t="shared" si="289"/>
        <v>Competitive</v>
      </c>
    </row>
    <row r="3688" spans="1:24" x14ac:dyDescent="0.3">
      <c r="A3688" t="s">
        <v>3756</v>
      </c>
      <c r="B3688" t="s">
        <v>39</v>
      </c>
      <c r="C3688">
        <v>41</v>
      </c>
      <c r="D3688" t="s">
        <v>21</v>
      </c>
      <c r="E3688" t="s">
        <v>22</v>
      </c>
      <c r="F3688" t="s">
        <v>78</v>
      </c>
      <c r="G3688" t="s">
        <v>79</v>
      </c>
      <c r="H3688" t="s">
        <v>67</v>
      </c>
      <c r="I3688" t="s">
        <v>43</v>
      </c>
      <c r="J3688" t="s">
        <v>44</v>
      </c>
      <c r="K3688">
        <v>3</v>
      </c>
      <c r="L3688">
        <v>49108</v>
      </c>
      <c r="M3688" t="s">
        <v>45</v>
      </c>
      <c r="N3688">
        <v>4</v>
      </c>
      <c r="O3688">
        <v>3</v>
      </c>
      <c r="P3688">
        <v>10</v>
      </c>
      <c r="Q3688">
        <v>1</v>
      </c>
      <c r="R3688" s="1">
        <v>43931</v>
      </c>
      <c r="S3688" t="s">
        <v>37</v>
      </c>
      <c r="T3688" t="str">
        <f t="shared" si="285"/>
        <v>Grade C</v>
      </c>
      <c r="U3688">
        <f t="shared" si="286"/>
        <v>2</v>
      </c>
      <c r="V3688" t="str">
        <f t="shared" si="287"/>
        <v>Junior</v>
      </c>
      <c r="W3688" t="str">
        <f t="shared" si="288"/>
        <v>Already Left</v>
      </c>
      <c r="X3688" t="str">
        <f t="shared" si="289"/>
        <v>Fair</v>
      </c>
    </row>
    <row r="3689" spans="1:24" x14ac:dyDescent="0.3">
      <c r="A3689" t="s">
        <v>3757</v>
      </c>
      <c r="B3689" t="s">
        <v>20</v>
      </c>
      <c r="C3689">
        <v>46</v>
      </c>
      <c r="D3689" t="s">
        <v>47</v>
      </c>
      <c r="E3689" t="s">
        <v>22</v>
      </c>
      <c r="F3689" t="s">
        <v>32</v>
      </c>
      <c r="G3689" t="s">
        <v>33</v>
      </c>
      <c r="H3689" t="s">
        <v>25</v>
      </c>
      <c r="I3689" t="s">
        <v>54</v>
      </c>
      <c r="J3689" t="s">
        <v>27</v>
      </c>
      <c r="K3689">
        <v>5</v>
      </c>
      <c r="L3689">
        <v>79642</v>
      </c>
      <c r="M3689" t="s">
        <v>36</v>
      </c>
      <c r="N3689">
        <v>3</v>
      </c>
      <c r="O3689">
        <v>3</v>
      </c>
      <c r="P3689">
        <v>29</v>
      </c>
      <c r="Q3689">
        <v>3</v>
      </c>
      <c r="R3689" s="1">
        <v>43355</v>
      </c>
      <c r="S3689" t="s">
        <v>37</v>
      </c>
      <c r="T3689" t="str">
        <f t="shared" si="285"/>
        <v>Grade B</v>
      </c>
      <c r="U3689">
        <f t="shared" si="286"/>
        <v>1</v>
      </c>
      <c r="V3689" t="str">
        <f t="shared" si="287"/>
        <v>Junior</v>
      </c>
      <c r="W3689" t="str">
        <f t="shared" si="288"/>
        <v>Already Left</v>
      </c>
      <c r="X3689" t="str">
        <f t="shared" si="289"/>
        <v>Fair</v>
      </c>
    </row>
    <row r="3690" spans="1:24" x14ac:dyDescent="0.3">
      <c r="A3690" t="s">
        <v>3758</v>
      </c>
      <c r="B3690" t="s">
        <v>39</v>
      </c>
      <c r="C3690">
        <v>35</v>
      </c>
      <c r="D3690" t="s">
        <v>57</v>
      </c>
      <c r="E3690" t="s">
        <v>22</v>
      </c>
      <c r="F3690" t="s">
        <v>75</v>
      </c>
      <c r="G3690" t="s">
        <v>24</v>
      </c>
      <c r="H3690" t="s">
        <v>76</v>
      </c>
      <c r="I3690" t="s">
        <v>68</v>
      </c>
      <c r="J3690" t="s">
        <v>60</v>
      </c>
      <c r="K3690">
        <v>9</v>
      </c>
      <c r="L3690">
        <v>96418</v>
      </c>
      <c r="M3690" t="s">
        <v>51</v>
      </c>
      <c r="N3690">
        <v>1</v>
      </c>
      <c r="O3690">
        <v>4</v>
      </c>
      <c r="P3690">
        <v>59</v>
      </c>
      <c r="Q3690">
        <v>3</v>
      </c>
      <c r="R3690" s="1">
        <v>41976</v>
      </c>
      <c r="S3690" t="s">
        <v>29</v>
      </c>
      <c r="T3690" t="str">
        <f t="shared" si="285"/>
        <v>Grade A</v>
      </c>
      <c r="U3690">
        <f t="shared" si="286"/>
        <v>4</v>
      </c>
      <c r="V3690" t="str">
        <f t="shared" si="287"/>
        <v>Mid Level</v>
      </c>
      <c r="W3690" t="str">
        <f t="shared" si="288"/>
        <v>Low Risk</v>
      </c>
      <c r="X3690" t="str">
        <f t="shared" si="289"/>
        <v>Competitive</v>
      </c>
    </row>
    <row r="3691" spans="1:24" x14ac:dyDescent="0.3">
      <c r="A3691" t="s">
        <v>3759</v>
      </c>
      <c r="B3691" t="s">
        <v>20</v>
      </c>
      <c r="C3691">
        <v>26</v>
      </c>
      <c r="D3691" t="s">
        <v>31</v>
      </c>
      <c r="E3691" t="s">
        <v>48</v>
      </c>
      <c r="F3691" t="s">
        <v>53</v>
      </c>
      <c r="G3691" t="s">
        <v>33</v>
      </c>
      <c r="H3691" t="s">
        <v>67</v>
      </c>
      <c r="I3691" t="s">
        <v>59</v>
      </c>
      <c r="J3691" t="s">
        <v>60</v>
      </c>
      <c r="K3691">
        <v>12</v>
      </c>
      <c r="L3691">
        <v>88674</v>
      </c>
      <c r="M3691" t="s">
        <v>51</v>
      </c>
      <c r="N3691">
        <v>4</v>
      </c>
      <c r="O3691">
        <v>4</v>
      </c>
      <c r="P3691">
        <v>32</v>
      </c>
      <c r="Q3691">
        <v>0</v>
      </c>
      <c r="R3691" s="1">
        <v>40611</v>
      </c>
      <c r="S3691" t="s">
        <v>29</v>
      </c>
      <c r="T3691" t="str">
        <f t="shared" si="285"/>
        <v>Grade A</v>
      </c>
      <c r="U3691">
        <f t="shared" si="286"/>
        <v>4</v>
      </c>
      <c r="V3691" t="str">
        <f t="shared" si="287"/>
        <v>Senior</v>
      </c>
      <c r="W3691" t="str">
        <f t="shared" si="288"/>
        <v>Low Risk</v>
      </c>
      <c r="X3691" t="str">
        <f t="shared" si="289"/>
        <v>Competitive</v>
      </c>
    </row>
    <row r="3692" spans="1:24" x14ac:dyDescent="0.3">
      <c r="A3692" t="s">
        <v>3760</v>
      </c>
      <c r="B3692" t="s">
        <v>39</v>
      </c>
      <c r="C3692">
        <v>49</v>
      </c>
      <c r="D3692" t="s">
        <v>47</v>
      </c>
      <c r="E3692" t="s">
        <v>48</v>
      </c>
      <c r="F3692" t="s">
        <v>65</v>
      </c>
      <c r="G3692" t="s">
        <v>63</v>
      </c>
      <c r="H3692" t="s">
        <v>67</v>
      </c>
      <c r="I3692" t="s">
        <v>80</v>
      </c>
      <c r="J3692" t="s">
        <v>60</v>
      </c>
      <c r="K3692">
        <v>8</v>
      </c>
      <c r="L3692">
        <v>70293</v>
      </c>
      <c r="M3692" t="s">
        <v>28</v>
      </c>
      <c r="N3692">
        <v>4</v>
      </c>
      <c r="O3692">
        <v>2</v>
      </c>
      <c r="P3692">
        <v>44</v>
      </c>
      <c r="Q3692">
        <v>1</v>
      </c>
      <c r="R3692" s="1">
        <v>42066</v>
      </c>
      <c r="S3692" t="s">
        <v>29</v>
      </c>
      <c r="T3692" t="str">
        <f t="shared" si="285"/>
        <v>Grade B</v>
      </c>
      <c r="U3692">
        <f t="shared" si="286"/>
        <v>3</v>
      </c>
      <c r="V3692" t="str">
        <f t="shared" si="287"/>
        <v>Mid Level</v>
      </c>
      <c r="W3692" t="str">
        <f t="shared" si="288"/>
        <v>Medium Risk</v>
      </c>
      <c r="X3692" t="str">
        <f t="shared" si="289"/>
        <v>Competitive</v>
      </c>
    </row>
    <row r="3693" spans="1:24" x14ac:dyDescent="0.3">
      <c r="A3693" t="s">
        <v>3761</v>
      </c>
      <c r="B3693" t="s">
        <v>39</v>
      </c>
      <c r="C3693">
        <v>35</v>
      </c>
      <c r="D3693" t="s">
        <v>47</v>
      </c>
      <c r="E3693" t="s">
        <v>40</v>
      </c>
      <c r="F3693" t="s">
        <v>75</v>
      </c>
      <c r="G3693" t="s">
        <v>58</v>
      </c>
      <c r="H3693" t="s">
        <v>83</v>
      </c>
      <c r="I3693" t="s">
        <v>54</v>
      </c>
      <c r="J3693" t="s">
        <v>27</v>
      </c>
      <c r="K3693">
        <v>4</v>
      </c>
      <c r="L3693">
        <v>84265</v>
      </c>
      <c r="M3693" t="s">
        <v>36</v>
      </c>
      <c r="N3693">
        <v>1</v>
      </c>
      <c r="O3693">
        <v>4</v>
      </c>
      <c r="P3693">
        <v>74</v>
      </c>
      <c r="Q3693">
        <v>3</v>
      </c>
      <c r="R3693" s="1">
        <v>43561</v>
      </c>
      <c r="S3693" t="s">
        <v>29</v>
      </c>
      <c r="T3693" t="str">
        <f t="shared" si="285"/>
        <v>Grade A</v>
      </c>
      <c r="U3693">
        <f t="shared" si="286"/>
        <v>1</v>
      </c>
      <c r="V3693" t="str">
        <f t="shared" si="287"/>
        <v>Junior</v>
      </c>
      <c r="W3693" t="str">
        <f t="shared" si="288"/>
        <v>Medium Risk</v>
      </c>
      <c r="X3693" t="str">
        <f t="shared" si="289"/>
        <v>Overpaid</v>
      </c>
    </row>
    <row r="3694" spans="1:24" x14ac:dyDescent="0.3">
      <c r="A3694" t="s">
        <v>3762</v>
      </c>
      <c r="B3694" t="s">
        <v>20</v>
      </c>
      <c r="C3694">
        <v>28</v>
      </c>
      <c r="D3694" t="s">
        <v>57</v>
      </c>
      <c r="E3694" t="s">
        <v>22</v>
      </c>
      <c r="F3694" t="s">
        <v>65</v>
      </c>
      <c r="G3694" t="s">
        <v>24</v>
      </c>
      <c r="H3694" t="s">
        <v>76</v>
      </c>
      <c r="I3694" t="s">
        <v>59</v>
      </c>
      <c r="J3694" t="s">
        <v>60</v>
      </c>
      <c r="K3694">
        <v>10</v>
      </c>
      <c r="L3694">
        <v>87433</v>
      </c>
      <c r="M3694" t="s">
        <v>28</v>
      </c>
      <c r="N3694">
        <v>4</v>
      </c>
      <c r="O3694">
        <v>4</v>
      </c>
      <c r="P3694">
        <v>66</v>
      </c>
      <c r="Q3694">
        <v>1</v>
      </c>
      <c r="R3694" s="1">
        <v>41385</v>
      </c>
      <c r="S3694" t="s">
        <v>37</v>
      </c>
      <c r="T3694" t="str">
        <f t="shared" si="285"/>
        <v>Grade A</v>
      </c>
      <c r="U3694">
        <f t="shared" si="286"/>
        <v>3</v>
      </c>
      <c r="V3694" t="str">
        <f t="shared" si="287"/>
        <v>Mid Level</v>
      </c>
      <c r="W3694" t="str">
        <f t="shared" si="288"/>
        <v>Already Left</v>
      </c>
      <c r="X3694" t="str">
        <f t="shared" si="289"/>
        <v>Competitive</v>
      </c>
    </row>
    <row r="3695" spans="1:24" x14ac:dyDescent="0.3">
      <c r="A3695" t="s">
        <v>3763</v>
      </c>
      <c r="B3695" t="s">
        <v>20</v>
      </c>
      <c r="C3695">
        <v>55</v>
      </c>
      <c r="D3695" t="s">
        <v>31</v>
      </c>
      <c r="E3695" t="s">
        <v>22</v>
      </c>
      <c r="F3695" t="s">
        <v>41</v>
      </c>
      <c r="G3695" t="s">
        <v>33</v>
      </c>
      <c r="H3695" t="s">
        <v>83</v>
      </c>
      <c r="I3695" t="s">
        <v>72</v>
      </c>
      <c r="J3695" t="s">
        <v>73</v>
      </c>
      <c r="K3695">
        <v>14</v>
      </c>
      <c r="L3695">
        <v>84953</v>
      </c>
      <c r="M3695" t="s">
        <v>45</v>
      </c>
      <c r="N3695">
        <v>1</v>
      </c>
      <c r="O3695">
        <v>3</v>
      </c>
      <c r="P3695">
        <v>67</v>
      </c>
      <c r="Q3695">
        <v>2</v>
      </c>
      <c r="R3695" s="1">
        <v>40029</v>
      </c>
      <c r="S3695" t="s">
        <v>29</v>
      </c>
      <c r="T3695" t="str">
        <f t="shared" si="285"/>
        <v>Grade A</v>
      </c>
      <c r="U3695">
        <f t="shared" si="286"/>
        <v>2</v>
      </c>
      <c r="V3695" t="str">
        <f t="shared" si="287"/>
        <v>Senior</v>
      </c>
      <c r="W3695" t="str">
        <f t="shared" si="288"/>
        <v>Medium Risk</v>
      </c>
      <c r="X3695" t="str">
        <f t="shared" si="289"/>
        <v>Fair</v>
      </c>
    </row>
    <row r="3696" spans="1:24" x14ac:dyDescent="0.3">
      <c r="A3696" t="s">
        <v>3764</v>
      </c>
      <c r="B3696" t="s">
        <v>39</v>
      </c>
      <c r="C3696">
        <v>24</v>
      </c>
      <c r="D3696" t="s">
        <v>88</v>
      </c>
      <c r="E3696" t="s">
        <v>48</v>
      </c>
      <c r="F3696" t="s">
        <v>53</v>
      </c>
      <c r="G3696" t="s">
        <v>63</v>
      </c>
      <c r="H3696" t="s">
        <v>34</v>
      </c>
      <c r="I3696" t="s">
        <v>96</v>
      </c>
      <c r="J3696" t="s">
        <v>44</v>
      </c>
      <c r="K3696">
        <v>14</v>
      </c>
      <c r="L3696">
        <v>66249</v>
      </c>
      <c r="M3696" t="s">
        <v>28</v>
      </c>
      <c r="N3696">
        <v>2</v>
      </c>
      <c r="O3696">
        <v>4</v>
      </c>
      <c r="P3696">
        <v>79</v>
      </c>
      <c r="Q3696">
        <v>3</v>
      </c>
      <c r="R3696" s="1">
        <v>39972</v>
      </c>
      <c r="S3696" t="s">
        <v>29</v>
      </c>
      <c r="T3696" t="str">
        <f t="shared" si="285"/>
        <v>Grade B</v>
      </c>
      <c r="U3696">
        <f t="shared" si="286"/>
        <v>3</v>
      </c>
      <c r="V3696" t="str">
        <f t="shared" si="287"/>
        <v>Senior</v>
      </c>
      <c r="W3696" t="str">
        <f t="shared" si="288"/>
        <v>Medium Risk</v>
      </c>
      <c r="X3696" t="str">
        <f t="shared" si="289"/>
        <v>Competitive</v>
      </c>
    </row>
    <row r="3697" spans="1:24" x14ac:dyDescent="0.3">
      <c r="A3697" t="s">
        <v>3765</v>
      </c>
      <c r="B3697" t="s">
        <v>39</v>
      </c>
      <c r="C3697">
        <v>45</v>
      </c>
      <c r="D3697" t="s">
        <v>47</v>
      </c>
      <c r="E3697" t="s">
        <v>48</v>
      </c>
      <c r="F3697" t="s">
        <v>75</v>
      </c>
      <c r="G3697" t="s">
        <v>63</v>
      </c>
      <c r="H3697" t="s">
        <v>76</v>
      </c>
      <c r="I3697" t="s">
        <v>59</v>
      </c>
      <c r="J3697" t="s">
        <v>60</v>
      </c>
      <c r="K3697">
        <v>14</v>
      </c>
      <c r="L3697">
        <v>70558</v>
      </c>
      <c r="M3697" t="s">
        <v>36</v>
      </c>
      <c r="N3697">
        <v>2</v>
      </c>
      <c r="O3697">
        <v>4</v>
      </c>
      <c r="P3697">
        <v>11</v>
      </c>
      <c r="Q3697">
        <v>0</v>
      </c>
      <c r="R3697" s="1">
        <v>39985</v>
      </c>
      <c r="S3697" t="s">
        <v>37</v>
      </c>
      <c r="T3697" t="str">
        <f t="shared" si="285"/>
        <v>Grade B</v>
      </c>
      <c r="U3697">
        <f t="shared" si="286"/>
        <v>1</v>
      </c>
      <c r="V3697" t="str">
        <f t="shared" si="287"/>
        <v>Senior</v>
      </c>
      <c r="W3697" t="str">
        <f t="shared" si="288"/>
        <v>Already Left</v>
      </c>
      <c r="X3697" t="str">
        <f t="shared" si="289"/>
        <v>Fair</v>
      </c>
    </row>
    <row r="3698" spans="1:24" x14ac:dyDescent="0.3">
      <c r="A3698" t="s">
        <v>3766</v>
      </c>
      <c r="B3698" t="s">
        <v>39</v>
      </c>
      <c r="C3698">
        <v>54</v>
      </c>
      <c r="D3698" t="s">
        <v>47</v>
      </c>
      <c r="E3698" t="s">
        <v>40</v>
      </c>
      <c r="F3698" t="s">
        <v>65</v>
      </c>
      <c r="G3698" t="s">
        <v>58</v>
      </c>
      <c r="H3698" t="s">
        <v>25</v>
      </c>
      <c r="I3698" t="s">
        <v>96</v>
      </c>
      <c r="J3698" t="s">
        <v>44</v>
      </c>
      <c r="K3698">
        <v>5</v>
      </c>
      <c r="L3698">
        <v>103313</v>
      </c>
      <c r="M3698" t="s">
        <v>51</v>
      </c>
      <c r="N3698">
        <v>1</v>
      </c>
      <c r="O3698">
        <v>1</v>
      </c>
      <c r="P3698">
        <v>18</v>
      </c>
      <c r="Q3698">
        <v>3</v>
      </c>
      <c r="R3698" s="1">
        <v>43409</v>
      </c>
      <c r="S3698" t="s">
        <v>29</v>
      </c>
      <c r="T3698" t="str">
        <f t="shared" si="285"/>
        <v>Grade A</v>
      </c>
      <c r="U3698">
        <f t="shared" si="286"/>
        <v>4</v>
      </c>
      <c r="V3698" t="str">
        <f t="shared" si="287"/>
        <v>Junior</v>
      </c>
      <c r="W3698" t="str">
        <f t="shared" si="288"/>
        <v>Low Risk</v>
      </c>
      <c r="X3698" t="str">
        <f t="shared" si="289"/>
        <v>Competitive</v>
      </c>
    </row>
    <row r="3699" spans="1:24" x14ac:dyDescent="0.3">
      <c r="A3699" t="s">
        <v>3767</v>
      </c>
      <c r="B3699" t="s">
        <v>20</v>
      </c>
      <c r="C3699">
        <v>54</v>
      </c>
      <c r="D3699" t="s">
        <v>88</v>
      </c>
      <c r="E3699" t="s">
        <v>40</v>
      </c>
      <c r="F3699" t="s">
        <v>53</v>
      </c>
      <c r="G3699" t="s">
        <v>33</v>
      </c>
      <c r="H3699" t="s">
        <v>34</v>
      </c>
      <c r="I3699" t="s">
        <v>72</v>
      </c>
      <c r="J3699" t="s">
        <v>73</v>
      </c>
      <c r="K3699">
        <v>1</v>
      </c>
      <c r="L3699">
        <v>71570</v>
      </c>
      <c r="M3699" t="s">
        <v>28</v>
      </c>
      <c r="N3699">
        <v>4</v>
      </c>
      <c r="O3699">
        <v>1</v>
      </c>
      <c r="P3699">
        <v>76</v>
      </c>
      <c r="Q3699">
        <v>1</v>
      </c>
      <c r="R3699" s="1">
        <v>44673</v>
      </c>
      <c r="S3699" t="s">
        <v>37</v>
      </c>
      <c r="T3699" t="str">
        <f t="shared" si="285"/>
        <v>Grade B</v>
      </c>
      <c r="U3699">
        <f t="shared" si="286"/>
        <v>3</v>
      </c>
      <c r="V3699" t="str">
        <f t="shared" si="287"/>
        <v>New Joiner</v>
      </c>
      <c r="W3699" t="str">
        <f t="shared" si="288"/>
        <v>Already Left</v>
      </c>
      <c r="X3699" t="str">
        <f t="shared" si="289"/>
        <v>Competitive</v>
      </c>
    </row>
    <row r="3700" spans="1:24" x14ac:dyDescent="0.3">
      <c r="A3700" t="s">
        <v>3768</v>
      </c>
      <c r="B3700" t="s">
        <v>39</v>
      </c>
      <c r="C3700">
        <v>30</v>
      </c>
      <c r="D3700" t="s">
        <v>88</v>
      </c>
      <c r="E3700" t="s">
        <v>22</v>
      </c>
      <c r="F3700" t="s">
        <v>75</v>
      </c>
      <c r="G3700" t="s">
        <v>42</v>
      </c>
      <c r="H3700" t="s">
        <v>83</v>
      </c>
      <c r="I3700" t="s">
        <v>72</v>
      </c>
      <c r="J3700" t="s">
        <v>73</v>
      </c>
      <c r="K3700">
        <v>7</v>
      </c>
      <c r="L3700">
        <v>100315</v>
      </c>
      <c r="M3700" t="s">
        <v>36</v>
      </c>
      <c r="N3700">
        <v>2</v>
      </c>
      <c r="O3700">
        <v>2</v>
      </c>
      <c r="P3700">
        <v>32</v>
      </c>
      <c r="Q3700">
        <v>2</v>
      </c>
      <c r="R3700" s="1">
        <v>42409</v>
      </c>
      <c r="S3700" t="s">
        <v>29</v>
      </c>
      <c r="T3700" t="str">
        <f t="shared" si="285"/>
        <v>Grade A</v>
      </c>
      <c r="U3700">
        <f t="shared" si="286"/>
        <v>1</v>
      </c>
      <c r="V3700" t="str">
        <f t="shared" si="287"/>
        <v>Mid Level</v>
      </c>
      <c r="W3700" t="str">
        <f t="shared" si="288"/>
        <v>Medium Risk</v>
      </c>
      <c r="X3700" t="str">
        <f t="shared" si="289"/>
        <v>Overpaid</v>
      </c>
    </row>
    <row r="3701" spans="1:24" x14ac:dyDescent="0.3">
      <c r="A3701" t="s">
        <v>3769</v>
      </c>
      <c r="B3701" t="s">
        <v>20</v>
      </c>
      <c r="C3701">
        <v>49</v>
      </c>
      <c r="D3701" t="s">
        <v>57</v>
      </c>
      <c r="E3701" t="s">
        <v>48</v>
      </c>
      <c r="F3701" t="s">
        <v>75</v>
      </c>
      <c r="G3701" t="s">
        <v>63</v>
      </c>
      <c r="H3701" t="s">
        <v>76</v>
      </c>
      <c r="I3701" t="s">
        <v>80</v>
      </c>
      <c r="J3701" t="s">
        <v>60</v>
      </c>
      <c r="K3701">
        <v>12</v>
      </c>
      <c r="L3701">
        <v>69674</v>
      </c>
      <c r="M3701" t="s">
        <v>51</v>
      </c>
      <c r="N3701">
        <v>2</v>
      </c>
      <c r="O3701">
        <v>4</v>
      </c>
      <c r="P3701">
        <v>55</v>
      </c>
      <c r="Q3701">
        <v>3</v>
      </c>
      <c r="R3701" s="1">
        <v>40670</v>
      </c>
      <c r="S3701" t="s">
        <v>37</v>
      </c>
      <c r="T3701" t="str">
        <f t="shared" si="285"/>
        <v>Grade B</v>
      </c>
      <c r="U3701">
        <f t="shared" si="286"/>
        <v>4</v>
      </c>
      <c r="V3701" t="str">
        <f t="shared" si="287"/>
        <v>Senior</v>
      </c>
      <c r="W3701" t="str">
        <f t="shared" si="288"/>
        <v>Already Left</v>
      </c>
      <c r="X3701" t="str">
        <f t="shared" si="289"/>
        <v>Fair</v>
      </c>
    </row>
    <row r="3702" spans="1:24" x14ac:dyDescent="0.3">
      <c r="A3702" t="s">
        <v>3770</v>
      </c>
      <c r="B3702" t="s">
        <v>39</v>
      </c>
      <c r="C3702">
        <v>29</v>
      </c>
      <c r="D3702" t="s">
        <v>47</v>
      </c>
      <c r="E3702" t="s">
        <v>48</v>
      </c>
      <c r="F3702" t="s">
        <v>62</v>
      </c>
      <c r="G3702" t="s">
        <v>24</v>
      </c>
      <c r="H3702" t="s">
        <v>67</v>
      </c>
      <c r="I3702" t="s">
        <v>50</v>
      </c>
      <c r="J3702" t="s">
        <v>44</v>
      </c>
      <c r="K3702">
        <v>4</v>
      </c>
      <c r="L3702">
        <v>79478</v>
      </c>
      <c r="M3702" t="s">
        <v>28</v>
      </c>
      <c r="N3702">
        <v>1</v>
      </c>
      <c r="O3702">
        <v>4</v>
      </c>
      <c r="P3702">
        <v>61</v>
      </c>
      <c r="Q3702">
        <v>2</v>
      </c>
      <c r="R3702" s="1">
        <v>43697</v>
      </c>
      <c r="S3702" t="s">
        <v>29</v>
      </c>
      <c r="T3702" t="str">
        <f t="shared" si="285"/>
        <v>Grade B</v>
      </c>
      <c r="U3702">
        <f t="shared" si="286"/>
        <v>3</v>
      </c>
      <c r="V3702" t="str">
        <f t="shared" si="287"/>
        <v>Junior</v>
      </c>
      <c r="W3702" t="str">
        <f t="shared" si="288"/>
        <v>Medium Risk</v>
      </c>
      <c r="X3702" t="str">
        <f t="shared" si="289"/>
        <v>Competitive</v>
      </c>
    </row>
    <row r="3703" spans="1:24" x14ac:dyDescent="0.3">
      <c r="A3703" t="s">
        <v>3771</v>
      </c>
      <c r="B3703" t="s">
        <v>20</v>
      </c>
      <c r="C3703">
        <v>25</v>
      </c>
      <c r="D3703" t="s">
        <v>57</v>
      </c>
      <c r="E3703" t="s">
        <v>22</v>
      </c>
      <c r="F3703" t="s">
        <v>65</v>
      </c>
      <c r="G3703" t="s">
        <v>42</v>
      </c>
      <c r="H3703" t="s">
        <v>76</v>
      </c>
      <c r="I3703" t="s">
        <v>54</v>
      </c>
      <c r="J3703" t="s">
        <v>27</v>
      </c>
      <c r="K3703">
        <v>15</v>
      </c>
      <c r="L3703">
        <v>120488</v>
      </c>
      <c r="M3703" t="s">
        <v>36</v>
      </c>
      <c r="N3703">
        <v>3</v>
      </c>
      <c r="O3703">
        <v>3</v>
      </c>
      <c r="P3703">
        <v>69</v>
      </c>
      <c r="Q3703">
        <v>1</v>
      </c>
      <c r="R3703" s="1">
        <v>39656</v>
      </c>
      <c r="S3703" t="s">
        <v>37</v>
      </c>
      <c r="T3703" t="str">
        <f t="shared" si="285"/>
        <v>Grade A</v>
      </c>
      <c r="U3703">
        <f t="shared" si="286"/>
        <v>1</v>
      </c>
      <c r="V3703" t="str">
        <f t="shared" si="287"/>
        <v>Senior</v>
      </c>
      <c r="W3703" t="str">
        <f t="shared" si="288"/>
        <v>Already Left</v>
      </c>
      <c r="X3703" t="str">
        <f t="shared" si="289"/>
        <v>Overpaid</v>
      </c>
    </row>
    <row r="3704" spans="1:24" x14ac:dyDescent="0.3">
      <c r="A3704" t="s">
        <v>3772</v>
      </c>
      <c r="B3704" t="s">
        <v>20</v>
      </c>
      <c r="C3704">
        <v>51</v>
      </c>
      <c r="D3704" t="s">
        <v>88</v>
      </c>
      <c r="E3704" t="s">
        <v>48</v>
      </c>
      <c r="F3704" t="s">
        <v>53</v>
      </c>
      <c r="G3704" t="s">
        <v>63</v>
      </c>
      <c r="H3704" t="s">
        <v>76</v>
      </c>
      <c r="I3704" t="s">
        <v>50</v>
      </c>
      <c r="J3704" t="s">
        <v>44</v>
      </c>
      <c r="K3704">
        <v>14</v>
      </c>
      <c r="L3704">
        <v>73727</v>
      </c>
      <c r="M3704" t="s">
        <v>45</v>
      </c>
      <c r="N3704">
        <v>4</v>
      </c>
      <c r="O3704">
        <v>1</v>
      </c>
      <c r="P3704">
        <v>74</v>
      </c>
      <c r="Q3704">
        <v>0</v>
      </c>
      <c r="R3704" s="1">
        <v>39882</v>
      </c>
      <c r="S3704" t="s">
        <v>29</v>
      </c>
      <c r="T3704" t="str">
        <f t="shared" si="285"/>
        <v>Grade B</v>
      </c>
      <c r="U3704">
        <f t="shared" si="286"/>
        <v>2</v>
      </c>
      <c r="V3704" t="str">
        <f t="shared" si="287"/>
        <v>Senior</v>
      </c>
      <c r="W3704" t="str">
        <f t="shared" si="288"/>
        <v>Medium Risk</v>
      </c>
      <c r="X3704" t="str">
        <f t="shared" si="289"/>
        <v>Fair</v>
      </c>
    </row>
    <row r="3705" spans="1:24" x14ac:dyDescent="0.3">
      <c r="A3705" t="s">
        <v>3773</v>
      </c>
      <c r="B3705" t="s">
        <v>39</v>
      </c>
      <c r="C3705">
        <v>50</v>
      </c>
      <c r="D3705" t="s">
        <v>88</v>
      </c>
      <c r="E3705" t="s">
        <v>48</v>
      </c>
      <c r="F3705" t="s">
        <v>75</v>
      </c>
      <c r="G3705" t="s">
        <v>49</v>
      </c>
      <c r="H3705" t="s">
        <v>34</v>
      </c>
      <c r="I3705" t="s">
        <v>43</v>
      </c>
      <c r="J3705" t="s">
        <v>44</v>
      </c>
      <c r="K3705">
        <v>8</v>
      </c>
      <c r="L3705">
        <v>59751</v>
      </c>
      <c r="M3705" t="s">
        <v>51</v>
      </c>
      <c r="N3705">
        <v>4</v>
      </c>
      <c r="O3705">
        <v>4</v>
      </c>
      <c r="P3705">
        <v>59</v>
      </c>
      <c r="Q3705">
        <v>0</v>
      </c>
      <c r="R3705" s="1">
        <v>42358</v>
      </c>
      <c r="S3705" t="s">
        <v>37</v>
      </c>
      <c r="T3705" t="str">
        <f t="shared" si="285"/>
        <v>Grade B</v>
      </c>
      <c r="U3705">
        <f t="shared" si="286"/>
        <v>4</v>
      </c>
      <c r="V3705" t="str">
        <f t="shared" si="287"/>
        <v>Mid Level</v>
      </c>
      <c r="W3705" t="str">
        <f t="shared" si="288"/>
        <v>Already Left</v>
      </c>
      <c r="X3705" t="str">
        <f t="shared" si="289"/>
        <v>Fair</v>
      </c>
    </row>
    <row r="3706" spans="1:24" x14ac:dyDescent="0.3">
      <c r="A3706" t="s">
        <v>3774</v>
      </c>
      <c r="B3706" t="s">
        <v>39</v>
      </c>
      <c r="C3706">
        <v>54</v>
      </c>
      <c r="D3706" t="s">
        <v>47</v>
      </c>
      <c r="E3706" t="s">
        <v>22</v>
      </c>
      <c r="F3706" t="s">
        <v>53</v>
      </c>
      <c r="G3706" t="s">
        <v>49</v>
      </c>
      <c r="H3706" t="s">
        <v>67</v>
      </c>
      <c r="I3706" t="s">
        <v>50</v>
      </c>
      <c r="J3706" t="s">
        <v>44</v>
      </c>
      <c r="K3706">
        <v>1</v>
      </c>
      <c r="L3706">
        <v>56093</v>
      </c>
      <c r="M3706" t="s">
        <v>51</v>
      </c>
      <c r="N3706">
        <v>2</v>
      </c>
      <c r="O3706">
        <v>3</v>
      </c>
      <c r="P3706">
        <v>50</v>
      </c>
      <c r="Q3706">
        <v>1</v>
      </c>
      <c r="R3706" s="1">
        <v>44861</v>
      </c>
      <c r="S3706" t="s">
        <v>29</v>
      </c>
      <c r="T3706" t="str">
        <f t="shared" si="285"/>
        <v>Grade B</v>
      </c>
      <c r="U3706">
        <f t="shared" si="286"/>
        <v>4</v>
      </c>
      <c r="V3706" t="str">
        <f t="shared" si="287"/>
        <v>New Joiner</v>
      </c>
      <c r="W3706" t="str">
        <f t="shared" si="288"/>
        <v>Low Risk</v>
      </c>
      <c r="X3706" t="str">
        <f t="shared" si="289"/>
        <v>Fair</v>
      </c>
    </row>
    <row r="3707" spans="1:24" x14ac:dyDescent="0.3">
      <c r="A3707" t="s">
        <v>3775</v>
      </c>
      <c r="B3707" t="s">
        <v>20</v>
      </c>
      <c r="C3707">
        <v>33</v>
      </c>
      <c r="D3707" t="s">
        <v>21</v>
      </c>
      <c r="E3707" t="s">
        <v>22</v>
      </c>
      <c r="F3707" t="s">
        <v>23</v>
      </c>
      <c r="G3707" t="s">
        <v>24</v>
      </c>
      <c r="H3707" t="s">
        <v>34</v>
      </c>
      <c r="I3707" t="s">
        <v>68</v>
      </c>
      <c r="J3707" t="s">
        <v>60</v>
      </c>
      <c r="K3707">
        <v>2</v>
      </c>
      <c r="L3707">
        <v>77517</v>
      </c>
      <c r="M3707" t="s">
        <v>45</v>
      </c>
      <c r="N3707">
        <v>1</v>
      </c>
      <c r="O3707">
        <v>2</v>
      </c>
      <c r="P3707">
        <v>56</v>
      </c>
      <c r="Q3707">
        <v>2</v>
      </c>
      <c r="R3707" s="1">
        <v>44227</v>
      </c>
      <c r="S3707" t="s">
        <v>29</v>
      </c>
      <c r="T3707" t="str">
        <f t="shared" si="285"/>
        <v>Grade B</v>
      </c>
      <c r="U3707">
        <f t="shared" si="286"/>
        <v>2</v>
      </c>
      <c r="V3707" t="str">
        <f t="shared" si="287"/>
        <v>New Joiner</v>
      </c>
      <c r="W3707" t="str">
        <f t="shared" si="288"/>
        <v>Medium Risk</v>
      </c>
      <c r="X3707" t="str">
        <f t="shared" si="289"/>
        <v>Fair</v>
      </c>
    </row>
    <row r="3708" spans="1:24" x14ac:dyDescent="0.3">
      <c r="A3708" t="s">
        <v>3776</v>
      </c>
      <c r="B3708" t="s">
        <v>20</v>
      </c>
      <c r="C3708">
        <v>44</v>
      </c>
      <c r="D3708" t="s">
        <v>47</v>
      </c>
      <c r="E3708" t="s">
        <v>48</v>
      </c>
      <c r="F3708" t="s">
        <v>62</v>
      </c>
      <c r="G3708" t="s">
        <v>49</v>
      </c>
      <c r="H3708" t="s">
        <v>83</v>
      </c>
      <c r="I3708" t="s">
        <v>50</v>
      </c>
      <c r="J3708" t="s">
        <v>44</v>
      </c>
      <c r="K3708">
        <v>15</v>
      </c>
      <c r="L3708">
        <v>88651</v>
      </c>
      <c r="M3708" t="s">
        <v>51</v>
      </c>
      <c r="N3708">
        <v>3</v>
      </c>
      <c r="O3708">
        <v>1</v>
      </c>
      <c r="P3708">
        <v>66</v>
      </c>
      <c r="Q3708">
        <v>3</v>
      </c>
      <c r="R3708" s="1">
        <v>39647</v>
      </c>
      <c r="S3708" t="s">
        <v>29</v>
      </c>
      <c r="T3708" t="str">
        <f t="shared" si="285"/>
        <v>Grade A</v>
      </c>
      <c r="U3708">
        <f t="shared" si="286"/>
        <v>4</v>
      </c>
      <c r="V3708" t="str">
        <f t="shared" si="287"/>
        <v>Senior</v>
      </c>
      <c r="W3708" t="str">
        <f t="shared" si="288"/>
        <v>Low Risk</v>
      </c>
      <c r="X3708" t="str">
        <f t="shared" si="289"/>
        <v>Competitive</v>
      </c>
    </row>
    <row r="3709" spans="1:24" x14ac:dyDescent="0.3">
      <c r="A3709" t="s">
        <v>3777</v>
      </c>
      <c r="B3709" t="s">
        <v>39</v>
      </c>
      <c r="C3709">
        <v>48</v>
      </c>
      <c r="D3709" t="s">
        <v>47</v>
      </c>
      <c r="E3709" t="s">
        <v>40</v>
      </c>
      <c r="F3709" t="s">
        <v>75</v>
      </c>
      <c r="G3709" t="s">
        <v>42</v>
      </c>
      <c r="H3709" t="s">
        <v>34</v>
      </c>
      <c r="I3709" t="s">
        <v>72</v>
      </c>
      <c r="J3709" t="s">
        <v>73</v>
      </c>
      <c r="K3709">
        <v>7</v>
      </c>
      <c r="L3709">
        <v>118725</v>
      </c>
      <c r="M3709" t="s">
        <v>28</v>
      </c>
      <c r="N3709">
        <v>4</v>
      </c>
      <c r="O3709">
        <v>3</v>
      </c>
      <c r="P3709">
        <v>72</v>
      </c>
      <c r="Q3709">
        <v>1</v>
      </c>
      <c r="R3709" s="1">
        <v>42724</v>
      </c>
      <c r="S3709" t="s">
        <v>29</v>
      </c>
      <c r="T3709" t="str">
        <f t="shared" si="285"/>
        <v>Grade A</v>
      </c>
      <c r="U3709">
        <f t="shared" si="286"/>
        <v>3</v>
      </c>
      <c r="V3709" t="str">
        <f t="shared" si="287"/>
        <v>Mid Level</v>
      </c>
      <c r="W3709" t="str">
        <f t="shared" si="288"/>
        <v>Medium Risk</v>
      </c>
      <c r="X3709" t="str">
        <f t="shared" si="289"/>
        <v>Competitive</v>
      </c>
    </row>
    <row r="3710" spans="1:24" x14ac:dyDescent="0.3">
      <c r="A3710" t="s">
        <v>3778</v>
      </c>
      <c r="B3710" t="s">
        <v>20</v>
      </c>
      <c r="C3710">
        <v>37</v>
      </c>
      <c r="D3710" t="s">
        <v>47</v>
      </c>
      <c r="E3710" t="s">
        <v>40</v>
      </c>
      <c r="F3710" t="s">
        <v>32</v>
      </c>
      <c r="G3710" t="s">
        <v>49</v>
      </c>
      <c r="H3710" t="s">
        <v>83</v>
      </c>
      <c r="I3710" t="s">
        <v>50</v>
      </c>
      <c r="J3710" t="s">
        <v>44</v>
      </c>
      <c r="K3710">
        <v>12</v>
      </c>
      <c r="L3710">
        <v>64328</v>
      </c>
      <c r="M3710" t="s">
        <v>45</v>
      </c>
      <c r="N3710">
        <v>3</v>
      </c>
      <c r="O3710">
        <v>3</v>
      </c>
      <c r="P3710">
        <v>67</v>
      </c>
      <c r="Q3710">
        <v>0</v>
      </c>
      <c r="R3710" s="1">
        <v>40861</v>
      </c>
      <c r="S3710" t="s">
        <v>29</v>
      </c>
      <c r="T3710" t="str">
        <f t="shared" si="285"/>
        <v>Grade B</v>
      </c>
      <c r="U3710">
        <f t="shared" si="286"/>
        <v>2</v>
      </c>
      <c r="V3710" t="str">
        <f t="shared" si="287"/>
        <v>Senior</v>
      </c>
      <c r="W3710" t="str">
        <f t="shared" si="288"/>
        <v>Medium Risk</v>
      </c>
      <c r="X3710" t="str">
        <f t="shared" si="289"/>
        <v>Fair</v>
      </c>
    </row>
    <row r="3711" spans="1:24" x14ac:dyDescent="0.3">
      <c r="A3711" t="s">
        <v>3779</v>
      </c>
      <c r="B3711" t="s">
        <v>39</v>
      </c>
      <c r="C3711">
        <v>38</v>
      </c>
      <c r="D3711" t="s">
        <v>31</v>
      </c>
      <c r="E3711" t="s">
        <v>40</v>
      </c>
      <c r="F3711" t="s">
        <v>23</v>
      </c>
      <c r="G3711" t="s">
        <v>24</v>
      </c>
      <c r="H3711" t="s">
        <v>76</v>
      </c>
      <c r="I3711" t="s">
        <v>54</v>
      </c>
      <c r="J3711" t="s">
        <v>27</v>
      </c>
      <c r="K3711">
        <v>9</v>
      </c>
      <c r="L3711">
        <v>90308</v>
      </c>
      <c r="M3711" t="s">
        <v>51</v>
      </c>
      <c r="N3711">
        <v>1</v>
      </c>
      <c r="O3711">
        <v>4</v>
      </c>
      <c r="P3711">
        <v>22</v>
      </c>
      <c r="Q3711">
        <v>0</v>
      </c>
      <c r="R3711" s="1">
        <v>41971</v>
      </c>
      <c r="S3711" t="s">
        <v>29</v>
      </c>
      <c r="T3711" t="str">
        <f t="shared" si="285"/>
        <v>Grade A</v>
      </c>
      <c r="U3711">
        <f t="shared" si="286"/>
        <v>4</v>
      </c>
      <c r="V3711" t="str">
        <f t="shared" si="287"/>
        <v>Mid Level</v>
      </c>
      <c r="W3711" t="str">
        <f t="shared" si="288"/>
        <v>Low Risk</v>
      </c>
      <c r="X3711" t="str">
        <f t="shared" si="289"/>
        <v>Competitive</v>
      </c>
    </row>
    <row r="3712" spans="1:24" x14ac:dyDescent="0.3">
      <c r="A3712" t="s">
        <v>3780</v>
      </c>
      <c r="B3712" t="s">
        <v>20</v>
      </c>
      <c r="C3712">
        <v>23</v>
      </c>
      <c r="D3712" t="s">
        <v>47</v>
      </c>
      <c r="E3712" t="s">
        <v>40</v>
      </c>
      <c r="F3712" t="s">
        <v>75</v>
      </c>
      <c r="G3712" t="s">
        <v>58</v>
      </c>
      <c r="H3712" t="s">
        <v>25</v>
      </c>
      <c r="I3712" t="s">
        <v>59</v>
      </c>
      <c r="J3712" t="s">
        <v>60</v>
      </c>
      <c r="K3712">
        <v>9</v>
      </c>
      <c r="L3712">
        <v>105615</v>
      </c>
      <c r="M3712" t="s">
        <v>36</v>
      </c>
      <c r="N3712">
        <v>1</v>
      </c>
      <c r="O3712">
        <v>2</v>
      </c>
      <c r="P3712">
        <v>68</v>
      </c>
      <c r="Q3712">
        <v>3</v>
      </c>
      <c r="R3712" s="1">
        <v>41768</v>
      </c>
      <c r="S3712" t="s">
        <v>29</v>
      </c>
      <c r="T3712" t="str">
        <f t="shared" si="285"/>
        <v>Grade A</v>
      </c>
      <c r="U3712">
        <f t="shared" si="286"/>
        <v>1</v>
      </c>
      <c r="V3712" t="str">
        <f t="shared" si="287"/>
        <v>Mid Level</v>
      </c>
      <c r="W3712" t="str">
        <f t="shared" si="288"/>
        <v>Medium Risk</v>
      </c>
      <c r="X3712" t="str">
        <f t="shared" si="289"/>
        <v>Overpaid</v>
      </c>
    </row>
    <row r="3713" spans="1:24" x14ac:dyDescent="0.3">
      <c r="A3713" t="s">
        <v>3781</v>
      </c>
      <c r="B3713" t="s">
        <v>20</v>
      </c>
      <c r="C3713">
        <v>35</v>
      </c>
      <c r="D3713" t="s">
        <v>31</v>
      </c>
      <c r="E3713" t="s">
        <v>22</v>
      </c>
      <c r="F3713" t="s">
        <v>23</v>
      </c>
      <c r="G3713" t="s">
        <v>33</v>
      </c>
      <c r="H3713" t="s">
        <v>25</v>
      </c>
      <c r="I3713" t="s">
        <v>54</v>
      </c>
      <c r="J3713" t="s">
        <v>27</v>
      </c>
      <c r="K3713">
        <v>11</v>
      </c>
      <c r="L3713">
        <v>82907</v>
      </c>
      <c r="M3713" t="s">
        <v>28</v>
      </c>
      <c r="N3713">
        <v>4</v>
      </c>
      <c r="O3713">
        <v>1</v>
      </c>
      <c r="P3713">
        <v>39</v>
      </c>
      <c r="Q3713">
        <v>3</v>
      </c>
      <c r="R3713" s="1">
        <v>40923</v>
      </c>
      <c r="S3713" t="s">
        <v>37</v>
      </c>
      <c r="T3713" t="str">
        <f t="shared" si="285"/>
        <v>Grade A</v>
      </c>
      <c r="U3713">
        <f t="shared" si="286"/>
        <v>3</v>
      </c>
      <c r="V3713" t="str">
        <f t="shared" si="287"/>
        <v>Senior</v>
      </c>
      <c r="W3713" t="str">
        <f t="shared" si="288"/>
        <v>Already Left</v>
      </c>
      <c r="X3713" t="str">
        <f t="shared" si="289"/>
        <v>Competitive</v>
      </c>
    </row>
    <row r="3714" spans="1:24" x14ac:dyDescent="0.3">
      <c r="A3714" t="s">
        <v>3782</v>
      </c>
      <c r="B3714" t="s">
        <v>39</v>
      </c>
      <c r="C3714">
        <v>32</v>
      </c>
      <c r="D3714" t="s">
        <v>57</v>
      </c>
      <c r="E3714" t="s">
        <v>40</v>
      </c>
      <c r="F3714" t="s">
        <v>32</v>
      </c>
      <c r="G3714" t="s">
        <v>58</v>
      </c>
      <c r="H3714" t="s">
        <v>67</v>
      </c>
      <c r="I3714" t="s">
        <v>96</v>
      </c>
      <c r="J3714" t="s">
        <v>44</v>
      </c>
      <c r="K3714">
        <v>14</v>
      </c>
      <c r="L3714">
        <v>111283</v>
      </c>
      <c r="M3714" t="s">
        <v>51</v>
      </c>
      <c r="N3714">
        <v>3</v>
      </c>
      <c r="O3714">
        <v>3</v>
      </c>
      <c r="P3714">
        <v>25</v>
      </c>
      <c r="Q3714">
        <v>0</v>
      </c>
      <c r="R3714" s="1">
        <v>40051</v>
      </c>
      <c r="S3714" t="s">
        <v>37</v>
      </c>
      <c r="T3714" t="str">
        <f t="shared" ref="T3714:T3777" si="290">IF(L3714&gt;=80000,"Grade A",IF(L3714&gt;=50000,"Grade B",IF(L3714&gt;=35000,"Grade C","Grade D")))</f>
        <v>Grade A</v>
      </c>
      <c r="U3714">
        <f t="shared" ref="U3714:U3777" si="291">IF(M3714="Excellent",4,IF(M3714="Good",3,IF(M3714="Average",2,1)))</f>
        <v>4</v>
      </c>
      <c r="V3714" t="str">
        <f t="shared" ref="V3714:V3777" si="292">IF(K3714&lt;=2,"New Joiner",IF(K3714&lt;=5,"Junior",IF(K3714&lt;=10,"Mid Level","Senior")))</f>
        <v>Senior</v>
      </c>
      <c r="W3714" t="str">
        <f t="shared" ref="W3714:W3777" si="293">IF(S3714="Yes","Already Left",IF(AND(K3714&lt;=2,M3714="Poor"),"High Risk",IF(AND(K3714&lt;=5,M3714="Average"),"Medium Risk",IF(M3714="Excellent","Low Risk","Medium Risk"))))</f>
        <v>Already Left</v>
      </c>
      <c r="X3714" t="str">
        <f t="shared" ref="X3714:X3777" si="294">IF(AND(L3714&gt;=80000,M3714="Excellent"),"Competitive",IF(AND(L3714&gt;=50000,M3714="Good"),"Competitive",IF(AND(L3714&lt;35000,M3714="Excellent"),"Underpaid",IF(AND(L3714&gt;=80000,M3714="Poor"),"Overpaid","Fair"))))</f>
        <v>Competitive</v>
      </c>
    </row>
    <row r="3715" spans="1:24" x14ac:dyDescent="0.3">
      <c r="A3715" t="s">
        <v>3783</v>
      </c>
      <c r="B3715" t="s">
        <v>20</v>
      </c>
      <c r="C3715">
        <v>46</v>
      </c>
      <c r="D3715" t="s">
        <v>47</v>
      </c>
      <c r="E3715" t="s">
        <v>40</v>
      </c>
      <c r="F3715" t="s">
        <v>53</v>
      </c>
      <c r="G3715" t="s">
        <v>58</v>
      </c>
      <c r="H3715" t="s">
        <v>67</v>
      </c>
      <c r="I3715" t="s">
        <v>80</v>
      </c>
      <c r="J3715" t="s">
        <v>60</v>
      </c>
      <c r="K3715">
        <v>15</v>
      </c>
      <c r="L3715">
        <v>106099</v>
      </c>
      <c r="M3715" t="s">
        <v>28</v>
      </c>
      <c r="N3715">
        <v>2</v>
      </c>
      <c r="O3715">
        <v>2</v>
      </c>
      <c r="P3715">
        <v>43</v>
      </c>
      <c r="Q3715">
        <v>3</v>
      </c>
      <c r="R3715" s="1">
        <v>39619</v>
      </c>
      <c r="S3715" t="s">
        <v>29</v>
      </c>
      <c r="T3715" t="str">
        <f t="shared" si="290"/>
        <v>Grade A</v>
      </c>
      <c r="U3715">
        <f t="shared" si="291"/>
        <v>3</v>
      </c>
      <c r="V3715" t="str">
        <f t="shared" si="292"/>
        <v>Senior</v>
      </c>
      <c r="W3715" t="str">
        <f t="shared" si="293"/>
        <v>Medium Risk</v>
      </c>
      <c r="X3715" t="str">
        <f t="shared" si="294"/>
        <v>Competitive</v>
      </c>
    </row>
    <row r="3716" spans="1:24" x14ac:dyDescent="0.3">
      <c r="A3716" t="s">
        <v>3784</v>
      </c>
      <c r="B3716" t="s">
        <v>20</v>
      </c>
      <c r="C3716">
        <v>40</v>
      </c>
      <c r="D3716" t="s">
        <v>57</v>
      </c>
      <c r="E3716" t="s">
        <v>48</v>
      </c>
      <c r="F3716" t="s">
        <v>41</v>
      </c>
      <c r="G3716" t="s">
        <v>24</v>
      </c>
      <c r="H3716" t="s">
        <v>34</v>
      </c>
      <c r="I3716" t="s">
        <v>35</v>
      </c>
      <c r="J3716" t="s">
        <v>27</v>
      </c>
      <c r="K3716">
        <v>5</v>
      </c>
      <c r="L3716">
        <v>78055</v>
      </c>
      <c r="M3716" t="s">
        <v>28</v>
      </c>
      <c r="N3716">
        <v>3</v>
      </c>
      <c r="O3716">
        <v>4</v>
      </c>
      <c r="P3716">
        <v>38</v>
      </c>
      <c r="Q3716">
        <v>1</v>
      </c>
      <c r="R3716" s="1">
        <v>43322</v>
      </c>
      <c r="S3716" t="s">
        <v>37</v>
      </c>
      <c r="T3716" t="str">
        <f t="shared" si="290"/>
        <v>Grade B</v>
      </c>
      <c r="U3716">
        <f t="shared" si="291"/>
        <v>3</v>
      </c>
      <c r="V3716" t="str">
        <f t="shared" si="292"/>
        <v>Junior</v>
      </c>
      <c r="W3716" t="str">
        <f t="shared" si="293"/>
        <v>Already Left</v>
      </c>
      <c r="X3716" t="str">
        <f t="shared" si="294"/>
        <v>Competitive</v>
      </c>
    </row>
    <row r="3717" spans="1:24" x14ac:dyDescent="0.3">
      <c r="A3717" t="s">
        <v>3785</v>
      </c>
      <c r="B3717" t="s">
        <v>39</v>
      </c>
      <c r="C3717">
        <v>33</v>
      </c>
      <c r="D3717" t="s">
        <v>31</v>
      </c>
      <c r="E3717" t="s">
        <v>22</v>
      </c>
      <c r="F3717" t="s">
        <v>41</v>
      </c>
      <c r="G3717" t="s">
        <v>63</v>
      </c>
      <c r="H3717" t="s">
        <v>25</v>
      </c>
      <c r="I3717" t="s">
        <v>72</v>
      </c>
      <c r="J3717" t="s">
        <v>73</v>
      </c>
      <c r="K3717">
        <v>6</v>
      </c>
      <c r="L3717">
        <v>49293</v>
      </c>
      <c r="M3717" t="s">
        <v>51</v>
      </c>
      <c r="N3717">
        <v>2</v>
      </c>
      <c r="O3717">
        <v>1</v>
      </c>
      <c r="P3717">
        <v>68</v>
      </c>
      <c r="Q3717">
        <v>1</v>
      </c>
      <c r="R3717" s="1">
        <v>43005</v>
      </c>
      <c r="S3717" t="s">
        <v>29</v>
      </c>
      <c r="T3717" t="str">
        <f t="shared" si="290"/>
        <v>Grade C</v>
      </c>
      <c r="U3717">
        <f t="shared" si="291"/>
        <v>4</v>
      </c>
      <c r="V3717" t="str">
        <f t="shared" si="292"/>
        <v>Mid Level</v>
      </c>
      <c r="W3717" t="str">
        <f t="shared" si="293"/>
        <v>Low Risk</v>
      </c>
      <c r="X3717" t="str">
        <f t="shared" si="294"/>
        <v>Fair</v>
      </c>
    </row>
    <row r="3718" spans="1:24" x14ac:dyDescent="0.3">
      <c r="A3718" t="s">
        <v>3786</v>
      </c>
      <c r="B3718" t="s">
        <v>39</v>
      </c>
      <c r="C3718">
        <v>24</v>
      </c>
      <c r="D3718" t="s">
        <v>21</v>
      </c>
      <c r="E3718" t="s">
        <v>48</v>
      </c>
      <c r="F3718" t="s">
        <v>78</v>
      </c>
      <c r="G3718" t="s">
        <v>42</v>
      </c>
      <c r="H3718" t="s">
        <v>76</v>
      </c>
      <c r="I3718" t="s">
        <v>80</v>
      </c>
      <c r="J3718" t="s">
        <v>60</v>
      </c>
      <c r="K3718">
        <v>8</v>
      </c>
      <c r="L3718">
        <v>102589</v>
      </c>
      <c r="M3718" t="s">
        <v>51</v>
      </c>
      <c r="N3718">
        <v>4</v>
      </c>
      <c r="O3718">
        <v>3</v>
      </c>
      <c r="P3718">
        <v>25</v>
      </c>
      <c r="Q3718">
        <v>3</v>
      </c>
      <c r="R3718" s="1">
        <v>42205</v>
      </c>
      <c r="S3718" t="s">
        <v>29</v>
      </c>
      <c r="T3718" t="str">
        <f t="shared" si="290"/>
        <v>Grade A</v>
      </c>
      <c r="U3718">
        <f t="shared" si="291"/>
        <v>4</v>
      </c>
      <c r="V3718" t="str">
        <f t="shared" si="292"/>
        <v>Mid Level</v>
      </c>
      <c r="W3718" t="str">
        <f t="shared" si="293"/>
        <v>Low Risk</v>
      </c>
      <c r="X3718" t="str">
        <f t="shared" si="294"/>
        <v>Competitive</v>
      </c>
    </row>
    <row r="3719" spans="1:24" x14ac:dyDescent="0.3">
      <c r="A3719" t="s">
        <v>3787</v>
      </c>
      <c r="B3719" t="s">
        <v>20</v>
      </c>
      <c r="C3719">
        <v>29</v>
      </c>
      <c r="D3719" t="s">
        <v>47</v>
      </c>
      <c r="E3719" t="s">
        <v>22</v>
      </c>
      <c r="F3719" t="s">
        <v>78</v>
      </c>
      <c r="G3719" t="s">
        <v>63</v>
      </c>
      <c r="H3719" t="s">
        <v>67</v>
      </c>
      <c r="I3719" t="s">
        <v>68</v>
      </c>
      <c r="J3719" t="s">
        <v>60</v>
      </c>
      <c r="K3719">
        <v>1</v>
      </c>
      <c r="L3719">
        <v>55512</v>
      </c>
      <c r="M3719" t="s">
        <v>45</v>
      </c>
      <c r="N3719">
        <v>4</v>
      </c>
      <c r="O3719">
        <v>2</v>
      </c>
      <c r="P3719">
        <v>10</v>
      </c>
      <c r="Q3719">
        <v>0</v>
      </c>
      <c r="R3719" s="1">
        <v>44759</v>
      </c>
      <c r="S3719" t="s">
        <v>29</v>
      </c>
      <c r="T3719" t="str">
        <f t="shared" si="290"/>
        <v>Grade B</v>
      </c>
      <c r="U3719">
        <f t="shared" si="291"/>
        <v>2</v>
      </c>
      <c r="V3719" t="str">
        <f t="shared" si="292"/>
        <v>New Joiner</v>
      </c>
      <c r="W3719" t="str">
        <f t="shared" si="293"/>
        <v>Medium Risk</v>
      </c>
      <c r="X3719" t="str">
        <f t="shared" si="294"/>
        <v>Fair</v>
      </c>
    </row>
    <row r="3720" spans="1:24" x14ac:dyDescent="0.3">
      <c r="A3720" t="s">
        <v>3788</v>
      </c>
      <c r="B3720" t="s">
        <v>39</v>
      </c>
      <c r="C3720">
        <v>26</v>
      </c>
      <c r="D3720" t="s">
        <v>47</v>
      </c>
      <c r="E3720" t="s">
        <v>22</v>
      </c>
      <c r="F3720" t="s">
        <v>23</v>
      </c>
      <c r="G3720" t="s">
        <v>49</v>
      </c>
      <c r="H3720" t="s">
        <v>34</v>
      </c>
      <c r="I3720" t="s">
        <v>72</v>
      </c>
      <c r="J3720" t="s">
        <v>73</v>
      </c>
      <c r="K3720">
        <v>3</v>
      </c>
      <c r="L3720">
        <v>47468</v>
      </c>
      <c r="M3720" t="s">
        <v>28</v>
      </c>
      <c r="N3720">
        <v>4</v>
      </c>
      <c r="O3720">
        <v>1</v>
      </c>
      <c r="P3720">
        <v>42</v>
      </c>
      <c r="Q3720">
        <v>2</v>
      </c>
      <c r="R3720" s="1">
        <v>44120</v>
      </c>
      <c r="S3720" t="s">
        <v>29</v>
      </c>
      <c r="T3720" t="str">
        <f t="shared" si="290"/>
        <v>Grade C</v>
      </c>
      <c r="U3720">
        <f t="shared" si="291"/>
        <v>3</v>
      </c>
      <c r="V3720" t="str">
        <f t="shared" si="292"/>
        <v>Junior</v>
      </c>
      <c r="W3720" t="str">
        <f t="shared" si="293"/>
        <v>Medium Risk</v>
      </c>
      <c r="X3720" t="str">
        <f t="shared" si="294"/>
        <v>Fair</v>
      </c>
    </row>
    <row r="3721" spans="1:24" x14ac:dyDescent="0.3">
      <c r="A3721" t="s">
        <v>3789</v>
      </c>
      <c r="B3721" t="s">
        <v>39</v>
      </c>
      <c r="C3721">
        <v>48</v>
      </c>
      <c r="D3721" t="s">
        <v>47</v>
      </c>
      <c r="E3721" t="s">
        <v>40</v>
      </c>
      <c r="F3721" t="s">
        <v>32</v>
      </c>
      <c r="G3721" t="s">
        <v>33</v>
      </c>
      <c r="H3721" t="s">
        <v>34</v>
      </c>
      <c r="I3721" t="s">
        <v>50</v>
      </c>
      <c r="J3721" t="s">
        <v>44</v>
      </c>
      <c r="K3721">
        <v>1</v>
      </c>
      <c r="L3721">
        <v>57385</v>
      </c>
      <c r="M3721" t="s">
        <v>36</v>
      </c>
      <c r="N3721">
        <v>4</v>
      </c>
      <c r="O3721">
        <v>2</v>
      </c>
      <c r="P3721">
        <v>45</v>
      </c>
      <c r="Q3721">
        <v>2</v>
      </c>
      <c r="R3721" s="1">
        <v>44828</v>
      </c>
      <c r="S3721" t="s">
        <v>37</v>
      </c>
      <c r="T3721" t="str">
        <f t="shared" si="290"/>
        <v>Grade B</v>
      </c>
      <c r="U3721">
        <f t="shared" si="291"/>
        <v>1</v>
      </c>
      <c r="V3721" t="str">
        <f t="shared" si="292"/>
        <v>New Joiner</v>
      </c>
      <c r="W3721" t="str">
        <f t="shared" si="293"/>
        <v>Already Left</v>
      </c>
      <c r="X3721" t="str">
        <f t="shared" si="294"/>
        <v>Fair</v>
      </c>
    </row>
    <row r="3722" spans="1:24" x14ac:dyDescent="0.3">
      <c r="A3722" t="s">
        <v>3790</v>
      </c>
      <c r="B3722" t="s">
        <v>20</v>
      </c>
      <c r="C3722">
        <v>43</v>
      </c>
      <c r="D3722" t="s">
        <v>88</v>
      </c>
      <c r="E3722" t="s">
        <v>48</v>
      </c>
      <c r="F3722" t="s">
        <v>53</v>
      </c>
      <c r="G3722" t="s">
        <v>79</v>
      </c>
      <c r="H3722" t="s">
        <v>34</v>
      </c>
      <c r="I3722" t="s">
        <v>26</v>
      </c>
      <c r="J3722" t="s">
        <v>27</v>
      </c>
      <c r="K3722">
        <v>14</v>
      </c>
      <c r="L3722">
        <v>72471</v>
      </c>
      <c r="M3722" t="s">
        <v>45</v>
      </c>
      <c r="N3722">
        <v>4</v>
      </c>
      <c r="O3722">
        <v>2</v>
      </c>
      <c r="P3722">
        <v>25</v>
      </c>
      <c r="Q3722">
        <v>3</v>
      </c>
      <c r="R3722" s="1">
        <v>39908</v>
      </c>
      <c r="S3722" t="s">
        <v>29</v>
      </c>
      <c r="T3722" t="str">
        <f t="shared" si="290"/>
        <v>Grade B</v>
      </c>
      <c r="U3722">
        <f t="shared" si="291"/>
        <v>2</v>
      </c>
      <c r="V3722" t="str">
        <f t="shared" si="292"/>
        <v>Senior</v>
      </c>
      <c r="W3722" t="str">
        <f t="shared" si="293"/>
        <v>Medium Risk</v>
      </c>
      <c r="X3722" t="str">
        <f t="shared" si="294"/>
        <v>Fair</v>
      </c>
    </row>
    <row r="3723" spans="1:24" x14ac:dyDescent="0.3">
      <c r="A3723" t="s">
        <v>3791</v>
      </c>
      <c r="B3723" t="s">
        <v>20</v>
      </c>
      <c r="C3723">
        <v>28</v>
      </c>
      <c r="D3723" t="s">
        <v>47</v>
      </c>
      <c r="E3723" t="s">
        <v>40</v>
      </c>
      <c r="F3723" t="s">
        <v>53</v>
      </c>
      <c r="G3723" t="s">
        <v>42</v>
      </c>
      <c r="H3723" t="s">
        <v>76</v>
      </c>
      <c r="I3723" t="s">
        <v>50</v>
      </c>
      <c r="J3723" t="s">
        <v>44</v>
      </c>
      <c r="K3723">
        <v>4</v>
      </c>
      <c r="L3723">
        <v>110524</v>
      </c>
      <c r="M3723" t="s">
        <v>36</v>
      </c>
      <c r="N3723">
        <v>1</v>
      </c>
      <c r="O3723">
        <v>4</v>
      </c>
      <c r="P3723">
        <v>54</v>
      </c>
      <c r="Q3723">
        <v>2</v>
      </c>
      <c r="R3723" s="1">
        <v>43647</v>
      </c>
      <c r="S3723" t="s">
        <v>37</v>
      </c>
      <c r="T3723" t="str">
        <f t="shared" si="290"/>
        <v>Grade A</v>
      </c>
      <c r="U3723">
        <f t="shared" si="291"/>
        <v>1</v>
      </c>
      <c r="V3723" t="str">
        <f t="shared" si="292"/>
        <v>Junior</v>
      </c>
      <c r="W3723" t="str">
        <f t="shared" si="293"/>
        <v>Already Left</v>
      </c>
      <c r="X3723" t="str">
        <f t="shared" si="294"/>
        <v>Overpaid</v>
      </c>
    </row>
    <row r="3724" spans="1:24" x14ac:dyDescent="0.3">
      <c r="A3724" t="s">
        <v>3792</v>
      </c>
      <c r="B3724" t="s">
        <v>39</v>
      </c>
      <c r="C3724">
        <v>43</v>
      </c>
      <c r="D3724" t="s">
        <v>57</v>
      </c>
      <c r="E3724" t="s">
        <v>48</v>
      </c>
      <c r="F3724" t="s">
        <v>41</v>
      </c>
      <c r="G3724" t="s">
        <v>66</v>
      </c>
      <c r="H3724" t="s">
        <v>83</v>
      </c>
      <c r="I3724" t="s">
        <v>68</v>
      </c>
      <c r="J3724" t="s">
        <v>60</v>
      </c>
      <c r="K3724">
        <v>12</v>
      </c>
      <c r="L3724">
        <v>55948</v>
      </c>
      <c r="M3724" t="s">
        <v>51</v>
      </c>
      <c r="N3724">
        <v>4</v>
      </c>
      <c r="O3724">
        <v>3</v>
      </c>
      <c r="P3724">
        <v>66</v>
      </c>
      <c r="Q3724">
        <v>0</v>
      </c>
      <c r="R3724" s="1">
        <v>40709</v>
      </c>
      <c r="S3724" t="s">
        <v>37</v>
      </c>
      <c r="T3724" t="str">
        <f t="shared" si="290"/>
        <v>Grade B</v>
      </c>
      <c r="U3724">
        <f t="shared" si="291"/>
        <v>4</v>
      </c>
      <c r="V3724" t="str">
        <f t="shared" si="292"/>
        <v>Senior</v>
      </c>
      <c r="W3724" t="str">
        <f t="shared" si="293"/>
        <v>Already Left</v>
      </c>
      <c r="X3724" t="str">
        <f t="shared" si="294"/>
        <v>Fair</v>
      </c>
    </row>
    <row r="3725" spans="1:24" x14ac:dyDescent="0.3">
      <c r="A3725" t="s">
        <v>3793</v>
      </c>
      <c r="B3725" t="s">
        <v>39</v>
      </c>
      <c r="C3725">
        <v>22</v>
      </c>
      <c r="D3725" t="s">
        <v>31</v>
      </c>
      <c r="E3725" t="s">
        <v>22</v>
      </c>
      <c r="F3725" t="s">
        <v>62</v>
      </c>
      <c r="G3725" t="s">
        <v>24</v>
      </c>
      <c r="H3725" t="s">
        <v>83</v>
      </c>
      <c r="I3725" t="s">
        <v>59</v>
      </c>
      <c r="J3725" t="s">
        <v>60</v>
      </c>
      <c r="K3725">
        <v>14</v>
      </c>
      <c r="L3725">
        <v>112909</v>
      </c>
      <c r="M3725" t="s">
        <v>51</v>
      </c>
      <c r="N3725">
        <v>2</v>
      </c>
      <c r="O3725">
        <v>3</v>
      </c>
      <c r="P3725">
        <v>33</v>
      </c>
      <c r="Q3725">
        <v>2</v>
      </c>
      <c r="R3725" s="1">
        <v>39859</v>
      </c>
      <c r="S3725" t="s">
        <v>29</v>
      </c>
      <c r="T3725" t="str">
        <f t="shared" si="290"/>
        <v>Grade A</v>
      </c>
      <c r="U3725">
        <f t="shared" si="291"/>
        <v>4</v>
      </c>
      <c r="V3725" t="str">
        <f t="shared" si="292"/>
        <v>Senior</v>
      </c>
      <c r="W3725" t="str">
        <f t="shared" si="293"/>
        <v>Low Risk</v>
      </c>
      <c r="X3725" t="str">
        <f t="shared" si="294"/>
        <v>Competitive</v>
      </c>
    </row>
    <row r="3726" spans="1:24" x14ac:dyDescent="0.3">
      <c r="A3726" t="s">
        <v>3794</v>
      </c>
      <c r="B3726" t="s">
        <v>20</v>
      </c>
      <c r="C3726">
        <v>38</v>
      </c>
      <c r="D3726" t="s">
        <v>88</v>
      </c>
      <c r="E3726" t="s">
        <v>40</v>
      </c>
      <c r="F3726" t="s">
        <v>75</v>
      </c>
      <c r="G3726" t="s">
        <v>66</v>
      </c>
      <c r="H3726" t="s">
        <v>25</v>
      </c>
      <c r="I3726" t="s">
        <v>96</v>
      </c>
      <c r="J3726" t="s">
        <v>44</v>
      </c>
      <c r="K3726">
        <v>5</v>
      </c>
      <c r="L3726">
        <v>36411</v>
      </c>
      <c r="M3726" t="s">
        <v>45</v>
      </c>
      <c r="N3726">
        <v>3</v>
      </c>
      <c r="O3726">
        <v>1</v>
      </c>
      <c r="P3726">
        <v>59</v>
      </c>
      <c r="Q3726">
        <v>0</v>
      </c>
      <c r="R3726" s="1">
        <v>43302</v>
      </c>
      <c r="S3726" t="s">
        <v>29</v>
      </c>
      <c r="T3726" t="str">
        <f t="shared" si="290"/>
        <v>Grade C</v>
      </c>
      <c r="U3726">
        <f t="shared" si="291"/>
        <v>2</v>
      </c>
      <c r="V3726" t="str">
        <f t="shared" si="292"/>
        <v>Junior</v>
      </c>
      <c r="W3726" t="str">
        <f t="shared" si="293"/>
        <v>Medium Risk</v>
      </c>
      <c r="X3726" t="str">
        <f t="shared" si="294"/>
        <v>Fair</v>
      </c>
    </row>
    <row r="3727" spans="1:24" x14ac:dyDescent="0.3">
      <c r="A3727" t="s">
        <v>3795</v>
      </c>
      <c r="B3727" t="s">
        <v>20</v>
      </c>
      <c r="C3727">
        <v>24</v>
      </c>
      <c r="D3727" t="s">
        <v>47</v>
      </c>
      <c r="E3727" t="s">
        <v>48</v>
      </c>
      <c r="F3727" t="s">
        <v>32</v>
      </c>
      <c r="G3727" t="s">
        <v>42</v>
      </c>
      <c r="H3727" t="s">
        <v>34</v>
      </c>
      <c r="I3727" t="s">
        <v>80</v>
      </c>
      <c r="J3727" t="s">
        <v>60</v>
      </c>
      <c r="K3727">
        <v>9</v>
      </c>
      <c r="L3727">
        <v>120849</v>
      </c>
      <c r="M3727" t="s">
        <v>36</v>
      </c>
      <c r="N3727">
        <v>1</v>
      </c>
      <c r="O3727">
        <v>3</v>
      </c>
      <c r="P3727">
        <v>49</v>
      </c>
      <c r="Q3727">
        <v>0</v>
      </c>
      <c r="R3727" s="1">
        <v>42007</v>
      </c>
      <c r="S3727" t="s">
        <v>37</v>
      </c>
      <c r="T3727" t="str">
        <f t="shared" si="290"/>
        <v>Grade A</v>
      </c>
      <c r="U3727">
        <f t="shared" si="291"/>
        <v>1</v>
      </c>
      <c r="V3727" t="str">
        <f t="shared" si="292"/>
        <v>Mid Level</v>
      </c>
      <c r="W3727" t="str">
        <f t="shared" si="293"/>
        <v>Already Left</v>
      </c>
      <c r="X3727" t="str">
        <f t="shared" si="294"/>
        <v>Overpaid</v>
      </c>
    </row>
    <row r="3728" spans="1:24" x14ac:dyDescent="0.3">
      <c r="A3728" t="s">
        <v>3796</v>
      </c>
      <c r="B3728" t="s">
        <v>39</v>
      </c>
      <c r="C3728">
        <v>25</v>
      </c>
      <c r="D3728" t="s">
        <v>88</v>
      </c>
      <c r="E3728" t="s">
        <v>40</v>
      </c>
      <c r="F3728" t="s">
        <v>53</v>
      </c>
      <c r="G3728" t="s">
        <v>58</v>
      </c>
      <c r="H3728" t="s">
        <v>83</v>
      </c>
      <c r="I3728" t="s">
        <v>72</v>
      </c>
      <c r="J3728" t="s">
        <v>73</v>
      </c>
      <c r="K3728">
        <v>3</v>
      </c>
      <c r="L3728">
        <v>97287</v>
      </c>
      <c r="M3728" t="s">
        <v>51</v>
      </c>
      <c r="N3728">
        <v>1</v>
      </c>
      <c r="O3728">
        <v>3</v>
      </c>
      <c r="P3728">
        <v>39</v>
      </c>
      <c r="Q3728">
        <v>0</v>
      </c>
      <c r="R3728" s="1">
        <v>43942</v>
      </c>
      <c r="S3728" t="s">
        <v>29</v>
      </c>
      <c r="T3728" t="str">
        <f t="shared" si="290"/>
        <v>Grade A</v>
      </c>
      <c r="U3728">
        <f t="shared" si="291"/>
        <v>4</v>
      </c>
      <c r="V3728" t="str">
        <f t="shared" si="292"/>
        <v>Junior</v>
      </c>
      <c r="W3728" t="str">
        <f t="shared" si="293"/>
        <v>Low Risk</v>
      </c>
      <c r="X3728" t="str">
        <f t="shared" si="294"/>
        <v>Competitive</v>
      </c>
    </row>
    <row r="3729" spans="1:24" x14ac:dyDescent="0.3">
      <c r="A3729" t="s">
        <v>3797</v>
      </c>
      <c r="B3729" t="s">
        <v>39</v>
      </c>
      <c r="C3729">
        <v>53</v>
      </c>
      <c r="D3729" t="s">
        <v>88</v>
      </c>
      <c r="E3729" t="s">
        <v>22</v>
      </c>
      <c r="F3729" t="s">
        <v>32</v>
      </c>
      <c r="G3729" t="s">
        <v>33</v>
      </c>
      <c r="H3729" t="s">
        <v>67</v>
      </c>
      <c r="I3729" t="s">
        <v>68</v>
      </c>
      <c r="J3729" t="s">
        <v>60</v>
      </c>
      <c r="K3729">
        <v>7</v>
      </c>
      <c r="L3729">
        <v>78706</v>
      </c>
      <c r="M3729" t="s">
        <v>28</v>
      </c>
      <c r="N3729">
        <v>3</v>
      </c>
      <c r="O3729">
        <v>2</v>
      </c>
      <c r="P3729">
        <v>79</v>
      </c>
      <c r="Q3729">
        <v>2</v>
      </c>
      <c r="R3729" s="1">
        <v>42561</v>
      </c>
      <c r="S3729" t="s">
        <v>37</v>
      </c>
      <c r="T3729" t="str">
        <f t="shared" si="290"/>
        <v>Grade B</v>
      </c>
      <c r="U3729">
        <f t="shared" si="291"/>
        <v>3</v>
      </c>
      <c r="V3729" t="str">
        <f t="shared" si="292"/>
        <v>Mid Level</v>
      </c>
      <c r="W3729" t="str">
        <f t="shared" si="293"/>
        <v>Already Left</v>
      </c>
      <c r="X3729" t="str">
        <f t="shared" si="294"/>
        <v>Competitive</v>
      </c>
    </row>
    <row r="3730" spans="1:24" x14ac:dyDescent="0.3">
      <c r="A3730" t="s">
        <v>3798</v>
      </c>
      <c r="B3730" t="s">
        <v>39</v>
      </c>
      <c r="C3730">
        <v>30</v>
      </c>
      <c r="D3730" t="s">
        <v>31</v>
      </c>
      <c r="E3730" t="s">
        <v>40</v>
      </c>
      <c r="F3730" t="s">
        <v>53</v>
      </c>
      <c r="G3730" t="s">
        <v>49</v>
      </c>
      <c r="H3730" t="s">
        <v>76</v>
      </c>
      <c r="I3730" t="s">
        <v>26</v>
      </c>
      <c r="J3730" t="s">
        <v>27</v>
      </c>
      <c r="K3730">
        <v>13</v>
      </c>
      <c r="L3730">
        <v>70700</v>
      </c>
      <c r="M3730" t="s">
        <v>51</v>
      </c>
      <c r="N3730">
        <v>3</v>
      </c>
      <c r="O3730">
        <v>1</v>
      </c>
      <c r="P3730">
        <v>48</v>
      </c>
      <c r="Q3730">
        <v>0</v>
      </c>
      <c r="R3730" s="1">
        <v>40435</v>
      </c>
      <c r="S3730" t="s">
        <v>29</v>
      </c>
      <c r="T3730" t="str">
        <f t="shared" si="290"/>
        <v>Grade B</v>
      </c>
      <c r="U3730">
        <f t="shared" si="291"/>
        <v>4</v>
      </c>
      <c r="V3730" t="str">
        <f t="shared" si="292"/>
        <v>Senior</v>
      </c>
      <c r="W3730" t="str">
        <f t="shared" si="293"/>
        <v>Low Risk</v>
      </c>
      <c r="X3730" t="str">
        <f t="shared" si="294"/>
        <v>Fair</v>
      </c>
    </row>
    <row r="3731" spans="1:24" x14ac:dyDescent="0.3">
      <c r="A3731" t="s">
        <v>3799</v>
      </c>
      <c r="B3731" t="s">
        <v>39</v>
      </c>
      <c r="C3731">
        <v>27</v>
      </c>
      <c r="D3731" t="s">
        <v>31</v>
      </c>
      <c r="E3731" t="s">
        <v>48</v>
      </c>
      <c r="F3731" t="s">
        <v>53</v>
      </c>
      <c r="G3731" t="s">
        <v>24</v>
      </c>
      <c r="H3731" t="s">
        <v>76</v>
      </c>
      <c r="I3731" t="s">
        <v>43</v>
      </c>
      <c r="J3731" t="s">
        <v>44</v>
      </c>
      <c r="K3731">
        <v>3</v>
      </c>
      <c r="L3731">
        <v>74184</v>
      </c>
      <c r="M3731" t="s">
        <v>45</v>
      </c>
      <c r="N3731">
        <v>3</v>
      </c>
      <c r="O3731">
        <v>3</v>
      </c>
      <c r="P3731">
        <v>75</v>
      </c>
      <c r="Q3731">
        <v>2</v>
      </c>
      <c r="R3731" s="1">
        <v>43854</v>
      </c>
      <c r="S3731" t="s">
        <v>29</v>
      </c>
      <c r="T3731" t="str">
        <f t="shared" si="290"/>
        <v>Grade B</v>
      </c>
      <c r="U3731">
        <f t="shared" si="291"/>
        <v>2</v>
      </c>
      <c r="V3731" t="str">
        <f t="shared" si="292"/>
        <v>Junior</v>
      </c>
      <c r="W3731" t="str">
        <f t="shared" si="293"/>
        <v>Medium Risk</v>
      </c>
      <c r="X3731" t="str">
        <f t="shared" si="294"/>
        <v>Fair</v>
      </c>
    </row>
    <row r="3732" spans="1:24" x14ac:dyDescent="0.3">
      <c r="A3732" t="s">
        <v>3800</v>
      </c>
      <c r="B3732" t="s">
        <v>39</v>
      </c>
      <c r="C3732">
        <v>22</v>
      </c>
      <c r="D3732" t="s">
        <v>57</v>
      </c>
      <c r="E3732" t="s">
        <v>22</v>
      </c>
      <c r="F3732" t="s">
        <v>53</v>
      </c>
      <c r="G3732" t="s">
        <v>79</v>
      </c>
      <c r="H3732" t="s">
        <v>25</v>
      </c>
      <c r="I3732" t="s">
        <v>50</v>
      </c>
      <c r="J3732" t="s">
        <v>44</v>
      </c>
      <c r="K3732">
        <v>12</v>
      </c>
      <c r="L3732">
        <v>54599</v>
      </c>
      <c r="M3732" t="s">
        <v>36</v>
      </c>
      <c r="N3732">
        <v>2</v>
      </c>
      <c r="O3732">
        <v>4</v>
      </c>
      <c r="P3732">
        <v>72</v>
      </c>
      <c r="Q3732">
        <v>3</v>
      </c>
      <c r="R3732" s="1">
        <v>40639</v>
      </c>
      <c r="S3732" t="s">
        <v>37</v>
      </c>
      <c r="T3732" t="str">
        <f t="shared" si="290"/>
        <v>Grade B</v>
      </c>
      <c r="U3732">
        <f t="shared" si="291"/>
        <v>1</v>
      </c>
      <c r="V3732" t="str">
        <f t="shared" si="292"/>
        <v>Senior</v>
      </c>
      <c r="W3732" t="str">
        <f t="shared" si="293"/>
        <v>Already Left</v>
      </c>
      <c r="X3732" t="str">
        <f t="shared" si="294"/>
        <v>Fair</v>
      </c>
    </row>
    <row r="3733" spans="1:24" x14ac:dyDescent="0.3">
      <c r="A3733" t="s">
        <v>3801</v>
      </c>
      <c r="B3733" t="s">
        <v>39</v>
      </c>
      <c r="C3733">
        <v>53</v>
      </c>
      <c r="D3733" t="s">
        <v>47</v>
      </c>
      <c r="E3733" t="s">
        <v>22</v>
      </c>
      <c r="F3733" t="s">
        <v>23</v>
      </c>
      <c r="G3733" t="s">
        <v>42</v>
      </c>
      <c r="H3733" t="s">
        <v>34</v>
      </c>
      <c r="I3733" t="s">
        <v>59</v>
      </c>
      <c r="J3733" t="s">
        <v>60</v>
      </c>
      <c r="K3733">
        <v>2</v>
      </c>
      <c r="L3733">
        <v>101902</v>
      </c>
      <c r="M3733" t="s">
        <v>45</v>
      </c>
      <c r="N3733">
        <v>3</v>
      </c>
      <c r="O3733">
        <v>1</v>
      </c>
      <c r="P3733">
        <v>41</v>
      </c>
      <c r="Q3733">
        <v>1</v>
      </c>
      <c r="R3733" s="1">
        <v>44334</v>
      </c>
      <c r="S3733" t="s">
        <v>37</v>
      </c>
      <c r="T3733" t="str">
        <f t="shared" si="290"/>
        <v>Grade A</v>
      </c>
      <c r="U3733">
        <f t="shared" si="291"/>
        <v>2</v>
      </c>
      <c r="V3733" t="str">
        <f t="shared" si="292"/>
        <v>New Joiner</v>
      </c>
      <c r="W3733" t="str">
        <f t="shared" si="293"/>
        <v>Already Left</v>
      </c>
      <c r="X3733" t="str">
        <f t="shared" si="294"/>
        <v>Fair</v>
      </c>
    </row>
    <row r="3734" spans="1:24" x14ac:dyDescent="0.3">
      <c r="A3734" t="s">
        <v>3802</v>
      </c>
      <c r="B3734" t="s">
        <v>20</v>
      </c>
      <c r="C3734">
        <v>43</v>
      </c>
      <c r="D3734" t="s">
        <v>57</v>
      </c>
      <c r="E3734" t="s">
        <v>40</v>
      </c>
      <c r="F3734" t="s">
        <v>23</v>
      </c>
      <c r="G3734" t="s">
        <v>58</v>
      </c>
      <c r="H3734" t="s">
        <v>25</v>
      </c>
      <c r="I3734" t="s">
        <v>80</v>
      </c>
      <c r="J3734" t="s">
        <v>60</v>
      </c>
      <c r="K3734">
        <v>15</v>
      </c>
      <c r="L3734">
        <v>108361</v>
      </c>
      <c r="M3734" t="s">
        <v>45</v>
      </c>
      <c r="N3734">
        <v>2</v>
      </c>
      <c r="O3734">
        <v>3</v>
      </c>
      <c r="P3734">
        <v>35</v>
      </c>
      <c r="Q3734">
        <v>3</v>
      </c>
      <c r="R3734" s="1">
        <v>39779</v>
      </c>
      <c r="S3734" t="s">
        <v>29</v>
      </c>
      <c r="T3734" t="str">
        <f t="shared" si="290"/>
        <v>Grade A</v>
      </c>
      <c r="U3734">
        <f t="shared" si="291"/>
        <v>2</v>
      </c>
      <c r="V3734" t="str">
        <f t="shared" si="292"/>
        <v>Senior</v>
      </c>
      <c r="W3734" t="str">
        <f t="shared" si="293"/>
        <v>Medium Risk</v>
      </c>
      <c r="X3734" t="str">
        <f t="shared" si="294"/>
        <v>Fair</v>
      </c>
    </row>
    <row r="3735" spans="1:24" x14ac:dyDescent="0.3">
      <c r="A3735" t="s">
        <v>3803</v>
      </c>
      <c r="B3735" t="s">
        <v>39</v>
      </c>
      <c r="C3735">
        <v>38</v>
      </c>
      <c r="D3735" t="s">
        <v>47</v>
      </c>
      <c r="E3735" t="s">
        <v>22</v>
      </c>
      <c r="F3735" t="s">
        <v>62</v>
      </c>
      <c r="G3735" t="s">
        <v>58</v>
      </c>
      <c r="H3735" t="s">
        <v>25</v>
      </c>
      <c r="I3735" t="s">
        <v>26</v>
      </c>
      <c r="J3735" t="s">
        <v>27</v>
      </c>
      <c r="K3735">
        <v>14</v>
      </c>
      <c r="L3735">
        <v>105778</v>
      </c>
      <c r="M3735" t="s">
        <v>45</v>
      </c>
      <c r="N3735">
        <v>2</v>
      </c>
      <c r="O3735">
        <v>4</v>
      </c>
      <c r="P3735">
        <v>78</v>
      </c>
      <c r="Q3735">
        <v>3</v>
      </c>
      <c r="R3735" s="1">
        <v>39875</v>
      </c>
      <c r="S3735" t="s">
        <v>29</v>
      </c>
      <c r="T3735" t="str">
        <f t="shared" si="290"/>
        <v>Grade A</v>
      </c>
      <c r="U3735">
        <f t="shared" si="291"/>
        <v>2</v>
      </c>
      <c r="V3735" t="str">
        <f t="shared" si="292"/>
        <v>Senior</v>
      </c>
      <c r="W3735" t="str">
        <f t="shared" si="293"/>
        <v>Medium Risk</v>
      </c>
      <c r="X3735" t="str">
        <f t="shared" si="294"/>
        <v>Fair</v>
      </c>
    </row>
    <row r="3736" spans="1:24" x14ac:dyDescent="0.3">
      <c r="A3736" t="s">
        <v>3804</v>
      </c>
      <c r="B3736" t="s">
        <v>39</v>
      </c>
      <c r="C3736">
        <v>46</v>
      </c>
      <c r="D3736" t="s">
        <v>47</v>
      </c>
      <c r="E3736" t="s">
        <v>22</v>
      </c>
      <c r="F3736" t="s">
        <v>78</v>
      </c>
      <c r="G3736" t="s">
        <v>42</v>
      </c>
      <c r="H3736" t="s">
        <v>76</v>
      </c>
      <c r="I3736" t="s">
        <v>43</v>
      </c>
      <c r="J3736" t="s">
        <v>44</v>
      </c>
      <c r="K3736">
        <v>7</v>
      </c>
      <c r="L3736">
        <v>112086</v>
      </c>
      <c r="M3736" t="s">
        <v>45</v>
      </c>
      <c r="N3736">
        <v>2</v>
      </c>
      <c r="O3736">
        <v>1</v>
      </c>
      <c r="P3736">
        <v>46</v>
      </c>
      <c r="Q3736">
        <v>0</v>
      </c>
      <c r="R3736" s="1">
        <v>42481</v>
      </c>
      <c r="S3736" t="s">
        <v>29</v>
      </c>
      <c r="T3736" t="str">
        <f t="shared" si="290"/>
        <v>Grade A</v>
      </c>
      <c r="U3736">
        <f t="shared" si="291"/>
        <v>2</v>
      </c>
      <c r="V3736" t="str">
        <f t="shared" si="292"/>
        <v>Mid Level</v>
      </c>
      <c r="W3736" t="str">
        <f t="shared" si="293"/>
        <v>Medium Risk</v>
      </c>
      <c r="X3736" t="str">
        <f t="shared" si="294"/>
        <v>Fair</v>
      </c>
    </row>
    <row r="3737" spans="1:24" x14ac:dyDescent="0.3">
      <c r="A3737" t="s">
        <v>3805</v>
      </c>
      <c r="B3737" t="s">
        <v>39</v>
      </c>
      <c r="C3737">
        <v>41</v>
      </c>
      <c r="D3737" t="s">
        <v>57</v>
      </c>
      <c r="E3737" t="s">
        <v>22</v>
      </c>
      <c r="F3737" t="s">
        <v>65</v>
      </c>
      <c r="G3737" t="s">
        <v>58</v>
      </c>
      <c r="H3737" t="s">
        <v>67</v>
      </c>
      <c r="I3737" t="s">
        <v>43</v>
      </c>
      <c r="J3737" t="s">
        <v>44</v>
      </c>
      <c r="K3737">
        <v>15</v>
      </c>
      <c r="L3737">
        <v>122207</v>
      </c>
      <c r="M3737" t="s">
        <v>51</v>
      </c>
      <c r="N3737">
        <v>4</v>
      </c>
      <c r="O3737">
        <v>1</v>
      </c>
      <c r="P3737">
        <v>30</v>
      </c>
      <c r="Q3737">
        <v>3</v>
      </c>
      <c r="R3737" s="1">
        <v>39800</v>
      </c>
      <c r="S3737" t="s">
        <v>29</v>
      </c>
      <c r="T3737" t="str">
        <f t="shared" si="290"/>
        <v>Grade A</v>
      </c>
      <c r="U3737">
        <f t="shared" si="291"/>
        <v>4</v>
      </c>
      <c r="V3737" t="str">
        <f t="shared" si="292"/>
        <v>Senior</v>
      </c>
      <c r="W3737" t="str">
        <f t="shared" si="293"/>
        <v>Low Risk</v>
      </c>
      <c r="X3737" t="str">
        <f t="shared" si="294"/>
        <v>Competitive</v>
      </c>
    </row>
    <row r="3738" spans="1:24" x14ac:dyDescent="0.3">
      <c r="A3738" t="s">
        <v>3806</v>
      </c>
      <c r="B3738" t="s">
        <v>20</v>
      </c>
      <c r="C3738">
        <v>32</v>
      </c>
      <c r="D3738" t="s">
        <v>31</v>
      </c>
      <c r="E3738" t="s">
        <v>22</v>
      </c>
      <c r="F3738" t="s">
        <v>53</v>
      </c>
      <c r="G3738" t="s">
        <v>49</v>
      </c>
      <c r="H3738" t="s">
        <v>25</v>
      </c>
      <c r="I3738" t="s">
        <v>59</v>
      </c>
      <c r="J3738" t="s">
        <v>60</v>
      </c>
      <c r="K3738">
        <v>8</v>
      </c>
      <c r="L3738">
        <v>58921</v>
      </c>
      <c r="M3738" t="s">
        <v>36</v>
      </c>
      <c r="N3738">
        <v>2</v>
      </c>
      <c r="O3738">
        <v>2</v>
      </c>
      <c r="P3738">
        <v>28</v>
      </c>
      <c r="Q3738">
        <v>2</v>
      </c>
      <c r="R3738" s="1">
        <v>42174</v>
      </c>
      <c r="S3738" t="s">
        <v>29</v>
      </c>
      <c r="T3738" t="str">
        <f t="shared" si="290"/>
        <v>Grade B</v>
      </c>
      <c r="U3738">
        <f t="shared" si="291"/>
        <v>1</v>
      </c>
      <c r="V3738" t="str">
        <f t="shared" si="292"/>
        <v>Mid Level</v>
      </c>
      <c r="W3738" t="str">
        <f t="shared" si="293"/>
        <v>Medium Risk</v>
      </c>
      <c r="X3738" t="str">
        <f t="shared" si="294"/>
        <v>Fair</v>
      </c>
    </row>
    <row r="3739" spans="1:24" x14ac:dyDescent="0.3">
      <c r="A3739" t="s">
        <v>3807</v>
      </c>
      <c r="B3739" t="s">
        <v>39</v>
      </c>
      <c r="C3739">
        <v>53</v>
      </c>
      <c r="D3739" t="s">
        <v>47</v>
      </c>
      <c r="E3739" t="s">
        <v>48</v>
      </c>
      <c r="F3739" t="s">
        <v>75</v>
      </c>
      <c r="G3739" t="s">
        <v>42</v>
      </c>
      <c r="H3739" t="s">
        <v>34</v>
      </c>
      <c r="I3739" t="s">
        <v>59</v>
      </c>
      <c r="J3739" t="s">
        <v>60</v>
      </c>
      <c r="K3739">
        <v>14</v>
      </c>
      <c r="L3739">
        <v>127673</v>
      </c>
      <c r="M3739" t="s">
        <v>36</v>
      </c>
      <c r="N3739">
        <v>2</v>
      </c>
      <c r="O3739">
        <v>2</v>
      </c>
      <c r="P3739">
        <v>21</v>
      </c>
      <c r="Q3739">
        <v>1</v>
      </c>
      <c r="R3739" s="1">
        <v>40106</v>
      </c>
      <c r="S3739" t="s">
        <v>37</v>
      </c>
      <c r="T3739" t="str">
        <f t="shared" si="290"/>
        <v>Grade A</v>
      </c>
      <c r="U3739">
        <f t="shared" si="291"/>
        <v>1</v>
      </c>
      <c r="V3739" t="str">
        <f t="shared" si="292"/>
        <v>Senior</v>
      </c>
      <c r="W3739" t="str">
        <f t="shared" si="293"/>
        <v>Already Left</v>
      </c>
      <c r="X3739" t="str">
        <f t="shared" si="294"/>
        <v>Overpaid</v>
      </c>
    </row>
    <row r="3740" spans="1:24" x14ac:dyDescent="0.3">
      <c r="A3740" t="s">
        <v>3808</v>
      </c>
      <c r="B3740" t="s">
        <v>20</v>
      </c>
      <c r="C3740">
        <v>47</v>
      </c>
      <c r="D3740" t="s">
        <v>21</v>
      </c>
      <c r="E3740" t="s">
        <v>48</v>
      </c>
      <c r="F3740" t="s">
        <v>53</v>
      </c>
      <c r="G3740" t="s">
        <v>63</v>
      </c>
      <c r="H3740" t="s">
        <v>25</v>
      </c>
      <c r="I3740" t="s">
        <v>59</v>
      </c>
      <c r="J3740" t="s">
        <v>60</v>
      </c>
      <c r="K3740">
        <v>15</v>
      </c>
      <c r="L3740">
        <v>67356</v>
      </c>
      <c r="M3740" t="s">
        <v>51</v>
      </c>
      <c r="N3740">
        <v>4</v>
      </c>
      <c r="O3740">
        <v>2</v>
      </c>
      <c r="P3740">
        <v>67</v>
      </c>
      <c r="Q3740">
        <v>2</v>
      </c>
      <c r="R3740" s="1">
        <v>39611</v>
      </c>
      <c r="S3740" t="s">
        <v>29</v>
      </c>
      <c r="T3740" t="str">
        <f t="shared" si="290"/>
        <v>Grade B</v>
      </c>
      <c r="U3740">
        <f t="shared" si="291"/>
        <v>4</v>
      </c>
      <c r="V3740" t="str">
        <f t="shared" si="292"/>
        <v>Senior</v>
      </c>
      <c r="W3740" t="str">
        <f t="shared" si="293"/>
        <v>Low Risk</v>
      </c>
      <c r="X3740" t="str">
        <f t="shared" si="294"/>
        <v>Fair</v>
      </c>
    </row>
    <row r="3741" spans="1:24" x14ac:dyDescent="0.3">
      <c r="A3741" t="s">
        <v>3809</v>
      </c>
      <c r="B3741" t="s">
        <v>20</v>
      </c>
      <c r="C3741">
        <v>28</v>
      </c>
      <c r="D3741" t="s">
        <v>47</v>
      </c>
      <c r="E3741" t="s">
        <v>48</v>
      </c>
      <c r="F3741" t="s">
        <v>23</v>
      </c>
      <c r="G3741" t="s">
        <v>66</v>
      </c>
      <c r="H3741" t="s">
        <v>25</v>
      </c>
      <c r="I3741" t="s">
        <v>72</v>
      </c>
      <c r="J3741" t="s">
        <v>73</v>
      </c>
      <c r="K3741">
        <v>10</v>
      </c>
      <c r="L3741">
        <v>62165</v>
      </c>
      <c r="M3741" t="s">
        <v>36</v>
      </c>
      <c r="N3741">
        <v>2</v>
      </c>
      <c r="O3741">
        <v>1</v>
      </c>
      <c r="P3741">
        <v>29</v>
      </c>
      <c r="Q3741">
        <v>2</v>
      </c>
      <c r="R3741" s="1">
        <v>41600</v>
      </c>
      <c r="S3741" t="s">
        <v>37</v>
      </c>
      <c r="T3741" t="str">
        <f t="shared" si="290"/>
        <v>Grade B</v>
      </c>
      <c r="U3741">
        <f t="shared" si="291"/>
        <v>1</v>
      </c>
      <c r="V3741" t="str">
        <f t="shared" si="292"/>
        <v>Mid Level</v>
      </c>
      <c r="W3741" t="str">
        <f t="shared" si="293"/>
        <v>Already Left</v>
      </c>
      <c r="X3741" t="str">
        <f t="shared" si="294"/>
        <v>Fair</v>
      </c>
    </row>
    <row r="3742" spans="1:24" x14ac:dyDescent="0.3">
      <c r="A3742" t="s">
        <v>3810</v>
      </c>
      <c r="B3742" t="s">
        <v>20</v>
      </c>
      <c r="C3742">
        <v>39</v>
      </c>
      <c r="D3742" t="s">
        <v>57</v>
      </c>
      <c r="E3742" t="s">
        <v>48</v>
      </c>
      <c r="F3742" t="s">
        <v>23</v>
      </c>
      <c r="G3742" t="s">
        <v>63</v>
      </c>
      <c r="H3742" t="s">
        <v>67</v>
      </c>
      <c r="I3742" t="s">
        <v>35</v>
      </c>
      <c r="J3742" t="s">
        <v>27</v>
      </c>
      <c r="K3742">
        <v>14</v>
      </c>
      <c r="L3742">
        <v>68545</v>
      </c>
      <c r="M3742" t="s">
        <v>45</v>
      </c>
      <c r="N3742">
        <v>1</v>
      </c>
      <c r="O3742">
        <v>3</v>
      </c>
      <c r="P3742">
        <v>48</v>
      </c>
      <c r="Q3742">
        <v>0</v>
      </c>
      <c r="R3742" s="1">
        <v>39876</v>
      </c>
      <c r="S3742" t="s">
        <v>37</v>
      </c>
      <c r="T3742" t="str">
        <f t="shared" si="290"/>
        <v>Grade B</v>
      </c>
      <c r="U3742">
        <f t="shared" si="291"/>
        <v>2</v>
      </c>
      <c r="V3742" t="str">
        <f t="shared" si="292"/>
        <v>Senior</v>
      </c>
      <c r="W3742" t="str">
        <f t="shared" si="293"/>
        <v>Already Left</v>
      </c>
      <c r="X3742" t="str">
        <f t="shared" si="294"/>
        <v>Fair</v>
      </c>
    </row>
    <row r="3743" spans="1:24" x14ac:dyDescent="0.3">
      <c r="A3743" t="s">
        <v>3811</v>
      </c>
      <c r="B3743" t="s">
        <v>39</v>
      </c>
      <c r="C3743">
        <v>49</v>
      </c>
      <c r="D3743" t="s">
        <v>21</v>
      </c>
      <c r="E3743" t="s">
        <v>48</v>
      </c>
      <c r="F3743" t="s">
        <v>53</v>
      </c>
      <c r="G3743" t="s">
        <v>24</v>
      </c>
      <c r="H3743" t="s">
        <v>25</v>
      </c>
      <c r="I3743" t="s">
        <v>80</v>
      </c>
      <c r="J3743" t="s">
        <v>60</v>
      </c>
      <c r="K3743">
        <v>5</v>
      </c>
      <c r="L3743">
        <v>88647</v>
      </c>
      <c r="M3743" t="s">
        <v>51</v>
      </c>
      <c r="N3743">
        <v>1</v>
      </c>
      <c r="O3743">
        <v>3</v>
      </c>
      <c r="P3743">
        <v>61</v>
      </c>
      <c r="Q3743">
        <v>2</v>
      </c>
      <c r="R3743" s="1">
        <v>43275</v>
      </c>
      <c r="S3743" t="s">
        <v>29</v>
      </c>
      <c r="T3743" t="str">
        <f t="shared" si="290"/>
        <v>Grade A</v>
      </c>
      <c r="U3743">
        <f t="shared" si="291"/>
        <v>4</v>
      </c>
      <c r="V3743" t="str">
        <f t="shared" si="292"/>
        <v>Junior</v>
      </c>
      <c r="W3743" t="str">
        <f t="shared" si="293"/>
        <v>Low Risk</v>
      </c>
      <c r="X3743" t="str">
        <f t="shared" si="294"/>
        <v>Competitive</v>
      </c>
    </row>
    <row r="3744" spans="1:24" x14ac:dyDescent="0.3">
      <c r="A3744" t="s">
        <v>3812</v>
      </c>
      <c r="B3744" t="s">
        <v>39</v>
      </c>
      <c r="C3744">
        <v>44</v>
      </c>
      <c r="D3744" t="s">
        <v>47</v>
      </c>
      <c r="E3744" t="s">
        <v>22</v>
      </c>
      <c r="F3744" t="s">
        <v>23</v>
      </c>
      <c r="G3744" t="s">
        <v>42</v>
      </c>
      <c r="H3744" t="s">
        <v>83</v>
      </c>
      <c r="I3744" t="s">
        <v>59</v>
      </c>
      <c r="J3744" t="s">
        <v>60</v>
      </c>
      <c r="K3744">
        <v>3</v>
      </c>
      <c r="L3744">
        <v>106172</v>
      </c>
      <c r="M3744" t="s">
        <v>36</v>
      </c>
      <c r="N3744">
        <v>2</v>
      </c>
      <c r="O3744">
        <v>4</v>
      </c>
      <c r="P3744">
        <v>77</v>
      </c>
      <c r="Q3744">
        <v>1</v>
      </c>
      <c r="R3744" s="1">
        <v>43844</v>
      </c>
      <c r="S3744" t="s">
        <v>37</v>
      </c>
      <c r="T3744" t="str">
        <f t="shared" si="290"/>
        <v>Grade A</v>
      </c>
      <c r="U3744">
        <f t="shared" si="291"/>
        <v>1</v>
      </c>
      <c r="V3744" t="str">
        <f t="shared" si="292"/>
        <v>Junior</v>
      </c>
      <c r="W3744" t="str">
        <f t="shared" si="293"/>
        <v>Already Left</v>
      </c>
      <c r="X3744" t="str">
        <f t="shared" si="294"/>
        <v>Overpaid</v>
      </c>
    </row>
    <row r="3745" spans="1:24" x14ac:dyDescent="0.3">
      <c r="A3745" t="s">
        <v>3813</v>
      </c>
      <c r="B3745" t="s">
        <v>39</v>
      </c>
      <c r="C3745">
        <v>41</v>
      </c>
      <c r="D3745" t="s">
        <v>47</v>
      </c>
      <c r="E3745" t="s">
        <v>48</v>
      </c>
      <c r="F3745" t="s">
        <v>62</v>
      </c>
      <c r="G3745" t="s">
        <v>49</v>
      </c>
      <c r="H3745" t="s">
        <v>76</v>
      </c>
      <c r="I3745" t="s">
        <v>96</v>
      </c>
      <c r="J3745" t="s">
        <v>44</v>
      </c>
      <c r="K3745">
        <v>7</v>
      </c>
      <c r="L3745">
        <v>70153</v>
      </c>
      <c r="M3745" t="s">
        <v>36</v>
      </c>
      <c r="N3745">
        <v>2</v>
      </c>
      <c r="O3745">
        <v>4</v>
      </c>
      <c r="P3745">
        <v>75</v>
      </c>
      <c r="Q3745">
        <v>2</v>
      </c>
      <c r="R3745" s="1">
        <v>42491</v>
      </c>
      <c r="S3745" t="s">
        <v>29</v>
      </c>
      <c r="T3745" t="str">
        <f t="shared" si="290"/>
        <v>Grade B</v>
      </c>
      <c r="U3745">
        <f t="shared" si="291"/>
        <v>1</v>
      </c>
      <c r="V3745" t="str">
        <f t="shared" si="292"/>
        <v>Mid Level</v>
      </c>
      <c r="W3745" t="str">
        <f t="shared" si="293"/>
        <v>Medium Risk</v>
      </c>
      <c r="X3745" t="str">
        <f t="shared" si="294"/>
        <v>Fair</v>
      </c>
    </row>
    <row r="3746" spans="1:24" x14ac:dyDescent="0.3">
      <c r="A3746" t="s">
        <v>3814</v>
      </c>
      <c r="B3746" t="s">
        <v>39</v>
      </c>
      <c r="C3746">
        <v>49</v>
      </c>
      <c r="D3746" t="s">
        <v>21</v>
      </c>
      <c r="E3746" t="s">
        <v>22</v>
      </c>
      <c r="F3746" t="s">
        <v>53</v>
      </c>
      <c r="G3746" t="s">
        <v>63</v>
      </c>
      <c r="H3746" t="s">
        <v>34</v>
      </c>
      <c r="I3746" t="s">
        <v>26</v>
      </c>
      <c r="J3746" t="s">
        <v>27</v>
      </c>
      <c r="K3746">
        <v>11</v>
      </c>
      <c r="L3746">
        <v>60472</v>
      </c>
      <c r="M3746" t="s">
        <v>36</v>
      </c>
      <c r="N3746">
        <v>3</v>
      </c>
      <c r="O3746">
        <v>4</v>
      </c>
      <c r="P3746">
        <v>67</v>
      </c>
      <c r="Q3746">
        <v>2</v>
      </c>
      <c r="R3746" s="1">
        <v>41019</v>
      </c>
      <c r="S3746" t="s">
        <v>29</v>
      </c>
      <c r="T3746" t="str">
        <f t="shared" si="290"/>
        <v>Grade B</v>
      </c>
      <c r="U3746">
        <f t="shared" si="291"/>
        <v>1</v>
      </c>
      <c r="V3746" t="str">
        <f t="shared" si="292"/>
        <v>Senior</v>
      </c>
      <c r="W3746" t="str">
        <f t="shared" si="293"/>
        <v>Medium Risk</v>
      </c>
      <c r="X3746" t="str">
        <f t="shared" si="294"/>
        <v>Fair</v>
      </c>
    </row>
    <row r="3747" spans="1:24" x14ac:dyDescent="0.3">
      <c r="A3747" t="s">
        <v>3815</v>
      </c>
      <c r="B3747" t="s">
        <v>39</v>
      </c>
      <c r="C3747">
        <v>51</v>
      </c>
      <c r="D3747" t="s">
        <v>31</v>
      </c>
      <c r="E3747" t="s">
        <v>48</v>
      </c>
      <c r="F3747" t="s">
        <v>41</v>
      </c>
      <c r="G3747" t="s">
        <v>58</v>
      </c>
      <c r="H3747" t="s">
        <v>34</v>
      </c>
      <c r="I3747" t="s">
        <v>35</v>
      </c>
      <c r="J3747" t="s">
        <v>27</v>
      </c>
      <c r="K3747">
        <v>12</v>
      </c>
      <c r="L3747">
        <v>112338</v>
      </c>
      <c r="M3747" t="s">
        <v>45</v>
      </c>
      <c r="N3747">
        <v>1</v>
      </c>
      <c r="O3747">
        <v>1</v>
      </c>
      <c r="P3747">
        <v>47</v>
      </c>
      <c r="Q3747">
        <v>0</v>
      </c>
      <c r="R3747" s="1">
        <v>40850</v>
      </c>
      <c r="S3747" t="s">
        <v>29</v>
      </c>
      <c r="T3747" t="str">
        <f t="shared" si="290"/>
        <v>Grade A</v>
      </c>
      <c r="U3747">
        <f t="shared" si="291"/>
        <v>2</v>
      </c>
      <c r="V3747" t="str">
        <f t="shared" si="292"/>
        <v>Senior</v>
      </c>
      <c r="W3747" t="str">
        <f t="shared" si="293"/>
        <v>Medium Risk</v>
      </c>
      <c r="X3747" t="str">
        <f t="shared" si="294"/>
        <v>Fair</v>
      </c>
    </row>
    <row r="3748" spans="1:24" x14ac:dyDescent="0.3">
      <c r="A3748" t="s">
        <v>3816</v>
      </c>
      <c r="B3748" t="s">
        <v>20</v>
      </c>
      <c r="C3748">
        <v>55</v>
      </c>
      <c r="D3748" t="s">
        <v>21</v>
      </c>
      <c r="E3748" t="s">
        <v>22</v>
      </c>
      <c r="F3748" t="s">
        <v>75</v>
      </c>
      <c r="G3748" t="s">
        <v>66</v>
      </c>
      <c r="H3748" t="s">
        <v>76</v>
      </c>
      <c r="I3748" t="s">
        <v>35</v>
      </c>
      <c r="J3748" t="s">
        <v>27</v>
      </c>
      <c r="K3748">
        <v>3</v>
      </c>
      <c r="L3748">
        <v>48078</v>
      </c>
      <c r="M3748" t="s">
        <v>28</v>
      </c>
      <c r="N3748">
        <v>4</v>
      </c>
      <c r="O3748">
        <v>2</v>
      </c>
      <c r="P3748">
        <v>45</v>
      </c>
      <c r="Q3748">
        <v>3</v>
      </c>
      <c r="R3748" s="1">
        <v>43940</v>
      </c>
      <c r="S3748" t="s">
        <v>29</v>
      </c>
      <c r="T3748" t="str">
        <f t="shared" si="290"/>
        <v>Grade C</v>
      </c>
      <c r="U3748">
        <f t="shared" si="291"/>
        <v>3</v>
      </c>
      <c r="V3748" t="str">
        <f t="shared" si="292"/>
        <v>Junior</v>
      </c>
      <c r="W3748" t="str">
        <f t="shared" si="293"/>
        <v>Medium Risk</v>
      </c>
      <c r="X3748" t="str">
        <f t="shared" si="294"/>
        <v>Fair</v>
      </c>
    </row>
    <row r="3749" spans="1:24" x14ac:dyDescent="0.3">
      <c r="A3749" t="s">
        <v>3817</v>
      </c>
      <c r="B3749" t="s">
        <v>39</v>
      </c>
      <c r="C3749">
        <v>23</v>
      </c>
      <c r="D3749" t="s">
        <v>31</v>
      </c>
      <c r="E3749" t="s">
        <v>48</v>
      </c>
      <c r="F3749" t="s">
        <v>75</v>
      </c>
      <c r="G3749" t="s">
        <v>49</v>
      </c>
      <c r="H3749" t="s">
        <v>25</v>
      </c>
      <c r="I3749" t="s">
        <v>26</v>
      </c>
      <c r="J3749" t="s">
        <v>27</v>
      </c>
      <c r="K3749">
        <v>10</v>
      </c>
      <c r="L3749">
        <v>77546</v>
      </c>
      <c r="M3749" t="s">
        <v>36</v>
      </c>
      <c r="N3749">
        <v>1</v>
      </c>
      <c r="O3749">
        <v>3</v>
      </c>
      <c r="P3749">
        <v>26</v>
      </c>
      <c r="Q3749">
        <v>0</v>
      </c>
      <c r="R3749" s="1">
        <v>41607</v>
      </c>
      <c r="S3749" t="s">
        <v>37</v>
      </c>
      <c r="T3749" t="str">
        <f t="shared" si="290"/>
        <v>Grade B</v>
      </c>
      <c r="U3749">
        <f t="shared" si="291"/>
        <v>1</v>
      </c>
      <c r="V3749" t="str">
        <f t="shared" si="292"/>
        <v>Mid Level</v>
      </c>
      <c r="W3749" t="str">
        <f t="shared" si="293"/>
        <v>Already Left</v>
      </c>
      <c r="X3749" t="str">
        <f t="shared" si="294"/>
        <v>Fair</v>
      </c>
    </row>
    <row r="3750" spans="1:24" x14ac:dyDescent="0.3">
      <c r="A3750" t="s">
        <v>3818</v>
      </c>
      <c r="B3750" t="s">
        <v>20</v>
      </c>
      <c r="C3750">
        <v>30</v>
      </c>
      <c r="D3750" t="s">
        <v>21</v>
      </c>
      <c r="E3750" t="s">
        <v>40</v>
      </c>
      <c r="F3750" t="s">
        <v>75</v>
      </c>
      <c r="G3750" t="s">
        <v>33</v>
      </c>
      <c r="H3750" t="s">
        <v>25</v>
      </c>
      <c r="I3750" t="s">
        <v>96</v>
      </c>
      <c r="J3750" t="s">
        <v>44</v>
      </c>
      <c r="K3750">
        <v>13</v>
      </c>
      <c r="L3750">
        <v>76254</v>
      </c>
      <c r="M3750" t="s">
        <v>36</v>
      </c>
      <c r="N3750">
        <v>2</v>
      </c>
      <c r="O3750">
        <v>2</v>
      </c>
      <c r="P3750">
        <v>34</v>
      </c>
      <c r="Q3750">
        <v>3</v>
      </c>
      <c r="R3750" s="1">
        <v>40250</v>
      </c>
      <c r="S3750" t="s">
        <v>37</v>
      </c>
      <c r="T3750" t="str">
        <f t="shared" si="290"/>
        <v>Grade B</v>
      </c>
      <c r="U3750">
        <f t="shared" si="291"/>
        <v>1</v>
      </c>
      <c r="V3750" t="str">
        <f t="shared" si="292"/>
        <v>Senior</v>
      </c>
      <c r="W3750" t="str">
        <f t="shared" si="293"/>
        <v>Already Left</v>
      </c>
      <c r="X3750" t="str">
        <f t="shared" si="294"/>
        <v>Fair</v>
      </c>
    </row>
    <row r="3751" spans="1:24" x14ac:dyDescent="0.3">
      <c r="A3751" t="s">
        <v>3819</v>
      </c>
      <c r="B3751" t="s">
        <v>20</v>
      </c>
      <c r="C3751">
        <v>46</v>
      </c>
      <c r="D3751" t="s">
        <v>47</v>
      </c>
      <c r="E3751" t="s">
        <v>22</v>
      </c>
      <c r="F3751" t="s">
        <v>78</v>
      </c>
      <c r="G3751" t="s">
        <v>49</v>
      </c>
      <c r="H3751" t="s">
        <v>83</v>
      </c>
      <c r="I3751" t="s">
        <v>68</v>
      </c>
      <c r="J3751" t="s">
        <v>60</v>
      </c>
      <c r="K3751">
        <v>6</v>
      </c>
      <c r="L3751">
        <v>70343</v>
      </c>
      <c r="M3751" t="s">
        <v>36</v>
      </c>
      <c r="N3751">
        <v>3</v>
      </c>
      <c r="O3751">
        <v>3</v>
      </c>
      <c r="P3751">
        <v>38</v>
      </c>
      <c r="Q3751">
        <v>2</v>
      </c>
      <c r="R3751" s="1">
        <v>42861</v>
      </c>
      <c r="S3751" t="s">
        <v>37</v>
      </c>
      <c r="T3751" t="str">
        <f t="shared" si="290"/>
        <v>Grade B</v>
      </c>
      <c r="U3751">
        <f t="shared" si="291"/>
        <v>1</v>
      </c>
      <c r="V3751" t="str">
        <f t="shared" si="292"/>
        <v>Mid Level</v>
      </c>
      <c r="W3751" t="str">
        <f t="shared" si="293"/>
        <v>Already Left</v>
      </c>
      <c r="X3751" t="str">
        <f t="shared" si="294"/>
        <v>Fair</v>
      </c>
    </row>
    <row r="3752" spans="1:24" x14ac:dyDescent="0.3">
      <c r="A3752" t="s">
        <v>3820</v>
      </c>
      <c r="B3752" t="s">
        <v>39</v>
      </c>
      <c r="C3752">
        <v>44</v>
      </c>
      <c r="D3752" t="s">
        <v>88</v>
      </c>
      <c r="E3752" t="s">
        <v>48</v>
      </c>
      <c r="F3752" t="s">
        <v>53</v>
      </c>
      <c r="G3752" t="s">
        <v>66</v>
      </c>
      <c r="H3752" t="s">
        <v>34</v>
      </c>
      <c r="I3752" t="s">
        <v>26</v>
      </c>
      <c r="J3752" t="s">
        <v>27</v>
      </c>
      <c r="K3752">
        <v>5</v>
      </c>
      <c r="L3752">
        <v>52856</v>
      </c>
      <c r="M3752" t="s">
        <v>51</v>
      </c>
      <c r="N3752">
        <v>2</v>
      </c>
      <c r="O3752">
        <v>3</v>
      </c>
      <c r="P3752">
        <v>16</v>
      </c>
      <c r="Q3752">
        <v>2</v>
      </c>
      <c r="R3752" s="1">
        <v>43255</v>
      </c>
      <c r="S3752" t="s">
        <v>29</v>
      </c>
      <c r="T3752" t="str">
        <f t="shared" si="290"/>
        <v>Grade B</v>
      </c>
      <c r="U3752">
        <f t="shared" si="291"/>
        <v>4</v>
      </c>
      <c r="V3752" t="str">
        <f t="shared" si="292"/>
        <v>Junior</v>
      </c>
      <c r="W3752" t="str">
        <f t="shared" si="293"/>
        <v>Low Risk</v>
      </c>
      <c r="X3752" t="str">
        <f t="shared" si="294"/>
        <v>Fair</v>
      </c>
    </row>
    <row r="3753" spans="1:24" x14ac:dyDescent="0.3">
      <c r="A3753" t="s">
        <v>3821</v>
      </c>
      <c r="B3753" t="s">
        <v>20</v>
      </c>
      <c r="C3753">
        <v>48</v>
      </c>
      <c r="D3753" t="s">
        <v>21</v>
      </c>
      <c r="E3753" t="s">
        <v>48</v>
      </c>
      <c r="F3753" t="s">
        <v>23</v>
      </c>
      <c r="G3753" t="s">
        <v>79</v>
      </c>
      <c r="H3753" t="s">
        <v>25</v>
      </c>
      <c r="I3753" t="s">
        <v>50</v>
      </c>
      <c r="J3753" t="s">
        <v>44</v>
      </c>
      <c r="K3753">
        <v>13</v>
      </c>
      <c r="L3753">
        <v>56718</v>
      </c>
      <c r="M3753" t="s">
        <v>45</v>
      </c>
      <c r="N3753">
        <v>1</v>
      </c>
      <c r="O3753">
        <v>3</v>
      </c>
      <c r="P3753">
        <v>30</v>
      </c>
      <c r="Q3753">
        <v>2</v>
      </c>
      <c r="R3753" s="1">
        <v>40218</v>
      </c>
      <c r="S3753" t="s">
        <v>29</v>
      </c>
      <c r="T3753" t="str">
        <f t="shared" si="290"/>
        <v>Grade B</v>
      </c>
      <c r="U3753">
        <f t="shared" si="291"/>
        <v>2</v>
      </c>
      <c r="V3753" t="str">
        <f t="shared" si="292"/>
        <v>Senior</v>
      </c>
      <c r="W3753" t="str">
        <f t="shared" si="293"/>
        <v>Medium Risk</v>
      </c>
      <c r="X3753" t="str">
        <f t="shared" si="294"/>
        <v>Fair</v>
      </c>
    </row>
    <row r="3754" spans="1:24" x14ac:dyDescent="0.3">
      <c r="A3754" t="s">
        <v>3822</v>
      </c>
      <c r="B3754" t="s">
        <v>39</v>
      </c>
      <c r="C3754">
        <v>29</v>
      </c>
      <c r="D3754" t="s">
        <v>21</v>
      </c>
      <c r="E3754" t="s">
        <v>48</v>
      </c>
      <c r="F3754" t="s">
        <v>41</v>
      </c>
      <c r="G3754" t="s">
        <v>24</v>
      </c>
      <c r="H3754" t="s">
        <v>25</v>
      </c>
      <c r="I3754" t="s">
        <v>59</v>
      </c>
      <c r="J3754" t="s">
        <v>60</v>
      </c>
      <c r="K3754">
        <v>3</v>
      </c>
      <c r="L3754">
        <v>83276</v>
      </c>
      <c r="M3754" t="s">
        <v>28</v>
      </c>
      <c r="N3754">
        <v>4</v>
      </c>
      <c r="O3754">
        <v>4</v>
      </c>
      <c r="P3754">
        <v>15</v>
      </c>
      <c r="Q3754">
        <v>1</v>
      </c>
      <c r="R3754" s="1">
        <v>44169</v>
      </c>
      <c r="S3754" t="s">
        <v>29</v>
      </c>
      <c r="T3754" t="str">
        <f t="shared" si="290"/>
        <v>Grade A</v>
      </c>
      <c r="U3754">
        <f t="shared" si="291"/>
        <v>3</v>
      </c>
      <c r="V3754" t="str">
        <f t="shared" si="292"/>
        <v>Junior</v>
      </c>
      <c r="W3754" t="str">
        <f t="shared" si="293"/>
        <v>Medium Risk</v>
      </c>
      <c r="X3754" t="str">
        <f t="shared" si="294"/>
        <v>Competitive</v>
      </c>
    </row>
    <row r="3755" spans="1:24" x14ac:dyDescent="0.3">
      <c r="A3755" t="s">
        <v>3823</v>
      </c>
      <c r="B3755" t="s">
        <v>39</v>
      </c>
      <c r="C3755">
        <v>52</v>
      </c>
      <c r="D3755" t="s">
        <v>88</v>
      </c>
      <c r="E3755" t="s">
        <v>22</v>
      </c>
      <c r="F3755" t="s">
        <v>53</v>
      </c>
      <c r="G3755" t="s">
        <v>63</v>
      </c>
      <c r="H3755" t="s">
        <v>34</v>
      </c>
      <c r="I3755" t="s">
        <v>35</v>
      </c>
      <c r="J3755" t="s">
        <v>27</v>
      </c>
      <c r="K3755">
        <v>5</v>
      </c>
      <c r="L3755">
        <v>56464</v>
      </c>
      <c r="M3755" t="s">
        <v>51</v>
      </c>
      <c r="N3755">
        <v>3</v>
      </c>
      <c r="O3755">
        <v>3</v>
      </c>
      <c r="P3755">
        <v>80</v>
      </c>
      <c r="Q3755">
        <v>1</v>
      </c>
      <c r="R3755" s="1">
        <v>43131</v>
      </c>
      <c r="S3755" t="s">
        <v>29</v>
      </c>
      <c r="T3755" t="str">
        <f t="shared" si="290"/>
        <v>Grade B</v>
      </c>
      <c r="U3755">
        <f t="shared" si="291"/>
        <v>4</v>
      </c>
      <c r="V3755" t="str">
        <f t="shared" si="292"/>
        <v>Junior</v>
      </c>
      <c r="W3755" t="str">
        <f t="shared" si="293"/>
        <v>Low Risk</v>
      </c>
      <c r="X3755" t="str">
        <f t="shared" si="294"/>
        <v>Fair</v>
      </c>
    </row>
    <row r="3756" spans="1:24" x14ac:dyDescent="0.3">
      <c r="A3756" t="s">
        <v>3824</v>
      </c>
      <c r="B3756" t="s">
        <v>20</v>
      </c>
      <c r="C3756">
        <v>40</v>
      </c>
      <c r="D3756" t="s">
        <v>88</v>
      </c>
      <c r="E3756" t="s">
        <v>22</v>
      </c>
      <c r="F3756" t="s">
        <v>41</v>
      </c>
      <c r="G3756" t="s">
        <v>49</v>
      </c>
      <c r="H3756" t="s">
        <v>83</v>
      </c>
      <c r="I3756" t="s">
        <v>43</v>
      </c>
      <c r="J3756" t="s">
        <v>44</v>
      </c>
      <c r="K3756">
        <v>4</v>
      </c>
      <c r="L3756">
        <v>55292</v>
      </c>
      <c r="M3756" t="s">
        <v>45</v>
      </c>
      <c r="N3756">
        <v>3</v>
      </c>
      <c r="O3756">
        <v>4</v>
      </c>
      <c r="P3756">
        <v>46</v>
      </c>
      <c r="Q3756">
        <v>1</v>
      </c>
      <c r="R3756" s="1">
        <v>43634</v>
      </c>
      <c r="S3756" t="s">
        <v>29</v>
      </c>
      <c r="T3756" t="str">
        <f t="shared" si="290"/>
        <v>Grade B</v>
      </c>
      <c r="U3756">
        <f t="shared" si="291"/>
        <v>2</v>
      </c>
      <c r="V3756" t="str">
        <f t="shared" si="292"/>
        <v>Junior</v>
      </c>
      <c r="W3756" t="str">
        <f t="shared" si="293"/>
        <v>Medium Risk</v>
      </c>
      <c r="X3756" t="str">
        <f t="shared" si="294"/>
        <v>Fair</v>
      </c>
    </row>
    <row r="3757" spans="1:24" x14ac:dyDescent="0.3">
      <c r="A3757" t="s">
        <v>3825</v>
      </c>
      <c r="B3757" t="s">
        <v>20</v>
      </c>
      <c r="C3757">
        <v>49</v>
      </c>
      <c r="D3757" t="s">
        <v>21</v>
      </c>
      <c r="E3757" t="s">
        <v>22</v>
      </c>
      <c r="F3757" t="s">
        <v>32</v>
      </c>
      <c r="G3757" t="s">
        <v>33</v>
      </c>
      <c r="H3757" t="s">
        <v>25</v>
      </c>
      <c r="I3757" t="s">
        <v>50</v>
      </c>
      <c r="J3757" t="s">
        <v>44</v>
      </c>
      <c r="K3757">
        <v>7</v>
      </c>
      <c r="L3757">
        <v>81932</v>
      </c>
      <c r="M3757" t="s">
        <v>28</v>
      </c>
      <c r="N3757">
        <v>3</v>
      </c>
      <c r="O3757">
        <v>3</v>
      </c>
      <c r="P3757">
        <v>61</v>
      </c>
      <c r="Q3757">
        <v>0</v>
      </c>
      <c r="R3757" s="1">
        <v>42563</v>
      </c>
      <c r="S3757" t="s">
        <v>29</v>
      </c>
      <c r="T3757" t="str">
        <f t="shared" si="290"/>
        <v>Grade A</v>
      </c>
      <c r="U3757">
        <f t="shared" si="291"/>
        <v>3</v>
      </c>
      <c r="V3757" t="str">
        <f t="shared" si="292"/>
        <v>Mid Level</v>
      </c>
      <c r="W3757" t="str">
        <f t="shared" si="293"/>
        <v>Medium Risk</v>
      </c>
      <c r="X3757" t="str">
        <f t="shared" si="294"/>
        <v>Competitive</v>
      </c>
    </row>
    <row r="3758" spans="1:24" x14ac:dyDescent="0.3">
      <c r="A3758" t="s">
        <v>3826</v>
      </c>
      <c r="B3758" t="s">
        <v>20</v>
      </c>
      <c r="C3758">
        <v>48</v>
      </c>
      <c r="D3758" t="s">
        <v>21</v>
      </c>
      <c r="E3758" t="s">
        <v>40</v>
      </c>
      <c r="F3758" t="s">
        <v>23</v>
      </c>
      <c r="G3758" t="s">
        <v>58</v>
      </c>
      <c r="H3758" t="s">
        <v>34</v>
      </c>
      <c r="I3758" t="s">
        <v>43</v>
      </c>
      <c r="J3758" t="s">
        <v>44</v>
      </c>
      <c r="K3758">
        <v>5</v>
      </c>
      <c r="L3758">
        <v>97126</v>
      </c>
      <c r="M3758" t="s">
        <v>36</v>
      </c>
      <c r="N3758">
        <v>1</v>
      </c>
      <c r="O3758">
        <v>4</v>
      </c>
      <c r="P3758">
        <v>79</v>
      </c>
      <c r="Q3758">
        <v>1</v>
      </c>
      <c r="R3758" s="1">
        <v>43215</v>
      </c>
      <c r="S3758" t="s">
        <v>29</v>
      </c>
      <c r="T3758" t="str">
        <f t="shared" si="290"/>
        <v>Grade A</v>
      </c>
      <c r="U3758">
        <f t="shared" si="291"/>
        <v>1</v>
      </c>
      <c r="V3758" t="str">
        <f t="shared" si="292"/>
        <v>Junior</v>
      </c>
      <c r="W3758" t="str">
        <f t="shared" si="293"/>
        <v>Medium Risk</v>
      </c>
      <c r="X3758" t="str">
        <f t="shared" si="294"/>
        <v>Overpaid</v>
      </c>
    </row>
    <row r="3759" spans="1:24" x14ac:dyDescent="0.3">
      <c r="A3759" t="s">
        <v>3827</v>
      </c>
      <c r="B3759" t="s">
        <v>20</v>
      </c>
      <c r="C3759">
        <v>23</v>
      </c>
      <c r="D3759" t="s">
        <v>47</v>
      </c>
      <c r="E3759" t="s">
        <v>48</v>
      </c>
      <c r="F3759" t="s">
        <v>75</v>
      </c>
      <c r="G3759" t="s">
        <v>33</v>
      </c>
      <c r="H3759" t="s">
        <v>83</v>
      </c>
      <c r="I3759" t="s">
        <v>54</v>
      </c>
      <c r="J3759" t="s">
        <v>27</v>
      </c>
      <c r="K3759">
        <v>12</v>
      </c>
      <c r="L3759">
        <v>81455</v>
      </c>
      <c r="M3759" t="s">
        <v>45</v>
      </c>
      <c r="N3759">
        <v>4</v>
      </c>
      <c r="O3759">
        <v>2</v>
      </c>
      <c r="P3759">
        <v>73</v>
      </c>
      <c r="Q3759">
        <v>1</v>
      </c>
      <c r="R3759" s="1">
        <v>40681</v>
      </c>
      <c r="S3759" t="s">
        <v>37</v>
      </c>
      <c r="T3759" t="str">
        <f t="shared" si="290"/>
        <v>Grade A</v>
      </c>
      <c r="U3759">
        <f t="shared" si="291"/>
        <v>2</v>
      </c>
      <c r="V3759" t="str">
        <f t="shared" si="292"/>
        <v>Senior</v>
      </c>
      <c r="W3759" t="str">
        <f t="shared" si="293"/>
        <v>Already Left</v>
      </c>
      <c r="X3759" t="str">
        <f t="shared" si="294"/>
        <v>Fair</v>
      </c>
    </row>
    <row r="3760" spans="1:24" x14ac:dyDescent="0.3">
      <c r="A3760" t="s">
        <v>3828</v>
      </c>
      <c r="B3760" t="s">
        <v>20</v>
      </c>
      <c r="C3760">
        <v>40</v>
      </c>
      <c r="D3760" t="s">
        <v>31</v>
      </c>
      <c r="E3760" t="s">
        <v>40</v>
      </c>
      <c r="F3760" t="s">
        <v>41</v>
      </c>
      <c r="G3760" t="s">
        <v>42</v>
      </c>
      <c r="H3760" t="s">
        <v>34</v>
      </c>
      <c r="I3760" t="s">
        <v>50</v>
      </c>
      <c r="J3760" t="s">
        <v>44</v>
      </c>
      <c r="K3760">
        <v>10</v>
      </c>
      <c r="L3760">
        <v>117952</v>
      </c>
      <c r="M3760" t="s">
        <v>36</v>
      </c>
      <c r="N3760">
        <v>4</v>
      </c>
      <c r="O3760">
        <v>3</v>
      </c>
      <c r="P3760">
        <v>79</v>
      </c>
      <c r="Q3760">
        <v>2</v>
      </c>
      <c r="R3760" s="1">
        <v>41588</v>
      </c>
      <c r="S3760" t="s">
        <v>37</v>
      </c>
      <c r="T3760" t="str">
        <f t="shared" si="290"/>
        <v>Grade A</v>
      </c>
      <c r="U3760">
        <f t="shared" si="291"/>
        <v>1</v>
      </c>
      <c r="V3760" t="str">
        <f t="shared" si="292"/>
        <v>Mid Level</v>
      </c>
      <c r="W3760" t="str">
        <f t="shared" si="293"/>
        <v>Already Left</v>
      </c>
      <c r="X3760" t="str">
        <f t="shared" si="294"/>
        <v>Overpaid</v>
      </c>
    </row>
    <row r="3761" spans="1:24" x14ac:dyDescent="0.3">
      <c r="A3761" t="s">
        <v>3829</v>
      </c>
      <c r="B3761" t="s">
        <v>20</v>
      </c>
      <c r="C3761">
        <v>55</v>
      </c>
      <c r="D3761" t="s">
        <v>31</v>
      </c>
      <c r="E3761" t="s">
        <v>22</v>
      </c>
      <c r="F3761" t="s">
        <v>75</v>
      </c>
      <c r="G3761" t="s">
        <v>42</v>
      </c>
      <c r="H3761" t="s">
        <v>34</v>
      </c>
      <c r="I3761" t="s">
        <v>59</v>
      </c>
      <c r="J3761" t="s">
        <v>60</v>
      </c>
      <c r="K3761">
        <v>14</v>
      </c>
      <c r="L3761">
        <v>120416</v>
      </c>
      <c r="M3761" t="s">
        <v>45</v>
      </c>
      <c r="N3761">
        <v>3</v>
      </c>
      <c r="O3761">
        <v>3</v>
      </c>
      <c r="P3761">
        <v>69</v>
      </c>
      <c r="Q3761">
        <v>2</v>
      </c>
      <c r="R3761" s="1">
        <v>40171</v>
      </c>
      <c r="S3761" t="s">
        <v>29</v>
      </c>
      <c r="T3761" t="str">
        <f t="shared" si="290"/>
        <v>Grade A</v>
      </c>
      <c r="U3761">
        <f t="shared" si="291"/>
        <v>2</v>
      </c>
      <c r="V3761" t="str">
        <f t="shared" si="292"/>
        <v>Senior</v>
      </c>
      <c r="W3761" t="str">
        <f t="shared" si="293"/>
        <v>Medium Risk</v>
      </c>
      <c r="X3761" t="str">
        <f t="shared" si="294"/>
        <v>Fair</v>
      </c>
    </row>
    <row r="3762" spans="1:24" x14ac:dyDescent="0.3">
      <c r="A3762" t="s">
        <v>3830</v>
      </c>
      <c r="B3762" t="s">
        <v>20</v>
      </c>
      <c r="C3762">
        <v>30</v>
      </c>
      <c r="D3762" t="s">
        <v>88</v>
      </c>
      <c r="E3762" t="s">
        <v>22</v>
      </c>
      <c r="F3762" t="s">
        <v>78</v>
      </c>
      <c r="G3762" t="s">
        <v>63</v>
      </c>
      <c r="H3762" t="s">
        <v>67</v>
      </c>
      <c r="I3762" t="s">
        <v>72</v>
      </c>
      <c r="J3762" t="s">
        <v>73</v>
      </c>
      <c r="K3762">
        <v>6</v>
      </c>
      <c r="L3762">
        <v>61810</v>
      </c>
      <c r="M3762" t="s">
        <v>51</v>
      </c>
      <c r="N3762">
        <v>3</v>
      </c>
      <c r="O3762">
        <v>4</v>
      </c>
      <c r="P3762">
        <v>20</v>
      </c>
      <c r="Q3762">
        <v>1</v>
      </c>
      <c r="R3762" s="1">
        <v>42798</v>
      </c>
      <c r="S3762" t="s">
        <v>29</v>
      </c>
      <c r="T3762" t="str">
        <f t="shared" si="290"/>
        <v>Grade B</v>
      </c>
      <c r="U3762">
        <f t="shared" si="291"/>
        <v>4</v>
      </c>
      <c r="V3762" t="str">
        <f t="shared" si="292"/>
        <v>Mid Level</v>
      </c>
      <c r="W3762" t="str">
        <f t="shared" si="293"/>
        <v>Low Risk</v>
      </c>
      <c r="X3762" t="str">
        <f t="shared" si="294"/>
        <v>Fair</v>
      </c>
    </row>
    <row r="3763" spans="1:24" x14ac:dyDescent="0.3">
      <c r="A3763" t="s">
        <v>3831</v>
      </c>
      <c r="B3763" t="s">
        <v>39</v>
      </c>
      <c r="C3763">
        <v>47</v>
      </c>
      <c r="D3763" t="s">
        <v>88</v>
      </c>
      <c r="E3763" t="s">
        <v>48</v>
      </c>
      <c r="F3763" t="s">
        <v>53</v>
      </c>
      <c r="G3763" t="s">
        <v>33</v>
      </c>
      <c r="H3763" t="s">
        <v>67</v>
      </c>
      <c r="I3763" t="s">
        <v>50</v>
      </c>
      <c r="J3763" t="s">
        <v>44</v>
      </c>
      <c r="K3763">
        <v>13</v>
      </c>
      <c r="L3763">
        <v>89195</v>
      </c>
      <c r="M3763" t="s">
        <v>28</v>
      </c>
      <c r="N3763">
        <v>4</v>
      </c>
      <c r="O3763">
        <v>2</v>
      </c>
      <c r="P3763">
        <v>67</v>
      </c>
      <c r="Q3763">
        <v>3</v>
      </c>
      <c r="R3763" s="1">
        <v>40243</v>
      </c>
      <c r="S3763" t="s">
        <v>29</v>
      </c>
      <c r="T3763" t="str">
        <f t="shared" si="290"/>
        <v>Grade A</v>
      </c>
      <c r="U3763">
        <f t="shared" si="291"/>
        <v>3</v>
      </c>
      <c r="V3763" t="str">
        <f t="shared" si="292"/>
        <v>Senior</v>
      </c>
      <c r="W3763" t="str">
        <f t="shared" si="293"/>
        <v>Medium Risk</v>
      </c>
      <c r="X3763" t="str">
        <f t="shared" si="294"/>
        <v>Competitive</v>
      </c>
    </row>
    <row r="3764" spans="1:24" x14ac:dyDescent="0.3">
      <c r="A3764" t="s">
        <v>3832</v>
      </c>
      <c r="B3764" t="s">
        <v>39</v>
      </c>
      <c r="C3764">
        <v>52</v>
      </c>
      <c r="D3764" t="s">
        <v>31</v>
      </c>
      <c r="E3764" t="s">
        <v>22</v>
      </c>
      <c r="F3764" t="s">
        <v>78</v>
      </c>
      <c r="G3764" t="s">
        <v>63</v>
      </c>
      <c r="H3764" t="s">
        <v>76</v>
      </c>
      <c r="I3764" t="s">
        <v>35</v>
      </c>
      <c r="J3764" t="s">
        <v>27</v>
      </c>
      <c r="K3764">
        <v>10</v>
      </c>
      <c r="L3764">
        <v>64682</v>
      </c>
      <c r="M3764" t="s">
        <v>45</v>
      </c>
      <c r="N3764">
        <v>3</v>
      </c>
      <c r="O3764">
        <v>1</v>
      </c>
      <c r="P3764">
        <v>65</v>
      </c>
      <c r="Q3764">
        <v>0</v>
      </c>
      <c r="R3764" s="1">
        <v>41587</v>
      </c>
      <c r="S3764" t="s">
        <v>29</v>
      </c>
      <c r="T3764" t="str">
        <f t="shared" si="290"/>
        <v>Grade B</v>
      </c>
      <c r="U3764">
        <f t="shared" si="291"/>
        <v>2</v>
      </c>
      <c r="V3764" t="str">
        <f t="shared" si="292"/>
        <v>Mid Level</v>
      </c>
      <c r="W3764" t="str">
        <f t="shared" si="293"/>
        <v>Medium Risk</v>
      </c>
      <c r="X3764" t="str">
        <f t="shared" si="294"/>
        <v>Fair</v>
      </c>
    </row>
    <row r="3765" spans="1:24" x14ac:dyDescent="0.3">
      <c r="A3765" t="s">
        <v>3833</v>
      </c>
      <c r="B3765" t="s">
        <v>20</v>
      </c>
      <c r="C3765">
        <v>39</v>
      </c>
      <c r="D3765" t="s">
        <v>21</v>
      </c>
      <c r="E3765" t="s">
        <v>48</v>
      </c>
      <c r="F3765" t="s">
        <v>78</v>
      </c>
      <c r="G3765" t="s">
        <v>33</v>
      </c>
      <c r="H3765" t="s">
        <v>25</v>
      </c>
      <c r="I3765" t="s">
        <v>54</v>
      </c>
      <c r="J3765" t="s">
        <v>27</v>
      </c>
      <c r="K3765">
        <v>2</v>
      </c>
      <c r="L3765">
        <v>64356</v>
      </c>
      <c r="M3765" t="s">
        <v>51</v>
      </c>
      <c r="N3765">
        <v>1</v>
      </c>
      <c r="O3765">
        <v>2</v>
      </c>
      <c r="P3765">
        <v>25</v>
      </c>
      <c r="Q3765">
        <v>0</v>
      </c>
      <c r="R3765" s="1">
        <v>44451</v>
      </c>
      <c r="S3765" t="s">
        <v>29</v>
      </c>
      <c r="T3765" t="str">
        <f t="shared" si="290"/>
        <v>Grade B</v>
      </c>
      <c r="U3765">
        <f t="shared" si="291"/>
        <v>4</v>
      </c>
      <c r="V3765" t="str">
        <f t="shared" si="292"/>
        <v>New Joiner</v>
      </c>
      <c r="W3765" t="str">
        <f t="shared" si="293"/>
        <v>Low Risk</v>
      </c>
      <c r="X3765" t="str">
        <f t="shared" si="294"/>
        <v>Fair</v>
      </c>
    </row>
    <row r="3766" spans="1:24" x14ac:dyDescent="0.3">
      <c r="A3766" t="s">
        <v>3834</v>
      </c>
      <c r="B3766" t="s">
        <v>20</v>
      </c>
      <c r="C3766">
        <v>54</v>
      </c>
      <c r="D3766" t="s">
        <v>47</v>
      </c>
      <c r="E3766" t="s">
        <v>22</v>
      </c>
      <c r="F3766" t="s">
        <v>41</v>
      </c>
      <c r="G3766" t="s">
        <v>63</v>
      </c>
      <c r="H3766" t="s">
        <v>76</v>
      </c>
      <c r="I3766" t="s">
        <v>54</v>
      </c>
      <c r="J3766" t="s">
        <v>27</v>
      </c>
      <c r="K3766">
        <v>7</v>
      </c>
      <c r="L3766">
        <v>62752</v>
      </c>
      <c r="M3766" t="s">
        <v>28</v>
      </c>
      <c r="N3766">
        <v>2</v>
      </c>
      <c r="O3766">
        <v>2</v>
      </c>
      <c r="P3766">
        <v>58</v>
      </c>
      <c r="Q3766">
        <v>1</v>
      </c>
      <c r="R3766" s="1">
        <v>42654</v>
      </c>
      <c r="S3766" t="s">
        <v>29</v>
      </c>
      <c r="T3766" t="str">
        <f t="shared" si="290"/>
        <v>Grade B</v>
      </c>
      <c r="U3766">
        <f t="shared" si="291"/>
        <v>3</v>
      </c>
      <c r="V3766" t="str">
        <f t="shared" si="292"/>
        <v>Mid Level</v>
      </c>
      <c r="W3766" t="str">
        <f t="shared" si="293"/>
        <v>Medium Risk</v>
      </c>
      <c r="X3766" t="str">
        <f t="shared" si="294"/>
        <v>Competitive</v>
      </c>
    </row>
    <row r="3767" spans="1:24" x14ac:dyDescent="0.3">
      <c r="A3767" t="s">
        <v>3835</v>
      </c>
      <c r="B3767" t="s">
        <v>39</v>
      </c>
      <c r="C3767">
        <v>30</v>
      </c>
      <c r="D3767" t="s">
        <v>21</v>
      </c>
      <c r="E3767" t="s">
        <v>22</v>
      </c>
      <c r="F3767" t="s">
        <v>32</v>
      </c>
      <c r="G3767" t="s">
        <v>24</v>
      </c>
      <c r="H3767" t="s">
        <v>83</v>
      </c>
      <c r="I3767" t="s">
        <v>96</v>
      </c>
      <c r="J3767" t="s">
        <v>44</v>
      </c>
      <c r="K3767">
        <v>13</v>
      </c>
      <c r="L3767">
        <v>100980</v>
      </c>
      <c r="M3767" t="s">
        <v>36</v>
      </c>
      <c r="N3767">
        <v>4</v>
      </c>
      <c r="O3767">
        <v>4</v>
      </c>
      <c r="P3767">
        <v>67</v>
      </c>
      <c r="Q3767">
        <v>1</v>
      </c>
      <c r="R3767" s="1">
        <v>40250</v>
      </c>
      <c r="S3767" t="s">
        <v>37</v>
      </c>
      <c r="T3767" t="str">
        <f t="shared" si="290"/>
        <v>Grade A</v>
      </c>
      <c r="U3767">
        <f t="shared" si="291"/>
        <v>1</v>
      </c>
      <c r="V3767" t="str">
        <f t="shared" si="292"/>
        <v>Senior</v>
      </c>
      <c r="W3767" t="str">
        <f t="shared" si="293"/>
        <v>Already Left</v>
      </c>
      <c r="X3767" t="str">
        <f t="shared" si="294"/>
        <v>Overpaid</v>
      </c>
    </row>
    <row r="3768" spans="1:24" x14ac:dyDescent="0.3">
      <c r="A3768" t="s">
        <v>3836</v>
      </c>
      <c r="B3768" t="s">
        <v>39</v>
      </c>
      <c r="C3768">
        <v>32</v>
      </c>
      <c r="D3768" t="s">
        <v>88</v>
      </c>
      <c r="E3768" t="s">
        <v>40</v>
      </c>
      <c r="F3768" t="s">
        <v>78</v>
      </c>
      <c r="G3768" t="s">
        <v>79</v>
      </c>
      <c r="H3768" t="s">
        <v>83</v>
      </c>
      <c r="I3768" t="s">
        <v>43</v>
      </c>
      <c r="J3768" t="s">
        <v>44</v>
      </c>
      <c r="K3768">
        <v>7</v>
      </c>
      <c r="L3768">
        <v>53886</v>
      </c>
      <c r="M3768" t="s">
        <v>45</v>
      </c>
      <c r="N3768">
        <v>2</v>
      </c>
      <c r="O3768">
        <v>3</v>
      </c>
      <c r="P3768">
        <v>55</v>
      </c>
      <c r="Q3768">
        <v>2</v>
      </c>
      <c r="R3768" s="1">
        <v>42730</v>
      </c>
      <c r="S3768" t="s">
        <v>29</v>
      </c>
      <c r="T3768" t="str">
        <f t="shared" si="290"/>
        <v>Grade B</v>
      </c>
      <c r="U3768">
        <f t="shared" si="291"/>
        <v>2</v>
      </c>
      <c r="V3768" t="str">
        <f t="shared" si="292"/>
        <v>Mid Level</v>
      </c>
      <c r="W3768" t="str">
        <f t="shared" si="293"/>
        <v>Medium Risk</v>
      </c>
      <c r="X3768" t="str">
        <f t="shared" si="294"/>
        <v>Fair</v>
      </c>
    </row>
    <row r="3769" spans="1:24" x14ac:dyDescent="0.3">
      <c r="A3769" t="s">
        <v>3837</v>
      </c>
      <c r="B3769" t="s">
        <v>20</v>
      </c>
      <c r="C3769">
        <v>47</v>
      </c>
      <c r="D3769" t="s">
        <v>31</v>
      </c>
      <c r="E3769" t="s">
        <v>22</v>
      </c>
      <c r="F3769" t="s">
        <v>75</v>
      </c>
      <c r="G3769" t="s">
        <v>33</v>
      </c>
      <c r="H3769" t="s">
        <v>25</v>
      </c>
      <c r="I3769" t="s">
        <v>26</v>
      </c>
      <c r="J3769" t="s">
        <v>27</v>
      </c>
      <c r="K3769">
        <v>1</v>
      </c>
      <c r="L3769">
        <v>55522</v>
      </c>
      <c r="M3769" t="s">
        <v>36</v>
      </c>
      <c r="N3769">
        <v>3</v>
      </c>
      <c r="O3769">
        <v>2</v>
      </c>
      <c r="P3769">
        <v>16</v>
      </c>
      <c r="Q3769">
        <v>0</v>
      </c>
      <c r="R3769" s="1">
        <v>44927</v>
      </c>
      <c r="S3769" t="s">
        <v>37</v>
      </c>
      <c r="T3769" t="str">
        <f t="shared" si="290"/>
        <v>Grade B</v>
      </c>
      <c r="U3769">
        <f t="shared" si="291"/>
        <v>1</v>
      </c>
      <c r="V3769" t="str">
        <f t="shared" si="292"/>
        <v>New Joiner</v>
      </c>
      <c r="W3769" t="str">
        <f t="shared" si="293"/>
        <v>Already Left</v>
      </c>
      <c r="X3769" t="str">
        <f t="shared" si="294"/>
        <v>Fair</v>
      </c>
    </row>
    <row r="3770" spans="1:24" x14ac:dyDescent="0.3">
      <c r="A3770" t="s">
        <v>3838</v>
      </c>
      <c r="B3770" t="s">
        <v>39</v>
      </c>
      <c r="C3770">
        <v>31</v>
      </c>
      <c r="D3770" t="s">
        <v>47</v>
      </c>
      <c r="E3770" t="s">
        <v>40</v>
      </c>
      <c r="F3770" t="s">
        <v>65</v>
      </c>
      <c r="G3770" t="s">
        <v>63</v>
      </c>
      <c r="H3770" t="s">
        <v>25</v>
      </c>
      <c r="I3770" t="s">
        <v>80</v>
      </c>
      <c r="J3770" t="s">
        <v>60</v>
      </c>
      <c r="K3770">
        <v>12</v>
      </c>
      <c r="L3770">
        <v>76497</v>
      </c>
      <c r="M3770" t="s">
        <v>36</v>
      </c>
      <c r="N3770">
        <v>1</v>
      </c>
      <c r="O3770">
        <v>1</v>
      </c>
      <c r="P3770">
        <v>59</v>
      </c>
      <c r="Q3770">
        <v>2</v>
      </c>
      <c r="R3770" s="1">
        <v>40819</v>
      </c>
      <c r="S3770" t="s">
        <v>29</v>
      </c>
      <c r="T3770" t="str">
        <f t="shared" si="290"/>
        <v>Grade B</v>
      </c>
      <c r="U3770">
        <f t="shared" si="291"/>
        <v>1</v>
      </c>
      <c r="V3770" t="str">
        <f t="shared" si="292"/>
        <v>Senior</v>
      </c>
      <c r="W3770" t="str">
        <f t="shared" si="293"/>
        <v>Medium Risk</v>
      </c>
      <c r="X3770" t="str">
        <f t="shared" si="294"/>
        <v>Fair</v>
      </c>
    </row>
    <row r="3771" spans="1:24" x14ac:dyDescent="0.3">
      <c r="A3771" t="s">
        <v>3839</v>
      </c>
      <c r="B3771" t="s">
        <v>39</v>
      </c>
      <c r="C3771">
        <v>27</v>
      </c>
      <c r="D3771" t="s">
        <v>88</v>
      </c>
      <c r="E3771" t="s">
        <v>40</v>
      </c>
      <c r="F3771" t="s">
        <v>78</v>
      </c>
      <c r="G3771" t="s">
        <v>79</v>
      </c>
      <c r="H3771" t="s">
        <v>76</v>
      </c>
      <c r="I3771" t="s">
        <v>54</v>
      </c>
      <c r="J3771" t="s">
        <v>27</v>
      </c>
      <c r="K3771">
        <v>11</v>
      </c>
      <c r="L3771">
        <v>61728</v>
      </c>
      <c r="M3771" t="s">
        <v>45</v>
      </c>
      <c r="N3771">
        <v>1</v>
      </c>
      <c r="O3771">
        <v>2</v>
      </c>
      <c r="P3771">
        <v>46</v>
      </c>
      <c r="Q3771">
        <v>1</v>
      </c>
      <c r="R3771" s="1">
        <v>41208</v>
      </c>
      <c r="S3771" t="s">
        <v>29</v>
      </c>
      <c r="T3771" t="str">
        <f t="shared" si="290"/>
        <v>Grade B</v>
      </c>
      <c r="U3771">
        <f t="shared" si="291"/>
        <v>2</v>
      </c>
      <c r="V3771" t="str">
        <f t="shared" si="292"/>
        <v>Senior</v>
      </c>
      <c r="W3771" t="str">
        <f t="shared" si="293"/>
        <v>Medium Risk</v>
      </c>
      <c r="X3771" t="str">
        <f t="shared" si="294"/>
        <v>Fair</v>
      </c>
    </row>
    <row r="3772" spans="1:24" x14ac:dyDescent="0.3">
      <c r="A3772" t="s">
        <v>3840</v>
      </c>
      <c r="B3772" t="s">
        <v>20</v>
      </c>
      <c r="C3772">
        <v>48</v>
      </c>
      <c r="D3772" t="s">
        <v>88</v>
      </c>
      <c r="E3772" t="s">
        <v>48</v>
      </c>
      <c r="F3772" t="s">
        <v>75</v>
      </c>
      <c r="G3772" t="s">
        <v>24</v>
      </c>
      <c r="H3772" t="s">
        <v>34</v>
      </c>
      <c r="I3772" t="s">
        <v>50</v>
      </c>
      <c r="J3772" t="s">
        <v>44</v>
      </c>
      <c r="K3772">
        <v>14</v>
      </c>
      <c r="L3772">
        <v>95217</v>
      </c>
      <c r="M3772" t="s">
        <v>36</v>
      </c>
      <c r="N3772">
        <v>1</v>
      </c>
      <c r="O3772">
        <v>1</v>
      </c>
      <c r="P3772">
        <v>72</v>
      </c>
      <c r="Q3772">
        <v>3</v>
      </c>
      <c r="R3772" s="1">
        <v>40039</v>
      </c>
      <c r="S3772" t="s">
        <v>37</v>
      </c>
      <c r="T3772" t="str">
        <f t="shared" si="290"/>
        <v>Grade A</v>
      </c>
      <c r="U3772">
        <f t="shared" si="291"/>
        <v>1</v>
      </c>
      <c r="V3772" t="str">
        <f t="shared" si="292"/>
        <v>Senior</v>
      </c>
      <c r="W3772" t="str">
        <f t="shared" si="293"/>
        <v>Already Left</v>
      </c>
      <c r="X3772" t="str">
        <f t="shared" si="294"/>
        <v>Overpaid</v>
      </c>
    </row>
    <row r="3773" spans="1:24" x14ac:dyDescent="0.3">
      <c r="A3773" t="s">
        <v>3841</v>
      </c>
      <c r="B3773" t="s">
        <v>20</v>
      </c>
      <c r="C3773">
        <v>43</v>
      </c>
      <c r="D3773" t="s">
        <v>88</v>
      </c>
      <c r="E3773" t="s">
        <v>22</v>
      </c>
      <c r="F3773" t="s">
        <v>41</v>
      </c>
      <c r="G3773" t="s">
        <v>79</v>
      </c>
      <c r="H3773" t="s">
        <v>83</v>
      </c>
      <c r="I3773" t="s">
        <v>68</v>
      </c>
      <c r="J3773" t="s">
        <v>60</v>
      </c>
      <c r="K3773">
        <v>8</v>
      </c>
      <c r="L3773">
        <v>50811</v>
      </c>
      <c r="M3773" t="s">
        <v>36</v>
      </c>
      <c r="N3773">
        <v>4</v>
      </c>
      <c r="O3773">
        <v>3</v>
      </c>
      <c r="P3773">
        <v>79</v>
      </c>
      <c r="Q3773">
        <v>0</v>
      </c>
      <c r="R3773" s="1">
        <v>42237</v>
      </c>
      <c r="S3773" t="s">
        <v>37</v>
      </c>
      <c r="T3773" t="str">
        <f t="shared" si="290"/>
        <v>Grade B</v>
      </c>
      <c r="U3773">
        <f t="shared" si="291"/>
        <v>1</v>
      </c>
      <c r="V3773" t="str">
        <f t="shared" si="292"/>
        <v>Mid Level</v>
      </c>
      <c r="W3773" t="str">
        <f t="shared" si="293"/>
        <v>Already Left</v>
      </c>
      <c r="X3773" t="str">
        <f t="shared" si="294"/>
        <v>Fair</v>
      </c>
    </row>
    <row r="3774" spans="1:24" x14ac:dyDescent="0.3">
      <c r="A3774" t="s">
        <v>3842</v>
      </c>
      <c r="B3774" t="s">
        <v>39</v>
      </c>
      <c r="C3774">
        <v>32</v>
      </c>
      <c r="D3774" t="s">
        <v>47</v>
      </c>
      <c r="E3774" t="s">
        <v>22</v>
      </c>
      <c r="F3774" t="s">
        <v>75</v>
      </c>
      <c r="G3774" t="s">
        <v>79</v>
      </c>
      <c r="H3774" t="s">
        <v>76</v>
      </c>
      <c r="I3774" t="s">
        <v>26</v>
      </c>
      <c r="J3774" t="s">
        <v>27</v>
      </c>
      <c r="K3774">
        <v>9</v>
      </c>
      <c r="L3774">
        <v>55361</v>
      </c>
      <c r="M3774" t="s">
        <v>45</v>
      </c>
      <c r="N3774">
        <v>4</v>
      </c>
      <c r="O3774">
        <v>1</v>
      </c>
      <c r="P3774">
        <v>13</v>
      </c>
      <c r="Q3774">
        <v>1</v>
      </c>
      <c r="R3774" s="1">
        <v>41799</v>
      </c>
      <c r="S3774" t="s">
        <v>29</v>
      </c>
      <c r="T3774" t="str">
        <f t="shared" si="290"/>
        <v>Grade B</v>
      </c>
      <c r="U3774">
        <f t="shared" si="291"/>
        <v>2</v>
      </c>
      <c r="V3774" t="str">
        <f t="shared" si="292"/>
        <v>Mid Level</v>
      </c>
      <c r="W3774" t="str">
        <f t="shared" si="293"/>
        <v>Medium Risk</v>
      </c>
      <c r="X3774" t="str">
        <f t="shared" si="294"/>
        <v>Fair</v>
      </c>
    </row>
    <row r="3775" spans="1:24" x14ac:dyDescent="0.3">
      <c r="A3775" t="s">
        <v>3843</v>
      </c>
      <c r="B3775" t="s">
        <v>20</v>
      </c>
      <c r="C3775">
        <v>53</v>
      </c>
      <c r="D3775" t="s">
        <v>88</v>
      </c>
      <c r="E3775" t="s">
        <v>22</v>
      </c>
      <c r="F3775" t="s">
        <v>32</v>
      </c>
      <c r="G3775" t="s">
        <v>63</v>
      </c>
      <c r="H3775" t="s">
        <v>83</v>
      </c>
      <c r="I3775" t="s">
        <v>26</v>
      </c>
      <c r="J3775" t="s">
        <v>27</v>
      </c>
      <c r="K3775">
        <v>1</v>
      </c>
      <c r="L3775">
        <v>44740</v>
      </c>
      <c r="M3775" t="s">
        <v>45</v>
      </c>
      <c r="N3775">
        <v>3</v>
      </c>
      <c r="O3775">
        <v>1</v>
      </c>
      <c r="P3775">
        <v>44</v>
      </c>
      <c r="Q3775">
        <v>3</v>
      </c>
      <c r="R3775" s="1">
        <v>44634</v>
      </c>
      <c r="S3775" t="s">
        <v>29</v>
      </c>
      <c r="T3775" t="str">
        <f t="shared" si="290"/>
        <v>Grade C</v>
      </c>
      <c r="U3775">
        <f t="shared" si="291"/>
        <v>2</v>
      </c>
      <c r="V3775" t="str">
        <f t="shared" si="292"/>
        <v>New Joiner</v>
      </c>
      <c r="W3775" t="str">
        <f t="shared" si="293"/>
        <v>Medium Risk</v>
      </c>
      <c r="X3775" t="str">
        <f t="shared" si="294"/>
        <v>Fair</v>
      </c>
    </row>
    <row r="3776" spans="1:24" x14ac:dyDescent="0.3">
      <c r="A3776" t="s">
        <v>3844</v>
      </c>
      <c r="B3776" t="s">
        <v>39</v>
      </c>
      <c r="C3776">
        <v>41</v>
      </c>
      <c r="D3776" t="s">
        <v>31</v>
      </c>
      <c r="E3776" t="s">
        <v>48</v>
      </c>
      <c r="F3776" t="s">
        <v>53</v>
      </c>
      <c r="G3776" t="s">
        <v>58</v>
      </c>
      <c r="H3776" t="s">
        <v>25</v>
      </c>
      <c r="I3776" t="s">
        <v>50</v>
      </c>
      <c r="J3776" t="s">
        <v>44</v>
      </c>
      <c r="K3776">
        <v>5</v>
      </c>
      <c r="L3776">
        <v>100349</v>
      </c>
      <c r="M3776" t="s">
        <v>36</v>
      </c>
      <c r="N3776">
        <v>1</v>
      </c>
      <c r="O3776">
        <v>4</v>
      </c>
      <c r="P3776">
        <v>57</v>
      </c>
      <c r="Q3776">
        <v>3</v>
      </c>
      <c r="R3776" s="1">
        <v>43313</v>
      </c>
      <c r="S3776" t="s">
        <v>29</v>
      </c>
      <c r="T3776" t="str">
        <f t="shared" si="290"/>
        <v>Grade A</v>
      </c>
      <c r="U3776">
        <f t="shared" si="291"/>
        <v>1</v>
      </c>
      <c r="V3776" t="str">
        <f t="shared" si="292"/>
        <v>Junior</v>
      </c>
      <c r="W3776" t="str">
        <f t="shared" si="293"/>
        <v>Medium Risk</v>
      </c>
      <c r="X3776" t="str">
        <f t="shared" si="294"/>
        <v>Overpaid</v>
      </c>
    </row>
    <row r="3777" spans="1:24" x14ac:dyDescent="0.3">
      <c r="A3777" t="s">
        <v>3845</v>
      </c>
      <c r="B3777" t="s">
        <v>39</v>
      </c>
      <c r="C3777">
        <v>45</v>
      </c>
      <c r="D3777" t="s">
        <v>21</v>
      </c>
      <c r="E3777" t="s">
        <v>22</v>
      </c>
      <c r="F3777" t="s">
        <v>75</v>
      </c>
      <c r="G3777" t="s">
        <v>79</v>
      </c>
      <c r="H3777" t="s">
        <v>83</v>
      </c>
      <c r="I3777" t="s">
        <v>43</v>
      </c>
      <c r="J3777" t="s">
        <v>44</v>
      </c>
      <c r="K3777">
        <v>3</v>
      </c>
      <c r="L3777">
        <v>43291</v>
      </c>
      <c r="M3777" t="s">
        <v>36</v>
      </c>
      <c r="N3777">
        <v>4</v>
      </c>
      <c r="O3777">
        <v>4</v>
      </c>
      <c r="P3777">
        <v>20</v>
      </c>
      <c r="Q3777">
        <v>0</v>
      </c>
      <c r="R3777" s="1">
        <v>43899</v>
      </c>
      <c r="S3777" t="s">
        <v>37</v>
      </c>
      <c r="T3777" t="str">
        <f t="shared" si="290"/>
        <v>Grade C</v>
      </c>
      <c r="U3777">
        <f t="shared" si="291"/>
        <v>1</v>
      </c>
      <c r="V3777" t="str">
        <f t="shared" si="292"/>
        <v>Junior</v>
      </c>
      <c r="W3777" t="str">
        <f t="shared" si="293"/>
        <v>Already Left</v>
      </c>
      <c r="X3777" t="str">
        <f t="shared" si="294"/>
        <v>Fair</v>
      </c>
    </row>
    <row r="3778" spans="1:24" x14ac:dyDescent="0.3">
      <c r="A3778" t="s">
        <v>3846</v>
      </c>
      <c r="B3778" t="s">
        <v>20</v>
      </c>
      <c r="C3778">
        <v>24</v>
      </c>
      <c r="D3778" t="s">
        <v>31</v>
      </c>
      <c r="E3778" t="s">
        <v>40</v>
      </c>
      <c r="F3778" t="s">
        <v>53</v>
      </c>
      <c r="G3778" t="s">
        <v>58</v>
      </c>
      <c r="H3778" t="s">
        <v>83</v>
      </c>
      <c r="I3778" t="s">
        <v>59</v>
      </c>
      <c r="J3778" t="s">
        <v>60</v>
      </c>
      <c r="K3778">
        <v>6</v>
      </c>
      <c r="L3778">
        <v>105226</v>
      </c>
      <c r="M3778" t="s">
        <v>36</v>
      </c>
      <c r="N3778">
        <v>1</v>
      </c>
      <c r="O3778">
        <v>1</v>
      </c>
      <c r="P3778">
        <v>38</v>
      </c>
      <c r="Q3778">
        <v>1</v>
      </c>
      <c r="R3778" s="1">
        <v>42909</v>
      </c>
      <c r="S3778" t="s">
        <v>37</v>
      </c>
      <c r="T3778" t="str">
        <f t="shared" ref="T3778:T3841" si="295">IF(L3778&gt;=80000,"Grade A",IF(L3778&gt;=50000,"Grade B",IF(L3778&gt;=35000,"Grade C","Grade D")))</f>
        <v>Grade A</v>
      </c>
      <c r="U3778">
        <f t="shared" ref="U3778:U3841" si="296">IF(M3778="Excellent",4,IF(M3778="Good",3,IF(M3778="Average",2,1)))</f>
        <v>1</v>
      </c>
      <c r="V3778" t="str">
        <f t="shared" ref="V3778:V3841" si="297">IF(K3778&lt;=2,"New Joiner",IF(K3778&lt;=5,"Junior",IF(K3778&lt;=10,"Mid Level","Senior")))</f>
        <v>Mid Level</v>
      </c>
      <c r="W3778" t="str">
        <f t="shared" ref="W3778:W3841" si="298">IF(S3778="Yes","Already Left",IF(AND(K3778&lt;=2,M3778="Poor"),"High Risk",IF(AND(K3778&lt;=5,M3778="Average"),"Medium Risk",IF(M3778="Excellent","Low Risk","Medium Risk"))))</f>
        <v>Already Left</v>
      </c>
      <c r="X3778" t="str">
        <f t="shared" ref="X3778:X3841" si="299">IF(AND(L3778&gt;=80000,M3778="Excellent"),"Competitive",IF(AND(L3778&gt;=50000,M3778="Good"),"Competitive",IF(AND(L3778&lt;35000,M3778="Excellent"),"Underpaid",IF(AND(L3778&gt;=80000,M3778="Poor"),"Overpaid","Fair"))))</f>
        <v>Overpaid</v>
      </c>
    </row>
    <row r="3779" spans="1:24" x14ac:dyDescent="0.3">
      <c r="A3779" t="s">
        <v>3847</v>
      </c>
      <c r="B3779" t="s">
        <v>39</v>
      </c>
      <c r="C3779">
        <v>37</v>
      </c>
      <c r="D3779" t="s">
        <v>21</v>
      </c>
      <c r="E3779" t="s">
        <v>48</v>
      </c>
      <c r="F3779" t="s">
        <v>23</v>
      </c>
      <c r="G3779" t="s">
        <v>79</v>
      </c>
      <c r="H3779" t="s">
        <v>25</v>
      </c>
      <c r="I3779" t="s">
        <v>50</v>
      </c>
      <c r="J3779" t="s">
        <v>44</v>
      </c>
      <c r="K3779">
        <v>11</v>
      </c>
      <c r="L3779">
        <v>64932</v>
      </c>
      <c r="M3779" t="s">
        <v>45</v>
      </c>
      <c r="N3779">
        <v>2</v>
      </c>
      <c r="O3779">
        <v>1</v>
      </c>
      <c r="P3779">
        <v>21</v>
      </c>
      <c r="Q3779">
        <v>2</v>
      </c>
      <c r="R3779" s="1">
        <v>41182</v>
      </c>
      <c r="S3779" t="s">
        <v>29</v>
      </c>
      <c r="T3779" t="str">
        <f t="shared" si="295"/>
        <v>Grade B</v>
      </c>
      <c r="U3779">
        <f t="shared" si="296"/>
        <v>2</v>
      </c>
      <c r="V3779" t="str">
        <f t="shared" si="297"/>
        <v>Senior</v>
      </c>
      <c r="W3779" t="str">
        <f t="shared" si="298"/>
        <v>Medium Risk</v>
      </c>
      <c r="X3779" t="str">
        <f t="shared" si="299"/>
        <v>Fair</v>
      </c>
    </row>
    <row r="3780" spans="1:24" x14ac:dyDescent="0.3">
      <c r="A3780" t="s">
        <v>3848</v>
      </c>
      <c r="B3780" t="s">
        <v>20</v>
      </c>
      <c r="C3780">
        <v>47</v>
      </c>
      <c r="D3780" t="s">
        <v>31</v>
      </c>
      <c r="E3780" t="s">
        <v>48</v>
      </c>
      <c r="F3780" t="s">
        <v>23</v>
      </c>
      <c r="G3780" t="s">
        <v>49</v>
      </c>
      <c r="H3780" t="s">
        <v>25</v>
      </c>
      <c r="I3780" t="s">
        <v>54</v>
      </c>
      <c r="J3780" t="s">
        <v>27</v>
      </c>
      <c r="K3780">
        <v>8</v>
      </c>
      <c r="L3780">
        <v>59639</v>
      </c>
      <c r="M3780" t="s">
        <v>28</v>
      </c>
      <c r="N3780">
        <v>4</v>
      </c>
      <c r="O3780">
        <v>2</v>
      </c>
      <c r="P3780">
        <v>33</v>
      </c>
      <c r="Q3780">
        <v>2</v>
      </c>
      <c r="R3780" s="1">
        <v>42091</v>
      </c>
      <c r="S3780" t="s">
        <v>37</v>
      </c>
      <c r="T3780" t="str">
        <f t="shared" si="295"/>
        <v>Grade B</v>
      </c>
      <c r="U3780">
        <f t="shared" si="296"/>
        <v>3</v>
      </c>
      <c r="V3780" t="str">
        <f t="shared" si="297"/>
        <v>Mid Level</v>
      </c>
      <c r="W3780" t="str">
        <f t="shared" si="298"/>
        <v>Already Left</v>
      </c>
      <c r="X3780" t="str">
        <f t="shared" si="299"/>
        <v>Competitive</v>
      </c>
    </row>
    <row r="3781" spans="1:24" x14ac:dyDescent="0.3">
      <c r="A3781" t="s">
        <v>3849</v>
      </c>
      <c r="B3781" t="s">
        <v>39</v>
      </c>
      <c r="C3781">
        <v>25</v>
      </c>
      <c r="D3781" t="s">
        <v>21</v>
      </c>
      <c r="E3781" t="s">
        <v>40</v>
      </c>
      <c r="F3781" t="s">
        <v>53</v>
      </c>
      <c r="G3781" t="s">
        <v>66</v>
      </c>
      <c r="H3781" t="s">
        <v>34</v>
      </c>
      <c r="I3781" t="s">
        <v>26</v>
      </c>
      <c r="J3781" t="s">
        <v>27</v>
      </c>
      <c r="K3781">
        <v>15</v>
      </c>
      <c r="L3781">
        <v>55775</v>
      </c>
      <c r="M3781" t="s">
        <v>36</v>
      </c>
      <c r="N3781">
        <v>3</v>
      </c>
      <c r="O3781">
        <v>2</v>
      </c>
      <c r="P3781">
        <v>30</v>
      </c>
      <c r="Q3781">
        <v>1</v>
      </c>
      <c r="R3781" s="1">
        <v>39658</v>
      </c>
      <c r="S3781" t="s">
        <v>29</v>
      </c>
      <c r="T3781" t="str">
        <f t="shared" si="295"/>
        <v>Grade B</v>
      </c>
      <c r="U3781">
        <f t="shared" si="296"/>
        <v>1</v>
      </c>
      <c r="V3781" t="str">
        <f t="shared" si="297"/>
        <v>Senior</v>
      </c>
      <c r="W3781" t="str">
        <f t="shared" si="298"/>
        <v>Medium Risk</v>
      </c>
      <c r="X3781" t="str">
        <f t="shared" si="299"/>
        <v>Fair</v>
      </c>
    </row>
    <row r="3782" spans="1:24" x14ac:dyDescent="0.3">
      <c r="A3782" t="s">
        <v>3850</v>
      </c>
      <c r="B3782" t="s">
        <v>39</v>
      </c>
      <c r="C3782">
        <v>44</v>
      </c>
      <c r="D3782" t="s">
        <v>88</v>
      </c>
      <c r="E3782" t="s">
        <v>40</v>
      </c>
      <c r="F3782" t="s">
        <v>53</v>
      </c>
      <c r="G3782" t="s">
        <v>42</v>
      </c>
      <c r="H3782" t="s">
        <v>25</v>
      </c>
      <c r="I3782" t="s">
        <v>80</v>
      </c>
      <c r="J3782" t="s">
        <v>60</v>
      </c>
      <c r="K3782">
        <v>13</v>
      </c>
      <c r="L3782">
        <v>111897</v>
      </c>
      <c r="M3782" t="s">
        <v>45</v>
      </c>
      <c r="N3782">
        <v>2</v>
      </c>
      <c r="O3782">
        <v>2</v>
      </c>
      <c r="P3782">
        <v>27</v>
      </c>
      <c r="Q3782">
        <v>0</v>
      </c>
      <c r="R3782" s="1">
        <v>40326</v>
      </c>
      <c r="S3782" t="s">
        <v>29</v>
      </c>
      <c r="T3782" t="str">
        <f t="shared" si="295"/>
        <v>Grade A</v>
      </c>
      <c r="U3782">
        <f t="shared" si="296"/>
        <v>2</v>
      </c>
      <c r="V3782" t="str">
        <f t="shared" si="297"/>
        <v>Senior</v>
      </c>
      <c r="W3782" t="str">
        <f t="shared" si="298"/>
        <v>Medium Risk</v>
      </c>
      <c r="X3782" t="str">
        <f t="shared" si="299"/>
        <v>Fair</v>
      </c>
    </row>
    <row r="3783" spans="1:24" x14ac:dyDescent="0.3">
      <c r="A3783" t="s">
        <v>3851</v>
      </c>
      <c r="B3783" t="s">
        <v>39</v>
      </c>
      <c r="C3783">
        <v>44</v>
      </c>
      <c r="D3783" t="s">
        <v>31</v>
      </c>
      <c r="E3783" t="s">
        <v>40</v>
      </c>
      <c r="F3783" t="s">
        <v>78</v>
      </c>
      <c r="G3783" t="s">
        <v>63</v>
      </c>
      <c r="H3783" t="s">
        <v>76</v>
      </c>
      <c r="I3783" t="s">
        <v>54</v>
      </c>
      <c r="J3783" t="s">
        <v>27</v>
      </c>
      <c r="K3783">
        <v>14</v>
      </c>
      <c r="L3783">
        <v>65158</v>
      </c>
      <c r="M3783" t="s">
        <v>45</v>
      </c>
      <c r="N3783">
        <v>1</v>
      </c>
      <c r="O3783">
        <v>3</v>
      </c>
      <c r="P3783">
        <v>38</v>
      </c>
      <c r="Q3783">
        <v>1</v>
      </c>
      <c r="R3783" s="1">
        <v>40086</v>
      </c>
      <c r="S3783" t="s">
        <v>29</v>
      </c>
      <c r="T3783" t="str">
        <f t="shared" si="295"/>
        <v>Grade B</v>
      </c>
      <c r="U3783">
        <f t="shared" si="296"/>
        <v>2</v>
      </c>
      <c r="V3783" t="str">
        <f t="shared" si="297"/>
        <v>Senior</v>
      </c>
      <c r="W3783" t="str">
        <f t="shared" si="298"/>
        <v>Medium Risk</v>
      </c>
      <c r="X3783" t="str">
        <f t="shared" si="299"/>
        <v>Fair</v>
      </c>
    </row>
    <row r="3784" spans="1:24" x14ac:dyDescent="0.3">
      <c r="A3784" t="s">
        <v>3852</v>
      </c>
      <c r="B3784" t="s">
        <v>39</v>
      </c>
      <c r="C3784">
        <v>54</v>
      </c>
      <c r="D3784" t="s">
        <v>47</v>
      </c>
      <c r="E3784" t="s">
        <v>22</v>
      </c>
      <c r="F3784" t="s">
        <v>41</v>
      </c>
      <c r="G3784" t="s">
        <v>66</v>
      </c>
      <c r="H3784" t="s">
        <v>76</v>
      </c>
      <c r="I3784" t="s">
        <v>26</v>
      </c>
      <c r="J3784" t="s">
        <v>27</v>
      </c>
      <c r="K3784">
        <v>5</v>
      </c>
      <c r="L3784">
        <v>47368</v>
      </c>
      <c r="M3784" t="s">
        <v>28</v>
      </c>
      <c r="N3784">
        <v>1</v>
      </c>
      <c r="O3784">
        <v>4</v>
      </c>
      <c r="P3784">
        <v>24</v>
      </c>
      <c r="Q3784">
        <v>3</v>
      </c>
      <c r="R3784" s="1">
        <v>43291</v>
      </c>
      <c r="S3784" t="s">
        <v>37</v>
      </c>
      <c r="T3784" t="str">
        <f t="shared" si="295"/>
        <v>Grade C</v>
      </c>
      <c r="U3784">
        <f t="shared" si="296"/>
        <v>3</v>
      </c>
      <c r="V3784" t="str">
        <f t="shared" si="297"/>
        <v>Junior</v>
      </c>
      <c r="W3784" t="str">
        <f t="shared" si="298"/>
        <v>Already Left</v>
      </c>
      <c r="X3784" t="str">
        <f t="shared" si="299"/>
        <v>Fair</v>
      </c>
    </row>
    <row r="3785" spans="1:24" x14ac:dyDescent="0.3">
      <c r="A3785" t="s">
        <v>3853</v>
      </c>
      <c r="B3785" t="s">
        <v>20</v>
      </c>
      <c r="C3785">
        <v>50</v>
      </c>
      <c r="D3785" t="s">
        <v>47</v>
      </c>
      <c r="E3785" t="s">
        <v>22</v>
      </c>
      <c r="F3785" t="s">
        <v>23</v>
      </c>
      <c r="G3785" t="s">
        <v>79</v>
      </c>
      <c r="H3785" t="s">
        <v>34</v>
      </c>
      <c r="I3785" t="s">
        <v>35</v>
      </c>
      <c r="J3785" t="s">
        <v>27</v>
      </c>
      <c r="K3785">
        <v>15</v>
      </c>
      <c r="L3785">
        <v>66544</v>
      </c>
      <c r="M3785" t="s">
        <v>36</v>
      </c>
      <c r="N3785">
        <v>3</v>
      </c>
      <c r="O3785">
        <v>2</v>
      </c>
      <c r="P3785">
        <v>17</v>
      </c>
      <c r="Q3785">
        <v>2</v>
      </c>
      <c r="R3785" s="1">
        <v>39552</v>
      </c>
      <c r="S3785" t="s">
        <v>37</v>
      </c>
      <c r="T3785" t="str">
        <f t="shared" si="295"/>
        <v>Grade B</v>
      </c>
      <c r="U3785">
        <f t="shared" si="296"/>
        <v>1</v>
      </c>
      <c r="V3785" t="str">
        <f t="shared" si="297"/>
        <v>Senior</v>
      </c>
      <c r="W3785" t="str">
        <f t="shared" si="298"/>
        <v>Already Left</v>
      </c>
      <c r="X3785" t="str">
        <f t="shared" si="299"/>
        <v>Fair</v>
      </c>
    </row>
    <row r="3786" spans="1:24" x14ac:dyDescent="0.3">
      <c r="A3786" t="s">
        <v>3854</v>
      </c>
      <c r="B3786" t="s">
        <v>39</v>
      </c>
      <c r="C3786">
        <v>53</v>
      </c>
      <c r="D3786" t="s">
        <v>47</v>
      </c>
      <c r="E3786" t="s">
        <v>48</v>
      </c>
      <c r="F3786" t="s">
        <v>23</v>
      </c>
      <c r="G3786" t="s">
        <v>66</v>
      </c>
      <c r="H3786" t="s">
        <v>67</v>
      </c>
      <c r="I3786" t="s">
        <v>96</v>
      </c>
      <c r="J3786" t="s">
        <v>44</v>
      </c>
      <c r="K3786">
        <v>6</v>
      </c>
      <c r="L3786">
        <v>56020</v>
      </c>
      <c r="M3786" t="s">
        <v>36</v>
      </c>
      <c r="N3786">
        <v>2</v>
      </c>
      <c r="O3786">
        <v>1</v>
      </c>
      <c r="P3786">
        <v>43</v>
      </c>
      <c r="Q3786">
        <v>3</v>
      </c>
      <c r="R3786" s="1">
        <v>42858</v>
      </c>
      <c r="S3786" t="s">
        <v>37</v>
      </c>
      <c r="T3786" t="str">
        <f t="shared" si="295"/>
        <v>Grade B</v>
      </c>
      <c r="U3786">
        <f t="shared" si="296"/>
        <v>1</v>
      </c>
      <c r="V3786" t="str">
        <f t="shared" si="297"/>
        <v>Mid Level</v>
      </c>
      <c r="W3786" t="str">
        <f t="shared" si="298"/>
        <v>Already Left</v>
      </c>
      <c r="X3786" t="str">
        <f t="shared" si="299"/>
        <v>Fair</v>
      </c>
    </row>
    <row r="3787" spans="1:24" x14ac:dyDescent="0.3">
      <c r="A3787" t="s">
        <v>3855</v>
      </c>
      <c r="B3787" t="s">
        <v>20</v>
      </c>
      <c r="C3787">
        <v>26</v>
      </c>
      <c r="D3787" t="s">
        <v>57</v>
      </c>
      <c r="E3787" t="s">
        <v>48</v>
      </c>
      <c r="F3787" t="s">
        <v>41</v>
      </c>
      <c r="G3787" t="s">
        <v>79</v>
      </c>
      <c r="H3787" t="s">
        <v>83</v>
      </c>
      <c r="I3787" t="s">
        <v>54</v>
      </c>
      <c r="J3787" t="s">
        <v>27</v>
      </c>
      <c r="K3787">
        <v>3</v>
      </c>
      <c r="L3787">
        <v>43468</v>
      </c>
      <c r="M3787" t="s">
        <v>36</v>
      </c>
      <c r="N3787">
        <v>1</v>
      </c>
      <c r="O3787">
        <v>4</v>
      </c>
      <c r="P3787">
        <v>70</v>
      </c>
      <c r="Q3787">
        <v>1</v>
      </c>
      <c r="R3787" s="1">
        <v>44105</v>
      </c>
      <c r="S3787" t="s">
        <v>37</v>
      </c>
      <c r="T3787" t="str">
        <f t="shared" si="295"/>
        <v>Grade C</v>
      </c>
      <c r="U3787">
        <f t="shared" si="296"/>
        <v>1</v>
      </c>
      <c r="V3787" t="str">
        <f t="shared" si="297"/>
        <v>Junior</v>
      </c>
      <c r="W3787" t="str">
        <f t="shared" si="298"/>
        <v>Already Left</v>
      </c>
      <c r="X3787" t="str">
        <f t="shared" si="299"/>
        <v>Fair</v>
      </c>
    </row>
    <row r="3788" spans="1:24" x14ac:dyDescent="0.3">
      <c r="A3788" t="s">
        <v>3856</v>
      </c>
      <c r="B3788" t="s">
        <v>20</v>
      </c>
      <c r="C3788">
        <v>32</v>
      </c>
      <c r="D3788" t="s">
        <v>21</v>
      </c>
      <c r="E3788" t="s">
        <v>22</v>
      </c>
      <c r="F3788" t="s">
        <v>23</v>
      </c>
      <c r="G3788" t="s">
        <v>42</v>
      </c>
      <c r="H3788" t="s">
        <v>67</v>
      </c>
      <c r="I3788" t="s">
        <v>96</v>
      </c>
      <c r="J3788" t="s">
        <v>44</v>
      </c>
      <c r="K3788">
        <v>12</v>
      </c>
      <c r="L3788">
        <v>111597</v>
      </c>
      <c r="M3788" t="s">
        <v>28</v>
      </c>
      <c r="N3788">
        <v>2</v>
      </c>
      <c r="O3788">
        <v>1</v>
      </c>
      <c r="P3788">
        <v>80</v>
      </c>
      <c r="Q3788">
        <v>1</v>
      </c>
      <c r="R3788" s="1">
        <v>40828</v>
      </c>
      <c r="S3788" t="s">
        <v>37</v>
      </c>
      <c r="T3788" t="str">
        <f t="shared" si="295"/>
        <v>Grade A</v>
      </c>
      <c r="U3788">
        <f t="shared" si="296"/>
        <v>3</v>
      </c>
      <c r="V3788" t="str">
        <f t="shared" si="297"/>
        <v>Senior</v>
      </c>
      <c r="W3788" t="str">
        <f t="shared" si="298"/>
        <v>Already Left</v>
      </c>
      <c r="X3788" t="str">
        <f t="shared" si="299"/>
        <v>Competitive</v>
      </c>
    </row>
    <row r="3789" spans="1:24" x14ac:dyDescent="0.3">
      <c r="A3789" t="s">
        <v>3857</v>
      </c>
      <c r="B3789" t="s">
        <v>20</v>
      </c>
      <c r="C3789">
        <v>26</v>
      </c>
      <c r="D3789" t="s">
        <v>31</v>
      </c>
      <c r="E3789" t="s">
        <v>22</v>
      </c>
      <c r="F3789" t="s">
        <v>23</v>
      </c>
      <c r="G3789" t="s">
        <v>49</v>
      </c>
      <c r="H3789" t="s">
        <v>34</v>
      </c>
      <c r="I3789" t="s">
        <v>68</v>
      </c>
      <c r="J3789" t="s">
        <v>60</v>
      </c>
      <c r="K3789">
        <v>5</v>
      </c>
      <c r="L3789">
        <v>54001</v>
      </c>
      <c r="M3789" t="s">
        <v>51</v>
      </c>
      <c r="N3789">
        <v>1</v>
      </c>
      <c r="O3789">
        <v>1</v>
      </c>
      <c r="P3789">
        <v>76</v>
      </c>
      <c r="Q3789">
        <v>1</v>
      </c>
      <c r="R3789" s="1">
        <v>43346</v>
      </c>
      <c r="S3789" t="s">
        <v>29</v>
      </c>
      <c r="T3789" t="str">
        <f t="shared" si="295"/>
        <v>Grade B</v>
      </c>
      <c r="U3789">
        <f t="shared" si="296"/>
        <v>4</v>
      </c>
      <c r="V3789" t="str">
        <f t="shared" si="297"/>
        <v>Junior</v>
      </c>
      <c r="W3789" t="str">
        <f t="shared" si="298"/>
        <v>Low Risk</v>
      </c>
      <c r="X3789" t="str">
        <f t="shared" si="299"/>
        <v>Fair</v>
      </c>
    </row>
    <row r="3790" spans="1:24" x14ac:dyDescent="0.3">
      <c r="A3790" t="s">
        <v>3858</v>
      </c>
      <c r="B3790" t="s">
        <v>20</v>
      </c>
      <c r="C3790">
        <v>33</v>
      </c>
      <c r="D3790" t="s">
        <v>88</v>
      </c>
      <c r="E3790" t="s">
        <v>48</v>
      </c>
      <c r="F3790" t="s">
        <v>23</v>
      </c>
      <c r="G3790" t="s">
        <v>49</v>
      </c>
      <c r="H3790" t="s">
        <v>76</v>
      </c>
      <c r="I3790" t="s">
        <v>59</v>
      </c>
      <c r="J3790" t="s">
        <v>60</v>
      </c>
      <c r="K3790">
        <v>2</v>
      </c>
      <c r="L3790">
        <v>63271</v>
      </c>
      <c r="M3790" t="s">
        <v>28</v>
      </c>
      <c r="N3790">
        <v>4</v>
      </c>
      <c r="O3790">
        <v>1</v>
      </c>
      <c r="P3790">
        <v>36</v>
      </c>
      <c r="Q3790">
        <v>0</v>
      </c>
      <c r="R3790" s="1">
        <v>44489</v>
      </c>
      <c r="S3790" t="s">
        <v>29</v>
      </c>
      <c r="T3790" t="str">
        <f t="shared" si="295"/>
        <v>Grade B</v>
      </c>
      <c r="U3790">
        <f t="shared" si="296"/>
        <v>3</v>
      </c>
      <c r="V3790" t="str">
        <f t="shared" si="297"/>
        <v>New Joiner</v>
      </c>
      <c r="W3790" t="str">
        <f t="shared" si="298"/>
        <v>Medium Risk</v>
      </c>
      <c r="X3790" t="str">
        <f t="shared" si="299"/>
        <v>Competitive</v>
      </c>
    </row>
    <row r="3791" spans="1:24" x14ac:dyDescent="0.3">
      <c r="A3791" t="s">
        <v>3859</v>
      </c>
      <c r="B3791" t="s">
        <v>39</v>
      </c>
      <c r="C3791">
        <v>22</v>
      </c>
      <c r="D3791" t="s">
        <v>57</v>
      </c>
      <c r="E3791" t="s">
        <v>40</v>
      </c>
      <c r="F3791" t="s">
        <v>53</v>
      </c>
      <c r="G3791" t="s">
        <v>63</v>
      </c>
      <c r="H3791" t="s">
        <v>67</v>
      </c>
      <c r="I3791" t="s">
        <v>80</v>
      </c>
      <c r="J3791" t="s">
        <v>60</v>
      </c>
      <c r="K3791">
        <v>11</v>
      </c>
      <c r="L3791">
        <v>73525</v>
      </c>
      <c r="M3791" t="s">
        <v>36</v>
      </c>
      <c r="N3791">
        <v>4</v>
      </c>
      <c r="O3791">
        <v>4</v>
      </c>
      <c r="P3791">
        <v>46</v>
      </c>
      <c r="Q3791">
        <v>1</v>
      </c>
      <c r="R3791" s="1">
        <v>40977</v>
      </c>
      <c r="S3791" t="s">
        <v>29</v>
      </c>
      <c r="T3791" t="str">
        <f t="shared" si="295"/>
        <v>Grade B</v>
      </c>
      <c r="U3791">
        <f t="shared" si="296"/>
        <v>1</v>
      </c>
      <c r="V3791" t="str">
        <f t="shared" si="297"/>
        <v>Senior</v>
      </c>
      <c r="W3791" t="str">
        <f t="shared" si="298"/>
        <v>Medium Risk</v>
      </c>
      <c r="X3791" t="str">
        <f t="shared" si="299"/>
        <v>Fair</v>
      </c>
    </row>
    <row r="3792" spans="1:24" x14ac:dyDescent="0.3">
      <c r="A3792" t="s">
        <v>3860</v>
      </c>
      <c r="B3792" t="s">
        <v>39</v>
      </c>
      <c r="C3792">
        <v>34</v>
      </c>
      <c r="D3792" t="s">
        <v>88</v>
      </c>
      <c r="E3792" t="s">
        <v>48</v>
      </c>
      <c r="F3792" t="s">
        <v>78</v>
      </c>
      <c r="G3792" t="s">
        <v>66</v>
      </c>
      <c r="H3792" t="s">
        <v>83</v>
      </c>
      <c r="I3792" t="s">
        <v>96</v>
      </c>
      <c r="J3792" t="s">
        <v>44</v>
      </c>
      <c r="K3792">
        <v>9</v>
      </c>
      <c r="L3792">
        <v>47888</v>
      </c>
      <c r="M3792" t="s">
        <v>36</v>
      </c>
      <c r="N3792">
        <v>3</v>
      </c>
      <c r="O3792">
        <v>1</v>
      </c>
      <c r="P3792">
        <v>38</v>
      </c>
      <c r="Q3792">
        <v>0</v>
      </c>
      <c r="R3792" s="1">
        <v>41707</v>
      </c>
      <c r="S3792" t="s">
        <v>37</v>
      </c>
      <c r="T3792" t="str">
        <f t="shared" si="295"/>
        <v>Grade C</v>
      </c>
      <c r="U3792">
        <f t="shared" si="296"/>
        <v>1</v>
      </c>
      <c r="V3792" t="str">
        <f t="shared" si="297"/>
        <v>Mid Level</v>
      </c>
      <c r="W3792" t="str">
        <f t="shared" si="298"/>
        <v>Already Left</v>
      </c>
      <c r="X3792" t="str">
        <f t="shared" si="299"/>
        <v>Fair</v>
      </c>
    </row>
    <row r="3793" spans="1:24" x14ac:dyDescent="0.3">
      <c r="A3793" t="s">
        <v>3861</v>
      </c>
      <c r="B3793" t="s">
        <v>20</v>
      </c>
      <c r="C3793">
        <v>32</v>
      </c>
      <c r="D3793" t="s">
        <v>47</v>
      </c>
      <c r="E3793" t="s">
        <v>22</v>
      </c>
      <c r="F3793" t="s">
        <v>62</v>
      </c>
      <c r="G3793" t="s">
        <v>79</v>
      </c>
      <c r="H3793" t="s">
        <v>25</v>
      </c>
      <c r="I3793" t="s">
        <v>96</v>
      </c>
      <c r="J3793" t="s">
        <v>44</v>
      </c>
      <c r="K3793">
        <v>13</v>
      </c>
      <c r="L3793">
        <v>75084</v>
      </c>
      <c r="M3793" t="s">
        <v>45</v>
      </c>
      <c r="N3793">
        <v>3</v>
      </c>
      <c r="O3793">
        <v>3</v>
      </c>
      <c r="P3793">
        <v>15</v>
      </c>
      <c r="Q3793">
        <v>1</v>
      </c>
      <c r="R3793" s="1">
        <v>40418</v>
      </c>
      <c r="S3793" t="s">
        <v>29</v>
      </c>
      <c r="T3793" t="str">
        <f t="shared" si="295"/>
        <v>Grade B</v>
      </c>
      <c r="U3793">
        <f t="shared" si="296"/>
        <v>2</v>
      </c>
      <c r="V3793" t="str">
        <f t="shared" si="297"/>
        <v>Senior</v>
      </c>
      <c r="W3793" t="str">
        <f t="shared" si="298"/>
        <v>Medium Risk</v>
      </c>
      <c r="X3793" t="str">
        <f t="shared" si="299"/>
        <v>Fair</v>
      </c>
    </row>
    <row r="3794" spans="1:24" x14ac:dyDescent="0.3">
      <c r="A3794" t="s">
        <v>3862</v>
      </c>
      <c r="B3794" t="s">
        <v>39</v>
      </c>
      <c r="C3794">
        <v>55</v>
      </c>
      <c r="D3794" t="s">
        <v>57</v>
      </c>
      <c r="E3794" t="s">
        <v>48</v>
      </c>
      <c r="F3794" t="s">
        <v>65</v>
      </c>
      <c r="G3794" t="s">
        <v>24</v>
      </c>
      <c r="H3794" t="s">
        <v>25</v>
      </c>
      <c r="I3794" t="s">
        <v>72</v>
      </c>
      <c r="J3794" t="s">
        <v>73</v>
      </c>
      <c r="K3794">
        <v>1</v>
      </c>
      <c r="L3794">
        <v>70389</v>
      </c>
      <c r="M3794" t="s">
        <v>51</v>
      </c>
      <c r="N3794">
        <v>3</v>
      </c>
      <c r="O3794">
        <v>2</v>
      </c>
      <c r="P3794">
        <v>20</v>
      </c>
      <c r="Q3794">
        <v>2</v>
      </c>
      <c r="R3794" s="1">
        <v>44878</v>
      </c>
      <c r="S3794" t="s">
        <v>29</v>
      </c>
      <c r="T3794" t="str">
        <f t="shared" si="295"/>
        <v>Grade B</v>
      </c>
      <c r="U3794">
        <f t="shared" si="296"/>
        <v>4</v>
      </c>
      <c r="V3794" t="str">
        <f t="shared" si="297"/>
        <v>New Joiner</v>
      </c>
      <c r="W3794" t="str">
        <f t="shared" si="298"/>
        <v>Low Risk</v>
      </c>
      <c r="X3794" t="str">
        <f t="shared" si="299"/>
        <v>Fair</v>
      </c>
    </row>
    <row r="3795" spans="1:24" x14ac:dyDescent="0.3">
      <c r="A3795" t="s">
        <v>3863</v>
      </c>
      <c r="B3795" t="s">
        <v>20</v>
      </c>
      <c r="C3795">
        <v>38</v>
      </c>
      <c r="D3795" t="s">
        <v>57</v>
      </c>
      <c r="E3795" t="s">
        <v>48</v>
      </c>
      <c r="F3795" t="s">
        <v>75</v>
      </c>
      <c r="G3795" t="s">
        <v>58</v>
      </c>
      <c r="H3795" t="s">
        <v>25</v>
      </c>
      <c r="I3795" t="s">
        <v>54</v>
      </c>
      <c r="J3795" t="s">
        <v>27</v>
      </c>
      <c r="K3795">
        <v>12</v>
      </c>
      <c r="L3795">
        <v>117321</v>
      </c>
      <c r="M3795" t="s">
        <v>36</v>
      </c>
      <c r="N3795">
        <v>4</v>
      </c>
      <c r="O3795">
        <v>3</v>
      </c>
      <c r="P3795">
        <v>40</v>
      </c>
      <c r="Q3795">
        <v>0</v>
      </c>
      <c r="R3795" s="1">
        <v>40844</v>
      </c>
      <c r="S3795" t="s">
        <v>29</v>
      </c>
      <c r="T3795" t="str">
        <f t="shared" si="295"/>
        <v>Grade A</v>
      </c>
      <c r="U3795">
        <f t="shared" si="296"/>
        <v>1</v>
      </c>
      <c r="V3795" t="str">
        <f t="shared" si="297"/>
        <v>Senior</v>
      </c>
      <c r="W3795" t="str">
        <f t="shared" si="298"/>
        <v>Medium Risk</v>
      </c>
      <c r="X3795" t="str">
        <f t="shared" si="299"/>
        <v>Overpaid</v>
      </c>
    </row>
    <row r="3796" spans="1:24" x14ac:dyDescent="0.3">
      <c r="A3796" t="s">
        <v>3864</v>
      </c>
      <c r="B3796" t="s">
        <v>39</v>
      </c>
      <c r="C3796">
        <v>29</v>
      </c>
      <c r="D3796" t="s">
        <v>21</v>
      </c>
      <c r="E3796" t="s">
        <v>40</v>
      </c>
      <c r="F3796" t="s">
        <v>75</v>
      </c>
      <c r="G3796" t="s">
        <v>49</v>
      </c>
      <c r="H3796" t="s">
        <v>34</v>
      </c>
      <c r="I3796" t="s">
        <v>96</v>
      </c>
      <c r="J3796" t="s">
        <v>44</v>
      </c>
      <c r="K3796">
        <v>6</v>
      </c>
      <c r="L3796">
        <v>56239</v>
      </c>
      <c r="M3796" t="s">
        <v>28</v>
      </c>
      <c r="N3796">
        <v>1</v>
      </c>
      <c r="O3796">
        <v>4</v>
      </c>
      <c r="P3796">
        <v>29</v>
      </c>
      <c r="Q3796">
        <v>0</v>
      </c>
      <c r="R3796" s="1">
        <v>42861</v>
      </c>
      <c r="S3796" t="s">
        <v>29</v>
      </c>
      <c r="T3796" t="str">
        <f t="shared" si="295"/>
        <v>Grade B</v>
      </c>
      <c r="U3796">
        <f t="shared" si="296"/>
        <v>3</v>
      </c>
      <c r="V3796" t="str">
        <f t="shared" si="297"/>
        <v>Mid Level</v>
      </c>
      <c r="W3796" t="str">
        <f t="shared" si="298"/>
        <v>Medium Risk</v>
      </c>
      <c r="X3796" t="str">
        <f t="shared" si="299"/>
        <v>Competitive</v>
      </c>
    </row>
    <row r="3797" spans="1:24" x14ac:dyDescent="0.3">
      <c r="A3797" t="s">
        <v>3865</v>
      </c>
      <c r="B3797" t="s">
        <v>39</v>
      </c>
      <c r="C3797">
        <v>44</v>
      </c>
      <c r="D3797" t="s">
        <v>21</v>
      </c>
      <c r="E3797" t="s">
        <v>48</v>
      </c>
      <c r="F3797" t="s">
        <v>78</v>
      </c>
      <c r="G3797" t="s">
        <v>49</v>
      </c>
      <c r="H3797" t="s">
        <v>25</v>
      </c>
      <c r="I3797" t="s">
        <v>54</v>
      </c>
      <c r="J3797" t="s">
        <v>27</v>
      </c>
      <c r="K3797">
        <v>7</v>
      </c>
      <c r="L3797">
        <v>56949</v>
      </c>
      <c r="M3797" t="s">
        <v>45</v>
      </c>
      <c r="N3797">
        <v>3</v>
      </c>
      <c r="O3797">
        <v>1</v>
      </c>
      <c r="P3797">
        <v>12</v>
      </c>
      <c r="Q3797">
        <v>3</v>
      </c>
      <c r="R3797" s="1">
        <v>42451</v>
      </c>
      <c r="S3797" t="s">
        <v>29</v>
      </c>
      <c r="T3797" t="str">
        <f t="shared" si="295"/>
        <v>Grade B</v>
      </c>
      <c r="U3797">
        <f t="shared" si="296"/>
        <v>2</v>
      </c>
      <c r="V3797" t="str">
        <f t="shared" si="297"/>
        <v>Mid Level</v>
      </c>
      <c r="W3797" t="str">
        <f t="shared" si="298"/>
        <v>Medium Risk</v>
      </c>
      <c r="X3797" t="str">
        <f t="shared" si="299"/>
        <v>Fair</v>
      </c>
    </row>
    <row r="3798" spans="1:24" x14ac:dyDescent="0.3">
      <c r="A3798" t="s">
        <v>3866</v>
      </c>
      <c r="B3798" t="s">
        <v>39</v>
      </c>
      <c r="C3798">
        <v>23</v>
      </c>
      <c r="D3798" t="s">
        <v>57</v>
      </c>
      <c r="E3798" t="s">
        <v>40</v>
      </c>
      <c r="F3798" t="s">
        <v>62</v>
      </c>
      <c r="G3798" t="s">
        <v>63</v>
      </c>
      <c r="H3798" t="s">
        <v>25</v>
      </c>
      <c r="I3798" t="s">
        <v>50</v>
      </c>
      <c r="J3798" t="s">
        <v>44</v>
      </c>
      <c r="K3798">
        <v>2</v>
      </c>
      <c r="L3798">
        <v>48456</v>
      </c>
      <c r="M3798" t="s">
        <v>45</v>
      </c>
      <c r="N3798">
        <v>4</v>
      </c>
      <c r="O3798">
        <v>1</v>
      </c>
      <c r="P3798">
        <v>11</v>
      </c>
      <c r="Q3798">
        <v>0</v>
      </c>
      <c r="R3798" s="1">
        <v>44470</v>
      </c>
      <c r="S3798" t="s">
        <v>29</v>
      </c>
      <c r="T3798" t="str">
        <f t="shared" si="295"/>
        <v>Grade C</v>
      </c>
      <c r="U3798">
        <f t="shared" si="296"/>
        <v>2</v>
      </c>
      <c r="V3798" t="str">
        <f t="shared" si="297"/>
        <v>New Joiner</v>
      </c>
      <c r="W3798" t="str">
        <f t="shared" si="298"/>
        <v>Medium Risk</v>
      </c>
      <c r="X3798" t="str">
        <f t="shared" si="299"/>
        <v>Fair</v>
      </c>
    </row>
    <row r="3799" spans="1:24" x14ac:dyDescent="0.3">
      <c r="A3799" t="s">
        <v>3867</v>
      </c>
      <c r="B3799" t="s">
        <v>20</v>
      </c>
      <c r="C3799">
        <v>29</v>
      </c>
      <c r="D3799" t="s">
        <v>88</v>
      </c>
      <c r="E3799" t="s">
        <v>22</v>
      </c>
      <c r="F3799" t="s">
        <v>62</v>
      </c>
      <c r="G3799" t="s">
        <v>66</v>
      </c>
      <c r="H3799" t="s">
        <v>34</v>
      </c>
      <c r="I3799" t="s">
        <v>96</v>
      </c>
      <c r="J3799" t="s">
        <v>44</v>
      </c>
      <c r="K3799">
        <v>3</v>
      </c>
      <c r="L3799">
        <v>36289</v>
      </c>
      <c r="M3799" t="s">
        <v>45</v>
      </c>
      <c r="N3799">
        <v>1</v>
      </c>
      <c r="O3799">
        <v>4</v>
      </c>
      <c r="P3799">
        <v>47</v>
      </c>
      <c r="Q3799">
        <v>3</v>
      </c>
      <c r="R3799" s="1">
        <v>43988</v>
      </c>
      <c r="S3799" t="s">
        <v>29</v>
      </c>
      <c r="T3799" t="str">
        <f t="shared" si="295"/>
        <v>Grade C</v>
      </c>
      <c r="U3799">
        <f t="shared" si="296"/>
        <v>2</v>
      </c>
      <c r="V3799" t="str">
        <f t="shared" si="297"/>
        <v>Junior</v>
      </c>
      <c r="W3799" t="str">
        <f t="shared" si="298"/>
        <v>Medium Risk</v>
      </c>
      <c r="X3799" t="str">
        <f t="shared" si="299"/>
        <v>Fair</v>
      </c>
    </row>
    <row r="3800" spans="1:24" x14ac:dyDescent="0.3">
      <c r="A3800" t="s">
        <v>3868</v>
      </c>
      <c r="B3800" t="s">
        <v>39</v>
      </c>
      <c r="C3800">
        <v>32</v>
      </c>
      <c r="D3800" t="s">
        <v>31</v>
      </c>
      <c r="E3800" t="s">
        <v>22</v>
      </c>
      <c r="F3800" t="s">
        <v>23</v>
      </c>
      <c r="G3800" t="s">
        <v>49</v>
      </c>
      <c r="H3800" t="s">
        <v>34</v>
      </c>
      <c r="I3800" t="s">
        <v>59</v>
      </c>
      <c r="J3800" t="s">
        <v>60</v>
      </c>
      <c r="K3800">
        <v>6</v>
      </c>
      <c r="L3800">
        <v>63147</v>
      </c>
      <c r="M3800" t="s">
        <v>36</v>
      </c>
      <c r="N3800">
        <v>3</v>
      </c>
      <c r="O3800">
        <v>3</v>
      </c>
      <c r="P3800">
        <v>24</v>
      </c>
      <c r="Q3800">
        <v>1</v>
      </c>
      <c r="R3800" s="1">
        <v>42814</v>
      </c>
      <c r="S3800" t="s">
        <v>29</v>
      </c>
      <c r="T3800" t="str">
        <f t="shared" si="295"/>
        <v>Grade B</v>
      </c>
      <c r="U3800">
        <f t="shared" si="296"/>
        <v>1</v>
      </c>
      <c r="V3800" t="str">
        <f t="shared" si="297"/>
        <v>Mid Level</v>
      </c>
      <c r="W3800" t="str">
        <f t="shared" si="298"/>
        <v>Medium Risk</v>
      </c>
      <c r="X3800" t="str">
        <f t="shared" si="299"/>
        <v>Fair</v>
      </c>
    </row>
    <row r="3801" spans="1:24" x14ac:dyDescent="0.3">
      <c r="A3801" t="s">
        <v>3869</v>
      </c>
      <c r="B3801" t="s">
        <v>39</v>
      </c>
      <c r="C3801">
        <v>39</v>
      </c>
      <c r="D3801" t="s">
        <v>57</v>
      </c>
      <c r="E3801" t="s">
        <v>40</v>
      </c>
      <c r="F3801" t="s">
        <v>32</v>
      </c>
      <c r="G3801" t="s">
        <v>66</v>
      </c>
      <c r="H3801" t="s">
        <v>83</v>
      </c>
      <c r="I3801" t="s">
        <v>59</v>
      </c>
      <c r="J3801" t="s">
        <v>60</v>
      </c>
      <c r="K3801">
        <v>12</v>
      </c>
      <c r="L3801">
        <v>57795</v>
      </c>
      <c r="M3801" t="s">
        <v>36</v>
      </c>
      <c r="N3801">
        <v>2</v>
      </c>
      <c r="O3801">
        <v>3</v>
      </c>
      <c r="P3801">
        <v>55</v>
      </c>
      <c r="Q3801">
        <v>0</v>
      </c>
      <c r="R3801" s="1">
        <v>40787</v>
      </c>
      <c r="S3801" t="s">
        <v>37</v>
      </c>
      <c r="T3801" t="str">
        <f t="shared" si="295"/>
        <v>Grade B</v>
      </c>
      <c r="U3801">
        <f t="shared" si="296"/>
        <v>1</v>
      </c>
      <c r="V3801" t="str">
        <f t="shared" si="297"/>
        <v>Senior</v>
      </c>
      <c r="W3801" t="str">
        <f t="shared" si="298"/>
        <v>Already Left</v>
      </c>
      <c r="X3801" t="str">
        <f t="shared" si="299"/>
        <v>Fair</v>
      </c>
    </row>
    <row r="3802" spans="1:24" x14ac:dyDescent="0.3">
      <c r="A3802" t="s">
        <v>3870</v>
      </c>
      <c r="B3802" t="s">
        <v>39</v>
      </c>
      <c r="C3802">
        <v>41</v>
      </c>
      <c r="D3802" t="s">
        <v>47</v>
      </c>
      <c r="E3802" t="s">
        <v>40</v>
      </c>
      <c r="F3802" t="s">
        <v>78</v>
      </c>
      <c r="G3802" t="s">
        <v>33</v>
      </c>
      <c r="H3802" t="s">
        <v>34</v>
      </c>
      <c r="I3802" t="s">
        <v>43</v>
      </c>
      <c r="J3802" t="s">
        <v>44</v>
      </c>
      <c r="K3802">
        <v>11</v>
      </c>
      <c r="L3802">
        <v>87517</v>
      </c>
      <c r="M3802" t="s">
        <v>28</v>
      </c>
      <c r="N3802">
        <v>4</v>
      </c>
      <c r="O3802">
        <v>1</v>
      </c>
      <c r="P3802">
        <v>74</v>
      </c>
      <c r="Q3802">
        <v>2</v>
      </c>
      <c r="R3802" s="1">
        <v>41197</v>
      </c>
      <c r="S3802" t="s">
        <v>29</v>
      </c>
      <c r="T3802" t="str">
        <f t="shared" si="295"/>
        <v>Grade A</v>
      </c>
      <c r="U3802">
        <f t="shared" si="296"/>
        <v>3</v>
      </c>
      <c r="V3802" t="str">
        <f t="shared" si="297"/>
        <v>Senior</v>
      </c>
      <c r="W3802" t="str">
        <f t="shared" si="298"/>
        <v>Medium Risk</v>
      </c>
      <c r="X3802" t="str">
        <f t="shared" si="299"/>
        <v>Competitive</v>
      </c>
    </row>
    <row r="3803" spans="1:24" x14ac:dyDescent="0.3">
      <c r="A3803" t="s">
        <v>3871</v>
      </c>
      <c r="B3803" t="s">
        <v>20</v>
      </c>
      <c r="C3803">
        <v>35</v>
      </c>
      <c r="D3803" t="s">
        <v>88</v>
      </c>
      <c r="E3803" t="s">
        <v>22</v>
      </c>
      <c r="F3803" t="s">
        <v>78</v>
      </c>
      <c r="G3803" t="s">
        <v>63</v>
      </c>
      <c r="H3803" t="s">
        <v>83</v>
      </c>
      <c r="I3803" t="s">
        <v>68</v>
      </c>
      <c r="J3803" t="s">
        <v>60</v>
      </c>
      <c r="K3803">
        <v>12</v>
      </c>
      <c r="L3803">
        <v>69365</v>
      </c>
      <c r="M3803" t="s">
        <v>36</v>
      </c>
      <c r="N3803">
        <v>3</v>
      </c>
      <c r="O3803">
        <v>1</v>
      </c>
      <c r="P3803">
        <v>36</v>
      </c>
      <c r="Q3803">
        <v>2</v>
      </c>
      <c r="R3803" s="1">
        <v>40731</v>
      </c>
      <c r="S3803" t="s">
        <v>37</v>
      </c>
      <c r="T3803" t="str">
        <f t="shared" si="295"/>
        <v>Grade B</v>
      </c>
      <c r="U3803">
        <f t="shared" si="296"/>
        <v>1</v>
      </c>
      <c r="V3803" t="str">
        <f t="shared" si="297"/>
        <v>Senior</v>
      </c>
      <c r="W3803" t="str">
        <f t="shared" si="298"/>
        <v>Already Left</v>
      </c>
      <c r="X3803" t="str">
        <f t="shared" si="299"/>
        <v>Fair</v>
      </c>
    </row>
    <row r="3804" spans="1:24" x14ac:dyDescent="0.3">
      <c r="A3804" t="s">
        <v>3872</v>
      </c>
      <c r="B3804" t="s">
        <v>20</v>
      </c>
      <c r="C3804">
        <v>55</v>
      </c>
      <c r="D3804" t="s">
        <v>88</v>
      </c>
      <c r="E3804" t="s">
        <v>40</v>
      </c>
      <c r="F3804" t="s">
        <v>75</v>
      </c>
      <c r="G3804" t="s">
        <v>66</v>
      </c>
      <c r="H3804" t="s">
        <v>34</v>
      </c>
      <c r="I3804" t="s">
        <v>96</v>
      </c>
      <c r="J3804" t="s">
        <v>44</v>
      </c>
      <c r="K3804">
        <v>5</v>
      </c>
      <c r="L3804">
        <v>43728</v>
      </c>
      <c r="M3804" t="s">
        <v>36</v>
      </c>
      <c r="N3804">
        <v>3</v>
      </c>
      <c r="O3804">
        <v>2</v>
      </c>
      <c r="P3804">
        <v>53</v>
      </c>
      <c r="Q3804">
        <v>1</v>
      </c>
      <c r="R3804" s="1">
        <v>43254</v>
      </c>
      <c r="S3804" t="s">
        <v>37</v>
      </c>
      <c r="T3804" t="str">
        <f t="shared" si="295"/>
        <v>Grade C</v>
      </c>
      <c r="U3804">
        <f t="shared" si="296"/>
        <v>1</v>
      </c>
      <c r="V3804" t="str">
        <f t="shared" si="297"/>
        <v>Junior</v>
      </c>
      <c r="W3804" t="str">
        <f t="shared" si="298"/>
        <v>Already Left</v>
      </c>
      <c r="X3804" t="str">
        <f t="shared" si="299"/>
        <v>Fair</v>
      </c>
    </row>
    <row r="3805" spans="1:24" x14ac:dyDescent="0.3">
      <c r="A3805" t="s">
        <v>3873</v>
      </c>
      <c r="B3805" t="s">
        <v>20</v>
      </c>
      <c r="C3805">
        <v>33</v>
      </c>
      <c r="D3805" t="s">
        <v>21</v>
      </c>
      <c r="E3805" t="s">
        <v>40</v>
      </c>
      <c r="F3805" t="s">
        <v>32</v>
      </c>
      <c r="G3805" t="s">
        <v>58</v>
      </c>
      <c r="H3805" t="s">
        <v>76</v>
      </c>
      <c r="I3805" t="s">
        <v>68</v>
      </c>
      <c r="J3805" t="s">
        <v>60</v>
      </c>
      <c r="K3805">
        <v>1</v>
      </c>
      <c r="L3805">
        <v>79406</v>
      </c>
      <c r="M3805" t="s">
        <v>28</v>
      </c>
      <c r="N3805">
        <v>2</v>
      </c>
      <c r="O3805">
        <v>2</v>
      </c>
      <c r="P3805">
        <v>12</v>
      </c>
      <c r="Q3805">
        <v>1</v>
      </c>
      <c r="R3805" s="1">
        <v>44596</v>
      </c>
      <c r="S3805" t="s">
        <v>37</v>
      </c>
      <c r="T3805" t="str">
        <f t="shared" si="295"/>
        <v>Grade B</v>
      </c>
      <c r="U3805">
        <f t="shared" si="296"/>
        <v>3</v>
      </c>
      <c r="V3805" t="str">
        <f t="shared" si="297"/>
        <v>New Joiner</v>
      </c>
      <c r="W3805" t="str">
        <f t="shared" si="298"/>
        <v>Already Left</v>
      </c>
      <c r="X3805" t="str">
        <f t="shared" si="299"/>
        <v>Competitive</v>
      </c>
    </row>
    <row r="3806" spans="1:24" x14ac:dyDescent="0.3">
      <c r="A3806" t="s">
        <v>3874</v>
      </c>
      <c r="B3806" t="s">
        <v>20</v>
      </c>
      <c r="C3806">
        <v>29</v>
      </c>
      <c r="D3806" t="s">
        <v>57</v>
      </c>
      <c r="E3806" t="s">
        <v>40</v>
      </c>
      <c r="F3806" t="s">
        <v>23</v>
      </c>
      <c r="G3806" t="s">
        <v>66</v>
      </c>
      <c r="H3806" t="s">
        <v>25</v>
      </c>
      <c r="I3806" t="s">
        <v>50</v>
      </c>
      <c r="J3806" t="s">
        <v>44</v>
      </c>
      <c r="K3806">
        <v>11</v>
      </c>
      <c r="L3806">
        <v>61661</v>
      </c>
      <c r="M3806" t="s">
        <v>36</v>
      </c>
      <c r="N3806">
        <v>1</v>
      </c>
      <c r="O3806">
        <v>1</v>
      </c>
      <c r="P3806">
        <v>79</v>
      </c>
      <c r="Q3806">
        <v>3</v>
      </c>
      <c r="R3806" s="1">
        <v>41174</v>
      </c>
      <c r="S3806" t="s">
        <v>29</v>
      </c>
      <c r="T3806" t="str">
        <f t="shared" si="295"/>
        <v>Grade B</v>
      </c>
      <c r="U3806">
        <f t="shared" si="296"/>
        <v>1</v>
      </c>
      <c r="V3806" t="str">
        <f t="shared" si="297"/>
        <v>Senior</v>
      </c>
      <c r="W3806" t="str">
        <f t="shared" si="298"/>
        <v>Medium Risk</v>
      </c>
      <c r="X3806" t="str">
        <f t="shared" si="299"/>
        <v>Fair</v>
      </c>
    </row>
    <row r="3807" spans="1:24" x14ac:dyDescent="0.3">
      <c r="A3807" t="s">
        <v>3875</v>
      </c>
      <c r="B3807" t="s">
        <v>39</v>
      </c>
      <c r="C3807">
        <v>45</v>
      </c>
      <c r="D3807" t="s">
        <v>21</v>
      </c>
      <c r="E3807" t="s">
        <v>40</v>
      </c>
      <c r="F3807" t="s">
        <v>41</v>
      </c>
      <c r="G3807" t="s">
        <v>42</v>
      </c>
      <c r="H3807" t="s">
        <v>67</v>
      </c>
      <c r="I3807" t="s">
        <v>26</v>
      </c>
      <c r="J3807" t="s">
        <v>27</v>
      </c>
      <c r="K3807">
        <v>11</v>
      </c>
      <c r="L3807">
        <v>108940</v>
      </c>
      <c r="M3807" t="s">
        <v>36</v>
      </c>
      <c r="N3807">
        <v>3</v>
      </c>
      <c r="O3807">
        <v>1</v>
      </c>
      <c r="P3807">
        <v>47</v>
      </c>
      <c r="Q3807">
        <v>3</v>
      </c>
      <c r="R3807" s="1">
        <v>41107</v>
      </c>
      <c r="S3807" t="s">
        <v>29</v>
      </c>
      <c r="T3807" t="str">
        <f t="shared" si="295"/>
        <v>Grade A</v>
      </c>
      <c r="U3807">
        <f t="shared" si="296"/>
        <v>1</v>
      </c>
      <c r="V3807" t="str">
        <f t="shared" si="297"/>
        <v>Senior</v>
      </c>
      <c r="W3807" t="str">
        <f t="shared" si="298"/>
        <v>Medium Risk</v>
      </c>
      <c r="X3807" t="str">
        <f t="shared" si="299"/>
        <v>Overpaid</v>
      </c>
    </row>
    <row r="3808" spans="1:24" x14ac:dyDescent="0.3">
      <c r="A3808" t="s">
        <v>3876</v>
      </c>
      <c r="B3808" t="s">
        <v>20</v>
      </c>
      <c r="C3808">
        <v>40</v>
      </c>
      <c r="D3808" t="s">
        <v>21</v>
      </c>
      <c r="E3808" t="s">
        <v>48</v>
      </c>
      <c r="F3808" t="s">
        <v>32</v>
      </c>
      <c r="G3808" t="s">
        <v>79</v>
      </c>
      <c r="H3808" t="s">
        <v>25</v>
      </c>
      <c r="I3808" t="s">
        <v>96</v>
      </c>
      <c r="J3808" t="s">
        <v>44</v>
      </c>
      <c r="K3808">
        <v>4</v>
      </c>
      <c r="L3808">
        <v>54796</v>
      </c>
      <c r="M3808" t="s">
        <v>51</v>
      </c>
      <c r="N3808">
        <v>2</v>
      </c>
      <c r="O3808">
        <v>2</v>
      </c>
      <c r="P3808">
        <v>31</v>
      </c>
      <c r="Q3808">
        <v>2</v>
      </c>
      <c r="R3808" s="1">
        <v>43678</v>
      </c>
      <c r="S3808" t="s">
        <v>29</v>
      </c>
      <c r="T3808" t="str">
        <f t="shared" si="295"/>
        <v>Grade B</v>
      </c>
      <c r="U3808">
        <f t="shared" si="296"/>
        <v>4</v>
      </c>
      <c r="V3808" t="str">
        <f t="shared" si="297"/>
        <v>Junior</v>
      </c>
      <c r="W3808" t="str">
        <f t="shared" si="298"/>
        <v>Low Risk</v>
      </c>
      <c r="X3808" t="str">
        <f t="shared" si="299"/>
        <v>Fair</v>
      </c>
    </row>
    <row r="3809" spans="1:24" x14ac:dyDescent="0.3">
      <c r="A3809" t="s">
        <v>3877</v>
      </c>
      <c r="B3809" t="s">
        <v>20</v>
      </c>
      <c r="C3809">
        <v>31</v>
      </c>
      <c r="D3809" t="s">
        <v>21</v>
      </c>
      <c r="E3809" t="s">
        <v>48</v>
      </c>
      <c r="F3809" t="s">
        <v>75</v>
      </c>
      <c r="G3809" t="s">
        <v>63</v>
      </c>
      <c r="H3809" t="s">
        <v>67</v>
      </c>
      <c r="I3809" t="s">
        <v>72</v>
      </c>
      <c r="J3809" t="s">
        <v>73</v>
      </c>
      <c r="K3809">
        <v>7</v>
      </c>
      <c r="L3809">
        <v>49160</v>
      </c>
      <c r="M3809" t="s">
        <v>28</v>
      </c>
      <c r="N3809">
        <v>2</v>
      </c>
      <c r="O3809">
        <v>1</v>
      </c>
      <c r="P3809">
        <v>25</v>
      </c>
      <c r="Q3809">
        <v>1</v>
      </c>
      <c r="R3809" s="1">
        <v>42623</v>
      </c>
      <c r="S3809" t="s">
        <v>29</v>
      </c>
      <c r="T3809" t="str">
        <f t="shared" si="295"/>
        <v>Grade C</v>
      </c>
      <c r="U3809">
        <f t="shared" si="296"/>
        <v>3</v>
      </c>
      <c r="V3809" t="str">
        <f t="shared" si="297"/>
        <v>Mid Level</v>
      </c>
      <c r="W3809" t="str">
        <f t="shared" si="298"/>
        <v>Medium Risk</v>
      </c>
      <c r="X3809" t="str">
        <f t="shared" si="299"/>
        <v>Fair</v>
      </c>
    </row>
    <row r="3810" spans="1:24" x14ac:dyDescent="0.3">
      <c r="A3810" t="s">
        <v>3878</v>
      </c>
      <c r="B3810" t="s">
        <v>20</v>
      </c>
      <c r="C3810">
        <v>27</v>
      </c>
      <c r="D3810" t="s">
        <v>88</v>
      </c>
      <c r="E3810" t="s">
        <v>22</v>
      </c>
      <c r="F3810" t="s">
        <v>41</v>
      </c>
      <c r="G3810" t="s">
        <v>66</v>
      </c>
      <c r="H3810" t="s">
        <v>67</v>
      </c>
      <c r="I3810" t="s">
        <v>35</v>
      </c>
      <c r="J3810" t="s">
        <v>27</v>
      </c>
      <c r="K3810">
        <v>14</v>
      </c>
      <c r="L3810">
        <v>55431</v>
      </c>
      <c r="M3810" t="s">
        <v>51</v>
      </c>
      <c r="N3810">
        <v>3</v>
      </c>
      <c r="O3810">
        <v>1</v>
      </c>
      <c r="P3810">
        <v>43</v>
      </c>
      <c r="Q3810">
        <v>3</v>
      </c>
      <c r="R3810" s="1">
        <v>40103</v>
      </c>
      <c r="S3810" t="s">
        <v>37</v>
      </c>
      <c r="T3810" t="str">
        <f t="shared" si="295"/>
        <v>Grade B</v>
      </c>
      <c r="U3810">
        <f t="shared" si="296"/>
        <v>4</v>
      </c>
      <c r="V3810" t="str">
        <f t="shared" si="297"/>
        <v>Senior</v>
      </c>
      <c r="W3810" t="str">
        <f t="shared" si="298"/>
        <v>Already Left</v>
      </c>
      <c r="X3810" t="str">
        <f t="shared" si="299"/>
        <v>Fair</v>
      </c>
    </row>
    <row r="3811" spans="1:24" x14ac:dyDescent="0.3">
      <c r="A3811" t="s">
        <v>3879</v>
      </c>
      <c r="B3811" t="s">
        <v>20</v>
      </c>
      <c r="C3811">
        <v>51</v>
      </c>
      <c r="D3811" t="s">
        <v>88</v>
      </c>
      <c r="E3811" t="s">
        <v>40</v>
      </c>
      <c r="F3811" t="s">
        <v>75</v>
      </c>
      <c r="G3811" t="s">
        <v>24</v>
      </c>
      <c r="H3811" t="s">
        <v>83</v>
      </c>
      <c r="I3811" t="s">
        <v>54</v>
      </c>
      <c r="J3811" t="s">
        <v>27</v>
      </c>
      <c r="K3811">
        <v>7</v>
      </c>
      <c r="L3811">
        <v>86969</v>
      </c>
      <c r="M3811" t="s">
        <v>45</v>
      </c>
      <c r="N3811">
        <v>4</v>
      </c>
      <c r="O3811">
        <v>4</v>
      </c>
      <c r="P3811">
        <v>75</v>
      </c>
      <c r="Q3811">
        <v>2</v>
      </c>
      <c r="R3811" s="1">
        <v>42719</v>
      </c>
      <c r="S3811" t="s">
        <v>29</v>
      </c>
      <c r="T3811" t="str">
        <f t="shared" si="295"/>
        <v>Grade A</v>
      </c>
      <c r="U3811">
        <f t="shared" si="296"/>
        <v>2</v>
      </c>
      <c r="V3811" t="str">
        <f t="shared" si="297"/>
        <v>Mid Level</v>
      </c>
      <c r="W3811" t="str">
        <f t="shared" si="298"/>
        <v>Medium Risk</v>
      </c>
      <c r="X3811" t="str">
        <f t="shared" si="299"/>
        <v>Fair</v>
      </c>
    </row>
    <row r="3812" spans="1:24" x14ac:dyDescent="0.3">
      <c r="A3812" t="s">
        <v>3880</v>
      </c>
      <c r="B3812" t="s">
        <v>20</v>
      </c>
      <c r="C3812">
        <v>38</v>
      </c>
      <c r="D3812" t="s">
        <v>57</v>
      </c>
      <c r="E3812" t="s">
        <v>22</v>
      </c>
      <c r="F3812" t="s">
        <v>32</v>
      </c>
      <c r="G3812" t="s">
        <v>42</v>
      </c>
      <c r="H3812" t="s">
        <v>25</v>
      </c>
      <c r="I3812" t="s">
        <v>80</v>
      </c>
      <c r="J3812" t="s">
        <v>60</v>
      </c>
      <c r="K3812">
        <v>13</v>
      </c>
      <c r="L3812">
        <v>121644</v>
      </c>
      <c r="M3812" t="s">
        <v>36</v>
      </c>
      <c r="N3812">
        <v>4</v>
      </c>
      <c r="O3812">
        <v>2</v>
      </c>
      <c r="P3812">
        <v>41</v>
      </c>
      <c r="Q3812">
        <v>1</v>
      </c>
      <c r="R3812" s="1">
        <v>40235</v>
      </c>
      <c r="S3812" t="s">
        <v>37</v>
      </c>
      <c r="T3812" t="str">
        <f t="shared" si="295"/>
        <v>Grade A</v>
      </c>
      <c r="U3812">
        <f t="shared" si="296"/>
        <v>1</v>
      </c>
      <c r="V3812" t="str">
        <f t="shared" si="297"/>
        <v>Senior</v>
      </c>
      <c r="W3812" t="str">
        <f t="shared" si="298"/>
        <v>Already Left</v>
      </c>
      <c r="X3812" t="str">
        <f t="shared" si="299"/>
        <v>Overpaid</v>
      </c>
    </row>
    <row r="3813" spans="1:24" x14ac:dyDescent="0.3">
      <c r="A3813" t="s">
        <v>3881</v>
      </c>
      <c r="B3813" t="s">
        <v>20</v>
      </c>
      <c r="C3813">
        <v>31</v>
      </c>
      <c r="D3813" t="s">
        <v>47</v>
      </c>
      <c r="E3813" t="s">
        <v>48</v>
      </c>
      <c r="F3813" t="s">
        <v>23</v>
      </c>
      <c r="G3813" t="s">
        <v>33</v>
      </c>
      <c r="H3813" t="s">
        <v>67</v>
      </c>
      <c r="I3813" t="s">
        <v>50</v>
      </c>
      <c r="J3813" t="s">
        <v>44</v>
      </c>
      <c r="K3813">
        <v>5</v>
      </c>
      <c r="L3813">
        <v>63247</v>
      </c>
      <c r="M3813" t="s">
        <v>51</v>
      </c>
      <c r="N3813">
        <v>2</v>
      </c>
      <c r="O3813">
        <v>3</v>
      </c>
      <c r="P3813">
        <v>41</v>
      </c>
      <c r="Q3813">
        <v>0</v>
      </c>
      <c r="R3813" s="1">
        <v>43126</v>
      </c>
      <c r="S3813" t="s">
        <v>29</v>
      </c>
      <c r="T3813" t="str">
        <f t="shared" si="295"/>
        <v>Grade B</v>
      </c>
      <c r="U3813">
        <f t="shared" si="296"/>
        <v>4</v>
      </c>
      <c r="V3813" t="str">
        <f t="shared" si="297"/>
        <v>Junior</v>
      </c>
      <c r="W3813" t="str">
        <f t="shared" si="298"/>
        <v>Low Risk</v>
      </c>
      <c r="X3813" t="str">
        <f t="shared" si="299"/>
        <v>Fair</v>
      </c>
    </row>
    <row r="3814" spans="1:24" x14ac:dyDescent="0.3">
      <c r="A3814" t="s">
        <v>3882</v>
      </c>
      <c r="B3814" t="s">
        <v>39</v>
      </c>
      <c r="C3814">
        <v>30</v>
      </c>
      <c r="D3814" t="s">
        <v>88</v>
      </c>
      <c r="E3814" t="s">
        <v>48</v>
      </c>
      <c r="F3814" t="s">
        <v>53</v>
      </c>
      <c r="G3814" t="s">
        <v>42</v>
      </c>
      <c r="H3814" t="s">
        <v>34</v>
      </c>
      <c r="I3814" t="s">
        <v>26</v>
      </c>
      <c r="J3814" t="s">
        <v>27</v>
      </c>
      <c r="K3814">
        <v>10</v>
      </c>
      <c r="L3814">
        <v>105391</v>
      </c>
      <c r="M3814" t="s">
        <v>51</v>
      </c>
      <c r="N3814">
        <v>2</v>
      </c>
      <c r="O3814">
        <v>1</v>
      </c>
      <c r="P3814">
        <v>72</v>
      </c>
      <c r="Q3814">
        <v>0</v>
      </c>
      <c r="R3814" s="1">
        <v>41587</v>
      </c>
      <c r="S3814" t="s">
        <v>37</v>
      </c>
      <c r="T3814" t="str">
        <f t="shared" si="295"/>
        <v>Grade A</v>
      </c>
      <c r="U3814">
        <f t="shared" si="296"/>
        <v>4</v>
      </c>
      <c r="V3814" t="str">
        <f t="shared" si="297"/>
        <v>Mid Level</v>
      </c>
      <c r="W3814" t="str">
        <f t="shared" si="298"/>
        <v>Already Left</v>
      </c>
      <c r="X3814" t="str">
        <f t="shared" si="299"/>
        <v>Competitive</v>
      </c>
    </row>
    <row r="3815" spans="1:24" x14ac:dyDescent="0.3">
      <c r="A3815" t="s">
        <v>3883</v>
      </c>
      <c r="B3815" t="s">
        <v>39</v>
      </c>
      <c r="C3815">
        <v>50</v>
      </c>
      <c r="D3815" t="s">
        <v>21</v>
      </c>
      <c r="E3815" t="s">
        <v>48</v>
      </c>
      <c r="F3815" t="s">
        <v>78</v>
      </c>
      <c r="G3815" t="s">
        <v>63</v>
      </c>
      <c r="H3815" t="s">
        <v>25</v>
      </c>
      <c r="I3815" t="s">
        <v>35</v>
      </c>
      <c r="J3815" t="s">
        <v>27</v>
      </c>
      <c r="K3815">
        <v>5</v>
      </c>
      <c r="L3815">
        <v>56401</v>
      </c>
      <c r="M3815" t="s">
        <v>51</v>
      </c>
      <c r="N3815">
        <v>1</v>
      </c>
      <c r="O3815">
        <v>3</v>
      </c>
      <c r="P3815">
        <v>40</v>
      </c>
      <c r="Q3815">
        <v>3</v>
      </c>
      <c r="R3815" s="1">
        <v>43254</v>
      </c>
      <c r="S3815" t="s">
        <v>29</v>
      </c>
      <c r="T3815" t="str">
        <f t="shared" si="295"/>
        <v>Grade B</v>
      </c>
      <c r="U3815">
        <f t="shared" si="296"/>
        <v>4</v>
      </c>
      <c r="V3815" t="str">
        <f t="shared" si="297"/>
        <v>Junior</v>
      </c>
      <c r="W3815" t="str">
        <f t="shared" si="298"/>
        <v>Low Risk</v>
      </c>
      <c r="X3815" t="str">
        <f t="shared" si="299"/>
        <v>Fair</v>
      </c>
    </row>
    <row r="3816" spans="1:24" x14ac:dyDescent="0.3">
      <c r="A3816" t="s">
        <v>3884</v>
      </c>
      <c r="B3816" t="s">
        <v>20</v>
      </c>
      <c r="C3816">
        <v>38</v>
      </c>
      <c r="D3816" t="s">
        <v>57</v>
      </c>
      <c r="E3816" t="s">
        <v>40</v>
      </c>
      <c r="F3816" t="s">
        <v>78</v>
      </c>
      <c r="G3816" t="s">
        <v>49</v>
      </c>
      <c r="H3816" t="s">
        <v>25</v>
      </c>
      <c r="I3816" t="s">
        <v>59</v>
      </c>
      <c r="J3816" t="s">
        <v>60</v>
      </c>
      <c r="K3816">
        <v>5</v>
      </c>
      <c r="L3816">
        <v>62246</v>
      </c>
      <c r="M3816" t="s">
        <v>51</v>
      </c>
      <c r="N3816">
        <v>2</v>
      </c>
      <c r="O3816">
        <v>2</v>
      </c>
      <c r="P3816">
        <v>29</v>
      </c>
      <c r="Q3816">
        <v>2</v>
      </c>
      <c r="R3816" s="1">
        <v>43303</v>
      </c>
      <c r="S3816" t="s">
        <v>29</v>
      </c>
      <c r="T3816" t="str">
        <f t="shared" si="295"/>
        <v>Grade B</v>
      </c>
      <c r="U3816">
        <f t="shared" si="296"/>
        <v>4</v>
      </c>
      <c r="V3816" t="str">
        <f t="shared" si="297"/>
        <v>Junior</v>
      </c>
      <c r="W3816" t="str">
        <f t="shared" si="298"/>
        <v>Low Risk</v>
      </c>
      <c r="X3816" t="str">
        <f t="shared" si="299"/>
        <v>Fair</v>
      </c>
    </row>
    <row r="3817" spans="1:24" x14ac:dyDescent="0.3">
      <c r="A3817" t="s">
        <v>3885</v>
      </c>
      <c r="B3817" t="s">
        <v>39</v>
      </c>
      <c r="C3817">
        <v>31</v>
      </c>
      <c r="D3817" t="s">
        <v>57</v>
      </c>
      <c r="E3817" t="s">
        <v>22</v>
      </c>
      <c r="F3817" t="s">
        <v>75</v>
      </c>
      <c r="G3817" t="s">
        <v>33</v>
      </c>
      <c r="H3817" t="s">
        <v>76</v>
      </c>
      <c r="I3817" t="s">
        <v>96</v>
      </c>
      <c r="J3817" t="s">
        <v>44</v>
      </c>
      <c r="K3817">
        <v>1</v>
      </c>
      <c r="L3817">
        <v>62055</v>
      </c>
      <c r="M3817" t="s">
        <v>51</v>
      </c>
      <c r="N3817">
        <v>2</v>
      </c>
      <c r="O3817">
        <v>3</v>
      </c>
      <c r="P3817">
        <v>22</v>
      </c>
      <c r="Q3817">
        <v>2</v>
      </c>
      <c r="R3817" s="1">
        <v>44927</v>
      </c>
      <c r="S3817" t="s">
        <v>29</v>
      </c>
      <c r="T3817" t="str">
        <f t="shared" si="295"/>
        <v>Grade B</v>
      </c>
      <c r="U3817">
        <f t="shared" si="296"/>
        <v>4</v>
      </c>
      <c r="V3817" t="str">
        <f t="shared" si="297"/>
        <v>New Joiner</v>
      </c>
      <c r="W3817" t="str">
        <f t="shared" si="298"/>
        <v>Low Risk</v>
      </c>
      <c r="X3817" t="str">
        <f t="shared" si="299"/>
        <v>Fair</v>
      </c>
    </row>
    <row r="3818" spans="1:24" x14ac:dyDescent="0.3">
      <c r="A3818" t="s">
        <v>3886</v>
      </c>
      <c r="B3818" t="s">
        <v>20</v>
      </c>
      <c r="C3818">
        <v>43</v>
      </c>
      <c r="D3818" t="s">
        <v>57</v>
      </c>
      <c r="E3818" t="s">
        <v>22</v>
      </c>
      <c r="F3818" t="s">
        <v>62</v>
      </c>
      <c r="G3818" t="s">
        <v>42</v>
      </c>
      <c r="H3818" t="s">
        <v>83</v>
      </c>
      <c r="I3818" t="s">
        <v>26</v>
      </c>
      <c r="J3818" t="s">
        <v>27</v>
      </c>
      <c r="K3818">
        <v>10</v>
      </c>
      <c r="L3818">
        <v>106858</v>
      </c>
      <c r="M3818" t="s">
        <v>45</v>
      </c>
      <c r="N3818">
        <v>3</v>
      </c>
      <c r="O3818">
        <v>4</v>
      </c>
      <c r="P3818">
        <v>57</v>
      </c>
      <c r="Q3818">
        <v>2</v>
      </c>
      <c r="R3818" s="1">
        <v>41483</v>
      </c>
      <c r="S3818" t="s">
        <v>37</v>
      </c>
      <c r="T3818" t="str">
        <f t="shared" si="295"/>
        <v>Grade A</v>
      </c>
      <c r="U3818">
        <f t="shared" si="296"/>
        <v>2</v>
      </c>
      <c r="V3818" t="str">
        <f t="shared" si="297"/>
        <v>Mid Level</v>
      </c>
      <c r="W3818" t="str">
        <f t="shared" si="298"/>
        <v>Already Left</v>
      </c>
      <c r="X3818" t="str">
        <f t="shared" si="299"/>
        <v>Fair</v>
      </c>
    </row>
    <row r="3819" spans="1:24" x14ac:dyDescent="0.3">
      <c r="A3819" t="s">
        <v>3887</v>
      </c>
      <c r="B3819" t="s">
        <v>39</v>
      </c>
      <c r="C3819">
        <v>40</v>
      </c>
      <c r="D3819" t="s">
        <v>21</v>
      </c>
      <c r="E3819" t="s">
        <v>22</v>
      </c>
      <c r="F3819" t="s">
        <v>65</v>
      </c>
      <c r="G3819" t="s">
        <v>66</v>
      </c>
      <c r="H3819" t="s">
        <v>76</v>
      </c>
      <c r="I3819" t="s">
        <v>80</v>
      </c>
      <c r="J3819" t="s">
        <v>60</v>
      </c>
      <c r="K3819">
        <v>8</v>
      </c>
      <c r="L3819">
        <v>53077</v>
      </c>
      <c r="M3819" t="s">
        <v>36</v>
      </c>
      <c r="N3819">
        <v>1</v>
      </c>
      <c r="O3819">
        <v>3</v>
      </c>
      <c r="P3819">
        <v>27</v>
      </c>
      <c r="Q3819">
        <v>1</v>
      </c>
      <c r="R3819" s="1">
        <v>42290</v>
      </c>
      <c r="S3819" t="s">
        <v>37</v>
      </c>
      <c r="T3819" t="str">
        <f t="shared" si="295"/>
        <v>Grade B</v>
      </c>
      <c r="U3819">
        <f t="shared" si="296"/>
        <v>1</v>
      </c>
      <c r="V3819" t="str">
        <f t="shared" si="297"/>
        <v>Mid Level</v>
      </c>
      <c r="W3819" t="str">
        <f t="shared" si="298"/>
        <v>Already Left</v>
      </c>
      <c r="X3819" t="str">
        <f t="shared" si="299"/>
        <v>Fair</v>
      </c>
    </row>
    <row r="3820" spans="1:24" x14ac:dyDescent="0.3">
      <c r="A3820" t="s">
        <v>3888</v>
      </c>
      <c r="B3820" t="s">
        <v>20</v>
      </c>
      <c r="C3820">
        <v>32</v>
      </c>
      <c r="D3820" t="s">
        <v>88</v>
      </c>
      <c r="E3820" t="s">
        <v>40</v>
      </c>
      <c r="F3820" t="s">
        <v>23</v>
      </c>
      <c r="G3820" t="s">
        <v>79</v>
      </c>
      <c r="H3820" t="s">
        <v>25</v>
      </c>
      <c r="I3820" t="s">
        <v>54</v>
      </c>
      <c r="J3820" t="s">
        <v>27</v>
      </c>
      <c r="K3820">
        <v>11</v>
      </c>
      <c r="L3820">
        <v>63708</v>
      </c>
      <c r="M3820" t="s">
        <v>51</v>
      </c>
      <c r="N3820">
        <v>3</v>
      </c>
      <c r="O3820">
        <v>2</v>
      </c>
      <c r="P3820">
        <v>12</v>
      </c>
      <c r="Q3820">
        <v>0</v>
      </c>
      <c r="R3820" s="1">
        <v>41030</v>
      </c>
      <c r="S3820" t="s">
        <v>37</v>
      </c>
      <c r="T3820" t="str">
        <f t="shared" si="295"/>
        <v>Grade B</v>
      </c>
      <c r="U3820">
        <f t="shared" si="296"/>
        <v>4</v>
      </c>
      <c r="V3820" t="str">
        <f t="shared" si="297"/>
        <v>Senior</v>
      </c>
      <c r="W3820" t="str">
        <f t="shared" si="298"/>
        <v>Already Left</v>
      </c>
      <c r="X3820" t="str">
        <f t="shared" si="299"/>
        <v>Fair</v>
      </c>
    </row>
    <row r="3821" spans="1:24" x14ac:dyDescent="0.3">
      <c r="A3821" t="s">
        <v>3889</v>
      </c>
      <c r="B3821" t="s">
        <v>39</v>
      </c>
      <c r="C3821">
        <v>38</v>
      </c>
      <c r="D3821" t="s">
        <v>47</v>
      </c>
      <c r="E3821" t="s">
        <v>22</v>
      </c>
      <c r="F3821" t="s">
        <v>41</v>
      </c>
      <c r="G3821" t="s">
        <v>24</v>
      </c>
      <c r="H3821" t="s">
        <v>76</v>
      </c>
      <c r="I3821" t="s">
        <v>68</v>
      </c>
      <c r="J3821" t="s">
        <v>60</v>
      </c>
      <c r="K3821">
        <v>13</v>
      </c>
      <c r="L3821">
        <v>92380</v>
      </c>
      <c r="M3821" t="s">
        <v>28</v>
      </c>
      <c r="N3821">
        <v>1</v>
      </c>
      <c r="O3821">
        <v>2</v>
      </c>
      <c r="P3821">
        <v>48</v>
      </c>
      <c r="Q3821">
        <v>0</v>
      </c>
      <c r="R3821" s="1">
        <v>40394</v>
      </c>
      <c r="S3821" t="s">
        <v>29</v>
      </c>
      <c r="T3821" t="str">
        <f t="shared" si="295"/>
        <v>Grade A</v>
      </c>
      <c r="U3821">
        <f t="shared" si="296"/>
        <v>3</v>
      </c>
      <c r="V3821" t="str">
        <f t="shared" si="297"/>
        <v>Senior</v>
      </c>
      <c r="W3821" t="str">
        <f t="shared" si="298"/>
        <v>Medium Risk</v>
      </c>
      <c r="X3821" t="str">
        <f t="shared" si="299"/>
        <v>Competitive</v>
      </c>
    </row>
    <row r="3822" spans="1:24" x14ac:dyDescent="0.3">
      <c r="A3822" t="s">
        <v>3890</v>
      </c>
      <c r="B3822" t="s">
        <v>39</v>
      </c>
      <c r="C3822">
        <v>50</v>
      </c>
      <c r="D3822" t="s">
        <v>47</v>
      </c>
      <c r="E3822" t="s">
        <v>22</v>
      </c>
      <c r="F3822" t="s">
        <v>65</v>
      </c>
      <c r="G3822" t="s">
        <v>33</v>
      </c>
      <c r="H3822" t="s">
        <v>76</v>
      </c>
      <c r="I3822" t="s">
        <v>54</v>
      </c>
      <c r="J3822" t="s">
        <v>27</v>
      </c>
      <c r="K3822">
        <v>12</v>
      </c>
      <c r="L3822">
        <v>80914</v>
      </c>
      <c r="M3822" t="s">
        <v>36</v>
      </c>
      <c r="N3822">
        <v>1</v>
      </c>
      <c r="O3822">
        <v>4</v>
      </c>
      <c r="P3822">
        <v>38</v>
      </c>
      <c r="Q3822">
        <v>2</v>
      </c>
      <c r="R3822" s="1">
        <v>40570</v>
      </c>
      <c r="S3822" t="s">
        <v>37</v>
      </c>
      <c r="T3822" t="str">
        <f t="shared" si="295"/>
        <v>Grade A</v>
      </c>
      <c r="U3822">
        <f t="shared" si="296"/>
        <v>1</v>
      </c>
      <c r="V3822" t="str">
        <f t="shared" si="297"/>
        <v>Senior</v>
      </c>
      <c r="W3822" t="str">
        <f t="shared" si="298"/>
        <v>Already Left</v>
      </c>
      <c r="X3822" t="str">
        <f t="shared" si="299"/>
        <v>Overpaid</v>
      </c>
    </row>
    <row r="3823" spans="1:24" x14ac:dyDescent="0.3">
      <c r="A3823" t="s">
        <v>3891</v>
      </c>
      <c r="B3823" t="s">
        <v>20</v>
      </c>
      <c r="C3823">
        <v>54</v>
      </c>
      <c r="D3823" t="s">
        <v>88</v>
      </c>
      <c r="E3823" t="s">
        <v>48</v>
      </c>
      <c r="F3823" t="s">
        <v>41</v>
      </c>
      <c r="G3823" t="s">
        <v>79</v>
      </c>
      <c r="H3823" t="s">
        <v>67</v>
      </c>
      <c r="I3823" t="s">
        <v>96</v>
      </c>
      <c r="J3823" t="s">
        <v>44</v>
      </c>
      <c r="K3823">
        <v>12</v>
      </c>
      <c r="L3823">
        <v>70421</v>
      </c>
      <c r="M3823" t="s">
        <v>36</v>
      </c>
      <c r="N3823">
        <v>2</v>
      </c>
      <c r="O3823">
        <v>3</v>
      </c>
      <c r="P3823">
        <v>30</v>
      </c>
      <c r="Q3823">
        <v>2</v>
      </c>
      <c r="R3823" s="1">
        <v>40782</v>
      </c>
      <c r="S3823" t="s">
        <v>37</v>
      </c>
      <c r="T3823" t="str">
        <f t="shared" si="295"/>
        <v>Grade B</v>
      </c>
      <c r="U3823">
        <f t="shared" si="296"/>
        <v>1</v>
      </c>
      <c r="V3823" t="str">
        <f t="shared" si="297"/>
        <v>Senior</v>
      </c>
      <c r="W3823" t="str">
        <f t="shared" si="298"/>
        <v>Already Left</v>
      </c>
      <c r="X3823" t="str">
        <f t="shared" si="299"/>
        <v>Fair</v>
      </c>
    </row>
    <row r="3824" spans="1:24" x14ac:dyDescent="0.3">
      <c r="A3824" t="s">
        <v>3892</v>
      </c>
      <c r="B3824" t="s">
        <v>39</v>
      </c>
      <c r="C3824">
        <v>40</v>
      </c>
      <c r="D3824" t="s">
        <v>47</v>
      </c>
      <c r="E3824" t="s">
        <v>48</v>
      </c>
      <c r="F3824" t="s">
        <v>65</v>
      </c>
      <c r="G3824" t="s">
        <v>66</v>
      </c>
      <c r="H3824" t="s">
        <v>67</v>
      </c>
      <c r="I3824" t="s">
        <v>35</v>
      </c>
      <c r="J3824" t="s">
        <v>27</v>
      </c>
      <c r="K3824">
        <v>6</v>
      </c>
      <c r="L3824">
        <v>40929</v>
      </c>
      <c r="M3824" t="s">
        <v>45</v>
      </c>
      <c r="N3824">
        <v>1</v>
      </c>
      <c r="O3824">
        <v>3</v>
      </c>
      <c r="P3824">
        <v>40</v>
      </c>
      <c r="Q3824">
        <v>3</v>
      </c>
      <c r="R3824" s="1">
        <v>42964</v>
      </c>
      <c r="S3824" t="s">
        <v>29</v>
      </c>
      <c r="T3824" t="str">
        <f t="shared" si="295"/>
        <v>Grade C</v>
      </c>
      <c r="U3824">
        <f t="shared" si="296"/>
        <v>2</v>
      </c>
      <c r="V3824" t="str">
        <f t="shared" si="297"/>
        <v>Mid Level</v>
      </c>
      <c r="W3824" t="str">
        <f t="shared" si="298"/>
        <v>Medium Risk</v>
      </c>
      <c r="X3824" t="str">
        <f t="shared" si="299"/>
        <v>Fair</v>
      </c>
    </row>
    <row r="3825" spans="1:24" x14ac:dyDescent="0.3">
      <c r="A3825" t="s">
        <v>3893</v>
      </c>
      <c r="B3825" t="s">
        <v>20</v>
      </c>
      <c r="C3825">
        <v>38</v>
      </c>
      <c r="D3825" t="s">
        <v>21</v>
      </c>
      <c r="E3825" t="s">
        <v>48</v>
      </c>
      <c r="F3825" t="s">
        <v>62</v>
      </c>
      <c r="G3825" t="s">
        <v>42</v>
      </c>
      <c r="H3825" t="s">
        <v>67</v>
      </c>
      <c r="I3825" t="s">
        <v>68</v>
      </c>
      <c r="J3825" t="s">
        <v>60</v>
      </c>
      <c r="K3825">
        <v>9</v>
      </c>
      <c r="L3825">
        <v>121297</v>
      </c>
      <c r="M3825" t="s">
        <v>51</v>
      </c>
      <c r="N3825">
        <v>3</v>
      </c>
      <c r="O3825">
        <v>2</v>
      </c>
      <c r="P3825">
        <v>56</v>
      </c>
      <c r="Q3825">
        <v>0</v>
      </c>
      <c r="R3825" s="1">
        <v>41991</v>
      </c>
      <c r="S3825" t="s">
        <v>29</v>
      </c>
      <c r="T3825" t="str">
        <f t="shared" si="295"/>
        <v>Grade A</v>
      </c>
      <c r="U3825">
        <f t="shared" si="296"/>
        <v>4</v>
      </c>
      <c r="V3825" t="str">
        <f t="shared" si="297"/>
        <v>Mid Level</v>
      </c>
      <c r="W3825" t="str">
        <f t="shared" si="298"/>
        <v>Low Risk</v>
      </c>
      <c r="X3825" t="str">
        <f t="shared" si="299"/>
        <v>Competitive</v>
      </c>
    </row>
    <row r="3826" spans="1:24" x14ac:dyDescent="0.3">
      <c r="A3826" t="s">
        <v>3894</v>
      </c>
      <c r="B3826" t="s">
        <v>39</v>
      </c>
      <c r="C3826">
        <v>28</v>
      </c>
      <c r="D3826" t="s">
        <v>31</v>
      </c>
      <c r="E3826" t="s">
        <v>48</v>
      </c>
      <c r="F3826" t="s">
        <v>75</v>
      </c>
      <c r="G3826" t="s">
        <v>33</v>
      </c>
      <c r="H3826" t="s">
        <v>34</v>
      </c>
      <c r="I3826" t="s">
        <v>54</v>
      </c>
      <c r="J3826" t="s">
        <v>27</v>
      </c>
      <c r="K3826">
        <v>4</v>
      </c>
      <c r="L3826">
        <v>68877</v>
      </c>
      <c r="M3826" t="s">
        <v>28</v>
      </c>
      <c r="N3826">
        <v>1</v>
      </c>
      <c r="O3826">
        <v>1</v>
      </c>
      <c r="P3826">
        <v>64</v>
      </c>
      <c r="Q3826">
        <v>1</v>
      </c>
      <c r="R3826" s="1">
        <v>43539</v>
      </c>
      <c r="S3826" t="s">
        <v>29</v>
      </c>
      <c r="T3826" t="str">
        <f t="shared" si="295"/>
        <v>Grade B</v>
      </c>
      <c r="U3826">
        <f t="shared" si="296"/>
        <v>3</v>
      </c>
      <c r="V3826" t="str">
        <f t="shared" si="297"/>
        <v>Junior</v>
      </c>
      <c r="W3826" t="str">
        <f t="shared" si="298"/>
        <v>Medium Risk</v>
      </c>
      <c r="X3826" t="str">
        <f t="shared" si="299"/>
        <v>Competitive</v>
      </c>
    </row>
    <row r="3827" spans="1:24" x14ac:dyDescent="0.3">
      <c r="A3827" t="s">
        <v>3895</v>
      </c>
      <c r="B3827" t="s">
        <v>20</v>
      </c>
      <c r="C3827">
        <v>33</v>
      </c>
      <c r="D3827" t="s">
        <v>88</v>
      </c>
      <c r="E3827" t="s">
        <v>48</v>
      </c>
      <c r="F3827" t="s">
        <v>65</v>
      </c>
      <c r="G3827" t="s">
        <v>42</v>
      </c>
      <c r="H3827" t="s">
        <v>34</v>
      </c>
      <c r="I3827" t="s">
        <v>54</v>
      </c>
      <c r="J3827" t="s">
        <v>27</v>
      </c>
      <c r="K3827">
        <v>6</v>
      </c>
      <c r="L3827">
        <v>108377</v>
      </c>
      <c r="M3827" t="s">
        <v>45</v>
      </c>
      <c r="N3827">
        <v>3</v>
      </c>
      <c r="O3827">
        <v>2</v>
      </c>
      <c r="P3827">
        <v>71</v>
      </c>
      <c r="Q3827">
        <v>0</v>
      </c>
      <c r="R3827" s="1">
        <v>42781</v>
      </c>
      <c r="S3827" t="s">
        <v>37</v>
      </c>
      <c r="T3827" t="str">
        <f t="shared" si="295"/>
        <v>Grade A</v>
      </c>
      <c r="U3827">
        <f t="shared" si="296"/>
        <v>2</v>
      </c>
      <c r="V3827" t="str">
        <f t="shared" si="297"/>
        <v>Mid Level</v>
      </c>
      <c r="W3827" t="str">
        <f t="shared" si="298"/>
        <v>Already Left</v>
      </c>
      <c r="X3827" t="str">
        <f t="shared" si="299"/>
        <v>Fair</v>
      </c>
    </row>
    <row r="3828" spans="1:24" x14ac:dyDescent="0.3">
      <c r="A3828" t="s">
        <v>3896</v>
      </c>
      <c r="B3828" t="s">
        <v>20</v>
      </c>
      <c r="C3828">
        <v>25</v>
      </c>
      <c r="D3828" t="s">
        <v>31</v>
      </c>
      <c r="E3828" t="s">
        <v>22</v>
      </c>
      <c r="F3828" t="s">
        <v>78</v>
      </c>
      <c r="G3828" t="s">
        <v>66</v>
      </c>
      <c r="H3828" t="s">
        <v>76</v>
      </c>
      <c r="I3828" t="s">
        <v>80</v>
      </c>
      <c r="J3828" t="s">
        <v>60</v>
      </c>
      <c r="K3828">
        <v>10</v>
      </c>
      <c r="L3828">
        <v>57988</v>
      </c>
      <c r="M3828" t="s">
        <v>51</v>
      </c>
      <c r="N3828">
        <v>2</v>
      </c>
      <c r="O3828">
        <v>3</v>
      </c>
      <c r="P3828">
        <v>49</v>
      </c>
      <c r="Q3828">
        <v>0</v>
      </c>
      <c r="R3828" s="1">
        <v>41522</v>
      </c>
      <c r="S3828" t="s">
        <v>29</v>
      </c>
      <c r="T3828" t="str">
        <f t="shared" si="295"/>
        <v>Grade B</v>
      </c>
      <c r="U3828">
        <f t="shared" si="296"/>
        <v>4</v>
      </c>
      <c r="V3828" t="str">
        <f t="shared" si="297"/>
        <v>Mid Level</v>
      </c>
      <c r="W3828" t="str">
        <f t="shared" si="298"/>
        <v>Low Risk</v>
      </c>
      <c r="X3828" t="str">
        <f t="shared" si="299"/>
        <v>Fair</v>
      </c>
    </row>
    <row r="3829" spans="1:24" x14ac:dyDescent="0.3">
      <c r="A3829" t="s">
        <v>3897</v>
      </c>
      <c r="B3829" t="s">
        <v>39</v>
      </c>
      <c r="C3829">
        <v>43</v>
      </c>
      <c r="D3829" t="s">
        <v>21</v>
      </c>
      <c r="E3829" t="s">
        <v>22</v>
      </c>
      <c r="F3829" t="s">
        <v>78</v>
      </c>
      <c r="G3829" t="s">
        <v>33</v>
      </c>
      <c r="H3829" t="s">
        <v>25</v>
      </c>
      <c r="I3829" t="s">
        <v>68</v>
      </c>
      <c r="J3829" t="s">
        <v>60</v>
      </c>
      <c r="K3829">
        <v>5</v>
      </c>
      <c r="L3829">
        <v>61733</v>
      </c>
      <c r="M3829" t="s">
        <v>45</v>
      </c>
      <c r="N3829">
        <v>2</v>
      </c>
      <c r="O3829">
        <v>4</v>
      </c>
      <c r="P3829">
        <v>41</v>
      </c>
      <c r="Q3829">
        <v>3</v>
      </c>
      <c r="R3829" s="1">
        <v>43326</v>
      </c>
      <c r="S3829" t="s">
        <v>37</v>
      </c>
      <c r="T3829" t="str">
        <f t="shared" si="295"/>
        <v>Grade B</v>
      </c>
      <c r="U3829">
        <f t="shared" si="296"/>
        <v>2</v>
      </c>
      <c r="V3829" t="str">
        <f t="shared" si="297"/>
        <v>Junior</v>
      </c>
      <c r="W3829" t="str">
        <f t="shared" si="298"/>
        <v>Already Left</v>
      </c>
      <c r="X3829" t="str">
        <f t="shared" si="299"/>
        <v>Fair</v>
      </c>
    </row>
    <row r="3830" spans="1:24" x14ac:dyDescent="0.3">
      <c r="A3830" t="s">
        <v>3898</v>
      </c>
      <c r="B3830" t="s">
        <v>20</v>
      </c>
      <c r="C3830">
        <v>41</v>
      </c>
      <c r="D3830" t="s">
        <v>88</v>
      </c>
      <c r="E3830" t="s">
        <v>40</v>
      </c>
      <c r="F3830" t="s">
        <v>32</v>
      </c>
      <c r="G3830" t="s">
        <v>79</v>
      </c>
      <c r="H3830" t="s">
        <v>25</v>
      </c>
      <c r="I3830" t="s">
        <v>35</v>
      </c>
      <c r="J3830" t="s">
        <v>27</v>
      </c>
      <c r="K3830">
        <v>3</v>
      </c>
      <c r="L3830">
        <v>40037</v>
      </c>
      <c r="M3830" t="s">
        <v>51</v>
      </c>
      <c r="N3830">
        <v>1</v>
      </c>
      <c r="O3830">
        <v>3</v>
      </c>
      <c r="P3830">
        <v>59</v>
      </c>
      <c r="Q3830">
        <v>0</v>
      </c>
      <c r="R3830" s="1">
        <v>44060</v>
      </c>
      <c r="S3830" t="s">
        <v>37</v>
      </c>
      <c r="T3830" t="str">
        <f t="shared" si="295"/>
        <v>Grade C</v>
      </c>
      <c r="U3830">
        <f t="shared" si="296"/>
        <v>4</v>
      </c>
      <c r="V3830" t="str">
        <f t="shared" si="297"/>
        <v>Junior</v>
      </c>
      <c r="W3830" t="str">
        <f t="shared" si="298"/>
        <v>Already Left</v>
      </c>
      <c r="X3830" t="str">
        <f t="shared" si="299"/>
        <v>Fair</v>
      </c>
    </row>
    <row r="3831" spans="1:24" x14ac:dyDescent="0.3">
      <c r="A3831" t="s">
        <v>3899</v>
      </c>
      <c r="B3831" t="s">
        <v>20</v>
      </c>
      <c r="C3831">
        <v>49</v>
      </c>
      <c r="D3831" t="s">
        <v>47</v>
      </c>
      <c r="E3831" t="s">
        <v>48</v>
      </c>
      <c r="F3831" t="s">
        <v>65</v>
      </c>
      <c r="G3831" t="s">
        <v>49</v>
      </c>
      <c r="H3831" t="s">
        <v>67</v>
      </c>
      <c r="I3831" t="s">
        <v>43</v>
      </c>
      <c r="J3831" t="s">
        <v>44</v>
      </c>
      <c r="K3831">
        <v>11</v>
      </c>
      <c r="L3831">
        <v>62674</v>
      </c>
      <c r="M3831" t="s">
        <v>45</v>
      </c>
      <c r="N3831">
        <v>1</v>
      </c>
      <c r="O3831">
        <v>4</v>
      </c>
      <c r="P3831">
        <v>58</v>
      </c>
      <c r="Q3831">
        <v>0</v>
      </c>
      <c r="R3831" s="1">
        <v>41061</v>
      </c>
      <c r="S3831" t="s">
        <v>29</v>
      </c>
      <c r="T3831" t="str">
        <f t="shared" si="295"/>
        <v>Grade B</v>
      </c>
      <c r="U3831">
        <f t="shared" si="296"/>
        <v>2</v>
      </c>
      <c r="V3831" t="str">
        <f t="shared" si="297"/>
        <v>Senior</v>
      </c>
      <c r="W3831" t="str">
        <f t="shared" si="298"/>
        <v>Medium Risk</v>
      </c>
      <c r="X3831" t="str">
        <f t="shared" si="299"/>
        <v>Fair</v>
      </c>
    </row>
    <row r="3832" spans="1:24" x14ac:dyDescent="0.3">
      <c r="A3832" t="s">
        <v>3900</v>
      </c>
      <c r="B3832" t="s">
        <v>20</v>
      </c>
      <c r="C3832">
        <v>34</v>
      </c>
      <c r="D3832" t="s">
        <v>57</v>
      </c>
      <c r="E3832" t="s">
        <v>22</v>
      </c>
      <c r="F3832" t="s">
        <v>65</v>
      </c>
      <c r="G3832" t="s">
        <v>58</v>
      </c>
      <c r="H3832" t="s">
        <v>76</v>
      </c>
      <c r="I3832" t="s">
        <v>72</v>
      </c>
      <c r="J3832" t="s">
        <v>73</v>
      </c>
      <c r="K3832">
        <v>4</v>
      </c>
      <c r="L3832">
        <v>91550</v>
      </c>
      <c r="M3832" t="s">
        <v>36</v>
      </c>
      <c r="N3832">
        <v>2</v>
      </c>
      <c r="O3832">
        <v>2</v>
      </c>
      <c r="P3832">
        <v>20</v>
      </c>
      <c r="Q3832">
        <v>1</v>
      </c>
      <c r="R3832" s="1">
        <v>43506</v>
      </c>
      <c r="S3832" t="s">
        <v>37</v>
      </c>
      <c r="T3832" t="str">
        <f t="shared" si="295"/>
        <v>Grade A</v>
      </c>
      <c r="U3832">
        <f t="shared" si="296"/>
        <v>1</v>
      </c>
      <c r="V3832" t="str">
        <f t="shared" si="297"/>
        <v>Junior</v>
      </c>
      <c r="W3832" t="str">
        <f t="shared" si="298"/>
        <v>Already Left</v>
      </c>
      <c r="X3832" t="str">
        <f t="shared" si="299"/>
        <v>Overpaid</v>
      </c>
    </row>
    <row r="3833" spans="1:24" x14ac:dyDescent="0.3">
      <c r="A3833" t="s">
        <v>3901</v>
      </c>
      <c r="B3833" t="s">
        <v>20</v>
      </c>
      <c r="C3833">
        <v>52</v>
      </c>
      <c r="D3833" t="s">
        <v>47</v>
      </c>
      <c r="E3833" t="s">
        <v>40</v>
      </c>
      <c r="F3833" t="s">
        <v>53</v>
      </c>
      <c r="G3833" t="s">
        <v>79</v>
      </c>
      <c r="H3833" t="s">
        <v>83</v>
      </c>
      <c r="I3833" t="s">
        <v>26</v>
      </c>
      <c r="J3833" t="s">
        <v>27</v>
      </c>
      <c r="K3833">
        <v>9</v>
      </c>
      <c r="L3833">
        <v>51851</v>
      </c>
      <c r="M3833" t="s">
        <v>51</v>
      </c>
      <c r="N3833">
        <v>1</v>
      </c>
      <c r="O3833">
        <v>1</v>
      </c>
      <c r="P3833">
        <v>67</v>
      </c>
      <c r="Q3833">
        <v>3</v>
      </c>
      <c r="R3833" s="1">
        <v>41896</v>
      </c>
      <c r="S3833" t="s">
        <v>37</v>
      </c>
      <c r="T3833" t="str">
        <f t="shared" si="295"/>
        <v>Grade B</v>
      </c>
      <c r="U3833">
        <f t="shared" si="296"/>
        <v>4</v>
      </c>
      <c r="V3833" t="str">
        <f t="shared" si="297"/>
        <v>Mid Level</v>
      </c>
      <c r="W3833" t="str">
        <f t="shared" si="298"/>
        <v>Already Left</v>
      </c>
      <c r="X3833" t="str">
        <f t="shared" si="299"/>
        <v>Fair</v>
      </c>
    </row>
    <row r="3834" spans="1:24" x14ac:dyDescent="0.3">
      <c r="A3834" t="s">
        <v>3902</v>
      </c>
      <c r="B3834" t="s">
        <v>20</v>
      </c>
      <c r="C3834">
        <v>34</v>
      </c>
      <c r="D3834" t="s">
        <v>47</v>
      </c>
      <c r="E3834" t="s">
        <v>22</v>
      </c>
      <c r="F3834" t="s">
        <v>41</v>
      </c>
      <c r="G3834" t="s">
        <v>33</v>
      </c>
      <c r="H3834" t="s">
        <v>34</v>
      </c>
      <c r="I3834" t="s">
        <v>35</v>
      </c>
      <c r="J3834" t="s">
        <v>27</v>
      </c>
      <c r="K3834">
        <v>9</v>
      </c>
      <c r="L3834">
        <v>68355</v>
      </c>
      <c r="M3834" t="s">
        <v>36</v>
      </c>
      <c r="N3834">
        <v>4</v>
      </c>
      <c r="O3834">
        <v>3</v>
      </c>
      <c r="P3834">
        <v>14</v>
      </c>
      <c r="Q3834">
        <v>1</v>
      </c>
      <c r="R3834" s="1">
        <v>41787</v>
      </c>
      <c r="S3834" t="s">
        <v>37</v>
      </c>
      <c r="T3834" t="str">
        <f t="shared" si="295"/>
        <v>Grade B</v>
      </c>
      <c r="U3834">
        <f t="shared" si="296"/>
        <v>1</v>
      </c>
      <c r="V3834" t="str">
        <f t="shared" si="297"/>
        <v>Mid Level</v>
      </c>
      <c r="W3834" t="str">
        <f t="shared" si="298"/>
        <v>Already Left</v>
      </c>
      <c r="X3834" t="str">
        <f t="shared" si="299"/>
        <v>Fair</v>
      </c>
    </row>
    <row r="3835" spans="1:24" x14ac:dyDescent="0.3">
      <c r="A3835" t="s">
        <v>3903</v>
      </c>
      <c r="B3835" t="s">
        <v>39</v>
      </c>
      <c r="C3835">
        <v>45</v>
      </c>
      <c r="D3835" t="s">
        <v>31</v>
      </c>
      <c r="E3835" t="s">
        <v>22</v>
      </c>
      <c r="F3835" t="s">
        <v>41</v>
      </c>
      <c r="G3835" t="s">
        <v>42</v>
      </c>
      <c r="H3835" t="s">
        <v>67</v>
      </c>
      <c r="I3835" t="s">
        <v>59</v>
      </c>
      <c r="J3835" t="s">
        <v>60</v>
      </c>
      <c r="K3835">
        <v>3</v>
      </c>
      <c r="L3835">
        <v>110869</v>
      </c>
      <c r="M3835" t="s">
        <v>36</v>
      </c>
      <c r="N3835">
        <v>2</v>
      </c>
      <c r="O3835">
        <v>3</v>
      </c>
      <c r="P3835">
        <v>58</v>
      </c>
      <c r="Q3835">
        <v>2</v>
      </c>
      <c r="R3835" s="1">
        <v>44060</v>
      </c>
      <c r="S3835" t="s">
        <v>37</v>
      </c>
      <c r="T3835" t="str">
        <f t="shared" si="295"/>
        <v>Grade A</v>
      </c>
      <c r="U3835">
        <f t="shared" si="296"/>
        <v>1</v>
      </c>
      <c r="V3835" t="str">
        <f t="shared" si="297"/>
        <v>Junior</v>
      </c>
      <c r="W3835" t="str">
        <f t="shared" si="298"/>
        <v>Already Left</v>
      </c>
      <c r="X3835" t="str">
        <f t="shared" si="299"/>
        <v>Overpaid</v>
      </c>
    </row>
    <row r="3836" spans="1:24" x14ac:dyDescent="0.3">
      <c r="A3836" t="s">
        <v>3904</v>
      </c>
      <c r="B3836" t="s">
        <v>20</v>
      </c>
      <c r="C3836">
        <v>55</v>
      </c>
      <c r="D3836" t="s">
        <v>21</v>
      </c>
      <c r="E3836" t="s">
        <v>22</v>
      </c>
      <c r="F3836" t="s">
        <v>32</v>
      </c>
      <c r="G3836" t="s">
        <v>66</v>
      </c>
      <c r="H3836" t="s">
        <v>34</v>
      </c>
      <c r="I3836" t="s">
        <v>96</v>
      </c>
      <c r="J3836" t="s">
        <v>44</v>
      </c>
      <c r="K3836">
        <v>4</v>
      </c>
      <c r="L3836">
        <v>40034</v>
      </c>
      <c r="M3836" t="s">
        <v>45</v>
      </c>
      <c r="N3836">
        <v>3</v>
      </c>
      <c r="O3836">
        <v>2</v>
      </c>
      <c r="P3836">
        <v>57</v>
      </c>
      <c r="Q3836">
        <v>2</v>
      </c>
      <c r="R3836" s="1">
        <v>43741</v>
      </c>
      <c r="S3836" t="s">
        <v>29</v>
      </c>
      <c r="T3836" t="str">
        <f t="shared" si="295"/>
        <v>Grade C</v>
      </c>
      <c r="U3836">
        <f t="shared" si="296"/>
        <v>2</v>
      </c>
      <c r="V3836" t="str">
        <f t="shared" si="297"/>
        <v>Junior</v>
      </c>
      <c r="W3836" t="str">
        <f t="shared" si="298"/>
        <v>Medium Risk</v>
      </c>
      <c r="X3836" t="str">
        <f t="shared" si="299"/>
        <v>Fair</v>
      </c>
    </row>
    <row r="3837" spans="1:24" x14ac:dyDescent="0.3">
      <c r="A3837" t="s">
        <v>3905</v>
      </c>
      <c r="B3837" t="s">
        <v>39</v>
      </c>
      <c r="C3837">
        <v>22</v>
      </c>
      <c r="D3837" t="s">
        <v>21</v>
      </c>
      <c r="E3837" t="s">
        <v>40</v>
      </c>
      <c r="F3837" t="s">
        <v>75</v>
      </c>
      <c r="G3837" t="s">
        <v>49</v>
      </c>
      <c r="H3837" t="s">
        <v>67</v>
      </c>
      <c r="I3837" t="s">
        <v>54</v>
      </c>
      <c r="J3837" t="s">
        <v>27</v>
      </c>
      <c r="K3837">
        <v>1</v>
      </c>
      <c r="L3837">
        <v>47979</v>
      </c>
      <c r="M3837" t="s">
        <v>51</v>
      </c>
      <c r="N3837">
        <v>2</v>
      </c>
      <c r="O3837">
        <v>4</v>
      </c>
      <c r="P3837">
        <v>78</v>
      </c>
      <c r="Q3837">
        <v>3</v>
      </c>
      <c r="R3837" s="1">
        <v>44909</v>
      </c>
      <c r="S3837" t="s">
        <v>29</v>
      </c>
      <c r="T3837" t="str">
        <f t="shared" si="295"/>
        <v>Grade C</v>
      </c>
      <c r="U3837">
        <f t="shared" si="296"/>
        <v>4</v>
      </c>
      <c r="V3837" t="str">
        <f t="shared" si="297"/>
        <v>New Joiner</v>
      </c>
      <c r="W3837" t="str">
        <f t="shared" si="298"/>
        <v>Low Risk</v>
      </c>
      <c r="X3837" t="str">
        <f t="shared" si="299"/>
        <v>Fair</v>
      </c>
    </row>
    <row r="3838" spans="1:24" x14ac:dyDescent="0.3">
      <c r="A3838" t="s">
        <v>3906</v>
      </c>
      <c r="B3838" t="s">
        <v>20</v>
      </c>
      <c r="C3838">
        <v>25</v>
      </c>
      <c r="D3838" t="s">
        <v>31</v>
      </c>
      <c r="E3838" t="s">
        <v>22</v>
      </c>
      <c r="F3838" t="s">
        <v>41</v>
      </c>
      <c r="G3838" t="s">
        <v>66</v>
      </c>
      <c r="H3838" t="s">
        <v>76</v>
      </c>
      <c r="I3838" t="s">
        <v>50</v>
      </c>
      <c r="J3838" t="s">
        <v>44</v>
      </c>
      <c r="K3838">
        <v>9</v>
      </c>
      <c r="L3838">
        <v>53593</v>
      </c>
      <c r="M3838" t="s">
        <v>28</v>
      </c>
      <c r="N3838">
        <v>1</v>
      </c>
      <c r="O3838">
        <v>4</v>
      </c>
      <c r="P3838">
        <v>58</v>
      </c>
      <c r="Q3838">
        <v>0</v>
      </c>
      <c r="R3838" s="1">
        <v>41821</v>
      </c>
      <c r="S3838" t="s">
        <v>29</v>
      </c>
      <c r="T3838" t="str">
        <f t="shared" si="295"/>
        <v>Grade B</v>
      </c>
      <c r="U3838">
        <f t="shared" si="296"/>
        <v>3</v>
      </c>
      <c r="V3838" t="str">
        <f t="shared" si="297"/>
        <v>Mid Level</v>
      </c>
      <c r="W3838" t="str">
        <f t="shared" si="298"/>
        <v>Medium Risk</v>
      </c>
      <c r="X3838" t="str">
        <f t="shared" si="299"/>
        <v>Competitive</v>
      </c>
    </row>
    <row r="3839" spans="1:24" x14ac:dyDescent="0.3">
      <c r="A3839" t="s">
        <v>3907</v>
      </c>
      <c r="B3839" t="s">
        <v>20</v>
      </c>
      <c r="C3839">
        <v>22</v>
      </c>
      <c r="D3839" t="s">
        <v>31</v>
      </c>
      <c r="E3839" t="s">
        <v>40</v>
      </c>
      <c r="F3839" t="s">
        <v>53</v>
      </c>
      <c r="G3839" t="s">
        <v>42</v>
      </c>
      <c r="H3839" t="s">
        <v>76</v>
      </c>
      <c r="I3839" t="s">
        <v>80</v>
      </c>
      <c r="J3839" t="s">
        <v>60</v>
      </c>
      <c r="K3839">
        <v>3</v>
      </c>
      <c r="L3839">
        <v>101016</v>
      </c>
      <c r="M3839" t="s">
        <v>36</v>
      </c>
      <c r="N3839">
        <v>1</v>
      </c>
      <c r="O3839">
        <v>1</v>
      </c>
      <c r="P3839">
        <v>12</v>
      </c>
      <c r="Q3839">
        <v>0</v>
      </c>
      <c r="R3839" s="1">
        <v>43944</v>
      </c>
      <c r="S3839" t="s">
        <v>37</v>
      </c>
      <c r="T3839" t="str">
        <f t="shared" si="295"/>
        <v>Grade A</v>
      </c>
      <c r="U3839">
        <f t="shared" si="296"/>
        <v>1</v>
      </c>
      <c r="V3839" t="str">
        <f t="shared" si="297"/>
        <v>Junior</v>
      </c>
      <c r="W3839" t="str">
        <f t="shared" si="298"/>
        <v>Already Left</v>
      </c>
      <c r="X3839" t="str">
        <f t="shared" si="299"/>
        <v>Overpaid</v>
      </c>
    </row>
    <row r="3840" spans="1:24" x14ac:dyDescent="0.3">
      <c r="A3840" t="s">
        <v>3908</v>
      </c>
      <c r="B3840" t="s">
        <v>20</v>
      </c>
      <c r="C3840">
        <v>38</v>
      </c>
      <c r="D3840" t="s">
        <v>88</v>
      </c>
      <c r="E3840" t="s">
        <v>40</v>
      </c>
      <c r="F3840" t="s">
        <v>53</v>
      </c>
      <c r="G3840" t="s">
        <v>79</v>
      </c>
      <c r="H3840" t="s">
        <v>76</v>
      </c>
      <c r="I3840" t="s">
        <v>50</v>
      </c>
      <c r="J3840" t="s">
        <v>44</v>
      </c>
      <c r="K3840">
        <v>10</v>
      </c>
      <c r="L3840">
        <v>56648</v>
      </c>
      <c r="M3840" t="s">
        <v>45</v>
      </c>
      <c r="N3840">
        <v>3</v>
      </c>
      <c r="O3840">
        <v>4</v>
      </c>
      <c r="P3840">
        <v>44</v>
      </c>
      <c r="Q3840">
        <v>1</v>
      </c>
      <c r="R3840" s="1">
        <v>41306</v>
      </c>
      <c r="S3840" t="s">
        <v>29</v>
      </c>
      <c r="T3840" t="str">
        <f t="shared" si="295"/>
        <v>Grade B</v>
      </c>
      <c r="U3840">
        <f t="shared" si="296"/>
        <v>2</v>
      </c>
      <c r="V3840" t="str">
        <f t="shared" si="297"/>
        <v>Mid Level</v>
      </c>
      <c r="W3840" t="str">
        <f t="shared" si="298"/>
        <v>Medium Risk</v>
      </c>
      <c r="X3840" t="str">
        <f t="shared" si="299"/>
        <v>Fair</v>
      </c>
    </row>
    <row r="3841" spans="1:24" x14ac:dyDescent="0.3">
      <c r="A3841" t="s">
        <v>3909</v>
      </c>
      <c r="B3841" t="s">
        <v>39</v>
      </c>
      <c r="C3841">
        <v>22</v>
      </c>
      <c r="D3841" t="s">
        <v>31</v>
      </c>
      <c r="E3841" t="s">
        <v>22</v>
      </c>
      <c r="F3841" t="s">
        <v>53</v>
      </c>
      <c r="G3841" t="s">
        <v>49</v>
      </c>
      <c r="H3841" t="s">
        <v>76</v>
      </c>
      <c r="I3841" t="s">
        <v>72</v>
      </c>
      <c r="J3841" t="s">
        <v>73</v>
      </c>
      <c r="K3841">
        <v>12</v>
      </c>
      <c r="L3841">
        <v>66956</v>
      </c>
      <c r="M3841" t="s">
        <v>45</v>
      </c>
      <c r="N3841">
        <v>4</v>
      </c>
      <c r="O3841">
        <v>2</v>
      </c>
      <c r="P3841">
        <v>55</v>
      </c>
      <c r="Q3841">
        <v>3</v>
      </c>
      <c r="R3841" s="1">
        <v>40662</v>
      </c>
      <c r="S3841" t="s">
        <v>29</v>
      </c>
      <c r="T3841" t="str">
        <f t="shared" si="295"/>
        <v>Grade B</v>
      </c>
      <c r="U3841">
        <f t="shared" si="296"/>
        <v>2</v>
      </c>
      <c r="V3841" t="str">
        <f t="shared" si="297"/>
        <v>Senior</v>
      </c>
      <c r="W3841" t="str">
        <f t="shared" si="298"/>
        <v>Medium Risk</v>
      </c>
      <c r="X3841" t="str">
        <f t="shared" si="299"/>
        <v>Fair</v>
      </c>
    </row>
    <row r="3842" spans="1:24" x14ac:dyDescent="0.3">
      <c r="A3842" t="s">
        <v>3910</v>
      </c>
      <c r="B3842" t="s">
        <v>39</v>
      </c>
      <c r="C3842">
        <v>25</v>
      </c>
      <c r="D3842" t="s">
        <v>21</v>
      </c>
      <c r="E3842" t="s">
        <v>22</v>
      </c>
      <c r="F3842" t="s">
        <v>75</v>
      </c>
      <c r="G3842" t="s">
        <v>49</v>
      </c>
      <c r="H3842" t="s">
        <v>67</v>
      </c>
      <c r="I3842" t="s">
        <v>72</v>
      </c>
      <c r="J3842" t="s">
        <v>73</v>
      </c>
      <c r="K3842">
        <v>8</v>
      </c>
      <c r="L3842">
        <v>64432</v>
      </c>
      <c r="M3842" t="s">
        <v>28</v>
      </c>
      <c r="N3842">
        <v>1</v>
      </c>
      <c r="O3842">
        <v>2</v>
      </c>
      <c r="P3842">
        <v>42</v>
      </c>
      <c r="Q3842">
        <v>1</v>
      </c>
      <c r="R3842" s="1">
        <v>42215</v>
      </c>
      <c r="S3842" t="s">
        <v>29</v>
      </c>
      <c r="T3842" t="str">
        <f t="shared" ref="T3842:T3905" si="300">IF(L3842&gt;=80000,"Grade A",IF(L3842&gt;=50000,"Grade B",IF(L3842&gt;=35000,"Grade C","Grade D")))</f>
        <v>Grade B</v>
      </c>
      <c r="U3842">
        <f t="shared" ref="U3842:U3905" si="301">IF(M3842="Excellent",4,IF(M3842="Good",3,IF(M3842="Average",2,1)))</f>
        <v>3</v>
      </c>
      <c r="V3842" t="str">
        <f t="shared" ref="V3842:V3905" si="302">IF(K3842&lt;=2,"New Joiner",IF(K3842&lt;=5,"Junior",IF(K3842&lt;=10,"Mid Level","Senior")))</f>
        <v>Mid Level</v>
      </c>
      <c r="W3842" t="str">
        <f t="shared" ref="W3842:W3905" si="303">IF(S3842="Yes","Already Left",IF(AND(K3842&lt;=2,M3842="Poor"),"High Risk",IF(AND(K3842&lt;=5,M3842="Average"),"Medium Risk",IF(M3842="Excellent","Low Risk","Medium Risk"))))</f>
        <v>Medium Risk</v>
      </c>
      <c r="X3842" t="str">
        <f t="shared" ref="X3842:X3905" si="304">IF(AND(L3842&gt;=80000,M3842="Excellent"),"Competitive",IF(AND(L3842&gt;=50000,M3842="Good"),"Competitive",IF(AND(L3842&lt;35000,M3842="Excellent"),"Underpaid",IF(AND(L3842&gt;=80000,M3842="Poor"),"Overpaid","Fair"))))</f>
        <v>Competitive</v>
      </c>
    </row>
    <row r="3843" spans="1:24" x14ac:dyDescent="0.3">
      <c r="A3843" t="s">
        <v>3911</v>
      </c>
      <c r="B3843" t="s">
        <v>20</v>
      </c>
      <c r="C3843">
        <v>45</v>
      </c>
      <c r="D3843" t="s">
        <v>57</v>
      </c>
      <c r="E3843" t="s">
        <v>40</v>
      </c>
      <c r="F3843" t="s">
        <v>41</v>
      </c>
      <c r="G3843" t="s">
        <v>63</v>
      </c>
      <c r="H3843" t="s">
        <v>67</v>
      </c>
      <c r="I3843" t="s">
        <v>50</v>
      </c>
      <c r="J3843" t="s">
        <v>44</v>
      </c>
      <c r="K3843">
        <v>8</v>
      </c>
      <c r="L3843">
        <v>51920</v>
      </c>
      <c r="M3843" t="s">
        <v>36</v>
      </c>
      <c r="N3843">
        <v>4</v>
      </c>
      <c r="O3843">
        <v>3</v>
      </c>
      <c r="P3843">
        <v>48</v>
      </c>
      <c r="Q3843">
        <v>0</v>
      </c>
      <c r="R3843" s="1">
        <v>42304</v>
      </c>
      <c r="S3843" t="s">
        <v>37</v>
      </c>
      <c r="T3843" t="str">
        <f t="shared" si="300"/>
        <v>Grade B</v>
      </c>
      <c r="U3843">
        <f t="shared" si="301"/>
        <v>1</v>
      </c>
      <c r="V3843" t="str">
        <f t="shared" si="302"/>
        <v>Mid Level</v>
      </c>
      <c r="W3843" t="str">
        <f t="shared" si="303"/>
        <v>Already Left</v>
      </c>
      <c r="X3843" t="str">
        <f t="shared" si="304"/>
        <v>Fair</v>
      </c>
    </row>
    <row r="3844" spans="1:24" x14ac:dyDescent="0.3">
      <c r="A3844" t="s">
        <v>3912</v>
      </c>
      <c r="B3844" t="s">
        <v>39</v>
      </c>
      <c r="C3844">
        <v>53</v>
      </c>
      <c r="D3844" t="s">
        <v>31</v>
      </c>
      <c r="E3844" t="s">
        <v>40</v>
      </c>
      <c r="F3844" t="s">
        <v>53</v>
      </c>
      <c r="G3844" t="s">
        <v>42</v>
      </c>
      <c r="H3844" t="s">
        <v>34</v>
      </c>
      <c r="I3844" t="s">
        <v>26</v>
      </c>
      <c r="J3844" t="s">
        <v>27</v>
      </c>
      <c r="K3844">
        <v>9</v>
      </c>
      <c r="L3844">
        <v>108722</v>
      </c>
      <c r="M3844" t="s">
        <v>45</v>
      </c>
      <c r="N3844">
        <v>2</v>
      </c>
      <c r="O3844">
        <v>1</v>
      </c>
      <c r="P3844">
        <v>42</v>
      </c>
      <c r="Q3844">
        <v>0</v>
      </c>
      <c r="R3844" s="1">
        <v>41760</v>
      </c>
      <c r="S3844" t="s">
        <v>37</v>
      </c>
      <c r="T3844" t="str">
        <f t="shared" si="300"/>
        <v>Grade A</v>
      </c>
      <c r="U3844">
        <f t="shared" si="301"/>
        <v>2</v>
      </c>
      <c r="V3844" t="str">
        <f t="shared" si="302"/>
        <v>Mid Level</v>
      </c>
      <c r="W3844" t="str">
        <f t="shared" si="303"/>
        <v>Already Left</v>
      </c>
      <c r="X3844" t="str">
        <f t="shared" si="304"/>
        <v>Fair</v>
      </c>
    </row>
    <row r="3845" spans="1:24" x14ac:dyDescent="0.3">
      <c r="A3845" t="s">
        <v>3913</v>
      </c>
      <c r="B3845" t="s">
        <v>39</v>
      </c>
      <c r="C3845">
        <v>48</v>
      </c>
      <c r="D3845" t="s">
        <v>88</v>
      </c>
      <c r="E3845" t="s">
        <v>48</v>
      </c>
      <c r="F3845" t="s">
        <v>78</v>
      </c>
      <c r="G3845" t="s">
        <v>63</v>
      </c>
      <c r="H3845" t="s">
        <v>34</v>
      </c>
      <c r="I3845" t="s">
        <v>80</v>
      </c>
      <c r="J3845" t="s">
        <v>60</v>
      </c>
      <c r="K3845">
        <v>4</v>
      </c>
      <c r="L3845">
        <v>58724</v>
      </c>
      <c r="M3845" t="s">
        <v>51</v>
      </c>
      <c r="N3845">
        <v>1</v>
      </c>
      <c r="O3845">
        <v>2</v>
      </c>
      <c r="P3845">
        <v>59</v>
      </c>
      <c r="Q3845">
        <v>1</v>
      </c>
      <c r="R3845" s="1">
        <v>43609</v>
      </c>
      <c r="S3845" t="s">
        <v>37</v>
      </c>
      <c r="T3845" t="str">
        <f t="shared" si="300"/>
        <v>Grade B</v>
      </c>
      <c r="U3845">
        <f t="shared" si="301"/>
        <v>4</v>
      </c>
      <c r="V3845" t="str">
        <f t="shared" si="302"/>
        <v>Junior</v>
      </c>
      <c r="W3845" t="str">
        <f t="shared" si="303"/>
        <v>Already Left</v>
      </c>
      <c r="X3845" t="str">
        <f t="shared" si="304"/>
        <v>Fair</v>
      </c>
    </row>
    <row r="3846" spans="1:24" x14ac:dyDescent="0.3">
      <c r="A3846" t="s">
        <v>3914</v>
      </c>
      <c r="B3846" t="s">
        <v>20</v>
      </c>
      <c r="C3846">
        <v>37</v>
      </c>
      <c r="D3846" t="s">
        <v>47</v>
      </c>
      <c r="E3846" t="s">
        <v>22</v>
      </c>
      <c r="F3846" t="s">
        <v>53</v>
      </c>
      <c r="G3846" t="s">
        <v>42</v>
      </c>
      <c r="H3846" t="s">
        <v>76</v>
      </c>
      <c r="I3846" t="s">
        <v>35</v>
      </c>
      <c r="J3846" t="s">
        <v>27</v>
      </c>
      <c r="K3846">
        <v>2</v>
      </c>
      <c r="L3846">
        <v>100482</v>
      </c>
      <c r="M3846" t="s">
        <v>45</v>
      </c>
      <c r="N3846">
        <v>1</v>
      </c>
      <c r="O3846">
        <v>4</v>
      </c>
      <c r="P3846">
        <v>15</v>
      </c>
      <c r="Q3846">
        <v>1</v>
      </c>
      <c r="R3846" s="1">
        <v>44561</v>
      </c>
      <c r="S3846" t="s">
        <v>29</v>
      </c>
      <c r="T3846" t="str">
        <f t="shared" si="300"/>
        <v>Grade A</v>
      </c>
      <c r="U3846">
        <f t="shared" si="301"/>
        <v>2</v>
      </c>
      <c r="V3846" t="str">
        <f t="shared" si="302"/>
        <v>New Joiner</v>
      </c>
      <c r="W3846" t="str">
        <f t="shared" si="303"/>
        <v>Medium Risk</v>
      </c>
      <c r="X3846" t="str">
        <f t="shared" si="304"/>
        <v>Fair</v>
      </c>
    </row>
    <row r="3847" spans="1:24" x14ac:dyDescent="0.3">
      <c r="A3847" t="s">
        <v>3915</v>
      </c>
      <c r="B3847" t="s">
        <v>20</v>
      </c>
      <c r="C3847">
        <v>50</v>
      </c>
      <c r="D3847" t="s">
        <v>47</v>
      </c>
      <c r="E3847" t="s">
        <v>48</v>
      </c>
      <c r="F3847" t="s">
        <v>53</v>
      </c>
      <c r="G3847" t="s">
        <v>66</v>
      </c>
      <c r="H3847" t="s">
        <v>25</v>
      </c>
      <c r="I3847" t="s">
        <v>35</v>
      </c>
      <c r="J3847" t="s">
        <v>27</v>
      </c>
      <c r="K3847">
        <v>15</v>
      </c>
      <c r="L3847">
        <v>60107</v>
      </c>
      <c r="M3847" t="s">
        <v>28</v>
      </c>
      <c r="N3847">
        <v>3</v>
      </c>
      <c r="O3847">
        <v>3</v>
      </c>
      <c r="P3847">
        <v>59</v>
      </c>
      <c r="Q3847">
        <v>1</v>
      </c>
      <c r="R3847" s="1">
        <v>39787</v>
      </c>
      <c r="S3847" t="s">
        <v>29</v>
      </c>
      <c r="T3847" t="str">
        <f t="shared" si="300"/>
        <v>Grade B</v>
      </c>
      <c r="U3847">
        <f t="shared" si="301"/>
        <v>3</v>
      </c>
      <c r="V3847" t="str">
        <f t="shared" si="302"/>
        <v>Senior</v>
      </c>
      <c r="W3847" t="str">
        <f t="shared" si="303"/>
        <v>Medium Risk</v>
      </c>
      <c r="X3847" t="str">
        <f t="shared" si="304"/>
        <v>Competitive</v>
      </c>
    </row>
    <row r="3848" spans="1:24" x14ac:dyDescent="0.3">
      <c r="A3848" t="s">
        <v>3916</v>
      </c>
      <c r="B3848" t="s">
        <v>39</v>
      </c>
      <c r="C3848">
        <v>27</v>
      </c>
      <c r="D3848" t="s">
        <v>21</v>
      </c>
      <c r="E3848" t="s">
        <v>22</v>
      </c>
      <c r="F3848" t="s">
        <v>75</v>
      </c>
      <c r="G3848" t="s">
        <v>63</v>
      </c>
      <c r="H3848" t="s">
        <v>25</v>
      </c>
      <c r="I3848" t="s">
        <v>80</v>
      </c>
      <c r="J3848" t="s">
        <v>60</v>
      </c>
      <c r="K3848">
        <v>5</v>
      </c>
      <c r="L3848">
        <v>56083</v>
      </c>
      <c r="M3848" t="s">
        <v>36</v>
      </c>
      <c r="N3848">
        <v>3</v>
      </c>
      <c r="O3848">
        <v>2</v>
      </c>
      <c r="P3848">
        <v>31</v>
      </c>
      <c r="Q3848">
        <v>0</v>
      </c>
      <c r="R3848" s="1">
        <v>43340</v>
      </c>
      <c r="S3848" t="s">
        <v>37</v>
      </c>
      <c r="T3848" t="str">
        <f t="shared" si="300"/>
        <v>Grade B</v>
      </c>
      <c r="U3848">
        <f t="shared" si="301"/>
        <v>1</v>
      </c>
      <c r="V3848" t="str">
        <f t="shared" si="302"/>
        <v>Junior</v>
      </c>
      <c r="W3848" t="str">
        <f t="shared" si="303"/>
        <v>Already Left</v>
      </c>
      <c r="X3848" t="str">
        <f t="shared" si="304"/>
        <v>Fair</v>
      </c>
    </row>
    <row r="3849" spans="1:24" x14ac:dyDescent="0.3">
      <c r="A3849" t="s">
        <v>3917</v>
      </c>
      <c r="B3849" t="s">
        <v>20</v>
      </c>
      <c r="C3849">
        <v>46</v>
      </c>
      <c r="D3849" t="s">
        <v>21</v>
      </c>
      <c r="E3849" t="s">
        <v>40</v>
      </c>
      <c r="F3849" t="s">
        <v>41</v>
      </c>
      <c r="G3849" t="s">
        <v>79</v>
      </c>
      <c r="H3849" t="s">
        <v>25</v>
      </c>
      <c r="I3849" t="s">
        <v>35</v>
      </c>
      <c r="J3849" t="s">
        <v>27</v>
      </c>
      <c r="K3849">
        <v>9</v>
      </c>
      <c r="L3849">
        <v>53372</v>
      </c>
      <c r="M3849" t="s">
        <v>45</v>
      </c>
      <c r="N3849">
        <v>2</v>
      </c>
      <c r="O3849">
        <v>2</v>
      </c>
      <c r="P3849">
        <v>28</v>
      </c>
      <c r="Q3849">
        <v>1</v>
      </c>
      <c r="R3849" s="1">
        <v>41790</v>
      </c>
      <c r="S3849" t="s">
        <v>29</v>
      </c>
      <c r="T3849" t="str">
        <f t="shared" si="300"/>
        <v>Grade B</v>
      </c>
      <c r="U3849">
        <f t="shared" si="301"/>
        <v>2</v>
      </c>
      <c r="V3849" t="str">
        <f t="shared" si="302"/>
        <v>Mid Level</v>
      </c>
      <c r="W3849" t="str">
        <f t="shared" si="303"/>
        <v>Medium Risk</v>
      </c>
      <c r="X3849" t="str">
        <f t="shared" si="304"/>
        <v>Fair</v>
      </c>
    </row>
    <row r="3850" spans="1:24" x14ac:dyDescent="0.3">
      <c r="A3850" t="s">
        <v>3918</v>
      </c>
      <c r="B3850" t="s">
        <v>20</v>
      </c>
      <c r="C3850">
        <v>40</v>
      </c>
      <c r="D3850" t="s">
        <v>31</v>
      </c>
      <c r="E3850" t="s">
        <v>48</v>
      </c>
      <c r="F3850" t="s">
        <v>41</v>
      </c>
      <c r="G3850" t="s">
        <v>66</v>
      </c>
      <c r="H3850" t="s">
        <v>83</v>
      </c>
      <c r="I3850" t="s">
        <v>72</v>
      </c>
      <c r="J3850" t="s">
        <v>73</v>
      </c>
      <c r="K3850">
        <v>11</v>
      </c>
      <c r="L3850">
        <v>52408</v>
      </c>
      <c r="M3850" t="s">
        <v>28</v>
      </c>
      <c r="N3850">
        <v>1</v>
      </c>
      <c r="O3850">
        <v>2</v>
      </c>
      <c r="P3850">
        <v>20</v>
      </c>
      <c r="Q3850">
        <v>3</v>
      </c>
      <c r="R3850" s="1">
        <v>41112</v>
      </c>
      <c r="S3850" t="s">
        <v>29</v>
      </c>
      <c r="T3850" t="str">
        <f t="shared" si="300"/>
        <v>Grade B</v>
      </c>
      <c r="U3850">
        <f t="shared" si="301"/>
        <v>3</v>
      </c>
      <c r="V3850" t="str">
        <f t="shared" si="302"/>
        <v>Senior</v>
      </c>
      <c r="W3850" t="str">
        <f t="shared" si="303"/>
        <v>Medium Risk</v>
      </c>
      <c r="X3850" t="str">
        <f t="shared" si="304"/>
        <v>Competitive</v>
      </c>
    </row>
    <row r="3851" spans="1:24" x14ac:dyDescent="0.3">
      <c r="A3851" t="s">
        <v>3919</v>
      </c>
      <c r="B3851" t="s">
        <v>39</v>
      </c>
      <c r="C3851">
        <v>52</v>
      </c>
      <c r="D3851" t="s">
        <v>47</v>
      </c>
      <c r="E3851" t="s">
        <v>22</v>
      </c>
      <c r="F3851" t="s">
        <v>41</v>
      </c>
      <c r="G3851" t="s">
        <v>49</v>
      </c>
      <c r="H3851" t="s">
        <v>83</v>
      </c>
      <c r="I3851" t="s">
        <v>43</v>
      </c>
      <c r="J3851" t="s">
        <v>44</v>
      </c>
      <c r="K3851">
        <v>13</v>
      </c>
      <c r="L3851">
        <v>71188</v>
      </c>
      <c r="M3851" t="s">
        <v>51</v>
      </c>
      <c r="N3851">
        <v>1</v>
      </c>
      <c r="O3851">
        <v>3</v>
      </c>
      <c r="P3851">
        <v>20</v>
      </c>
      <c r="Q3851">
        <v>2</v>
      </c>
      <c r="R3851" s="1">
        <v>40307</v>
      </c>
      <c r="S3851" t="s">
        <v>29</v>
      </c>
      <c r="T3851" t="str">
        <f t="shared" si="300"/>
        <v>Grade B</v>
      </c>
      <c r="U3851">
        <f t="shared" si="301"/>
        <v>4</v>
      </c>
      <c r="V3851" t="str">
        <f t="shared" si="302"/>
        <v>Senior</v>
      </c>
      <c r="W3851" t="str">
        <f t="shared" si="303"/>
        <v>Low Risk</v>
      </c>
      <c r="X3851" t="str">
        <f t="shared" si="304"/>
        <v>Fair</v>
      </c>
    </row>
    <row r="3852" spans="1:24" x14ac:dyDescent="0.3">
      <c r="A3852" t="s">
        <v>3920</v>
      </c>
      <c r="B3852" t="s">
        <v>39</v>
      </c>
      <c r="C3852">
        <v>50</v>
      </c>
      <c r="D3852" t="s">
        <v>47</v>
      </c>
      <c r="E3852" t="s">
        <v>40</v>
      </c>
      <c r="F3852" t="s">
        <v>32</v>
      </c>
      <c r="G3852" t="s">
        <v>42</v>
      </c>
      <c r="H3852" t="s">
        <v>76</v>
      </c>
      <c r="I3852" t="s">
        <v>68</v>
      </c>
      <c r="J3852" t="s">
        <v>60</v>
      </c>
      <c r="K3852">
        <v>8</v>
      </c>
      <c r="L3852">
        <v>112250</v>
      </c>
      <c r="M3852" t="s">
        <v>45</v>
      </c>
      <c r="N3852">
        <v>2</v>
      </c>
      <c r="O3852">
        <v>1</v>
      </c>
      <c r="P3852">
        <v>18</v>
      </c>
      <c r="Q3852">
        <v>3</v>
      </c>
      <c r="R3852" s="1">
        <v>42181</v>
      </c>
      <c r="S3852" t="s">
        <v>29</v>
      </c>
      <c r="T3852" t="str">
        <f t="shared" si="300"/>
        <v>Grade A</v>
      </c>
      <c r="U3852">
        <f t="shared" si="301"/>
        <v>2</v>
      </c>
      <c r="V3852" t="str">
        <f t="shared" si="302"/>
        <v>Mid Level</v>
      </c>
      <c r="W3852" t="str">
        <f t="shared" si="303"/>
        <v>Medium Risk</v>
      </c>
      <c r="X3852" t="str">
        <f t="shared" si="304"/>
        <v>Fair</v>
      </c>
    </row>
    <row r="3853" spans="1:24" x14ac:dyDescent="0.3">
      <c r="A3853" t="s">
        <v>3921</v>
      </c>
      <c r="B3853" t="s">
        <v>39</v>
      </c>
      <c r="C3853">
        <v>48</v>
      </c>
      <c r="D3853" t="s">
        <v>57</v>
      </c>
      <c r="E3853" t="s">
        <v>48</v>
      </c>
      <c r="F3853" t="s">
        <v>62</v>
      </c>
      <c r="G3853" t="s">
        <v>66</v>
      </c>
      <c r="H3853" t="s">
        <v>34</v>
      </c>
      <c r="I3853" t="s">
        <v>72</v>
      </c>
      <c r="J3853" t="s">
        <v>73</v>
      </c>
      <c r="K3853">
        <v>7</v>
      </c>
      <c r="L3853">
        <v>53703</v>
      </c>
      <c r="M3853" t="s">
        <v>36</v>
      </c>
      <c r="N3853">
        <v>3</v>
      </c>
      <c r="O3853">
        <v>1</v>
      </c>
      <c r="P3853">
        <v>66</v>
      </c>
      <c r="Q3853">
        <v>1</v>
      </c>
      <c r="R3853" s="1">
        <v>42547</v>
      </c>
      <c r="S3853" t="s">
        <v>37</v>
      </c>
      <c r="T3853" t="str">
        <f t="shared" si="300"/>
        <v>Grade B</v>
      </c>
      <c r="U3853">
        <f t="shared" si="301"/>
        <v>1</v>
      </c>
      <c r="V3853" t="str">
        <f t="shared" si="302"/>
        <v>Mid Level</v>
      </c>
      <c r="W3853" t="str">
        <f t="shared" si="303"/>
        <v>Already Left</v>
      </c>
      <c r="X3853" t="str">
        <f t="shared" si="304"/>
        <v>Fair</v>
      </c>
    </row>
    <row r="3854" spans="1:24" x14ac:dyDescent="0.3">
      <c r="A3854" t="s">
        <v>3922</v>
      </c>
      <c r="B3854" t="s">
        <v>20</v>
      </c>
      <c r="C3854">
        <v>27</v>
      </c>
      <c r="D3854" t="s">
        <v>31</v>
      </c>
      <c r="E3854" t="s">
        <v>48</v>
      </c>
      <c r="F3854" t="s">
        <v>75</v>
      </c>
      <c r="G3854" t="s">
        <v>49</v>
      </c>
      <c r="H3854" t="s">
        <v>25</v>
      </c>
      <c r="I3854" t="s">
        <v>35</v>
      </c>
      <c r="J3854" t="s">
        <v>27</v>
      </c>
      <c r="K3854">
        <v>2</v>
      </c>
      <c r="L3854">
        <v>58226</v>
      </c>
      <c r="M3854" t="s">
        <v>28</v>
      </c>
      <c r="N3854">
        <v>2</v>
      </c>
      <c r="O3854">
        <v>2</v>
      </c>
      <c r="P3854">
        <v>26</v>
      </c>
      <c r="Q3854">
        <v>2</v>
      </c>
      <c r="R3854" s="1">
        <v>44504</v>
      </c>
      <c r="S3854" t="s">
        <v>37</v>
      </c>
      <c r="T3854" t="str">
        <f t="shared" si="300"/>
        <v>Grade B</v>
      </c>
      <c r="U3854">
        <f t="shared" si="301"/>
        <v>3</v>
      </c>
      <c r="V3854" t="str">
        <f t="shared" si="302"/>
        <v>New Joiner</v>
      </c>
      <c r="W3854" t="str">
        <f t="shared" si="303"/>
        <v>Already Left</v>
      </c>
      <c r="X3854" t="str">
        <f t="shared" si="304"/>
        <v>Competitive</v>
      </c>
    </row>
    <row r="3855" spans="1:24" x14ac:dyDescent="0.3">
      <c r="A3855" t="s">
        <v>3923</v>
      </c>
      <c r="B3855" t="s">
        <v>39</v>
      </c>
      <c r="C3855">
        <v>22</v>
      </c>
      <c r="D3855" t="s">
        <v>31</v>
      </c>
      <c r="E3855" t="s">
        <v>48</v>
      </c>
      <c r="F3855" t="s">
        <v>32</v>
      </c>
      <c r="G3855" t="s">
        <v>66</v>
      </c>
      <c r="H3855" t="s">
        <v>83</v>
      </c>
      <c r="I3855" t="s">
        <v>72</v>
      </c>
      <c r="J3855" t="s">
        <v>73</v>
      </c>
      <c r="K3855">
        <v>12</v>
      </c>
      <c r="L3855">
        <v>51665</v>
      </c>
      <c r="M3855" t="s">
        <v>36</v>
      </c>
      <c r="N3855">
        <v>1</v>
      </c>
      <c r="O3855">
        <v>1</v>
      </c>
      <c r="P3855">
        <v>76</v>
      </c>
      <c r="Q3855">
        <v>2</v>
      </c>
      <c r="R3855" s="1">
        <v>40764</v>
      </c>
      <c r="S3855" t="s">
        <v>37</v>
      </c>
      <c r="T3855" t="str">
        <f t="shared" si="300"/>
        <v>Grade B</v>
      </c>
      <c r="U3855">
        <f t="shared" si="301"/>
        <v>1</v>
      </c>
      <c r="V3855" t="str">
        <f t="shared" si="302"/>
        <v>Senior</v>
      </c>
      <c r="W3855" t="str">
        <f t="shared" si="303"/>
        <v>Already Left</v>
      </c>
      <c r="X3855" t="str">
        <f t="shared" si="304"/>
        <v>Fair</v>
      </c>
    </row>
    <row r="3856" spans="1:24" x14ac:dyDescent="0.3">
      <c r="A3856" t="s">
        <v>3924</v>
      </c>
      <c r="B3856" t="s">
        <v>20</v>
      </c>
      <c r="C3856">
        <v>28</v>
      </c>
      <c r="D3856" t="s">
        <v>88</v>
      </c>
      <c r="E3856" t="s">
        <v>40</v>
      </c>
      <c r="F3856" t="s">
        <v>23</v>
      </c>
      <c r="G3856" t="s">
        <v>24</v>
      </c>
      <c r="H3856" t="s">
        <v>34</v>
      </c>
      <c r="I3856" t="s">
        <v>59</v>
      </c>
      <c r="J3856" t="s">
        <v>60</v>
      </c>
      <c r="K3856">
        <v>13</v>
      </c>
      <c r="L3856">
        <v>91622</v>
      </c>
      <c r="M3856" t="s">
        <v>45</v>
      </c>
      <c r="N3856">
        <v>1</v>
      </c>
      <c r="O3856">
        <v>4</v>
      </c>
      <c r="P3856">
        <v>79</v>
      </c>
      <c r="Q3856">
        <v>3</v>
      </c>
      <c r="R3856" s="1">
        <v>40232</v>
      </c>
      <c r="S3856" t="s">
        <v>29</v>
      </c>
      <c r="T3856" t="str">
        <f t="shared" si="300"/>
        <v>Grade A</v>
      </c>
      <c r="U3856">
        <f t="shared" si="301"/>
        <v>2</v>
      </c>
      <c r="V3856" t="str">
        <f t="shared" si="302"/>
        <v>Senior</v>
      </c>
      <c r="W3856" t="str">
        <f t="shared" si="303"/>
        <v>Medium Risk</v>
      </c>
      <c r="X3856" t="str">
        <f t="shared" si="304"/>
        <v>Fair</v>
      </c>
    </row>
    <row r="3857" spans="1:24" x14ac:dyDescent="0.3">
      <c r="A3857" t="s">
        <v>3925</v>
      </c>
      <c r="B3857" t="s">
        <v>39</v>
      </c>
      <c r="C3857">
        <v>43</v>
      </c>
      <c r="D3857" t="s">
        <v>57</v>
      </c>
      <c r="E3857" t="s">
        <v>48</v>
      </c>
      <c r="F3857" t="s">
        <v>41</v>
      </c>
      <c r="G3857" t="s">
        <v>33</v>
      </c>
      <c r="H3857" t="s">
        <v>67</v>
      </c>
      <c r="I3857" t="s">
        <v>72</v>
      </c>
      <c r="J3857" t="s">
        <v>73</v>
      </c>
      <c r="K3857">
        <v>2</v>
      </c>
      <c r="L3857">
        <v>54722</v>
      </c>
      <c r="M3857" t="s">
        <v>51</v>
      </c>
      <c r="N3857">
        <v>1</v>
      </c>
      <c r="O3857">
        <v>4</v>
      </c>
      <c r="P3857">
        <v>72</v>
      </c>
      <c r="Q3857">
        <v>0</v>
      </c>
      <c r="R3857" s="1">
        <v>44327</v>
      </c>
      <c r="S3857" t="s">
        <v>29</v>
      </c>
      <c r="T3857" t="str">
        <f t="shared" si="300"/>
        <v>Grade B</v>
      </c>
      <c r="U3857">
        <f t="shared" si="301"/>
        <v>4</v>
      </c>
      <c r="V3857" t="str">
        <f t="shared" si="302"/>
        <v>New Joiner</v>
      </c>
      <c r="W3857" t="str">
        <f t="shared" si="303"/>
        <v>Low Risk</v>
      </c>
      <c r="X3857" t="str">
        <f t="shared" si="304"/>
        <v>Fair</v>
      </c>
    </row>
    <row r="3858" spans="1:24" x14ac:dyDescent="0.3">
      <c r="A3858" t="s">
        <v>3926</v>
      </c>
      <c r="B3858" t="s">
        <v>20</v>
      </c>
      <c r="C3858">
        <v>29</v>
      </c>
      <c r="D3858" t="s">
        <v>57</v>
      </c>
      <c r="E3858" t="s">
        <v>40</v>
      </c>
      <c r="F3858" t="s">
        <v>65</v>
      </c>
      <c r="G3858" t="s">
        <v>63</v>
      </c>
      <c r="H3858" t="s">
        <v>76</v>
      </c>
      <c r="I3858" t="s">
        <v>43</v>
      </c>
      <c r="J3858" t="s">
        <v>44</v>
      </c>
      <c r="K3858">
        <v>1</v>
      </c>
      <c r="L3858">
        <v>51103</v>
      </c>
      <c r="M3858" t="s">
        <v>36</v>
      </c>
      <c r="N3858">
        <v>2</v>
      </c>
      <c r="O3858">
        <v>1</v>
      </c>
      <c r="P3858">
        <v>35</v>
      </c>
      <c r="Q3858">
        <v>2</v>
      </c>
      <c r="R3858" s="1">
        <v>44654</v>
      </c>
      <c r="S3858" t="s">
        <v>29</v>
      </c>
      <c r="T3858" t="str">
        <f t="shared" si="300"/>
        <v>Grade B</v>
      </c>
      <c r="U3858">
        <f t="shared" si="301"/>
        <v>1</v>
      </c>
      <c r="V3858" t="str">
        <f t="shared" si="302"/>
        <v>New Joiner</v>
      </c>
      <c r="W3858" t="str">
        <f t="shared" si="303"/>
        <v>High Risk</v>
      </c>
      <c r="X3858" t="str">
        <f t="shared" si="304"/>
        <v>Fair</v>
      </c>
    </row>
    <row r="3859" spans="1:24" x14ac:dyDescent="0.3">
      <c r="A3859" t="s">
        <v>3927</v>
      </c>
      <c r="B3859" t="s">
        <v>39</v>
      </c>
      <c r="C3859">
        <v>45</v>
      </c>
      <c r="D3859" t="s">
        <v>21</v>
      </c>
      <c r="E3859" t="s">
        <v>48</v>
      </c>
      <c r="F3859" t="s">
        <v>65</v>
      </c>
      <c r="G3859" t="s">
        <v>58</v>
      </c>
      <c r="H3859" t="s">
        <v>76</v>
      </c>
      <c r="I3859" t="s">
        <v>68</v>
      </c>
      <c r="J3859" t="s">
        <v>60</v>
      </c>
      <c r="K3859">
        <v>13</v>
      </c>
      <c r="L3859">
        <v>103162</v>
      </c>
      <c r="M3859" t="s">
        <v>45</v>
      </c>
      <c r="N3859">
        <v>3</v>
      </c>
      <c r="O3859">
        <v>1</v>
      </c>
      <c r="P3859">
        <v>23</v>
      </c>
      <c r="Q3859">
        <v>0</v>
      </c>
      <c r="R3859" s="1">
        <v>40400</v>
      </c>
      <c r="S3859" t="s">
        <v>29</v>
      </c>
      <c r="T3859" t="str">
        <f t="shared" si="300"/>
        <v>Grade A</v>
      </c>
      <c r="U3859">
        <f t="shared" si="301"/>
        <v>2</v>
      </c>
      <c r="V3859" t="str">
        <f t="shared" si="302"/>
        <v>Senior</v>
      </c>
      <c r="W3859" t="str">
        <f t="shared" si="303"/>
        <v>Medium Risk</v>
      </c>
      <c r="X3859" t="str">
        <f t="shared" si="304"/>
        <v>Fair</v>
      </c>
    </row>
    <row r="3860" spans="1:24" x14ac:dyDescent="0.3">
      <c r="A3860" t="s">
        <v>3928</v>
      </c>
      <c r="B3860" t="s">
        <v>39</v>
      </c>
      <c r="C3860">
        <v>38</v>
      </c>
      <c r="D3860" t="s">
        <v>88</v>
      </c>
      <c r="E3860" t="s">
        <v>48</v>
      </c>
      <c r="F3860" t="s">
        <v>75</v>
      </c>
      <c r="G3860" t="s">
        <v>42</v>
      </c>
      <c r="H3860" t="s">
        <v>76</v>
      </c>
      <c r="I3860" t="s">
        <v>26</v>
      </c>
      <c r="J3860" t="s">
        <v>27</v>
      </c>
      <c r="K3860">
        <v>4</v>
      </c>
      <c r="L3860">
        <v>109755</v>
      </c>
      <c r="M3860" t="s">
        <v>36</v>
      </c>
      <c r="N3860">
        <v>4</v>
      </c>
      <c r="O3860">
        <v>4</v>
      </c>
      <c r="P3860">
        <v>57</v>
      </c>
      <c r="Q3860">
        <v>3</v>
      </c>
      <c r="R3860" s="1">
        <v>43668</v>
      </c>
      <c r="S3860" t="s">
        <v>29</v>
      </c>
      <c r="T3860" t="str">
        <f t="shared" si="300"/>
        <v>Grade A</v>
      </c>
      <c r="U3860">
        <f t="shared" si="301"/>
        <v>1</v>
      </c>
      <c r="V3860" t="str">
        <f t="shared" si="302"/>
        <v>Junior</v>
      </c>
      <c r="W3860" t="str">
        <f t="shared" si="303"/>
        <v>Medium Risk</v>
      </c>
      <c r="X3860" t="str">
        <f t="shared" si="304"/>
        <v>Overpaid</v>
      </c>
    </row>
    <row r="3861" spans="1:24" x14ac:dyDescent="0.3">
      <c r="A3861" t="s">
        <v>3929</v>
      </c>
      <c r="B3861" t="s">
        <v>39</v>
      </c>
      <c r="C3861">
        <v>40</v>
      </c>
      <c r="D3861" t="s">
        <v>47</v>
      </c>
      <c r="E3861" t="s">
        <v>40</v>
      </c>
      <c r="F3861" t="s">
        <v>75</v>
      </c>
      <c r="G3861" t="s">
        <v>58</v>
      </c>
      <c r="H3861" t="s">
        <v>34</v>
      </c>
      <c r="I3861" t="s">
        <v>26</v>
      </c>
      <c r="J3861" t="s">
        <v>27</v>
      </c>
      <c r="K3861">
        <v>5</v>
      </c>
      <c r="L3861">
        <v>89607</v>
      </c>
      <c r="M3861" t="s">
        <v>45</v>
      </c>
      <c r="N3861">
        <v>4</v>
      </c>
      <c r="O3861">
        <v>2</v>
      </c>
      <c r="P3861">
        <v>58</v>
      </c>
      <c r="Q3861">
        <v>2</v>
      </c>
      <c r="R3861" s="1">
        <v>43419</v>
      </c>
      <c r="S3861" t="s">
        <v>29</v>
      </c>
      <c r="T3861" t="str">
        <f t="shared" si="300"/>
        <v>Grade A</v>
      </c>
      <c r="U3861">
        <f t="shared" si="301"/>
        <v>2</v>
      </c>
      <c r="V3861" t="str">
        <f t="shared" si="302"/>
        <v>Junior</v>
      </c>
      <c r="W3861" t="str">
        <f t="shared" si="303"/>
        <v>Medium Risk</v>
      </c>
      <c r="X3861" t="str">
        <f t="shared" si="304"/>
        <v>Fair</v>
      </c>
    </row>
    <row r="3862" spans="1:24" x14ac:dyDescent="0.3">
      <c r="A3862" t="s">
        <v>3930</v>
      </c>
      <c r="B3862" t="s">
        <v>20</v>
      </c>
      <c r="C3862">
        <v>44</v>
      </c>
      <c r="D3862" t="s">
        <v>21</v>
      </c>
      <c r="E3862" t="s">
        <v>40</v>
      </c>
      <c r="F3862" t="s">
        <v>41</v>
      </c>
      <c r="G3862" t="s">
        <v>58</v>
      </c>
      <c r="H3862" t="s">
        <v>67</v>
      </c>
      <c r="I3862" t="s">
        <v>96</v>
      </c>
      <c r="J3862" t="s">
        <v>44</v>
      </c>
      <c r="K3862">
        <v>8</v>
      </c>
      <c r="L3862">
        <v>92488</v>
      </c>
      <c r="M3862" t="s">
        <v>45</v>
      </c>
      <c r="N3862">
        <v>2</v>
      </c>
      <c r="O3862">
        <v>2</v>
      </c>
      <c r="P3862">
        <v>44</v>
      </c>
      <c r="Q3862">
        <v>0</v>
      </c>
      <c r="R3862" s="1">
        <v>42156</v>
      </c>
      <c r="S3862" t="s">
        <v>37</v>
      </c>
      <c r="T3862" t="str">
        <f t="shared" si="300"/>
        <v>Grade A</v>
      </c>
      <c r="U3862">
        <f t="shared" si="301"/>
        <v>2</v>
      </c>
      <c r="V3862" t="str">
        <f t="shared" si="302"/>
        <v>Mid Level</v>
      </c>
      <c r="W3862" t="str">
        <f t="shared" si="303"/>
        <v>Already Left</v>
      </c>
      <c r="X3862" t="str">
        <f t="shared" si="304"/>
        <v>Fair</v>
      </c>
    </row>
    <row r="3863" spans="1:24" x14ac:dyDescent="0.3">
      <c r="A3863" t="s">
        <v>3931</v>
      </c>
      <c r="B3863" t="s">
        <v>20</v>
      </c>
      <c r="C3863">
        <v>51</v>
      </c>
      <c r="D3863" t="s">
        <v>57</v>
      </c>
      <c r="E3863" t="s">
        <v>22</v>
      </c>
      <c r="F3863" t="s">
        <v>32</v>
      </c>
      <c r="G3863" t="s">
        <v>49</v>
      </c>
      <c r="H3863" t="s">
        <v>34</v>
      </c>
      <c r="I3863" t="s">
        <v>68</v>
      </c>
      <c r="J3863" t="s">
        <v>60</v>
      </c>
      <c r="K3863">
        <v>13</v>
      </c>
      <c r="L3863">
        <v>67449</v>
      </c>
      <c r="M3863" t="s">
        <v>36</v>
      </c>
      <c r="N3863">
        <v>3</v>
      </c>
      <c r="O3863">
        <v>1</v>
      </c>
      <c r="P3863">
        <v>60</v>
      </c>
      <c r="Q3863">
        <v>1</v>
      </c>
      <c r="R3863" s="1">
        <v>40488</v>
      </c>
      <c r="S3863" t="s">
        <v>29</v>
      </c>
      <c r="T3863" t="str">
        <f t="shared" si="300"/>
        <v>Grade B</v>
      </c>
      <c r="U3863">
        <f t="shared" si="301"/>
        <v>1</v>
      </c>
      <c r="V3863" t="str">
        <f t="shared" si="302"/>
        <v>Senior</v>
      </c>
      <c r="W3863" t="str">
        <f t="shared" si="303"/>
        <v>Medium Risk</v>
      </c>
      <c r="X3863" t="str">
        <f t="shared" si="304"/>
        <v>Fair</v>
      </c>
    </row>
    <row r="3864" spans="1:24" x14ac:dyDescent="0.3">
      <c r="A3864" t="s">
        <v>3932</v>
      </c>
      <c r="B3864" t="s">
        <v>20</v>
      </c>
      <c r="C3864">
        <v>49</v>
      </c>
      <c r="D3864" t="s">
        <v>47</v>
      </c>
      <c r="E3864" t="s">
        <v>22</v>
      </c>
      <c r="F3864" t="s">
        <v>53</v>
      </c>
      <c r="G3864" t="s">
        <v>66</v>
      </c>
      <c r="H3864" t="s">
        <v>34</v>
      </c>
      <c r="I3864" t="s">
        <v>43</v>
      </c>
      <c r="J3864" t="s">
        <v>44</v>
      </c>
      <c r="K3864">
        <v>3</v>
      </c>
      <c r="L3864">
        <v>49606</v>
      </c>
      <c r="M3864" t="s">
        <v>28</v>
      </c>
      <c r="N3864">
        <v>1</v>
      </c>
      <c r="O3864">
        <v>3</v>
      </c>
      <c r="P3864">
        <v>35</v>
      </c>
      <c r="Q3864">
        <v>1</v>
      </c>
      <c r="R3864" s="1">
        <v>44094</v>
      </c>
      <c r="S3864" t="s">
        <v>29</v>
      </c>
      <c r="T3864" t="str">
        <f t="shared" si="300"/>
        <v>Grade C</v>
      </c>
      <c r="U3864">
        <f t="shared" si="301"/>
        <v>3</v>
      </c>
      <c r="V3864" t="str">
        <f t="shared" si="302"/>
        <v>Junior</v>
      </c>
      <c r="W3864" t="str">
        <f t="shared" si="303"/>
        <v>Medium Risk</v>
      </c>
      <c r="X3864" t="str">
        <f t="shared" si="304"/>
        <v>Fair</v>
      </c>
    </row>
    <row r="3865" spans="1:24" x14ac:dyDescent="0.3">
      <c r="A3865" t="s">
        <v>3933</v>
      </c>
      <c r="B3865" t="s">
        <v>20</v>
      </c>
      <c r="C3865">
        <v>39</v>
      </c>
      <c r="D3865" t="s">
        <v>88</v>
      </c>
      <c r="E3865" t="s">
        <v>40</v>
      </c>
      <c r="F3865" t="s">
        <v>53</v>
      </c>
      <c r="G3865" t="s">
        <v>58</v>
      </c>
      <c r="H3865" t="s">
        <v>76</v>
      </c>
      <c r="I3865" t="s">
        <v>96</v>
      </c>
      <c r="J3865" t="s">
        <v>44</v>
      </c>
      <c r="K3865">
        <v>13</v>
      </c>
      <c r="L3865">
        <v>115171</v>
      </c>
      <c r="M3865" t="s">
        <v>28</v>
      </c>
      <c r="N3865">
        <v>1</v>
      </c>
      <c r="O3865">
        <v>3</v>
      </c>
      <c r="P3865">
        <v>73</v>
      </c>
      <c r="Q3865">
        <v>1</v>
      </c>
      <c r="R3865" s="1">
        <v>40310</v>
      </c>
      <c r="S3865" t="s">
        <v>29</v>
      </c>
      <c r="T3865" t="str">
        <f t="shared" si="300"/>
        <v>Grade A</v>
      </c>
      <c r="U3865">
        <f t="shared" si="301"/>
        <v>3</v>
      </c>
      <c r="V3865" t="str">
        <f t="shared" si="302"/>
        <v>Senior</v>
      </c>
      <c r="W3865" t="str">
        <f t="shared" si="303"/>
        <v>Medium Risk</v>
      </c>
      <c r="X3865" t="str">
        <f t="shared" si="304"/>
        <v>Competitive</v>
      </c>
    </row>
    <row r="3866" spans="1:24" x14ac:dyDescent="0.3">
      <c r="A3866" t="s">
        <v>3934</v>
      </c>
      <c r="B3866" t="s">
        <v>39</v>
      </c>
      <c r="C3866">
        <v>54</v>
      </c>
      <c r="D3866" t="s">
        <v>88</v>
      </c>
      <c r="E3866" t="s">
        <v>22</v>
      </c>
      <c r="F3866" t="s">
        <v>32</v>
      </c>
      <c r="G3866" t="s">
        <v>49</v>
      </c>
      <c r="H3866" t="s">
        <v>76</v>
      </c>
      <c r="I3866" t="s">
        <v>50</v>
      </c>
      <c r="J3866" t="s">
        <v>44</v>
      </c>
      <c r="K3866">
        <v>11</v>
      </c>
      <c r="L3866">
        <v>77487</v>
      </c>
      <c r="M3866" t="s">
        <v>45</v>
      </c>
      <c r="N3866">
        <v>1</v>
      </c>
      <c r="O3866">
        <v>4</v>
      </c>
      <c r="P3866">
        <v>27</v>
      </c>
      <c r="Q3866">
        <v>2</v>
      </c>
      <c r="R3866" s="1">
        <v>41086</v>
      </c>
      <c r="S3866" t="s">
        <v>29</v>
      </c>
      <c r="T3866" t="str">
        <f t="shared" si="300"/>
        <v>Grade B</v>
      </c>
      <c r="U3866">
        <f t="shared" si="301"/>
        <v>2</v>
      </c>
      <c r="V3866" t="str">
        <f t="shared" si="302"/>
        <v>Senior</v>
      </c>
      <c r="W3866" t="str">
        <f t="shared" si="303"/>
        <v>Medium Risk</v>
      </c>
      <c r="X3866" t="str">
        <f t="shared" si="304"/>
        <v>Fair</v>
      </c>
    </row>
    <row r="3867" spans="1:24" x14ac:dyDescent="0.3">
      <c r="A3867" t="s">
        <v>3935</v>
      </c>
      <c r="B3867" t="s">
        <v>20</v>
      </c>
      <c r="C3867">
        <v>30</v>
      </c>
      <c r="D3867" t="s">
        <v>57</v>
      </c>
      <c r="E3867" t="s">
        <v>40</v>
      </c>
      <c r="F3867" t="s">
        <v>41</v>
      </c>
      <c r="G3867" t="s">
        <v>63</v>
      </c>
      <c r="H3867" t="s">
        <v>76</v>
      </c>
      <c r="I3867" t="s">
        <v>35</v>
      </c>
      <c r="J3867" t="s">
        <v>27</v>
      </c>
      <c r="K3867">
        <v>5</v>
      </c>
      <c r="L3867">
        <v>60994</v>
      </c>
      <c r="M3867" t="s">
        <v>51</v>
      </c>
      <c r="N3867">
        <v>1</v>
      </c>
      <c r="O3867">
        <v>1</v>
      </c>
      <c r="P3867">
        <v>64</v>
      </c>
      <c r="Q3867">
        <v>1</v>
      </c>
      <c r="R3867" s="1">
        <v>43169</v>
      </c>
      <c r="S3867" t="s">
        <v>29</v>
      </c>
      <c r="T3867" t="str">
        <f t="shared" si="300"/>
        <v>Grade B</v>
      </c>
      <c r="U3867">
        <f t="shared" si="301"/>
        <v>4</v>
      </c>
      <c r="V3867" t="str">
        <f t="shared" si="302"/>
        <v>Junior</v>
      </c>
      <c r="W3867" t="str">
        <f t="shared" si="303"/>
        <v>Low Risk</v>
      </c>
      <c r="X3867" t="str">
        <f t="shared" si="304"/>
        <v>Fair</v>
      </c>
    </row>
    <row r="3868" spans="1:24" x14ac:dyDescent="0.3">
      <c r="A3868" t="s">
        <v>3936</v>
      </c>
      <c r="B3868" t="s">
        <v>39</v>
      </c>
      <c r="C3868">
        <v>35</v>
      </c>
      <c r="D3868" t="s">
        <v>88</v>
      </c>
      <c r="E3868" t="s">
        <v>48</v>
      </c>
      <c r="F3868" t="s">
        <v>23</v>
      </c>
      <c r="G3868" t="s">
        <v>33</v>
      </c>
      <c r="H3868" t="s">
        <v>83</v>
      </c>
      <c r="I3868" t="s">
        <v>96</v>
      </c>
      <c r="J3868" t="s">
        <v>44</v>
      </c>
      <c r="K3868">
        <v>13</v>
      </c>
      <c r="L3868">
        <v>80789</v>
      </c>
      <c r="M3868" t="s">
        <v>45</v>
      </c>
      <c r="N3868">
        <v>4</v>
      </c>
      <c r="O3868">
        <v>1</v>
      </c>
      <c r="P3868">
        <v>66</v>
      </c>
      <c r="Q3868">
        <v>3</v>
      </c>
      <c r="R3868" s="1">
        <v>40462</v>
      </c>
      <c r="S3868" t="s">
        <v>37</v>
      </c>
      <c r="T3868" t="str">
        <f t="shared" si="300"/>
        <v>Grade A</v>
      </c>
      <c r="U3868">
        <f t="shared" si="301"/>
        <v>2</v>
      </c>
      <c r="V3868" t="str">
        <f t="shared" si="302"/>
        <v>Senior</v>
      </c>
      <c r="W3868" t="str">
        <f t="shared" si="303"/>
        <v>Already Left</v>
      </c>
      <c r="X3868" t="str">
        <f t="shared" si="304"/>
        <v>Fair</v>
      </c>
    </row>
    <row r="3869" spans="1:24" x14ac:dyDescent="0.3">
      <c r="A3869" t="s">
        <v>3937</v>
      </c>
      <c r="B3869" t="s">
        <v>39</v>
      </c>
      <c r="C3869">
        <v>27</v>
      </c>
      <c r="D3869" t="s">
        <v>21</v>
      </c>
      <c r="E3869" t="s">
        <v>22</v>
      </c>
      <c r="F3869" t="s">
        <v>41</v>
      </c>
      <c r="G3869" t="s">
        <v>42</v>
      </c>
      <c r="H3869" t="s">
        <v>25</v>
      </c>
      <c r="I3869" t="s">
        <v>50</v>
      </c>
      <c r="J3869" t="s">
        <v>44</v>
      </c>
      <c r="K3869">
        <v>15</v>
      </c>
      <c r="L3869">
        <v>120665</v>
      </c>
      <c r="M3869" t="s">
        <v>28</v>
      </c>
      <c r="N3869">
        <v>2</v>
      </c>
      <c r="O3869">
        <v>2</v>
      </c>
      <c r="P3869">
        <v>22</v>
      </c>
      <c r="Q3869">
        <v>0</v>
      </c>
      <c r="R3869" s="1">
        <v>39672</v>
      </c>
      <c r="S3869" t="s">
        <v>29</v>
      </c>
      <c r="T3869" t="str">
        <f t="shared" si="300"/>
        <v>Grade A</v>
      </c>
      <c r="U3869">
        <f t="shared" si="301"/>
        <v>3</v>
      </c>
      <c r="V3869" t="str">
        <f t="shared" si="302"/>
        <v>Senior</v>
      </c>
      <c r="W3869" t="str">
        <f t="shared" si="303"/>
        <v>Medium Risk</v>
      </c>
      <c r="X3869" t="str">
        <f t="shared" si="304"/>
        <v>Competitive</v>
      </c>
    </row>
    <row r="3870" spans="1:24" x14ac:dyDescent="0.3">
      <c r="A3870" t="s">
        <v>3938</v>
      </c>
      <c r="B3870" t="s">
        <v>20</v>
      </c>
      <c r="C3870">
        <v>38</v>
      </c>
      <c r="D3870" t="s">
        <v>47</v>
      </c>
      <c r="E3870" t="s">
        <v>48</v>
      </c>
      <c r="F3870" t="s">
        <v>75</v>
      </c>
      <c r="G3870" t="s">
        <v>58</v>
      </c>
      <c r="H3870" t="s">
        <v>76</v>
      </c>
      <c r="I3870" t="s">
        <v>59</v>
      </c>
      <c r="J3870" t="s">
        <v>60</v>
      </c>
      <c r="K3870">
        <v>14</v>
      </c>
      <c r="L3870">
        <v>104164</v>
      </c>
      <c r="M3870" t="s">
        <v>45</v>
      </c>
      <c r="N3870">
        <v>1</v>
      </c>
      <c r="O3870">
        <v>2</v>
      </c>
      <c r="P3870">
        <v>23</v>
      </c>
      <c r="Q3870">
        <v>0</v>
      </c>
      <c r="R3870" s="1">
        <v>40088</v>
      </c>
      <c r="S3870" t="s">
        <v>29</v>
      </c>
      <c r="T3870" t="str">
        <f t="shared" si="300"/>
        <v>Grade A</v>
      </c>
      <c r="U3870">
        <f t="shared" si="301"/>
        <v>2</v>
      </c>
      <c r="V3870" t="str">
        <f t="shared" si="302"/>
        <v>Senior</v>
      </c>
      <c r="W3870" t="str">
        <f t="shared" si="303"/>
        <v>Medium Risk</v>
      </c>
      <c r="X3870" t="str">
        <f t="shared" si="304"/>
        <v>Fair</v>
      </c>
    </row>
    <row r="3871" spans="1:24" x14ac:dyDescent="0.3">
      <c r="A3871" t="s">
        <v>3939</v>
      </c>
      <c r="B3871" t="s">
        <v>39</v>
      </c>
      <c r="C3871">
        <v>24</v>
      </c>
      <c r="D3871" t="s">
        <v>31</v>
      </c>
      <c r="E3871" t="s">
        <v>40</v>
      </c>
      <c r="F3871" t="s">
        <v>23</v>
      </c>
      <c r="G3871" t="s">
        <v>58</v>
      </c>
      <c r="H3871" t="s">
        <v>67</v>
      </c>
      <c r="I3871" t="s">
        <v>35</v>
      </c>
      <c r="J3871" t="s">
        <v>27</v>
      </c>
      <c r="K3871">
        <v>4</v>
      </c>
      <c r="L3871">
        <v>97972</v>
      </c>
      <c r="M3871" t="s">
        <v>45</v>
      </c>
      <c r="N3871">
        <v>3</v>
      </c>
      <c r="O3871">
        <v>3</v>
      </c>
      <c r="P3871">
        <v>13</v>
      </c>
      <c r="Q3871">
        <v>1</v>
      </c>
      <c r="R3871" s="1">
        <v>43678</v>
      </c>
      <c r="S3871" t="s">
        <v>37</v>
      </c>
      <c r="T3871" t="str">
        <f t="shared" si="300"/>
        <v>Grade A</v>
      </c>
      <c r="U3871">
        <f t="shared" si="301"/>
        <v>2</v>
      </c>
      <c r="V3871" t="str">
        <f t="shared" si="302"/>
        <v>Junior</v>
      </c>
      <c r="W3871" t="str">
        <f t="shared" si="303"/>
        <v>Already Left</v>
      </c>
      <c r="X3871" t="str">
        <f t="shared" si="304"/>
        <v>Fair</v>
      </c>
    </row>
    <row r="3872" spans="1:24" x14ac:dyDescent="0.3">
      <c r="A3872" t="s">
        <v>3940</v>
      </c>
      <c r="B3872" t="s">
        <v>20</v>
      </c>
      <c r="C3872">
        <v>54</v>
      </c>
      <c r="D3872" t="s">
        <v>88</v>
      </c>
      <c r="E3872" t="s">
        <v>40</v>
      </c>
      <c r="F3872" t="s">
        <v>65</v>
      </c>
      <c r="G3872" t="s">
        <v>66</v>
      </c>
      <c r="H3872" t="s">
        <v>34</v>
      </c>
      <c r="I3872" t="s">
        <v>96</v>
      </c>
      <c r="J3872" t="s">
        <v>44</v>
      </c>
      <c r="K3872">
        <v>9</v>
      </c>
      <c r="L3872">
        <v>61165</v>
      </c>
      <c r="M3872" t="s">
        <v>36</v>
      </c>
      <c r="N3872">
        <v>3</v>
      </c>
      <c r="O3872">
        <v>4</v>
      </c>
      <c r="P3872">
        <v>66</v>
      </c>
      <c r="Q3872">
        <v>2</v>
      </c>
      <c r="R3872" s="1">
        <v>41755</v>
      </c>
      <c r="S3872" t="s">
        <v>29</v>
      </c>
      <c r="T3872" t="str">
        <f t="shared" si="300"/>
        <v>Grade B</v>
      </c>
      <c r="U3872">
        <f t="shared" si="301"/>
        <v>1</v>
      </c>
      <c r="V3872" t="str">
        <f t="shared" si="302"/>
        <v>Mid Level</v>
      </c>
      <c r="W3872" t="str">
        <f t="shared" si="303"/>
        <v>Medium Risk</v>
      </c>
      <c r="X3872" t="str">
        <f t="shared" si="304"/>
        <v>Fair</v>
      </c>
    </row>
    <row r="3873" spans="1:24" x14ac:dyDescent="0.3">
      <c r="A3873" t="s">
        <v>3941</v>
      </c>
      <c r="B3873" t="s">
        <v>39</v>
      </c>
      <c r="C3873">
        <v>41</v>
      </c>
      <c r="D3873" t="s">
        <v>57</v>
      </c>
      <c r="E3873" t="s">
        <v>48</v>
      </c>
      <c r="F3873" t="s">
        <v>53</v>
      </c>
      <c r="G3873" t="s">
        <v>63</v>
      </c>
      <c r="H3873" t="s">
        <v>67</v>
      </c>
      <c r="I3873" t="s">
        <v>35</v>
      </c>
      <c r="J3873" t="s">
        <v>27</v>
      </c>
      <c r="K3873">
        <v>3</v>
      </c>
      <c r="L3873">
        <v>49322</v>
      </c>
      <c r="M3873" t="s">
        <v>28</v>
      </c>
      <c r="N3873">
        <v>4</v>
      </c>
      <c r="O3873">
        <v>1</v>
      </c>
      <c r="P3873">
        <v>72</v>
      </c>
      <c r="Q3873">
        <v>2</v>
      </c>
      <c r="R3873" s="1">
        <v>44026</v>
      </c>
      <c r="S3873" t="s">
        <v>29</v>
      </c>
      <c r="T3873" t="str">
        <f t="shared" si="300"/>
        <v>Grade C</v>
      </c>
      <c r="U3873">
        <f t="shared" si="301"/>
        <v>3</v>
      </c>
      <c r="V3873" t="str">
        <f t="shared" si="302"/>
        <v>Junior</v>
      </c>
      <c r="W3873" t="str">
        <f t="shared" si="303"/>
        <v>Medium Risk</v>
      </c>
      <c r="X3873" t="str">
        <f t="shared" si="304"/>
        <v>Fair</v>
      </c>
    </row>
    <row r="3874" spans="1:24" x14ac:dyDescent="0.3">
      <c r="A3874" t="s">
        <v>3942</v>
      </c>
      <c r="B3874" t="s">
        <v>39</v>
      </c>
      <c r="C3874">
        <v>39</v>
      </c>
      <c r="D3874" t="s">
        <v>31</v>
      </c>
      <c r="E3874" t="s">
        <v>22</v>
      </c>
      <c r="F3874" t="s">
        <v>75</v>
      </c>
      <c r="G3874" t="s">
        <v>58</v>
      </c>
      <c r="H3874" t="s">
        <v>25</v>
      </c>
      <c r="I3874" t="s">
        <v>68</v>
      </c>
      <c r="J3874" t="s">
        <v>60</v>
      </c>
      <c r="K3874">
        <v>15</v>
      </c>
      <c r="L3874">
        <v>118344</v>
      </c>
      <c r="M3874" t="s">
        <v>45</v>
      </c>
      <c r="N3874">
        <v>1</v>
      </c>
      <c r="O3874">
        <v>1</v>
      </c>
      <c r="P3874">
        <v>65</v>
      </c>
      <c r="Q3874">
        <v>0</v>
      </c>
      <c r="R3874" s="1">
        <v>39774</v>
      </c>
      <c r="S3874" t="s">
        <v>29</v>
      </c>
      <c r="T3874" t="str">
        <f t="shared" si="300"/>
        <v>Grade A</v>
      </c>
      <c r="U3874">
        <f t="shared" si="301"/>
        <v>2</v>
      </c>
      <c r="V3874" t="str">
        <f t="shared" si="302"/>
        <v>Senior</v>
      </c>
      <c r="W3874" t="str">
        <f t="shared" si="303"/>
        <v>Medium Risk</v>
      </c>
      <c r="X3874" t="str">
        <f t="shared" si="304"/>
        <v>Fair</v>
      </c>
    </row>
    <row r="3875" spans="1:24" x14ac:dyDescent="0.3">
      <c r="A3875" t="s">
        <v>3943</v>
      </c>
      <c r="B3875" t="s">
        <v>20</v>
      </c>
      <c r="C3875">
        <v>47</v>
      </c>
      <c r="D3875" t="s">
        <v>47</v>
      </c>
      <c r="E3875" t="s">
        <v>40</v>
      </c>
      <c r="F3875" t="s">
        <v>53</v>
      </c>
      <c r="G3875" t="s">
        <v>79</v>
      </c>
      <c r="H3875" t="s">
        <v>25</v>
      </c>
      <c r="I3875" t="s">
        <v>26</v>
      </c>
      <c r="J3875" t="s">
        <v>27</v>
      </c>
      <c r="K3875">
        <v>14</v>
      </c>
      <c r="L3875">
        <v>61317</v>
      </c>
      <c r="M3875" t="s">
        <v>51</v>
      </c>
      <c r="N3875">
        <v>1</v>
      </c>
      <c r="O3875">
        <v>1</v>
      </c>
      <c r="P3875">
        <v>61</v>
      </c>
      <c r="Q3875">
        <v>1</v>
      </c>
      <c r="R3875" s="1">
        <v>40155</v>
      </c>
      <c r="S3875" t="s">
        <v>29</v>
      </c>
      <c r="T3875" t="str">
        <f t="shared" si="300"/>
        <v>Grade B</v>
      </c>
      <c r="U3875">
        <f t="shared" si="301"/>
        <v>4</v>
      </c>
      <c r="V3875" t="str">
        <f t="shared" si="302"/>
        <v>Senior</v>
      </c>
      <c r="W3875" t="str">
        <f t="shared" si="303"/>
        <v>Low Risk</v>
      </c>
      <c r="X3875" t="str">
        <f t="shared" si="304"/>
        <v>Fair</v>
      </c>
    </row>
    <row r="3876" spans="1:24" x14ac:dyDescent="0.3">
      <c r="A3876" t="s">
        <v>3944</v>
      </c>
      <c r="B3876" t="s">
        <v>39</v>
      </c>
      <c r="C3876">
        <v>25</v>
      </c>
      <c r="D3876" t="s">
        <v>57</v>
      </c>
      <c r="E3876" t="s">
        <v>22</v>
      </c>
      <c r="F3876" t="s">
        <v>53</v>
      </c>
      <c r="G3876" t="s">
        <v>42</v>
      </c>
      <c r="H3876" t="s">
        <v>83</v>
      </c>
      <c r="I3876" t="s">
        <v>43</v>
      </c>
      <c r="J3876" t="s">
        <v>44</v>
      </c>
      <c r="K3876">
        <v>9</v>
      </c>
      <c r="L3876">
        <v>118367</v>
      </c>
      <c r="M3876" t="s">
        <v>36</v>
      </c>
      <c r="N3876">
        <v>1</v>
      </c>
      <c r="O3876">
        <v>3</v>
      </c>
      <c r="P3876">
        <v>18</v>
      </c>
      <c r="Q3876">
        <v>0</v>
      </c>
      <c r="R3876" s="1">
        <v>41998</v>
      </c>
      <c r="S3876" t="s">
        <v>29</v>
      </c>
      <c r="T3876" t="str">
        <f t="shared" si="300"/>
        <v>Grade A</v>
      </c>
      <c r="U3876">
        <f t="shared" si="301"/>
        <v>1</v>
      </c>
      <c r="V3876" t="str">
        <f t="shared" si="302"/>
        <v>Mid Level</v>
      </c>
      <c r="W3876" t="str">
        <f t="shared" si="303"/>
        <v>Medium Risk</v>
      </c>
      <c r="X3876" t="str">
        <f t="shared" si="304"/>
        <v>Overpaid</v>
      </c>
    </row>
    <row r="3877" spans="1:24" x14ac:dyDescent="0.3">
      <c r="A3877" t="s">
        <v>3945</v>
      </c>
      <c r="B3877" t="s">
        <v>39</v>
      </c>
      <c r="C3877">
        <v>44</v>
      </c>
      <c r="D3877" t="s">
        <v>57</v>
      </c>
      <c r="E3877" t="s">
        <v>40</v>
      </c>
      <c r="F3877" t="s">
        <v>53</v>
      </c>
      <c r="G3877" t="s">
        <v>24</v>
      </c>
      <c r="H3877" t="s">
        <v>25</v>
      </c>
      <c r="I3877" t="s">
        <v>54</v>
      </c>
      <c r="J3877" t="s">
        <v>27</v>
      </c>
      <c r="K3877">
        <v>4</v>
      </c>
      <c r="L3877">
        <v>92173</v>
      </c>
      <c r="M3877" t="s">
        <v>45</v>
      </c>
      <c r="N3877">
        <v>4</v>
      </c>
      <c r="O3877">
        <v>3</v>
      </c>
      <c r="P3877">
        <v>28</v>
      </c>
      <c r="Q3877">
        <v>3</v>
      </c>
      <c r="R3877" s="1">
        <v>43680</v>
      </c>
      <c r="S3877" t="s">
        <v>29</v>
      </c>
      <c r="T3877" t="str">
        <f t="shared" si="300"/>
        <v>Grade A</v>
      </c>
      <c r="U3877">
        <f t="shared" si="301"/>
        <v>2</v>
      </c>
      <c r="V3877" t="str">
        <f t="shared" si="302"/>
        <v>Junior</v>
      </c>
      <c r="W3877" t="str">
        <f t="shared" si="303"/>
        <v>Medium Risk</v>
      </c>
      <c r="X3877" t="str">
        <f t="shared" si="304"/>
        <v>Fair</v>
      </c>
    </row>
    <row r="3878" spans="1:24" x14ac:dyDescent="0.3">
      <c r="A3878" t="s">
        <v>3946</v>
      </c>
      <c r="B3878" t="s">
        <v>39</v>
      </c>
      <c r="C3878">
        <v>26</v>
      </c>
      <c r="D3878" t="s">
        <v>88</v>
      </c>
      <c r="E3878" t="s">
        <v>40</v>
      </c>
      <c r="F3878" t="s">
        <v>78</v>
      </c>
      <c r="G3878" t="s">
        <v>33</v>
      </c>
      <c r="H3878" t="s">
        <v>67</v>
      </c>
      <c r="I3878" t="s">
        <v>26</v>
      </c>
      <c r="J3878" t="s">
        <v>27</v>
      </c>
      <c r="K3878">
        <v>13</v>
      </c>
      <c r="L3878">
        <v>80505</v>
      </c>
      <c r="M3878" t="s">
        <v>45</v>
      </c>
      <c r="N3878">
        <v>4</v>
      </c>
      <c r="O3878">
        <v>1</v>
      </c>
      <c r="P3878">
        <v>65</v>
      </c>
      <c r="Q3878">
        <v>0</v>
      </c>
      <c r="R3878" s="1">
        <v>40202</v>
      </c>
      <c r="S3878" t="s">
        <v>29</v>
      </c>
      <c r="T3878" t="str">
        <f t="shared" si="300"/>
        <v>Grade A</v>
      </c>
      <c r="U3878">
        <f t="shared" si="301"/>
        <v>2</v>
      </c>
      <c r="V3878" t="str">
        <f t="shared" si="302"/>
        <v>Senior</v>
      </c>
      <c r="W3878" t="str">
        <f t="shared" si="303"/>
        <v>Medium Risk</v>
      </c>
      <c r="X3878" t="str">
        <f t="shared" si="304"/>
        <v>Fair</v>
      </c>
    </row>
    <row r="3879" spans="1:24" x14ac:dyDescent="0.3">
      <c r="A3879" t="s">
        <v>3947</v>
      </c>
      <c r="B3879" t="s">
        <v>20</v>
      </c>
      <c r="C3879">
        <v>52</v>
      </c>
      <c r="D3879" t="s">
        <v>21</v>
      </c>
      <c r="E3879" t="s">
        <v>40</v>
      </c>
      <c r="F3879" t="s">
        <v>62</v>
      </c>
      <c r="G3879" t="s">
        <v>49</v>
      </c>
      <c r="H3879" t="s">
        <v>76</v>
      </c>
      <c r="I3879" t="s">
        <v>80</v>
      </c>
      <c r="J3879" t="s">
        <v>60</v>
      </c>
      <c r="K3879">
        <v>1</v>
      </c>
      <c r="L3879">
        <v>56513</v>
      </c>
      <c r="M3879" t="s">
        <v>28</v>
      </c>
      <c r="N3879">
        <v>1</v>
      </c>
      <c r="O3879">
        <v>4</v>
      </c>
      <c r="P3879">
        <v>71</v>
      </c>
      <c r="Q3879">
        <v>1</v>
      </c>
      <c r="R3879" s="1">
        <v>44780</v>
      </c>
      <c r="S3879" t="s">
        <v>29</v>
      </c>
      <c r="T3879" t="str">
        <f t="shared" si="300"/>
        <v>Grade B</v>
      </c>
      <c r="U3879">
        <f t="shared" si="301"/>
        <v>3</v>
      </c>
      <c r="V3879" t="str">
        <f t="shared" si="302"/>
        <v>New Joiner</v>
      </c>
      <c r="W3879" t="str">
        <f t="shared" si="303"/>
        <v>Medium Risk</v>
      </c>
      <c r="X3879" t="str">
        <f t="shared" si="304"/>
        <v>Competitive</v>
      </c>
    </row>
    <row r="3880" spans="1:24" x14ac:dyDescent="0.3">
      <c r="A3880" t="s">
        <v>3948</v>
      </c>
      <c r="B3880" t="s">
        <v>20</v>
      </c>
      <c r="C3880">
        <v>26</v>
      </c>
      <c r="D3880" t="s">
        <v>47</v>
      </c>
      <c r="E3880" t="s">
        <v>48</v>
      </c>
      <c r="F3880" t="s">
        <v>53</v>
      </c>
      <c r="G3880" t="s">
        <v>79</v>
      </c>
      <c r="H3880" t="s">
        <v>83</v>
      </c>
      <c r="I3880" t="s">
        <v>80</v>
      </c>
      <c r="J3880" t="s">
        <v>60</v>
      </c>
      <c r="K3880">
        <v>3</v>
      </c>
      <c r="L3880">
        <v>39252</v>
      </c>
      <c r="M3880" t="s">
        <v>45</v>
      </c>
      <c r="N3880">
        <v>4</v>
      </c>
      <c r="O3880">
        <v>3</v>
      </c>
      <c r="P3880">
        <v>26</v>
      </c>
      <c r="Q3880">
        <v>0</v>
      </c>
      <c r="R3880" s="1">
        <v>44185</v>
      </c>
      <c r="S3880" t="s">
        <v>29</v>
      </c>
      <c r="T3880" t="str">
        <f t="shared" si="300"/>
        <v>Grade C</v>
      </c>
      <c r="U3880">
        <f t="shared" si="301"/>
        <v>2</v>
      </c>
      <c r="V3880" t="str">
        <f t="shared" si="302"/>
        <v>Junior</v>
      </c>
      <c r="W3880" t="str">
        <f t="shared" si="303"/>
        <v>Medium Risk</v>
      </c>
      <c r="X3880" t="str">
        <f t="shared" si="304"/>
        <v>Fair</v>
      </c>
    </row>
    <row r="3881" spans="1:24" x14ac:dyDescent="0.3">
      <c r="A3881" t="s">
        <v>3949</v>
      </c>
      <c r="B3881" t="s">
        <v>39</v>
      </c>
      <c r="C3881">
        <v>38</v>
      </c>
      <c r="D3881" t="s">
        <v>47</v>
      </c>
      <c r="E3881" t="s">
        <v>48</v>
      </c>
      <c r="F3881" t="s">
        <v>23</v>
      </c>
      <c r="G3881" t="s">
        <v>42</v>
      </c>
      <c r="H3881" t="s">
        <v>67</v>
      </c>
      <c r="I3881" t="s">
        <v>96</v>
      </c>
      <c r="J3881" t="s">
        <v>44</v>
      </c>
      <c r="K3881">
        <v>14</v>
      </c>
      <c r="L3881">
        <v>118667</v>
      </c>
      <c r="M3881" t="s">
        <v>28</v>
      </c>
      <c r="N3881">
        <v>4</v>
      </c>
      <c r="O3881">
        <v>1</v>
      </c>
      <c r="P3881">
        <v>63</v>
      </c>
      <c r="Q3881">
        <v>2</v>
      </c>
      <c r="R3881" s="1">
        <v>40124</v>
      </c>
      <c r="S3881" t="s">
        <v>29</v>
      </c>
      <c r="T3881" t="str">
        <f t="shared" si="300"/>
        <v>Grade A</v>
      </c>
      <c r="U3881">
        <f t="shared" si="301"/>
        <v>3</v>
      </c>
      <c r="V3881" t="str">
        <f t="shared" si="302"/>
        <v>Senior</v>
      </c>
      <c r="W3881" t="str">
        <f t="shared" si="303"/>
        <v>Medium Risk</v>
      </c>
      <c r="X3881" t="str">
        <f t="shared" si="304"/>
        <v>Competitive</v>
      </c>
    </row>
    <row r="3882" spans="1:24" x14ac:dyDescent="0.3">
      <c r="A3882" t="s">
        <v>3950</v>
      </c>
      <c r="B3882" t="s">
        <v>39</v>
      </c>
      <c r="C3882">
        <v>23</v>
      </c>
      <c r="D3882" t="s">
        <v>31</v>
      </c>
      <c r="E3882" t="s">
        <v>40</v>
      </c>
      <c r="F3882" t="s">
        <v>53</v>
      </c>
      <c r="G3882" t="s">
        <v>33</v>
      </c>
      <c r="H3882" t="s">
        <v>67</v>
      </c>
      <c r="I3882" t="s">
        <v>54</v>
      </c>
      <c r="J3882" t="s">
        <v>27</v>
      </c>
      <c r="K3882">
        <v>6</v>
      </c>
      <c r="L3882">
        <v>65187</v>
      </c>
      <c r="M3882" t="s">
        <v>28</v>
      </c>
      <c r="N3882">
        <v>3</v>
      </c>
      <c r="O3882">
        <v>2</v>
      </c>
      <c r="P3882">
        <v>43</v>
      </c>
      <c r="Q3882">
        <v>0</v>
      </c>
      <c r="R3882" s="1">
        <v>42954</v>
      </c>
      <c r="S3882" t="s">
        <v>29</v>
      </c>
      <c r="T3882" t="str">
        <f t="shared" si="300"/>
        <v>Grade B</v>
      </c>
      <c r="U3882">
        <f t="shared" si="301"/>
        <v>3</v>
      </c>
      <c r="V3882" t="str">
        <f t="shared" si="302"/>
        <v>Mid Level</v>
      </c>
      <c r="W3882" t="str">
        <f t="shared" si="303"/>
        <v>Medium Risk</v>
      </c>
      <c r="X3882" t="str">
        <f t="shared" si="304"/>
        <v>Competitive</v>
      </c>
    </row>
    <row r="3883" spans="1:24" x14ac:dyDescent="0.3">
      <c r="A3883" t="s">
        <v>3951</v>
      </c>
      <c r="B3883" t="s">
        <v>20</v>
      </c>
      <c r="C3883">
        <v>27</v>
      </c>
      <c r="D3883" t="s">
        <v>88</v>
      </c>
      <c r="E3883" t="s">
        <v>22</v>
      </c>
      <c r="F3883" t="s">
        <v>32</v>
      </c>
      <c r="G3883" t="s">
        <v>42</v>
      </c>
      <c r="H3883" t="s">
        <v>25</v>
      </c>
      <c r="I3883" t="s">
        <v>80</v>
      </c>
      <c r="J3883" t="s">
        <v>60</v>
      </c>
      <c r="K3883">
        <v>7</v>
      </c>
      <c r="L3883">
        <v>112377</v>
      </c>
      <c r="M3883" t="s">
        <v>45</v>
      </c>
      <c r="N3883">
        <v>1</v>
      </c>
      <c r="O3883">
        <v>2</v>
      </c>
      <c r="P3883">
        <v>15</v>
      </c>
      <c r="Q3883">
        <v>3</v>
      </c>
      <c r="R3883" s="1">
        <v>42626</v>
      </c>
      <c r="S3883" t="s">
        <v>29</v>
      </c>
      <c r="T3883" t="str">
        <f t="shared" si="300"/>
        <v>Grade A</v>
      </c>
      <c r="U3883">
        <f t="shared" si="301"/>
        <v>2</v>
      </c>
      <c r="V3883" t="str">
        <f t="shared" si="302"/>
        <v>Mid Level</v>
      </c>
      <c r="W3883" t="str">
        <f t="shared" si="303"/>
        <v>Medium Risk</v>
      </c>
      <c r="X3883" t="str">
        <f t="shared" si="304"/>
        <v>Fair</v>
      </c>
    </row>
    <row r="3884" spans="1:24" x14ac:dyDescent="0.3">
      <c r="A3884" t="s">
        <v>3952</v>
      </c>
      <c r="B3884" t="s">
        <v>20</v>
      </c>
      <c r="C3884">
        <v>51</v>
      </c>
      <c r="D3884" t="s">
        <v>31</v>
      </c>
      <c r="E3884" t="s">
        <v>48</v>
      </c>
      <c r="F3884" t="s">
        <v>32</v>
      </c>
      <c r="G3884" t="s">
        <v>33</v>
      </c>
      <c r="H3884" t="s">
        <v>25</v>
      </c>
      <c r="I3884" t="s">
        <v>59</v>
      </c>
      <c r="J3884" t="s">
        <v>60</v>
      </c>
      <c r="K3884">
        <v>6</v>
      </c>
      <c r="L3884">
        <v>70951</v>
      </c>
      <c r="M3884" t="s">
        <v>36</v>
      </c>
      <c r="N3884">
        <v>3</v>
      </c>
      <c r="O3884">
        <v>4</v>
      </c>
      <c r="P3884">
        <v>64</v>
      </c>
      <c r="Q3884">
        <v>3</v>
      </c>
      <c r="R3884" s="1">
        <v>42941</v>
      </c>
      <c r="S3884" t="s">
        <v>37</v>
      </c>
      <c r="T3884" t="str">
        <f t="shared" si="300"/>
        <v>Grade B</v>
      </c>
      <c r="U3884">
        <f t="shared" si="301"/>
        <v>1</v>
      </c>
      <c r="V3884" t="str">
        <f t="shared" si="302"/>
        <v>Mid Level</v>
      </c>
      <c r="W3884" t="str">
        <f t="shared" si="303"/>
        <v>Already Left</v>
      </c>
      <c r="X3884" t="str">
        <f t="shared" si="304"/>
        <v>Fair</v>
      </c>
    </row>
    <row r="3885" spans="1:24" x14ac:dyDescent="0.3">
      <c r="A3885" t="s">
        <v>3953</v>
      </c>
      <c r="B3885" t="s">
        <v>39</v>
      </c>
      <c r="C3885">
        <v>47</v>
      </c>
      <c r="D3885" t="s">
        <v>88</v>
      </c>
      <c r="E3885" t="s">
        <v>40</v>
      </c>
      <c r="F3885" t="s">
        <v>75</v>
      </c>
      <c r="G3885" t="s">
        <v>79</v>
      </c>
      <c r="H3885" t="s">
        <v>76</v>
      </c>
      <c r="I3885" t="s">
        <v>43</v>
      </c>
      <c r="J3885" t="s">
        <v>44</v>
      </c>
      <c r="K3885">
        <v>10</v>
      </c>
      <c r="L3885">
        <v>57200</v>
      </c>
      <c r="M3885" t="s">
        <v>45</v>
      </c>
      <c r="N3885">
        <v>3</v>
      </c>
      <c r="O3885">
        <v>1</v>
      </c>
      <c r="P3885">
        <v>37</v>
      </c>
      <c r="Q3885">
        <v>1</v>
      </c>
      <c r="R3885" s="1">
        <v>41283</v>
      </c>
      <c r="S3885" t="s">
        <v>29</v>
      </c>
      <c r="T3885" t="str">
        <f t="shared" si="300"/>
        <v>Grade B</v>
      </c>
      <c r="U3885">
        <f t="shared" si="301"/>
        <v>2</v>
      </c>
      <c r="V3885" t="str">
        <f t="shared" si="302"/>
        <v>Mid Level</v>
      </c>
      <c r="W3885" t="str">
        <f t="shared" si="303"/>
        <v>Medium Risk</v>
      </c>
      <c r="X3885" t="str">
        <f t="shared" si="304"/>
        <v>Fair</v>
      </c>
    </row>
    <row r="3886" spans="1:24" x14ac:dyDescent="0.3">
      <c r="A3886" t="s">
        <v>3954</v>
      </c>
      <c r="B3886" t="s">
        <v>39</v>
      </c>
      <c r="C3886">
        <v>40</v>
      </c>
      <c r="D3886" t="s">
        <v>31</v>
      </c>
      <c r="E3886" t="s">
        <v>40</v>
      </c>
      <c r="F3886" t="s">
        <v>53</v>
      </c>
      <c r="G3886" t="s">
        <v>42</v>
      </c>
      <c r="H3886" t="s">
        <v>67</v>
      </c>
      <c r="I3886" t="s">
        <v>80</v>
      </c>
      <c r="J3886" t="s">
        <v>60</v>
      </c>
      <c r="K3886">
        <v>7</v>
      </c>
      <c r="L3886">
        <v>110571</v>
      </c>
      <c r="M3886" t="s">
        <v>51</v>
      </c>
      <c r="N3886">
        <v>2</v>
      </c>
      <c r="O3886">
        <v>1</v>
      </c>
      <c r="P3886">
        <v>49</v>
      </c>
      <c r="Q3886">
        <v>3</v>
      </c>
      <c r="R3886" s="1">
        <v>42378</v>
      </c>
      <c r="S3886" t="s">
        <v>29</v>
      </c>
      <c r="T3886" t="str">
        <f t="shared" si="300"/>
        <v>Grade A</v>
      </c>
      <c r="U3886">
        <f t="shared" si="301"/>
        <v>4</v>
      </c>
      <c r="V3886" t="str">
        <f t="shared" si="302"/>
        <v>Mid Level</v>
      </c>
      <c r="W3886" t="str">
        <f t="shared" si="303"/>
        <v>Low Risk</v>
      </c>
      <c r="X3886" t="str">
        <f t="shared" si="304"/>
        <v>Competitive</v>
      </c>
    </row>
    <row r="3887" spans="1:24" x14ac:dyDescent="0.3">
      <c r="A3887" t="s">
        <v>3955</v>
      </c>
      <c r="B3887" t="s">
        <v>39</v>
      </c>
      <c r="C3887">
        <v>43</v>
      </c>
      <c r="D3887" t="s">
        <v>88</v>
      </c>
      <c r="E3887" t="s">
        <v>22</v>
      </c>
      <c r="F3887" t="s">
        <v>23</v>
      </c>
      <c r="G3887" t="s">
        <v>49</v>
      </c>
      <c r="H3887" t="s">
        <v>83</v>
      </c>
      <c r="I3887" t="s">
        <v>26</v>
      </c>
      <c r="J3887" t="s">
        <v>27</v>
      </c>
      <c r="K3887">
        <v>10</v>
      </c>
      <c r="L3887">
        <v>70334</v>
      </c>
      <c r="M3887" t="s">
        <v>45</v>
      </c>
      <c r="N3887">
        <v>2</v>
      </c>
      <c r="O3887">
        <v>4</v>
      </c>
      <c r="P3887">
        <v>56</v>
      </c>
      <c r="Q3887">
        <v>0</v>
      </c>
      <c r="R3887" s="1">
        <v>41621</v>
      </c>
      <c r="S3887" t="s">
        <v>29</v>
      </c>
      <c r="T3887" t="str">
        <f t="shared" si="300"/>
        <v>Grade B</v>
      </c>
      <c r="U3887">
        <f t="shared" si="301"/>
        <v>2</v>
      </c>
      <c r="V3887" t="str">
        <f t="shared" si="302"/>
        <v>Mid Level</v>
      </c>
      <c r="W3887" t="str">
        <f t="shared" si="303"/>
        <v>Medium Risk</v>
      </c>
      <c r="X3887" t="str">
        <f t="shared" si="304"/>
        <v>Fair</v>
      </c>
    </row>
    <row r="3888" spans="1:24" x14ac:dyDescent="0.3">
      <c r="A3888" t="s">
        <v>3956</v>
      </c>
      <c r="B3888" t="s">
        <v>20</v>
      </c>
      <c r="C3888">
        <v>44</v>
      </c>
      <c r="D3888" t="s">
        <v>47</v>
      </c>
      <c r="E3888" t="s">
        <v>40</v>
      </c>
      <c r="F3888" t="s">
        <v>75</v>
      </c>
      <c r="G3888" t="s">
        <v>79</v>
      </c>
      <c r="H3888" t="s">
        <v>34</v>
      </c>
      <c r="I3888" t="s">
        <v>80</v>
      </c>
      <c r="J3888" t="s">
        <v>60</v>
      </c>
      <c r="K3888">
        <v>6</v>
      </c>
      <c r="L3888">
        <v>59594</v>
      </c>
      <c r="M3888" t="s">
        <v>51</v>
      </c>
      <c r="N3888">
        <v>4</v>
      </c>
      <c r="O3888">
        <v>1</v>
      </c>
      <c r="P3888">
        <v>14</v>
      </c>
      <c r="Q3888">
        <v>2</v>
      </c>
      <c r="R3888" s="1">
        <v>42856</v>
      </c>
      <c r="S3888" t="s">
        <v>29</v>
      </c>
      <c r="T3888" t="str">
        <f t="shared" si="300"/>
        <v>Grade B</v>
      </c>
      <c r="U3888">
        <f t="shared" si="301"/>
        <v>4</v>
      </c>
      <c r="V3888" t="str">
        <f t="shared" si="302"/>
        <v>Mid Level</v>
      </c>
      <c r="W3888" t="str">
        <f t="shared" si="303"/>
        <v>Low Risk</v>
      </c>
      <c r="X3888" t="str">
        <f t="shared" si="304"/>
        <v>Fair</v>
      </c>
    </row>
    <row r="3889" spans="1:24" x14ac:dyDescent="0.3">
      <c r="A3889" t="s">
        <v>3957</v>
      </c>
      <c r="B3889" t="s">
        <v>20</v>
      </c>
      <c r="C3889">
        <v>25</v>
      </c>
      <c r="D3889" t="s">
        <v>47</v>
      </c>
      <c r="E3889" t="s">
        <v>48</v>
      </c>
      <c r="F3889" t="s">
        <v>32</v>
      </c>
      <c r="G3889" t="s">
        <v>58</v>
      </c>
      <c r="H3889" t="s">
        <v>25</v>
      </c>
      <c r="I3889" t="s">
        <v>96</v>
      </c>
      <c r="J3889" t="s">
        <v>44</v>
      </c>
      <c r="K3889">
        <v>1</v>
      </c>
      <c r="L3889">
        <v>93316</v>
      </c>
      <c r="M3889" t="s">
        <v>51</v>
      </c>
      <c r="N3889">
        <v>3</v>
      </c>
      <c r="O3889">
        <v>3</v>
      </c>
      <c r="P3889">
        <v>24</v>
      </c>
      <c r="Q3889">
        <v>1</v>
      </c>
      <c r="R3889" s="1">
        <v>44909</v>
      </c>
      <c r="S3889" t="s">
        <v>29</v>
      </c>
      <c r="T3889" t="str">
        <f t="shared" si="300"/>
        <v>Grade A</v>
      </c>
      <c r="U3889">
        <f t="shared" si="301"/>
        <v>4</v>
      </c>
      <c r="V3889" t="str">
        <f t="shared" si="302"/>
        <v>New Joiner</v>
      </c>
      <c r="W3889" t="str">
        <f t="shared" si="303"/>
        <v>Low Risk</v>
      </c>
      <c r="X3889" t="str">
        <f t="shared" si="304"/>
        <v>Competitive</v>
      </c>
    </row>
    <row r="3890" spans="1:24" x14ac:dyDescent="0.3">
      <c r="A3890" t="s">
        <v>3958</v>
      </c>
      <c r="B3890" t="s">
        <v>39</v>
      </c>
      <c r="C3890">
        <v>43</v>
      </c>
      <c r="D3890" t="s">
        <v>88</v>
      </c>
      <c r="E3890" t="s">
        <v>48</v>
      </c>
      <c r="F3890" t="s">
        <v>62</v>
      </c>
      <c r="G3890" t="s">
        <v>42</v>
      </c>
      <c r="H3890" t="s">
        <v>83</v>
      </c>
      <c r="I3890" t="s">
        <v>43</v>
      </c>
      <c r="J3890" t="s">
        <v>44</v>
      </c>
      <c r="K3890">
        <v>12</v>
      </c>
      <c r="L3890">
        <v>114742</v>
      </c>
      <c r="M3890" t="s">
        <v>28</v>
      </c>
      <c r="N3890">
        <v>1</v>
      </c>
      <c r="O3890">
        <v>2</v>
      </c>
      <c r="P3890">
        <v>22</v>
      </c>
      <c r="Q3890">
        <v>1</v>
      </c>
      <c r="R3890" s="1">
        <v>40560</v>
      </c>
      <c r="S3890" t="s">
        <v>29</v>
      </c>
      <c r="T3890" t="str">
        <f t="shared" si="300"/>
        <v>Grade A</v>
      </c>
      <c r="U3890">
        <f t="shared" si="301"/>
        <v>3</v>
      </c>
      <c r="V3890" t="str">
        <f t="shared" si="302"/>
        <v>Senior</v>
      </c>
      <c r="W3890" t="str">
        <f t="shared" si="303"/>
        <v>Medium Risk</v>
      </c>
      <c r="X3890" t="str">
        <f t="shared" si="304"/>
        <v>Competitive</v>
      </c>
    </row>
    <row r="3891" spans="1:24" x14ac:dyDescent="0.3">
      <c r="A3891" t="s">
        <v>3959</v>
      </c>
      <c r="B3891" t="s">
        <v>39</v>
      </c>
      <c r="C3891">
        <v>50</v>
      </c>
      <c r="D3891" t="s">
        <v>21</v>
      </c>
      <c r="E3891" t="s">
        <v>48</v>
      </c>
      <c r="F3891" t="s">
        <v>65</v>
      </c>
      <c r="G3891" t="s">
        <v>66</v>
      </c>
      <c r="H3891" t="s">
        <v>25</v>
      </c>
      <c r="I3891" t="s">
        <v>26</v>
      </c>
      <c r="J3891" t="s">
        <v>27</v>
      </c>
      <c r="K3891">
        <v>10</v>
      </c>
      <c r="L3891">
        <v>63694</v>
      </c>
      <c r="M3891" t="s">
        <v>45</v>
      </c>
      <c r="N3891">
        <v>4</v>
      </c>
      <c r="O3891">
        <v>3</v>
      </c>
      <c r="P3891">
        <v>51</v>
      </c>
      <c r="Q3891">
        <v>1</v>
      </c>
      <c r="R3891" s="1">
        <v>41505</v>
      </c>
      <c r="S3891" t="s">
        <v>29</v>
      </c>
      <c r="T3891" t="str">
        <f t="shared" si="300"/>
        <v>Grade B</v>
      </c>
      <c r="U3891">
        <f t="shared" si="301"/>
        <v>2</v>
      </c>
      <c r="V3891" t="str">
        <f t="shared" si="302"/>
        <v>Mid Level</v>
      </c>
      <c r="W3891" t="str">
        <f t="shared" si="303"/>
        <v>Medium Risk</v>
      </c>
      <c r="X3891" t="str">
        <f t="shared" si="304"/>
        <v>Fair</v>
      </c>
    </row>
    <row r="3892" spans="1:24" x14ac:dyDescent="0.3">
      <c r="A3892" t="s">
        <v>3960</v>
      </c>
      <c r="B3892" t="s">
        <v>39</v>
      </c>
      <c r="C3892">
        <v>37</v>
      </c>
      <c r="D3892" t="s">
        <v>47</v>
      </c>
      <c r="E3892" t="s">
        <v>40</v>
      </c>
      <c r="F3892" t="s">
        <v>23</v>
      </c>
      <c r="G3892" t="s">
        <v>33</v>
      </c>
      <c r="H3892" t="s">
        <v>83</v>
      </c>
      <c r="I3892" t="s">
        <v>43</v>
      </c>
      <c r="J3892" t="s">
        <v>44</v>
      </c>
      <c r="K3892">
        <v>2</v>
      </c>
      <c r="L3892">
        <v>54009</v>
      </c>
      <c r="M3892" t="s">
        <v>51</v>
      </c>
      <c r="N3892">
        <v>3</v>
      </c>
      <c r="O3892">
        <v>2</v>
      </c>
      <c r="P3892">
        <v>78</v>
      </c>
      <c r="Q3892">
        <v>1</v>
      </c>
      <c r="R3892" s="1">
        <v>44496</v>
      </c>
      <c r="S3892" t="s">
        <v>29</v>
      </c>
      <c r="T3892" t="str">
        <f t="shared" si="300"/>
        <v>Grade B</v>
      </c>
      <c r="U3892">
        <f t="shared" si="301"/>
        <v>4</v>
      </c>
      <c r="V3892" t="str">
        <f t="shared" si="302"/>
        <v>New Joiner</v>
      </c>
      <c r="W3892" t="str">
        <f t="shared" si="303"/>
        <v>Low Risk</v>
      </c>
      <c r="X3892" t="str">
        <f t="shared" si="304"/>
        <v>Fair</v>
      </c>
    </row>
    <row r="3893" spans="1:24" x14ac:dyDescent="0.3">
      <c r="A3893" t="s">
        <v>3961</v>
      </c>
      <c r="B3893" t="s">
        <v>39</v>
      </c>
      <c r="C3893">
        <v>48</v>
      </c>
      <c r="D3893" t="s">
        <v>31</v>
      </c>
      <c r="E3893" t="s">
        <v>22</v>
      </c>
      <c r="F3893" t="s">
        <v>41</v>
      </c>
      <c r="G3893" t="s">
        <v>79</v>
      </c>
      <c r="H3893" t="s">
        <v>25</v>
      </c>
      <c r="I3893" t="s">
        <v>43</v>
      </c>
      <c r="J3893" t="s">
        <v>44</v>
      </c>
      <c r="K3893">
        <v>14</v>
      </c>
      <c r="L3893">
        <v>73392</v>
      </c>
      <c r="M3893" t="s">
        <v>45</v>
      </c>
      <c r="N3893">
        <v>3</v>
      </c>
      <c r="O3893">
        <v>1</v>
      </c>
      <c r="P3893">
        <v>18</v>
      </c>
      <c r="Q3893">
        <v>0</v>
      </c>
      <c r="R3893" s="1">
        <v>40103</v>
      </c>
      <c r="S3893" t="s">
        <v>29</v>
      </c>
      <c r="T3893" t="str">
        <f t="shared" si="300"/>
        <v>Grade B</v>
      </c>
      <c r="U3893">
        <f t="shared" si="301"/>
        <v>2</v>
      </c>
      <c r="V3893" t="str">
        <f t="shared" si="302"/>
        <v>Senior</v>
      </c>
      <c r="W3893" t="str">
        <f t="shared" si="303"/>
        <v>Medium Risk</v>
      </c>
      <c r="X3893" t="str">
        <f t="shared" si="304"/>
        <v>Fair</v>
      </c>
    </row>
    <row r="3894" spans="1:24" x14ac:dyDescent="0.3">
      <c r="A3894" t="s">
        <v>3962</v>
      </c>
      <c r="B3894" t="s">
        <v>20</v>
      </c>
      <c r="C3894">
        <v>22</v>
      </c>
      <c r="D3894" t="s">
        <v>47</v>
      </c>
      <c r="E3894" t="s">
        <v>22</v>
      </c>
      <c r="F3894" t="s">
        <v>75</v>
      </c>
      <c r="G3894" t="s">
        <v>63</v>
      </c>
      <c r="H3894" t="s">
        <v>34</v>
      </c>
      <c r="I3894" t="s">
        <v>80</v>
      </c>
      <c r="J3894" t="s">
        <v>60</v>
      </c>
      <c r="K3894">
        <v>3</v>
      </c>
      <c r="L3894">
        <v>44784</v>
      </c>
      <c r="M3894" t="s">
        <v>36</v>
      </c>
      <c r="N3894">
        <v>3</v>
      </c>
      <c r="O3894">
        <v>2</v>
      </c>
      <c r="P3894">
        <v>79</v>
      </c>
      <c r="Q3894">
        <v>2</v>
      </c>
      <c r="R3894" s="1">
        <v>44077</v>
      </c>
      <c r="S3894" t="s">
        <v>37</v>
      </c>
      <c r="T3894" t="str">
        <f t="shared" si="300"/>
        <v>Grade C</v>
      </c>
      <c r="U3894">
        <f t="shared" si="301"/>
        <v>1</v>
      </c>
      <c r="V3894" t="str">
        <f t="shared" si="302"/>
        <v>Junior</v>
      </c>
      <c r="W3894" t="str">
        <f t="shared" si="303"/>
        <v>Already Left</v>
      </c>
      <c r="X3894" t="str">
        <f t="shared" si="304"/>
        <v>Fair</v>
      </c>
    </row>
    <row r="3895" spans="1:24" x14ac:dyDescent="0.3">
      <c r="A3895" t="s">
        <v>3963</v>
      </c>
      <c r="B3895" t="s">
        <v>39</v>
      </c>
      <c r="C3895">
        <v>28</v>
      </c>
      <c r="D3895" t="s">
        <v>47</v>
      </c>
      <c r="E3895" t="s">
        <v>22</v>
      </c>
      <c r="F3895" t="s">
        <v>23</v>
      </c>
      <c r="G3895" t="s">
        <v>63</v>
      </c>
      <c r="H3895" t="s">
        <v>67</v>
      </c>
      <c r="I3895" t="s">
        <v>72</v>
      </c>
      <c r="J3895" t="s">
        <v>73</v>
      </c>
      <c r="K3895">
        <v>6</v>
      </c>
      <c r="L3895">
        <v>62118</v>
      </c>
      <c r="M3895" t="s">
        <v>45</v>
      </c>
      <c r="N3895">
        <v>2</v>
      </c>
      <c r="O3895">
        <v>1</v>
      </c>
      <c r="P3895">
        <v>33</v>
      </c>
      <c r="Q3895">
        <v>2</v>
      </c>
      <c r="R3895" s="1">
        <v>43057</v>
      </c>
      <c r="S3895" t="s">
        <v>29</v>
      </c>
      <c r="T3895" t="str">
        <f t="shared" si="300"/>
        <v>Grade B</v>
      </c>
      <c r="U3895">
        <f t="shared" si="301"/>
        <v>2</v>
      </c>
      <c r="V3895" t="str">
        <f t="shared" si="302"/>
        <v>Mid Level</v>
      </c>
      <c r="W3895" t="str">
        <f t="shared" si="303"/>
        <v>Medium Risk</v>
      </c>
      <c r="X3895" t="str">
        <f t="shared" si="304"/>
        <v>Fair</v>
      </c>
    </row>
    <row r="3896" spans="1:24" x14ac:dyDescent="0.3">
      <c r="A3896" t="s">
        <v>3964</v>
      </c>
      <c r="B3896" t="s">
        <v>20</v>
      </c>
      <c r="C3896">
        <v>33</v>
      </c>
      <c r="D3896" t="s">
        <v>21</v>
      </c>
      <c r="E3896" t="s">
        <v>48</v>
      </c>
      <c r="F3896" t="s">
        <v>62</v>
      </c>
      <c r="G3896" t="s">
        <v>63</v>
      </c>
      <c r="H3896" t="s">
        <v>76</v>
      </c>
      <c r="I3896" t="s">
        <v>59</v>
      </c>
      <c r="J3896" t="s">
        <v>60</v>
      </c>
      <c r="K3896">
        <v>12</v>
      </c>
      <c r="L3896">
        <v>63198</v>
      </c>
      <c r="M3896" t="s">
        <v>36</v>
      </c>
      <c r="N3896">
        <v>2</v>
      </c>
      <c r="O3896">
        <v>3</v>
      </c>
      <c r="P3896">
        <v>43</v>
      </c>
      <c r="Q3896">
        <v>0</v>
      </c>
      <c r="R3896" s="1">
        <v>40809</v>
      </c>
      <c r="S3896" t="s">
        <v>37</v>
      </c>
      <c r="T3896" t="str">
        <f t="shared" si="300"/>
        <v>Grade B</v>
      </c>
      <c r="U3896">
        <f t="shared" si="301"/>
        <v>1</v>
      </c>
      <c r="V3896" t="str">
        <f t="shared" si="302"/>
        <v>Senior</v>
      </c>
      <c r="W3896" t="str">
        <f t="shared" si="303"/>
        <v>Already Left</v>
      </c>
      <c r="X3896" t="str">
        <f t="shared" si="304"/>
        <v>Fair</v>
      </c>
    </row>
    <row r="3897" spans="1:24" x14ac:dyDescent="0.3">
      <c r="A3897" t="s">
        <v>3965</v>
      </c>
      <c r="B3897" t="s">
        <v>20</v>
      </c>
      <c r="C3897">
        <v>40</v>
      </c>
      <c r="D3897" t="s">
        <v>31</v>
      </c>
      <c r="E3897" t="s">
        <v>48</v>
      </c>
      <c r="F3897" t="s">
        <v>23</v>
      </c>
      <c r="G3897" t="s">
        <v>79</v>
      </c>
      <c r="H3897" t="s">
        <v>83</v>
      </c>
      <c r="I3897" t="s">
        <v>43</v>
      </c>
      <c r="J3897" t="s">
        <v>44</v>
      </c>
      <c r="K3897">
        <v>7</v>
      </c>
      <c r="L3897">
        <v>48296</v>
      </c>
      <c r="M3897" t="s">
        <v>45</v>
      </c>
      <c r="N3897">
        <v>3</v>
      </c>
      <c r="O3897">
        <v>2</v>
      </c>
      <c r="P3897">
        <v>35</v>
      </c>
      <c r="Q3897">
        <v>3</v>
      </c>
      <c r="R3897" s="1">
        <v>42562</v>
      </c>
      <c r="S3897" t="s">
        <v>37</v>
      </c>
      <c r="T3897" t="str">
        <f t="shared" si="300"/>
        <v>Grade C</v>
      </c>
      <c r="U3897">
        <f t="shared" si="301"/>
        <v>2</v>
      </c>
      <c r="V3897" t="str">
        <f t="shared" si="302"/>
        <v>Mid Level</v>
      </c>
      <c r="W3897" t="str">
        <f t="shared" si="303"/>
        <v>Already Left</v>
      </c>
      <c r="X3897" t="str">
        <f t="shared" si="304"/>
        <v>Fair</v>
      </c>
    </row>
    <row r="3898" spans="1:24" x14ac:dyDescent="0.3">
      <c r="A3898" t="s">
        <v>3966</v>
      </c>
      <c r="B3898" t="s">
        <v>39</v>
      </c>
      <c r="C3898">
        <v>35</v>
      </c>
      <c r="D3898" t="s">
        <v>47</v>
      </c>
      <c r="E3898" t="s">
        <v>48</v>
      </c>
      <c r="F3898" t="s">
        <v>23</v>
      </c>
      <c r="G3898" t="s">
        <v>79</v>
      </c>
      <c r="H3898" t="s">
        <v>76</v>
      </c>
      <c r="I3898" t="s">
        <v>50</v>
      </c>
      <c r="J3898" t="s">
        <v>44</v>
      </c>
      <c r="K3898">
        <v>9</v>
      </c>
      <c r="L3898">
        <v>54621</v>
      </c>
      <c r="M3898" t="s">
        <v>45</v>
      </c>
      <c r="N3898">
        <v>3</v>
      </c>
      <c r="O3898">
        <v>1</v>
      </c>
      <c r="P3898">
        <v>66</v>
      </c>
      <c r="Q3898">
        <v>2</v>
      </c>
      <c r="R3898" s="1">
        <v>41818</v>
      </c>
      <c r="S3898" t="s">
        <v>29</v>
      </c>
      <c r="T3898" t="str">
        <f t="shared" si="300"/>
        <v>Grade B</v>
      </c>
      <c r="U3898">
        <f t="shared" si="301"/>
        <v>2</v>
      </c>
      <c r="V3898" t="str">
        <f t="shared" si="302"/>
        <v>Mid Level</v>
      </c>
      <c r="W3898" t="str">
        <f t="shared" si="303"/>
        <v>Medium Risk</v>
      </c>
      <c r="X3898" t="str">
        <f t="shared" si="304"/>
        <v>Fair</v>
      </c>
    </row>
    <row r="3899" spans="1:24" x14ac:dyDescent="0.3">
      <c r="A3899" t="s">
        <v>3967</v>
      </c>
      <c r="B3899" t="s">
        <v>20</v>
      </c>
      <c r="C3899">
        <v>42</v>
      </c>
      <c r="D3899" t="s">
        <v>31</v>
      </c>
      <c r="E3899" t="s">
        <v>40</v>
      </c>
      <c r="F3899" t="s">
        <v>23</v>
      </c>
      <c r="G3899" t="s">
        <v>66</v>
      </c>
      <c r="H3899" t="s">
        <v>83</v>
      </c>
      <c r="I3899" t="s">
        <v>26</v>
      </c>
      <c r="J3899" t="s">
        <v>27</v>
      </c>
      <c r="K3899">
        <v>11</v>
      </c>
      <c r="L3899">
        <v>59665</v>
      </c>
      <c r="M3899" t="s">
        <v>36</v>
      </c>
      <c r="N3899">
        <v>2</v>
      </c>
      <c r="O3899">
        <v>4</v>
      </c>
      <c r="P3899">
        <v>58</v>
      </c>
      <c r="Q3899">
        <v>0</v>
      </c>
      <c r="R3899" s="1">
        <v>41205</v>
      </c>
      <c r="S3899" t="s">
        <v>29</v>
      </c>
      <c r="T3899" t="str">
        <f t="shared" si="300"/>
        <v>Grade B</v>
      </c>
      <c r="U3899">
        <f t="shared" si="301"/>
        <v>1</v>
      </c>
      <c r="V3899" t="str">
        <f t="shared" si="302"/>
        <v>Senior</v>
      </c>
      <c r="W3899" t="str">
        <f t="shared" si="303"/>
        <v>Medium Risk</v>
      </c>
      <c r="X3899" t="str">
        <f t="shared" si="304"/>
        <v>Fair</v>
      </c>
    </row>
    <row r="3900" spans="1:24" x14ac:dyDescent="0.3">
      <c r="A3900" t="s">
        <v>3968</v>
      </c>
      <c r="B3900" t="s">
        <v>39</v>
      </c>
      <c r="C3900">
        <v>25</v>
      </c>
      <c r="D3900" t="s">
        <v>57</v>
      </c>
      <c r="E3900" t="s">
        <v>22</v>
      </c>
      <c r="F3900" t="s">
        <v>32</v>
      </c>
      <c r="G3900" t="s">
        <v>58</v>
      </c>
      <c r="H3900" t="s">
        <v>25</v>
      </c>
      <c r="I3900" t="s">
        <v>68</v>
      </c>
      <c r="J3900" t="s">
        <v>60</v>
      </c>
      <c r="K3900">
        <v>10</v>
      </c>
      <c r="L3900">
        <v>106077</v>
      </c>
      <c r="M3900" t="s">
        <v>36</v>
      </c>
      <c r="N3900">
        <v>3</v>
      </c>
      <c r="O3900">
        <v>3</v>
      </c>
      <c r="P3900">
        <v>59</v>
      </c>
      <c r="Q3900">
        <v>1</v>
      </c>
      <c r="R3900" s="1">
        <v>41537</v>
      </c>
      <c r="S3900" t="s">
        <v>37</v>
      </c>
      <c r="T3900" t="str">
        <f t="shared" si="300"/>
        <v>Grade A</v>
      </c>
      <c r="U3900">
        <f t="shared" si="301"/>
        <v>1</v>
      </c>
      <c r="V3900" t="str">
        <f t="shared" si="302"/>
        <v>Mid Level</v>
      </c>
      <c r="W3900" t="str">
        <f t="shared" si="303"/>
        <v>Already Left</v>
      </c>
      <c r="X3900" t="str">
        <f t="shared" si="304"/>
        <v>Overpaid</v>
      </c>
    </row>
    <row r="3901" spans="1:24" x14ac:dyDescent="0.3">
      <c r="A3901" t="s">
        <v>3969</v>
      </c>
      <c r="B3901" t="s">
        <v>39</v>
      </c>
      <c r="C3901">
        <v>55</v>
      </c>
      <c r="D3901" t="s">
        <v>57</v>
      </c>
      <c r="E3901" t="s">
        <v>22</v>
      </c>
      <c r="F3901" t="s">
        <v>75</v>
      </c>
      <c r="G3901" t="s">
        <v>79</v>
      </c>
      <c r="H3901" t="s">
        <v>76</v>
      </c>
      <c r="I3901" t="s">
        <v>43</v>
      </c>
      <c r="J3901" t="s">
        <v>44</v>
      </c>
      <c r="K3901">
        <v>4</v>
      </c>
      <c r="L3901">
        <v>45002</v>
      </c>
      <c r="M3901" t="s">
        <v>36</v>
      </c>
      <c r="N3901">
        <v>2</v>
      </c>
      <c r="O3901">
        <v>4</v>
      </c>
      <c r="P3901">
        <v>52</v>
      </c>
      <c r="Q3901">
        <v>2</v>
      </c>
      <c r="R3901" s="1">
        <v>43625</v>
      </c>
      <c r="S3901" t="s">
        <v>29</v>
      </c>
      <c r="T3901" t="str">
        <f t="shared" si="300"/>
        <v>Grade C</v>
      </c>
      <c r="U3901">
        <f t="shared" si="301"/>
        <v>1</v>
      </c>
      <c r="V3901" t="str">
        <f t="shared" si="302"/>
        <v>Junior</v>
      </c>
      <c r="W3901" t="str">
        <f t="shared" si="303"/>
        <v>Medium Risk</v>
      </c>
      <c r="X3901" t="str">
        <f t="shared" si="304"/>
        <v>Fair</v>
      </c>
    </row>
    <row r="3902" spans="1:24" x14ac:dyDescent="0.3">
      <c r="A3902" t="s">
        <v>3970</v>
      </c>
      <c r="B3902" t="s">
        <v>20</v>
      </c>
      <c r="C3902">
        <v>34</v>
      </c>
      <c r="D3902" t="s">
        <v>88</v>
      </c>
      <c r="E3902" t="s">
        <v>22</v>
      </c>
      <c r="F3902" t="s">
        <v>23</v>
      </c>
      <c r="G3902" t="s">
        <v>79</v>
      </c>
      <c r="H3902" t="s">
        <v>83</v>
      </c>
      <c r="I3902" t="s">
        <v>96</v>
      </c>
      <c r="J3902" t="s">
        <v>44</v>
      </c>
      <c r="K3902">
        <v>3</v>
      </c>
      <c r="L3902">
        <v>45415</v>
      </c>
      <c r="M3902" t="s">
        <v>51</v>
      </c>
      <c r="N3902">
        <v>3</v>
      </c>
      <c r="O3902">
        <v>2</v>
      </c>
      <c r="P3902">
        <v>66</v>
      </c>
      <c r="Q3902">
        <v>1</v>
      </c>
      <c r="R3902" s="1">
        <v>43834</v>
      </c>
      <c r="S3902" t="s">
        <v>29</v>
      </c>
      <c r="T3902" t="str">
        <f t="shared" si="300"/>
        <v>Grade C</v>
      </c>
      <c r="U3902">
        <f t="shared" si="301"/>
        <v>4</v>
      </c>
      <c r="V3902" t="str">
        <f t="shared" si="302"/>
        <v>Junior</v>
      </c>
      <c r="W3902" t="str">
        <f t="shared" si="303"/>
        <v>Low Risk</v>
      </c>
      <c r="X3902" t="str">
        <f t="shared" si="304"/>
        <v>Fair</v>
      </c>
    </row>
    <row r="3903" spans="1:24" x14ac:dyDescent="0.3">
      <c r="A3903" t="s">
        <v>3971</v>
      </c>
      <c r="B3903" t="s">
        <v>20</v>
      </c>
      <c r="C3903">
        <v>22</v>
      </c>
      <c r="D3903" t="s">
        <v>31</v>
      </c>
      <c r="E3903" t="s">
        <v>22</v>
      </c>
      <c r="F3903" t="s">
        <v>53</v>
      </c>
      <c r="G3903" t="s">
        <v>66</v>
      </c>
      <c r="H3903" t="s">
        <v>34</v>
      </c>
      <c r="I3903" t="s">
        <v>35</v>
      </c>
      <c r="J3903" t="s">
        <v>27</v>
      </c>
      <c r="K3903">
        <v>13</v>
      </c>
      <c r="L3903">
        <v>64653</v>
      </c>
      <c r="M3903" t="s">
        <v>51</v>
      </c>
      <c r="N3903">
        <v>2</v>
      </c>
      <c r="O3903">
        <v>4</v>
      </c>
      <c r="P3903">
        <v>46</v>
      </c>
      <c r="Q3903">
        <v>2</v>
      </c>
      <c r="R3903" s="1">
        <v>40228</v>
      </c>
      <c r="S3903" t="s">
        <v>29</v>
      </c>
      <c r="T3903" t="str">
        <f t="shared" si="300"/>
        <v>Grade B</v>
      </c>
      <c r="U3903">
        <f t="shared" si="301"/>
        <v>4</v>
      </c>
      <c r="V3903" t="str">
        <f t="shared" si="302"/>
        <v>Senior</v>
      </c>
      <c r="W3903" t="str">
        <f t="shared" si="303"/>
        <v>Low Risk</v>
      </c>
      <c r="X3903" t="str">
        <f t="shared" si="304"/>
        <v>Fair</v>
      </c>
    </row>
    <row r="3904" spans="1:24" x14ac:dyDescent="0.3">
      <c r="A3904" t="s">
        <v>3972</v>
      </c>
      <c r="B3904" t="s">
        <v>39</v>
      </c>
      <c r="C3904">
        <v>31</v>
      </c>
      <c r="D3904" t="s">
        <v>31</v>
      </c>
      <c r="E3904" t="s">
        <v>40</v>
      </c>
      <c r="F3904" t="s">
        <v>78</v>
      </c>
      <c r="G3904" t="s">
        <v>79</v>
      </c>
      <c r="H3904" t="s">
        <v>83</v>
      </c>
      <c r="I3904" t="s">
        <v>96</v>
      </c>
      <c r="J3904" t="s">
        <v>44</v>
      </c>
      <c r="K3904">
        <v>5</v>
      </c>
      <c r="L3904">
        <v>46738</v>
      </c>
      <c r="M3904" t="s">
        <v>36</v>
      </c>
      <c r="N3904">
        <v>3</v>
      </c>
      <c r="O3904">
        <v>2</v>
      </c>
      <c r="P3904">
        <v>39</v>
      </c>
      <c r="Q3904">
        <v>2</v>
      </c>
      <c r="R3904" s="1">
        <v>43212</v>
      </c>
      <c r="S3904" t="s">
        <v>37</v>
      </c>
      <c r="T3904" t="str">
        <f t="shared" si="300"/>
        <v>Grade C</v>
      </c>
      <c r="U3904">
        <f t="shared" si="301"/>
        <v>1</v>
      </c>
      <c r="V3904" t="str">
        <f t="shared" si="302"/>
        <v>Junior</v>
      </c>
      <c r="W3904" t="str">
        <f t="shared" si="303"/>
        <v>Already Left</v>
      </c>
      <c r="X3904" t="str">
        <f t="shared" si="304"/>
        <v>Fair</v>
      </c>
    </row>
    <row r="3905" spans="1:24" x14ac:dyDescent="0.3">
      <c r="A3905" t="s">
        <v>3973</v>
      </c>
      <c r="B3905" t="s">
        <v>20</v>
      </c>
      <c r="C3905">
        <v>23</v>
      </c>
      <c r="D3905" t="s">
        <v>57</v>
      </c>
      <c r="E3905" t="s">
        <v>40</v>
      </c>
      <c r="F3905" t="s">
        <v>75</v>
      </c>
      <c r="G3905" t="s">
        <v>49</v>
      </c>
      <c r="H3905" t="s">
        <v>34</v>
      </c>
      <c r="I3905" t="s">
        <v>50</v>
      </c>
      <c r="J3905" t="s">
        <v>44</v>
      </c>
      <c r="K3905">
        <v>4</v>
      </c>
      <c r="L3905">
        <v>67350</v>
      </c>
      <c r="M3905" t="s">
        <v>45</v>
      </c>
      <c r="N3905">
        <v>2</v>
      </c>
      <c r="O3905">
        <v>4</v>
      </c>
      <c r="P3905">
        <v>35</v>
      </c>
      <c r="Q3905">
        <v>1</v>
      </c>
      <c r="R3905" s="1">
        <v>43491</v>
      </c>
      <c r="S3905" t="s">
        <v>29</v>
      </c>
      <c r="T3905" t="str">
        <f t="shared" si="300"/>
        <v>Grade B</v>
      </c>
      <c r="U3905">
        <f t="shared" si="301"/>
        <v>2</v>
      </c>
      <c r="V3905" t="str">
        <f t="shared" si="302"/>
        <v>Junior</v>
      </c>
      <c r="W3905" t="str">
        <f t="shared" si="303"/>
        <v>Medium Risk</v>
      </c>
      <c r="X3905" t="str">
        <f t="shared" si="304"/>
        <v>Fair</v>
      </c>
    </row>
    <row r="3906" spans="1:24" x14ac:dyDescent="0.3">
      <c r="A3906" t="s">
        <v>3974</v>
      </c>
      <c r="B3906" t="s">
        <v>20</v>
      </c>
      <c r="C3906">
        <v>39</v>
      </c>
      <c r="D3906" t="s">
        <v>31</v>
      </c>
      <c r="E3906" t="s">
        <v>48</v>
      </c>
      <c r="F3906" t="s">
        <v>41</v>
      </c>
      <c r="G3906" t="s">
        <v>42</v>
      </c>
      <c r="H3906" t="s">
        <v>34</v>
      </c>
      <c r="I3906" t="s">
        <v>59</v>
      </c>
      <c r="J3906" t="s">
        <v>60</v>
      </c>
      <c r="K3906">
        <v>10</v>
      </c>
      <c r="L3906">
        <v>120409</v>
      </c>
      <c r="M3906" t="s">
        <v>28</v>
      </c>
      <c r="N3906">
        <v>3</v>
      </c>
      <c r="O3906">
        <v>4</v>
      </c>
      <c r="P3906">
        <v>11</v>
      </c>
      <c r="Q3906">
        <v>1</v>
      </c>
      <c r="R3906" s="1">
        <v>41291</v>
      </c>
      <c r="S3906" t="s">
        <v>29</v>
      </c>
      <c r="T3906" t="str">
        <f t="shared" ref="T3906:T3969" si="305">IF(L3906&gt;=80000,"Grade A",IF(L3906&gt;=50000,"Grade B",IF(L3906&gt;=35000,"Grade C","Grade D")))</f>
        <v>Grade A</v>
      </c>
      <c r="U3906">
        <f t="shared" ref="U3906:U3969" si="306">IF(M3906="Excellent",4,IF(M3906="Good",3,IF(M3906="Average",2,1)))</f>
        <v>3</v>
      </c>
      <c r="V3906" t="str">
        <f t="shared" ref="V3906:V3969" si="307">IF(K3906&lt;=2,"New Joiner",IF(K3906&lt;=5,"Junior",IF(K3906&lt;=10,"Mid Level","Senior")))</f>
        <v>Mid Level</v>
      </c>
      <c r="W3906" t="str">
        <f t="shared" ref="W3906:W3969" si="308">IF(S3906="Yes","Already Left",IF(AND(K3906&lt;=2,M3906="Poor"),"High Risk",IF(AND(K3906&lt;=5,M3906="Average"),"Medium Risk",IF(M3906="Excellent","Low Risk","Medium Risk"))))</f>
        <v>Medium Risk</v>
      </c>
      <c r="X3906" t="str">
        <f t="shared" ref="X3906:X3969" si="309">IF(AND(L3906&gt;=80000,M3906="Excellent"),"Competitive",IF(AND(L3906&gt;=50000,M3906="Good"),"Competitive",IF(AND(L3906&lt;35000,M3906="Excellent"),"Underpaid",IF(AND(L3906&gt;=80000,M3906="Poor"),"Overpaid","Fair"))))</f>
        <v>Competitive</v>
      </c>
    </row>
    <row r="3907" spans="1:24" x14ac:dyDescent="0.3">
      <c r="A3907" t="s">
        <v>3975</v>
      </c>
      <c r="B3907" t="s">
        <v>39</v>
      </c>
      <c r="C3907">
        <v>33</v>
      </c>
      <c r="D3907" t="s">
        <v>88</v>
      </c>
      <c r="E3907" t="s">
        <v>40</v>
      </c>
      <c r="F3907" t="s">
        <v>75</v>
      </c>
      <c r="G3907" t="s">
        <v>24</v>
      </c>
      <c r="H3907" t="s">
        <v>34</v>
      </c>
      <c r="I3907" t="s">
        <v>26</v>
      </c>
      <c r="J3907" t="s">
        <v>27</v>
      </c>
      <c r="K3907">
        <v>6</v>
      </c>
      <c r="L3907">
        <v>92558</v>
      </c>
      <c r="M3907" t="s">
        <v>36</v>
      </c>
      <c r="N3907">
        <v>4</v>
      </c>
      <c r="O3907">
        <v>3</v>
      </c>
      <c r="P3907">
        <v>51</v>
      </c>
      <c r="Q3907">
        <v>2</v>
      </c>
      <c r="R3907" s="1">
        <v>42943</v>
      </c>
      <c r="S3907" t="s">
        <v>29</v>
      </c>
      <c r="T3907" t="str">
        <f t="shared" si="305"/>
        <v>Grade A</v>
      </c>
      <c r="U3907">
        <f t="shared" si="306"/>
        <v>1</v>
      </c>
      <c r="V3907" t="str">
        <f t="shared" si="307"/>
        <v>Mid Level</v>
      </c>
      <c r="W3907" t="str">
        <f t="shared" si="308"/>
        <v>Medium Risk</v>
      </c>
      <c r="X3907" t="str">
        <f t="shared" si="309"/>
        <v>Overpaid</v>
      </c>
    </row>
    <row r="3908" spans="1:24" x14ac:dyDescent="0.3">
      <c r="A3908" t="s">
        <v>3976</v>
      </c>
      <c r="B3908" t="s">
        <v>20</v>
      </c>
      <c r="C3908">
        <v>29</v>
      </c>
      <c r="D3908" t="s">
        <v>47</v>
      </c>
      <c r="E3908" t="s">
        <v>48</v>
      </c>
      <c r="F3908" t="s">
        <v>53</v>
      </c>
      <c r="G3908" t="s">
        <v>66</v>
      </c>
      <c r="H3908" t="s">
        <v>76</v>
      </c>
      <c r="I3908" t="s">
        <v>35</v>
      </c>
      <c r="J3908" t="s">
        <v>27</v>
      </c>
      <c r="K3908">
        <v>2</v>
      </c>
      <c r="L3908">
        <v>48801</v>
      </c>
      <c r="M3908" t="s">
        <v>36</v>
      </c>
      <c r="N3908">
        <v>3</v>
      </c>
      <c r="O3908">
        <v>3</v>
      </c>
      <c r="P3908">
        <v>67</v>
      </c>
      <c r="Q3908">
        <v>3</v>
      </c>
      <c r="R3908" s="1">
        <v>44500</v>
      </c>
      <c r="S3908" t="s">
        <v>29</v>
      </c>
      <c r="T3908" t="str">
        <f t="shared" si="305"/>
        <v>Grade C</v>
      </c>
      <c r="U3908">
        <f t="shared" si="306"/>
        <v>1</v>
      </c>
      <c r="V3908" t="str">
        <f t="shared" si="307"/>
        <v>New Joiner</v>
      </c>
      <c r="W3908" t="str">
        <f t="shared" si="308"/>
        <v>High Risk</v>
      </c>
      <c r="X3908" t="str">
        <f t="shared" si="309"/>
        <v>Fair</v>
      </c>
    </row>
    <row r="3909" spans="1:24" x14ac:dyDescent="0.3">
      <c r="A3909" t="s">
        <v>3977</v>
      </c>
      <c r="B3909" t="s">
        <v>20</v>
      </c>
      <c r="C3909">
        <v>22</v>
      </c>
      <c r="D3909" t="s">
        <v>88</v>
      </c>
      <c r="E3909" t="s">
        <v>22</v>
      </c>
      <c r="F3909" t="s">
        <v>41</v>
      </c>
      <c r="G3909" t="s">
        <v>42</v>
      </c>
      <c r="H3909" t="s">
        <v>83</v>
      </c>
      <c r="I3909" t="s">
        <v>68</v>
      </c>
      <c r="J3909" t="s">
        <v>60</v>
      </c>
      <c r="K3909">
        <v>14</v>
      </c>
      <c r="L3909">
        <v>114421</v>
      </c>
      <c r="M3909" t="s">
        <v>45</v>
      </c>
      <c r="N3909">
        <v>2</v>
      </c>
      <c r="O3909">
        <v>1</v>
      </c>
      <c r="P3909">
        <v>58</v>
      </c>
      <c r="Q3909">
        <v>0</v>
      </c>
      <c r="R3909" s="1">
        <v>40052</v>
      </c>
      <c r="S3909" t="s">
        <v>37</v>
      </c>
      <c r="T3909" t="str">
        <f t="shared" si="305"/>
        <v>Grade A</v>
      </c>
      <c r="U3909">
        <f t="shared" si="306"/>
        <v>2</v>
      </c>
      <c r="V3909" t="str">
        <f t="shared" si="307"/>
        <v>Senior</v>
      </c>
      <c r="W3909" t="str">
        <f t="shared" si="308"/>
        <v>Already Left</v>
      </c>
      <c r="X3909" t="str">
        <f t="shared" si="309"/>
        <v>Fair</v>
      </c>
    </row>
    <row r="3910" spans="1:24" x14ac:dyDescent="0.3">
      <c r="A3910" t="s">
        <v>3978</v>
      </c>
      <c r="B3910" t="s">
        <v>39</v>
      </c>
      <c r="C3910">
        <v>54</v>
      </c>
      <c r="D3910" t="s">
        <v>21</v>
      </c>
      <c r="E3910" t="s">
        <v>48</v>
      </c>
      <c r="F3910" t="s">
        <v>53</v>
      </c>
      <c r="G3910" t="s">
        <v>42</v>
      </c>
      <c r="H3910" t="s">
        <v>25</v>
      </c>
      <c r="I3910" t="s">
        <v>96</v>
      </c>
      <c r="J3910" t="s">
        <v>44</v>
      </c>
      <c r="K3910">
        <v>11</v>
      </c>
      <c r="L3910">
        <v>115597</v>
      </c>
      <c r="M3910" t="s">
        <v>28</v>
      </c>
      <c r="N3910">
        <v>3</v>
      </c>
      <c r="O3910">
        <v>3</v>
      </c>
      <c r="P3910">
        <v>21</v>
      </c>
      <c r="Q3910">
        <v>1</v>
      </c>
      <c r="R3910" s="1">
        <v>41051</v>
      </c>
      <c r="S3910" t="s">
        <v>29</v>
      </c>
      <c r="T3910" t="str">
        <f t="shared" si="305"/>
        <v>Grade A</v>
      </c>
      <c r="U3910">
        <f t="shared" si="306"/>
        <v>3</v>
      </c>
      <c r="V3910" t="str">
        <f t="shared" si="307"/>
        <v>Senior</v>
      </c>
      <c r="W3910" t="str">
        <f t="shared" si="308"/>
        <v>Medium Risk</v>
      </c>
      <c r="X3910" t="str">
        <f t="shared" si="309"/>
        <v>Competitive</v>
      </c>
    </row>
    <row r="3911" spans="1:24" x14ac:dyDescent="0.3">
      <c r="A3911" t="s">
        <v>3979</v>
      </c>
      <c r="B3911" t="s">
        <v>20</v>
      </c>
      <c r="C3911">
        <v>49</v>
      </c>
      <c r="D3911" t="s">
        <v>47</v>
      </c>
      <c r="E3911" t="s">
        <v>48</v>
      </c>
      <c r="F3911" t="s">
        <v>65</v>
      </c>
      <c r="G3911" t="s">
        <v>33</v>
      </c>
      <c r="H3911" t="s">
        <v>83</v>
      </c>
      <c r="I3911" t="s">
        <v>35</v>
      </c>
      <c r="J3911" t="s">
        <v>27</v>
      </c>
      <c r="K3911">
        <v>2</v>
      </c>
      <c r="L3911">
        <v>64020</v>
      </c>
      <c r="M3911" t="s">
        <v>28</v>
      </c>
      <c r="N3911">
        <v>3</v>
      </c>
      <c r="O3911">
        <v>1</v>
      </c>
      <c r="P3911">
        <v>74</v>
      </c>
      <c r="Q3911">
        <v>1</v>
      </c>
      <c r="R3911" s="1">
        <v>44335</v>
      </c>
      <c r="S3911" t="s">
        <v>29</v>
      </c>
      <c r="T3911" t="str">
        <f t="shared" si="305"/>
        <v>Grade B</v>
      </c>
      <c r="U3911">
        <f t="shared" si="306"/>
        <v>3</v>
      </c>
      <c r="V3911" t="str">
        <f t="shared" si="307"/>
        <v>New Joiner</v>
      </c>
      <c r="W3911" t="str">
        <f t="shared" si="308"/>
        <v>Medium Risk</v>
      </c>
      <c r="X3911" t="str">
        <f t="shared" si="309"/>
        <v>Competitive</v>
      </c>
    </row>
    <row r="3912" spans="1:24" x14ac:dyDescent="0.3">
      <c r="A3912" t="s">
        <v>3980</v>
      </c>
      <c r="B3912" t="s">
        <v>39</v>
      </c>
      <c r="C3912">
        <v>45</v>
      </c>
      <c r="D3912" t="s">
        <v>21</v>
      </c>
      <c r="E3912" t="s">
        <v>48</v>
      </c>
      <c r="F3912" t="s">
        <v>23</v>
      </c>
      <c r="G3912" t="s">
        <v>24</v>
      </c>
      <c r="H3912" t="s">
        <v>25</v>
      </c>
      <c r="I3912" t="s">
        <v>96</v>
      </c>
      <c r="J3912" t="s">
        <v>44</v>
      </c>
      <c r="K3912">
        <v>1</v>
      </c>
      <c r="L3912">
        <v>73319</v>
      </c>
      <c r="M3912" t="s">
        <v>36</v>
      </c>
      <c r="N3912">
        <v>2</v>
      </c>
      <c r="O3912">
        <v>1</v>
      </c>
      <c r="P3912">
        <v>27</v>
      </c>
      <c r="Q3912">
        <v>0</v>
      </c>
      <c r="R3912" s="1">
        <v>44592</v>
      </c>
      <c r="S3912" t="s">
        <v>37</v>
      </c>
      <c r="T3912" t="str">
        <f t="shared" si="305"/>
        <v>Grade B</v>
      </c>
      <c r="U3912">
        <f t="shared" si="306"/>
        <v>1</v>
      </c>
      <c r="V3912" t="str">
        <f t="shared" si="307"/>
        <v>New Joiner</v>
      </c>
      <c r="W3912" t="str">
        <f t="shared" si="308"/>
        <v>Already Left</v>
      </c>
      <c r="X3912" t="str">
        <f t="shared" si="309"/>
        <v>Fair</v>
      </c>
    </row>
    <row r="3913" spans="1:24" x14ac:dyDescent="0.3">
      <c r="A3913" t="s">
        <v>3981</v>
      </c>
      <c r="B3913" t="s">
        <v>20</v>
      </c>
      <c r="C3913">
        <v>27</v>
      </c>
      <c r="D3913" t="s">
        <v>88</v>
      </c>
      <c r="E3913" t="s">
        <v>40</v>
      </c>
      <c r="F3913" t="s">
        <v>65</v>
      </c>
      <c r="G3913" t="s">
        <v>49</v>
      </c>
      <c r="H3913" t="s">
        <v>34</v>
      </c>
      <c r="I3913" t="s">
        <v>59</v>
      </c>
      <c r="J3913" t="s">
        <v>60</v>
      </c>
      <c r="K3913">
        <v>13</v>
      </c>
      <c r="L3913">
        <v>80566</v>
      </c>
      <c r="M3913" t="s">
        <v>51</v>
      </c>
      <c r="N3913">
        <v>4</v>
      </c>
      <c r="O3913">
        <v>2</v>
      </c>
      <c r="P3913">
        <v>43</v>
      </c>
      <c r="Q3913">
        <v>2</v>
      </c>
      <c r="R3913" s="1">
        <v>40209</v>
      </c>
      <c r="S3913" t="s">
        <v>29</v>
      </c>
      <c r="T3913" t="str">
        <f t="shared" si="305"/>
        <v>Grade A</v>
      </c>
      <c r="U3913">
        <f t="shared" si="306"/>
        <v>4</v>
      </c>
      <c r="V3913" t="str">
        <f t="shared" si="307"/>
        <v>Senior</v>
      </c>
      <c r="W3913" t="str">
        <f t="shared" si="308"/>
        <v>Low Risk</v>
      </c>
      <c r="X3913" t="str">
        <f t="shared" si="309"/>
        <v>Competitive</v>
      </c>
    </row>
    <row r="3914" spans="1:24" x14ac:dyDescent="0.3">
      <c r="A3914" t="s">
        <v>3982</v>
      </c>
      <c r="B3914" t="s">
        <v>39</v>
      </c>
      <c r="C3914">
        <v>54</v>
      </c>
      <c r="D3914" t="s">
        <v>88</v>
      </c>
      <c r="E3914" t="s">
        <v>48</v>
      </c>
      <c r="F3914" t="s">
        <v>62</v>
      </c>
      <c r="G3914" t="s">
        <v>33</v>
      </c>
      <c r="H3914" t="s">
        <v>83</v>
      </c>
      <c r="I3914" t="s">
        <v>68</v>
      </c>
      <c r="J3914" t="s">
        <v>60</v>
      </c>
      <c r="K3914">
        <v>6</v>
      </c>
      <c r="L3914">
        <v>67693</v>
      </c>
      <c r="M3914" t="s">
        <v>45</v>
      </c>
      <c r="N3914">
        <v>3</v>
      </c>
      <c r="O3914">
        <v>2</v>
      </c>
      <c r="P3914">
        <v>31</v>
      </c>
      <c r="Q3914">
        <v>1</v>
      </c>
      <c r="R3914" s="1">
        <v>42917</v>
      </c>
      <c r="S3914" t="s">
        <v>29</v>
      </c>
      <c r="T3914" t="str">
        <f t="shared" si="305"/>
        <v>Grade B</v>
      </c>
      <c r="U3914">
        <f t="shared" si="306"/>
        <v>2</v>
      </c>
      <c r="V3914" t="str">
        <f t="shared" si="307"/>
        <v>Mid Level</v>
      </c>
      <c r="W3914" t="str">
        <f t="shared" si="308"/>
        <v>Medium Risk</v>
      </c>
      <c r="X3914" t="str">
        <f t="shared" si="309"/>
        <v>Fair</v>
      </c>
    </row>
    <row r="3915" spans="1:24" x14ac:dyDescent="0.3">
      <c r="A3915" t="s">
        <v>3983</v>
      </c>
      <c r="B3915" t="s">
        <v>20</v>
      </c>
      <c r="C3915">
        <v>42</v>
      </c>
      <c r="D3915" t="s">
        <v>31</v>
      </c>
      <c r="E3915" t="s">
        <v>48</v>
      </c>
      <c r="F3915" t="s">
        <v>78</v>
      </c>
      <c r="G3915" t="s">
        <v>66</v>
      </c>
      <c r="H3915" t="s">
        <v>76</v>
      </c>
      <c r="I3915" t="s">
        <v>54</v>
      </c>
      <c r="J3915" t="s">
        <v>27</v>
      </c>
      <c r="K3915">
        <v>3</v>
      </c>
      <c r="L3915">
        <v>50178</v>
      </c>
      <c r="M3915" t="s">
        <v>51</v>
      </c>
      <c r="N3915">
        <v>2</v>
      </c>
      <c r="O3915">
        <v>2</v>
      </c>
      <c r="P3915">
        <v>14</v>
      </c>
      <c r="Q3915">
        <v>2</v>
      </c>
      <c r="R3915" s="1">
        <v>44052</v>
      </c>
      <c r="S3915" t="s">
        <v>29</v>
      </c>
      <c r="T3915" t="str">
        <f t="shared" si="305"/>
        <v>Grade B</v>
      </c>
      <c r="U3915">
        <f t="shared" si="306"/>
        <v>4</v>
      </c>
      <c r="V3915" t="str">
        <f t="shared" si="307"/>
        <v>Junior</v>
      </c>
      <c r="W3915" t="str">
        <f t="shared" si="308"/>
        <v>Low Risk</v>
      </c>
      <c r="X3915" t="str">
        <f t="shared" si="309"/>
        <v>Fair</v>
      </c>
    </row>
    <row r="3916" spans="1:24" x14ac:dyDescent="0.3">
      <c r="A3916" t="s">
        <v>3984</v>
      </c>
      <c r="B3916" t="s">
        <v>20</v>
      </c>
      <c r="C3916">
        <v>37</v>
      </c>
      <c r="D3916" t="s">
        <v>57</v>
      </c>
      <c r="E3916" t="s">
        <v>22</v>
      </c>
      <c r="F3916" t="s">
        <v>78</v>
      </c>
      <c r="G3916" t="s">
        <v>63</v>
      </c>
      <c r="H3916" t="s">
        <v>67</v>
      </c>
      <c r="I3916" t="s">
        <v>80</v>
      </c>
      <c r="J3916" t="s">
        <v>60</v>
      </c>
      <c r="K3916">
        <v>3</v>
      </c>
      <c r="L3916">
        <v>55677</v>
      </c>
      <c r="M3916" t="s">
        <v>51</v>
      </c>
      <c r="N3916">
        <v>4</v>
      </c>
      <c r="O3916">
        <v>2</v>
      </c>
      <c r="P3916">
        <v>28</v>
      </c>
      <c r="Q3916">
        <v>1</v>
      </c>
      <c r="R3916" s="1">
        <v>44070</v>
      </c>
      <c r="S3916" t="s">
        <v>29</v>
      </c>
      <c r="T3916" t="str">
        <f t="shared" si="305"/>
        <v>Grade B</v>
      </c>
      <c r="U3916">
        <f t="shared" si="306"/>
        <v>4</v>
      </c>
      <c r="V3916" t="str">
        <f t="shared" si="307"/>
        <v>Junior</v>
      </c>
      <c r="W3916" t="str">
        <f t="shared" si="308"/>
        <v>Low Risk</v>
      </c>
      <c r="X3916" t="str">
        <f t="shared" si="309"/>
        <v>Fair</v>
      </c>
    </row>
    <row r="3917" spans="1:24" x14ac:dyDescent="0.3">
      <c r="A3917" t="s">
        <v>3985</v>
      </c>
      <c r="B3917" t="s">
        <v>39</v>
      </c>
      <c r="C3917">
        <v>45</v>
      </c>
      <c r="D3917" t="s">
        <v>21</v>
      </c>
      <c r="E3917" t="s">
        <v>48</v>
      </c>
      <c r="F3917" t="s">
        <v>23</v>
      </c>
      <c r="G3917" t="s">
        <v>66</v>
      </c>
      <c r="H3917" t="s">
        <v>83</v>
      </c>
      <c r="I3917" t="s">
        <v>50</v>
      </c>
      <c r="J3917" t="s">
        <v>44</v>
      </c>
      <c r="K3917">
        <v>2</v>
      </c>
      <c r="L3917">
        <v>40667</v>
      </c>
      <c r="M3917" t="s">
        <v>36</v>
      </c>
      <c r="N3917">
        <v>4</v>
      </c>
      <c r="O3917">
        <v>2</v>
      </c>
      <c r="P3917">
        <v>19</v>
      </c>
      <c r="Q3917">
        <v>2</v>
      </c>
      <c r="R3917" s="1">
        <v>44466</v>
      </c>
      <c r="S3917" t="s">
        <v>37</v>
      </c>
      <c r="T3917" t="str">
        <f t="shared" si="305"/>
        <v>Grade C</v>
      </c>
      <c r="U3917">
        <f t="shared" si="306"/>
        <v>1</v>
      </c>
      <c r="V3917" t="str">
        <f t="shared" si="307"/>
        <v>New Joiner</v>
      </c>
      <c r="W3917" t="str">
        <f t="shared" si="308"/>
        <v>Already Left</v>
      </c>
      <c r="X3917" t="str">
        <f t="shared" si="309"/>
        <v>Fair</v>
      </c>
    </row>
    <row r="3918" spans="1:24" x14ac:dyDescent="0.3">
      <c r="A3918" t="s">
        <v>3986</v>
      </c>
      <c r="B3918" t="s">
        <v>39</v>
      </c>
      <c r="C3918">
        <v>35</v>
      </c>
      <c r="D3918" t="s">
        <v>57</v>
      </c>
      <c r="E3918" t="s">
        <v>48</v>
      </c>
      <c r="F3918" t="s">
        <v>78</v>
      </c>
      <c r="G3918" t="s">
        <v>33</v>
      </c>
      <c r="H3918" t="s">
        <v>25</v>
      </c>
      <c r="I3918" t="s">
        <v>43</v>
      </c>
      <c r="J3918" t="s">
        <v>44</v>
      </c>
      <c r="K3918">
        <v>4</v>
      </c>
      <c r="L3918">
        <v>67262</v>
      </c>
      <c r="M3918" t="s">
        <v>36</v>
      </c>
      <c r="N3918">
        <v>2</v>
      </c>
      <c r="O3918">
        <v>4</v>
      </c>
      <c r="P3918">
        <v>16</v>
      </c>
      <c r="Q3918">
        <v>1</v>
      </c>
      <c r="R3918" s="1">
        <v>43711</v>
      </c>
      <c r="S3918" t="s">
        <v>37</v>
      </c>
      <c r="T3918" t="str">
        <f t="shared" si="305"/>
        <v>Grade B</v>
      </c>
      <c r="U3918">
        <f t="shared" si="306"/>
        <v>1</v>
      </c>
      <c r="V3918" t="str">
        <f t="shared" si="307"/>
        <v>Junior</v>
      </c>
      <c r="W3918" t="str">
        <f t="shared" si="308"/>
        <v>Already Left</v>
      </c>
      <c r="X3918" t="str">
        <f t="shared" si="309"/>
        <v>Fair</v>
      </c>
    </row>
    <row r="3919" spans="1:24" x14ac:dyDescent="0.3">
      <c r="A3919" t="s">
        <v>3987</v>
      </c>
      <c r="B3919" t="s">
        <v>20</v>
      </c>
      <c r="C3919">
        <v>43</v>
      </c>
      <c r="D3919" t="s">
        <v>88</v>
      </c>
      <c r="E3919" t="s">
        <v>48</v>
      </c>
      <c r="F3919" t="s">
        <v>78</v>
      </c>
      <c r="G3919" t="s">
        <v>42</v>
      </c>
      <c r="H3919" t="s">
        <v>83</v>
      </c>
      <c r="I3919" t="s">
        <v>43</v>
      </c>
      <c r="J3919" t="s">
        <v>44</v>
      </c>
      <c r="K3919">
        <v>6</v>
      </c>
      <c r="L3919">
        <v>97650</v>
      </c>
      <c r="M3919" t="s">
        <v>36</v>
      </c>
      <c r="N3919">
        <v>2</v>
      </c>
      <c r="O3919">
        <v>2</v>
      </c>
      <c r="P3919">
        <v>74</v>
      </c>
      <c r="Q3919">
        <v>3</v>
      </c>
      <c r="R3919" s="1">
        <v>43068</v>
      </c>
      <c r="S3919" t="s">
        <v>37</v>
      </c>
      <c r="T3919" t="str">
        <f t="shared" si="305"/>
        <v>Grade A</v>
      </c>
      <c r="U3919">
        <f t="shared" si="306"/>
        <v>1</v>
      </c>
      <c r="V3919" t="str">
        <f t="shared" si="307"/>
        <v>Mid Level</v>
      </c>
      <c r="W3919" t="str">
        <f t="shared" si="308"/>
        <v>Already Left</v>
      </c>
      <c r="X3919" t="str">
        <f t="shared" si="309"/>
        <v>Overpaid</v>
      </c>
    </row>
    <row r="3920" spans="1:24" x14ac:dyDescent="0.3">
      <c r="A3920" t="s">
        <v>3988</v>
      </c>
      <c r="B3920" t="s">
        <v>39</v>
      </c>
      <c r="C3920">
        <v>40</v>
      </c>
      <c r="D3920" t="s">
        <v>21</v>
      </c>
      <c r="E3920" t="s">
        <v>22</v>
      </c>
      <c r="F3920" t="s">
        <v>41</v>
      </c>
      <c r="G3920" t="s">
        <v>42</v>
      </c>
      <c r="H3920" t="s">
        <v>76</v>
      </c>
      <c r="I3920" t="s">
        <v>43</v>
      </c>
      <c r="J3920" t="s">
        <v>44</v>
      </c>
      <c r="K3920">
        <v>8</v>
      </c>
      <c r="L3920">
        <v>114674</v>
      </c>
      <c r="M3920" t="s">
        <v>28</v>
      </c>
      <c r="N3920">
        <v>3</v>
      </c>
      <c r="O3920">
        <v>2</v>
      </c>
      <c r="P3920">
        <v>77</v>
      </c>
      <c r="Q3920">
        <v>3</v>
      </c>
      <c r="R3920" s="1">
        <v>42367</v>
      </c>
      <c r="S3920" t="s">
        <v>37</v>
      </c>
      <c r="T3920" t="str">
        <f t="shared" si="305"/>
        <v>Grade A</v>
      </c>
      <c r="U3920">
        <f t="shared" si="306"/>
        <v>3</v>
      </c>
      <c r="V3920" t="str">
        <f t="shared" si="307"/>
        <v>Mid Level</v>
      </c>
      <c r="W3920" t="str">
        <f t="shared" si="308"/>
        <v>Already Left</v>
      </c>
      <c r="X3920" t="str">
        <f t="shared" si="309"/>
        <v>Competitive</v>
      </c>
    </row>
    <row r="3921" spans="1:24" x14ac:dyDescent="0.3">
      <c r="A3921" t="s">
        <v>3989</v>
      </c>
      <c r="B3921" t="s">
        <v>20</v>
      </c>
      <c r="C3921">
        <v>38</v>
      </c>
      <c r="D3921" t="s">
        <v>31</v>
      </c>
      <c r="E3921" t="s">
        <v>22</v>
      </c>
      <c r="F3921" t="s">
        <v>32</v>
      </c>
      <c r="G3921" t="s">
        <v>79</v>
      </c>
      <c r="H3921" t="s">
        <v>25</v>
      </c>
      <c r="I3921" t="s">
        <v>50</v>
      </c>
      <c r="J3921" t="s">
        <v>44</v>
      </c>
      <c r="K3921">
        <v>8</v>
      </c>
      <c r="L3921">
        <v>65296</v>
      </c>
      <c r="M3921" t="s">
        <v>51</v>
      </c>
      <c r="N3921">
        <v>1</v>
      </c>
      <c r="O3921">
        <v>4</v>
      </c>
      <c r="P3921">
        <v>16</v>
      </c>
      <c r="Q3921">
        <v>3</v>
      </c>
      <c r="R3921" s="1">
        <v>42235</v>
      </c>
      <c r="S3921" t="s">
        <v>29</v>
      </c>
      <c r="T3921" t="str">
        <f t="shared" si="305"/>
        <v>Grade B</v>
      </c>
      <c r="U3921">
        <f t="shared" si="306"/>
        <v>4</v>
      </c>
      <c r="V3921" t="str">
        <f t="shared" si="307"/>
        <v>Mid Level</v>
      </c>
      <c r="W3921" t="str">
        <f t="shared" si="308"/>
        <v>Low Risk</v>
      </c>
      <c r="X3921" t="str">
        <f t="shared" si="309"/>
        <v>Fair</v>
      </c>
    </row>
    <row r="3922" spans="1:24" x14ac:dyDescent="0.3">
      <c r="A3922" t="s">
        <v>3990</v>
      </c>
      <c r="B3922" t="s">
        <v>20</v>
      </c>
      <c r="C3922">
        <v>28</v>
      </c>
      <c r="D3922" t="s">
        <v>21</v>
      </c>
      <c r="E3922" t="s">
        <v>48</v>
      </c>
      <c r="F3922" t="s">
        <v>62</v>
      </c>
      <c r="G3922" t="s">
        <v>79</v>
      </c>
      <c r="H3922" t="s">
        <v>83</v>
      </c>
      <c r="I3922" t="s">
        <v>80</v>
      </c>
      <c r="J3922" t="s">
        <v>60</v>
      </c>
      <c r="K3922">
        <v>11</v>
      </c>
      <c r="L3922">
        <v>57689</v>
      </c>
      <c r="M3922" t="s">
        <v>36</v>
      </c>
      <c r="N3922">
        <v>3</v>
      </c>
      <c r="O3922">
        <v>3</v>
      </c>
      <c r="P3922">
        <v>33</v>
      </c>
      <c r="Q3922">
        <v>2</v>
      </c>
      <c r="R3922" s="1">
        <v>41130</v>
      </c>
      <c r="S3922" t="s">
        <v>37</v>
      </c>
      <c r="T3922" t="str">
        <f t="shared" si="305"/>
        <v>Grade B</v>
      </c>
      <c r="U3922">
        <f t="shared" si="306"/>
        <v>1</v>
      </c>
      <c r="V3922" t="str">
        <f t="shared" si="307"/>
        <v>Senior</v>
      </c>
      <c r="W3922" t="str">
        <f t="shared" si="308"/>
        <v>Already Left</v>
      </c>
      <c r="X3922" t="str">
        <f t="shared" si="309"/>
        <v>Fair</v>
      </c>
    </row>
    <row r="3923" spans="1:24" x14ac:dyDescent="0.3">
      <c r="A3923" t="s">
        <v>3991</v>
      </c>
      <c r="B3923" t="s">
        <v>39</v>
      </c>
      <c r="C3923">
        <v>36</v>
      </c>
      <c r="D3923" t="s">
        <v>21</v>
      </c>
      <c r="E3923" t="s">
        <v>40</v>
      </c>
      <c r="F3923" t="s">
        <v>53</v>
      </c>
      <c r="G3923" t="s">
        <v>79</v>
      </c>
      <c r="H3923" t="s">
        <v>76</v>
      </c>
      <c r="I3923" t="s">
        <v>50</v>
      </c>
      <c r="J3923" t="s">
        <v>44</v>
      </c>
      <c r="K3923">
        <v>1</v>
      </c>
      <c r="L3923">
        <v>43858</v>
      </c>
      <c r="M3923" t="s">
        <v>28</v>
      </c>
      <c r="N3923">
        <v>2</v>
      </c>
      <c r="O3923">
        <v>3</v>
      </c>
      <c r="P3923">
        <v>34</v>
      </c>
      <c r="Q3923">
        <v>0</v>
      </c>
      <c r="R3923" s="1">
        <v>44895</v>
      </c>
      <c r="S3923" t="s">
        <v>29</v>
      </c>
      <c r="T3923" t="str">
        <f t="shared" si="305"/>
        <v>Grade C</v>
      </c>
      <c r="U3923">
        <f t="shared" si="306"/>
        <v>3</v>
      </c>
      <c r="V3923" t="str">
        <f t="shared" si="307"/>
        <v>New Joiner</v>
      </c>
      <c r="W3923" t="str">
        <f t="shared" si="308"/>
        <v>Medium Risk</v>
      </c>
      <c r="X3923" t="str">
        <f t="shared" si="309"/>
        <v>Fair</v>
      </c>
    </row>
    <row r="3924" spans="1:24" x14ac:dyDescent="0.3">
      <c r="A3924" t="s">
        <v>3992</v>
      </c>
      <c r="B3924" t="s">
        <v>39</v>
      </c>
      <c r="C3924">
        <v>38</v>
      </c>
      <c r="D3924" t="s">
        <v>31</v>
      </c>
      <c r="E3924" t="s">
        <v>22</v>
      </c>
      <c r="F3924" t="s">
        <v>75</v>
      </c>
      <c r="G3924" t="s">
        <v>79</v>
      </c>
      <c r="H3924" t="s">
        <v>34</v>
      </c>
      <c r="I3924" t="s">
        <v>26</v>
      </c>
      <c r="J3924" t="s">
        <v>27</v>
      </c>
      <c r="K3924">
        <v>11</v>
      </c>
      <c r="L3924">
        <v>63546</v>
      </c>
      <c r="M3924" t="s">
        <v>45</v>
      </c>
      <c r="N3924">
        <v>4</v>
      </c>
      <c r="O3924">
        <v>1</v>
      </c>
      <c r="P3924">
        <v>71</v>
      </c>
      <c r="Q3924">
        <v>0</v>
      </c>
      <c r="R3924" s="1">
        <v>41202</v>
      </c>
      <c r="S3924" t="s">
        <v>29</v>
      </c>
      <c r="T3924" t="str">
        <f t="shared" si="305"/>
        <v>Grade B</v>
      </c>
      <c r="U3924">
        <f t="shared" si="306"/>
        <v>2</v>
      </c>
      <c r="V3924" t="str">
        <f t="shared" si="307"/>
        <v>Senior</v>
      </c>
      <c r="W3924" t="str">
        <f t="shared" si="308"/>
        <v>Medium Risk</v>
      </c>
      <c r="X3924" t="str">
        <f t="shared" si="309"/>
        <v>Fair</v>
      </c>
    </row>
    <row r="3925" spans="1:24" x14ac:dyDescent="0.3">
      <c r="A3925" t="s">
        <v>3993</v>
      </c>
      <c r="B3925" t="s">
        <v>39</v>
      </c>
      <c r="C3925">
        <v>49</v>
      </c>
      <c r="D3925" t="s">
        <v>21</v>
      </c>
      <c r="E3925" t="s">
        <v>48</v>
      </c>
      <c r="F3925" t="s">
        <v>78</v>
      </c>
      <c r="G3925" t="s">
        <v>33</v>
      </c>
      <c r="H3925" t="s">
        <v>76</v>
      </c>
      <c r="I3925" t="s">
        <v>59</v>
      </c>
      <c r="J3925" t="s">
        <v>60</v>
      </c>
      <c r="K3925">
        <v>13</v>
      </c>
      <c r="L3925">
        <v>76396</v>
      </c>
      <c r="M3925" t="s">
        <v>36</v>
      </c>
      <c r="N3925">
        <v>1</v>
      </c>
      <c r="O3925">
        <v>4</v>
      </c>
      <c r="P3925">
        <v>47</v>
      </c>
      <c r="Q3925">
        <v>0</v>
      </c>
      <c r="R3925" s="1">
        <v>40351</v>
      </c>
      <c r="S3925" t="s">
        <v>37</v>
      </c>
      <c r="T3925" t="str">
        <f t="shared" si="305"/>
        <v>Grade B</v>
      </c>
      <c r="U3925">
        <f t="shared" si="306"/>
        <v>1</v>
      </c>
      <c r="V3925" t="str">
        <f t="shared" si="307"/>
        <v>Senior</v>
      </c>
      <c r="W3925" t="str">
        <f t="shared" si="308"/>
        <v>Already Left</v>
      </c>
      <c r="X3925" t="str">
        <f t="shared" si="309"/>
        <v>Fair</v>
      </c>
    </row>
    <row r="3926" spans="1:24" x14ac:dyDescent="0.3">
      <c r="A3926" t="s">
        <v>3994</v>
      </c>
      <c r="B3926" t="s">
        <v>20</v>
      </c>
      <c r="C3926">
        <v>39</v>
      </c>
      <c r="D3926" t="s">
        <v>21</v>
      </c>
      <c r="E3926" t="s">
        <v>48</v>
      </c>
      <c r="F3926" t="s">
        <v>41</v>
      </c>
      <c r="G3926" t="s">
        <v>42</v>
      </c>
      <c r="H3926" t="s">
        <v>83</v>
      </c>
      <c r="I3926" t="s">
        <v>72</v>
      </c>
      <c r="J3926" t="s">
        <v>73</v>
      </c>
      <c r="K3926">
        <v>3</v>
      </c>
      <c r="L3926">
        <v>91720</v>
      </c>
      <c r="M3926" t="s">
        <v>28</v>
      </c>
      <c r="N3926">
        <v>1</v>
      </c>
      <c r="O3926">
        <v>3</v>
      </c>
      <c r="P3926">
        <v>35</v>
      </c>
      <c r="Q3926">
        <v>1</v>
      </c>
      <c r="R3926" s="1">
        <v>43860</v>
      </c>
      <c r="S3926" t="s">
        <v>37</v>
      </c>
      <c r="T3926" t="str">
        <f t="shared" si="305"/>
        <v>Grade A</v>
      </c>
      <c r="U3926">
        <f t="shared" si="306"/>
        <v>3</v>
      </c>
      <c r="V3926" t="str">
        <f t="shared" si="307"/>
        <v>Junior</v>
      </c>
      <c r="W3926" t="str">
        <f t="shared" si="308"/>
        <v>Already Left</v>
      </c>
      <c r="X3926" t="str">
        <f t="shared" si="309"/>
        <v>Competitive</v>
      </c>
    </row>
    <row r="3927" spans="1:24" x14ac:dyDescent="0.3">
      <c r="A3927" t="s">
        <v>3995</v>
      </c>
      <c r="B3927" t="s">
        <v>20</v>
      </c>
      <c r="C3927">
        <v>32</v>
      </c>
      <c r="D3927" t="s">
        <v>47</v>
      </c>
      <c r="E3927" t="s">
        <v>48</v>
      </c>
      <c r="F3927" t="s">
        <v>32</v>
      </c>
      <c r="G3927" t="s">
        <v>24</v>
      </c>
      <c r="H3927" t="s">
        <v>83</v>
      </c>
      <c r="I3927" t="s">
        <v>72</v>
      </c>
      <c r="J3927" t="s">
        <v>73</v>
      </c>
      <c r="K3927">
        <v>4</v>
      </c>
      <c r="L3927">
        <v>82528</v>
      </c>
      <c r="M3927" t="s">
        <v>36</v>
      </c>
      <c r="N3927">
        <v>1</v>
      </c>
      <c r="O3927">
        <v>1</v>
      </c>
      <c r="P3927">
        <v>41</v>
      </c>
      <c r="Q3927">
        <v>2</v>
      </c>
      <c r="R3927" s="1">
        <v>43653</v>
      </c>
      <c r="S3927" t="s">
        <v>37</v>
      </c>
      <c r="T3927" t="str">
        <f t="shared" si="305"/>
        <v>Grade A</v>
      </c>
      <c r="U3927">
        <f t="shared" si="306"/>
        <v>1</v>
      </c>
      <c r="V3927" t="str">
        <f t="shared" si="307"/>
        <v>Junior</v>
      </c>
      <c r="W3927" t="str">
        <f t="shared" si="308"/>
        <v>Already Left</v>
      </c>
      <c r="X3927" t="str">
        <f t="shared" si="309"/>
        <v>Overpaid</v>
      </c>
    </row>
    <row r="3928" spans="1:24" x14ac:dyDescent="0.3">
      <c r="A3928" t="s">
        <v>3996</v>
      </c>
      <c r="B3928" t="s">
        <v>20</v>
      </c>
      <c r="C3928">
        <v>45</v>
      </c>
      <c r="D3928" t="s">
        <v>88</v>
      </c>
      <c r="E3928" t="s">
        <v>40</v>
      </c>
      <c r="F3928" t="s">
        <v>62</v>
      </c>
      <c r="G3928" t="s">
        <v>63</v>
      </c>
      <c r="H3928" t="s">
        <v>34</v>
      </c>
      <c r="I3928" t="s">
        <v>26</v>
      </c>
      <c r="J3928" t="s">
        <v>27</v>
      </c>
      <c r="K3928">
        <v>3</v>
      </c>
      <c r="L3928">
        <v>58995</v>
      </c>
      <c r="M3928" t="s">
        <v>51</v>
      </c>
      <c r="N3928">
        <v>2</v>
      </c>
      <c r="O3928">
        <v>3</v>
      </c>
      <c r="P3928">
        <v>32</v>
      </c>
      <c r="Q3928">
        <v>3</v>
      </c>
      <c r="R3928" s="1">
        <v>44129</v>
      </c>
      <c r="S3928" t="s">
        <v>29</v>
      </c>
      <c r="T3928" t="str">
        <f t="shared" si="305"/>
        <v>Grade B</v>
      </c>
      <c r="U3928">
        <f t="shared" si="306"/>
        <v>4</v>
      </c>
      <c r="V3928" t="str">
        <f t="shared" si="307"/>
        <v>Junior</v>
      </c>
      <c r="W3928" t="str">
        <f t="shared" si="308"/>
        <v>Low Risk</v>
      </c>
      <c r="X3928" t="str">
        <f t="shared" si="309"/>
        <v>Fair</v>
      </c>
    </row>
    <row r="3929" spans="1:24" x14ac:dyDescent="0.3">
      <c r="A3929" t="s">
        <v>3997</v>
      </c>
      <c r="B3929" t="s">
        <v>20</v>
      </c>
      <c r="C3929">
        <v>42</v>
      </c>
      <c r="D3929" t="s">
        <v>57</v>
      </c>
      <c r="E3929" t="s">
        <v>40</v>
      </c>
      <c r="F3929" t="s">
        <v>32</v>
      </c>
      <c r="G3929" t="s">
        <v>66</v>
      </c>
      <c r="H3929" t="s">
        <v>34</v>
      </c>
      <c r="I3929" t="s">
        <v>59</v>
      </c>
      <c r="J3929" t="s">
        <v>60</v>
      </c>
      <c r="K3929">
        <v>13</v>
      </c>
      <c r="L3929">
        <v>64365</v>
      </c>
      <c r="M3929" t="s">
        <v>36</v>
      </c>
      <c r="N3929">
        <v>3</v>
      </c>
      <c r="O3929">
        <v>4</v>
      </c>
      <c r="P3929">
        <v>16</v>
      </c>
      <c r="Q3929">
        <v>1</v>
      </c>
      <c r="R3929" s="1">
        <v>40338</v>
      </c>
      <c r="S3929" t="s">
        <v>29</v>
      </c>
      <c r="T3929" t="str">
        <f t="shared" si="305"/>
        <v>Grade B</v>
      </c>
      <c r="U3929">
        <f t="shared" si="306"/>
        <v>1</v>
      </c>
      <c r="V3929" t="str">
        <f t="shared" si="307"/>
        <v>Senior</v>
      </c>
      <c r="W3929" t="str">
        <f t="shared" si="308"/>
        <v>Medium Risk</v>
      </c>
      <c r="X3929" t="str">
        <f t="shared" si="309"/>
        <v>Fair</v>
      </c>
    </row>
    <row r="3930" spans="1:24" x14ac:dyDescent="0.3">
      <c r="A3930" t="s">
        <v>3998</v>
      </c>
      <c r="B3930" t="s">
        <v>20</v>
      </c>
      <c r="C3930">
        <v>38</v>
      </c>
      <c r="D3930" t="s">
        <v>88</v>
      </c>
      <c r="E3930" t="s">
        <v>22</v>
      </c>
      <c r="F3930" t="s">
        <v>65</v>
      </c>
      <c r="G3930" t="s">
        <v>79</v>
      </c>
      <c r="H3930" t="s">
        <v>76</v>
      </c>
      <c r="I3930" t="s">
        <v>26</v>
      </c>
      <c r="J3930" t="s">
        <v>27</v>
      </c>
      <c r="K3930">
        <v>6</v>
      </c>
      <c r="L3930">
        <v>47912</v>
      </c>
      <c r="M3930" t="s">
        <v>36</v>
      </c>
      <c r="N3930">
        <v>1</v>
      </c>
      <c r="O3930">
        <v>4</v>
      </c>
      <c r="P3930">
        <v>80</v>
      </c>
      <c r="Q3930">
        <v>2</v>
      </c>
      <c r="R3930" s="1">
        <v>42973</v>
      </c>
      <c r="S3930" t="s">
        <v>29</v>
      </c>
      <c r="T3930" t="str">
        <f t="shared" si="305"/>
        <v>Grade C</v>
      </c>
      <c r="U3930">
        <f t="shared" si="306"/>
        <v>1</v>
      </c>
      <c r="V3930" t="str">
        <f t="shared" si="307"/>
        <v>Mid Level</v>
      </c>
      <c r="W3930" t="str">
        <f t="shared" si="308"/>
        <v>Medium Risk</v>
      </c>
      <c r="X3930" t="str">
        <f t="shared" si="309"/>
        <v>Fair</v>
      </c>
    </row>
    <row r="3931" spans="1:24" x14ac:dyDescent="0.3">
      <c r="A3931" t="s">
        <v>3999</v>
      </c>
      <c r="B3931" t="s">
        <v>20</v>
      </c>
      <c r="C3931">
        <v>52</v>
      </c>
      <c r="D3931" t="s">
        <v>21</v>
      </c>
      <c r="E3931" t="s">
        <v>48</v>
      </c>
      <c r="F3931" t="s">
        <v>78</v>
      </c>
      <c r="G3931" t="s">
        <v>58</v>
      </c>
      <c r="H3931" t="s">
        <v>34</v>
      </c>
      <c r="I3931" t="s">
        <v>72</v>
      </c>
      <c r="J3931" t="s">
        <v>73</v>
      </c>
      <c r="K3931">
        <v>5</v>
      </c>
      <c r="L3931">
        <v>90525</v>
      </c>
      <c r="M3931" t="s">
        <v>45</v>
      </c>
      <c r="N3931">
        <v>4</v>
      </c>
      <c r="O3931">
        <v>3</v>
      </c>
      <c r="P3931">
        <v>14</v>
      </c>
      <c r="Q3931">
        <v>1</v>
      </c>
      <c r="R3931" s="1">
        <v>43438</v>
      </c>
      <c r="S3931" t="s">
        <v>29</v>
      </c>
      <c r="T3931" t="str">
        <f t="shared" si="305"/>
        <v>Grade A</v>
      </c>
      <c r="U3931">
        <f t="shared" si="306"/>
        <v>2</v>
      </c>
      <c r="V3931" t="str">
        <f t="shared" si="307"/>
        <v>Junior</v>
      </c>
      <c r="W3931" t="str">
        <f t="shared" si="308"/>
        <v>Medium Risk</v>
      </c>
      <c r="X3931" t="str">
        <f t="shared" si="309"/>
        <v>Fair</v>
      </c>
    </row>
    <row r="3932" spans="1:24" x14ac:dyDescent="0.3">
      <c r="A3932" t="s">
        <v>4000</v>
      </c>
      <c r="B3932" t="s">
        <v>39</v>
      </c>
      <c r="C3932">
        <v>24</v>
      </c>
      <c r="D3932" t="s">
        <v>88</v>
      </c>
      <c r="E3932" t="s">
        <v>22</v>
      </c>
      <c r="F3932" t="s">
        <v>75</v>
      </c>
      <c r="G3932" t="s">
        <v>49</v>
      </c>
      <c r="H3932" t="s">
        <v>83</v>
      </c>
      <c r="I3932" t="s">
        <v>35</v>
      </c>
      <c r="J3932" t="s">
        <v>27</v>
      </c>
      <c r="K3932">
        <v>2</v>
      </c>
      <c r="L3932">
        <v>58567</v>
      </c>
      <c r="M3932" t="s">
        <v>51</v>
      </c>
      <c r="N3932">
        <v>1</v>
      </c>
      <c r="O3932">
        <v>2</v>
      </c>
      <c r="P3932">
        <v>70</v>
      </c>
      <c r="Q3932">
        <v>0</v>
      </c>
      <c r="R3932" s="1">
        <v>44247</v>
      </c>
      <c r="S3932" t="s">
        <v>29</v>
      </c>
      <c r="T3932" t="str">
        <f t="shared" si="305"/>
        <v>Grade B</v>
      </c>
      <c r="U3932">
        <f t="shared" si="306"/>
        <v>4</v>
      </c>
      <c r="V3932" t="str">
        <f t="shared" si="307"/>
        <v>New Joiner</v>
      </c>
      <c r="W3932" t="str">
        <f t="shared" si="308"/>
        <v>Low Risk</v>
      </c>
      <c r="X3932" t="str">
        <f t="shared" si="309"/>
        <v>Fair</v>
      </c>
    </row>
    <row r="3933" spans="1:24" x14ac:dyDescent="0.3">
      <c r="A3933" t="s">
        <v>4001</v>
      </c>
      <c r="B3933" t="s">
        <v>20</v>
      </c>
      <c r="C3933">
        <v>38</v>
      </c>
      <c r="D3933" t="s">
        <v>31</v>
      </c>
      <c r="E3933" t="s">
        <v>22</v>
      </c>
      <c r="F3933" t="s">
        <v>41</v>
      </c>
      <c r="G3933" t="s">
        <v>58</v>
      </c>
      <c r="H3933" t="s">
        <v>83</v>
      </c>
      <c r="I3933" t="s">
        <v>26</v>
      </c>
      <c r="J3933" t="s">
        <v>27</v>
      </c>
      <c r="K3933">
        <v>8</v>
      </c>
      <c r="L3933">
        <v>107667</v>
      </c>
      <c r="M3933" t="s">
        <v>45</v>
      </c>
      <c r="N3933">
        <v>2</v>
      </c>
      <c r="O3933">
        <v>3</v>
      </c>
      <c r="P3933">
        <v>61</v>
      </c>
      <c r="Q3933">
        <v>3</v>
      </c>
      <c r="R3933" s="1">
        <v>42231</v>
      </c>
      <c r="S3933" t="s">
        <v>29</v>
      </c>
      <c r="T3933" t="str">
        <f t="shared" si="305"/>
        <v>Grade A</v>
      </c>
      <c r="U3933">
        <f t="shared" si="306"/>
        <v>2</v>
      </c>
      <c r="V3933" t="str">
        <f t="shared" si="307"/>
        <v>Mid Level</v>
      </c>
      <c r="W3933" t="str">
        <f t="shared" si="308"/>
        <v>Medium Risk</v>
      </c>
      <c r="X3933" t="str">
        <f t="shared" si="309"/>
        <v>Fair</v>
      </c>
    </row>
    <row r="3934" spans="1:24" x14ac:dyDescent="0.3">
      <c r="A3934" t="s">
        <v>4002</v>
      </c>
      <c r="B3934" t="s">
        <v>20</v>
      </c>
      <c r="C3934">
        <v>30</v>
      </c>
      <c r="D3934" t="s">
        <v>57</v>
      </c>
      <c r="E3934" t="s">
        <v>48</v>
      </c>
      <c r="F3934" t="s">
        <v>41</v>
      </c>
      <c r="G3934" t="s">
        <v>79</v>
      </c>
      <c r="H3934" t="s">
        <v>83</v>
      </c>
      <c r="I3934" t="s">
        <v>68</v>
      </c>
      <c r="J3934" t="s">
        <v>60</v>
      </c>
      <c r="K3934">
        <v>2</v>
      </c>
      <c r="L3934">
        <v>34248</v>
      </c>
      <c r="M3934" t="s">
        <v>45</v>
      </c>
      <c r="N3934">
        <v>2</v>
      </c>
      <c r="O3934">
        <v>1</v>
      </c>
      <c r="P3934">
        <v>62</v>
      </c>
      <c r="Q3934">
        <v>2</v>
      </c>
      <c r="R3934" s="1">
        <v>44423</v>
      </c>
      <c r="S3934" t="s">
        <v>29</v>
      </c>
      <c r="T3934" t="str">
        <f t="shared" si="305"/>
        <v>Grade D</v>
      </c>
      <c r="U3934">
        <f t="shared" si="306"/>
        <v>2</v>
      </c>
      <c r="V3934" t="str">
        <f t="shared" si="307"/>
        <v>New Joiner</v>
      </c>
      <c r="W3934" t="str">
        <f t="shared" si="308"/>
        <v>Medium Risk</v>
      </c>
      <c r="X3934" t="str">
        <f t="shared" si="309"/>
        <v>Fair</v>
      </c>
    </row>
    <row r="3935" spans="1:24" x14ac:dyDescent="0.3">
      <c r="A3935" t="s">
        <v>4003</v>
      </c>
      <c r="B3935" t="s">
        <v>20</v>
      </c>
      <c r="C3935">
        <v>48</v>
      </c>
      <c r="D3935" t="s">
        <v>31</v>
      </c>
      <c r="E3935" t="s">
        <v>40</v>
      </c>
      <c r="F3935" t="s">
        <v>41</v>
      </c>
      <c r="G3935" t="s">
        <v>58</v>
      </c>
      <c r="H3935" t="s">
        <v>25</v>
      </c>
      <c r="I3935" t="s">
        <v>72</v>
      </c>
      <c r="J3935" t="s">
        <v>73</v>
      </c>
      <c r="K3935">
        <v>3</v>
      </c>
      <c r="L3935">
        <v>81005</v>
      </c>
      <c r="M3935" t="s">
        <v>36</v>
      </c>
      <c r="N3935">
        <v>1</v>
      </c>
      <c r="O3935">
        <v>3</v>
      </c>
      <c r="P3935">
        <v>40</v>
      </c>
      <c r="Q3935">
        <v>3</v>
      </c>
      <c r="R3935" s="1">
        <v>43935</v>
      </c>
      <c r="S3935" t="s">
        <v>29</v>
      </c>
      <c r="T3935" t="str">
        <f t="shared" si="305"/>
        <v>Grade A</v>
      </c>
      <c r="U3935">
        <f t="shared" si="306"/>
        <v>1</v>
      </c>
      <c r="V3935" t="str">
        <f t="shared" si="307"/>
        <v>Junior</v>
      </c>
      <c r="W3935" t="str">
        <f t="shared" si="308"/>
        <v>Medium Risk</v>
      </c>
      <c r="X3935" t="str">
        <f t="shared" si="309"/>
        <v>Overpaid</v>
      </c>
    </row>
    <row r="3936" spans="1:24" x14ac:dyDescent="0.3">
      <c r="A3936" t="s">
        <v>4004</v>
      </c>
      <c r="B3936" t="s">
        <v>39</v>
      </c>
      <c r="C3936">
        <v>27</v>
      </c>
      <c r="D3936" t="s">
        <v>31</v>
      </c>
      <c r="E3936" t="s">
        <v>40</v>
      </c>
      <c r="F3936" t="s">
        <v>53</v>
      </c>
      <c r="G3936" t="s">
        <v>66</v>
      </c>
      <c r="H3936" t="s">
        <v>67</v>
      </c>
      <c r="I3936" t="s">
        <v>96</v>
      </c>
      <c r="J3936" t="s">
        <v>44</v>
      </c>
      <c r="K3936">
        <v>9</v>
      </c>
      <c r="L3936">
        <v>53680</v>
      </c>
      <c r="M3936" t="s">
        <v>28</v>
      </c>
      <c r="N3936">
        <v>2</v>
      </c>
      <c r="O3936">
        <v>3</v>
      </c>
      <c r="P3936">
        <v>46</v>
      </c>
      <c r="Q3936">
        <v>0</v>
      </c>
      <c r="R3936" s="1">
        <v>41711</v>
      </c>
      <c r="S3936" t="s">
        <v>29</v>
      </c>
      <c r="T3936" t="str">
        <f t="shared" si="305"/>
        <v>Grade B</v>
      </c>
      <c r="U3936">
        <f t="shared" si="306"/>
        <v>3</v>
      </c>
      <c r="V3936" t="str">
        <f t="shared" si="307"/>
        <v>Mid Level</v>
      </c>
      <c r="W3936" t="str">
        <f t="shared" si="308"/>
        <v>Medium Risk</v>
      </c>
      <c r="X3936" t="str">
        <f t="shared" si="309"/>
        <v>Competitive</v>
      </c>
    </row>
    <row r="3937" spans="1:24" x14ac:dyDescent="0.3">
      <c r="A3937" t="s">
        <v>4005</v>
      </c>
      <c r="B3937" t="s">
        <v>39</v>
      </c>
      <c r="C3937">
        <v>37</v>
      </c>
      <c r="D3937" t="s">
        <v>57</v>
      </c>
      <c r="E3937" t="s">
        <v>48</v>
      </c>
      <c r="F3937" t="s">
        <v>78</v>
      </c>
      <c r="G3937" t="s">
        <v>63</v>
      </c>
      <c r="H3937" t="s">
        <v>67</v>
      </c>
      <c r="I3937" t="s">
        <v>50</v>
      </c>
      <c r="J3937" t="s">
        <v>44</v>
      </c>
      <c r="K3937">
        <v>8</v>
      </c>
      <c r="L3937">
        <v>53363</v>
      </c>
      <c r="M3937" t="s">
        <v>28</v>
      </c>
      <c r="N3937">
        <v>4</v>
      </c>
      <c r="O3937">
        <v>2</v>
      </c>
      <c r="P3937">
        <v>21</v>
      </c>
      <c r="Q3937">
        <v>0</v>
      </c>
      <c r="R3937" s="1">
        <v>42027</v>
      </c>
      <c r="S3937" t="s">
        <v>29</v>
      </c>
      <c r="T3937" t="str">
        <f t="shared" si="305"/>
        <v>Grade B</v>
      </c>
      <c r="U3937">
        <f t="shared" si="306"/>
        <v>3</v>
      </c>
      <c r="V3937" t="str">
        <f t="shared" si="307"/>
        <v>Mid Level</v>
      </c>
      <c r="W3937" t="str">
        <f t="shared" si="308"/>
        <v>Medium Risk</v>
      </c>
      <c r="X3937" t="str">
        <f t="shared" si="309"/>
        <v>Competitive</v>
      </c>
    </row>
    <row r="3938" spans="1:24" x14ac:dyDescent="0.3">
      <c r="A3938" t="s">
        <v>4006</v>
      </c>
      <c r="B3938" t="s">
        <v>39</v>
      </c>
      <c r="C3938">
        <v>43</v>
      </c>
      <c r="D3938" t="s">
        <v>88</v>
      </c>
      <c r="E3938" t="s">
        <v>48</v>
      </c>
      <c r="F3938" t="s">
        <v>53</v>
      </c>
      <c r="G3938" t="s">
        <v>33</v>
      </c>
      <c r="H3938" t="s">
        <v>25</v>
      </c>
      <c r="I3938" t="s">
        <v>50</v>
      </c>
      <c r="J3938" t="s">
        <v>44</v>
      </c>
      <c r="K3938">
        <v>13</v>
      </c>
      <c r="L3938">
        <v>86433</v>
      </c>
      <c r="M3938" t="s">
        <v>28</v>
      </c>
      <c r="N3938">
        <v>1</v>
      </c>
      <c r="O3938">
        <v>3</v>
      </c>
      <c r="P3938">
        <v>18</v>
      </c>
      <c r="Q3938">
        <v>2</v>
      </c>
      <c r="R3938" s="1">
        <v>40435</v>
      </c>
      <c r="S3938" t="s">
        <v>29</v>
      </c>
      <c r="T3938" t="str">
        <f t="shared" si="305"/>
        <v>Grade A</v>
      </c>
      <c r="U3938">
        <f t="shared" si="306"/>
        <v>3</v>
      </c>
      <c r="V3938" t="str">
        <f t="shared" si="307"/>
        <v>Senior</v>
      </c>
      <c r="W3938" t="str">
        <f t="shared" si="308"/>
        <v>Medium Risk</v>
      </c>
      <c r="X3938" t="str">
        <f t="shared" si="309"/>
        <v>Competitive</v>
      </c>
    </row>
    <row r="3939" spans="1:24" x14ac:dyDescent="0.3">
      <c r="A3939" t="s">
        <v>4007</v>
      </c>
      <c r="B3939" t="s">
        <v>39</v>
      </c>
      <c r="C3939">
        <v>51</v>
      </c>
      <c r="D3939" t="s">
        <v>88</v>
      </c>
      <c r="E3939" t="s">
        <v>40</v>
      </c>
      <c r="F3939" t="s">
        <v>62</v>
      </c>
      <c r="G3939" t="s">
        <v>42</v>
      </c>
      <c r="H3939" t="s">
        <v>83</v>
      </c>
      <c r="I3939" t="s">
        <v>54</v>
      </c>
      <c r="J3939" t="s">
        <v>27</v>
      </c>
      <c r="K3939">
        <v>8</v>
      </c>
      <c r="L3939">
        <v>115142</v>
      </c>
      <c r="M3939" t="s">
        <v>51</v>
      </c>
      <c r="N3939">
        <v>1</v>
      </c>
      <c r="O3939">
        <v>1</v>
      </c>
      <c r="P3939">
        <v>77</v>
      </c>
      <c r="Q3939">
        <v>1</v>
      </c>
      <c r="R3939" s="1">
        <v>42304</v>
      </c>
      <c r="S3939" t="s">
        <v>29</v>
      </c>
      <c r="T3939" t="str">
        <f t="shared" si="305"/>
        <v>Grade A</v>
      </c>
      <c r="U3939">
        <f t="shared" si="306"/>
        <v>4</v>
      </c>
      <c r="V3939" t="str">
        <f t="shared" si="307"/>
        <v>Mid Level</v>
      </c>
      <c r="W3939" t="str">
        <f t="shared" si="308"/>
        <v>Low Risk</v>
      </c>
      <c r="X3939" t="str">
        <f t="shared" si="309"/>
        <v>Competitive</v>
      </c>
    </row>
    <row r="3940" spans="1:24" x14ac:dyDescent="0.3">
      <c r="A3940" t="s">
        <v>4008</v>
      </c>
      <c r="B3940" t="s">
        <v>20</v>
      </c>
      <c r="C3940">
        <v>24</v>
      </c>
      <c r="D3940" t="s">
        <v>31</v>
      </c>
      <c r="E3940" t="s">
        <v>22</v>
      </c>
      <c r="F3940" t="s">
        <v>23</v>
      </c>
      <c r="G3940" t="s">
        <v>58</v>
      </c>
      <c r="H3940" t="s">
        <v>76</v>
      </c>
      <c r="I3940" t="s">
        <v>26</v>
      </c>
      <c r="J3940" t="s">
        <v>27</v>
      </c>
      <c r="K3940">
        <v>14</v>
      </c>
      <c r="L3940">
        <v>113622</v>
      </c>
      <c r="M3940" t="s">
        <v>36</v>
      </c>
      <c r="N3940">
        <v>3</v>
      </c>
      <c r="O3940">
        <v>2</v>
      </c>
      <c r="P3940">
        <v>66</v>
      </c>
      <c r="Q3940">
        <v>3</v>
      </c>
      <c r="R3940" s="1">
        <v>40020</v>
      </c>
      <c r="S3940" t="s">
        <v>37</v>
      </c>
      <c r="T3940" t="str">
        <f t="shared" si="305"/>
        <v>Grade A</v>
      </c>
      <c r="U3940">
        <f t="shared" si="306"/>
        <v>1</v>
      </c>
      <c r="V3940" t="str">
        <f t="shared" si="307"/>
        <v>Senior</v>
      </c>
      <c r="W3940" t="str">
        <f t="shared" si="308"/>
        <v>Already Left</v>
      </c>
      <c r="X3940" t="str">
        <f t="shared" si="309"/>
        <v>Overpaid</v>
      </c>
    </row>
    <row r="3941" spans="1:24" x14ac:dyDescent="0.3">
      <c r="A3941" t="s">
        <v>4009</v>
      </c>
      <c r="B3941" t="s">
        <v>20</v>
      </c>
      <c r="C3941">
        <v>23</v>
      </c>
      <c r="D3941" t="s">
        <v>57</v>
      </c>
      <c r="E3941" t="s">
        <v>22</v>
      </c>
      <c r="F3941" t="s">
        <v>75</v>
      </c>
      <c r="G3941" t="s">
        <v>66</v>
      </c>
      <c r="H3941" t="s">
        <v>76</v>
      </c>
      <c r="I3941" t="s">
        <v>43</v>
      </c>
      <c r="J3941" t="s">
        <v>44</v>
      </c>
      <c r="K3941">
        <v>3</v>
      </c>
      <c r="L3941">
        <v>39887</v>
      </c>
      <c r="M3941" t="s">
        <v>28</v>
      </c>
      <c r="N3941">
        <v>2</v>
      </c>
      <c r="O3941">
        <v>4</v>
      </c>
      <c r="P3941">
        <v>37</v>
      </c>
      <c r="Q3941">
        <v>3</v>
      </c>
      <c r="R3941" s="1">
        <v>43997</v>
      </c>
      <c r="S3941" t="s">
        <v>29</v>
      </c>
      <c r="T3941" t="str">
        <f t="shared" si="305"/>
        <v>Grade C</v>
      </c>
      <c r="U3941">
        <f t="shared" si="306"/>
        <v>3</v>
      </c>
      <c r="V3941" t="str">
        <f t="shared" si="307"/>
        <v>Junior</v>
      </c>
      <c r="W3941" t="str">
        <f t="shared" si="308"/>
        <v>Medium Risk</v>
      </c>
      <c r="X3941" t="str">
        <f t="shared" si="309"/>
        <v>Fair</v>
      </c>
    </row>
    <row r="3942" spans="1:24" x14ac:dyDescent="0.3">
      <c r="A3942" t="s">
        <v>4010</v>
      </c>
      <c r="B3942" t="s">
        <v>20</v>
      </c>
      <c r="C3942">
        <v>49</v>
      </c>
      <c r="D3942" t="s">
        <v>47</v>
      </c>
      <c r="E3942" t="s">
        <v>40</v>
      </c>
      <c r="F3942" t="s">
        <v>32</v>
      </c>
      <c r="G3942" t="s">
        <v>33</v>
      </c>
      <c r="H3942" t="s">
        <v>34</v>
      </c>
      <c r="I3942" t="s">
        <v>68</v>
      </c>
      <c r="J3942" t="s">
        <v>60</v>
      </c>
      <c r="K3942">
        <v>6</v>
      </c>
      <c r="L3942">
        <v>65826</v>
      </c>
      <c r="M3942" t="s">
        <v>51</v>
      </c>
      <c r="N3942">
        <v>4</v>
      </c>
      <c r="O3942">
        <v>4</v>
      </c>
      <c r="P3942">
        <v>76</v>
      </c>
      <c r="Q3942">
        <v>1</v>
      </c>
      <c r="R3942" s="1">
        <v>43043</v>
      </c>
      <c r="S3942" t="s">
        <v>29</v>
      </c>
      <c r="T3942" t="str">
        <f t="shared" si="305"/>
        <v>Grade B</v>
      </c>
      <c r="U3942">
        <f t="shared" si="306"/>
        <v>4</v>
      </c>
      <c r="V3942" t="str">
        <f t="shared" si="307"/>
        <v>Mid Level</v>
      </c>
      <c r="W3942" t="str">
        <f t="shared" si="308"/>
        <v>Low Risk</v>
      </c>
      <c r="X3942" t="str">
        <f t="shared" si="309"/>
        <v>Fair</v>
      </c>
    </row>
    <row r="3943" spans="1:24" x14ac:dyDescent="0.3">
      <c r="A3943" t="s">
        <v>4011</v>
      </c>
      <c r="B3943" t="s">
        <v>20</v>
      </c>
      <c r="C3943">
        <v>40</v>
      </c>
      <c r="D3943" t="s">
        <v>31</v>
      </c>
      <c r="E3943" t="s">
        <v>48</v>
      </c>
      <c r="F3943" t="s">
        <v>32</v>
      </c>
      <c r="G3943" t="s">
        <v>58</v>
      </c>
      <c r="H3943" t="s">
        <v>25</v>
      </c>
      <c r="I3943" t="s">
        <v>96</v>
      </c>
      <c r="J3943" t="s">
        <v>44</v>
      </c>
      <c r="K3943">
        <v>9</v>
      </c>
      <c r="L3943">
        <v>101701</v>
      </c>
      <c r="M3943" t="s">
        <v>28</v>
      </c>
      <c r="N3943">
        <v>1</v>
      </c>
      <c r="O3943">
        <v>4</v>
      </c>
      <c r="P3943">
        <v>74</v>
      </c>
      <c r="Q3943">
        <v>2</v>
      </c>
      <c r="R3943" s="1">
        <v>41804</v>
      </c>
      <c r="S3943" t="s">
        <v>29</v>
      </c>
      <c r="T3943" t="str">
        <f t="shared" si="305"/>
        <v>Grade A</v>
      </c>
      <c r="U3943">
        <f t="shared" si="306"/>
        <v>3</v>
      </c>
      <c r="V3943" t="str">
        <f t="shared" si="307"/>
        <v>Mid Level</v>
      </c>
      <c r="W3943" t="str">
        <f t="shared" si="308"/>
        <v>Medium Risk</v>
      </c>
      <c r="X3943" t="str">
        <f t="shared" si="309"/>
        <v>Competitive</v>
      </c>
    </row>
    <row r="3944" spans="1:24" x14ac:dyDescent="0.3">
      <c r="A3944" t="s">
        <v>4012</v>
      </c>
      <c r="B3944" t="s">
        <v>20</v>
      </c>
      <c r="C3944">
        <v>41</v>
      </c>
      <c r="D3944" t="s">
        <v>47</v>
      </c>
      <c r="E3944" t="s">
        <v>22</v>
      </c>
      <c r="F3944" t="s">
        <v>32</v>
      </c>
      <c r="G3944" t="s">
        <v>79</v>
      </c>
      <c r="H3944" t="s">
        <v>67</v>
      </c>
      <c r="I3944" t="s">
        <v>35</v>
      </c>
      <c r="J3944" t="s">
        <v>27</v>
      </c>
      <c r="K3944">
        <v>10</v>
      </c>
      <c r="L3944">
        <v>57518</v>
      </c>
      <c r="M3944" t="s">
        <v>51</v>
      </c>
      <c r="N3944">
        <v>4</v>
      </c>
      <c r="O3944">
        <v>3</v>
      </c>
      <c r="P3944">
        <v>36</v>
      </c>
      <c r="Q3944">
        <v>2</v>
      </c>
      <c r="R3944" s="1">
        <v>41626</v>
      </c>
      <c r="S3944" t="s">
        <v>29</v>
      </c>
      <c r="T3944" t="str">
        <f t="shared" si="305"/>
        <v>Grade B</v>
      </c>
      <c r="U3944">
        <f t="shared" si="306"/>
        <v>4</v>
      </c>
      <c r="V3944" t="str">
        <f t="shared" si="307"/>
        <v>Mid Level</v>
      </c>
      <c r="W3944" t="str">
        <f t="shared" si="308"/>
        <v>Low Risk</v>
      </c>
      <c r="X3944" t="str">
        <f t="shared" si="309"/>
        <v>Fair</v>
      </c>
    </row>
    <row r="3945" spans="1:24" x14ac:dyDescent="0.3">
      <c r="A3945" t="s">
        <v>4013</v>
      </c>
      <c r="B3945" t="s">
        <v>20</v>
      </c>
      <c r="C3945">
        <v>32</v>
      </c>
      <c r="D3945" t="s">
        <v>31</v>
      </c>
      <c r="E3945" t="s">
        <v>22</v>
      </c>
      <c r="F3945" t="s">
        <v>65</v>
      </c>
      <c r="G3945" t="s">
        <v>66</v>
      </c>
      <c r="H3945" t="s">
        <v>76</v>
      </c>
      <c r="I3945" t="s">
        <v>35</v>
      </c>
      <c r="J3945" t="s">
        <v>27</v>
      </c>
      <c r="K3945">
        <v>14</v>
      </c>
      <c r="L3945">
        <v>53463</v>
      </c>
      <c r="M3945" t="s">
        <v>45</v>
      </c>
      <c r="N3945">
        <v>3</v>
      </c>
      <c r="O3945">
        <v>3</v>
      </c>
      <c r="P3945">
        <v>22</v>
      </c>
      <c r="Q3945">
        <v>3</v>
      </c>
      <c r="R3945" s="1">
        <v>40023</v>
      </c>
      <c r="S3945" t="s">
        <v>29</v>
      </c>
      <c r="T3945" t="str">
        <f t="shared" si="305"/>
        <v>Grade B</v>
      </c>
      <c r="U3945">
        <f t="shared" si="306"/>
        <v>2</v>
      </c>
      <c r="V3945" t="str">
        <f t="shared" si="307"/>
        <v>Senior</v>
      </c>
      <c r="W3945" t="str">
        <f t="shared" si="308"/>
        <v>Medium Risk</v>
      </c>
      <c r="X3945" t="str">
        <f t="shared" si="309"/>
        <v>Fair</v>
      </c>
    </row>
    <row r="3946" spans="1:24" x14ac:dyDescent="0.3">
      <c r="A3946" t="s">
        <v>4014</v>
      </c>
      <c r="B3946" t="s">
        <v>39</v>
      </c>
      <c r="C3946">
        <v>36</v>
      </c>
      <c r="D3946" t="s">
        <v>47</v>
      </c>
      <c r="E3946" t="s">
        <v>48</v>
      </c>
      <c r="F3946" t="s">
        <v>41</v>
      </c>
      <c r="G3946" t="s">
        <v>42</v>
      </c>
      <c r="H3946" t="s">
        <v>76</v>
      </c>
      <c r="I3946" t="s">
        <v>59</v>
      </c>
      <c r="J3946" t="s">
        <v>60</v>
      </c>
      <c r="K3946">
        <v>13</v>
      </c>
      <c r="L3946">
        <v>114120</v>
      </c>
      <c r="M3946" t="s">
        <v>36</v>
      </c>
      <c r="N3946">
        <v>1</v>
      </c>
      <c r="O3946">
        <v>3</v>
      </c>
      <c r="P3946">
        <v>66</v>
      </c>
      <c r="Q3946">
        <v>2</v>
      </c>
      <c r="R3946" s="1">
        <v>40520</v>
      </c>
      <c r="S3946" t="s">
        <v>37</v>
      </c>
      <c r="T3946" t="str">
        <f t="shared" si="305"/>
        <v>Grade A</v>
      </c>
      <c r="U3946">
        <f t="shared" si="306"/>
        <v>1</v>
      </c>
      <c r="V3946" t="str">
        <f t="shared" si="307"/>
        <v>Senior</v>
      </c>
      <c r="W3946" t="str">
        <f t="shared" si="308"/>
        <v>Already Left</v>
      </c>
      <c r="X3946" t="str">
        <f t="shared" si="309"/>
        <v>Overpaid</v>
      </c>
    </row>
    <row r="3947" spans="1:24" x14ac:dyDescent="0.3">
      <c r="A3947" t="s">
        <v>4015</v>
      </c>
      <c r="B3947" t="s">
        <v>39</v>
      </c>
      <c r="C3947">
        <v>42</v>
      </c>
      <c r="D3947" t="s">
        <v>57</v>
      </c>
      <c r="E3947" t="s">
        <v>40</v>
      </c>
      <c r="F3947" t="s">
        <v>41</v>
      </c>
      <c r="G3947" t="s">
        <v>63</v>
      </c>
      <c r="H3947" t="s">
        <v>67</v>
      </c>
      <c r="I3947" t="s">
        <v>68</v>
      </c>
      <c r="J3947" t="s">
        <v>60</v>
      </c>
      <c r="K3947">
        <v>7</v>
      </c>
      <c r="L3947">
        <v>49703</v>
      </c>
      <c r="M3947" t="s">
        <v>51</v>
      </c>
      <c r="N3947">
        <v>1</v>
      </c>
      <c r="O3947">
        <v>2</v>
      </c>
      <c r="P3947">
        <v>22</v>
      </c>
      <c r="Q3947">
        <v>3</v>
      </c>
      <c r="R3947" s="1">
        <v>42392</v>
      </c>
      <c r="S3947" t="s">
        <v>29</v>
      </c>
      <c r="T3947" t="str">
        <f t="shared" si="305"/>
        <v>Grade C</v>
      </c>
      <c r="U3947">
        <f t="shared" si="306"/>
        <v>4</v>
      </c>
      <c r="V3947" t="str">
        <f t="shared" si="307"/>
        <v>Mid Level</v>
      </c>
      <c r="W3947" t="str">
        <f t="shared" si="308"/>
        <v>Low Risk</v>
      </c>
      <c r="X3947" t="str">
        <f t="shared" si="309"/>
        <v>Fair</v>
      </c>
    </row>
    <row r="3948" spans="1:24" x14ac:dyDescent="0.3">
      <c r="A3948" t="s">
        <v>4016</v>
      </c>
      <c r="B3948" t="s">
        <v>39</v>
      </c>
      <c r="C3948">
        <v>23</v>
      </c>
      <c r="D3948" t="s">
        <v>88</v>
      </c>
      <c r="E3948" t="s">
        <v>40</v>
      </c>
      <c r="F3948" t="s">
        <v>23</v>
      </c>
      <c r="G3948" t="s">
        <v>24</v>
      </c>
      <c r="H3948" t="s">
        <v>76</v>
      </c>
      <c r="I3948" t="s">
        <v>50</v>
      </c>
      <c r="J3948" t="s">
        <v>44</v>
      </c>
      <c r="K3948">
        <v>5</v>
      </c>
      <c r="L3948">
        <v>77032</v>
      </c>
      <c r="M3948" t="s">
        <v>28</v>
      </c>
      <c r="N3948">
        <v>4</v>
      </c>
      <c r="O3948">
        <v>4</v>
      </c>
      <c r="P3948">
        <v>28</v>
      </c>
      <c r="Q3948">
        <v>1</v>
      </c>
      <c r="R3948" s="1">
        <v>43299</v>
      </c>
      <c r="S3948" t="s">
        <v>29</v>
      </c>
      <c r="T3948" t="str">
        <f t="shared" si="305"/>
        <v>Grade B</v>
      </c>
      <c r="U3948">
        <f t="shared" si="306"/>
        <v>3</v>
      </c>
      <c r="V3948" t="str">
        <f t="shared" si="307"/>
        <v>Junior</v>
      </c>
      <c r="W3948" t="str">
        <f t="shared" si="308"/>
        <v>Medium Risk</v>
      </c>
      <c r="X3948" t="str">
        <f t="shared" si="309"/>
        <v>Competitive</v>
      </c>
    </row>
    <row r="3949" spans="1:24" x14ac:dyDescent="0.3">
      <c r="A3949" t="s">
        <v>4017</v>
      </c>
      <c r="B3949" t="s">
        <v>39</v>
      </c>
      <c r="C3949">
        <v>27</v>
      </c>
      <c r="D3949" t="s">
        <v>31</v>
      </c>
      <c r="E3949" t="s">
        <v>40</v>
      </c>
      <c r="F3949" t="s">
        <v>75</v>
      </c>
      <c r="G3949" t="s">
        <v>42</v>
      </c>
      <c r="H3949" t="s">
        <v>76</v>
      </c>
      <c r="I3949" t="s">
        <v>43</v>
      </c>
      <c r="J3949" t="s">
        <v>44</v>
      </c>
      <c r="K3949">
        <v>4</v>
      </c>
      <c r="L3949">
        <v>103325</v>
      </c>
      <c r="M3949" t="s">
        <v>36</v>
      </c>
      <c r="N3949">
        <v>1</v>
      </c>
      <c r="O3949">
        <v>1</v>
      </c>
      <c r="P3949">
        <v>77</v>
      </c>
      <c r="Q3949">
        <v>2</v>
      </c>
      <c r="R3949" s="1">
        <v>43609</v>
      </c>
      <c r="S3949" t="s">
        <v>29</v>
      </c>
      <c r="T3949" t="str">
        <f t="shared" si="305"/>
        <v>Grade A</v>
      </c>
      <c r="U3949">
        <f t="shared" si="306"/>
        <v>1</v>
      </c>
      <c r="V3949" t="str">
        <f t="shared" si="307"/>
        <v>Junior</v>
      </c>
      <c r="W3949" t="str">
        <f t="shared" si="308"/>
        <v>Medium Risk</v>
      </c>
      <c r="X3949" t="str">
        <f t="shared" si="309"/>
        <v>Overpaid</v>
      </c>
    </row>
    <row r="3950" spans="1:24" x14ac:dyDescent="0.3">
      <c r="A3950" t="s">
        <v>4018</v>
      </c>
      <c r="B3950" t="s">
        <v>20</v>
      </c>
      <c r="C3950">
        <v>53</v>
      </c>
      <c r="D3950" t="s">
        <v>88</v>
      </c>
      <c r="E3950" t="s">
        <v>22</v>
      </c>
      <c r="F3950" t="s">
        <v>65</v>
      </c>
      <c r="G3950" t="s">
        <v>42</v>
      </c>
      <c r="H3950" t="s">
        <v>25</v>
      </c>
      <c r="I3950" t="s">
        <v>35</v>
      </c>
      <c r="J3950" t="s">
        <v>27</v>
      </c>
      <c r="K3950">
        <v>12</v>
      </c>
      <c r="L3950">
        <v>121742</v>
      </c>
      <c r="M3950" t="s">
        <v>51</v>
      </c>
      <c r="N3950">
        <v>1</v>
      </c>
      <c r="O3950">
        <v>2</v>
      </c>
      <c r="P3950">
        <v>66</v>
      </c>
      <c r="Q3950">
        <v>0</v>
      </c>
      <c r="R3950" s="1">
        <v>40878</v>
      </c>
      <c r="S3950" t="s">
        <v>29</v>
      </c>
      <c r="T3950" t="str">
        <f t="shared" si="305"/>
        <v>Grade A</v>
      </c>
      <c r="U3950">
        <f t="shared" si="306"/>
        <v>4</v>
      </c>
      <c r="V3950" t="str">
        <f t="shared" si="307"/>
        <v>Senior</v>
      </c>
      <c r="W3950" t="str">
        <f t="shared" si="308"/>
        <v>Low Risk</v>
      </c>
      <c r="X3950" t="str">
        <f t="shared" si="309"/>
        <v>Competitive</v>
      </c>
    </row>
    <row r="3951" spans="1:24" x14ac:dyDescent="0.3">
      <c r="A3951" t="s">
        <v>4019</v>
      </c>
      <c r="B3951" t="s">
        <v>39</v>
      </c>
      <c r="C3951">
        <v>49</v>
      </c>
      <c r="D3951" t="s">
        <v>88</v>
      </c>
      <c r="E3951" t="s">
        <v>22</v>
      </c>
      <c r="F3951" t="s">
        <v>65</v>
      </c>
      <c r="G3951" t="s">
        <v>33</v>
      </c>
      <c r="H3951" t="s">
        <v>67</v>
      </c>
      <c r="I3951" t="s">
        <v>54</v>
      </c>
      <c r="J3951" t="s">
        <v>27</v>
      </c>
      <c r="K3951">
        <v>2</v>
      </c>
      <c r="L3951">
        <v>58016</v>
      </c>
      <c r="M3951" t="s">
        <v>36</v>
      </c>
      <c r="N3951">
        <v>4</v>
      </c>
      <c r="O3951">
        <v>2</v>
      </c>
      <c r="P3951">
        <v>13</v>
      </c>
      <c r="Q3951">
        <v>0</v>
      </c>
      <c r="R3951" s="1">
        <v>44322</v>
      </c>
      <c r="S3951" t="s">
        <v>37</v>
      </c>
      <c r="T3951" t="str">
        <f t="shared" si="305"/>
        <v>Grade B</v>
      </c>
      <c r="U3951">
        <f t="shared" si="306"/>
        <v>1</v>
      </c>
      <c r="V3951" t="str">
        <f t="shared" si="307"/>
        <v>New Joiner</v>
      </c>
      <c r="W3951" t="str">
        <f t="shared" si="308"/>
        <v>Already Left</v>
      </c>
      <c r="X3951" t="str">
        <f t="shared" si="309"/>
        <v>Fair</v>
      </c>
    </row>
    <row r="3952" spans="1:24" x14ac:dyDescent="0.3">
      <c r="A3952" t="s">
        <v>4020</v>
      </c>
      <c r="B3952" t="s">
        <v>39</v>
      </c>
      <c r="C3952">
        <v>42</v>
      </c>
      <c r="D3952" t="s">
        <v>88</v>
      </c>
      <c r="E3952" t="s">
        <v>22</v>
      </c>
      <c r="F3952" t="s">
        <v>62</v>
      </c>
      <c r="G3952" t="s">
        <v>33</v>
      </c>
      <c r="H3952" t="s">
        <v>34</v>
      </c>
      <c r="I3952" t="s">
        <v>43</v>
      </c>
      <c r="J3952" t="s">
        <v>44</v>
      </c>
      <c r="K3952">
        <v>5</v>
      </c>
      <c r="L3952">
        <v>62563</v>
      </c>
      <c r="M3952" t="s">
        <v>45</v>
      </c>
      <c r="N3952">
        <v>4</v>
      </c>
      <c r="O3952">
        <v>2</v>
      </c>
      <c r="P3952">
        <v>42</v>
      </c>
      <c r="Q3952">
        <v>0</v>
      </c>
      <c r="R3952" s="1">
        <v>43355</v>
      </c>
      <c r="S3952" t="s">
        <v>29</v>
      </c>
      <c r="T3952" t="str">
        <f t="shared" si="305"/>
        <v>Grade B</v>
      </c>
      <c r="U3952">
        <f t="shared" si="306"/>
        <v>2</v>
      </c>
      <c r="V3952" t="str">
        <f t="shared" si="307"/>
        <v>Junior</v>
      </c>
      <c r="W3952" t="str">
        <f t="shared" si="308"/>
        <v>Medium Risk</v>
      </c>
      <c r="X3952" t="str">
        <f t="shared" si="309"/>
        <v>Fair</v>
      </c>
    </row>
    <row r="3953" spans="1:24" x14ac:dyDescent="0.3">
      <c r="A3953" t="s">
        <v>4021</v>
      </c>
      <c r="B3953" t="s">
        <v>20</v>
      </c>
      <c r="C3953">
        <v>29</v>
      </c>
      <c r="D3953" t="s">
        <v>31</v>
      </c>
      <c r="E3953" t="s">
        <v>22</v>
      </c>
      <c r="F3953" t="s">
        <v>23</v>
      </c>
      <c r="G3953" t="s">
        <v>49</v>
      </c>
      <c r="H3953" t="s">
        <v>83</v>
      </c>
      <c r="I3953" t="s">
        <v>59</v>
      </c>
      <c r="J3953" t="s">
        <v>60</v>
      </c>
      <c r="K3953">
        <v>11</v>
      </c>
      <c r="L3953">
        <v>74580</v>
      </c>
      <c r="M3953" t="s">
        <v>45</v>
      </c>
      <c r="N3953">
        <v>2</v>
      </c>
      <c r="O3953">
        <v>1</v>
      </c>
      <c r="P3953">
        <v>53</v>
      </c>
      <c r="Q3953">
        <v>0</v>
      </c>
      <c r="R3953" s="1">
        <v>41087</v>
      </c>
      <c r="S3953" t="s">
        <v>29</v>
      </c>
      <c r="T3953" t="str">
        <f t="shared" si="305"/>
        <v>Grade B</v>
      </c>
      <c r="U3953">
        <f t="shared" si="306"/>
        <v>2</v>
      </c>
      <c r="V3953" t="str">
        <f t="shared" si="307"/>
        <v>Senior</v>
      </c>
      <c r="W3953" t="str">
        <f t="shared" si="308"/>
        <v>Medium Risk</v>
      </c>
      <c r="X3953" t="str">
        <f t="shared" si="309"/>
        <v>Fair</v>
      </c>
    </row>
    <row r="3954" spans="1:24" x14ac:dyDescent="0.3">
      <c r="A3954" t="s">
        <v>4022</v>
      </c>
      <c r="B3954" t="s">
        <v>20</v>
      </c>
      <c r="C3954">
        <v>27</v>
      </c>
      <c r="D3954" t="s">
        <v>21</v>
      </c>
      <c r="E3954" t="s">
        <v>22</v>
      </c>
      <c r="F3954" t="s">
        <v>78</v>
      </c>
      <c r="G3954" t="s">
        <v>42</v>
      </c>
      <c r="H3954" t="s">
        <v>76</v>
      </c>
      <c r="I3954" t="s">
        <v>35</v>
      </c>
      <c r="J3954" t="s">
        <v>27</v>
      </c>
      <c r="K3954">
        <v>15</v>
      </c>
      <c r="L3954">
        <v>115108</v>
      </c>
      <c r="M3954" t="s">
        <v>28</v>
      </c>
      <c r="N3954">
        <v>1</v>
      </c>
      <c r="O3954">
        <v>4</v>
      </c>
      <c r="P3954">
        <v>18</v>
      </c>
      <c r="Q3954">
        <v>2</v>
      </c>
      <c r="R3954" s="1">
        <v>39598</v>
      </c>
      <c r="S3954" t="s">
        <v>29</v>
      </c>
      <c r="T3954" t="str">
        <f t="shared" si="305"/>
        <v>Grade A</v>
      </c>
      <c r="U3954">
        <f t="shared" si="306"/>
        <v>3</v>
      </c>
      <c r="V3954" t="str">
        <f t="shared" si="307"/>
        <v>Senior</v>
      </c>
      <c r="W3954" t="str">
        <f t="shared" si="308"/>
        <v>Medium Risk</v>
      </c>
      <c r="X3954" t="str">
        <f t="shared" si="309"/>
        <v>Competitive</v>
      </c>
    </row>
    <row r="3955" spans="1:24" x14ac:dyDescent="0.3">
      <c r="A3955" t="s">
        <v>4023</v>
      </c>
      <c r="B3955" t="s">
        <v>20</v>
      </c>
      <c r="C3955">
        <v>42</v>
      </c>
      <c r="D3955" t="s">
        <v>47</v>
      </c>
      <c r="E3955" t="s">
        <v>48</v>
      </c>
      <c r="F3955" t="s">
        <v>41</v>
      </c>
      <c r="G3955" t="s">
        <v>49</v>
      </c>
      <c r="H3955" t="s">
        <v>76</v>
      </c>
      <c r="I3955" t="s">
        <v>35</v>
      </c>
      <c r="J3955" t="s">
        <v>27</v>
      </c>
      <c r="K3955">
        <v>9</v>
      </c>
      <c r="L3955">
        <v>62866</v>
      </c>
      <c r="M3955" t="s">
        <v>51</v>
      </c>
      <c r="N3955">
        <v>4</v>
      </c>
      <c r="O3955">
        <v>1</v>
      </c>
      <c r="P3955">
        <v>48</v>
      </c>
      <c r="Q3955">
        <v>2</v>
      </c>
      <c r="R3955" s="1">
        <v>41651</v>
      </c>
      <c r="S3955" t="s">
        <v>29</v>
      </c>
      <c r="T3955" t="str">
        <f t="shared" si="305"/>
        <v>Grade B</v>
      </c>
      <c r="U3955">
        <f t="shared" si="306"/>
        <v>4</v>
      </c>
      <c r="V3955" t="str">
        <f t="shared" si="307"/>
        <v>Mid Level</v>
      </c>
      <c r="W3955" t="str">
        <f t="shared" si="308"/>
        <v>Low Risk</v>
      </c>
      <c r="X3955" t="str">
        <f t="shared" si="309"/>
        <v>Fair</v>
      </c>
    </row>
    <row r="3956" spans="1:24" x14ac:dyDescent="0.3">
      <c r="A3956" t="s">
        <v>4024</v>
      </c>
      <c r="B3956" t="s">
        <v>39</v>
      </c>
      <c r="C3956">
        <v>51</v>
      </c>
      <c r="D3956" t="s">
        <v>31</v>
      </c>
      <c r="E3956" t="s">
        <v>40</v>
      </c>
      <c r="F3956" t="s">
        <v>41</v>
      </c>
      <c r="G3956" t="s">
        <v>33</v>
      </c>
      <c r="H3956" t="s">
        <v>34</v>
      </c>
      <c r="I3956" t="s">
        <v>50</v>
      </c>
      <c r="J3956" t="s">
        <v>44</v>
      </c>
      <c r="K3956">
        <v>9</v>
      </c>
      <c r="L3956">
        <v>86320</v>
      </c>
      <c r="M3956" t="s">
        <v>51</v>
      </c>
      <c r="N3956">
        <v>2</v>
      </c>
      <c r="O3956">
        <v>4</v>
      </c>
      <c r="P3956">
        <v>19</v>
      </c>
      <c r="Q3956">
        <v>1</v>
      </c>
      <c r="R3956" s="1">
        <v>41978</v>
      </c>
      <c r="S3956" t="s">
        <v>29</v>
      </c>
      <c r="T3956" t="str">
        <f t="shared" si="305"/>
        <v>Grade A</v>
      </c>
      <c r="U3956">
        <f t="shared" si="306"/>
        <v>4</v>
      </c>
      <c r="V3956" t="str">
        <f t="shared" si="307"/>
        <v>Mid Level</v>
      </c>
      <c r="W3956" t="str">
        <f t="shared" si="308"/>
        <v>Low Risk</v>
      </c>
      <c r="X3956" t="str">
        <f t="shared" si="309"/>
        <v>Competitive</v>
      </c>
    </row>
    <row r="3957" spans="1:24" x14ac:dyDescent="0.3">
      <c r="A3957" t="s">
        <v>4025</v>
      </c>
      <c r="B3957" t="s">
        <v>39</v>
      </c>
      <c r="C3957">
        <v>30</v>
      </c>
      <c r="D3957" t="s">
        <v>31</v>
      </c>
      <c r="E3957" t="s">
        <v>22</v>
      </c>
      <c r="F3957" t="s">
        <v>41</v>
      </c>
      <c r="G3957" t="s">
        <v>63</v>
      </c>
      <c r="H3957" t="s">
        <v>25</v>
      </c>
      <c r="I3957" t="s">
        <v>72</v>
      </c>
      <c r="J3957" t="s">
        <v>73</v>
      </c>
      <c r="K3957">
        <v>13</v>
      </c>
      <c r="L3957">
        <v>64195</v>
      </c>
      <c r="M3957" t="s">
        <v>28</v>
      </c>
      <c r="N3957">
        <v>3</v>
      </c>
      <c r="O3957">
        <v>2</v>
      </c>
      <c r="P3957">
        <v>18</v>
      </c>
      <c r="Q3957">
        <v>1</v>
      </c>
      <c r="R3957" s="1">
        <v>40239</v>
      </c>
      <c r="S3957" t="s">
        <v>29</v>
      </c>
      <c r="T3957" t="str">
        <f t="shared" si="305"/>
        <v>Grade B</v>
      </c>
      <c r="U3957">
        <f t="shared" si="306"/>
        <v>3</v>
      </c>
      <c r="V3957" t="str">
        <f t="shared" si="307"/>
        <v>Senior</v>
      </c>
      <c r="W3957" t="str">
        <f t="shared" si="308"/>
        <v>Medium Risk</v>
      </c>
      <c r="X3957" t="str">
        <f t="shared" si="309"/>
        <v>Competitive</v>
      </c>
    </row>
    <row r="3958" spans="1:24" x14ac:dyDescent="0.3">
      <c r="A3958" t="s">
        <v>4026</v>
      </c>
      <c r="B3958" t="s">
        <v>39</v>
      </c>
      <c r="C3958">
        <v>54</v>
      </c>
      <c r="D3958" t="s">
        <v>88</v>
      </c>
      <c r="E3958" t="s">
        <v>48</v>
      </c>
      <c r="F3958" t="s">
        <v>32</v>
      </c>
      <c r="G3958" t="s">
        <v>58</v>
      </c>
      <c r="H3958" t="s">
        <v>67</v>
      </c>
      <c r="I3958" t="s">
        <v>26</v>
      </c>
      <c r="J3958" t="s">
        <v>27</v>
      </c>
      <c r="K3958">
        <v>4</v>
      </c>
      <c r="L3958">
        <v>84478</v>
      </c>
      <c r="M3958" t="s">
        <v>36</v>
      </c>
      <c r="N3958">
        <v>3</v>
      </c>
      <c r="O3958">
        <v>4</v>
      </c>
      <c r="P3958">
        <v>39</v>
      </c>
      <c r="Q3958">
        <v>3</v>
      </c>
      <c r="R3958" s="1">
        <v>43712</v>
      </c>
      <c r="S3958" t="s">
        <v>37</v>
      </c>
      <c r="T3958" t="str">
        <f t="shared" si="305"/>
        <v>Grade A</v>
      </c>
      <c r="U3958">
        <f t="shared" si="306"/>
        <v>1</v>
      </c>
      <c r="V3958" t="str">
        <f t="shared" si="307"/>
        <v>Junior</v>
      </c>
      <c r="W3958" t="str">
        <f t="shared" si="308"/>
        <v>Already Left</v>
      </c>
      <c r="X3958" t="str">
        <f t="shared" si="309"/>
        <v>Overpaid</v>
      </c>
    </row>
    <row r="3959" spans="1:24" x14ac:dyDescent="0.3">
      <c r="A3959" t="s">
        <v>4027</v>
      </c>
      <c r="B3959" t="s">
        <v>20</v>
      </c>
      <c r="C3959">
        <v>45</v>
      </c>
      <c r="D3959" t="s">
        <v>47</v>
      </c>
      <c r="E3959" t="s">
        <v>22</v>
      </c>
      <c r="F3959" t="s">
        <v>65</v>
      </c>
      <c r="G3959" t="s">
        <v>79</v>
      </c>
      <c r="H3959" t="s">
        <v>76</v>
      </c>
      <c r="I3959" t="s">
        <v>96</v>
      </c>
      <c r="J3959" t="s">
        <v>44</v>
      </c>
      <c r="K3959">
        <v>11</v>
      </c>
      <c r="L3959">
        <v>52708</v>
      </c>
      <c r="M3959" t="s">
        <v>45</v>
      </c>
      <c r="N3959">
        <v>4</v>
      </c>
      <c r="O3959">
        <v>2</v>
      </c>
      <c r="P3959">
        <v>53</v>
      </c>
      <c r="Q3959">
        <v>2</v>
      </c>
      <c r="R3959" s="1">
        <v>40975</v>
      </c>
      <c r="S3959" t="s">
        <v>29</v>
      </c>
      <c r="T3959" t="str">
        <f t="shared" si="305"/>
        <v>Grade B</v>
      </c>
      <c r="U3959">
        <f t="shared" si="306"/>
        <v>2</v>
      </c>
      <c r="V3959" t="str">
        <f t="shared" si="307"/>
        <v>Senior</v>
      </c>
      <c r="W3959" t="str">
        <f t="shared" si="308"/>
        <v>Medium Risk</v>
      </c>
      <c r="X3959" t="str">
        <f t="shared" si="309"/>
        <v>Fair</v>
      </c>
    </row>
    <row r="3960" spans="1:24" x14ac:dyDescent="0.3">
      <c r="A3960" t="s">
        <v>4028</v>
      </c>
      <c r="B3960" t="s">
        <v>20</v>
      </c>
      <c r="C3960">
        <v>42</v>
      </c>
      <c r="D3960" t="s">
        <v>31</v>
      </c>
      <c r="E3960" t="s">
        <v>22</v>
      </c>
      <c r="F3960" t="s">
        <v>32</v>
      </c>
      <c r="G3960" t="s">
        <v>42</v>
      </c>
      <c r="H3960" t="s">
        <v>76</v>
      </c>
      <c r="I3960" t="s">
        <v>50</v>
      </c>
      <c r="J3960" t="s">
        <v>44</v>
      </c>
      <c r="K3960">
        <v>5</v>
      </c>
      <c r="L3960">
        <v>97608</v>
      </c>
      <c r="M3960" t="s">
        <v>36</v>
      </c>
      <c r="N3960">
        <v>2</v>
      </c>
      <c r="O3960">
        <v>3</v>
      </c>
      <c r="P3960">
        <v>51</v>
      </c>
      <c r="Q3960">
        <v>2</v>
      </c>
      <c r="R3960" s="1">
        <v>43456</v>
      </c>
      <c r="S3960" t="s">
        <v>37</v>
      </c>
      <c r="T3960" t="str">
        <f t="shared" si="305"/>
        <v>Grade A</v>
      </c>
      <c r="U3960">
        <f t="shared" si="306"/>
        <v>1</v>
      </c>
      <c r="V3960" t="str">
        <f t="shared" si="307"/>
        <v>Junior</v>
      </c>
      <c r="W3960" t="str">
        <f t="shared" si="308"/>
        <v>Already Left</v>
      </c>
      <c r="X3960" t="str">
        <f t="shared" si="309"/>
        <v>Overpaid</v>
      </c>
    </row>
    <row r="3961" spans="1:24" x14ac:dyDescent="0.3">
      <c r="A3961" t="s">
        <v>4029</v>
      </c>
      <c r="B3961" t="s">
        <v>39</v>
      </c>
      <c r="C3961">
        <v>47</v>
      </c>
      <c r="D3961" t="s">
        <v>47</v>
      </c>
      <c r="E3961" t="s">
        <v>22</v>
      </c>
      <c r="F3961" t="s">
        <v>62</v>
      </c>
      <c r="G3961" t="s">
        <v>66</v>
      </c>
      <c r="H3961" t="s">
        <v>67</v>
      </c>
      <c r="I3961" t="s">
        <v>54</v>
      </c>
      <c r="J3961" t="s">
        <v>27</v>
      </c>
      <c r="K3961">
        <v>9</v>
      </c>
      <c r="L3961">
        <v>45329</v>
      </c>
      <c r="M3961" t="s">
        <v>28</v>
      </c>
      <c r="N3961">
        <v>3</v>
      </c>
      <c r="O3961">
        <v>3</v>
      </c>
      <c r="P3961">
        <v>77</v>
      </c>
      <c r="Q3961">
        <v>3</v>
      </c>
      <c r="R3961" s="1">
        <v>41961</v>
      </c>
      <c r="S3961" t="s">
        <v>29</v>
      </c>
      <c r="T3961" t="str">
        <f t="shared" si="305"/>
        <v>Grade C</v>
      </c>
      <c r="U3961">
        <f t="shared" si="306"/>
        <v>3</v>
      </c>
      <c r="V3961" t="str">
        <f t="shared" si="307"/>
        <v>Mid Level</v>
      </c>
      <c r="W3961" t="str">
        <f t="shared" si="308"/>
        <v>Medium Risk</v>
      </c>
      <c r="X3961" t="str">
        <f t="shared" si="309"/>
        <v>Fair</v>
      </c>
    </row>
    <row r="3962" spans="1:24" x14ac:dyDescent="0.3">
      <c r="A3962" t="s">
        <v>4030</v>
      </c>
      <c r="B3962" t="s">
        <v>39</v>
      </c>
      <c r="C3962">
        <v>36</v>
      </c>
      <c r="D3962" t="s">
        <v>21</v>
      </c>
      <c r="E3962" t="s">
        <v>22</v>
      </c>
      <c r="F3962" t="s">
        <v>32</v>
      </c>
      <c r="G3962" t="s">
        <v>49</v>
      </c>
      <c r="H3962" t="s">
        <v>67</v>
      </c>
      <c r="I3962" t="s">
        <v>26</v>
      </c>
      <c r="J3962" t="s">
        <v>27</v>
      </c>
      <c r="K3962">
        <v>15</v>
      </c>
      <c r="L3962">
        <v>70353</v>
      </c>
      <c r="M3962" t="s">
        <v>28</v>
      </c>
      <c r="N3962">
        <v>1</v>
      </c>
      <c r="O3962">
        <v>2</v>
      </c>
      <c r="P3962">
        <v>73</v>
      </c>
      <c r="Q3962">
        <v>1</v>
      </c>
      <c r="R3962" s="1">
        <v>39599</v>
      </c>
      <c r="S3962" t="s">
        <v>29</v>
      </c>
      <c r="T3962" t="str">
        <f t="shared" si="305"/>
        <v>Grade B</v>
      </c>
      <c r="U3962">
        <f t="shared" si="306"/>
        <v>3</v>
      </c>
      <c r="V3962" t="str">
        <f t="shared" si="307"/>
        <v>Senior</v>
      </c>
      <c r="W3962" t="str">
        <f t="shared" si="308"/>
        <v>Medium Risk</v>
      </c>
      <c r="X3962" t="str">
        <f t="shared" si="309"/>
        <v>Competitive</v>
      </c>
    </row>
    <row r="3963" spans="1:24" x14ac:dyDescent="0.3">
      <c r="A3963" t="s">
        <v>4031</v>
      </c>
      <c r="B3963" t="s">
        <v>39</v>
      </c>
      <c r="C3963">
        <v>31</v>
      </c>
      <c r="D3963" t="s">
        <v>21</v>
      </c>
      <c r="E3963" t="s">
        <v>22</v>
      </c>
      <c r="F3963" t="s">
        <v>75</v>
      </c>
      <c r="G3963" t="s">
        <v>24</v>
      </c>
      <c r="H3963" t="s">
        <v>76</v>
      </c>
      <c r="I3963" t="s">
        <v>59</v>
      </c>
      <c r="J3963" t="s">
        <v>60</v>
      </c>
      <c r="K3963">
        <v>9</v>
      </c>
      <c r="L3963">
        <v>87086</v>
      </c>
      <c r="M3963" t="s">
        <v>51</v>
      </c>
      <c r="N3963">
        <v>1</v>
      </c>
      <c r="O3963">
        <v>1</v>
      </c>
      <c r="P3963">
        <v>76</v>
      </c>
      <c r="Q3963">
        <v>0</v>
      </c>
      <c r="R3963" s="1">
        <v>41818</v>
      </c>
      <c r="S3963" t="s">
        <v>29</v>
      </c>
      <c r="T3963" t="str">
        <f t="shared" si="305"/>
        <v>Grade A</v>
      </c>
      <c r="U3963">
        <f t="shared" si="306"/>
        <v>4</v>
      </c>
      <c r="V3963" t="str">
        <f t="shared" si="307"/>
        <v>Mid Level</v>
      </c>
      <c r="W3963" t="str">
        <f t="shared" si="308"/>
        <v>Low Risk</v>
      </c>
      <c r="X3963" t="str">
        <f t="shared" si="309"/>
        <v>Competitive</v>
      </c>
    </row>
    <row r="3964" spans="1:24" x14ac:dyDescent="0.3">
      <c r="A3964" t="s">
        <v>4032</v>
      </c>
      <c r="B3964" t="s">
        <v>39</v>
      </c>
      <c r="C3964">
        <v>34</v>
      </c>
      <c r="D3964" t="s">
        <v>88</v>
      </c>
      <c r="E3964" t="s">
        <v>40</v>
      </c>
      <c r="F3964" t="s">
        <v>32</v>
      </c>
      <c r="G3964" t="s">
        <v>49</v>
      </c>
      <c r="H3964" t="s">
        <v>83</v>
      </c>
      <c r="I3964" t="s">
        <v>54</v>
      </c>
      <c r="J3964" t="s">
        <v>27</v>
      </c>
      <c r="K3964">
        <v>10</v>
      </c>
      <c r="L3964">
        <v>67174</v>
      </c>
      <c r="M3964" t="s">
        <v>36</v>
      </c>
      <c r="N3964">
        <v>1</v>
      </c>
      <c r="O3964">
        <v>4</v>
      </c>
      <c r="P3964">
        <v>12</v>
      </c>
      <c r="Q3964">
        <v>1</v>
      </c>
      <c r="R3964" s="1">
        <v>41335</v>
      </c>
      <c r="S3964" t="s">
        <v>37</v>
      </c>
      <c r="T3964" t="str">
        <f t="shared" si="305"/>
        <v>Grade B</v>
      </c>
      <c r="U3964">
        <f t="shared" si="306"/>
        <v>1</v>
      </c>
      <c r="V3964" t="str">
        <f t="shared" si="307"/>
        <v>Mid Level</v>
      </c>
      <c r="W3964" t="str">
        <f t="shared" si="308"/>
        <v>Already Left</v>
      </c>
      <c r="X3964" t="str">
        <f t="shared" si="309"/>
        <v>Fair</v>
      </c>
    </row>
    <row r="3965" spans="1:24" x14ac:dyDescent="0.3">
      <c r="A3965" t="s">
        <v>4033</v>
      </c>
      <c r="B3965" t="s">
        <v>39</v>
      </c>
      <c r="C3965">
        <v>42</v>
      </c>
      <c r="D3965" t="s">
        <v>88</v>
      </c>
      <c r="E3965" t="s">
        <v>48</v>
      </c>
      <c r="F3965" t="s">
        <v>53</v>
      </c>
      <c r="G3965" t="s">
        <v>79</v>
      </c>
      <c r="H3965" t="s">
        <v>34</v>
      </c>
      <c r="I3965" t="s">
        <v>50</v>
      </c>
      <c r="J3965" t="s">
        <v>44</v>
      </c>
      <c r="K3965">
        <v>11</v>
      </c>
      <c r="L3965">
        <v>69878</v>
      </c>
      <c r="M3965" t="s">
        <v>36</v>
      </c>
      <c r="N3965">
        <v>2</v>
      </c>
      <c r="O3965">
        <v>2</v>
      </c>
      <c r="P3965">
        <v>57</v>
      </c>
      <c r="Q3965">
        <v>0</v>
      </c>
      <c r="R3965" s="1">
        <v>41157</v>
      </c>
      <c r="S3965" t="s">
        <v>37</v>
      </c>
      <c r="T3965" t="str">
        <f t="shared" si="305"/>
        <v>Grade B</v>
      </c>
      <c r="U3965">
        <f t="shared" si="306"/>
        <v>1</v>
      </c>
      <c r="V3965" t="str">
        <f t="shared" si="307"/>
        <v>Senior</v>
      </c>
      <c r="W3965" t="str">
        <f t="shared" si="308"/>
        <v>Already Left</v>
      </c>
      <c r="X3965" t="str">
        <f t="shared" si="309"/>
        <v>Fair</v>
      </c>
    </row>
    <row r="3966" spans="1:24" x14ac:dyDescent="0.3">
      <c r="A3966" t="s">
        <v>4034</v>
      </c>
      <c r="B3966" t="s">
        <v>39</v>
      </c>
      <c r="C3966">
        <v>33</v>
      </c>
      <c r="D3966" t="s">
        <v>31</v>
      </c>
      <c r="E3966" t="s">
        <v>48</v>
      </c>
      <c r="F3966" t="s">
        <v>78</v>
      </c>
      <c r="G3966" t="s">
        <v>58</v>
      </c>
      <c r="H3966" t="s">
        <v>76</v>
      </c>
      <c r="I3966" t="s">
        <v>72</v>
      </c>
      <c r="J3966" t="s">
        <v>73</v>
      </c>
      <c r="K3966">
        <v>9</v>
      </c>
      <c r="L3966">
        <v>107984</v>
      </c>
      <c r="M3966" t="s">
        <v>36</v>
      </c>
      <c r="N3966">
        <v>4</v>
      </c>
      <c r="O3966">
        <v>3</v>
      </c>
      <c r="P3966">
        <v>44</v>
      </c>
      <c r="Q3966">
        <v>1</v>
      </c>
      <c r="R3966" s="1">
        <v>41754</v>
      </c>
      <c r="S3966" t="s">
        <v>29</v>
      </c>
      <c r="T3966" t="str">
        <f t="shared" si="305"/>
        <v>Grade A</v>
      </c>
      <c r="U3966">
        <f t="shared" si="306"/>
        <v>1</v>
      </c>
      <c r="V3966" t="str">
        <f t="shared" si="307"/>
        <v>Mid Level</v>
      </c>
      <c r="W3966" t="str">
        <f t="shared" si="308"/>
        <v>Medium Risk</v>
      </c>
      <c r="X3966" t="str">
        <f t="shared" si="309"/>
        <v>Overpaid</v>
      </c>
    </row>
    <row r="3967" spans="1:24" x14ac:dyDescent="0.3">
      <c r="A3967" t="s">
        <v>4035</v>
      </c>
      <c r="B3967" t="s">
        <v>20</v>
      </c>
      <c r="C3967">
        <v>23</v>
      </c>
      <c r="D3967" t="s">
        <v>47</v>
      </c>
      <c r="E3967" t="s">
        <v>40</v>
      </c>
      <c r="F3967" t="s">
        <v>65</v>
      </c>
      <c r="G3967" t="s">
        <v>42</v>
      </c>
      <c r="H3967" t="s">
        <v>34</v>
      </c>
      <c r="I3967" t="s">
        <v>59</v>
      </c>
      <c r="J3967" t="s">
        <v>60</v>
      </c>
      <c r="K3967">
        <v>5</v>
      </c>
      <c r="L3967">
        <v>95925</v>
      </c>
      <c r="M3967" t="s">
        <v>36</v>
      </c>
      <c r="N3967">
        <v>1</v>
      </c>
      <c r="O3967">
        <v>4</v>
      </c>
      <c r="P3967">
        <v>57</v>
      </c>
      <c r="Q3967">
        <v>2</v>
      </c>
      <c r="R3967" s="1">
        <v>43116</v>
      </c>
      <c r="S3967" t="s">
        <v>37</v>
      </c>
      <c r="T3967" t="str">
        <f t="shared" si="305"/>
        <v>Grade A</v>
      </c>
      <c r="U3967">
        <f t="shared" si="306"/>
        <v>1</v>
      </c>
      <c r="V3967" t="str">
        <f t="shared" si="307"/>
        <v>Junior</v>
      </c>
      <c r="W3967" t="str">
        <f t="shared" si="308"/>
        <v>Already Left</v>
      </c>
      <c r="X3967" t="str">
        <f t="shared" si="309"/>
        <v>Overpaid</v>
      </c>
    </row>
    <row r="3968" spans="1:24" x14ac:dyDescent="0.3">
      <c r="A3968" t="s">
        <v>4036</v>
      </c>
      <c r="B3968" t="s">
        <v>39</v>
      </c>
      <c r="C3968">
        <v>47</v>
      </c>
      <c r="D3968" t="s">
        <v>47</v>
      </c>
      <c r="E3968" t="s">
        <v>40</v>
      </c>
      <c r="F3968" t="s">
        <v>53</v>
      </c>
      <c r="G3968" t="s">
        <v>42</v>
      </c>
      <c r="H3968" t="s">
        <v>25</v>
      </c>
      <c r="I3968" t="s">
        <v>68</v>
      </c>
      <c r="J3968" t="s">
        <v>60</v>
      </c>
      <c r="K3968">
        <v>2</v>
      </c>
      <c r="L3968">
        <v>104192</v>
      </c>
      <c r="M3968" t="s">
        <v>51</v>
      </c>
      <c r="N3968">
        <v>1</v>
      </c>
      <c r="O3968">
        <v>3</v>
      </c>
      <c r="P3968">
        <v>60</v>
      </c>
      <c r="Q3968">
        <v>2</v>
      </c>
      <c r="R3968" s="1">
        <v>44286</v>
      </c>
      <c r="S3968" t="s">
        <v>29</v>
      </c>
      <c r="T3968" t="str">
        <f t="shared" si="305"/>
        <v>Grade A</v>
      </c>
      <c r="U3968">
        <f t="shared" si="306"/>
        <v>4</v>
      </c>
      <c r="V3968" t="str">
        <f t="shared" si="307"/>
        <v>New Joiner</v>
      </c>
      <c r="W3968" t="str">
        <f t="shared" si="308"/>
        <v>Low Risk</v>
      </c>
      <c r="X3968" t="str">
        <f t="shared" si="309"/>
        <v>Competitive</v>
      </c>
    </row>
    <row r="3969" spans="1:24" x14ac:dyDescent="0.3">
      <c r="A3969" t="s">
        <v>4037</v>
      </c>
      <c r="B3969" t="s">
        <v>20</v>
      </c>
      <c r="C3969">
        <v>43</v>
      </c>
      <c r="D3969" t="s">
        <v>31</v>
      </c>
      <c r="E3969" t="s">
        <v>48</v>
      </c>
      <c r="F3969" t="s">
        <v>75</v>
      </c>
      <c r="G3969" t="s">
        <v>58</v>
      </c>
      <c r="H3969" t="s">
        <v>76</v>
      </c>
      <c r="I3969" t="s">
        <v>35</v>
      </c>
      <c r="J3969" t="s">
        <v>27</v>
      </c>
      <c r="K3969">
        <v>5</v>
      </c>
      <c r="L3969">
        <v>93076</v>
      </c>
      <c r="M3969" t="s">
        <v>51</v>
      </c>
      <c r="N3969">
        <v>2</v>
      </c>
      <c r="O3969">
        <v>4</v>
      </c>
      <c r="P3969">
        <v>68</v>
      </c>
      <c r="Q3969">
        <v>1</v>
      </c>
      <c r="R3969" s="1">
        <v>43192</v>
      </c>
      <c r="S3969" t="s">
        <v>29</v>
      </c>
      <c r="T3969" t="str">
        <f t="shared" si="305"/>
        <v>Grade A</v>
      </c>
      <c r="U3969">
        <f t="shared" si="306"/>
        <v>4</v>
      </c>
      <c r="V3969" t="str">
        <f t="shared" si="307"/>
        <v>Junior</v>
      </c>
      <c r="W3969" t="str">
        <f t="shared" si="308"/>
        <v>Low Risk</v>
      </c>
      <c r="X3969" t="str">
        <f t="shared" si="309"/>
        <v>Competitive</v>
      </c>
    </row>
    <row r="3970" spans="1:24" x14ac:dyDescent="0.3">
      <c r="A3970" t="s">
        <v>4038</v>
      </c>
      <c r="B3970" t="s">
        <v>39</v>
      </c>
      <c r="C3970">
        <v>26</v>
      </c>
      <c r="D3970" t="s">
        <v>57</v>
      </c>
      <c r="E3970" t="s">
        <v>48</v>
      </c>
      <c r="F3970" t="s">
        <v>75</v>
      </c>
      <c r="G3970" t="s">
        <v>66</v>
      </c>
      <c r="H3970" t="s">
        <v>67</v>
      </c>
      <c r="I3970" t="s">
        <v>68</v>
      </c>
      <c r="J3970" t="s">
        <v>60</v>
      </c>
      <c r="K3970">
        <v>5</v>
      </c>
      <c r="L3970">
        <v>49579</v>
      </c>
      <c r="M3970" t="s">
        <v>28</v>
      </c>
      <c r="N3970">
        <v>4</v>
      </c>
      <c r="O3970">
        <v>4</v>
      </c>
      <c r="P3970">
        <v>21</v>
      </c>
      <c r="Q3970">
        <v>2</v>
      </c>
      <c r="R3970" s="1">
        <v>43208</v>
      </c>
      <c r="S3970" t="s">
        <v>37</v>
      </c>
      <c r="T3970" t="str">
        <f t="shared" ref="T3970:T4033" si="310">IF(L3970&gt;=80000,"Grade A",IF(L3970&gt;=50000,"Grade B",IF(L3970&gt;=35000,"Grade C","Grade D")))</f>
        <v>Grade C</v>
      </c>
      <c r="U3970">
        <f t="shared" ref="U3970:U4033" si="311">IF(M3970="Excellent",4,IF(M3970="Good",3,IF(M3970="Average",2,1)))</f>
        <v>3</v>
      </c>
      <c r="V3970" t="str">
        <f t="shared" ref="V3970:V4033" si="312">IF(K3970&lt;=2,"New Joiner",IF(K3970&lt;=5,"Junior",IF(K3970&lt;=10,"Mid Level","Senior")))</f>
        <v>Junior</v>
      </c>
      <c r="W3970" t="str">
        <f t="shared" ref="W3970:W4033" si="313">IF(S3970="Yes","Already Left",IF(AND(K3970&lt;=2,M3970="Poor"),"High Risk",IF(AND(K3970&lt;=5,M3970="Average"),"Medium Risk",IF(M3970="Excellent","Low Risk","Medium Risk"))))</f>
        <v>Already Left</v>
      </c>
      <c r="X3970" t="str">
        <f t="shared" ref="X3970:X4033" si="314">IF(AND(L3970&gt;=80000,M3970="Excellent"),"Competitive",IF(AND(L3970&gt;=50000,M3970="Good"),"Competitive",IF(AND(L3970&lt;35000,M3970="Excellent"),"Underpaid",IF(AND(L3970&gt;=80000,M3970="Poor"),"Overpaid","Fair"))))</f>
        <v>Fair</v>
      </c>
    </row>
    <row r="3971" spans="1:24" x14ac:dyDescent="0.3">
      <c r="A3971" t="s">
        <v>4039</v>
      </c>
      <c r="B3971" t="s">
        <v>20</v>
      </c>
      <c r="C3971">
        <v>52</v>
      </c>
      <c r="D3971" t="s">
        <v>21</v>
      </c>
      <c r="E3971" t="s">
        <v>22</v>
      </c>
      <c r="F3971" t="s">
        <v>75</v>
      </c>
      <c r="G3971" t="s">
        <v>42</v>
      </c>
      <c r="H3971" t="s">
        <v>76</v>
      </c>
      <c r="I3971" t="s">
        <v>80</v>
      </c>
      <c r="J3971" t="s">
        <v>60</v>
      </c>
      <c r="K3971">
        <v>9</v>
      </c>
      <c r="L3971">
        <v>122179</v>
      </c>
      <c r="M3971" t="s">
        <v>45</v>
      </c>
      <c r="N3971">
        <v>4</v>
      </c>
      <c r="O3971">
        <v>1</v>
      </c>
      <c r="P3971">
        <v>59</v>
      </c>
      <c r="Q3971">
        <v>0</v>
      </c>
      <c r="R3971" s="1">
        <v>41739</v>
      </c>
      <c r="S3971" t="s">
        <v>37</v>
      </c>
      <c r="T3971" t="str">
        <f t="shared" si="310"/>
        <v>Grade A</v>
      </c>
      <c r="U3971">
        <f t="shared" si="311"/>
        <v>2</v>
      </c>
      <c r="V3971" t="str">
        <f t="shared" si="312"/>
        <v>Mid Level</v>
      </c>
      <c r="W3971" t="str">
        <f t="shared" si="313"/>
        <v>Already Left</v>
      </c>
      <c r="X3971" t="str">
        <f t="shared" si="314"/>
        <v>Fair</v>
      </c>
    </row>
    <row r="3972" spans="1:24" x14ac:dyDescent="0.3">
      <c r="A3972" t="s">
        <v>4040</v>
      </c>
      <c r="B3972" t="s">
        <v>39</v>
      </c>
      <c r="C3972">
        <v>46</v>
      </c>
      <c r="D3972" t="s">
        <v>31</v>
      </c>
      <c r="E3972" t="s">
        <v>40</v>
      </c>
      <c r="F3972" t="s">
        <v>62</v>
      </c>
      <c r="G3972" t="s">
        <v>49</v>
      </c>
      <c r="H3972" t="s">
        <v>83</v>
      </c>
      <c r="I3972" t="s">
        <v>26</v>
      </c>
      <c r="J3972" t="s">
        <v>27</v>
      </c>
      <c r="K3972">
        <v>3</v>
      </c>
      <c r="L3972">
        <v>57121</v>
      </c>
      <c r="M3972" t="s">
        <v>28</v>
      </c>
      <c r="N3972">
        <v>3</v>
      </c>
      <c r="O3972">
        <v>3</v>
      </c>
      <c r="P3972">
        <v>32</v>
      </c>
      <c r="Q3972">
        <v>1</v>
      </c>
      <c r="R3972" s="1">
        <v>43984</v>
      </c>
      <c r="S3972" t="s">
        <v>29</v>
      </c>
      <c r="T3972" t="str">
        <f t="shared" si="310"/>
        <v>Grade B</v>
      </c>
      <c r="U3972">
        <f t="shared" si="311"/>
        <v>3</v>
      </c>
      <c r="V3972" t="str">
        <f t="shared" si="312"/>
        <v>Junior</v>
      </c>
      <c r="W3972" t="str">
        <f t="shared" si="313"/>
        <v>Medium Risk</v>
      </c>
      <c r="X3972" t="str">
        <f t="shared" si="314"/>
        <v>Competitive</v>
      </c>
    </row>
    <row r="3973" spans="1:24" x14ac:dyDescent="0.3">
      <c r="A3973" t="s">
        <v>4041</v>
      </c>
      <c r="B3973" t="s">
        <v>20</v>
      </c>
      <c r="C3973">
        <v>47</v>
      </c>
      <c r="D3973" t="s">
        <v>21</v>
      </c>
      <c r="E3973" t="s">
        <v>40</v>
      </c>
      <c r="F3973" t="s">
        <v>65</v>
      </c>
      <c r="G3973" t="s">
        <v>49</v>
      </c>
      <c r="H3973" t="s">
        <v>83</v>
      </c>
      <c r="I3973" t="s">
        <v>54</v>
      </c>
      <c r="J3973" t="s">
        <v>27</v>
      </c>
      <c r="K3973">
        <v>5</v>
      </c>
      <c r="L3973">
        <v>64251</v>
      </c>
      <c r="M3973" t="s">
        <v>45</v>
      </c>
      <c r="N3973">
        <v>1</v>
      </c>
      <c r="O3973">
        <v>4</v>
      </c>
      <c r="P3973">
        <v>46</v>
      </c>
      <c r="Q3973">
        <v>2</v>
      </c>
      <c r="R3973" s="1">
        <v>43329</v>
      </c>
      <c r="S3973" t="s">
        <v>37</v>
      </c>
      <c r="T3973" t="str">
        <f t="shared" si="310"/>
        <v>Grade B</v>
      </c>
      <c r="U3973">
        <f t="shared" si="311"/>
        <v>2</v>
      </c>
      <c r="V3973" t="str">
        <f t="shared" si="312"/>
        <v>Junior</v>
      </c>
      <c r="W3973" t="str">
        <f t="shared" si="313"/>
        <v>Already Left</v>
      </c>
      <c r="X3973" t="str">
        <f t="shared" si="314"/>
        <v>Fair</v>
      </c>
    </row>
    <row r="3974" spans="1:24" x14ac:dyDescent="0.3">
      <c r="A3974" t="s">
        <v>4042</v>
      </c>
      <c r="B3974" t="s">
        <v>39</v>
      </c>
      <c r="C3974">
        <v>24</v>
      </c>
      <c r="D3974" t="s">
        <v>88</v>
      </c>
      <c r="E3974" t="s">
        <v>40</v>
      </c>
      <c r="F3974" t="s">
        <v>65</v>
      </c>
      <c r="G3974" t="s">
        <v>24</v>
      </c>
      <c r="H3974" t="s">
        <v>76</v>
      </c>
      <c r="I3974" t="s">
        <v>96</v>
      </c>
      <c r="J3974" t="s">
        <v>44</v>
      </c>
      <c r="K3974">
        <v>9</v>
      </c>
      <c r="L3974">
        <v>97164</v>
      </c>
      <c r="M3974" t="s">
        <v>36</v>
      </c>
      <c r="N3974">
        <v>4</v>
      </c>
      <c r="O3974">
        <v>2</v>
      </c>
      <c r="P3974">
        <v>16</v>
      </c>
      <c r="Q3974">
        <v>1</v>
      </c>
      <c r="R3974" s="1">
        <v>41701</v>
      </c>
      <c r="S3974" t="s">
        <v>37</v>
      </c>
      <c r="T3974" t="str">
        <f t="shared" si="310"/>
        <v>Grade A</v>
      </c>
      <c r="U3974">
        <f t="shared" si="311"/>
        <v>1</v>
      </c>
      <c r="V3974" t="str">
        <f t="shared" si="312"/>
        <v>Mid Level</v>
      </c>
      <c r="W3974" t="str">
        <f t="shared" si="313"/>
        <v>Already Left</v>
      </c>
      <c r="X3974" t="str">
        <f t="shared" si="314"/>
        <v>Overpaid</v>
      </c>
    </row>
    <row r="3975" spans="1:24" x14ac:dyDescent="0.3">
      <c r="A3975" t="s">
        <v>4043</v>
      </c>
      <c r="B3975" t="s">
        <v>20</v>
      </c>
      <c r="C3975">
        <v>35</v>
      </c>
      <c r="D3975" t="s">
        <v>47</v>
      </c>
      <c r="E3975" t="s">
        <v>48</v>
      </c>
      <c r="F3975" t="s">
        <v>65</v>
      </c>
      <c r="G3975" t="s">
        <v>33</v>
      </c>
      <c r="H3975" t="s">
        <v>34</v>
      </c>
      <c r="I3975" t="s">
        <v>43</v>
      </c>
      <c r="J3975" t="s">
        <v>44</v>
      </c>
      <c r="K3975">
        <v>8</v>
      </c>
      <c r="L3975">
        <v>75010</v>
      </c>
      <c r="M3975" t="s">
        <v>51</v>
      </c>
      <c r="N3975">
        <v>1</v>
      </c>
      <c r="O3975">
        <v>4</v>
      </c>
      <c r="P3975">
        <v>16</v>
      </c>
      <c r="Q3975">
        <v>2</v>
      </c>
      <c r="R3975" s="1">
        <v>42148</v>
      </c>
      <c r="S3975" t="s">
        <v>29</v>
      </c>
      <c r="T3975" t="str">
        <f t="shared" si="310"/>
        <v>Grade B</v>
      </c>
      <c r="U3975">
        <f t="shared" si="311"/>
        <v>4</v>
      </c>
      <c r="V3975" t="str">
        <f t="shared" si="312"/>
        <v>Mid Level</v>
      </c>
      <c r="W3975" t="str">
        <f t="shared" si="313"/>
        <v>Low Risk</v>
      </c>
      <c r="X3975" t="str">
        <f t="shared" si="314"/>
        <v>Fair</v>
      </c>
    </row>
    <row r="3976" spans="1:24" x14ac:dyDescent="0.3">
      <c r="A3976" t="s">
        <v>4044</v>
      </c>
      <c r="B3976" t="s">
        <v>39</v>
      </c>
      <c r="C3976">
        <v>27</v>
      </c>
      <c r="D3976" t="s">
        <v>57</v>
      </c>
      <c r="E3976" t="s">
        <v>40</v>
      </c>
      <c r="F3976" t="s">
        <v>65</v>
      </c>
      <c r="G3976" t="s">
        <v>49</v>
      </c>
      <c r="H3976" t="s">
        <v>83</v>
      </c>
      <c r="I3976" t="s">
        <v>72</v>
      </c>
      <c r="J3976" t="s">
        <v>73</v>
      </c>
      <c r="K3976">
        <v>12</v>
      </c>
      <c r="L3976">
        <v>70769</v>
      </c>
      <c r="M3976" t="s">
        <v>51</v>
      </c>
      <c r="N3976">
        <v>2</v>
      </c>
      <c r="O3976">
        <v>4</v>
      </c>
      <c r="P3976">
        <v>46</v>
      </c>
      <c r="Q3976">
        <v>3</v>
      </c>
      <c r="R3976" s="1">
        <v>40764</v>
      </c>
      <c r="S3976" t="s">
        <v>29</v>
      </c>
      <c r="T3976" t="str">
        <f t="shared" si="310"/>
        <v>Grade B</v>
      </c>
      <c r="U3976">
        <f t="shared" si="311"/>
        <v>4</v>
      </c>
      <c r="V3976" t="str">
        <f t="shared" si="312"/>
        <v>Senior</v>
      </c>
      <c r="W3976" t="str">
        <f t="shared" si="313"/>
        <v>Low Risk</v>
      </c>
      <c r="X3976" t="str">
        <f t="shared" si="314"/>
        <v>Fair</v>
      </c>
    </row>
    <row r="3977" spans="1:24" x14ac:dyDescent="0.3">
      <c r="A3977" t="s">
        <v>4045</v>
      </c>
      <c r="B3977" t="s">
        <v>39</v>
      </c>
      <c r="C3977">
        <v>25</v>
      </c>
      <c r="D3977" t="s">
        <v>21</v>
      </c>
      <c r="E3977" t="s">
        <v>48</v>
      </c>
      <c r="F3977" t="s">
        <v>41</v>
      </c>
      <c r="G3977" t="s">
        <v>42</v>
      </c>
      <c r="H3977" t="s">
        <v>34</v>
      </c>
      <c r="I3977" t="s">
        <v>59</v>
      </c>
      <c r="J3977" t="s">
        <v>60</v>
      </c>
      <c r="K3977">
        <v>4</v>
      </c>
      <c r="L3977">
        <v>93663</v>
      </c>
      <c r="M3977" t="s">
        <v>45</v>
      </c>
      <c r="N3977">
        <v>3</v>
      </c>
      <c r="O3977">
        <v>2</v>
      </c>
      <c r="P3977">
        <v>58</v>
      </c>
      <c r="Q3977">
        <v>1</v>
      </c>
      <c r="R3977" s="1">
        <v>43632</v>
      </c>
      <c r="S3977" t="s">
        <v>29</v>
      </c>
      <c r="T3977" t="str">
        <f t="shared" si="310"/>
        <v>Grade A</v>
      </c>
      <c r="U3977">
        <f t="shared" si="311"/>
        <v>2</v>
      </c>
      <c r="V3977" t="str">
        <f t="shared" si="312"/>
        <v>Junior</v>
      </c>
      <c r="W3977" t="str">
        <f t="shared" si="313"/>
        <v>Medium Risk</v>
      </c>
      <c r="X3977" t="str">
        <f t="shared" si="314"/>
        <v>Fair</v>
      </c>
    </row>
    <row r="3978" spans="1:24" x14ac:dyDescent="0.3">
      <c r="A3978" t="s">
        <v>4046</v>
      </c>
      <c r="B3978" t="s">
        <v>20</v>
      </c>
      <c r="C3978">
        <v>48</v>
      </c>
      <c r="D3978" t="s">
        <v>47</v>
      </c>
      <c r="E3978" t="s">
        <v>22</v>
      </c>
      <c r="F3978" t="s">
        <v>32</v>
      </c>
      <c r="G3978" t="s">
        <v>66</v>
      </c>
      <c r="H3978" t="s">
        <v>83</v>
      </c>
      <c r="I3978" t="s">
        <v>68</v>
      </c>
      <c r="J3978" t="s">
        <v>60</v>
      </c>
      <c r="K3978">
        <v>8</v>
      </c>
      <c r="L3978">
        <v>56390</v>
      </c>
      <c r="M3978" t="s">
        <v>51</v>
      </c>
      <c r="N3978">
        <v>3</v>
      </c>
      <c r="O3978">
        <v>3</v>
      </c>
      <c r="P3978">
        <v>27</v>
      </c>
      <c r="Q3978">
        <v>0</v>
      </c>
      <c r="R3978" s="1">
        <v>42109</v>
      </c>
      <c r="S3978" t="s">
        <v>29</v>
      </c>
      <c r="T3978" t="str">
        <f t="shared" si="310"/>
        <v>Grade B</v>
      </c>
      <c r="U3978">
        <f t="shared" si="311"/>
        <v>4</v>
      </c>
      <c r="V3978" t="str">
        <f t="shared" si="312"/>
        <v>Mid Level</v>
      </c>
      <c r="W3978" t="str">
        <f t="shared" si="313"/>
        <v>Low Risk</v>
      </c>
      <c r="X3978" t="str">
        <f t="shared" si="314"/>
        <v>Fair</v>
      </c>
    </row>
    <row r="3979" spans="1:24" x14ac:dyDescent="0.3">
      <c r="A3979" t="s">
        <v>4047</v>
      </c>
      <c r="B3979" t="s">
        <v>20</v>
      </c>
      <c r="C3979">
        <v>24</v>
      </c>
      <c r="D3979" t="s">
        <v>21</v>
      </c>
      <c r="E3979" t="s">
        <v>40</v>
      </c>
      <c r="F3979" t="s">
        <v>41</v>
      </c>
      <c r="G3979" t="s">
        <v>24</v>
      </c>
      <c r="H3979" t="s">
        <v>34</v>
      </c>
      <c r="I3979" t="s">
        <v>26</v>
      </c>
      <c r="J3979" t="s">
        <v>27</v>
      </c>
      <c r="K3979">
        <v>7</v>
      </c>
      <c r="L3979">
        <v>94397</v>
      </c>
      <c r="M3979" t="s">
        <v>36</v>
      </c>
      <c r="N3979">
        <v>1</v>
      </c>
      <c r="O3979">
        <v>3</v>
      </c>
      <c r="P3979">
        <v>66</v>
      </c>
      <c r="Q3979">
        <v>3</v>
      </c>
      <c r="R3979" s="1">
        <v>42621</v>
      </c>
      <c r="S3979" t="s">
        <v>37</v>
      </c>
      <c r="T3979" t="str">
        <f t="shared" si="310"/>
        <v>Grade A</v>
      </c>
      <c r="U3979">
        <f t="shared" si="311"/>
        <v>1</v>
      </c>
      <c r="V3979" t="str">
        <f t="shared" si="312"/>
        <v>Mid Level</v>
      </c>
      <c r="W3979" t="str">
        <f t="shared" si="313"/>
        <v>Already Left</v>
      </c>
      <c r="X3979" t="str">
        <f t="shared" si="314"/>
        <v>Overpaid</v>
      </c>
    </row>
    <row r="3980" spans="1:24" x14ac:dyDescent="0.3">
      <c r="A3980" t="s">
        <v>4048</v>
      </c>
      <c r="B3980" t="s">
        <v>20</v>
      </c>
      <c r="C3980">
        <v>28</v>
      </c>
      <c r="D3980" t="s">
        <v>47</v>
      </c>
      <c r="E3980" t="s">
        <v>22</v>
      </c>
      <c r="F3980" t="s">
        <v>41</v>
      </c>
      <c r="G3980" t="s">
        <v>24</v>
      </c>
      <c r="H3980" t="s">
        <v>34</v>
      </c>
      <c r="I3980" t="s">
        <v>80</v>
      </c>
      <c r="J3980" t="s">
        <v>60</v>
      </c>
      <c r="K3980">
        <v>14</v>
      </c>
      <c r="L3980">
        <v>108177</v>
      </c>
      <c r="M3980" t="s">
        <v>51</v>
      </c>
      <c r="N3980">
        <v>3</v>
      </c>
      <c r="O3980">
        <v>2</v>
      </c>
      <c r="P3980">
        <v>78</v>
      </c>
      <c r="Q3980">
        <v>1</v>
      </c>
      <c r="R3980" s="1">
        <v>39851</v>
      </c>
      <c r="S3980" t="s">
        <v>37</v>
      </c>
      <c r="T3980" t="str">
        <f t="shared" si="310"/>
        <v>Grade A</v>
      </c>
      <c r="U3980">
        <f t="shared" si="311"/>
        <v>4</v>
      </c>
      <c r="V3980" t="str">
        <f t="shared" si="312"/>
        <v>Senior</v>
      </c>
      <c r="W3980" t="str">
        <f t="shared" si="313"/>
        <v>Already Left</v>
      </c>
      <c r="X3980" t="str">
        <f t="shared" si="314"/>
        <v>Competitive</v>
      </c>
    </row>
    <row r="3981" spans="1:24" x14ac:dyDescent="0.3">
      <c r="A3981" t="s">
        <v>4049</v>
      </c>
      <c r="B3981" t="s">
        <v>20</v>
      </c>
      <c r="C3981">
        <v>28</v>
      </c>
      <c r="D3981" t="s">
        <v>88</v>
      </c>
      <c r="E3981" t="s">
        <v>40</v>
      </c>
      <c r="F3981" t="s">
        <v>75</v>
      </c>
      <c r="G3981" t="s">
        <v>42</v>
      </c>
      <c r="H3981" t="s">
        <v>67</v>
      </c>
      <c r="I3981" t="s">
        <v>96</v>
      </c>
      <c r="J3981" t="s">
        <v>44</v>
      </c>
      <c r="K3981">
        <v>4</v>
      </c>
      <c r="L3981">
        <v>107161</v>
      </c>
      <c r="M3981" t="s">
        <v>45</v>
      </c>
      <c r="N3981">
        <v>4</v>
      </c>
      <c r="O3981">
        <v>2</v>
      </c>
      <c r="P3981">
        <v>50</v>
      </c>
      <c r="Q3981">
        <v>2</v>
      </c>
      <c r="R3981" s="1">
        <v>43642</v>
      </c>
      <c r="S3981" t="s">
        <v>29</v>
      </c>
      <c r="T3981" t="str">
        <f t="shared" si="310"/>
        <v>Grade A</v>
      </c>
      <c r="U3981">
        <f t="shared" si="311"/>
        <v>2</v>
      </c>
      <c r="V3981" t="str">
        <f t="shared" si="312"/>
        <v>Junior</v>
      </c>
      <c r="W3981" t="str">
        <f t="shared" si="313"/>
        <v>Medium Risk</v>
      </c>
      <c r="X3981" t="str">
        <f t="shared" si="314"/>
        <v>Fair</v>
      </c>
    </row>
    <row r="3982" spans="1:24" x14ac:dyDescent="0.3">
      <c r="A3982" t="s">
        <v>4050</v>
      </c>
      <c r="B3982" t="s">
        <v>20</v>
      </c>
      <c r="C3982">
        <v>33</v>
      </c>
      <c r="D3982" t="s">
        <v>57</v>
      </c>
      <c r="E3982" t="s">
        <v>48</v>
      </c>
      <c r="F3982" t="s">
        <v>32</v>
      </c>
      <c r="G3982" t="s">
        <v>33</v>
      </c>
      <c r="H3982" t="s">
        <v>76</v>
      </c>
      <c r="I3982" t="s">
        <v>96</v>
      </c>
      <c r="J3982" t="s">
        <v>44</v>
      </c>
      <c r="K3982">
        <v>6</v>
      </c>
      <c r="L3982">
        <v>65638</v>
      </c>
      <c r="M3982" t="s">
        <v>45</v>
      </c>
      <c r="N3982">
        <v>4</v>
      </c>
      <c r="O3982">
        <v>2</v>
      </c>
      <c r="P3982">
        <v>25</v>
      </c>
      <c r="Q3982">
        <v>0</v>
      </c>
      <c r="R3982" s="1">
        <v>42748</v>
      </c>
      <c r="S3982" t="s">
        <v>29</v>
      </c>
      <c r="T3982" t="str">
        <f t="shared" si="310"/>
        <v>Grade B</v>
      </c>
      <c r="U3982">
        <f t="shared" si="311"/>
        <v>2</v>
      </c>
      <c r="V3982" t="str">
        <f t="shared" si="312"/>
        <v>Mid Level</v>
      </c>
      <c r="W3982" t="str">
        <f t="shared" si="313"/>
        <v>Medium Risk</v>
      </c>
      <c r="X3982" t="str">
        <f t="shared" si="314"/>
        <v>Fair</v>
      </c>
    </row>
    <row r="3983" spans="1:24" x14ac:dyDescent="0.3">
      <c r="A3983" t="s">
        <v>4051</v>
      </c>
      <c r="B3983" t="s">
        <v>39</v>
      </c>
      <c r="C3983">
        <v>28</v>
      </c>
      <c r="D3983" t="s">
        <v>31</v>
      </c>
      <c r="E3983" t="s">
        <v>48</v>
      </c>
      <c r="F3983" t="s">
        <v>41</v>
      </c>
      <c r="G3983" t="s">
        <v>63</v>
      </c>
      <c r="H3983" t="s">
        <v>67</v>
      </c>
      <c r="I3983" t="s">
        <v>96</v>
      </c>
      <c r="J3983" t="s">
        <v>44</v>
      </c>
      <c r="K3983">
        <v>4</v>
      </c>
      <c r="L3983">
        <v>57523</v>
      </c>
      <c r="M3983" t="s">
        <v>28</v>
      </c>
      <c r="N3983">
        <v>3</v>
      </c>
      <c r="O3983">
        <v>2</v>
      </c>
      <c r="P3983">
        <v>38</v>
      </c>
      <c r="Q3983">
        <v>3</v>
      </c>
      <c r="R3983" s="1">
        <v>43780</v>
      </c>
      <c r="S3983" t="s">
        <v>29</v>
      </c>
      <c r="T3983" t="str">
        <f t="shared" si="310"/>
        <v>Grade B</v>
      </c>
      <c r="U3983">
        <f t="shared" si="311"/>
        <v>3</v>
      </c>
      <c r="V3983" t="str">
        <f t="shared" si="312"/>
        <v>Junior</v>
      </c>
      <c r="W3983" t="str">
        <f t="shared" si="313"/>
        <v>Medium Risk</v>
      </c>
      <c r="X3983" t="str">
        <f t="shared" si="314"/>
        <v>Competitive</v>
      </c>
    </row>
    <row r="3984" spans="1:24" x14ac:dyDescent="0.3">
      <c r="A3984" t="s">
        <v>4052</v>
      </c>
      <c r="B3984" t="s">
        <v>20</v>
      </c>
      <c r="C3984">
        <v>27</v>
      </c>
      <c r="D3984" t="s">
        <v>47</v>
      </c>
      <c r="E3984" t="s">
        <v>48</v>
      </c>
      <c r="F3984" t="s">
        <v>78</v>
      </c>
      <c r="G3984" t="s">
        <v>79</v>
      </c>
      <c r="H3984" t="s">
        <v>76</v>
      </c>
      <c r="I3984" t="s">
        <v>59</v>
      </c>
      <c r="J3984" t="s">
        <v>60</v>
      </c>
      <c r="K3984">
        <v>5</v>
      </c>
      <c r="L3984">
        <v>48207</v>
      </c>
      <c r="M3984" t="s">
        <v>51</v>
      </c>
      <c r="N3984">
        <v>3</v>
      </c>
      <c r="O3984">
        <v>2</v>
      </c>
      <c r="P3984">
        <v>29</v>
      </c>
      <c r="Q3984">
        <v>1</v>
      </c>
      <c r="R3984" s="1">
        <v>43191</v>
      </c>
      <c r="S3984" t="s">
        <v>29</v>
      </c>
      <c r="T3984" t="str">
        <f t="shared" si="310"/>
        <v>Grade C</v>
      </c>
      <c r="U3984">
        <f t="shared" si="311"/>
        <v>4</v>
      </c>
      <c r="V3984" t="str">
        <f t="shared" si="312"/>
        <v>Junior</v>
      </c>
      <c r="W3984" t="str">
        <f t="shared" si="313"/>
        <v>Low Risk</v>
      </c>
      <c r="X3984" t="str">
        <f t="shared" si="314"/>
        <v>Fair</v>
      </c>
    </row>
    <row r="3985" spans="1:24" x14ac:dyDescent="0.3">
      <c r="A3985" t="s">
        <v>4053</v>
      </c>
      <c r="B3985" t="s">
        <v>20</v>
      </c>
      <c r="C3985">
        <v>54</v>
      </c>
      <c r="D3985" t="s">
        <v>31</v>
      </c>
      <c r="E3985" t="s">
        <v>22</v>
      </c>
      <c r="F3985" t="s">
        <v>23</v>
      </c>
      <c r="G3985" t="s">
        <v>33</v>
      </c>
      <c r="H3985" t="s">
        <v>76</v>
      </c>
      <c r="I3985" t="s">
        <v>72</v>
      </c>
      <c r="J3985" t="s">
        <v>73</v>
      </c>
      <c r="K3985">
        <v>3</v>
      </c>
      <c r="L3985">
        <v>70803</v>
      </c>
      <c r="M3985" t="s">
        <v>28</v>
      </c>
      <c r="N3985">
        <v>1</v>
      </c>
      <c r="O3985">
        <v>3</v>
      </c>
      <c r="P3985">
        <v>29</v>
      </c>
      <c r="Q3985">
        <v>0</v>
      </c>
      <c r="R3985" s="1">
        <v>44024</v>
      </c>
      <c r="S3985" t="s">
        <v>29</v>
      </c>
      <c r="T3985" t="str">
        <f t="shared" si="310"/>
        <v>Grade B</v>
      </c>
      <c r="U3985">
        <f t="shared" si="311"/>
        <v>3</v>
      </c>
      <c r="V3985" t="str">
        <f t="shared" si="312"/>
        <v>Junior</v>
      </c>
      <c r="W3985" t="str">
        <f t="shared" si="313"/>
        <v>Medium Risk</v>
      </c>
      <c r="X3985" t="str">
        <f t="shared" si="314"/>
        <v>Competitive</v>
      </c>
    </row>
    <row r="3986" spans="1:24" x14ac:dyDescent="0.3">
      <c r="A3986" t="s">
        <v>4054</v>
      </c>
      <c r="B3986" t="s">
        <v>20</v>
      </c>
      <c r="C3986">
        <v>48</v>
      </c>
      <c r="D3986" t="s">
        <v>57</v>
      </c>
      <c r="E3986" t="s">
        <v>40</v>
      </c>
      <c r="F3986" t="s">
        <v>78</v>
      </c>
      <c r="G3986" t="s">
        <v>63</v>
      </c>
      <c r="H3986" t="s">
        <v>34</v>
      </c>
      <c r="I3986" t="s">
        <v>50</v>
      </c>
      <c r="J3986" t="s">
        <v>44</v>
      </c>
      <c r="K3986">
        <v>8</v>
      </c>
      <c r="L3986">
        <v>51149</v>
      </c>
      <c r="M3986" t="s">
        <v>45</v>
      </c>
      <c r="N3986">
        <v>4</v>
      </c>
      <c r="O3986">
        <v>2</v>
      </c>
      <c r="P3986">
        <v>33</v>
      </c>
      <c r="Q3986">
        <v>3</v>
      </c>
      <c r="R3986" s="1">
        <v>42025</v>
      </c>
      <c r="S3986" t="s">
        <v>37</v>
      </c>
      <c r="T3986" t="str">
        <f t="shared" si="310"/>
        <v>Grade B</v>
      </c>
      <c r="U3986">
        <f t="shared" si="311"/>
        <v>2</v>
      </c>
      <c r="V3986" t="str">
        <f t="shared" si="312"/>
        <v>Mid Level</v>
      </c>
      <c r="W3986" t="str">
        <f t="shared" si="313"/>
        <v>Already Left</v>
      </c>
      <c r="X3986" t="str">
        <f t="shared" si="314"/>
        <v>Fair</v>
      </c>
    </row>
    <row r="3987" spans="1:24" x14ac:dyDescent="0.3">
      <c r="A3987" t="s">
        <v>4055</v>
      </c>
      <c r="B3987" t="s">
        <v>39</v>
      </c>
      <c r="C3987">
        <v>53</v>
      </c>
      <c r="D3987" t="s">
        <v>88</v>
      </c>
      <c r="E3987" t="s">
        <v>40</v>
      </c>
      <c r="F3987" t="s">
        <v>32</v>
      </c>
      <c r="G3987" t="s">
        <v>33</v>
      </c>
      <c r="H3987" t="s">
        <v>76</v>
      </c>
      <c r="I3987" t="s">
        <v>35</v>
      </c>
      <c r="J3987" t="s">
        <v>27</v>
      </c>
      <c r="K3987">
        <v>14</v>
      </c>
      <c r="L3987">
        <v>97056</v>
      </c>
      <c r="M3987" t="s">
        <v>51</v>
      </c>
      <c r="N3987">
        <v>2</v>
      </c>
      <c r="O3987">
        <v>1</v>
      </c>
      <c r="P3987">
        <v>73</v>
      </c>
      <c r="Q3987">
        <v>1</v>
      </c>
      <c r="R3987" s="1">
        <v>39877</v>
      </c>
      <c r="S3987" t="s">
        <v>29</v>
      </c>
      <c r="T3987" t="str">
        <f t="shared" si="310"/>
        <v>Grade A</v>
      </c>
      <c r="U3987">
        <f t="shared" si="311"/>
        <v>4</v>
      </c>
      <c r="V3987" t="str">
        <f t="shared" si="312"/>
        <v>Senior</v>
      </c>
      <c r="W3987" t="str">
        <f t="shared" si="313"/>
        <v>Low Risk</v>
      </c>
      <c r="X3987" t="str">
        <f t="shared" si="314"/>
        <v>Competitive</v>
      </c>
    </row>
    <row r="3988" spans="1:24" x14ac:dyDescent="0.3">
      <c r="A3988" t="s">
        <v>4056</v>
      </c>
      <c r="B3988" t="s">
        <v>39</v>
      </c>
      <c r="C3988">
        <v>54</v>
      </c>
      <c r="D3988" t="s">
        <v>47</v>
      </c>
      <c r="E3988" t="s">
        <v>22</v>
      </c>
      <c r="F3988" t="s">
        <v>41</v>
      </c>
      <c r="G3988" t="s">
        <v>49</v>
      </c>
      <c r="H3988" t="s">
        <v>83</v>
      </c>
      <c r="I3988" t="s">
        <v>59</v>
      </c>
      <c r="J3988" t="s">
        <v>60</v>
      </c>
      <c r="K3988">
        <v>15</v>
      </c>
      <c r="L3988">
        <v>83232</v>
      </c>
      <c r="M3988" t="s">
        <v>51</v>
      </c>
      <c r="N3988">
        <v>3</v>
      </c>
      <c r="O3988">
        <v>2</v>
      </c>
      <c r="P3988">
        <v>58</v>
      </c>
      <c r="Q3988">
        <v>2</v>
      </c>
      <c r="R3988" s="1">
        <v>39674</v>
      </c>
      <c r="S3988" t="s">
        <v>29</v>
      </c>
      <c r="T3988" t="str">
        <f t="shared" si="310"/>
        <v>Grade A</v>
      </c>
      <c r="U3988">
        <f t="shared" si="311"/>
        <v>4</v>
      </c>
      <c r="V3988" t="str">
        <f t="shared" si="312"/>
        <v>Senior</v>
      </c>
      <c r="W3988" t="str">
        <f t="shared" si="313"/>
        <v>Low Risk</v>
      </c>
      <c r="X3988" t="str">
        <f t="shared" si="314"/>
        <v>Competitive</v>
      </c>
    </row>
    <row r="3989" spans="1:24" x14ac:dyDescent="0.3">
      <c r="A3989" t="s">
        <v>4057</v>
      </c>
      <c r="B3989" t="s">
        <v>39</v>
      </c>
      <c r="C3989">
        <v>43</v>
      </c>
      <c r="D3989" t="s">
        <v>21</v>
      </c>
      <c r="E3989" t="s">
        <v>48</v>
      </c>
      <c r="F3989" t="s">
        <v>78</v>
      </c>
      <c r="G3989" t="s">
        <v>66</v>
      </c>
      <c r="H3989" t="s">
        <v>25</v>
      </c>
      <c r="I3989" t="s">
        <v>43</v>
      </c>
      <c r="J3989" t="s">
        <v>44</v>
      </c>
      <c r="K3989">
        <v>15</v>
      </c>
      <c r="L3989">
        <v>68473</v>
      </c>
      <c r="M3989" t="s">
        <v>45</v>
      </c>
      <c r="N3989">
        <v>3</v>
      </c>
      <c r="O3989">
        <v>4</v>
      </c>
      <c r="P3989">
        <v>69</v>
      </c>
      <c r="Q3989">
        <v>2</v>
      </c>
      <c r="R3989" s="1">
        <v>39726</v>
      </c>
      <c r="S3989" t="s">
        <v>29</v>
      </c>
      <c r="T3989" t="str">
        <f t="shared" si="310"/>
        <v>Grade B</v>
      </c>
      <c r="U3989">
        <f t="shared" si="311"/>
        <v>2</v>
      </c>
      <c r="V3989" t="str">
        <f t="shared" si="312"/>
        <v>Senior</v>
      </c>
      <c r="W3989" t="str">
        <f t="shared" si="313"/>
        <v>Medium Risk</v>
      </c>
      <c r="X3989" t="str">
        <f t="shared" si="314"/>
        <v>Fair</v>
      </c>
    </row>
    <row r="3990" spans="1:24" x14ac:dyDescent="0.3">
      <c r="A3990" t="s">
        <v>4058</v>
      </c>
      <c r="B3990" t="s">
        <v>39</v>
      </c>
      <c r="C3990">
        <v>30</v>
      </c>
      <c r="D3990" t="s">
        <v>88</v>
      </c>
      <c r="E3990" t="s">
        <v>40</v>
      </c>
      <c r="F3990" t="s">
        <v>23</v>
      </c>
      <c r="G3990" t="s">
        <v>33</v>
      </c>
      <c r="H3990" t="s">
        <v>25</v>
      </c>
      <c r="I3990" t="s">
        <v>35</v>
      </c>
      <c r="J3990" t="s">
        <v>27</v>
      </c>
      <c r="K3990">
        <v>5</v>
      </c>
      <c r="L3990">
        <v>69399</v>
      </c>
      <c r="M3990" t="s">
        <v>45</v>
      </c>
      <c r="N3990">
        <v>2</v>
      </c>
      <c r="O3990">
        <v>2</v>
      </c>
      <c r="P3990">
        <v>48</v>
      </c>
      <c r="Q3990">
        <v>1</v>
      </c>
      <c r="R3990" s="1">
        <v>43464</v>
      </c>
      <c r="S3990" t="s">
        <v>29</v>
      </c>
      <c r="T3990" t="str">
        <f t="shared" si="310"/>
        <v>Grade B</v>
      </c>
      <c r="U3990">
        <f t="shared" si="311"/>
        <v>2</v>
      </c>
      <c r="V3990" t="str">
        <f t="shared" si="312"/>
        <v>Junior</v>
      </c>
      <c r="W3990" t="str">
        <f t="shared" si="313"/>
        <v>Medium Risk</v>
      </c>
      <c r="X3990" t="str">
        <f t="shared" si="314"/>
        <v>Fair</v>
      </c>
    </row>
    <row r="3991" spans="1:24" x14ac:dyDescent="0.3">
      <c r="A3991" t="s">
        <v>4059</v>
      </c>
      <c r="B3991" t="s">
        <v>39</v>
      </c>
      <c r="C3991">
        <v>29</v>
      </c>
      <c r="D3991" t="s">
        <v>47</v>
      </c>
      <c r="E3991" t="s">
        <v>40</v>
      </c>
      <c r="F3991" t="s">
        <v>41</v>
      </c>
      <c r="G3991" t="s">
        <v>42</v>
      </c>
      <c r="H3991" t="s">
        <v>25</v>
      </c>
      <c r="I3991" t="s">
        <v>96</v>
      </c>
      <c r="J3991" t="s">
        <v>44</v>
      </c>
      <c r="K3991">
        <v>14</v>
      </c>
      <c r="L3991">
        <v>119308</v>
      </c>
      <c r="M3991" t="s">
        <v>28</v>
      </c>
      <c r="N3991">
        <v>4</v>
      </c>
      <c r="O3991">
        <v>2</v>
      </c>
      <c r="P3991">
        <v>44</v>
      </c>
      <c r="Q3991">
        <v>1</v>
      </c>
      <c r="R3991" s="1">
        <v>39845</v>
      </c>
      <c r="S3991" t="s">
        <v>29</v>
      </c>
      <c r="T3991" t="str">
        <f t="shared" si="310"/>
        <v>Grade A</v>
      </c>
      <c r="U3991">
        <f t="shared" si="311"/>
        <v>3</v>
      </c>
      <c r="V3991" t="str">
        <f t="shared" si="312"/>
        <v>Senior</v>
      </c>
      <c r="W3991" t="str">
        <f t="shared" si="313"/>
        <v>Medium Risk</v>
      </c>
      <c r="X3991" t="str">
        <f t="shared" si="314"/>
        <v>Competitive</v>
      </c>
    </row>
    <row r="3992" spans="1:24" x14ac:dyDescent="0.3">
      <c r="A3992" t="s">
        <v>4060</v>
      </c>
      <c r="B3992" t="s">
        <v>20</v>
      </c>
      <c r="C3992">
        <v>36</v>
      </c>
      <c r="D3992" t="s">
        <v>57</v>
      </c>
      <c r="E3992" t="s">
        <v>48</v>
      </c>
      <c r="F3992" t="s">
        <v>62</v>
      </c>
      <c r="G3992" t="s">
        <v>63</v>
      </c>
      <c r="H3992" t="s">
        <v>83</v>
      </c>
      <c r="I3992" t="s">
        <v>35</v>
      </c>
      <c r="J3992" t="s">
        <v>27</v>
      </c>
      <c r="K3992">
        <v>10</v>
      </c>
      <c r="L3992">
        <v>65371</v>
      </c>
      <c r="M3992" t="s">
        <v>36</v>
      </c>
      <c r="N3992">
        <v>1</v>
      </c>
      <c r="O3992">
        <v>2</v>
      </c>
      <c r="P3992">
        <v>29</v>
      </c>
      <c r="Q3992">
        <v>0</v>
      </c>
      <c r="R3992" s="1">
        <v>41372</v>
      </c>
      <c r="S3992" t="s">
        <v>37</v>
      </c>
      <c r="T3992" t="str">
        <f t="shared" si="310"/>
        <v>Grade B</v>
      </c>
      <c r="U3992">
        <f t="shared" si="311"/>
        <v>1</v>
      </c>
      <c r="V3992" t="str">
        <f t="shared" si="312"/>
        <v>Mid Level</v>
      </c>
      <c r="W3992" t="str">
        <f t="shared" si="313"/>
        <v>Already Left</v>
      </c>
      <c r="X3992" t="str">
        <f t="shared" si="314"/>
        <v>Fair</v>
      </c>
    </row>
    <row r="3993" spans="1:24" x14ac:dyDescent="0.3">
      <c r="A3993" t="s">
        <v>4061</v>
      </c>
      <c r="B3993" t="s">
        <v>39</v>
      </c>
      <c r="C3993">
        <v>33</v>
      </c>
      <c r="D3993" t="s">
        <v>47</v>
      </c>
      <c r="E3993" t="s">
        <v>48</v>
      </c>
      <c r="F3993" t="s">
        <v>53</v>
      </c>
      <c r="G3993" t="s">
        <v>58</v>
      </c>
      <c r="H3993" t="s">
        <v>83</v>
      </c>
      <c r="I3993" t="s">
        <v>96</v>
      </c>
      <c r="J3993" t="s">
        <v>44</v>
      </c>
      <c r="K3993">
        <v>13</v>
      </c>
      <c r="L3993">
        <v>111812</v>
      </c>
      <c r="M3993" t="s">
        <v>45</v>
      </c>
      <c r="N3993">
        <v>4</v>
      </c>
      <c r="O3993">
        <v>1</v>
      </c>
      <c r="P3993">
        <v>39</v>
      </c>
      <c r="Q3993">
        <v>1</v>
      </c>
      <c r="R3993" s="1">
        <v>40545</v>
      </c>
      <c r="S3993" t="s">
        <v>29</v>
      </c>
      <c r="T3993" t="str">
        <f t="shared" si="310"/>
        <v>Grade A</v>
      </c>
      <c r="U3993">
        <f t="shared" si="311"/>
        <v>2</v>
      </c>
      <c r="V3993" t="str">
        <f t="shared" si="312"/>
        <v>Senior</v>
      </c>
      <c r="W3993" t="str">
        <f t="shared" si="313"/>
        <v>Medium Risk</v>
      </c>
      <c r="X3993" t="str">
        <f t="shared" si="314"/>
        <v>Fair</v>
      </c>
    </row>
    <row r="3994" spans="1:24" x14ac:dyDescent="0.3">
      <c r="A3994" t="s">
        <v>4062</v>
      </c>
      <c r="B3994" t="s">
        <v>39</v>
      </c>
      <c r="C3994">
        <v>48</v>
      </c>
      <c r="D3994" t="s">
        <v>31</v>
      </c>
      <c r="E3994" t="s">
        <v>22</v>
      </c>
      <c r="F3994" t="s">
        <v>32</v>
      </c>
      <c r="G3994" t="s">
        <v>58</v>
      </c>
      <c r="H3994" t="s">
        <v>67</v>
      </c>
      <c r="I3994" t="s">
        <v>26</v>
      </c>
      <c r="J3994" t="s">
        <v>27</v>
      </c>
      <c r="K3994">
        <v>9</v>
      </c>
      <c r="L3994">
        <v>94951</v>
      </c>
      <c r="M3994" t="s">
        <v>36</v>
      </c>
      <c r="N3994">
        <v>2</v>
      </c>
      <c r="O3994">
        <v>3</v>
      </c>
      <c r="P3994">
        <v>51</v>
      </c>
      <c r="Q3994">
        <v>2</v>
      </c>
      <c r="R3994" s="1">
        <v>41849</v>
      </c>
      <c r="S3994" t="s">
        <v>29</v>
      </c>
      <c r="T3994" t="str">
        <f t="shared" si="310"/>
        <v>Grade A</v>
      </c>
      <c r="U3994">
        <f t="shared" si="311"/>
        <v>1</v>
      </c>
      <c r="V3994" t="str">
        <f t="shared" si="312"/>
        <v>Mid Level</v>
      </c>
      <c r="W3994" t="str">
        <f t="shared" si="313"/>
        <v>Medium Risk</v>
      </c>
      <c r="X3994" t="str">
        <f t="shared" si="314"/>
        <v>Overpaid</v>
      </c>
    </row>
    <row r="3995" spans="1:24" x14ac:dyDescent="0.3">
      <c r="A3995" t="s">
        <v>4063</v>
      </c>
      <c r="B3995" t="s">
        <v>39</v>
      </c>
      <c r="C3995">
        <v>41</v>
      </c>
      <c r="D3995" t="s">
        <v>31</v>
      </c>
      <c r="E3995" t="s">
        <v>40</v>
      </c>
      <c r="F3995" t="s">
        <v>78</v>
      </c>
      <c r="G3995" t="s">
        <v>58</v>
      </c>
      <c r="H3995" t="s">
        <v>34</v>
      </c>
      <c r="I3995" t="s">
        <v>50</v>
      </c>
      <c r="J3995" t="s">
        <v>44</v>
      </c>
      <c r="K3995">
        <v>3</v>
      </c>
      <c r="L3995">
        <v>82243</v>
      </c>
      <c r="M3995" t="s">
        <v>28</v>
      </c>
      <c r="N3995">
        <v>1</v>
      </c>
      <c r="O3995">
        <v>2</v>
      </c>
      <c r="P3995">
        <v>15</v>
      </c>
      <c r="Q3995">
        <v>3</v>
      </c>
      <c r="R3995" s="1">
        <v>44129</v>
      </c>
      <c r="S3995" t="s">
        <v>29</v>
      </c>
      <c r="T3995" t="str">
        <f t="shared" si="310"/>
        <v>Grade A</v>
      </c>
      <c r="U3995">
        <f t="shared" si="311"/>
        <v>3</v>
      </c>
      <c r="V3995" t="str">
        <f t="shared" si="312"/>
        <v>Junior</v>
      </c>
      <c r="W3995" t="str">
        <f t="shared" si="313"/>
        <v>Medium Risk</v>
      </c>
      <c r="X3995" t="str">
        <f t="shared" si="314"/>
        <v>Competitive</v>
      </c>
    </row>
    <row r="3996" spans="1:24" x14ac:dyDescent="0.3">
      <c r="A3996" t="s">
        <v>4064</v>
      </c>
      <c r="B3996" t="s">
        <v>39</v>
      </c>
      <c r="C3996">
        <v>48</v>
      </c>
      <c r="D3996" t="s">
        <v>31</v>
      </c>
      <c r="E3996" t="s">
        <v>22</v>
      </c>
      <c r="F3996" t="s">
        <v>23</v>
      </c>
      <c r="G3996" t="s">
        <v>33</v>
      </c>
      <c r="H3996" t="s">
        <v>34</v>
      </c>
      <c r="I3996" t="s">
        <v>26</v>
      </c>
      <c r="J3996" t="s">
        <v>27</v>
      </c>
      <c r="K3996">
        <v>6</v>
      </c>
      <c r="L3996">
        <v>63793</v>
      </c>
      <c r="M3996" t="s">
        <v>45</v>
      </c>
      <c r="N3996">
        <v>4</v>
      </c>
      <c r="O3996">
        <v>3</v>
      </c>
      <c r="P3996">
        <v>22</v>
      </c>
      <c r="Q3996">
        <v>2</v>
      </c>
      <c r="R3996" s="1">
        <v>43040</v>
      </c>
      <c r="S3996" t="s">
        <v>29</v>
      </c>
      <c r="T3996" t="str">
        <f t="shared" si="310"/>
        <v>Grade B</v>
      </c>
      <c r="U3996">
        <f t="shared" si="311"/>
        <v>2</v>
      </c>
      <c r="V3996" t="str">
        <f t="shared" si="312"/>
        <v>Mid Level</v>
      </c>
      <c r="W3996" t="str">
        <f t="shared" si="313"/>
        <v>Medium Risk</v>
      </c>
      <c r="X3996" t="str">
        <f t="shared" si="314"/>
        <v>Fair</v>
      </c>
    </row>
    <row r="3997" spans="1:24" x14ac:dyDescent="0.3">
      <c r="A3997" t="s">
        <v>4065</v>
      </c>
      <c r="B3997" t="s">
        <v>39</v>
      </c>
      <c r="C3997">
        <v>45</v>
      </c>
      <c r="D3997" t="s">
        <v>21</v>
      </c>
      <c r="E3997" t="s">
        <v>22</v>
      </c>
      <c r="F3997" t="s">
        <v>41</v>
      </c>
      <c r="G3997" t="s">
        <v>24</v>
      </c>
      <c r="H3997" t="s">
        <v>34</v>
      </c>
      <c r="I3997" t="s">
        <v>26</v>
      </c>
      <c r="J3997" t="s">
        <v>27</v>
      </c>
      <c r="K3997">
        <v>3</v>
      </c>
      <c r="L3997">
        <v>80420</v>
      </c>
      <c r="M3997" t="s">
        <v>28</v>
      </c>
      <c r="N3997">
        <v>1</v>
      </c>
      <c r="O3997">
        <v>2</v>
      </c>
      <c r="P3997">
        <v>41</v>
      </c>
      <c r="Q3997">
        <v>1</v>
      </c>
      <c r="R3997" s="1">
        <v>44083</v>
      </c>
      <c r="S3997" t="s">
        <v>37</v>
      </c>
      <c r="T3997" t="str">
        <f t="shared" si="310"/>
        <v>Grade A</v>
      </c>
      <c r="U3997">
        <f t="shared" si="311"/>
        <v>3</v>
      </c>
      <c r="V3997" t="str">
        <f t="shared" si="312"/>
        <v>Junior</v>
      </c>
      <c r="W3997" t="str">
        <f t="shared" si="313"/>
        <v>Already Left</v>
      </c>
      <c r="X3997" t="str">
        <f t="shared" si="314"/>
        <v>Competitive</v>
      </c>
    </row>
    <row r="3998" spans="1:24" x14ac:dyDescent="0.3">
      <c r="A3998" t="s">
        <v>4066</v>
      </c>
      <c r="B3998" t="s">
        <v>39</v>
      </c>
      <c r="C3998">
        <v>40</v>
      </c>
      <c r="D3998" t="s">
        <v>47</v>
      </c>
      <c r="E3998" t="s">
        <v>48</v>
      </c>
      <c r="F3998" t="s">
        <v>53</v>
      </c>
      <c r="G3998" t="s">
        <v>24</v>
      </c>
      <c r="H3998" t="s">
        <v>83</v>
      </c>
      <c r="I3998" t="s">
        <v>59</v>
      </c>
      <c r="J3998" t="s">
        <v>60</v>
      </c>
      <c r="K3998">
        <v>10</v>
      </c>
      <c r="L3998">
        <v>102702</v>
      </c>
      <c r="M3998" t="s">
        <v>28</v>
      </c>
      <c r="N3998">
        <v>2</v>
      </c>
      <c r="O3998">
        <v>3</v>
      </c>
      <c r="P3998">
        <v>14</v>
      </c>
      <c r="Q3998">
        <v>1</v>
      </c>
      <c r="R3998" s="1">
        <v>41383</v>
      </c>
      <c r="S3998" t="s">
        <v>29</v>
      </c>
      <c r="T3998" t="str">
        <f t="shared" si="310"/>
        <v>Grade A</v>
      </c>
      <c r="U3998">
        <f t="shared" si="311"/>
        <v>3</v>
      </c>
      <c r="V3998" t="str">
        <f t="shared" si="312"/>
        <v>Mid Level</v>
      </c>
      <c r="W3998" t="str">
        <f t="shared" si="313"/>
        <v>Medium Risk</v>
      </c>
      <c r="X3998" t="str">
        <f t="shared" si="314"/>
        <v>Competitive</v>
      </c>
    </row>
    <row r="3999" spans="1:24" x14ac:dyDescent="0.3">
      <c r="A3999" t="s">
        <v>4067</v>
      </c>
      <c r="B3999" t="s">
        <v>20</v>
      </c>
      <c r="C3999">
        <v>36</v>
      </c>
      <c r="D3999" t="s">
        <v>47</v>
      </c>
      <c r="E3999" t="s">
        <v>22</v>
      </c>
      <c r="F3999" t="s">
        <v>41</v>
      </c>
      <c r="G3999" t="s">
        <v>79</v>
      </c>
      <c r="H3999" t="s">
        <v>25</v>
      </c>
      <c r="I3999" t="s">
        <v>68</v>
      </c>
      <c r="J3999" t="s">
        <v>60</v>
      </c>
      <c r="K3999">
        <v>7</v>
      </c>
      <c r="L3999">
        <v>45717</v>
      </c>
      <c r="M3999" t="s">
        <v>51</v>
      </c>
      <c r="N3999">
        <v>1</v>
      </c>
      <c r="O3999">
        <v>3</v>
      </c>
      <c r="P3999">
        <v>71</v>
      </c>
      <c r="Q3999">
        <v>2</v>
      </c>
      <c r="R3999" s="1">
        <v>42430</v>
      </c>
      <c r="S3999" t="s">
        <v>37</v>
      </c>
      <c r="T3999" t="str">
        <f t="shared" si="310"/>
        <v>Grade C</v>
      </c>
      <c r="U3999">
        <f t="shared" si="311"/>
        <v>4</v>
      </c>
      <c r="V3999" t="str">
        <f t="shared" si="312"/>
        <v>Mid Level</v>
      </c>
      <c r="W3999" t="str">
        <f t="shared" si="313"/>
        <v>Already Left</v>
      </c>
      <c r="X3999" t="str">
        <f t="shared" si="314"/>
        <v>Fair</v>
      </c>
    </row>
    <row r="4000" spans="1:24" x14ac:dyDescent="0.3">
      <c r="A4000" t="s">
        <v>4068</v>
      </c>
      <c r="B4000" t="s">
        <v>20</v>
      </c>
      <c r="C4000">
        <v>29</v>
      </c>
      <c r="D4000" t="s">
        <v>88</v>
      </c>
      <c r="E4000" t="s">
        <v>40</v>
      </c>
      <c r="F4000" t="s">
        <v>41</v>
      </c>
      <c r="G4000" t="s">
        <v>66</v>
      </c>
      <c r="H4000" t="s">
        <v>25</v>
      </c>
      <c r="I4000" t="s">
        <v>68</v>
      </c>
      <c r="J4000" t="s">
        <v>60</v>
      </c>
      <c r="K4000">
        <v>11</v>
      </c>
      <c r="L4000">
        <v>50951</v>
      </c>
      <c r="M4000" t="s">
        <v>28</v>
      </c>
      <c r="N4000">
        <v>4</v>
      </c>
      <c r="O4000">
        <v>1</v>
      </c>
      <c r="P4000">
        <v>72</v>
      </c>
      <c r="Q4000">
        <v>3</v>
      </c>
      <c r="R4000" s="1">
        <v>40946</v>
      </c>
      <c r="S4000" t="s">
        <v>29</v>
      </c>
      <c r="T4000" t="str">
        <f t="shared" si="310"/>
        <v>Grade B</v>
      </c>
      <c r="U4000">
        <f t="shared" si="311"/>
        <v>3</v>
      </c>
      <c r="V4000" t="str">
        <f t="shared" si="312"/>
        <v>Senior</v>
      </c>
      <c r="W4000" t="str">
        <f t="shared" si="313"/>
        <v>Medium Risk</v>
      </c>
      <c r="X4000" t="str">
        <f t="shared" si="314"/>
        <v>Competitive</v>
      </c>
    </row>
    <row r="4001" spans="1:24" x14ac:dyDescent="0.3">
      <c r="A4001" t="s">
        <v>4069</v>
      </c>
      <c r="B4001" t="s">
        <v>20</v>
      </c>
      <c r="C4001">
        <v>50</v>
      </c>
      <c r="D4001" t="s">
        <v>21</v>
      </c>
      <c r="E4001" t="s">
        <v>22</v>
      </c>
      <c r="F4001" t="s">
        <v>23</v>
      </c>
      <c r="G4001" t="s">
        <v>66</v>
      </c>
      <c r="H4001" t="s">
        <v>83</v>
      </c>
      <c r="I4001" t="s">
        <v>59</v>
      </c>
      <c r="J4001" t="s">
        <v>60</v>
      </c>
      <c r="K4001">
        <v>2</v>
      </c>
      <c r="L4001">
        <v>38055</v>
      </c>
      <c r="M4001" t="s">
        <v>51</v>
      </c>
      <c r="N4001">
        <v>3</v>
      </c>
      <c r="O4001">
        <v>1</v>
      </c>
      <c r="P4001">
        <v>10</v>
      </c>
      <c r="Q4001">
        <v>2</v>
      </c>
      <c r="R4001" s="1">
        <v>44504</v>
      </c>
      <c r="S4001" t="s">
        <v>29</v>
      </c>
      <c r="T4001" t="str">
        <f t="shared" si="310"/>
        <v>Grade C</v>
      </c>
      <c r="U4001">
        <f t="shared" si="311"/>
        <v>4</v>
      </c>
      <c r="V4001" t="str">
        <f t="shared" si="312"/>
        <v>New Joiner</v>
      </c>
      <c r="W4001" t="str">
        <f t="shared" si="313"/>
        <v>Low Risk</v>
      </c>
      <c r="X4001" t="str">
        <f t="shared" si="314"/>
        <v>Fair</v>
      </c>
    </row>
    <row r="4002" spans="1:24" x14ac:dyDescent="0.3">
      <c r="A4002" t="s">
        <v>4070</v>
      </c>
      <c r="B4002" t="s">
        <v>39</v>
      </c>
      <c r="C4002">
        <v>23</v>
      </c>
      <c r="D4002" t="s">
        <v>88</v>
      </c>
      <c r="E4002" t="s">
        <v>40</v>
      </c>
      <c r="F4002" t="s">
        <v>53</v>
      </c>
      <c r="G4002" t="s">
        <v>66</v>
      </c>
      <c r="H4002" t="s">
        <v>83</v>
      </c>
      <c r="I4002" t="s">
        <v>35</v>
      </c>
      <c r="J4002" t="s">
        <v>27</v>
      </c>
      <c r="K4002">
        <v>5</v>
      </c>
      <c r="L4002">
        <v>47466</v>
      </c>
      <c r="M4002" t="s">
        <v>36</v>
      </c>
      <c r="N4002">
        <v>2</v>
      </c>
      <c r="O4002">
        <v>2</v>
      </c>
      <c r="P4002">
        <v>73</v>
      </c>
      <c r="Q4002">
        <v>1</v>
      </c>
      <c r="R4002" s="1">
        <v>43147</v>
      </c>
      <c r="S4002" t="s">
        <v>29</v>
      </c>
      <c r="T4002" t="str">
        <f t="shared" si="310"/>
        <v>Grade C</v>
      </c>
      <c r="U4002">
        <f t="shared" si="311"/>
        <v>1</v>
      </c>
      <c r="V4002" t="str">
        <f t="shared" si="312"/>
        <v>Junior</v>
      </c>
      <c r="W4002" t="str">
        <f t="shared" si="313"/>
        <v>Medium Risk</v>
      </c>
      <c r="X4002" t="str">
        <f t="shared" si="314"/>
        <v>Fair</v>
      </c>
    </row>
    <row r="4003" spans="1:24" x14ac:dyDescent="0.3">
      <c r="A4003" t="s">
        <v>4071</v>
      </c>
      <c r="B4003" t="s">
        <v>39</v>
      </c>
      <c r="C4003">
        <v>25</v>
      </c>
      <c r="D4003" t="s">
        <v>31</v>
      </c>
      <c r="E4003" t="s">
        <v>48</v>
      </c>
      <c r="F4003" t="s">
        <v>65</v>
      </c>
      <c r="G4003" t="s">
        <v>33</v>
      </c>
      <c r="H4003" t="s">
        <v>67</v>
      </c>
      <c r="I4003" t="s">
        <v>43</v>
      </c>
      <c r="J4003" t="s">
        <v>44</v>
      </c>
      <c r="K4003">
        <v>10</v>
      </c>
      <c r="L4003">
        <v>74286</v>
      </c>
      <c r="M4003" t="s">
        <v>28</v>
      </c>
      <c r="N4003">
        <v>3</v>
      </c>
      <c r="O4003">
        <v>4</v>
      </c>
      <c r="P4003">
        <v>69</v>
      </c>
      <c r="Q4003">
        <v>0</v>
      </c>
      <c r="R4003" s="1">
        <v>41316</v>
      </c>
      <c r="S4003" t="s">
        <v>29</v>
      </c>
      <c r="T4003" t="str">
        <f t="shared" si="310"/>
        <v>Grade B</v>
      </c>
      <c r="U4003">
        <f t="shared" si="311"/>
        <v>3</v>
      </c>
      <c r="V4003" t="str">
        <f t="shared" si="312"/>
        <v>Mid Level</v>
      </c>
      <c r="W4003" t="str">
        <f t="shared" si="313"/>
        <v>Medium Risk</v>
      </c>
      <c r="X4003" t="str">
        <f t="shared" si="314"/>
        <v>Competitive</v>
      </c>
    </row>
    <row r="4004" spans="1:24" x14ac:dyDescent="0.3">
      <c r="A4004" t="s">
        <v>4072</v>
      </c>
      <c r="B4004" t="s">
        <v>39</v>
      </c>
      <c r="C4004">
        <v>23</v>
      </c>
      <c r="D4004" t="s">
        <v>31</v>
      </c>
      <c r="E4004" t="s">
        <v>40</v>
      </c>
      <c r="F4004" t="s">
        <v>78</v>
      </c>
      <c r="G4004" t="s">
        <v>42</v>
      </c>
      <c r="H4004" t="s">
        <v>83</v>
      </c>
      <c r="I4004" t="s">
        <v>43</v>
      </c>
      <c r="J4004" t="s">
        <v>44</v>
      </c>
      <c r="K4004">
        <v>8</v>
      </c>
      <c r="L4004">
        <v>109881</v>
      </c>
      <c r="M4004" t="s">
        <v>28</v>
      </c>
      <c r="N4004">
        <v>4</v>
      </c>
      <c r="O4004">
        <v>2</v>
      </c>
      <c r="P4004">
        <v>51</v>
      </c>
      <c r="Q4004">
        <v>1</v>
      </c>
      <c r="R4004" s="1">
        <v>42323</v>
      </c>
      <c r="S4004" t="s">
        <v>37</v>
      </c>
      <c r="T4004" t="str">
        <f t="shared" si="310"/>
        <v>Grade A</v>
      </c>
      <c r="U4004">
        <f t="shared" si="311"/>
        <v>3</v>
      </c>
      <c r="V4004" t="str">
        <f t="shared" si="312"/>
        <v>Mid Level</v>
      </c>
      <c r="W4004" t="str">
        <f t="shared" si="313"/>
        <v>Already Left</v>
      </c>
      <c r="X4004" t="str">
        <f t="shared" si="314"/>
        <v>Competitive</v>
      </c>
    </row>
    <row r="4005" spans="1:24" x14ac:dyDescent="0.3">
      <c r="A4005" t="s">
        <v>4073</v>
      </c>
      <c r="B4005" t="s">
        <v>20</v>
      </c>
      <c r="C4005">
        <v>54</v>
      </c>
      <c r="D4005" t="s">
        <v>57</v>
      </c>
      <c r="E4005" t="s">
        <v>40</v>
      </c>
      <c r="F4005" t="s">
        <v>53</v>
      </c>
      <c r="G4005" t="s">
        <v>58</v>
      </c>
      <c r="H4005" t="s">
        <v>25</v>
      </c>
      <c r="I4005" t="s">
        <v>59</v>
      </c>
      <c r="J4005" t="s">
        <v>60</v>
      </c>
      <c r="K4005">
        <v>13</v>
      </c>
      <c r="L4005">
        <v>116013</v>
      </c>
      <c r="M4005" t="s">
        <v>36</v>
      </c>
      <c r="N4005">
        <v>4</v>
      </c>
      <c r="O4005">
        <v>1</v>
      </c>
      <c r="P4005">
        <v>33</v>
      </c>
      <c r="Q4005">
        <v>0</v>
      </c>
      <c r="R4005" s="1">
        <v>40345</v>
      </c>
      <c r="S4005" t="s">
        <v>37</v>
      </c>
      <c r="T4005" t="str">
        <f t="shared" si="310"/>
        <v>Grade A</v>
      </c>
      <c r="U4005">
        <f t="shared" si="311"/>
        <v>1</v>
      </c>
      <c r="V4005" t="str">
        <f t="shared" si="312"/>
        <v>Senior</v>
      </c>
      <c r="W4005" t="str">
        <f t="shared" si="313"/>
        <v>Already Left</v>
      </c>
      <c r="X4005" t="str">
        <f t="shared" si="314"/>
        <v>Overpaid</v>
      </c>
    </row>
    <row r="4006" spans="1:24" x14ac:dyDescent="0.3">
      <c r="A4006" t="s">
        <v>4074</v>
      </c>
      <c r="B4006" t="s">
        <v>20</v>
      </c>
      <c r="C4006">
        <v>27</v>
      </c>
      <c r="D4006" t="s">
        <v>57</v>
      </c>
      <c r="E4006" t="s">
        <v>48</v>
      </c>
      <c r="F4006" t="s">
        <v>53</v>
      </c>
      <c r="G4006" t="s">
        <v>58</v>
      </c>
      <c r="H4006" t="s">
        <v>34</v>
      </c>
      <c r="I4006" t="s">
        <v>68</v>
      </c>
      <c r="J4006" t="s">
        <v>60</v>
      </c>
      <c r="K4006">
        <v>5</v>
      </c>
      <c r="L4006">
        <v>93785</v>
      </c>
      <c r="M4006" t="s">
        <v>45</v>
      </c>
      <c r="N4006">
        <v>3</v>
      </c>
      <c r="O4006">
        <v>3</v>
      </c>
      <c r="P4006">
        <v>17</v>
      </c>
      <c r="Q4006">
        <v>0</v>
      </c>
      <c r="R4006" s="1">
        <v>43395</v>
      </c>
      <c r="S4006" t="s">
        <v>37</v>
      </c>
      <c r="T4006" t="str">
        <f t="shared" si="310"/>
        <v>Grade A</v>
      </c>
      <c r="U4006">
        <f t="shared" si="311"/>
        <v>2</v>
      </c>
      <c r="V4006" t="str">
        <f t="shared" si="312"/>
        <v>Junior</v>
      </c>
      <c r="W4006" t="str">
        <f t="shared" si="313"/>
        <v>Already Left</v>
      </c>
      <c r="X4006" t="str">
        <f t="shared" si="314"/>
        <v>Fair</v>
      </c>
    </row>
    <row r="4007" spans="1:24" x14ac:dyDescent="0.3">
      <c r="A4007" t="s">
        <v>4075</v>
      </c>
      <c r="B4007" t="s">
        <v>39</v>
      </c>
      <c r="C4007">
        <v>48</v>
      </c>
      <c r="D4007" t="s">
        <v>21</v>
      </c>
      <c r="E4007" t="s">
        <v>48</v>
      </c>
      <c r="F4007" t="s">
        <v>75</v>
      </c>
      <c r="G4007" t="s">
        <v>42</v>
      </c>
      <c r="H4007" t="s">
        <v>67</v>
      </c>
      <c r="I4007" t="s">
        <v>72</v>
      </c>
      <c r="J4007" t="s">
        <v>73</v>
      </c>
      <c r="K4007">
        <v>6</v>
      </c>
      <c r="L4007">
        <v>113985</v>
      </c>
      <c r="M4007" t="s">
        <v>28</v>
      </c>
      <c r="N4007">
        <v>3</v>
      </c>
      <c r="O4007">
        <v>2</v>
      </c>
      <c r="P4007">
        <v>66</v>
      </c>
      <c r="Q4007">
        <v>0</v>
      </c>
      <c r="R4007" s="1">
        <v>42784</v>
      </c>
      <c r="S4007" t="s">
        <v>37</v>
      </c>
      <c r="T4007" t="str">
        <f t="shared" si="310"/>
        <v>Grade A</v>
      </c>
      <c r="U4007">
        <f t="shared" si="311"/>
        <v>3</v>
      </c>
      <c r="V4007" t="str">
        <f t="shared" si="312"/>
        <v>Mid Level</v>
      </c>
      <c r="W4007" t="str">
        <f t="shared" si="313"/>
        <v>Already Left</v>
      </c>
      <c r="X4007" t="str">
        <f t="shared" si="314"/>
        <v>Competitive</v>
      </c>
    </row>
    <row r="4008" spans="1:24" x14ac:dyDescent="0.3">
      <c r="A4008" t="s">
        <v>4076</v>
      </c>
      <c r="B4008" t="s">
        <v>39</v>
      </c>
      <c r="C4008">
        <v>52</v>
      </c>
      <c r="D4008" t="s">
        <v>47</v>
      </c>
      <c r="E4008" t="s">
        <v>40</v>
      </c>
      <c r="F4008" t="s">
        <v>78</v>
      </c>
      <c r="G4008" t="s">
        <v>63</v>
      </c>
      <c r="H4008" t="s">
        <v>83</v>
      </c>
      <c r="I4008" t="s">
        <v>80</v>
      </c>
      <c r="J4008" t="s">
        <v>60</v>
      </c>
      <c r="K4008">
        <v>11</v>
      </c>
      <c r="L4008">
        <v>66866</v>
      </c>
      <c r="M4008" t="s">
        <v>45</v>
      </c>
      <c r="N4008">
        <v>1</v>
      </c>
      <c r="O4008">
        <v>2</v>
      </c>
      <c r="P4008">
        <v>61</v>
      </c>
      <c r="Q4008">
        <v>0</v>
      </c>
      <c r="R4008" s="1">
        <v>41041</v>
      </c>
      <c r="S4008" t="s">
        <v>29</v>
      </c>
      <c r="T4008" t="str">
        <f t="shared" si="310"/>
        <v>Grade B</v>
      </c>
      <c r="U4008">
        <f t="shared" si="311"/>
        <v>2</v>
      </c>
      <c r="V4008" t="str">
        <f t="shared" si="312"/>
        <v>Senior</v>
      </c>
      <c r="W4008" t="str">
        <f t="shared" si="313"/>
        <v>Medium Risk</v>
      </c>
      <c r="X4008" t="str">
        <f t="shared" si="314"/>
        <v>Fair</v>
      </c>
    </row>
    <row r="4009" spans="1:24" x14ac:dyDescent="0.3">
      <c r="A4009" t="s">
        <v>4077</v>
      </c>
      <c r="B4009" t="s">
        <v>39</v>
      </c>
      <c r="C4009">
        <v>23</v>
      </c>
      <c r="D4009" t="s">
        <v>88</v>
      </c>
      <c r="E4009" t="s">
        <v>40</v>
      </c>
      <c r="F4009" t="s">
        <v>32</v>
      </c>
      <c r="G4009" t="s">
        <v>49</v>
      </c>
      <c r="H4009" t="s">
        <v>67</v>
      </c>
      <c r="I4009" t="s">
        <v>72</v>
      </c>
      <c r="J4009" t="s">
        <v>73</v>
      </c>
      <c r="K4009">
        <v>6</v>
      </c>
      <c r="L4009">
        <v>58289</v>
      </c>
      <c r="M4009" t="s">
        <v>45</v>
      </c>
      <c r="N4009">
        <v>2</v>
      </c>
      <c r="O4009">
        <v>4</v>
      </c>
      <c r="P4009">
        <v>68</v>
      </c>
      <c r="Q4009">
        <v>1</v>
      </c>
      <c r="R4009" s="1">
        <v>42950</v>
      </c>
      <c r="S4009" t="s">
        <v>29</v>
      </c>
      <c r="T4009" t="str">
        <f t="shared" si="310"/>
        <v>Grade B</v>
      </c>
      <c r="U4009">
        <f t="shared" si="311"/>
        <v>2</v>
      </c>
      <c r="V4009" t="str">
        <f t="shared" si="312"/>
        <v>Mid Level</v>
      </c>
      <c r="W4009" t="str">
        <f t="shared" si="313"/>
        <v>Medium Risk</v>
      </c>
      <c r="X4009" t="str">
        <f t="shared" si="314"/>
        <v>Fair</v>
      </c>
    </row>
    <row r="4010" spans="1:24" x14ac:dyDescent="0.3">
      <c r="A4010" t="s">
        <v>4078</v>
      </c>
      <c r="B4010" t="s">
        <v>39</v>
      </c>
      <c r="C4010">
        <v>24</v>
      </c>
      <c r="D4010" t="s">
        <v>31</v>
      </c>
      <c r="E4010" t="s">
        <v>48</v>
      </c>
      <c r="F4010" t="s">
        <v>41</v>
      </c>
      <c r="G4010" t="s">
        <v>58</v>
      </c>
      <c r="H4010" t="s">
        <v>83</v>
      </c>
      <c r="I4010" t="s">
        <v>59</v>
      </c>
      <c r="J4010" t="s">
        <v>60</v>
      </c>
      <c r="K4010">
        <v>15</v>
      </c>
      <c r="L4010">
        <v>121494</v>
      </c>
      <c r="M4010" t="s">
        <v>28</v>
      </c>
      <c r="N4010">
        <v>3</v>
      </c>
      <c r="O4010">
        <v>3</v>
      </c>
      <c r="P4010">
        <v>77</v>
      </c>
      <c r="Q4010">
        <v>0</v>
      </c>
      <c r="R4010" s="1">
        <v>39465</v>
      </c>
      <c r="S4010" t="s">
        <v>29</v>
      </c>
      <c r="T4010" t="str">
        <f t="shared" si="310"/>
        <v>Grade A</v>
      </c>
      <c r="U4010">
        <f t="shared" si="311"/>
        <v>3</v>
      </c>
      <c r="V4010" t="str">
        <f t="shared" si="312"/>
        <v>Senior</v>
      </c>
      <c r="W4010" t="str">
        <f t="shared" si="313"/>
        <v>Medium Risk</v>
      </c>
      <c r="X4010" t="str">
        <f t="shared" si="314"/>
        <v>Competitive</v>
      </c>
    </row>
    <row r="4011" spans="1:24" x14ac:dyDescent="0.3">
      <c r="A4011" t="s">
        <v>4079</v>
      </c>
      <c r="B4011" t="s">
        <v>20</v>
      </c>
      <c r="C4011">
        <v>27</v>
      </c>
      <c r="D4011" t="s">
        <v>88</v>
      </c>
      <c r="E4011" t="s">
        <v>48</v>
      </c>
      <c r="F4011" t="s">
        <v>62</v>
      </c>
      <c r="G4011" t="s">
        <v>66</v>
      </c>
      <c r="H4011" t="s">
        <v>25</v>
      </c>
      <c r="I4011" t="s">
        <v>59</v>
      </c>
      <c r="J4011" t="s">
        <v>60</v>
      </c>
      <c r="K4011">
        <v>6</v>
      </c>
      <c r="L4011">
        <v>51323</v>
      </c>
      <c r="M4011" t="s">
        <v>51</v>
      </c>
      <c r="N4011">
        <v>3</v>
      </c>
      <c r="O4011">
        <v>2</v>
      </c>
      <c r="P4011">
        <v>54</v>
      </c>
      <c r="Q4011">
        <v>0</v>
      </c>
      <c r="R4011" s="1">
        <v>42787</v>
      </c>
      <c r="S4011" t="s">
        <v>29</v>
      </c>
      <c r="T4011" t="str">
        <f t="shared" si="310"/>
        <v>Grade B</v>
      </c>
      <c r="U4011">
        <f t="shared" si="311"/>
        <v>4</v>
      </c>
      <c r="V4011" t="str">
        <f t="shared" si="312"/>
        <v>Mid Level</v>
      </c>
      <c r="W4011" t="str">
        <f t="shared" si="313"/>
        <v>Low Risk</v>
      </c>
      <c r="X4011" t="str">
        <f t="shared" si="314"/>
        <v>Fair</v>
      </c>
    </row>
    <row r="4012" spans="1:24" x14ac:dyDescent="0.3">
      <c r="A4012" t="s">
        <v>4080</v>
      </c>
      <c r="B4012" t="s">
        <v>20</v>
      </c>
      <c r="C4012">
        <v>45</v>
      </c>
      <c r="D4012" t="s">
        <v>31</v>
      </c>
      <c r="E4012" t="s">
        <v>40</v>
      </c>
      <c r="F4012" t="s">
        <v>62</v>
      </c>
      <c r="G4012" t="s">
        <v>58</v>
      </c>
      <c r="H4012" t="s">
        <v>25</v>
      </c>
      <c r="I4012" t="s">
        <v>80</v>
      </c>
      <c r="J4012" t="s">
        <v>60</v>
      </c>
      <c r="K4012">
        <v>13</v>
      </c>
      <c r="L4012">
        <v>120429</v>
      </c>
      <c r="M4012" t="s">
        <v>28</v>
      </c>
      <c r="N4012">
        <v>1</v>
      </c>
      <c r="O4012">
        <v>2</v>
      </c>
      <c r="P4012">
        <v>77</v>
      </c>
      <c r="Q4012">
        <v>1</v>
      </c>
      <c r="R4012" s="1">
        <v>40404</v>
      </c>
      <c r="S4012" t="s">
        <v>29</v>
      </c>
      <c r="T4012" t="str">
        <f t="shared" si="310"/>
        <v>Grade A</v>
      </c>
      <c r="U4012">
        <f t="shared" si="311"/>
        <v>3</v>
      </c>
      <c r="V4012" t="str">
        <f t="shared" si="312"/>
        <v>Senior</v>
      </c>
      <c r="W4012" t="str">
        <f t="shared" si="313"/>
        <v>Medium Risk</v>
      </c>
      <c r="X4012" t="str">
        <f t="shared" si="314"/>
        <v>Competitive</v>
      </c>
    </row>
    <row r="4013" spans="1:24" x14ac:dyDescent="0.3">
      <c r="A4013" t="s">
        <v>4081</v>
      </c>
      <c r="B4013" t="s">
        <v>39</v>
      </c>
      <c r="C4013">
        <v>31</v>
      </c>
      <c r="D4013" t="s">
        <v>88</v>
      </c>
      <c r="E4013" t="s">
        <v>40</v>
      </c>
      <c r="F4013" t="s">
        <v>41</v>
      </c>
      <c r="G4013" t="s">
        <v>42</v>
      </c>
      <c r="H4013" t="s">
        <v>76</v>
      </c>
      <c r="I4013" t="s">
        <v>26</v>
      </c>
      <c r="J4013" t="s">
        <v>27</v>
      </c>
      <c r="K4013">
        <v>15</v>
      </c>
      <c r="L4013">
        <v>123843</v>
      </c>
      <c r="M4013" t="s">
        <v>45</v>
      </c>
      <c r="N4013">
        <v>3</v>
      </c>
      <c r="O4013">
        <v>4</v>
      </c>
      <c r="P4013">
        <v>47</v>
      </c>
      <c r="Q4013">
        <v>1</v>
      </c>
      <c r="R4013" s="1">
        <v>39723</v>
      </c>
      <c r="S4013" t="s">
        <v>29</v>
      </c>
      <c r="T4013" t="str">
        <f t="shared" si="310"/>
        <v>Grade A</v>
      </c>
      <c r="U4013">
        <f t="shared" si="311"/>
        <v>2</v>
      </c>
      <c r="V4013" t="str">
        <f t="shared" si="312"/>
        <v>Senior</v>
      </c>
      <c r="W4013" t="str">
        <f t="shared" si="313"/>
        <v>Medium Risk</v>
      </c>
      <c r="X4013" t="str">
        <f t="shared" si="314"/>
        <v>Fair</v>
      </c>
    </row>
    <row r="4014" spans="1:24" x14ac:dyDescent="0.3">
      <c r="A4014" t="s">
        <v>4082</v>
      </c>
      <c r="B4014" t="s">
        <v>20</v>
      </c>
      <c r="C4014">
        <v>50</v>
      </c>
      <c r="D4014" t="s">
        <v>88</v>
      </c>
      <c r="E4014" t="s">
        <v>40</v>
      </c>
      <c r="F4014" t="s">
        <v>75</v>
      </c>
      <c r="G4014" t="s">
        <v>42</v>
      </c>
      <c r="H4014" t="s">
        <v>67</v>
      </c>
      <c r="I4014" t="s">
        <v>96</v>
      </c>
      <c r="J4014" t="s">
        <v>44</v>
      </c>
      <c r="K4014">
        <v>14</v>
      </c>
      <c r="L4014">
        <v>123511</v>
      </c>
      <c r="M4014" t="s">
        <v>51</v>
      </c>
      <c r="N4014">
        <v>4</v>
      </c>
      <c r="O4014">
        <v>3</v>
      </c>
      <c r="P4014">
        <v>18</v>
      </c>
      <c r="Q4014">
        <v>3</v>
      </c>
      <c r="R4014" s="1">
        <v>40171</v>
      </c>
      <c r="S4014" t="s">
        <v>29</v>
      </c>
      <c r="T4014" t="str">
        <f t="shared" si="310"/>
        <v>Grade A</v>
      </c>
      <c r="U4014">
        <f t="shared" si="311"/>
        <v>4</v>
      </c>
      <c r="V4014" t="str">
        <f t="shared" si="312"/>
        <v>Senior</v>
      </c>
      <c r="W4014" t="str">
        <f t="shared" si="313"/>
        <v>Low Risk</v>
      </c>
      <c r="X4014" t="str">
        <f t="shared" si="314"/>
        <v>Competitive</v>
      </c>
    </row>
    <row r="4015" spans="1:24" x14ac:dyDescent="0.3">
      <c r="A4015" t="s">
        <v>4083</v>
      </c>
      <c r="B4015" t="s">
        <v>39</v>
      </c>
      <c r="C4015">
        <v>32</v>
      </c>
      <c r="D4015" t="s">
        <v>21</v>
      </c>
      <c r="E4015" t="s">
        <v>22</v>
      </c>
      <c r="F4015" t="s">
        <v>53</v>
      </c>
      <c r="G4015" t="s">
        <v>66</v>
      </c>
      <c r="H4015" t="s">
        <v>34</v>
      </c>
      <c r="I4015" t="s">
        <v>59</v>
      </c>
      <c r="J4015" t="s">
        <v>60</v>
      </c>
      <c r="K4015">
        <v>1</v>
      </c>
      <c r="L4015">
        <v>45471</v>
      </c>
      <c r="M4015" t="s">
        <v>51</v>
      </c>
      <c r="N4015">
        <v>3</v>
      </c>
      <c r="O4015">
        <v>4</v>
      </c>
      <c r="P4015">
        <v>30</v>
      </c>
      <c r="Q4015">
        <v>1</v>
      </c>
      <c r="R4015" s="1">
        <v>44749</v>
      </c>
      <c r="S4015" t="s">
        <v>29</v>
      </c>
      <c r="T4015" t="str">
        <f t="shared" si="310"/>
        <v>Grade C</v>
      </c>
      <c r="U4015">
        <f t="shared" si="311"/>
        <v>4</v>
      </c>
      <c r="V4015" t="str">
        <f t="shared" si="312"/>
        <v>New Joiner</v>
      </c>
      <c r="W4015" t="str">
        <f t="shared" si="313"/>
        <v>Low Risk</v>
      </c>
      <c r="X4015" t="str">
        <f t="shared" si="314"/>
        <v>Fair</v>
      </c>
    </row>
    <row r="4016" spans="1:24" x14ac:dyDescent="0.3">
      <c r="A4016" t="s">
        <v>4084</v>
      </c>
      <c r="B4016" t="s">
        <v>39</v>
      </c>
      <c r="C4016">
        <v>22</v>
      </c>
      <c r="D4016" t="s">
        <v>21</v>
      </c>
      <c r="E4016" t="s">
        <v>40</v>
      </c>
      <c r="F4016" t="s">
        <v>41</v>
      </c>
      <c r="G4016" t="s">
        <v>66</v>
      </c>
      <c r="H4016" t="s">
        <v>76</v>
      </c>
      <c r="I4016" t="s">
        <v>26</v>
      </c>
      <c r="J4016" t="s">
        <v>27</v>
      </c>
      <c r="K4016">
        <v>6</v>
      </c>
      <c r="L4016">
        <v>49785</v>
      </c>
      <c r="M4016" t="s">
        <v>36</v>
      </c>
      <c r="N4016">
        <v>3</v>
      </c>
      <c r="O4016">
        <v>2</v>
      </c>
      <c r="P4016">
        <v>35</v>
      </c>
      <c r="Q4016">
        <v>2</v>
      </c>
      <c r="R4016" s="1">
        <v>42884</v>
      </c>
      <c r="S4016" t="s">
        <v>29</v>
      </c>
      <c r="T4016" t="str">
        <f t="shared" si="310"/>
        <v>Grade C</v>
      </c>
      <c r="U4016">
        <f t="shared" si="311"/>
        <v>1</v>
      </c>
      <c r="V4016" t="str">
        <f t="shared" si="312"/>
        <v>Mid Level</v>
      </c>
      <c r="W4016" t="str">
        <f t="shared" si="313"/>
        <v>Medium Risk</v>
      </c>
      <c r="X4016" t="str">
        <f t="shared" si="314"/>
        <v>Fair</v>
      </c>
    </row>
    <row r="4017" spans="1:24" x14ac:dyDescent="0.3">
      <c r="A4017" t="s">
        <v>4085</v>
      </c>
      <c r="B4017" t="s">
        <v>20</v>
      </c>
      <c r="C4017">
        <v>43</v>
      </c>
      <c r="D4017" t="s">
        <v>57</v>
      </c>
      <c r="E4017" t="s">
        <v>40</v>
      </c>
      <c r="F4017" t="s">
        <v>23</v>
      </c>
      <c r="G4017" t="s">
        <v>42</v>
      </c>
      <c r="H4017" t="s">
        <v>83</v>
      </c>
      <c r="I4017" t="s">
        <v>54</v>
      </c>
      <c r="J4017" t="s">
        <v>27</v>
      </c>
      <c r="K4017">
        <v>7</v>
      </c>
      <c r="L4017">
        <v>99416</v>
      </c>
      <c r="M4017" t="s">
        <v>45</v>
      </c>
      <c r="N4017">
        <v>3</v>
      </c>
      <c r="O4017">
        <v>1</v>
      </c>
      <c r="P4017">
        <v>43</v>
      </c>
      <c r="Q4017">
        <v>3</v>
      </c>
      <c r="R4017" s="1">
        <v>42396</v>
      </c>
      <c r="S4017" t="s">
        <v>29</v>
      </c>
      <c r="T4017" t="str">
        <f t="shared" si="310"/>
        <v>Grade A</v>
      </c>
      <c r="U4017">
        <f t="shared" si="311"/>
        <v>2</v>
      </c>
      <c r="V4017" t="str">
        <f t="shared" si="312"/>
        <v>Mid Level</v>
      </c>
      <c r="W4017" t="str">
        <f t="shared" si="313"/>
        <v>Medium Risk</v>
      </c>
      <c r="X4017" t="str">
        <f t="shared" si="314"/>
        <v>Fair</v>
      </c>
    </row>
    <row r="4018" spans="1:24" x14ac:dyDescent="0.3">
      <c r="A4018" t="s">
        <v>4086</v>
      </c>
      <c r="B4018" t="s">
        <v>20</v>
      </c>
      <c r="C4018">
        <v>51</v>
      </c>
      <c r="D4018" t="s">
        <v>31</v>
      </c>
      <c r="E4018" t="s">
        <v>40</v>
      </c>
      <c r="F4018" t="s">
        <v>32</v>
      </c>
      <c r="G4018" t="s">
        <v>49</v>
      </c>
      <c r="H4018" t="s">
        <v>25</v>
      </c>
      <c r="I4018" t="s">
        <v>96</v>
      </c>
      <c r="J4018" t="s">
        <v>44</v>
      </c>
      <c r="K4018">
        <v>12</v>
      </c>
      <c r="L4018">
        <v>76553</v>
      </c>
      <c r="M4018" t="s">
        <v>28</v>
      </c>
      <c r="N4018">
        <v>1</v>
      </c>
      <c r="O4018">
        <v>4</v>
      </c>
      <c r="P4018">
        <v>25</v>
      </c>
      <c r="Q4018">
        <v>3</v>
      </c>
      <c r="R4018" s="1">
        <v>40724</v>
      </c>
      <c r="S4018" t="s">
        <v>29</v>
      </c>
      <c r="T4018" t="str">
        <f t="shared" si="310"/>
        <v>Grade B</v>
      </c>
      <c r="U4018">
        <f t="shared" si="311"/>
        <v>3</v>
      </c>
      <c r="V4018" t="str">
        <f t="shared" si="312"/>
        <v>Senior</v>
      </c>
      <c r="W4018" t="str">
        <f t="shared" si="313"/>
        <v>Medium Risk</v>
      </c>
      <c r="X4018" t="str">
        <f t="shared" si="314"/>
        <v>Competitive</v>
      </c>
    </row>
    <row r="4019" spans="1:24" x14ac:dyDescent="0.3">
      <c r="A4019" t="s">
        <v>4087</v>
      </c>
      <c r="B4019" t="s">
        <v>20</v>
      </c>
      <c r="C4019">
        <v>35</v>
      </c>
      <c r="D4019" t="s">
        <v>47</v>
      </c>
      <c r="E4019" t="s">
        <v>48</v>
      </c>
      <c r="F4019" t="s">
        <v>75</v>
      </c>
      <c r="G4019" t="s">
        <v>33</v>
      </c>
      <c r="H4019" t="s">
        <v>76</v>
      </c>
      <c r="I4019" t="s">
        <v>72</v>
      </c>
      <c r="J4019" t="s">
        <v>73</v>
      </c>
      <c r="K4019">
        <v>15</v>
      </c>
      <c r="L4019">
        <v>93172</v>
      </c>
      <c r="M4019" t="s">
        <v>45</v>
      </c>
      <c r="N4019">
        <v>3</v>
      </c>
      <c r="O4019">
        <v>3</v>
      </c>
      <c r="P4019">
        <v>75</v>
      </c>
      <c r="Q4019">
        <v>3</v>
      </c>
      <c r="R4019" s="1">
        <v>39811</v>
      </c>
      <c r="S4019" t="s">
        <v>29</v>
      </c>
      <c r="T4019" t="str">
        <f t="shared" si="310"/>
        <v>Grade A</v>
      </c>
      <c r="U4019">
        <f t="shared" si="311"/>
        <v>2</v>
      </c>
      <c r="V4019" t="str">
        <f t="shared" si="312"/>
        <v>Senior</v>
      </c>
      <c r="W4019" t="str">
        <f t="shared" si="313"/>
        <v>Medium Risk</v>
      </c>
      <c r="X4019" t="str">
        <f t="shared" si="314"/>
        <v>Fair</v>
      </c>
    </row>
    <row r="4020" spans="1:24" x14ac:dyDescent="0.3">
      <c r="A4020" t="s">
        <v>4088</v>
      </c>
      <c r="B4020" t="s">
        <v>20</v>
      </c>
      <c r="C4020">
        <v>36</v>
      </c>
      <c r="D4020" t="s">
        <v>88</v>
      </c>
      <c r="E4020" t="s">
        <v>22</v>
      </c>
      <c r="F4020" t="s">
        <v>78</v>
      </c>
      <c r="G4020" t="s">
        <v>63</v>
      </c>
      <c r="H4020" t="s">
        <v>83</v>
      </c>
      <c r="I4020" t="s">
        <v>26</v>
      </c>
      <c r="J4020" t="s">
        <v>27</v>
      </c>
      <c r="K4020">
        <v>1</v>
      </c>
      <c r="L4020">
        <v>55689</v>
      </c>
      <c r="M4020" t="s">
        <v>51</v>
      </c>
      <c r="N4020">
        <v>3</v>
      </c>
      <c r="O4020">
        <v>4</v>
      </c>
      <c r="P4020">
        <v>29</v>
      </c>
      <c r="Q4020">
        <v>1</v>
      </c>
      <c r="R4020" s="1">
        <v>44692</v>
      </c>
      <c r="S4020" t="s">
        <v>29</v>
      </c>
      <c r="T4020" t="str">
        <f t="shared" si="310"/>
        <v>Grade B</v>
      </c>
      <c r="U4020">
        <f t="shared" si="311"/>
        <v>4</v>
      </c>
      <c r="V4020" t="str">
        <f t="shared" si="312"/>
        <v>New Joiner</v>
      </c>
      <c r="W4020" t="str">
        <f t="shared" si="313"/>
        <v>Low Risk</v>
      </c>
      <c r="X4020" t="str">
        <f t="shared" si="314"/>
        <v>Fair</v>
      </c>
    </row>
    <row r="4021" spans="1:24" x14ac:dyDescent="0.3">
      <c r="A4021" t="s">
        <v>4089</v>
      </c>
      <c r="B4021" t="s">
        <v>20</v>
      </c>
      <c r="C4021">
        <v>33</v>
      </c>
      <c r="D4021" t="s">
        <v>88</v>
      </c>
      <c r="E4021" t="s">
        <v>22</v>
      </c>
      <c r="F4021" t="s">
        <v>62</v>
      </c>
      <c r="G4021" t="s">
        <v>24</v>
      </c>
      <c r="H4021" t="s">
        <v>67</v>
      </c>
      <c r="I4021" t="s">
        <v>80</v>
      </c>
      <c r="J4021" t="s">
        <v>60</v>
      </c>
      <c r="K4021">
        <v>10</v>
      </c>
      <c r="L4021">
        <v>101490</v>
      </c>
      <c r="M4021" t="s">
        <v>36</v>
      </c>
      <c r="N4021">
        <v>4</v>
      </c>
      <c r="O4021">
        <v>3</v>
      </c>
      <c r="P4021">
        <v>66</v>
      </c>
      <c r="Q4021">
        <v>3</v>
      </c>
      <c r="R4021" s="1">
        <v>41466</v>
      </c>
      <c r="S4021" t="s">
        <v>37</v>
      </c>
      <c r="T4021" t="str">
        <f t="shared" si="310"/>
        <v>Grade A</v>
      </c>
      <c r="U4021">
        <f t="shared" si="311"/>
        <v>1</v>
      </c>
      <c r="V4021" t="str">
        <f t="shared" si="312"/>
        <v>Mid Level</v>
      </c>
      <c r="W4021" t="str">
        <f t="shared" si="313"/>
        <v>Already Left</v>
      </c>
      <c r="X4021" t="str">
        <f t="shared" si="314"/>
        <v>Overpaid</v>
      </c>
    </row>
    <row r="4022" spans="1:24" x14ac:dyDescent="0.3">
      <c r="A4022" t="s">
        <v>4090</v>
      </c>
      <c r="B4022" t="s">
        <v>39</v>
      </c>
      <c r="C4022">
        <v>52</v>
      </c>
      <c r="D4022" t="s">
        <v>88</v>
      </c>
      <c r="E4022" t="s">
        <v>48</v>
      </c>
      <c r="F4022" t="s">
        <v>41</v>
      </c>
      <c r="G4022" t="s">
        <v>49</v>
      </c>
      <c r="H4022" t="s">
        <v>76</v>
      </c>
      <c r="I4022" t="s">
        <v>80</v>
      </c>
      <c r="J4022" t="s">
        <v>60</v>
      </c>
      <c r="K4022">
        <v>4</v>
      </c>
      <c r="L4022">
        <v>61589</v>
      </c>
      <c r="M4022" t="s">
        <v>28</v>
      </c>
      <c r="N4022">
        <v>4</v>
      </c>
      <c r="O4022">
        <v>4</v>
      </c>
      <c r="P4022">
        <v>15</v>
      </c>
      <c r="Q4022">
        <v>2</v>
      </c>
      <c r="R4022" s="1">
        <v>43773</v>
      </c>
      <c r="S4022" t="s">
        <v>37</v>
      </c>
      <c r="T4022" t="str">
        <f t="shared" si="310"/>
        <v>Grade B</v>
      </c>
      <c r="U4022">
        <f t="shared" si="311"/>
        <v>3</v>
      </c>
      <c r="V4022" t="str">
        <f t="shared" si="312"/>
        <v>Junior</v>
      </c>
      <c r="W4022" t="str">
        <f t="shared" si="313"/>
        <v>Already Left</v>
      </c>
      <c r="X4022" t="str">
        <f t="shared" si="314"/>
        <v>Competitive</v>
      </c>
    </row>
    <row r="4023" spans="1:24" x14ac:dyDescent="0.3">
      <c r="A4023" t="s">
        <v>4091</v>
      </c>
      <c r="B4023" t="s">
        <v>20</v>
      </c>
      <c r="C4023">
        <v>41</v>
      </c>
      <c r="D4023" t="s">
        <v>88</v>
      </c>
      <c r="E4023" t="s">
        <v>40</v>
      </c>
      <c r="F4023" t="s">
        <v>62</v>
      </c>
      <c r="G4023" t="s">
        <v>66</v>
      </c>
      <c r="H4023" t="s">
        <v>25</v>
      </c>
      <c r="I4023" t="s">
        <v>59</v>
      </c>
      <c r="J4023" t="s">
        <v>60</v>
      </c>
      <c r="K4023">
        <v>4</v>
      </c>
      <c r="L4023">
        <v>50944</v>
      </c>
      <c r="M4023" t="s">
        <v>51</v>
      </c>
      <c r="N4023">
        <v>1</v>
      </c>
      <c r="O4023">
        <v>4</v>
      </c>
      <c r="P4023">
        <v>23</v>
      </c>
      <c r="Q4023">
        <v>2</v>
      </c>
      <c r="R4023" s="1">
        <v>43613</v>
      </c>
      <c r="S4023" t="s">
        <v>37</v>
      </c>
      <c r="T4023" t="str">
        <f t="shared" si="310"/>
        <v>Grade B</v>
      </c>
      <c r="U4023">
        <f t="shared" si="311"/>
        <v>4</v>
      </c>
      <c r="V4023" t="str">
        <f t="shared" si="312"/>
        <v>Junior</v>
      </c>
      <c r="W4023" t="str">
        <f t="shared" si="313"/>
        <v>Already Left</v>
      </c>
      <c r="X4023" t="str">
        <f t="shared" si="314"/>
        <v>Fair</v>
      </c>
    </row>
    <row r="4024" spans="1:24" x14ac:dyDescent="0.3">
      <c r="A4024" t="s">
        <v>4092</v>
      </c>
      <c r="B4024" t="s">
        <v>20</v>
      </c>
      <c r="C4024">
        <v>49</v>
      </c>
      <c r="D4024" t="s">
        <v>21</v>
      </c>
      <c r="E4024" t="s">
        <v>22</v>
      </c>
      <c r="F4024" t="s">
        <v>62</v>
      </c>
      <c r="G4024" t="s">
        <v>58</v>
      </c>
      <c r="H4024" t="s">
        <v>34</v>
      </c>
      <c r="I4024" t="s">
        <v>43</v>
      </c>
      <c r="J4024" t="s">
        <v>44</v>
      </c>
      <c r="K4024">
        <v>7</v>
      </c>
      <c r="L4024">
        <v>106138</v>
      </c>
      <c r="M4024" t="s">
        <v>36</v>
      </c>
      <c r="N4024">
        <v>4</v>
      </c>
      <c r="O4024">
        <v>2</v>
      </c>
      <c r="P4024">
        <v>31</v>
      </c>
      <c r="Q4024">
        <v>2</v>
      </c>
      <c r="R4024" s="1">
        <v>42537</v>
      </c>
      <c r="S4024" t="s">
        <v>37</v>
      </c>
      <c r="T4024" t="str">
        <f t="shared" si="310"/>
        <v>Grade A</v>
      </c>
      <c r="U4024">
        <f t="shared" si="311"/>
        <v>1</v>
      </c>
      <c r="V4024" t="str">
        <f t="shared" si="312"/>
        <v>Mid Level</v>
      </c>
      <c r="W4024" t="str">
        <f t="shared" si="313"/>
        <v>Already Left</v>
      </c>
      <c r="X4024" t="str">
        <f t="shared" si="314"/>
        <v>Overpaid</v>
      </c>
    </row>
    <row r="4025" spans="1:24" x14ac:dyDescent="0.3">
      <c r="A4025" t="s">
        <v>4093</v>
      </c>
      <c r="B4025" t="s">
        <v>39</v>
      </c>
      <c r="C4025">
        <v>27</v>
      </c>
      <c r="D4025" t="s">
        <v>57</v>
      </c>
      <c r="E4025" t="s">
        <v>22</v>
      </c>
      <c r="F4025" t="s">
        <v>75</v>
      </c>
      <c r="G4025" t="s">
        <v>33</v>
      </c>
      <c r="H4025" t="s">
        <v>76</v>
      </c>
      <c r="I4025" t="s">
        <v>68</v>
      </c>
      <c r="J4025" t="s">
        <v>60</v>
      </c>
      <c r="K4025">
        <v>3</v>
      </c>
      <c r="L4025">
        <v>59227</v>
      </c>
      <c r="M4025" t="s">
        <v>28</v>
      </c>
      <c r="N4025">
        <v>4</v>
      </c>
      <c r="O4025">
        <v>4</v>
      </c>
      <c r="P4025">
        <v>53</v>
      </c>
      <c r="Q4025">
        <v>3</v>
      </c>
      <c r="R4025" s="1">
        <v>43876</v>
      </c>
      <c r="S4025" t="s">
        <v>29</v>
      </c>
      <c r="T4025" t="str">
        <f t="shared" si="310"/>
        <v>Grade B</v>
      </c>
      <c r="U4025">
        <f t="shared" si="311"/>
        <v>3</v>
      </c>
      <c r="V4025" t="str">
        <f t="shared" si="312"/>
        <v>Junior</v>
      </c>
      <c r="W4025" t="str">
        <f t="shared" si="313"/>
        <v>Medium Risk</v>
      </c>
      <c r="X4025" t="str">
        <f t="shared" si="314"/>
        <v>Competitive</v>
      </c>
    </row>
    <row r="4026" spans="1:24" x14ac:dyDescent="0.3">
      <c r="A4026" t="s">
        <v>4094</v>
      </c>
      <c r="B4026" t="s">
        <v>20</v>
      </c>
      <c r="C4026">
        <v>32</v>
      </c>
      <c r="D4026" t="s">
        <v>47</v>
      </c>
      <c r="E4026" t="s">
        <v>48</v>
      </c>
      <c r="F4026" t="s">
        <v>78</v>
      </c>
      <c r="G4026" t="s">
        <v>58</v>
      </c>
      <c r="H4026" t="s">
        <v>67</v>
      </c>
      <c r="I4026" t="s">
        <v>43</v>
      </c>
      <c r="J4026" t="s">
        <v>44</v>
      </c>
      <c r="K4026">
        <v>7</v>
      </c>
      <c r="L4026">
        <v>105009</v>
      </c>
      <c r="M4026" t="s">
        <v>51</v>
      </c>
      <c r="N4026">
        <v>3</v>
      </c>
      <c r="O4026">
        <v>4</v>
      </c>
      <c r="P4026">
        <v>62</v>
      </c>
      <c r="Q4026">
        <v>0</v>
      </c>
      <c r="R4026" s="1">
        <v>42483</v>
      </c>
      <c r="S4026" t="s">
        <v>29</v>
      </c>
      <c r="T4026" t="str">
        <f t="shared" si="310"/>
        <v>Grade A</v>
      </c>
      <c r="U4026">
        <f t="shared" si="311"/>
        <v>4</v>
      </c>
      <c r="V4026" t="str">
        <f t="shared" si="312"/>
        <v>Mid Level</v>
      </c>
      <c r="W4026" t="str">
        <f t="shared" si="313"/>
        <v>Low Risk</v>
      </c>
      <c r="X4026" t="str">
        <f t="shared" si="314"/>
        <v>Competitive</v>
      </c>
    </row>
    <row r="4027" spans="1:24" x14ac:dyDescent="0.3">
      <c r="A4027" t="s">
        <v>4095</v>
      </c>
      <c r="B4027" t="s">
        <v>39</v>
      </c>
      <c r="C4027">
        <v>32</v>
      </c>
      <c r="D4027" t="s">
        <v>57</v>
      </c>
      <c r="E4027" t="s">
        <v>22</v>
      </c>
      <c r="F4027" t="s">
        <v>78</v>
      </c>
      <c r="G4027" t="s">
        <v>33</v>
      </c>
      <c r="H4027" t="s">
        <v>76</v>
      </c>
      <c r="I4027" t="s">
        <v>80</v>
      </c>
      <c r="J4027" t="s">
        <v>60</v>
      </c>
      <c r="K4027">
        <v>6</v>
      </c>
      <c r="L4027">
        <v>65873</v>
      </c>
      <c r="M4027" t="s">
        <v>36</v>
      </c>
      <c r="N4027">
        <v>2</v>
      </c>
      <c r="O4027">
        <v>2</v>
      </c>
      <c r="P4027">
        <v>42</v>
      </c>
      <c r="Q4027">
        <v>2</v>
      </c>
      <c r="R4027" s="1">
        <v>43088</v>
      </c>
      <c r="S4027" t="s">
        <v>37</v>
      </c>
      <c r="T4027" t="str">
        <f t="shared" si="310"/>
        <v>Grade B</v>
      </c>
      <c r="U4027">
        <f t="shared" si="311"/>
        <v>1</v>
      </c>
      <c r="V4027" t="str">
        <f t="shared" si="312"/>
        <v>Mid Level</v>
      </c>
      <c r="W4027" t="str">
        <f t="shared" si="313"/>
        <v>Already Left</v>
      </c>
      <c r="X4027" t="str">
        <f t="shared" si="314"/>
        <v>Fair</v>
      </c>
    </row>
    <row r="4028" spans="1:24" x14ac:dyDescent="0.3">
      <c r="A4028" t="s">
        <v>4096</v>
      </c>
      <c r="B4028" t="s">
        <v>20</v>
      </c>
      <c r="C4028">
        <v>39</v>
      </c>
      <c r="D4028" t="s">
        <v>88</v>
      </c>
      <c r="E4028" t="s">
        <v>40</v>
      </c>
      <c r="F4028" t="s">
        <v>78</v>
      </c>
      <c r="G4028" t="s">
        <v>42</v>
      </c>
      <c r="H4028" t="s">
        <v>67</v>
      </c>
      <c r="I4028" t="s">
        <v>72</v>
      </c>
      <c r="J4028" t="s">
        <v>73</v>
      </c>
      <c r="K4028">
        <v>12</v>
      </c>
      <c r="L4028">
        <v>128485</v>
      </c>
      <c r="M4028" t="s">
        <v>45</v>
      </c>
      <c r="N4028">
        <v>2</v>
      </c>
      <c r="O4028">
        <v>4</v>
      </c>
      <c r="P4028">
        <v>22</v>
      </c>
      <c r="Q4028">
        <v>2</v>
      </c>
      <c r="R4028" s="1">
        <v>40679</v>
      </c>
      <c r="S4028" t="s">
        <v>37</v>
      </c>
      <c r="T4028" t="str">
        <f t="shared" si="310"/>
        <v>Grade A</v>
      </c>
      <c r="U4028">
        <f t="shared" si="311"/>
        <v>2</v>
      </c>
      <c r="V4028" t="str">
        <f t="shared" si="312"/>
        <v>Senior</v>
      </c>
      <c r="W4028" t="str">
        <f t="shared" si="313"/>
        <v>Already Left</v>
      </c>
      <c r="X4028" t="str">
        <f t="shared" si="314"/>
        <v>Fair</v>
      </c>
    </row>
    <row r="4029" spans="1:24" x14ac:dyDescent="0.3">
      <c r="A4029" t="s">
        <v>4097</v>
      </c>
      <c r="B4029" t="s">
        <v>39</v>
      </c>
      <c r="C4029">
        <v>35</v>
      </c>
      <c r="D4029" t="s">
        <v>88</v>
      </c>
      <c r="E4029" t="s">
        <v>40</v>
      </c>
      <c r="F4029" t="s">
        <v>41</v>
      </c>
      <c r="G4029" t="s">
        <v>33</v>
      </c>
      <c r="H4029" t="s">
        <v>83</v>
      </c>
      <c r="I4029" t="s">
        <v>35</v>
      </c>
      <c r="J4029" t="s">
        <v>27</v>
      </c>
      <c r="K4029">
        <v>15</v>
      </c>
      <c r="L4029">
        <v>96804</v>
      </c>
      <c r="M4029" t="s">
        <v>45</v>
      </c>
      <c r="N4029">
        <v>1</v>
      </c>
      <c r="O4029">
        <v>4</v>
      </c>
      <c r="P4029">
        <v>11</v>
      </c>
      <c r="Q4029">
        <v>1</v>
      </c>
      <c r="R4029" s="1">
        <v>39530</v>
      </c>
      <c r="S4029" t="s">
        <v>37</v>
      </c>
      <c r="T4029" t="str">
        <f t="shared" si="310"/>
        <v>Grade A</v>
      </c>
      <c r="U4029">
        <f t="shared" si="311"/>
        <v>2</v>
      </c>
      <c r="V4029" t="str">
        <f t="shared" si="312"/>
        <v>Senior</v>
      </c>
      <c r="W4029" t="str">
        <f t="shared" si="313"/>
        <v>Already Left</v>
      </c>
      <c r="X4029" t="str">
        <f t="shared" si="314"/>
        <v>Fair</v>
      </c>
    </row>
    <row r="4030" spans="1:24" x14ac:dyDescent="0.3">
      <c r="A4030" t="s">
        <v>4098</v>
      </c>
      <c r="B4030" t="s">
        <v>39</v>
      </c>
      <c r="C4030">
        <v>24</v>
      </c>
      <c r="D4030" t="s">
        <v>88</v>
      </c>
      <c r="E4030" t="s">
        <v>48</v>
      </c>
      <c r="F4030" t="s">
        <v>41</v>
      </c>
      <c r="G4030" t="s">
        <v>63</v>
      </c>
      <c r="H4030" t="s">
        <v>25</v>
      </c>
      <c r="I4030" t="s">
        <v>59</v>
      </c>
      <c r="J4030" t="s">
        <v>60</v>
      </c>
      <c r="K4030">
        <v>13</v>
      </c>
      <c r="L4030">
        <v>76836</v>
      </c>
      <c r="M4030" t="s">
        <v>36</v>
      </c>
      <c r="N4030">
        <v>1</v>
      </c>
      <c r="O4030">
        <v>2</v>
      </c>
      <c r="P4030">
        <v>79</v>
      </c>
      <c r="Q4030">
        <v>3</v>
      </c>
      <c r="R4030" s="1">
        <v>40449</v>
      </c>
      <c r="S4030" t="s">
        <v>37</v>
      </c>
      <c r="T4030" t="str">
        <f t="shared" si="310"/>
        <v>Grade B</v>
      </c>
      <c r="U4030">
        <f t="shared" si="311"/>
        <v>1</v>
      </c>
      <c r="V4030" t="str">
        <f t="shared" si="312"/>
        <v>Senior</v>
      </c>
      <c r="W4030" t="str">
        <f t="shared" si="313"/>
        <v>Already Left</v>
      </c>
      <c r="X4030" t="str">
        <f t="shared" si="314"/>
        <v>Fair</v>
      </c>
    </row>
    <row r="4031" spans="1:24" x14ac:dyDescent="0.3">
      <c r="A4031" t="s">
        <v>4099</v>
      </c>
      <c r="B4031" t="s">
        <v>20</v>
      </c>
      <c r="C4031">
        <v>48</v>
      </c>
      <c r="D4031" t="s">
        <v>88</v>
      </c>
      <c r="E4031" t="s">
        <v>22</v>
      </c>
      <c r="F4031" t="s">
        <v>75</v>
      </c>
      <c r="G4031" t="s">
        <v>24</v>
      </c>
      <c r="H4031" t="s">
        <v>34</v>
      </c>
      <c r="I4031" t="s">
        <v>50</v>
      </c>
      <c r="J4031" t="s">
        <v>44</v>
      </c>
      <c r="K4031">
        <v>12</v>
      </c>
      <c r="L4031">
        <v>99078</v>
      </c>
      <c r="M4031" t="s">
        <v>36</v>
      </c>
      <c r="N4031">
        <v>1</v>
      </c>
      <c r="O4031">
        <v>1</v>
      </c>
      <c r="P4031">
        <v>34</v>
      </c>
      <c r="Q4031">
        <v>0</v>
      </c>
      <c r="R4031" s="1">
        <v>40603</v>
      </c>
      <c r="S4031" t="s">
        <v>29</v>
      </c>
      <c r="T4031" t="str">
        <f t="shared" si="310"/>
        <v>Grade A</v>
      </c>
      <c r="U4031">
        <f t="shared" si="311"/>
        <v>1</v>
      </c>
      <c r="V4031" t="str">
        <f t="shared" si="312"/>
        <v>Senior</v>
      </c>
      <c r="W4031" t="str">
        <f t="shared" si="313"/>
        <v>Medium Risk</v>
      </c>
      <c r="X4031" t="str">
        <f t="shared" si="314"/>
        <v>Overpaid</v>
      </c>
    </row>
    <row r="4032" spans="1:24" x14ac:dyDescent="0.3">
      <c r="A4032" t="s">
        <v>4100</v>
      </c>
      <c r="B4032" t="s">
        <v>39</v>
      </c>
      <c r="C4032">
        <v>46</v>
      </c>
      <c r="D4032" t="s">
        <v>21</v>
      </c>
      <c r="E4032" t="s">
        <v>48</v>
      </c>
      <c r="F4032" t="s">
        <v>78</v>
      </c>
      <c r="G4032" t="s">
        <v>58</v>
      </c>
      <c r="H4032" t="s">
        <v>25</v>
      </c>
      <c r="I4032" t="s">
        <v>35</v>
      </c>
      <c r="J4032" t="s">
        <v>27</v>
      </c>
      <c r="K4032">
        <v>4</v>
      </c>
      <c r="L4032">
        <v>91472</v>
      </c>
      <c r="M4032" t="s">
        <v>36</v>
      </c>
      <c r="N4032">
        <v>4</v>
      </c>
      <c r="O4032">
        <v>1</v>
      </c>
      <c r="P4032">
        <v>35</v>
      </c>
      <c r="Q4032">
        <v>0</v>
      </c>
      <c r="R4032" s="1">
        <v>43695</v>
      </c>
      <c r="S4032" t="s">
        <v>37</v>
      </c>
      <c r="T4032" t="str">
        <f t="shared" si="310"/>
        <v>Grade A</v>
      </c>
      <c r="U4032">
        <f t="shared" si="311"/>
        <v>1</v>
      </c>
      <c r="V4032" t="str">
        <f t="shared" si="312"/>
        <v>Junior</v>
      </c>
      <c r="W4032" t="str">
        <f t="shared" si="313"/>
        <v>Already Left</v>
      </c>
      <c r="X4032" t="str">
        <f t="shared" si="314"/>
        <v>Overpaid</v>
      </c>
    </row>
    <row r="4033" spans="1:24" x14ac:dyDescent="0.3">
      <c r="A4033" t="s">
        <v>4101</v>
      </c>
      <c r="B4033" t="s">
        <v>39</v>
      </c>
      <c r="C4033">
        <v>22</v>
      </c>
      <c r="D4033" t="s">
        <v>31</v>
      </c>
      <c r="E4033" t="s">
        <v>40</v>
      </c>
      <c r="F4033" t="s">
        <v>32</v>
      </c>
      <c r="G4033" t="s">
        <v>66</v>
      </c>
      <c r="H4033" t="s">
        <v>25</v>
      </c>
      <c r="I4033" t="s">
        <v>43</v>
      </c>
      <c r="J4033" t="s">
        <v>44</v>
      </c>
      <c r="K4033">
        <v>9</v>
      </c>
      <c r="L4033">
        <v>49351</v>
      </c>
      <c r="M4033" t="s">
        <v>45</v>
      </c>
      <c r="N4033">
        <v>1</v>
      </c>
      <c r="O4033">
        <v>1</v>
      </c>
      <c r="P4033">
        <v>50</v>
      </c>
      <c r="Q4033">
        <v>3</v>
      </c>
      <c r="R4033" s="1">
        <v>41793</v>
      </c>
      <c r="S4033" t="s">
        <v>29</v>
      </c>
      <c r="T4033" t="str">
        <f t="shared" si="310"/>
        <v>Grade C</v>
      </c>
      <c r="U4033">
        <f t="shared" si="311"/>
        <v>2</v>
      </c>
      <c r="V4033" t="str">
        <f t="shared" si="312"/>
        <v>Mid Level</v>
      </c>
      <c r="W4033" t="str">
        <f t="shared" si="313"/>
        <v>Medium Risk</v>
      </c>
      <c r="X4033" t="str">
        <f t="shared" si="314"/>
        <v>Fair</v>
      </c>
    </row>
    <row r="4034" spans="1:24" x14ac:dyDescent="0.3">
      <c r="A4034" t="s">
        <v>4102</v>
      </c>
      <c r="B4034" t="s">
        <v>39</v>
      </c>
      <c r="C4034">
        <v>54</v>
      </c>
      <c r="D4034" t="s">
        <v>57</v>
      </c>
      <c r="E4034" t="s">
        <v>22</v>
      </c>
      <c r="F4034" t="s">
        <v>78</v>
      </c>
      <c r="G4034" t="s">
        <v>58</v>
      </c>
      <c r="H4034" t="s">
        <v>25</v>
      </c>
      <c r="I4034" t="s">
        <v>80</v>
      </c>
      <c r="J4034" t="s">
        <v>60</v>
      </c>
      <c r="K4034">
        <v>13</v>
      </c>
      <c r="L4034">
        <v>106546</v>
      </c>
      <c r="M4034" t="s">
        <v>45</v>
      </c>
      <c r="N4034">
        <v>2</v>
      </c>
      <c r="O4034">
        <v>2</v>
      </c>
      <c r="P4034">
        <v>68</v>
      </c>
      <c r="Q4034">
        <v>1</v>
      </c>
      <c r="R4034" s="1">
        <v>40245</v>
      </c>
      <c r="S4034" t="s">
        <v>29</v>
      </c>
      <c r="T4034" t="str">
        <f t="shared" ref="T4034:T4097" si="315">IF(L4034&gt;=80000,"Grade A",IF(L4034&gt;=50000,"Grade B",IF(L4034&gt;=35000,"Grade C","Grade D")))</f>
        <v>Grade A</v>
      </c>
      <c r="U4034">
        <f t="shared" ref="U4034:U4097" si="316">IF(M4034="Excellent",4,IF(M4034="Good",3,IF(M4034="Average",2,1)))</f>
        <v>2</v>
      </c>
      <c r="V4034" t="str">
        <f t="shared" ref="V4034:V4097" si="317">IF(K4034&lt;=2,"New Joiner",IF(K4034&lt;=5,"Junior",IF(K4034&lt;=10,"Mid Level","Senior")))</f>
        <v>Senior</v>
      </c>
      <c r="W4034" t="str">
        <f t="shared" ref="W4034:W4097" si="318">IF(S4034="Yes","Already Left",IF(AND(K4034&lt;=2,M4034="Poor"),"High Risk",IF(AND(K4034&lt;=5,M4034="Average"),"Medium Risk",IF(M4034="Excellent","Low Risk","Medium Risk"))))</f>
        <v>Medium Risk</v>
      </c>
      <c r="X4034" t="str">
        <f t="shared" ref="X4034:X4097" si="319">IF(AND(L4034&gt;=80000,M4034="Excellent"),"Competitive",IF(AND(L4034&gt;=50000,M4034="Good"),"Competitive",IF(AND(L4034&lt;35000,M4034="Excellent"),"Underpaid",IF(AND(L4034&gt;=80000,M4034="Poor"),"Overpaid","Fair"))))</f>
        <v>Fair</v>
      </c>
    </row>
    <row r="4035" spans="1:24" x14ac:dyDescent="0.3">
      <c r="A4035" t="s">
        <v>4103</v>
      </c>
      <c r="B4035" t="s">
        <v>39</v>
      </c>
      <c r="C4035">
        <v>29</v>
      </c>
      <c r="D4035" t="s">
        <v>88</v>
      </c>
      <c r="E4035" t="s">
        <v>40</v>
      </c>
      <c r="F4035" t="s">
        <v>62</v>
      </c>
      <c r="G4035" t="s">
        <v>58</v>
      </c>
      <c r="H4035" t="s">
        <v>25</v>
      </c>
      <c r="I4035" t="s">
        <v>72</v>
      </c>
      <c r="J4035" t="s">
        <v>73</v>
      </c>
      <c r="K4035">
        <v>6</v>
      </c>
      <c r="L4035">
        <v>98204</v>
      </c>
      <c r="M4035" t="s">
        <v>45</v>
      </c>
      <c r="N4035">
        <v>3</v>
      </c>
      <c r="O4035">
        <v>2</v>
      </c>
      <c r="P4035">
        <v>60</v>
      </c>
      <c r="Q4035">
        <v>0</v>
      </c>
      <c r="R4035" s="1">
        <v>42999</v>
      </c>
      <c r="S4035" t="s">
        <v>29</v>
      </c>
      <c r="T4035" t="str">
        <f t="shared" si="315"/>
        <v>Grade A</v>
      </c>
      <c r="U4035">
        <f t="shared" si="316"/>
        <v>2</v>
      </c>
      <c r="V4035" t="str">
        <f t="shared" si="317"/>
        <v>Mid Level</v>
      </c>
      <c r="W4035" t="str">
        <f t="shared" si="318"/>
        <v>Medium Risk</v>
      </c>
      <c r="X4035" t="str">
        <f t="shared" si="319"/>
        <v>Fair</v>
      </c>
    </row>
    <row r="4036" spans="1:24" x14ac:dyDescent="0.3">
      <c r="A4036" t="s">
        <v>4104</v>
      </c>
      <c r="B4036" t="s">
        <v>39</v>
      </c>
      <c r="C4036">
        <v>49</v>
      </c>
      <c r="D4036" t="s">
        <v>47</v>
      </c>
      <c r="E4036" t="s">
        <v>22</v>
      </c>
      <c r="F4036" t="s">
        <v>65</v>
      </c>
      <c r="G4036" t="s">
        <v>42</v>
      </c>
      <c r="H4036" t="s">
        <v>76</v>
      </c>
      <c r="I4036" t="s">
        <v>80</v>
      </c>
      <c r="J4036" t="s">
        <v>60</v>
      </c>
      <c r="K4036">
        <v>14</v>
      </c>
      <c r="L4036">
        <v>125050</v>
      </c>
      <c r="M4036" t="s">
        <v>28</v>
      </c>
      <c r="N4036">
        <v>3</v>
      </c>
      <c r="O4036">
        <v>1</v>
      </c>
      <c r="P4036">
        <v>27</v>
      </c>
      <c r="Q4036">
        <v>0</v>
      </c>
      <c r="R4036" s="1">
        <v>39965</v>
      </c>
      <c r="S4036" t="s">
        <v>29</v>
      </c>
      <c r="T4036" t="str">
        <f t="shared" si="315"/>
        <v>Grade A</v>
      </c>
      <c r="U4036">
        <f t="shared" si="316"/>
        <v>3</v>
      </c>
      <c r="V4036" t="str">
        <f t="shared" si="317"/>
        <v>Senior</v>
      </c>
      <c r="W4036" t="str">
        <f t="shared" si="318"/>
        <v>Medium Risk</v>
      </c>
      <c r="X4036" t="str">
        <f t="shared" si="319"/>
        <v>Competitive</v>
      </c>
    </row>
    <row r="4037" spans="1:24" x14ac:dyDescent="0.3">
      <c r="A4037" t="s">
        <v>4105</v>
      </c>
      <c r="B4037" t="s">
        <v>20</v>
      </c>
      <c r="C4037">
        <v>47</v>
      </c>
      <c r="D4037" t="s">
        <v>88</v>
      </c>
      <c r="E4037" t="s">
        <v>40</v>
      </c>
      <c r="F4037" t="s">
        <v>32</v>
      </c>
      <c r="G4037" t="s">
        <v>79</v>
      </c>
      <c r="H4037" t="s">
        <v>76</v>
      </c>
      <c r="I4037" t="s">
        <v>43</v>
      </c>
      <c r="J4037" t="s">
        <v>44</v>
      </c>
      <c r="K4037">
        <v>4</v>
      </c>
      <c r="L4037">
        <v>53094</v>
      </c>
      <c r="M4037" t="s">
        <v>36</v>
      </c>
      <c r="N4037">
        <v>2</v>
      </c>
      <c r="O4037">
        <v>4</v>
      </c>
      <c r="P4037">
        <v>52</v>
      </c>
      <c r="Q4037">
        <v>3</v>
      </c>
      <c r="R4037" s="1">
        <v>43731</v>
      </c>
      <c r="S4037" t="s">
        <v>37</v>
      </c>
      <c r="T4037" t="str">
        <f t="shared" si="315"/>
        <v>Grade B</v>
      </c>
      <c r="U4037">
        <f t="shared" si="316"/>
        <v>1</v>
      </c>
      <c r="V4037" t="str">
        <f t="shared" si="317"/>
        <v>Junior</v>
      </c>
      <c r="W4037" t="str">
        <f t="shared" si="318"/>
        <v>Already Left</v>
      </c>
      <c r="X4037" t="str">
        <f t="shared" si="319"/>
        <v>Fair</v>
      </c>
    </row>
    <row r="4038" spans="1:24" x14ac:dyDescent="0.3">
      <c r="A4038" t="s">
        <v>4106</v>
      </c>
      <c r="B4038" t="s">
        <v>39</v>
      </c>
      <c r="C4038">
        <v>49</v>
      </c>
      <c r="D4038" t="s">
        <v>47</v>
      </c>
      <c r="E4038" t="s">
        <v>40</v>
      </c>
      <c r="F4038" t="s">
        <v>23</v>
      </c>
      <c r="G4038" t="s">
        <v>58</v>
      </c>
      <c r="H4038" t="s">
        <v>83</v>
      </c>
      <c r="I4038" t="s">
        <v>50</v>
      </c>
      <c r="J4038" t="s">
        <v>44</v>
      </c>
      <c r="K4038">
        <v>11</v>
      </c>
      <c r="L4038">
        <v>104943</v>
      </c>
      <c r="M4038" t="s">
        <v>45</v>
      </c>
      <c r="N4038">
        <v>2</v>
      </c>
      <c r="O4038">
        <v>2</v>
      </c>
      <c r="P4038">
        <v>51</v>
      </c>
      <c r="Q4038">
        <v>3</v>
      </c>
      <c r="R4038" s="1">
        <v>41173</v>
      </c>
      <c r="S4038" t="s">
        <v>29</v>
      </c>
      <c r="T4038" t="str">
        <f t="shared" si="315"/>
        <v>Grade A</v>
      </c>
      <c r="U4038">
        <f t="shared" si="316"/>
        <v>2</v>
      </c>
      <c r="V4038" t="str">
        <f t="shared" si="317"/>
        <v>Senior</v>
      </c>
      <c r="W4038" t="str">
        <f t="shared" si="318"/>
        <v>Medium Risk</v>
      </c>
      <c r="X4038" t="str">
        <f t="shared" si="319"/>
        <v>Fair</v>
      </c>
    </row>
    <row r="4039" spans="1:24" x14ac:dyDescent="0.3">
      <c r="A4039" t="s">
        <v>4107</v>
      </c>
      <c r="B4039" t="s">
        <v>39</v>
      </c>
      <c r="C4039">
        <v>33</v>
      </c>
      <c r="D4039" t="s">
        <v>21</v>
      </c>
      <c r="E4039" t="s">
        <v>48</v>
      </c>
      <c r="F4039" t="s">
        <v>41</v>
      </c>
      <c r="G4039" t="s">
        <v>49</v>
      </c>
      <c r="H4039" t="s">
        <v>67</v>
      </c>
      <c r="I4039" t="s">
        <v>68</v>
      </c>
      <c r="J4039" t="s">
        <v>60</v>
      </c>
      <c r="K4039">
        <v>14</v>
      </c>
      <c r="L4039">
        <v>75841</v>
      </c>
      <c r="M4039" t="s">
        <v>45</v>
      </c>
      <c r="N4039">
        <v>4</v>
      </c>
      <c r="O4039">
        <v>3</v>
      </c>
      <c r="P4039">
        <v>26</v>
      </c>
      <c r="Q4039">
        <v>0</v>
      </c>
      <c r="R4039" s="1">
        <v>39954</v>
      </c>
      <c r="S4039" t="s">
        <v>29</v>
      </c>
      <c r="T4039" t="str">
        <f t="shared" si="315"/>
        <v>Grade B</v>
      </c>
      <c r="U4039">
        <f t="shared" si="316"/>
        <v>2</v>
      </c>
      <c r="V4039" t="str">
        <f t="shared" si="317"/>
        <v>Senior</v>
      </c>
      <c r="W4039" t="str">
        <f t="shared" si="318"/>
        <v>Medium Risk</v>
      </c>
      <c r="X4039" t="str">
        <f t="shared" si="319"/>
        <v>Fair</v>
      </c>
    </row>
    <row r="4040" spans="1:24" x14ac:dyDescent="0.3">
      <c r="A4040" t="s">
        <v>4108</v>
      </c>
      <c r="B4040" t="s">
        <v>20</v>
      </c>
      <c r="C4040">
        <v>24</v>
      </c>
      <c r="D4040" t="s">
        <v>47</v>
      </c>
      <c r="E4040" t="s">
        <v>48</v>
      </c>
      <c r="F4040" t="s">
        <v>75</v>
      </c>
      <c r="G4040" t="s">
        <v>24</v>
      </c>
      <c r="H4040" t="s">
        <v>83</v>
      </c>
      <c r="I4040" t="s">
        <v>59</v>
      </c>
      <c r="J4040" t="s">
        <v>60</v>
      </c>
      <c r="K4040">
        <v>9</v>
      </c>
      <c r="L4040">
        <v>100391</v>
      </c>
      <c r="M4040" t="s">
        <v>36</v>
      </c>
      <c r="N4040">
        <v>3</v>
      </c>
      <c r="O4040">
        <v>4</v>
      </c>
      <c r="P4040">
        <v>49</v>
      </c>
      <c r="Q4040">
        <v>2</v>
      </c>
      <c r="R4040" s="1">
        <v>41939</v>
      </c>
      <c r="S4040" t="s">
        <v>37</v>
      </c>
      <c r="T4040" t="str">
        <f t="shared" si="315"/>
        <v>Grade A</v>
      </c>
      <c r="U4040">
        <f t="shared" si="316"/>
        <v>1</v>
      </c>
      <c r="V4040" t="str">
        <f t="shared" si="317"/>
        <v>Mid Level</v>
      </c>
      <c r="W4040" t="str">
        <f t="shared" si="318"/>
        <v>Already Left</v>
      </c>
      <c r="X4040" t="str">
        <f t="shared" si="319"/>
        <v>Overpaid</v>
      </c>
    </row>
    <row r="4041" spans="1:24" x14ac:dyDescent="0.3">
      <c r="A4041" t="s">
        <v>4109</v>
      </c>
      <c r="B4041" t="s">
        <v>20</v>
      </c>
      <c r="C4041">
        <v>24</v>
      </c>
      <c r="D4041" t="s">
        <v>88</v>
      </c>
      <c r="E4041" t="s">
        <v>40</v>
      </c>
      <c r="F4041" t="s">
        <v>41</v>
      </c>
      <c r="G4041" t="s">
        <v>58</v>
      </c>
      <c r="H4041" t="s">
        <v>83</v>
      </c>
      <c r="I4041" t="s">
        <v>59</v>
      </c>
      <c r="J4041" t="s">
        <v>60</v>
      </c>
      <c r="K4041">
        <v>7</v>
      </c>
      <c r="L4041">
        <v>104650</v>
      </c>
      <c r="M4041" t="s">
        <v>36</v>
      </c>
      <c r="N4041">
        <v>4</v>
      </c>
      <c r="O4041">
        <v>4</v>
      </c>
      <c r="P4041">
        <v>49</v>
      </c>
      <c r="Q4041">
        <v>2</v>
      </c>
      <c r="R4041" s="1">
        <v>42393</v>
      </c>
      <c r="S4041" t="s">
        <v>37</v>
      </c>
      <c r="T4041" t="str">
        <f t="shared" si="315"/>
        <v>Grade A</v>
      </c>
      <c r="U4041">
        <f t="shared" si="316"/>
        <v>1</v>
      </c>
      <c r="V4041" t="str">
        <f t="shared" si="317"/>
        <v>Mid Level</v>
      </c>
      <c r="W4041" t="str">
        <f t="shared" si="318"/>
        <v>Already Left</v>
      </c>
      <c r="X4041" t="str">
        <f t="shared" si="319"/>
        <v>Overpaid</v>
      </c>
    </row>
    <row r="4042" spans="1:24" x14ac:dyDescent="0.3">
      <c r="A4042" t="s">
        <v>4110</v>
      </c>
      <c r="B4042" t="s">
        <v>39</v>
      </c>
      <c r="C4042">
        <v>45</v>
      </c>
      <c r="D4042" t="s">
        <v>57</v>
      </c>
      <c r="E4042" t="s">
        <v>22</v>
      </c>
      <c r="F4042" t="s">
        <v>65</v>
      </c>
      <c r="G4042" t="s">
        <v>66</v>
      </c>
      <c r="H4042" t="s">
        <v>34</v>
      </c>
      <c r="I4042" t="s">
        <v>59</v>
      </c>
      <c r="J4042" t="s">
        <v>60</v>
      </c>
      <c r="K4042">
        <v>5</v>
      </c>
      <c r="L4042">
        <v>51148</v>
      </c>
      <c r="M4042" t="s">
        <v>28</v>
      </c>
      <c r="N4042">
        <v>2</v>
      </c>
      <c r="O4042">
        <v>4</v>
      </c>
      <c r="P4042">
        <v>12</v>
      </c>
      <c r="Q4042">
        <v>3</v>
      </c>
      <c r="R4042" s="1">
        <v>43259</v>
      </c>
      <c r="S4042" t="s">
        <v>37</v>
      </c>
      <c r="T4042" t="str">
        <f t="shared" si="315"/>
        <v>Grade B</v>
      </c>
      <c r="U4042">
        <f t="shared" si="316"/>
        <v>3</v>
      </c>
      <c r="V4042" t="str">
        <f t="shared" si="317"/>
        <v>Junior</v>
      </c>
      <c r="W4042" t="str">
        <f t="shared" si="318"/>
        <v>Already Left</v>
      </c>
      <c r="X4042" t="str">
        <f t="shared" si="319"/>
        <v>Competitive</v>
      </c>
    </row>
    <row r="4043" spans="1:24" x14ac:dyDescent="0.3">
      <c r="A4043" t="s">
        <v>4111</v>
      </c>
      <c r="B4043" t="s">
        <v>39</v>
      </c>
      <c r="C4043">
        <v>23</v>
      </c>
      <c r="D4043" t="s">
        <v>47</v>
      </c>
      <c r="E4043" t="s">
        <v>48</v>
      </c>
      <c r="F4043" t="s">
        <v>23</v>
      </c>
      <c r="G4043" t="s">
        <v>24</v>
      </c>
      <c r="H4043" t="s">
        <v>83</v>
      </c>
      <c r="I4043" t="s">
        <v>26</v>
      </c>
      <c r="J4043" t="s">
        <v>27</v>
      </c>
      <c r="K4043">
        <v>11</v>
      </c>
      <c r="L4043">
        <v>93981</v>
      </c>
      <c r="M4043" t="s">
        <v>28</v>
      </c>
      <c r="N4043">
        <v>4</v>
      </c>
      <c r="O4043">
        <v>2</v>
      </c>
      <c r="P4043">
        <v>64</v>
      </c>
      <c r="Q4043">
        <v>2</v>
      </c>
      <c r="R4043" s="1">
        <v>41185</v>
      </c>
      <c r="S4043" t="s">
        <v>37</v>
      </c>
      <c r="T4043" t="str">
        <f t="shared" si="315"/>
        <v>Grade A</v>
      </c>
      <c r="U4043">
        <f t="shared" si="316"/>
        <v>3</v>
      </c>
      <c r="V4043" t="str">
        <f t="shared" si="317"/>
        <v>Senior</v>
      </c>
      <c r="W4043" t="str">
        <f t="shared" si="318"/>
        <v>Already Left</v>
      </c>
      <c r="X4043" t="str">
        <f t="shared" si="319"/>
        <v>Competitive</v>
      </c>
    </row>
    <row r="4044" spans="1:24" x14ac:dyDescent="0.3">
      <c r="A4044" t="s">
        <v>4112</v>
      </c>
      <c r="B4044" t="s">
        <v>39</v>
      </c>
      <c r="C4044">
        <v>39</v>
      </c>
      <c r="D4044" t="s">
        <v>47</v>
      </c>
      <c r="E4044" t="s">
        <v>22</v>
      </c>
      <c r="F4044" t="s">
        <v>32</v>
      </c>
      <c r="G4044" t="s">
        <v>58</v>
      </c>
      <c r="H4044" t="s">
        <v>83</v>
      </c>
      <c r="I4044" t="s">
        <v>96</v>
      </c>
      <c r="J4044" t="s">
        <v>44</v>
      </c>
      <c r="K4044">
        <v>7</v>
      </c>
      <c r="L4044">
        <v>95479</v>
      </c>
      <c r="M4044" t="s">
        <v>51</v>
      </c>
      <c r="N4044">
        <v>4</v>
      </c>
      <c r="O4044">
        <v>2</v>
      </c>
      <c r="P4044">
        <v>74</v>
      </c>
      <c r="Q4044">
        <v>2</v>
      </c>
      <c r="R4044" s="1">
        <v>42723</v>
      </c>
      <c r="S4044" t="s">
        <v>29</v>
      </c>
      <c r="T4044" t="str">
        <f t="shared" si="315"/>
        <v>Grade A</v>
      </c>
      <c r="U4044">
        <f t="shared" si="316"/>
        <v>4</v>
      </c>
      <c r="V4044" t="str">
        <f t="shared" si="317"/>
        <v>Mid Level</v>
      </c>
      <c r="W4044" t="str">
        <f t="shared" si="318"/>
        <v>Low Risk</v>
      </c>
      <c r="X4044" t="str">
        <f t="shared" si="319"/>
        <v>Competitive</v>
      </c>
    </row>
    <row r="4045" spans="1:24" x14ac:dyDescent="0.3">
      <c r="A4045" t="s">
        <v>4113</v>
      </c>
      <c r="B4045" t="s">
        <v>20</v>
      </c>
      <c r="C4045">
        <v>55</v>
      </c>
      <c r="D4045" t="s">
        <v>88</v>
      </c>
      <c r="E4045" t="s">
        <v>40</v>
      </c>
      <c r="F4045" t="s">
        <v>23</v>
      </c>
      <c r="G4045" t="s">
        <v>66</v>
      </c>
      <c r="H4045" t="s">
        <v>25</v>
      </c>
      <c r="I4045" t="s">
        <v>35</v>
      </c>
      <c r="J4045" t="s">
        <v>27</v>
      </c>
      <c r="K4045">
        <v>5</v>
      </c>
      <c r="L4045">
        <v>38266</v>
      </c>
      <c r="M4045" t="s">
        <v>28</v>
      </c>
      <c r="N4045">
        <v>2</v>
      </c>
      <c r="O4045">
        <v>2</v>
      </c>
      <c r="P4045">
        <v>19</v>
      </c>
      <c r="Q4045">
        <v>0</v>
      </c>
      <c r="R4045" s="1">
        <v>43130</v>
      </c>
      <c r="S4045" t="s">
        <v>37</v>
      </c>
      <c r="T4045" t="str">
        <f t="shared" si="315"/>
        <v>Grade C</v>
      </c>
      <c r="U4045">
        <f t="shared" si="316"/>
        <v>3</v>
      </c>
      <c r="V4045" t="str">
        <f t="shared" si="317"/>
        <v>Junior</v>
      </c>
      <c r="W4045" t="str">
        <f t="shared" si="318"/>
        <v>Already Left</v>
      </c>
      <c r="X4045" t="str">
        <f t="shared" si="319"/>
        <v>Fair</v>
      </c>
    </row>
    <row r="4046" spans="1:24" x14ac:dyDescent="0.3">
      <c r="A4046" t="s">
        <v>4114</v>
      </c>
      <c r="B4046" t="s">
        <v>20</v>
      </c>
      <c r="C4046">
        <v>46</v>
      </c>
      <c r="D4046" t="s">
        <v>57</v>
      </c>
      <c r="E4046" t="s">
        <v>48</v>
      </c>
      <c r="F4046" t="s">
        <v>32</v>
      </c>
      <c r="G4046" t="s">
        <v>66</v>
      </c>
      <c r="H4046" t="s">
        <v>76</v>
      </c>
      <c r="I4046" t="s">
        <v>80</v>
      </c>
      <c r="J4046" t="s">
        <v>60</v>
      </c>
      <c r="K4046">
        <v>9</v>
      </c>
      <c r="L4046">
        <v>60304</v>
      </c>
      <c r="M4046" t="s">
        <v>36</v>
      </c>
      <c r="N4046">
        <v>4</v>
      </c>
      <c r="O4046">
        <v>4</v>
      </c>
      <c r="P4046">
        <v>77</v>
      </c>
      <c r="Q4046">
        <v>1</v>
      </c>
      <c r="R4046" s="1">
        <v>41908</v>
      </c>
      <c r="S4046" t="s">
        <v>37</v>
      </c>
      <c r="T4046" t="str">
        <f t="shared" si="315"/>
        <v>Grade B</v>
      </c>
      <c r="U4046">
        <f t="shared" si="316"/>
        <v>1</v>
      </c>
      <c r="V4046" t="str">
        <f t="shared" si="317"/>
        <v>Mid Level</v>
      </c>
      <c r="W4046" t="str">
        <f t="shared" si="318"/>
        <v>Already Left</v>
      </c>
      <c r="X4046" t="str">
        <f t="shared" si="319"/>
        <v>Fair</v>
      </c>
    </row>
    <row r="4047" spans="1:24" x14ac:dyDescent="0.3">
      <c r="A4047" t="s">
        <v>4115</v>
      </c>
      <c r="B4047" t="s">
        <v>39</v>
      </c>
      <c r="C4047">
        <v>54</v>
      </c>
      <c r="D4047" t="s">
        <v>57</v>
      </c>
      <c r="E4047" t="s">
        <v>48</v>
      </c>
      <c r="F4047" t="s">
        <v>32</v>
      </c>
      <c r="G4047" t="s">
        <v>33</v>
      </c>
      <c r="H4047" t="s">
        <v>83</v>
      </c>
      <c r="I4047" t="s">
        <v>54</v>
      </c>
      <c r="J4047" t="s">
        <v>27</v>
      </c>
      <c r="K4047">
        <v>12</v>
      </c>
      <c r="L4047">
        <v>80840</v>
      </c>
      <c r="M4047" t="s">
        <v>51</v>
      </c>
      <c r="N4047">
        <v>3</v>
      </c>
      <c r="O4047">
        <v>4</v>
      </c>
      <c r="P4047">
        <v>44</v>
      </c>
      <c r="Q4047">
        <v>1</v>
      </c>
      <c r="R4047" s="1">
        <v>40905</v>
      </c>
      <c r="S4047" t="s">
        <v>29</v>
      </c>
      <c r="T4047" t="str">
        <f t="shared" si="315"/>
        <v>Grade A</v>
      </c>
      <c r="U4047">
        <f t="shared" si="316"/>
        <v>4</v>
      </c>
      <c r="V4047" t="str">
        <f t="shared" si="317"/>
        <v>Senior</v>
      </c>
      <c r="W4047" t="str">
        <f t="shared" si="318"/>
        <v>Low Risk</v>
      </c>
      <c r="X4047" t="str">
        <f t="shared" si="319"/>
        <v>Competitive</v>
      </c>
    </row>
    <row r="4048" spans="1:24" x14ac:dyDescent="0.3">
      <c r="A4048" t="s">
        <v>4116</v>
      </c>
      <c r="B4048" t="s">
        <v>20</v>
      </c>
      <c r="C4048">
        <v>44</v>
      </c>
      <c r="D4048" t="s">
        <v>31</v>
      </c>
      <c r="E4048" t="s">
        <v>22</v>
      </c>
      <c r="F4048" t="s">
        <v>65</v>
      </c>
      <c r="G4048" t="s">
        <v>33</v>
      </c>
      <c r="H4048" t="s">
        <v>83</v>
      </c>
      <c r="I4048" t="s">
        <v>35</v>
      </c>
      <c r="J4048" t="s">
        <v>27</v>
      </c>
      <c r="K4048">
        <v>6</v>
      </c>
      <c r="L4048">
        <v>63003</v>
      </c>
      <c r="M4048" t="s">
        <v>28</v>
      </c>
      <c r="N4048">
        <v>2</v>
      </c>
      <c r="O4048">
        <v>3</v>
      </c>
      <c r="P4048">
        <v>75</v>
      </c>
      <c r="Q4048">
        <v>3</v>
      </c>
      <c r="R4048" s="1">
        <v>42966</v>
      </c>
      <c r="S4048" t="s">
        <v>29</v>
      </c>
      <c r="T4048" t="str">
        <f t="shared" si="315"/>
        <v>Grade B</v>
      </c>
      <c r="U4048">
        <f t="shared" si="316"/>
        <v>3</v>
      </c>
      <c r="V4048" t="str">
        <f t="shared" si="317"/>
        <v>Mid Level</v>
      </c>
      <c r="W4048" t="str">
        <f t="shared" si="318"/>
        <v>Medium Risk</v>
      </c>
      <c r="X4048" t="str">
        <f t="shared" si="319"/>
        <v>Competitive</v>
      </c>
    </row>
    <row r="4049" spans="1:24" x14ac:dyDescent="0.3">
      <c r="A4049" t="s">
        <v>4117</v>
      </c>
      <c r="B4049" t="s">
        <v>20</v>
      </c>
      <c r="C4049">
        <v>40</v>
      </c>
      <c r="D4049" t="s">
        <v>57</v>
      </c>
      <c r="E4049" t="s">
        <v>40</v>
      </c>
      <c r="F4049" t="s">
        <v>53</v>
      </c>
      <c r="G4049" t="s">
        <v>42</v>
      </c>
      <c r="H4049" t="s">
        <v>83</v>
      </c>
      <c r="I4049" t="s">
        <v>80</v>
      </c>
      <c r="J4049" t="s">
        <v>60</v>
      </c>
      <c r="K4049">
        <v>10</v>
      </c>
      <c r="L4049">
        <v>112648</v>
      </c>
      <c r="M4049" t="s">
        <v>51</v>
      </c>
      <c r="N4049">
        <v>3</v>
      </c>
      <c r="O4049">
        <v>2</v>
      </c>
      <c r="P4049">
        <v>10</v>
      </c>
      <c r="Q4049">
        <v>0</v>
      </c>
      <c r="R4049" s="1">
        <v>41620</v>
      </c>
      <c r="S4049" t="s">
        <v>29</v>
      </c>
      <c r="T4049" t="str">
        <f t="shared" si="315"/>
        <v>Grade A</v>
      </c>
      <c r="U4049">
        <f t="shared" si="316"/>
        <v>4</v>
      </c>
      <c r="V4049" t="str">
        <f t="shared" si="317"/>
        <v>Mid Level</v>
      </c>
      <c r="W4049" t="str">
        <f t="shared" si="318"/>
        <v>Low Risk</v>
      </c>
      <c r="X4049" t="str">
        <f t="shared" si="319"/>
        <v>Competitive</v>
      </c>
    </row>
    <row r="4050" spans="1:24" x14ac:dyDescent="0.3">
      <c r="A4050" t="s">
        <v>4118</v>
      </c>
      <c r="B4050" t="s">
        <v>39</v>
      </c>
      <c r="C4050">
        <v>45</v>
      </c>
      <c r="D4050" t="s">
        <v>57</v>
      </c>
      <c r="E4050" t="s">
        <v>48</v>
      </c>
      <c r="F4050" t="s">
        <v>75</v>
      </c>
      <c r="G4050" t="s">
        <v>33</v>
      </c>
      <c r="H4050" t="s">
        <v>83</v>
      </c>
      <c r="I4050" t="s">
        <v>35</v>
      </c>
      <c r="J4050" t="s">
        <v>27</v>
      </c>
      <c r="K4050">
        <v>13</v>
      </c>
      <c r="L4050">
        <v>88045</v>
      </c>
      <c r="M4050" t="s">
        <v>51</v>
      </c>
      <c r="N4050">
        <v>4</v>
      </c>
      <c r="O4050">
        <v>1</v>
      </c>
      <c r="P4050">
        <v>13</v>
      </c>
      <c r="Q4050">
        <v>2</v>
      </c>
      <c r="R4050" s="1">
        <v>40254</v>
      </c>
      <c r="S4050" t="s">
        <v>29</v>
      </c>
      <c r="T4050" t="str">
        <f t="shared" si="315"/>
        <v>Grade A</v>
      </c>
      <c r="U4050">
        <f t="shared" si="316"/>
        <v>4</v>
      </c>
      <c r="V4050" t="str">
        <f t="shared" si="317"/>
        <v>Senior</v>
      </c>
      <c r="W4050" t="str">
        <f t="shared" si="318"/>
        <v>Low Risk</v>
      </c>
      <c r="X4050" t="str">
        <f t="shared" si="319"/>
        <v>Competitive</v>
      </c>
    </row>
    <row r="4051" spans="1:24" x14ac:dyDescent="0.3">
      <c r="A4051" t="s">
        <v>4119</v>
      </c>
      <c r="B4051" t="s">
        <v>20</v>
      </c>
      <c r="C4051">
        <v>34</v>
      </c>
      <c r="D4051" t="s">
        <v>47</v>
      </c>
      <c r="E4051" t="s">
        <v>40</v>
      </c>
      <c r="F4051" t="s">
        <v>78</v>
      </c>
      <c r="G4051" t="s">
        <v>63</v>
      </c>
      <c r="H4051" t="s">
        <v>83</v>
      </c>
      <c r="I4051" t="s">
        <v>68</v>
      </c>
      <c r="J4051" t="s">
        <v>60</v>
      </c>
      <c r="K4051">
        <v>10</v>
      </c>
      <c r="L4051">
        <v>65994</v>
      </c>
      <c r="M4051" t="s">
        <v>28</v>
      </c>
      <c r="N4051">
        <v>1</v>
      </c>
      <c r="O4051">
        <v>3</v>
      </c>
      <c r="P4051">
        <v>37</v>
      </c>
      <c r="Q4051">
        <v>3</v>
      </c>
      <c r="R4051" s="1">
        <v>41373</v>
      </c>
      <c r="S4051" t="s">
        <v>29</v>
      </c>
      <c r="T4051" t="str">
        <f t="shared" si="315"/>
        <v>Grade B</v>
      </c>
      <c r="U4051">
        <f t="shared" si="316"/>
        <v>3</v>
      </c>
      <c r="V4051" t="str">
        <f t="shared" si="317"/>
        <v>Mid Level</v>
      </c>
      <c r="W4051" t="str">
        <f t="shared" si="318"/>
        <v>Medium Risk</v>
      </c>
      <c r="X4051" t="str">
        <f t="shared" si="319"/>
        <v>Competitive</v>
      </c>
    </row>
    <row r="4052" spans="1:24" x14ac:dyDescent="0.3">
      <c r="A4052" t="s">
        <v>4120</v>
      </c>
      <c r="B4052" t="s">
        <v>20</v>
      </c>
      <c r="C4052">
        <v>50</v>
      </c>
      <c r="D4052" t="s">
        <v>88</v>
      </c>
      <c r="E4052" t="s">
        <v>22</v>
      </c>
      <c r="F4052" t="s">
        <v>62</v>
      </c>
      <c r="G4052" t="s">
        <v>63</v>
      </c>
      <c r="H4052" t="s">
        <v>76</v>
      </c>
      <c r="I4052" t="s">
        <v>59</v>
      </c>
      <c r="J4052" t="s">
        <v>60</v>
      </c>
      <c r="K4052">
        <v>15</v>
      </c>
      <c r="L4052">
        <v>81233</v>
      </c>
      <c r="M4052" t="s">
        <v>51</v>
      </c>
      <c r="N4052">
        <v>3</v>
      </c>
      <c r="O4052">
        <v>3</v>
      </c>
      <c r="P4052">
        <v>42</v>
      </c>
      <c r="Q4052">
        <v>2</v>
      </c>
      <c r="R4052" s="1">
        <v>39797</v>
      </c>
      <c r="S4052" t="s">
        <v>29</v>
      </c>
      <c r="T4052" t="str">
        <f t="shared" si="315"/>
        <v>Grade A</v>
      </c>
      <c r="U4052">
        <f t="shared" si="316"/>
        <v>4</v>
      </c>
      <c r="V4052" t="str">
        <f t="shared" si="317"/>
        <v>Senior</v>
      </c>
      <c r="W4052" t="str">
        <f t="shared" si="318"/>
        <v>Low Risk</v>
      </c>
      <c r="X4052" t="str">
        <f t="shared" si="319"/>
        <v>Competitive</v>
      </c>
    </row>
    <row r="4053" spans="1:24" x14ac:dyDescent="0.3">
      <c r="A4053" t="s">
        <v>4121</v>
      </c>
      <c r="B4053" t="s">
        <v>20</v>
      </c>
      <c r="C4053">
        <v>38</v>
      </c>
      <c r="D4053" t="s">
        <v>31</v>
      </c>
      <c r="E4053" t="s">
        <v>40</v>
      </c>
      <c r="F4053" t="s">
        <v>53</v>
      </c>
      <c r="G4053" t="s">
        <v>79</v>
      </c>
      <c r="H4053" t="s">
        <v>25</v>
      </c>
      <c r="I4053" t="s">
        <v>68</v>
      </c>
      <c r="J4053" t="s">
        <v>60</v>
      </c>
      <c r="K4053">
        <v>5</v>
      </c>
      <c r="L4053">
        <v>49404</v>
      </c>
      <c r="M4053" t="s">
        <v>28</v>
      </c>
      <c r="N4053">
        <v>2</v>
      </c>
      <c r="O4053">
        <v>1</v>
      </c>
      <c r="P4053">
        <v>74</v>
      </c>
      <c r="Q4053">
        <v>1</v>
      </c>
      <c r="R4053" s="1">
        <v>43464</v>
      </c>
      <c r="S4053" t="s">
        <v>29</v>
      </c>
      <c r="T4053" t="str">
        <f t="shared" si="315"/>
        <v>Grade C</v>
      </c>
      <c r="U4053">
        <f t="shared" si="316"/>
        <v>3</v>
      </c>
      <c r="V4053" t="str">
        <f t="shared" si="317"/>
        <v>Junior</v>
      </c>
      <c r="W4053" t="str">
        <f t="shared" si="318"/>
        <v>Medium Risk</v>
      </c>
      <c r="X4053" t="str">
        <f t="shared" si="319"/>
        <v>Fair</v>
      </c>
    </row>
    <row r="4054" spans="1:24" x14ac:dyDescent="0.3">
      <c r="A4054" t="s">
        <v>4122</v>
      </c>
      <c r="B4054" t="s">
        <v>20</v>
      </c>
      <c r="C4054">
        <v>27</v>
      </c>
      <c r="D4054" t="s">
        <v>57</v>
      </c>
      <c r="E4054" t="s">
        <v>48</v>
      </c>
      <c r="F4054" t="s">
        <v>23</v>
      </c>
      <c r="G4054" t="s">
        <v>63</v>
      </c>
      <c r="H4054" t="s">
        <v>25</v>
      </c>
      <c r="I4054" t="s">
        <v>26</v>
      </c>
      <c r="J4054" t="s">
        <v>27</v>
      </c>
      <c r="K4054">
        <v>7</v>
      </c>
      <c r="L4054">
        <v>68706</v>
      </c>
      <c r="M4054" t="s">
        <v>36</v>
      </c>
      <c r="N4054">
        <v>4</v>
      </c>
      <c r="O4054">
        <v>1</v>
      </c>
      <c r="P4054">
        <v>43</v>
      </c>
      <c r="Q4054">
        <v>0</v>
      </c>
      <c r="R4054" s="1">
        <v>42704</v>
      </c>
      <c r="S4054" t="s">
        <v>37</v>
      </c>
      <c r="T4054" t="str">
        <f t="shared" si="315"/>
        <v>Grade B</v>
      </c>
      <c r="U4054">
        <f t="shared" si="316"/>
        <v>1</v>
      </c>
      <c r="V4054" t="str">
        <f t="shared" si="317"/>
        <v>Mid Level</v>
      </c>
      <c r="W4054" t="str">
        <f t="shared" si="318"/>
        <v>Already Left</v>
      </c>
      <c r="X4054" t="str">
        <f t="shared" si="319"/>
        <v>Fair</v>
      </c>
    </row>
    <row r="4055" spans="1:24" x14ac:dyDescent="0.3">
      <c r="A4055" t="s">
        <v>4123</v>
      </c>
      <c r="B4055" t="s">
        <v>39</v>
      </c>
      <c r="C4055">
        <v>48</v>
      </c>
      <c r="D4055" t="s">
        <v>47</v>
      </c>
      <c r="E4055" t="s">
        <v>48</v>
      </c>
      <c r="F4055" t="s">
        <v>78</v>
      </c>
      <c r="G4055" t="s">
        <v>66</v>
      </c>
      <c r="H4055" t="s">
        <v>25</v>
      </c>
      <c r="I4055" t="s">
        <v>96</v>
      </c>
      <c r="J4055" t="s">
        <v>44</v>
      </c>
      <c r="K4055">
        <v>1</v>
      </c>
      <c r="L4055">
        <v>40145</v>
      </c>
      <c r="M4055" t="s">
        <v>51</v>
      </c>
      <c r="N4055">
        <v>4</v>
      </c>
      <c r="O4055">
        <v>2</v>
      </c>
      <c r="P4055">
        <v>14</v>
      </c>
      <c r="Q4055">
        <v>1</v>
      </c>
      <c r="R4055" s="1">
        <v>44828</v>
      </c>
      <c r="S4055" t="s">
        <v>29</v>
      </c>
      <c r="T4055" t="str">
        <f t="shared" si="315"/>
        <v>Grade C</v>
      </c>
      <c r="U4055">
        <f t="shared" si="316"/>
        <v>4</v>
      </c>
      <c r="V4055" t="str">
        <f t="shared" si="317"/>
        <v>New Joiner</v>
      </c>
      <c r="W4055" t="str">
        <f t="shared" si="318"/>
        <v>Low Risk</v>
      </c>
      <c r="X4055" t="str">
        <f t="shared" si="319"/>
        <v>Fair</v>
      </c>
    </row>
    <row r="4056" spans="1:24" x14ac:dyDescent="0.3">
      <c r="A4056" t="s">
        <v>4124</v>
      </c>
      <c r="B4056" t="s">
        <v>20</v>
      </c>
      <c r="C4056">
        <v>47</v>
      </c>
      <c r="D4056" t="s">
        <v>57</v>
      </c>
      <c r="E4056" t="s">
        <v>22</v>
      </c>
      <c r="F4056" t="s">
        <v>78</v>
      </c>
      <c r="G4056" t="s">
        <v>49</v>
      </c>
      <c r="H4056" t="s">
        <v>34</v>
      </c>
      <c r="I4056" t="s">
        <v>72</v>
      </c>
      <c r="J4056" t="s">
        <v>73</v>
      </c>
      <c r="K4056">
        <v>6</v>
      </c>
      <c r="L4056">
        <v>62984</v>
      </c>
      <c r="M4056" t="s">
        <v>36</v>
      </c>
      <c r="N4056">
        <v>4</v>
      </c>
      <c r="O4056">
        <v>1</v>
      </c>
      <c r="P4056">
        <v>38</v>
      </c>
      <c r="Q4056">
        <v>1</v>
      </c>
      <c r="R4056" s="1">
        <v>42906</v>
      </c>
      <c r="S4056" t="s">
        <v>29</v>
      </c>
      <c r="T4056" t="str">
        <f t="shared" si="315"/>
        <v>Grade B</v>
      </c>
      <c r="U4056">
        <f t="shared" si="316"/>
        <v>1</v>
      </c>
      <c r="V4056" t="str">
        <f t="shared" si="317"/>
        <v>Mid Level</v>
      </c>
      <c r="W4056" t="str">
        <f t="shared" si="318"/>
        <v>Medium Risk</v>
      </c>
      <c r="X4056" t="str">
        <f t="shared" si="319"/>
        <v>Fair</v>
      </c>
    </row>
    <row r="4057" spans="1:24" x14ac:dyDescent="0.3">
      <c r="A4057" t="s">
        <v>4125</v>
      </c>
      <c r="B4057" t="s">
        <v>20</v>
      </c>
      <c r="C4057">
        <v>54</v>
      </c>
      <c r="D4057" t="s">
        <v>31</v>
      </c>
      <c r="E4057" t="s">
        <v>48</v>
      </c>
      <c r="F4057" t="s">
        <v>41</v>
      </c>
      <c r="G4057" t="s">
        <v>63</v>
      </c>
      <c r="H4057" t="s">
        <v>67</v>
      </c>
      <c r="I4057" t="s">
        <v>26</v>
      </c>
      <c r="J4057" t="s">
        <v>27</v>
      </c>
      <c r="K4057">
        <v>6</v>
      </c>
      <c r="L4057">
        <v>49688</v>
      </c>
      <c r="M4057" t="s">
        <v>45</v>
      </c>
      <c r="N4057">
        <v>1</v>
      </c>
      <c r="O4057">
        <v>3</v>
      </c>
      <c r="P4057">
        <v>18</v>
      </c>
      <c r="Q4057">
        <v>3</v>
      </c>
      <c r="R4057" s="1">
        <v>42962</v>
      </c>
      <c r="S4057" t="s">
        <v>29</v>
      </c>
      <c r="T4057" t="str">
        <f t="shared" si="315"/>
        <v>Grade C</v>
      </c>
      <c r="U4057">
        <f t="shared" si="316"/>
        <v>2</v>
      </c>
      <c r="V4057" t="str">
        <f t="shared" si="317"/>
        <v>Mid Level</v>
      </c>
      <c r="W4057" t="str">
        <f t="shared" si="318"/>
        <v>Medium Risk</v>
      </c>
      <c r="X4057" t="str">
        <f t="shared" si="319"/>
        <v>Fair</v>
      </c>
    </row>
    <row r="4058" spans="1:24" x14ac:dyDescent="0.3">
      <c r="A4058" t="s">
        <v>4126</v>
      </c>
      <c r="B4058" t="s">
        <v>39</v>
      </c>
      <c r="C4058">
        <v>54</v>
      </c>
      <c r="D4058" t="s">
        <v>47</v>
      </c>
      <c r="E4058" t="s">
        <v>22</v>
      </c>
      <c r="F4058" t="s">
        <v>32</v>
      </c>
      <c r="G4058" t="s">
        <v>63</v>
      </c>
      <c r="H4058" t="s">
        <v>67</v>
      </c>
      <c r="I4058" t="s">
        <v>35</v>
      </c>
      <c r="J4058" t="s">
        <v>27</v>
      </c>
      <c r="K4058">
        <v>12</v>
      </c>
      <c r="L4058">
        <v>63624</v>
      </c>
      <c r="M4058" t="s">
        <v>36</v>
      </c>
      <c r="N4058">
        <v>4</v>
      </c>
      <c r="O4058">
        <v>1</v>
      </c>
      <c r="P4058">
        <v>13</v>
      </c>
      <c r="Q4058">
        <v>2</v>
      </c>
      <c r="R4058" s="1">
        <v>40589</v>
      </c>
      <c r="S4058" t="s">
        <v>29</v>
      </c>
      <c r="T4058" t="str">
        <f t="shared" si="315"/>
        <v>Grade B</v>
      </c>
      <c r="U4058">
        <f t="shared" si="316"/>
        <v>1</v>
      </c>
      <c r="V4058" t="str">
        <f t="shared" si="317"/>
        <v>Senior</v>
      </c>
      <c r="W4058" t="str">
        <f t="shared" si="318"/>
        <v>Medium Risk</v>
      </c>
      <c r="X4058" t="str">
        <f t="shared" si="319"/>
        <v>Fair</v>
      </c>
    </row>
    <row r="4059" spans="1:24" x14ac:dyDescent="0.3">
      <c r="A4059" t="s">
        <v>4127</v>
      </c>
      <c r="B4059" t="s">
        <v>20</v>
      </c>
      <c r="C4059">
        <v>50</v>
      </c>
      <c r="D4059" t="s">
        <v>47</v>
      </c>
      <c r="E4059" t="s">
        <v>22</v>
      </c>
      <c r="F4059" t="s">
        <v>75</v>
      </c>
      <c r="G4059" t="s">
        <v>49</v>
      </c>
      <c r="H4059" t="s">
        <v>83</v>
      </c>
      <c r="I4059" t="s">
        <v>54</v>
      </c>
      <c r="J4059" t="s">
        <v>27</v>
      </c>
      <c r="K4059">
        <v>4</v>
      </c>
      <c r="L4059">
        <v>67893</v>
      </c>
      <c r="M4059" t="s">
        <v>28</v>
      </c>
      <c r="N4059">
        <v>4</v>
      </c>
      <c r="O4059">
        <v>2</v>
      </c>
      <c r="P4059">
        <v>26</v>
      </c>
      <c r="Q4059">
        <v>2</v>
      </c>
      <c r="R4059" s="1">
        <v>43822</v>
      </c>
      <c r="S4059" t="s">
        <v>29</v>
      </c>
      <c r="T4059" t="str">
        <f t="shared" si="315"/>
        <v>Grade B</v>
      </c>
      <c r="U4059">
        <f t="shared" si="316"/>
        <v>3</v>
      </c>
      <c r="V4059" t="str">
        <f t="shared" si="317"/>
        <v>Junior</v>
      </c>
      <c r="W4059" t="str">
        <f t="shared" si="318"/>
        <v>Medium Risk</v>
      </c>
      <c r="X4059" t="str">
        <f t="shared" si="319"/>
        <v>Competitive</v>
      </c>
    </row>
    <row r="4060" spans="1:24" x14ac:dyDescent="0.3">
      <c r="A4060" t="s">
        <v>4128</v>
      </c>
      <c r="B4060" t="s">
        <v>20</v>
      </c>
      <c r="C4060">
        <v>50</v>
      </c>
      <c r="D4060" t="s">
        <v>21</v>
      </c>
      <c r="E4060" t="s">
        <v>40</v>
      </c>
      <c r="F4060" t="s">
        <v>78</v>
      </c>
      <c r="G4060" t="s">
        <v>63</v>
      </c>
      <c r="H4060" t="s">
        <v>25</v>
      </c>
      <c r="I4060" t="s">
        <v>59</v>
      </c>
      <c r="J4060" t="s">
        <v>60</v>
      </c>
      <c r="K4060">
        <v>2</v>
      </c>
      <c r="L4060">
        <v>43390</v>
      </c>
      <c r="M4060" t="s">
        <v>51</v>
      </c>
      <c r="N4060">
        <v>3</v>
      </c>
      <c r="O4060">
        <v>1</v>
      </c>
      <c r="P4060">
        <v>25</v>
      </c>
      <c r="Q4060">
        <v>2</v>
      </c>
      <c r="R4060" s="1">
        <v>44269</v>
      </c>
      <c r="S4060" t="s">
        <v>29</v>
      </c>
      <c r="T4060" t="str">
        <f t="shared" si="315"/>
        <v>Grade C</v>
      </c>
      <c r="U4060">
        <f t="shared" si="316"/>
        <v>4</v>
      </c>
      <c r="V4060" t="str">
        <f t="shared" si="317"/>
        <v>New Joiner</v>
      </c>
      <c r="W4060" t="str">
        <f t="shared" si="318"/>
        <v>Low Risk</v>
      </c>
      <c r="X4060" t="str">
        <f t="shared" si="319"/>
        <v>Fair</v>
      </c>
    </row>
    <row r="4061" spans="1:24" x14ac:dyDescent="0.3">
      <c r="A4061" t="s">
        <v>4129</v>
      </c>
      <c r="B4061" t="s">
        <v>39</v>
      </c>
      <c r="C4061">
        <v>55</v>
      </c>
      <c r="D4061" t="s">
        <v>21</v>
      </c>
      <c r="E4061" t="s">
        <v>40</v>
      </c>
      <c r="F4061" t="s">
        <v>78</v>
      </c>
      <c r="G4061" t="s">
        <v>49</v>
      </c>
      <c r="H4061" t="s">
        <v>76</v>
      </c>
      <c r="I4061" t="s">
        <v>96</v>
      </c>
      <c r="J4061" t="s">
        <v>44</v>
      </c>
      <c r="K4061">
        <v>7</v>
      </c>
      <c r="L4061">
        <v>57810</v>
      </c>
      <c r="M4061" t="s">
        <v>51</v>
      </c>
      <c r="N4061">
        <v>4</v>
      </c>
      <c r="O4061">
        <v>2</v>
      </c>
      <c r="P4061">
        <v>69</v>
      </c>
      <c r="Q4061">
        <v>3</v>
      </c>
      <c r="R4061" s="1">
        <v>42422</v>
      </c>
      <c r="S4061" t="s">
        <v>29</v>
      </c>
      <c r="T4061" t="str">
        <f t="shared" si="315"/>
        <v>Grade B</v>
      </c>
      <c r="U4061">
        <f t="shared" si="316"/>
        <v>4</v>
      </c>
      <c r="V4061" t="str">
        <f t="shared" si="317"/>
        <v>Mid Level</v>
      </c>
      <c r="W4061" t="str">
        <f t="shared" si="318"/>
        <v>Low Risk</v>
      </c>
      <c r="X4061" t="str">
        <f t="shared" si="319"/>
        <v>Fair</v>
      </c>
    </row>
    <row r="4062" spans="1:24" x14ac:dyDescent="0.3">
      <c r="A4062" t="s">
        <v>4130</v>
      </c>
      <c r="B4062" t="s">
        <v>20</v>
      </c>
      <c r="C4062">
        <v>39</v>
      </c>
      <c r="D4062" t="s">
        <v>21</v>
      </c>
      <c r="E4062" t="s">
        <v>22</v>
      </c>
      <c r="F4062" t="s">
        <v>41</v>
      </c>
      <c r="G4062" t="s">
        <v>24</v>
      </c>
      <c r="H4062" t="s">
        <v>34</v>
      </c>
      <c r="I4062" t="s">
        <v>26</v>
      </c>
      <c r="J4062" t="s">
        <v>27</v>
      </c>
      <c r="K4062">
        <v>10</v>
      </c>
      <c r="L4062">
        <v>103302</v>
      </c>
      <c r="M4062" t="s">
        <v>51</v>
      </c>
      <c r="N4062">
        <v>4</v>
      </c>
      <c r="O4062">
        <v>1</v>
      </c>
      <c r="P4062">
        <v>75</v>
      </c>
      <c r="Q4062">
        <v>1</v>
      </c>
      <c r="R4062" s="1">
        <v>41291</v>
      </c>
      <c r="S4062" t="s">
        <v>29</v>
      </c>
      <c r="T4062" t="str">
        <f t="shared" si="315"/>
        <v>Grade A</v>
      </c>
      <c r="U4062">
        <f t="shared" si="316"/>
        <v>4</v>
      </c>
      <c r="V4062" t="str">
        <f t="shared" si="317"/>
        <v>Mid Level</v>
      </c>
      <c r="W4062" t="str">
        <f t="shared" si="318"/>
        <v>Low Risk</v>
      </c>
      <c r="X4062" t="str">
        <f t="shared" si="319"/>
        <v>Competitive</v>
      </c>
    </row>
    <row r="4063" spans="1:24" x14ac:dyDescent="0.3">
      <c r="A4063" t="s">
        <v>4131</v>
      </c>
      <c r="B4063" t="s">
        <v>20</v>
      </c>
      <c r="C4063">
        <v>32</v>
      </c>
      <c r="D4063" t="s">
        <v>21</v>
      </c>
      <c r="E4063" t="s">
        <v>48</v>
      </c>
      <c r="F4063" t="s">
        <v>78</v>
      </c>
      <c r="G4063" t="s">
        <v>42</v>
      </c>
      <c r="H4063" t="s">
        <v>25</v>
      </c>
      <c r="I4063" t="s">
        <v>72</v>
      </c>
      <c r="J4063" t="s">
        <v>73</v>
      </c>
      <c r="K4063">
        <v>6</v>
      </c>
      <c r="L4063">
        <v>98991</v>
      </c>
      <c r="M4063" t="s">
        <v>28</v>
      </c>
      <c r="N4063">
        <v>3</v>
      </c>
      <c r="O4063">
        <v>3</v>
      </c>
      <c r="P4063">
        <v>32</v>
      </c>
      <c r="Q4063">
        <v>3</v>
      </c>
      <c r="R4063" s="1">
        <v>42941</v>
      </c>
      <c r="S4063" t="s">
        <v>29</v>
      </c>
      <c r="T4063" t="str">
        <f t="shared" si="315"/>
        <v>Grade A</v>
      </c>
      <c r="U4063">
        <f t="shared" si="316"/>
        <v>3</v>
      </c>
      <c r="V4063" t="str">
        <f t="shared" si="317"/>
        <v>Mid Level</v>
      </c>
      <c r="W4063" t="str">
        <f t="shared" si="318"/>
        <v>Medium Risk</v>
      </c>
      <c r="X4063" t="str">
        <f t="shared" si="319"/>
        <v>Competitive</v>
      </c>
    </row>
    <row r="4064" spans="1:24" x14ac:dyDescent="0.3">
      <c r="A4064" t="s">
        <v>4132</v>
      </c>
      <c r="B4064" t="s">
        <v>39</v>
      </c>
      <c r="C4064">
        <v>41</v>
      </c>
      <c r="D4064" t="s">
        <v>31</v>
      </c>
      <c r="E4064" t="s">
        <v>40</v>
      </c>
      <c r="F4064" t="s">
        <v>78</v>
      </c>
      <c r="G4064" t="s">
        <v>66</v>
      </c>
      <c r="H4064" t="s">
        <v>25</v>
      </c>
      <c r="I4064" t="s">
        <v>43</v>
      </c>
      <c r="J4064" t="s">
        <v>44</v>
      </c>
      <c r="K4064">
        <v>8</v>
      </c>
      <c r="L4064">
        <v>48454</v>
      </c>
      <c r="M4064" t="s">
        <v>36</v>
      </c>
      <c r="N4064">
        <v>2</v>
      </c>
      <c r="O4064">
        <v>2</v>
      </c>
      <c r="P4064">
        <v>49</v>
      </c>
      <c r="Q4064">
        <v>0</v>
      </c>
      <c r="R4064" s="1">
        <v>42163</v>
      </c>
      <c r="S4064" t="s">
        <v>37</v>
      </c>
      <c r="T4064" t="str">
        <f t="shared" si="315"/>
        <v>Grade C</v>
      </c>
      <c r="U4064">
        <f t="shared" si="316"/>
        <v>1</v>
      </c>
      <c r="V4064" t="str">
        <f t="shared" si="317"/>
        <v>Mid Level</v>
      </c>
      <c r="W4064" t="str">
        <f t="shared" si="318"/>
        <v>Already Left</v>
      </c>
      <c r="X4064" t="str">
        <f t="shared" si="319"/>
        <v>Fair</v>
      </c>
    </row>
    <row r="4065" spans="1:24" x14ac:dyDescent="0.3">
      <c r="A4065" t="s">
        <v>4133</v>
      </c>
      <c r="B4065" t="s">
        <v>39</v>
      </c>
      <c r="C4065">
        <v>41</v>
      </c>
      <c r="D4065" t="s">
        <v>31</v>
      </c>
      <c r="E4065" t="s">
        <v>48</v>
      </c>
      <c r="F4065" t="s">
        <v>32</v>
      </c>
      <c r="G4065" t="s">
        <v>24</v>
      </c>
      <c r="H4065" t="s">
        <v>76</v>
      </c>
      <c r="I4065" t="s">
        <v>59</v>
      </c>
      <c r="J4065" t="s">
        <v>60</v>
      </c>
      <c r="K4065">
        <v>4</v>
      </c>
      <c r="L4065">
        <v>85951</v>
      </c>
      <c r="M4065" t="s">
        <v>28</v>
      </c>
      <c r="N4065">
        <v>1</v>
      </c>
      <c r="O4065">
        <v>2</v>
      </c>
      <c r="P4065">
        <v>13</v>
      </c>
      <c r="Q4065">
        <v>2</v>
      </c>
      <c r="R4065" s="1">
        <v>43806</v>
      </c>
      <c r="S4065" t="s">
        <v>29</v>
      </c>
      <c r="T4065" t="str">
        <f t="shared" si="315"/>
        <v>Grade A</v>
      </c>
      <c r="U4065">
        <f t="shared" si="316"/>
        <v>3</v>
      </c>
      <c r="V4065" t="str">
        <f t="shared" si="317"/>
        <v>Junior</v>
      </c>
      <c r="W4065" t="str">
        <f t="shared" si="318"/>
        <v>Medium Risk</v>
      </c>
      <c r="X4065" t="str">
        <f t="shared" si="319"/>
        <v>Competitive</v>
      </c>
    </row>
    <row r="4066" spans="1:24" x14ac:dyDescent="0.3">
      <c r="A4066" t="s">
        <v>4134</v>
      </c>
      <c r="B4066" t="s">
        <v>20</v>
      </c>
      <c r="C4066">
        <v>52</v>
      </c>
      <c r="D4066" t="s">
        <v>88</v>
      </c>
      <c r="E4066" t="s">
        <v>48</v>
      </c>
      <c r="F4066" t="s">
        <v>78</v>
      </c>
      <c r="G4066" t="s">
        <v>79</v>
      </c>
      <c r="H4066" t="s">
        <v>67</v>
      </c>
      <c r="I4066" t="s">
        <v>68</v>
      </c>
      <c r="J4066" t="s">
        <v>60</v>
      </c>
      <c r="K4066">
        <v>10</v>
      </c>
      <c r="L4066">
        <v>68733</v>
      </c>
      <c r="M4066" t="s">
        <v>45</v>
      </c>
      <c r="N4066">
        <v>3</v>
      </c>
      <c r="O4066">
        <v>3</v>
      </c>
      <c r="P4066">
        <v>77</v>
      </c>
      <c r="Q4066">
        <v>1</v>
      </c>
      <c r="R4066" s="1">
        <v>41595</v>
      </c>
      <c r="S4066" t="s">
        <v>29</v>
      </c>
      <c r="T4066" t="str">
        <f t="shared" si="315"/>
        <v>Grade B</v>
      </c>
      <c r="U4066">
        <f t="shared" si="316"/>
        <v>2</v>
      </c>
      <c r="V4066" t="str">
        <f t="shared" si="317"/>
        <v>Mid Level</v>
      </c>
      <c r="W4066" t="str">
        <f t="shared" si="318"/>
        <v>Medium Risk</v>
      </c>
      <c r="X4066" t="str">
        <f t="shared" si="319"/>
        <v>Fair</v>
      </c>
    </row>
    <row r="4067" spans="1:24" x14ac:dyDescent="0.3">
      <c r="A4067" t="s">
        <v>4135</v>
      </c>
      <c r="B4067" t="s">
        <v>39</v>
      </c>
      <c r="C4067">
        <v>24</v>
      </c>
      <c r="D4067" t="s">
        <v>21</v>
      </c>
      <c r="E4067" t="s">
        <v>40</v>
      </c>
      <c r="F4067" t="s">
        <v>75</v>
      </c>
      <c r="G4067" t="s">
        <v>66</v>
      </c>
      <c r="H4067" t="s">
        <v>83</v>
      </c>
      <c r="I4067" t="s">
        <v>54</v>
      </c>
      <c r="J4067" t="s">
        <v>27</v>
      </c>
      <c r="K4067">
        <v>1</v>
      </c>
      <c r="L4067">
        <v>31856</v>
      </c>
      <c r="M4067" t="s">
        <v>28</v>
      </c>
      <c r="N4067">
        <v>1</v>
      </c>
      <c r="O4067">
        <v>4</v>
      </c>
      <c r="P4067">
        <v>30</v>
      </c>
      <c r="Q4067">
        <v>2</v>
      </c>
      <c r="R4067" s="1">
        <v>44698</v>
      </c>
      <c r="S4067" t="s">
        <v>29</v>
      </c>
      <c r="T4067" t="str">
        <f t="shared" si="315"/>
        <v>Grade D</v>
      </c>
      <c r="U4067">
        <f t="shared" si="316"/>
        <v>3</v>
      </c>
      <c r="V4067" t="str">
        <f t="shared" si="317"/>
        <v>New Joiner</v>
      </c>
      <c r="W4067" t="str">
        <f t="shared" si="318"/>
        <v>Medium Risk</v>
      </c>
      <c r="X4067" t="str">
        <f t="shared" si="319"/>
        <v>Fair</v>
      </c>
    </row>
    <row r="4068" spans="1:24" x14ac:dyDescent="0.3">
      <c r="A4068" t="s">
        <v>4136</v>
      </c>
      <c r="B4068" t="s">
        <v>39</v>
      </c>
      <c r="C4068">
        <v>38</v>
      </c>
      <c r="D4068" t="s">
        <v>31</v>
      </c>
      <c r="E4068" t="s">
        <v>22</v>
      </c>
      <c r="F4068" t="s">
        <v>65</v>
      </c>
      <c r="G4068" t="s">
        <v>24</v>
      </c>
      <c r="H4068" t="s">
        <v>67</v>
      </c>
      <c r="I4068" t="s">
        <v>43</v>
      </c>
      <c r="J4068" t="s">
        <v>44</v>
      </c>
      <c r="K4068">
        <v>11</v>
      </c>
      <c r="L4068">
        <v>91960</v>
      </c>
      <c r="M4068" t="s">
        <v>51</v>
      </c>
      <c r="N4068">
        <v>4</v>
      </c>
      <c r="O4068">
        <v>4</v>
      </c>
      <c r="P4068">
        <v>29</v>
      </c>
      <c r="Q4068">
        <v>1</v>
      </c>
      <c r="R4068" s="1">
        <v>41070</v>
      </c>
      <c r="S4068" t="s">
        <v>29</v>
      </c>
      <c r="T4068" t="str">
        <f t="shared" si="315"/>
        <v>Grade A</v>
      </c>
      <c r="U4068">
        <f t="shared" si="316"/>
        <v>4</v>
      </c>
      <c r="V4068" t="str">
        <f t="shared" si="317"/>
        <v>Senior</v>
      </c>
      <c r="W4068" t="str">
        <f t="shared" si="318"/>
        <v>Low Risk</v>
      </c>
      <c r="X4068" t="str">
        <f t="shared" si="319"/>
        <v>Competitive</v>
      </c>
    </row>
    <row r="4069" spans="1:24" x14ac:dyDescent="0.3">
      <c r="A4069" t="s">
        <v>4137</v>
      </c>
      <c r="B4069" t="s">
        <v>39</v>
      </c>
      <c r="C4069">
        <v>34</v>
      </c>
      <c r="D4069" t="s">
        <v>57</v>
      </c>
      <c r="E4069" t="s">
        <v>22</v>
      </c>
      <c r="F4069" t="s">
        <v>75</v>
      </c>
      <c r="G4069" t="s">
        <v>66</v>
      </c>
      <c r="H4069" t="s">
        <v>76</v>
      </c>
      <c r="I4069" t="s">
        <v>50</v>
      </c>
      <c r="J4069" t="s">
        <v>44</v>
      </c>
      <c r="K4069">
        <v>5</v>
      </c>
      <c r="L4069">
        <v>48584</v>
      </c>
      <c r="M4069" t="s">
        <v>45</v>
      </c>
      <c r="N4069">
        <v>4</v>
      </c>
      <c r="O4069">
        <v>1</v>
      </c>
      <c r="P4069">
        <v>18</v>
      </c>
      <c r="Q4069">
        <v>0</v>
      </c>
      <c r="R4069" s="1">
        <v>43214</v>
      </c>
      <c r="S4069" t="s">
        <v>29</v>
      </c>
      <c r="T4069" t="str">
        <f t="shared" si="315"/>
        <v>Grade C</v>
      </c>
      <c r="U4069">
        <f t="shared" si="316"/>
        <v>2</v>
      </c>
      <c r="V4069" t="str">
        <f t="shared" si="317"/>
        <v>Junior</v>
      </c>
      <c r="W4069" t="str">
        <f t="shared" si="318"/>
        <v>Medium Risk</v>
      </c>
      <c r="X4069" t="str">
        <f t="shared" si="319"/>
        <v>Fair</v>
      </c>
    </row>
    <row r="4070" spans="1:24" x14ac:dyDescent="0.3">
      <c r="A4070" t="s">
        <v>4138</v>
      </c>
      <c r="B4070" t="s">
        <v>20</v>
      </c>
      <c r="C4070">
        <v>50</v>
      </c>
      <c r="D4070" t="s">
        <v>88</v>
      </c>
      <c r="E4070" t="s">
        <v>48</v>
      </c>
      <c r="F4070" t="s">
        <v>65</v>
      </c>
      <c r="G4070" t="s">
        <v>66</v>
      </c>
      <c r="H4070" t="s">
        <v>25</v>
      </c>
      <c r="I4070" t="s">
        <v>54</v>
      </c>
      <c r="J4070" t="s">
        <v>27</v>
      </c>
      <c r="K4070">
        <v>13</v>
      </c>
      <c r="L4070">
        <v>58655</v>
      </c>
      <c r="M4070" t="s">
        <v>36</v>
      </c>
      <c r="N4070">
        <v>2</v>
      </c>
      <c r="O4070">
        <v>4</v>
      </c>
      <c r="P4070">
        <v>21</v>
      </c>
      <c r="Q4070">
        <v>0</v>
      </c>
      <c r="R4070" s="1">
        <v>40481</v>
      </c>
      <c r="S4070" t="s">
        <v>29</v>
      </c>
      <c r="T4070" t="str">
        <f t="shared" si="315"/>
        <v>Grade B</v>
      </c>
      <c r="U4070">
        <f t="shared" si="316"/>
        <v>1</v>
      </c>
      <c r="V4070" t="str">
        <f t="shared" si="317"/>
        <v>Senior</v>
      </c>
      <c r="W4070" t="str">
        <f t="shared" si="318"/>
        <v>Medium Risk</v>
      </c>
      <c r="X4070" t="str">
        <f t="shared" si="319"/>
        <v>Fair</v>
      </c>
    </row>
    <row r="4071" spans="1:24" x14ac:dyDescent="0.3">
      <c r="A4071" t="s">
        <v>4139</v>
      </c>
      <c r="B4071" t="s">
        <v>39</v>
      </c>
      <c r="C4071">
        <v>54</v>
      </c>
      <c r="D4071" t="s">
        <v>88</v>
      </c>
      <c r="E4071" t="s">
        <v>48</v>
      </c>
      <c r="F4071" t="s">
        <v>41</v>
      </c>
      <c r="G4071" t="s">
        <v>63</v>
      </c>
      <c r="H4071" t="s">
        <v>34</v>
      </c>
      <c r="I4071" t="s">
        <v>96</v>
      </c>
      <c r="J4071" t="s">
        <v>44</v>
      </c>
      <c r="K4071">
        <v>14</v>
      </c>
      <c r="L4071">
        <v>66502</v>
      </c>
      <c r="M4071" t="s">
        <v>45</v>
      </c>
      <c r="N4071">
        <v>3</v>
      </c>
      <c r="O4071">
        <v>1</v>
      </c>
      <c r="P4071">
        <v>56</v>
      </c>
      <c r="Q4071">
        <v>0</v>
      </c>
      <c r="R4071" s="1">
        <v>39941</v>
      </c>
      <c r="S4071" t="s">
        <v>37</v>
      </c>
      <c r="T4071" t="str">
        <f t="shared" si="315"/>
        <v>Grade B</v>
      </c>
      <c r="U4071">
        <f t="shared" si="316"/>
        <v>2</v>
      </c>
      <c r="V4071" t="str">
        <f t="shared" si="317"/>
        <v>Senior</v>
      </c>
      <c r="W4071" t="str">
        <f t="shared" si="318"/>
        <v>Already Left</v>
      </c>
      <c r="X4071" t="str">
        <f t="shared" si="319"/>
        <v>Fair</v>
      </c>
    </row>
    <row r="4072" spans="1:24" x14ac:dyDescent="0.3">
      <c r="A4072" t="s">
        <v>4140</v>
      </c>
      <c r="B4072" t="s">
        <v>39</v>
      </c>
      <c r="C4072">
        <v>54</v>
      </c>
      <c r="D4072" t="s">
        <v>57</v>
      </c>
      <c r="E4072" t="s">
        <v>22</v>
      </c>
      <c r="F4072" t="s">
        <v>75</v>
      </c>
      <c r="G4072" t="s">
        <v>49</v>
      </c>
      <c r="H4072" t="s">
        <v>67</v>
      </c>
      <c r="I4072" t="s">
        <v>35</v>
      </c>
      <c r="J4072" t="s">
        <v>27</v>
      </c>
      <c r="K4072">
        <v>10</v>
      </c>
      <c r="L4072">
        <v>75286</v>
      </c>
      <c r="M4072" t="s">
        <v>28</v>
      </c>
      <c r="N4072">
        <v>3</v>
      </c>
      <c r="O4072">
        <v>4</v>
      </c>
      <c r="P4072">
        <v>20</v>
      </c>
      <c r="Q4072">
        <v>2</v>
      </c>
      <c r="R4072" s="1">
        <v>41506</v>
      </c>
      <c r="S4072" t="s">
        <v>29</v>
      </c>
      <c r="T4072" t="str">
        <f t="shared" si="315"/>
        <v>Grade B</v>
      </c>
      <c r="U4072">
        <f t="shared" si="316"/>
        <v>3</v>
      </c>
      <c r="V4072" t="str">
        <f t="shared" si="317"/>
        <v>Mid Level</v>
      </c>
      <c r="W4072" t="str">
        <f t="shared" si="318"/>
        <v>Medium Risk</v>
      </c>
      <c r="X4072" t="str">
        <f t="shared" si="319"/>
        <v>Competitive</v>
      </c>
    </row>
    <row r="4073" spans="1:24" x14ac:dyDescent="0.3">
      <c r="A4073" t="s">
        <v>4141</v>
      </c>
      <c r="B4073" t="s">
        <v>39</v>
      </c>
      <c r="C4073">
        <v>40</v>
      </c>
      <c r="D4073" t="s">
        <v>21</v>
      </c>
      <c r="E4073" t="s">
        <v>48</v>
      </c>
      <c r="F4073" t="s">
        <v>53</v>
      </c>
      <c r="G4073" t="s">
        <v>58</v>
      </c>
      <c r="H4073" t="s">
        <v>83</v>
      </c>
      <c r="I4073" t="s">
        <v>43</v>
      </c>
      <c r="J4073" t="s">
        <v>44</v>
      </c>
      <c r="K4073">
        <v>1</v>
      </c>
      <c r="L4073">
        <v>85465</v>
      </c>
      <c r="M4073" t="s">
        <v>51</v>
      </c>
      <c r="N4073">
        <v>3</v>
      </c>
      <c r="O4073">
        <v>4</v>
      </c>
      <c r="P4073">
        <v>76</v>
      </c>
      <c r="Q4073">
        <v>2</v>
      </c>
      <c r="R4073" s="1">
        <v>44566</v>
      </c>
      <c r="S4073" t="s">
        <v>29</v>
      </c>
      <c r="T4073" t="str">
        <f t="shared" si="315"/>
        <v>Grade A</v>
      </c>
      <c r="U4073">
        <f t="shared" si="316"/>
        <v>4</v>
      </c>
      <c r="V4073" t="str">
        <f t="shared" si="317"/>
        <v>New Joiner</v>
      </c>
      <c r="W4073" t="str">
        <f t="shared" si="318"/>
        <v>Low Risk</v>
      </c>
      <c r="X4073" t="str">
        <f t="shared" si="319"/>
        <v>Competitive</v>
      </c>
    </row>
    <row r="4074" spans="1:24" x14ac:dyDescent="0.3">
      <c r="A4074" t="s">
        <v>4142</v>
      </c>
      <c r="B4074" t="s">
        <v>39</v>
      </c>
      <c r="C4074">
        <v>41</v>
      </c>
      <c r="D4074" t="s">
        <v>57</v>
      </c>
      <c r="E4074" t="s">
        <v>22</v>
      </c>
      <c r="F4074" t="s">
        <v>23</v>
      </c>
      <c r="G4074" t="s">
        <v>33</v>
      </c>
      <c r="H4074" t="s">
        <v>83</v>
      </c>
      <c r="I4074" t="s">
        <v>54</v>
      </c>
      <c r="J4074" t="s">
        <v>27</v>
      </c>
      <c r="K4074">
        <v>15</v>
      </c>
      <c r="L4074">
        <v>80135</v>
      </c>
      <c r="M4074" t="s">
        <v>28</v>
      </c>
      <c r="N4074">
        <v>1</v>
      </c>
      <c r="O4074">
        <v>1</v>
      </c>
      <c r="P4074">
        <v>28</v>
      </c>
      <c r="Q4074">
        <v>3</v>
      </c>
      <c r="R4074" s="1">
        <v>39604</v>
      </c>
      <c r="S4074" t="s">
        <v>29</v>
      </c>
      <c r="T4074" t="str">
        <f t="shared" si="315"/>
        <v>Grade A</v>
      </c>
      <c r="U4074">
        <f t="shared" si="316"/>
        <v>3</v>
      </c>
      <c r="V4074" t="str">
        <f t="shared" si="317"/>
        <v>Senior</v>
      </c>
      <c r="W4074" t="str">
        <f t="shared" si="318"/>
        <v>Medium Risk</v>
      </c>
      <c r="X4074" t="str">
        <f t="shared" si="319"/>
        <v>Competitive</v>
      </c>
    </row>
    <row r="4075" spans="1:24" x14ac:dyDescent="0.3">
      <c r="A4075" t="s">
        <v>4143</v>
      </c>
      <c r="B4075" t="s">
        <v>39</v>
      </c>
      <c r="C4075">
        <v>39</v>
      </c>
      <c r="D4075" t="s">
        <v>57</v>
      </c>
      <c r="E4075" t="s">
        <v>22</v>
      </c>
      <c r="F4075" t="s">
        <v>53</v>
      </c>
      <c r="G4075" t="s">
        <v>49</v>
      </c>
      <c r="H4075" t="s">
        <v>67</v>
      </c>
      <c r="I4075" t="s">
        <v>80</v>
      </c>
      <c r="J4075" t="s">
        <v>60</v>
      </c>
      <c r="K4075">
        <v>13</v>
      </c>
      <c r="L4075">
        <v>80618</v>
      </c>
      <c r="M4075" t="s">
        <v>36</v>
      </c>
      <c r="N4075">
        <v>1</v>
      </c>
      <c r="O4075">
        <v>2</v>
      </c>
      <c r="P4075">
        <v>60</v>
      </c>
      <c r="Q4075">
        <v>0</v>
      </c>
      <c r="R4075" s="1">
        <v>40426</v>
      </c>
      <c r="S4075" t="s">
        <v>37</v>
      </c>
      <c r="T4075" t="str">
        <f t="shared" si="315"/>
        <v>Grade A</v>
      </c>
      <c r="U4075">
        <f t="shared" si="316"/>
        <v>1</v>
      </c>
      <c r="V4075" t="str">
        <f t="shared" si="317"/>
        <v>Senior</v>
      </c>
      <c r="W4075" t="str">
        <f t="shared" si="318"/>
        <v>Already Left</v>
      </c>
      <c r="X4075" t="str">
        <f t="shared" si="319"/>
        <v>Overpaid</v>
      </c>
    </row>
    <row r="4076" spans="1:24" x14ac:dyDescent="0.3">
      <c r="A4076" t="s">
        <v>4144</v>
      </c>
      <c r="B4076" t="s">
        <v>20</v>
      </c>
      <c r="C4076">
        <v>30</v>
      </c>
      <c r="D4076" t="s">
        <v>21</v>
      </c>
      <c r="E4076" t="s">
        <v>22</v>
      </c>
      <c r="F4076" t="s">
        <v>75</v>
      </c>
      <c r="G4076" t="s">
        <v>63</v>
      </c>
      <c r="H4076" t="s">
        <v>67</v>
      </c>
      <c r="I4076" t="s">
        <v>72</v>
      </c>
      <c r="J4076" t="s">
        <v>73</v>
      </c>
      <c r="K4076">
        <v>7</v>
      </c>
      <c r="L4076">
        <v>68267</v>
      </c>
      <c r="M4076" t="s">
        <v>28</v>
      </c>
      <c r="N4076">
        <v>2</v>
      </c>
      <c r="O4076">
        <v>3</v>
      </c>
      <c r="P4076">
        <v>28</v>
      </c>
      <c r="Q4076">
        <v>0</v>
      </c>
      <c r="R4076" s="1">
        <v>42618</v>
      </c>
      <c r="S4076" t="s">
        <v>29</v>
      </c>
      <c r="T4076" t="str">
        <f t="shared" si="315"/>
        <v>Grade B</v>
      </c>
      <c r="U4076">
        <f t="shared" si="316"/>
        <v>3</v>
      </c>
      <c r="V4076" t="str">
        <f t="shared" si="317"/>
        <v>Mid Level</v>
      </c>
      <c r="W4076" t="str">
        <f t="shared" si="318"/>
        <v>Medium Risk</v>
      </c>
      <c r="X4076" t="str">
        <f t="shared" si="319"/>
        <v>Competitive</v>
      </c>
    </row>
    <row r="4077" spans="1:24" x14ac:dyDescent="0.3">
      <c r="A4077" t="s">
        <v>4145</v>
      </c>
      <c r="B4077" t="s">
        <v>39</v>
      </c>
      <c r="C4077">
        <v>54</v>
      </c>
      <c r="D4077" t="s">
        <v>21</v>
      </c>
      <c r="E4077" t="s">
        <v>22</v>
      </c>
      <c r="F4077" t="s">
        <v>78</v>
      </c>
      <c r="G4077" t="s">
        <v>24</v>
      </c>
      <c r="H4077" t="s">
        <v>76</v>
      </c>
      <c r="I4077" t="s">
        <v>80</v>
      </c>
      <c r="J4077" t="s">
        <v>60</v>
      </c>
      <c r="K4077">
        <v>1</v>
      </c>
      <c r="L4077">
        <v>86403</v>
      </c>
      <c r="M4077" t="s">
        <v>28</v>
      </c>
      <c r="N4077">
        <v>1</v>
      </c>
      <c r="O4077">
        <v>2</v>
      </c>
      <c r="P4077">
        <v>25</v>
      </c>
      <c r="Q4077">
        <v>3</v>
      </c>
      <c r="R4077" s="1">
        <v>44726</v>
      </c>
      <c r="S4077" t="s">
        <v>29</v>
      </c>
      <c r="T4077" t="str">
        <f t="shared" si="315"/>
        <v>Grade A</v>
      </c>
      <c r="U4077">
        <f t="shared" si="316"/>
        <v>3</v>
      </c>
      <c r="V4077" t="str">
        <f t="shared" si="317"/>
        <v>New Joiner</v>
      </c>
      <c r="W4077" t="str">
        <f t="shared" si="318"/>
        <v>Medium Risk</v>
      </c>
      <c r="X4077" t="str">
        <f t="shared" si="319"/>
        <v>Competitive</v>
      </c>
    </row>
    <row r="4078" spans="1:24" x14ac:dyDescent="0.3">
      <c r="A4078" t="s">
        <v>4146</v>
      </c>
      <c r="B4078" t="s">
        <v>39</v>
      </c>
      <c r="C4078">
        <v>49</v>
      </c>
      <c r="D4078" t="s">
        <v>47</v>
      </c>
      <c r="E4078" t="s">
        <v>48</v>
      </c>
      <c r="F4078" t="s">
        <v>65</v>
      </c>
      <c r="G4078" t="s">
        <v>79</v>
      </c>
      <c r="H4078" t="s">
        <v>67</v>
      </c>
      <c r="I4078" t="s">
        <v>35</v>
      </c>
      <c r="J4078" t="s">
        <v>27</v>
      </c>
      <c r="K4078">
        <v>10</v>
      </c>
      <c r="L4078">
        <v>56286</v>
      </c>
      <c r="M4078" t="s">
        <v>45</v>
      </c>
      <c r="N4078">
        <v>3</v>
      </c>
      <c r="O4078">
        <v>4</v>
      </c>
      <c r="P4078">
        <v>77</v>
      </c>
      <c r="Q4078">
        <v>1</v>
      </c>
      <c r="R4078" s="1">
        <v>41384</v>
      </c>
      <c r="S4078" t="s">
        <v>29</v>
      </c>
      <c r="T4078" t="str">
        <f t="shared" si="315"/>
        <v>Grade B</v>
      </c>
      <c r="U4078">
        <f t="shared" si="316"/>
        <v>2</v>
      </c>
      <c r="V4078" t="str">
        <f t="shared" si="317"/>
        <v>Mid Level</v>
      </c>
      <c r="W4078" t="str">
        <f t="shared" si="318"/>
        <v>Medium Risk</v>
      </c>
      <c r="X4078" t="str">
        <f t="shared" si="319"/>
        <v>Fair</v>
      </c>
    </row>
    <row r="4079" spans="1:24" x14ac:dyDescent="0.3">
      <c r="A4079" t="s">
        <v>4147</v>
      </c>
      <c r="B4079" t="s">
        <v>39</v>
      </c>
      <c r="C4079">
        <v>29</v>
      </c>
      <c r="D4079" t="s">
        <v>57</v>
      </c>
      <c r="E4079" t="s">
        <v>22</v>
      </c>
      <c r="F4079" t="s">
        <v>65</v>
      </c>
      <c r="G4079" t="s">
        <v>33</v>
      </c>
      <c r="H4079" t="s">
        <v>34</v>
      </c>
      <c r="I4079" t="s">
        <v>80</v>
      </c>
      <c r="J4079" t="s">
        <v>60</v>
      </c>
      <c r="K4079">
        <v>10</v>
      </c>
      <c r="L4079">
        <v>87490</v>
      </c>
      <c r="M4079" t="s">
        <v>51</v>
      </c>
      <c r="N4079">
        <v>2</v>
      </c>
      <c r="O4079">
        <v>2</v>
      </c>
      <c r="P4079">
        <v>80</v>
      </c>
      <c r="Q4079">
        <v>1</v>
      </c>
      <c r="R4079" s="1">
        <v>41532</v>
      </c>
      <c r="S4079" t="s">
        <v>37</v>
      </c>
      <c r="T4079" t="str">
        <f t="shared" si="315"/>
        <v>Grade A</v>
      </c>
      <c r="U4079">
        <f t="shared" si="316"/>
        <v>4</v>
      </c>
      <c r="V4079" t="str">
        <f t="shared" si="317"/>
        <v>Mid Level</v>
      </c>
      <c r="W4079" t="str">
        <f t="shared" si="318"/>
        <v>Already Left</v>
      </c>
      <c r="X4079" t="str">
        <f t="shared" si="319"/>
        <v>Competitive</v>
      </c>
    </row>
    <row r="4080" spans="1:24" x14ac:dyDescent="0.3">
      <c r="A4080" t="s">
        <v>4148</v>
      </c>
      <c r="B4080" t="s">
        <v>39</v>
      </c>
      <c r="C4080">
        <v>45</v>
      </c>
      <c r="D4080" t="s">
        <v>31</v>
      </c>
      <c r="E4080" t="s">
        <v>48</v>
      </c>
      <c r="F4080" t="s">
        <v>53</v>
      </c>
      <c r="G4080" t="s">
        <v>79</v>
      </c>
      <c r="H4080" t="s">
        <v>76</v>
      </c>
      <c r="I4080" t="s">
        <v>59</v>
      </c>
      <c r="J4080" t="s">
        <v>60</v>
      </c>
      <c r="K4080">
        <v>5</v>
      </c>
      <c r="L4080">
        <v>46665</v>
      </c>
      <c r="M4080" t="s">
        <v>45</v>
      </c>
      <c r="N4080">
        <v>3</v>
      </c>
      <c r="O4080">
        <v>1</v>
      </c>
      <c r="P4080">
        <v>52</v>
      </c>
      <c r="Q4080">
        <v>2</v>
      </c>
      <c r="R4080" s="1">
        <v>43226</v>
      </c>
      <c r="S4080" t="s">
        <v>29</v>
      </c>
      <c r="T4080" t="str">
        <f t="shared" si="315"/>
        <v>Grade C</v>
      </c>
      <c r="U4080">
        <f t="shared" si="316"/>
        <v>2</v>
      </c>
      <c r="V4080" t="str">
        <f t="shared" si="317"/>
        <v>Junior</v>
      </c>
      <c r="W4080" t="str">
        <f t="shared" si="318"/>
        <v>Medium Risk</v>
      </c>
      <c r="X4080" t="str">
        <f t="shared" si="319"/>
        <v>Fair</v>
      </c>
    </row>
    <row r="4081" spans="1:24" x14ac:dyDescent="0.3">
      <c r="A4081" t="s">
        <v>4149</v>
      </c>
      <c r="B4081" t="s">
        <v>39</v>
      </c>
      <c r="C4081">
        <v>52</v>
      </c>
      <c r="D4081" t="s">
        <v>21</v>
      </c>
      <c r="E4081" t="s">
        <v>22</v>
      </c>
      <c r="F4081" t="s">
        <v>65</v>
      </c>
      <c r="G4081" t="s">
        <v>42</v>
      </c>
      <c r="H4081" t="s">
        <v>25</v>
      </c>
      <c r="I4081" t="s">
        <v>96</v>
      </c>
      <c r="J4081" t="s">
        <v>44</v>
      </c>
      <c r="K4081">
        <v>3</v>
      </c>
      <c r="L4081">
        <v>94695</v>
      </c>
      <c r="M4081" t="s">
        <v>28</v>
      </c>
      <c r="N4081">
        <v>3</v>
      </c>
      <c r="O4081">
        <v>1</v>
      </c>
      <c r="P4081">
        <v>45</v>
      </c>
      <c r="Q4081">
        <v>0</v>
      </c>
      <c r="R4081" s="1">
        <v>43982</v>
      </c>
      <c r="S4081" t="s">
        <v>29</v>
      </c>
      <c r="T4081" t="str">
        <f t="shared" si="315"/>
        <v>Grade A</v>
      </c>
      <c r="U4081">
        <f t="shared" si="316"/>
        <v>3</v>
      </c>
      <c r="V4081" t="str">
        <f t="shared" si="317"/>
        <v>Junior</v>
      </c>
      <c r="W4081" t="str">
        <f t="shared" si="318"/>
        <v>Medium Risk</v>
      </c>
      <c r="X4081" t="str">
        <f t="shared" si="319"/>
        <v>Competitive</v>
      </c>
    </row>
    <row r="4082" spans="1:24" x14ac:dyDescent="0.3">
      <c r="A4082" t="s">
        <v>4150</v>
      </c>
      <c r="B4082" t="s">
        <v>20</v>
      </c>
      <c r="C4082">
        <v>35</v>
      </c>
      <c r="D4082" t="s">
        <v>57</v>
      </c>
      <c r="E4082" t="s">
        <v>22</v>
      </c>
      <c r="F4082" t="s">
        <v>78</v>
      </c>
      <c r="G4082" t="s">
        <v>33</v>
      </c>
      <c r="H4082" t="s">
        <v>83</v>
      </c>
      <c r="I4082" t="s">
        <v>50</v>
      </c>
      <c r="J4082" t="s">
        <v>44</v>
      </c>
      <c r="K4082">
        <v>14</v>
      </c>
      <c r="L4082">
        <v>94849</v>
      </c>
      <c r="M4082" t="s">
        <v>36</v>
      </c>
      <c r="N4082">
        <v>1</v>
      </c>
      <c r="O4082">
        <v>3</v>
      </c>
      <c r="P4082">
        <v>50</v>
      </c>
      <c r="Q4082">
        <v>2</v>
      </c>
      <c r="R4082" s="1">
        <v>39929</v>
      </c>
      <c r="S4082" t="s">
        <v>37</v>
      </c>
      <c r="T4082" t="str">
        <f t="shared" si="315"/>
        <v>Grade A</v>
      </c>
      <c r="U4082">
        <f t="shared" si="316"/>
        <v>1</v>
      </c>
      <c r="V4082" t="str">
        <f t="shared" si="317"/>
        <v>Senior</v>
      </c>
      <c r="W4082" t="str">
        <f t="shared" si="318"/>
        <v>Already Left</v>
      </c>
      <c r="X4082" t="str">
        <f t="shared" si="319"/>
        <v>Overpaid</v>
      </c>
    </row>
    <row r="4083" spans="1:24" x14ac:dyDescent="0.3">
      <c r="A4083" t="s">
        <v>4151</v>
      </c>
      <c r="B4083" t="s">
        <v>39</v>
      </c>
      <c r="C4083">
        <v>51</v>
      </c>
      <c r="D4083" t="s">
        <v>47</v>
      </c>
      <c r="E4083" t="s">
        <v>22</v>
      </c>
      <c r="F4083" t="s">
        <v>78</v>
      </c>
      <c r="G4083" t="s">
        <v>33</v>
      </c>
      <c r="H4083" t="s">
        <v>34</v>
      </c>
      <c r="I4083" t="s">
        <v>72</v>
      </c>
      <c r="J4083" t="s">
        <v>73</v>
      </c>
      <c r="K4083">
        <v>3</v>
      </c>
      <c r="L4083">
        <v>68115</v>
      </c>
      <c r="M4083" t="s">
        <v>45</v>
      </c>
      <c r="N4083">
        <v>4</v>
      </c>
      <c r="O4083">
        <v>3</v>
      </c>
      <c r="P4083">
        <v>35</v>
      </c>
      <c r="Q4083">
        <v>3</v>
      </c>
      <c r="R4083" s="1">
        <v>43959</v>
      </c>
      <c r="S4083" t="s">
        <v>29</v>
      </c>
      <c r="T4083" t="str">
        <f t="shared" si="315"/>
        <v>Grade B</v>
      </c>
      <c r="U4083">
        <f t="shared" si="316"/>
        <v>2</v>
      </c>
      <c r="V4083" t="str">
        <f t="shared" si="317"/>
        <v>Junior</v>
      </c>
      <c r="W4083" t="str">
        <f t="shared" si="318"/>
        <v>Medium Risk</v>
      </c>
      <c r="X4083" t="str">
        <f t="shared" si="319"/>
        <v>Fair</v>
      </c>
    </row>
    <row r="4084" spans="1:24" x14ac:dyDescent="0.3">
      <c r="A4084" t="s">
        <v>4152</v>
      </c>
      <c r="B4084" t="s">
        <v>20</v>
      </c>
      <c r="C4084">
        <v>42</v>
      </c>
      <c r="D4084" t="s">
        <v>21</v>
      </c>
      <c r="E4084" t="s">
        <v>48</v>
      </c>
      <c r="F4084" t="s">
        <v>62</v>
      </c>
      <c r="G4084" t="s">
        <v>33</v>
      </c>
      <c r="H4084" t="s">
        <v>25</v>
      </c>
      <c r="I4084" t="s">
        <v>68</v>
      </c>
      <c r="J4084" t="s">
        <v>60</v>
      </c>
      <c r="K4084">
        <v>10</v>
      </c>
      <c r="L4084">
        <v>73945</v>
      </c>
      <c r="M4084" t="s">
        <v>45</v>
      </c>
      <c r="N4084">
        <v>2</v>
      </c>
      <c r="O4084">
        <v>4</v>
      </c>
      <c r="P4084">
        <v>30</v>
      </c>
      <c r="Q4084">
        <v>0</v>
      </c>
      <c r="R4084" s="1">
        <v>41561</v>
      </c>
      <c r="S4084" t="s">
        <v>29</v>
      </c>
      <c r="T4084" t="str">
        <f t="shared" si="315"/>
        <v>Grade B</v>
      </c>
      <c r="U4084">
        <f t="shared" si="316"/>
        <v>2</v>
      </c>
      <c r="V4084" t="str">
        <f t="shared" si="317"/>
        <v>Mid Level</v>
      </c>
      <c r="W4084" t="str">
        <f t="shared" si="318"/>
        <v>Medium Risk</v>
      </c>
      <c r="X4084" t="str">
        <f t="shared" si="319"/>
        <v>Fair</v>
      </c>
    </row>
    <row r="4085" spans="1:24" x14ac:dyDescent="0.3">
      <c r="A4085" t="s">
        <v>4153</v>
      </c>
      <c r="B4085" t="s">
        <v>39</v>
      </c>
      <c r="C4085">
        <v>53</v>
      </c>
      <c r="D4085" t="s">
        <v>21</v>
      </c>
      <c r="E4085" t="s">
        <v>40</v>
      </c>
      <c r="F4085" t="s">
        <v>41</v>
      </c>
      <c r="G4085" t="s">
        <v>66</v>
      </c>
      <c r="H4085" t="s">
        <v>67</v>
      </c>
      <c r="I4085" t="s">
        <v>50</v>
      </c>
      <c r="J4085" t="s">
        <v>44</v>
      </c>
      <c r="K4085">
        <v>12</v>
      </c>
      <c r="L4085">
        <v>56724</v>
      </c>
      <c r="M4085" t="s">
        <v>45</v>
      </c>
      <c r="N4085">
        <v>3</v>
      </c>
      <c r="O4085">
        <v>2</v>
      </c>
      <c r="P4085">
        <v>74</v>
      </c>
      <c r="Q4085">
        <v>3</v>
      </c>
      <c r="R4085" s="1">
        <v>40886</v>
      </c>
      <c r="S4085" t="s">
        <v>29</v>
      </c>
      <c r="T4085" t="str">
        <f t="shared" si="315"/>
        <v>Grade B</v>
      </c>
      <c r="U4085">
        <f t="shared" si="316"/>
        <v>2</v>
      </c>
      <c r="V4085" t="str">
        <f t="shared" si="317"/>
        <v>Senior</v>
      </c>
      <c r="W4085" t="str">
        <f t="shared" si="318"/>
        <v>Medium Risk</v>
      </c>
      <c r="X4085" t="str">
        <f t="shared" si="319"/>
        <v>Fair</v>
      </c>
    </row>
    <row r="4086" spans="1:24" x14ac:dyDescent="0.3">
      <c r="A4086" t="s">
        <v>4154</v>
      </c>
      <c r="B4086" t="s">
        <v>20</v>
      </c>
      <c r="C4086">
        <v>53</v>
      </c>
      <c r="D4086" t="s">
        <v>88</v>
      </c>
      <c r="E4086" t="s">
        <v>22</v>
      </c>
      <c r="F4086" t="s">
        <v>75</v>
      </c>
      <c r="G4086" t="s">
        <v>49</v>
      </c>
      <c r="H4086" t="s">
        <v>25</v>
      </c>
      <c r="I4086" t="s">
        <v>50</v>
      </c>
      <c r="J4086" t="s">
        <v>44</v>
      </c>
      <c r="K4086">
        <v>2</v>
      </c>
      <c r="L4086">
        <v>60189</v>
      </c>
      <c r="M4086" t="s">
        <v>51</v>
      </c>
      <c r="N4086">
        <v>4</v>
      </c>
      <c r="O4086">
        <v>2</v>
      </c>
      <c r="P4086">
        <v>72</v>
      </c>
      <c r="Q4086">
        <v>3</v>
      </c>
      <c r="R4086" s="1">
        <v>44279</v>
      </c>
      <c r="S4086" t="s">
        <v>29</v>
      </c>
      <c r="T4086" t="str">
        <f t="shared" si="315"/>
        <v>Grade B</v>
      </c>
      <c r="U4086">
        <f t="shared" si="316"/>
        <v>4</v>
      </c>
      <c r="V4086" t="str">
        <f t="shared" si="317"/>
        <v>New Joiner</v>
      </c>
      <c r="W4086" t="str">
        <f t="shared" si="318"/>
        <v>Low Risk</v>
      </c>
      <c r="X4086" t="str">
        <f t="shared" si="319"/>
        <v>Fair</v>
      </c>
    </row>
    <row r="4087" spans="1:24" x14ac:dyDescent="0.3">
      <c r="A4087" t="s">
        <v>4155</v>
      </c>
      <c r="B4087" t="s">
        <v>39</v>
      </c>
      <c r="C4087">
        <v>29</v>
      </c>
      <c r="D4087" t="s">
        <v>88</v>
      </c>
      <c r="E4087" t="s">
        <v>22</v>
      </c>
      <c r="F4087" t="s">
        <v>53</v>
      </c>
      <c r="G4087" t="s">
        <v>58</v>
      </c>
      <c r="H4087" t="s">
        <v>25</v>
      </c>
      <c r="I4087" t="s">
        <v>54</v>
      </c>
      <c r="J4087" t="s">
        <v>27</v>
      </c>
      <c r="K4087">
        <v>2</v>
      </c>
      <c r="L4087">
        <v>89843</v>
      </c>
      <c r="M4087" t="s">
        <v>36</v>
      </c>
      <c r="N4087">
        <v>3</v>
      </c>
      <c r="O4087">
        <v>3</v>
      </c>
      <c r="P4087">
        <v>72</v>
      </c>
      <c r="Q4087">
        <v>2</v>
      </c>
      <c r="R4087" s="1">
        <v>44255</v>
      </c>
      <c r="S4087" t="s">
        <v>29</v>
      </c>
      <c r="T4087" t="str">
        <f t="shared" si="315"/>
        <v>Grade A</v>
      </c>
      <c r="U4087">
        <f t="shared" si="316"/>
        <v>1</v>
      </c>
      <c r="V4087" t="str">
        <f t="shared" si="317"/>
        <v>New Joiner</v>
      </c>
      <c r="W4087" t="str">
        <f t="shared" si="318"/>
        <v>High Risk</v>
      </c>
      <c r="X4087" t="str">
        <f t="shared" si="319"/>
        <v>Overpaid</v>
      </c>
    </row>
    <row r="4088" spans="1:24" x14ac:dyDescent="0.3">
      <c r="A4088" t="s">
        <v>4156</v>
      </c>
      <c r="B4088" t="s">
        <v>39</v>
      </c>
      <c r="C4088">
        <v>48</v>
      </c>
      <c r="D4088" t="s">
        <v>21</v>
      </c>
      <c r="E4088" t="s">
        <v>22</v>
      </c>
      <c r="F4088" t="s">
        <v>65</v>
      </c>
      <c r="G4088" t="s">
        <v>79</v>
      </c>
      <c r="H4088" t="s">
        <v>83</v>
      </c>
      <c r="I4088" t="s">
        <v>50</v>
      </c>
      <c r="J4088" t="s">
        <v>44</v>
      </c>
      <c r="K4088">
        <v>13</v>
      </c>
      <c r="L4088">
        <v>66926</v>
      </c>
      <c r="M4088" t="s">
        <v>45</v>
      </c>
      <c r="N4088">
        <v>3</v>
      </c>
      <c r="O4088">
        <v>4</v>
      </c>
      <c r="P4088">
        <v>30</v>
      </c>
      <c r="Q4088">
        <v>3</v>
      </c>
      <c r="R4088" s="1">
        <v>40408</v>
      </c>
      <c r="S4088" t="s">
        <v>29</v>
      </c>
      <c r="T4088" t="str">
        <f t="shared" si="315"/>
        <v>Grade B</v>
      </c>
      <c r="U4088">
        <f t="shared" si="316"/>
        <v>2</v>
      </c>
      <c r="V4088" t="str">
        <f t="shared" si="317"/>
        <v>Senior</v>
      </c>
      <c r="W4088" t="str">
        <f t="shared" si="318"/>
        <v>Medium Risk</v>
      </c>
      <c r="X4088" t="str">
        <f t="shared" si="319"/>
        <v>Fair</v>
      </c>
    </row>
    <row r="4089" spans="1:24" x14ac:dyDescent="0.3">
      <c r="A4089" t="s">
        <v>4157</v>
      </c>
      <c r="B4089" t="s">
        <v>39</v>
      </c>
      <c r="C4089">
        <v>53</v>
      </c>
      <c r="D4089" t="s">
        <v>21</v>
      </c>
      <c r="E4089" t="s">
        <v>40</v>
      </c>
      <c r="F4089" t="s">
        <v>75</v>
      </c>
      <c r="G4089" t="s">
        <v>66</v>
      </c>
      <c r="H4089" t="s">
        <v>83</v>
      </c>
      <c r="I4089" t="s">
        <v>50</v>
      </c>
      <c r="J4089" t="s">
        <v>44</v>
      </c>
      <c r="K4089">
        <v>11</v>
      </c>
      <c r="L4089">
        <v>48297</v>
      </c>
      <c r="M4089" t="s">
        <v>51</v>
      </c>
      <c r="N4089">
        <v>3</v>
      </c>
      <c r="O4089">
        <v>2</v>
      </c>
      <c r="P4089">
        <v>66</v>
      </c>
      <c r="Q4089">
        <v>1</v>
      </c>
      <c r="R4089" s="1">
        <v>40971</v>
      </c>
      <c r="S4089" t="s">
        <v>37</v>
      </c>
      <c r="T4089" t="str">
        <f t="shared" si="315"/>
        <v>Grade C</v>
      </c>
      <c r="U4089">
        <f t="shared" si="316"/>
        <v>4</v>
      </c>
      <c r="V4089" t="str">
        <f t="shared" si="317"/>
        <v>Senior</v>
      </c>
      <c r="W4089" t="str">
        <f t="shared" si="318"/>
        <v>Already Left</v>
      </c>
      <c r="X4089" t="str">
        <f t="shared" si="319"/>
        <v>Fair</v>
      </c>
    </row>
    <row r="4090" spans="1:24" x14ac:dyDescent="0.3">
      <c r="A4090" t="s">
        <v>4158</v>
      </c>
      <c r="B4090" t="s">
        <v>20</v>
      </c>
      <c r="C4090">
        <v>52</v>
      </c>
      <c r="D4090" t="s">
        <v>88</v>
      </c>
      <c r="E4090" t="s">
        <v>48</v>
      </c>
      <c r="F4090" t="s">
        <v>41</v>
      </c>
      <c r="G4090" t="s">
        <v>42</v>
      </c>
      <c r="H4090" t="s">
        <v>76</v>
      </c>
      <c r="I4090" t="s">
        <v>35</v>
      </c>
      <c r="J4090" t="s">
        <v>27</v>
      </c>
      <c r="K4090">
        <v>12</v>
      </c>
      <c r="L4090">
        <v>109199</v>
      </c>
      <c r="M4090" t="s">
        <v>36</v>
      </c>
      <c r="N4090">
        <v>3</v>
      </c>
      <c r="O4090">
        <v>2</v>
      </c>
      <c r="P4090">
        <v>19</v>
      </c>
      <c r="Q4090">
        <v>0</v>
      </c>
      <c r="R4090" s="1">
        <v>40627</v>
      </c>
      <c r="S4090" t="s">
        <v>29</v>
      </c>
      <c r="T4090" t="str">
        <f t="shared" si="315"/>
        <v>Grade A</v>
      </c>
      <c r="U4090">
        <f t="shared" si="316"/>
        <v>1</v>
      </c>
      <c r="V4090" t="str">
        <f t="shared" si="317"/>
        <v>Senior</v>
      </c>
      <c r="W4090" t="str">
        <f t="shared" si="318"/>
        <v>Medium Risk</v>
      </c>
      <c r="X4090" t="str">
        <f t="shared" si="319"/>
        <v>Overpaid</v>
      </c>
    </row>
    <row r="4091" spans="1:24" x14ac:dyDescent="0.3">
      <c r="A4091" t="s">
        <v>4159</v>
      </c>
      <c r="B4091" t="s">
        <v>39</v>
      </c>
      <c r="C4091">
        <v>55</v>
      </c>
      <c r="D4091" t="s">
        <v>88</v>
      </c>
      <c r="E4091" t="s">
        <v>22</v>
      </c>
      <c r="F4091" t="s">
        <v>62</v>
      </c>
      <c r="G4091" t="s">
        <v>42</v>
      </c>
      <c r="H4091" t="s">
        <v>25</v>
      </c>
      <c r="I4091" t="s">
        <v>72</v>
      </c>
      <c r="J4091" t="s">
        <v>73</v>
      </c>
      <c r="K4091">
        <v>7</v>
      </c>
      <c r="L4091">
        <v>106030</v>
      </c>
      <c r="M4091" t="s">
        <v>51</v>
      </c>
      <c r="N4091">
        <v>4</v>
      </c>
      <c r="O4091">
        <v>4</v>
      </c>
      <c r="P4091">
        <v>10</v>
      </c>
      <c r="Q4091">
        <v>0</v>
      </c>
      <c r="R4091" s="1">
        <v>42384</v>
      </c>
      <c r="S4091" t="s">
        <v>29</v>
      </c>
      <c r="T4091" t="str">
        <f t="shared" si="315"/>
        <v>Grade A</v>
      </c>
      <c r="U4091">
        <f t="shared" si="316"/>
        <v>4</v>
      </c>
      <c r="V4091" t="str">
        <f t="shared" si="317"/>
        <v>Mid Level</v>
      </c>
      <c r="W4091" t="str">
        <f t="shared" si="318"/>
        <v>Low Risk</v>
      </c>
      <c r="X4091" t="str">
        <f t="shared" si="319"/>
        <v>Competitive</v>
      </c>
    </row>
    <row r="4092" spans="1:24" x14ac:dyDescent="0.3">
      <c r="A4092" t="s">
        <v>4160</v>
      </c>
      <c r="B4092" t="s">
        <v>20</v>
      </c>
      <c r="C4092">
        <v>44</v>
      </c>
      <c r="D4092" t="s">
        <v>57</v>
      </c>
      <c r="E4092" t="s">
        <v>22</v>
      </c>
      <c r="F4092" t="s">
        <v>78</v>
      </c>
      <c r="G4092" t="s">
        <v>63</v>
      </c>
      <c r="H4092" t="s">
        <v>25</v>
      </c>
      <c r="I4092" t="s">
        <v>54</v>
      </c>
      <c r="J4092" t="s">
        <v>27</v>
      </c>
      <c r="K4092">
        <v>14</v>
      </c>
      <c r="L4092">
        <v>81069</v>
      </c>
      <c r="M4092" t="s">
        <v>51</v>
      </c>
      <c r="N4092">
        <v>4</v>
      </c>
      <c r="O4092">
        <v>2</v>
      </c>
      <c r="P4092">
        <v>34</v>
      </c>
      <c r="Q4092">
        <v>0</v>
      </c>
      <c r="R4092" s="1">
        <v>39900</v>
      </c>
      <c r="S4092" t="s">
        <v>29</v>
      </c>
      <c r="T4092" t="str">
        <f t="shared" si="315"/>
        <v>Grade A</v>
      </c>
      <c r="U4092">
        <f t="shared" si="316"/>
        <v>4</v>
      </c>
      <c r="V4092" t="str">
        <f t="shared" si="317"/>
        <v>Senior</v>
      </c>
      <c r="W4092" t="str">
        <f t="shared" si="318"/>
        <v>Low Risk</v>
      </c>
      <c r="X4092" t="str">
        <f t="shared" si="319"/>
        <v>Competitive</v>
      </c>
    </row>
    <row r="4093" spans="1:24" x14ac:dyDescent="0.3">
      <c r="A4093" t="s">
        <v>4161</v>
      </c>
      <c r="B4093" t="s">
        <v>20</v>
      </c>
      <c r="C4093">
        <v>28</v>
      </c>
      <c r="D4093" t="s">
        <v>47</v>
      </c>
      <c r="E4093" t="s">
        <v>22</v>
      </c>
      <c r="F4093" t="s">
        <v>65</v>
      </c>
      <c r="G4093" t="s">
        <v>63</v>
      </c>
      <c r="H4093" t="s">
        <v>25</v>
      </c>
      <c r="I4093" t="s">
        <v>96</v>
      </c>
      <c r="J4093" t="s">
        <v>44</v>
      </c>
      <c r="K4093">
        <v>14</v>
      </c>
      <c r="L4093">
        <v>66084</v>
      </c>
      <c r="M4093" t="s">
        <v>36</v>
      </c>
      <c r="N4093">
        <v>1</v>
      </c>
      <c r="O4093">
        <v>2</v>
      </c>
      <c r="P4093">
        <v>30</v>
      </c>
      <c r="Q4093">
        <v>1</v>
      </c>
      <c r="R4093" s="1">
        <v>39899</v>
      </c>
      <c r="S4093" t="s">
        <v>37</v>
      </c>
      <c r="T4093" t="str">
        <f t="shared" si="315"/>
        <v>Grade B</v>
      </c>
      <c r="U4093">
        <f t="shared" si="316"/>
        <v>1</v>
      </c>
      <c r="V4093" t="str">
        <f t="shared" si="317"/>
        <v>Senior</v>
      </c>
      <c r="W4093" t="str">
        <f t="shared" si="318"/>
        <v>Already Left</v>
      </c>
      <c r="X4093" t="str">
        <f t="shared" si="319"/>
        <v>Fair</v>
      </c>
    </row>
    <row r="4094" spans="1:24" x14ac:dyDescent="0.3">
      <c r="A4094" t="s">
        <v>4162</v>
      </c>
      <c r="B4094" t="s">
        <v>39</v>
      </c>
      <c r="C4094">
        <v>48</v>
      </c>
      <c r="D4094" t="s">
        <v>21</v>
      </c>
      <c r="E4094" t="s">
        <v>40</v>
      </c>
      <c r="F4094" t="s">
        <v>75</v>
      </c>
      <c r="G4094" t="s">
        <v>58</v>
      </c>
      <c r="H4094" t="s">
        <v>25</v>
      </c>
      <c r="I4094" t="s">
        <v>50</v>
      </c>
      <c r="J4094" t="s">
        <v>44</v>
      </c>
      <c r="K4094">
        <v>3</v>
      </c>
      <c r="L4094">
        <v>94764</v>
      </c>
      <c r="M4094" t="s">
        <v>36</v>
      </c>
      <c r="N4094">
        <v>3</v>
      </c>
      <c r="O4094">
        <v>1</v>
      </c>
      <c r="P4094">
        <v>13</v>
      </c>
      <c r="Q4094">
        <v>1</v>
      </c>
      <c r="R4094" s="1">
        <v>44109</v>
      </c>
      <c r="S4094" t="s">
        <v>37</v>
      </c>
      <c r="T4094" t="str">
        <f t="shared" si="315"/>
        <v>Grade A</v>
      </c>
      <c r="U4094">
        <f t="shared" si="316"/>
        <v>1</v>
      </c>
      <c r="V4094" t="str">
        <f t="shared" si="317"/>
        <v>Junior</v>
      </c>
      <c r="W4094" t="str">
        <f t="shared" si="318"/>
        <v>Already Left</v>
      </c>
      <c r="X4094" t="str">
        <f t="shared" si="319"/>
        <v>Overpaid</v>
      </c>
    </row>
    <row r="4095" spans="1:24" x14ac:dyDescent="0.3">
      <c r="A4095" t="s">
        <v>4163</v>
      </c>
      <c r="B4095" t="s">
        <v>39</v>
      </c>
      <c r="C4095">
        <v>25</v>
      </c>
      <c r="D4095" t="s">
        <v>47</v>
      </c>
      <c r="E4095" t="s">
        <v>22</v>
      </c>
      <c r="F4095" t="s">
        <v>53</v>
      </c>
      <c r="G4095" t="s">
        <v>58</v>
      </c>
      <c r="H4095" t="s">
        <v>34</v>
      </c>
      <c r="I4095" t="s">
        <v>35</v>
      </c>
      <c r="J4095" t="s">
        <v>27</v>
      </c>
      <c r="K4095">
        <v>4</v>
      </c>
      <c r="L4095">
        <v>88788</v>
      </c>
      <c r="M4095" t="s">
        <v>36</v>
      </c>
      <c r="N4095">
        <v>3</v>
      </c>
      <c r="O4095">
        <v>1</v>
      </c>
      <c r="P4095">
        <v>30</v>
      </c>
      <c r="Q4095">
        <v>1</v>
      </c>
      <c r="R4095" s="1">
        <v>43527</v>
      </c>
      <c r="S4095" t="s">
        <v>37</v>
      </c>
      <c r="T4095" t="str">
        <f t="shared" si="315"/>
        <v>Grade A</v>
      </c>
      <c r="U4095">
        <f t="shared" si="316"/>
        <v>1</v>
      </c>
      <c r="V4095" t="str">
        <f t="shared" si="317"/>
        <v>Junior</v>
      </c>
      <c r="W4095" t="str">
        <f t="shared" si="318"/>
        <v>Already Left</v>
      </c>
      <c r="X4095" t="str">
        <f t="shared" si="319"/>
        <v>Overpaid</v>
      </c>
    </row>
    <row r="4096" spans="1:24" x14ac:dyDescent="0.3">
      <c r="A4096" t="s">
        <v>4164</v>
      </c>
      <c r="B4096" t="s">
        <v>39</v>
      </c>
      <c r="C4096">
        <v>44</v>
      </c>
      <c r="D4096" t="s">
        <v>57</v>
      </c>
      <c r="E4096" t="s">
        <v>40</v>
      </c>
      <c r="F4096" t="s">
        <v>65</v>
      </c>
      <c r="G4096" t="s">
        <v>33</v>
      </c>
      <c r="H4096" t="s">
        <v>34</v>
      </c>
      <c r="I4096" t="s">
        <v>43</v>
      </c>
      <c r="J4096" t="s">
        <v>44</v>
      </c>
      <c r="K4096">
        <v>12</v>
      </c>
      <c r="L4096">
        <v>89163</v>
      </c>
      <c r="M4096" t="s">
        <v>51</v>
      </c>
      <c r="N4096">
        <v>2</v>
      </c>
      <c r="O4096">
        <v>4</v>
      </c>
      <c r="P4096">
        <v>39</v>
      </c>
      <c r="Q4096">
        <v>3</v>
      </c>
      <c r="R4096" s="1">
        <v>40615</v>
      </c>
      <c r="S4096" t="s">
        <v>29</v>
      </c>
      <c r="T4096" t="str">
        <f t="shared" si="315"/>
        <v>Grade A</v>
      </c>
      <c r="U4096">
        <f t="shared" si="316"/>
        <v>4</v>
      </c>
      <c r="V4096" t="str">
        <f t="shared" si="317"/>
        <v>Senior</v>
      </c>
      <c r="W4096" t="str">
        <f t="shared" si="318"/>
        <v>Low Risk</v>
      </c>
      <c r="X4096" t="str">
        <f t="shared" si="319"/>
        <v>Competitive</v>
      </c>
    </row>
    <row r="4097" spans="1:24" x14ac:dyDescent="0.3">
      <c r="A4097" t="s">
        <v>4165</v>
      </c>
      <c r="B4097" t="s">
        <v>39</v>
      </c>
      <c r="C4097">
        <v>49</v>
      </c>
      <c r="D4097" t="s">
        <v>21</v>
      </c>
      <c r="E4097" t="s">
        <v>22</v>
      </c>
      <c r="F4097" t="s">
        <v>41</v>
      </c>
      <c r="G4097" t="s">
        <v>66</v>
      </c>
      <c r="H4097" t="s">
        <v>67</v>
      </c>
      <c r="I4097" t="s">
        <v>35</v>
      </c>
      <c r="J4097" t="s">
        <v>27</v>
      </c>
      <c r="K4097">
        <v>1</v>
      </c>
      <c r="L4097">
        <v>34215</v>
      </c>
      <c r="M4097" t="s">
        <v>28</v>
      </c>
      <c r="N4097">
        <v>1</v>
      </c>
      <c r="O4097">
        <v>1</v>
      </c>
      <c r="P4097">
        <v>79</v>
      </c>
      <c r="Q4097">
        <v>0</v>
      </c>
      <c r="R4097" s="1">
        <v>44760</v>
      </c>
      <c r="S4097" t="s">
        <v>29</v>
      </c>
      <c r="T4097" t="str">
        <f t="shared" si="315"/>
        <v>Grade D</v>
      </c>
      <c r="U4097">
        <f t="shared" si="316"/>
        <v>3</v>
      </c>
      <c r="V4097" t="str">
        <f t="shared" si="317"/>
        <v>New Joiner</v>
      </c>
      <c r="W4097" t="str">
        <f t="shared" si="318"/>
        <v>Medium Risk</v>
      </c>
      <c r="X4097" t="str">
        <f t="shared" si="319"/>
        <v>Fair</v>
      </c>
    </row>
    <row r="4098" spans="1:24" x14ac:dyDescent="0.3">
      <c r="A4098" t="s">
        <v>4166</v>
      </c>
      <c r="B4098" t="s">
        <v>39</v>
      </c>
      <c r="C4098">
        <v>38</v>
      </c>
      <c r="D4098" t="s">
        <v>47</v>
      </c>
      <c r="E4098" t="s">
        <v>40</v>
      </c>
      <c r="F4098" t="s">
        <v>32</v>
      </c>
      <c r="G4098" t="s">
        <v>58</v>
      </c>
      <c r="H4098" t="s">
        <v>83</v>
      </c>
      <c r="I4098" t="s">
        <v>68</v>
      </c>
      <c r="J4098" t="s">
        <v>60</v>
      </c>
      <c r="K4098">
        <v>4</v>
      </c>
      <c r="L4098">
        <v>85505</v>
      </c>
      <c r="M4098" t="s">
        <v>36</v>
      </c>
      <c r="N4098">
        <v>4</v>
      </c>
      <c r="O4098">
        <v>3</v>
      </c>
      <c r="P4098">
        <v>26</v>
      </c>
      <c r="Q4098">
        <v>0</v>
      </c>
      <c r="R4098" s="1">
        <v>43788</v>
      </c>
      <c r="S4098" t="s">
        <v>37</v>
      </c>
      <c r="T4098" t="str">
        <f t="shared" ref="T4098:T4161" si="320">IF(L4098&gt;=80000,"Grade A",IF(L4098&gt;=50000,"Grade B",IF(L4098&gt;=35000,"Grade C","Grade D")))</f>
        <v>Grade A</v>
      </c>
      <c r="U4098">
        <f t="shared" ref="U4098:U4161" si="321">IF(M4098="Excellent",4,IF(M4098="Good",3,IF(M4098="Average",2,1)))</f>
        <v>1</v>
      </c>
      <c r="V4098" t="str">
        <f t="shared" ref="V4098:V4161" si="322">IF(K4098&lt;=2,"New Joiner",IF(K4098&lt;=5,"Junior",IF(K4098&lt;=10,"Mid Level","Senior")))</f>
        <v>Junior</v>
      </c>
      <c r="W4098" t="str">
        <f t="shared" ref="W4098:W4161" si="323">IF(S4098="Yes","Already Left",IF(AND(K4098&lt;=2,M4098="Poor"),"High Risk",IF(AND(K4098&lt;=5,M4098="Average"),"Medium Risk",IF(M4098="Excellent","Low Risk","Medium Risk"))))</f>
        <v>Already Left</v>
      </c>
      <c r="X4098" t="str">
        <f t="shared" ref="X4098:X4161" si="324">IF(AND(L4098&gt;=80000,M4098="Excellent"),"Competitive",IF(AND(L4098&gt;=50000,M4098="Good"),"Competitive",IF(AND(L4098&lt;35000,M4098="Excellent"),"Underpaid",IF(AND(L4098&gt;=80000,M4098="Poor"),"Overpaid","Fair"))))</f>
        <v>Overpaid</v>
      </c>
    </row>
    <row r="4099" spans="1:24" x14ac:dyDescent="0.3">
      <c r="A4099" t="s">
        <v>4167</v>
      </c>
      <c r="B4099" t="s">
        <v>39</v>
      </c>
      <c r="C4099">
        <v>24</v>
      </c>
      <c r="D4099" t="s">
        <v>88</v>
      </c>
      <c r="E4099" t="s">
        <v>40</v>
      </c>
      <c r="F4099" t="s">
        <v>41</v>
      </c>
      <c r="G4099" t="s">
        <v>42</v>
      </c>
      <c r="H4099" t="s">
        <v>83</v>
      </c>
      <c r="I4099" t="s">
        <v>50</v>
      </c>
      <c r="J4099" t="s">
        <v>44</v>
      </c>
      <c r="K4099">
        <v>13</v>
      </c>
      <c r="L4099">
        <v>121898</v>
      </c>
      <c r="M4099" t="s">
        <v>36</v>
      </c>
      <c r="N4099">
        <v>1</v>
      </c>
      <c r="O4099">
        <v>1</v>
      </c>
      <c r="P4099">
        <v>69</v>
      </c>
      <c r="Q4099">
        <v>0</v>
      </c>
      <c r="R4099" s="1">
        <v>40369</v>
      </c>
      <c r="S4099" t="s">
        <v>37</v>
      </c>
      <c r="T4099" t="str">
        <f t="shared" si="320"/>
        <v>Grade A</v>
      </c>
      <c r="U4099">
        <f t="shared" si="321"/>
        <v>1</v>
      </c>
      <c r="V4099" t="str">
        <f t="shared" si="322"/>
        <v>Senior</v>
      </c>
      <c r="W4099" t="str">
        <f t="shared" si="323"/>
        <v>Already Left</v>
      </c>
      <c r="X4099" t="str">
        <f t="shared" si="324"/>
        <v>Overpaid</v>
      </c>
    </row>
    <row r="4100" spans="1:24" x14ac:dyDescent="0.3">
      <c r="A4100" t="s">
        <v>4168</v>
      </c>
      <c r="B4100" t="s">
        <v>39</v>
      </c>
      <c r="C4100">
        <v>41</v>
      </c>
      <c r="D4100" t="s">
        <v>21</v>
      </c>
      <c r="E4100" t="s">
        <v>22</v>
      </c>
      <c r="F4100" t="s">
        <v>23</v>
      </c>
      <c r="G4100" t="s">
        <v>79</v>
      </c>
      <c r="H4100" t="s">
        <v>34</v>
      </c>
      <c r="I4100" t="s">
        <v>72</v>
      </c>
      <c r="J4100" t="s">
        <v>73</v>
      </c>
      <c r="K4100">
        <v>11</v>
      </c>
      <c r="L4100">
        <v>54729</v>
      </c>
      <c r="M4100" t="s">
        <v>45</v>
      </c>
      <c r="N4100">
        <v>2</v>
      </c>
      <c r="O4100">
        <v>3</v>
      </c>
      <c r="P4100">
        <v>17</v>
      </c>
      <c r="Q4100">
        <v>0</v>
      </c>
      <c r="R4100" s="1">
        <v>41112</v>
      </c>
      <c r="S4100" t="s">
        <v>37</v>
      </c>
      <c r="T4100" t="str">
        <f t="shared" si="320"/>
        <v>Grade B</v>
      </c>
      <c r="U4100">
        <f t="shared" si="321"/>
        <v>2</v>
      </c>
      <c r="V4100" t="str">
        <f t="shared" si="322"/>
        <v>Senior</v>
      </c>
      <c r="W4100" t="str">
        <f t="shared" si="323"/>
        <v>Already Left</v>
      </c>
      <c r="X4100" t="str">
        <f t="shared" si="324"/>
        <v>Fair</v>
      </c>
    </row>
    <row r="4101" spans="1:24" x14ac:dyDescent="0.3">
      <c r="A4101" t="s">
        <v>4169</v>
      </c>
      <c r="B4101" t="s">
        <v>20</v>
      </c>
      <c r="C4101">
        <v>24</v>
      </c>
      <c r="D4101" t="s">
        <v>47</v>
      </c>
      <c r="E4101" t="s">
        <v>40</v>
      </c>
      <c r="F4101" t="s">
        <v>53</v>
      </c>
      <c r="G4101" t="s">
        <v>66</v>
      </c>
      <c r="H4101" t="s">
        <v>34</v>
      </c>
      <c r="I4101" t="s">
        <v>26</v>
      </c>
      <c r="J4101" t="s">
        <v>27</v>
      </c>
      <c r="K4101">
        <v>13</v>
      </c>
      <c r="L4101">
        <v>52965</v>
      </c>
      <c r="M4101" t="s">
        <v>36</v>
      </c>
      <c r="N4101">
        <v>1</v>
      </c>
      <c r="O4101">
        <v>4</v>
      </c>
      <c r="P4101">
        <v>41</v>
      </c>
      <c r="Q4101">
        <v>0</v>
      </c>
      <c r="R4101" s="1">
        <v>40345</v>
      </c>
      <c r="S4101" t="s">
        <v>37</v>
      </c>
      <c r="T4101" t="str">
        <f t="shared" si="320"/>
        <v>Grade B</v>
      </c>
      <c r="U4101">
        <f t="shared" si="321"/>
        <v>1</v>
      </c>
      <c r="V4101" t="str">
        <f t="shared" si="322"/>
        <v>Senior</v>
      </c>
      <c r="W4101" t="str">
        <f t="shared" si="323"/>
        <v>Already Left</v>
      </c>
      <c r="X4101" t="str">
        <f t="shared" si="324"/>
        <v>Fair</v>
      </c>
    </row>
    <row r="4102" spans="1:24" x14ac:dyDescent="0.3">
      <c r="A4102" t="s">
        <v>4170</v>
      </c>
      <c r="B4102" t="s">
        <v>20</v>
      </c>
      <c r="C4102">
        <v>45</v>
      </c>
      <c r="D4102" t="s">
        <v>21</v>
      </c>
      <c r="E4102" t="s">
        <v>48</v>
      </c>
      <c r="F4102" t="s">
        <v>41</v>
      </c>
      <c r="G4102" t="s">
        <v>79</v>
      </c>
      <c r="H4102" t="s">
        <v>25</v>
      </c>
      <c r="I4102" t="s">
        <v>96</v>
      </c>
      <c r="J4102" t="s">
        <v>44</v>
      </c>
      <c r="K4102">
        <v>8</v>
      </c>
      <c r="L4102">
        <v>65671</v>
      </c>
      <c r="M4102" t="s">
        <v>28</v>
      </c>
      <c r="N4102">
        <v>1</v>
      </c>
      <c r="O4102">
        <v>3</v>
      </c>
      <c r="P4102">
        <v>58</v>
      </c>
      <c r="Q4102">
        <v>0</v>
      </c>
      <c r="R4102" s="1">
        <v>42356</v>
      </c>
      <c r="S4102" t="s">
        <v>37</v>
      </c>
      <c r="T4102" t="str">
        <f t="shared" si="320"/>
        <v>Grade B</v>
      </c>
      <c r="U4102">
        <f t="shared" si="321"/>
        <v>3</v>
      </c>
      <c r="V4102" t="str">
        <f t="shared" si="322"/>
        <v>Mid Level</v>
      </c>
      <c r="W4102" t="str">
        <f t="shared" si="323"/>
        <v>Already Left</v>
      </c>
      <c r="X4102" t="str">
        <f t="shared" si="324"/>
        <v>Competitive</v>
      </c>
    </row>
    <row r="4103" spans="1:24" x14ac:dyDescent="0.3">
      <c r="A4103" t="s">
        <v>4171</v>
      </c>
      <c r="B4103" t="s">
        <v>39</v>
      </c>
      <c r="C4103">
        <v>43</v>
      </c>
      <c r="D4103" t="s">
        <v>88</v>
      </c>
      <c r="E4103" t="s">
        <v>22</v>
      </c>
      <c r="F4103" t="s">
        <v>65</v>
      </c>
      <c r="G4103" t="s">
        <v>66</v>
      </c>
      <c r="H4103" t="s">
        <v>76</v>
      </c>
      <c r="I4103" t="s">
        <v>96</v>
      </c>
      <c r="J4103" t="s">
        <v>44</v>
      </c>
      <c r="K4103">
        <v>1</v>
      </c>
      <c r="L4103">
        <v>45203</v>
      </c>
      <c r="M4103" t="s">
        <v>51</v>
      </c>
      <c r="N4103">
        <v>2</v>
      </c>
      <c r="O4103">
        <v>4</v>
      </c>
      <c r="P4103">
        <v>52</v>
      </c>
      <c r="Q4103">
        <v>1</v>
      </c>
      <c r="R4103" s="1">
        <v>44776</v>
      </c>
      <c r="S4103" t="s">
        <v>29</v>
      </c>
      <c r="T4103" t="str">
        <f t="shared" si="320"/>
        <v>Grade C</v>
      </c>
      <c r="U4103">
        <f t="shared" si="321"/>
        <v>4</v>
      </c>
      <c r="V4103" t="str">
        <f t="shared" si="322"/>
        <v>New Joiner</v>
      </c>
      <c r="W4103" t="str">
        <f t="shared" si="323"/>
        <v>Low Risk</v>
      </c>
      <c r="X4103" t="str">
        <f t="shared" si="324"/>
        <v>Fair</v>
      </c>
    </row>
    <row r="4104" spans="1:24" x14ac:dyDescent="0.3">
      <c r="A4104" t="s">
        <v>4172</v>
      </c>
      <c r="B4104" t="s">
        <v>39</v>
      </c>
      <c r="C4104">
        <v>41</v>
      </c>
      <c r="D4104" t="s">
        <v>57</v>
      </c>
      <c r="E4104" t="s">
        <v>48</v>
      </c>
      <c r="F4104" t="s">
        <v>53</v>
      </c>
      <c r="G4104" t="s">
        <v>58</v>
      </c>
      <c r="H4104" t="s">
        <v>25</v>
      </c>
      <c r="I4104" t="s">
        <v>43</v>
      </c>
      <c r="J4104" t="s">
        <v>44</v>
      </c>
      <c r="K4104">
        <v>10</v>
      </c>
      <c r="L4104">
        <v>106598</v>
      </c>
      <c r="M4104" t="s">
        <v>36</v>
      </c>
      <c r="N4104">
        <v>1</v>
      </c>
      <c r="O4104">
        <v>1</v>
      </c>
      <c r="P4104">
        <v>71</v>
      </c>
      <c r="Q4104">
        <v>1</v>
      </c>
      <c r="R4104" s="1">
        <v>41293</v>
      </c>
      <c r="S4104" t="s">
        <v>37</v>
      </c>
      <c r="T4104" t="str">
        <f t="shared" si="320"/>
        <v>Grade A</v>
      </c>
      <c r="U4104">
        <f t="shared" si="321"/>
        <v>1</v>
      </c>
      <c r="V4104" t="str">
        <f t="shared" si="322"/>
        <v>Mid Level</v>
      </c>
      <c r="W4104" t="str">
        <f t="shared" si="323"/>
        <v>Already Left</v>
      </c>
      <c r="X4104" t="str">
        <f t="shared" si="324"/>
        <v>Overpaid</v>
      </c>
    </row>
    <row r="4105" spans="1:24" x14ac:dyDescent="0.3">
      <c r="A4105" t="s">
        <v>4173</v>
      </c>
      <c r="B4105" t="s">
        <v>39</v>
      </c>
      <c r="C4105">
        <v>28</v>
      </c>
      <c r="D4105" t="s">
        <v>88</v>
      </c>
      <c r="E4105" t="s">
        <v>48</v>
      </c>
      <c r="F4105" t="s">
        <v>75</v>
      </c>
      <c r="G4105" t="s">
        <v>42</v>
      </c>
      <c r="H4105" t="s">
        <v>67</v>
      </c>
      <c r="I4105" t="s">
        <v>72</v>
      </c>
      <c r="J4105" t="s">
        <v>73</v>
      </c>
      <c r="K4105">
        <v>15</v>
      </c>
      <c r="L4105">
        <v>116149</v>
      </c>
      <c r="M4105" t="s">
        <v>36</v>
      </c>
      <c r="N4105">
        <v>3</v>
      </c>
      <c r="O4105">
        <v>4</v>
      </c>
      <c r="P4105">
        <v>70</v>
      </c>
      <c r="Q4105">
        <v>0</v>
      </c>
      <c r="R4105" s="1">
        <v>39648</v>
      </c>
      <c r="S4105" t="s">
        <v>29</v>
      </c>
      <c r="T4105" t="str">
        <f t="shared" si="320"/>
        <v>Grade A</v>
      </c>
      <c r="U4105">
        <f t="shared" si="321"/>
        <v>1</v>
      </c>
      <c r="V4105" t="str">
        <f t="shared" si="322"/>
        <v>Senior</v>
      </c>
      <c r="W4105" t="str">
        <f t="shared" si="323"/>
        <v>Medium Risk</v>
      </c>
      <c r="X4105" t="str">
        <f t="shared" si="324"/>
        <v>Overpaid</v>
      </c>
    </row>
    <row r="4106" spans="1:24" x14ac:dyDescent="0.3">
      <c r="A4106" t="s">
        <v>4174</v>
      </c>
      <c r="B4106" t="s">
        <v>39</v>
      </c>
      <c r="C4106">
        <v>25</v>
      </c>
      <c r="D4106" t="s">
        <v>57</v>
      </c>
      <c r="E4106" t="s">
        <v>22</v>
      </c>
      <c r="F4106" t="s">
        <v>23</v>
      </c>
      <c r="G4106" t="s">
        <v>33</v>
      </c>
      <c r="H4106" t="s">
        <v>76</v>
      </c>
      <c r="I4106" t="s">
        <v>96</v>
      </c>
      <c r="J4106" t="s">
        <v>44</v>
      </c>
      <c r="K4106">
        <v>6</v>
      </c>
      <c r="L4106">
        <v>75966</v>
      </c>
      <c r="M4106" t="s">
        <v>36</v>
      </c>
      <c r="N4106">
        <v>1</v>
      </c>
      <c r="O4106">
        <v>3</v>
      </c>
      <c r="P4106">
        <v>32</v>
      </c>
      <c r="Q4106">
        <v>0</v>
      </c>
      <c r="R4106" s="1">
        <v>42866</v>
      </c>
      <c r="S4106" t="s">
        <v>37</v>
      </c>
      <c r="T4106" t="str">
        <f t="shared" si="320"/>
        <v>Grade B</v>
      </c>
      <c r="U4106">
        <f t="shared" si="321"/>
        <v>1</v>
      </c>
      <c r="V4106" t="str">
        <f t="shared" si="322"/>
        <v>Mid Level</v>
      </c>
      <c r="W4106" t="str">
        <f t="shared" si="323"/>
        <v>Already Left</v>
      </c>
      <c r="X4106" t="str">
        <f t="shared" si="324"/>
        <v>Fair</v>
      </c>
    </row>
    <row r="4107" spans="1:24" x14ac:dyDescent="0.3">
      <c r="A4107" t="s">
        <v>4175</v>
      </c>
      <c r="B4107" t="s">
        <v>39</v>
      </c>
      <c r="C4107">
        <v>54</v>
      </c>
      <c r="D4107" t="s">
        <v>21</v>
      </c>
      <c r="E4107" t="s">
        <v>48</v>
      </c>
      <c r="F4107" t="s">
        <v>23</v>
      </c>
      <c r="G4107" t="s">
        <v>66</v>
      </c>
      <c r="H4107" t="s">
        <v>76</v>
      </c>
      <c r="I4107" t="s">
        <v>59</v>
      </c>
      <c r="J4107" t="s">
        <v>60</v>
      </c>
      <c r="K4107">
        <v>15</v>
      </c>
      <c r="L4107">
        <v>62668</v>
      </c>
      <c r="M4107" t="s">
        <v>28</v>
      </c>
      <c r="N4107">
        <v>4</v>
      </c>
      <c r="O4107">
        <v>1</v>
      </c>
      <c r="P4107">
        <v>11</v>
      </c>
      <c r="Q4107">
        <v>3</v>
      </c>
      <c r="R4107" s="1">
        <v>39618</v>
      </c>
      <c r="S4107" t="s">
        <v>29</v>
      </c>
      <c r="T4107" t="str">
        <f t="shared" si="320"/>
        <v>Grade B</v>
      </c>
      <c r="U4107">
        <f t="shared" si="321"/>
        <v>3</v>
      </c>
      <c r="V4107" t="str">
        <f t="shared" si="322"/>
        <v>Senior</v>
      </c>
      <c r="W4107" t="str">
        <f t="shared" si="323"/>
        <v>Medium Risk</v>
      </c>
      <c r="X4107" t="str">
        <f t="shared" si="324"/>
        <v>Competitive</v>
      </c>
    </row>
    <row r="4108" spans="1:24" x14ac:dyDescent="0.3">
      <c r="A4108" t="s">
        <v>4176</v>
      </c>
      <c r="B4108" t="s">
        <v>20</v>
      </c>
      <c r="C4108">
        <v>51</v>
      </c>
      <c r="D4108" t="s">
        <v>31</v>
      </c>
      <c r="E4108" t="s">
        <v>48</v>
      </c>
      <c r="F4108" t="s">
        <v>75</v>
      </c>
      <c r="G4108" t="s">
        <v>58</v>
      </c>
      <c r="H4108" t="s">
        <v>83</v>
      </c>
      <c r="I4108" t="s">
        <v>35</v>
      </c>
      <c r="J4108" t="s">
        <v>27</v>
      </c>
      <c r="K4108">
        <v>10</v>
      </c>
      <c r="L4108">
        <v>97034</v>
      </c>
      <c r="M4108" t="s">
        <v>36</v>
      </c>
      <c r="N4108">
        <v>1</v>
      </c>
      <c r="O4108">
        <v>4</v>
      </c>
      <c r="P4108">
        <v>48</v>
      </c>
      <c r="Q4108">
        <v>0</v>
      </c>
      <c r="R4108" s="1">
        <v>41517</v>
      </c>
      <c r="S4108" t="s">
        <v>37</v>
      </c>
      <c r="T4108" t="str">
        <f t="shared" si="320"/>
        <v>Grade A</v>
      </c>
      <c r="U4108">
        <f t="shared" si="321"/>
        <v>1</v>
      </c>
      <c r="V4108" t="str">
        <f t="shared" si="322"/>
        <v>Mid Level</v>
      </c>
      <c r="W4108" t="str">
        <f t="shared" si="323"/>
        <v>Already Left</v>
      </c>
      <c r="X4108" t="str">
        <f t="shared" si="324"/>
        <v>Overpaid</v>
      </c>
    </row>
    <row r="4109" spans="1:24" x14ac:dyDescent="0.3">
      <c r="A4109" t="s">
        <v>4177</v>
      </c>
      <c r="B4109" t="s">
        <v>39</v>
      </c>
      <c r="C4109">
        <v>47</v>
      </c>
      <c r="D4109" t="s">
        <v>57</v>
      </c>
      <c r="E4109" t="s">
        <v>22</v>
      </c>
      <c r="F4109" t="s">
        <v>62</v>
      </c>
      <c r="G4109" t="s">
        <v>42</v>
      </c>
      <c r="H4109" t="s">
        <v>25</v>
      </c>
      <c r="I4109" t="s">
        <v>80</v>
      </c>
      <c r="J4109" t="s">
        <v>60</v>
      </c>
      <c r="K4109">
        <v>13</v>
      </c>
      <c r="L4109">
        <v>120198</v>
      </c>
      <c r="M4109" t="s">
        <v>28</v>
      </c>
      <c r="N4109">
        <v>4</v>
      </c>
      <c r="O4109">
        <v>2</v>
      </c>
      <c r="P4109">
        <v>54</v>
      </c>
      <c r="Q4109">
        <v>0</v>
      </c>
      <c r="R4109" s="1">
        <v>40239</v>
      </c>
      <c r="S4109" t="s">
        <v>29</v>
      </c>
      <c r="T4109" t="str">
        <f t="shared" si="320"/>
        <v>Grade A</v>
      </c>
      <c r="U4109">
        <f t="shared" si="321"/>
        <v>3</v>
      </c>
      <c r="V4109" t="str">
        <f t="shared" si="322"/>
        <v>Senior</v>
      </c>
      <c r="W4109" t="str">
        <f t="shared" si="323"/>
        <v>Medium Risk</v>
      </c>
      <c r="X4109" t="str">
        <f t="shared" si="324"/>
        <v>Competitive</v>
      </c>
    </row>
    <row r="4110" spans="1:24" x14ac:dyDescent="0.3">
      <c r="A4110" t="s">
        <v>4178</v>
      </c>
      <c r="B4110" t="s">
        <v>20</v>
      </c>
      <c r="C4110">
        <v>33</v>
      </c>
      <c r="D4110" t="s">
        <v>88</v>
      </c>
      <c r="E4110" t="s">
        <v>40</v>
      </c>
      <c r="F4110" t="s">
        <v>41</v>
      </c>
      <c r="G4110" t="s">
        <v>42</v>
      </c>
      <c r="H4110" t="s">
        <v>67</v>
      </c>
      <c r="I4110" t="s">
        <v>54</v>
      </c>
      <c r="J4110" t="s">
        <v>27</v>
      </c>
      <c r="K4110">
        <v>4</v>
      </c>
      <c r="L4110">
        <v>102969</v>
      </c>
      <c r="M4110" t="s">
        <v>28</v>
      </c>
      <c r="N4110">
        <v>2</v>
      </c>
      <c r="O4110">
        <v>4</v>
      </c>
      <c r="P4110">
        <v>69</v>
      </c>
      <c r="Q4110">
        <v>3</v>
      </c>
      <c r="R4110" s="1">
        <v>43669</v>
      </c>
      <c r="S4110" t="s">
        <v>37</v>
      </c>
      <c r="T4110" t="str">
        <f t="shared" si="320"/>
        <v>Grade A</v>
      </c>
      <c r="U4110">
        <f t="shared" si="321"/>
        <v>3</v>
      </c>
      <c r="V4110" t="str">
        <f t="shared" si="322"/>
        <v>Junior</v>
      </c>
      <c r="W4110" t="str">
        <f t="shared" si="323"/>
        <v>Already Left</v>
      </c>
      <c r="X4110" t="str">
        <f t="shared" si="324"/>
        <v>Competitive</v>
      </c>
    </row>
    <row r="4111" spans="1:24" x14ac:dyDescent="0.3">
      <c r="A4111" t="s">
        <v>4179</v>
      </c>
      <c r="B4111" t="s">
        <v>39</v>
      </c>
      <c r="C4111">
        <v>27</v>
      </c>
      <c r="D4111" t="s">
        <v>47</v>
      </c>
      <c r="E4111" t="s">
        <v>22</v>
      </c>
      <c r="F4111" t="s">
        <v>41</v>
      </c>
      <c r="G4111" t="s">
        <v>63</v>
      </c>
      <c r="H4111" t="s">
        <v>67</v>
      </c>
      <c r="I4111" t="s">
        <v>96</v>
      </c>
      <c r="J4111" t="s">
        <v>44</v>
      </c>
      <c r="K4111">
        <v>9</v>
      </c>
      <c r="L4111">
        <v>56846</v>
      </c>
      <c r="M4111" t="s">
        <v>45</v>
      </c>
      <c r="N4111">
        <v>1</v>
      </c>
      <c r="O4111">
        <v>2</v>
      </c>
      <c r="P4111">
        <v>73</v>
      </c>
      <c r="Q4111">
        <v>3</v>
      </c>
      <c r="R4111" s="1">
        <v>41996</v>
      </c>
      <c r="S4111" t="s">
        <v>29</v>
      </c>
      <c r="T4111" t="str">
        <f t="shared" si="320"/>
        <v>Grade B</v>
      </c>
      <c r="U4111">
        <f t="shared" si="321"/>
        <v>2</v>
      </c>
      <c r="V4111" t="str">
        <f t="shared" si="322"/>
        <v>Mid Level</v>
      </c>
      <c r="W4111" t="str">
        <f t="shared" si="323"/>
        <v>Medium Risk</v>
      </c>
      <c r="X4111" t="str">
        <f t="shared" si="324"/>
        <v>Fair</v>
      </c>
    </row>
    <row r="4112" spans="1:24" x14ac:dyDescent="0.3">
      <c r="A4112" t="s">
        <v>4180</v>
      </c>
      <c r="B4112" t="s">
        <v>39</v>
      </c>
      <c r="C4112">
        <v>50</v>
      </c>
      <c r="D4112" t="s">
        <v>57</v>
      </c>
      <c r="E4112" t="s">
        <v>22</v>
      </c>
      <c r="F4112" t="s">
        <v>78</v>
      </c>
      <c r="G4112" t="s">
        <v>24</v>
      </c>
      <c r="H4112" t="s">
        <v>34</v>
      </c>
      <c r="I4112" t="s">
        <v>26</v>
      </c>
      <c r="J4112" t="s">
        <v>27</v>
      </c>
      <c r="K4112">
        <v>11</v>
      </c>
      <c r="L4112">
        <v>105730</v>
      </c>
      <c r="M4112" t="s">
        <v>36</v>
      </c>
      <c r="N4112">
        <v>3</v>
      </c>
      <c r="O4112">
        <v>3</v>
      </c>
      <c r="P4112">
        <v>16</v>
      </c>
      <c r="Q4112">
        <v>0</v>
      </c>
      <c r="R4112" s="1">
        <v>40983</v>
      </c>
      <c r="S4112" t="s">
        <v>37</v>
      </c>
      <c r="T4112" t="str">
        <f t="shared" si="320"/>
        <v>Grade A</v>
      </c>
      <c r="U4112">
        <f t="shared" si="321"/>
        <v>1</v>
      </c>
      <c r="V4112" t="str">
        <f t="shared" si="322"/>
        <v>Senior</v>
      </c>
      <c r="W4112" t="str">
        <f t="shared" si="323"/>
        <v>Already Left</v>
      </c>
      <c r="X4112" t="str">
        <f t="shared" si="324"/>
        <v>Overpaid</v>
      </c>
    </row>
    <row r="4113" spans="1:24" x14ac:dyDescent="0.3">
      <c r="A4113" t="s">
        <v>4181</v>
      </c>
      <c r="B4113" t="s">
        <v>20</v>
      </c>
      <c r="C4113">
        <v>46</v>
      </c>
      <c r="D4113" t="s">
        <v>57</v>
      </c>
      <c r="E4113" t="s">
        <v>22</v>
      </c>
      <c r="F4113" t="s">
        <v>23</v>
      </c>
      <c r="G4113" t="s">
        <v>66</v>
      </c>
      <c r="H4113" t="s">
        <v>76</v>
      </c>
      <c r="I4113" t="s">
        <v>54</v>
      </c>
      <c r="J4113" t="s">
        <v>27</v>
      </c>
      <c r="K4113">
        <v>11</v>
      </c>
      <c r="L4113">
        <v>47850</v>
      </c>
      <c r="M4113" t="s">
        <v>28</v>
      </c>
      <c r="N4113">
        <v>3</v>
      </c>
      <c r="O4113">
        <v>1</v>
      </c>
      <c r="P4113">
        <v>63</v>
      </c>
      <c r="Q4113">
        <v>0</v>
      </c>
      <c r="R4113" s="1">
        <v>41138</v>
      </c>
      <c r="S4113" t="s">
        <v>29</v>
      </c>
      <c r="T4113" t="str">
        <f t="shared" si="320"/>
        <v>Grade C</v>
      </c>
      <c r="U4113">
        <f t="shared" si="321"/>
        <v>3</v>
      </c>
      <c r="V4113" t="str">
        <f t="shared" si="322"/>
        <v>Senior</v>
      </c>
      <c r="W4113" t="str">
        <f t="shared" si="323"/>
        <v>Medium Risk</v>
      </c>
      <c r="X4113" t="str">
        <f t="shared" si="324"/>
        <v>Fair</v>
      </c>
    </row>
    <row r="4114" spans="1:24" x14ac:dyDescent="0.3">
      <c r="A4114" t="s">
        <v>4182</v>
      </c>
      <c r="B4114" t="s">
        <v>20</v>
      </c>
      <c r="C4114">
        <v>23</v>
      </c>
      <c r="D4114" t="s">
        <v>57</v>
      </c>
      <c r="E4114" t="s">
        <v>40</v>
      </c>
      <c r="F4114" t="s">
        <v>65</v>
      </c>
      <c r="G4114" t="s">
        <v>33</v>
      </c>
      <c r="H4114" t="s">
        <v>25</v>
      </c>
      <c r="I4114" t="s">
        <v>68</v>
      </c>
      <c r="J4114" t="s">
        <v>60</v>
      </c>
      <c r="K4114">
        <v>14</v>
      </c>
      <c r="L4114">
        <v>84475</v>
      </c>
      <c r="M4114" t="s">
        <v>28</v>
      </c>
      <c r="N4114">
        <v>1</v>
      </c>
      <c r="O4114">
        <v>3</v>
      </c>
      <c r="P4114">
        <v>24</v>
      </c>
      <c r="Q4114">
        <v>0</v>
      </c>
      <c r="R4114" s="1">
        <v>39856</v>
      </c>
      <c r="S4114" t="s">
        <v>29</v>
      </c>
      <c r="T4114" t="str">
        <f t="shared" si="320"/>
        <v>Grade A</v>
      </c>
      <c r="U4114">
        <f t="shared" si="321"/>
        <v>3</v>
      </c>
      <c r="V4114" t="str">
        <f t="shared" si="322"/>
        <v>Senior</v>
      </c>
      <c r="W4114" t="str">
        <f t="shared" si="323"/>
        <v>Medium Risk</v>
      </c>
      <c r="X4114" t="str">
        <f t="shared" si="324"/>
        <v>Competitive</v>
      </c>
    </row>
    <row r="4115" spans="1:24" x14ac:dyDescent="0.3">
      <c r="A4115" t="s">
        <v>4183</v>
      </c>
      <c r="B4115" t="s">
        <v>20</v>
      </c>
      <c r="C4115">
        <v>50</v>
      </c>
      <c r="D4115" t="s">
        <v>47</v>
      </c>
      <c r="E4115" t="s">
        <v>22</v>
      </c>
      <c r="F4115" t="s">
        <v>62</v>
      </c>
      <c r="G4115" t="s">
        <v>79</v>
      </c>
      <c r="H4115" t="s">
        <v>83</v>
      </c>
      <c r="I4115" t="s">
        <v>68</v>
      </c>
      <c r="J4115" t="s">
        <v>60</v>
      </c>
      <c r="K4115">
        <v>11</v>
      </c>
      <c r="L4115">
        <v>68246</v>
      </c>
      <c r="M4115" t="s">
        <v>36</v>
      </c>
      <c r="N4115">
        <v>1</v>
      </c>
      <c r="O4115">
        <v>3</v>
      </c>
      <c r="P4115">
        <v>38</v>
      </c>
      <c r="Q4115">
        <v>1</v>
      </c>
      <c r="R4115" s="1">
        <v>41180</v>
      </c>
      <c r="S4115" t="s">
        <v>37</v>
      </c>
      <c r="T4115" t="str">
        <f t="shared" si="320"/>
        <v>Grade B</v>
      </c>
      <c r="U4115">
        <f t="shared" si="321"/>
        <v>1</v>
      </c>
      <c r="V4115" t="str">
        <f t="shared" si="322"/>
        <v>Senior</v>
      </c>
      <c r="W4115" t="str">
        <f t="shared" si="323"/>
        <v>Already Left</v>
      </c>
      <c r="X4115" t="str">
        <f t="shared" si="324"/>
        <v>Fair</v>
      </c>
    </row>
    <row r="4116" spans="1:24" x14ac:dyDescent="0.3">
      <c r="A4116" t="s">
        <v>4184</v>
      </c>
      <c r="B4116" t="s">
        <v>20</v>
      </c>
      <c r="C4116">
        <v>23</v>
      </c>
      <c r="D4116" t="s">
        <v>31</v>
      </c>
      <c r="E4116" t="s">
        <v>40</v>
      </c>
      <c r="F4116" t="s">
        <v>41</v>
      </c>
      <c r="G4116" t="s">
        <v>79</v>
      </c>
      <c r="H4116" t="s">
        <v>34</v>
      </c>
      <c r="I4116" t="s">
        <v>50</v>
      </c>
      <c r="J4116" t="s">
        <v>44</v>
      </c>
      <c r="K4116">
        <v>6</v>
      </c>
      <c r="L4116">
        <v>59264</v>
      </c>
      <c r="M4116" t="s">
        <v>28</v>
      </c>
      <c r="N4116">
        <v>3</v>
      </c>
      <c r="O4116">
        <v>3</v>
      </c>
      <c r="P4116">
        <v>15</v>
      </c>
      <c r="Q4116">
        <v>1</v>
      </c>
      <c r="R4116" s="1">
        <v>42958</v>
      </c>
      <c r="S4116" t="s">
        <v>29</v>
      </c>
      <c r="T4116" t="str">
        <f t="shared" si="320"/>
        <v>Grade B</v>
      </c>
      <c r="U4116">
        <f t="shared" si="321"/>
        <v>3</v>
      </c>
      <c r="V4116" t="str">
        <f t="shared" si="322"/>
        <v>Mid Level</v>
      </c>
      <c r="W4116" t="str">
        <f t="shared" si="323"/>
        <v>Medium Risk</v>
      </c>
      <c r="X4116" t="str">
        <f t="shared" si="324"/>
        <v>Competitive</v>
      </c>
    </row>
    <row r="4117" spans="1:24" x14ac:dyDescent="0.3">
      <c r="A4117" t="s">
        <v>4185</v>
      </c>
      <c r="B4117" t="s">
        <v>20</v>
      </c>
      <c r="C4117">
        <v>44</v>
      </c>
      <c r="D4117" t="s">
        <v>21</v>
      </c>
      <c r="E4117" t="s">
        <v>22</v>
      </c>
      <c r="F4117" t="s">
        <v>41</v>
      </c>
      <c r="G4117" t="s">
        <v>42</v>
      </c>
      <c r="H4117" t="s">
        <v>67</v>
      </c>
      <c r="I4117" t="s">
        <v>59</v>
      </c>
      <c r="J4117" t="s">
        <v>60</v>
      </c>
      <c r="K4117">
        <v>15</v>
      </c>
      <c r="L4117">
        <v>123870</v>
      </c>
      <c r="M4117" t="s">
        <v>36</v>
      </c>
      <c r="N4117">
        <v>4</v>
      </c>
      <c r="O4117">
        <v>1</v>
      </c>
      <c r="P4117">
        <v>51</v>
      </c>
      <c r="Q4117">
        <v>0</v>
      </c>
      <c r="R4117" s="1">
        <v>39641</v>
      </c>
      <c r="S4117" t="s">
        <v>37</v>
      </c>
      <c r="T4117" t="str">
        <f t="shared" si="320"/>
        <v>Grade A</v>
      </c>
      <c r="U4117">
        <f t="shared" si="321"/>
        <v>1</v>
      </c>
      <c r="V4117" t="str">
        <f t="shared" si="322"/>
        <v>Senior</v>
      </c>
      <c r="W4117" t="str">
        <f t="shared" si="323"/>
        <v>Already Left</v>
      </c>
      <c r="X4117" t="str">
        <f t="shared" si="324"/>
        <v>Overpaid</v>
      </c>
    </row>
    <row r="4118" spans="1:24" x14ac:dyDescent="0.3">
      <c r="A4118" t="s">
        <v>4186</v>
      </c>
      <c r="B4118" t="s">
        <v>39</v>
      </c>
      <c r="C4118">
        <v>27</v>
      </c>
      <c r="D4118" t="s">
        <v>47</v>
      </c>
      <c r="E4118" t="s">
        <v>22</v>
      </c>
      <c r="F4118" t="s">
        <v>78</v>
      </c>
      <c r="G4118" t="s">
        <v>24</v>
      </c>
      <c r="H4118" t="s">
        <v>25</v>
      </c>
      <c r="I4118" t="s">
        <v>50</v>
      </c>
      <c r="J4118" t="s">
        <v>44</v>
      </c>
      <c r="K4118">
        <v>15</v>
      </c>
      <c r="L4118">
        <v>109293</v>
      </c>
      <c r="M4118" t="s">
        <v>28</v>
      </c>
      <c r="N4118">
        <v>2</v>
      </c>
      <c r="O4118">
        <v>1</v>
      </c>
      <c r="P4118">
        <v>50</v>
      </c>
      <c r="Q4118">
        <v>1</v>
      </c>
      <c r="R4118" s="1">
        <v>39743</v>
      </c>
      <c r="S4118" t="s">
        <v>29</v>
      </c>
      <c r="T4118" t="str">
        <f t="shared" si="320"/>
        <v>Grade A</v>
      </c>
      <c r="U4118">
        <f t="shared" si="321"/>
        <v>3</v>
      </c>
      <c r="V4118" t="str">
        <f t="shared" si="322"/>
        <v>Senior</v>
      </c>
      <c r="W4118" t="str">
        <f t="shared" si="323"/>
        <v>Medium Risk</v>
      </c>
      <c r="X4118" t="str">
        <f t="shared" si="324"/>
        <v>Competitive</v>
      </c>
    </row>
    <row r="4119" spans="1:24" x14ac:dyDescent="0.3">
      <c r="A4119" t="s">
        <v>4187</v>
      </c>
      <c r="B4119" t="s">
        <v>20</v>
      </c>
      <c r="C4119">
        <v>42</v>
      </c>
      <c r="D4119" t="s">
        <v>57</v>
      </c>
      <c r="E4119" t="s">
        <v>22</v>
      </c>
      <c r="F4119" t="s">
        <v>53</v>
      </c>
      <c r="G4119" t="s">
        <v>63</v>
      </c>
      <c r="H4119" t="s">
        <v>83</v>
      </c>
      <c r="I4119" t="s">
        <v>43</v>
      </c>
      <c r="J4119" t="s">
        <v>44</v>
      </c>
      <c r="K4119">
        <v>11</v>
      </c>
      <c r="L4119">
        <v>72460</v>
      </c>
      <c r="M4119" t="s">
        <v>36</v>
      </c>
      <c r="N4119">
        <v>4</v>
      </c>
      <c r="O4119">
        <v>4</v>
      </c>
      <c r="P4119">
        <v>28</v>
      </c>
      <c r="Q4119">
        <v>2</v>
      </c>
      <c r="R4119" s="1">
        <v>40913</v>
      </c>
      <c r="S4119" t="s">
        <v>37</v>
      </c>
      <c r="T4119" t="str">
        <f t="shared" si="320"/>
        <v>Grade B</v>
      </c>
      <c r="U4119">
        <f t="shared" si="321"/>
        <v>1</v>
      </c>
      <c r="V4119" t="str">
        <f t="shared" si="322"/>
        <v>Senior</v>
      </c>
      <c r="W4119" t="str">
        <f t="shared" si="323"/>
        <v>Already Left</v>
      </c>
      <c r="X4119" t="str">
        <f t="shared" si="324"/>
        <v>Fair</v>
      </c>
    </row>
    <row r="4120" spans="1:24" x14ac:dyDescent="0.3">
      <c r="A4120" t="s">
        <v>4188</v>
      </c>
      <c r="B4120" t="s">
        <v>20</v>
      </c>
      <c r="C4120">
        <v>31</v>
      </c>
      <c r="D4120" t="s">
        <v>47</v>
      </c>
      <c r="E4120" t="s">
        <v>22</v>
      </c>
      <c r="F4120" t="s">
        <v>23</v>
      </c>
      <c r="G4120" t="s">
        <v>63</v>
      </c>
      <c r="H4120" t="s">
        <v>76</v>
      </c>
      <c r="I4120" t="s">
        <v>50</v>
      </c>
      <c r="J4120" t="s">
        <v>44</v>
      </c>
      <c r="K4120">
        <v>4</v>
      </c>
      <c r="L4120">
        <v>54230</v>
      </c>
      <c r="M4120" t="s">
        <v>36</v>
      </c>
      <c r="N4120">
        <v>3</v>
      </c>
      <c r="O4120">
        <v>1</v>
      </c>
      <c r="P4120">
        <v>24</v>
      </c>
      <c r="Q4120">
        <v>0</v>
      </c>
      <c r="R4120" s="1">
        <v>43503</v>
      </c>
      <c r="S4120" t="s">
        <v>37</v>
      </c>
      <c r="T4120" t="str">
        <f t="shared" si="320"/>
        <v>Grade B</v>
      </c>
      <c r="U4120">
        <f t="shared" si="321"/>
        <v>1</v>
      </c>
      <c r="V4120" t="str">
        <f t="shared" si="322"/>
        <v>Junior</v>
      </c>
      <c r="W4120" t="str">
        <f t="shared" si="323"/>
        <v>Already Left</v>
      </c>
      <c r="X4120" t="str">
        <f t="shared" si="324"/>
        <v>Fair</v>
      </c>
    </row>
    <row r="4121" spans="1:24" x14ac:dyDescent="0.3">
      <c r="A4121" t="s">
        <v>4189</v>
      </c>
      <c r="B4121" t="s">
        <v>39</v>
      </c>
      <c r="C4121">
        <v>34</v>
      </c>
      <c r="D4121" t="s">
        <v>57</v>
      </c>
      <c r="E4121" t="s">
        <v>48</v>
      </c>
      <c r="F4121" t="s">
        <v>41</v>
      </c>
      <c r="G4121" t="s">
        <v>49</v>
      </c>
      <c r="H4121" t="s">
        <v>76</v>
      </c>
      <c r="I4121" t="s">
        <v>35</v>
      </c>
      <c r="J4121" t="s">
        <v>27</v>
      </c>
      <c r="K4121">
        <v>2</v>
      </c>
      <c r="L4121">
        <v>54812</v>
      </c>
      <c r="M4121" t="s">
        <v>28</v>
      </c>
      <c r="N4121">
        <v>1</v>
      </c>
      <c r="O4121">
        <v>4</v>
      </c>
      <c r="P4121">
        <v>62</v>
      </c>
      <c r="Q4121">
        <v>2</v>
      </c>
      <c r="R4121" s="1">
        <v>44526</v>
      </c>
      <c r="S4121" t="s">
        <v>29</v>
      </c>
      <c r="T4121" t="str">
        <f t="shared" si="320"/>
        <v>Grade B</v>
      </c>
      <c r="U4121">
        <f t="shared" si="321"/>
        <v>3</v>
      </c>
      <c r="V4121" t="str">
        <f t="shared" si="322"/>
        <v>New Joiner</v>
      </c>
      <c r="W4121" t="str">
        <f t="shared" si="323"/>
        <v>Medium Risk</v>
      </c>
      <c r="X4121" t="str">
        <f t="shared" si="324"/>
        <v>Competitive</v>
      </c>
    </row>
    <row r="4122" spans="1:24" x14ac:dyDescent="0.3">
      <c r="A4122" t="s">
        <v>4190</v>
      </c>
      <c r="B4122" t="s">
        <v>39</v>
      </c>
      <c r="C4122">
        <v>50</v>
      </c>
      <c r="D4122" t="s">
        <v>21</v>
      </c>
      <c r="E4122" t="s">
        <v>22</v>
      </c>
      <c r="F4122" t="s">
        <v>41</v>
      </c>
      <c r="G4122" t="s">
        <v>33</v>
      </c>
      <c r="H4122" t="s">
        <v>34</v>
      </c>
      <c r="I4122" t="s">
        <v>35</v>
      </c>
      <c r="J4122" t="s">
        <v>27</v>
      </c>
      <c r="K4122">
        <v>13</v>
      </c>
      <c r="L4122">
        <v>88376</v>
      </c>
      <c r="M4122" t="s">
        <v>28</v>
      </c>
      <c r="N4122">
        <v>3</v>
      </c>
      <c r="O4122">
        <v>3</v>
      </c>
      <c r="P4122">
        <v>17</v>
      </c>
      <c r="Q4122">
        <v>3</v>
      </c>
      <c r="R4122" s="1">
        <v>40332</v>
      </c>
      <c r="S4122" t="s">
        <v>37</v>
      </c>
      <c r="T4122" t="str">
        <f t="shared" si="320"/>
        <v>Grade A</v>
      </c>
      <c r="U4122">
        <f t="shared" si="321"/>
        <v>3</v>
      </c>
      <c r="V4122" t="str">
        <f t="shared" si="322"/>
        <v>Senior</v>
      </c>
      <c r="W4122" t="str">
        <f t="shared" si="323"/>
        <v>Already Left</v>
      </c>
      <c r="X4122" t="str">
        <f t="shared" si="324"/>
        <v>Competitive</v>
      </c>
    </row>
    <row r="4123" spans="1:24" x14ac:dyDescent="0.3">
      <c r="A4123" t="s">
        <v>4191</v>
      </c>
      <c r="B4123" t="s">
        <v>20</v>
      </c>
      <c r="C4123">
        <v>39</v>
      </c>
      <c r="D4123" t="s">
        <v>21</v>
      </c>
      <c r="E4123" t="s">
        <v>40</v>
      </c>
      <c r="F4123" t="s">
        <v>62</v>
      </c>
      <c r="G4123" t="s">
        <v>79</v>
      </c>
      <c r="H4123" t="s">
        <v>34</v>
      </c>
      <c r="I4123" t="s">
        <v>72</v>
      </c>
      <c r="J4123" t="s">
        <v>73</v>
      </c>
      <c r="K4123">
        <v>10</v>
      </c>
      <c r="L4123">
        <v>65684</v>
      </c>
      <c r="M4123" t="s">
        <v>28</v>
      </c>
      <c r="N4123">
        <v>2</v>
      </c>
      <c r="O4123">
        <v>3</v>
      </c>
      <c r="P4123">
        <v>44</v>
      </c>
      <c r="Q4123">
        <v>2</v>
      </c>
      <c r="R4123" s="1">
        <v>41561</v>
      </c>
      <c r="S4123" t="s">
        <v>29</v>
      </c>
      <c r="T4123" t="str">
        <f t="shared" si="320"/>
        <v>Grade B</v>
      </c>
      <c r="U4123">
        <f t="shared" si="321"/>
        <v>3</v>
      </c>
      <c r="V4123" t="str">
        <f t="shared" si="322"/>
        <v>Mid Level</v>
      </c>
      <c r="W4123" t="str">
        <f t="shared" si="323"/>
        <v>Medium Risk</v>
      </c>
      <c r="X4123" t="str">
        <f t="shared" si="324"/>
        <v>Competitive</v>
      </c>
    </row>
    <row r="4124" spans="1:24" x14ac:dyDescent="0.3">
      <c r="A4124" t="s">
        <v>4192</v>
      </c>
      <c r="B4124" t="s">
        <v>39</v>
      </c>
      <c r="C4124">
        <v>25</v>
      </c>
      <c r="D4124" t="s">
        <v>88</v>
      </c>
      <c r="E4124" t="s">
        <v>48</v>
      </c>
      <c r="F4124" t="s">
        <v>62</v>
      </c>
      <c r="G4124" t="s">
        <v>66</v>
      </c>
      <c r="H4124" t="s">
        <v>83</v>
      </c>
      <c r="I4124" t="s">
        <v>59</v>
      </c>
      <c r="J4124" t="s">
        <v>60</v>
      </c>
      <c r="K4124">
        <v>15</v>
      </c>
      <c r="L4124">
        <v>65249</v>
      </c>
      <c r="M4124" t="s">
        <v>28</v>
      </c>
      <c r="N4124">
        <v>4</v>
      </c>
      <c r="O4124">
        <v>1</v>
      </c>
      <c r="P4124">
        <v>72</v>
      </c>
      <c r="Q4124">
        <v>2</v>
      </c>
      <c r="R4124" s="1">
        <v>39513</v>
      </c>
      <c r="S4124" t="s">
        <v>29</v>
      </c>
      <c r="T4124" t="str">
        <f t="shared" si="320"/>
        <v>Grade B</v>
      </c>
      <c r="U4124">
        <f t="shared" si="321"/>
        <v>3</v>
      </c>
      <c r="V4124" t="str">
        <f t="shared" si="322"/>
        <v>Senior</v>
      </c>
      <c r="W4124" t="str">
        <f t="shared" si="323"/>
        <v>Medium Risk</v>
      </c>
      <c r="X4124" t="str">
        <f t="shared" si="324"/>
        <v>Competitive</v>
      </c>
    </row>
    <row r="4125" spans="1:24" x14ac:dyDescent="0.3">
      <c r="A4125" t="s">
        <v>4193</v>
      </c>
      <c r="B4125" t="s">
        <v>20</v>
      </c>
      <c r="C4125">
        <v>55</v>
      </c>
      <c r="D4125" t="s">
        <v>47</v>
      </c>
      <c r="E4125" t="s">
        <v>22</v>
      </c>
      <c r="F4125" t="s">
        <v>75</v>
      </c>
      <c r="G4125" t="s">
        <v>58</v>
      </c>
      <c r="H4125" t="s">
        <v>67</v>
      </c>
      <c r="I4125" t="s">
        <v>43</v>
      </c>
      <c r="J4125" t="s">
        <v>44</v>
      </c>
      <c r="K4125">
        <v>8</v>
      </c>
      <c r="L4125">
        <v>97379</v>
      </c>
      <c r="M4125" t="s">
        <v>45</v>
      </c>
      <c r="N4125">
        <v>1</v>
      </c>
      <c r="O4125">
        <v>1</v>
      </c>
      <c r="P4125">
        <v>69</v>
      </c>
      <c r="Q4125">
        <v>1</v>
      </c>
      <c r="R4125" s="1">
        <v>42337</v>
      </c>
      <c r="S4125" t="s">
        <v>29</v>
      </c>
      <c r="T4125" t="str">
        <f t="shared" si="320"/>
        <v>Grade A</v>
      </c>
      <c r="U4125">
        <f t="shared" si="321"/>
        <v>2</v>
      </c>
      <c r="V4125" t="str">
        <f t="shared" si="322"/>
        <v>Mid Level</v>
      </c>
      <c r="W4125" t="str">
        <f t="shared" si="323"/>
        <v>Medium Risk</v>
      </c>
      <c r="X4125" t="str">
        <f t="shared" si="324"/>
        <v>Fair</v>
      </c>
    </row>
    <row r="4126" spans="1:24" x14ac:dyDescent="0.3">
      <c r="A4126" t="s">
        <v>4194</v>
      </c>
      <c r="B4126" t="s">
        <v>39</v>
      </c>
      <c r="C4126">
        <v>47</v>
      </c>
      <c r="D4126" t="s">
        <v>88</v>
      </c>
      <c r="E4126" t="s">
        <v>40</v>
      </c>
      <c r="F4126" t="s">
        <v>75</v>
      </c>
      <c r="G4126" t="s">
        <v>33</v>
      </c>
      <c r="H4126" t="s">
        <v>25</v>
      </c>
      <c r="I4126" t="s">
        <v>35</v>
      </c>
      <c r="J4126" t="s">
        <v>27</v>
      </c>
      <c r="K4126">
        <v>4</v>
      </c>
      <c r="L4126">
        <v>58109</v>
      </c>
      <c r="M4126" t="s">
        <v>45</v>
      </c>
      <c r="N4126">
        <v>2</v>
      </c>
      <c r="O4126">
        <v>4</v>
      </c>
      <c r="P4126">
        <v>27</v>
      </c>
      <c r="Q4126">
        <v>1</v>
      </c>
      <c r="R4126" s="1">
        <v>43770</v>
      </c>
      <c r="S4126" t="s">
        <v>37</v>
      </c>
      <c r="T4126" t="str">
        <f t="shared" si="320"/>
        <v>Grade B</v>
      </c>
      <c r="U4126">
        <f t="shared" si="321"/>
        <v>2</v>
      </c>
      <c r="V4126" t="str">
        <f t="shared" si="322"/>
        <v>Junior</v>
      </c>
      <c r="W4126" t="str">
        <f t="shared" si="323"/>
        <v>Already Left</v>
      </c>
      <c r="X4126" t="str">
        <f t="shared" si="324"/>
        <v>Fair</v>
      </c>
    </row>
    <row r="4127" spans="1:24" x14ac:dyDescent="0.3">
      <c r="A4127" t="s">
        <v>4195</v>
      </c>
      <c r="B4127" t="s">
        <v>20</v>
      </c>
      <c r="C4127">
        <v>46</v>
      </c>
      <c r="D4127" t="s">
        <v>21</v>
      </c>
      <c r="E4127" t="s">
        <v>22</v>
      </c>
      <c r="F4127" t="s">
        <v>78</v>
      </c>
      <c r="G4127" t="s">
        <v>49</v>
      </c>
      <c r="H4127" t="s">
        <v>76</v>
      </c>
      <c r="I4127" t="s">
        <v>80</v>
      </c>
      <c r="J4127" t="s">
        <v>60</v>
      </c>
      <c r="K4127">
        <v>10</v>
      </c>
      <c r="L4127">
        <v>70167</v>
      </c>
      <c r="M4127" t="s">
        <v>51</v>
      </c>
      <c r="N4127">
        <v>2</v>
      </c>
      <c r="O4127">
        <v>1</v>
      </c>
      <c r="P4127">
        <v>12</v>
      </c>
      <c r="Q4127">
        <v>3</v>
      </c>
      <c r="R4127" s="1">
        <v>41389</v>
      </c>
      <c r="S4127" t="s">
        <v>29</v>
      </c>
      <c r="T4127" t="str">
        <f t="shared" si="320"/>
        <v>Grade B</v>
      </c>
      <c r="U4127">
        <f t="shared" si="321"/>
        <v>4</v>
      </c>
      <c r="V4127" t="str">
        <f t="shared" si="322"/>
        <v>Mid Level</v>
      </c>
      <c r="W4127" t="str">
        <f t="shared" si="323"/>
        <v>Low Risk</v>
      </c>
      <c r="X4127" t="str">
        <f t="shared" si="324"/>
        <v>Fair</v>
      </c>
    </row>
    <row r="4128" spans="1:24" x14ac:dyDescent="0.3">
      <c r="A4128" t="s">
        <v>4196</v>
      </c>
      <c r="B4128" t="s">
        <v>39</v>
      </c>
      <c r="C4128">
        <v>46</v>
      </c>
      <c r="D4128" t="s">
        <v>31</v>
      </c>
      <c r="E4128" t="s">
        <v>22</v>
      </c>
      <c r="F4128" t="s">
        <v>62</v>
      </c>
      <c r="G4128" t="s">
        <v>79</v>
      </c>
      <c r="H4128" t="s">
        <v>25</v>
      </c>
      <c r="I4128" t="s">
        <v>68</v>
      </c>
      <c r="J4128" t="s">
        <v>60</v>
      </c>
      <c r="K4128">
        <v>2</v>
      </c>
      <c r="L4128">
        <v>44290</v>
      </c>
      <c r="M4128" t="s">
        <v>28</v>
      </c>
      <c r="N4128">
        <v>2</v>
      </c>
      <c r="O4128">
        <v>4</v>
      </c>
      <c r="P4128">
        <v>24</v>
      </c>
      <c r="Q4128">
        <v>0</v>
      </c>
      <c r="R4128" s="1">
        <v>44508</v>
      </c>
      <c r="S4128" t="s">
        <v>29</v>
      </c>
      <c r="T4128" t="str">
        <f t="shared" si="320"/>
        <v>Grade C</v>
      </c>
      <c r="U4128">
        <f t="shared" si="321"/>
        <v>3</v>
      </c>
      <c r="V4128" t="str">
        <f t="shared" si="322"/>
        <v>New Joiner</v>
      </c>
      <c r="W4128" t="str">
        <f t="shared" si="323"/>
        <v>Medium Risk</v>
      </c>
      <c r="X4128" t="str">
        <f t="shared" si="324"/>
        <v>Fair</v>
      </c>
    </row>
    <row r="4129" spans="1:24" x14ac:dyDescent="0.3">
      <c r="A4129" t="s">
        <v>4197</v>
      </c>
      <c r="B4129" t="s">
        <v>20</v>
      </c>
      <c r="C4129">
        <v>24</v>
      </c>
      <c r="D4129" t="s">
        <v>31</v>
      </c>
      <c r="E4129" t="s">
        <v>22</v>
      </c>
      <c r="F4129" t="s">
        <v>62</v>
      </c>
      <c r="G4129" t="s">
        <v>63</v>
      </c>
      <c r="H4129" t="s">
        <v>76</v>
      </c>
      <c r="I4129" t="s">
        <v>43</v>
      </c>
      <c r="J4129" t="s">
        <v>44</v>
      </c>
      <c r="K4129">
        <v>14</v>
      </c>
      <c r="L4129">
        <v>74709</v>
      </c>
      <c r="M4129" t="s">
        <v>36</v>
      </c>
      <c r="N4129">
        <v>1</v>
      </c>
      <c r="O4129">
        <v>1</v>
      </c>
      <c r="P4129">
        <v>37</v>
      </c>
      <c r="Q4129">
        <v>3</v>
      </c>
      <c r="R4129" s="1">
        <v>39905</v>
      </c>
      <c r="S4129" t="s">
        <v>37</v>
      </c>
      <c r="T4129" t="str">
        <f t="shared" si="320"/>
        <v>Grade B</v>
      </c>
      <c r="U4129">
        <f t="shared" si="321"/>
        <v>1</v>
      </c>
      <c r="V4129" t="str">
        <f t="shared" si="322"/>
        <v>Senior</v>
      </c>
      <c r="W4129" t="str">
        <f t="shared" si="323"/>
        <v>Already Left</v>
      </c>
      <c r="X4129" t="str">
        <f t="shared" si="324"/>
        <v>Fair</v>
      </c>
    </row>
    <row r="4130" spans="1:24" x14ac:dyDescent="0.3">
      <c r="A4130" t="s">
        <v>4198</v>
      </c>
      <c r="B4130" t="s">
        <v>39</v>
      </c>
      <c r="C4130">
        <v>32</v>
      </c>
      <c r="D4130" t="s">
        <v>31</v>
      </c>
      <c r="E4130" t="s">
        <v>40</v>
      </c>
      <c r="F4130" t="s">
        <v>78</v>
      </c>
      <c r="G4130" t="s">
        <v>66</v>
      </c>
      <c r="H4130" t="s">
        <v>67</v>
      </c>
      <c r="I4130" t="s">
        <v>80</v>
      </c>
      <c r="J4130" t="s">
        <v>60</v>
      </c>
      <c r="K4130">
        <v>5</v>
      </c>
      <c r="L4130">
        <v>48599</v>
      </c>
      <c r="M4130" t="s">
        <v>36</v>
      </c>
      <c r="N4130">
        <v>4</v>
      </c>
      <c r="O4130">
        <v>4</v>
      </c>
      <c r="P4130">
        <v>48</v>
      </c>
      <c r="Q4130">
        <v>0</v>
      </c>
      <c r="R4130" s="1">
        <v>43386</v>
      </c>
      <c r="S4130" t="s">
        <v>37</v>
      </c>
      <c r="T4130" t="str">
        <f t="shared" si="320"/>
        <v>Grade C</v>
      </c>
      <c r="U4130">
        <f t="shared" si="321"/>
        <v>1</v>
      </c>
      <c r="V4130" t="str">
        <f t="shared" si="322"/>
        <v>Junior</v>
      </c>
      <c r="W4130" t="str">
        <f t="shared" si="323"/>
        <v>Already Left</v>
      </c>
      <c r="X4130" t="str">
        <f t="shared" si="324"/>
        <v>Fair</v>
      </c>
    </row>
    <row r="4131" spans="1:24" x14ac:dyDescent="0.3">
      <c r="A4131" t="s">
        <v>4199</v>
      </c>
      <c r="B4131" t="s">
        <v>39</v>
      </c>
      <c r="C4131">
        <v>46</v>
      </c>
      <c r="D4131" t="s">
        <v>88</v>
      </c>
      <c r="E4131" t="s">
        <v>22</v>
      </c>
      <c r="F4131" t="s">
        <v>65</v>
      </c>
      <c r="G4131" t="s">
        <v>49</v>
      </c>
      <c r="H4131" t="s">
        <v>76</v>
      </c>
      <c r="I4131" t="s">
        <v>72</v>
      </c>
      <c r="J4131" t="s">
        <v>73</v>
      </c>
      <c r="K4131">
        <v>2</v>
      </c>
      <c r="L4131">
        <v>46141</v>
      </c>
      <c r="M4131" t="s">
        <v>28</v>
      </c>
      <c r="N4131">
        <v>1</v>
      </c>
      <c r="O4131">
        <v>2</v>
      </c>
      <c r="P4131">
        <v>74</v>
      </c>
      <c r="Q4131">
        <v>1</v>
      </c>
      <c r="R4131" s="1">
        <v>44520</v>
      </c>
      <c r="S4131" t="s">
        <v>29</v>
      </c>
      <c r="T4131" t="str">
        <f t="shared" si="320"/>
        <v>Grade C</v>
      </c>
      <c r="U4131">
        <f t="shared" si="321"/>
        <v>3</v>
      </c>
      <c r="V4131" t="str">
        <f t="shared" si="322"/>
        <v>New Joiner</v>
      </c>
      <c r="W4131" t="str">
        <f t="shared" si="323"/>
        <v>Medium Risk</v>
      </c>
      <c r="X4131" t="str">
        <f t="shared" si="324"/>
        <v>Fair</v>
      </c>
    </row>
    <row r="4132" spans="1:24" x14ac:dyDescent="0.3">
      <c r="A4132" t="s">
        <v>4200</v>
      </c>
      <c r="B4132" t="s">
        <v>39</v>
      </c>
      <c r="C4132">
        <v>35</v>
      </c>
      <c r="D4132" t="s">
        <v>31</v>
      </c>
      <c r="E4132" t="s">
        <v>22</v>
      </c>
      <c r="F4132" t="s">
        <v>78</v>
      </c>
      <c r="G4132" t="s">
        <v>24</v>
      </c>
      <c r="H4132" t="s">
        <v>76</v>
      </c>
      <c r="I4132" t="s">
        <v>54</v>
      </c>
      <c r="J4132" t="s">
        <v>27</v>
      </c>
      <c r="K4132">
        <v>12</v>
      </c>
      <c r="L4132">
        <v>94855</v>
      </c>
      <c r="M4132" t="s">
        <v>36</v>
      </c>
      <c r="N4132">
        <v>2</v>
      </c>
      <c r="O4132">
        <v>2</v>
      </c>
      <c r="P4132">
        <v>62</v>
      </c>
      <c r="Q4132">
        <v>3</v>
      </c>
      <c r="R4132" s="1">
        <v>40869</v>
      </c>
      <c r="S4132" t="s">
        <v>37</v>
      </c>
      <c r="T4132" t="str">
        <f t="shared" si="320"/>
        <v>Grade A</v>
      </c>
      <c r="U4132">
        <f t="shared" si="321"/>
        <v>1</v>
      </c>
      <c r="V4132" t="str">
        <f t="shared" si="322"/>
        <v>Senior</v>
      </c>
      <c r="W4132" t="str">
        <f t="shared" si="323"/>
        <v>Already Left</v>
      </c>
      <c r="X4132" t="str">
        <f t="shared" si="324"/>
        <v>Overpaid</v>
      </c>
    </row>
    <row r="4133" spans="1:24" x14ac:dyDescent="0.3">
      <c r="A4133" t="s">
        <v>4201</v>
      </c>
      <c r="B4133" t="s">
        <v>20</v>
      </c>
      <c r="C4133">
        <v>52</v>
      </c>
      <c r="D4133" t="s">
        <v>57</v>
      </c>
      <c r="E4133" t="s">
        <v>48</v>
      </c>
      <c r="F4133" t="s">
        <v>62</v>
      </c>
      <c r="G4133" t="s">
        <v>24</v>
      </c>
      <c r="H4133" t="s">
        <v>34</v>
      </c>
      <c r="I4133" t="s">
        <v>35</v>
      </c>
      <c r="J4133" t="s">
        <v>27</v>
      </c>
      <c r="K4133">
        <v>10</v>
      </c>
      <c r="L4133">
        <v>101206</v>
      </c>
      <c r="M4133" t="s">
        <v>45</v>
      </c>
      <c r="N4133">
        <v>3</v>
      </c>
      <c r="O4133">
        <v>4</v>
      </c>
      <c r="P4133">
        <v>34</v>
      </c>
      <c r="Q4133">
        <v>1</v>
      </c>
      <c r="R4133" s="1">
        <v>41537</v>
      </c>
      <c r="S4133" t="s">
        <v>29</v>
      </c>
      <c r="T4133" t="str">
        <f t="shared" si="320"/>
        <v>Grade A</v>
      </c>
      <c r="U4133">
        <f t="shared" si="321"/>
        <v>2</v>
      </c>
      <c r="V4133" t="str">
        <f t="shared" si="322"/>
        <v>Mid Level</v>
      </c>
      <c r="W4133" t="str">
        <f t="shared" si="323"/>
        <v>Medium Risk</v>
      </c>
      <c r="X4133" t="str">
        <f t="shared" si="324"/>
        <v>Fair</v>
      </c>
    </row>
    <row r="4134" spans="1:24" x14ac:dyDescent="0.3">
      <c r="A4134" t="s">
        <v>4202</v>
      </c>
      <c r="B4134" t="s">
        <v>20</v>
      </c>
      <c r="C4134">
        <v>38</v>
      </c>
      <c r="D4134" t="s">
        <v>57</v>
      </c>
      <c r="E4134" t="s">
        <v>22</v>
      </c>
      <c r="F4134" t="s">
        <v>65</v>
      </c>
      <c r="G4134" t="s">
        <v>66</v>
      </c>
      <c r="H4134" t="s">
        <v>76</v>
      </c>
      <c r="I4134" t="s">
        <v>80</v>
      </c>
      <c r="J4134" t="s">
        <v>60</v>
      </c>
      <c r="K4134">
        <v>15</v>
      </c>
      <c r="L4134">
        <v>66979</v>
      </c>
      <c r="M4134" t="s">
        <v>51</v>
      </c>
      <c r="N4134">
        <v>4</v>
      </c>
      <c r="O4134">
        <v>4</v>
      </c>
      <c r="P4134">
        <v>15</v>
      </c>
      <c r="Q4134">
        <v>2</v>
      </c>
      <c r="R4134" s="1">
        <v>39528</v>
      </c>
      <c r="S4134" t="s">
        <v>29</v>
      </c>
      <c r="T4134" t="str">
        <f t="shared" si="320"/>
        <v>Grade B</v>
      </c>
      <c r="U4134">
        <f t="shared" si="321"/>
        <v>4</v>
      </c>
      <c r="V4134" t="str">
        <f t="shared" si="322"/>
        <v>Senior</v>
      </c>
      <c r="W4134" t="str">
        <f t="shared" si="323"/>
        <v>Low Risk</v>
      </c>
      <c r="X4134" t="str">
        <f t="shared" si="324"/>
        <v>Fair</v>
      </c>
    </row>
    <row r="4135" spans="1:24" x14ac:dyDescent="0.3">
      <c r="A4135" t="s">
        <v>4203</v>
      </c>
      <c r="B4135" t="s">
        <v>20</v>
      </c>
      <c r="C4135">
        <v>40</v>
      </c>
      <c r="D4135" t="s">
        <v>31</v>
      </c>
      <c r="E4135" t="s">
        <v>48</v>
      </c>
      <c r="F4135" t="s">
        <v>53</v>
      </c>
      <c r="G4135" t="s">
        <v>33</v>
      </c>
      <c r="H4135" t="s">
        <v>34</v>
      </c>
      <c r="I4135" t="s">
        <v>26</v>
      </c>
      <c r="J4135" t="s">
        <v>27</v>
      </c>
      <c r="K4135">
        <v>8</v>
      </c>
      <c r="L4135">
        <v>69616</v>
      </c>
      <c r="M4135" t="s">
        <v>51</v>
      </c>
      <c r="N4135">
        <v>2</v>
      </c>
      <c r="O4135">
        <v>2</v>
      </c>
      <c r="P4135">
        <v>58</v>
      </c>
      <c r="Q4135">
        <v>1</v>
      </c>
      <c r="R4135" s="1">
        <v>42326</v>
      </c>
      <c r="S4135" t="s">
        <v>29</v>
      </c>
      <c r="T4135" t="str">
        <f t="shared" si="320"/>
        <v>Grade B</v>
      </c>
      <c r="U4135">
        <f t="shared" si="321"/>
        <v>4</v>
      </c>
      <c r="V4135" t="str">
        <f t="shared" si="322"/>
        <v>Mid Level</v>
      </c>
      <c r="W4135" t="str">
        <f t="shared" si="323"/>
        <v>Low Risk</v>
      </c>
      <c r="X4135" t="str">
        <f t="shared" si="324"/>
        <v>Fair</v>
      </c>
    </row>
    <row r="4136" spans="1:24" x14ac:dyDescent="0.3">
      <c r="A4136" t="s">
        <v>4204</v>
      </c>
      <c r="B4136" t="s">
        <v>20</v>
      </c>
      <c r="C4136">
        <v>42</v>
      </c>
      <c r="D4136" t="s">
        <v>31</v>
      </c>
      <c r="E4136" t="s">
        <v>48</v>
      </c>
      <c r="F4136" t="s">
        <v>62</v>
      </c>
      <c r="G4136" t="s">
        <v>58</v>
      </c>
      <c r="H4136" t="s">
        <v>76</v>
      </c>
      <c r="I4136" t="s">
        <v>68</v>
      </c>
      <c r="J4136" t="s">
        <v>60</v>
      </c>
      <c r="K4136">
        <v>15</v>
      </c>
      <c r="L4136">
        <v>115167</v>
      </c>
      <c r="M4136" t="s">
        <v>51</v>
      </c>
      <c r="N4136">
        <v>1</v>
      </c>
      <c r="O4136">
        <v>2</v>
      </c>
      <c r="P4136">
        <v>16</v>
      </c>
      <c r="Q4136">
        <v>0</v>
      </c>
      <c r="R4136" s="1">
        <v>39518</v>
      </c>
      <c r="S4136" t="s">
        <v>29</v>
      </c>
      <c r="T4136" t="str">
        <f t="shared" si="320"/>
        <v>Grade A</v>
      </c>
      <c r="U4136">
        <f t="shared" si="321"/>
        <v>4</v>
      </c>
      <c r="V4136" t="str">
        <f t="shared" si="322"/>
        <v>Senior</v>
      </c>
      <c r="W4136" t="str">
        <f t="shared" si="323"/>
        <v>Low Risk</v>
      </c>
      <c r="X4136" t="str">
        <f t="shared" si="324"/>
        <v>Competitive</v>
      </c>
    </row>
    <row r="4137" spans="1:24" x14ac:dyDescent="0.3">
      <c r="A4137" t="s">
        <v>4205</v>
      </c>
      <c r="B4137" t="s">
        <v>39</v>
      </c>
      <c r="C4137">
        <v>39</v>
      </c>
      <c r="D4137" t="s">
        <v>47</v>
      </c>
      <c r="E4137" t="s">
        <v>22</v>
      </c>
      <c r="F4137" t="s">
        <v>32</v>
      </c>
      <c r="G4137" t="s">
        <v>58</v>
      </c>
      <c r="H4137" t="s">
        <v>83</v>
      </c>
      <c r="I4137" t="s">
        <v>96</v>
      </c>
      <c r="J4137" t="s">
        <v>44</v>
      </c>
      <c r="K4137">
        <v>9</v>
      </c>
      <c r="L4137">
        <v>110589</v>
      </c>
      <c r="M4137" t="s">
        <v>36</v>
      </c>
      <c r="N4137">
        <v>4</v>
      </c>
      <c r="O4137">
        <v>4</v>
      </c>
      <c r="P4137">
        <v>60</v>
      </c>
      <c r="Q4137">
        <v>3</v>
      </c>
      <c r="R4137" s="1">
        <v>41720</v>
      </c>
      <c r="S4137" t="s">
        <v>37</v>
      </c>
      <c r="T4137" t="str">
        <f t="shared" si="320"/>
        <v>Grade A</v>
      </c>
      <c r="U4137">
        <f t="shared" si="321"/>
        <v>1</v>
      </c>
      <c r="V4137" t="str">
        <f t="shared" si="322"/>
        <v>Mid Level</v>
      </c>
      <c r="W4137" t="str">
        <f t="shared" si="323"/>
        <v>Already Left</v>
      </c>
      <c r="X4137" t="str">
        <f t="shared" si="324"/>
        <v>Overpaid</v>
      </c>
    </row>
    <row r="4138" spans="1:24" x14ac:dyDescent="0.3">
      <c r="A4138" t="s">
        <v>4206</v>
      </c>
      <c r="B4138" t="s">
        <v>20</v>
      </c>
      <c r="C4138">
        <v>25</v>
      </c>
      <c r="D4138" t="s">
        <v>31</v>
      </c>
      <c r="E4138" t="s">
        <v>40</v>
      </c>
      <c r="F4138" t="s">
        <v>32</v>
      </c>
      <c r="G4138" t="s">
        <v>79</v>
      </c>
      <c r="H4138" t="s">
        <v>67</v>
      </c>
      <c r="I4138" t="s">
        <v>72</v>
      </c>
      <c r="J4138" t="s">
        <v>73</v>
      </c>
      <c r="K4138">
        <v>10</v>
      </c>
      <c r="L4138">
        <v>68054</v>
      </c>
      <c r="M4138" t="s">
        <v>28</v>
      </c>
      <c r="N4138">
        <v>3</v>
      </c>
      <c r="O4138">
        <v>1</v>
      </c>
      <c r="P4138">
        <v>49</v>
      </c>
      <c r="Q4138">
        <v>1</v>
      </c>
      <c r="R4138" s="1">
        <v>41283</v>
      </c>
      <c r="S4138" t="s">
        <v>29</v>
      </c>
      <c r="T4138" t="str">
        <f t="shared" si="320"/>
        <v>Grade B</v>
      </c>
      <c r="U4138">
        <f t="shared" si="321"/>
        <v>3</v>
      </c>
      <c r="V4138" t="str">
        <f t="shared" si="322"/>
        <v>Mid Level</v>
      </c>
      <c r="W4138" t="str">
        <f t="shared" si="323"/>
        <v>Medium Risk</v>
      </c>
      <c r="X4138" t="str">
        <f t="shared" si="324"/>
        <v>Competitive</v>
      </c>
    </row>
    <row r="4139" spans="1:24" x14ac:dyDescent="0.3">
      <c r="A4139" t="s">
        <v>4207</v>
      </c>
      <c r="B4139" t="s">
        <v>20</v>
      </c>
      <c r="C4139">
        <v>24</v>
      </c>
      <c r="D4139" t="s">
        <v>21</v>
      </c>
      <c r="E4139" t="s">
        <v>48</v>
      </c>
      <c r="F4139" t="s">
        <v>75</v>
      </c>
      <c r="G4139" t="s">
        <v>58</v>
      </c>
      <c r="H4139" t="s">
        <v>25</v>
      </c>
      <c r="I4139" t="s">
        <v>80</v>
      </c>
      <c r="J4139" t="s">
        <v>60</v>
      </c>
      <c r="K4139">
        <v>2</v>
      </c>
      <c r="L4139">
        <v>86612</v>
      </c>
      <c r="M4139" t="s">
        <v>51</v>
      </c>
      <c r="N4139">
        <v>1</v>
      </c>
      <c r="O4139">
        <v>4</v>
      </c>
      <c r="P4139">
        <v>37</v>
      </c>
      <c r="Q4139">
        <v>2</v>
      </c>
      <c r="R4139" s="1">
        <v>44357</v>
      </c>
      <c r="S4139" t="s">
        <v>29</v>
      </c>
      <c r="T4139" t="str">
        <f t="shared" si="320"/>
        <v>Grade A</v>
      </c>
      <c r="U4139">
        <f t="shared" si="321"/>
        <v>4</v>
      </c>
      <c r="V4139" t="str">
        <f t="shared" si="322"/>
        <v>New Joiner</v>
      </c>
      <c r="W4139" t="str">
        <f t="shared" si="323"/>
        <v>Low Risk</v>
      </c>
      <c r="X4139" t="str">
        <f t="shared" si="324"/>
        <v>Competitive</v>
      </c>
    </row>
    <row r="4140" spans="1:24" x14ac:dyDescent="0.3">
      <c r="A4140" t="s">
        <v>4208</v>
      </c>
      <c r="B4140" t="s">
        <v>20</v>
      </c>
      <c r="C4140">
        <v>32</v>
      </c>
      <c r="D4140" t="s">
        <v>21</v>
      </c>
      <c r="E4140" t="s">
        <v>40</v>
      </c>
      <c r="F4140" t="s">
        <v>32</v>
      </c>
      <c r="G4140" t="s">
        <v>63</v>
      </c>
      <c r="H4140" t="s">
        <v>34</v>
      </c>
      <c r="I4140" t="s">
        <v>96</v>
      </c>
      <c r="J4140" t="s">
        <v>44</v>
      </c>
      <c r="K4140">
        <v>1</v>
      </c>
      <c r="L4140">
        <v>45039</v>
      </c>
      <c r="M4140" t="s">
        <v>51</v>
      </c>
      <c r="N4140">
        <v>3</v>
      </c>
      <c r="O4140">
        <v>1</v>
      </c>
      <c r="P4140">
        <v>26</v>
      </c>
      <c r="Q4140">
        <v>1</v>
      </c>
      <c r="R4140" s="1">
        <v>44925</v>
      </c>
      <c r="S4140" t="s">
        <v>29</v>
      </c>
      <c r="T4140" t="str">
        <f t="shared" si="320"/>
        <v>Grade C</v>
      </c>
      <c r="U4140">
        <f t="shared" si="321"/>
        <v>4</v>
      </c>
      <c r="V4140" t="str">
        <f t="shared" si="322"/>
        <v>New Joiner</v>
      </c>
      <c r="W4140" t="str">
        <f t="shared" si="323"/>
        <v>Low Risk</v>
      </c>
      <c r="X4140" t="str">
        <f t="shared" si="324"/>
        <v>Fair</v>
      </c>
    </row>
    <row r="4141" spans="1:24" x14ac:dyDescent="0.3">
      <c r="A4141" t="s">
        <v>4209</v>
      </c>
      <c r="B4141" t="s">
        <v>20</v>
      </c>
      <c r="C4141">
        <v>54</v>
      </c>
      <c r="D4141" t="s">
        <v>31</v>
      </c>
      <c r="E4141" t="s">
        <v>40</v>
      </c>
      <c r="F4141" t="s">
        <v>41</v>
      </c>
      <c r="G4141" t="s">
        <v>58</v>
      </c>
      <c r="H4141" t="s">
        <v>76</v>
      </c>
      <c r="I4141" t="s">
        <v>43</v>
      </c>
      <c r="J4141" t="s">
        <v>44</v>
      </c>
      <c r="K4141">
        <v>5</v>
      </c>
      <c r="L4141">
        <v>96261</v>
      </c>
      <c r="M4141" t="s">
        <v>28</v>
      </c>
      <c r="N4141">
        <v>1</v>
      </c>
      <c r="O4141">
        <v>1</v>
      </c>
      <c r="P4141">
        <v>70</v>
      </c>
      <c r="Q4141">
        <v>2</v>
      </c>
      <c r="R4141" s="1">
        <v>43268</v>
      </c>
      <c r="S4141" t="s">
        <v>29</v>
      </c>
      <c r="T4141" t="str">
        <f t="shared" si="320"/>
        <v>Grade A</v>
      </c>
      <c r="U4141">
        <f t="shared" si="321"/>
        <v>3</v>
      </c>
      <c r="V4141" t="str">
        <f t="shared" si="322"/>
        <v>Junior</v>
      </c>
      <c r="W4141" t="str">
        <f t="shared" si="323"/>
        <v>Medium Risk</v>
      </c>
      <c r="X4141" t="str">
        <f t="shared" si="324"/>
        <v>Competitive</v>
      </c>
    </row>
    <row r="4142" spans="1:24" x14ac:dyDescent="0.3">
      <c r="A4142" t="s">
        <v>4210</v>
      </c>
      <c r="B4142" t="s">
        <v>20</v>
      </c>
      <c r="C4142">
        <v>37</v>
      </c>
      <c r="D4142" t="s">
        <v>31</v>
      </c>
      <c r="E4142" t="s">
        <v>48</v>
      </c>
      <c r="F4142" t="s">
        <v>62</v>
      </c>
      <c r="G4142" t="s">
        <v>33</v>
      </c>
      <c r="H4142" t="s">
        <v>83</v>
      </c>
      <c r="I4142" t="s">
        <v>68</v>
      </c>
      <c r="J4142" t="s">
        <v>60</v>
      </c>
      <c r="K4142">
        <v>2</v>
      </c>
      <c r="L4142">
        <v>65996</v>
      </c>
      <c r="M4142" t="s">
        <v>51</v>
      </c>
      <c r="N4142">
        <v>1</v>
      </c>
      <c r="O4142">
        <v>3</v>
      </c>
      <c r="P4142">
        <v>21</v>
      </c>
      <c r="Q4142">
        <v>1</v>
      </c>
      <c r="R4142" s="1">
        <v>44550</v>
      </c>
      <c r="S4142" t="s">
        <v>29</v>
      </c>
      <c r="T4142" t="str">
        <f t="shared" si="320"/>
        <v>Grade B</v>
      </c>
      <c r="U4142">
        <f t="shared" si="321"/>
        <v>4</v>
      </c>
      <c r="V4142" t="str">
        <f t="shared" si="322"/>
        <v>New Joiner</v>
      </c>
      <c r="W4142" t="str">
        <f t="shared" si="323"/>
        <v>Low Risk</v>
      </c>
      <c r="X4142" t="str">
        <f t="shared" si="324"/>
        <v>Fair</v>
      </c>
    </row>
    <row r="4143" spans="1:24" x14ac:dyDescent="0.3">
      <c r="A4143" t="s">
        <v>4211</v>
      </c>
      <c r="B4143" t="s">
        <v>20</v>
      </c>
      <c r="C4143">
        <v>30</v>
      </c>
      <c r="D4143" t="s">
        <v>88</v>
      </c>
      <c r="E4143" t="s">
        <v>22</v>
      </c>
      <c r="F4143" t="s">
        <v>78</v>
      </c>
      <c r="G4143" t="s">
        <v>66</v>
      </c>
      <c r="H4143" t="s">
        <v>83</v>
      </c>
      <c r="I4143" t="s">
        <v>96</v>
      </c>
      <c r="J4143" t="s">
        <v>44</v>
      </c>
      <c r="K4143">
        <v>14</v>
      </c>
      <c r="L4143">
        <v>60855</v>
      </c>
      <c r="M4143" t="s">
        <v>51</v>
      </c>
      <c r="N4143">
        <v>2</v>
      </c>
      <c r="O4143">
        <v>1</v>
      </c>
      <c r="P4143">
        <v>29</v>
      </c>
      <c r="Q4143">
        <v>1</v>
      </c>
      <c r="R4143" s="1">
        <v>39916</v>
      </c>
      <c r="S4143" t="s">
        <v>29</v>
      </c>
      <c r="T4143" t="str">
        <f t="shared" si="320"/>
        <v>Grade B</v>
      </c>
      <c r="U4143">
        <f t="shared" si="321"/>
        <v>4</v>
      </c>
      <c r="V4143" t="str">
        <f t="shared" si="322"/>
        <v>Senior</v>
      </c>
      <c r="W4143" t="str">
        <f t="shared" si="323"/>
        <v>Low Risk</v>
      </c>
      <c r="X4143" t="str">
        <f t="shared" si="324"/>
        <v>Fair</v>
      </c>
    </row>
    <row r="4144" spans="1:24" x14ac:dyDescent="0.3">
      <c r="A4144" t="s">
        <v>4212</v>
      </c>
      <c r="B4144" t="s">
        <v>39</v>
      </c>
      <c r="C4144">
        <v>46</v>
      </c>
      <c r="D4144" t="s">
        <v>47</v>
      </c>
      <c r="E4144" t="s">
        <v>40</v>
      </c>
      <c r="F4144" t="s">
        <v>41</v>
      </c>
      <c r="G4144" t="s">
        <v>58</v>
      </c>
      <c r="H4144" t="s">
        <v>83</v>
      </c>
      <c r="I4144" t="s">
        <v>35</v>
      </c>
      <c r="J4144" t="s">
        <v>27</v>
      </c>
      <c r="K4144">
        <v>5</v>
      </c>
      <c r="L4144">
        <v>86813</v>
      </c>
      <c r="M4144" t="s">
        <v>36</v>
      </c>
      <c r="N4144">
        <v>3</v>
      </c>
      <c r="O4144">
        <v>2</v>
      </c>
      <c r="P4144">
        <v>31</v>
      </c>
      <c r="Q4144">
        <v>1</v>
      </c>
      <c r="R4144" s="1">
        <v>43353</v>
      </c>
      <c r="S4144" t="s">
        <v>37</v>
      </c>
      <c r="T4144" t="str">
        <f t="shared" si="320"/>
        <v>Grade A</v>
      </c>
      <c r="U4144">
        <f t="shared" si="321"/>
        <v>1</v>
      </c>
      <c r="V4144" t="str">
        <f t="shared" si="322"/>
        <v>Junior</v>
      </c>
      <c r="W4144" t="str">
        <f t="shared" si="323"/>
        <v>Already Left</v>
      </c>
      <c r="X4144" t="str">
        <f t="shared" si="324"/>
        <v>Overpaid</v>
      </c>
    </row>
    <row r="4145" spans="1:24" x14ac:dyDescent="0.3">
      <c r="A4145" t="s">
        <v>4213</v>
      </c>
      <c r="B4145" t="s">
        <v>20</v>
      </c>
      <c r="C4145">
        <v>39</v>
      </c>
      <c r="D4145" t="s">
        <v>47</v>
      </c>
      <c r="E4145" t="s">
        <v>48</v>
      </c>
      <c r="F4145" t="s">
        <v>75</v>
      </c>
      <c r="G4145" t="s">
        <v>63</v>
      </c>
      <c r="H4145" t="s">
        <v>83</v>
      </c>
      <c r="I4145" t="s">
        <v>96</v>
      </c>
      <c r="J4145" t="s">
        <v>44</v>
      </c>
      <c r="K4145">
        <v>6</v>
      </c>
      <c r="L4145">
        <v>62528</v>
      </c>
      <c r="M4145" t="s">
        <v>28</v>
      </c>
      <c r="N4145">
        <v>4</v>
      </c>
      <c r="O4145">
        <v>2</v>
      </c>
      <c r="P4145">
        <v>27</v>
      </c>
      <c r="Q4145">
        <v>1</v>
      </c>
      <c r="R4145" s="1">
        <v>42799</v>
      </c>
      <c r="S4145" t="s">
        <v>29</v>
      </c>
      <c r="T4145" t="str">
        <f t="shared" si="320"/>
        <v>Grade B</v>
      </c>
      <c r="U4145">
        <f t="shared" si="321"/>
        <v>3</v>
      </c>
      <c r="V4145" t="str">
        <f t="shared" si="322"/>
        <v>Mid Level</v>
      </c>
      <c r="W4145" t="str">
        <f t="shared" si="323"/>
        <v>Medium Risk</v>
      </c>
      <c r="X4145" t="str">
        <f t="shared" si="324"/>
        <v>Competitive</v>
      </c>
    </row>
    <row r="4146" spans="1:24" x14ac:dyDescent="0.3">
      <c r="A4146" t="s">
        <v>4214</v>
      </c>
      <c r="B4146" t="s">
        <v>39</v>
      </c>
      <c r="C4146">
        <v>32</v>
      </c>
      <c r="D4146" t="s">
        <v>57</v>
      </c>
      <c r="E4146" t="s">
        <v>22</v>
      </c>
      <c r="F4146" t="s">
        <v>62</v>
      </c>
      <c r="G4146" t="s">
        <v>49</v>
      </c>
      <c r="H4146" t="s">
        <v>76</v>
      </c>
      <c r="I4146" t="s">
        <v>43</v>
      </c>
      <c r="J4146" t="s">
        <v>44</v>
      </c>
      <c r="K4146">
        <v>9</v>
      </c>
      <c r="L4146">
        <v>66027</v>
      </c>
      <c r="M4146" t="s">
        <v>28</v>
      </c>
      <c r="N4146">
        <v>2</v>
      </c>
      <c r="O4146">
        <v>2</v>
      </c>
      <c r="P4146">
        <v>27</v>
      </c>
      <c r="Q4146">
        <v>1</v>
      </c>
      <c r="R4146" s="1">
        <v>41851</v>
      </c>
      <c r="S4146" t="s">
        <v>29</v>
      </c>
      <c r="T4146" t="str">
        <f t="shared" si="320"/>
        <v>Grade B</v>
      </c>
      <c r="U4146">
        <f t="shared" si="321"/>
        <v>3</v>
      </c>
      <c r="V4146" t="str">
        <f t="shared" si="322"/>
        <v>Mid Level</v>
      </c>
      <c r="W4146" t="str">
        <f t="shared" si="323"/>
        <v>Medium Risk</v>
      </c>
      <c r="X4146" t="str">
        <f t="shared" si="324"/>
        <v>Competitive</v>
      </c>
    </row>
    <row r="4147" spans="1:24" x14ac:dyDescent="0.3">
      <c r="A4147" t="s">
        <v>4215</v>
      </c>
      <c r="B4147" t="s">
        <v>20</v>
      </c>
      <c r="C4147">
        <v>26</v>
      </c>
      <c r="D4147" t="s">
        <v>57</v>
      </c>
      <c r="E4147" t="s">
        <v>22</v>
      </c>
      <c r="F4147" t="s">
        <v>65</v>
      </c>
      <c r="G4147" t="s">
        <v>66</v>
      </c>
      <c r="H4147" t="s">
        <v>76</v>
      </c>
      <c r="I4147" t="s">
        <v>96</v>
      </c>
      <c r="J4147" t="s">
        <v>44</v>
      </c>
      <c r="K4147">
        <v>8</v>
      </c>
      <c r="L4147">
        <v>58290</v>
      </c>
      <c r="M4147" t="s">
        <v>51</v>
      </c>
      <c r="N4147">
        <v>1</v>
      </c>
      <c r="O4147">
        <v>1</v>
      </c>
      <c r="P4147">
        <v>75</v>
      </c>
      <c r="Q4147">
        <v>0</v>
      </c>
      <c r="R4147" s="1">
        <v>42216</v>
      </c>
      <c r="S4147" t="s">
        <v>29</v>
      </c>
      <c r="T4147" t="str">
        <f t="shared" si="320"/>
        <v>Grade B</v>
      </c>
      <c r="U4147">
        <f t="shared" si="321"/>
        <v>4</v>
      </c>
      <c r="V4147" t="str">
        <f t="shared" si="322"/>
        <v>Mid Level</v>
      </c>
      <c r="W4147" t="str">
        <f t="shared" si="323"/>
        <v>Low Risk</v>
      </c>
      <c r="X4147" t="str">
        <f t="shared" si="324"/>
        <v>Fair</v>
      </c>
    </row>
    <row r="4148" spans="1:24" x14ac:dyDescent="0.3">
      <c r="A4148" t="s">
        <v>4216</v>
      </c>
      <c r="B4148" t="s">
        <v>39</v>
      </c>
      <c r="C4148">
        <v>44</v>
      </c>
      <c r="D4148" t="s">
        <v>88</v>
      </c>
      <c r="E4148" t="s">
        <v>48</v>
      </c>
      <c r="F4148" t="s">
        <v>53</v>
      </c>
      <c r="G4148" t="s">
        <v>79</v>
      </c>
      <c r="H4148" t="s">
        <v>25</v>
      </c>
      <c r="I4148" t="s">
        <v>54</v>
      </c>
      <c r="J4148" t="s">
        <v>27</v>
      </c>
      <c r="K4148">
        <v>5</v>
      </c>
      <c r="L4148">
        <v>45588</v>
      </c>
      <c r="M4148" t="s">
        <v>28</v>
      </c>
      <c r="N4148">
        <v>3</v>
      </c>
      <c r="O4148">
        <v>2</v>
      </c>
      <c r="P4148">
        <v>27</v>
      </c>
      <c r="Q4148">
        <v>1</v>
      </c>
      <c r="R4148" s="1">
        <v>43244</v>
      </c>
      <c r="S4148" t="s">
        <v>29</v>
      </c>
      <c r="T4148" t="str">
        <f t="shared" si="320"/>
        <v>Grade C</v>
      </c>
      <c r="U4148">
        <f t="shared" si="321"/>
        <v>3</v>
      </c>
      <c r="V4148" t="str">
        <f t="shared" si="322"/>
        <v>Junior</v>
      </c>
      <c r="W4148" t="str">
        <f t="shared" si="323"/>
        <v>Medium Risk</v>
      </c>
      <c r="X4148" t="str">
        <f t="shared" si="324"/>
        <v>Fair</v>
      </c>
    </row>
    <row r="4149" spans="1:24" x14ac:dyDescent="0.3">
      <c r="A4149" t="s">
        <v>4217</v>
      </c>
      <c r="B4149" t="s">
        <v>39</v>
      </c>
      <c r="C4149">
        <v>23</v>
      </c>
      <c r="D4149" t="s">
        <v>88</v>
      </c>
      <c r="E4149" t="s">
        <v>22</v>
      </c>
      <c r="F4149" t="s">
        <v>23</v>
      </c>
      <c r="G4149" t="s">
        <v>33</v>
      </c>
      <c r="H4149" t="s">
        <v>34</v>
      </c>
      <c r="I4149" t="s">
        <v>68</v>
      </c>
      <c r="J4149" t="s">
        <v>60</v>
      </c>
      <c r="K4149">
        <v>10</v>
      </c>
      <c r="L4149">
        <v>78576</v>
      </c>
      <c r="M4149" t="s">
        <v>28</v>
      </c>
      <c r="N4149">
        <v>2</v>
      </c>
      <c r="O4149">
        <v>4</v>
      </c>
      <c r="P4149">
        <v>66</v>
      </c>
      <c r="Q4149">
        <v>3</v>
      </c>
      <c r="R4149" s="1">
        <v>41362</v>
      </c>
      <c r="S4149" t="s">
        <v>29</v>
      </c>
      <c r="T4149" t="str">
        <f t="shared" si="320"/>
        <v>Grade B</v>
      </c>
      <c r="U4149">
        <f t="shared" si="321"/>
        <v>3</v>
      </c>
      <c r="V4149" t="str">
        <f t="shared" si="322"/>
        <v>Mid Level</v>
      </c>
      <c r="W4149" t="str">
        <f t="shared" si="323"/>
        <v>Medium Risk</v>
      </c>
      <c r="X4149" t="str">
        <f t="shared" si="324"/>
        <v>Competitive</v>
      </c>
    </row>
    <row r="4150" spans="1:24" x14ac:dyDescent="0.3">
      <c r="A4150" t="s">
        <v>4218</v>
      </c>
      <c r="B4150" t="s">
        <v>20</v>
      </c>
      <c r="C4150">
        <v>39</v>
      </c>
      <c r="D4150" t="s">
        <v>31</v>
      </c>
      <c r="E4150" t="s">
        <v>22</v>
      </c>
      <c r="F4150" t="s">
        <v>65</v>
      </c>
      <c r="G4150" t="s">
        <v>66</v>
      </c>
      <c r="H4150" t="s">
        <v>83</v>
      </c>
      <c r="I4150" t="s">
        <v>35</v>
      </c>
      <c r="J4150" t="s">
        <v>27</v>
      </c>
      <c r="K4150">
        <v>6</v>
      </c>
      <c r="L4150">
        <v>45835</v>
      </c>
      <c r="M4150" t="s">
        <v>45</v>
      </c>
      <c r="N4150">
        <v>4</v>
      </c>
      <c r="O4150">
        <v>2</v>
      </c>
      <c r="P4150">
        <v>72</v>
      </c>
      <c r="Q4150">
        <v>1</v>
      </c>
      <c r="R4150" s="1">
        <v>42943</v>
      </c>
      <c r="S4150" t="s">
        <v>29</v>
      </c>
      <c r="T4150" t="str">
        <f t="shared" si="320"/>
        <v>Grade C</v>
      </c>
      <c r="U4150">
        <f t="shared" si="321"/>
        <v>2</v>
      </c>
      <c r="V4150" t="str">
        <f t="shared" si="322"/>
        <v>Mid Level</v>
      </c>
      <c r="W4150" t="str">
        <f t="shared" si="323"/>
        <v>Medium Risk</v>
      </c>
      <c r="X4150" t="str">
        <f t="shared" si="324"/>
        <v>Fair</v>
      </c>
    </row>
    <row r="4151" spans="1:24" x14ac:dyDescent="0.3">
      <c r="A4151" t="s">
        <v>4219</v>
      </c>
      <c r="B4151" t="s">
        <v>20</v>
      </c>
      <c r="C4151">
        <v>44</v>
      </c>
      <c r="D4151" t="s">
        <v>31</v>
      </c>
      <c r="E4151" t="s">
        <v>40</v>
      </c>
      <c r="F4151" t="s">
        <v>32</v>
      </c>
      <c r="G4151" t="s">
        <v>42</v>
      </c>
      <c r="H4151" t="s">
        <v>67</v>
      </c>
      <c r="I4151" t="s">
        <v>43</v>
      </c>
      <c r="J4151" t="s">
        <v>44</v>
      </c>
      <c r="K4151">
        <v>4</v>
      </c>
      <c r="L4151">
        <v>110464</v>
      </c>
      <c r="M4151" t="s">
        <v>28</v>
      </c>
      <c r="N4151">
        <v>4</v>
      </c>
      <c r="O4151">
        <v>2</v>
      </c>
      <c r="P4151">
        <v>73</v>
      </c>
      <c r="Q4151">
        <v>2</v>
      </c>
      <c r="R4151" s="1">
        <v>43729</v>
      </c>
      <c r="S4151" t="s">
        <v>29</v>
      </c>
      <c r="T4151" t="str">
        <f t="shared" si="320"/>
        <v>Grade A</v>
      </c>
      <c r="U4151">
        <f t="shared" si="321"/>
        <v>3</v>
      </c>
      <c r="V4151" t="str">
        <f t="shared" si="322"/>
        <v>Junior</v>
      </c>
      <c r="W4151" t="str">
        <f t="shared" si="323"/>
        <v>Medium Risk</v>
      </c>
      <c r="X4151" t="str">
        <f t="shared" si="324"/>
        <v>Competitive</v>
      </c>
    </row>
    <row r="4152" spans="1:24" x14ac:dyDescent="0.3">
      <c r="A4152" t="s">
        <v>4220</v>
      </c>
      <c r="B4152" t="s">
        <v>39</v>
      </c>
      <c r="C4152">
        <v>29</v>
      </c>
      <c r="D4152" t="s">
        <v>47</v>
      </c>
      <c r="E4152" t="s">
        <v>48</v>
      </c>
      <c r="F4152" t="s">
        <v>32</v>
      </c>
      <c r="G4152" t="s">
        <v>79</v>
      </c>
      <c r="H4152" t="s">
        <v>34</v>
      </c>
      <c r="I4152" t="s">
        <v>26</v>
      </c>
      <c r="J4152" t="s">
        <v>27</v>
      </c>
      <c r="K4152">
        <v>15</v>
      </c>
      <c r="L4152">
        <v>63509</v>
      </c>
      <c r="M4152" t="s">
        <v>28</v>
      </c>
      <c r="N4152">
        <v>3</v>
      </c>
      <c r="O4152">
        <v>3</v>
      </c>
      <c r="P4152">
        <v>58</v>
      </c>
      <c r="Q4152">
        <v>3</v>
      </c>
      <c r="R4152" s="1">
        <v>39649</v>
      </c>
      <c r="S4152" t="s">
        <v>29</v>
      </c>
      <c r="T4152" t="str">
        <f t="shared" si="320"/>
        <v>Grade B</v>
      </c>
      <c r="U4152">
        <f t="shared" si="321"/>
        <v>3</v>
      </c>
      <c r="V4152" t="str">
        <f t="shared" si="322"/>
        <v>Senior</v>
      </c>
      <c r="W4152" t="str">
        <f t="shared" si="323"/>
        <v>Medium Risk</v>
      </c>
      <c r="X4152" t="str">
        <f t="shared" si="324"/>
        <v>Competitive</v>
      </c>
    </row>
    <row r="4153" spans="1:24" x14ac:dyDescent="0.3">
      <c r="A4153" t="s">
        <v>4221</v>
      </c>
      <c r="B4153" t="s">
        <v>20</v>
      </c>
      <c r="C4153">
        <v>27</v>
      </c>
      <c r="D4153" t="s">
        <v>88</v>
      </c>
      <c r="E4153" t="s">
        <v>22</v>
      </c>
      <c r="F4153" t="s">
        <v>65</v>
      </c>
      <c r="G4153" t="s">
        <v>33</v>
      </c>
      <c r="H4153" t="s">
        <v>76</v>
      </c>
      <c r="I4153" t="s">
        <v>96</v>
      </c>
      <c r="J4153" t="s">
        <v>44</v>
      </c>
      <c r="K4153">
        <v>6</v>
      </c>
      <c r="L4153">
        <v>65508</v>
      </c>
      <c r="M4153" t="s">
        <v>51</v>
      </c>
      <c r="N4153">
        <v>2</v>
      </c>
      <c r="O4153">
        <v>2</v>
      </c>
      <c r="P4153">
        <v>39</v>
      </c>
      <c r="Q4153">
        <v>2</v>
      </c>
      <c r="R4153" s="1">
        <v>43055</v>
      </c>
      <c r="S4153" t="s">
        <v>29</v>
      </c>
      <c r="T4153" t="str">
        <f t="shared" si="320"/>
        <v>Grade B</v>
      </c>
      <c r="U4153">
        <f t="shared" si="321"/>
        <v>4</v>
      </c>
      <c r="V4153" t="str">
        <f t="shared" si="322"/>
        <v>Mid Level</v>
      </c>
      <c r="W4153" t="str">
        <f t="shared" si="323"/>
        <v>Low Risk</v>
      </c>
      <c r="X4153" t="str">
        <f t="shared" si="324"/>
        <v>Fair</v>
      </c>
    </row>
    <row r="4154" spans="1:24" x14ac:dyDescent="0.3">
      <c r="A4154" t="s">
        <v>4222</v>
      </c>
      <c r="B4154" t="s">
        <v>20</v>
      </c>
      <c r="C4154">
        <v>29</v>
      </c>
      <c r="D4154" t="s">
        <v>21</v>
      </c>
      <c r="E4154" t="s">
        <v>40</v>
      </c>
      <c r="F4154" t="s">
        <v>53</v>
      </c>
      <c r="G4154" t="s">
        <v>79</v>
      </c>
      <c r="H4154" t="s">
        <v>25</v>
      </c>
      <c r="I4154" t="s">
        <v>43</v>
      </c>
      <c r="J4154" t="s">
        <v>44</v>
      </c>
      <c r="K4154">
        <v>1</v>
      </c>
      <c r="L4154">
        <v>38744</v>
      </c>
      <c r="M4154" t="s">
        <v>45</v>
      </c>
      <c r="N4154">
        <v>2</v>
      </c>
      <c r="O4154">
        <v>3</v>
      </c>
      <c r="P4154">
        <v>20</v>
      </c>
      <c r="Q4154">
        <v>0</v>
      </c>
      <c r="R4154" s="1">
        <v>44645</v>
      </c>
      <c r="S4154" t="s">
        <v>29</v>
      </c>
      <c r="T4154" t="str">
        <f t="shared" si="320"/>
        <v>Grade C</v>
      </c>
      <c r="U4154">
        <f t="shared" si="321"/>
        <v>2</v>
      </c>
      <c r="V4154" t="str">
        <f t="shared" si="322"/>
        <v>New Joiner</v>
      </c>
      <c r="W4154" t="str">
        <f t="shared" si="323"/>
        <v>Medium Risk</v>
      </c>
      <c r="X4154" t="str">
        <f t="shared" si="324"/>
        <v>Fair</v>
      </c>
    </row>
    <row r="4155" spans="1:24" x14ac:dyDescent="0.3">
      <c r="A4155" t="s">
        <v>4223</v>
      </c>
      <c r="B4155" t="s">
        <v>20</v>
      </c>
      <c r="C4155">
        <v>36</v>
      </c>
      <c r="D4155" t="s">
        <v>88</v>
      </c>
      <c r="E4155" t="s">
        <v>22</v>
      </c>
      <c r="F4155" t="s">
        <v>78</v>
      </c>
      <c r="G4155" t="s">
        <v>24</v>
      </c>
      <c r="H4155" t="s">
        <v>67</v>
      </c>
      <c r="I4155" t="s">
        <v>59</v>
      </c>
      <c r="J4155" t="s">
        <v>60</v>
      </c>
      <c r="K4155">
        <v>1</v>
      </c>
      <c r="L4155">
        <v>71335</v>
      </c>
      <c r="M4155" t="s">
        <v>28</v>
      </c>
      <c r="N4155">
        <v>2</v>
      </c>
      <c r="O4155">
        <v>4</v>
      </c>
      <c r="P4155">
        <v>15</v>
      </c>
      <c r="Q4155">
        <v>3</v>
      </c>
      <c r="R4155" s="1">
        <v>44885</v>
      </c>
      <c r="S4155" t="s">
        <v>37</v>
      </c>
      <c r="T4155" t="str">
        <f t="shared" si="320"/>
        <v>Grade B</v>
      </c>
      <c r="U4155">
        <f t="shared" si="321"/>
        <v>3</v>
      </c>
      <c r="V4155" t="str">
        <f t="shared" si="322"/>
        <v>New Joiner</v>
      </c>
      <c r="W4155" t="str">
        <f t="shared" si="323"/>
        <v>Already Left</v>
      </c>
      <c r="X4155" t="str">
        <f t="shared" si="324"/>
        <v>Competitive</v>
      </c>
    </row>
    <row r="4156" spans="1:24" x14ac:dyDescent="0.3">
      <c r="A4156" t="s">
        <v>4224</v>
      </c>
      <c r="B4156" t="s">
        <v>20</v>
      </c>
      <c r="C4156">
        <v>40</v>
      </c>
      <c r="D4156" t="s">
        <v>88</v>
      </c>
      <c r="E4156" t="s">
        <v>40</v>
      </c>
      <c r="F4156" t="s">
        <v>75</v>
      </c>
      <c r="G4156" t="s">
        <v>49</v>
      </c>
      <c r="H4156" t="s">
        <v>34</v>
      </c>
      <c r="I4156" t="s">
        <v>35</v>
      </c>
      <c r="J4156" t="s">
        <v>27</v>
      </c>
      <c r="K4156">
        <v>7</v>
      </c>
      <c r="L4156">
        <v>54024</v>
      </c>
      <c r="M4156" t="s">
        <v>36</v>
      </c>
      <c r="N4156">
        <v>4</v>
      </c>
      <c r="O4156">
        <v>2</v>
      </c>
      <c r="P4156">
        <v>75</v>
      </c>
      <c r="Q4156">
        <v>3</v>
      </c>
      <c r="R4156" s="1">
        <v>42418</v>
      </c>
      <c r="S4156" t="s">
        <v>37</v>
      </c>
      <c r="T4156" t="str">
        <f t="shared" si="320"/>
        <v>Grade B</v>
      </c>
      <c r="U4156">
        <f t="shared" si="321"/>
        <v>1</v>
      </c>
      <c r="V4156" t="str">
        <f t="shared" si="322"/>
        <v>Mid Level</v>
      </c>
      <c r="W4156" t="str">
        <f t="shared" si="323"/>
        <v>Already Left</v>
      </c>
      <c r="X4156" t="str">
        <f t="shared" si="324"/>
        <v>Fair</v>
      </c>
    </row>
    <row r="4157" spans="1:24" x14ac:dyDescent="0.3">
      <c r="A4157" t="s">
        <v>4225</v>
      </c>
      <c r="B4157" t="s">
        <v>39</v>
      </c>
      <c r="C4157">
        <v>27</v>
      </c>
      <c r="D4157" t="s">
        <v>21</v>
      </c>
      <c r="E4157" t="s">
        <v>22</v>
      </c>
      <c r="F4157" t="s">
        <v>75</v>
      </c>
      <c r="G4157" t="s">
        <v>24</v>
      </c>
      <c r="H4157" t="s">
        <v>34</v>
      </c>
      <c r="I4157" t="s">
        <v>72</v>
      </c>
      <c r="J4157" t="s">
        <v>73</v>
      </c>
      <c r="K4157">
        <v>10</v>
      </c>
      <c r="L4157">
        <v>103654</v>
      </c>
      <c r="M4157" t="s">
        <v>51</v>
      </c>
      <c r="N4157">
        <v>3</v>
      </c>
      <c r="O4157">
        <v>2</v>
      </c>
      <c r="P4157">
        <v>77</v>
      </c>
      <c r="Q4157">
        <v>1</v>
      </c>
      <c r="R4157" s="1">
        <v>41349</v>
      </c>
      <c r="S4157" t="s">
        <v>29</v>
      </c>
      <c r="T4157" t="str">
        <f t="shared" si="320"/>
        <v>Grade A</v>
      </c>
      <c r="U4157">
        <f t="shared" si="321"/>
        <v>4</v>
      </c>
      <c r="V4157" t="str">
        <f t="shared" si="322"/>
        <v>Mid Level</v>
      </c>
      <c r="W4157" t="str">
        <f t="shared" si="323"/>
        <v>Low Risk</v>
      </c>
      <c r="X4157" t="str">
        <f t="shared" si="324"/>
        <v>Competitive</v>
      </c>
    </row>
    <row r="4158" spans="1:24" x14ac:dyDescent="0.3">
      <c r="A4158" t="s">
        <v>4226</v>
      </c>
      <c r="B4158" t="s">
        <v>20</v>
      </c>
      <c r="C4158">
        <v>40</v>
      </c>
      <c r="D4158" t="s">
        <v>88</v>
      </c>
      <c r="E4158" t="s">
        <v>40</v>
      </c>
      <c r="F4158" t="s">
        <v>23</v>
      </c>
      <c r="G4158" t="s">
        <v>33</v>
      </c>
      <c r="H4158" t="s">
        <v>34</v>
      </c>
      <c r="I4158" t="s">
        <v>72</v>
      </c>
      <c r="J4158" t="s">
        <v>73</v>
      </c>
      <c r="K4158">
        <v>3</v>
      </c>
      <c r="L4158">
        <v>68094</v>
      </c>
      <c r="M4158" t="s">
        <v>28</v>
      </c>
      <c r="N4158">
        <v>4</v>
      </c>
      <c r="O4158">
        <v>2</v>
      </c>
      <c r="P4158">
        <v>26</v>
      </c>
      <c r="Q4158">
        <v>0</v>
      </c>
      <c r="R4158" s="1">
        <v>44132</v>
      </c>
      <c r="S4158" t="s">
        <v>29</v>
      </c>
      <c r="T4158" t="str">
        <f t="shared" si="320"/>
        <v>Grade B</v>
      </c>
      <c r="U4158">
        <f t="shared" si="321"/>
        <v>3</v>
      </c>
      <c r="V4158" t="str">
        <f t="shared" si="322"/>
        <v>Junior</v>
      </c>
      <c r="W4158" t="str">
        <f t="shared" si="323"/>
        <v>Medium Risk</v>
      </c>
      <c r="X4158" t="str">
        <f t="shared" si="324"/>
        <v>Competitive</v>
      </c>
    </row>
    <row r="4159" spans="1:24" x14ac:dyDescent="0.3">
      <c r="A4159" t="s">
        <v>4227</v>
      </c>
      <c r="B4159" t="s">
        <v>20</v>
      </c>
      <c r="C4159">
        <v>26</v>
      </c>
      <c r="D4159" t="s">
        <v>21</v>
      </c>
      <c r="E4159" t="s">
        <v>40</v>
      </c>
      <c r="F4159" t="s">
        <v>32</v>
      </c>
      <c r="G4159" t="s">
        <v>66</v>
      </c>
      <c r="H4159" t="s">
        <v>83</v>
      </c>
      <c r="I4159" t="s">
        <v>26</v>
      </c>
      <c r="J4159" t="s">
        <v>27</v>
      </c>
      <c r="K4159">
        <v>14</v>
      </c>
      <c r="L4159">
        <v>59461</v>
      </c>
      <c r="M4159" t="s">
        <v>36</v>
      </c>
      <c r="N4159">
        <v>4</v>
      </c>
      <c r="O4159">
        <v>4</v>
      </c>
      <c r="P4159">
        <v>49</v>
      </c>
      <c r="Q4159">
        <v>0</v>
      </c>
      <c r="R4159" s="1">
        <v>40061</v>
      </c>
      <c r="S4159" t="s">
        <v>37</v>
      </c>
      <c r="T4159" t="str">
        <f t="shared" si="320"/>
        <v>Grade B</v>
      </c>
      <c r="U4159">
        <f t="shared" si="321"/>
        <v>1</v>
      </c>
      <c r="V4159" t="str">
        <f t="shared" si="322"/>
        <v>Senior</v>
      </c>
      <c r="W4159" t="str">
        <f t="shared" si="323"/>
        <v>Already Left</v>
      </c>
      <c r="X4159" t="str">
        <f t="shared" si="324"/>
        <v>Fair</v>
      </c>
    </row>
    <row r="4160" spans="1:24" x14ac:dyDescent="0.3">
      <c r="A4160" t="s">
        <v>4228</v>
      </c>
      <c r="B4160" t="s">
        <v>39</v>
      </c>
      <c r="C4160">
        <v>48</v>
      </c>
      <c r="D4160" t="s">
        <v>31</v>
      </c>
      <c r="E4160" t="s">
        <v>40</v>
      </c>
      <c r="F4160" t="s">
        <v>65</v>
      </c>
      <c r="G4160" t="s">
        <v>42</v>
      </c>
      <c r="H4160" t="s">
        <v>83</v>
      </c>
      <c r="I4160" t="s">
        <v>26</v>
      </c>
      <c r="J4160" t="s">
        <v>27</v>
      </c>
      <c r="K4160">
        <v>5</v>
      </c>
      <c r="L4160">
        <v>108528</v>
      </c>
      <c r="M4160" t="s">
        <v>36</v>
      </c>
      <c r="N4160">
        <v>4</v>
      </c>
      <c r="O4160">
        <v>2</v>
      </c>
      <c r="P4160">
        <v>65</v>
      </c>
      <c r="Q4160">
        <v>0</v>
      </c>
      <c r="R4160" s="1">
        <v>43392</v>
      </c>
      <c r="S4160" t="s">
        <v>29</v>
      </c>
      <c r="T4160" t="str">
        <f t="shared" si="320"/>
        <v>Grade A</v>
      </c>
      <c r="U4160">
        <f t="shared" si="321"/>
        <v>1</v>
      </c>
      <c r="V4160" t="str">
        <f t="shared" si="322"/>
        <v>Junior</v>
      </c>
      <c r="W4160" t="str">
        <f t="shared" si="323"/>
        <v>Medium Risk</v>
      </c>
      <c r="X4160" t="str">
        <f t="shared" si="324"/>
        <v>Overpaid</v>
      </c>
    </row>
    <row r="4161" spans="1:24" x14ac:dyDescent="0.3">
      <c r="A4161" t="s">
        <v>4229</v>
      </c>
      <c r="B4161" t="s">
        <v>20</v>
      </c>
      <c r="C4161">
        <v>24</v>
      </c>
      <c r="D4161" t="s">
        <v>21</v>
      </c>
      <c r="E4161" t="s">
        <v>40</v>
      </c>
      <c r="F4161" t="s">
        <v>23</v>
      </c>
      <c r="G4161" t="s">
        <v>58</v>
      </c>
      <c r="H4161" t="s">
        <v>83</v>
      </c>
      <c r="I4161" t="s">
        <v>50</v>
      </c>
      <c r="J4161" t="s">
        <v>44</v>
      </c>
      <c r="K4161">
        <v>8</v>
      </c>
      <c r="L4161">
        <v>97524</v>
      </c>
      <c r="M4161" t="s">
        <v>45</v>
      </c>
      <c r="N4161">
        <v>3</v>
      </c>
      <c r="O4161">
        <v>2</v>
      </c>
      <c r="P4161">
        <v>20</v>
      </c>
      <c r="Q4161">
        <v>1</v>
      </c>
      <c r="R4161" s="1">
        <v>42290</v>
      </c>
      <c r="S4161" t="s">
        <v>29</v>
      </c>
      <c r="T4161" t="str">
        <f t="shared" si="320"/>
        <v>Grade A</v>
      </c>
      <c r="U4161">
        <f t="shared" si="321"/>
        <v>2</v>
      </c>
      <c r="V4161" t="str">
        <f t="shared" si="322"/>
        <v>Mid Level</v>
      </c>
      <c r="W4161" t="str">
        <f t="shared" si="323"/>
        <v>Medium Risk</v>
      </c>
      <c r="X4161" t="str">
        <f t="shared" si="324"/>
        <v>Fair</v>
      </c>
    </row>
    <row r="4162" spans="1:24" x14ac:dyDescent="0.3">
      <c r="A4162" t="s">
        <v>4230</v>
      </c>
      <c r="B4162" t="s">
        <v>39</v>
      </c>
      <c r="C4162">
        <v>28</v>
      </c>
      <c r="D4162" t="s">
        <v>47</v>
      </c>
      <c r="E4162" t="s">
        <v>40</v>
      </c>
      <c r="F4162" t="s">
        <v>78</v>
      </c>
      <c r="G4162" t="s">
        <v>58</v>
      </c>
      <c r="H4162" t="s">
        <v>67</v>
      </c>
      <c r="I4162" t="s">
        <v>80</v>
      </c>
      <c r="J4162" t="s">
        <v>60</v>
      </c>
      <c r="K4162">
        <v>15</v>
      </c>
      <c r="L4162">
        <v>116964</v>
      </c>
      <c r="M4162" t="s">
        <v>51</v>
      </c>
      <c r="N4162">
        <v>1</v>
      </c>
      <c r="O4162">
        <v>3</v>
      </c>
      <c r="P4162">
        <v>44</v>
      </c>
      <c r="Q4162">
        <v>1</v>
      </c>
      <c r="R4162" s="1">
        <v>39530</v>
      </c>
      <c r="S4162" t="s">
        <v>29</v>
      </c>
      <c r="T4162" t="str">
        <f t="shared" ref="T4162:T4225" si="325">IF(L4162&gt;=80000,"Grade A",IF(L4162&gt;=50000,"Grade B",IF(L4162&gt;=35000,"Grade C","Grade D")))</f>
        <v>Grade A</v>
      </c>
      <c r="U4162">
        <f t="shared" ref="U4162:U4225" si="326">IF(M4162="Excellent",4,IF(M4162="Good",3,IF(M4162="Average",2,1)))</f>
        <v>4</v>
      </c>
      <c r="V4162" t="str">
        <f t="shared" ref="V4162:V4225" si="327">IF(K4162&lt;=2,"New Joiner",IF(K4162&lt;=5,"Junior",IF(K4162&lt;=10,"Mid Level","Senior")))</f>
        <v>Senior</v>
      </c>
      <c r="W4162" t="str">
        <f t="shared" ref="W4162:W4225" si="328">IF(S4162="Yes","Already Left",IF(AND(K4162&lt;=2,M4162="Poor"),"High Risk",IF(AND(K4162&lt;=5,M4162="Average"),"Medium Risk",IF(M4162="Excellent","Low Risk","Medium Risk"))))</f>
        <v>Low Risk</v>
      </c>
      <c r="X4162" t="str">
        <f t="shared" ref="X4162:X4225" si="329">IF(AND(L4162&gt;=80000,M4162="Excellent"),"Competitive",IF(AND(L4162&gt;=50000,M4162="Good"),"Competitive",IF(AND(L4162&lt;35000,M4162="Excellent"),"Underpaid",IF(AND(L4162&gt;=80000,M4162="Poor"),"Overpaid","Fair"))))</f>
        <v>Competitive</v>
      </c>
    </row>
    <row r="4163" spans="1:24" x14ac:dyDescent="0.3">
      <c r="A4163" t="s">
        <v>4231</v>
      </c>
      <c r="B4163" t="s">
        <v>20</v>
      </c>
      <c r="C4163">
        <v>31</v>
      </c>
      <c r="D4163" t="s">
        <v>88</v>
      </c>
      <c r="E4163" t="s">
        <v>40</v>
      </c>
      <c r="F4163" t="s">
        <v>53</v>
      </c>
      <c r="G4163" t="s">
        <v>63</v>
      </c>
      <c r="H4163" t="s">
        <v>67</v>
      </c>
      <c r="I4163" t="s">
        <v>35</v>
      </c>
      <c r="J4163" t="s">
        <v>27</v>
      </c>
      <c r="K4163">
        <v>2</v>
      </c>
      <c r="L4163">
        <v>40089</v>
      </c>
      <c r="M4163" t="s">
        <v>36</v>
      </c>
      <c r="N4163">
        <v>2</v>
      </c>
      <c r="O4163">
        <v>2</v>
      </c>
      <c r="P4163">
        <v>18</v>
      </c>
      <c r="Q4163">
        <v>1</v>
      </c>
      <c r="R4163" s="1">
        <v>44223</v>
      </c>
      <c r="S4163" t="s">
        <v>37</v>
      </c>
      <c r="T4163" t="str">
        <f t="shared" si="325"/>
        <v>Grade C</v>
      </c>
      <c r="U4163">
        <f t="shared" si="326"/>
        <v>1</v>
      </c>
      <c r="V4163" t="str">
        <f t="shared" si="327"/>
        <v>New Joiner</v>
      </c>
      <c r="W4163" t="str">
        <f t="shared" si="328"/>
        <v>Already Left</v>
      </c>
      <c r="X4163" t="str">
        <f t="shared" si="329"/>
        <v>Fair</v>
      </c>
    </row>
    <row r="4164" spans="1:24" x14ac:dyDescent="0.3">
      <c r="A4164" t="s">
        <v>4232</v>
      </c>
      <c r="B4164" t="s">
        <v>20</v>
      </c>
      <c r="C4164">
        <v>54</v>
      </c>
      <c r="D4164" t="s">
        <v>31</v>
      </c>
      <c r="E4164" t="s">
        <v>40</v>
      </c>
      <c r="F4164" t="s">
        <v>23</v>
      </c>
      <c r="G4164" t="s">
        <v>79</v>
      </c>
      <c r="H4164" t="s">
        <v>83</v>
      </c>
      <c r="I4164" t="s">
        <v>26</v>
      </c>
      <c r="J4164" t="s">
        <v>27</v>
      </c>
      <c r="K4164">
        <v>13</v>
      </c>
      <c r="L4164">
        <v>56186</v>
      </c>
      <c r="M4164" t="s">
        <v>45</v>
      </c>
      <c r="N4164">
        <v>4</v>
      </c>
      <c r="O4164">
        <v>1</v>
      </c>
      <c r="P4164">
        <v>46</v>
      </c>
      <c r="Q4164">
        <v>1</v>
      </c>
      <c r="R4164" s="1">
        <v>40523</v>
      </c>
      <c r="S4164" t="s">
        <v>29</v>
      </c>
      <c r="T4164" t="str">
        <f t="shared" si="325"/>
        <v>Grade B</v>
      </c>
      <c r="U4164">
        <f t="shared" si="326"/>
        <v>2</v>
      </c>
      <c r="V4164" t="str">
        <f t="shared" si="327"/>
        <v>Senior</v>
      </c>
      <c r="W4164" t="str">
        <f t="shared" si="328"/>
        <v>Medium Risk</v>
      </c>
      <c r="X4164" t="str">
        <f t="shared" si="329"/>
        <v>Fair</v>
      </c>
    </row>
    <row r="4165" spans="1:24" x14ac:dyDescent="0.3">
      <c r="A4165" t="s">
        <v>4233</v>
      </c>
      <c r="B4165" t="s">
        <v>20</v>
      </c>
      <c r="C4165">
        <v>43</v>
      </c>
      <c r="D4165" t="s">
        <v>47</v>
      </c>
      <c r="E4165" t="s">
        <v>22</v>
      </c>
      <c r="F4165" t="s">
        <v>78</v>
      </c>
      <c r="G4165" t="s">
        <v>63</v>
      </c>
      <c r="H4165" t="s">
        <v>76</v>
      </c>
      <c r="I4165" t="s">
        <v>50</v>
      </c>
      <c r="J4165" t="s">
        <v>44</v>
      </c>
      <c r="K4165">
        <v>14</v>
      </c>
      <c r="L4165">
        <v>70899</v>
      </c>
      <c r="M4165" t="s">
        <v>36</v>
      </c>
      <c r="N4165">
        <v>3</v>
      </c>
      <c r="O4165">
        <v>2</v>
      </c>
      <c r="P4165">
        <v>27</v>
      </c>
      <c r="Q4165">
        <v>1</v>
      </c>
      <c r="R4165" s="1">
        <v>40157</v>
      </c>
      <c r="S4165" t="s">
        <v>37</v>
      </c>
      <c r="T4165" t="str">
        <f t="shared" si="325"/>
        <v>Grade B</v>
      </c>
      <c r="U4165">
        <f t="shared" si="326"/>
        <v>1</v>
      </c>
      <c r="V4165" t="str">
        <f t="shared" si="327"/>
        <v>Senior</v>
      </c>
      <c r="W4165" t="str">
        <f t="shared" si="328"/>
        <v>Already Left</v>
      </c>
      <c r="X4165" t="str">
        <f t="shared" si="329"/>
        <v>Fair</v>
      </c>
    </row>
    <row r="4166" spans="1:24" x14ac:dyDescent="0.3">
      <c r="A4166" t="s">
        <v>4234</v>
      </c>
      <c r="B4166" t="s">
        <v>39</v>
      </c>
      <c r="C4166">
        <v>44</v>
      </c>
      <c r="D4166" t="s">
        <v>21</v>
      </c>
      <c r="E4166" t="s">
        <v>48</v>
      </c>
      <c r="F4166" t="s">
        <v>65</v>
      </c>
      <c r="G4166" t="s">
        <v>79</v>
      </c>
      <c r="H4166" t="s">
        <v>67</v>
      </c>
      <c r="I4166" t="s">
        <v>43</v>
      </c>
      <c r="J4166" t="s">
        <v>44</v>
      </c>
      <c r="K4166">
        <v>8</v>
      </c>
      <c r="L4166">
        <v>54471</v>
      </c>
      <c r="M4166" t="s">
        <v>28</v>
      </c>
      <c r="N4166">
        <v>4</v>
      </c>
      <c r="O4166">
        <v>2</v>
      </c>
      <c r="P4166">
        <v>35</v>
      </c>
      <c r="Q4166">
        <v>1</v>
      </c>
      <c r="R4166" s="1">
        <v>42017</v>
      </c>
      <c r="S4166" t="s">
        <v>29</v>
      </c>
      <c r="T4166" t="str">
        <f t="shared" si="325"/>
        <v>Grade B</v>
      </c>
      <c r="U4166">
        <f t="shared" si="326"/>
        <v>3</v>
      </c>
      <c r="V4166" t="str">
        <f t="shared" si="327"/>
        <v>Mid Level</v>
      </c>
      <c r="W4166" t="str">
        <f t="shared" si="328"/>
        <v>Medium Risk</v>
      </c>
      <c r="X4166" t="str">
        <f t="shared" si="329"/>
        <v>Competitive</v>
      </c>
    </row>
    <row r="4167" spans="1:24" x14ac:dyDescent="0.3">
      <c r="A4167" t="s">
        <v>4235</v>
      </c>
      <c r="B4167" t="s">
        <v>39</v>
      </c>
      <c r="C4167">
        <v>27</v>
      </c>
      <c r="D4167" t="s">
        <v>57</v>
      </c>
      <c r="E4167" t="s">
        <v>40</v>
      </c>
      <c r="F4167" t="s">
        <v>78</v>
      </c>
      <c r="G4167" t="s">
        <v>42</v>
      </c>
      <c r="H4167" t="s">
        <v>25</v>
      </c>
      <c r="I4167" t="s">
        <v>68</v>
      </c>
      <c r="J4167" t="s">
        <v>60</v>
      </c>
      <c r="K4167">
        <v>10</v>
      </c>
      <c r="L4167">
        <v>115113</v>
      </c>
      <c r="M4167" t="s">
        <v>51</v>
      </c>
      <c r="N4167">
        <v>3</v>
      </c>
      <c r="O4167">
        <v>2</v>
      </c>
      <c r="P4167">
        <v>63</v>
      </c>
      <c r="Q4167">
        <v>0</v>
      </c>
      <c r="R4167" s="1">
        <v>41379</v>
      </c>
      <c r="S4167" t="s">
        <v>29</v>
      </c>
      <c r="T4167" t="str">
        <f t="shared" si="325"/>
        <v>Grade A</v>
      </c>
      <c r="U4167">
        <f t="shared" si="326"/>
        <v>4</v>
      </c>
      <c r="V4167" t="str">
        <f t="shared" si="327"/>
        <v>Mid Level</v>
      </c>
      <c r="W4167" t="str">
        <f t="shared" si="328"/>
        <v>Low Risk</v>
      </c>
      <c r="X4167" t="str">
        <f t="shared" si="329"/>
        <v>Competitive</v>
      </c>
    </row>
    <row r="4168" spans="1:24" x14ac:dyDescent="0.3">
      <c r="A4168" t="s">
        <v>4236</v>
      </c>
      <c r="B4168" t="s">
        <v>20</v>
      </c>
      <c r="C4168">
        <v>34</v>
      </c>
      <c r="D4168" t="s">
        <v>57</v>
      </c>
      <c r="E4168" t="s">
        <v>22</v>
      </c>
      <c r="F4168" t="s">
        <v>75</v>
      </c>
      <c r="G4168" t="s">
        <v>33</v>
      </c>
      <c r="H4168" t="s">
        <v>83</v>
      </c>
      <c r="I4168" t="s">
        <v>26</v>
      </c>
      <c r="J4168" t="s">
        <v>27</v>
      </c>
      <c r="K4168">
        <v>12</v>
      </c>
      <c r="L4168">
        <v>86565</v>
      </c>
      <c r="M4168" t="s">
        <v>36</v>
      </c>
      <c r="N4168">
        <v>2</v>
      </c>
      <c r="O4168">
        <v>3</v>
      </c>
      <c r="P4168">
        <v>71</v>
      </c>
      <c r="Q4168">
        <v>2</v>
      </c>
      <c r="R4168" s="1">
        <v>40897</v>
      </c>
      <c r="S4168" t="s">
        <v>29</v>
      </c>
      <c r="T4168" t="str">
        <f t="shared" si="325"/>
        <v>Grade A</v>
      </c>
      <c r="U4168">
        <f t="shared" si="326"/>
        <v>1</v>
      </c>
      <c r="V4168" t="str">
        <f t="shared" si="327"/>
        <v>Senior</v>
      </c>
      <c r="W4168" t="str">
        <f t="shared" si="328"/>
        <v>Medium Risk</v>
      </c>
      <c r="X4168" t="str">
        <f t="shared" si="329"/>
        <v>Overpaid</v>
      </c>
    </row>
    <row r="4169" spans="1:24" x14ac:dyDescent="0.3">
      <c r="A4169" t="s">
        <v>4237</v>
      </c>
      <c r="B4169" t="s">
        <v>39</v>
      </c>
      <c r="C4169">
        <v>28</v>
      </c>
      <c r="D4169" t="s">
        <v>47</v>
      </c>
      <c r="E4169" t="s">
        <v>40</v>
      </c>
      <c r="F4169" t="s">
        <v>62</v>
      </c>
      <c r="G4169" t="s">
        <v>49</v>
      </c>
      <c r="H4169" t="s">
        <v>34</v>
      </c>
      <c r="I4169" t="s">
        <v>35</v>
      </c>
      <c r="J4169" t="s">
        <v>27</v>
      </c>
      <c r="K4169">
        <v>7</v>
      </c>
      <c r="L4169">
        <v>73651</v>
      </c>
      <c r="M4169" t="s">
        <v>28</v>
      </c>
      <c r="N4169">
        <v>1</v>
      </c>
      <c r="O4169">
        <v>1</v>
      </c>
      <c r="P4169">
        <v>28</v>
      </c>
      <c r="Q4169">
        <v>2</v>
      </c>
      <c r="R4169" s="1">
        <v>42510</v>
      </c>
      <c r="S4169" t="s">
        <v>37</v>
      </c>
      <c r="T4169" t="str">
        <f t="shared" si="325"/>
        <v>Grade B</v>
      </c>
      <c r="U4169">
        <f t="shared" si="326"/>
        <v>3</v>
      </c>
      <c r="V4169" t="str">
        <f t="shared" si="327"/>
        <v>Mid Level</v>
      </c>
      <c r="W4169" t="str">
        <f t="shared" si="328"/>
        <v>Already Left</v>
      </c>
      <c r="X4169" t="str">
        <f t="shared" si="329"/>
        <v>Competitive</v>
      </c>
    </row>
    <row r="4170" spans="1:24" x14ac:dyDescent="0.3">
      <c r="A4170" t="s">
        <v>4238</v>
      </c>
      <c r="B4170" t="s">
        <v>39</v>
      </c>
      <c r="C4170">
        <v>35</v>
      </c>
      <c r="D4170" t="s">
        <v>31</v>
      </c>
      <c r="E4170" t="s">
        <v>22</v>
      </c>
      <c r="F4170" t="s">
        <v>53</v>
      </c>
      <c r="G4170" t="s">
        <v>49</v>
      </c>
      <c r="H4170" t="s">
        <v>67</v>
      </c>
      <c r="I4170" t="s">
        <v>96</v>
      </c>
      <c r="J4170" t="s">
        <v>44</v>
      </c>
      <c r="K4170">
        <v>15</v>
      </c>
      <c r="L4170">
        <v>81033</v>
      </c>
      <c r="M4170" t="s">
        <v>28</v>
      </c>
      <c r="N4170">
        <v>2</v>
      </c>
      <c r="O4170">
        <v>2</v>
      </c>
      <c r="P4170">
        <v>47</v>
      </c>
      <c r="Q4170">
        <v>1</v>
      </c>
      <c r="R4170" s="1">
        <v>39598</v>
      </c>
      <c r="S4170" t="s">
        <v>29</v>
      </c>
      <c r="T4170" t="str">
        <f t="shared" si="325"/>
        <v>Grade A</v>
      </c>
      <c r="U4170">
        <f t="shared" si="326"/>
        <v>3</v>
      </c>
      <c r="V4170" t="str">
        <f t="shared" si="327"/>
        <v>Senior</v>
      </c>
      <c r="W4170" t="str">
        <f t="shared" si="328"/>
        <v>Medium Risk</v>
      </c>
      <c r="X4170" t="str">
        <f t="shared" si="329"/>
        <v>Competitive</v>
      </c>
    </row>
    <row r="4171" spans="1:24" x14ac:dyDescent="0.3">
      <c r="A4171" t="s">
        <v>4239</v>
      </c>
      <c r="B4171" t="s">
        <v>39</v>
      </c>
      <c r="C4171">
        <v>22</v>
      </c>
      <c r="D4171" t="s">
        <v>31</v>
      </c>
      <c r="E4171" t="s">
        <v>48</v>
      </c>
      <c r="F4171" t="s">
        <v>75</v>
      </c>
      <c r="G4171" t="s">
        <v>79</v>
      </c>
      <c r="H4171" t="s">
        <v>25</v>
      </c>
      <c r="I4171" t="s">
        <v>68</v>
      </c>
      <c r="J4171" t="s">
        <v>60</v>
      </c>
      <c r="K4171">
        <v>1</v>
      </c>
      <c r="L4171">
        <v>40471</v>
      </c>
      <c r="M4171" t="s">
        <v>51</v>
      </c>
      <c r="N4171">
        <v>4</v>
      </c>
      <c r="O4171">
        <v>3</v>
      </c>
      <c r="P4171">
        <v>66</v>
      </c>
      <c r="Q4171">
        <v>3</v>
      </c>
      <c r="R4171" s="1">
        <v>44855</v>
      </c>
      <c r="S4171" t="s">
        <v>29</v>
      </c>
      <c r="T4171" t="str">
        <f t="shared" si="325"/>
        <v>Grade C</v>
      </c>
      <c r="U4171">
        <f t="shared" si="326"/>
        <v>4</v>
      </c>
      <c r="V4171" t="str">
        <f t="shared" si="327"/>
        <v>New Joiner</v>
      </c>
      <c r="W4171" t="str">
        <f t="shared" si="328"/>
        <v>Low Risk</v>
      </c>
      <c r="X4171" t="str">
        <f t="shared" si="329"/>
        <v>Fair</v>
      </c>
    </row>
    <row r="4172" spans="1:24" x14ac:dyDescent="0.3">
      <c r="A4172" t="s">
        <v>4240</v>
      </c>
      <c r="B4172" t="s">
        <v>20</v>
      </c>
      <c r="C4172">
        <v>37</v>
      </c>
      <c r="D4172" t="s">
        <v>31</v>
      </c>
      <c r="E4172" t="s">
        <v>22</v>
      </c>
      <c r="F4172" t="s">
        <v>23</v>
      </c>
      <c r="G4172" t="s">
        <v>24</v>
      </c>
      <c r="H4172" t="s">
        <v>76</v>
      </c>
      <c r="I4172" t="s">
        <v>43</v>
      </c>
      <c r="J4172" t="s">
        <v>44</v>
      </c>
      <c r="K4172">
        <v>11</v>
      </c>
      <c r="L4172">
        <v>98703</v>
      </c>
      <c r="M4172" t="s">
        <v>51</v>
      </c>
      <c r="N4172">
        <v>1</v>
      </c>
      <c r="O4172">
        <v>1</v>
      </c>
      <c r="P4172">
        <v>79</v>
      </c>
      <c r="Q4172">
        <v>2</v>
      </c>
      <c r="R4172" s="1">
        <v>41029</v>
      </c>
      <c r="S4172" t="s">
        <v>37</v>
      </c>
      <c r="T4172" t="str">
        <f t="shared" si="325"/>
        <v>Grade A</v>
      </c>
      <c r="U4172">
        <f t="shared" si="326"/>
        <v>4</v>
      </c>
      <c r="V4172" t="str">
        <f t="shared" si="327"/>
        <v>Senior</v>
      </c>
      <c r="W4172" t="str">
        <f t="shared" si="328"/>
        <v>Already Left</v>
      </c>
      <c r="X4172" t="str">
        <f t="shared" si="329"/>
        <v>Competitive</v>
      </c>
    </row>
    <row r="4173" spans="1:24" x14ac:dyDescent="0.3">
      <c r="A4173" t="s">
        <v>4241</v>
      </c>
      <c r="B4173" t="s">
        <v>20</v>
      </c>
      <c r="C4173">
        <v>46</v>
      </c>
      <c r="D4173" t="s">
        <v>57</v>
      </c>
      <c r="E4173" t="s">
        <v>40</v>
      </c>
      <c r="F4173" t="s">
        <v>32</v>
      </c>
      <c r="G4173" t="s">
        <v>79</v>
      </c>
      <c r="H4173" t="s">
        <v>34</v>
      </c>
      <c r="I4173" t="s">
        <v>59</v>
      </c>
      <c r="J4173" t="s">
        <v>60</v>
      </c>
      <c r="K4173">
        <v>4</v>
      </c>
      <c r="L4173">
        <v>52262</v>
      </c>
      <c r="M4173" t="s">
        <v>51</v>
      </c>
      <c r="N4173">
        <v>1</v>
      </c>
      <c r="O4173">
        <v>2</v>
      </c>
      <c r="P4173">
        <v>60</v>
      </c>
      <c r="Q4173">
        <v>3</v>
      </c>
      <c r="R4173" s="1">
        <v>43622</v>
      </c>
      <c r="S4173" t="s">
        <v>29</v>
      </c>
      <c r="T4173" t="str">
        <f t="shared" si="325"/>
        <v>Grade B</v>
      </c>
      <c r="U4173">
        <f t="shared" si="326"/>
        <v>4</v>
      </c>
      <c r="V4173" t="str">
        <f t="shared" si="327"/>
        <v>Junior</v>
      </c>
      <c r="W4173" t="str">
        <f t="shared" si="328"/>
        <v>Low Risk</v>
      </c>
      <c r="X4173" t="str">
        <f t="shared" si="329"/>
        <v>Fair</v>
      </c>
    </row>
    <row r="4174" spans="1:24" x14ac:dyDescent="0.3">
      <c r="A4174" t="s">
        <v>4242</v>
      </c>
      <c r="B4174" t="s">
        <v>20</v>
      </c>
      <c r="C4174">
        <v>53</v>
      </c>
      <c r="D4174" t="s">
        <v>57</v>
      </c>
      <c r="E4174" t="s">
        <v>40</v>
      </c>
      <c r="F4174" t="s">
        <v>65</v>
      </c>
      <c r="G4174" t="s">
        <v>63</v>
      </c>
      <c r="H4174" t="s">
        <v>83</v>
      </c>
      <c r="I4174" t="s">
        <v>80</v>
      </c>
      <c r="J4174" t="s">
        <v>60</v>
      </c>
      <c r="K4174">
        <v>8</v>
      </c>
      <c r="L4174">
        <v>64992</v>
      </c>
      <c r="M4174" t="s">
        <v>51</v>
      </c>
      <c r="N4174">
        <v>3</v>
      </c>
      <c r="O4174">
        <v>4</v>
      </c>
      <c r="P4174">
        <v>58</v>
      </c>
      <c r="Q4174">
        <v>3</v>
      </c>
      <c r="R4174" s="1">
        <v>42297</v>
      </c>
      <c r="S4174" t="s">
        <v>37</v>
      </c>
      <c r="T4174" t="str">
        <f t="shared" si="325"/>
        <v>Grade B</v>
      </c>
      <c r="U4174">
        <f t="shared" si="326"/>
        <v>4</v>
      </c>
      <c r="V4174" t="str">
        <f t="shared" si="327"/>
        <v>Mid Level</v>
      </c>
      <c r="W4174" t="str">
        <f t="shared" si="328"/>
        <v>Already Left</v>
      </c>
      <c r="X4174" t="str">
        <f t="shared" si="329"/>
        <v>Fair</v>
      </c>
    </row>
    <row r="4175" spans="1:24" x14ac:dyDescent="0.3">
      <c r="A4175" t="s">
        <v>4243</v>
      </c>
      <c r="B4175" t="s">
        <v>39</v>
      </c>
      <c r="C4175">
        <v>33</v>
      </c>
      <c r="D4175" t="s">
        <v>88</v>
      </c>
      <c r="E4175" t="s">
        <v>22</v>
      </c>
      <c r="F4175" t="s">
        <v>75</v>
      </c>
      <c r="G4175" t="s">
        <v>63</v>
      </c>
      <c r="H4175" t="s">
        <v>34</v>
      </c>
      <c r="I4175" t="s">
        <v>80</v>
      </c>
      <c r="J4175" t="s">
        <v>60</v>
      </c>
      <c r="K4175">
        <v>15</v>
      </c>
      <c r="L4175">
        <v>77045</v>
      </c>
      <c r="M4175" t="s">
        <v>28</v>
      </c>
      <c r="N4175">
        <v>4</v>
      </c>
      <c r="O4175">
        <v>4</v>
      </c>
      <c r="P4175">
        <v>48</v>
      </c>
      <c r="Q4175">
        <v>3</v>
      </c>
      <c r="R4175" s="1">
        <v>39471</v>
      </c>
      <c r="S4175" t="s">
        <v>29</v>
      </c>
      <c r="T4175" t="str">
        <f t="shared" si="325"/>
        <v>Grade B</v>
      </c>
      <c r="U4175">
        <f t="shared" si="326"/>
        <v>3</v>
      </c>
      <c r="V4175" t="str">
        <f t="shared" si="327"/>
        <v>Senior</v>
      </c>
      <c r="W4175" t="str">
        <f t="shared" si="328"/>
        <v>Medium Risk</v>
      </c>
      <c r="X4175" t="str">
        <f t="shared" si="329"/>
        <v>Competitive</v>
      </c>
    </row>
    <row r="4176" spans="1:24" x14ac:dyDescent="0.3">
      <c r="A4176" t="s">
        <v>4244</v>
      </c>
      <c r="B4176" t="s">
        <v>39</v>
      </c>
      <c r="C4176">
        <v>40</v>
      </c>
      <c r="D4176" t="s">
        <v>31</v>
      </c>
      <c r="E4176" t="s">
        <v>48</v>
      </c>
      <c r="F4176" t="s">
        <v>62</v>
      </c>
      <c r="G4176" t="s">
        <v>42</v>
      </c>
      <c r="H4176" t="s">
        <v>34</v>
      </c>
      <c r="I4176" t="s">
        <v>54</v>
      </c>
      <c r="J4176" t="s">
        <v>27</v>
      </c>
      <c r="K4176">
        <v>6</v>
      </c>
      <c r="L4176">
        <v>107270</v>
      </c>
      <c r="M4176" t="s">
        <v>28</v>
      </c>
      <c r="N4176">
        <v>2</v>
      </c>
      <c r="O4176">
        <v>1</v>
      </c>
      <c r="P4176">
        <v>16</v>
      </c>
      <c r="Q4176">
        <v>0</v>
      </c>
      <c r="R4176" s="1">
        <v>42908</v>
      </c>
      <c r="S4176" t="s">
        <v>29</v>
      </c>
      <c r="T4176" t="str">
        <f t="shared" si="325"/>
        <v>Grade A</v>
      </c>
      <c r="U4176">
        <f t="shared" si="326"/>
        <v>3</v>
      </c>
      <c r="V4176" t="str">
        <f t="shared" si="327"/>
        <v>Mid Level</v>
      </c>
      <c r="W4176" t="str">
        <f t="shared" si="328"/>
        <v>Medium Risk</v>
      </c>
      <c r="X4176" t="str">
        <f t="shared" si="329"/>
        <v>Competitive</v>
      </c>
    </row>
    <row r="4177" spans="1:24" x14ac:dyDescent="0.3">
      <c r="A4177" t="s">
        <v>4245</v>
      </c>
      <c r="B4177" t="s">
        <v>20</v>
      </c>
      <c r="C4177">
        <v>30</v>
      </c>
      <c r="D4177" t="s">
        <v>31</v>
      </c>
      <c r="E4177" t="s">
        <v>22</v>
      </c>
      <c r="F4177" t="s">
        <v>78</v>
      </c>
      <c r="G4177" t="s">
        <v>24</v>
      </c>
      <c r="H4177" t="s">
        <v>76</v>
      </c>
      <c r="I4177" t="s">
        <v>59</v>
      </c>
      <c r="J4177" t="s">
        <v>60</v>
      </c>
      <c r="K4177">
        <v>6</v>
      </c>
      <c r="L4177">
        <v>94112</v>
      </c>
      <c r="M4177" t="s">
        <v>28</v>
      </c>
      <c r="N4177">
        <v>1</v>
      </c>
      <c r="O4177">
        <v>3</v>
      </c>
      <c r="P4177">
        <v>63</v>
      </c>
      <c r="Q4177">
        <v>2</v>
      </c>
      <c r="R4177" s="1">
        <v>42982</v>
      </c>
      <c r="S4177" t="s">
        <v>37</v>
      </c>
      <c r="T4177" t="str">
        <f t="shared" si="325"/>
        <v>Grade A</v>
      </c>
      <c r="U4177">
        <f t="shared" si="326"/>
        <v>3</v>
      </c>
      <c r="V4177" t="str">
        <f t="shared" si="327"/>
        <v>Mid Level</v>
      </c>
      <c r="W4177" t="str">
        <f t="shared" si="328"/>
        <v>Already Left</v>
      </c>
      <c r="X4177" t="str">
        <f t="shared" si="329"/>
        <v>Competitive</v>
      </c>
    </row>
    <row r="4178" spans="1:24" x14ac:dyDescent="0.3">
      <c r="A4178" t="s">
        <v>4246</v>
      </c>
      <c r="B4178" t="s">
        <v>39</v>
      </c>
      <c r="C4178">
        <v>46</v>
      </c>
      <c r="D4178" t="s">
        <v>57</v>
      </c>
      <c r="E4178" t="s">
        <v>48</v>
      </c>
      <c r="F4178" t="s">
        <v>65</v>
      </c>
      <c r="G4178" t="s">
        <v>33</v>
      </c>
      <c r="H4178" t="s">
        <v>67</v>
      </c>
      <c r="I4178" t="s">
        <v>59</v>
      </c>
      <c r="J4178" t="s">
        <v>60</v>
      </c>
      <c r="K4178">
        <v>11</v>
      </c>
      <c r="L4178">
        <v>74024</v>
      </c>
      <c r="M4178" t="s">
        <v>51</v>
      </c>
      <c r="N4178">
        <v>2</v>
      </c>
      <c r="O4178">
        <v>1</v>
      </c>
      <c r="P4178">
        <v>16</v>
      </c>
      <c r="Q4178">
        <v>1</v>
      </c>
      <c r="R4178" s="1">
        <v>41034</v>
      </c>
      <c r="S4178" t="s">
        <v>29</v>
      </c>
      <c r="T4178" t="str">
        <f t="shared" si="325"/>
        <v>Grade B</v>
      </c>
      <c r="U4178">
        <f t="shared" si="326"/>
        <v>4</v>
      </c>
      <c r="V4178" t="str">
        <f t="shared" si="327"/>
        <v>Senior</v>
      </c>
      <c r="W4178" t="str">
        <f t="shared" si="328"/>
        <v>Low Risk</v>
      </c>
      <c r="X4178" t="str">
        <f t="shared" si="329"/>
        <v>Fair</v>
      </c>
    </row>
    <row r="4179" spans="1:24" x14ac:dyDescent="0.3">
      <c r="A4179" t="s">
        <v>4247</v>
      </c>
      <c r="B4179" t="s">
        <v>39</v>
      </c>
      <c r="C4179">
        <v>23</v>
      </c>
      <c r="D4179" t="s">
        <v>21</v>
      </c>
      <c r="E4179" t="s">
        <v>22</v>
      </c>
      <c r="F4179" t="s">
        <v>32</v>
      </c>
      <c r="G4179" t="s">
        <v>49</v>
      </c>
      <c r="H4179" t="s">
        <v>83</v>
      </c>
      <c r="I4179" t="s">
        <v>50</v>
      </c>
      <c r="J4179" t="s">
        <v>44</v>
      </c>
      <c r="K4179">
        <v>4</v>
      </c>
      <c r="L4179">
        <v>49597</v>
      </c>
      <c r="M4179" t="s">
        <v>45</v>
      </c>
      <c r="N4179">
        <v>1</v>
      </c>
      <c r="O4179">
        <v>3</v>
      </c>
      <c r="P4179">
        <v>34</v>
      </c>
      <c r="Q4179">
        <v>1</v>
      </c>
      <c r="R4179" s="1">
        <v>43595</v>
      </c>
      <c r="S4179" t="s">
        <v>29</v>
      </c>
      <c r="T4179" t="str">
        <f t="shared" si="325"/>
        <v>Grade C</v>
      </c>
      <c r="U4179">
        <f t="shared" si="326"/>
        <v>2</v>
      </c>
      <c r="V4179" t="str">
        <f t="shared" si="327"/>
        <v>Junior</v>
      </c>
      <c r="W4179" t="str">
        <f t="shared" si="328"/>
        <v>Medium Risk</v>
      </c>
      <c r="X4179" t="str">
        <f t="shared" si="329"/>
        <v>Fair</v>
      </c>
    </row>
    <row r="4180" spans="1:24" x14ac:dyDescent="0.3">
      <c r="A4180" t="s">
        <v>4248</v>
      </c>
      <c r="B4180" t="s">
        <v>20</v>
      </c>
      <c r="C4180">
        <v>29</v>
      </c>
      <c r="D4180" t="s">
        <v>88</v>
      </c>
      <c r="E4180" t="s">
        <v>22</v>
      </c>
      <c r="F4180" t="s">
        <v>62</v>
      </c>
      <c r="G4180" t="s">
        <v>66</v>
      </c>
      <c r="H4180" t="s">
        <v>83</v>
      </c>
      <c r="I4180" t="s">
        <v>59</v>
      </c>
      <c r="J4180" t="s">
        <v>60</v>
      </c>
      <c r="K4180">
        <v>6</v>
      </c>
      <c r="L4180">
        <v>37321</v>
      </c>
      <c r="M4180" t="s">
        <v>45</v>
      </c>
      <c r="N4180">
        <v>1</v>
      </c>
      <c r="O4180">
        <v>4</v>
      </c>
      <c r="P4180">
        <v>35</v>
      </c>
      <c r="Q4180">
        <v>0</v>
      </c>
      <c r="R4180" s="1">
        <v>43020</v>
      </c>
      <c r="S4180" t="s">
        <v>29</v>
      </c>
      <c r="T4180" t="str">
        <f t="shared" si="325"/>
        <v>Grade C</v>
      </c>
      <c r="U4180">
        <f t="shared" si="326"/>
        <v>2</v>
      </c>
      <c r="V4180" t="str">
        <f t="shared" si="327"/>
        <v>Mid Level</v>
      </c>
      <c r="W4180" t="str">
        <f t="shared" si="328"/>
        <v>Medium Risk</v>
      </c>
      <c r="X4180" t="str">
        <f t="shared" si="329"/>
        <v>Fair</v>
      </c>
    </row>
    <row r="4181" spans="1:24" x14ac:dyDescent="0.3">
      <c r="A4181" t="s">
        <v>4249</v>
      </c>
      <c r="B4181" t="s">
        <v>20</v>
      </c>
      <c r="C4181">
        <v>39</v>
      </c>
      <c r="D4181" t="s">
        <v>57</v>
      </c>
      <c r="E4181" t="s">
        <v>22</v>
      </c>
      <c r="F4181" t="s">
        <v>65</v>
      </c>
      <c r="G4181" t="s">
        <v>58</v>
      </c>
      <c r="H4181" t="s">
        <v>25</v>
      </c>
      <c r="I4181" t="s">
        <v>54</v>
      </c>
      <c r="J4181" t="s">
        <v>27</v>
      </c>
      <c r="K4181">
        <v>12</v>
      </c>
      <c r="L4181">
        <v>113152</v>
      </c>
      <c r="M4181" t="s">
        <v>45</v>
      </c>
      <c r="N4181">
        <v>1</v>
      </c>
      <c r="O4181">
        <v>4</v>
      </c>
      <c r="P4181">
        <v>51</v>
      </c>
      <c r="Q4181">
        <v>0</v>
      </c>
      <c r="R4181" s="1">
        <v>40682</v>
      </c>
      <c r="S4181" t="s">
        <v>29</v>
      </c>
      <c r="T4181" t="str">
        <f t="shared" si="325"/>
        <v>Grade A</v>
      </c>
      <c r="U4181">
        <f t="shared" si="326"/>
        <v>2</v>
      </c>
      <c r="V4181" t="str">
        <f t="shared" si="327"/>
        <v>Senior</v>
      </c>
      <c r="W4181" t="str">
        <f t="shared" si="328"/>
        <v>Medium Risk</v>
      </c>
      <c r="X4181" t="str">
        <f t="shared" si="329"/>
        <v>Fair</v>
      </c>
    </row>
    <row r="4182" spans="1:24" x14ac:dyDescent="0.3">
      <c r="A4182" t="s">
        <v>4250</v>
      </c>
      <c r="B4182" t="s">
        <v>20</v>
      </c>
      <c r="C4182">
        <v>24</v>
      </c>
      <c r="D4182" t="s">
        <v>31</v>
      </c>
      <c r="E4182" t="s">
        <v>22</v>
      </c>
      <c r="F4182" t="s">
        <v>65</v>
      </c>
      <c r="G4182" t="s">
        <v>66</v>
      </c>
      <c r="H4182" t="s">
        <v>83</v>
      </c>
      <c r="I4182" t="s">
        <v>43</v>
      </c>
      <c r="J4182" t="s">
        <v>44</v>
      </c>
      <c r="K4182">
        <v>7</v>
      </c>
      <c r="L4182">
        <v>47194</v>
      </c>
      <c r="M4182" t="s">
        <v>28</v>
      </c>
      <c r="N4182">
        <v>1</v>
      </c>
      <c r="O4182">
        <v>3</v>
      </c>
      <c r="P4182">
        <v>25</v>
      </c>
      <c r="Q4182">
        <v>2</v>
      </c>
      <c r="R4182" s="1">
        <v>42637</v>
      </c>
      <c r="S4182" t="s">
        <v>29</v>
      </c>
      <c r="T4182" t="str">
        <f t="shared" si="325"/>
        <v>Grade C</v>
      </c>
      <c r="U4182">
        <f t="shared" si="326"/>
        <v>3</v>
      </c>
      <c r="V4182" t="str">
        <f t="shared" si="327"/>
        <v>Mid Level</v>
      </c>
      <c r="W4182" t="str">
        <f t="shared" si="328"/>
        <v>Medium Risk</v>
      </c>
      <c r="X4182" t="str">
        <f t="shared" si="329"/>
        <v>Fair</v>
      </c>
    </row>
    <row r="4183" spans="1:24" x14ac:dyDescent="0.3">
      <c r="A4183" t="s">
        <v>4251</v>
      </c>
      <c r="B4183" t="s">
        <v>20</v>
      </c>
      <c r="C4183">
        <v>39</v>
      </c>
      <c r="D4183" t="s">
        <v>31</v>
      </c>
      <c r="E4183" t="s">
        <v>22</v>
      </c>
      <c r="F4183" t="s">
        <v>32</v>
      </c>
      <c r="G4183" t="s">
        <v>33</v>
      </c>
      <c r="H4183" t="s">
        <v>34</v>
      </c>
      <c r="I4183" t="s">
        <v>68</v>
      </c>
      <c r="J4183" t="s">
        <v>60</v>
      </c>
      <c r="K4183">
        <v>8</v>
      </c>
      <c r="L4183">
        <v>67948</v>
      </c>
      <c r="M4183" t="s">
        <v>36</v>
      </c>
      <c r="N4183">
        <v>4</v>
      </c>
      <c r="O4183">
        <v>2</v>
      </c>
      <c r="P4183">
        <v>53</v>
      </c>
      <c r="Q4183">
        <v>3</v>
      </c>
      <c r="R4183" s="1">
        <v>42082</v>
      </c>
      <c r="S4183" t="s">
        <v>37</v>
      </c>
      <c r="T4183" t="str">
        <f t="shared" si="325"/>
        <v>Grade B</v>
      </c>
      <c r="U4183">
        <f t="shared" si="326"/>
        <v>1</v>
      </c>
      <c r="V4183" t="str">
        <f t="shared" si="327"/>
        <v>Mid Level</v>
      </c>
      <c r="W4183" t="str">
        <f t="shared" si="328"/>
        <v>Already Left</v>
      </c>
      <c r="X4183" t="str">
        <f t="shared" si="329"/>
        <v>Fair</v>
      </c>
    </row>
    <row r="4184" spans="1:24" x14ac:dyDescent="0.3">
      <c r="A4184" t="s">
        <v>4252</v>
      </c>
      <c r="B4184" t="s">
        <v>39</v>
      </c>
      <c r="C4184">
        <v>35</v>
      </c>
      <c r="D4184" t="s">
        <v>57</v>
      </c>
      <c r="E4184" t="s">
        <v>22</v>
      </c>
      <c r="F4184" t="s">
        <v>32</v>
      </c>
      <c r="G4184" t="s">
        <v>49</v>
      </c>
      <c r="H4184" t="s">
        <v>67</v>
      </c>
      <c r="I4184" t="s">
        <v>43</v>
      </c>
      <c r="J4184" t="s">
        <v>44</v>
      </c>
      <c r="K4184">
        <v>3</v>
      </c>
      <c r="L4184">
        <v>56615</v>
      </c>
      <c r="M4184" t="s">
        <v>51</v>
      </c>
      <c r="N4184">
        <v>4</v>
      </c>
      <c r="O4184">
        <v>2</v>
      </c>
      <c r="P4184">
        <v>10</v>
      </c>
      <c r="Q4184">
        <v>1</v>
      </c>
      <c r="R4184" s="1">
        <v>43867</v>
      </c>
      <c r="S4184" t="s">
        <v>29</v>
      </c>
      <c r="T4184" t="str">
        <f t="shared" si="325"/>
        <v>Grade B</v>
      </c>
      <c r="U4184">
        <f t="shared" si="326"/>
        <v>4</v>
      </c>
      <c r="V4184" t="str">
        <f t="shared" si="327"/>
        <v>Junior</v>
      </c>
      <c r="W4184" t="str">
        <f t="shared" si="328"/>
        <v>Low Risk</v>
      </c>
      <c r="X4184" t="str">
        <f t="shared" si="329"/>
        <v>Fair</v>
      </c>
    </row>
    <row r="4185" spans="1:24" x14ac:dyDescent="0.3">
      <c r="A4185" t="s">
        <v>4253</v>
      </c>
      <c r="B4185" t="s">
        <v>39</v>
      </c>
      <c r="C4185">
        <v>52</v>
      </c>
      <c r="D4185" t="s">
        <v>47</v>
      </c>
      <c r="E4185" t="s">
        <v>48</v>
      </c>
      <c r="F4185" t="s">
        <v>75</v>
      </c>
      <c r="G4185" t="s">
        <v>58</v>
      </c>
      <c r="H4185" t="s">
        <v>83</v>
      </c>
      <c r="I4185" t="s">
        <v>96</v>
      </c>
      <c r="J4185" t="s">
        <v>44</v>
      </c>
      <c r="K4185">
        <v>11</v>
      </c>
      <c r="L4185">
        <v>113321</v>
      </c>
      <c r="M4185" t="s">
        <v>28</v>
      </c>
      <c r="N4185">
        <v>4</v>
      </c>
      <c r="O4185">
        <v>1</v>
      </c>
      <c r="P4185">
        <v>40</v>
      </c>
      <c r="Q4185">
        <v>0</v>
      </c>
      <c r="R4185" s="1">
        <v>41049</v>
      </c>
      <c r="S4185" t="s">
        <v>37</v>
      </c>
      <c r="T4185" t="str">
        <f t="shared" si="325"/>
        <v>Grade A</v>
      </c>
      <c r="U4185">
        <f t="shared" si="326"/>
        <v>3</v>
      </c>
      <c r="V4185" t="str">
        <f t="shared" si="327"/>
        <v>Senior</v>
      </c>
      <c r="W4185" t="str">
        <f t="shared" si="328"/>
        <v>Already Left</v>
      </c>
      <c r="X4185" t="str">
        <f t="shared" si="329"/>
        <v>Competitive</v>
      </c>
    </row>
    <row r="4186" spans="1:24" x14ac:dyDescent="0.3">
      <c r="A4186" t="s">
        <v>4254</v>
      </c>
      <c r="B4186" t="s">
        <v>20</v>
      </c>
      <c r="C4186">
        <v>23</v>
      </c>
      <c r="D4186" t="s">
        <v>21</v>
      </c>
      <c r="E4186" t="s">
        <v>48</v>
      </c>
      <c r="F4186" t="s">
        <v>78</v>
      </c>
      <c r="G4186" t="s">
        <v>58</v>
      </c>
      <c r="H4186" t="s">
        <v>76</v>
      </c>
      <c r="I4186" t="s">
        <v>43</v>
      </c>
      <c r="J4186" t="s">
        <v>44</v>
      </c>
      <c r="K4186">
        <v>8</v>
      </c>
      <c r="L4186">
        <v>99800</v>
      </c>
      <c r="M4186" t="s">
        <v>51</v>
      </c>
      <c r="N4186">
        <v>3</v>
      </c>
      <c r="O4186">
        <v>2</v>
      </c>
      <c r="P4186">
        <v>18</v>
      </c>
      <c r="Q4186">
        <v>2</v>
      </c>
      <c r="R4186" s="1">
        <v>42043</v>
      </c>
      <c r="S4186" t="s">
        <v>29</v>
      </c>
      <c r="T4186" t="str">
        <f t="shared" si="325"/>
        <v>Grade A</v>
      </c>
      <c r="U4186">
        <f t="shared" si="326"/>
        <v>4</v>
      </c>
      <c r="V4186" t="str">
        <f t="shared" si="327"/>
        <v>Mid Level</v>
      </c>
      <c r="W4186" t="str">
        <f t="shared" si="328"/>
        <v>Low Risk</v>
      </c>
      <c r="X4186" t="str">
        <f t="shared" si="329"/>
        <v>Competitive</v>
      </c>
    </row>
    <row r="4187" spans="1:24" x14ac:dyDescent="0.3">
      <c r="A4187" t="s">
        <v>4255</v>
      </c>
      <c r="B4187" t="s">
        <v>39</v>
      </c>
      <c r="C4187">
        <v>33</v>
      </c>
      <c r="D4187" t="s">
        <v>88</v>
      </c>
      <c r="E4187" t="s">
        <v>48</v>
      </c>
      <c r="F4187" t="s">
        <v>32</v>
      </c>
      <c r="G4187" t="s">
        <v>79</v>
      </c>
      <c r="H4187" t="s">
        <v>25</v>
      </c>
      <c r="I4187" t="s">
        <v>54</v>
      </c>
      <c r="J4187" t="s">
        <v>27</v>
      </c>
      <c r="K4187">
        <v>10</v>
      </c>
      <c r="L4187">
        <v>62738</v>
      </c>
      <c r="M4187" t="s">
        <v>45</v>
      </c>
      <c r="N4187">
        <v>2</v>
      </c>
      <c r="O4187">
        <v>4</v>
      </c>
      <c r="P4187">
        <v>32</v>
      </c>
      <c r="Q4187">
        <v>1</v>
      </c>
      <c r="R4187" s="1">
        <v>41456</v>
      </c>
      <c r="S4187" t="s">
        <v>37</v>
      </c>
      <c r="T4187" t="str">
        <f t="shared" si="325"/>
        <v>Grade B</v>
      </c>
      <c r="U4187">
        <f t="shared" si="326"/>
        <v>2</v>
      </c>
      <c r="V4187" t="str">
        <f t="shared" si="327"/>
        <v>Mid Level</v>
      </c>
      <c r="W4187" t="str">
        <f t="shared" si="328"/>
        <v>Already Left</v>
      </c>
      <c r="X4187" t="str">
        <f t="shared" si="329"/>
        <v>Fair</v>
      </c>
    </row>
    <row r="4188" spans="1:24" x14ac:dyDescent="0.3">
      <c r="A4188" t="s">
        <v>4256</v>
      </c>
      <c r="B4188" t="s">
        <v>39</v>
      </c>
      <c r="C4188">
        <v>55</v>
      </c>
      <c r="D4188" t="s">
        <v>88</v>
      </c>
      <c r="E4188" t="s">
        <v>22</v>
      </c>
      <c r="F4188" t="s">
        <v>65</v>
      </c>
      <c r="G4188" t="s">
        <v>42</v>
      </c>
      <c r="H4188" t="s">
        <v>25</v>
      </c>
      <c r="I4188" t="s">
        <v>72</v>
      </c>
      <c r="J4188" t="s">
        <v>73</v>
      </c>
      <c r="K4188">
        <v>15</v>
      </c>
      <c r="L4188">
        <v>118516</v>
      </c>
      <c r="M4188" t="s">
        <v>36</v>
      </c>
      <c r="N4188">
        <v>4</v>
      </c>
      <c r="O4188">
        <v>4</v>
      </c>
      <c r="P4188">
        <v>13</v>
      </c>
      <c r="Q4188">
        <v>1</v>
      </c>
      <c r="R4188" s="1">
        <v>39641</v>
      </c>
      <c r="S4188" t="s">
        <v>37</v>
      </c>
      <c r="T4188" t="str">
        <f t="shared" si="325"/>
        <v>Grade A</v>
      </c>
      <c r="U4188">
        <f t="shared" si="326"/>
        <v>1</v>
      </c>
      <c r="V4188" t="str">
        <f t="shared" si="327"/>
        <v>Senior</v>
      </c>
      <c r="W4188" t="str">
        <f t="shared" si="328"/>
        <v>Already Left</v>
      </c>
      <c r="X4188" t="str">
        <f t="shared" si="329"/>
        <v>Overpaid</v>
      </c>
    </row>
    <row r="4189" spans="1:24" x14ac:dyDescent="0.3">
      <c r="A4189" t="s">
        <v>4257</v>
      </c>
      <c r="B4189" t="s">
        <v>39</v>
      </c>
      <c r="C4189">
        <v>29</v>
      </c>
      <c r="D4189" t="s">
        <v>47</v>
      </c>
      <c r="E4189" t="s">
        <v>22</v>
      </c>
      <c r="F4189" t="s">
        <v>32</v>
      </c>
      <c r="G4189" t="s">
        <v>79</v>
      </c>
      <c r="H4189" t="s">
        <v>25</v>
      </c>
      <c r="I4189" t="s">
        <v>43</v>
      </c>
      <c r="J4189" t="s">
        <v>44</v>
      </c>
      <c r="K4189">
        <v>10</v>
      </c>
      <c r="L4189">
        <v>62474</v>
      </c>
      <c r="M4189" t="s">
        <v>51</v>
      </c>
      <c r="N4189">
        <v>2</v>
      </c>
      <c r="O4189">
        <v>4</v>
      </c>
      <c r="P4189">
        <v>35</v>
      </c>
      <c r="Q4189">
        <v>2</v>
      </c>
      <c r="R4189" s="1">
        <v>41429</v>
      </c>
      <c r="S4189" t="s">
        <v>37</v>
      </c>
      <c r="T4189" t="str">
        <f t="shared" si="325"/>
        <v>Grade B</v>
      </c>
      <c r="U4189">
        <f t="shared" si="326"/>
        <v>4</v>
      </c>
      <c r="V4189" t="str">
        <f t="shared" si="327"/>
        <v>Mid Level</v>
      </c>
      <c r="W4189" t="str">
        <f t="shared" si="328"/>
        <v>Already Left</v>
      </c>
      <c r="X4189" t="str">
        <f t="shared" si="329"/>
        <v>Fair</v>
      </c>
    </row>
    <row r="4190" spans="1:24" x14ac:dyDescent="0.3">
      <c r="A4190" t="s">
        <v>4258</v>
      </c>
      <c r="B4190" t="s">
        <v>20</v>
      </c>
      <c r="C4190">
        <v>39</v>
      </c>
      <c r="D4190" t="s">
        <v>31</v>
      </c>
      <c r="E4190" t="s">
        <v>48</v>
      </c>
      <c r="F4190" t="s">
        <v>53</v>
      </c>
      <c r="G4190" t="s">
        <v>49</v>
      </c>
      <c r="H4190" t="s">
        <v>34</v>
      </c>
      <c r="I4190" t="s">
        <v>72</v>
      </c>
      <c r="J4190" t="s">
        <v>73</v>
      </c>
      <c r="K4190">
        <v>5</v>
      </c>
      <c r="L4190">
        <v>56188</v>
      </c>
      <c r="M4190" t="s">
        <v>51</v>
      </c>
      <c r="N4190">
        <v>1</v>
      </c>
      <c r="O4190">
        <v>4</v>
      </c>
      <c r="P4190">
        <v>48</v>
      </c>
      <c r="Q4190">
        <v>2</v>
      </c>
      <c r="R4190" s="1">
        <v>43270</v>
      </c>
      <c r="S4190" t="s">
        <v>29</v>
      </c>
      <c r="T4190" t="str">
        <f t="shared" si="325"/>
        <v>Grade B</v>
      </c>
      <c r="U4190">
        <f t="shared" si="326"/>
        <v>4</v>
      </c>
      <c r="V4190" t="str">
        <f t="shared" si="327"/>
        <v>Junior</v>
      </c>
      <c r="W4190" t="str">
        <f t="shared" si="328"/>
        <v>Low Risk</v>
      </c>
      <c r="X4190" t="str">
        <f t="shared" si="329"/>
        <v>Fair</v>
      </c>
    </row>
    <row r="4191" spans="1:24" x14ac:dyDescent="0.3">
      <c r="A4191" t="s">
        <v>4259</v>
      </c>
      <c r="B4191" t="s">
        <v>39</v>
      </c>
      <c r="C4191">
        <v>45</v>
      </c>
      <c r="D4191" t="s">
        <v>57</v>
      </c>
      <c r="E4191" t="s">
        <v>48</v>
      </c>
      <c r="F4191" t="s">
        <v>41</v>
      </c>
      <c r="G4191" t="s">
        <v>63</v>
      </c>
      <c r="H4191" t="s">
        <v>25</v>
      </c>
      <c r="I4191" t="s">
        <v>43</v>
      </c>
      <c r="J4191" t="s">
        <v>44</v>
      </c>
      <c r="K4191">
        <v>11</v>
      </c>
      <c r="L4191">
        <v>75074</v>
      </c>
      <c r="M4191" t="s">
        <v>28</v>
      </c>
      <c r="N4191">
        <v>3</v>
      </c>
      <c r="O4191">
        <v>1</v>
      </c>
      <c r="P4191">
        <v>72</v>
      </c>
      <c r="Q4191">
        <v>2</v>
      </c>
      <c r="R4191" s="1">
        <v>41110</v>
      </c>
      <c r="S4191" t="s">
        <v>37</v>
      </c>
      <c r="T4191" t="str">
        <f t="shared" si="325"/>
        <v>Grade B</v>
      </c>
      <c r="U4191">
        <f t="shared" si="326"/>
        <v>3</v>
      </c>
      <c r="V4191" t="str">
        <f t="shared" si="327"/>
        <v>Senior</v>
      </c>
      <c r="W4191" t="str">
        <f t="shared" si="328"/>
        <v>Already Left</v>
      </c>
      <c r="X4191" t="str">
        <f t="shared" si="329"/>
        <v>Competitive</v>
      </c>
    </row>
    <row r="4192" spans="1:24" x14ac:dyDescent="0.3">
      <c r="A4192" t="s">
        <v>4260</v>
      </c>
      <c r="B4192" t="s">
        <v>20</v>
      </c>
      <c r="C4192">
        <v>50</v>
      </c>
      <c r="D4192" t="s">
        <v>21</v>
      </c>
      <c r="E4192" t="s">
        <v>48</v>
      </c>
      <c r="F4192" t="s">
        <v>41</v>
      </c>
      <c r="G4192" t="s">
        <v>58</v>
      </c>
      <c r="H4192" t="s">
        <v>76</v>
      </c>
      <c r="I4192" t="s">
        <v>54</v>
      </c>
      <c r="J4192" t="s">
        <v>27</v>
      </c>
      <c r="K4192">
        <v>7</v>
      </c>
      <c r="L4192">
        <v>106783</v>
      </c>
      <c r="M4192" t="s">
        <v>51</v>
      </c>
      <c r="N4192">
        <v>1</v>
      </c>
      <c r="O4192">
        <v>2</v>
      </c>
      <c r="P4192">
        <v>77</v>
      </c>
      <c r="Q4192">
        <v>1</v>
      </c>
      <c r="R4192" s="1">
        <v>42666</v>
      </c>
      <c r="S4192" t="s">
        <v>37</v>
      </c>
      <c r="T4192" t="str">
        <f t="shared" si="325"/>
        <v>Grade A</v>
      </c>
      <c r="U4192">
        <f t="shared" si="326"/>
        <v>4</v>
      </c>
      <c r="V4192" t="str">
        <f t="shared" si="327"/>
        <v>Mid Level</v>
      </c>
      <c r="W4192" t="str">
        <f t="shared" si="328"/>
        <v>Already Left</v>
      </c>
      <c r="X4192" t="str">
        <f t="shared" si="329"/>
        <v>Competitive</v>
      </c>
    </row>
    <row r="4193" spans="1:24" x14ac:dyDescent="0.3">
      <c r="A4193" t="s">
        <v>4261</v>
      </c>
      <c r="B4193" t="s">
        <v>20</v>
      </c>
      <c r="C4193">
        <v>47</v>
      </c>
      <c r="D4193" t="s">
        <v>31</v>
      </c>
      <c r="E4193" t="s">
        <v>22</v>
      </c>
      <c r="F4193" t="s">
        <v>62</v>
      </c>
      <c r="G4193" t="s">
        <v>42</v>
      </c>
      <c r="H4193" t="s">
        <v>34</v>
      </c>
      <c r="I4193" t="s">
        <v>68</v>
      </c>
      <c r="J4193" t="s">
        <v>60</v>
      </c>
      <c r="K4193">
        <v>2</v>
      </c>
      <c r="L4193">
        <v>104596</v>
      </c>
      <c r="M4193" t="s">
        <v>36</v>
      </c>
      <c r="N4193">
        <v>1</v>
      </c>
      <c r="O4193">
        <v>1</v>
      </c>
      <c r="P4193">
        <v>33</v>
      </c>
      <c r="Q4193">
        <v>0</v>
      </c>
      <c r="R4193" s="1">
        <v>44313</v>
      </c>
      <c r="S4193" t="s">
        <v>37</v>
      </c>
      <c r="T4193" t="str">
        <f t="shared" si="325"/>
        <v>Grade A</v>
      </c>
      <c r="U4193">
        <f t="shared" si="326"/>
        <v>1</v>
      </c>
      <c r="V4193" t="str">
        <f t="shared" si="327"/>
        <v>New Joiner</v>
      </c>
      <c r="W4193" t="str">
        <f t="shared" si="328"/>
        <v>Already Left</v>
      </c>
      <c r="X4193" t="str">
        <f t="shared" si="329"/>
        <v>Overpaid</v>
      </c>
    </row>
    <row r="4194" spans="1:24" x14ac:dyDescent="0.3">
      <c r="A4194" t="s">
        <v>4262</v>
      </c>
      <c r="B4194" t="s">
        <v>20</v>
      </c>
      <c r="C4194">
        <v>48</v>
      </c>
      <c r="D4194" t="s">
        <v>21</v>
      </c>
      <c r="E4194" t="s">
        <v>22</v>
      </c>
      <c r="F4194" t="s">
        <v>78</v>
      </c>
      <c r="G4194" t="s">
        <v>63</v>
      </c>
      <c r="H4194" t="s">
        <v>34</v>
      </c>
      <c r="I4194" t="s">
        <v>54</v>
      </c>
      <c r="J4194" t="s">
        <v>27</v>
      </c>
      <c r="K4194">
        <v>15</v>
      </c>
      <c r="L4194">
        <v>74942</v>
      </c>
      <c r="M4194" t="s">
        <v>36</v>
      </c>
      <c r="N4194">
        <v>4</v>
      </c>
      <c r="O4194">
        <v>3</v>
      </c>
      <c r="P4194">
        <v>60</v>
      </c>
      <c r="Q4194">
        <v>0</v>
      </c>
      <c r="R4194" s="1">
        <v>39484</v>
      </c>
      <c r="S4194" t="s">
        <v>37</v>
      </c>
      <c r="T4194" t="str">
        <f t="shared" si="325"/>
        <v>Grade B</v>
      </c>
      <c r="U4194">
        <f t="shared" si="326"/>
        <v>1</v>
      </c>
      <c r="V4194" t="str">
        <f t="shared" si="327"/>
        <v>Senior</v>
      </c>
      <c r="W4194" t="str">
        <f t="shared" si="328"/>
        <v>Already Left</v>
      </c>
      <c r="X4194" t="str">
        <f t="shared" si="329"/>
        <v>Fair</v>
      </c>
    </row>
    <row r="4195" spans="1:24" x14ac:dyDescent="0.3">
      <c r="A4195" t="s">
        <v>4263</v>
      </c>
      <c r="B4195" t="s">
        <v>39</v>
      </c>
      <c r="C4195">
        <v>45</v>
      </c>
      <c r="D4195" t="s">
        <v>21</v>
      </c>
      <c r="E4195" t="s">
        <v>48</v>
      </c>
      <c r="F4195" t="s">
        <v>62</v>
      </c>
      <c r="G4195" t="s">
        <v>66</v>
      </c>
      <c r="H4195" t="s">
        <v>76</v>
      </c>
      <c r="I4195" t="s">
        <v>68</v>
      </c>
      <c r="J4195" t="s">
        <v>60</v>
      </c>
      <c r="K4195">
        <v>3</v>
      </c>
      <c r="L4195">
        <v>44507</v>
      </c>
      <c r="M4195" t="s">
        <v>36</v>
      </c>
      <c r="N4195">
        <v>2</v>
      </c>
      <c r="O4195">
        <v>1</v>
      </c>
      <c r="P4195">
        <v>32</v>
      </c>
      <c r="Q4195">
        <v>3</v>
      </c>
      <c r="R4195" s="1">
        <v>44165</v>
      </c>
      <c r="S4195" t="s">
        <v>37</v>
      </c>
      <c r="T4195" t="str">
        <f t="shared" si="325"/>
        <v>Grade C</v>
      </c>
      <c r="U4195">
        <f t="shared" si="326"/>
        <v>1</v>
      </c>
      <c r="V4195" t="str">
        <f t="shared" si="327"/>
        <v>Junior</v>
      </c>
      <c r="W4195" t="str">
        <f t="shared" si="328"/>
        <v>Already Left</v>
      </c>
      <c r="X4195" t="str">
        <f t="shared" si="329"/>
        <v>Fair</v>
      </c>
    </row>
    <row r="4196" spans="1:24" x14ac:dyDescent="0.3">
      <c r="A4196" t="s">
        <v>4264</v>
      </c>
      <c r="B4196" t="s">
        <v>20</v>
      </c>
      <c r="C4196">
        <v>55</v>
      </c>
      <c r="D4196" t="s">
        <v>31</v>
      </c>
      <c r="E4196" t="s">
        <v>22</v>
      </c>
      <c r="F4196" t="s">
        <v>62</v>
      </c>
      <c r="G4196" t="s">
        <v>42</v>
      </c>
      <c r="H4196" t="s">
        <v>67</v>
      </c>
      <c r="I4196" t="s">
        <v>26</v>
      </c>
      <c r="J4196" t="s">
        <v>27</v>
      </c>
      <c r="K4196">
        <v>14</v>
      </c>
      <c r="L4196">
        <v>129355</v>
      </c>
      <c r="M4196" t="s">
        <v>28</v>
      </c>
      <c r="N4196">
        <v>2</v>
      </c>
      <c r="O4196">
        <v>4</v>
      </c>
      <c r="P4196">
        <v>77</v>
      </c>
      <c r="Q4196">
        <v>0</v>
      </c>
      <c r="R4196" s="1">
        <v>39986</v>
      </c>
      <c r="S4196" t="s">
        <v>29</v>
      </c>
      <c r="T4196" t="str">
        <f t="shared" si="325"/>
        <v>Grade A</v>
      </c>
      <c r="U4196">
        <f t="shared" si="326"/>
        <v>3</v>
      </c>
      <c r="V4196" t="str">
        <f t="shared" si="327"/>
        <v>Senior</v>
      </c>
      <c r="W4196" t="str">
        <f t="shared" si="328"/>
        <v>Medium Risk</v>
      </c>
      <c r="X4196" t="str">
        <f t="shared" si="329"/>
        <v>Competitive</v>
      </c>
    </row>
    <row r="4197" spans="1:24" x14ac:dyDescent="0.3">
      <c r="A4197" t="s">
        <v>4265</v>
      </c>
      <c r="B4197" t="s">
        <v>20</v>
      </c>
      <c r="C4197">
        <v>24</v>
      </c>
      <c r="D4197" t="s">
        <v>21</v>
      </c>
      <c r="E4197" t="s">
        <v>40</v>
      </c>
      <c r="F4197" t="s">
        <v>62</v>
      </c>
      <c r="G4197" t="s">
        <v>42</v>
      </c>
      <c r="H4197" t="s">
        <v>34</v>
      </c>
      <c r="I4197" t="s">
        <v>54</v>
      </c>
      <c r="J4197" t="s">
        <v>27</v>
      </c>
      <c r="K4197">
        <v>11</v>
      </c>
      <c r="L4197">
        <v>115735</v>
      </c>
      <c r="M4197" t="s">
        <v>51</v>
      </c>
      <c r="N4197">
        <v>2</v>
      </c>
      <c r="O4197">
        <v>4</v>
      </c>
      <c r="P4197">
        <v>27</v>
      </c>
      <c r="Q4197">
        <v>0</v>
      </c>
      <c r="R4197" s="1">
        <v>41159</v>
      </c>
      <c r="S4197" t="s">
        <v>29</v>
      </c>
      <c r="T4197" t="str">
        <f t="shared" si="325"/>
        <v>Grade A</v>
      </c>
      <c r="U4197">
        <f t="shared" si="326"/>
        <v>4</v>
      </c>
      <c r="V4197" t="str">
        <f t="shared" si="327"/>
        <v>Senior</v>
      </c>
      <c r="W4197" t="str">
        <f t="shared" si="328"/>
        <v>Low Risk</v>
      </c>
      <c r="X4197" t="str">
        <f t="shared" si="329"/>
        <v>Competitive</v>
      </c>
    </row>
    <row r="4198" spans="1:24" x14ac:dyDescent="0.3">
      <c r="A4198" t="s">
        <v>4266</v>
      </c>
      <c r="B4198" t="s">
        <v>39</v>
      </c>
      <c r="C4198">
        <v>44</v>
      </c>
      <c r="D4198" t="s">
        <v>88</v>
      </c>
      <c r="E4198" t="s">
        <v>40</v>
      </c>
      <c r="F4198" t="s">
        <v>41</v>
      </c>
      <c r="G4198" t="s">
        <v>24</v>
      </c>
      <c r="H4198" t="s">
        <v>25</v>
      </c>
      <c r="I4198" t="s">
        <v>96</v>
      </c>
      <c r="J4198" t="s">
        <v>44</v>
      </c>
      <c r="K4198">
        <v>2</v>
      </c>
      <c r="L4198">
        <v>72579</v>
      </c>
      <c r="M4198" t="s">
        <v>51</v>
      </c>
      <c r="N4198">
        <v>3</v>
      </c>
      <c r="O4198">
        <v>1</v>
      </c>
      <c r="P4198">
        <v>35</v>
      </c>
      <c r="Q4198">
        <v>3</v>
      </c>
      <c r="R4198" s="1">
        <v>44250</v>
      </c>
      <c r="S4198" t="s">
        <v>29</v>
      </c>
      <c r="T4198" t="str">
        <f t="shared" si="325"/>
        <v>Grade B</v>
      </c>
      <c r="U4198">
        <f t="shared" si="326"/>
        <v>4</v>
      </c>
      <c r="V4198" t="str">
        <f t="shared" si="327"/>
        <v>New Joiner</v>
      </c>
      <c r="W4198" t="str">
        <f t="shared" si="328"/>
        <v>Low Risk</v>
      </c>
      <c r="X4198" t="str">
        <f t="shared" si="329"/>
        <v>Fair</v>
      </c>
    </row>
    <row r="4199" spans="1:24" x14ac:dyDescent="0.3">
      <c r="A4199" t="s">
        <v>4267</v>
      </c>
      <c r="B4199" t="s">
        <v>20</v>
      </c>
      <c r="C4199">
        <v>23</v>
      </c>
      <c r="D4199" t="s">
        <v>57</v>
      </c>
      <c r="E4199" t="s">
        <v>40</v>
      </c>
      <c r="F4199" t="s">
        <v>75</v>
      </c>
      <c r="G4199" t="s">
        <v>49</v>
      </c>
      <c r="H4199" t="s">
        <v>67</v>
      </c>
      <c r="I4199" t="s">
        <v>68</v>
      </c>
      <c r="J4199" t="s">
        <v>60</v>
      </c>
      <c r="K4199">
        <v>13</v>
      </c>
      <c r="L4199">
        <v>75876</v>
      </c>
      <c r="M4199" t="s">
        <v>51</v>
      </c>
      <c r="N4199">
        <v>1</v>
      </c>
      <c r="O4199">
        <v>2</v>
      </c>
      <c r="P4199">
        <v>53</v>
      </c>
      <c r="Q4199">
        <v>1</v>
      </c>
      <c r="R4199" s="1">
        <v>40417</v>
      </c>
      <c r="S4199" t="s">
        <v>29</v>
      </c>
      <c r="T4199" t="str">
        <f t="shared" si="325"/>
        <v>Grade B</v>
      </c>
      <c r="U4199">
        <f t="shared" si="326"/>
        <v>4</v>
      </c>
      <c r="V4199" t="str">
        <f t="shared" si="327"/>
        <v>Senior</v>
      </c>
      <c r="W4199" t="str">
        <f t="shared" si="328"/>
        <v>Low Risk</v>
      </c>
      <c r="X4199" t="str">
        <f t="shared" si="329"/>
        <v>Fair</v>
      </c>
    </row>
    <row r="4200" spans="1:24" x14ac:dyDescent="0.3">
      <c r="A4200" t="s">
        <v>4268</v>
      </c>
      <c r="B4200" t="s">
        <v>39</v>
      </c>
      <c r="C4200">
        <v>26</v>
      </c>
      <c r="D4200" t="s">
        <v>31</v>
      </c>
      <c r="E4200" t="s">
        <v>22</v>
      </c>
      <c r="F4200" t="s">
        <v>32</v>
      </c>
      <c r="G4200" t="s">
        <v>24</v>
      </c>
      <c r="H4200" t="s">
        <v>34</v>
      </c>
      <c r="I4200" t="s">
        <v>26</v>
      </c>
      <c r="J4200" t="s">
        <v>27</v>
      </c>
      <c r="K4200">
        <v>3</v>
      </c>
      <c r="L4200">
        <v>76443</v>
      </c>
      <c r="M4200" t="s">
        <v>45</v>
      </c>
      <c r="N4200">
        <v>2</v>
      </c>
      <c r="O4200">
        <v>1</v>
      </c>
      <c r="P4200">
        <v>20</v>
      </c>
      <c r="Q4200">
        <v>2</v>
      </c>
      <c r="R4200" s="1">
        <v>44086</v>
      </c>
      <c r="S4200" t="s">
        <v>29</v>
      </c>
      <c r="T4200" t="str">
        <f t="shared" si="325"/>
        <v>Grade B</v>
      </c>
      <c r="U4200">
        <f t="shared" si="326"/>
        <v>2</v>
      </c>
      <c r="V4200" t="str">
        <f t="shared" si="327"/>
        <v>Junior</v>
      </c>
      <c r="W4200" t="str">
        <f t="shared" si="328"/>
        <v>Medium Risk</v>
      </c>
      <c r="X4200" t="str">
        <f t="shared" si="329"/>
        <v>Fair</v>
      </c>
    </row>
    <row r="4201" spans="1:24" x14ac:dyDescent="0.3">
      <c r="A4201" t="s">
        <v>4269</v>
      </c>
      <c r="B4201" t="s">
        <v>39</v>
      </c>
      <c r="C4201">
        <v>27</v>
      </c>
      <c r="D4201" t="s">
        <v>47</v>
      </c>
      <c r="E4201" t="s">
        <v>22</v>
      </c>
      <c r="F4201" t="s">
        <v>78</v>
      </c>
      <c r="G4201" t="s">
        <v>58</v>
      </c>
      <c r="H4201" t="s">
        <v>34</v>
      </c>
      <c r="I4201" t="s">
        <v>80</v>
      </c>
      <c r="J4201" t="s">
        <v>60</v>
      </c>
      <c r="K4201">
        <v>11</v>
      </c>
      <c r="L4201">
        <v>105440</v>
      </c>
      <c r="M4201" t="s">
        <v>36</v>
      </c>
      <c r="N4201">
        <v>4</v>
      </c>
      <c r="O4201">
        <v>1</v>
      </c>
      <c r="P4201">
        <v>50</v>
      </c>
      <c r="Q4201">
        <v>1</v>
      </c>
      <c r="R4201" s="1">
        <v>40957</v>
      </c>
      <c r="S4201" t="s">
        <v>29</v>
      </c>
      <c r="T4201" t="str">
        <f t="shared" si="325"/>
        <v>Grade A</v>
      </c>
      <c r="U4201">
        <f t="shared" si="326"/>
        <v>1</v>
      </c>
      <c r="V4201" t="str">
        <f t="shared" si="327"/>
        <v>Senior</v>
      </c>
      <c r="W4201" t="str">
        <f t="shared" si="328"/>
        <v>Medium Risk</v>
      </c>
      <c r="X4201" t="str">
        <f t="shared" si="329"/>
        <v>Overpaid</v>
      </c>
    </row>
    <row r="4202" spans="1:24" x14ac:dyDescent="0.3">
      <c r="A4202" t="s">
        <v>4270</v>
      </c>
      <c r="B4202" t="s">
        <v>39</v>
      </c>
      <c r="C4202">
        <v>30</v>
      </c>
      <c r="D4202" t="s">
        <v>88</v>
      </c>
      <c r="E4202" t="s">
        <v>40</v>
      </c>
      <c r="F4202" t="s">
        <v>65</v>
      </c>
      <c r="G4202" t="s">
        <v>24</v>
      </c>
      <c r="H4202" t="s">
        <v>25</v>
      </c>
      <c r="I4202" t="s">
        <v>54</v>
      </c>
      <c r="J4202" t="s">
        <v>27</v>
      </c>
      <c r="K4202">
        <v>13</v>
      </c>
      <c r="L4202">
        <v>107854</v>
      </c>
      <c r="M4202" t="s">
        <v>28</v>
      </c>
      <c r="N4202">
        <v>2</v>
      </c>
      <c r="O4202">
        <v>4</v>
      </c>
      <c r="P4202">
        <v>76</v>
      </c>
      <c r="Q4202">
        <v>2</v>
      </c>
      <c r="R4202" s="1">
        <v>40370</v>
      </c>
      <c r="S4202" t="s">
        <v>29</v>
      </c>
      <c r="T4202" t="str">
        <f t="shared" si="325"/>
        <v>Grade A</v>
      </c>
      <c r="U4202">
        <f t="shared" si="326"/>
        <v>3</v>
      </c>
      <c r="V4202" t="str">
        <f t="shared" si="327"/>
        <v>Senior</v>
      </c>
      <c r="W4202" t="str">
        <f t="shared" si="328"/>
        <v>Medium Risk</v>
      </c>
      <c r="X4202" t="str">
        <f t="shared" si="329"/>
        <v>Competitive</v>
      </c>
    </row>
    <row r="4203" spans="1:24" x14ac:dyDescent="0.3">
      <c r="A4203" t="s">
        <v>4271</v>
      </c>
      <c r="B4203" t="s">
        <v>20</v>
      </c>
      <c r="C4203">
        <v>33</v>
      </c>
      <c r="D4203" t="s">
        <v>57</v>
      </c>
      <c r="E4203" t="s">
        <v>22</v>
      </c>
      <c r="F4203" t="s">
        <v>41</v>
      </c>
      <c r="G4203" t="s">
        <v>79</v>
      </c>
      <c r="H4203" t="s">
        <v>83</v>
      </c>
      <c r="I4203" t="s">
        <v>59</v>
      </c>
      <c r="J4203" t="s">
        <v>60</v>
      </c>
      <c r="K4203">
        <v>5</v>
      </c>
      <c r="L4203">
        <v>48610</v>
      </c>
      <c r="M4203" t="s">
        <v>36</v>
      </c>
      <c r="N4203">
        <v>1</v>
      </c>
      <c r="O4203">
        <v>1</v>
      </c>
      <c r="P4203">
        <v>31</v>
      </c>
      <c r="Q4203">
        <v>0</v>
      </c>
      <c r="R4203" s="1">
        <v>43255</v>
      </c>
      <c r="S4203" t="s">
        <v>37</v>
      </c>
      <c r="T4203" t="str">
        <f t="shared" si="325"/>
        <v>Grade C</v>
      </c>
      <c r="U4203">
        <f t="shared" si="326"/>
        <v>1</v>
      </c>
      <c r="V4203" t="str">
        <f t="shared" si="327"/>
        <v>Junior</v>
      </c>
      <c r="W4203" t="str">
        <f t="shared" si="328"/>
        <v>Already Left</v>
      </c>
      <c r="X4203" t="str">
        <f t="shared" si="329"/>
        <v>Fair</v>
      </c>
    </row>
    <row r="4204" spans="1:24" x14ac:dyDescent="0.3">
      <c r="A4204" t="s">
        <v>4272</v>
      </c>
      <c r="B4204" t="s">
        <v>39</v>
      </c>
      <c r="C4204">
        <v>27</v>
      </c>
      <c r="D4204" t="s">
        <v>21</v>
      </c>
      <c r="E4204" t="s">
        <v>48</v>
      </c>
      <c r="F4204" t="s">
        <v>78</v>
      </c>
      <c r="G4204" t="s">
        <v>49</v>
      </c>
      <c r="H4204" t="s">
        <v>83</v>
      </c>
      <c r="I4204" t="s">
        <v>26</v>
      </c>
      <c r="J4204" t="s">
        <v>27</v>
      </c>
      <c r="K4204">
        <v>11</v>
      </c>
      <c r="L4204">
        <v>66842</v>
      </c>
      <c r="M4204" t="s">
        <v>36</v>
      </c>
      <c r="N4204">
        <v>2</v>
      </c>
      <c r="O4204">
        <v>1</v>
      </c>
      <c r="P4204">
        <v>21</v>
      </c>
      <c r="Q4204">
        <v>3</v>
      </c>
      <c r="R4204" s="1">
        <v>41138</v>
      </c>
      <c r="S4204" t="s">
        <v>37</v>
      </c>
      <c r="T4204" t="str">
        <f t="shared" si="325"/>
        <v>Grade B</v>
      </c>
      <c r="U4204">
        <f t="shared" si="326"/>
        <v>1</v>
      </c>
      <c r="V4204" t="str">
        <f t="shared" si="327"/>
        <v>Senior</v>
      </c>
      <c r="W4204" t="str">
        <f t="shared" si="328"/>
        <v>Already Left</v>
      </c>
      <c r="X4204" t="str">
        <f t="shared" si="329"/>
        <v>Fair</v>
      </c>
    </row>
    <row r="4205" spans="1:24" x14ac:dyDescent="0.3">
      <c r="A4205" t="s">
        <v>4273</v>
      </c>
      <c r="B4205" t="s">
        <v>39</v>
      </c>
      <c r="C4205">
        <v>51</v>
      </c>
      <c r="D4205" t="s">
        <v>57</v>
      </c>
      <c r="E4205" t="s">
        <v>22</v>
      </c>
      <c r="F4205" t="s">
        <v>23</v>
      </c>
      <c r="G4205" t="s">
        <v>79</v>
      </c>
      <c r="H4205" t="s">
        <v>76</v>
      </c>
      <c r="I4205" t="s">
        <v>35</v>
      </c>
      <c r="J4205" t="s">
        <v>27</v>
      </c>
      <c r="K4205">
        <v>3</v>
      </c>
      <c r="L4205">
        <v>54816</v>
      </c>
      <c r="M4205" t="s">
        <v>28</v>
      </c>
      <c r="N4205">
        <v>1</v>
      </c>
      <c r="O4205">
        <v>1</v>
      </c>
      <c r="P4205">
        <v>65</v>
      </c>
      <c r="Q4205">
        <v>3</v>
      </c>
      <c r="R4205" s="1">
        <v>44010</v>
      </c>
      <c r="S4205" t="s">
        <v>29</v>
      </c>
      <c r="T4205" t="str">
        <f t="shared" si="325"/>
        <v>Grade B</v>
      </c>
      <c r="U4205">
        <f t="shared" si="326"/>
        <v>3</v>
      </c>
      <c r="V4205" t="str">
        <f t="shared" si="327"/>
        <v>Junior</v>
      </c>
      <c r="W4205" t="str">
        <f t="shared" si="328"/>
        <v>Medium Risk</v>
      </c>
      <c r="X4205" t="str">
        <f t="shared" si="329"/>
        <v>Competitive</v>
      </c>
    </row>
    <row r="4206" spans="1:24" x14ac:dyDescent="0.3">
      <c r="A4206" t="s">
        <v>4274</v>
      </c>
      <c r="B4206" t="s">
        <v>39</v>
      </c>
      <c r="C4206">
        <v>49</v>
      </c>
      <c r="D4206" t="s">
        <v>57</v>
      </c>
      <c r="E4206" t="s">
        <v>22</v>
      </c>
      <c r="F4206" t="s">
        <v>23</v>
      </c>
      <c r="G4206" t="s">
        <v>66</v>
      </c>
      <c r="H4206" t="s">
        <v>25</v>
      </c>
      <c r="I4206" t="s">
        <v>72</v>
      </c>
      <c r="J4206" t="s">
        <v>73</v>
      </c>
      <c r="K4206">
        <v>6</v>
      </c>
      <c r="L4206">
        <v>44646</v>
      </c>
      <c r="M4206" t="s">
        <v>36</v>
      </c>
      <c r="N4206">
        <v>4</v>
      </c>
      <c r="O4206">
        <v>1</v>
      </c>
      <c r="P4206">
        <v>68</v>
      </c>
      <c r="Q4206">
        <v>1</v>
      </c>
      <c r="R4206" s="1">
        <v>43077</v>
      </c>
      <c r="S4206" t="s">
        <v>37</v>
      </c>
      <c r="T4206" t="str">
        <f t="shared" si="325"/>
        <v>Grade C</v>
      </c>
      <c r="U4206">
        <f t="shared" si="326"/>
        <v>1</v>
      </c>
      <c r="V4206" t="str">
        <f t="shared" si="327"/>
        <v>Mid Level</v>
      </c>
      <c r="W4206" t="str">
        <f t="shared" si="328"/>
        <v>Already Left</v>
      </c>
      <c r="X4206" t="str">
        <f t="shared" si="329"/>
        <v>Fair</v>
      </c>
    </row>
    <row r="4207" spans="1:24" x14ac:dyDescent="0.3">
      <c r="A4207" t="s">
        <v>4275</v>
      </c>
      <c r="B4207" t="s">
        <v>39</v>
      </c>
      <c r="C4207">
        <v>49</v>
      </c>
      <c r="D4207" t="s">
        <v>21</v>
      </c>
      <c r="E4207" t="s">
        <v>22</v>
      </c>
      <c r="F4207" t="s">
        <v>78</v>
      </c>
      <c r="G4207" t="s">
        <v>66</v>
      </c>
      <c r="H4207" t="s">
        <v>25</v>
      </c>
      <c r="I4207" t="s">
        <v>96</v>
      </c>
      <c r="J4207" t="s">
        <v>44</v>
      </c>
      <c r="K4207">
        <v>11</v>
      </c>
      <c r="L4207">
        <v>55489</v>
      </c>
      <c r="M4207" t="s">
        <v>28</v>
      </c>
      <c r="N4207">
        <v>4</v>
      </c>
      <c r="O4207">
        <v>1</v>
      </c>
      <c r="P4207">
        <v>45</v>
      </c>
      <c r="Q4207">
        <v>1</v>
      </c>
      <c r="R4207" s="1">
        <v>40930</v>
      </c>
      <c r="S4207" t="s">
        <v>29</v>
      </c>
      <c r="T4207" t="str">
        <f t="shared" si="325"/>
        <v>Grade B</v>
      </c>
      <c r="U4207">
        <f t="shared" si="326"/>
        <v>3</v>
      </c>
      <c r="V4207" t="str">
        <f t="shared" si="327"/>
        <v>Senior</v>
      </c>
      <c r="W4207" t="str">
        <f t="shared" si="328"/>
        <v>Medium Risk</v>
      </c>
      <c r="X4207" t="str">
        <f t="shared" si="329"/>
        <v>Competitive</v>
      </c>
    </row>
    <row r="4208" spans="1:24" x14ac:dyDescent="0.3">
      <c r="A4208" t="s">
        <v>4276</v>
      </c>
      <c r="B4208" t="s">
        <v>20</v>
      </c>
      <c r="C4208">
        <v>31</v>
      </c>
      <c r="D4208" t="s">
        <v>47</v>
      </c>
      <c r="E4208" t="s">
        <v>40</v>
      </c>
      <c r="F4208" t="s">
        <v>65</v>
      </c>
      <c r="G4208" t="s">
        <v>49</v>
      </c>
      <c r="H4208" t="s">
        <v>34</v>
      </c>
      <c r="I4208" t="s">
        <v>26</v>
      </c>
      <c r="J4208" t="s">
        <v>27</v>
      </c>
      <c r="K4208">
        <v>10</v>
      </c>
      <c r="L4208">
        <v>61689</v>
      </c>
      <c r="M4208" t="s">
        <v>28</v>
      </c>
      <c r="N4208">
        <v>3</v>
      </c>
      <c r="O4208">
        <v>4</v>
      </c>
      <c r="P4208">
        <v>80</v>
      </c>
      <c r="Q4208">
        <v>3</v>
      </c>
      <c r="R4208" s="1">
        <v>41491</v>
      </c>
      <c r="S4208" t="s">
        <v>37</v>
      </c>
      <c r="T4208" t="str">
        <f t="shared" si="325"/>
        <v>Grade B</v>
      </c>
      <c r="U4208">
        <f t="shared" si="326"/>
        <v>3</v>
      </c>
      <c r="V4208" t="str">
        <f t="shared" si="327"/>
        <v>Mid Level</v>
      </c>
      <c r="W4208" t="str">
        <f t="shared" si="328"/>
        <v>Already Left</v>
      </c>
      <c r="X4208" t="str">
        <f t="shared" si="329"/>
        <v>Competitive</v>
      </c>
    </row>
    <row r="4209" spans="1:24" x14ac:dyDescent="0.3">
      <c r="A4209" t="s">
        <v>4277</v>
      </c>
      <c r="B4209" t="s">
        <v>39</v>
      </c>
      <c r="C4209">
        <v>25</v>
      </c>
      <c r="D4209" t="s">
        <v>21</v>
      </c>
      <c r="E4209" t="s">
        <v>22</v>
      </c>
      <c r="F4209" t="s">
        <v>41</v>
      </c>
      <c r="G4209" t="s">
        <v>79</v>
      </c>
      <c r="H4209" t="s">
        <v>76</v>
      </c>
      <c r="I4209" t="s">
        <v>43</v>
      </c>
      <c r="J4209" t="s">
        <v>44</v>
      </c>
      <c r="K4209">
        <v>13</v>
      </c>
      <c r="L4209">
        <v>59817</v>
      </c>
      <c r="M4209" t="s">
        <v>36</v>
      </c>
      <c r="N4209">
        <v>2</v>
      </c>
      <c r="O4209">
        <v>1</v>
      </c>
      <c r="P4209">
        <v>70</v>
      </c>
      <c r="Q4209">
        <v>1</v>
      </c>
      <c r="R4209" s="1">
        <v>40310</v>
      </c>
      <c r="S4209" t="s">
        <v>37</v>
      </c>
      <c r="T4209" t="str">
        <f t="shared" si="325"/>
        <v>Grade B</v>
      </c>
      <c r="U4209">
        <f t="shared" si="326"/>
        <v>1</v>
      </c>
      <c r="V4209" t="str">
        <f t="shared" si="327"/>
        <v>Senior</v>
      </c>
      <c r="W4209" t="str">
        <f t="shared" si="328"/>
        <v>Already Left</v>
      </c>
      <c r="X4209" t="str">
        <f t="shared" si="329"/>
        <v>Fair</v>
      </c>
    </row>
    <row r="4210" spans="1:24" x14ac:dyDescent="0.3">
      <c r="A4210" t="s">
        <v>4278</v>
      </c>
      <c r="B4210" t="s">
        <v>20</v>
      </c>
      <c r="C4210">
        <v>52</v>
      </c>
      <c r="D4210" t="s">
        <v>47</v>
      </c>
      <c r="E4210" t="s">
        <v>40</v>
      </c>
      <c r="F4210" t="s">
        <v>75</v>
      </c>
      <c r="G4210" t="s">
        <v>33</v>
      </c>
      <c r="H4210" t="s">
        <v>76</v>
      </c>
      <c r="I4210" t="s">
        <v>96</v>
      </c>
      <c r="J4210" t="s">
        <v>44</v>
      </c>
      <c r="K4210">
        <v>6</v>
      </c>
      <c r="L4210">
        <v>65777</v>
      </c>
      <c r="M4210" t="s">
        <v>45</v>
      </c>
      <c r="N4210">
        <v>1</v>
      </c>
      <c r="O4210">
        <v>2</v>
      </c>
      <c r="P4210">
        <v>43</v>
      </c>
      <c r="Q4210">
        <v>0</v>
      </c>
      <c r="R4210" s="1">
        <v>42930</v>
      </c>
      <c r="S4210" t="s">
        <v>29</v>
      </c>
      <c r="T4210" t="str">
        <f t="shared" si="325"/>
        <v>Grade B</v>
      </c>
      <c r="U4210">
        <f t="shared" si="326"/>
        <v>2</v>
      </c>
      <c r="V4210" t="str">
        <f t="shared" si="327"/>
        <v>Mid Level</v>
      </c>
      <c r="W4210" t="str">
        <f t="shared" si="328"/>
        <v>Medium Risk</v>
      </c>
      <c r="X4210" t="str">
        <f t="shared" si="329"/>
        <v>Fair</v>
      </c>
    </row>
    <row r="4211" spans="1:24" x14ac:dyDescent="0.3">
      <c r="A4211" t="s">
        <v>4279</v>
      </c>
      <c r="B4211" t="s">
        <v>20</v>
      </c>
      <c r="C4211">
        <v>31</v>
      </c>
      <c r="D4211" t="s">
        <v>57</v>
      </c>
      <c r="E4211" t="s">
        <v>22</v>
      </c>
      <c r="F4211" t="s">
        <v>75</v>
      </c>
      <c r="G4211" t="s">
        <v>63</v>
      </c>
      <c r="H4211" t="s">
        <v>25</v>
      </c>
      <c r="I4211" t="s">
        <v>59</v>
      </c>
      <c r="J4211" t="s">
        <v>60</v>
      </c>
      <c r="K4211">
        <v>8</v>
      </c>
      <c r="L4211">
        <v>67269</v>
      </c>
      <c r="M4211" t="s">
        <v>51</v>
      </c>
      <c r="N4211">
        <v>3</v>
      </c>
      <c r="O4211">
        <v>1</v>
      </c>
      <c r="P4211">
        <v>60</v>
      </c>
      <c r="Q4211">
        <v>1</v>
      </c>
      <c r="R4211" s="1">
        <v>42040</v>
      </c>
      <c r="S4211" t="s">
        <v>29</v>
      </c>
      <c r="T4211" t="str">
        <f t="shared" si="325"/>
        <v>Grade B</v>
      </c>
      <c r="U4211">
        <f t="shared" si="326"/>
        <v>4</v>
      </c>
      <c r="V4211" t="str">
        <f t="shared" si="327"/>
        <v>Mid Level</v>
      </c>
      <c r="W4211" t="str">
        <f t="shared" si="328"/>
        <v>Low Risk</v>
      </c>
      <c r="X4211" t="str">
        <f t="shared" si="329"/>
        <v>Fair</v>
      </c>
    </row>
    <row r="4212" spans="1:24" x14ac:dyDescent="0.3">
      <c r="A4212" t="s">
        <v>4280</v>
      </c>
      <c r="B4212" t="s">
        <v>39</v>
      </c>
      <c r="C4212">
        <v>23</v>
      </c>
      <c r="D4212" t="s">
        <v>88</v>
      </c>
      <c r="E4212" t="s">
        <v>40</v>
      </c>
      <c r="F4212" t="s">
        <v>32</v>
      </c>
      <c r="G4212" t="s">
        <v>79</v>
      </c>
      <c r="H4212" t="s">
        <v>83</v>
      </c>
      <c r="I4212" t="s">
        <v>72</v>
      </c>
      <c r="J4212" t="s">
        <v>73</v>
      </c>
      <c r="K4212">
        <v>13</v>
      </c>
      <c r="L4212">
        <v>67791</v>
      </c>
      <c r="M4212" t="s">
        <v>28</v>
      </c>
      <c r="N4212">
        <v>1</v>
      </c>
      <c r="O4212">
        <v>2</v>
      </c>
      <c r="P4212">
        <v>77</v>
      </c>
      <c r="Q4212">
        <v>1</v>
      </c>
      <c r="R4212" s="1">
        <v>40208</v>
      </c>
      <c r="S4212" t="s">
        <v>37</v>
      </c>
      <c r="T4212" t="str">
        <f t="shared" si="325"/>
        <v>Grade B</v>
      </c>
      <c r="U4212">
        <f t="shared" si="326"/>
        <v>3</v>
      </c>
      <c r="V4212" t="str">
        <f t="shared" si="327"/>
        <v>Senior</v>
      </c>
      <c r="W4212" t="str">
        <f t="shared" si="328"/>
        <v>Already Left</v>
      </c>
      <c r="X4212" t="str">
        <f t="shared" si="329"/>
        <v>Competitive</v>
      </c>
    </row>
    <row r="4213" spans="1:24" x14ac:dyDescent="0.3">
      <c r="A4213" t="s">
        <v>4281</v>
      </c>
      <c r="B4213" t="s">
        <v>20</v>
      </c>
      <c r="C4213">
        <v>55</v>
      </c>
      <c r="D4213" t="s">
        <v>21</v>
      </c>
      <c r="E4213" t="s">
        <v>48</v>
      </c>
      <c r="F4213" t="s">
        <v>75</v>
      </c>
      <c r="G4213" t="s">
        <v>79</v>
      </c>
      <c r="H4213" t="s">
        <v>83</v>
      </c>
      <c r="I4213" t="s">
        <v>80</v>
      </c>
      <c r="J4213" t="s">
        <v>60</v>
      </c>
      <c r="K4213">
        <v>11</v>
      </c>
      <c r="L4213">
        <v>55176</v>
      </c>
      <c r="M4213" t="s">
        <v>28</v>
      </c>
      <c r="N4213">
        <v>4</v>
      </c>
      <c r="O4213">
        <v>1</v>
      </c>
      <c r="P4213">
        <v>17</v>
      </c>
      <c r="Q4213">
        <v>0</v>
      </c>
      <c r="R4213" s="1">
        <v>41180</v>
      </c>
      <c r="S4213" t="s">
        <v>37</v>
      </c>
      <c r="T4213" t="str">
        <f t="shared" si="325"/>
        <v>Grade B</v>
      </c>
      <c r="U4213">
        <f t="shared" si="326"/>
        <v>3</v>
      </c>
      <c r="V4213" t="str">
        <f t="shared" si="327"/>
        <v>Senior</v>
      </c>
      <c r="W4213" t="str">
        <f t="shared" si="328"/>
        <v>Already Left</v>
      </c>
      <c r="X4213" t="str">
        <f t="shared" si="329"/>
        <v>Competitive</v>
      </c>
    </row>
    <row r="4214" spans="1:24" x14ac:dyDescent="0.3">
      <c r="A4214" t="s">
        <v>4282</v>
      </c>
      <c r="B4214" t="s">
        <v>20</v>
      </c>
      <c r="C4214">
        <v>46</v>
      </c>
      <c r="D4214" t="s">
        <v>47</v>
      </c>
      <c r="E4214" t="s">
        <v>40</v>
      </c>
      <c r="F4214" t="s">
        <v>23</v>
      </c>
      <c r="G4214" t="s">
        <v>49</v>
      </c>
      <c r="H4214" t="s">
        <v>25</v>
      </c>
      <c r="I4214" t="s">
        <v>68</v>
      </c>
      <c r="J4214" t="s">
        <v>60</v>
      </c>
      <c r="K4214">
        <v>14</v>
      </c>
      <c r="L4214">
        <v>84757</v>
      </c>
      <c r="M4214" t="s">
        <v>45</v>
      </c>
      <c r="N4214">
        <v>3</v>
      </c>
      <c r="O4214">
        <v>3</v>
      </c>
      <c r="P4214">
        <v>41</v>
      </c>
      <c r="Q4214">
        <v>2</v>
      </c>
      <c r="R4214" s="1">
        <v>39871</v>
      </c>
      <c r="S4214" t="s">
        <v>29</v>
      </c>
      <c r="T4214" t="str">
        <f t="shared" si="325"/>
        <v>Grade A</v>
      </c>
      <c r="U4214">
        <f t="shared" si="326"/>
        <v>2</v>
      </c>
      <c r="V4214" t="str">
        <f t="shared" si="327"/>
        <v>Senior</v>
      </c>
      <c r="W4214" t="str">
        <f t="shared" si="328"/>
        <v>Medium Risk</v>
      </c>
      <c r="X4214" t="str">
        <f t="shared" si="329"/>
        <v>Fair</v>
      </c>
    </row>
    <row r="4215" spans="1:24" x14ac:dyDescent="0.3">
      <c r="A4215" t="s">
        <v>4283</v>
      </c>
      <c r="B4215" t="s">
        <v>39</v>
      </c>
      <c r="C4215">
        <v>22</v>
      </c>
      <c r="D4215" t="s">
        <v>47</v>
      </c>
      <c r="E4215" t="s">
        <v>48</v>
      </c>
      <c r="F4215" t="s">
        <v>75</v>
      </c>
      <c r="G4215" t="s">
        <v>63</v>
      </c>
      <c r="H4215" t="s">
        <v>34</v>
      </c>
      <c r="I4215" t="s">
        <v>80</v>
      </c>
      <c r="J4215" t="s">
        <v>60</v>
      </c>
      <c r="K4215">
        <v>10</v>
      </c>
      <c r="L4215">
        <v>67591</v>
      </c>
      <c r="M4215" t="s">
        <v>51</v>
      </c>
      <c r="N4215">
        <v>2</v>
      </c>
      <c r="O4215">
        <v>4</v>
      </c>
      <c r="P4215">
        <v>35</v>
      </c>
      <c r="Q4215">
        <v>3</v>
      </c>
      <c r="R4215" s="1">
        <v>41544</v>
      </c>
      <c r="S4215" t="s">
        <v>29</v>
      </c>
      <c r="T4215" t="str">
        <f t="shared" si="325"/>
        <v>Grade B</v>
      </c>
      <c r="U4215">
        <f t="shared" si="326"/>
        <v>4</v>
      </c>
      <c r="V4215" t="str">
        <f t="shared" si="327"/>
        <v>Mid Level</v>
      </c>
      <c r="W4215" t="str">
        <f t="shared" si="328"/>
        <v>Low Risk</v>
      </c>
      <c r="X4215" t="str">
        <f t="shared" si="329"/>
        <v>Fair</v>
      </c>
    </row>
    <row r="4216" spans="1:24" x14ac:dyDescent="0.3">
      <c r="A4216" t="s">
        <v>4284</v>
      </c>
      <c r="B4216" t="s">
        <v>20</v>
      </c>
      <c r="C4216">
        <v>36</v>
      </c>
      <c r="D4216" t="s">
        <v>47</v>
      </c>
      <c r="E4216" t="s">
        <v>48</v>
      </c>
      <c r="F4216" t="s">
        <v>78</v>
      </c>
      <c r="G4216" t="s">
        <v>79</v>
      </c>
      <c r="H4216" t="s">
        <v>83</v>
      </c>
      <c r="I4216" t="s">
        <v>72</v>
      </c>
      <c r="J4216" t="s">
        <v>73</v>
      </c>
      <c r="K4216">
        <v>6</v>
      </c>
      <c r="L4216">
        <v>59632</v>
      </c>
      <c r="M4216" t="s">
        <v>51</v>
      </c>
      <c r="N4216">
        <v>2</v>
      </c>
      <c r="O4216">
        <v>4</v>
      </c>
      <c r="P4216">
        <v>18</v>
      </c>
      <c r="Q4216">
        <v>2</v>
      </c>
      <c r="R4216" s="1">
        <v>42869</v>
      </c>
      <c r="S4216" t="s">
        <v>37</v>
      </c>
      <c r="T4216" t="str">
        <f t="shared" si="325"/>
        <v>Grade B</v>
      </c>
      <c r="U4216">
        <f t="shared" si="326"/>
        <v>4</v>
      </c>
      <c r="V4216" t="str">
        <f t="shared" si="327"/>
        <v>Mid Level</v>
      </c>
      <c r="W4216" t="str">
        <f t="shared" si="328"/>
        <v>Already Left</v>
      </c>
      <c r="X4216" t="str">
        <f t="shared" si="329"/>
        <v>Fair</v>
      </c>
    </row>
    <row r="4217" spans="1:24" x14ac:dyDescent="0.3">
      <c r="A4217" t="s">
        <v>4285</v>
      </c>
      <c r="B4217" t="s">
        <v>39</v>
      </c>
      <c r="C4217">
        <v>24</v>
      </c>
      <c r="D4217" t="s">
        <v>47</v>
      </c>
      <c r="E4217" t="s">
        <v>48</v>
      </c>
      <c r="F4217" t="s">
        <v>75</v>
      </c>
      <c r="G4217" t="s">
        <v>33</v>
      </c>
      <c r="H4217" t="s">
        <v>25</v>
      </c>
      <c r="I4217" t="s">
        <v>80</v>
      </c>
      <c r="J4217" t="s">
        <v>60</v>
      </c>
      <c r="K4217">
        <v>6</v>
      </c>
      <c r="L4217">
        <v>73486</v>
      </c>
      <c r="M4217" t="s">
        <v>45</v>
      </c>
      <c r="N4217">
        <v>4</v>
      </c>
      <c r="O4217">
        <v>4</v>
      </c>
      <c r="P4217">
        <v>49</v>
      </c>
      <c r="Q4217">
        <v>1</v>
      </c>
      <c r="R4217" s="1">
        <v>43068</v>
      </c>
      <c r="S4217" t="s">
        <v>29</v>
      </c>
      <c r="T4217" t="str">
        <f t="shared" si="325"/>
        <v>Grade B</v>
      </c>
      <c r="U4217">
        <f t="shared" si="326"/>
        <v>2</v>
      </c>
      <c r="V4217" t="str">
        <f t="shared" si="327"/>
        <v>Mid Level</v>
      </c>
      <c r="W4217" t="str">
        <f t="shared" si="328"/>
        <v>Medium Risk</v>
      </c>
      <c r="X4217" t="str">
        <f t="shared" si="329"/>
        <v>Fair</v>
      </c>
    </row>
    <row r="4218" spans="1:24" x14ac:dyDescent="0.3">
      <c r="A4218" t="s">
        <v>4286</v>
      </c>
      <c r="B4218" t="s">
        <v>39</v>
      </c>
      <c r="C4218">
        <v>28</v>
      </c>
      <c r="D4218" t="s">
        <v>57</v>
      </c>
      <c r="E4218" t="s">
        <v>48</v>
      </c>
      <c r="F4218" t="s">
        <v>65</v>
      </c>
      <c r="G4218" t="s">
        <v>79</v>
      </c>
      <c r="H4218" t="s">
        <v>76</v>
      </c>
      <c r="I4218" t="s">
        <v>96</v>
      </c>
      <c r="J4218" t="s">
        <v>44</v>
      </c>
      <c r="K4218">
        <v>5</v>
      </c>
      <c r="L4218">
        <v>45764</v>
      </c>
      <c r="M4218" t="s">
        <v>51</v>
      </c>
      <c r="N4218">
        <v>2</v>
      </c>
      <c r="O4218">
        <v>4</v>
      </c>
      <c r="P4218">
        <v>42</v>
      </c>
      <c r="Q4218">
        <v>2</v>
      </c>
      <c r="R4218" s="1">
        <v>43288</v>
      </c>
      <c r="S4218" t="s">
        <v>29</v>
      </c>
      <c r="T4218" t="str">
        <f t="shared" si="325"/>
        <v>Grade C</v>
      </c>
      <c r="U4218">
        <f t="shared" si="326"/>
        <v>4</v>
      </c>
      <c r="V4218" t="str">
        <f t="shared" si="327"/>
        <v>Junior</v>
      </c>
      <c r="W4218" t="str">
        <f t="shared" si="328"/>
        <v>Low Risk</v>
      </c>
      <c r="X4218" t="str">
        <f t="shared" si="329"/>
        <v>Fair</v>
      </c>
    </row>
    <row r="4219" spans="1:24" x14ac:dyDescent="0.3">
      <c r="A4219" t="s">
        <v>4287</v>
      </c>
      <c r="B4219" t="s">
        <v>20</v>
      </c>
      <c r="C4219">
        <v>32</v>
      </c>
      <c r="D4219" t="s">
        <v>57</v>
      </c>
      <c r="E4219" t="s">
        <v>22</v>
      </c>
      <c r="F4219" t="s">
        <v>62</v>
      </c>
      <c r="G4219" t="s">
        <v>66</v>
      </c>
      <c r="H4219" t="s">
        <v>83</v>
      </c>
      <c r="I4219" t="s">
        <v>96</v>
      </c>
      <c r="J4219" t="s">
        <v>44</v>
      </c>
      <c r="K4219">
        <v>11</v>
      </c>
      <c r="L4219">
        <v>65065</v>
      </c>
      <c r="M4219" t="s">
        <v>51</v>
      </c>
      <c r="N4219">
        <v>3</v>
      </c>
      <c r="O4219">
        <v>3</v>
      </c>
      <c r="P4219">
        <v>52</v>
      </c>
      <c r="Q4219">
        <v>1</v>
      </c>
      <c r="R4219" s="1">
        <v>41064</v>
      </c>
      <c r="S4219" t="s">
        <v>29</v>
      </c>
      <c r="T4219" t="str">
        <f t="shared" si="325"/>
        <v>Grade B</v>
      </c>
      <c r="U4219">
        <f t="shared" si="326"/>
        <v>4</v>
      </c>
      <c r="V4219" t="str">
        <f t="shared" si="327"/>
        <v>Senior</v>
      </c>
      <c r="W4219" t="str">
        <f t="shared" si="328"/>
        <v>Low Risk</v>
      </c>
      <c r="X4219" t="str">
        <f t="shared" si="329"/>
        <v>Fair</v>
      </c>
    </row>
    <row r="4220" spans="1:24" x14ac:dyDescent="0.3">
      <c r="A4220" t="s">
        <v>4288</v>
      </c>
      <c r="B4220" t="s">
        <v>39</v>
      </c>
      <c r="C4220">
        <v>30</v>
      </c>
      <c r="D4220" t="s">
        <v>47</v>
      </c>
      <c r="E4220" t="s">
        <v>40</v>
      </c>
      <c r="F4220" t="s">
        <v>32</v>
      </c>
      <c r="G4220" t="s">
        <v>24</v>
      </c>
      <c r="H4220" t="s">
        <v>67</v>
      </c>
      <c r="I4220" t="s">
        <v>35</v>
      </c>
      <c r="J4220" t="s">
        <v>27</v>
      </c>
      <c r="K4220">
        <v>1</v>
      </c>
      <c r="L4220">
        <v>73170</v>
      </c>
      <c r="M4220" t="s">
        <v>45</v>
      </c>
      <c r="N4220">
        <v>3</v>
      </c>
      <c r="O4220">
        <v>2</v>
      </c>
      <c r="P4220">
        <v>66</v>
      </c>
      <c r="Q4220">
        <v>0</v>
      </c>
      <c r="R4220" s="1">
        <v>44661</v>
      </c>
      <c r="S4220" t="s">
        <v>37</v>
      </c>
      <c r="T4220" t="str">
        <f t="shared" si="325"/>
        <v>Grade B</v>
      </c>
      <c r="U4220">
        <f t="shared" si="326"/>
        <v>2</v>
      </c>
      <c r="V4220" t="str">
        <f t="shared" si="327"/>
        <v>New Joiner</v>
      </c>
      <c r="W4220" t="str">
        <f t="shared" si="328"/>
        <v>Already Left</v>
      </c>
      <c r="X4220" t="str">
        <f t="shared" si="329"/>
        <v>Fair</v>
      </c>
    </row>
    <row r="4221" spans="1:24" x14ac:dyDescent="0.3">
      <c r="A4221" t="s">
        <v>4289</v>
      </c>
      <c r="B4221" t="s">
        <v>20</v>
      </c>
      <c r="C4221">
        <v>30</v>
      </c>
      <c r="D4221" t="s">
        <v>88</v>
      </c>
      <c r="E4221" t="s">
        <v>22</v>
      </c>
      <c r="F4221" t="s">
        <v>23</v>
      </c>
      <c r="G4221" t="s">
        <v>49</v>
      </c>
      <c r="H4221" t="s">
        <v>83</v>
      </c>
      <c r="I4221" t="s">
        <v>72</v>
      </c>
      <c r="J4221" t="s">
        <v>73</v>
      </c>
      <c r="K4221">
        <v>3</v>
      </c>
      <c r="L4221">
        <v>64729</v>
      </c>
      <c r="M4221" t="s">
        <v>51</v>
      </c>
      <c r="N4221">
        <v>1</v>
      </c>
      <c r="O4221">
        <v>3</v>
      </c>
      <c r="P4221">
        <v>15</v>
      </c>
      <c r="Q4221">
        <v>0</v>
      </c>
      <c r="R4221" s="1">
        <v>44138</v>
      </c>
      <c r="S4221" t="s">
        <v>29</v>
      </c>
      <c r="T4221" t="str">
        <f t="shared" si="325"/>
        <v>Grade B</v>
      </c>
      <c r="U4221">
        <f t="shared" si="326"/>
        <v>4</v>
      </c>
      <c r="V4221" t="str">
        <f t="shared" si="327"/>
        <v>Junior</v>
      </c>
      <c r="W4221" t="str">
        <f t="shared" si="328"/>
        <v>Low Risk</v>
      </c>
      <c r="X4221" t="str">
        <f t="shared" si="329"/>
        <v>Fair</v>
      </c>
    </row>
    <row r="4222" spans="1:24" x14ac:dyDescent="0.3">
      <c r="A4222" t="s">
        <v>4290</v>
      </c>
      <c r="B4222" t="s">
        <v>20</v>
      </c>
      <c r="C4222">
        <v>45</v>
      </c>
      <c r="D4222" t="s">
        <v>21</v>
      </c>
      <c r="E4222" t="s">
        <v>22</v>
      </c>
      <c r="F4222" t="s">
        <v>78</v>
      </c>
      <c r="G4222" t="s">
        <v>24</v>
      </c>
      <c r="H4222" t="s">
        <v>25</v>
      </c>
      <c r="I4222" t="s">
        <v>96</v>
      </c>
      <c r="J4222" t="s">
        <v>44</v>
      </c>
      <c r="K4222">
        <v>10</v>
      </c>
      <c r="L4222">
        <v>101692</v>
      </c>
      <c r="M4222" t="s">
        <v>51</v>
      </c>
      <c r="N4222">
        <v>1</v>
      </c>
      <c r="O4222">
        <v>4</v>
      </c>
      <c r="P4222">
        <v>67</v>
      </c>
      <c r="Q4222">
        <v>0</v>
      </c>
      <c r="R4222" s="1">
        <v>41571</v>
      </c>
      <c r="S4222" t="s">
        <v>29</v>
      </c>
      <c r="T4222" t="str">
        <f t="shared" si="325"/>
        <v>Grade A</v>
      </c>
      <c r="U4222">
        <f t="shared" si="326"/>
        <v>4</v>
      </c>
      <c r="V4222" t="str">
        <f t="shared" si="327"/>
        <v>Mid Level</v>
      </c>
      <c r="W4222" t="str">
        <f t="shared" si="328"/>
        <v>Low Risk</v>
      </c>
      <c r="X4222" t="str">
        <f t="shared" si="329"/>
        <v>Competitive</v>
      </c>
    </row>
    <row r="4223" spans="1:24" x14ac:dyDescent="0.3">
      <c r="A4223" t="s">
        <v>4291</v>
      </c>
      <c r="B4223" t="s">
        <v>20</v>
      </c>
      <c r="C4223">
        <v>51</v>
      </c>
      <c r="D4223" t="s">
        <v>88</v>
      </c>
      <c r="E4223" t="s">
        <v>48</v>
      </c>
      <c r="F4223" t="s">
        <v>62</v>
      </c>
      <c r="G4223" t="s">
        <v>63</v>
      </c>
      <c r="H4223" t="s">
        <v>34</v>
      </c>
      <c r="I4223" t="s">
        <v>68</v>
      </c>
      <c r="J4223" t="s">
        <v>60</v>
      </c>
      <c r="K4223">
        <v>2</v>
      </c>
      <c r="L4223">
        <v>57931</v>
      </c>
      <c r="M4223" t="s">
        <v>51</v>
      </c>
      <c r="N4223">
        <v>4</v>
      </c>
      <c r="O4223">
        <v>4</v>
      </c>
      <c r="P4223">
        <v>28</v>
      </c>
      <c r="Q4223">
        <v>3</v>
      </c>
      <c r="R4223" s="1">
        <v>44448</v>
      </c>
      <c r="S4223" t="s">
        <v>29</v>
      </c>
      <c r="T4223" t="str">
        <f t="shared" si="325"/>
        <v>Grade B</v>
      </c>
      <c r="U4223">
        <f t="shared" si="326"/>
        <v>4</v>
      </c>
      <c r="V4223" t="str">
        <f t="shared" si="327"/>
        <v>New Joiner</v>
      </c>
      <c r="W4223" t="str">
        <f t="shared" si="328"/>
        <v>Low Risk</v>
      </c>
      <c r="X4223" t="str">
        <f t="shared" si="329"/>
        <v>Fair</v>
      </c>
    </row>
    <row r="4224" spans="1:24" x14ac:dyDescent="0.3">
      <c r="A4224" t="s">
        <v>4292</v>
      </c>
      <c r="B4224" t="s">
        <v>20</v>
      </c>
      <c r="C4224">
        <v>33</v>
      </c>
      <c r="D4224" t="s">
        <v>21</v>
      </c>
      <c r="E4224" t="s">
        <v>40</v>
      </c>
      <c r="F4224" t="s">
        <v>75</v>
      </c>
      <c r="G4224" t="s">
        <v>58</v>
      </c>
      <c r="H4224" t="s">
        <v>76</v>
      </c>
      <c r="I4224" t="s">
        <v>80</v>
      </c>
      <c r="J4224" t="s">
        <v>60</v>
      </c>
      <c r="K4224">
        <v>15</v>
      </c>
      <c r="L4224">
        <v>120132</v>
      </c>
      <c r="M4224" t="s">
        <v>28</v>
      </c>
      <c r="N4224">
        <v>2</v>
      </c>
      <c r="O4224">
        <v>4</v>
      </c>
      <c r="P4224">
        <v>13</v>
      </c>
      <c r="Q4224">
        <v>0</v>
      </c>
      <c r="R4224" s="1">
        <v>39757</v>
      </c>
      <c r="S4224" t="s">
        <v>29</v>
      </c>
      <c r="T4224" t="str">
        <f t="shared" si="325"/>
        <v>Grade A</v>
      </c>
      <c r="U4224">
        <f t="shared" si="326"/>
        <v>3</v>
      </c>
      <c r="V4224" t="str">
        <f t="shared" si="327"/>
        <v>Senior</v>
      </c>
      <c r="W4224" t="str">
        <f t="shared" si="328"/>
        <v>Medium Risk</v>
      </c>
      <c r="X4224" t="str">
        <f t="shared" si="329"/>
        <v>Competitive</v>
      </c>
    </row>
    <row r="4225" spans="1:24" x14ac:dyDescent="0.3">
      <c r="A4225" t="s">
        <v>4293</v>
      </c>
      <c r="B4225" t="s">
        <v>20</v>
      </c>
      <c r="C4225">
        <v>46</v>
      </c>
      <c r="D4225" t="s">
        <v>47</v>
      </c>
      <c r="E4225" t="s">
        <v>40</v>
      </c>
      <c r="F4225" t="s">
        <v>62</v>
      </c>
      <c r="G4225" t="s">
        <v>33</v>
      </c>
      <c r="H4225" t="s">
        <v>76</v>
      </c>
      <c r="I4225" t="s">
        <v>43</v>
      </c>
      <c r="J4225" t="s">
        <v>44</v>
      </c>
      <c r="K4225">
        <v>3</v>
      </c>
      <c r="L4225">
        <v>64126</v>
      </c>
      <c r="M4225" t="s">
        <v>45</v>
      </c>
      <c r="N4225">
        <v>3</v>
      </c>
      <c r="O4225">
        <v>4</v>
      </c>
      <c r="P4225">
        <v>34</v>
      </c>
      <c r="Q4225">
        <v>0</v>
      </c>
      <c r="R4225" s="1">
        <v>44010</v>
      </c>
      <c r="S4225" t="s">
        <v>29</v>
      </c>
      <c r="T4225" t="str">
        <f t="shared" si="325"/>
        <v>Grade B</v>
      </c>
      <c r="U4225">
        <f t="shared" si="326"/>
        <v>2</v>
      </c>
      <c r="V4225" t="str">
        <f t="shared" si="327"/>
        <v>Junior</v>
      </c>
      <c r="W4225" t="str">
        <f t="shared" si="328"/>
        <v>Medium Risk</v>
      </c>
      <c r="X4225" t="str">
        <f t="shared" si="329"/>
        <v>Fair</v>
      </c>
    </row>
    <row r="4226" spans="1:24" x14ac:dyDescent="0.3">
      <c r="A4226" t="s">
        <v>4294</v>
      </c>
      <c r="B4226" t="s">
        <v>20</v>
      </c>
      <c r="C4226">
        <v>39</v>
      </c>
      <c r="D4226" t="s">
        <v>31</v>
      </c>
      <c r="E4226" t="s">
        <v>48</v>
      </c>
      <c r="F4226" t="s">
        <v>41</v>
      </c>
      <c r="G4226" t="s">
        <v>24</v>
      </c>
      <c r="H4226" t="s">
        <v>67</v>
      </c>
      <c r="I4226" t="s">
        <v>26</v>
      </c>
      <c r="J4226" t="s">
        <v>27</v>
      </c>
      <c r="K4226">
        <v>5</v>
      </c>
      <c r="L4226">
        <v>85272</v>
      </c>
      <c r="M4226" t="s">
        <v>45</v>
      </c>
      <c r="N4226">
        <v>3</v>
      </c>
      <c r="O4226">
        <v>3</v>
      </c>
      <c r="P4226">
        <v>38</v>
      </c>
      <c r="Q4226">
        <v>0</v>
      </c>
      <c r="R4226" s="1">
        <v>43272</v>
      </c>
      <c r="S4226" t="s">
        <v>29</v>
      </c>
      <c r="T4226" t="str">
        <f t="shared" ref="T4226:T4289" si="330">IF(L4226&gt;=80000,"Grade A",IF(L4226&gt;=50000,"Grade B",IF(L4226&gt;=35000,"Grade C","Grade D")))</f>
        <v>Grade A</v>
      </c>
      <c r="U4226">
        <f t="shared" ref="U4226:U4289" si="331">IF(M4226="Excellent",4,IF(M4226="Good",3,IF(M4226="Average",2,1)))</f>
        <v>2</v>
      </c>
      <c r="V4226" t="str">
        <f t="shared" ref="V4226:V4289" si="332">IF(K4226&lt;=2,"New Joiner",IF(K4226&lt;=5,"Junior",IF(K4226&lt;=10,"Mid Level","Senior")))</f>
        <v>Junior</v>
      </c>
      <c r="W4226" t="str">
        <f t="shared" ref="W4226:W4289" si="333">IF(S4226="Yes","Already Left",IF(AND(K4226&lt;=2,M4226="Poor"),"High Risk",IF(AND(K4226&lt;=5,M4226="Average"),"Medium Risk",IF(M4226="Excellent","Low Risk","Medium Risk"))))</f>
        <v>Medium Risk</v>
      </c>
      <c r="X4226" t="str">
        <f t="shared" ref="X4226:X4289" si="334">IF(AND(L4226&gt;=80000,M4226="Excellent"),"Competitive",IF(AND(L4226&gt;=50000,M4226="Good"),"Competitive",IF(AND(L4226&lt;35000,M4226="Excellent"),"Underpaid",IF(AND(L4226&gt;=80000,M4226="Poor"),"Overpaid","Fair"))))</f>
        <v>Fair</v>
      </c>
    </row>
    <row r="4227" spans="1:24" x14ac:dyDescent="0.3">
      <c r="A4227" t="s">
        <v>4295</v>
      </c>
      <c r="B4227" t="s">
        <v>20</v>
      </c>
      <c r="C4227">
        <v>54</v>
      </c>
      <c r="D4227" t="s">
        <v>47</v>
      </c>
      <c r="E4227" t="s">
        <v>22</v>
      </c>
      <c r="F4227" t="s">
        <v>53</v>
      </c>
      <c r="G4227" t="s">
        <v>66</v>
      </c>
      <c r="H4227" t="s">
        <v>34</v>
      </c>
      <c r="I4227" t="s">
        <v>59</v>
      </c>
      <c r="J4227" t="s">
        <v>60</v>
      </c>
      <c r="K4227">
        <v>14</v>
      </c>
      <c r="L4227">
        <v>65655</v>
      </c>
      <c r="M4227" t="s">
        <v>51</v>
      </c>
      <c r="N4227">
        <v>2</v>
      </c>
      <c r="O4227">
        <v>2</v>
      </c>
      <c r="P4227">
        <v>14</v>
      </c>
      <c r="Q4227">
        <v>2</v>
      </c>
      <c r="R4227" s="1">
        <v>40079</v>
      </c>
      <c r="S4227" t="s">
        <v>37</v>
      </c>
      <c r="T4227" t="str">
        <f t="shared" si="330"/>
        <v>Grade B</v>
      </c>
      <c r="U4227">
        <f t="shared" si="331"/>
        <v>4</v>
      </c>
      <c r="V4227" t="str">
        <f t="shared" si="332"/>
        <v>Senior</v>
      </c>
      <c r="W4227" t="str">
        <f t="shared" si="333"/>
        <v>Already Left</v>
      </c>
      <c r="X4227" t="str">
        <f t="shared" si="334"/>
        <v>Fair</v>
      </c>
    </row>
    <row r="4228" spans="1:24" x14ac:dyDescent="0.3">
      <c r="A4228" t="s">
        <v>4296</v>
      </c>
      <c r="B4228" t="s">
        <v>39</v>
      </c>
      <c r="C4228">
        <v>40</v>
      </c>
      <c r="D4228" t="s">
        <v>88</v>
      </c>
      <c r="E4228" t="s">
        <v>22</v>
      </c>
      <c r="F4228" t="s">
        <v>23</v>
      </c>
      <c r="G4228" t="s">
        <v>33</v>
      </c>
      <c r="H4228" t="s">
        <v>34</v>
      </c>
      <c r="I4228" t="s">
        <v>43</v>
      </c>
      <c r="J4228" t="s">
        <v>44</v>
      </c>
      <c r="K4228">
        <v>7</v>
      </c>
      <c r="L4228">
        <v>73745</v>
      </c>
      <c r="M4228" t="s">
        <v>45</v>
      </c>
      <c r="N4228">
        <v>1</v>
      </c>
      <c r="O4228">
        <v>4</v>
      </c>
      <c r="P4228">
        <v>71</v>
      </c>
      <c r="Q4228">
        <v>0</v>
      </c>
      <c r="R4228" s="1">
        <v>42497</v>
      </c>
      <c r="S4228" t="s">
        <v>37</v>
      </c>
      <c r="T4228" t="str">
        <f t="shared" si="330"/>
        <v>Grade B</v>
      </c>
      <c r="U4228">
        <f t="shared" si="331"/>
        <v>2</v>
      </c>
      <c r="V4228" t="str">
        <f t="shared" si="332"/>
        <v>Mid Level</v>
      </c>
      <c r="W4228" t="str">
        <f t="shared" si="333"/>
        <v>Already Left</v>
      </c>
      <c r="X4228" t="str">
        <f t="shared" si="334"/>
        <v>Fair</v>
      </c>
    </row>
    <row r="4229" spans="1:24" x14ac:dyDescent="0.3">
      <c r="A4229" t="s">
        <v>4297</v>
      </c>
      <c r="B4229" t="s">
        <v>20</v>
      </c>
      <c r="C4229">
        <v>28</v>
      </c>
      <c r="D4229" t="s">
        <v>21</v>
      </c>
      <c r="E4229" t="s">
        <v>48</v>
      </c>
      <c r="F4229" t="s">
        <v>23</v>
      </c>
      <c r="G4229" t="s">
        <v>79</v>
      </c>
      <c r="H4229" t="s">
        <v>34</v>
      </c>
      <c r="I4229" t="s">
        <v>96</v>
      </c>
      <c r="J4229" t="s">
        <v>44</v>
      </c>
      <c r="K4229">
        <v>9</v>
      </c>
      <c r="L4229">
        <v>58442</v>
      </c>
      <c r="M4229" t="s">
        <v>45</v>
      </c>
      <c r="N4229">
        <v>2</v>
      </c>
      <c r="O4229">
        <v>4</v>
      </c>
      <c r="P4229">
        <v>51</v>
      </c>
      <c r="Q4229">
        <v>0</v>
      </c>
      <c r="R4229" s="1">
        <v>41757</v>
      </c>
      <c r="S4229" t="s">
        <v>29</v>
      </c>
      <c r="T4229" t="str">
        <f t="shared" si="330"/>
        <v>Grade B</v>
      </c>
      <c r="U4229">
        <f t="shared" si="331"/>
        <v>2</v>
      </c>
      <c r="V4229" t="str">
        <f t="shared" si="332"/>
        <v>Mid Level</v>
      </c>
      <c r="W4229" t="str">
        <f t="shared" si="333"/>
        <v>Medium Risk</v>
      </c>
      <c r="X4229" t="str">
        <f t="shared" si="334"/>
        <v>Fair</v>
      </c>
    </row>
    <row r="4230" spans="1:24" x14ac:dyDescent="0.3">
      <c r="A4230" t="s">
        <v>4298</v>
      </c>
      <c r="B4230" t="s">
        <v>39</v>
      </c>
      <c r="C4230">
        <v>47</v>
      </c>
      <c r="D4230" t="s">
        <v>47</v>
      </c>
      <c r="E4230" t="s">
        <v>22</v>
      </c>
      <c r="F4230" t="s">
        <v>32</v>
      </c>
      <c r="G4230" t="s">
        <v>49</v>
      </c>
      <c r="H4230" t="s">
        <v>76</v>
      </c>
      <c r="I4230" t="s">
        <v>96</v>
      </c>
      <c r="J4230" t="s">
        <v>44</v>
      </c>
      <c r="K4230">
        <v>14</v>
      </c>
      <c r="L4230">
        <v>74138</v>
      </c>
      <c r="M4230" t="s">
        <v>51</v>
      </c>
      <c r="N4230">
        <v>2</v>
      </c>
      <c r="O4230">
        <v>2</v>
      </c>
      <c r="P4230">
        <v>59</v>
      </c>
      <c r="Q4230">
        <v>1</v>
      </c>
      <c r="R4230" s="1">
        <v>40027</v>
      </c>
      <c r="S4230" t="s">
        <v>37</v>
      </c>
      <c r="T4230" t="str">
        <f t="shared" si="330"/>
        <v>Grade B</v>
      </c>
      <c r="U4230">
        <f t="shared" si="331"/>
        <v>4</v>
      </c>
      <c r="V4230" t="str">
        <f t="shared" si="332"/>
        <v>Senior</v>
      </c>
      <c r="W4230" t="str">
        <f t="shared" si="333"/>
        <v>Already Left</v>
      </c>
      <c r="X4230" t="str">
        <f t="shared" si="334"/>
        <v>Fair</v>
      </c>
    </row>
    <row r="4231" spans="1:24" x14ac:dyDescent="0.3">
      <c r="A4231" t="s">
        <v>4299</v>
      </c>
      <c r="B4231" t="s">
        <v>20</v>
      </c>
      <c r="C4231">
        <v>36</v>
      </c>
      <c r="D4231" t="s">
        <v>57</v>
      </c>
      <c r="E4231" t="s">
        <v>48</v>
      </c>
      <c r="F4231" t="s">
        <v>41</v>
      </c>
      <c r="G4231" t="s">
        <v>79</v>
      </c>
      <c r="H4231" t="s">
        <v>34</v>
      </c>
      <c r="I4231" t="s">
        <v>35</v>
      </c>
      <c r="J4231" t="s">
        <v>27</v>
      </c>
      <c r="K4231">
        <v>10</v>
      </c>
      <c r="L4231">
        <v>53421</v>
      </c>
      <c r="M4231" t="s">
        <v>36</v>
      </c>
      <c r="N4231">
        <v>1</v>
      </c>
      <c r="O4231">
        <v>4</v>
      </c>
      <c r="P4231">
        <v>68</v>
      </c>
      <c r="Q4231">
        <v>0</v>
      </c>
      <c r="R4231" s="1">
        <v>41629</v>
      </c>
      <c r="S4231" t="s">
        <v>37</v>
      </c>
      <c r="T4231" t="str">
        <f t="shared" si="330"/>
        <v>Grade B</v>
      </c>
      <c r="U4231">
        <f t="shared" si="331"/>
        <v>1</v>
      </c>
      <c r="V4231" t="str">
        <f t="shared" si="332"/>
        <v>Mid Level</v>
      </c>
      <c r="W4231" t="str">
        <f t="shared" si="333"/>
        <v>Already Left</v>
      </c>
      <c r="X4231" t="str">
        <f t="shared" si="334"/>
        <v>Fair</v>
      </c>
    </row>
    <row r="4232" spans="1:24" x14ac:dyDescent="0.3">
      <c r="A4232" t="s">
        <v>4300</v>
      </c>
      <c r="B4232" t="s">
        <v>20</v>
      </c>
      <c r="C4232">
        <v>46</v>
      </c>
      <c r="D4232" t="s">
        <v>57</v>
      </c>
      <c r="E4232" t="s">
        <v>22</v>
      </c>
      <c r="F4232" t="s">
        <v>78</v>
      </c>
      <c r="G4232" t="s">
        <v>33</v>
      </c>
      <c r="H4232" t="s">
        <v>34</v>
      </c>
      <c r="I4232" t="s">
        <v>54</v>
      </c>
      <c r="J4232" t="s">
        <v>27</v>
      </c>
      <c r="K4232">
        <v>13</v>
      </c>
      <c r="L4232">
        <v>93179</v>
      </c>
      <c r="M4232" t="s">
        <v>36</v>
      </c>
      <c r="N4232">
        <v>3</v>
      </c>
      <c r="O4232">
        <v>1</v>
      </c>
      <c r="P4232">
        <v>65</v>
      </c>
      <c r="Q4232">
        <v>1</v>
      </c>
      <c r="R4232" s="1">
        <v>40459</v>
      </c>
      <c r="S4232" t="s">
        <v>37</v>
      </c>
      <c r="T4232" t="str">
        <f t="shared" si="330"/>
        <v>Grade A</v>
      </c>
      <c r="U4232">
        <f t="shared" si="331"/>
        <v>1</v>
      </c>
      <c r="V4232" t="str">
        <f t="shared" si="332"/>
        <v>Senior</v>
      </c>
      <c r="W4232" t="str">
        <f t="shared" si="333"/>
        <v>Already Left</v>
      </c>
      <c r="X4232" t="str">
        <f t="shared" si="334"/>
        <v>Overpaid</v>
      </c>
    </row>
    <row r="4233" spans="1:24" x14ac:dyDescent="0.3">
      <c r="A4233" t="s">
        <v>4301</v>
      </c>
      <c r="B4233" t="s">
        <v>39</v>
      </c>
      <c r="C4233">
        <v>50</v>
      </c>
      <c r="D4233" t="s">
        <v>21</v>
      </c>
      <c r="E4233" t="s">
        <v>40</v>
      </c>
      <c r="F4233" t="s">
        <v>65</v>
      </c>
      <c r="G4233" t="s">
        <v>58</v>
      </c>
      <c r="H4233" t="s">
        <v>34</v>
      </c>
      <c r="I4233" t="s">
        <v>43</v>
      </c>
      <c r="J4233" t="s">
        <v>44</v>
      </c>
      <c r="K4233">
        <v>1</v>
      </c>
      <c r="L4233">
        <v>91587</v>
      </c>
      <c r="M4233" t="s">
        <v>36</v>
      </c>
      <c r="N4233">
        <v>2</v>
      </c>
      <c r="O4233">
        <v>1</v>
      </c>
      <c r="P4233">
        <v>55</v>
      </c>
      <c r="Q4233">
        <v>0</v>
      </c>
      <c r="R4233" s="1">
        <v>44871</v>
      </c>
      <c r="S4233" t="s">
        <v>37</v>
      </c>
      <c r="T4233" t="str">
        <f t="shared" si="330"/>
        <v>Grade A</v>
      </c>
      <c r="U4233">
        <f t="shared" si="331"/>
        <v>1</v>
      </c>
      <c r="V4233" t="str">
        <f t="shared" si="332"/>
        <v>New Joiner</v>
      </c>
      <c r="W4233" t="str">
        <f t="shared" si="333"/>
        <v>Already Left</v>
      </c>
      <c r="X4233" t="str">
        <f t="shared" si="334"/>
        <v>Overpaid</v>
      </c>
    </row>
    <row r="4234" spans="1:24" x14ac:dyDescent="0.3">
      <c r="A4234" t="s">
        <v>4302</v>
      </c>
      <c r="B4234" t="s">
        <v>20</v>
      </c>
      <c r="C4234">
        <v>35</v>
      </c>
      <c r="D4234" t="s">
        <v>31</v>
      </c>
      <c r="E4234" t="s">
        <v>40</v>
      </c>
      <c r="F4234" t="s">
        <v>78</v>
      </c>
      <c r="G4234" t="s">
        <v>24</v>
      </c>
      <c r="H4234" t="s">
        <v>83</v>
      </c>
      <c r="I4234" t="s">
        <v>54</v>
      </c>
      <c r="J4234" t="s">
        <v>27</v>
      </c>
      <c r="K4234">
        <v>13</v>
      </c>
      <c r="L4234">
        <v>106030</v>
      </c>
      <c r="M4234" t="s">
        <v>36</v>
      </c>
      <c r="N4234">
        <v>2</v>
      </c>
      <c r="O4234">
        <v>3</v>
      </c>
      <c r="P4234">
        <v>28</v>
      </c>
      <c r="Q4234">
        <v>3</v>
      </c>
      <c r="R4234" s="1">
        <v>40328</v>
      </c>
      <c r="S4234" t="s">
        <v>37</v>
      </c>
      <c r="T4234" t="str">
        <f t="shared" si="330"/>
        <v>Grade A</v>
      </c>
      <c r="U4234">
        <f t="shared" si="331"/>
        <v>1</v>
      </c>
      <c r="V4234" t="str">
        <f t="shared" si="332"/>
        <v>Senior</v>
      </c>
      <c r="W4234" t="str">
        <f t="shared" si="333"/>
        <v>Already Left</v>
      </c>
      <c r="X4234" t="str">
        <f t="shared" si="334"/>
        <v>Overpaid</v>
      </c>
    </row>
    <row r="4235" spans="1:24" x14ac:dyDescent="0.3">
      <c r="A4235" t="s">
        <v>4303</v>
      </c>
      <c r="B4235" t="s">
        <v>20</v>
      </c>
      <c r="C4235">
        <v>29</v>
      </c>
      <c r="D4235" t="s">
        <v>47</v>
      </c>
      <c r="E4235" t="s">
        <v>22</v>
      </c>
      <c r="F4235" t="s">
        <v>75</v>
      </c>
      <c r="G4235" t="s">
        <v>42</v>
      </c>
      <c r="H4235" t="s">
        <v>83</v>
      </c>
      <c r="I4235" t="s">
        <v>96</v>
      </c>
      <c r="J4235" t="s">
        <v>44</v>
      </c>
      <c r="K4235">
        <v>9</v>
      </c>
      <c r="L4235">
        <v>103306</v>
      </c>
      <c r="M4235" t="s">
        <v>36</v>
      </c>
      <c r="N4235">
        <v>4</v>
      </c>
      <c r="O4235">
        <v>1</v>
      </c>
      <c r="P4235">
        <v>26</v>
      </c>
      <c r="Q4235">
        <v>3</v>
      </c>
      <c r="R4235" s="1">
        <v>41730</v>
      </c>
      <c r="S4235" t="s">
        <v>37</v>
      </c>
      <c r="T4235" t="str">
        <f t="shared" si="330"/>
        <v>Grade A</v>
      </c>
      <c r="U4235">
        <f t="shared" si="331"/>
        <v>1</v>
      </c>
      <c r="V4235" t="str">
        <f t="shared" si="332"/>
        <v>Mid Level</v>
      </c>
      <c r="W4235" t="str">
        <f t="shared" si="333"/>
        <v>Already Left</v>
      </c>
      <c r="X4235" t="str">
        <f t="shared" si="334"/>
        <v>Overpaid</v>
      </c>
    </row>
    <row r="4236" spans="1:24" x14ac:dyDescent="0.3">
      <c r="A4236" t="s">
        <v>4304</v>
      </c>
      <c r="B4236" t="s">
        <v>20</v>
      </c>
      <c r="C4236">
        <v>52</v>
      </c>
      <c r="D4236" t="s">
        <v>21</v>
      </c>
      <c r="E4236" t="s">
        <v>40</v>
      </c>
      <c r="F4236" t="s">
        <v>78</v>
      </c>
      <c r="G4236" t="s">
        <v>79</v>
      </c>
      <c r="H4236" t="s">
        <v>67</v>
      </c>
      <c r="I4236" t="s">
        <v>35</v>
      </c>
      <c r="J4236" t="s">
        <v>27</v>
      </c>
      <c r="K4236">
        <v>1</v>
      </c>
      <c r="L4236">
        <v>40863</v>
      </c>
      <c r="M4236" t="s">
        <v>36</v>
      </c>
      <c r="N4236">
        <v>3</v>
      </c>
      <c r="O4236">
        <v>2</v>
      </c>
      <c r="P4236">
        <v>73</v>
      </c>
      <c r="Q4236">
        <v>0</v>
      </c>
      <c r="R4236" s="1">
        <v>44581</v>
      </c>
      <c r="S4236" t="s">
        <v>29</v>
      </c>
      <c r="T4236" t="str">
        <f t="shared" si="330"/>
        <v>Grade C</v>
      </c>
      <c r="U4236">
        <f t="shared" si="331"/>
        <v>1</v>
      </c>
      <c r="V4236" t="str">
        <f t="shared" si="332"/>
        <v>New Joiner</v>
      </c>
      <c r="W4236" t="str">
        <f t="shared" si="333"/>
        <v>High Risk</v>
      </c>
      <c r="X4236" t="str">
        <f t="shared" si="334"/>
        <v>Fair</v>
      </c>
    </row>
    <row r="4237" spans="1:24" x14ac:dyDescent="0.3">
      <c r="A4237" t="s">
        <v>4305</v>
      </c>
      <c r="B4237" t="s">
        <v>39</v>
      </c>
      <c r="C4237">
        <v>48</v>
      </c>
      <c r="D4237" t="s">
        <v>88</v>
      </c>
      <c r="E4237" t="s">
        <v>48</v>
      </c>
      <c r="F4237" t="s">
        <v>65</v>
      </c>
      <c r="G4237" t="s">
        <v>79</v>
      </c>
      <c r="H4237" t="s">
        <v>34</v>
      </c>
      <c r="I4237" t="s">
        <v>68</v>
      </c>
      <c r="J4237" t="s">
        <v>60</v>
      </c>
      <c r="K4237">
        <v>4</v>
      </c>
      <c r="L4237">
        <v>57360</v>
      </c>
      <c r="M4237" t="s">
        <v>28</v>
      </c>
      <c r="N4237">
        <v>3</v>
      </c>
      <c r="O4237">
        <v>2</v>
      </c>
      <c r="P4237">
        <v>25</v>
      </c>
      <c r="Q4237">
        <v>2</v>
      </c>
      <c r="R4237" s="1">
        <v>43492</v>
      </c>
      <c r="S4237" t="s">
        <v>29</v>
      </c>
      <c r="T4237" t="str">
        <f t="shared" si="330"/>
        <v>Grade B</v>
      </c>
      <c r="U4237">
        <f t="shared" si="331"/>
        <v>3</v>
      </c>
      <c r="V4237" t="str">
        <f t="shared" si="332"/>
        <v>Junior</v>
      </c>
      <c r="W4237" t="str">
        <f t="shared" si="333"/>
        <v>Medium Risk</v>
      </c>
      <c r="X4237" t="str">
        <f t="shared" si="334"/>
        <v>Competitive</v>
      </c>
    </row>
    <row r="4238" spans="1:24" x14ac:dyDescent="0.3">
      <c r="A4238" t="s">
        <v>4306</v>
      </c>
      <c r="B4238" t="s">
        <v>39</v>
      </c>
      <c r="C4238">
        <v>52</v>
      </c>
      <c r="D4238" t="s">
        <v>57</v>
      </c>
      <c r="E4238" t="s">
        <v>48</v>
      </c>
      <c r="F4238" t="s">
        <v>41</v>
      </c>
      <c r="G4238" t="s">
        <v>58</v>
      </c>
      <c r="H4238" t="s">
        <v>67</v>
      </c>
      <c r="I4238" t="s">
        <v>26</v>
      </c>
      <c r="J4238" t="s">
        <v>27</v>
      </c>
      <c r="K4238">
        <v>2</v>
      </c>
      <c r="L4238">
        <v>98258</v>
      </c>
      <c r="M4238" t="s">
        <v>36</v>
      </c>
      <c r="N4238">
        <v>4</v>
      </c>
      <c r="O4238">
        <v>3</v>
      </c>
      <c r="P4238">
        <v>34</v>
      </c>
      <c r="Q4238">
        <v>1</v>
      </c>
      <c r="R4238" s="1">
        <v>44493</v>
      </c>
      <c r="S4238" t="s">
        <v>29</v>
      </c>
      <c r="T4238" t="str">
        <f t="shared" si="330"/>
        <v>Grade A</v>
      </c>
      <c r="U4238">
        <f t="shared" si="331"/>
        <v>1</v>
      </c>
      <c r="V4238" t="str">
        <f t="shared" si="332"/>
        <v>New Joiner</v>
      </c>
      <c r="W4238" t="str">
        <f t="shared" si="333"/>
        <v>High Risk</v>
      </c>
      <c r="X4238" t="str">
        <f t="shared" si="334"/>
        <v>Overpaid</v>
      </c>
    </row>
    <row r="4239" spans="1:24" x14ac:dyDescent="0.3">
      <c r="A4239" t="s">
        <v>4307</v>
      </c>
      <c r="B4239" t="s">
        <v>20</v>
      </c>
      <c r="C4239">
        <v>48</v>
      </c>
      <c r="D4239" t="s">
        <v>57</v>
      </c>
      <c r="E4239" t="s">
        <v>48</v>
      </c>
      <c r="F4239" t="s">
        <v>75</v>
      </c>
      <c r="G4239" t="s">
        <v>24</v>
      </c>
      <c r="H4239" t="s">
        <v>76</v>
      </c>
      <c r="I4239" t="s">
        <v>96</v>
      </c>
      <c r="J4239" t="s">
        <v>44</v>
      </c>
      <c r="K4239">
        <v>13</v>
      </c>
      <c r="L4239">
        <v>104813</v>
      </c>
      <c r="M4239" t="s">
        <v>28</v>
      </c>
      <c r="N4239">
        <v>2</v>
      </c>
      <c r="O4239">
        <v>1</v>
      </c>
      <c r="P4239">
        <v>21</v>
      </c>
      <c r="Q4239">
        <v>2</v>
      </c>
      <c r="R4239" s="1">
        <v>40465</v>
      </c>
      <c r="S4239" t="s">
        <v>29</v>
      </c>
      <c r="T4239" t="str">
        <f t="shared" si="330"/>
        <v>Grade A</v>
      </c>
      <c r="U4239">
        <f t="shared" si="331"/>
        <v>3</v>
      </c>
      <c r="V4239" t="str">
        <f t="shared" si="332"/>
        <v>Senior</v>
      </c>
      <c r="W4239" t="str">
        <f t="shared" si="333"/>
        <v>Medium Risk</v>
      </c>
      <c r="X4239" t="str">
        <f t="shared" si="334"/>
        <v>Competitive</v>
      </c>
    </row>
    <row r="4240" spans="1:24" x14ac:dyDescent="0.3">
      <c r="A4240" t="s">
        <v>4308</v>
      </c>
      <c r="B4240" t="s">
        <v>20</v>
      </c>
      <c r="C4240">
        <v>26</v>
      </c>
      <c r="D4240" t="s">
        <v>57</v>
      </c>
      <c r="E4240" t="s">
        <v>22</v>
      </c>
      <c r="F4240" t="s">
        <v>32</v>
      </c>
      <c r="G4240" t="s">
        <v>42</v>
      </c>
      <c r="H4240" t="s">
        <v>25</v>
      </c>
      <c r="I4240" t="s">
        <v>68</v>
      </c>
      <c r="J4240" t="s">
        <v>60</v>
      </c>
      <c r="K4240">
        <v>8</v>
      </c>
      <c r="L4240">
        <v>108843</v>
      </c>
      <c r="M4240" t="s">
        <v>28</v>
      </c>
      <c r="N4240">
        <v>4</v>
      </c>
      <c r="O4240">
        <v>4</v>
      </c>
      <c r="P4240">
        <v>65</v>
      </c>
      <c r="Q4240">
        <v>2</v>
      </c>
      <c r="R4240" s="1">
        <v>42353</v>
      </c>
      <c r="S4240" t="s">
        <v>29</v>
      </c>
      <c r="T4240" t="str">
        <f t="shared" si="330"/>
        <v>Grade A</v>
      </c>
      <c r="U4240">
        <f t="shared" si="331"/>
        <v>3</v>
      </c>
      <c r="V4240" t="str">
        <f t="shared" si="332"/>
        <v>Mid Level</v>
      </c>
      <c r="W4240" t="str">
        <f t="shared" si="333"/>
        <v>Medium Risk</v>
      </c>
      <c r="X4240" t="str">
        <f t="shared" si="334"/>
        <v>Competitive</v>
      </c>
    </row>
    <row r="4241" spans="1:24" x14ac:dyDescent="0.3">
      <c r="A4241" t="s">
        <v>4309</v>
      </c>
      <c r="B4241" t="s">
        <v>39</v>
      </c>
      <c r="C4241">
        <v>23</v>
      </c>
      <c r="D4241" t="s">
        <v>57</v>
      </c>
      <c r="E4241" t="s">
        <v>48</v>
      </c>
      <c r="F4241" t="s">
        <v>62</v>
      </c>
      <c r="G4241" t="s">
        <v>66</v>
      </c>
      <c r="H4241" t="s">
        <v>34</v>
      </c>
      <c r="I4241" t="s">
        <v>96</v>
      </c>
      <c r="J4241" t="s">
        <v>44</v>
      </c>
      <c r="K4241">
        <v>1</v>
      </c>
      <c r="L4241">
        <v>39579</v>
      </c>
      <c r="M4241" t="s">
        <v>36</v>
      </c>
      <c r="N4241">
        <v>4</v>
      </c>
      <c r="O4241">
        <v>1</v>
      </c>
      <c r="P4241">
        <v>29</v>
      </c>
      <c r="Q4241">
        <v>3</v>
      </c>
      <c r="R4241" s="1">
        <v>44810</v>
      </c>
      <c r="S4241" t="s">
        <v>37</v>
      </c>
      <c r="T4241" t="str">
        <f t="shared" si="330"/>
        <v>Grade C</v>
      </c>
      <c r="U4241">
        <f t="shared" si="331"/>
        <v>1</v>
      </c>
      <c r="V4241" t="str">
        <f t="shared" si="332"/>
        <v>New Joiner</v>
      </c>
      <c r="W4241" t="str">
        <f t="shared" si="333"/>
        <v>Already Left</v>
      </c>
      <c r="X4241" t="str">
        <f t="shared" si="334"/>
        <v>Fair</v>
      </c>
    </row>
    <row r="4242" spans="1:24" x14ac:dyDescent="0.3">
      <c r="A4242" t="s">
        <v>4310</v>
      </c>
      <c r="B4242" t="s">
        <v>39</v>
      </c>
      <c r="C4242">
        <v>26</v>
      </c>
      <c r="D4242" t="s">
        <v>31</v>
      </c>
      <c r="E4242" t="s">
        <v>40</v>
      </c>
      <c r="F4242" t="s">
        <v>62</v>
      </c>
      <c r="G4242" t="s">
        <v>66</v>
      </c>
      <c r="H4242" t="s">
        <v>25</v>
      </c>
      <c r="I4242" t="s">
        <v>68</v>
      </c>
      <c r="J4242" t="s">
        <v>60</v>
      </c>
      <c r="K4242">
        <v>4</v>
      </c>
      <c r="L4242">
        <v>46456</v>
      </c>
      <c r="M4242" t="s">
        <v>51</v>
      </c>
      <c r="N4242">
        <v>1</v>
      </c>
      <c r="O4242">
        <v>4</v>
      </c>
      <c r="P4242">
        <v>80</v>
      </c>
      <c r="Q4242">
        <v>0</v>
      </c>
      <c r="R4242" s="1">
        <v>43525</v>
      </c>
      <c r="S4242" t="s">
        <v>37</v>
      </c>
      <c r="T4242" t="str">
        <f t="shared" si="330"/>
        <v>Grade C</v>
      </c>
      <c r="U4242">
        <f t="shared" si="331"/>
        <v>4</v>
      </c>
      <c r="V4242" t="str">
        <f t="shared" si="332"/>
        <v>Junior</v>
      </c>
      <c r="W4242" t="str">
        <f t="shared" si="333"/>
        <v>Already Left</v>
      </c>
      <c r="X4242" t="str">
        <f t="shared" si="334"/>
        <v>Fair</v>
      </c>
    </row>
    <row r="4243" spans="1:24" x14ac:dyDescent="0.3">
      <c r="A4243" t="s">
        <v>4311</v>
      </c>
      <c r="B4243" t="s">
        <v>39</v>
      </c>
      <c r="C4243">
        <v>49</v>
      </c>
      <c r="D4243" t="s">
        <v>47</v>
      </c>
      <c r="E4243" t="s">
        <v>22</v>
      </c>
      <c r="F4243" t="s">
        <v>75</v>
      </c>
      <c r="G4243" t="s">
        <v>58</v>
      </c>
      <c r="H4243" t="s">
        <v>25</v>
      </c>
      <c r="I4243" t="s">
        <v>50</v>
      </c>
      <c r="J4243" t="s">
        <v>44</v>
      </c>
      <c r="K4243">
        <v>11</v>
      </c>
      <c r="L4243">
        <v>103684</v>
      </c>
      <c r="M4243" t="s">
        <v>45</v>
      </c>
      <c r="N4243">
        <v>4</v>
      </c>
      <c r="O4243">
        <v>3</v>
      </c>
      <c r="P4243">
        <v>12</v>
      </c>
      <c r="Q4243">
        <v>2</v>
      </c>
      <c r="R4243" s="1">
        <v>41166</v>
      </c>
      <c r="S4243" t="s">
        <v>29</v>
      </c>
      <c r="T4243" t="str">
        <f t="shared" si="330"/>
        <v>Grade A</v>
      </c>
      <c r="U4243">
        <f t="shared" si="331"/>
        <v>2</v>
      </c>
      <c r="V4243" t="str">
        <f t="shared" si="332"/>
        <v>Senior</v>
      </c>
      <c r="W4243" t="str">
        <f t="shared" si="333"/>
        <v>Medium Risk</v>
      </c>
      <c r="X4243" t="str">
        <f t="shared" si="334"/>
        <v>Fair</v>
      </c>
    </row>
    <row r="4244" spans="1:24" x14ac:dyDescent="0.3">
      <c r="A4244" t="s">
        <v>4312</v>
      </c>
      <c r="B4244" t="s">
        <v>20</v>
      </c>
      <c r="C4244">
        <v>46</v>
      </c>
      <c r="D4244" t="s">
        <v>47</v>
      </c>
      <c r="E4244" t="s">
        <v>48</v>
      </c>
      <c r="F4244" t="s">
        <v>32</v>
      </c>
      <c r="G4244" t="s">
        <v>63</v>
      </c>
      <c r="H4244" t="s">
        <v>67</v>
      </c>
      <c r="I4244" t="s">
        <v>80</v>
      </c>
      <c r="J4244" t="s">
        <v>60</v>
      </c>
      <c r="K4244">
        <v>12</v>
      </c>
      <c r="L4244">
        <v>59329</v>
      </c>
      <c r="M4244" t="s">
        <v>28</v>
      </c>
      <c r="N4244">
        <v>1</v>
      </c>
      <c r="O4244">
        <v>4</v>
      </c>
      <c r="P4244">
        <v>76</v>
      </c>
      <c r="Q4244">
        <v>1</v>
      </c>
      <c r="R4244" s="1">
        <v>40666</v>
      </c>
      <c r="S4244" t="s">
        <v>29</v>
      </c>
      <c r="T4244" t="str">
        <f t="shared" si="330"/>
        <v>Grade B</v>
      </c>
      <c r="U4244">
        <f t="shared" si="331"/>
        <v>3</v>
      </c>
      <c r="V4244" t="str">
        <f t="shared" si="332"/>
        <v>Senior</v>
      </c>
      <c r="W4244" t="str">
        <f t="shared" si="333"/>
        <v>Medium Risk</v>
      </c>
      <c r="X4244" t="str">
        <f t="shared" si="334"/>
        <v>Competitive</v>
      </c>
    </row>
    <row r="4245" spans="1:24" x14ac:dyDescent="0.3">
      <c r="A4245" t="s">
        <v>4313</v>
      </c>
      <c r="B4245" t="s">
        <v>39</v>
      </c>
      <c r="C4245">
        <v>31</v>
      </c>
      <c r="D4245" t="s">
        <v>47</v>
      </c>
      <c r="E4245" t="s">
        <v>22</v>
      </c>
      <c r="F4245" t="s">
        <v>65</v>
      </c>
      <c r="G4245" t="s">
        <v>66</v>
      </c>
      <c r="H4245" t="s">
        <v>34</v>
      </c>
      <c r="I4245" t="s">
        <v>96</v>
      </c>
      <c r="J4245" t="s">
        <v>44</v>
      </c>
      <c r="K4245">
        <v>12</v>
      </c>
      <c r="L4245">
        <v>66213</v>
      </c>
      <c r="M4245" t="s">
        <v>45</v>
      </c>
      <c r="N4245">
        <v>4</v>
      </c>
      <c r="O4245">
        <v>1</v>
      </c>
      <c r="P4245">
        <v>15</v>
      </c>
      <c r="Q4245">
        <v>2</v>
      </c>
      <c r="R4245" s="1">
        <v>40555</v>
      </c>
      <c r="S4245" t="s">
        <v>29</v>
      </c>
      <c r="T4245" t="str">
        <f t="shared" si="330"/>
        <v>Grade B</v>
      </c>
      <c r="U4245">
        <f t="shared" si="331"/>
        <v>2</v>
      </c>
      <c r="V4245" t="str">
        <f t="shared" si="332"/>
        <v>Senior</v>
      </c>
      <c r="W4245" t="str">
        <f t="shared" si="333"/>
        <v>Medium Risk</v>
      </c>
      <c r="X4245" t="str">
        <f t="shared" si="334"/>
        <v>Fair</v>
      </c>
    </row>
    <row r="4246" spans="1:24" x14ac:dyDescent="0.3">
      <c r="A4246" t="s">
        <v>4314</v>
      </c>
      <c r="B4246" t="s">
        <v>20</v>
      </c>
      <c r="C4246">
        <v>53</v>
      </c>
      <c r="D4246" t="s">
        <v>88</v>
      </c>
      <c r="E4246" t="s">
        <v>48</v>
      </c>
      <c r="F4246" t="s">
        <v>62</v>
      </c>
      <c r="G4246" t="s">
        <v>33</v>
      </c>
      <c r="H4246" t="s">
        <v>83</v>
      </c>
      <c r="I4246" t="s">
        <v>43</v>
      </c>
      <c r="J4246" t="s">
        <v>44</v>
      </c>
      <c r="K4246">
        <v>7</v>
      </c>
      <c r="L4246">
        <v>74010</v>
      </c>
      <c r="M4246" t="s">
        <v>51</v>
      </c>
      <c r="N4246">
        <v>2</v>
      </c>
      <c r="O4246">
        <v>3</v>
      </c>
      <c r="P4246">
        <v>12</v>
      </c>
      <c r="Q4246">
        <v>3</v>
      </c>
      <c r="R4246" s="1">
        <v>42547</v>
      </c>
      <c r="S4246" t="s">
        <v>37</v>
      </c>
      <c r="T4246" t="str">
        <f t="shared" si="330"/>
        <v>Grade B</v>
      </c>
      <c r="U4246">
        <f t="shared" si="331"/>
        <v>4</v>
      </c>
      <c r="V4246" t="str">
        <f t="shared" si="332"/>
        <v>Mid Level</v>
      </c>
      <c r="W4246" t="str">
        <f t="shared" si="333"/>
        <v>Already Left</v>
      </c>
      <c r="X4246" t="str">
        <f t="shared" si="334"/>
        <v>Fair</v>
      </c>
    </row>
    <row r="4247" spans="1:24" x14ac:dyDescent="0.3">
      <c r="A4247" t="s">
        <v>4315</v>
      </c>
      <c r="B4247" t="s">
        <v>20</v>
      </c>
      <c r="C4247">
        <v>38</v>
      </c>
      <c r="D4247" t="s">
        <v>31</v>
      </c>
      <c r="E4247" t="s">
        <v>40</v>
      </c>
      <c r="F4247" t="s">
        <v>41</v>
      </c>
      <c r="G4247" t="s">
        <v>58</v>
      </c>
      <c r="H4247" t="s">
        <v>25</v>
      </c>
      <c r="I4247" t="s">
        <v>80</v>
      </c>
      <c r="J4247" t="s">
        <v>60</v>
      </c>
      <c r="K4247">
        <v>15</v>
      </c>
      <c r="L4247">
        <v>119871</v>
      </c>
      <c r="M4247" t="s">
        <v>45</v>
      </c>
      <c r="N4247">
        <v>4</v>
      </c>
      <c r="O4247">
        <v>2</v>
      </c>
      <c r="P4247">
        <v>33</v>
      </c>
      <c r="Q4247">
        <v>0</v>
      </c>
      <c r="R4247" s="1">
        <v>39566</v>
      </c>
      <c r="S4247" t="s">
        <v>29</v>
      </c>
      <c r="T4247" t="str">
        <f t="shared" si="330"/>
        <v>Grade A</v>
      </c>
      <c r="U4247">
        <f t="shared" si="331"/>
        <v>2</v>
      </c>
      <c r="V4247" t="str">
        <f t="shared" si="332"/>
        <v>Senior</v>
      </c>
      <c r="W4247" t="str">
        <f t="shared" si="333"/>
        <v>Medium Risk</v>
      </c>
      <c r="X4247" t="str">
        <f t="shared" si="334"/>
        <v>Fair</v>
      </c>
    </row>
    <row r="4248" spans="1:24" x14ac:dyDescent="0.3">
      <c r="A4248" t="s">
        <v>4316</v>
      </c>
      <c r="B4248" t="s">
        <v>20</v>
      </c>
      <c r="C4248">
        <v>45</v>
      </c>
      <c r="D4248" t="s">
        <v>31</v>
      </c>
      <c r="E4248" t="s">
        <v>40</v>
      </c>
      <c r="F4248" t="s">
        <v>41</v>
      </c>
      <c r="G4248" t="s">
        <v>24</v>
      </c>
      <c r="H4248" t="s">
        <v>34</v>
      </c>
      <c r="I4248" t="s">
        <v>80</v>
      </c>
      <c r="J4248" t="s">
        <v>60</v>
      </c>
      <c r="K4248">
        <v>5</v>
      </c>
      <c r="L4248">
        <v>84026</v>
      </c>
      <c r="M4248" t="s">
        <v>36</v>
      </c>
      <c r="N4248">
        <v>3</v>
      </c>
      <c r="O4248">
        <v>1</v>
      </c>
      <c r="P4248">
        <v>19</v>
      </c>
      <c r="Q4248">
        <v>3</v>
      </c>
      <c r="R4248" s="1">
        <v>43367</v>
      </c>
      <c r="S4248" t="s">
        <v>37</v>
      </c>
      <c r="T4248" t="str">
        <f t="shared" si="330"/>
        <v>Grade A</v>
      </c>
      <c r="U4248">
        <f t="shared" si="331"/>
        <v>1</v>
      </c>
      <c r="V4248" t="str">
        <f t="shared" si="332"/>
        <v>Junior</v>
      </c>
      <c r="W4248" t="str">
        <f t="shared" si="333"/>
        <v>Already Left</v>
      </c>
      <c r="X4248" t="str">
        <f t="shared" si="334"/>
        <v>Overpaid</v>
      </c>
    </row>
    <row r="4249" spans="1:24" x14ac:dyDescent="0.3">
      <c r="A4249" t="s">
        <v>4317</v>
      </c>
      <c r="B4249" t="s">
        <v>39</v>
      </c>
      <c r="C4249">
        <v>48</v>
      </c>
      <c r="D4249" t="s">
        <v>57</v>
      </c>
      <c r="E4249" t="s">
        <v>22</v>
      </c>
      <c r="F4249" t="s">
        <v>23</v>
      </c>
      <c r="G4249" t="s">
        <v>63</v>
      </c>
      <c r="H4249" t="s">
        <v>67</v>
      </c>
      <c r="I4249" t="s">
        <v>50</v>
      </c>
      <c r="J4249" t="s">
        <v>44</v>
      </c>
      <c r="K4249">
        <v>3</v>
      </c>
      <c r="L4249">
        <v>51843</v>
      </c>
      <c r="M4249" t="s">
        <v>28</v>
      </c>
      <c r="N4249">
        <v>3</v>
      </c>
      <c r="O4249">
        <v>2</v>
      </c>
      <c r="P4249">
        <v>45</v>
      </c>
      <c r="Q4249">
        <v>0</v>
      </c>
      <c r="R4249" s="1">
        <v>43945</v>
      </c>
      <c r="S4249" t="s">
        <v>29</v>
      </c>
      <c r="T4249" t="str">
        <f t="shared" si="330"/>
        <v>Grade B</v>
      </c>
      <c r="U4249">
        <f t="shared" si="331"/>
        <v>3</v>
      </c>
      <c r="V4249" t="str">
        <f t="shared" si="332"/>
        <v>Junior</v>
      </c>
      <c r="W4249" t="str">
        <f t="shared" si="333"/>
        <v>Medium Risk</v>
      </c>
      <c r="X4249" t="str">
        <f t="shared" si="334"/>
        <v>Competitive</v>
      </c>
    </row>
    <row r="4250" spans="1:24" x14ac:dyDescent="0.3">
      <c r="A4250" t="s">
        <v>4318</v>
      </c>
      <c r="B4250" t="s">
        <v>39</v>
      </c>
      <c r="C4250">
        <v>41</v>
      </c>
      <c r="D4250" t="s">
        <v>57</v>
      </c>
      <c r="E4250" t="s">
        <v>40</v>
      </c>
      <c r="F4250" t="s">
        <v>41</v>
      </c>
      <c r="G4250" t="s">
        <v>63</v>
      </c>
      <c r="H4250" t="s">
        <v>25</v>
      </c>
      <c r="I4250" t="s">
        <v>96</v>
      </c>
      <c r="J4250" t="s">
        <v>44</v>
      </c>
      <c r="K4250">
        <v>9</v>
      </c>
      <c r="L4250">
        <v>64815</v>
      </c>
      <c r="M4250" t="s">
        <v>51</v>
      </c>
      <c r="N4250">
        <v>2</v>
      </c>
      <c r="O4250">
        <v>1</v>
      </c>
      <c r="P4250">
        <v>19</v>
      </c>
      <c r="Q4250">
        <v>1</v>
      </c>
      <c r="R4250" s="1">
        <v>41812</v>
      </c>
      <c r="S4250" t="s">
        <v>29</v>
      </c>
      <c r="T4250" t="str">
        <f t="shared" si="330"/>
        <v>Grade B</v>
      </c>
      <c r="U4250">
        <f t="shared" si="331"/>
        <v>4</v>
      </c>
      <c r="V4250" t="str">
        <f t="shared" si="332"/>
        <v>Mid Level</v>
      </c>
      <c r="W4250" t="str">
        <f t="shared" si="333"/>
        <v>Low Risk</v>
      </c>
      <c r="X4250" t="str">
        <f t="shared" si="334"/>
        <v>Fair</v>
      </c>
    </row>
    <row r="4251" spans="1:24" x14ac:dyDescent="0.3">
      <c r="A4251" t="s">
        <v>4319</v>
      </c>
      <c r="B4251" t="s">
        <v>20</v>
      </c>
      <c r="C4251">
        <v>49</v>
      </c>
      <c r="D4251" t="s">
        <v>57</v>
      </c>
      <c r="E4251" t="s">
        <v>22</v>
      </c>
      <c r="F4251" t="s">
        <v>78</v>
      </c>
      <c r="G4251" t="s">
        <v>79</v>
      </c>
      <c r="H4251" t="s">
        <v>25</v>
      </c>
      <c r="I4251" t="s">
        <v>43</v>
      </c>
      <c r="J4251" t="s">
        <v>44</v>
      </c>
      <c r="K4251">
        <v>5</v>
      </c>
      <c r="L4251">
        <v>45584</v>
      </c>
      <c r="M4251" t="s">
        <v>36</v>
      </c>
      <c r="N4251">
        <v>3</v>
      </c>
      <c r="O4251">
        <v>3</v>
      </c>
      <c r="P4251">
        <v>49</v>
      </c>
      <c r="Q4251">
        <v>3</v>
      </c>
      <c r="R4251" s="1">
        <v>43207</v>
      </c>
      <c r="S4251" t="s">
        <v>29</v>
      </c>
      <c r="T4251" t="str">
        <f t="shared" si="330"/>
        <v>Grade C</v>
      </c>
      <c r="U4251">
        <f t="shared" si="331"/>
        <v>1</v>
      </c>
      <c r="V4251" t="str">
        <f t="shared" si="332"/>
        <v>Junior</v>
      </c>
      <c r="W4251" t="str">
        <f t="shared" si="333"/>
        <v>Medium Risk</v>
      </c>
      <c r="X4251" t="str">
        <f t="shared" si="334"/>
        <v>Fair</v>
      </c>
    </row>
    <row r="4252" spans="1:24" x14ac:dyDescent="0.3">
      <c r="A4252" t="s">
        <v>4320</v>
      </c>
      <c r="B4252" t="s">
        <v>20</v>
      </c>
      <c r="C4252">
        <v>24</v>
      </c>
      <c r="D4252" t="s">
        <v>88</v>
      </c>
      <c r="E4252" t="s">
        <v>22</v>
      </c>
      <c r="F4252" t="s">
        <v>75</v>
      </c>
      <c r="G4252" t="s">
        <v>79</v>
      </c>
      <c r="H4252" t="s">
        <v>34</v>
      </c>
      <c r="I4252" t="s">
        <v>26</v>
      </c>
      <c r="J4252" t="s">
        <v>27</v>
      </c>
      <c r="K4252">
        <v>11</v>
      </c>
      <c r="L4252">
        <v>59453</v>
      </c>
      <c r="M4252" t="s">
        <v>45</v>
      </c>
      <c r="N4252">
        <v>4</v>
      </c>
      <c r="O4252">
        <v>2</v>
      </c>
      <c r="P4252">
        <v>76</v>
      </c>
      <c r="Q4252">
        <v>1</v>
      </c>
      <c r="R4252" s="1">
        <v>41251</v>
      </c>
      <c r="S4252" t="s">
        <v>29</v>
      </c>
      <c r="T4252" t="str">
        <f t="shared" si="330"/>
        <v>Grade B</v>
      </c>
      <c r="U4252">
        <f t="shared" si="331"/>
        <v>2</v>
      </c>
      <c r="V4252" t="str">
        <f t="shared" si="332"/>
        <v>Senior</v>
      </c>
      <c r="W4252" t="str">
        <f t="shared" si="333"/>
        <v>Medium Risk</v>
      </c>
      <c r="X4252" t="str">
        <f t="shared" si="334"/>
        <v>Fair</v>
      </c>
    </row>
    <row r="4253" spans="1:24" x14ac:dyDescent="0.3">
      <c r="A4253" t="s">
        <v>4321</v>
      </c>
      <c r="B4253" t="s">
        <v>39</v>
      </c>
      <c r="C4253">
        <v>27</v>
      </c>
      <c r="D4253" t="s">
        <v>88</v>
      </c>
      <c r="E4253" t="s">
        <v>22</v>
      </c>
      <c r="F4253" t="s">
        <v>65</v>
      </c>
      <c r="G4253" t="s">
        <v>24</v>
      </c>
      <c r="H4253" t="s">
        <v>76</v>
      </c>
      <c r="I4253" t="s">
        <v>72</v>
      </c>
      <c r="J4253" t="s">
        <v>73</v>
      </c>
      <c r="K4253">
        <v>5</v>
      </c>
      <c r="L4253">
        <v>90299</v>
      </c>
      <c r="M4253" t="s">
        <v>51</v>
      </c>
      <c r="N4253">
        <v>2</v>
      </c>
      <c r="O4253">
        <v>1</v>
      </c>
      <c r="P4253">
        <v>29</v>
      </c>
      <c r="Q4253">
        <v>2</v>
      </c>
      <c r="R4253" s="1">
        <v>43167</v>
      </c>
      <c r="S4253" t="s">
        <v>37</v>
      </c>
      <c r="T4253" t="str">
        <f t="shared" si="330"/>
        <v>Grade A</v>
      </c>
      <c r="U4253">
        <f t="shared" si="331"/>
        <v>4</v>
      </c>
      <c r="V4253" t="str">
        <f t="shared" si="332"/>
        <v>Junior</v>
      </c>
      <c r="W4253" t="str">
        <f t="shared" si="333"/>
        <v>Already Left</v>
      </c>
      <c r="X4253" t="str">
        <f t="shared" si="334"/>
        <v>Competitive</v>
      </c>
    </row>
    <row r="4254" spans="1:24" x14ac:dyDescent="0.3">
      <c r="A4254" t="s">
        <v>4322</v>
      </c>
      <c r="B4254" t="s">
        <v>20</v>
      </c>
      <c r="C4254">
        <v>48</v>
      </c>
      <c r="D4254" t="s">
        <v>57</v>
      </c>
      <c r="E4254" t="s">
        <v>40</v>
      </c>
      <c r="F4254" t="s">
        <v>65</v>
      </c>
      <c r="G4254" t="s">
        <v>24</v>
      </c>
      <c r="H4254" t="s">
        <v>67</v>
      </c>
      <c r="I4254" t="s">
        <v>54</v>
      </c>
      <c r="J4254" t="s">
        <v>27</v>
      </c>
      <c r="K4254">
        <v>4</v>
      </c>
      <c r="L4254">
        <v>82443</v>
      </c>
      <c r="M4254" t="s">
        <v>45</v>
      </c>
      <c r="N4254">
        <v>2</v>
      </c>
      <c r="O4254">
        <v>1</v>
      </c>
      <c r="P4254">
        <v>64</v>
      </c>
      <c r="Q4254">
        <v>2</v>
      </c>
      <c r="R4254" s="1">
        <v>43748</v>
      </c>
      <c r="S4254" t="s">
        <v>37</v>
      </c>
      <c r="T4254" t="str">
        <f t="shared" si="330"/>
        <v>Grade A</v>
      </c>
      <c r="U4254">
        <f t="shared" si="331"/>
        <v>2</v>
      </c>
      <c r="V4254" t="str">
        <f t="shared" si="332"/>
        <v>Junior</v>
      </c>
      <c r="W4254" t="str">
        <f t="shared" si="333"/>
        <v>Already Left</v>
      </c>
      <c r="X4254" t="str">
        <f t="shared" si="334"/>
        <v>Fair</v>
      </c>
    </row>
    <row r="4255" spans="1:24" x14ac:dyDescent="0.3">
      <c r="A4255" t="s">
        <v>4323</v>
      </c>
      <c r="B4255" t="s">
        <v>20</v>
      </c>
      <c r="C4255">
        <v>26</v>
      </c>
      <c r="D4255" t="s">
        <v>21</v>
      </c>
      <c r="E4255" t="s">
        <v>22</v>
      </c>
      <c r="F4255" t="s">
        <v>75</v>
      </c>
      <c r="G4255" t="s">
        <v>24</v>
      </c>
      <c r="H4255" t="s">
        <v>83</v>
      </c>
      <c r="I4255" t="s">
        <v>43</v>
      </c>
      <c r="J4255" t="s">
        <v>44</v>
      </c>
      <c r="K4255">
        <v>12</v>
      </c>
      <c r="L4255">
        <v>105876</v>
      </c>
      <c r="M4255" t="s">
        <v>51</v>
      </c>
      <c r="N4255">
        <v>1</v>
      </c>
      <c r="O4255">
        <v>2</v>
      </c>
      <c r="P4255">
        <v>13</v>
      </c>
      <c r="Q4255">
        <v>0</v>
      </c>
      <c r="R4255" s="1">
        <v>40743</v>
      </c>
      <c r="S4255" t="s">
        <v>29</v>
      </c>
      <c r="T4255" t="str">
        <f t="shared" si="330"/>
        <v>Grade A</v>
      </c>
      <c r="U4255">
        <f t="shared" si="331"/>
        <v>4</v>
      </c>
      <c r="V4255" t="str">
        <f t="shared" si="332"/>
        <v>Senior</v>
      </c>
      <c r="W4255" t="str">
        <f t="shared" si="333"/>
        <v>Low Risk</v>
      </c>
      <c r="X4255" t="str">
        <f t="shared" si="334"/>
        <v>Competitive</v>
      </c>
    </row>
    <row r="4256" spans="1:24" x14ac:dyDescent="0.3">
      <c r="A4256" t="s">
        <v>4324</v>
      </c>
      <c r="B4256" t="s">
        <v>20</v>
      </c>
      <c r="C4256">
        <v>50</v>
      </c>
      <c r="D4256" t="s">
        <v>21</v>
      </c>
      <c r="E4256" t="s">
        <v>40</v>
      </c>
      <c r="F4256" t="s">
        <v>23</v>
      </c>
      <c r="G4256" t="s">
        <v>79</v>
      </c>
      <c r="H4256" t="s">
        <v>67</v>
      </c>
      <c r="I4256" t="s">
        <v>72</v>
      </c>
      <c r="J4256" t="s">
        <v>73</v>
      </c>
      <c r="K4256">
        <v>15</v>
      </c>
      <c r="L4256">
        <v>70986</v>
      </c>
      <c r="M4256" t="s">
        <v>36</v>
      </c>
      <c r="N4256">
        <v>3</v>
      </c>
      <c r="O4256">
        <v>1</v>
      </c>
      <c r="P4256">
        <v>16</v>
      </c>
      <c r="Q4256">
        <v>2</v>
      </c>
      <c r="R4256" s="1">
        <v>39740</v>
      </c>
      <c r="S4256" t="s">
        <v>37</v>
      </c>
      <c r="T4256" t="str">
        <f t="shared" si="330"/>
        <v>Grade B</v>
      </c>
      <c r="U4256">
        <f t="shared" si="331"/>
        <v>1</v>
      </c>
      <c r="V4256" t="str">
        <f t="shared" si="332"/>
        <v>Senior</v>
      </c>
      <c r="W4256" t="str">
        <f t="shared" si="333"/>
        <v>Already Left</v>
      </c>
      <c r="X4256" t="str">
        <f t="shared" si="334"/>
        <v>Fair</v>
      </c>
    </row>
    <row r="4257" spans="1:24" x14ac:dyDescent="0.3">
      <c r="A4257" t="s">
        <v>4325</v>
      </c>
      <c r="B4257" t="s">
        <v>39</v>
      </c>
      <c r="C4257">
        <v>38</v>
      </c>
      <c r="D4257" t="s">
        <v>88</v>
      </c>
      <c r="E4257" t="s">
        <v>40</v>
      </c>
      <c r="F4257" t="s">
        <v>53</v>
      </c>
      <c r="G4257" t="s">
        <v>42</v>
      </c>
      <c r="H4257" t="s">
        <v>34</v>
      </c>
      <c r="I4257" t="s">
        <v>72</v>
      </c>
      <c r="J4257" t="s">
        <v>73</v>
      </c>
      <c r="K4257">
        <v>7</v>
      </c>
      <c r="L4257">
        <v>113148</v>
      </c>
      <c r="M4257" t="s">
        <v>36</v>
      </c>
      <c r="N4257">
        <v>3</v>
      </c>
      <c r="O4257">
        <v>2</v>
      </c>
      <c r="P4257">
        <v>58</v>
      </c>
      <c r="Q4257">
        <v>0</v>
      </c>
      <c r="R4257" s="1">
        <v>42727</v>
      </c>
      <c r="S4257" t="s">
        <v>29</v>
      </c>
      <c r="T4257" t="str">
        <f t="shared" si="330"/>
        <v>Grade A</v>
      </c>
      <c r="U4257">
        <f t="shared" si="331"/>
        <v>1</v>
      </c>
      <c r="V4257" t="str">
        <f t="shared" si="332"/>
        <v>Mid Level</v>
      </c>
      <c r="W4257" t="str">
        <f t="shared" si="333"/>
        <v>Medium Risk</v>
      </c>
      <c r="X4257" t="str">
        <f t="shared" si="334"/>
        <v>Overpaid</v>
      </c>
    </row>
    <row r="4258" spans="1:24" x14ac:dyDescent="0.3">
      <c r="A4258" t="s">
        <v>4326</v>
      </c>
      <c r="B4258" t="s">
        <v>39</v>
      </c>
      <c r="C4258">
        <v>53</v>
      </c>
      <c r="D4258" t="s">
        <v>47</v>
      </c>
      <c r="E4258" t="s">
        <v>40</v>
      </c>
      <c r="F4258" t="s">
        <v>41</v>
      </c>
      <c r="G4258" t="s">
        <v>42</v>
      </c>
      <c r="H4258" t="s">
        <v>34</v>
      </c>
      <c r="I4258" t="s">
        <v>72</v>
      </c>
      <c r="J4258" t="s">
        <v>73</v>
      </c>
      <c r="K4258">
        <v>14</v>
      </c>
      <c r="L4258">
        <v>125598</v>
      </c>
      <c r="M4258" t="s">
        <v>45</v>
      </c>
      <c r="N4258">
        <v>1</v>
      </c>
      <c r="O4258">
        <v>1</v>
      </c>
      <c r="P4258">
        <v>26</v>
      </c>
      <c r="Q4258">
        <v>1</v>
      </c>
      <c r="R4258" s="1">
        <v>40134</v>
      </c>
      <c r="S4258" t="s">
        <v>29</v>
      </c>
      <c r="T4258" t="str">
        <f t="shared" si="330"/>
        <v>Grade A</v>
      </c>
      <c r="U4258">
        <f t="shared" si="331"/>
        <v>2</v>
      </c>
      <c r="V4258" t="str">
        <f t="shared" si="332"/>
        <v>Senior</v>
      </c>
      <c r="W4258" t="str">
        <f t="shared" si="333"/>
        <v>Medium Risk</v>
      </c>
      <c r="X4258" t="str">
        <f t="shared" si="334"/>
        <v>Fair</v>
      </c>
    </row>
    <row r="4259" spans="1:24" x14ac:dyDescent="0.3">
      <c r="A4259" t="s">
        <v>4327</v>
      </c>
      <c r="B4259" t="s">
        <v>39</v>
      </c>
      <c r="C4259">
        <v>33</v>
      </c>
      <c r="D4259" t="s">
        <v>88</v>
      </c>
      <c r="E4259" t="s">
        <v>48</v>
      </c>
      <c r="F4259" t="s">
        <v>41</v>
      </c>
      <c r="G4259" t="s">
        <v>63</v>
      </c>
      <c r="H4259" t="s">
        <v>25</v>
      </c>
      <c r="I4259" t="s">
        <v>59</v>
      </c>
      <c r="J4259" t="s">
        <v>60</v>
      </c>
      <c r="K4259">
        <v>9</v>
      </c>
      <c r="L4259">
        <v>60503</v>
      </c>
      <c r="M4259" t="s">
        <v>45</v>
      </c>
      <c r="N4259">
        <v>3</v>
      </c>
      <c r="O4259">
        <v>3</v>
      </c>
      <c r="P4259">
        <v>79</v>
      </c>
      <c r="Q4259">
        <v>2</v>
      </c>
      <c r="R4259" s="1">
        <v>41791</v>
      </c>
      <c r="S4259" t="s">
        <v>29</v>
      </c>
      <c r="T4259" t="str">
        <f t="shared" si="330"/>
        <v>Grade B</v>
      </c>
      <c r="U4259">
        <f t="shared" si="331"/>
        <v>2</v>
      </c>
      <c r="V4259" t="str">
        <f t="shared" si="332"/>
        <v>Mid Level</v>
      </c>
      <c r="W4259" t="str">
        <f t="shared" si="333"/>
        <v>Medium Risk</v>
      </c>
      <c r="X4259" t="str">
        <f t="shared" si="334"/>
        <v>Fair</v>
      </c>
    </row>
    <row r="4260" spans="1:24" x14ac:dyDescent="0.3">
      <c r="A4260" t="s">
        <v>4328</v>
      </c>
      <c r="B4260" t="s">
        <v>39</v>
      </c>
      <c r="C4260">
        <v>44</v>
      </c>
      <c r="D4260" t="s">
        <v>57</v>
      </c>
      <c r="E4260" t="s">
        <v>22</v>
      </c>
      <c r="F4260" t="s">
        <v>78</v>
      </c>
      <c r="G4260" t="s">
        <v>63</v>
      </c>
      <c r="H4260" t="s">
        <v>25</v>
      </c>
      <c r="I4260" t="s">
        <v>54</v>
      </c>
      <c r="J4260" t="s">
        <v>27</v>
      </c>
      <c r="K4260">
        <v>14</v>
      </c>
      <c r="L4260">
        <v>74359</v>
      </c>
      <c r="M4260" t="s">
        <v>28</v>
      </c>
      <c r="N4260">
        <v>3</v>
      </c>
      <c r="O4260">
        <v>3</v>
      </c>
      <c r="P4260">
        <v>34</v>
      </c>
      <c r="Q4260">
        <v>1</v>
      </c>
      <c r="R4260" s="1">
        <v>40163</v>
      </c>
      <c r="S4260" t="s">
        <v>29</v>
      </c>
      <c r="T4260" t="str">
        <f t="shared" si="330"/>
        <v>Grade B</v>
      </c>
      <c r="U4260">
        <f t="shared" si="331"/>
        <v>3</v>
      </c>
      <c r="V4260" t="str">
        <f t="shared" si="332"/>
        <v>Senior</v>
      </c>
      <c r="W4260" t="str">
        <f t="shared" si="333"/>
        <v>Medium Risk</v>
      </c>
      <c r="X4260" t="str">
        <f t="shared" si="334"/>
        <v>Competitive</v>
      </c>
    </row>
    <row r="4261" spans="1:24" x14ac:dyDescent="0.3">
      <c r="A4261" t="s">
        <v>4329</v>
      </c>
      <c r="B4261" t="s">
        <v>20</v>
      </c>
      <c r="C4261">
        <v>33</v>
      </c>
      <c r="D4261" t="s">
        <v>88</v>
      </c>
      <c r="E4261" t="s">
        <v>40</v>
      </c>
      <c r="F4261" t="s">
        <v>23</v>
      </c>
      <c r="G4261" t="s">
        <v>79</v>
      </c>
      <c r="H4261" t="s">
        <v>34</v>
      </c>
      <c r="I4261" t="s">
        <v>54</v>
      </c>
      <c r="J4261" t="s">
        <v>27</v>
      </c>
      <c r="K4261">
        <v>12</v>
      </c>
      <c r="L4261">
        <v>67962</v>
      </c>
      <c r="M4261" t="s">
        <v>51</v>
      </c>
      <c r="N4261">
        <v>2</v>
      </c>
      <c r="O4261">
        <v>3</v>
      </c>
      <c r="P4261">
        <v>65</v>
      </c>
      <c r="Q4261">
        <v>0</v>
      </c>
      <c r="R4261" s="1">
        <v>40547</v>
      </c>
      <c r="S4261" t="s">
        <v>37</v>
      </c>
      <c r="T4261" t="str">
        <f t="shared" si="330"/>
        <v>Grade B</v>
      </c>
      <c r="U4261">
        <f t="shared" si="331"/>
        <v>4</v>
      </c>
      <c r="V4261" t="str">
        <f t="shared" si="332"/>
        <v>Senior</v>
      </c>
      <c r="W4261" t="str">
        <f t="shared" si="333"/>
        <v>Already Left</v>
      </c>
      <c r="X4261" t="str">
        <f t="shared" si="334"/>
        <v>Fair</v>
      </c>
    </row>
    <row r="4262" spans="1:24" x14ac:dyDescent="0.3">
      <c r="A4262" t="s">
        <v>4330</v>
      </c>
      <c r="B4262" t="s">
        <v>20</v>
      </c>
      <c r="C4262">
        <v>38</v>
      </c>
      <c r="D4262" t="s">
        <v>88</v>
      </c>
      <c r="E4262" t="s">
        <v>40</v>
      </c>
      <c r="F4262" t="s">
        <v>75</v>
      </c>
      <c r="G4262" t="s">
        <v>79</v>
      </c>
      <c r="H4262" t="s">
        <v>83</v>
      </c>
      <c r="I4262" t="s">
        <v>59</v>
      </c>
      <c r="J4262" t="s">
        <v>60</v>
      </c>
      <c r="K4262">
        <v>13</v>
      </c>
      <c r="L4262">
        <v>56276</v>
      </c>
      <c r="M4262" t="s">
        <v>45</v>
      </c>
      <c r="N4262">
        <v>2</v>
      </c>
      <c r="O4262">
        <v>1</v>
      </c>
      <c r="P4262">
        <v>29</v>
      </c>
      <c r="Q4262">
        <v>0</v>
      </c>
      <c r="R4262" s="1">
        <v>40443</v>
      </c>
      <c r="S4262" t="s">
        <v>37</v>
      </c>
      <c r="T4262" t="str">
        <f t="shared" si="330"/>
        <v>Grade B</v>
      </c>
      <c r="U4262">
        <f t="shared" si="331"/>
        <v>2</v>
      </c>
      <c r="V4262" t="str">
        <f t="shared" si="332"/>
        <v>Senior</v>
      </c>
      <c r="W4262" t="str">
        <f t="shared" si="333"/>
        <v>Already Left</v>
      </c>
      <c r="X4262" t="str">
        <f t="shared" si="334"/>
        <v>Fair</v>
      </c>
    </row>
    <row r="4263" spans="1:24" x14ac:dyDescent="0.3">
      <c r="A4263" t="s">
        <v>4331</v>
      </c>
      <c r="B4263" t="s">
        <v>20</v>
      </c>
      <c r="C4263">
        <v>27</v>
      </c>
      <c r="D4263" t="s">
        <v>31</v>
      </c>
      <c r="E4263" t="s">
        <v>48</v>
      </c>
      <c r="F4263" t="s">
        <v>75</v>
      </c>
      <c r="G4263" t="s">
        <v>58</v>
      </c>
      <c r="H4263" t="s">
        <v>34</v>
      </c>
      <c r="I4263" t="s">
        <v>54</v>
      </c>
      <c r="J4263" t="s">
        <v>27</v>
      </c>
      <c r="K4263">
        <v>1</v>
      </c>
      <c r="L4263">
        <v>93257</v>
      </c>
      <c r="M4263" t="s">
        <v>36</v>
      </c>
      <c r="N4263">
        <v>3</v>
      </c>
      <c r="O4263">
        <v>4</v>
      </c>
      <c r="P4263">
        <v>27</v>
      </c>
      <c r="Q4263">
        <v>1</v>
      </c>
      <c r="R4263" s="1">
        <v>44760</v>
      </c>
      <c r="S4263" t="s">
        <v>29</v>
      </c>
      <c r="T4263" t="str">
        <f t="shared" si="330"/>
        <v>Grade A</v>
      </c>
      <c r="U4263">
        <f t="shared" si="331"/>
        <v>1</v>
      </c>
      <c r="V4263" t="str">
        <f t="shared" si="332"/>
        <v>New Joiner</v>
      </c>
      <c r="W4263" t="str">
        <f t="shared" si="333"/>
        <v>High Risk</v>
      </c>
      <c r="X4263" t="str">
        <f t="shared" si="334"/>
        <v>Overpaid</v>
      </c>
    </row>
    <row r="4264" spans="1:24" x14ac:dyDescent="0.3">
      <c r="A4264" t="s">
        <v>4332</v>
      </c>
      <c r="B4264" t="s">
        <v>20</v>
      </c>
      <c r="C4264">
        <v>22</v>
      </c>
      <c r="D4264" t="s">
        <v>88</v>
      </c>
      <c r="E4264" t="s">
        <v>48</v>
      </c>
      <c r="F4264" t="s">
        <v>62</v>
      </c>
      <c r="G4264" t="s">
        <v>63</v>
      </c>
      <c r="H4264" t="s">
        <v>76</v>
      </c>
      <c r="I4264" t="s">
        <v>54</v>
      </c>
      <c r="J4264" t="s">
        <v>27</v>
      </c>
      <c r="K4264">
        <v>5</v>
      </c>
      <c r="L4264">
        <v>47062</v>
      </c>
      <c r="M4264" t="s">
        <v>36</v>
      </c>
      <c r="N4264">
        <v>1</v>
      </c>
      <c r="O4264">
        <v>1</v>
      </c>
      <c r="P4264">
        <v>50</v>
      </c>
      <c r="Q4264">
        <v>0</v>
      </c>
      <c r="R4264" s="1">
        <v>43234</v>
      </c>
      <c r="S4264" t="s">
        <v>37</v>
      </c>
      <c r="T4264" t="str">
        <f t="shared" si="330"/>
        <v>Grade C</v>
      </c>
      <c r="U4264">
        <f t="shared" si="331"/>
        <v>1</v>
      </c>
      <c r="V4264" t="str">
        <f t="shared" si="332"/>
        <v>Junior</v>
      </c>
      <c r="W4264" t="str">
        <f t="shared" si="333"/>
        <v>Already Left</v>
      </c>
      <c r="X4264" t="str">
        <f t="shared" si="334"/>
        <v>Fair</v>
      </c>
    </row>
    <row r="4265" spans="1:24" x14ac:dyDescent="0.3">
      <c r="A4265" t="s">
        <v>4333</v>
      </c>
      <c r="B4265" t="s">
        <v>20</v>
      </c>
      <c r="C4265">
        <v>28</v>
      </c>
      <c r="D4265" t="s">
        <v>21</v>
      </c>
      <c r="E4265" t="s">
        <v>22</v>
      </c>
      <c r="F4265" t="s">
        <v>75</v>
      </c>
      <c r="G4265" t="s">
        <v>24</v>
      </c>
      <c r="H4265" t="s">
        <v>83</v>
      </c>
      <c r="I4265" t="s">
        <v>72</v>
      </c>
      <c r="J4265" t="s">
        <v>73</v>
      </c>
      <c r="K4265">
        <v>14</v>
      </c>
      <c r="L4265">
        <v>105771</v>
      </c>
      <c r="M4265" t="s">
        <v>28</v>
      </c>
      <c r="N4265">
        <v>1</v>
      </c>
      <c r="O4265">
        <v>3</v>
      </c>
      <c r="P4265">
        <v>41</v>
      </c>
      <c r="Q4265">
        <v>0</v>
      </c>
      <c r="R4265" s="1">
        <v>40114</v>
      </c>
      <c r="S4265" t="s">
        <v>29</v>
      </c>
      <c r="T4265" t="str">
        <f t="shared" si="330"/>
        <v>Grade A</v>
      </c>
      <c r="U4265">
        <f t="shared" si="331"/>
        <v>3</v>
      </c>
      <c r="V4265" t="str">
        <f t="shared" si="332"/>
        <v>Senior</v>
      </c>
      <c r="W4265" t="str">
        <f t="shared" si="333"/>
        <v>Medium Risk</v>
      </c>
      <c r="X4265" t="str">
        <f t="shared" si="334"/>
        <v>Competitive</v>
      </c>
    </row>
    <row r="4266" spans="1:24" x14ac:dyDescent="0.3">
      <c r="A4266" t="s">
        <v>4334</v>
      </c>
      <c r="B4266" t="s">
        <v>20</v>
      </c>
      <c r="C4266">
        <v>52</v>
      </c>
      <c r="D4266" t="s">
        <v>57</v>
      </c>
      <c r="E4266" t="s">
        <v>40</v>
      </c>
      <c r="F4266" t="s">
        <v>78</v>
      </c>
      <c r="G4266" t="s">
        <v>58</v>
      </c>
      <c r="H4266" t="s">
        <v>83</v>
      </c>
      <c r="I4266" t="s">
        <v>35</v>
      </c>
      <c r="J4266" t="s">
        <v>27</v>
      </c>
      <c r="K4266">
        <v>4</v>
      </c>
      <c r="L4266">
        <v>88315</v>
      </c>
      <c r="M4266" t="s">
        <v>28</v>
      </c>
      <c r="N4266">
        <v>4</v>
      </c>
      <c r="O4266">
        <v>4</v>
      </c>
      <c r="P4266">
        <v>10</v>
      </c>
      <c r="Q4266">
        <v>3</v>
      </c>
      <c r="R4266" s="1">
        <v>43622</v>
      </c>
      <c r="S4266" t="s">
        <v>29</v>
      </c>
      <c r="T4266" t="str">
        <f t="shared" si="330"/>
        <v>Grade A</v>
      </c>
      <c r="U4266">
        <f t="shared" si="331"/>
        <v>3</v>
      </c>
      <c r="V4266" t="str">
        <f t="shared" si="332"/>
        <v>Junior</v>
      </c>
      <c r="W4266" t="str">
        <f t="shared" si="333"/>
        <v>Medium Risk</v>
      </c>
      <c r="X4266" t="str">
        <f t="shared" si="334"/>
        <v>Competitive</v>
      </c>
    </row>
    <row r="4267" spans="1:24" x14ac:dyDescent="0.3">
      <c r="A4267" t="s">
        <v>4335</v>
      </c>
      <c r="B4267" t="s">
        <v>39</v>
      </c>
      <c r="C4267">
        <v>49</v>
      </c>
      <c r="D4267" t="s">
        <v>57</v>
      </c>
      <c r="E4267" t="s">
        <v>22</v>
      </c>
      <c r="F4267" t="s">
        <v>41</v>
      </c>
      <c r="G4267" t="s">
        <v>79</v>
      </c>
      <c r="H4267" t="s">
        <v>83</v>
      </c>
      <c r="I4267" t="s">
        <v>80</v>
      </c>
      <c r="J4267" t="s">
        <v>60</v>
      </c>
      <c r="K4267">
        <v>10</v>
      </c>
      <c r="L4267">
        <v>50251</v>
      </c>
      <c r="M4267" t="s">
        <v>51</v>
      </c>
      <c r="N4267">
        <v>2</v>
      </c>
      <c r="O4267">
        <v>3</v>
      </c>
      <c r="P4267">
        <v>77</v>
      </c>
      <c r="Q4267">
        <v>2</v>
      </c>
      <c r="R4267" s="1">
        <v>41307</v>
      </c>
      <c r="S4267" t="s">
        <v>29</v>
      </c>
      <c r="T4267" t="str">
        <f t="shared" si="330"/>
        <v>Grade B</v>
      </c>
      <c r="U4267">
        <f t="shared" si="331"/>
        <v>4</v>
      </c>
      <c r="V4267" t="str">
        <f t="shared" si="332"/>
        <v>Mid Level</v>
      </c>
      <c r="W4267" t="str">
        <f t="shared" si="333"/>
        <v>Low Risk</v>
      </c>
      <c r="X4267" t="str">
        <f t="shared" si="334"/>
        <v>Fair</v>
      </c>
    </row>
    <row r="4268" spans="1:24" x14ac:dyDescent="0.3">
      <c r="A4268" t="s">
        <v>4336</v>
      </c>
      <c r="B4268" t="s">
        <v>39</v>
      </c>
      <c r="C4268">
        <v>50</v>
      </c>
      <c r="D4268" t="s">
        <v>21</v>
      </c>
      <c r="E4268" t="s">
        <v>40</v>
      </c>
      <c r="F4268" t="s">
        <v>41</v>
      </c>
      <c r="G4268" t="s">
        <v>49</v>
      </c>
      <c r="H4268" t="s">
        <v>25</v>
      </c>
      <c r="I4268" t="s">
        <v>72</v>
      </c>
      <c r="J4268" t="s">
        <v>73</v>
      </c>
      <c r="K4268">
        <v>1</v>
      </c>
      <c r="L4268">
        <v>50461</v>
      </c>
      <c r="M4268" t="s">
        <v>36</v>
      </c>
      <c r="N4268">
        <v>1</v>
      </c>
      <c r="O4268">
        <v>1</v>
      </c>
      <c r="P4268">
        <v>39</v>
      </c>
      <c r="Q4268">
        <v>2</v>
      </c>
      <c r="R4268" s="1">
        <v>44634</v>
      </c>
      <c r="S4268" t="s">
        <v>37</v>
      </c>
      <c r="T4268" t="str">
        <f t="shared" si="330"/>
        <v>Grade B</v>
      </c>
      <c r="U4268">
        <f t="shared" si="331"/>
        <v>1</v>
      </c>
      <c r="V4268" t="str">
        <f t="shared" si="332"/>
        <v>New Joiner</v>
      </c>
      <c r="W4268" t="str">
        <f t="shared" si="333"/>
        <v>Already Left</v>
      </c>
      <c r="X4268" t="str">
        <f t="shared" si="334"/>
        <v>Fair</v>
      </c>
    </row>
    <row r="4269" spans="1:24" x14ac:dyDescent="0.3">
      <c r="A4269" t="s">
        <v>4337</v>
      </c>
      <c r="B4269" t="s">
        <v>39</v>
      </c>
      <c r="C4269">
        <v>53</v>
      </c>
      <c r="D4269" t="s">
        <v>31</v>
      </c>
      <c r="E4269" t="s">
        <v>48</v>
      </c>
      <c r="F4269" t="s">
        <v>23</v>
      </c>
      <c r="G4269" t="s">
        <v>49</v>
      </c>
      <c r="H4269" t="s">
        <v>25</v>
      </c>
      <c r="I4269" t="s">
        <v>96</v>
      </c>
      <c r="J4269" t="s">
        <v>44</v>
      </c>
      <c r="K4269">
        <v>11</v>
      </c>
      <c r="L4269">
        <v>72094</v>
      </c>
      <c r="M4269" t="s">
        <v>28</v>
      </c>
      <c r="N4269">
        <v>3</v>
      </c>
      <c r="O4269">
        <v>1</v>
      </c>
      <c r="P4269">
        <v>64</v>
      </c>
      <c r="Q4269">
        <v>1</v>
      </c>
      <c r="R4269" s="1">
        <v>41134</v>
      </c>
      <c r="S4269" t="s">
        <v>29</v>
      </c>
      <c r="T4269" t="str">
        <f t="shared" si="330"/>
        <v>Grade B</v>
      </c>
      <c r="U4269">
        <f t="shared" si="331"/>
        <v>3</v>
      </c>
      <c r="V4269" t="str">
        <f t="shared" si="332"/>
        <v>Senior</v>
      </c>
      <c r="W4269" t="str">
        <f t="shared" si="333"/>
        <v>Medium Risk</v>
      </c>
      <c r="X4269" t="str">
        <f t="shared" si="334"/>
        <v>Competitive</v>
      </c>
    </row>
    <row r="4270" spans="1:24" x14ac:dyDescent="0.3">
      <c r="A4270" t="s">
        <v>4338</v>
      </c>
      <c r="B4270" t="s">
        <v>39</v>
      </c>
      <c r="C4270">
        <v>38</v>
      </c>
      <c r="D4270" t="s">
        <v>21</v>
      </c>
      <c r="E4270" t="s">
        <v>22</v>
      </c>
      <c r="F4270" t="s">
        <v>65</v>
      </c>
      <c r="G4270" t="s">
        <v>63</v>
      </c>
      <c r="H4270" t="s">
        <v>67</v>
      </c>
      <c r="I4270" t="s">
        <v>43</v>
      </c>
      <c r="J4270" t="s">
        <v>44</v>
      </c>
      <c r="K4270">
        <v>9</v>
      </c>
      <c r="L4270">
        <v>59717</v>
      </c>
      <c r="M4270" t="s">
        <v>28</v>
      </c>
      <c r="N4270">
        <v>3</v>
      </c>
      <c r="O4270">
        <v>2</v>
      </c>
      <c r="P4270">
        <v>55</v>
      </c>
      <c r="Q4270">
        <v>3</v>
      </c>
      <c r="R4270" s="1">
        <v>41709</v>
      </c>
      <c r="S4270" t="s">
        <v>29</v>
      </c>
      <c r="T4270" t="str">
        <f t="shared" si="330"/>
        <v>Grade B</v>
      </c>
      <c r="U4270">
        <f t="shared" si="331"/>
        <v>3</v>
      </c>
      <c r="V4270" t="str">
        <f t="shared" si="332"/>
        <v>Mid Level</v>
      </c>
      <c r="W4270" t="str">
        <f t="shared" si="333"/>
        <v>Medium Risk</v>
      </c>
      <c r="X4270" t="str">
        <f t="shared" si="334"/>
        <v>Competitive</v>
      </c>
    </row>
    <row r="4271" spans="1:24" x14ac:dyDescent="0.3">
      <c r="A4271" t="s">
        <v>4339</v>
      </c>
      <c r="B4271" t="s">
        <v>39</v>
      </c>
      <c r="C4271">
        <v>23</v>
      </c>
      <c r="D4271" t="s">
        <v>31</v>
      </c>
      <c r="E4271" t="s">
        <v>48</v>
      </c>
      <c r="F4271" t="s">
        <v>41</v>
      </c>
      <c r="G4271" t="s">
        <v>63</v>
      </c>
      <c r="H4271" t="s">
        <v>76</v>
      </c>
      <c r="I4271" t="s">
        <v>80</v>
      </c>
      <c r="J4271" t="s">
        <v>60</v>
      </c>
      <c r="K4271">
        <v>1</v>
      </c>
      <c r="L4271">
        <v>46727</v>
      </c>
      <c r="M4271" t="s">
        <v>45</v>
      </c>
      <c r="N4271">
        <v>1</v>
      </c>
      <c r="O4271">
        <v>4</v>
      </c>
      <c r="P4271">
        <v>64</v>
      </c>
      <c r="Q4271">
        <v>2</v>
      </c>
      <c r="R4271" s="1">
        <v>44566</v>
      </c>
      <c r="S4271" t="s">
        <v>29</v>
      </c>
      <c r="T4271" t="str">
        <f t="shared" si="330"/>
        <v>Grade C</v>
      </c>
      <c r="U4271">
        <f t="shared" si="331"/>
        <v>2</v>
      </c>
      <c r="V4271" t="str">
        <f t="shared" si="332"/>
        <v>New Joiner</v>
      </c>
      <c r="W4271" t="str">
        <f t="shared" si="333"/>
        <v>Medium Risk</v>
      </c>
      <c r="X4271" t="str">
        <f t="shared" si="334"/>
        <v>Fair</v>
      </c>
    </row>
    <row r="4272" spans="1:24" x14ac:dyDescent="0.3">
      <c r="A4272" t="s">
        <v>4340</v>
      </c>
      <c r="B4272" t="s">
        <v>20</v>
      </c>
      <c r="C4272">
        <v>37</v>
      </c>
      <c r="D4272" t="s">
        <v>88</v>
      </c>
      <c r="E4272" t="s">
        <v>22</v>
      </c>
      <c r="F4272" t="s">
        <v>62</v>
      </c>
      <c r="G4272" t="s">
        <v>24</v>
      </c>
      <c r="H4272" t="s">
        <v>34</v>
      </c>
      <c r="I4272" t="s">
        <v>26</v>
      </c>
      <c r="J4272" t="s">
        <v>27</v>
      </c>
      <c r="K4272">
        <v>7</v>
      </c>
      <c r="L4272">
        <v>93945</v>
      </c>
      <c r="M4272" t="s">
        <v>28</v>
      </c>
      <c r="N4272">
        <v>1</v>
      </c>
      <c r="O4272">
        <v>1</v>
      </c>
      <c r="P4272">
        <v>28</v>
      </c>
      <c r="Q4272">
        <v>1</v>
      </c>
      <c r="R4272" s="1">
        <v>42564</v>
      </c>
      <c r="S4272" t="s">
        <v>29</v>
      </c>
      <c r="T4272" t="str">
        <f t="shared" si="330"/>
        <v>Grade A</v>
      </c>
      <c r="U4272">
        <f t="shared" si="331"/>
        <v>3</v>
      </c>
      <c r="V4272" t="str">
        <f t="shared" si="332"/>
        <v>Mid Level</v>
      </c>
      <c r="W4272" t="str">
        <f t="shared" si="333"/>
        <v>Medium Risk</v>
      </c>
      <c r="X4272" t="str">
        <f t="shared" si="334"/>
        <v>Competitive</v>
      </c>
    </row>
    <row r="4273" spans="1:24" x14ac:dyDescent="0.3">
      <c r="A4273" t="s">
        <v>4341</v>
      </c>
      <c r="B4273" t="s">
        <v>20</v>
      </c>
      <c r="C4273">
        <v>53</v>
      </c>
      <c r="D4273" t="s">
        <v>47</v>
      </c>
      <c r="E4273" t="s">
        <v>22</v>
      </c>
      <c r="F4273" t="s">
        <v>41</v>
      </c>
      <c r="G4273" t="s">
        <v>79</v>
      </c>
      <c r="H4273" t="s">
        <v>83</v>
      </c>
      <c r="I4273" t="s">
        <v>80</v>
      </c>
      <c r="J4273" t="s">
        <v>60</v>
      </c>
      <c r="K4273">
        <v>8</v>
      </c>
      <c r="L4273">
        <v>58047</v>
      </c>
      <c r="M4273" t="s">
        <v>36</v>
      </c>
      <c r="N4273">
        <v>4</v>
      </c>
      <c r="O4273">
        <v>3</v>
      </c>
      <c r="P4273">
        <v>30</v>
      </c>
      <c r="Q4273">
        <v>0</v>
      </c>
      <c r="R4273" s="1">
        <v>42274</v>
      </c>
      <c r="S4273" t="s">
        <v>29</v>
      </c>
      <c r="T4273" t="str">
        <f t="shared" si="330"/>
        <v>Grade B</v>
      </c>
      <c r="U4273">
        <f t="shared" si="331"/>
        <v>1</v>
      </c>
      <c r="V4273" t="str">
        <f t="shared" si="332"/>
        <v>Mid Level</v>
      </c>
      <c r="W4273" t="str">
        <f t="shared" si="333"/>
        <v>Medium Risk</v>
      </c>
      <c r="X4273" t="str">
        <f t="shared" si="334"/>
        <v>Fair</v>
      </c>
    </row>
    <row r="4274" spans="1:24" x14ac:dyDescent="0.3">
      <c r="A4274" t="s">
        <v>4342</v>
      </c>
      <c r="B4274" t="s">
        <v>20</v>
      </c>
      <c r="C4274">
        <v>22</v>
      </c>
      <c r="D4274" t="s">
        <v>88</v>
      </c>
      <c r="E4274" t="s">
        <v>40</v>
      </c>
      <c r="F4274" t="s">
        <v>65</v>
      </c>
      <c r="G4274" t="s">
        <v>24</v>
      </c>
      <c r="H4274" t="s">
        <v>67</v>
      </c>
      <c r="I4274" t="s">
        <v>26</v>
      </c>
      <c r="J4274" t="s">
        <v>27</v>
      </c>
      <c r="K4274">
        <v>13</v>
      </c>
      <c r="L4274">
        <v>105200</v>
      </c>
      <c r="M4274" t="s">
        <v>51</v>
      </c>
      <c r="N4274">
        <v>4</v>
      </c>
      <c r="O4274">
        <v>1</v>
      </c>
      <c r="P4274">
        <v>70</v>
      </c>
      <c r="Q4274">
        <v>1</v>
      </c>
      <c r="R4274" s="1">
        <v>40426</v>
      </c>
      <c r="S4274" t="s">
        <v>29</v>
      </c>
      <c r="T4274" t="str">
        <f t="shared" si="330"/>
        <v>Grade A</v>
      </c>
      <c r="U4274">
        <f t="shared" si="331"/>
        <v>4</v>
      </c>
      <c r="V4274" t="str">
        <f t="shared" si="332"/>
        <v>Senior</v>
      </c>
      <c r="W4274" t="str">
        <f t="shared" si="333"/>
        <v>Low Risk</v>
      </c>
      <c r="X4274" t="str">
        <f t="shared" si="334"/>
        <v>Competitive</v>
      </c>
    </row>
    <row r="4275" spans="1:24" x14ac:dyDescent="0.3">
      <c r="A4275" t="s">
        <v>4343</v>
      </c>
      <c r="B4275" t="s">
        <v>20</v>
      </c>
      <c r="C4275">
        <v>55</v>
      </c>
      <c r="D4275" t="s">
        <v>57</v>
      </c>
      <c r="E4275" t="s">
        <v>22</v>
      </c>
      <c r="F4275" t="s">
        <v>65</v>
      </c>
      <c r="G4275" t="s">
        <v>79</v>
      </c>
      <c r="H4275" t="s">
        <v>25</v>
      </c>
      <c r="I4275" t="s">
        <v>54</v>
      </c>
      <c r="J4275" t="s">
        <v>27</v>
      </c>
      <c r="K4275">
        <v>4</v>
      </c>
      <c r="L4275">
        <v>38770</v>
      </c>
      <c r="M4275" t="s">
        <v>51</v>
      </c>
      <c r="N4275">
        <v>3</v>
      </c>
      <c r="O4275">
        <v>3</v>
      </c>
      <c r="P4275">
        <v>22</v>
      </c>
      <c r="Q4275">
        <v>1</v>
      </c>
      <c r="R4275" s="1">
        <v>43510</v>
      </c>
      <c r="S4275" t="s">
        <v>29</v>
      </c>
      <c r="T4275" t="str">
        <f t="shared" si="330"/>
        <v>Grade C</v>
      </c>
      <c r="U4275">
        <f t="shared" si="331"/>
        <v>4</v>
      </c>
      <c r="V4275" t="str">
        <f t="shared" si="332"/>
        <v>Junior</v>
      </c>
      <c r="W4275" t="str">
        <f t="shared" si="333"/>
        <v>Low Risk</v>
      </c>
      <c r="X4275" t="str">
        <f t="shared" si="334"/>
        <v>Fair</v>
      </c>
    </row>
    <row r="4276" spans="1:24" x14ac:dyDescent="0.3">
      <c r="A4276" t="s">
        <v>4344</v>
      </c>
      <c r="B4276" t="s">
        <v>20</v>
      </c>
      <c r="C4276">
        <v>53</v>
      </c>
      <c r="D4276" t="s">
        <v>21</v>
      </c>
      <c r="E4276" t="s">
        <v>40</v>
      </c>
      <c r="F4276" t="s">
        <v>23</v>
      </c>
      <c r="G4276" t="s">
        <v>33</v>
      </c>
      <c r="H4276" t="s">
        <v>76</v>
      </c>
      <c r="I4276" t="s">
        <v>59</v>
      </c>
      <c r="J4276" t="s">
        <v>60</v>
      </c>
      <c r="K4276">
        <v>7</v>
      </c>
      <c r="L4276">
        <v>73886</v>
      </c>
      <c r="M4276" t="s">
        <v>45</v>
      </c>
      <c r="N4276">
        <v>4</v>
      </c>
      <c r="O4276">
        <v>3</v>
      </c>
      <c r="P4276">
        <v>29</v>
      </c>
      <c r="Q4276">
        <v>1</v>
      </c>
      <c r="R4276" s="1">
        <v>42610</v>
      </c>
      <c r="S4276" t="s">
        <v>29</v>
      </c>
      <c r="T4276" t="str">
        <f t="shared" si="330"/>
        <v>Grade B</v>
      </c>
      <c r="U4276">
        <f t="shared" si="331"/>
        <v>2</v>
      </c>
      <c r="V4276" t="str">
        <f t="shared" si="332"/>
        <v>Mid Level</v>
      </c>
      <c r="W4276" t="str">
        <f t="shared" si="333"/>
        <v>Medium Risk</v>
      </c>
      <c r="X4276" t="str">
        <f t="shared" si="334"/>
        <v>Fair</v>
      </c>
    </row>
    <row r="4277" spans="1:24" x14ac:dyDescent="0.3">
      <c r="A4277" t="s">
        <v>4345</v>
      </c>
      <c r="B4277" t="s">
        <v>39</v>
      </c>
      <c r="C4277">
        <v>26</v>
      </c>
      <c r="D4277" t="s">
        <v>88</v>
      </c>
      <c r="E4277" t="s">
        <v>22</v>
      </c>
      <c r="F4277" t="s">
        <v>75</v>
      </c>
      <c r="G4277" t="s">
        <v>63</v>
      </c>
      <c r="H4277" t="s">
        <v>67</v>
      </c>
      <c r="I4277" t="s">
        <v>72</v>
      </c>
      <c r="J4277" t="s">
        <v>73</v>
      </c>
      <c r="K4277">
        <v>2</v>
      </c>
      <c r="L4277">
        <v>39935</v>
      </c>
      <c r="M4277" t="s">
        <v>45</v>
      </c>
      <c r="N4277">
        <v>3</v>
      </c>
      <c r="O4277">
        <v>3</v>
      </c>
      <c r="P4277">
        <v>26</v>
      </c>
      <c r="Q4277">
        <v>1</v>
      </c>
      <c r="R4277" s="1">
        <v>44506</v>
      </c>
      <c r="S4277" t="s">
        <v>29</v>
      </c>
      <c r="T4277" t="str">
        <f t="shared" si="330"/>
        <v>Grade C</v>
      </c>
      <c r="U4277">
        <f t="shared" si="331"/>
        <v>2</v>
      </c>
      <c r="V4277" t="str">
        <f t="shared" si="332"/>
        <v>New Joiner</v>
      </c>
      <c r="W4277" t="str">
        <f t="shared" si="333"/>
        <v>Medium Risk</v>
      </c>
      <c r="X4277" t="str">
        <f t="shared" si="334"/>
        <v>Fair</v>
      </c>
    </row>
    <row r="4278" spans="1:24" x14ac:dyDescent="0.3">
      <c r="A4278" t="s">
        <v>4346</v>
      </c>
      <c r="B4278" t="s">
        <v>20</v>
      </c>
      <c r="C4278">
        <v>39</v>
      </c>
      <c r="D4278" t="s">
        <v>21</v>
      </c>
      <c r="E4278" t="s">
        <v>48</v>
      </c>
      <c r="F4278" t="s">
        <v>41</v>
      </c>
      <c r="G4278" t="s">
        <v>42</v>
      </c>
      <c r="H4278" t="s">
        <v>25</v>
      </c>
      <c r="I4278" t="s">
        <v>35</v>
      </c>
      <c r="J4278" t="s">
        <v>27</v>
      </c>
      <c r="K4278">
        <v>14</v>
      </c>
      <c r="L4278">
        <v>114858</v>
      </c>
      <c r="M4278" t="s">
        <v>45</v>
      </c>
      <c r="N4278">
        <v>3</v>
      </c>
      <c r="O4278">
        <v>4</v>
      </c>
      <c r="P4278">
        <v>42</v>
      </c>
      <c r="Q4278">
        <v>1</v>
      </c>
      <c r="R4278" s="1">
        <v>40112</v>
      </c>
      <c r="S4278" t="s">
        <v>29</v>
      </c>
      <c r="T4278" t="str">
        <f t="shared" si="330"/>
        <v>Grade A</v>
      </c>
      <c r="U4278">
        <f t="shared" si="331"/>
        <v>2</v>
      </c>
      <c r="V4278" t="str">
        <f t="shared" si="332"/>
        <v>Senior</v>
      </c>
      <c r="W4278" t="str">
        <f t="shared" si="333"/>
        <v>Medium Risk</v>
      </c>
      <c r="X4278" t="str">
        <f t="shared" si="334"/>
        <v>Fair</v>
      </c>
    </row>
    <row r="4279" spans="1:24" x14ac:dyDescent="0.3">
      <c r="A4279" t="s">
        <v>4347</v>
      </c>
      <c r="B4279" t="s">
        <v>39</v>
      </c>
      <c r="C4279">
        <v>22</v>
      </c>
      <c r="D4279" t="s">
        <v>57</v>
      </c>
      <c r="E4279" t="s">
        <v>48</v>
      </c>
      <c r="F4279" t="s">
        <v>65</v>
      </c>
      <c r="G4279" t="s">
        <v>24</v>
      </c>
      <c r="H4279" t="s">
        <v>25</v>
      </c>
      <c r="I4279" t="s">
        <v>68</v>
      </c>
      <c r="J4279" t="s">
        <v>60</v>
      </c>
      <c r="K4279">
        <v>14</v>
      </c>
      <c r="L4279">
        <v>109363</v>
      </c>
      <c r="M4279" t="s">
        <v>28</v>
      </c>
      <c r="N4279">
        <v>3</v>
      </c>
      <c r="O4279">
        <v>1</v>
      </c>
      <c r="P4279">
        <v>23</v>
      </c>
      <c r="Q4279">
        <v>2</v>
      </c>
      <c r="R4279" s="1">
        <v>39863</v>
      </c>
      <c r="S4279" t="s">
        <v>37</v>
      </c>
      <c r="T4279" t="str">
        <f t="shared" si="330"/>
        <v>Grade A</v>
      </c>
      <c r="U4279">
        <f t="shared" si="331"/>
        <v>3</v>
      </c>
      <c r="V4279" t="str">
        <f t="shared" si="332"/>
        <v>Senior</v>
      </c>
      <c r="W4279" t="str">
        <f t="shared" si="333"/>
        <v>Already Left</v>
      </c>
      <c r="X4279" t="str">
        <f t="shared" si="334"/>
        <v>Competitive</v>
      </c>
    </row>
    <row r="4280" spans="1:24" x14ac:dyDescent="0.3">
      <c r="A4280" t="s">
        <v>4348</v>
      </c>
      <c r="B4280" t="s">
        <v>39</v>
      </c>
      <c r="C4280">
        <v>55</v>
      </c>
      <c r="D4280" t="s">
        <v>21</v>
      </c>
      <c r="E4280" t="s">
        <v>22</v>
      </c>
      <c r="F4280" t="s">
        <v>75</v>
      </c>
      <c r="G4280" t="s">
        <v>49</v>
      </c>
      <c r="H4280" t="s">
        <v>67</v>
      </c>
      <c r="I4280" t="s">
        <v>35</v>
      </c>
      <c r="J4280" t="s">
        <v>27</v>
      </c>
      <c r="K4280">
        <v>9</v>
      </c>
      <c r="L4280">
        <v>62297</v>
      </c>
      <c r="M4280" t="s">
        <v>36</v>
      </c>
      <c r="N4280">
        <v>1</v>
      </c>
      <c r="O4280">
        <v>4</v>
      </c>
      <c r="P4280">
        <v>65</v>
      </c>
      <c r="Q4280">
        <v>0</v>
      </c>
      <c r="R4280" s="1">
        <v>41842</v>
      </c>
      <c r="S4280" t="s">
        <v>37</v>
      </c>
      <c r="T4280" t="str">
        <f t="shared" si="330"/>
        <v>Grade B</v>
      </c>
      <c r="U4280">
        <f t="shared" si="331"/>
        <v>1</v>
      </c>
      <c r="V4280" t="str">
        <f t="shared" si="332"/>
        <v>Mid Level</v>
      </c>
      <c r="W4280" t="str">
        <f t="shared" si="333"/>
        <v>Already Left</v>
      </c>
      <c r="X4280" t="str">
        <f t="shared" si="334"/>
        <v>Fair</v>
      </c>
    </row>
    <row r="4281" spans="1:24" x14ac:dyDescent="0.3">
      <c r="A4281" t="s">
        <v>4349</v>
      </c>
      <c r="B4281" t="s">
        <v>39</v>
      </c>
      <c r="C4281">
        <v>52</v>
      </c>
      <c r="D4281" t="s">
        <v>47</v>
      </c>
      <c r="E4281" t="s">
        <v>22</v>
      </c>
      <c r="F4281" t="s">
        <v>23</v>
      </c>
      <c r="G4281" t="s">
        <v>63</v>
      </c>
      <c r="H4281" t="s">
        <v>83</v>
      </c>
      <c r="I4281" t="s">
        <v>80</v>
      </c>
      <c r="J4281" t="s">
        <v>60</v>
      </c>
      <c r="K4281">
        <v>12</v>
      </c>
      <c r="L4281">
        <v>76760</v>
      </c>
      <c r="M4281" t="s">
        <v>28</v>
      </c>
      <c r="N4281">
        <v>3</v>
      </c>
      <c r="O4281">
        <v>1</v>
      </c>
      <c r="P4281">
        <v>78</v>
      </c>
      <c r="Q4281">
        <v>2</v>
      </c>
      <c r="R4281" s="1">
        <v>40891</v>
      </c>
      <c r="S4281" t="s">
        <v>29</v>
      </c>
      <c r="T4281" t="str">
        <f t="shared" si="330"/>
        <v>Grade B</v>
      </c>
      <c r="U4281">
        <f t="shared" si="331"/>
        <v>3</v>
      </c>
      <c r="V4281" t="str">
        <f t="shared" si="332"/>
        <v>Senior</v>
      </c>
      <c r="W4281" t="str">
        <f t="shared" si="333"/>
        <v>Medium Risk</v>
      </c>
      <c r="X4281" t="str">
        <f t="shared" si="334"/>
        <v>Competitive</v>
      </c>
    </row>
    <row r="4282" spans="1:24" x14ac:dyDescent="0.3">
      <c r="A4282" t="s">
        <v>4350</v>
      </c>
      <c r="B4282" t="s">
        <v>39</v>
      </c>
      <c r="C4282">
        <v>27</v>
      </c>
      <c r="D4282" t="s">
        <v>47</v>
      </c>
      <c r="E4282" t="s">
        <v>22</v>
      </c>
      <c r="F4282" t="s">
        <v>62</v>
      </c>
      <c r="G4282" t="s">
        <v>58</v>
      </c>
      <c r="H4282" t="s">
        <v>25</v>
      </c>
      <c r="I4282" t="s">
        <v>96</v>
      </c>
      <c r="J4282" t="s">
        <v>44</v>
      </c>
      <c r="K4282">
        <v>1</v>
      </c>
      <c r="L4282">
        <v>87411</v>
      </c>
      <c r="M4282" t="s">
        <v>51</v>
      </c>
      <c r="N4282">
        <v>2</v>
      </c>
      <c r="O4282">
        <v>4</v>
      </c>
      <c r="P4282">
        <v>48</v>
      </c>
      <c r="Q4282">
        <v>1</v>
      </c>
      <c r="R4282" s="1">
        <v>44576</v>
      </c>
      <c r="S4282" t="s">
        <v>29</v>
      </c>
      <c r="T4282" t="str">
        <f t="shared" si="330"/>
        <v>Grade A</v>
      </c>
      <c r="U4282">
        <f t="shared" si="331"/>
        <v>4</v>
      </c>
      <c r="V4282" t="str">
        <f t="shared" si="332"/>
        <v>New Joiner</v>
      </c>
      <c r="W4282" t="str">
        <f t="shared" si="333"/>
        <v>Low Risk</v>
      </c>
      <c r="X4282" t="str">
        <f t="shared" si="334"/>
        <v>Competitive</v>
      </c>
    </row>
    <row r="4283" spans="1:24" x14ac:dyDescent="0.3">
      <c r="A4283" t="s">
        <v>4351</v>
      </c>
      <c r="B4283" t="s">
        <v>39</v>
      </c>
      <c r="C4283">
        <v>41</v>
      </c>
      <c r="D4283" t="s">
        <v>57</v>
      </c>
      <c r="E4283" t="s">
        <v>48</v>
      </c>
      <c r="F4283" t="s">
        <v>53</v>
      </c>
      <c r="G4283" t="s">
        <v>42</v>
      </c>
      <c r="H4283" t="s">
        <v>76</v>
      </c>
      <c r="I4283" t="s">
        <v>59</v>
      </c>
      <c r="J4283" t="s">
        <v>60</v>
      </c>
      <c r="K4283">
        <v>5</v>
      </c>
      <c r="L4283">
        <v>106763</v>
      </c>
      <c r="M4283" t="s">
        <v>28</v>
      </c>
      <c r="N4283">
        <v>3</v>
      </c>
      <c r="O4283">
        <v>3</v>
      </c>
      <c r="P4283">
        <v>33</v>
      </c>
      <c r="Q4283">
        <v>1</v>
      </c>
      <c r="R4283" s="1">
        <v>43354</v>
      </c>
      <c r="S4283" t="s">
        <v>37</v>
      </c>
      <c r="T4283" t="str">
        <f t="shared" si="330"/>
        <v>Grade A</v>
      </c>
      <c r="U4283">
        <f t="shared" si="331"/>
        <v>3</v>
      </c>
      <c r="V4283" t="str">
        <f t="shared" si="332"/>
        <v>Junior</v>
      </c>
      <c r="W4283" t="str">
        <f t="shared" si="333"/>
        <v>Already Left</v>
      </c>
      <c r="X4283" t="str">
        <f t="shared" si="334"/>
        <v>Competitive</v>
      </c>
    </row>
    <row r="4284" spans="1:24" x14ac:dyDescent="0.3">
      <c r="A4284" t="s">
        <v>4352</v>
      </c>
      <c r="B4284" t="s">
        <v>20</v>
      </c>
      <c r="C4284">
        <v>26</v>
      </c>
      <c r="D4284" t="s">
        <v>57</v>
      </c>
      <c r="E4284" t="s">
        <v>48</v>
      </c>
      <c r="F4284" t="s">
        <v>65</v>
      </c>
      <c r="G4284" t="s">
        <v>42</v>
      </c>
      <c r="H4284" t="s">
        <v>67</v>
      </c>
      <c r="I4284" t="s">
        <v>68</v>
      </c>
      <c r="J4284" t="s">
        <v>60</v>
      </c>
      <c r="K4284">
        <v>8</v>
      </c>
      <c r="L4284">
        <v>106918</v>
      </c>
      <c r="M4284" t="s">
        <v>36</v>
      </c>
      <c r="N4284">
        <v>3</v>
      </c>
      <c r="O4284">
        <v>2</v>
      </c>
      <c r="P4284">
        <v>54</v>
      </c>
      <c r="Q4284">
        <v>0</v>
      </c>
      <c r="R4284" s="1">
        <v>42162</v>
      </c>
      <c r="S4284" t="s">
        <v>29</v>
      </c>
      <c r="T4284" t="str">
        <f t="shared" si="330"/>
        <v>Grade A</v>
      </c>
      <c r="U4284">
        <f t="shared" si="331"/>
        <v>1</v>
      </c>
      <c r="V4284" t="str">
        <f t="shared" si="332"/>
        <v>Mid Level</v>
      </c>
      <c r="W4284" t="str">
        <f t="shared" si="333"/>
        <v>Medium Risk</v>
      </c>
      <c r="X4284" t="str">
        <f t="shared" si="334"/>
        <v>Overpaid</v>
      </c>
    </row>
    <row r="4285" spans="1:24" x14ac:dyDescent="0.3">
      <c r="A4285" t="s">
        <v>4353</v>
      </c>
      <c r="B4285" t="s">
        <v>20</v>
      </c>
      <c r="C4285">
        <v>44</v>
      </c>
      <c r="D4285" t="s">
        <v>31</v>
      </c>
      <c r="E4285" t="s">
        <v>40</v>
      </c>
      <c r="F4285" t="s">
        <v>65</v>
      </c>
      <c r="G4285" t="s">
        <v>63</v>
      </c>
      <c r="H4285" t="s">
        <v>25</v>
      </c>
      <c r="I4285" t="s">
        <v>80</v>
      </c>
      <c r="J4285" t="s">
        <v>60</v>
      </c>
      <c r="K4285">
        <v>3</v>
      </c>
      <c r="L4285">
        <v>42309</v>
      </c>
      <c r="M4285" t="s">
        <v>36</v>
      </c>
      <c r="N4285">
        <v>3</v>
      </c>
      <c r="O4285">
        <v>1</v>
      </c>
      <c r="P4285">
        <v>77</v>
      </c>
      <c r="Q4285">
        <v>0</v>
      </c>
      <c r="R4285" s="1">
        <v>44080</v>
      </c>
      <c r="S4285" t="s">
        <v>37</v>
      </c>
      <c r="T4285" t="str">
        <f t="shared" si="330"/>
        <v>Grade C</v>
      </c>
      <c r="U4285">
        <f t="shared" si="331"/>
        <v>1</v>
      </c>
      <c r="V4285" t="str">
        <f t="shared" si="332"/>
        <v>Junior</v>
      </c>
      <c r="W4285" t="str">
        <f t="shared" si="333"/>
        <v>Already Left</v>
      </c>
      <c r="X4285" t="str">
        <f t="shared" si="334"/>
        <v>Fair</v>
      </c>
    </row>
    <row r="4286" spans="1:24" x14ac:dyDescent="0.3">
      <c r="A4286" t="s">
        <v>4354</v>
      </c>
      <c r="B4286" t="s">
        <v>20</v>
      </c>
      <c r="C4286">
        <v>35</v>
      </c>
      <c r="D4286" t="s">
        <v>88</v>
      </c>
      <c r="E4286" t="s">
        <v>22</v>
      </c>
      <c r="F4286" t="s">
        <v>62</v>
      </c>
      <c r="G4286" t="s">
        <v>42</v>
      </c>
      <c r="H4286" t="s">
        <v>76</v>
      </c>
      <c r="I4286" t="s">
        <v>59</v>
      </c>
      <c r="J4286" t="s">
        <v>60</v>
      </c>
      <c r="K4286">
        <v>11</v>
      </c>
      <c r="L4286">
        <v>115962</v>
      </c>
      <c r="M4286" t="s">
        <v>36</v>
      </c>
      <c r="N4286">
        <v>1</v>
      </c>
      <c r="O4286">
        <v>1</v>
      </c>
      <c r="P4286">
        <v>38</v>
      </c>
      <c r="Q4286">
        <v>0</v>
      </c>
      <c r="R4286" s="1">
        <v>41099</v>
      </c>
      <c r="S4286" t="s">
        <v>29</v>
      </c>
      <c r="T4286" t="str">
        <f t="shared" si="330"/>
        <v>Grade A</v>
      </c>
      <c r="U4286">
        <f t="shared" si="331"/>
        <v>1</v>
      </c>
      <c r="V4286" t="str">
        <f t="shared" si="332"/>
        <v>Senior</v>
      </c>
      <c r="W4286" t="str">
        <f t="shared" si="333"/>
        <v>Medium Risk</v>
      </c>
      <c r="X4286" t="str">
        <f t="shared" si="334"/>
        <v>Overpaid</v>
      </c>
    </row>
    <row r="4287" spans="1:24" x14ac:dyDescent="0.3">
      <c r="A4287" t="s">
        <v>4355</v>
      </c>
      <c r="B4287" t="s">
        <v>20</v>
      </c>
      <c r="C4287">
        <v>48</v>
      </c>
      <c r="D4287" t="s">
        <v>47</v>
      </c>
      <c r="E4287" t="s">
        <v>48</v>
      </c>
      <c r="F4287" t="s">
        <v>32</v>
      </c>
      <c r="G4287" t="s">
        <v>24</v>
      </c>
      <c r="H4287" t="s">
        <v>67</v>
      </c>
      <c r="I4287" t="s">
        <v>35</v>
      </c>
      <c r="J4287" t="s">
        <v>27</v>
      </c>
      <c r="K4287">
        <v>15</v>
      </c>
      <c r="L4287">
        <v>98430</v>
      </c>
      <c r="M4287" t="s">
        <v>51</v>
      </c>
      <c r="N4287">
        <v>1</v>
      </c>
      <c r="O4287">
        <v>4</v>
      </c>
      <c r="P4287">
        <v>36</v>
      </c>
      <c r="Q4287">
        <v>0</v>
      </c>
      <c r="R4287" s="1">
        <v>39766</v>
      </c>
      <c r="S4287" t="s">
        <v>29</v>
      </c>
      <c r="T4287" t="str">
        <f t="shared" si="330"/>
        <v>Grade A</v>
      </c>
      <c r="U4287">
        <f t="shared" si="331"/>
        <v>4</v>
      </c>
      <c r="V4287" t="str">
        <f t="shared" si="332"/>
        <v>Senior</v>
      </c>
      <c r="W4287" t="str">
        <f t="shared" si="333"/>
        <v>Low Risk</v>
      </c>
      <c r="X4287" t="str">
        <f t="shared" si="334"/>
        <v>Competitive</v>
      </c>
    </row>
    <row r="4288" spans="1:24" x14ac:dyDescent="0.3">
      <c r="A4288" t="s">
        <v>4356</v>
      </c>
      <c r="B4288" t="s">
        <v>39</v>
      </c>
      <c r="C4288">
        <v>54</v>
      </c>
      <c r="D4288" t="s">
        <v>21</v>
      </c>
      <c r="E4288" t="s">
        <v>22</v>
      </c>
      <c r="F4288" t="s">
        <v>53</v>
      </c>
      <c r="G4288" t="s">
        <v>79</v>
      </c>
      <c r="H4288" t="s">
        <v>34</v>
      </c>
      <c r="I4288" t="s">
        <v>50</v>
      </c>
      <c r="J4288" t="s">
        <v>44</v>
      </c>
      <c r="K4288">
        <v>4</v>
      </c>
      <c r="L4288">
        <v>42701</v>
      </c>
      <c r="M4288" t="s">
        <v>28</v>
      </c>
      <c r="N4288">
        <v>1</v>
      </c>
      <c r="O4288">
        <v>4</v>
      </c>
      <c r="P4288">
        <v>46</v>
      </c>
      <c r="Q4288">
        <v>3</v>
      </c>
      <c r="R4288" s="1">
        <v>43666</v>
      </c>
      <c r="S4288" t="s">
        <v>29</v>
      </c>
      <c r="T4288" t="str">
        <f t="shared" si="330"/>
        <v>Grade C</v>
      </c>
      <c r="U4288">
        <f t="shared" si="331"/>
        <v>3</v>
      </c>
      <c r="V4288" t="str">
        <f t="shared" si="332"/>
        <v>Junior</v>
      </c>
      <c r="W4288" t="str">
        <f t="shared" si="333"/>
        <v>Medium Risk</v>
      </c>
      <c r="X4288" t="str">
        <f t="shared" si="334"/>
        <v>Fair</v>
      </c>
    </row>
    <row r="4289" spans="1:24" x14ac:dyDescent="0.3">
      <c r="A4289" t="s">
        <v>4357</v>
      </c>
      <c r="B4289" t="s">
        <v>39</v>
      </c>
      <c r="C4289">
        <v>25</v>
      </c>
      <c r="D4289" t="s">
        <v>88</v>
      </c>
      <c r="E4289" t="s">
        <v>48</v>
      </c>
      <c r="F4289" t="s">
        <v>23</v>
      </c>
      <c r="G4289" t="s">
        <v>42</v>
      </c>
      <c r="H4289" t="s">
        <v>25</v>
      </c>
      <c r="I4289" t="s">
        <v>26</v>
      </c>
      <c r="J4289" t="s">
        <v>27</v>
      </c>
      <c r="K4289">
        <v>9</v>
      </c>
      <c r="L4289">
        <v>104215</v>
      </c>
      <c r="M4289" t="s">
        <v>45</v>
      </c>
      <c r="N4289">
        <v>4</v>
      </c>
      <c r="O4289">
        <v>4</v>
      </c>
      <c r="P4289">
        <v>52</v>
      </c>
      <c r="Q4289">
        <v>0</v>
      </c>
      <c r="R4289" s="1">
        <v>41882</v>
      </c>
      <c r="S4289" t="s">
        <v>29</v>
      </c>
      <c r="T4289" t="str">
        <f t="shared" si="330"/>
        <v>Grade A</v>
      </c>
      <c r="U4289">
        <f t="shared" si="331"/>
        <v>2</v>
      </c>
      <c r="V4289" t="str">
        <f t="shared" si="332"/>
        <v>Mid Level</v>
      </c>
      <c r="W4289" t="str">
        <f t="shared" si="333"/>
        <v>Medium Risk</v>
      </c>
      <c r="X4289" t="str">
        <f t="shared" si="334"/>
        <v>Fair</v>
      </c>
    </row>
    <row r="4290" spans="1:24" x14ac:dyDescent="0.3">
      <c r="A4290" t="s">
        <v>4358</v>
      </c>
      <c r="B4290" t="s">
        <v>39</v>
      </c>
      <c r="C4290">
        <v>46</v>
      </c>
      <c r="D4290" t="s">
        <v>31</v>
      </c>
      <c r="E4290" t="s">
        <v>48</v>
      </c>
      <c r="F4290" t="s">
        <v>32</v>
      </c>
      <c r="G4290" t="s">
        <v>24</v>
      </c>
      <c r="H4290" t="s">
        <v>34</v>
      </c>
      <c r="I4290" t="s">
        <v>72</v>
      </c>
      <c r="J4290" t="s">
        <v>73</v>
      </c>
      <c r="K4290">
        <v>7</v>
      </c>
      <c r="L4290">
        <v>83784</v>
      </c>
      <c r="M4290" t="s">
        <v>28</v>
      </c>
      <c r="N4290">
        <v>3</v>
      </c>
      <c r="O4290">
        <v>3</v>
      </c>
      <c r="P4290">
        <v>49</v>
      </c>
      <c r="Q4290">
        <v>3</v>
      </c>
      <c r="R4290" s="1">
        <v>42614</v>
      </c>
      <c r="S4290" t="s">
        <v>29</v>
      </c>
      <c r="T4290" t="str">
        <f t="shared" ref="T4290:T4353" si="335">IF(L4290&gt;=80000,"Grade A",IF(L4290&gt;=50000,"Grade B",IF(L4290&gt;=35000,"Grade C","Grade D")))</f>
        <v>Grade A</v>
      </c>
      <c r="U4290">
        <f t="shared" ref="U4290:U4353" si="336">IF(M4290="Excellent",4,IF(M4290="Good",3,IF(M4290="Average",2,1)))</f>
        <v>3</v>
      </c>
      <c r="V4290" t="str">
        <f t="shared" ref="V4290:V4353" si="337">IF(K4290&lt;=2,"New Joiner",IF(K4290&lt;=5,"Junior",IF(K4290&lt;=10,"Mid Level","Senior")))</f>
        <v>Mid Level</v>
      </c>
      <c r="W4290" t="str">
        <f t="shared" ref="W4290:W4353" si="338">IF(S4290="Yes","Already Left",IF(AND(K4290&lt;=2,M4290="Poor"),"High Risk",IF(AND(K4290&lt;=5,M4290="Average"),"Medium Risk",IF(M4290="Excellent","Low Risk","Medium Risk"))))</f>
        <v>Medium Risk</v>
      </c>
      <c r="X4290" t="str">
        <f t="shared" ref="X4290:X4353" si="339">IF(AND(L4290&gt;=80000,M4290="Excellent"),"Competitive",IF(AND(L4290&gt;=50000,M4290="Good"),"Competitive",IF(AND(L4290&lt;35000,M4290="Excellent"),"Underpaid",IF(AND(L4290&gt;=80000,M4290="Poor"),"Overpaid","Fair"))))</f>
        <v>Competitive</v>
      </c>
    </row>
    <row r="4291" spans="1:24" x14ac:dyDescent="0.3">
      <c r="A4291" t="s">
        <v>4359</v>
      </c>
      <c r="B4291" t="s">
        <v>39</v>
      </c>
      <c r="C4291">
        <v>45</v>
      </c>
      <c r="D4291" t="s">
        <v>57</v>
      </c>
      <c r="E4291" t="s">
        <v>40</v>
      </c>
      <c r="F4291" t="s">
        <v>53</v>
      </c>
      <c r="G4291" t="s">
        <v>66</v>
      </c>
      <c r="H4291" t="s">
        <v>83</v>
      </c>
      <c r="I4291" t="s">
        <v>72</v>
      </c>
      <c r="J4291" t="s">
        <v>73</v>
      </c>
      <c r="K4291">
        <v>5</v>
      </c>
      <c r="L4291">
        <v>36684</v>
      </c>
      <c r="M4291" t="s">
        <v>45</v>
      </c>
      <c r="N4291">
        <v>1</v>
      </c>
      <c r="O4291">
        <v>4</v>
      </c>
      <c r="P4291">
        <v>33</v>
      </c>
      <c r="Q4291">
        <v>0</v>
      </c>
      <c r="R4291" s="1">
        <v>43359</v>
      </c>
      <c r="S4291" t="s">
        <v>29</v>
      </c>
      <c r="T4291" t="str">
        <f t="shared" si="335"/>
        <v>Grade C</v>
      </c>
      <c r="U4291">
        <f t="shared" si="336"/>
        <v>2</v>
      </c>
      <c r="V4291" t="str">
        <f t="shared" si="337"/>
        <v>Junior</v>
      </c>
      <c r="W4291" t="str">
        <f t="shared" si="338"/>
        <v>Medium Risk</v>
      </c>
      <c r="X4291" t="str">
        <f t="shared" si="339"/>
        <v>Fair</v>
      </c>
    </row>
    <row r="4292" spans="1:24" x14ac:dyDescent="0.3">
      <c r="A4292" t="s">
        <v>4360</v>
      </c>
      <c r="B4292" t="s">
        <v>39</v>
      </c>
      <c r="C4292">
        <v>47</v>
      </c>
      <c r="D4292" t="s">
        <v>57</v>
      </c>
      <c r="E4292" t="s">
        <v>22</v>
      </c>
      <c r="F4292" t="s">
        <v>78</v>
      </c>
      <c r="G4292" t="s">
        <v>24</v>
      </c>
      <c r="H4292" t="s">
        <v>67</v>
      </c>
      <c r="I4292" t="s">
        <v>96</v>
      </c>
      <c r="J4292" t="s">
        <v>44</v>
      </c>
      <c r="K4292">
        <v>10</v>
      </c>
      <c r="L4292">
        <v>96942</v>
      </c>
      <c r="M4292" t="s">
        <v>36</v>
      </c>
      <c r="N4292">
        <v>4</v>
      </c>
      <c r="O4292">
        <v>2</v>
      </c>
      <c r="P4292">
        <v>53</v>
      </c>
      <c r="Q4292">
        <v>0</v>
      </c>
      <c r="R4292" s="1">
        <v>41576</v>
      </c>
      <c r="S4292" t="s">
        <v>37</v>
      </c>
      <c r="T4292" t="str">
        <f t="shared" si="335"/>
        <v>Grade A</v>
      </c>
      <c r="U4292">
        <f t="shared" si="336"/>
        <v>1</v>
      </c>
      <c r="V4292" t="str">
        <f t="shared" si="337"/>
        <v>Mid Level</v>
      </c>
      <c r="W4292" t="str">
        <f t="shared" si="338"/>
        <v>Already Left</v>
      </c>
      <c r="X4292" t="str">
        <f t="shared" si="339"/>
        <v>Overpaid</v>
      </c>
    </row>
    <row r="4293" spans="1:24" x14ac:dyDescent="0.3">
      <c r="A4293" t="s">
        <v>4361</v>
      </c>
      <c r="B4293" t="s">
        <v>39</v>
      </c>
      <c r="C4293">
        <v>52</v>
      </c>
      <c r="D4293" t="s">
        <v>31</v>
      </c>
      <c r="E4293" t="s">
        <v>40</v>
      </c>
      <c r="F4293" t="s">
        <v>23</v>
      </c>
      <c r="G4293" t="s">
        <v>58</v>
      </c>
      <c r="H4293" t="s">
        <v>83</v>
      </c>
      <c r="I4293" t="s">
        <v>96</v>
      </c>
      <c r="J4293" t="s">
        <v>44</v>
      </c>
      <c r="K4293">
        <v>13</v>
      </c>
      <c r="L4293">
        <v>101409</v>
      </c>
      <c r="M4293" t="s">
        <v>28</v>
      </c>
      <c r="N4293">
        <v>2</v>
      </c>
      <c r="O4293">
        <v>2</v>
      </c>
      <c r="P4293">
        <v>28</v>
      </c>
      <c r="Q4293">
        <v>3</v>
      </c>
      <c r="R4293" s="1">
        <v>40402</v>
      </c>
      <c r="S4293" t="s">
        <v>29</v>
      </c>
      <c r="T4293" t="str">
        <f t="shared" si="335"/>
        <v>Grade A</v>
      </c>
      <c r="U4293">
        <f t="shared" si="336"/>
        <v>3</v>
      </c>
      <c r="V4293" t="str">
        <f t="shared" si="337"/>
        <v>Senior</v>
      </c>
      <c r="W4293" t="str">
        <f t="shared" si="338"/>
        <v>Medium Risk</v>
      </c>
      <c r="X4293" t="str">
        <f t="shared" si="339"/>
        <v>Competitive</v>
      </c>
    </row>
    <row r="4294" spans="1:24" x14ac:dyDescent="0.3">
      <c r="A4294" t="s">
        <v>4362</v>
      </c>
      <c r="B4294" t="s">
        <v>20</v>
      </c>
      <c r="C4294">
        <v>54</v>
      </c>
      <c r="D4294" t="s">
        <v>57</v>
      </c>
      <c r="E4294" t="s">
        <v>40</v>
      </c>
      <c r="F4294" t="s">
        <v>62</v>
      </c>
      <c r="G4294" t="s">
        <v>49</v>
      </c>
      <c r="H4294" t="s">
        <v>34</v>
      </c>
      <c r="I4294" t="s">
        <v>68</v>
      </c>
      <c r="J4294" t="s">
        <v>60</v>
      </c>
      <c r="K4294">
        <v>10</v>
      </c>
      <c r="L4294">
        <v>62074</v>
      </c>
      <c r="M4294" t="s">
        <v>45</v>
      </c>
      <c r="N4294">
        <v>4</v>
      </c>
      <c r="O4294">
        <v>2</v>
      </c>
      <c r="P4294">
        <v>44</v>
      </c>
      <c r="Q4294">
        <v>0</v>
      </c>
      <c r="R4294" s="1">
        <v>41379</v>
      </c>
      <c r="S4294" t="s">
        <v>29</v>
      </c>
      <c r="T4294" t="str">
        <f t="shared" si="335"/>
        <v>Grade B</v>
      </c>
      <c r="U4294">
        <f t="shared" si="336"/>
        <v>2</v>
      </c>
      <c r="V4294" t="str">
        <f t="shared" si="337"/>
        <v>Mid Level</v>
      </c>
      <c r="W4294" t="str">
        <f t="shared" si="338"/>
        <v>Medium Risk</v>
      </c>
      <c r="X4294" t="str">
        <f t="shared" si="339"/>
        <v>Fair</v>
      </c>
    </row>
    <row r="4295" spans="1:24" x14ac:dyDescent="0.3">
      <c r="A4295" t="s">
        <v>4363</v>
      </c>
      <c r="B4295" t="s">
        <v>39</v>
      </c>
      <c r="C4295">
        <v>52</v>
      </c>
      <c r="D4295" t="s">
        <v>47</v>
      </c>
      <c r="E4295" t="s">
        <v>48</v>
      </c>
      <c r="F4295" t="s">
        <v>32</v>
      </c>
      <c r="G4295" t="s">
        <v>33</v>
      </c>
      <c r="H4295" t="s">
        <v>34</v>
      </c>
      <c r="I4295" t="s">
        <v>72</v>
      </c>
      <c r="J4295" t="s">
        <v>73</v>
      </c>
      <c r="K4295">
        <v>15</v>
      </c>
      <c r="L4295">
        <v>93246</v>
      </c>
      <c r="M4295" t="s">
        <v>36</v>
      </c>
      <c r="N4295">
        <v>4</v>
      </c>
      <c r="O4295">
        <v>4</v>
      </c>
      <c r="P4295">
        <v>28</v>
      </c>
      <c r="Q4295">
        <v>0</v>
      </c>
      <c r="R4295" s="1">
        <v>39811</v>
      </c>
      <c r="S4295" t="s">
        <v>37</v>
      </c>
      <c r="T4295" t="str">
        <f t="shared" si="335"/>
        <v>Grade A</v>
      </c>
      <c r="U4295">
        <f t="shared" si="336"/>
        <v>1</v>
      </c>
      <c r="V4295" t="str">
        <f t="shared" si="337"/>
        <v>Senior</v>
      </c>
      <c r="W4295" t="str">
        <f t="shared" si="338"/>
        <v>Already Left</v>
      </c>
      <c r="X4295" t="str">
        <f t="shared" si="339"/>
        <v>Overpaid</v>
      </c>
    </row>
    <row r="4296" spans="1:24" x14ac:dyDescent="0.3">
      <c r="A4296" t="s">
        <v>4364</v>
      </c>
      <c r="B4296" t="s">
        <v>39</v>
      </c>
      <c r="C4296">
        <v>33</v>
      </c>
      <c r="D4296" t="s">
        <v>47</v>
      </c>
      <c r="E4296" t="s">
        <v>48</v>
      </c>
      <c r="F4296" t="s">
        <v>75</v>
      </c>
      <c r="G4296" t="s">
        <v>42</v>
      </c>
      <c r="H4296" t="s">
        <v>76</v>
      </c>
      <c r="I4296" t="s">
        <v>59</v>
      </c>
      <c r="J4296" t="s">
        <v>60</v>
      </c>
      <c r="K4296">
        <v>12</v>
      </c>
      <c r="L4296">
        <v>122243</v>
      </c>
      <c r="M4296" t="s">
        <v>51</v>
      </c>
      <c r="N4296">
        <v>4</v>
      </c>
      <c r="O4296">
        <v>2</v>
      </c>
      <c r="P4296">
        <v>32</v>
      </c>
      <c r="Q4296">
        <v>1</v>
      </c>
      <c r="R4296" s="1">
        <v>40896</v>
      </c>
      <c r="S4296" t="s">
        <v>29</v>
      </c>
      <c r="T4296" t="str">
        <f t="shared" si="335"/>
        <v>Grade A</v>
      </c>
      <c r="U4296">
        <f t="shared" si="336"/>
        <v>4</v>
      </c>
      <c r="V4296" t="str">
        <f t="shared" si="337"/>
        <v>Senior</v>
      </c>
      <c r="W4296" t="str">
        <f t="shared" si="338"/>
        <v>Low Risk</v>
      </c>
      <c r="X4296" t="str">
        <f t="shared" si="339"/>
        <v>Competitive</v>
      </c>
    </row>
    <row r="4297" spans="1:24" x14ac:dyDescent="0.3">
      <c r="A4297" t="s">
        <v>4365</v>
      </c>
      <c r="B4297" t="s">
        <v>20</v>
      </c>
      <c r="C4297">
        <v>31</v>
      </c>
      <c r="D4297" t="s">
        <v>57</v>
      </c>
      <c r="E4297" t="s">
        <v>22</v>
      </c>
      <c r="F4297" t="s">
        <v>62</v>
      </c>
      <c r="G4297" t="s">
        <v>58</v>
      </c>
      <c r="H4297" t="s">
        <v>34</v>
      </c>
      <c r="I4297" t="s">
        <v>54</v>
      </c>
      <c r="J4297" t="s">
        <v>27</v>
      </c>
      <c r="K4297">
        <v>15</v>
      </c>
      <c r="L4297">
        <v>122765</v>
      </c>
      <c r="M4297" t="s">
        <v>36</v>
      </c>
      <c r="N4297">
        <v>3</v>
      </c>
      <c r="O4297">
        <v>2</v>
      </c>
      <c r="P4297">
        <v>60</v>
      </c>
      <c r="Q4297">
        <v>2</v>
      </c>
      <c r="R4297" s="1">
        <v>39793</v>
      </c>
      <c r="S4297" t="s">
        <v>37</v>
      </c>
      <c r="T4297" t="str">
        <f t="shared" si="335"/>
        <v>Grade A</v>
      </c>
      <c r="U4297">
        <f t="shared" si="336"/>
        <v>1</v>
      </c>
      <c r="V4297" t="str">
        <f t="shared" si="337"/>
        <v>Senior</v>
      </c>
      <c r="W4297" t="str">
        <f t="shared" si="338"/>
        <v>Already Left</v>
      </c>
      <c r="X4297" t="str">
        <f t="shared" si="339"/>
        <v>Overpaid</v>
      </c>
    </row>
    <row r="4298" spans="1:24" x14ac:dyDescent="0.3">
      <c r="A4298" t="s">
        <v>4366</v>
      </c>
      <c r="B4298" t="s">
        <v>20</v>
      </c>
      <c r="C4298">
        <v>29</v>
      </c>
      <c r="D4298" t="s">
        <v>88</v>
      </c>
      <c r="E4298" t="s">
        <v>40</v>
      </c>
      <c r="F4298" t="s">
        <v>41</v>
      </c>
      <c r="G4298" t="s">
        <v>33</v>
      </c>
      <c r="H4298" t="s">
        <v>25</v>
      </c>
      <c r="I4298" t="s">
        <v>80</v>
      </c>
      <c r="J4298" t="s">
        <v>60</v>
      </c>
      <c r="K4298">
        <v>13</v>
      </c>
      <c r="L4298">
        <v>90423</v>
      </c>
      <c r="M4298" t="s">
        <v>36</v>
      </c>
      <c r="N4298">
        <v>2</v>
      </c>
      <c r="O4298">
        <v>4</v>
      </c>
      <c r="P4298">
        <v>75</v>
      </c>
      <c r="Q4298">
        <v>0</v>
      </c>
      <c r="R4298" s="1">
        <v>40256</v>
      </c>
      <c r="S4298" t="s">
        <v>37</v>
      </c>
      <c r="T4298" t="str">
        <f t="shared" si="335"/>
        <v>Grade A</v>
      </c>
      <c r="U4298">
        <f t="shared" si="336"/>
        <v>1</v>
      </c>
      <c r="V4298" t="str">
        <f t="shared" si="337"/>
        <v>Senior</v>
      </c>
      <c r="W4298" t="str">
        <f t="shared" si="338"/>
        <v>Already Left</v>
      </c>
      <c r="X4298" t="str">
        <f t="shared" si="339"/>
        <v>Overpaid</v>
      </c>
    </row>
    <row r="4299" spans="1:24" x14ac:dyDescent="0.3">
      <c r="A4299" t="s">
        <v>4367</v>
      </c>
      <c r="B4299" t="s">
        <v>20</v>
      </c>
      <c r="C4299">
        <v>40</v>
      </c>
      <c r="D4299" t="s">
        <v>88</v>
      </c>
      <c r="E4299" t="s">
        <v>22</v>
      </c>
      <c r="F4299" t="s">
        <v>23</v>
      </c>
      <c r="G4299" t="s">
        <v>58</v>
      </c>
      <c r="H4299" t="s">
        <v>34</v>
      </c>
      <c r="I4299" t="s">
        <v>35</v>
      </c>
      <c r="J4299" t="s">
        <v>27</v>
      </c>
      <c r="K4299">
        <v>3</v>
      </c>
      <c r="L4299">
        <v>95380</v>
      </c>
      <c r="M4299" t="s">
        <v>28</v>
      </c>
      <c r="N4299">
        <v>4</v>
      </c>
      <c r="O4299">
        <v>3</v>
      </c>
      <c r="P4299">
        <v>55</v>
      </c>
      <c r="Q4299">
        <v>1</v>
      </c>
      <c r="R4299" s="1">
        <v>43998</v>
      </c>
      <c r="S4299" t="s">
        <v>29</v>
      </c>
      <c r="T4299" t="str">
        <f t="shared" si="335"/>
        <v>Grade A</v>
      </c>
      <c r="U4299">
        <f t="shared" si="336"/>
        <v>3</v>
      </c>
      <c r="V4299" t="str">
        <f t="shared" si="337"/>
        <v>Junior</v>
      </c>
      <c r="W4299" t="str">
        <f t="shared" si="338"/>
        <v>Medium Risk</v>
      </c>
      <c r="X4299" t="str">
        <f t="shared" si="339"/>
        <v>Competitive</v>
      </c>
    </row>
    <row r="4300" spans="1:24" x14ac:dyDescent="0.3">
      <c r="A4300" t="s">
        <v>4368</v>
      </c>
      <c r="B4300" t="s">
        <v>20</v>
      </c>
      <c r="C4300">
        <v>23</v>
      </c>
      <c r="D4300" t="s">
        <v>21</v>
      </c>
      <c r="E4300" t="s">
        <v>22</v>
      </c>
      <c r="F4300" t="s">
        <v>32</v>
      </c>
      <c r="G4300" t="s">
        <v>24</v>
      </c>
      <c r="H4300" t="s">
        <v>34</v>
      </c>
      <c r="I4300" t="s">
        <v>72</v>
      </c>
      <c r="J4300" t="s">
        <v>73</v>
      </c>
      <c r="K4300">
        <v>11</v>
      </c>
      <c r="L4300">
        <v>98511</v>
      </c>
      <c r="M4300" t="s">
        <v>51</v>
      </c>
      <c r="N4300">
        <v>1</v>
      </c>
      <c r="O4300">
        <v>4</v>
      </c>
      <c r="P4300">
        <v>35</v>
      </c>
      <c r="Q4300">
        <v>3</v>
      </c>
      <c r="R4300" s="1">
        <v>41207</v>
      </c>
      <c r="S4300" t="s">
        <v>29</v>
      </c>
      <c r="T4300" t="str">
        <f t="shared" si="335"/>
        <v>Grade A</v>
      </c>
      <c r="U4300">
        <f t="shared" si="336"/>
        <v>4</v>
      </c>
      <c r="V4300" t="str">
        <f t="shared" si="337"/>
        <v>Senior</v>
      </c>
      <c r="W4300" t="str">
        <f t="shared" si="338"/>
        <v>Low Risk</v>
      </c>
      <c r="X4300" t="str">
        <f t="shared" si="339"/>
        <v>Competitive</v>
      </c>
    </row>
    <row r="4301" spans="1:24" x14ac:dyDescent="0.3">
      <c r="A4301" t="s">
        <v>4369</v>
      </c>
      <c r="B4301" t="s">
        <v>39</v>
      </c>
      <c r="C4301">
        <v>43</v>
      </c>
      <c r="D4301" t="s">
        <v>88</v>
      </c>
      <c r="E4301" t="s">
        <v>22</v>
      </c>
      <c r="F4301" t="s">
        <v>23</v>
      </c>
      <c r="G4301" t="s">
        <v>33</v>
      </c>
      <c r="H4301" t="s">
        <v>67</v>
      </c>
      <c r="I4301" t="s">
        <v>43</v>
      </c>
      <c r="J4301" t="s">
        <v>44</v>
      </c>
      <c r="K4301">
        <v>9</v>
      </c>
      <c r="L4301">
        <v>69838</v>
      </c>
      <c r="M4301" t="s">
        <v>36</v>
      </c>
      <c r="N4301">
        <v>4</v>
      </c>
      <c r="O4301">
        <v>2</v>
      </c>
      <c r="P4301">
        <v>15</v>
      </c>
      <c r="Q4301">
        <v>1</v>
      </c>
      <c r="R4301" s="1">
        <v>41939</v>
      </c>
      <c r="S4301" t="s">
        <v>37</v>
      </c>
      <c r="T4301" t="str">
        <f t="shared" si="335"/>
        <v>Grade B</v>
      </c>
      <c r="U4301">
        <f t="shared" si="336"/>
        <v>1</v>
      </c>
      <c r="V4301" t="str">
        <f t="shared" si="337"/>
        <v>Mid Level</v>
      </c>
      <c r="W4301" t="str">
        <f t="shared" si="338"/>
        <v>Already Left</v>
      </c>
      <c r="X4301" t="str">
        <f t="shared" si="339"/>
        <v>Fair</v>
      </c>
    </row>
    <row r="4302" spans="1:24" x14ac:dyDescent="0.3">
      <c r="A4302" t="s">
        <v>4370</v>
      </c>
      <c r="B4302" t="s">
        <v>20</v>
      </c>
      <c r="C4302">
        <v>23</v>
      </c>
      <c r="D4302" t="s">
        <v>31</v>
      </c>
      <c r="E4302" t="s">
        <v>40</v>
      </c>
      <c r="F4302" t="s">
        <v>53</v>
      </c>
      <c r="G4302" t="s">
        <v>63</v>
      </c>
      <c r="H4302" t="s">
        <v>34</v>
      </c>
      <c r="I4302" t="s">
        <v>54</v>
      </c>
      <c r="J4302" t="s">
        <v>27</v>
      </c>
      <c r="K4302">
        <v>9</v>
      </c>
      <c r="L4302">
        <v>68251</v>
      </c>
      <c r="M4302" t="s">
        <v>45</v>
      </c>
      <c r="N4302">
        <v>2</v>
      </c>
      <c r="O4302">
        <v>2</v>
      </c>
      <c r="P4302">
        <v>60</v>
      </c>
      <c r="Q4302">
        <v>1</v>
      </c>
      <c r="R4302" s="1">
        <v>41893</v>
      </c>
      <c r="S4302" t="s">
        <v>29</v>
      </c>
      <c r="T4302" t="str">
        <f t="shared" si="335"/>
        <v>Grade B</v>
      </c>
      <c r="U4302">
        <f t="shared" si="336"/>
        <v>2</v>
      </c>
      <c r="V4302" t="str">
        <f t="shared" si="337"/>
        <v>Mid Level</v>
      </c>
      <c r="W4302" t="str">
        <f t="shared" si="338"/>
        <v>Medium Risk</v>
      </c>
      <c r="X4302" t="str">
        <f t="shared" si="339"/>
        <v>Fair</v>
      </c>
    </row>
    <row r="4303" spans="1:24" x14ac:dyDescent="0.3">
      <c r="A4303" t="s">
        <v>4371</v>
      </c>
      <c r="B4303" t="s">
        <v>20</v>
      </c>
      <c r="C4303">
        <v>26</v>
      </c>
      <c r="D4303" t="s">
        <v>88</v>
      </c>
      <c r="E4303" t="s">
        <v>40</v>
      </c>
      <c r="F4303" t="s">
        <v>41</v>
      </c>
      <c r="G4303" t="s">
        <v>63</v>
      </c>
      <c r="H4303" t="s">
        <v>76</v>
      </c>
      <c r="I4303" t="s">
        <v>35</v>
      </c>
      <c r="J4303" t="s">
        <v>27</v>
      </c>
      <c r="K4303">
        <v>1</v>
      </c>
      <c r="L4303">
        <v>38302</v>
      </c>
      <c r="M4303" t="s">
        <v>45</v>
      </c>
      <c r="N4303">
        <v>1</v>
      </c>
      <c r="O4303">
        <v>4</v>
      </c>
      <c r="P4303">
        <v>54</v>
      </c>
      <c r="Q4303">
        <v>0</v>
      </c>
      <c r="R4303" s="1">
        <v>44777</v>
      </c>
      <c r="S4303" t="s">
        <v>29</v>
      </c>
      <c r="T4303" t="str">
        <f t="shared" si="335"/>
        <v>Grade C</v>
      </c>
      <c r="U4303">
        <f t="shared" si="336"/>
        <v>2</v>
      </c>
      <c r="V4303" t="str">
        <f t="shared" si="337"/>
        <v>New Joiner</v>
      </c>
      <c r="W4303" t="str">
        <f t="shared" si="338"/>
        <v>Medium Risk</v>
      </c>
      <c r="X4303" t="str">
        <f t="shared" si="339"/>
        <v>Fair</v>
      </c>
    </row>
    <row r="4304" spans="1:24" x14ac:dyDescent="0.3">
      <c r="A4304" t="s">
        <v>4372</v>
      </c>
      <c r="B4304" t="s">
        <v>20</v>
      </c>
      <c r="C4304">
        <v>34</v>
      </c>
      <c r="D4304" t="s">
        <v>21</v>
      </c>
      <c r="E4304" t="s">
        <v>48</v>
      </c>
      <c r="F4304" t="s">
        <v>41</v>
      </c>
      <c r="G4304" t="s">
        <v>42</v>
      </c>
      <c r="H4304" t="s">
        <v>34</v>
      </c>
      <c r="I4304" t="s">
        <v>59</v>
      </c>
      <c r="J4304" t="s">
        <v>60</v>
      </c>
      <c r="K4304">
        <v>15</v>
      </c>
      <c r="L4304">
        <v>120353</v>
      </c>
      <c r="M4304" t="s">
        <v>51</v>
      </c>
      <c r="N4304">
        <v>3</v>
      </c>
      <c r="O4304">
        <v>4</v>
      </c>
      <c r="P4304">
        <v>80</v>
      </c>
      <c r="Q4304">
        <v>3</v>
      </c>
      <c r="R4304" s="1">
        <v>39609</v>
      </c>
      <c r="S4304" t="s">
        <v>29</v>
      </c>
      <c r="T4304" t="str">
        <f t="shared" si="335"/>
        <v>Grade A</v>
      </c>
      <c r="U4304">
        <f t="shared" si="336"/>
        <v>4</v>
      </c>
      <c r="V4304" t="str">
        <f t="shared" si="337"/>
        <v>Senior</v>
      </c>
      <c r="W4304" t="str">
        <f t="shared" si="338"/>
        <v>Low Risk</v>
      </c>
      <c r="X4304" t="str">
        <f t="shared" si="339"/>
        <v>Competitive</v>
      </c>
    </row>
    <row r="4305" spans="1:24" x14ac:dyDescent="0.3">
      <c r="A4305" t="s">
        <v>4373</v>
      </c>
      <c r="B4305" t="s">
        <v>39</v>
      </c>
      <c r="C4305">
        <v>32</v>
      </c>
      <c r="D4305" t="s">
        <v>57</v>
      </c>
      <c r="E4305" t="s">
        <v>48</v>
      </c>
      <c r="F4305" t="s">
        <v>75</v>
      </c>
      <c r="G4305" t="s">
        <v>79</v>
      </c>
      <c r="H4305" t="s">
        <v>25</v>
      </c>
      <c r="I4305" t="s">
        <v>59</v>
      </c>
      <c r="J4305" t="s">
        <v>60</v>
      </c>
      <c r="K4305">
        <v>14</v>
      </c>
      <c r="L4305">
        <v>59992</v>
      </c>
      <c r="M4305" t="s">
        <v>36</v>
      </c>
      <c r="N4305">
        <v>3</v>
      </c>
      <c r="O4305">
        <v>1</v>
      </c>
      <c r="P4305">
        <v>70</v>
      </c>
      <c r="Q4305">
        <v>3</v>
      </c>
      <c r="R4305" s="1">
        <v>39829</v>
      </c>
      <c r="S4305" t="s">
        <v>29</v>
      </c>
      <c r="T4305" t="str">
        <f t="shared" si="335"/>
        <v>Grade B</v>
      </c>
      <c r="U4305">
        <f t="shared" si="336"/>
        <v>1</v>
      </c>
      <c r="V4305" t="str">
        <f t="shared" si="337"/>
        <v>Senior</v>
      </c>
      <c r="W4305" t="str">
        <f t="shared" si="338"/>
        <v>Medium Risk</v>
      </c>
      <c r="X4305" t="str">
        <f t="shared" si="339"/>
        <v>Fair</v>
      </c>
    </row>
    <row r="4306" spans="1:24" x14ac:dyDescent="0.3">
      <c r="A4306" t="s">
        <v>4374</v>
      </c>
      <c r="B4306" t="s">
        <v>39</v>
      </c>
      <c r="C4306">
        <v>40</v>
      </c>
      <c r="D4306" t="s">
        <v>88</v>
      </c>
      <c r="E4306" t="s">
        <v>22</v>
      </c>
      <c r="F4306" t="s">
        <v>65</v>
      </c>
      <c r="G4306" t="s">
        <v>79</v>
      </c>
      <c r="H4306" t="s">
        <v>34</v>
      </c>
      <c r="I4306" t="s">
        <v>72</v>
      </c>
      <c r="J4306" t="s">
        <v>73</v>
      </c>
      <c r="K4306">
        <v>4</v>
      </c>
      <c r="L4306">
        <v>51412</v>
      </c>
      <c r="M4306" t="s">
        <v>28</v>
      </c>
      <c r="N4306">
        <v>3</v>
      </c>
      <c r="O4306">
        <v>1</v>
      </c>
      <c r="P4306">
        <v>76</v>
      </c>
      <c r="Q4306">
        <v>2</v>
      </c>
      <c r="R4306" s="1">
        <v>43585</v>
      </c>
      <c r="S4306" t="s">
        <v>29</v>
      </c>
      <c r="T4306" t="str">
        <f t="shared" si="335"/>
        <v>Grade B</v>
      </c>
      <c r="U4306">
        <f t="shared" si="336"/>
        <v>3</v>
      </c>
      <c r="V4306" t="str">
        <f t="shared" si="337"/>
        <v>Junior</v>
      </c>
      <c r="W4306" t="str">
        <f t="shared" si="338"/>
        <v>Medium Risk</v>
      </c>
      <c r="X4306" t="str">
        <f t="shared" si="339"/>
        <v>Competitive</v>
      </c>
    </row>
    <row r="4307" spans="1:24" x14ac:dyDescent="0.3">
      <c r="A4307" t="s">
        <v>4375</v>
      </c>
      <c r="B4307" t="s">
        <v>20</v>
      </c>
      <c r="C4307">
        <v>53</v>
      </c>
      <c r="D4307" t="s">
        <v>47</v>
      </c>
      <c r="E4307" t="s">
        <v>40</v>
      </c>
      <c r="F4307" t="s">
        <v>53</v>
      </c>
      <c r="G4307" t="s">
        <v>49</v>
      </c>
      <c r="H4307" t="s">
        <v>67</v>
      </c>
      <c r="I4307" t="s">
        <v>43</v>
      </c>
      <c r="J4307" t="s">
        <v>44</v>
      </c>
      <c r="K4307">
        <v>15</v>
      </c>
      <c r="L4307">
        <v>87428</v>
      </c>
      <c r="M4307" t="s">
        <v>28</v>
      </c>
      <c r="N4307">
        <v>1</v>
      </c>
      <c r="O4307">
        <v>1</v>
      </c>
      <c r="P4307">
        <v>40</v>
      </c>
      <c r="Q4307">
        <v>3</v>
      </c>
      <c r="R4307" s="1">
        <v>39761</v>
      </c>
      <c r="S4307" t="s">
        <v>29</v>
      </c>
      <c r="T4307" t="str">
        <f t="shared" si="335"/>
        <v>Grade A</v>
      </c>
      <c r="U4307">
        <f t="shared" si="336"/>
        <v>3</v>
      </c>
      <c r="V4307" t="str">
        <f t="shared" si="337"/>
        <v>Senior</v>
      </c>
      <c r="W4307" t="str">
        <f t="shared" si="338"/>
        <v>Medium Risk</v>
      </c>
      <c r="X4307" t="str">
        <f t="shared" si="339"/>
        <v>Competitive</v>
      </c>
    </row>
    <row r="4308" spans="1:24" x14ac:dyDescent="0.3">
      <c r="A4308" t="s">
        <v>4376</v>
      </c>
      <c r="B4308" t="s">
        <v>39</v>
      </c>
      <c r="C4308">
        <v>34</v>
      </c>
      <c r="D4308" t="s">
        <v>21</v>
      </c>
      <c r="E4308" t="s">
        <v>48</v>
      </c>
      <c r="F4308" t="s">
        <v>62</v>
      </c>
      <c r="G4308" t="s">
        <v>42</v>
      </c>
      <c r="H4308" t="s">
        <v>76</v>
      </c>
      <c r="I4308" t="s">
        <v>68</v>
      </c>
      <c r="J4308" t="s">
        <v>60</v>
      </c>
      <c r="K4308">
        <v>12</v>
      </c>
      <c r="L4308">
        <v>112902</v>
      </c>
      <c r="M4308" t="s">
        <v>51</v>
      </c>
      <c r="N4308">
        <v>3</v>
      </c>
      <c r="O4308">
        <v>3</v>
      </c>
      <c r="P4308">
        <v>56</v>
      </c>
      <c r="Q4308">
        <v>1</v>
      </c>
      <c r="R4308" s="1">
        <v>40729</v>
      </c>
      <c r="S4308" t="s">
        <v>29</v>
      </c>
      <c r="T4308" t="str">
        <f t="shared" si="335"/>
        <v>Grade A</v>
      </c>
      <c r="U4308">
        <f t="shared" si="336"/>
        <v>4</v>
      </c>
      <c r="V4308" t="str">
        <f t="shared" si="337"/>
        <v>Senior</v>
      </c>
      <c r="W4308" t="str">
        <f t="shared" si="338"/>
        <v>Low Risk</v>
      </c>
      <c r="X4308" t="str">
        <f t="shared" si="339"/>
        <v>Competitive</v>
      </c>
    </row>
    <row r="4309" spans="1:24" x14ac:dyDescent="0.3">
      <c r="A4309" t="s">
        <v>4377</v>
      </c>
      <c r="B4309" t="s">
        <v>39</v>
      </c>
      <c r="C4309">
        <v>34</v>
      </c>
      <c r="D4309" t="s">
        <v>88</v>
      </c>
      <c r="E4309" t="s">
        <v>40</v>
      </c>
      <c r="F4309" t="s">
        <v>23</v>
      </c>
      <c r="G4309" t="s">
        <v>24</v>
      </c>
      <c r="H4309" t="s">
        <v>83</v>
      </c>
      <c r="I4309" t="s">
        <v>54</v>
      </c>
      <c r="J4309" t="s">
        <v>27</v>
      </c>
      <c r="K4309">
        <v>6</v>
      </c>
      <c r="L4309">
        <v>77660</v>
      </c>
      <c r="M4309" t="s">
        <v>28</v>
      </c>
      <c r="N4309">
        <v>2</v>
      </c>
      <c r="O4309">
        <v>2</v>
      </c>
      <c r="P4309">
        <v>63</v>
      </c>
      <c r="Q4309">
        <v>1</v>
      </c>
      <c r="R4309" s="1">
        <v>42858</v>
      </c>
      <c r="S4309" t="s">
        <v>29</v>
      </c>
      <c r="T4309" t="str">
        <f t="shared" si="335"/>
        <v>Grade B</v>
      </c>
      <c r="U4309">
        <f t="shared" si="336"/>
        <v>3</v>
      </c>
      <c r="V4309" t="str">
        <f t="shared" si="337"/>
        <v>Mid Level</v>
      </c>
      <c r="W4309" t="str">
        <f t="shared" si="338"/>
        <v>Medium Risk</v>
      </c>
      <c r="X4309" t="str">
        <f t="shared" si="339"/>
        <v>Competitive</v>
      </c>
    </row>
    <row r="4310" spans="1:24" x14ac:dyDescent="0.3">
      <c r="A4310" t="s">
        <v>4378</v>
      </c>
      <c r="B4310" t="s">
        <v>20</v>
      </c>
      <c r="C4310">
        <v>31</v>
      </c>
      <c r="D4310" t="s">
        <v>88</v>
      </c>
      <c r="E4310" t="s">
        <v>48</v>
      </c>
      <c r="F4310" t="s">
        <v>32</v>
      </c>
      <c r="G4310" t="s">
        <v>49</v>
      </c>
      <c r="H4310" t="s">
        <v>83</v>
      </c>
      <c r="I4310" t="s">
        <v>50</v>
      </c>
      <c r="J4310" t="s">
        <v>44</v>
      </c>
      <c r="K4310">
        <v>9</v>
      </c>
      <c r="L4310">
        <v>74285</v>
      </c>
      <c r="M4310" t="s">
        <v>36</v>
      </c>
      <c r="N4310">
        <v>4</v>
      </c>
      <c r="O4310">
        <v>1</v>
      </c>
      <c r="P4310">
        <v>28</v>
      </c>
      <c r="Q4310">
        <v>2</v>
      </c>
      <c r="R4310" s="1">
        <v>41798</v>
      </c>
      <c r="S4310" t="s">
        <v>29</v>
      </c>
      <c r="T4310" t="str">
        <f t="shared" si="335"/>
        <v>Grade B</v>
      </c>
      <c r="U4310">
        <f t="shared" si="336"/>
        <v>1</v>
      </c>
      <c r="V4310" t="str">
        <f t="shared" si="337"/>
        <v>Mid Level</v>
      </c>
      <c r="W4310" t="str">
        <f t="shared" si="338"/>
        <v>Medium Risk</v>
      </c>
      <c r="X4310" t="str">
        <f t="shared" si="339"/>
        <v>Fair</v>
      </c>
    </row>
    <row r="4311" spans="1:24" x14ac:dyDescent="0.3">
      <c r="A4311" t="s">
        <v>4379</v>
      </c>
      <c r="B4311" t="s">
        <v>39</v>
      </c>
      <c r="C4311">
        <v>33</v>
      </c>
      <c r="D4311" t="s">
        <v>31</v>
      </c>
      <c r="E4311" t="s">
        <v>48</v>
      </c>
      <c r="F4311" t="s">
        <v>41</v>
      </c>
      <c r="G4311" t="s">
        <v>79</v>
      </c>
      <c r="H4311" t="s">
        <v>67</v>
      </c>
      <c r="I4311" t="s">
        <v>96</v>
      </c>
      <c r="J4311" t="s">
        <v>44</v>
      </c>
      <c r="K4311">
        <v>4</v>
      </c>
      <c r="L4311">
        <v>51818</v>
      </c>
      <c r="M4311" t="s">
        <v>28</v>
      </c>
      <c r="N4311">
        <v>2</v>
      </c>
      <c r="O4311">
        <v>1</v>
      </c>
      <c r="P4311">
        <v>21</v>
      </c>
      <c r="Q4311">
        <v>2</v>
      </c>
      <c r="R4311" s="1">
        <v>43731</v>
      </c>
      <c r="S4311" t="s">
        <v>37</v>
      </c>
      <c r="T4311" t="str">
        <f t="shared" si="335"/>
        <v>Grade B</v>
      </c>
      <c r="U4311">
        <f t="shared" si="336"/>
        <v>3</v>
      </c>
      <c r="V4311" t="str">
        <f t="shared" si="337"/>
        <v>Junior</v>
      </c>
      <c r="W4311" t="str">
        <f t="shared" si="338"/>
        <v>Already Left</v>
      </c>
      <c r="X4311" t="str">
        <f t="shared" si="339"/>
        <v>Competitive</v>
      </c>
    </row>
    <row r="4312" spans="1:24" x14ac:dyDescent="0.3">
      <c r="A4312" t="s">
        <v>4380</v>
      </c>
      <c r="B4312" t="s">
        <v>39</v>
      </c>
      <c r="C4312">
        <v>32</v>
      </c>
      <c r="D4312" t="s">
        <v>57</v>
      </c>
      <c r="E4312" t="s">
        <v>48</v>
      </c>
      <c r="F4312" t="s">
        <v>53</v>
      </c>
      <c r="G4312" t="s">
        <v>58</v>
      </c>
      <c r="H4312" t="s">
        <v>83</v>
      </c>
      <c r="I4312" t="s">
        <v>50</v>
      </c>
      <c r="J4312" t="s">
        <v>44</v>
      </c>
      <c r="K4312">
        <v>4</v>
      </c>
      <c r="L4312">
        <v>99674</v>
      </c>
      <c r="M4312" t="s">
        <v>45</v>
      </c>
      <c r="N4312">
        <v>1</v>
      </c>
      <c r="O4312">
        <v>4</v>
      </c>
      <c r="P4312">
        <v>72</v>
      </c>
      <c r="Q4312">
        <v>0</v>
      </c>
      <c r="R4312" s="1">
        <v>43688</v>
      </c>
      <c r="S4312" t="s">
        <v>37</v>
      </c>
      <c r="T4312" t="str">
        <f t="shared" si="335"/>
        <v>Grade A</v>
      </c>
      <c r="U4312">
        <f t="shared" si="336"/>
        <v>2</v>
      </c>
      <c r="V4312" t="str">
        <f t="shared" si="337"/>
        <v>Junior</v>
      </c>
      <c r="W4312" t="str">
        <f t="shared" si="338"/>
        <v>Already Left</v>
      </c>
      <c r="X4312" t="str">
        <f t="shared" si="339"/>
        <v>Fair</v>
      </c>
    </row>
    <row r="4313" spans="1:24" x14ac:dyDescent="0.3">
      <c r="A4313" t="s">
        <v>4381</v>
      </c>
      <c r="B4313" t="s">
        <v>39</v>
      </c>
      <c r="C4313">
        <v>35</v>
      </c>
      <c r="D4313" t="s">
        <v>21</v>
      </c>
      <c r="E4313" t="s">
        <v>40</v>
      </c>
      <c r="F4313" t="s">
        <v>32</v>
      </c>
      <c r="G4313" t="s">
        <v>42</v>
      </c>
      <c r="H4313" t="s">
        <v>67</v>
      </c>
      <c r="I4313" t="s">
        <v>68</v>
      </c>
      <c r="J4313" t="s">
        <v>60</v>
      </c>
      <c r="K4313">
        <v>4</v>
      </c>
      <c r="L4313">
        <v>105224</v>
      </c>
      <c r="M4313" t="s">
        <v>28</v>
      </c>
      <c r="N4313">
        <v>4</v>
      </c>
      <c r="O4313">
        <v>4</v>
      </c>
      <c r="P4313">
        <v>76</v>
      </c>
      <c r="Q4313">
        <v>0</v>
      </c>
      <c r="R4313" s="1">
        <v>43762</v>
      </c>
      <c r="S4313" t="s">
        <v>29</v>
      </c>
      <c r="T4313" t="str">
        <f t="shared" si="335"/>
        <v>Grade A</v>
      </c>
      <c r="U4313">
        <f t="shared" si="336"/>
        <v>3</v>
      </c>
      <c r="V4313" t="str">
        <f t="shared" si="337"/>
        <v>Junior</v>
      </c>
      <c r="W4313" t="str">
        <f t="shared" si="338"/>
        <v>Medium Risk</v>
      </c>
      <c r="X4313" t="str">
        <f t="shared" si="339"/>
        <v>Competitive</v>
      </c>
    </row>
    <row r="4314" spans="1:24" x14ac:dyDescent="0.3">
      <c r="A4314" t="s">
        <v>4382</v>
      </c>
      <c r="B4314" t="s">
        <v>20</v>
      </c>
      <c r="C4314">
        <v>43</v>
      </c>
      <c r="D4314" t="s">
        <v>57</v>
      </c>
      <c r="E4314" t="s">
        <v>22</v>
      </c>
      <c r="F4314" t="s">
        <v>53</v>
      </c>
      <c r="G4314" t="s">
        <v>33</v>
      </c>
      <c r="H4314" t="s">
        <v>83</v>
      </c>
      <c r="I4314" t="s">
        <v>43</v>
      </c>
      <c r="J4314" t="s">
        <v>44</v>
      </c>
      <c r="K4314">
        <v>3</v>
      </c>
      <c r="L4314">
        <v>69603</v>
      </c>
      <c r="M4314" t="s">
        <v>45</v>
      </c>
      <c r="N4314">
        <v>4</v>
      </c>
      <c r="O4314">
        <v>4</v>
      </c>
      <c r="P4314">
        <v>29</v>
      </c>
      <c r="Q4314">
        <v>0</v>
      </c>
      <c r="R4314" s="1">
        <v>43864</v>
      </c>
      <c r="S4314" t="s">
        <v>29</v>
      </c>
      <c r="T4314" t="str">
        <f t="shared" si="335"/>
        <v>Grade B</v>
      </c>
      <c r="U4314">
        <f t="shared" si="336"/>
        <v>2</v>
      </c>
      <c r="V4314" t="str">
        <f t="shared" si="337"/>
        <v>Junior</v>
      </c>
      <c r="W4314" t="str">
        <f t="shared" si="338"/>
        <v>Medium Risk</v>
      </c>
      <c r="X4314" t="str">
        <f t="shared" si="339"/>
        <v>Fair</v>
      </c>
    </row>
    <row r="4315" spans="1:24" x14ac:dyDescent="0.3">
      <c r="A4315" t="s">
        <v>4383</v>
      </c>
      <c r="B4315" t="s">
        <v>20</v>
      </c>
      <c r="C4315">
        <v>33</v>
      </c>
      <c r="D4315" t="s">
        <v>21</v>
      </c>
      <c r="E4315" t="s">
        <v>22</v>
      </c>
      <c r="F4315" t="s">
        <v>41</v>
      </c>
      <c r="G4315" t="s">
        <v>66</v>
      </c>
      <c r="H4315" t="s">
        <v>76</v>
      </c>
      <c r="I4315" t="s">
        <v>80</v>
      </c>
      <c r="J4315" t="s">
        <v>60</v>
      </c>
      <c r="K4315">
        <v>14</v>
      </c>
      <c r="L4315">
        <v>54802</v>
      </c>
      <c r="M4315" t="s">
        <v>28</v>
      </c>
      <c r="N4315">
        <v>4</v>
      </c>
      <c r="O4315">
        <v>1</v>
      </c>
      <c r="P4315">
        <v>25</v>
      </c>
      <c r="Q4315">
        <v>2</v>
      </c>
      <c r="R4315" s="1">
        <v>40150</v>
      </c>
      <c r="S4315" t="s">
        <v>29</v>
      </c>
      <c r="T4315" t="str">
        <f t="shared" si="335"/>
        <v>Grade B</v>
      </c>
      <c r="U4315">
        <f t="shared" si="336"/>
        <v>3</v>
      </c>
      <c r="V4315" t="str">
        <f t="shared" si="337"/>
        <v>Senior</v>
      </c>
      <c r="W4315" t="str">
        <f t="shared" si="338"/>
        <v>Medium Risk</v>
      </c>
      <c r="X4315" t="str">
        <f t="shared" si="339"/>
        <v>Competitive</v>
      </c>
    </row>
    <row r="4316" spans="1:24" x14ac:dyDescent="0.3">
      <c r="A4316" t="s">
        <v>4384</v>
      </c>
      <c r="B4316" t="s">
        <v>39</v>
      </c>
      <c r="C4316">
        <v>38</v>
      </c>
      <c r="D4316" t="s">
        <v>21</v>
      </c>
      <c r="E4316" t="s">
        <v>40</v>
      </c>
      <c r="F4316" t="s">
        <v>23</v>
      </c>
      <c r="G4316" t="s">
        <v>66</v>
      </c>
      <c r="H4316" t="s">
        <v>76</v>
      </c>
      <c r="I4316" t="s">
        <v>26</v>
      </c>
      <c r="J4316" t="s">
        <v>27</v>
      </c>
      <c r="K4316">
        <v>6</v>
      </c>
      <c r="L4316">
        <v>53494</v>
      </c>
      <c r="M4316" t="s">
        <v>45</v>
      </c>
      <c r="N4316">
        <v>2</v>
      </c>
      <c r="O4316">
        <v>3</v>
      </c>
      <c r="P4316">
        <v>42</v>
      </c>
      <c r="Q4316">
        <v>2</v>
      </c>
      <c r="R4316" s="1">
        <v>43099</v>
      </c>
      <c r="S4316" t="s">
        <v>29</v>
      </c>
      <c r="T4316" t="str">
        <f t="shared" si="335"/>
        <v>Grade B</v>
      </c>
      <c r="U4316">
        <f t="shared" si="336"/>
        <v>2</v>
      </c>
      <c r="V4316" t="str">
        <f t="shared" si="337"/>
        <v>Mid Level</v>
      </c>
      <c r="W4316" t="str">
        <f t="shared" si="338"/>
        <v>Medium Risk</v>
      </c>
      <c r="X4316" t="str">
        <f t="shared" si="339"/>
        <v>Fair</v>
      </c>
    </row>
    <row r="4317" spans="1:24" x14ac:dyDescent="0.3">
      <c r="A4317" t="s">
        <v>4385</v>
      </c>
      <c r="B4317" t="s">
        <v>39</v>
      </c>
      <c r="C4317">
        <v>31</v>
      </c>
      <c r="D4317" t="s">
        <v>47</v>
      </c>
      <c r="E4317" t="s">
        <v>40</v>
      </c>
      <c r="F4317" t="s">
        <v>75</v>
      </c>
      <c r="G4317" t="s">
        <v>63</v>
      </c>
      <c r="H4317" t="s">
        <v>83</v>
      </c>
      <c r="I4317" t="s">
        <v>26</v>
      </c>
      <c r="J4317" t="s">
        <v>27</v>
      </c>
      <c r="K4317">
        <v>14</v>
      </c>
      <c r="L4317">
        <v>73899</v>
      </c>
      <c r="M4317" t="s">
        <v>45</v>
      </c>
      <c r="N4317">
        <v>4</v>
      </c>
      <c r="O4317">
        <v>2</v>
      </c>
      <c r="P4317">
        <v>33</v>
      </c>
      <c r="Q4317">
        <v>1</v>
      </c>
      <c r="R4317" s="1">
        <v>39945</v>
      </c>
      <c r="S4317" t="s">
        <v>29</v>
      </c>
      <c r="T4317" t="str">
        <f t="shared" si="335"/>
        <v>Grade B</v>
      </c>
      <c r="U4317">
        <f t="shared" si="336"/>
        <v>2</v>
      </c>
      <c r="V4317" t="str">
        <f t="shared" si="337"/>
        <v>Senior</v>
      </c>
      <c r="W4317" t="str">
        <f t="shared" si="338"/>
        <v>Medium Risk</v>
      </c>
      <c r="X4317" t="str">
        <f t="shared" si="339"/>
        <v>Fair</v>
      </c>
    </row>
    <row r="4318" spans="1:24" x14ac:dyDescent="0.3">
      <c r="A4318" t="s">
        <v>4386</v>
      </c>
      <c r="B4318" t="s">
        <v>39</v>
      </c>
      <c r="C4318">
        <v>41</v>
      </c>
      <c r="D4318" t="s">
        <v>47</v>
      </c>
      <c r="E4318" t="s">
        <v>48</v>
      </c>
      <c r="F4318" t="s">
        <v>32</v>
      </c>
      <c r="G4318" t="s">
        <v>58</v>
      </c>
      <c r="H4318" t="s">
        <v>76</v>
      </c>
      <c r="I4318" t="s">
        <v>68</v>
      </c>
      <c r="J4318" t="s">
        <v>60</v>
      </c>
      <c r="K4318">
        <v>8</v>
      </c>
      <c r="L4318">
        <v>110580</v>
      </c>
      <c r="M4318" t="s">
        <v>36</v>
      </c>
      <c r="N4318">
        <v>1</v>
      </c>
      <c r="O4318">
        <v>4</v>
      </c>
      <c r="P4318">
        <v>17</v>
      </c>
      <c r="Q4318">
        <v>0</v>
      </c>
      <c r="R4318" s="1">
        <v>42183</v>
      </c>
      <c r="S4318" t="s">
        <v>29</v>
      </c>
      <c r="T4318" t="str">
        <f t="shared" si="335"/>
        <v>Grade A</v>
      </c>
      <c r="U4318">
        <f t="shared" si="336"/>
        <v>1</v>
      </c>
      <c r="V4318" t="str">
        <f t="shared" si="337"/>
        <v>Mid Level</v>
      </c>
      <c r="W4318" t="str">
        <f t="shared" si="338"/>
        <v>Medium Risk</v>
      </c>
      <c r="X4318" t="str">
        <f t="shared" si="339"/>
        <v>Overpaid</v>
      </c>
    </row>
    <row r="4319" spans="1:24" x14ac:dyDescent="0.3">
      <c r="A4319" t="s">
        <v>4387</v>
      </c>
      <c r="B4319" t="s">
        <v>20</v>
      </c>
      <c r="C4319">
        <v>30</v>
      </c>
      <c r="D4319" t="s">
        <v>31</v>
      </c>
      <c r="E4319" t="s">
        <v>40</v>
      </c>
      <c r="F4319" t="s">
        <v>65</v>
      </c>
      <c r="G4319" t="s">
        <v>24</v>
      </c>
      <c r="H4319" t="s">
        <v>34</v>
      </c>
      <c r="I4319" t="s">
        <v>59</v>
      </c>
      <c r="J4319" t="s">
        <v>60</v>
      </c>
      <c r="K4319">
        <v>11</v>
      </c>
      <c r="L4319">
        <v>90956</v>
      </c>
      <c r="M4319" t="s">
        <v>51</v>
      </c>
      <c r="N4319">
        <v>2</v>
      </c>
      <c r="O4319">
        <v>1</v>
      </c>
      <c r="P4319">
        <v>74</v>
      </c>
      <c r="Q4319">
        <v>3</v>
      </c>
      <c r="R4319" s="1">
        <v>41086</v>
      </c>
      <c r="S4319" t="s">
        <v>29</v>
      </c>
      <c r="T4319" t="str">
        <f t="shared" si="335"/>
        <v>Grade A</v>
      </c>
      <c r="U4319">
        <f t="shared" si="336"/>
        <v>4</v>
      </c>
      <c r="V4319" t="str">
        <f t="shared" si="337"/>
        <v>Senior</v>
      </c>
      <c r="W4319" t="str">
        <f t="shared" si="338"/>
        <v>Low Risk</v>
      </c>
      <c r="X4319" t="str">
        <f t="shared" si="339"/>
        <v>Competitive</v>
      </c>
    </row>
    <row r="4320" spans="1:24" x14ac:dyDescent="0.3">
      <c r="A4320" t="s">
        <v>4388</v>
      </c>
      <c r="B4320" t="s">
        <v>20</v>
      </c>
      <c r="C4320">
        <v>26</v>
      </c>
      <c r="D4320" t="s">
        <v>21</v>
      </c>
      <c r="E4320" t="s">
        <v>40</v>
      </c>
      <c r="F4320" t="s">
        <v>32</v>
      </c>
      <c r="G4320" t="s">
        <v>79</v>
      </c>
      <c r="H4320" t="s">
        <v>83</v>
      </c>
      <c r="I4320" t="s">
        <v>26</v>
      </c>
      <c r="J4320" t="s">
        <v>27</v>
      </c>
      <c r="K4320">
        <v>7</v>
      </c>
      <c r="L4320">
        <v>62210</v>
      </c>
      <c r="M4320" t="s">
        <v>51</v>
      </c>
      <c r="N4320">
        <v>2</v>
      </c>
      <c r="O4320">
        <v>1</v>
      </c>
      <c r="P4320">
        <v>26</v>
      </c>
      <c r="Q4320">
        <v>3</v>
      </c>
      <c r="R4320" s="1">
        <v>42724</v>
      </c>
      <c r="S4320" t="s">
        <v>29</v>
      </c>
      <c r="T4320" t="str">
        <f t="shared" si="335"/>
        <v>Grade B</v>
      </c>
      <c r="U4320">
        <f t="shared" si="336"/>
        <v>4</v>
      </c>
      <c r="V4320" t="str">
        <f t="shared" si="337"/>
        <v>Mid Level</v>
      </c>
      <c r="W4320" t="str">
        <f t="shared" si="338"/>
        <v>Low Risk</v>
      </c>
      <c r="X4320" t="str">
        <f t="shared" si="339"/>
        <v>Fair</v>
      </c>
    </row>
    <row r="4321" spans="1:24" x14ac:dyDescent="0.3">
      <c r="A4321" t="s">
        <v>4389</v>
      </c>
      <c r="B4321" t="s">
        <v>20</v>
      </c>
      <c r="C4321">
        <v>52</v>
      </c>
      <c r="D4321" t="s">
        <v>31</v>
      </c>
      <c r="E4321" t="s">
        <v>48</v>
      </c>
      <c r="F4321" t="s">
        <v>23</v>
      </c>
      <c r="G4321" t="s">
        <v>79</v>
      </c>
      <c r="H4321" t="s">
        <v>34</v>
      </c>
      <c r="I4321" t="s">
        <v>26</v>
      </c>
      <c r="J4321" t="s">
        <v>27</v>
      </c>
      <c r="K4321">
        <v>7</v>
      </c>
      <c r="L4321">
        <v>45590</v>
      </c>
      <c r="M4321" t="s">
        <v>51</v>
      </c>
      <c r="N4321">
        <v>4</v>
      </c>
      <c r="O4321">
        <v>4</v>
      </c>
      <c r="P4321">
        <v>75</v>
      </c>
      <c r="Q4321">
        <v>0</v>
      </c>
      <c r="R4321" s="1">
        <v>42445</v>
      </c>
      <c r="S4321" t="s">
        <v>29</v>
      </c>
      <c r="T4321" t="str">
        <f t="shared" si="335"/>
        <v>Grade C</v>
      </c>
      <c r="U4321">
        <f t="shared" si="336"/>
        <v>4</v>
      </c>
      <c r="V4321" t="str">
        <f t="shared" si="337"/>
        <v>Mid Level</v>
      </c>
      <c r="W4321" t="str">
        <f t="shared" si="338"/>
        <v>Low Risk</v>
      </c>
      <c r="X4321" t="str">
        <f t="shared" si="339"/>
        <v>Fair</v>
      </c>
    </row>
    <row r="4322" spans="1:24" x14ac:dyDescent="0.3">
      <c r="A4322" t="s">
        <v>4390</v>
      </c>
      <c r="B4322" t="s">
        <v>20</v>
      </c>
      <c r="C4322">
        <v>37</v>
      </c>
      <c r="D4322" t="s">
        <v>31</v>
      </c>
      <c r="E4322" t="s">
        <v>48</v>
      </c>
      <c r="F4322" t="s">
        <v>62</v>
      </c>
      <c r="G4322" t="s">
        <v>63</v>
      </c>
      <c r="H4322" t="s">
        <v>34</v>
      </c>
      <c r="I4322" t="s">
        <v>59</v>
      </c>
      <c r="J4322" t="s">
        <v>60</v>
      </c>
      <c r="K4322">
        <v>2</v>
      </c>
      <c r="L4322">
        <v>46630</v>
      </c>
      <c r="M4322" t="s">
        <v>28</v>
      </c>
      <c r="N4322">
        <v>4</v>
      </c>
      <c r="O4322">
        <v>3</v>
      </c>
      <c r="P4322">
        <v>13</v>
      </c>
      <c r="Q4322">
        <v>2</v>
      </c>
      <c r="R4322" s="1">
        <v>44452</v>
      </c>
      <c r="S4322" t="s">
        <v>29</v>
      </c>
      <c r="T4322" t="str">
        <f t="shared" si="335"/>
        <v>Grade C</v>
      </c>
      <c r="U4322">
        <f t="shared" si="336"/>
        <v>3</v>
      </c>
      <c r="V4322" t="str">
        <f t="shared" si="337"/>
        <v>New Joiner</v>
      </c>
      <c r="W4322" t="str">
        <f t="shared" si="338"/>
        <v>Medium Risk</v>
      </c>
      <c r="X4322" t="str">
        <f t="shared" si="339"/>
        <v>Fair</v>
      </c>
    </row>
    <row r="4323" spans="1:24" x14ac:dyDescent="0.3">
      <c r="A4323" t="s">
        <v>4391</v>
      </c>
      <c r="B4323" t="s">
        <v>20</v>
      </c>
      <c r="C4323">
        <v>40</v>
      </c>
      <c r="D4323" t="s">
        <v>88</v>
      </c>
      <c r="E4323" t="s">
        <v>40</v>
      </c>
      <c r="F4323" t="s">
        <v>62</v>
      </c>
      <c r="G4323" t="s">
        <v>33</v>
      </c>
      <c r="H4323" t="s">
        <v>76</v>
      </c>
      <c r="I4323" t="s">
        <v>96</v>
      </c>
      <c r="J4323" t="s">
        <v>44</v>
      </c>
      <c r="K4323">
        <v>8</v>
      </c>
      <c r="L4323">
        <v>69513</v>
      </c>
      <c r="M4323" t="s">
        <v>51</v>
      </c>
      <c r="N4323">
        <v>4</v>
      </c>
      <c r="O4323">
        <v>3</v>
      </c>
      <c r="P4323">
        <v>40</v>
      </c>
      <c r="Q4323">
        <v>1</v>
      </c>
      <c r="R4323" s="1">
        <v>42201</v>
      </c>
      <c r="S4323" t="s">
        <v>29</v>
      </c>
      <c r="T4323" t="str">
        <f t="shared" si="335"/>
        <v>Grade B</v>
      </c>
      <c r="U4323">
        <f t="shared" si="336"/>
        <v>4</v>
      </c>
      <c r="V4323" t="str">
        <f t="shared" si="337"/>
        <v>Mid Level</v>
      </c>
      <c r="W4323" t="str">
        <f t="shared" si="338"/>
        <v>Low Risk</v>
      </c>
      <c r="X4323" t="str">
        <f t="shared" si="339"/>
        <v>Fair</v>
      </c>
    </row>
    <row r="4324" spans="1:24" x14ac:dyDescent="0.3">
      <c r="A4324" t="s">
        <v>4392</v>
      </c>
      <c r="B4324" t="s">
        <v>20</v>
      </c>
      <c r="C4324">
        <v>22</v>
      </c>
      <c r="D4324" t="s">
        <v>88</v>
      </c>
      <c r="E4324" t="s">
        <v>40</v>
      </c>
      <c r="F4324" t="s">
        <v>62</v>
      </c>
      <c r="G4324" t="s">
        <v>79</v>
      </c>
      <c r="H4324" t="s">
        <v>76</v>
      </c>
      <c r="I4324" t="s">
        <v>68</v>
      </c>
      <c r="J4324" t="s">
        <v>60</v>
      </c>
      <c r="K4324">
        <v>4</v>
      </c>
      <c r="L4324">
        <v>55503</v>
      </c>
      <c r="M4324" t="s">
        <v>36</v>
      </c>
      <c r="N4324">
        <v>2</v>
      </c>
      <c r="O4324">
        <v>2</v>
      </c>
      <c r="P4324">
        <v>59</v>
      </c>
      <c r="Q4324">
        <v>1</v>
      </c>
      <c r="R4324" s="1">
        <v>43560</v>
      </c>
      <c r="S4324" t="s">
        <v>37</v>
      </c>
      <c r="T4324" t="str">
        <f t="shared" si="335"/>
        <v>Grade B</v>
      </c>
      <c r="U4324">
        <f t="shared" si="336"/>
        <v>1</v>
      </c>
      <c r="V4324" t="str">
        <f t="shared" si="337"/>
        <v>Junior</v>
      </c>
      <c r="W4324" t="str">
        <f t="shared" si="338"/>
        <v>Already Left</v>
      </c>
      <c r="X4324" t="str">
        <f t="shared" si="339"/>
        <v>Fair</v>
      </c>
    </row>
    <row r="4325" spans="1:24" x14ac:dyDescent="0.3">
      <c r="A4325" t="s">
        <v>4393</v>
      </c>
      <c r="B4325" t="s">
        <v>39</v>
      </c>
      <c r="C4325">
        <v>38</v>
      </c>
      <c r="D4325" t="s">
        <v>21</v>
      </c>
      <c r="E4325" t="s">
        <v>22</v>
      </c>
      <c r="F4325" t="s">
        <v>32</v>
      </c>
      <c r="G4325" t="s">
        <v>24</v>
      </c>
      <c r="H4325" t="s">
        <v>83</v>
      </c>
      <c r="I4325" t="s">
        <v>80</v>
      </c>
      <c r="J4325" t="s">
        <v>60</v>
      </c>
      <c r="K4325">
        <v>7</v>
      </c>
      <c r="L4325">
        <v>79638</v>
      </c>
      <c r="M4325" t="s">
        <v>28</v>
      </c>
      <c r="N4325">
        <v>3</v>
      </c>
      <c r="O4325">
        <v>2</v>
      </c>
      <c r="P4325">
        <v>18</v>
      </c>
      <c r="Q4325">
        <v>3</v>
      </c>
      <c r="R4325" s="1">
        <v>42475</v>
      </c>
      <c r="S4325" t="s">
        <v>29</v>
      </c>
      <c r="T4325" t="str">
        <f t="shared" si="335"/>
        <v>Grade B</v>
      </c>
      <c r="U4325">
        <f t="shared" si="336"/>
        <v>3</v>
      </c>
      <c r="V4325" t="str">
        <f t="shared" si="337"/>
        <v>Mid Level</v>
      </c>
      <c r="W4325" t="str">
        <f t="shared" si="338"/>
        <v>Medium Risk</v>
      </c>
      <c r="X4325" t="str">
        <f t="shared" si="339"/>
        <v>Competitive</v>
      </c>
    </row>
    <row r="4326" spans="1:24" x14ac:dyDescent="0.3">
      <c r="A4326" t="s">
        <v>4394</v>
      </c>
      <c r="B4326" t="s">
        <v>39</v>
      </c>
      <c r="C4326">
        <v>40</v>
      </c>
      <c r="D4326" t="s">
        <v>57</v>
      </c>
      <c r="E4326" t="s">
        <v>22</v>
      </c>
      <c r="F4326" t="s">
        <v>41</v>
      </c>
      <c r="G4326" t="s">
        <v>33</v>
      </c>
      <c r="H4326" t="s">
        <v>83</v>
      </c>
      <c r="I4326" t="s">
        <v>59</v>
      </c>
      <c r="J4326" t="s">
        <v>60</v>
      </c>
      <c r="K4326">
        <v>11</v>
      </c>
      <c r="L4326">
        <v>79813</v>
      </c>
      <c r="M4326" t="s">
        <v>51</v>
      </c>
      <c r="N4326">
        <v>3</v>
      </c>
      <c r="O4326">
        <v>2</v>
      </c>
      <c r="P4326">
        <v>53</v>
      </c>
      <c r="Q4326">
        <v>3</v>
      </c>
      <c r="R4326" s="1">
        <v>40922</v>
      </c>
      <c r="S4326" t="s">
        <v>29</v>
      </c>
      <c r="T4326" t="str">
        <f t="shared" si="335"/>
        <v>Grade B</v>
      </c>
      <c r="U4326">
        <f t="shared" si="336"/>
        <v>4</v>
      </c>
      <c r="V4326" t="str">
        <f t="shared" si="337"/>
        <v>Senior</v>
      </c>
      <c r="W4326" t="str">
        <f t="shared" si="338"/>
        <v>Low Risk</v>
      </c>
      <c r="X4326" t="str">
        <f t="shared" si="339"/>
        <v>Fair</v>
      </c>
    </row>
    <row r="4327" spans="1:24" x14ac:dyDescent="0.3">
      <c r="A4327" t="s">
        <v>4395</v>
      </c>
      <c r="B4327" t="s">
        <v>39</v>
      </c>
      <c r="C4327">
        <v>55</v>
      </c>
      <c r="D4327" t="s">
        <v>21</v>
      </c>
      <c r="E4327" t="s">
        <v>40</v>
      </c>
      <c r="F4327" t="s">
        <v>32</v>
      </c>
      <c r="G4327" t="s">
        <v>79</v>
      </c>
      <c r="H4327" t="s">
        <v>34</v>
      </c>
      <c r="I4327" t="s">
        <v>96</v>
      </c>
      <c r="J4327" t="s">
        <v>44</v>
      </c>
      <c r="K4327">
        <v>4</v>
      </c>
      <c r="L4327">
        <v>50704</v>
      </c>
      <c r="M4327" t="s">
        <v>51</v>
      </c>
      <c r="N4327">
        <v>3</v>
      </c>
      <c r="O4327">
        <v>3</v>
      </c>
      <c r="P4327">
        <v>14</v>
      </c>
      <c r="Q4327">
        <v>3</v>
      </c>
      <c r="R4327" s="1">
        <v>43604</v>
      </c>
      <c r="S4327" t="s">
        <v>29</v>
      </c>
      <c r="T4327" t="str">
        <f t="shared" si="335"/>
        <v>Grade B</v>
      </c>
      <c r="U4327">
        <f t="shared" si="336"/>
        <v>4</v>
      </c>
      <c r="V4327" t="str">
        <f t="shared" si="337"/>
        <v>Junior</v>
      </c>
      <c r="W4327" t="str">
        <f t="shared" si="338"/>
        <v>Low Risk</v>
      </c>
      <c r="X4327" t="str">
        <f t="shared" si="339"/>
        <v>Fair</v>
      </c>
    </row>
    <row r="4328" spans="1:24" x14ac:dyDescent="0.3">
      <c r="A4328" t="s">
        <v>4396</v>
      </c>
      <c r="B4328" t="s">
        <v>20</v>
      </c>
      <c r="C4328">
        <v>35</v>
      </c>
      <c r="D4328" t="s">
        <v>31</v>
      </c>
      <c r="E4328" t="s">
        <v>48</v>
      </c>
      <c r="F4328" t="s">
        <v>62</v>
      </c>
      <c r="G4328" t="s">
        <v>58</v>
      </c>
      <c r="H4328" t="s">
        <v>67</v>
      </c>
      <c r="I4328" t="s">
        <v>59</v>
      </c>
      <c r="J4328" t="s">
        <v>60</v>
      </c>
      <c r="K4328">
        <v>10</v>
      </c>
      <c r="L4328">
        <v>112988</v>
      </c>
      <c r="M4328" t="s">
        <v>51</v>
      </c>
      <c r="N4328">
        <v>4</v>
      </c>
      <c r="O4328">
        <v>4</v>
      </c>
      <c r="P4328">
        <v>53</v>
      </c>
      <c r="Q4328">
        <v>3</v>
      </c>
      <c r="R4328" s="1">
        <v>41321</v>
      </c>
      <c r="S4328" t="s">
        <v>29</v>
      </c>
      <c r="T4328" t="str">
        <f t="shared" si="335"/>
        <v>Grade A</v>
      </c>
      <c r="U4328">
        <f t="shared" si="336"/>
        <v>4</v>
      </c>
      <c r="V4328" t="str">
        <f t="shared" si="337"/>
        <v>Mid Level</v>
      </c>
      <c r="W4328" t="str">
        <f t="shared" si="338"/>
        <v>Low Risk</v>
      </c>
      <c r="X4328" t="str">
        <f t="shared" si="339"/>
        <v>Competitive</v>
      </c>
    </row>
    <row r="4329" spans="1:24" x14ac:dyDescent="0.3">
      <c r="A4329" t="s">
        <v>4397</v>
      </c>
      <c r="B4329" t="s">
        <v>20</v>
      </c>
      <c r="C4329">
        <v>45</v>
      </c>
      <c r="D4329" t="s">
        <v>57</v>
      </c>
      <c r="E4329" t="s">
        <v>48</v>
      </c>
      <c r="F4329" t="s">
        <v>41</v>
      </c>
      <c r="G4329" t="s">
        <v>24</v>
      </c>
      <c r="H4329" t="s">
        <v>25</v>
      </c>
      <c r="I4329" t="s">
        <v>50</v>
      </c>
      <c r="J4329" t="s">
        <v>44</v>
      </c>
      <c r="K4329">
        <v>15</v>
      </c>
      <c r="L4329">
        <v>99365</v>
      </c>
      <c r="M4329" t="s">
        <v>45</v>
      </c>
      <c r="N4329">
        <v>2</v>
      </c>
      <c r="O4329">
        <v>1</v>
      </c>
      <c r="P4329">
        <v>16</v>
      </c>
      <c r="Q4329">
        <v>2</v>
      </c>
      <c r="R4329" s="1">
        <v>39797</v>
      </c>
      <c r="S4329" t="s">
        <v>29</v>
      </c>
      <c r="T4329" t="str">
        <f t="shared" si="335"/>
        <v>Grade A</v>
      </c>
      <c r="U4329">
        <f t="shared" si="336"/>
        <v>2</v>
      </c>
      <c r="V4329" t="str">
        <f t="shared" si="337"/>
        <v>Senior</v>
      </c>
      <c r="W4329" t="str">
        <f t="shared" si="338"/>
        <v>Medium Risk</v>
      </c>
      <c r="X4329" t="str">
        <f t="shared" si="339"/>
        <v>Fair</v>
      </c>
    </row>
    <row r="4330" spans="1:24" x14ac:dyDescent="0.3">
      <c r="A4330" t="s">
        <v>4398</v>
      </c>
      <c r="B4330" t="s">
        <v>39</v>
      </c>
      <c r="C4330">
        <v>33</v>
      </c>
      <c r="D4330" t="s">
        <v>21</v>
      </c>
      <c r="E4330" t="s">
        <v>22</v>
      </c>
      <c r="F4330" t="s">
        <v>75</v>
      </c>
      <c r="G4330" t="s">
        <v>63</v>
      </c>
      <c r="H4330" t="s">
        <v>34</v>
      </c>
      <c r="I4330" t="s">
        <v>59</v>
      </c>
      <c r="J4330" t="s">
        <v>60</v>
      </c>
      <c r="K4330">
        <v>9</v>
      </c>
      <c r="L4330">
        <v>61958</v>
      </c>
      <c r="M4330" t="s">
        <v>51</v>
      </c>
      <c r="N4330">
        <v>4</v>
      </c>
      <c r="O4330">
        <v>4</v>
      </c>
      <c r="P4330">
        <v>62</v>
      </c>
      <c r="Q4330">
        <v>3</v>
      </c>
      <c r="R4330" s="1">
        <v>41847</v>
      </c>
      <c r="S4330" t="s">
        <v>29</v>
      </c>
      <c r="T4330" t="str">
        <f t="shared" si="335"/>
        <v>Grade B</v>
      </c>
      <c r="U4330">
        <f t="shared" si="336"/>
        <v>4</v>
      </c>
      <c r="V4330" t="str">
        <f t="shared" si="337"/>
        <v>Mid Level</v>
      </c>
      <c r="W4330" t="str">
        <f t="shared" si="338"/>
        <v>Low Risk</v>
      </c>
      <c r="X4330" t="str">
        <f t="shared" si="339"/>
        <v>Fair</v>
      </c>
    </row>
    <row r="4331" spans="1:24" x14ac:dyDescent="0.3">
      <c r="A4331" t="s">
        <v>4399</v>
      </c>
      <c r="B4331" t="s">
        <v>39</v>
      </c>
      <c r="C4331">
        <v>22</v>
      </c>
      <c r="D4331" t="s">
        <v>88</v>
      </c>
      <c r="E4331" t="s">
        <v>22</v>
      </c>
      <c r="F4331" t="s">
        <v>53</v>
      </c>
      <c r="G4331" t="s">
        <v>42</v>
      </c>
      <c r="H4331" t="s">
        <v>34</v>
      </c>
      <c r="I4331" t="s">
        <v>26</v>
      </c>
      <c r="J4331" t="s">
        <v>27</v>
      </c>
      <c r="K4331">
        <v>15</v>
      </c>
      <c r="L4331">
        <v>117524</v>
      </c>
      <c r="M4331" t="s">
        <v>45</v>
      </c>
      <c r="N4331">
        <v>2</v>
      </c>
      <c r="O4331">
        <v>4</v>
      </c>
      <c r="P4331">
        <v>17</v>
      </c>
      <c r="Q4331">
        <v>3</v>
      </c>
      <c r="R4331" s="1">
        <v>39628</v>
      </c>
      <c r="S4331" t="s">
        <v>37</v>
      </c>
      <c r="T4331" t="str">
        <f t="shared" si="335"/>
        <v>Grade A</v>
      </c>
      <c r="U4331">
        <f t="shared" si="336"/>
        <v>2</v>
      </c>
      <c r="V4331" t="str">
        <f t="shared" si="337"/>
        <v>Senior</v>
      </c>
      <c r="W4331" t="str">
        <f t="shared" si="338"/>
        <v>Already Left</v>
      </c>
      <c r="X4331" t="str">
        <f t="shared" si="339"/>
        <v>Fair</v>
      </c>
    </row>
    <row r="4332" spans="1:24" x14ac:dyDescent="0.3">
      <c r="A4332" t="s">
        <v>4400</v>
      </c>
      <c r="B4332" t="s">
        <v>20</v>
      </c>
      <c r="C4332">
        <v>39</v>
      </c>
      <c r="D4332" t="s">
        <v>57</v>
      </c>
      <c r="E4332" t="s">
        <v>22</v>
      </c>
      <c r="F4332" t="s">
        <v>75</v>
      </c>
      <c r="G4332" t="s">
        <v>63</v>
      </c>
      <c r="H4332" t="s">
        <v>76</v>
      </c>
      <c r="I4332" t="s">
        <v>59</v>
      </c>
      <c r="J4332" t="s">
        <v>60</v>
      </c>
      <c r="K4332">
        <v>1</v>
      </c>
      <c r="L4332">
        <v>41959</v>
      </c>
      <c r="M4332" t="s">
        <v>28</v>
      </c>
      <c r="N4332">
        <v>4</v>
      </c>
      <c r="O4332">
        <v>4</v>
      </c>
      <c r="P4332">
        <v>43</v>
      </c>
      <c r="Q4332">
        <v>2</v>
      </c>
      <c r="R4332" s="1">
        <v>44863</v>
      </c>
      <c r="S4332" t="s">
        <v>29</v>
      </c>
      <c r="T4332" t="str">
        <f t="shared" si="335"/>
        <v>Grade C</v>
      </c>
      <c r="U4332">
        <f t="shared" si="336"/>
        <v>3</v>
      </c>
      <c r="V4332" t="str">
        <f t="shared" si="337"/>
        <v>New Joiner</v>
      </c>
      <c r="W4332" t="str">
        <f t="shared" si="338"/>
        <v>Medium Risk</v>
      </c>
      <c r="X4332" t="str">
        <f t="shared" si="339"/>
        <v>Fair</v>
      </c>
    </row>
    <row r="4333" spans="1:24" x14ac:dyDescent="0.3">
      <c r="A4333" t="s">
        <v>4401</v>
      </c>
      <c r="B4333" t="s">
        <v>20</v>
      </c>
      <c r="C4333">
        <v>44</v>
      </c>
      <c r="D4333" t="s">
        <v>31</v>
      </c>
      <c r="E4333" t="s">
        <v>48</v>
      </c>
      <c r="F4333" t="s">
        <v>78</v>
      </c>
      <c r="G4333" t="s">
        <v>49</v>
      </c>
      <c r="H4333" t="s">
        <v>83</v>
      </c>
      <c r="I4333" t="s">
        <v>50</v>
      </c>
      <c r="J4333" t="s">
        <v>44</v>
      </c>
      <c r="K4333">
        <v>3</v>
      </c>
      <c r="L4333">
        <v>65360</v>
      </c>
      <c r="M4333" t="s">
        <v>36</v>
      </c>
      <c r="N4333">
        <v>4</v>
      </c>
      <c r="O4333">
        <v>3</v>
      </c>
      <c r="P4333">
        <v>66</v>
      </c>
      <c r="Q4333">
        <v>3</v>
      </c>
      <c r="R4333" s="1">
        <v>44129</v>
      </c>
      <c r="S4333" t="s">
        <v>37</v>
      </c>
      <c r="T4333" t="str">
        <f t="shared" si="335"/>
        <v>Grade B</v>
      </c>
      <c r="U4333">
        <f t="shared" si="336"/>
        <v>1</v>
      </c>
      <c r="V4333" t="str">
        <f t="shared" si="337"/>
        <v>Junior</v>
      </c>
      <c r="W4333" t="str">
        <f t="shared" si="338"/>
        <v>Already Left</v>
      </c>
      <c r="X4333" t="str">
        <f t="shared" si="339"/>
        <v>Fair</v>
      </c>
    </row>
    <row r="4334" spans="1:24" x14ac:dyDescent="0.3">
      <c r="A4334" t="s">
        <v>4402</v>
      </c>
      <c r="B4334" t="s">
        <v>20</v>
      </c>
      <c r="C4334">
        <v>42</v>
      </c>
      <c r="D4334" t="s">
        <v>31</v>
      </c>
      <c r="E4334" t="s">
        <v>22</v>
      </c>
      <c r="F4334" t="s">
        <v>41</v>
      </c>
      <c r="G4334" t="s">
        <v>58</v>
      </c>
      <c r="H4334" t="s">
        <v>83</v>
      </c>
      <c r="I4334" t="s">
        <v>35</v>
      </c>
      <c r="J4334" t="s">
        <v>27</v>
      </c>
      <c r="K4334">
        <v>14</v>
      </c>
      <c r="L4334">
        <v>104188</v>
      </c>
      <c r="M4334" t="s">
        <v>28</v>
      </c>
      <c r="N4334">
        <v>1</v>
      </c>
      <c r="O4334">
        <v>3</v>
      </c>
      <c r="P4334">
        <v>12</v>
      </c>
      <c r="Q4334">
        <v>3</v>
      </c>
      <c r="R4334" s="1">
        <v>39968</v>
      </c>
      <c r="S4334" t="s">
        <v>29</v>
      </c>
      <c r="T4334" t="str">
        <f t="shared" si="335"/>
        <v>Grade A</v>
      </c>
      <c r="U4334">
        <f t="shared" si="336"/>
        <v>3</v>
      </c>
      <c r="V4334" t="str">
        <f t="shared" si="337"/>
        <v>Senior</v>
      </c>
      <c r="W4334" t="str">
        <f t="shared" si="338"/>
        <v>Medium Risk</v>
      </c>
      <c r="X4334" t="str">
        <f t="shared" si="339"/>
        <v>Competitive</v>
      </c>
    </row>
    <row r="4335" spans="1:24" x14ac:dyDescent="0.3">
      <c r="A4335" t="s">
        <v>4403</v>
      </c>
      <c r="B4335" t="s">
        <v>20</v>
      </c>
      <c r="C4335">
        <v>45</v>
      </c>
      <c r="D4335" t="s">
        <v>88</v>
      </c>
      <c r="E4335" t="s">
        <v>40</v>
      </c>
      <c r="F4335" t="s">
        <v>32</v>
      </c>
      <c r="G4335" t="s">
        <v>33</v>
      </c>
      <c r="H4335" t="s">
        <v>34</v>
      </c>
      <c r="I4335" t="s">
        <v>80</v>
      </c>
      <c r="J4335" t="s">
        <v>60</v>
      </c>
      <c r="K4335">
        <v>9</v>
      </c>
      <c r="L4335">
        <v>73173</v>
      </c>
      <c r="M4335" t="s">
        <v>28</v>
      </c>
      <c r="N4335">
        <v>2</v>
      </c>
      <c r="O4335">
        <v>2</v>
      </c>
      <c r="P4335">
        <v>55</v>
      </c>
      <c r="Q4335">
        <v>1</v>
      </c>
      <c r="R4335" s="1">
        <v>42003</v>
      </c>
      <c r="S4335" t="s">
        <v>29</v>
      </c>
      <c r="T4335" t="str">
        <f t="shared" si="335"/>
        <v>Grade B</v>
      </c>
      <c r="U4335">
        <f t="shared" si="336"/>
        <v>3</v>
      </c>
      <c r="V4335" t="str">
        <f t="shared" si="337"/>
        <v>Mid Level</v>
      </c>
      <c r="W4335" t="str">
        <f t="shared" si="338"/>
        <v>Medium Risk</v>
      </c>
      <c r="X4335" t="str">
        <f t="shared" si="339"/>
        <v>Competitive</v>
      </c>
    </row>
    <row r="4336" spans="1:24" x14ac:dyDescent="0.3">
      <c r="A4336" t="s">
        <v>4404</v>
      </c>
      <c r="B4336" t="s">
        <v>39</v>
      </c>
      <c r="C4336">
        <v>28</v>
      </c>
      <c r="D4336" t="s">
        <v>57</v>
      </c>
      <c r="E4336" t="s">
        <v>22</v>
      </c>
      <c r="F4336" t="s">
        <v>53</v>
      </c>
      <c r="G4336" t="s">
        <v>24</v>
      </c>
      <c r="H4336" t="s">
        <v>67</v>
      </c>
      <c r="I4336" t="s">
        <v>80</v>
      </c>
      <c r="J4336" t="s">
        <v>60</v>
      </c>
      <c r="K4336">
        <v>5</v>
      </c>
      <c r="L4336">
        <v>83090</v>
      </c>
      <c r="M4336" t="s">
        <v>45</v>
      </c>
      <c r="N4336">
        <v>1</v>
      </c>
      <c r="O4336">
        <v>4</v>
      </c>
      <c r="P4336">
        <v>35</v>
      </c>
      <c r="Q4336">
        <v>3</v>
      </c>
      <c r="R4336" s="1">
        <v>43189</v>
      </c>
      <c r="S4336" t="s">
        <v>29</v>
      </c>
      <c r="T4336" t="str">
        <f t="shared" si="335"/>
        <v>Grade A</v>
      </c>
      <c r="U4336">
        <f t="shared" si="336"/>
        <v>2</v>
      </c>
      <c r="V4336" t="str">
        <f t="shared" si="337"/>
        <v>Junior</v>
      </c>
      <c r="W4336" t="str">
        <f t="shared" si="338"/>
        <v>Medium Risk</v>
      </c>
      <c r="X4336" t="str">
        <f t="shared" si="339"/>
        <v>Fair</v>
      </c>
    </row>
    <row r="4337" spans="1:24" x14ac:dyDescent="0.3">
      <c r="A4337" t="s">
        <v>4405</v>
      </c>
      <c r="B4337" t="s">
        <v>20</v>
      </c>
      <c r="C4337">
        <v>38</v>
      </c>
      <c r="D4337" t="s">
        <v>47</v>
      </c>
      <c r="E4337" t="s">
        <v>48</v>
      </c>
      <c r="F4337" t="s">
        <v>41</v>
      </c>
      <c r="G4337" t="s">
        <v>49</v>
      </c>
      <c r="H4337" t="s">
        <v>83</v>
      </c>
      <c r="I4337" t="s">
        <v>35</v>
      </c>
      <c r="J4337" t="s">
        <v>27</v>
      </c>
      <c r="K4337">
        <v>9</v>
      </c>
      <c r="L4337">
        <v>75811</v>
      </c>
      <c r="M4337" t="s">
        <v>36</v>
      </c>
      <c r="N4337">
        <v>3</v>
      </c>
      <c r="O4337">
        <v>4</v>
      </c>
      <c r="P4337">
        <v>19</v>
      </c>
      <c r="Q4337">
        <v>1</v>
      </c>
      <c r="R4337" s="1">
        <v>41657</v>
      </c>
      <c r="S4337" t="s">
        <v>29</v>
      </c>
      <c r="T4337" t="str">
        <f t="shared" si="335"/>
        <v>Grade B</v>
      </c>
      <c r="U4337">
        <f t="shared" si="336"/>
        <v>1</v>
      </c>
      <c r="V4337" t="str">
        <f t="shared" si="337"/>
        <v>Mid Level</v>
      </c>
      <c r="W4337" t="str">
        <f t="shared" si="338"/>
        <v>Medium Risk</v>
      </c>
      <c r="X4337" t="str">
        <f t="shared" si="339"/>
        <v>Fair</v>
      </c>
    </row>
    <row r="4338" spans="1:24" x14ac:dyDescent="0.3">
      <c r="A4338" t="s">
        <v>4406</v>
      </c>
      <c r="B4338" t="s">
        <v>20</v>
      </c>
      <c r="C4338">
        <v>22</v>
      </c>
      <c r="D4338" t="s">
        <v>31</v>
      </c>
      <c r="E4338" t="s">
        <v>40</v>
      </c>
      <c r="F4338" t="s">
        <v>62</v>
      </c>
      <c r="G4338" t="s">
        <v>42</v>
      </c>
      <c r="H4338" t="s">
        <v>83</v>
      </c>
      <c r="I4338" t="s">
        <v>35</v>
      </c>
      <c r="J4338" t="s">
        <v>27</v>
      </c>
      <c r="K4338">
        <v>13</v>
      </c>
      <c r="L4338">
        <v>113034</v>
      </c>
      <c r="M4338" t="s">
        <v>28</v>
      </c>
      <c r="N4338">
        <v>1</v>
      </c>
      <c r="O4338">
        <v>2</v>
      </c>
      <c r="P4338">
        <v>24</v>
      </c>
      <c r="Q4338">
        <v>3</v>
      </c>
      <c r="R4338" s="1">
        <v>40265</v>
      </c>
      <c r="S4338" t="s">
        <v>29</v>
      </c>
      <c r="T4338" t="str">
        <f t="shared" si="335"/>
        <v>Grade A</v>
      </c>
      <c r="U4338">
        <f t="shared" si="336"/>
        <v>3</v>
      </c>
      <c r="V4338" t="str">
        <f t="shared" si="337"/>
        <v>Senior</v>
      </c>
      <c r="W4338" t="str">
        <f t="shared" si="338"/>
        <v>Medium Risk</v>
      </c>
      <c r="X4338" t="str">
        <f t="shared" si="339"/>
        <v>Competitive</v>
      </c>
    </row>
    <row r="4339" spans="1:24" x14ac:dyDescent="0.3">
      <c r="A4339" t="s">
        <v>4407</v>
      </c>
      <c r="B4339" t="s">
        <v>20</v>
      </c>
      <c r="C4339">
        <v>30</v>
      </c>
      <c r="D4339" t="s">
        <v>47</v>
      </c>
      <c r="E4339" t="s">
        <v>22</v>
      </c>
      <c r="F4339" t="s">
        <v>53</v>
      </c>
      <c r="G4339" t="s">
        <v>79</v>
      </c>
      <c r="H4339" t="s">
        <v>67</v>
      </c>
      <c r="I4339" t="s">
        <v>59</v>
      </c>
      <c r="J4339" t="s">
        <v>60</v>
      </c>
      <c r="K4339">
        <v>6</v>
      </c>
      <c r="L4339">
        <v>60579</v>
      </c>
      <c r="M4339" t="s">
        <v>28</v>
      </c>
      <c r="N4339">
        <v>3</v>
      </c>
      <c r="O4339">
        <v>3</v>
      </c>
      <c r="P4339">
        <v>13</v>
      </c>
      <c r="Q4339">
        <v>2</v>
      </c>
      <c r="R4339" s="1">
        <v>43076</v>
      </c>
      <c r="S4339" t="s">
        <v>29</v>
      </c>
      <c r="T4339" t="str">
        <f t="shared" si="335"/>
        <v>Grade B</v>
      </c>
      <c r="U4339">
        <f t="shared" si="336"/>
        <v>3</v>
      </c>
      <c r="V4339" t="str">
        <f t="shared" si="337"/>
        <v>Mid Level</v>
      </c>
      <c r="W4339" t="str">
        <f t="shared" si="338"/>
        <v>Medium Risk</v>
      </c>
      <c r="X4339" t="str">
        <f t="shared" si="339"/>
        <v>Competitive</v>
      </c>
    </row>
    <row r="4340" spans="1:24" x14ac:dyDescent="0.3">
      <c r="A4340" t="s">
        <v>4408</v>
      </c>
      <c r="B4340" t="s">
        <v>20</v>
      </c>
      <c r="C4340">
        <v>35</v>
      </c>
      <c r="D4340" t="s">
        <v>47</v>
      </c>
      <c r="E4340" t="s">
        <v>48</v>
      </c>
      <c r="F4340" t="s">
        <v>32</v>
      </c>
      <c r="G4340" t="s">
        <v>49</v>
      </c>
      <c r="H4340" t="s">
        <v>34</v>
      </c>
      <c r="I4340" t="s">
        <v>54</v>
      </c>
      <c r="J4340" t="s">
        <v>27</v>
      </c>
      <c r="K4340">
        <v>4</v>
      </c>
      <c r="L4340">
        <v>54882</v>
      </c>
      <c r="M4340" t="s">
        <v>28</v>
      </c>
      <c r="N4340">
        <v>1</v>
      </c>
      <c r="O4340">
        <v>3</v>
      </c>
      <c r="P4340">
        <v>80</v>
      </c>
      <c r="Q4340">
        <v>1</v>
      </c>
      <c r="R4340" s="1">
        <v>43485</v>
      </c>
      <c r="S4340" t="s">
        <v>29</v>
      </c>
      <c r="T4340" t="str">
        <f t="shared" si="335"/>
        <v>Grade B</v>
      </c>
      <c r="U4340">
        <f t="shared" si="336"/>
        <v>3</v>
      </c>
      <c r="V4340" t="str">
        <f t="shared" si="337"/>
        <v>Junior</v>
      </c>
      <c r="W4340" t="str">
        <f t="shared" si="338"/>
        <v>Medium Risk</v>
      </c>
      <c r="X4340" t="str">
        <f t="shared" si="339"/>
        <v>Competitive</v>
      </c>
    </row>
    <row r="4341" spans="1:24" x14ac:dyDescent="0.3">
      <c r="A4341" t="s">
        <v>4409</v>
      </c>
      <c r="B4341" t="s">
        <v>39</v>
      </c>
      <c r="C4341">
        <v>44</v>
      </c>
      <c r="D4341" t="s">
        <v>31</v>
      </c>
      <c r="E4341" t="s">
        <v>48</v>
      </c>
      <c r="F4341" t="s">
        <v>65</v>
      </c>
      <c r="G4341" t="s">
        <v>58</v>
      </c>
      <c r="H4341" t="s">
        <v>34</v>
      </c>
      <c r="I4341" t="s">
        <v>54</v>
      </c>
      <c r="J4341" t="s">
        <v>27</v>
      </c>
      <c r="K4341">
        <v>5</v>
      </c>
      <c r="L4341">
        <v>95599</v>
      </c>
      <c r="M4341" t="s">
        <v>51</v>
      </c>
      <c r="N4341">
        <v>4</v>
      </c>
      <c r="O4341">
        <v>3</v>
      </c>
      <c r="P4341">
        <v>61</v>
      </c>
      <c r="Q4341">
        <v>2</v>
      </c>
      <c r="R4341" s="1">
        <v>43296</v>
      </c>
      <c r="S4341" t="s">
        <v>29</v>
      </c>
      <c r="T4341" t="str">
        <f t="shared" si="335"/>
        <v>Grade A</v>
      </c>
      <c r="U4341">
        <f t="shared" si="336"/>
        <v>4</v>
      </c>
      <c r="V4341" t="str">
        <f t="shared" si="337"/>
        <v>Junior</v>
      </c>
      <c r="W4341" t="str">
        <f t="shared" si="338"/>
        <v>Low Risk</v>
      </c>
      <c r="X4341" t="str">
        <f t="shared" si="339"/>
        <v>Competitive</v>
      </c>
    </row>
    <row r="4342" spans="1:24" x14ac:dyDescent="0.3">
      <c r="A4342" t="s">
        <v>4410</v>
      </c>
      <c r="B4342" t="s">
        <v>20</v>
      </c>
      <c r="C4342">
        <v>51</v>
      </c>
      <c r="D4342" t="s">
        <v>21</v>
      </c>
      <c r="E4342" t="s">
        <v>48</v>
      </c>
      <c r="F4342" t="s">
        <v>53</v>
      </c>
      <c r="G4342" t="s">
        <v>58</v>
      </c>
      <c r="H4342" t="s">
        <v>76</v>
      </c>
      <c r="I4342" t="s">
        <v>68</v>
      </c>
      <c r="J4342" t="s">
        <v>60</v>
      </c>
      <c r="K4342">
        <v>1</v>
      </c>
      <c r="L4342">
        <v>90601</v>
      </c>
      <c r="M4342" t="s">
        <v>28</v>
      </c>
      <c r="N4342">
        <v>4</v>
      </c>
      <c r="O4342">
        <v>1</v>
      </c>
      <c r="P4342">
        <v>47</v>
      </c>
      <c r="Q4342">
        <v>1</v>
      </c>
      <c r="R4342" s="1">
        <v>44727</v>
      </c>
      <c r="S4342" t="s">
        <v>29</v>
      </c>
      <c r="T4342" t="str">
        <f t="shared" si="335"/>
        <v>Grade A</v>
      </c>
      <c r="U4342">
        <f t="shared" si="336"/>
        <v>3</v>
      </c>
      <c r="V4342" t="str">
        <f t="shared" si="337"/>
        <v>New Joiner</v>
      </c>
      <c r="W4342" t="str">
        <f t="shared" si="338"/>
        <v>Medium Risk</v>
      </c>
      <c r="X4342" t="str">
        <f t="shared" si="339"/>
        <v>Competitive</v>
      </c>
    </row>
    <row r="4343" spans="1:24" x14ac:dyDescent="0.3">
      <c r="A4343" t="s">
        <v>4411</v>
      </c>
      <c r="B4343" t="s">
        <v>20</v>
      </c>
      <c r="C4343">
        <v>35</v>
      </c>
      <c r="D4343" t="s">
        <v>47</v>
      </c>
      <c r="E4343" t="s">
        <v>40</v>
      </c>
      <c r="F4343" t="s">
        <v>23</v>
      </c>
      <c r="G4343" t="s">
        <v>24</v>
      </c>
      <c r="H4343" t="s">
        <v>25</v>
      </c>
      <c r="I4343" t="s">
        <v>35</v>
      </c>
      <c r="J4343" t="s">
        <v>27</v>
      </c>
      <c r="K4343">
        <v>10</v>
      </c>
      <c r="L4343">
        <v>94552</v>
      </c>
      <c r="M4343" t="s">
        <v>51</v>
      </c>
      <c r="N4343">
        <v>4</v>
      </c>
      <c r="O4343">
        <v>4</v>
      </c>
      <c r="P4343">
        <v>40</v>
      </c>
      <c r="Q4343">
        <v>0</v>
      </c>
      <c r="R4343" s="1">
        <v>41416</v>
      </c>
      <c r="S4343" t="s">
        <v>29</v>
      </c>
      <c r="T4343" t="str">
        <f t="shared" si="335"/>
        <v>Grade A</v>
      </c>
      <c r="U4343">
        <f t="shared" si="336"/>
        <v>4</v>
      </c>
      <c r="V4343" t="str">
        <f t="shared" si="337"/>
        <v>Mid Level</v>
      </c>
      <c r="W4343" t="str">
        <f t="shared" si="338"/>
        <v>Low Risk</v>
      </c>
      <c r="X4343" t="str">
        <f t="shared" si="339"/>
        <v>Competitive</v>
      </c>
    </row>
    <row r="4344" spans="1:24" x14ac:dyDescent="0.3">
      <c r="A4344" t="s">
        <v>4412</v>
      </c>
      <c r="B4344" t="s">
        <v>39</v>
      </c>
      <c r="C4344">
        <v>39</v>
      </c>
      <c r="D4344" t="s">
        <v>88</v>
      </c>
      <c r="E4344" t="s">
        <v>22</v>
      </c>
      <c r="F4344" t="s">
        <v>78</v>
      </c>
      <c r="G4344" t="s">
        <v>58</v>
      </c>
      <c r="H4344" t="s">
        <v>83</v>
      </c>
      <c r="I4344" t="s">
        <v>80</v>
      </c>
      <c r="J4344" t="s">
        <v>60</v>
      </c>
      <c r="K4344">
        <v>4</v>
      </c>
      <c r="L4344">
        <v>89527</v>
      </c>
      <c r="M4344" t="s">
        <v>51</v>
      </c>
      <c r="N4344">
        <v>1</v>
      </c>
      <c r="O4344">
        <v>4</v>
      </c>
      <c r="P4344">
        <v>69</v>
      </c>
      <c r="Q4344">
        <v>0</v>
      </c>
      <c r="R4344" s="1">
        <v>43612</v>
      </c>
      <c r="S4344" t="s">
        <v>29</v>
      </c>
      <c r="T4344" t="str">
        <f t="shared" si="335"/>
        <v>Grade A</v>
      </c>
      <c r="U4344">
        <f t="shared" si="336"/>
        <v>4</v>
      </c>
      <c r="V4344" t="str">
        <f t="shared" si="337"/>
        <v>Junior</v>
      </c>
      <c r="W4344" t="str">
        <f t="shared" si="338"/>
        <v>Low Risk</v>
      </c>
      <c r="X4344" t="str">
        <f t="shared" si="339"/>
        <v>Competitive</v>
      </c>
    </row>
    <row r="4345" spans="1:24" x14ac:dyDescent="0.3">
      <c r="A4345" t="s">
        <v>4413</v>
      </c>
      <c r="B4345" t="s">
        <v>20</v>
      </c>
      <c r="C4345">
        <v>26</v>
      </c>
      <c r="D4345" t="s">
        <v>47</v>
      </c>
      <c r="E4345" t="s">
        <v>48</v>
      </c>
      <c r="F4345" t="s">
        <v>78</v>
      </c>
      <c r="G4345" t="s">
        <v>79</v>
      </c>
      <c r="H4345" t="s">
        <v>34</v>
      </c>
      <c r="I4345" t="s">
        <v>72</v>
      </c>
      <c r="J4345" t="s">
        <v>73</v>
      </c>
      <c r="K4345">
        <v>4</v>
      </c>
      <c r="L4345">
        <v>38670</v>
      </c>
      <c r="M4345" t="s">
        <v>36</v>
      </c>
      <c r="N4345">
        <v>2</v>
      </c>
      <c r="O4345">
        <v>2</v>
      </c>
      <c r="P4345">
        <v>50</v>
      </c>
      <c r="Q4345">
        <v>2</v>
      </c>
      <c r="R4345" s="1">
        <v>43744</v>
      </c>
      <c r="S4345" t="s">
        <v>37</v>
      </c>
      <c r="T4345" t="str">
        <f t="shared" si="335"/>
        <v>Grade C</v>
      </c>
      <c r="U4345">
        <f t="shared" si="336"/>
        <v>1</v>
      </c>
      <c r="V4345" t="str">
        <f t="shared" si="337"/>
        <v>Junior</v>
      </c>
      <c r="W4345" t="str">
        <f t="shared" si="338"/>
        <v>Already Left</v>
      </c>
      <c r="X4345" t="str">
        <f t="shared" si="339"/>
        <v>Fair</v>
      </c>
    </row>
    <row r="4346" spans="1:24" x14ac:dyDescent="0.3">
      <c r="A4346" t="s">
        <v>4414</v>
      </c>
      <c r="B4346" t="s">
        <v>39</v>
      </c>
      <c r="C4346">
        <v>36</v>
      </c>
      <c r="D4346" t="s">
        <v>88</v>
      </c>
      <c r="E4346" t="s">
        <v>40</v>
      </c>
      <c r="F4346" t="s">
        <v>62</v>
      </c>
      <c r="G4346" t="s">
        <v>24</v>
      </c>
      <c r="H4346" t="s">
        <v>83</v>
      </c>
      <c r="I4346" t="s">
        <v>96</v>
      </c>
      <c r="J4346" t="s">
        <v>44</v>
      </c>
      <c r="K4346">
        <v>4</v>
      </c>
      <c r="L4346">
        <v>77206</v>
      </c>
      <c r="M4346" t="s">
        <v>51</v>
      </c>
      <c r="N4346">
        <v>4</v>
      </c>
      <c r="O4346">
        <v>1</v>
      </c>
      <c r="P4346">
        <v>61</v>
      </c>
      <c r="Q4346">
        <v>3</v>
      </c>
      <c r="R4346" s="1">
        <v>43795</v>
      </c>
      <c r="S4346" t="s">
        <v>29</v>
      </c>
      <c r="T4346" t="str">
        <f t="shared" si="335"/>
        <v>Grade B</v>
      </c>
      <c r="U4346">
        <f t="shared" si="336"/>
        <v>4</v>
      </c>
      <c r="V4346" t="str">
        <f t="shared" si="337"/>
        <v>Junior</v>
      </c>
      <c r="W4346" t="str">
        <f t="shared" si="338"/>
        <v>Low Risk</v>
      </c>
      <c r="X4346" t="str">
        <f t="shared" si="339"/>
        <v>Fair</v>
      </c>
    </row>
    <row r="4347" spans="1:24" x14ac:dyDescent="0.3">
      <c r="A4347" t="s">
        <v>4415</v>
      </c>
      <c r="B4347" t="s">
        <v>39</v>
      </c>
      <c r="C4347">
        <v>48</v>
      </c>
      <c r="D4347" t="s">
        <v>88</v>
      </c>
      <c r="E4347" t="s">
        <v>48</v>
      </c>
      <c r="F4347" t="s">
        <v>78</v>
      </c>
      <c r="G4347" t="s">
        <v>66</v>
      </c>
      <c r="H4347" t="s">
        <v>83</v>
      </c>
      <c r="I4347" t="s">
        <v>50</v>
      </c>
      <c r="J4347" t="s">
        <v>44</v>
      </c>
      <c r="K4347">
        <v>2</v>
      </c>
      <c r="L4347">
        <v>45250</v>
      </c>
      <c r="M4347" t="s">
        <v>45</v>
      </c>
      <c r="N4347">
        <v>3</v>
      </c>
      <c r="O4347">
        <v>3</v>
      </c>
      <c r="P4347">
        <v>36</v>
      </c>
      <c r="Q4347">
        <v>3</v>
      </c>
      <c r="R4347" s="1">
        <v>44433</v>
      </c>
      <c r="S4347" t="s">
        <v>29</v>
      </c>
      <c r="T4347" t="str">
        <f t="shared" si="335"/>
        <v>Grade C</v>
      </c>
      <c r="U4347">
        <f t="shared" si="336"/>
        <v>2</v>
      </c>
      <c r="V4347" t="str">
        <f t="shared" si="337"/>
        <v>New Joiner</v>
      </c>
      <c r="W4347" t="str">
        <f t="shared" si="338"/>
        <v>Medium Risk</v>
      </c>
      <c r="X4347" t="str">
        <f t="shared" si="339"/>
        <v>Fair</v>
      </c>
    </row>
    <row r="4348" spans="1:24" x14ac:dyDescent="0.3">
      <c r="A4348" t="s">
        <v>4416</v>
      </c>
      <c r="B4348" t="s">
        <v>20</v>
      </c>
      <c r="C4348">
        <v>53</v>
      </c>
      <c r="D4348" t="s">
        <v>31</v>
      </c>
      <c r="E4348" t="s">
        <v>40</v>
      </c>
      <c r="F4348" t="s">
        <v>41</v>
      </c>
      <c r="G4348" t="s">
        <v>42</v>
      </c>
      <c r="H4348" t="s">
        <v>83</v>
      </c>
      <c r="I4348" t="s">
        <v>54</v>
      </c>
      <c r="J4348" t="s">
        <v>27</v>
      </c>
      <c r="K4348">
        <v>4</v>
      </c>
      <c r="L4348">
        <v>93306</v>
      </c>
      <c r="M4348" t="s">
        <v>45</v>
      </c>
      <c r="N4348">
        <v>2</v>
      </c>
      <c r="O4348">
        <v>2</v>
      </c>
      <c r="P4348">
        <v>15</v>
      </c>
      <c r="Q4348">
        <v>0</v>
      </c>
      <c r="R4348" s="1">
        <v>43719</v>
      </c>
      <c r="S4348" t="s">
        <v>29</v>
      </c>
      <c r="T4348" t="str">
        <f t="shared" si="335"/>
        <v>Grade A</v>
      </c>
      <c r="U4348">
        <f t="shared" si="336"/>
        <v>2</v>
      </c>
      <c r="V4348" t="str">
        <f t="shared" si="337"/>
        <v>Junior</v>
      </c>
      <c r="W4348" t="str">
        <f t="shared" si="338"/>
        <v>Medium Risk</v>
      </c>
      <c r="X4348" t="str">
        <f t="shared" si="339"/>
        <v>Fair</v>
      </c>
    </row>
    <row r="4349" spans="1:24" x14ac:dyDescent="0.3">
      <c r="A4349" t="s">
        <v>4417</v>
      </c>
      <c r="B4349" t="s">
        <v>39</v>
      </c>
      <c r="C4349">
        <v>23</v>
      </c>
      <c r="D4349" t="s">
        <v>57</v>
      </c>
      <c r="E4349" t="s">
        <v>40</v>
      </c>
      <c r="F4349" t="s">
        <v>78</v>
      </c>
      <c r="G4349" t="s">
        <v>66</v>
      </c>
      <c r="H4349" t="s">
        <v>34</v>
      </c>
      <c r="I4349" t="s">
        <v>50</v>
      </c>
      <c r="J4349" t="s">
        <v>44</v>
      </c>
      <c r="K4349">
        <v>5</v>
      </c>
      <c r="L4349">
        <v>48308</v>
      </c>
      <c r="M4349" t="s">
        <v>28</v>
      </c>
      <c r="N4349">
        <v>2</v>
      </c>
      <c r="O4349">
        <v>4</v>
      </c>
      <c r="P4349">
        <v>68</v>
      </c>
      <c r="Q4349">
        <v>2</v>
      </c>
      <c r="R4349" s="1">
        <v>43431</v>
      </c>
      <c r="S4349" t="s">
        <v>29</v>
      </c>
      <c r="T4349" t="str">
        <f t="shared" si="335"/>
        <v>Grade C</v>
      </c>
      <c r="U4349">
        <f t="shared" si="336"/>
        <v>3</v>
      </c>
      <c r="V4349" t="str">
        <f t="shared" si="337"/>
        <v>Junior</v>
      </c>
      <c r="W4349" t="str">
        <f t="shared" si="338"/>
        <v>Medium Risk</v>
      </c>
      <c r="X4349" t="str">
        <f t="shared" si="339"/>
        <v>Fair</v>
      </c>
    </row>
    <row r="4350" spans="1:24" x14ac:dyDescent="0.3">
      <c r="A4350" t="s">
        <v>4418</v>
      </c>
      <c r="B4350" t="s">
        <v>20</v>
      </c>
      <c r="C4350">
        <v>23</v>
      </c>
      <c r="D4350" t="s">
        <v>47</v>
      </c>
      <c r="E4350" t="s">
        <v>48</v>
      </c>
      <c r="F4350" t="s">
        <v>32</v>
      </c>
      <c r="G4350" t="s">
        <v>66</v>
      </c>
      <c r="H4350" t="s">
        <v>67</v>
      </c>
      <c r="I4350" t="s">
        <v>72</v>
      </c>
      <c r="J4350" t="s">
        <v>73</v>
      </c>
      <c r="K4350">
        <v>3</v>
      </c>
      <c r="L4350">
        <v>49803</v>
      </c>
      <c r="M4350" t="s">
        <v>36</v>
      </c>
      <c r="N4350">
        <v>1</v>
      </c>
      <c r="O4350">
        <v>3</v>
      </c>
      <c r="P4350">
        <v>33</v>
      </c>
      <c r="Q4350">
        <v>1</v>
      </c>
      <c r="R4350" s="1">
        <v>44157</v>
      </c>
      <c r="S4350" t="s">
        <v>29</v>
      </c>
      <c r="T4350" t="str">
        <f t="shared" si="335"/>
        <v>Grade C</v>
      </c>
      <c r="U4350">
        <f t="shared" si="336"/>
        <v>1</v>
      </c>
      <c r="V4350" t="str">
        <f t="shared" si="337"/>
        <v>Junior</v>
      </c>
      <c r="W4350" t="str">
        <f t="shared" si="338"/>
        <v>Medium Risk</v>
      </c>
      <c r="X4350" t="str">
        <f t="shared" si="339"/>
        <v>Fair</v>
      </c>
    </row>
    <row r="4351" spans="1:24" x14ac:dyDescent="0.3">
      <c r="A4351" t="s">
        <v>4419</v>
      </c>
      <c r="B4351" t="s">
        <v>20</v>
      </c>
      <c r="C4351">
        <v>29</v>
      </c>
      <c r="D4351" t="s">
        <v>57</v>
      </c>
      <c r="E4351" t="s">
        <v>22</v>
      </c>
      <c r="F4351" t="s">
        <v>32</v>
      </c>
      <c r="G4351" t="s">
        <v>24</v>
      </c>
      <c r="H4351" t="s">
        <v>76</v>
      </c>
      <c r="I4351" t="s">
        <v>96</v>
      </c>
      <c r="J4351" t="s">
        <v>44</v>
      </c>
      <c r="K4351">
        <v>12</v>
      </c>
      <c r="L4351">
        <v>102552</v>
      </c>
      <c r="M4351" t="s">
        <v>28</v>
      </c>
      <c r="N4351">
        <v>4</v>
      </c>
      <c r="O4351">
        <v>1</v>
      </c>
      <c r="P4351">
        <v>34</v>
      </c>
      <c r="Q4351">
        <v>1</v>
      </c>
      <c r="R4351" s="1">
        <v>40642</v>
      </c>
      <c r="S4351" t="s">
        <v>29</v>
      </c>
      <c r="T4351" t="str">
        <f t="shared" si="335"/>
        <v>Grade A</v>
      </c>
      <c r="U4351">
        <f t="shared" si="336"/>
        <v>3</v>
      </c>
      <c r="V4351" t="str">
        <f t="shared" si="337"/>
        <v>Senior</v>
      </c>
      <c r="W4351" t="str">
        <f t="shared" si="338"/>
        <v>Medium Risk</v>
      </c>
      <c r="X4351" t="str">
        <f t="shared" si="339"/>
        <v>Competitive</v>
      </c>
    </row>
    <row r="4352" spans="1:24" x14ac:dyDescent="0.3">
      <c r="A4352" t="s">
        <v>4420</v>
      </c>
      <c r="B4352" t="s">
        <v>20</v>
      </c>
      <c r="C4352">
        <v>22</v>
      </c>
      <c r="D4352" t="s">
        <v>47</v>
      </c>
      <c r="E4352" t="s">
        <v>48</v>
      </c>
      <c r="F4352" t="s">
        <v>41</v>
      </c>
      <c r="G4352" t="s">
        <v>66</v>
      </c>
      <c r="H4352" t="s">
        <v>76</v>
      </c>
      <c r="I4352" t="s">
        <v>72</v>
      </c>
      <c r="J4352" t="s">
        <v>73</v>
      </c>
      <c r="K4352">
        <v>1</v>
      </c>
      <c r="L4352">
        <v>32025</v>
      </c>
      <c r="M4352" t="s">
        <v>51</v>
      </c>
      <c r="N4352">
        <v>4</v>
      </c>
      <c r="O4352">
        <v>2</v>
      </c>
      <c r="P4352">
        <v>56</v>
      </c>
      <c r="Q4352">
        <v>2</v>
      </c>
      <c r="R4352" s="1">
        <v>44598</v>
      </c>
      <c r="S4352" t="s">
        <v>29</v>
      </c>
      <c r="T4352" t="str">
        <f t="shared" si="335"/>
        <v>Grade D</v>
      </c>
      <c r="U4352">
        <f t="shared" si="336"/>
        <v>4</v>
      </c>
      <c r="V4352" t="str">
        <f t="shared" si="337"/>
        <v>New Joiner</v>
      </c>
      <c r="W4352" t="str">
        <f t="shared" si="338"/>
        <v>Low Risk</v>
      </c>
      <c r="X4352" t="str">
        <f t="shared" si="339"/>
        <v>Underpaid</v>
      </c>
    </row>
    <row r="4353" spans="1:24" x14ac:dyDescent="0.3">
      <c r="A4353" t="s">
        <v>4421</v>
      </c>
      <c r="B4353" t="s">
        <v>39</v>
      </c>
      <c r="C4353">
        <v>41</v>
      </c>
      <c r="D4353" t="s">
        <v>31</v>
      </c>
      <c r="E4353" t="s">
        <v>48</v>
      </c>
      <c r="F4353" t="s">
        <v>41</v>
      </c>
      <c r="G4353" t="s">
        <v>66</v>
      </c>
      <c r="H4353" t="s">
        <v>83</v>
      </c>
      <c r="I4353" t="s">
        <v>68</v>
      </c>
      <c r="J4353" t="s">
        <v>60</v>
      </c>
      <c r="K4353">
        <v>15</v>
      </c>
      <c r="L4353">
        <v>70513</v>
      </c>
      <c r="M4353" t="s">
        <v>28</v>
      </c>
      <c r="N4353">
        <v>1</v>
      </c>
      <c r="O4353">
        <v>1</v>
      </c>
      <c r="P4353">
        <v>52</v>
      </c>
      <c r="Q4353">
        <v>3</v>
      </c>
      <c r="R4353" s="1">
        <v>39615</v>
      </c>
      <c r="S4353" t="s">
        <v>29</v>
      </c>
      <c r="T4353" t="str">
        <f t="shared" si="335"/>
        <v>Grade B</v>
      </c>
      <c r="U4353">
        <f t="shared" si="336"/>
        <v>3</v>
      </c>
      <c r="V4353" t="str">
        <f t="shared" si="337"/>
        <v>Senior</v>
      </c>
      <c r="W4353" t="str">
        <f t="shared" si="338"/>
        <v>Medium Risk</v>
      </c>
      <c r="X4353" t="str">
        <f t="shared" si="339"/>
        <v>Competitive</v>
      </c>
    </row>
    <row r="4354" spans="1:24" x14ac:dyDescent="0.3">
      <c r="A4354" t="s">
        <v>4422</v>
      </c>
      <c r="B4354" t="s">
        <v>20</v>
      </c>
      <c r="C4354">
        <v>27</v>
      </c>
      <c r="D4354" t="s">
        <v>21</v>
      </c>
      <c r="E4354" t="s">
        <v>22</v>
      </c>
      <c r="F4354" t="s">
        <v>78</v>
      </c>
      <c r="G4354" t="s">
        <v>79</v>
      </c>
      <c r="H4354" t="s">
        <v>34</v>
      </c>
      <c r="I4354" t="s">
        <v>54</v>
      </c>
      <c r="J4354" t="s">
        <v>27</v>
      </c>
      <c r="K4354">
        <v>4</v>
      </c>
      <c r="L4354">
        <v>49172</v>
      </c>
      <c r="M4354" t="s">
        <v>45</v>
      </c>
      <c r="N4354">
        <v>4</v>
      </c>
      <c r="O4354">
        <v>3</v>
      </c>
      <c r="P4354">
        <v>65</v>
      </c>
      <c r="Q4354">
        <v>2</v>
      </c>
      <c r="R4354" s="1">
        <v>43749</v>
      </c>
      <c r="S4354" t="s">
        <v>29</v>
      </c>
      <c r="T4354" t="str">
        <f t="shared" ref="T4354:T4417" si="340">IF(L4354&gt;=80000,"Grade A",IF(L4354&gt;=50000,"Grade B",IF(L4354&gt;=35000,"Grade C","Grade D")))</f>
        <v>Grade C</v>
      </c>
      <c r="U4354">
        <f t="shared" ref="U4354:U4417" si="341">IF(M4354="Excellent",4,IF(M4354="Good",3,IF(M4354="Average",2,1)))</f>
        <v>2</v>
      </c>
      <c r="V4354" t="str">
        <f t="shared" ref="V4354:V4417" si="342">IF(K4354&lt;=2,"New Joiner",IF(K4354&lt;=5,"Junior",IF(K4354&lt;=10,"Mid Level","Senior")))</f>
        <v>Junior</v>
      </c>
      <c r="W4354" t="str">
        <f t="shared" ref="W4354:W4417" si="343">IF(S4354="Yes","Already Left",IF(AND(K4354&lt;=2,M4354="Poor"),"High Risk",IF(AND(K4354&lt;=5,M4354="Average"),"Medium Risk",IF(M4354="Excellent","Low Risk","Medium Risk"))))</f>
        <v>Medium Risk</v>
      </c>
      <c r="X4354" t="str">
        <f t="shared" ref="X4354:X4417" si="344">IF(AND(L4354&gt;=80000,M4354="Excellent"),"Competitive",IF(AND(L4354&gt;=50000,M4354="Good"),"Competitive",IF(AND(L4354&lt;35000,M4354="Excellent"),"Underpaid",IF(AND(L4354&gt;=80000,M4354="Poor"),"Overpaid","Fair"))))</f>
        <v>Fair</v>
      </c>
    </row>
    <row r="4355" spans="1:24" x14ac:dyDescent="0.3">
      <c r="A4355" t="s">
        <v>4423</v>
      </c>
      <c r="B4355" t="s">
        <v>39</v>
      </c>
      <c r="C4355">
        <v>23</v>
      </c>
      <c r="D4355" t="s">
        <v>57</v>
      </c>
      <c r="E4355" t="s">
        <v>40</v>
      </c>
      <c r="F4355" t="s">
        <v>23</v>
      </c>
      <c r="G4355" t="s">
        <v>49</v>
      </c>
      <c r="H4355" t="s">
        <v>76</v>
      </c>
      <c r="I4355" t="s">
        <v>72</v>
      </c>
      <c r="J4355" t="s">
        <v>73</v>
      </c>
      <c r="K4355">
        <v>13</v>
      </c>
      <c r="L4355">
        <v>66317</v>
      </c>
      <c r="M4355" t="s">
        <v>45</v>
      </c>
      <c r="N4355">
        <v>4</v>
      </c>
      <c r="O4355">
        <v>3</v>
      </c>
      <c r="P4355">
        <v>30</v>
      </c>
      <c r="Q4355">
        <v>1</v>
      </c>
      <c r="R4355" s="1">
        <v>40213</v>
      </c>
      <c r="S4355" t="s">
        <v>29</v>
      </c>
      <c r="T4355" t="str">
        <f t="shared" si="340"/>
        <v>Grade B</v>
      </c>
      <c r="U4355">
        <f t="shared" si="341"/>
        <v>2</v>
      </c>
      <c r="V4355" t="str">
        <f t="shared" si="342"/>
        <v>Senior</v>
      </c>
      <c r="W4355" t="str">
        <f t="shared" si="343"/>
        <v>Medium Risk</v>
      </c>
      <c r="X4355" t="str">
        <f t="shared" si="344"/>
        <v>Fair</v>
      </c>
    </row>
    <row r="4356" spans="1:24" x14ac:dyDescent="0.3">
      <c r="A4356" t="s">
        <v>4424</v>
      </c>
      <c r="B4356" t="s">
        <v>20</v>
      </c>
      <c r="C4356">
        <v>51</v>
      </c>
      <c r="D4356" t="s">
        <v>21</v>
      </c>
      <c r="E4356" t="s">
        <v>48</v>
      </c>
      <c r="F4356" t="s">
        <v>23</v>
      </c>
      <c r="G4356" t="s">
        <v>58</v>
      </c>
      <c r="H4356" t="s">
        <v>25</v>
      </c>
      <c r="I4356" t="s">
        <v>68</v>
      </c>
      <c r="J4356" t="s">
        <v>60</v>
      </c>
      <c r="K4356">
        <v>14</v>
      </c>
      <c r="L4356">
        <v>112471</v>
      </c>
      <c r="M4356" t="s">
        <v>28</v>
      </c>
      <c r="N4356">
        <v>2</v>
      </c>
      <c r="O4356">
        <v>3</v>
      </c>
      <c r="P4356">
        <v>74</v>
      </c>
      <c r="Q4356">
        <v>2</v>
      </c>
      <c r="R4356" s="1">
        <v>40107</v>
      </c>
      <c r="S4356" t="s">
        <v>29</v>
      </c>
      <c r="T4356" t="str">
        <f t="shared" si="340"/>
        <v>Grade A</v>
      </c>
      <c r="U4356">
        <f t="shared" si="341"/>
        <v>3</v>
      </c>
      <c r="V4356" t="str">
        <f t="shared" si="342"/>
        <v>Senior</v>
      </c>
      <c r="W4356" t="str">
        <f t="shared" si="343"/>
        <v>Medium Risk</v>
      </c>
      <c r="X4356" t="str">
        <f t="shared" si="344"/>
        <v>Competitive</v>
      </c>
    </row>
    <row r="4357" spans="1:24" x14ac:dyDescent="0.3">
      <c r="A4357" t="s">
        <v>4425</v>
      </c>
      <c r="B4357" t="s">
        <v>39</v>
      </c>
      <c r="C4357">
        <v>31</v>
      </c>
      <c r="D4357" t="s">
        <v>21</v>
      </c>
      <c r="E4357" t="s">
        <v>22</v>
      </c>
      <c r="F4357" t="s">
        <v>41</v>
      </c>
      <c r="G4357" t="s">
        <v>24</v>
      </c>
      <c r="H4357" t="s">
        <v>67</v>
      </c>
      <c r="I4357" t="s">
        <v>50</v>
      </c>
      <c r="J4357" t="s">
        <v>44</v>
      </c>
      <c r="K4357">
        <v>8</v>
      </c>
      <c r="L4357">
        <v>90689</v>
      </c>
      <c r="M4357" t="s">
        <v>36</v>
      </c>
      <c r="N4357">
        <v>3</v>
      </c>
      <c r="O4357">
        <v>4</v>
      </c>
      <c r="P4357">
        <v>51</v>
      </c>
      <c r="Q4357">
        <v>1</v>
      </c>
      <c r="R4357" s="1">
        <v>42085</v>
      </c>
      <c r="S4357" t="s">
        <v>37</v>
      </c>
      <c r="T4357" t="str">
        <f t="shared" si="340"/>
        <v>Grade A</v>
      </c>
      <c r="U4357">
        <f t="shared" si="341"/>
        <v>1</v>
      </c>
      <c r="V4357" t="str">
        <f t="shared" si="342"/>
        <v>Mid Level</v>
      </c>
      <c r="W4357" t="str">
        <f t="shared" si="343"/>
        <v>Already Left</v>
      </c>
      <c r="X4357" t="str">
        <f t="shared" si="344"/>
        <v>Overpaid</v>
      </c>
    </row>
    <row r="4358" spans="1:24" x14ac:dyDescent="0.3">
      <c r="A4358" t="s">
        <v>4426</v>
      </c>
      <c r="B4358" t="s">
        <v>39</v>
      </c>
      <c r="C4358">
        <v>23</v>
      </c>
      <c r="D4358" t="s">
        <v>47</v>
      </c>
      <c r="E4358" t="s">
        <v>40</v>
      </c>
      <c r="F4358" t="s">
        <v>32</v>
      </c>
      <c r="G4358" t="s">
        <v>42</v>
      </c>
      <c r="H4358" t="s">
        <v>67</v>
      </c>
      <c r="I4358" t="s">
        <v>26</v>
      </c>
      <c r="J4358" t="s">
        <v>27</v>
      </c>
      <c r="K4358">
        <v>10</v>
      </c>
      <c r="L4358">
        <v>114068</v>
      </c>
      <c r="M4358" t="s">
        <v>36</v>
      </c>
      <c r="N4358">
        <v>1</v>
      </c>
      <c r="O4358">
        <v>2</v>
      </c>
      <c r="P4358">
        <v>13</v>
      </c>
      <c r="Q4358">
        <v>3</v>
      </c>
      <c r="R4358" s="1">
        <v>41530</v>
      </c>
      <c r="S4358" t="s">
        <v>37</v>
      </c>
      <c r="T4358" t="str">
        <f t="shared" si="340"/>
        <v>Grade A</v>
      </c>
      <c r="U4358">
        <f t="shared" si="341"/>
        <v>1</v>
      </c>
      <c r="V4358" t="str">
        <f t="shared" si="342"/>
        <v>Mid Level</v>
      </c>
      <c r="W4358" t="str">
        <f t="shared" si="343"/>
        <v>Already Left</v>
      </c>
      <c r="X4358" t="str">
        <f t="shared" si="344"/>
        <v>Overpaid</v>
      </c>
    </row>
    <row r="4359" spans="1:24" x14ac:dyDescent="0.3">
      <c r="A4359" t="s">
        <v>4427</v>
      </c>
      <c r="B4359" t="s">
        <v>20</v>
      </c>
      <c r="C4359">
        <v>55</v>
      </c>
      <c r="D4359" t="s">
        <v>57</v>
      </c>
      <c r="E4359" t="s">
        <v>22</v>
      </c>
      <c r="F4359" t="s">
        <v>65</v>
      </c>
      <c r="G4359" t="s">
        <v>66</v>
      </c>
      <c r="H4359" t="s">
        <v>34</v>
      </c>
      <c r="I4359" t="s">
        <v>43</v>
      </c>
      <c r="J4359" t="s">
        <v>44</v>
      </c>
      <c r="K4359">
        <v>11</v>
      </c>
      <c r="L4359">
        <v>63152</v>
      </c>
      <c r="M4359" t="s">
        <v>28</v>
      </c>
      <c r="N4359">
        <v>1</v>
      </c>
      <c r="O4359">
        <v>2</v>
      </c>
      <c r="P4359">
        <v>68</v>
      </c>
      <c r="Q4359">
        <v>3</v>
      </c>
      <c r="R4359" s="1">
        <v>40948</v>
      </c>
      <c r="S4359" t="s">
        <v>37</v>
      </c>
      <c r="T4359" t="str">
        <f t="shared" si="340"/>
        <v>Grade B</v>
      </c>
      <c r="U4359">
        <f t="shared" si="341"/>
        <v>3</v>
      </c>
      <c r="V4359" t="str">
        <f t="shared" si="342"/>
        <v>Senior</v>
      </c>
      <c r="W4359" t="str">
        <f t="shared" si="343"/>
        <v>Already Left</v>
      </c>
      <c r="X4359" t="str">
        <f t="shared" si="344"/>
        <v>Competitive</v>
      </c>
    </row>
    <row r="4360" spans="1:24" x14ac:dyDescent="0.3">
      <c r="A4360" t="s">
        <v>4428</v>
      </c>
      <c r="B4360" t="s">
        <v>20</v>
      </c>
      <c r="C4360">
        <v>31</v>
      </c>
      <c r="D4360" t="s">
        <v>57</v>
      </c>
      <c r="E4360" t="s">
        <v>40</v>
      </c>
      <c r="F4360" t="s">
        <v>32</v>
      </c>
      <c r="G4360" t="s">
        <v>42</v>
      </c>
      <c r="H4360" t="s">
        <v>25</v>
      </c>
      <c r="I4360" t="s">
        <v>54</v>
      </c>
      <c r="J4360" t="s">
        <v>27</v>
      </c>
      <c r="K4360">
        <v>3</v>
      </c>
      <c r="L4360">
        <v>108027</v>
      </c>
      <c r="M4360" t="s">
        <v>28</v>
      </c>
      <c r="N4360">
        <v>1</v>
      </c>
      <c r="O4360">
        <v>1</v>
      </c>
      <c r="P4360">
        <v>67</v>
      </c>
      <c r="Q4360">
        <v>2</v>
      </c>
      <c r="R4360" s="1">
        <v>43945</v>
      </c>
      <c r="S4360" t="s">
        <v>37</v>
      </c>
      <c r="T4360" t="str">
        <f t="shared" si="340"/>
        <v>Grade A</v>
      </c>
      <c r="U4360">
        <f t="shared" si="341"/>
        <v>3</v>
      </c>
      <c r="V4360" t="str">
        <f t="shared" si="342"/>
        <v>Junior</v>
      </c>
      <c r="W4360" t="str">
        <f t="shared" si="343"/>
        <v>Already Left</v>
      </c>
      <c r="X4360" t="str">
        <f t="shared" si="344"/>
        <v>Competitive</v>
      </c>
    </row>
    <row r="4361" spans="1:24" x14ac:dyDescent="0.3">
      <c r="A4361" t="s">
        <v>4429</v>
      </c>
      <c r="B4361" t="s">
        <v>39</v>
      </c>
      <c r="C4361">
        <v>48</v>
      </c>
      <c r="D4361" t="s">
        <v>88</v>
      </c>
      <c r="E4361" t="s">
        <v>22</v>
      </c>
      <c r="F4361" t="s">
        <v>41</v>
      </c>
      <c r="G4361" t="s">
        <v>42</v>
      </c>
      <c r="H4361" t="s">
        <v>76</v>
      </c>
      <c r="I4361" t="s">
        <v>50</v>
      </c>
      <c r="J4361" t="s">
        <v>44</v>
      </c>
      <c r="K4361">
        <v>6</v>
      </c>
      <c r="L4361">
        <v>111792</v>
      </c>
      <c r="M4361" t="s">
        <v>36</v>
      </c>
      <c r="N4361">
        <v>3</v>
      </c>
      <c r="O4361">
        <v>4</v>
      </c>
      <c r="P4361">
        <v>34</v>
      </c>
      <c r="Q4361">
        <v>3</v>
      </c>
      <c r="R4361" s="1">
        <v>42990</v>
      </c>
      <c r="S4361" t="s">
        <v>37</v>
      </c>
      <c r="T4361" t="str">
        <f t="shared" si="340"/>
        <v>Grade A</v>
      </c>
      <c r="U4361">
        <f t="shared" si="341"/>
        <v>1</v>
      </c>
      <c r="V4361" t="str">
        <f t="shared" si="342"/>
        <v>Mid Level</v>
      </c>
      <c r="W4361" t="str">
        <f t="shared" si="343"/>
        <v>Already Left</v>
      </c>
      <c r="X4361" t="str">
        <f t="shared" si="344"/>
        <v>Overpaid</v>
      </c>
    </row>
    <row r="4362" spans="1:24" x14ac:dyDescent="0.3">
      <c r="A4362" t="s">
        <v>4430</v>
      </c>
      <c r="B4362" t="s">
        <v>39</v>
      </c>
      <c r="C4362">
        <v>23</v>
      </c>
      <c r="D4362" t="s">
        <v>88</v>
      </c>
      <c r="E4362" t="s">
        <v>40</v>
      </c>
      <c r="F4362" t="s">
        <v>62</v>
      </c>
      <c r="G4362" t="s">
        <v>58</v>
      </c>
      <c r="H4362" t="s">
        <v>83</v>
      </c>
      <c r="I4362" t="s">
        <v>43</v>
      </c>
      <c r="J4362" t="s">
        <v>44</v>
      </c>
      <c r="K4362">
        <v>9</v>
      </c>
      <c r="L4362">
        <v>96792</v>
      </c>
      <c r="M4362" t="s">
        <v>36</v>
      </c>
      <c r="N4362">
        <v>1</v>
      </c>
      <c r="O4362">
        <v>4</v>
      </c>
      <c r="P4362">
        <v>17</v>
      </c>
      <c r="Q4362">
        <v>2</v>
      </c>
      <c r="R4362" s="1">
        <v>41998</v>
      </c>
      <c r="S4362" t="s">
        <v>37</v>
      </c>
      <c r="T4362" t="str">
        <f t="shared" si="340"/>
        <v>Grade A</v>
      </c>
      <c r="U4362">
        <f t="shared" si="341"/>
        <v>1</v>
      </c>
      <c r="V4362" t="str">
        <f t="shared" si="342"/>
        <v>Mid Level</v>
      </c>
      <c r="W4362" t="str">
        <f t="shared" si="343"/>
        <v>Already Left</v>
      </c>
      <c r="X4362" t="str">
        <f t="shared" si="344"/>
        <v>Overpaid</v>
      </c>
    </row>
    <row r="4363" spans="1:24" x14ac:dyDescent="0.3">
      <c r="A4363" t="s">
        <v>4431</v>
      </c>
      <c r="B4363" t="s">
        <v>20</v>
      </c>
      <c r="C4363">
        <v>22</v>
      </c>
      <c r="D4363" t="s">
        <v>47</v>
      </c>
      <c r="E4363" t="s">
        <v>48</v>
      </c>
      <c r="F4363" t="s">
        <v>75</v>
      </c>
      <c r="G4363" t="s">
        <v>42</v>
      </c>
      <c r="H4363" t="s">
        <v>25</v>
      </c>
      <c r="I4363" t="s">
        <v>96</v>
      </c>
      <c r="J4363" t="s">
        <v>44</v>
      </c>
      <c r="K4363">
        <v>5</v>
      </c>
      <c r="L4363">
        <v>96236</v>
      </c>
      <c r="M4363" t="s">
        <v>45</v>
      </c>
      <c r="N4363">
        <v>2</v>
      </c>
      <c r="O4363">
        <v>1</v>
      </c>
      <c r="P4363">
        <v>36</v>
      </c>
      <c r="Q4363">
        <v>0</v>
      </c>
      <c r="R4363" s="1">
        <v>43191</v>
      </c>
      <c r="S4363" t="s">
        <v>29</v>
      </c>
      <c r="T4363" t="str">
        <f t="shared" si="340"/>
        <v>Grade A</v>
      </c>
      <c r="U4363">
        <f t="shared" si="341"/>
        <v>2</v>
      </c>
      <c r="V4363" t="str">
        <f t="shared" si="342"/>
        <v>Junior</v>
      </c>
      <c r="W4363" t="str">
        <f t="shared" si="343"/>
        <v>Medium Risk</v>
      </c>
      <c r="X4363" t="str">
        <f t="shared" si="344"/>
        <v>Fair</v>
      </c>
    </row>
    <row r="4364" spans="1:24" x14ac:dyDescent="0.3">
      <c r="A4364" t="s">
        <v>4432</v>
      </c>
      <c r="B4364" t="s">
        <v>20</v>
      </c>
      <c r="C4364">
        <v>23</v>
      </c>
      <c r="D4364" t="s">
        <v>31</v>
      </c>
      <c r="E4364" t="s">
        <v>48</v>
      </c>
      <c r="F4364" t="s">
        <v>41</v>
      </c>
      <c r="G4364" t="s">
        <v>42</v>
      </c>
      <c r="H4364" t="s">
        <v>34</v>
      </c>
      <c r="I4364" t="s">
        <v>80</v>
      </c>
      <c r="J4364" t="s">
        <v>60</v>
      </c>
      <c r="K4364">
        <v>9</v>
      </c>
      <c r="L4364">
        <v>121269</v>
      </c>
      <c r="M4364" t="s">
        <v>51</v>
      </c>
      <c r="N4364">
        <v>2</v>
      </c>
      <c r="O4364">
        <v>1</v>
      </c>
      <c r="P4364">
        <v>80</v>
      </c>
      <c r="Q4364">
        <v>3</v>
      </c>
      <c r="R4364" s="1">
        <v>41707</v>
      </c>
      <c r="S4364" t="s">
        <v>29</v>
      </c>
      <c r="T4364" t="str">
        <f t="shared" si="340"/>
        <v>Grade A</v>
      </c>
      <c r="U4364">
        <f t="shared" si="341"/>
        <v>4</v>
      </c>
      <c r="V4364" t="str">
        <f t="shared" si="342"/>
        <v>Mid Level</v>
      </c>
      <c r="W4364" t="str">
        <f t="shared" si="343"/>
        <v>Low Risk</v>
      </c>
      <c r="X4364" t="str">
        <f t="shared" si="344"/>
        <v>Competitive</v>
      </c>
    </row>
    <row r="4365" spans="1:24" x14ac:dyDescent="0.3">
      <c r="A4365" t="s">
        <v>4433</v>
      </c>
      <c r="B4365" t="s">
        <v>20</v>
      </c>
      <c r="C4365">
        <v>34</v>
      </c>
      <c r="D4365" t="s">
        <v>88</v>
      </c>
      <c r="E4365" t="s">
        <v>40</v>
      </c>
      <c r="F4365" t="s">
        <v>62</v>
      </c>
      <c r="G4365" t="s">
        <v>79</v>
      </c>
      <c r="H4365" t="s">
        <v>67</v>
      </c>
      <c r="I4365" t="s">
        <v>59</v>
      </c>
      <c r="J4365" t="s">
        <v>60</v>
      </c>
      <c r="K4365">
        <v>3</v>
      </c>
      <c r="L4365">
        <v>48001</v>
      </c>
      <c r="M4365" t="s">
        <v>28</v>
      </c>
      <c r="N4365">
        <v>4</v>
      </c>
      <c r="O4365">
        <v>4</v>
      </c>
      <c r="P4365">
        <v>74</v>
      </c>
      <c r="Q4365">
        <v>1</v>
      </c>
      <c r="R4365" s="1">
        <v>44079</v>
      </c>
      <c r="S4365" t="s">
        <v>29</v>
      </c>
      <c r="T4365" t="str">
        <f t="shared" si="340"/>
        <v>Grade C</v>
      </c>
      <c r="U4365">
        <f t="shared" si="341"/>
        <v>3</v>
      </c>
      <c r="V4365" t="str">
        <f t="shared" si="342"/>
        <v>Junior</v>
      </c>
      <c r="W4365" t="str">
        <f t="shared" si="343"/>
        <v>Medium Risk</v>
      </c>
      <c r="X4365" t="str">
        <f t="shared" si="344"/>
        <v>Fair</v>
      </c>
    </row>
    <row r="4366" spans="1:24" x14ac:dyDescent="0.3">
      <c r="A4366" t="s">
        <v>4434</v>
      </c>
      <c r="B4366" t="s">
        <v>39</v>
      </c>
      <c r="C4366">
        <v>44</v>
      </c>
      <c r="D4366" t="s">
        <v>31</v>
      </c>
      <c r="E4366" t="s">
        <v>48</v>
      </c>
      <c r="F4366" t="s">
        <v>53</v>
      </c>
      <c r="G4366" t="s">
        <v>42</v>
      </c>
      <c r="H4366" t="s">
        <v>67</v>
      </c>
      <c r="I4366" t="s">
        <v>72</v>
      </c>
      <c r="J4366" t="s">
        <v>73</v>
      </c>
      <c r="K4366">
        <v>6</v>
      </c>
      <c r="L4366">
        <v>112508</v>
      </c>
      <c r="M4366" t="s">
        <v>51</v>
      </c>
      <c r="N4366">
        <v>3</v>
      </c>
      <c r="O4366">
        <v>3</v>
      </c>
      <c r="P4366">
        <v>40</v>
      </c>
      <c r="Q4366">
        <v>1</v>
      </c>
      <c r="R4366" s="1">
        <v>42995</v>
      </c>
      <c r="S4366" t="s">
        <v>29</v>
      </c>
      <c r="T4366" t="str">
        <f t="shared" si="340"/>
        <v>Grade A</v>
      </c>
      <c r="U4366">
        <f t="shared" si="341"/>
        <v>4</v>
      </c>
      <c r="V4366" t="str">
        <f t="shared" si="342"/>
        <v>Mid Level</v>
      </c>
      <c r="W4366" t="str">
        <f t="shared" si="343"/>
        <v>Low Risk</v>
      </c>
      <c r="X4366" t="str">
        <f t="shared" si="344"/>
        <v>Competitive</v>
      </c>
    </row>
    <row r="4367" spans="1:24" x14ac:dyDescent="0.3">
      <c r="A4367" t="s">
        <v>4435</v>
      </c>
      <c r="B4367" t="s">
        <v>39</v>
      </c>
      <c r="C4367">
        <v>52</v>
      </c>
      <c r="D4367" t="s">
        <v>31</v>
      </c>
      <c r="E4367" t="s">
        <v>48</v>
      </c>
      <c r="F4367" t="s">
        <v>23</v>
      </c>
      <c r="G4367" t="s">
        <v>42</v>
      </c>
      <c r="H4367" t="s">
        <v>76</v>
      </c>
      <c r="I4367" t="s">
        <v>72</v>
      </c>
      <c r="J4367" t="s">
        <v>73</v>
      </c>
      <c r="K4367">
        <v>12</v>
      </c>
      <c r="L4367">
        <v>111356</v>
      </c>
      <c r="M4367" t="s">
        <v>45</v>
      </c>
      <c r="N4367">
        <v>2</v>
      </c>
      <c r="O4367">
        <v>2</v>
      </c>
      <c r="P4367">
        <v>72</v>
      </c>
      <c r="Q4367">
        <v>1</v>
      </c>
      <c r="R4367" s="1">
        <v>40618</v>
      </c>
      <c r="S4367" t="s">
        <v>29</v>
      </c>
      <c r="T4367" t="str">
        <f t="shared" si="340"/>
        <v>Grade A</v>
      </c>
      <c r="U4367">
        <f t="shared" si="341"/>
        <v>2</v>
      </c>
      <c r="V4367" t="str">
        <f t="shared" si="342"/>
        <v>Senior</v>
      </c>
      <c r="W4367" t="str">
        <f t="shared" si="343"/>
        <v>Medium Risk</v>
      </c>
      <c r="X4367" t="str">
        <f t="shared" si="344"/>
        <v>Fair</v>
      </c>
    </row>
    <row r="4368" spans="1:24" x14ac:dyDescent="0.3">
      <c r="A4368" t="s">
        <v>4436</v>
      </c>
      <c r="B4368" t="s">
        <v>39</v>
      </c>
      <c r="C4368">
        <v>36</v>
      </c>
      <c r="D4368" t="s">
        <v>47</v>
      </c>
      <c r="E4368" t="s">
        <v>40</v>
      </c>
      <c r="F4368" t="s">
        <v>53</v>
      </c>
      <c r="G4368" t="s">
        <v>24</v>
      </c>
      <c r="H4368" t="s">
        <v>67</v>
      </c>
      <c r="I4368" t="s">
        <v>50</v>
      </c>
      <c r="J4368" t="s">
        <v>44</v>
      </c>
      <c r="K4368">
        <v>2</v>
      </c>
      <c r="L4368">
        <v>76698</v>
      </c>
      <c r="M4368" t="s">
        <v>28</v>
      </c>
      <c r="N4368">
        <v>2</v>
      </c>
      <c r="O4368">
        <v>4</v>
      </c>
      <c r="P4368">
        <v>17</v>
      </c>
      <c r="Q4368">
        <v>1</v>
      </c>
      <c r="R4368" s="1">
        <v>44226</v>
      </c>
      <c r="S4368" t="s">
        <v>29</v>
      </c>
      <c r="T4368" t="str">
        <f t="shared" si="340"/>
        <v>Grade B</v>
      </c>
      <c r="U4368">
        <f t="shared" si="341"/>
        <v>3</v>
      </c>
      <c r="V4368" t="str">
        <f t="shared" si="342"/>
        <v>New Joiner</v>
      </c>
      <c r="W4368" t="str">
        <f t="shared" si="343"/>
        <v>Medium Risk</v>
      </c>
      <c r="X4368" t="str">
        <f t="shared" si="344"/>
        <v>Competitive</v>
      </c>
    </row>
    <row r="4369" spans="1:24" x14ac:dyDescent="0.3">
      <c r="A4369" t="s">
        <v>4437</v>
      </c>
      <c r="B4369" t="s">
        <v>20</v>
      </c>
      <c r="C4369">
        <v>28</v>
      </c>
      <c r="D4369" t="s">
        <v>21</v>
      </c>
      <c r="E4369" t="s">
        <v>48</v>
      </c>
      <c r="F4369" t="s">
        <v>23</v>
      </c>
      <c r="G4369" t="s">
        <v>58</v>
      </c>
      <c r="H4369" t="s">
        <v>83</v>
      </c>
      <c r="I4369" t="s">
        <v>43</v>
      </c>
      <c r="J4369" t="s">
        <v>44</v>
      </c>
      <c r="K4369">
        <v>3</v>
      </c>
      <c r="L4369">
        <v>94876</v>
      </c>
      <c r="M4369" t="s">
        <v>45</v>
      </c>
      <c r="N4369">
        <v>4</v>
      </c>
      <c r="O4369">
        <v>4</v>
      </c>
      <c r="P4369">
        <v>69</v>
      </c>
      <c r="Q4369">
        <v>2</v>
      </c>
      <c r="R4369" s="1">
        <v>44182</v>
      </c>
      <c r="S4369" t="s">
        <v>37</v>
      </c>
      <c r="T4369" t="str">
        <f t="shared" si="340"/>
        <v>Grade A</v>
      </c>
      <c r="U4369">
        <f t="shared" si="341"/>
        <v>2</v>
      </c>
      <c r="V4369" t="str">
        <f t="shared" si="342"/>
        <v>Junior</v>
      </c>
      <c r="W4369" t="str">
        <f t="shared" si="343"/>
        <v>Already Left</v>
      </c>
      <c r="X4369" t="str">
        <f t="shared" si="344"/>
        <v>Fair</v>
      </c>
    </row>
    <row r="4370" spans="1:24" x14ac:dyDescent="0.3">
      <c r="A4370" t="s">
        <v>4438</v>
      </c>
      <c r="B4370" t="s">
        <v>39</v>
      </c>
      <c r="C4370">
        <v>29</v>
      </c>
      <c r="D4370" t="s">
        <v>57</v>
      </c>
      <c r="E4370" t="s">
        <v>40</v>
      </c>
      <c r="F4370" t="s">
        <v>53</v>
      </c>
      <c r="G4370" t="s">
        <v>33</v>
      </c>
      <c r="H4370" t="s">
        <v>67</v>
      </c>
      <c r="I4370" t="s">
        <v>59</v>
      </c>
      <c r="J4370" t="s">
        <v>60</v>
      </c>
      <c r="K4370">
        <v>4</v>
      </c>
      <c r="L4370">
        <v>73418</v>
      </c>
      <c r="M4370" t="s">
        <v>36</v>
      </c>
      <c r="N4370">
        <v>3</v>
      </c>
      <c r="O4370">
        <v>4</v>
      </c>
      <c r="P4370">
        <v>30</v>
      </c>
      <c r="Q4370">
        <v>1</v>
      </c>
      <c r="R4370" s="1">
        <v>43681</v>
      </c>
      <c r="S4370" t="s">
        <v>37</v>
      </c>
      <c r="T4370" t="str">
        <f t="shared" si="340"/>
        <v>Grade B</v>
      </c>
      <c r="U4370">
        <f t="shared" si="341"/>
        <v>1</v>
      </c>
      <c r="V4370" t="str">
        <f t="shared" si="342"/>
        <v>Junior</v>
      </c>
      <c r="W4370" t="str">
        <f t="shared" si="343"/>
        <v>Already Left</v>
      </c>
      <c r="X4370" t="str">
        <f t="shared" si="344"/>
        <v>Fair</v>
      </c>
    </row>
    <row r="4371" spans="1:24" x14ac:dyDescent="0.3">
      <c r="A4371" t="s">
        <v>4439</v>
      </c>
      <c r="B4371" t="s">
        <v>39</v>
      </c>
      <c r="C4371">
        <v>25</v>
      </c>
      <c r="D4371" t="s">
        <v>88</v>
      </c>
      <c r="E4371" t="s">
        <v>48</v>
      </c>
      <c r="F4371" t="s">
        <v>23</v>
      </c>
      <c r="G4371" t="s">
        <v>79</v>
      </c>
      <c r="H4371" t="s">
        <v>25</v>
      </c>
      <c r="I4371" t="s">
        <v>35</v>
      </c>
      <c r="J4371" t="s">
        <v>27</v>
      </c>
      <c r="K4371">
        <v>7</v>
      </c>
      <c r="L4371">
        <v>58385</v>
      </c>
      <c r="M4371" t="s">
        <v>28</v>
      </c>
      <c r="N4371">
        <v>1</v>
      </c>
      <c r="O4371">
        <v>1</v>
      </c>
      <c r="P4371">
        <v>76</v>
      </c>
      <c r="Q4371">
        <v>0</v>
      </c>
      <c r="R4371" s="1">
        <v>42642</v>
      </c>
      <c r="S4371" t="s">
        <v>29</v>
      </c>
      <c r="T4371" t="str">
        <f t="shared" si="340"/>
        <v>Grade B</v>
      </c>
      <c r="U4371">
        <f t="shared" si="341"/>
        <v>3</v>
      </c>
      <c r="V4371" t="str">
        <f t="shared" si="342"/>
        <v>Mid Level</v>
      </c>
      <c r="W4371" t="str">
        <f t="shared" si="343"/>
        <v>Medium Risk</v>
      </c>
      <c r="X4371" t="str">
        <f t="shared" si="344"/>
        <v>Competitive</v>
      </c>
    </row>
    <row r="4372" spans="1:24" x14ac:dyDescent="0.3">
      <c r="A4372" t="s">
        <v>4440</v>
      </c>
      <c r="B4372" t="s">
        <v>39</v>
      </c>
      <c r="C4372">
        <v>53</v>
      </c>
      <c r="D4372" t="s">
        <v>21</v>
      </c>
      <c r="E4372" t="s">
        <v>22</v>
      </c>
      <c r="F4372" t="s">
        <v>41</v>
      </c>
      <c r="G4372" t="s">
        <v>66</v>
      </c>
      <c r="H4372" t="s">
        <v>76</v>
      </c>
      <c r="I4372" t="s">
        <v>54</v>
      </c>
      <c r="J4372" t="s">
        <v>27</v>
      </c>
      <c r="K4372">
        <v>6</v>
      </c>
      <c r="L4372">
        <v>41290</v>
      </c>
      <c r="M4372" t="s">
        <v>45</v>
      </c>
      <c r="N4372">
        <v>3</v>
      </c>
      <c r="O4372">
        <v>1</v>
      </c>
      <c r="P4372">
        <v>14</v>
      </c>
      <c r="Q4372">
        <v>1</v>
      </c>
      <c r="R4372" s="1">
        <v>42939</v>
      </c>
      <c r="S4372" t="s">
        <v>29</v>
      </c>
      <c r="T4372" t="str">
        <f t="shared" si="340"/>
        <v>Grade C</v>
      </c>
      <c r="U4372">
        <f t="shared" si="341"/>
        <v>2</v>
      </c>
      <c r="V4372" t="str">
        <f t="shared" si="342"/>
        <v>Mid Level</v>
      </c>
      <c r="W4372" t="str">
        <f t="shared" si="343"/>
        <v>Medium Risk</v>
      </c>
      <c r="X4372" t="str">
        <f t="shared" si="344"/>
        <v>Fair</v>
      </c>
    </row>
    <row r="4373" spans="1:24" x14ac:dyDescent="0.3">
      <c r="A4373" t="s">
        <v>4441</v>
      </c>
      <c r="B4373" t="s">
        <v>20</v>
      </c>
      <c r="C4373">
        <v>30</v>
      </c>
      <c r="D4373" t="s">
        <v>57</v>
      </c>
      <c r="E4373" t="s">
        <v>48</v>
      </c>
      <c r="F4373" t="s">
        <v>32</v>
      </c>
      <c r="G4373" t="s">
        <v>63</v>
      </c>
      <c r="H4373" t="s">
        <v>76</v>
      </c>
      <c r="I4373" t="s">
        <v>59</v>
      </c>
      <c r="J4373" t="s">
        <v>60</v>
      </c>
      <c r="K4373">
        <v>9</v>
      </c>
      <c r="L4373">
        <v>62385</v>
      </c>
      <c r="M4373" t="s">
        <v>28</v>
      </c>
      <c r="N4373">
        <v>1</v>
      </c>
      <c r="O4373">
        <v>2</v>
      </c>
      <c r="P4373">
        <v>80</v>
      </c>
      <c r="Q4373">
        <v>1</v>
      </c>
      <c r="R4373" s="1">
        <v>41972</v>
      </c>
      <c r="S4373" t="s">
        <v>37</v>
      </c>
      <c r="T4373" t="str">
        <f t="shared" si="340"/>
        <v>Grade B</v>
      </c>
      <c r="U4373">
        <f t="shared" si="341"/>
        <v>3</v>
      </c>
      <c r="V4373" t="str">
        <f t="shared" si="342"/>
        <v>Mid Level</v>
      </c>
      <c r="W4373" t="str">
        <f t="shared" si="343"/>
        <v>Already Left</v>
      </c>
      <c r="X4373" t="str">
        <f t="shared" si="344"/>
        <v>Competitive</v>
      </c>
    </row>
    <row r="4374" spans="1:24" x14ac:dyDescent="0.3">
      <c r="A4374" t="s">
        <v>4442</v>
      </c>
      <c r="B4374" t="s">
        <v>20</v>
      </c>
      <c r="C4374">
        <v>50</v>
      </c>
      <c r="D4374" t="s">
        <v>21</v>
      </c>
      <c r="E4374" t="s">
        <v>48</v>
      </c>
      <c r="F4374" t="s">
        <v>32</v>
      </c>
      <c r="G4374" t="s">
        <v>58</v>
      </c>
      <c r="H4374" t="s">
        <v>76</v>
      </c>
      <c r="I4374" t="s">
        <v>26</v>
      </c>
      <c r="J4374" t="s">
        <v>27</v>
      </c>
      <c r="K4374">
        <v>10</v>
      </c>
      <c r="L4374">
        <v>102991</v>
      </c>
      <c r="M4374" t="s">
        <v>45</v>
      </c>
      <c r="N4374">
        <v>4</v>
      </c>
      <c r="O4374">
        <v>2</v>
      </c>
      <c r="P4374">
        <v>38</v>
      </c>
      <c r="Q4374">
        <v>0</v>
      </c>
      <c r="R4374" s="1">
        <v>41278</v>
      </c>
      <c r="S4374" t="s">
        <v>29</v>
      </c>
      <c r="T4374" t="str">
        <f t="shared" si="340"/>
        <v>Grade A</v>
      </c>
      <c r="U4374">
        <f t="shared" si="341"/>
        <v>2</v>
      </c>
      <c r="V4374" t="str">
        <f t="shared" si="342"/>
        <v>Mid Level</v>
      </c>
      <c r="W4374" t="str">
        <f t="shared" si="343"/>
        <v>Medium Risk</v>
      </c>
      <c r="X4374" t="str">
        <f t="shared" si="344"/>
        <v>Fair</v>
      </c>
    </row>
    <row r="4375" spans="1:24" x14ac:dyDescent="0.3">
      <c r="A4375" t="s">
        <v>4443</v>
      </c>
      <c r="B4375" t="s">
        <v>20</v>
      </c>
      <c r="C4375">
        <v>22</v>
      </c>
      <c r="D4375" t="s">
        <v>31</v>
      </c>
      <c r="E4375" t="s">
        <v>48</v>
      </c>
      <c r="F4375" t="s">
        <v>23</v>
      </c>
      <c r="G4375" t="s">
        <v>79</v>
      </c>
      <c r="H4375" t="s">
        <v>83</v>
      </c>
      <c r="I4375" t="s">
        <v>54</v>
      </c>
      <c r="J4375" t="s">
        <v>27</v>
      </c>
      <c r="K4375">
        <v>15</v>
      </c>
      <c r="L4375">
        <v>77766</v>
      </c>
      <c r="M4375" t="s">
        <v>51</v>
      </c>
      <c r="N4375">
        <v>3</v>
      </c>
      <c r="O4375">
        <v>3</v>
      </c>
      <c r="P4375">
        <v>76</v>
      </c>
      <c r="Q4375">
        <v>3</v>
      </c>
      <c r="R4375" s="1">
        <v>39637</v>
      </c>
      <c r="S4375" t="s">
        <v>29</v>
      </c>
      <c r="T4375" t="str">
        <f t="shared" si="340"/>
        <v>Grade B</v>
      </c>
      <c r="U4375">
        <f t="shared" si="341"/>
        <v>4</v>
      </c>
      <c r="V4375" t="str">
        <f t="shared" si="342"/>
        <v>Senior</v>
      </c>
      <c r="W4375" t="str">
        <f t="shared" si="343"/>
        <v>Low Risk</v>
      </c>
      <c r="X4375" t="str">
        <f t="shared" si="344"/>
        <v>Fair</v>
      </c>
    </row>
    <row r="4376" spans="1:24" x14ac:dyDescent="0.3">
      <c r="A4376" t="s">
        <v>4444</v>
      </c>
      <c r="B4376" t="s">
        <v>20</v>
      </c>
      <c r="C4376">
        <v>40</v>
      </c>
      <c r="D4376" t="s">
        <v>88</v>
      </c>
      <c r="E4376" t="s">
        <v>22</v>
      </c>
      <c r="F4376" t="s">
        <v>32</v>
      </c>
      <c r="G4376" t="s">
        <v>33</v>
      </c>
      <c r="H4376" t="s">
        <v>34</v>
      </c>
      <c r="I4376" t="s">
        <v>50</v>
      </c>
      <c r="J4376" t="s">
        <v>44</v>
      </c>
      <c r="K4376">
        <v>12</v>
      </c>
      <c r="L4376">
        <v>77195</v>
      </c>
      <c r="M4376" t="s">
        <v>51</v>
      </c>
      <c r="N4376">
        <v>4</v>
      </c>
      <c r="O4376">
        <v>2</v>
      </c>
      <c r="P4376">
        <v>41</v>
      </c>
      <c r="Q4376">
        <v>1</v>
      </c>
      <c r="R4376" s="1">
        <v>40775</v>
      </c>
      <c r="S4376" t="s">
        <v>29</v>
      </c>
      <c r="T4376" t="str">
        <f t="shared" si="340"/>
        <v>Grade B</v>
      </c>
      <c r="U4376">
        <f t="shared" si="341"/>
        <v>4</v>
      </c>
      <c r="V4376" t="str">
        <f t="shared" si="342"/>
        <v>Senior</v>
      </c>
      <c r="W4376" t="str">
        <f t="shared" si="343"/>
        <v>Low Risk</v>
      </c>
      <c r="X4376" t="str">
        <f t="shared" si="344"/>
        <v>Fair</v>
      </c>
    </row>
    <row r="4377" spans="1:24" x14ac:dyDescent="0.3">
      <c r="A4377" t="s">
        <v>4445</v>
      </c>
      <c r="B4377" t="s">
        <v>39</v>
      </c>
      <c r="C4377">
        <v>23</v>
      </c>
      <c r="D4377" t="s">
        <v>31</v>
      </c>
      <c r="E4377" t="s">
        <v>48</v>
      </c>
      <c r="F4377" t="s">
        <v>65</v>
      </c>
      <c r="G4377" t="s">
        <v>33</v>
      </c>
      <c r="H4377" t="s">
        <v>67</v>
      </c>
      <c r="I4377" t="s">
        <v>35</v>
      </c>
      <c r="J4377" t="s">
        <v>27</v>
      </c>
      <c r="K4377">
        <v>15</v>
      </c>
      <c r="L4377">
        <v>88140</v>
      </c>
      <c r="M4377" t="s">
        <v>28</v>
      </c>
      <c r="N4377">
        <v>4</v>
      </c>
      <c r="O4377">
        <v>2</v>
      </c>
      <c r="P4377">
        <v>16</v>
      </c>
      <c r="Q4377">
        <v>3</v>
      </c>
      <c r="R4377" s="1">
        <v>39743</v>
      </c>
      <c r="S4377" t="s">
        <v>29</v>
      </c>
      <c r="T4377" t="str">
        <f t="shared" si="340"/>
        <v>Grade A</v>
      </c>
      <c r="U4377">
        <f t="shared" si="341"/>
        <v>3</v>
      </c>
      <c r="V4377" t="str">
        <f t="shared" si="342"/>
        <v>Senior</v>
      </c>
      <c r="W4377" t="str">
        <f t="shared" si="343"/>
        <v>Medium Risk</v>
      </c>
      <c r="X4377" t="str">
        <f t="shared" si="344"/>
        <v>Competitive</v>
      </c>
    </row>
    <row r="4378" spans="1:24" x14ac:dyDescent="0.3">
      <c r="A4378" t="s">
        <v>4446</v>
      </c>
      <c r="B4378" t="s">
        <v>39</v>
      </c>
      <c r="C4378">
        <v>55</v>
      </c>
      <c r="D4378" t="s">
        <v>57</v>
      </c>
      <c r="E4378" t="s">
        <v>22</v>
      </c>
      <c r="F4378" t="s">
        <v>75</v>
      </c>
      <c r="G4378" t="s">
        <v>66</v>
      </c>
      <c r="H4378" t="s">
        <v>76</v>
      </c>
      <c r="I4378" t="s">
        <v>68</v>
      </c>
      <c r="J4378" t="s">
        <v>60</v>
      </c>
      <c r="K4378">
        <v>2</v>
      </c>
      <c r="L4378">
        <v>45407</v>
      </c>
      <c r="M4378" t="s">
        <v>28</v>
      </c>
      <c r="N4378">
        <v>3</v>
      </c>
      <c r="O4378">
        <v>2</v>
      </c>
      <c r="P4378">
        <v>55</v>
      </c>
      <c r="Q4378">
        <v>3</v>
      </c>
      <c r="R4378" s="1">
        <v>44474</v>
      </c>
      <c r="S4378" t="s">
        <v>29</v>
      </c>
      <c r="T4378" t="str">
        <f t="shared" si="340"/>
        <v>Grade C</v>
      </c>
      <c r="U4378">
        <f t="shared" si="341"/>
        <v>3</v>
      </c>
      <c r="V4378" t="str">
        <f t="shared" si="342"/>
        <v>New Joiner</v>
      </c>
      <c r="W4378" t="str">
        <f t="shared" si="343"/>
        <v>Medium Risk</v>
      </c>
      <c r="X4378" t="str">
        <f t="shared" si="344"/>
        <v>Fair</v>
      </c>
    </row>
    <row r="4379" spans="1:24" x14ac:dyDescent="0.3">
      <c r="A4379" t="s">
        <v>4447</v>
      </c>
      <c r="B4379" t="s">
        <v>39</v>
      </c>
      <c r="C4379">
        <v>34</v>
      </c>
      <c r="D4379" t="s">
        <v>31</v>
      </c>
      <c r="E4379" t="s">
        <v>22</v>
      </c>
      <c r="F4379" t="s">
        <v>62</v>
      </c>
      <c r="G4379" t="s">
        <v>24</v>
      </c>
      <c r="H4379" t="s">
        <v>34</v>
      </c>
      <c r="I4379" t="s">
        <v>59</v>
      </c>
      <c r="J4379" t="s">
        <v>60</v>
      </c>
      <c r="K4379">
        <v>5</v>
      </c>
      <c r="L4379">
        <v>79383</v>
      </c>
      <c r="M4379" t="s">
        <v>36</v>
      </c>
      <c r="N4379">
        <v>4</v>
      </c>
      <c r="O4379">
        <v>2</v>
      </c>
      <c r="P4379">
        <v>62</v>
      </c>
      <c r="Q4379">
        <v>1</v>
      </c>
      <c r="R4379" s="1">
        <v>43318</v>
      </c>
      <c r="S4379" t="s">
        <v>37</v>
      </c>
      <c r="T4379" t="str">
        <f t="shared" si="340"/>
        <v>Grade B</v>
      </c>
      <c r="U4379">
        <f t="shared" si="341"/>
        <v>1</v>
      </c>
      <c r="V4379" t="str">
        <f t="shared" si="342"/>
        <v>Junior</v>
      </c>
      <c r="W4379" t="str">
        <f t="shared" si="343"/>
        <v>Already Left</v>
      </c>
      <c r="X4379" t="str">
        <f t="shared" si="344"/>
        <v>Fair</v>
      </c>
    </row>
    <row r="4380" spans="1:24" x14ac:dyDescent="0.3">
      <c r="A4380" t="s">
        <v>4448</v>
      </c>
      <c r="B4380" t="s">
        <v>20</v>
      </c>
      <c r="C4380">
        <v>43</v>
      </c>
      <c r="D4380" t="s">
        <v>88</v>
      </c>
      <c r="E4380" t="s">
        <v>40</v>
      </c>
      <c r="F4380" t="s">
        <v>62</v>
      </c>
      <c r="G4380" t="s">
        <v>42</v>
      </c>
      <c r="H4380" t="s">
        <v>25</v>
      </c>
      <c r="I4380" t="s">
        <v>80</v>
      </c>
      <c r="J4380" t="s">
        <v>60</v>
      </c>
      <c r="K4380">
        <v>1</v>
      </c>
      <c r="L4380">
        <v>90653</v>
      </c>
      <c r="M4380" t="s">
        <v>28</v>
      </c>
      <c r="N4380">
        <v>4</v>
      </c>
      <c r="O4380">
        <v>1</v>
      </c>
      <c r="P4380">
        <v>18</v>
      </c>
      <c r="Q4380">
        <v>1</v>
      </c>
      <c r="R4380" s="1">
        <v>44738</v>
      </c>
      <c r="S4380" t="s">
        <v>37</v>
      </c>
      <c r="T4380" t="str">
        <f t="shared" si="340"/>
        <v>Grade A</v>
      </c>
      <c r="U4380">
        <f t="shared" si="341"/>
        <v>3</v>
      </c>
      <c r="V4380" t="str">
        <f t="shared" si="342"/>
        <v>New Joiner</v>
      </c>
      <c r="W4380" t="str">
        <f t="shared" si="343"/>
        <v>Already Left</v>
      </c>
      <c r="X4380" t="str">
        <f t="shared" si="344"/>
        <v>Competitive</v>
      </c>
    </row>
    <row r="4381" spans="1:24" x14ac:dyDescent="0.3">
      <c r="A4381" t="s">
        <v>4449</v>
      </c>
      <c r="B4381" t="s">
        <v>39</v>
      </c>
      <c r="C4381">
        <v>53</v>
      </c>
      <c r="D4381" t="s">
        <v>47</v>
      </c>
      <c r="E4381" t="s">
        <v>48</v>
      </c>
      <c r="F4381" t="s">
        <v>78</v>
      </c>
      <c r="G4381" t="s">
        <v>66</v>
      </c>
      <c r="H4381" t="s">
        <v>67</v>
      </c>
      <c r="I4381" t="s">
        <v>96</v>
      </c>
      <c r="J4381" t="s">
        <v>44</v>
      </c>
      <c r="K4381">
        <v>8</v>
      </c>
      <c r="L4381">
        <v>55221</v>
      </c>
      <c r="M4381" t="s">
        <v>36</v>
      </c>
      <c r="N4381">
        <v>3</v>
      </c>
      <c r="O4381">
        <v>4</v>
      </c>
      <c r="P4381">
        <v>25</v>
      </c>
      <c r="Q4381">
        <v>0</v>
      </c>
      <c r="R4381" s="1">
        <v>42097</v>
      </c>
      <c r="S4381" t="s">
        <v>29</v>
      </c>
      <c r="T4381" t="str">
        <f t="shared" si="340"/>
        <v>Grade B</v>
      </c>
      <c r="U4381">
        <f t="shared" si="341"/>
        <v>1</v>
      </c>
      <c r="V4381" t="str">
        <f t="shared" si="342"/>
        <v>Mid Level</v>
      </c>
      <c r="W4381" t="str">
        <f t="shared" si="343"/>
        <v>Medium Risk</v>
      </c>
      <c r="X4381" t="str">
        <f t="shared" si="344"/>
        <v>Fair</v>
      </c>
    </row>
    <row r="4382" spans="1:24" x14ac:dyDescent="0.3">
      <c r="A4382" t="s">
        <v>4450</v>
      </c>
      <c r="B4382" t="s">
        <v>20</v>
      </c>
      <c r="C4382">
        <v>41</v>
      </c>
      <c r="D4382" t="s">
        <v>57</v>
      </c>
      <c r="E4382" t="s">
        <v>22</v>
      </c>
      <c r="F4382" t="s">
        <v>41</v>
      </c>
      <c r="G4382" t="s">
        <v>66</v>
      </c>
      <c r="H4382" t="s">
        <v>76</v>
      </c>
      <c r="I4382" t="s">
        <v>96</v>
      </c>
      <c r="J4382" t="s">
        <v>44</v>
      </c>
      <c r="K4382">
        <v>7</v>
      </c>
      <c r="L4382">
        <v>49607</v>
      </c>
      <c r="M4382" t="s">
        <v>51</v>
      </c>
      <c r="N4382">
        <v>2</v>
      </c>
      <c r="O4382">
        <v>2</v>
      </c>
      <c r="P4382">
        <v>19</v>
      </c>
      <c r="Q4382">
        <v>2</v>
      </c>
      <c r="R4382" s="1">
        <v>42649</v>
      </c>
      <c r="S4382" t="s">
        <v>37</v>
      </c>
      <c r="T4382" t="str">
        <f t="shared" si="340"/>
        <v>Grade C</v>
      </c>
      <c r="U4382">
        <f t="shared" si="341"/>
        <v>4</v>
      </c>
      <c r="V4382" t="str">
        <f t="shared" si="342"/>
        <v>Mid Level</v>
      </c>
      <c r="W4382" t="str">
        <f t="shared" si="343"/>
        <v>Already Left</v>
      </c>
      <c r="X4382" t="str">
        <f t="shared" si="344"/>
        <v>Fair</v>
      </c>
    </row>
    <row r="4383" spans="1:24" x14ac:dyDescent="0.3">
      <c r="A4383" t="s">
        <v>4451</v>
      </c>
      <c r="B4383" t="s">
        <v>20</v>
      </c>
      <c r="C4383">
        <v>49</v>
      </c>
      <c r="D4383" t="s">
        <v>57</v>
      </c>
      <c r="E4383" t="s">
        <v>48</v>
      </c>
      <c r="F4383" t="s">
        <v>62</v>
      </c>
      <c r="G4383" t="s">
        <v>58</v>
      </c>
      <c r="H4383" t="s">
        <v>67</v>
      </c>
      <c r="I4383" t="s">
        <v>43</v>
      </c>
      <c r="J4383" t="s">
        <v>44</v>
      </c>
      <c r="K4383">
        <v>3</v>
      </c>
      <c r="L4383">
        <v>95614</v>
      </c>
      <c r="M4383" t="s">
        <v>51</v>
      </c>
      <c r="N4383">
        <v>3</v>
      </c>
      <c r="O4383">
        <v>1</v>
      </c>
      <c r="P4383">
        <v>36</v>
      </c>
      <c r="Q4383">
        <v>2</v>
      </c>
      <c r="R4383" s="1">
        <v>44014</v>
      </c>
      <c r="S4383" t="s">
        <v>29</v>
      </c>
      <c r="T4383" t="str">
        <f t="shared" si="340"/>
        <v>Grade A</v>
      </c>
      <c r="U4383">
        <f t="shared" si="341"/>
        <v>4</v>
      </c>
      <c r="V4383" t="str">
        <f t="shared" si="342"/>
        <v>Junior</v>
      </c>
      <c r="W4383" t="str">
        <f t="shared" si="343"/>
        <v>Low Risk</v>
      </c>
      <c r="X4383" t="str">
        <f t="shared" si="344"/>
        <v>Competitive</v>
      </c>
    </row>
    <row r="4384" spans="1:24" x14ac:dyDescent="0.3">
      <c r="A4384" t="s">
        <v>4452</v>
      </c>
      <c r="B4384" t="s">
        <v>20</v>
      </c>
      <c r="C4384">
        <v>48</v>
      </c>
      <c r="D4384" t="s">
        <v>47</v>
      </c>
      <c r="E4384" t="s">
        <v>48</v>
      </c>
      <c r="F4384" t="s">
        <v>62</v>
      </c>
      <c r="G4384" t="s">
        <v>33</v>
      </c>
      <c r="H4384" t="s">
        <v>25</v>
      </c>
      <c r="I4384" t="s">
        <v>59</v>
      </c>
      <c r="J4384" t="s">
        <v>60</v>
      </c>
      <c r="K4384">
        <v>14</v>
      </c>
      <c r="L4384">
        <v>90456</v>
      </c>
      <c r="M4384" t="s">
        <v>36</v>
      </c>
      <c r="N4384">
        <v>4</v>
      </c>
      <c r="O4384">
        <v>1</v>
      </c>
      <c r="P4384">
        <v>33</v>
      </c>
      <c r="Q4384">
        <v>0</v>
      </c>
      <c r="R4384" s="1">
        <v>39979</v>
      </c>
      <c r="S4384" t="s">
        <v>37</v>
      </c>
      <c r="T4384" t="str">
        <f t="shared" si="340"/>
        <v>Grade A</v>
      </c>
      <c r="U4384">
        <f t="shared" si="341"/>
        <v>1</v>
      </c>
      <c r="V4384" t="str">
        <f t="shared" si="342"/>
        <v>Senior</v>
      </c>
      <c r="W4384" t="str">
        <f t="shared" si="343"/>
        <v>Already Left</v>
      </c>
      <c r="X4384" t="str">
        <f t="shared" si="344"/>
        <v>Overpaid</v>
      </c>
    </row>
    <row r="4385" spans="1:24" x14ac:dyDescent="0.3">
      <c r="A4385" t="s">
        <v>4453</v>
      </c>
      <c r="B4385" t="s">
        <v>20</v>
      </c>
      <c r="C4385">
        <v>23</v>
      </c>
      <c r="D4385" t="s">
        <v>57</v>
      </c>
      <c r="E4385" t="s">
        <v>40</v>
      </c>
      <c r="F4385" t="s">
        <v>65</v>
      </c>
      <c r="G4385" t="s">
        <v>63</v>
      </c>
      <c r="H4385" t="s">
        <v>34</v>
      </c>
      <c r="I4385" t="s">
        <v>80</v>
      </c>
      <c r="J4385" t="s">
        <v>60</v>
      </c>
      <c r="K4385">
        <v>8</v>
      </c>
      <c r="L4385">
        <v>66791</v>
      </c>
      <c r="M4385" t="s">
        <v>36</v>
      </c>
      <c r="N4385">
        <v>2</v>
      </c>
      <c r="O4385">
        <v>3</v>
      </c>
      <c r="P4385">
        <v>20</v>
      </c>
      <c r="Q4385">
        <v>0</v>
      </c>
      <c r="R4385" s="1">
        <v>42243</v>
      </c>
      <c r="S4385" t="s">
        <v>37</v>
      </c>
      <c r="T4385" t="str">
        <f t="shared" si="340"/>
        <v>Grade B</v>
      </c>
      <c r="U4385">
        <f t="shared" si="341"/>
        <v>1</v>
      </c>
      <c r="V4385" t="str">
        <f t="shared" si="342"/>
        <v>Mid Level</v>
      </c>
      <c r="W4385" t="str">
        <f t="shared" si="343"/>
        <v>Already Left</v>
      </c>
      <c r="X4385" t="str">
        <f t="shared" si="344"/>
        <v>Fair</v>
      </c>
    </row>
    <row r="4386" spans="1:24" x14ac:dyDescent="0.3">
      <c r="A4386" t="s">
        <v>4454</v>
      </c>
      <c r="B4386" t="s">
        <v>39</v>
      </c>
      <c r="C4386">
        <v>34</v>
      </c>
      <c r="D4386" t="s">
        <v>57</v>
      </c>
      <c r="E4386" t="s">
        <v>22</v>
      </c>
      <c r="F4386" t="s">
        <v>65</v>
      </c>
      <c r="G4386" t="s">
        <v>24</v>
      </c>
      <c r="H4386" t="s">
        <v>25</v>
      </c>
      <c r="I4386" t="s">
        <v>26</v>
      </c>
      <c r="J4386" t="s">
        <v>27</v>
      </c>
      <c r="K4386">
        <v>6</v>
      </c>
      <c r="L4386">
        <v>81612</v>
      </c>
      <c r="M4386" t="s">
        <v>36</v>
      </c>
      <c r="N4386">
        <v>3</v>
      </c>
      <c r="O4386">
        <v>1</v>
      </c>
      <c r="P4386">
        <v>44</v>
      </c>
      <c r="Q4386">
        <v>3</v>
      </c>
      <c r="R4386" s="1">
        <v>42818</v>
      </c>
      <c r="S4386" t="s">
        <v>29</v>
      </c>
      <c r="T4386" t="str">
        <f t="shared" si="340"/>
        <v>Grade A</v>
      </c>
      <c r="U4386">
        <f t="shared" si="341"/>
        <v>1</v>
      </c>
      <c r="V4386" t="str">
        <f t="shared" si="342"/>
        <v>Mid Level</v>
      </c>
      <c r="W4386" t="str">
        <f t="shared" si="343"/>
        <v>Medium Risk</v>
      </c>
      <c r="X4386" t="str">
        <f t="shared" si="344"/>
        <v>Overpaid</v>
      </c>
    </row>
    <row r="4387" spans="1:24" x14ac:dyDescent="0.3">
      <c r="A4387" t="s">
        <v>4455</v>
      </c>
      <c r="B4387" t="s">
        <v>20</v>
      </c>
      <c r="C4387">
        <v>25</v>
      </c>
      <c r="D4387" t="s">
        <v>47</v>
      </c>
      <c r="E4387" t="s">
        <v>40</v>
      </c>
      <c r="F4387" t="s">
        <v>78</v>
      </c>
      <c r="G4387" t="s">
        <v>49</v>
      </c>
      <c r="H4387" t="s">
        <v>34</v>
      </c>
      <c r="I4387" t="s">
        <v>96</v>
      </c>
      <c r="J4387" t="s">
        <v>44</v>
      </c>
      <c r="K4387">
        <v>15</v>
      </c>
      <c r="L4387">
        <v>88223</v>
      </c>
      <c r="M4387" t="s">
        <v>28</v>
      </c>
      <c r="N4387">
        <v>4</v>
      </c>
      <c r="O4387">
        <v>4</v>
      </c>
      <c r="P4387">
        <v>30</v>
      </c>
      <c r="Q4387">
        <v>3</v>
      </c>
      <c r="R4387" s="1">
        <v>39519</v>
      </c>
      <c r="S4387" t="s">
        <v>29</v>
      </c>
      <c r="T4387" t="str">
        <f t="shared" si="340"/>
        <v>Grade A</v>
      </c>
      <c r="U4387">
        <f t="shared" si="341"/>
        <v>3</v>
      </c>
      <c r="V4387" t="str">
        <f t="shared" si="342"/>
        <v>Senior</v>
      </c>
      <c r="W4387" t="str">
        <f t="shared" si="343"/>
        <v>Medium Risk</v>
      </c>
      <c r="X4387" t="str">
        <f t="shared" si="344"/>
        <v>Competitive</v>
      </c>
    </row>
    <row r="4388" spans="1:24" x14ac:dyDescent="0.3">
      <c r="A4388" t="s">
        <v>4456</v>
      </c>
      <c r="B4388" t="s">
        <v>20</v>
      </c>
      <c r="C4388">
        <v>55</v>
      </c>
      <c r="D4388" t="s">
        <v>31</v>
      </c>
      <c r="E4388" t="s">
        <v>22</v>
      </c>
      <c r="F4388" t="s">
        <v>41</v>
      </c>
      <c r="G4388" t="s">
        <v>66</v>
      </c>
      <c r="H4388" t="s">
        <v>25</v>
      </c>
      <c r="I4388" t="s">
        <v>59</v>
      </c>
      <c r="J4388" t="s">
        <v>60</v>
      </c>
      <c r="K4388">
        <v>4</v>
      </c>
      <c r="L4388">
        <v>34115</v>
      </c>
      <c r="M4388" t="s">
        <v>51</v>
      </c>
      <c r="N4388">
        <v>3</v>
      </c>
      <c r="O4388">
        <v>1</v>
      </c>
      <c r="P4388">
        <v>32</v>
      </c>
      <c r="Q4388">
        <v>0</v>
      </c>
      <c r="R4388" s="1">
        <v>43480</v>
      </c>
      <c r="S4388" t="s">
        <v>29</v>
      </c>
      <c r="T4388" t="str">
        <f t="shared" si="340"/>
        <v>Grade D</v>
      </c>
      <c r="U4388">
        <f t="shared" si="341"/>
        <v>4</v>
      </c>
      <c r="V4388" t="str">
        <f t="shared" si="342"/>
        <v>Junior</v>
      </c>
      <c r="W4388" t="str">
        <f t="shared" si="343"/>
        <v>Low Risk</v>
      </c>
      <c r="X4388" t="str">
        <f t="shared" si="344"/>
        <v>Underpaid</v>
      </c>
    </row>
    <row r="4389" spans="1:24" x14ac:dyDescent="0.3">
      <c r="A4389" t="s">
        <v>4457</v>
      </c>
      <c r="B4389" t="s">
        <v>20</v>
      </c>
      <c r="C4389">
        <v>33</v>
      </c>
      <c r="D4389" t="s">
        <v>47</v>
      </c>
      <c r="E4389" t="s">
        <v>48</v>
      </c>
      <c r="F4389" t="s">
        <v>41</v>
      </c>
      <c r="G4389" t="s">
        <v>33</v>
      </c>
      <c r="H4389" t="s">
        <v>34</v>
      </c>
      <c r="I4389" t="s">
        <v>26</v>
      </c>
      <c r="J4389" t="s">
        <v>27</v>
      </c>
      <c r="K4389">
        <v>7</v>
      </c>
      <c r="L4389">
        <v>79940</v>
      </c>
      <c r="M4389" t="s">
        <v>51</v>
      </c>
      <c r="N4389">
        <v>3</v>
      </c>
      <c r="O4389">
        <v>4</v>
      </c>
      <c r="P4389">
        <v>63</v>
      </c>
      <c r="Q4389">
        <v>0</v>
      </c>
      <c r="R4389" s="1">
        <v>42524</v>
      </c>
      <c r="S4389" t="s">
        <v>29</v>
      </c>
      <c r="T4389" t="str">
        <f t="shared" si="340"/>
        <v>Grade B</v>
      </c>
      <c r="U4389">
        <f t="shared" si="341"/>
        <v>4</v>
      </c>
      <c r="V4389" t="str">
        <f t="shared" si="342"/>
        <v>Mid Level</v>
      </c>
      <c r="W4389" t="str">
        <f t="shared" si="343"/>
        <v>Low Risk</v>
      </c>
      <c r="X4389" t="str">
        <f t="shared" si="344"/>
        <v>Fair</v>
      </c>
    </row>
    <row r="4390" spans="1:24" x14ac:dyDescent="0.3">
      <c r="A4390" t="s">
        <v>4458</v>
      </c>
      <c r="B4390" t="s">
        <v>39</v>
      </c>
      <c r="C4390">
        <v>22</v>
      </c>
      <c r="D4390" t="s">
        <v>88</v>
      </c>
      <c r="E4390" t="s">
        <v>22</v>
      </c>
      <c r="F4390" t="s">
        <v>65</v>
      </c>
      <c r="G4390" t="s">
        <v>33</v>
      </c>
      <c r="H4390" t="s">
        <v>25</v>
      </c>
      <c r="I4390" t="s">
        <v>26</v>
      </c>
      <c r="J4390" t="s">
        <v>27</v>
      </c>
      <c r="K4390">
        <v>10</v>
      </c>
      <c r="L4390">
        <v>76254</v>
      </c>
      <c r="M4390" t="s">
        <v>45</v>
      </c>
      <c r="N4390">
        <v>1</v>
      </c>
      <c r="O4390">
        <v>1</v>
      </c>
      <c r="P4390">
        <v>55</v>
      </c>
      <c r="Q4390">
        <v>1</v>
      </c>
      <c r="R4390" s="1">
        <v>41487</v>
      </c>
      <c r="S4390" t="s">
        <v>29</v>
      </c>
      <c r="T4390" t="str">
        <f t="shared" si="340"/>
        <v>Grade B</v>
      </c>
      <c r="U4390">
        <f t="shared" si="341"/>
        <v>2</v>
      </c>
      <c r="V4390" t="str">
        <f t="shared" si="342"/>
        <v>Mid Level</v>
      </c>
      <c r="W4390" t="str">
        <f t="shared" si="343"/>
        <v>Medium Risk</v>
      </c>
      <c r="X4390" t="str">
        <f t="shared" si="344"/>
        <v>Fair</v>
      </c>
    </row>
    <row r="4391" spans="1:24" x14ac:dyDescent="0.3">
      <c r="A4391" t="s">
        <v>4459</v>
      </c>
      <c r="B4391" t="s">
        <v>20</v>
      </c>
      <c r="C4391">
        <v>28</v>
      </c>
      <c r="D4391" t="s">
        <v>88</v>
      </c>
      <c r="E4391" t="s">
        <v>40</v>
      </c>
      <c r="F4391" t="s">
        <v>53</v>
      </c>
      <c r="G4391" t="s">
        <v>33</v>
      </c>
      <c r="H4391" t="s">
        <v>25</v>
      </c>
      <c r="I4391" t="s">
        <v>26</v>
      </c>
      <c r="J4391" t="s">
        <v>27</v>
      </c>
      <c r="K4391">
        <v>11</v>
      </c>
      <c r="L4391">
        <v>85864</v>
      </c>
      <c r="M4391" t="s">
        <v>51</v>
      </c>
      <c r="N4391">
        <v>4</v>
      </c>
      <c r="O4391">
        <v>4</v>
      </c>
      <c r="P4391">
        <v>47</v>
      </c>
      <c r="Q4391">
        <v>2</v>
      </c>
      <c r="R4391" s="1">
        <v>41031</v>
      </c>
      <c r="S4391" t="s">
        <v>29</v>
      </c>
      <c r="T4391" t="str">
        <f t="shared" si="340"/>
        <v>Grade A</v>
      </c>
      <c r="U4391">
        <f t="shared" si="341"/>
        <v>4</v>
      </c>
      <c r="V4391" t="str">
        <f t="shared" si="342"/>
        <v>Senior</v>
      </c>
      <c r="W4391" t="str">
        <f t="shared" si="343"/>
        <v>Low Risk</v>
      </c>
      <c r="X4391" t="str">
        <f t="shared" si="344"/>
        <v>Competitive</v>
      </c>
    </row>
    <row r="4392" spans="1:24" x14ac:dyDescent="0.3">
      <c r="A4392" t="s">
        <v>4460</v>
      </c>
      <c r="B4392" t="s">
        <v>20</v>
      </c>
      <c r="C4392">
        <v>41</v>
      </c>
      <c r="D4392" t="s">
        <v>57</v>
      </c>
      <c r="E4392" t="s">
        <v>48</v>
      </c>
      <c r="F4392" t="s">
        <v>32</v>
      </c>
      <c r="G4392" t="s">
        <v>49</v>
      </c>
      <c r="H4392" t="s">
        <v>34</v>
      </c>
      <c r="I4392" t="s">
        <v>59</v>
      </c>
      <c r="J4392" t="s">
        <v>60</v>
      </c>
      <c r="K4392">
        <v>8</v>
      </c>
      <c r="L4392">
        <v>62686</v>
      </c>
      <c r="M4392" t="s">
        <v>28</v>
      </c>
      <c r="N4392">
        <v>1</v>
      </c>
      <c r="O4392">
        <v>2</v>
      </c>
      <c r="P4392">
        <v>21</v>
      </c>
      <c r="Q4392">
        <v>0</v>
      </c>
      <c r="R4392" s="1">
        <v>42349</v>
      </c>
      <c r="S4392" t="s">
        <v>37</v>
      </c>
      <c r="T4392" t="str">
        <f t="shared" si="340"/>
        <v>Grade B</v>
      </c>
      <c r="U4392">
        <f t="shared" si="341"/>
        <v>3</v>
      </c>
      <c r="V4392" t="str">
        <f t="shared" si="342"/>
        <v>Mid Level</v>
      </c>
      <c r="W4392" t="str">
        <f t="shared" si="343"/>
        <v>Already Left</v>
      </c>
      <c r="X4392" t="str">
        <f t="shared" si="344"/>
        <v>Competitive</v>
      </c>
    </row>
    <row r="4393" spans="1:24" x14ac:dyDescent="0.3">
      <c r="A4393" t="s">
        <v>4461</v>
      </c>
      <c r="B4393" t="s">
        <v>20</v>
      </c>
      <c r="C4393">
        <v>38</v>
      </c>
      <c r="D4393" t="s">
        <v>21</v>
      </c>
      <c r="E4393" t="s">
        <v>48</v>
      </c>
      <c r="F4393" t="s">
        <v>78</v>
      </c>
      <c r="G4393" t="s">
        <v>66</v>
      </c>
      <c r="H4393" t="s">
        <v>76</v>
      </c>
      <c r="I4393" t="s">
        <v>96</v>
      </c>
      <c r="J4393" t="s">
        <v>44</v>
      </c>
      <c r="K4393">
        <v>11</v>
      </c>
      <c r="L4393">
        <v>55078</v>
      </c>
      <c r="M4393" t="s">
        <v>28</v>
      </c>
      <c r="N4393">
        <v>3</v>
      </c>
      <c r="O4393">
        <v>1</v>
      </c>
      <c r="P4393">
        <v>31</v>
      </c>
      <c r="Q4393">
        <v>3</v>
      </c>
      <c r="R4393" s="1">
        <v>40982</v>
      </c>
      <c r="S4393" t="s">
        <v>29</v>
      </c>
      <c r="T4393" t="str">
        <f t="shared" si="340"/>
        <v>Grade B</v>
      </c>
      <c r="U4393">
        <f t="shared" si="341"/>
        <v>3</v>
      </c>
      <c r="V4393" t="str">
        <f t="shared" si="342"/>
        <v>Senior</v>
      </c>
      <c r="W4393" t="str">
        <f t="shared" si="343"/>
        <v>Medium Risk</v>
      </c>
      <c r="X4393" t="str">
        <f t="shared" si="344"/>
        <v>Competitive</v>
      </c>
    </row>
    <row r="4394" spans="1:24" x14ac:dyDescent="0.3">
      <c r="A4394" t="s">
        <v>4462</v>
      </c>
      <c r="B4394" t="s">
        <v>39</v>
      </c>
      <c r="C4394">
        <v>43</v>
      </c>
      <c r="D4394" t="s">
        <v>47</v>
      </c>
      <c r="E4394" t="s">
        <v>48</v>
      </c>
      <c r="F4394" t="s">
        <v>78</v>
      </c>
      <c r="G4394" t="s">
        <v>33</v>
      </c>
      <c r="H4394" t="s">
        <v>34</v>
      </c>
      <c r="I4394" t="s">
        <v>72</v>
      </c>
      <c r="J4394" t="s">
        <v>73</v>
      </c>
      <c r="K4394">
        <v>3</v>
      </c>
      <c r="L4394">
        <v>60577</v>
      </c>
      <c r="M4394" t="s">
        <v>51</v>
      </c>
      <c r="N4394">
        <v>1</v>
      </c>
      <c r="O4394">
        <v>2</v>
      </c>
      <c r="P4394">
        <v>10</v>
      </c>
      <c r="Q4394">
        <v>3</v>
      </c>
      <c r="R4394" s="1">
        <v>43883</v>
      </c>
      <c r="S4394" t="s">
        <v>37</v>
      </c>
      <c r="T4394" t="str">
        <f t="shared" si="340"/>
        <v>Grade B</v>
      </c>
      <c r="U4394">
        <f t="shared" si="341"/>
        <v>4</v>
      </c>
      <c r="V4394" t="str">
        <f t="shared" si="342"/>
        <v>Junior</v>
      </c>
      <c r="W4394" t="str">
        <f t="shared" si="343"/>
        <v>Already Left</v>
      </c>
      <c r="X4394" t="str">
        <f t="shared" si="344"/>
        <v>Fair</v>
      </c>
    </row>
    <row r="4395" spans="1:24" x14ac:dyDescent="0.3">
      <c r="A4395" t="s">
        <v>4463</v>
      </c>
      <c r="B4395" t="s">
        <v>20</v>
      </c>
      <c r="C4395">
        <v>24</v>
      </c>
      <c r="D4395" t="s">
        <v>21</v>
      </c>
      <c r="E4395" t="s">
        <v>22</v>
      </c>
      <c r="F4395" t="s">
        <v>65</v>
      </c>
      <c r="G4395" t="s">
        <v>58</v>
      </c>
      <c r="H4395" t="s">
        <v>25</v>
      </c>
      <c r="I4395" t="s">
        <v>72</v>
      </c>
      <c r="J4395" t="s">
        <v>73</v>
      </c>
      <c r="K4395">
        <v>8</v>
      </c>
      <c r="L4395">
        <v>91343</v>
      </c>
      <c r="M4395" t="s">
        <v>36</v>
      </c>
      <c r="N4395">
        <v>1</v>
      </c>
      <c r="O4395">
        <v>4</v>
      </c>
      <c r="P4395">
        <v>14</v>
      </c>
      <c r="Q4395">
        <v>1</v>
      </c>
      <c r="R4395" s="1">
        <v>42191</v>
      </c>
      <c r="S4395" t="s">
        <v>37</v>
      </c>
      <c r="T4395" t="str">
        <f t="shared" si="340"/>
        <v>Grade A</v>
      </c>
      <c r="U4395">
        <f t="shared" si="341"/>
        <v>1</v>
      </c>
      <c r="V4395" t="str">
        <f t="shared" si="342"/>
        <v>Mid Level</v>
      </c>
      <c r="W4395" t="str">
        <f t="shared" si="343"/>
        <v>Already Left</v>
      </c>
      <c r="X4395" t="str">
        <f t="shared" si="344"/>
        <v>Overpaid</v>
      </c>
    </row>
    <row r="4396" spans="1:24" x14ac:dyDescent="0.3">
      <c r="A4396" t="s">
        <v>4464</v>
      </c>
      <c r="B4396" t="s">
        <v>39</v>
      </c>
      <c r="C4396">
        <v>25</v>
      </c>
      <c r="D4396" t="s">
        <v>21</v>
      </c>
      <c r="E4396" t="s">
        <v>48</v>
      </c>
      <c r="F4396" t="s">
        <v>41</v>
      </c>
      <c r="G4396" t="s">
        <v>63</v>
      </c>
      <c r="H4396" t="s">
        <v>83</v>
      </c>
      <c r="I4396" t="s">
        <v>80</v>
      </c>
      <c r="J4396" t="s">
        <v>60</v>
      </c>
      <c r="K4396">
        <v>4</v>
      </c>
      <c r="L4396">
        <v>45421</v>
      </c>
      <c r="M4396" t="s">
        <v>36</v>
      </c>
      <c r="N4396">
        <v>2</v>
      </c>
      <c r="O4396">
        <v>3</v>
      </c>
      <c r="P4396">
        <v>27</v>
      </c>
      <c r="Q4396">
        <v>3</v>
      </c>
      <c r="R4396" s="1">
        <v>43828</v>
      </c>
      <c r="S4396" t="s">
        <v>37</v>
      </c>
      <c r="T4396" t="str">
        <f t="shared" si="340"/>
        <v>Grade C</v>
      </c>
      <c r="U4396">
        <f t="shared" si="341"/>
        <v>1</v>
      </c>
      <c r="V4396" t="str">
        <f t="shared" si="342"/>
        <v>Junior</v>
      </c>
      <c r="W4396" t="str">
        <f t="shared" si="343"/>
        <v>Already Left</v>
      </c>
      <c r="X4396" t="str">
        <f t="shared" si="344"/>
        <v>Fair</v>
      </c>
    </row>
    <row r="4397" spans="1:24" x14ac:dyDescent="0.3">
      <c r="A4397" t="s">
        <v>4465</v>
      </c>
      <c r="B4397" t="s">
        <v>39</v>
      </c>
      <c r="C4397">
        <v>40</v>
      </c>
      <c r="D4397" t="s">
        <v>21</v>
      </c>
      <c r="E4397" t="s">
        <v>40</v>
      </c>
      <c r="F4397" t="s">
        <v>23</v>
      </c>
      <c r="G4397" t="s">
        <v>58</v>
      </c>
      <c r="H4397" t="s">
        <v>83</v>
      </c>
      <c r="I4397" t="s">
        <v>35</v>
      </c>
      <c r="J4397" t="s">
        <v>27</v>
      </c>
      <c r="K4397">
        <v>7</v>
      </c>
      <c r="L4397">
        <v>105672</v>
      </c>
      <c r="M4397" t="s">
        <v>45</v>
      </c>
      <c r="N4397">
        <v>4</v>
      </c>
      <c r="O4397">
        <v>2</v>
      </c>
      <c r="P4397">
        <v>79</v>
      </c>
      <c r="Q4397">
        <v>2</v>
      </c>
      <c r="R4397" s="1">
        <v>42529</v>
      </c>
      <c r="S4397" t="s">
        <v>29</v>
      </c>
      <c r="T4397" t="str">
        <f t="shared" si="340"/>
        <v>Grade A</v>
      </c>
      <c r="U4397">
        <f t="shared" si="341"/>
        <v>2</v>
      </c>
      <c r="V4397" t="str">
        <f t="shared" si="342"/>
        <v>Mid Level</v>
      </c>
      <c r="W4397" t="str">
        <f t="shared" si="343"/>
        <v>Medium Risk</v>
      </c>
      <c r="X4397" t="str">
        <f t="shared" si="344"/>
        <v>Fair</v>
      </c>
    </row>
    <row r="4398" spans="1:24" x14ac:dyDescent="0.3">
      <c r="A4398" t="s">
        <v>4466</v>
      </c>
      <c r="B4398" t="s">
        <v>39</v>
      </c>
      <c r="C4398">
        <v>37</v>
      </c>
      <c r="D4398" t="s">
        <v>47</v>
      </c>
      <c r="E4398" t="s">
        <v>40</v>
      </c>
      <c r="F4398" t="s">
        <v>62</v>
      </c>
      <c r="G4398" t="s">
        <v>63</v>
      </c>
      <c r="H4398" t="s">
        <v>25</v>
      </c>
      <c r="I4398" t="s">
        <v>26</v>
      </c>
      <c r="J4398" t="s">
        <v>27</v>
      </c>
      <c r="K4398">
        <v>5</v>
      </c>
      <c r="L4398">
        <v>45949</v>
      </c>
      <c r="M4398" t="s">
        <v>36</v>
      </c>
      <c r="N4398">
        <v>1</v>
      </c>
      <c r="O4398">
        <v>2</v>
      </c>
      <c r="P4398">
        <v>51</v>
      </c>
      <c r="Q4398">
        <v>3</v>
      </c>
      <c r="R4398" s="1">
        <v>43171</v>
      </c>
      <c r="S4398" t="s">
        <v>37</v>
      </c>
      <c r="T4398" t="str">
        <f t="shared" si="340"/>
        <v>Grade C</v>
      </c>
      <c r="U4398">
        <f t="shared" si="341"/>
        <v>1</v>
      </c>
      <c r="V4398" t="str">
        <f t="shared" si="342"/>
        <v>Junior</v>
      </c>
      <c r="W4398" t="str">
        <f t="shared" si="343"/>
        <v>Already Left</v>
      </c>
      <c r="X4398" t="str">
        <f t="shared" si="344"/>
        <v>Fair</v>
      </c>
    </row>
    <row r="4399" spans="1:24" x14ac:dyDescent="0.3">
      <c r="A4399" t="s">
        <v>4467</v>
      </c>
      <c r="B4399" t="s">
        <v>20</v>
      </c>
      <c r="C4399">
        <v>29</v>
      </c>
      <c r="D4399" t="s">
        <v>88</v>
      </c>
      <c r="E4399" t="s">
        <v>48</v>
      </c>
      <c r="F4399" t="s">
        <v>65</v>
      </c>
      <c r="G4399" t="s">
        <v>66</v>
      </c>
      <c r="H4399" t="s">
        <v>67</v>
      </c>
      <c r="I4399" t="s">
        <v>43</v>
      </c>
      <c r="J4399" t="s">
        <v>44</v>
      </c>
      <c r="K4399">
        <v>4</v>
      </c>
      <c r="L4399">
        <v>45293</v>
      </c>
      <c r="M4399" t="s">
        <v>28</v>
      </c>
      <c r="N4399">
        <v>1</v>
      </c>
      <c r="O4399">
        <v>4</v>
      </c>
      <c r="P4399">
        <v>61</v>
      </c>
      <c r="Q4399">
        <v>1</v>
      </c>
      <c r="R4399" s="1">
        <v>43474</v>
      </c>
      <c r="S4399" t="s">
        <v>29</v>
      </c>
      <c r="T4399" t="str">
        <f t="shared" si="340"/>
        <v>Grade C</v>
      </c>
      <c r="U4399">
        <f t="shared" si="341"/>
        <v>3</v>
      </c>
      <c r="V4399" t="str">
        <f t="shared" si="342"/>
        <v>Junior</v>
      </c>
      <c r="W4399" t="str">
        <f t="shared" si="343"/>
        <v>Medium Risk</v>
      </c>
      <c r="X4399" t="str">
        <f t="shared" si="344"/>
        <v>Fair</v>
      </c>
    </row>
    <row r="4400" spans="1:24" x14ac:dyDescent="0.3">
      <c r="A4400" t="s">
        <v>4468</v>
      </c>
      <c r="B4400" t="s">
        <v>20</v>
      </c>
      <c r="C4400">
        <v>51</v>
      </c>
      <c r="D4400" t="s">
        <v>47</v>
      </c>
      <c r="E4400" t="s">
        <v>48</v>
      </c>
      <c r="F4400" t="s">
        <v>53</v>
      </c>
      <c r="G4400" t="s">
        <v>66</v>
      </c>
      <c r="H4400" t="s">
        <v>76</v>
      </c>
      <c r="I4400" t="s">
        <v>26</v>
      </c>
      <c r="J4400" t="s">
        <v>27</v>
      </c>
      <c r="K4400">
        <v>10</v>
      </c>
      <c r="L4400">
        <v>58513</v>
      </c>
      <c r="M4400" t="s">
        <v>36</v>
      </c>
      <c r="N4400">
        <v>3</v>
      </c>
      <c r="O4400">
        <v>4</v>
      </c>
      <c r="P4400">
        <v>78</v>
      </c>
      <c r="Q4400">
        <v>0</v>
      </c>
      <c r="R4400" s="1">
        <v>41351</v>
      </c>
      <c r="S4400" t="s">
        <v>37</v>
      </c>
      <c r="T4400" t="str">
        <f t="shared" si="340"/>
        <v>Grade B</v>
      </c>
      <c r="U4400">
        <f t="shared" si="341"/>
        <v>1</v>
      </c>
      <c r="V4400" t="str">
        <f t="shared" si="342"/>
        <v>Mid Level</v>
      </c>
      <c r="W4400" t="str">
        <f t="shared" si="343"/>
        <v>Already Left</v>
      </c>
      <c r="X4400" t="str">
        <f t="shared" si="344"/>
        <v>Fair</v>
      </c>
    </row>
    <row r="4401" spans="1:24" x14ac:dyDescent="0.3">
      <c r="A4401" t="s">
        <v>4469</v>
      </c>
      <c r="B4401" t="s">
        <v>20</v>
      </c>
      <c r="C4401">
        <v>55</v>
      </c>
      <c r="D4401" t="s">
        <v>57</v>
      </c>
      <c r="E4401" t="s">
        <v>40</v>
      </c>
      <c r="F4401" t="s">
        <v>65</v>
      </c>
      <c r="G4401" t="s">
        <v>66</v>
      </c>
      <c r="H4401" t="s">
        <v>34</v>
      </c>
      <c r="I4401" t="s">
        <v>35</v>
      </c>
      <c r="J4401" t="s">
        <v>27</v>
      </c>
      <c r="K4401">
        <v>7</v>
      </c>
      <c r="L4401">
        <v>43687</v>
      </c>
      <c r="M4401" t="s">
        <v>36</v>
      </c>
      <c r="N4401">
        <v>4</v>
      </c>
      <c r="O4401">
        <v>3</v>
      </c>
      <c r="P4401">
        <v>76</v>
      </c>
      <c r="Q4401">
        <v>0</v>
      </c>
      <c r="R4401" s="1">
        <v>42626</v>
      </c>
      <c r="S4401" t="s">
        <v>37</v>
      </c>
      <c r="T4401" t="str">
        <f t="shared" si="340"/>
        <v>Grade C</v>
      </c>
      <c r="U4401">
        <f t="shared" si="341"/>
        <v>1</v>
      </c>
      <c r="V4401" t="str">
        <f t="shared" si="342"/>
        <v>Mid Level</v>
      </c>
      <c r="W4401" t="str">
        <f t="shared" si="343"/>
        <v>Already Left</v>
      </c>
      <c r="X4401" t="str">
        <f t="shared" si="344"/>
        <v>Fair</v>
      </c>
    </row>
    <row r="4402" spans="1:24" x14ac:dyDescent="0.3">
      <c r="A4402" t="s">
        <v>4470</v>
      </c>
      <c r="B4402" t="s">
        <v>20</v>
      </c>
      <c r="C4402">
        <v>41</v>
      </c>
      <c r="D4402" t="s">
        <v>21</v>
      </c>
      <c r="E4402" t="s">
        <v>40</v>
      </c>
      <c r="F4402" t="s">
        <v>23</v>
      </c>
      <c r="G4402" t="s">
        <v>79</v>
      </c>
      <c r="H4402" t="s">
        <v>25</v>
      </c>
      <c r="I4402" t="s">
        <v>26</v>
      </c>
      <c r="J4402" t="s">
        <v>27</v>
      </c>
      <c r="K4402">
        <v>11</v>
      </c>
      <c r="L4402">
        <v>68569</v>
      </c>
      <c r="M4402" t="s">
        <v>51</v>
      </c>
      <c r="N4402">
        <v>1</v>
      </c>
      <c r="O4402">
        <v>2</v>
      </c>
      <c r="P4402">
        <v>28</v>
      </c>
      <c r="Q4402">
        <v>0</v>
      </c>
      <c r="R4402" s="1">
        <v>41206</v>
      </c>
      <c r="S4402" t="s">
        <v>29</v>
      </c>
      <c r="T4402" t="str">
        <f t="shared" si="340"/>
        <v>Grade B</v>
      </c>
      <c r="U4402">
        <f t="shared" si="341"/>
        <v>4</v>
      </c>
      <c r="V4402" t="str">
        <f t="shared" si="342"/>
        <v>Senior</v>
      </c>
      <c r="W4402" t="str">
        <f t="shared" si="343"/>
        <v>Low Risk</v>
      </c>
      <c r="X4402" t="str">
        <f t="shared" si="344"/>
        <v>Fair</v>
      </c>
    </row>
    <row r="4403" spans="1:24" x14ac:dyDescent="0.3">
      <c r="A4403" t="s">
        <v>4471</v>
      </c>
      <c r="B4403" t="s">
        <v>39</v>
      </c>
      <c r="C4403">
        <v>44</v>
      </c>
      <c r="D4403" t="s">
        <v>47</v>
      </c>
      <c r="E4403" t="s">
        <v>48</v>
      </c>
      <c r="F4403" t="s">
        <v>32</v>
      </c>
      <c r="G4403" t="s">
        <v>33</v>
      </c>
      <c r="H4403" t="s">
        <v>25</v>
      </c>
      <c r="I4403" t="s">
        <v>72</v>
      </c>
      <c r="J4403" t="s">
        <v>73</v>
      </c>
      <c r="K4403">
        <v>11</v>
      </c>
      <c r="L4403">
        <v>90115</v>
      </c>
      <c r="M4403" t="s">
        <v>45</v>
      </c>
      <c r="N4403">
        <v>2</v>
      </c>
      <c r="O4403">
        <v>4</v>
      </c>
      <c r="P4403">
        <v>41</v>
      </c>
      <c r="Q4403">
        <v>1</v>
      </c>
      <c r="R4403" s="1">
        <v>41267</v>
      </c>
      <c r="S4403" t="s">
        <v>29</v>
      </c>
      <c r="T4403" t="str">
        <f t="shared" si="340"/>
        <v>Grade A</v>
      </c>
      <c r="U4403">
        <f t="shared" si="341"/>
        <v>2</v>
      </c>
      <c r="V4403" t="str">
        <f t="shared" si="342"/>
        <v>Senior</v>
      </c>
      <c r="W4403" t="str">
        <f t="shared" si="343"/>
        <v>Medium Risk</v>
      </c>
      <c r="X4403" t="str">
        <f t="shared" si="344"/>
        <v>Fair</v>
      </c>
    </row>
    <row r="4404" spans="1:24" x14ac:dyDescent="0.3">
      <c r="A4404" t="s">
        <v>4472</v>
      </c>
      <c r="B4404" t="s">
        <v>39</v>
      </c>
      <c r="C4404">
        <v>27</v>
      </c>
      <c r="D4404" t="s">
        <v>57</v>
      </c>
      <c r="E4404" t="s">
        <v>40</v>
      </c>
      <c r="F4404" t="s">
        <v>75</v>
      </c>
      <c r="G4404" t="s">
        <v>33</v>
      </c>
      <c r="H4404" t="s">
        <v>83</v>
      </c>
      <c r="I4404" t="s">
        <v>96</v>
      </c>
      <c r="J4404" t="s">
        <v>44</v>
      </c>
      <c r="K4404">
        <v>12</v>
      </c>
      <c r="L4404">
        <v>75180</v>
      </c>
      <c r="M4404" t="s">
        <v>36</v>
      </c>
      <c r="N4404">
        <v>2</v>
      </c>
      <c r="O4404">
        <v>4</v>
      </c>
      <c r="P4404">
        <v>22</v>
      </c>
      <c r="Q4404">
        <v>0</v>
      </c>
      <c r="R4404" s="1">
        <v>40725</v>
      </c>
      <c r="S4404" t="s">
        <v>37</v>
      </c>
      <c r="T4404" t="str">
        <f t="shared" si="340"/>
        <v>Grade B</v>
      </c>
      <c r="U4404">
        <f t="shared" si="341"/>
        <v>1</v>
      </c>
      <c r="V4404" t="str">
        <f t="shared" si="342"/>
        <v>Senior</v>
      </c>
      <c r="W4404" t="str">
        <f t="shared" si="343"/>
        <v>Already Left</v>
      </c>
      <c r="X4404" t="str">
        <f t="shared" si="344"/>
        <v>Fair</v>
      </c>
    </row>
    <row r="4405" spans="1:24" x14ac:dyDescent="0.3">
      <c r="A4405" t="s">
        <v>4473</v>
      </c>
      <c r="B4405" t="s">
        <v>39</v>
      </c>
      <c r="C4405">
        <v>33</v>
      </c>
      <c r="D4405" t="s">
        <v>47</v>
      </c>
      <c r="E4405" t="s">
        <v>22</v>
      </c>
      <c r="F4405" t="s">
        <v>23</v>
      </c>
      <c r="G4405" t="s">
        <v>63</v>
      </c>
      <c r="H4405" t="s">
        <v>34</v>
      </c>
      <c r="I4405" t="s">
        <v>54</v>
      </c>
      <c r="J4405" t="s">
        <v>27</v>
      </c>
      <c r="K4405">
        <v>15</v>
      </c>
      <c r="L4405">
        <v>66968</v>
      </c>
      <c r="M4405" t="s">
        <v>45</v>
      </c>
      <c r="N4405">
        <v>2</v>
      </c>
      <c r="O4405">
        <v>4</v>
      </c>
      <c r="P4405">
        <v>72</v>
      </c>
      <c r="Q4405">
        <v>1</v>
      </c>
      <c r="R4405" s="1">
        <v>39486</v>
      </c>
      <c r="S4405" t="s">
        <v>29</v>
      </c>
      <c r="T4405" t="str">
        <f t="shared" si="340"/>
        <v>Grade B</v>
      </c>
      <c r="U4405">
        <f t="shared" si="341"/>
        <v>2</v>
      </c>
      <c r="V4405" t="str">
        <f t="shared" si="342"/>
        <v>Senior</v>
      </c>
      <c r="W4405" t="str">
        <f t="shared" si="343"/>
        <v>Medium Risk</v>
      </c>
      <c r="X4405" t="str">
        <f t="shared" si="344"/>
        <v>Fair</v>
      </c>
    </row>
    <row r="4406" spans="1:24" x14ac:dyDescent="0.3">
      <c r="A4406" t="s">
        <v>4474</v>
      </c>
      <c r="B4406" t="s">
        <v>39</v>
      </c>
      <c r="C4406">
        <v>32</v>
      </c>
      <c r="D4406" t="s">
        <v>21</v>
      </c>
      <c r="E4406" t="s">
        <v>40</v>
      </c>
      <c r="F4406" t="s">
        <v>65</v>
      </c>
      <c r="G4406" t="s">
        <v>33</v>
      </c>
      <c r="H4406" t="s">
        <v>25</v>
      </c>
      <c r="I4406" t="s">
        <v>43</v>
      </c>
      <c r="J4406" t="s">
        <v>44</v>
      </c>
      <c r="K4406">
        <v>2</v>
      </c>
      <c r="L4406">
        <v>61013</v>
      </c>
      <c r="M4406" t="s">
        <v>51</v>
      </c>
      <c r="N4406">
        <v>2</v>
      </c>
      <c r="O4406">
        <v>4</v>
      </c>
      <c r="P4406">
        <v>31</v>
      </c>
      <c r="Q4406">
        <v>1</v>
      </c>
      <c r="R4406" s="1">
        <v>44527</v>
      </c>
      <c r="S4406" t="s">
        <v>37</v>
      </c>
      <c r="T4406" t="str">
        <f t="shared" si="340"/>
        <v>Grade B</v>
      </c>
      <c r="U4406">
        <f t="shared" si="341"/>
        <v>4</v>
      </c>
      <c r="V4406" t="str">
        <f t="shared" si="342"/>
        <v>New Joiner</v>
      </c>
      <c r="W4406" t="str">
        <f t="shared" si="343"/>
        <v>Already Left</v>
      </c>
      <c r="X4406" t="str">
        <f t="shared" si="344"/>
        <v>Fair</v>
      </c>
    </row>
    <row r="4407" spans="1:24" x14ac:dyDescent="0.3">
      <c r="A4407" t="s">
        <v>4475</v>
      </c>
      <c r="B4407" t="s">
        <v>39</v>
      </c>
      <c r="C4407">
        <v>30</v>
      </c>
      <c r="D4407" t="s">
        <v>57</v>
      </c>
      <c r="E4407" t="s">
        <v>22</v>
      </c>
      <c r="F4407" t="s">
        <v>75</v>
      </c>
      <c r="G4407" t="s">
        <v>42</v>
      </c>
      <c r="H4407" t="s">
        <v>67</v>
      </c>
      <c r="I4407" t="s">
        <v>26</v>
      </c>
      <c r="J4407" t="s">
        <v>27</v>
      </c>
      <c r="K4407">
        <v>8</v>
      </c>
      <c r="L4407">
        <v>104130</v>
      </c>
      <c r="M4407" t="s">
        <v>51</v>
      </c>
      <c r="N4407">
        <v>2</v>
      </c>
      <c r="O4407">
        <v>3</v>
      </c>
      <c r="P4407">
        <v>12</v>
      </c>
      <c r="Q4407">
        <v>2</v>
      </c>
      <c r="R4407" s="1">
        <v>42068</v>
      </c>
      <c r="S4407" t="s">
        <v>29</v>
      </c>
      <c r="T4407" t="str">
        <f t="shared" si="340"/>
        <v>Grade A</v>
      </c>
      <c r="U4407">
        <f t="shared" si="341"/>
        <v>4</v>
      </c>
      <c r="V4407" t="str">
        <f t="shared" si="342"/>
        <v>Mid Level</v>
      </c>
      <c r="W4407" t="str">
        <f t="shared" si="343"/>
        <v>Low Risk</v>
      </c>
      <c r="X4407" t="str">
        <f t="shared" si="344"/>
        <v>Competitive</v>
      </c>
    </row>
    <row r="4408" spans="1:24" x14ac:dyDescent="0.3">
      <c r="A4408" t="s">
        <v>4476</v>
      </c>
      <c r="B4408" t="s">
        <v>39</v>
      </c>
      <c r="C4408">
        <v>46</v>
      </c>
      <c r="D4408" t="s">
        <v>57</v>
      </c>
      <c r="E4408" t="s">
        <v>22</v>
      </c>
      <c r="F4408" t="s">
        <v>75</v>
      </c>
      <c r="G4408" t="s">
        <v>63</v>
      </c>
      <c r="H4408" t="s">
        <v>67</v>
      </c>
      <c r="I4408" t="s">
        <v>35</v>
      </c>
      <c r="J4408" t="s">
        <v>27</v>
      </c>
      <c r="K4408">
        <v>5</v>
      </c>
      <c r="L4408">
        <v>64184</v>
      </c>
      <c r="M4408" t="s">
        <v>45</v>
      </c>
      <c r="N4408">
        <v>3</v>
      </c>
      <c r="O4408">
        <v>2</v>
      </c>
      <c r="P4408">
        <v>64</v>
      </c>
      <c r="Q4408">
        <v>3</v>
      </c>
      <c r="R4408" s="1">
        <v>43340</v>
      </c>
      <c r="S4408" t="s">
        <v>29</v>
      </c>
      <c r="T4408" t="str">
        <f t="shared" si="340"/>
        <v>Grade B</v>
      </c>
      <c r="U4408">
        <f t="shared" si="341"/>
        <v>2</v>
      </c>
      <c r="V4408" t="str">
        <f t="shared" si="342"/>
        <v>Junior</v>
      </c>
      <c r="W4408" t="str">
        <f t="shared" si="343"/>
        <v>Medium Risk</v>
      </c>
      <c r="X4408" t="str">
        <f t="shared" si="344"/>
        <v>Fair</v>
      </c>
    </row>
    <row r="4409" spans="1:24" x14ac:dyDescent="0.3">
      <c r="A4409" t="s">
        <v>4477</v>
      </c>
      <c r="B4409" t="s">
        <v>39</v>
      </c>
      <c r="C4409">
        <v>33</v>
      </c>
      <c r="D4409" t="s">
        <v>47</v>
      </c>
      <c r="E4409" t="s">
        <v>40</v>
      </c>
      <c r="F4409" t="s">
        <v>23</v>
      </c>
      <c r="G4409" t="s">
        <v>63</v>
      </c>
      <c r="H4409" t="s">
        <v>76</v>
      </c>
      <c r="I4409" t="s">
        <v>59</v>
      </c>
      <c r="J4409" t="s">
        <v>60</v>
      </c>
      <c r="K4409">
        <v>3</v>
      </c>
      <c r="L4409">
        <v>54865</v>
      </c>
      <c r="M4409" t="s">
        <v>45</v>
      </c>
      <c r="N4409">
        <v>1</v>
      </c>
      <c r="O4409">
        <v>1</v>
      </c>
      <c r="P4409">
        <v>33</v>
      </c>
      <c r="Q4409">
        <v>1</v>
      </c>
      <c r="R4409" s="1">
        <v>44090</v>
      </c>
      <c r="S4409" t="s">
        <v>29</v>
      </c>
      <c r="T4409" t="str">
        <f t="shared" si="340"/>
        <v>Grade B</v>
      </c>
      <c r="U4409">
        <f t="shared" si="341"/>
        <v>2</v>
      </c>
      <c r="V4409" t="str">
        <f t="shared" si="342"/>
        <v>Junior</v>
      </c>
      <c r="W4409" t="str">
        <f t="shared" si="343"/>
        <v>Medium Risk</v>
      </c>
      <c r="X4409" t="str">
        <f t="shared" si="344"/>
        <v>Fair</v>
      </c>
    </row>
    <row r="4410" spans="1:24" x14ac:dyDescent="0.3">
      <c r="A4410" t="s">
        <v>4478</v>
      </c>
      <c r="B4410" t="s">
        <v>20</v>
      </c>
      <c r="C4410">
        <v>37</v>
      </c>
      <c r="D4410" t="s">
        <v>47</v>
      </c>
      <c r="E4410" t="s">
        <v>48</v>
      </c>
      <c r="F4410" t="s">
        <v>23</v>
      </c>
      <c r="G4410" t="s">
        <v>49</v>
      </c>
      <c r="H4410" t="s">
        <v>76</v>
      </c>
      <c r="I4410" t="s">
        <v>96</v>
      </c>
      <c r="J4410" t="s">
        <v>44</v>
      </c>
      <c r="K4410">
        <v>10</v>
      </c>
      <c r="L4410">
        <v>62337</v>
      </c>
      <c r="M4410" t="s">
        <v>51</v>
      </c>
      <c r="N4410">
        <v>1</v>
      </c>
      <c r="O4410">
        <v>2</v>
      </c>
      <c r="P4410">
        <v>39</v>
      </c>
      <c r="Q4410">
        <v>1</v>
      </c>
      <c r="R4410" s="1">
        <v>41609</v>
      </c>
      <c r="S4410" t="s">
        <v>29</v>
      </c>
      <c r="T4410" t="str">
        <f t="shared" si="340"/>
        <v>Grade B</v>
      </c>
      <c r="U4410">
        <f t="shared" si="341"/>
        <v>4</v>
      </c>
      <c r="V4410" t="str">
        <f t="shared" si="342"/>
        <v>Mid Level</v>
      </c>
      <c r="W4410" t="str">
        <f t="shared" si="343"/>
        <v>Low Risk</v>
      </c>
      <c r="X4410" t="str">
        <f t="shared" si="344"/>
        <v>Fair</v>
      </c>
    </row>
    <row r="4411" spans="1:24" x14ac:dyDescent="0.3">
      <c r="A4411" t="s">
        <v>4479</v>
      </c>
      <c r="B4411" t="s">
        <v>39</v>
      </c>
      <c r="C4411">
        <v>43</v>
      </c>
      <c r="D4411" t="s">
        <v>47</v>
      </c>
      <c r="E4411" t="s">
        <v>22</v>
      </c>
      <c r="F4411" t="s">
        <v>41</v>
      </c>
      <c r="G4411" t="s">
        <v>42</v>
      </c>
      <c r="H4411" t="s">
        <v>34</v>
      </c>
      <c r="I4411" t="s">
        <v>59</v>
      </c>
      <c r="J4411" t="s">
        <v>60</v>
      </c>
      <c r="K4411">
        <v>6</v>
      </c>
      <c r="L4411">
        <v>116107</v>
      </c>
      <c r="M4411" t="s">
        <v>45</v>
      </c>
      <c r="N4411">
        <v>3</v>
      </c>
      <c r="O4411">
        <v>4</v>
      </c>
      <c r="P4411">
        <v>29</v>
      </c>
      <c r="Q4411">
        <v>2</v>
      </c>
      <c r="R4411" s="1">
        <v>42923</v>
      </c>
      <c r="S4411" t="s">
        <v>29</v>
      </c>
      <c r="T4411" t="str">
        <f t="shared" si="340"/>
        <v>Grade A</v>
      </c>
      <c r="U4411">
        <f t="shared" si="341"/>
        <v>2</v>
      </c>
      <c r="V4411" t="str">
        <f t="shared" si="342"/>
        <v>Mid Level</v>
      </c>
      <c r="W4411" t="str">
        <f t="shared" si="343"/>
        <v>Medium Risk</v>
      </c>
      <c r="X4411" t="str">
        <f t="shared" si="344"/>
        <v>Fair</v>
      </c>
    </row>
    <row r="4412" spans="1:24" x14ac:dyDescent="0.3">
      <c r="A4412" t="s">
        <v>4480</v>
      </c>
      <c r="B4412" t="s">
        <v>39</v>
      </c>
      <c r="C4412">
        <v>23</v>
      </c>
      <c r="D4412" t="s">
        <v>47</v>
      </c>
      <c r="E4412" t="s">
        <v>22</v>
      </c>
      <c r="F4412" t="s">
        <v>75</v>
      </c>
      <c r="G4412" t="s">
        <v>24</v>
      </c>
      <c r="H4412" t="s">
        <v>76</v>
      </c>
      <c r="I4412" t="s">
        <v>50</v>
      </c>
      <c r="J4412" t="s">
        <v>44</v>
      </c>
      <c r="K4412">
        <v>4</v>
      </c>
      <c r="L4412">
        <v>77357</v>
      </c>
      <c r="M4412" t="s">
        <v>51</v>
      </c>
      <c r="N4412">
        <v>2</v>
      </c>
      <c r="O4412">
        <v>3</v>
      </c>
      <c r="P4412">
        <v>60</v>
      </c>
      <c r="Q4412">
        <v>2</v>
      </c>
      <c r="R4412" s="1">
        <v>43602</v>
      </c>
      <c r="S4412" t="s">
        <v>29</v>
      </c>
      <c r="T4412" t="str">
        <f t="shared" si="340"/>
        <v>Grade B</v>
      </c>
      <c r="U4412">
        <f t="shared" si="341"/>
        <v>4</v>
      </c>
      <c r="V4412" t="str">
        <f t="shared" si="342"/>
        <v>Junior</v>
      </c>
      <c r="W4412" t="str">
        <f t="shared" si="343"/>
        <v>Low Risk</v>
      </c>
      <c r="X4412" t="str">
        <f t="shared" si="344"/>
        <v>Fair</v>
      </c>
    </row>
    <row r="4413" spans="1:24" x14ac:dyDescent="0.3">
      <c r="A4413" t="s">
        <v>4481</v>
      </c>
      <c r="B4413" t="s">
        <v>20</v>
      </c>
      <c r="C4413">
        <v>36</v>
      </c>
      <c r="D4413" t="s">
        <v>47</v>
      </c>
      <c r="E4413" t="s">
        <v>40</v>
      </c>
      <c r="F4413" t="s">
        <v>32</v>
      </c>
      <c r="G4413" t="s">
        <v>79</v>
      </c>
      <c r="H4413" t="s">
        <v>34</v>
      </c>
      <c r="I4413" t="s">
        <v>80</v>
      </c>
      <c r="J4413" t="s">
        <v>60</v>
      </c>
      <c r="K4413">
        <v>12</v>
      </c>
      <c r="L4413">
        <v>64781</v>
      </c>
      <c r="M4413" t="s">
        <v>51</v>
      </c>
      <c r="N4413">
        <v>2</v>
      </c>
      <c r="O4413">
        <v>4</v>
      </c>
      <c r="P4413">
        <v>56</v>
      </c>
      <c r="Q4413">
        <v>0</v>
      </c>
      <c r="R4413" s="1">
        <v>40799</v>
      </c>
      <c r="S4413" t="s">
        <v>29</v>
      </c>
      <c r="T4413" t="str">
        <f t="shared" si="340"/>
        <v>Grade B</v>
      </c>
      <c r="U4413">
        <f t="shared" si="341"/>
        <v>4</v>
      </c>
      <c r="V4413" t="str">
        <f t="shared" si="342"/>
        <v>Senior</v>
      </c>
      <c r="W4413" t="str">
        <f t="shared" si="343"/>
        <v>Low Risk</v>
      </c>
      <c r="X4413" t="str">
        <f t="shared" si="344"/>
        <v>Fair</v>
      </c>
    </row>
    <row r="4414" spans="1:24" x14ac:dyDescent="0.3">
      <c r="A4414" t="s">
        <v>4482</v>
      </c>
      <c r="B4414" t="s">
        <v>39</v>
      </c>
      <c r="C4414">
        <v>46</v>
      </c>
      <c r="D4414" t="s">
        <v>31</v>
      </c>
      <c r="E4414" t="s">
        <v>48</v>
      </c>
      <c r="F4414" t="s">
        <v>23</v>
      </c>
      <c r="G4414" t="s">
        <v>79</v>
      </c>
      <c r="H4414" t="s">
        <v>83</v>
      </c>
      <c r="I4414" t="s">
        <v>54</v>
      </c>
      <c r="J4414" t="s">
        <v>27</v>
      </c>
      <c r="K4414">
        <v>9</v>
      </c>
      <c r="L4414">
        <v>64557</v>
      </c>
      <c r="M4414" t="s">
        <v>28</v>
      </c>
      <c r="N4414">
        <v>1</v>
      </c>
      <c r="O4414">
        <v>2</v>
      </c>
      <c r="P4414">
        <v>16</v>
      </c>
      <c r="Q4414">
        <v>0</v>
      </c>
      <c r="R4414" s="1">
        <v>41674</v>
      </c>
      <c r="S4414" t="s">
        <v>29</v>
      </c>
      <c r="T4414" t="str">
        <f t="shared" si="340"/>
        <v>Grade B</v>
      </c>
      <c r="U4414">
        <f t="shared" si="341"/>
        <v>3</v>
      </c>
      <c r="V4414" t="str">
        <f t="shared" si="342"/>
        <v>Mid Level</v>
      </c>
      <c r="W4414" t="str">
        <f t="shared" si="343"/>
        <v>Medium Risk</v>
      </c>
      <c r="X4414" t="str">
        <f t="shared" si="344"/>
        <v>Competitive</v>
      </c>
    </row>
    <row r="4415" spans="1:24" x14ac:dyDescent="0.3">
      <c r="A4415" t="s">
        <v>4483</v>
      </c>
      <c r="B4415" t="s">
        <v>39</v>
      </c>
      <c r="C4415">
        <v>46</v>
      </c>
      <c r="D4415" t="s">
        <v>21</v>
      </c>
      <c r="E4415" t="s">
        <v>48</v>
      </c>
      <c r="F4415" t="s">
        <v>78</v>
      </c>
      <c r="G4415" t="s">
        <v>49</v>
      </c>
      <c r="H4415" t="s">
        <v>34</v>
      </c>
      <c r="I4415" t="s">
        <v>43</v>
      </c>
      <c r="J4415" t="s">
        <v>44</v>
      </c>
      <c r="K4415">
        <v>11</v>
      </c>
      <c r="L4415">
        <v>71306</v>
      </c>
      <c r="M4415" t="s">
        <v>51</v>
      </c>
      <c r="N4415">
        <v>3</v>
      </c>
      <c r="O4415">
        <v>4</v>
      </c>
      <c r="P4415">
        <v>18</v>
      </c>
      <c r="Q4415">
        <v>1</v>
      </c>
      <c r="R4415" s="1">
        <v>40991</v>
      </c>
      <c r="S4415" t="s">
        <v>29</v>
      </c>
      <c r="T4415" t="str">
        <f t="shared" si="340"/>
        <v>Grade B</v>
      </c>
      <c r="U4415">
        <f t="shared" si="341"/>
        <v>4</v>
      </c>
      <c r="V4415" t="str">
        <f t="shared" si="342"/>
        <v>Senior</v>
      </c>
      <c r="W4415" t="str">
        <f t="shared" si="343"/>
        <v>Low Risk</v>
      </c>
      <c r="X4415" t="str">
        <f t="shared" si="344"/>
        <v>Fair</v>
      </c>
    </row>
    <row r="4416" spans="1:24" x14ac:dyDescent="0.3">
      <c r="A4416" t="s">
        <v>4484</v>
      </c>
      <c r="B4416" t="s">
        <v>39</v>
      </c>
      <c r="C4416">
        <v>49</v>
      </c>
      <c r="D4416" t="s">
        <v>88</v>
      </c>
      <c r="E4416" t="s">
        <v>40</v>
      </c>
      <c r="F4416" t="s">
        <v>78</v>
      </c>
      <c r="G4416" t="s">
        <v>63</v>
      </c>
      <c r="H4416" t="s">
        <v>25</v>
      </c>
      <c r="I4416" t="s">
        <v>26</v>
      </c>
      <c r="J4416" t="s">
        <v>27</v>
      </c>
      <c r="K4416">
        <v>3</v>
      </c>
      <c r="L4416">
        <v>56892</v>
      </c>
      <c r="M4416" t="s">
        <v>36</v>
      </c>
      <c r="N4416">
        <v>4</v>
      </c>
      <c r="O4416">
        <v>4</v>
      </c>
      <c r="P4416">
        <v>29</v>
      </c>
      <c r="Q4416">
        <v>3</v>
      </c>
      <c r="R4416" s="1">
        <v>44042</v>
      </c>
      <c r="S4416" t="s">
        <v>37</v>
      </c>
      <c r="T4416" t="str">
        <f t="shared" si="340"/>
        <v>Grade B</v>
      </c>
      <c r="U4416">
        <f t="shared" si="341"/>
        <v>1</v>
      </c>
      <c r="V4416" t="str">
        <f t="shared" si="342"/>
        <v>Junior</v>
      </c>
      <c r="W4416" t="str">
        <f t="shared" si="343"/>
        <v>Already Left</v>
      </c>
      <c r="X4416" t="str">
        <f t="shared" si="344"/>
        <v>Fair</v>
      </c>
    </row>
    <row r="4417" spans="1:24" x14ac:dyDescent="0.3">
      <c r="A4417" t="s">
        <v>4485</v>
      </c>
      <c r="B4417" t="s">
        <v>39</v>
      </c>
      <c r="C4417">
        <v>28</v>
      </c>
      <c r="D4417" t="s">
        <v>88</v>
      </c>
      <c r="E4417" t="s">
        <v>22</v>
      </c>
      <c r="F4417" t="s">
        <v>32</v>
      </c>
      <c r="G4417" t="s">
        <v>33</v>
      </c>
      <c r="H4417" t="s">
        <v>34</v>
      </c>
      <c r="I4417" t="s">
        <v>72</v>
      </c>
      <c r="J4417" t="s">
        <v>73</v>
      </c>
      <c r="K4417">
        <v>7</v>
      </c>
      <c r="L4417">
        <v>65812</v>
      </c>
      <c r="M4417" t="s">
        <v>36</v>
      </c>
      <c r="N4417">
        <v>2</v>
      </c>
      <c r="O4417">
        <v>1</v>
      </c>
      <c r="P4417">
        <v>60</v>
      </c>
      <c r="Q4417">
        <v>1</v>
      </c>
      <c r="R4417" s="1">
        <v>42584</v>
      </c>
      <c r="S4417" t="s">
        <v>37</v>
      </c>
      <c r="T4417" t="str">
        <f t="shared" si="340"/>
        <v>Grade B</v>
      </c>
      <c r="U4417">
        <f t="shared" si="341"/>
        <v>1</v>
      </c>
      <c r="V4417" t="str">
        <f t="shared" si="342"/>
        <v>Mid Level</v>
      </c>
      <c r="W4417" t="str">
        <f t="shared" si="343"/>
        <v>Already Left</v>
      </c>
      <c r="X4417" t="str">
        <f t="shared" si="344"/>
        <v>Fair</v>
      </c>
    </row>
    <row r="4418" spans="1:24" x14ac:dyDescent="0.3">
      <c r="A4418" t="s">
        <v>4486</v>
      </c>
      <c r="B4418" t="s">
        <v>20</v>
      </c>
      <c r="C4418">
        <v>47</v>
      </c>
      <c r="D4418" t="s">
        <v>88</v>
      </c>
      <c r="E4418" t="s">
        <v>22</v>
      </c>
      <c r="F4418" t="s">
        <v>78</v>
      </c>
      <c r="G4418" t="s">
        <v>42</v>
      </c>
      <c r="H4418" t="s">
        <v>34</v>
      </c>
      <c r="I4418" t="s">
        <v>59</v>
      </c>
      <c r="J4418" t="s">
        <v>60</v>
      </c>
      <c r="K4418">
        <v>4</v>
      </c>
      <c r="L4418">
        <v>97383</v>
      </c>
      <c r="M4418" t="s">
        <v>45</v>
      </c>
      <c r="N4418">
        <v>4</v>
      </c>
      <c r="O4418">
        <v>2</v>
      </c>
      <c r="P4418">
        <v>55</v>
      </c>
      <c r="Q4418">
        <v>1</v>
      </c>
      <c r="R4418" s="1">
        <v>43664</v>
      </c>
      <c r="S4418" t="s">
        <v>37</v>
      </c>
      <c r="T4418" t="str">
        <f t="shared" ref="T4418:T4481" si="345">IF(L4418&gt;=80000,"Grade A",IF(L4418&gt;=50000,"Grade B",IF(L4418&gt;=35000,"Grade C","Grade D")))</f>
        <v>Grade A</v>
      </c>
      <c r="U4418">
        <f t="shared" ref="U4418:U4481" si="346">IF(M4418="Excellent",4,IF(M4418="Good",3,IF(M4418="Average",2,1)))</f>
        <v>2</v>
      </c>
      <c r="V4418" t="str">
        <f t="shared" ref="V4418:V4481" si="347">IF(K4418&lt;=2,"New Joiner",IF(K4418&lt;=5,"Junior",IF(K4418&lt;=10,"Mid Level","Senior")))</f>
        <v>Junior</v>
      </c>
      <c r="W4418" t="str">
        <f t="shared" ref="W4418:W4481" si="348">IF(S4418="Yes","Already Left",IF(AND(K4418&lt;=2,M4418="Poor"),"High Risk",IF(AND(K4418&lt;=5,M4418="Average"),"Medium Risk",IF(M4418="Excellent","Low Risk","Medium Risk"))))</f>
        <v>Already Left</v>
      </c>
      <c r="X4418" t="str">
        <f t="shared" ref="X4418:X4481" si="349">IF(AND(L4418&gt;=80000,M4418="Excellent"),"Competitive",IF(AND(L4418&gt;=50000,M4418="Good"),"Competitive",IF(AND(L4418&lt;35000,M4418="Excellent"),"Underpaid",IF(AND(L4418&gt;=80000,M4418="Poor"),"Overpaid","Fair"))))</f>
        <v>Fair</v>
      </c>
    </row>
    <row r="4419" spans="1:24" x14ac:dyDescent="0.3">
      <c r="A4419" t="s">
        <v>4487</v>
      </c>
      <c r="B4419" t="s">
        <v>39</v>
      </c>
      <c r="C4419">
        <v>34</v>
      </c>
      <c r="D4419" t="s">
        <v>57</v>
      </c>
      <c r="E4419" t="s">
        <v>22</v>
      </c>
      <c r="F4419" t="s">
        <v>78</v>
      </c>
      <c r="G4419" t="s">
        <v>24</v>
      </c>
      <c r="H4419" t="s">
        <v>25</v>
      </c>
      <c r="I4419" t="s">
        <v>43</v>
      </c>
      <c r="J4419" t="s">
        <v>44</v>
      </c>
      <c r="K4419">
        <v>6</v>
      </c>
      <c r="L4419">
        <v>94665</v>
      </c>
      <c r="M4419" t="s">
        <v>36</v>
      </c>
      <c r="N4419">
        <v>1</v>
      </c>
      <c r="O4419">
        <v>1</v>
      </c>
      <c r="P4419">
        <v>44</v>
      </c>
      <c r="Q4419">
        <v>3</v>
      </c>
      <c r="R4419" s="1">
        <v>42978</v>
      </c>
      <c r="S4419" t="s">
        <v>37</v>
      </c>
      <c r="T4419" t="str">
        <f t="shared" si="345"/>
        <v>Grade A</v>
      </c>
      <c r="U4419">
        <f t="shared" si="346"/>
        <v>1</v>
      </c>
      <c r="V4419" t="str">
        <f t="shared" si="347"/>
        <v>Mid Level</v>
      </c>
      <c r="W4419" t="str">
        <f t="shared" si="348"/>
        <v>Already Left</v>
      </c>
      <c r="X4419" t="str">
        <f t="shared" si="349"/>
        <v>Overpaid</v>
      </c>
    </row>
    <row r="4420" spans="1:24" x14ac:dyDescent="0.3">
      <c r="A4420" t="s">
        <v>4488</v>
      </c>
      <c r="B4420" t="s">
        <v>39</v>
      </c>
      <c r="C4420">
        <v>24</v>
      </c>
      <c r="D4420" t="s">
        <v>88</v>
      </c>
      <c r="E4420" t="s">
        <v>40</v>
      </c>
      <c r="F4420" t="s">
        <v>65</v>
      </c>
      <c r="G4420" t="s">
        <v>79</v>
      </c>
      <c r="H4420" t="s">
        <v>83</v>
      </c>
      <c r="I4420" t="s">
        <v>50</v>
      </c>
      <c r="J4420" t="s">
        <v>44</v>
      </c>
      <c r="K4420">
        <v>1</v>
      </c>
      <c r="L4420">
        <v>50478</v>
      </c>
      <c r="M4420" t="s">
        <v>51</v>
      </c>
      <c r="N4420">
        <v>4</v>
      </c>
      <c r="O4420">
        <v>2</v>
      </c>
      <c r="P4420">
        <v>60</v>
      </c>
      <c r="Q4420">
        <v>2</v>
      </c>
      <c r="R4420" s="1">
        <v>44753</v>
      </c>
      <c r="S4420" t="s">
        <v>29</v>
      </c>
      <c r="T4420" t="str">
        <f t="shared" si="345"/>
        <v>Grade B</v>
      </c>
      <c r="U4420">
        <f t="shared" si="346"/>
        <v>4</v>
      </c>
      <c r="V4420" t="str">
        <f t="shared" si="347"/>
        <v>New Joiner</v>
      </c>
      <c r="W4420" t="str">
        <f t="shared" si="348"/>
        <v>Low Risk</v>
      </c>
      <c r="X4420" t="str">
        <f t="shared" si="349"/>
        <v>Fair</v>
      </c>
    </row>
    <row r="4421" spans="1:24" x14ac:dyDescent="0.3">
      <c r="A4421" t="s">
        <v>4489</v>
      </c>
      <c r="B4421" t="s">
        <v>20</v>
      </c>
      <c r="C4421">
        <v>37</v>
      </c>
      <c r="D4421" t="s">
        <v>31</v>
      </c>
      <c r="E4421" t="s">
        <v>48</v>
      </c>
      <c r="F4421" t="s">
        <v>53</v>
      </c>
      <c r="G4421" t="s">
        <v>33</v>
      </c>
      <c r="H4421" t="s">
        <v>76</v>
      </c>
      <c r="I4421" t="s">
        <v>43</v>
      </c>
      <c r="J4421" t="s">
        <v>44</v>
      </c>
      <c r="K4421">
        <v>7</v>
      </c>
      <c r="L4421">
        <v>75501</v>
      </c>
      <c r="M4421" t="s">
        <v>51</v>
      </c>
      <c r="N4421">
        <v>1</v>
      </c>
      <c r="O4421">
        <v>3</v>
      </c>
      <c r="P4421">
        <v>73</v>
      </c>
      <c r="Q4421">
        <v>1</v>
      </c>
      <c r="R4421" s="1">
        <v>42733</v>
      </c>
      <c r="S4421" t="s">
        <v>29</v>
      </c>
      <c r="T4421" t="str">
        <f t="shared" si="345"/>
        <v>Grade B</v>
      </c>
      <c r="U4421">
        <f t="shared" si="346"/>
        <v>4</v>
      </c>
      <c r="V4421" t="str">
        <f t="shared" si="347"/>
        <v>Mid Level</v>
      </c>
      <c r="W4421" t="str">
        <f t="shared" si="348"/>
        <v>Low Risk</v>
      </c>
      <c r="X4421" t="str">
        <f t="shared" si="349"/>
        <v>Fair</v>
      </c>
    </row>
    <row r="4422" spans="1:24" x14ac:dyDescent="0.3">
      <c r="A4422" t="s">
        <v>4490</v>
      </c>
      <c r="B4422" t="s">
        <v>20</v>
      </c>
      <c r="C4422">
        <v>28</v>
      </c>
      <c r="D4422" t="s">
        <v>88</v>
      </c>
      <c r="E4422" t="s">
        <v>40</v>
      </c>
      <c r="F4422" t="s">
        <v>78</v>
      </c>
      <c r="G4422" t="s">
        <v>33</v>
      </c>
      <c r="H4422" t="s">
        <v>25</v>
      </c>
      <c r="I4422" t="s">
        <v>59</v>
      </c>
      <c r="J4422" t="s">
        <v>60</v>
      </c>
      <c r="K4422">
        <v>5</v>
      </c>
      <c r="L4422">
        <v>69275</v>
      </c>
      <c r="M4422" t="s">
        <v>28</v>
      </c>
      <c r="N4422">
        <v>3</v>
      </c>
      <c r="O4422">
        <v>4</v>
      </c>
      <c r="P4422">
        <v>49</v>
      </c>
      <c r="Q4422">
        <v>3</v>
      </c>
      <c r="R4422" s="1">
        <v>43135</v>
      </c>
      <c r="S4422" t="s">
        <v>29</v>
      </c>
      <c r="T4422" t="str">
        <f t="shared" si="345"/>
        <v>Grade B</v>
      </c>
      <c r="U4422">
        <f t="shared" si="346"/>
        <v>3</v>
      </c>
      <c r="V4422" t="str">
        <f t="shared" si="347"/>
        <v>Junior</v>
      </c>
      <c r="W4422" t="str">
        <f t="shared" si="348"/>
        <v>Medium Risk</v>
      </c>
      <c r="X4422" t="str">
        <f t="shared" si="349"/>
        <v>Competitive</v>
      </c>
    </row>
    <row r="4423" spans="1:24" x14ac:dyDescent="0.3">
      <c r="A4423" t="s">
        <v>4491</v>
      </c>
      <c r="B4423" t="s">
        <v>20</v>
      </c>
      <c r="C4423">
        <v>23</v>
      </c>
      <c r="D4423" t="s">
        <v>47</v>
      </c>
      <c r="E4423" t="s">
        <v>22</v>
      </c>
      <c r="F4423" t="s">
        <v>41</v>
      </c>
      <c r="G4423" t="s">
        <v>66</v>
      </c>
      <c r="H4423" t="s">
        <v>34</v>
      </c>
      <c r="I4423" t="s">
        <v>72</v>
      </c>
      <c r="J4423" t="s">
        <v>73</v>
      </c>
      <c r="K4423">
        <v>7</v>
      </c>
      <c r="L4423">
        <v>51408</v>
      </c>
      <c r="M4423" t="s">
        <v>45</v>
      </c>
      <c r="N4423">
        <v>3</v>
      </c>
      <c r="O4423">
        <v>4</v>
      </c>
      <c r="P4423">
        <v>48</v>
      </c>
      <c r="Q4423">
        <v>0</v>
      </c>
      <c r="R4423" s="1">
        <v>42681</v>
      </c>
      <c r="S4423" t="s">
        <v>29</v>
      </c>
      <c r="T4423" t="str">
        <f t="shared" si="345"/>
        <v>Grade B</v>
      </c>
      <c r="U4423">
        <f t="shared" si="346"/>
        <v>2</v>
      </c>
      <c r="V4423" t="str">
        <f t="shared" si="347"/>
        <v>Mid Level</v>
      </c>
      <c r="W4423" t="str">
        <f t="shared" si="348"/>
        <v>Medium Risk</v>
      </c>
      <c r="X4423" t="str">
        <f t="shared" si="349"/>
        <v>Fair</v>
      </c>
    </row>
    <row r="4424" spans="1:24" x14ac:dyDescent="0.3">
      <c r="A4424" t="s">
        <v>4492</v>
      </c>
      <c r="B4424" t="s">
        <v>39</v>
      </c>
      <c r="C4424">
        <v>54</v>
      </c>
      <c r="D4424" t="s">
        <v>21</v>
      </c>
      <c r="E4424" t="s">
        <v>40</v>
      </c>
      <c r="F4424" t="s">
        <v>53</v>
      </c>
      <c r="G4424" t="s">
        <v>66</v>
      </c>
      <c r="H4424" t="s">
        <v>76</v>
      </c>
      <c r="I4424" t="s">
        <v>96</v>
      </c>
      <c r="J4424" t="s">
        <v>44</v>
      </c>
      <c r="K4424">
        <v>12</v>
      </c>
      <c r="L4424">
        <v>53376</v>
      </c>
      <c r="M4424" t="s">
        <v>28</v>
      </c>
      <c r="N4424">
        <v>2</v>
      </c>
      <c r="O4424">
        <v>2</v>
      </c>
      <c r="P4424">
        <v>22</v>
      </c>
      <c r="Q4424">
        <v>2</v>
      </c>
      <c r="R4424" s="1">
        <v>40630</v>
      </c>
      <c r="S4424" t="s">
        <v>29</v>
      </c>
      <c r="T4424" t="str">
        <f t="shared" si="345"/>
        <v>Grade B</v>
      </c>
      <c r="U4424">
        <f t="shared" si="346"/>
        <v>3</v>
      </c>
      <c r="V4424" t="str">
        <f t="shared" si="347"/>
        <v>Senior</v>
      </c>
      <c r="W4424" t="str">
        <f t="shared" si="348"/>
        <v>Medium Risk</v>
      </c>
      <c r="X4424" t="str">
        <f t="shared" si="349"/>
        <v>Competitive</v>
      </c>
    </row>
    <row r="4425" spans="1:24" x14ac:dyDescent="0.3">
      <c r="A4425" t="s">
        <v>4493</v>
      </c>
      <c r="B4425" t="s">
        <v>39</v>
      </c>
      <c r="C4425">
        <v>40</v>
      </c>
      <c r="D4425" t="s">
        <v>47</v>
      </c>
      <c r="E4425" t="s">
        <v>40</v>
      </c>
      <c r="F4425" t="s">
        <v>23</v>
      </c>
      <c r="G4425" t="s">
        <v>58</v>
      </c>
      <c r="H4425" t="s">
        <v>67</v>
      </c>
      <c r="I4425" t="s">
        <v>59</v>
      </c>
      <c r="J4425" t="s">
        <v>60</v>
      </c>
      <c r="K4425">
        <v>3</v>
      </c>
      <c r="L4425">
        <v>81379</v>
      </c>
      <c r="M4425" t="s">
        <v>45</v>
      </c>
      <c r="N4425">
        <v>4</v>
      </c>
      <c r="O4425">
        <v>1</v>
      </c>
      <c r="P4425">
        <v>79</v>
      </c>
      <c r="Q4425">
        <v>3</v>
      </c>
      <c r="R4425" s="1">
        <v>43903</v>
      </c>
      <c r="S4425" t="s">
        <v>29</v>
      </c>
      <c r="T4425" t="str">
        <f t="shared" si="345"/>
        <v>Grade A</v>
      </c>
      <c r="U4425">
        <f t="shared" si="346"/>
        <v>2</v>
      </c>
      <c r="V4425" t="str">
        <f t="shared" si="347"/>
        <v>Junior</v>
      </c>
      <c r="W4425" t="str">
        <f t="shared" si="348"/>
        <v>Medium Risk</v>
      </c>
      <c r="X4425" t="str">
        <f t="shared" si="349"/>
        <v>Fair</v>
      </c>
    </row>
    <row r="4426" spans="1:24" x14ac:dyDescent="0.3">
      <c r="A4426" t="s">
        <v>4494</v>
      </c>
      <c r="B4426" t="s">
        <v>20</v>
      </c>
      <c r="C4426">
        <v>54</v>
      </c>
      <c r="D4426" t="s">
        <v>31</v>
      </c>
      <c r="E4426" t="s">
        <v>40</v>
      </c>
      <c r="F4426" t="s">
        <v>53</v>
      </c>
      <c r="G4426" t="s">
        <v>63</v>
      </c>
      <c r="H4426" t="s">
        <v>25</v>
      </c>
      <c r="I4426" t="s">
        <v>35</v>
      </c>
      <c r="J4426" t="s">
        <v>27</v>
      </c>
      <c r="K4426">
        <v>5</v>
      </c>
      <c r="L4426">
        <v>61224</v>
      </c>
      <c r="M4426" t="s">
        <v>28</v>
      </c>
      <c r="N4426">
        <v>1</v>
      </c>
      <c r="O4426">
        <v>4</v>
      </c>
      <c r="P4426">
        <v>19</v>
      </c>
      <c r="Q4426">
        <v>3</v>
      </c>
      <c r="R4426" s="1">
        <v>43167</v>
      </c>
      <c r="S4426" t="s">
        <v>37</v>
      </c>
      <c r="T4426" t="str">
        <f t="shared" si="345"/>
        <v>Grade B</v>
      </c>
      <c r="U4426">
        <f t="shared" si="346"/>
        <v>3</v>
      </c>
      <c r="V4426" t="str">
        <f t="shared" si="347"/>
        <v>Junior</v>
      </c>
      <c r="W4426" t="str">
        <f t="shared" si="348"/>
        <v>Already Left</v>
      </c>
      <c r="X4426" t="str">
        <f t="shared" si="349"/>
        <v>Competitive</v>
      </c>
    </row>
    <row r="4427" spans="1:24" x14ac:dyDescent="0.3">
      <c r="A4427" t="s">
        <v>4495</v>
      </c>
      <c r="B4427" t="s">
        <v>39</v>
      </c>
      <c r="C4427">
        <v>49</v>
      </c>
      <c r="D4427" t="s">
        <v>47</v>
      </c>
      <c r="E4427" t="s">
        <v>48</v>
      </c>
      <c r="F4427" t="s">
        <v>32</v>
      </c>
      <c r="G4427" t="s">
        <v>33</v>
      </c>
      <c r="H4427" t="s">
        <v>83</v>
      </c>
      <c r="I4427" t="s">
        <v>26</v>
      </c>
      <c r="J4427" t="s">
        <v>27</v>
      </c>
      <c r="K4427">
        <v>2</v>
      </c>
      <c r="L4427">
        <v>71290</v>
      </c>
      <c r="M4427" t="s">
        <v>28</v>
      </c>
      <c r="N4427">
        <v>4</v>
      </c>
      <c r="O4427">
        <v>4</v>
      </c>
      <c r="P4427">
        <v>75</v>
      </c>
      <c r="Q4427">
        <v>3</v>
      </c>
      <c r="R4427" s="1">
        <v>44223</v>
      </c>
      <c r="S4427" t="s">
        <v>29</v>
      </c>
      <c r="T4427" t="str">
        <f t="shared" si="345"/>
        <v>Grade B</v>
      </c>
      <c r="U4427">
        <f t="shared" si="346"/>
        <v>3</v>
      </c>
      <c r="V4427" t="str">
        <f t="shared" si="347"/>
        <v>New Joiner</v>
      </c>
      <c r="W4427" t="str">
        <f t="shared" si="348"/>
        <v>Medium Risk</v>
      </c>
      <c r="X4427" t="str">
        <f t="shared" si="349"/>
        <v>Competitive</v>
      </c>
    </row>
    <row r="4428" spans="1:24" x14ac:dyDescent="0.3">
      <c r="A4428" t="s">
        <v>4496</v>
      </c>
      <c r="B4428" t="s">
        <v>20</v>
      </c>
      <c r="C4428">
        <v>47</v>
      </c>
      <c r="D4428" t="s">
        <v>21</v>
      </c>
      <c r="E4428" t="s">
        <v>22</v>
      </c>
      <c r="F4428" t="s">
        <v>53</v>
      </c>
      <c r="G4428" t="s">
        <v>49</v>
      </c>
      <c r="H4428" t="s">
        <v>67</v>
      </c>
      <c r="I4428" t="s">
        <v>80</v>
      </c>
      <c r="J4428" t="s">
        <v>60</v>
      </c>
      <c r="K4428">
        <v>15</v>
      </c>
      <c r="L4428">
        <v>87371</v>
      </c>
      <c r="M4428" t="s">
        <v>28</v>
      </c>
      <c r="N4428">
        <v>4</v>
      </c>
      <c r="O4428">
        <v>3</v>
      </c>
      <c r="P4428">
        <v>48</v>
      </c>
      <c r="Q4428">
        <v>2</v>
      </c>
      <c r="R4428" s="1">
        <v>39662</v>
      </c>
      <c r="S4428" t="s">
        <v>29</v>
      </c>
      <c r="T4428" t="str">
        <f t="shared" si="345"/>
        <v>Grade A</v>
      </c>
      <c r="U4428">
        <f t="shared" si="346"/>
        <v>3</v>
      </c>
      <c r="V4428" t="str">
        <f t="shared" si="347"/>
        <v>Senior</v>
      </c>
      <c r="W4428" t="str">
        <f t="shared" si="348"/>
        <v>Medium Risk</v>
      </c>
      <c r="X4428" t="str">
        <f t="shared" si="349"/>
        <v>Competitive</v>
      </c>
    </row>
    <row r="4429" spans="1:24" x14ac:dyDescent="0.3">
      <c r="A4429" t="s">
        <v>4497</v>
      </c>
      <c r="B4429" t="s">
        <v>20</v>
      </c>
      <c r="C4429">
        <v>26</v>
      </c>
      <c r="D4429" t="s">
        <v>31</v>
      </c>
      <c r="E4429" t="s">
        <v>22</v>
      </c>
      <c r="F4429" t="s">
        <v>41</v>
      </c>
      <c r="G4429" t="s">
        <v>58</v>
      </c>
      <c r="H4429" t="s">
        <v>83</v>
      </c>
      <c r="I4429" t="s">
        <v>96</v>
      </c>
      <c r="J4429" t="s">
        <v>44</v>
      </c>
      <c r="K4429">
        <v>13</v>
      </c>
      <c r="L4429">
        <v>110651</v>
      </c>
      <c r="M4429" t="s">
        <v>36</v>
      </c>
      <c r="N4429">
        <v>4</v>
      </c>
      <c r="O4429">
        <v>1</v>
      </c>
      <c r="P4429">
        <v>42</v>
      </c>
      <c r="Q4429">
        <v>2</v>
      </c>
      <c r="R4429" s="1">
        <v>40218</v>
      </c>
      <c r="S4429" t="s">
        <v>37</v>
      </c>
      <c r="T4429" t="str">
        <f t="shared" si="345"/>
        <v>Grade A</v>
      </c>
      <c r="U4429">
        <f t="shared" si="346"/>
        <v>1</v>
      </c>
      <c r="V4429" t="str">
        <f t="shared" si="347"/>
        <v>Senior</v>
      </c>
      <c r="W4429" t="str">
        <f t="shared" si="348"/>
        <v>Already Left</v>
      </c>
      <c r="X4429" t="str">
        <f t="shared" si="349"/>
        <v>Overpaid</v>
      </c>
    </row>
    <row r="4430" spans="1:24" x14ac:dyDescent="0.3">
      <c r="A4430" t="s">
        <v>4498</v>
      </c>
      <c r="B4430" t="s">
        <v>20</v>
      </c>
      <c r="C4430">
        <v>52</v>
      </c>
      <c r="D4430" t="s">
        <v>21</v>
      </c>
      <c r="E4430" t="s">
        <v>48</v>
      </c>
      <c r="F4430" t="s">
        <v>32</v>
      </c>
      <c r="G4430" t="s">
        <v>79</v>
      </c>
      <c r="H4430" t="s">
        <v>83</v>
      </c>
      <c r="I4430" t="s">
        <v>26</v>
      </c>
      <c r="J4430" t="s">
        <v>27</v>
      </c>
      <c r="K4430">
        <v>3</v>
      </c>
      <c r="L4430">
        <v>53257</v>
      </c>
      <c r="M4430" t="s">
        <v>28</v>
      </c>
      <c r="N4430">
        <v>1</v>
      </c>
      <c r="O4430">
        <v>3</v>
      </c>
      <c r="P4430">
        <v>60</v>
      </c>
      <c r="Q4430">
        <v>0</v>
      </c>
      <c r="R4430" s="1">
        <v>43839</v>
      </c>
      <c r="S4430" t="s">
        <v>37</v>
      </c>
      <c r="T4430" t="str">
        <f t="shared" si="345"/>
        <v>Grade B</v>
      </c>
      <c r="U4430">
        <f t="shared" si="346"/>
        <v>3</v>
      </c>
      <c r="V4430" t="str">
        <f t="shared" si="347"/>
        <v>Junior</v>
      </c>
      <c r="W4430" t="str">
        <f t="shared" si="348"/>
        <v>Already Left</v>
      </c>
      <c r="X4430" t="str">
        <f t="shared" si="349"/>
        <v>Competitive</v>
      </c>
    </row>
    <row r="4431" spans="1:24" x14ac:dyDescent="0.3">
      <c r="A4431" t="s">
        <v>4499</v>
      </c>
      <c r="B4431" t="s">
        <v>20</v>
      </c>
      <c r="C4431">
        <v>26</v>
      </c>
      <c r="D4431" t="s">
        <v>57</v>
      </c>
      <c r="E4431" t="s">
        <v>48</v>
      </c>
      <c r="F4431" t="s">
        <v>23</v>
      </c>
      <c r="G4431" t="s">
        <v>58</v>
      </c>
      <c r="H4431" t="s">
        <v>76</v>
      </c>
      <c r="I4431" t="s">
        <v>50</v>
      </c>
      <c r="J4431" t="s">
        <v>44</v>
      </c>
      <c r="K4431">
        <v>7</v>
      </c>
      <c r="L4431">
        <v>104281</v>
      </c>
      <c r="M4431" t="s">
        <v>28</v>
      </c>
      <c r="N4431">
        <v>1</v>
      </c>
      <c r="O4431">
        <v>4</v>
      </c>
      <c r="P4431">
        <v>46</v>
      </c>
      <c r="Q4431">
        <v>0</v>
      </c>
      <c r="R4431" s="1">
        <v>42475</v>
      </c>
      <c r="S4431" t="s">
        <v>29</v>
      </c>
      <c r="T4431" t="str">
        <f t="shared" si="345"/>
        <v>Grade A</v>
      </c>
      <c r="U4431">
        <f t="shared" si="346"/>
        <v>3</v>
      </c>
      <c r="V4431" t="str">
        <f t="shared" si="347"/>
        <v>Mid Level</v>
      </c>
      <c r="W4431" t="str">
        <f t="shared" si="348"/>
        <v>Medium Risk</v>
      </c>
      <c r="X4431" t="str">
        <f t="shared" si="349"/>
        <v>Competitive</v>
      </c>
    </row>
    <row r="4432" spans="1:24" x14ac:dyDescent="0.3">
      <c r="A4432" t="s">
        <v>4500</v>
      </c>
      <c r="B4432" t="s">
        <v>39</v>
      </c>
      <c r="C4432">
        <v>52</v>
      </c>
      <c r="D4432" t="s">
        <v>47</v>
      </c>
      <c r="E4432" t="s">
        <v>40</v>
      </c>
      <c r="F4432" t="s">
        <v>65</v>
      </c>
      <c r="G4432" t="s">
        <v>66</v>
      </c>
      <c r="H4432" t="s">
        <v>34</v>
      </c>
      <c r="I4432" t="s">
        <v>50</v>
      </c>
      <c r="J4432" t="s">
        <v>44</v>
      </c>
      <c r="K4432">
        <v>5</v>
      </c>
      <c r="L4432">
        <v>38376</v>
      </c>
      <c r="M4432" t="s">
        <v>45</v>
      </c>
      <c r="N4432">
        <v>3</v>
      </c>
      <c r="O4432">
        <v>2</v>
      </c>
      <c r="P4432">
        <v>78</v>
      </c>
      <c r="Q4432">
        <v>0</v>
      </c>
      <c r="R4432" s="1">
        <v>43210</v>
      </c>
      <c r="S4432" t="s">
        <v>29</v>
      </c>
      <c r="T4432" t="str">
        <f t="shared" si="345"/>
        <v>Grade C</v>
      </c>
      <c r="U4432">
        <f t="shared" si="346"/>
        <v>2</v>
      </c>
      <c r="V4432" t="str">
        <f t="shared" si="347"/>
        <v>Junior</v>
      </c>
      <c r="W4432" t="str">
        <f t="shared" si="348"/>
        <v>Medium Risk</v>
      </c>
      <c r="X4432" t="str">
        <f t="shared" si="349"/>
        <v>Fair</v>
      </c>
    </row>
    <row r="4433" spans="1:24" x14ac:dyDescent="0.3">
      <c r="A4433" t="s">
        <v>4501</v>
      </c>
      <c r="B4433" t="s">
        <v>39</v>
      </c>
      <c r="C4433">
        <v>31</v>
      </c>
      <c r="D4433" t="s">
        <v>31</v>
      </c>
      <c r="E4433" t="s">
        <v>40</v>
      </c>
      <c r="F4433" t="s">
        <v>75</v>
      </c>
      <c r="G4433" t="s">
        <v>33</v>
      </c>
      <c r="H4433" t="s">
        <v>76</v>
      </c>
      <c r="I4433" t="s">
        <v>26</v>
      </c>
      <c r="J4433" t="s">
        <v>27</v>
      </c>
      <c r="K4433">
        <v>13</v>
      </c>
      <c r="L4433">
        <v>81317</v>
      </c>
      <c r="M4433" t="s">
        <v>45</v>
      </c>
      <c r="N4433">
        <v>3</v>
      </c>
      <c r="O4433">
        <v>4</v>
      </c>
      <c r="P4433">
        <v>48</v>
      </c>
      <c r="Q4433">
        <v>2</v>
      </c>
      <c r="R4433" s="1">
        <v>40279</v>
      </c>
      <c r="S4433" t="s">
        <v>29</v>
      </c>
      <c r="T4433" t="str">
        <f t="shared" si="345"/>
        <v>Grade A</v>
      </c>
      <c r="U4433">
        <f t="shared" si="346"/>
        <v>2</v>
      </c>
      <c r="V4433" t="str">
        <f t="shared" si="347"/>
        <v>Senior</v>
      </c>
      <c r="W4433" t="str">
        <f t="shared" si="348"/>
        <v>Medium Risk</v>
      </c>
      <c r="X4433" t="str">
        <f t="shared" si="349"/>
        <v>Fair</v>
      </c>
    </row>
    <row r="4434" spans="1:24" x14ac:dyDescent="0.3">
      <c r="A4434" t="s">
        <v>4502</v>
      </c>
      <c r="B4434" t="s">
        <v>39</v>
      </c>
      <c r="C4434">
        <v>36</v>
      </c>
      <c r="D4434" t="s">
        <v>31</v>
      </c>
      <c r="E4434" t="s">
        <v>48</v>
      </c>
      <c r="F4434" t="s">
        <v>41</v>
      </c>
      <c r="G4434" t="s">
        <v>33</v>
      </c>
      <c r="H4434" t="s">
        <v>67</v>
      </c>
      <c r="I4434" t="s">
        <v>54</v>
      </c>
      <c r="J4434" t="s">
        <v>27</v>
      </c>
      <c r="K4434">
        <v>15</v>
      </c>
      <c r="L4434">
        <v>91524</v>
      </c>
      <c r="M4434" t="s">
        <v>28</v>
      </c>
      <c r="N4434">
        <v>2</v>
      </c>
      <c r="O4434">
        <v>2</v>
      </c>
      <c r="P4434">
        <v>80</v>
      </c>
      <c r="Q4434">
        <v>0</v>
      </c>
      <c r="R4434" s="1">
        <v>39521</v>
      </c>
      <c r="S4434" t="s">
        <v>29</v>
      </c>
      <c r="T4434" t="str">
        <f t="shared" si="345"/>
        <v>Grade A</v>
      </c>
      <c r="U4434">
        <f t="shared" si="346"/>
        <v>3</v>
      </c>
      <c r="V4434" t="str">
        <f t="shared" si="347"/>
        <v>Senior</v>
      </c>
      <c r="W4434" t="str">
        <f t="shared" si="348"/>
        <v>Medium Risk</v>
      </c>
      <c r="X4434" t="str">
        <f t="shared" si="349"/>
        <v>Competitive</v>
      </c>
    </row>
    <row r="4435" spans="1:24" x14ac:dyDescent="0.3">
      <c r="A4435" t="s">
        <v>4503</v>
      </c>
      <c r="B4435" t="s">
        <v>39</v>
      </c>
      <c r="C4435">
        <v>33</v>
      </c>
      <c r="D4435" t="s">
        <v>31</v>
      </c>
      <c r="E4435" t="s">
        <v>40</v>
      </c>
      <c r="F4435" t="s">
        <v>78</v>
      </c>
      <c r="G4435" t="s">
        <v>42</v>
      </c>
      <c r="H4435" t="s">
        <v>83</v>
      </c>
      <c r="I4435" t="s">
        <v>35</v>
      </c>
      <c r="J4435" t="s">
        <v>27</v>
      </c>
      <c r="K4435">
        <v>10</v>
      </c>
      <c r="L4435">
        <v>117557</v>
      </c>
      <c r="M4435" t="s">
        <v>36</v>
      </c>
      <c r="N4435">
        <v>4</v>
      </c>
      <c r="O4435">
        <v>4</v>
      </c>
      <c r="P4435">
        <v>76</v>
      </c>
      <c r="Q4435">
        <v>0</v>
      </c>
      <c r="R4435" s="1">
        <v>41421</v>
      </c>
      <c r="S4435" t="s">
        <v>37</v>
      </c>
      <c r="T4435" t="str">
        <f t="shared" si="345"/>
        <v>Grade A</v>
      </c>
      <c r="U4435">
        <f t="shared" si="346"/>
        <v>1</v>
      </c>
      <c r="V4435" t="str">
        <f t="shared" si="347"/>
        <v>Mid Level</v>
      </c>
      <c r="W4435" t="str">
        <f t="shared" si="348"/>
        <v>Already Left</v>
      </c>
      <c r="X4435" t="str">
        <f t="shared" si="349"/>
        <v>Overpaid</v>
      </c>
    </row>
    <row r="4436" spans="1:24" x14ac:dyDescent="0.3">
      <c r="A4436" t="s">
        <v>4504</v>
      </c>
      <c r="B4436" t="s">
        <v>20</v>
      </c>
      <c r="C4436">
        <v>39</v>
      </c>
      <c r="D4436" t="s">
        <v>57</v>
      </c>
      <c r="E4436" t="s">
        <v>22</v>
      </c>
      <c r="F4436" t="s">
        <v>53</v>
      </c>
      <c r="G4436" t="s">
        <v>33</v>
      </c>
      <c r="H4436" t="s">
        <v>25</v>
      </c>
      <c r="I4436" t="s">
        <v>96</v>
      </c>
      <c r="J4436" t="s">
        <v>44</v>
      </c>
      <c r="K4436">
        <v>11</v>
      </c>
      <c r="L4436">
        <v>83680</v>
      </c>
      <c r="M4436" t="s">
        <v>36</v>
      </c>
      <c r="N4436">
        <v>4</v>
      </c>
      <c r="O4436">
        <v>4</v>
      </c>
      <c r="P4436">
        <v>64</v>
      </c>
      <c r="Q4436">
        <v>1</v>
      </c>
      <c r="R4436" s="1">
        <v>41230</v>
      </c>
      <c r="S4436" t="s">
        <v>37</v>
      </c>
      <c r="T4436" t="str">
        <f t="shared" si="345"/>
        <v>Grade A</v>
      </c>
      <c r="U4436">
        <f t="shared" si="346"/>
        <v>1</v>
      </c>
      <c r="V4436" t="str">
        <f t="shared" si="347"/>
        <v>Senior</v>
      </c>
      <c r="W4436" t="str">
        <f t="shared" si="348"/>
        <v>Already Left</v>
      </c>
      <c r="X4436" t="str">
        <f t="shared" si="349"/>
        <v>Overpaid</v>
      </c>
    </row>
    <row r="4437" spans="1:24" x14ac:dyDescent="0.3">
      <c r="A4437" t="s">
        <v>4505</v>
      </c>
      <c r="B4437" t="s">
        <v>20</v>
      </c>
      <c r="C4437">
        <v>51</v>
      </c>
      <c r="D4437" t="s">
        <v>47</v>
      </c>
      <c r="E4437" t="s">
        <v>48</v>
      </c>
      <c r="F4437" t="s">
        <v>32</v>
      </c>
      <c r="G4437" t="s">
        <v>24</v>
      </c>
      <c r="H4437" t="s">
        <v>76</v>
      </c>
      <c r="I4437" t="s">
        <v>26</v>
      </c>
      <c r="J4437" t="s">
        <v>27</v>
      </c>
      <c r="K4437">
        <v>7</v>
      </c>
      <c r="L4437">
        <v>88343</v>
      </c>
      <c r="M4437" t="s">
        <v>51</v>
      </c>
      <c r="N4437">
        <v>2</v>
      </c>
      <c r="O4437">
        <v>3</v>
      </c>
      <c r="P4437">
        <v>55</v>
      </c>
      <c r="Q4437">
        <v>2</v>
      </c>
      <c r="R4437" s="1">
        <v>42596</v>
      </c>
      <c r="S4437" t="s">
        <v>29</v>
      </c>
      <c r="T4437" t="str">
        <f t="shared" si="345"/>
        <v>Grade A</v>
      </c>
      <c r="U4437">
        <f t="shared" si="346"/>
        <v>4</v>
      </c>
      <c r="V4437" t="str">
        <f t="shared" si="347"/>
        <v>Mid Level</v>
      </c>
      <c r="W4437" t="str">
        <f t="shared" si="348"/>
        <v>Low Risk</v>
      </c>
      <c r="X4437" t="str">
        <f t="shared" si="349"/>
        <v>Competitive</v>
      </c>
    </row>
    <row r="4438" spans="1:24" x14ac:dyDescent="0.3">
      <c r="A4438" t="s">
        <v>4506</v>
      </c>
      <c r="B4438" t="s">
        <v>39</v>
      </c>
      <c r="C4438">
        <v>34</v>
      </c>
      <c r="D4438" t="s">
        <v>47</v>
      </c>
      <c r="E4438" t="s">
        <v>48</v>
      </c>
      <c r="F4438" t="s">
        <v>75</v>
      </c>
      <c r="G4438" t="s">
        <v>79</v>
      </c>
      <c r="H4438" t="s">
        <v>34</v>
      </c>
      <c r="I4438" t="s">
        <v>96</v>
      </c>
      <c r="J4438" t="s">
        <v>44</v>
      </c>
      <c r="K4438">
        <v>6</v>
      </c>
      <c r="L4438">
        <v>45430</v>
      </c>
      <c r="M4438" t="s">
        <v>36</v>
      </c>
      <c r="N4438">
        <v>2</v>
      </c>
      <c r="O4438">
        <v>4</v>
      </c>
      <c r="P4438">
        <v>13</v>
      </c>
      <c r="Q4438">
        <v>0</v>
      </c>
      <c r="R4438" s="1">
        <v>42832</v>
      </c>
      <c r="S4438" t="s">
        <v>37</v>
      </c>
      <c r="T4438" t="str">
        <f t="shared" si="345"/>
        <v>Grade C</v>
      </c>
      <c r="U4438">
        <f t="shared" si="346"/>
        <v>1</v>
      </c>
      <c r="V4438" t="str">
        <f t="shared" si="347"/>
        <v>Mid Level</v>
      </c>
      <c r="W4438" t="str">
        <f t="shared" si="348"/>
        <v>Already Left</v>
      </c>
      <c r="X4438" t="str">
        <f t="shared" si="349"/>
        <v>Fair</v>
      </c>
    </row>
    <row r="4439" spans="1:24" x14ac:dyDescent="0.3">
      <c r="A4439" t="s">
        <v>4507</v>
      </c>
      <c r="B4439" t="s">
        <v>20</v>
      </c>
      <c r="C4439">
        <v>39</v>
      </c>
      <c r="D4439" t="s">
        <v>31</v>
      </c>
      <c r="E4439" t="s">
        <v>40</v>
      </c>
      <c r="F4439" t="s">
        <v>62</v>
      </c>
      <c r="G4439" t="s">
        <v>33</v>
      </c>
      <c r="H4439" t="s">
        <v>76</v>
      </c>
      <c r="I4439" t="s">
        <v>80</v>
      </c>
      <c r="J4439" t="s">
        <v>60</v>
      </c>
      <c r="K4439">
        <v>6</v>
      </c>
      <c r="L4439">
        <v>78243</v>
      </c>
      <c r="M4439" t="s">
        <v>51</v>
      </c>
      <c r="N4439">
        <v>3</v>
      </c>
      <c r="O4439">
        <v>4</v>
      </c>
      <c r="P4439">
        <v>20</v>
      </c>
      <c r="Q4439">
        <v>2</v>
      </c>
      <c r="R4439" s="1">
        <v>42808</v>
      </c>
      <c r="S4439" t="s">
        <v>37</v>
      </c>
      <c r="T4439" t="str">
        <f t="shared" si="345"/>
        <v>Grade B</v>
      </c>
      <c r="U4439">
        <f t="shared" si="346"/>
        <v>4</v>
      </c>
      <c r="V4439" t="str">
        <f t="shared" si="347"/>
        <v>Mid Level</v>
      </c>
      <c r="W4439" t="str">
        <f t="shared" si="348"/>
        <v>Already Left</v>
      </c>
      <c r="X4439" t="str">
        <f t="shared" si="349"/>
        <v>Fair</v>
      </c>
    </row>
    <row r="4440" spans="1:24" x14ac:dyDescent="0.3">
      <c r="A4440" t="s">
        <v>4508</v>
      </c>
      <c r="B4440" t="s">
        <v>20</v>
      </c>
      <c r="C4440">
        <v>23</v>
      </c>
      <c r="D4440" t="s">
        <v>31</v>
      </c>
      <c r="E4440" t="s">
        <v>22</v>
      </c>
      <c r="F4440" t="s">
        <v>78</v>
      </c>
      <c r="G4440" t="s">
        <v>42</v>
      </c>
      <c r="H4440" t="s">
        <v>76</v>
      </c>
      <c r="I4440" t="s">
        <v>50</v>
      </c>
      <c r="J4440" t="s">
        <v>44</v>
      </c>
      <c r="K4440">
        <v>2</v>
      </c>
      <c r="L4440">
        <v>92378</v>
      </c>
      <c r="M4440" t="s">
        <v>45</v>
      </c>
      <c r="N4440">
        <v>3</v>
      </c>
      <c r="O4440">
        <v>2</v>
      </c>
      <c r="P4440">
        <v>38</v>
      </c>
      <c r="Q4440">
        <v>1</v>
      </c>
      <c r="R4440" s="1">
        <v>44368</v>
      </c>
      <c r="S4440" t="s">
        <v>29</v>
      </c>
      <c r="T4440" t="str">
        <f t="shared" si="345"/>
        <v>Grade A</v>
      </c>
      <c r="U4440">
        <f t="shared" si="346"/>
        <v>2</v>
      </c>
      <c r="V4440" t="str">
        <f t="shared" si="347"/>
        <v>New Joiner</v>
      </c>
      <c r="W4440" t="str">
        <f t="shared" si="348"/>
        <v>Medium Risk</v>
      </c>
      <c r="X4440" t="str">
        <f t="shared" si="349"/>
        <v>Fair</v>
      </c>
    </row>
    <row r="4441" spans="1:24" x14ac:dyDescent="0.3">
      <c r="A4441" t="s">
        <v>4509</v>
      </c>
      <c r="B4441" t="s">
        <v>20</v>
      </c>
      <c r="C4441">
        <v>39</v>
      </c>
      <c r="D4441" t="s">
        <v>31</v>
      </c>
      <c r="E4441" t="s">
        <v>40</v>
      </c>
      <c r="F4441" t="s">
        <v>78</v>
      </c>
      <c r="G4441" t="s">
        <v>58</v>
      </c>
      <c r="H4441" t="s">
        <v>76</v>
      </c>
      <c r="I4441" t="s">
        <v>68</v>
      </c>
      <c r="J4441" t="s">
        <v>60</v>
      </c>
      <c r="K4441">
        <v>4</v>
      </c>
      <c r="L4441">
        <v>93668</v>
      </c>
      <c r="M4441" t="s">
        <v>36</v>
      </c>
      <c r="N4441">
        <v>2</v>
      </c>
      <c r="O4441">
        <v>2</v>
      </c>
      <c r="P4441">
        <v>65</v>
      </c>
      <c r="Q4441">
        <v>0</v>
      </c>
      <c r="R4441" s="1">
        <v>43771</v>
      </c>
      <c r="S4441" t="s">
        <v>37</v>
      </c>
      <c r="T4441" t="str">
        <f t="shared" si="345"/>
        <v>Grade A</v>
      </c>
      <c r="U4441">
        <f t="shared" si="346"/>
        <v>1</v>
      </c>
      <c r="V4441" t="str">
        <f t="shared" si="347"/>
        <v>Junior</v>
      </c>
      <c r="W4441" t="str">
        <f t="shared" si="348"/>
        <v>Already Left</v>
      </c>
      <c r="X4441" t="str">
        <f t="shared" si="349"/>
        <v>Overpaid</v>
      </c>
    </row>
    <row r="4442" spans="1:24" x14ac:dyDescent="0.3">
      <c r="A4442" t="s">
        <v>4510</v>
      </c>
      <c r="B4442" t="s">
        <v>39</v>
      </c>
      <c r="C4442">
        <v>32</v>
      </c>
      <c r="D4442" t="s">
        <v>57</v>
      </c>
      <c r="E4442" t="s">
        <v>40</v>
      </c>
      <c r="F4442" t="s">
        <v>41</v>
      </c>
      <c r="G4442" t="s">
        <v>49</v>
      </c>
      <c r="H4442" t="s">
        <v>76</v>
      </c>
      <c r="I4442" t="s">
        <v>43</v>
      </c>
      <c r="J4442" t="s">
        <v>44</v>
      </c>
      <c r="K4442">
        <v>10</v>
      </c>
      <c r="L4442">
        <v>79985</v>
      </c>
      <c r="M4442" t="s">
        <v>45</v>
      </c>
      <c r="N4442">
        <v>1</v>
      </c>
      <c r="O4442">
        <v>1</v>
      </c>
      <c r="P4442">
        <v>55</v>
      </c>
      <c r="Q4442">
        <v>2</v>
      </c>
      <c r="R4442" s="1">
        <v>41466</v>
      </c>
      <c r="S4442" t="s">
        <v>29</v>
      </c>
      <c r="T4442" t="str">
        <f t="shared" si="345"/>
        <v>Grade B</v>
      </c>
      <c r="U4442">
        <f t="shared" si="346"/>
        <v>2</v>
      </c>
      <c r="V4442" t="str">
        <f t="shared" si="347"/>
        <v>Mid Level</v>
      </c>
      <c r="W4442" t="str">
        <f t="shared" si="348"/>
        <v>Medium Risk</v>
      </c>
      <c r="X4442" t="str">
        <f t="shared" si="349"/>
        <v>Fair</v>
      </c>
    </row>
    <row r="4443" spans="1:24" x14ac:dyDescent="0.3">
      <c r="A4443" t="s">
        <v>4511</v>
      </c>
      <c r="B4443" t="s">
        <v>39</v>
      </c>
      <c r="C4443">
        <v>22</v>
      </c>
      <c r="D4443" t="s">
        <v>47</v>
      </c>
      <c r="E4443" t="s">
        <v>40</v>
      </c>
      <c r="F4443" t="s">
        <v>78</v>
      </c>
      <c r="G4443" t="s">
        <v>63</v>
      </c>
      <c r="H4443" t="s">
        <v>83</v>
      </c>
      <c r="I4443" t="s">
        <v>80</v>
      </c>
      <c r="J4443" t="s">
        <v>60</v>
      </c>
      <c r="K4443">
        <v>12</v>
      </c>
      <c r="L4443">
        <v>77308</v>
      </c>
      <c r="M4443" t="s">
        <v>51</v>
      </c>
      <c r="N4443">
        <v>4</v>
      </c>
      <c r="O4443">
        <v>2</v>
      </c>
      <c r="P4443">
        <v>13</v>
      </c>
      <c r="Q4443">
        <v>2</v>
      </c>
      <c r="R4443" s="1">
        <v>40664</v>
      </c>
      <c r="S4443" t="s">
        <v>29</v>
      </c>
      <c r="T4443" t="str">
        <f t="shared" si="345"/>
        <v>Grade B</v>
      </c>
      <c r="U4443">
        <f t="shared" si="346"/>
        <v>4</v>
      </c>
      <c r="V4443" t="str">
        <f t="shared" si="347"/>
        <v>Senior</v>
      </c>
      <c r="W4443" t="str">
        <f t="shared" si="348"/>
        <v>Low Risk</v>
      </c>
      <c r="X4443" t="str">
        <f t="shared" si="349"/>
        <v>Fair</v>
      </c>
    </row>
    <row r="4444" spans="1:24" x14ac:dyDescent="0.3">
      <c r="A4444" t="s">
        <v>4512</v>
      </c>
      <c r="B4444" t="s">
        <v>39</v>
      </c>
      <c r="C4444">
        <v>32</v>
      </c>
      <c r="D4444" t="s">
        <v>57</v>
      </c>
      <c r="E4444" t="s">
        <v>22</v>
      </c>
      <c r="F4444" t="s">
        <v>32</v>
      </c>
      <c r="G4444" t="s">
        <v>42</v>
      </c>
      <c r="H4444" t="s">
        <v>67</v>
      </c>
      <c r="I4444" t="s">
        <v>43</v>
      </c>
      <c r="J4444" t="s">
        <v>44</v>
      </c>
      <c r="K4444">
        <v>14</v>
      </c>
      <c r="L4444">
        <v>114570</v>
      </c>
      <c r="M4444" t="s">
        <v>36</v>
      </c>
      <c r="N4444">
        <v>2</v>
      </c>
      <c r="O4444">
        <v>2</v>
      </c>
      <c r="P4444">
        <v>62</v>
      </c>
      <c r="Q4444">
        <v>1</v>
      </c>
      <c r="R4444" s="1">
        <v>39974</v>
      </c>
      <c r="S4444" t="s">
        <v>37</v>
      </c>
      <c r="T4444" t="str">
        <f t="shared" si="345"/>
        <v>Grade A</v>
      </c>
      <c r="U4444">
        <f t="shared" si="346"/>
        <v>1</v>
      </c>
      <c r="V4444" t="str">
        <f t="shared" si="347"/>
        <v>Senior</v>
      </c>
      <c r="W4444" t="str">
        <f t="shared" si="348"/>
        <v>Already Left</v>
      </c>
      <c r="X4444" t="str">
        <f t="shared" si="349"/>
        <v>Overpaid</v>
      </c>
    </row>
    <row r="4445" spans="1:24" x14ac:dyDescent="0.3">
      <c r="A4445" t="s">
        <v>4513</v>
      </c>
      <c r="B4445" t="s">
        <v>20</v>
      </c>
      <c r="C4445">
        <v>53</v>
      </c>
      <c r="D4445" t="s">
        <v>31</v>
      </c>
      <c r="E4445" t="s">
        <v>40</v>
      </c>
      <c r="F4445" t="s">
        <v>23</v>
      </c>
      <c r="G4445" t="s">
        <v>33</v>
      </c>
      <c r="H4445" t="s">
        <v>34</v>
      </c>
      <c r="I4445" t="s">
        <v>26</v>
      </c>
      <c r="J4445" t="s">
        <v>27</v>
      </c>
      <c r="K4445">
        <v>13</v>
      </c>
      <c r="L4445">
        <v>81649</v>
      </c>
      <c r="M4445" t="s">
        <v>36</v>
      </c>
      <c r="N4445">
        <v>1</v>
      </c>
      <c r="O4445">
        <v>4</v>
      </c>
      <c r="P4445">
        <v>74</v>
      </c>
      <c r="Q4445">
        <v>1</v>
      </c>
      <c r="R4445" s="1">
        <v>40524</v>
      </c>
      <c r="S4445" t="s">
        <v>37</v>
      </c>
      <c r="T4445" t="str">
        <f t="shared" si="345"/>
        <v>Grade A</v>
      </c>
      <c r="U4445">
        <f t="shared" si="346"/>
        <v>1</v>
      </c>
      <c r="V4445" t="str">
        <f t="shared" si="347"/>
        <v>Senior</v>
      </c>
      <c r="W4445" t="str">
        <f t="shared" si="348"/>
        <v>Already Left</v>
      </c>
      <c r="X4445" t="str">
        <f t="shared" si="349"/>
        <v>Overpaid</v>
      </c>
    </row>
    <row r="4446" spans="1:24" x14ac:dyDescent="0.3">
      <c r="A4446" t="s">
        <v>4514</v>
      </c>
      <c r="B4446" t="s">
        <v>39</v>
      </c>
      <c r="C4446">
        <v>29</v>
      </c>
      <c r="D4446" t="s">
        <v>57</v>
      </c>
      <c r="E4446" t="s">
        <v>48</v>
      </c>
      <c r="F4446" t="s">
        <v>62</v>
      </c>
      <c r="G4446" t="s">
        <v>79</v>
      </c>
      <c r="H4446" t="s">
        <v>67</v>
      </c>
      <c r="I4446" t="s">
        <v>50</v>
      </c>
      <c r="J4446" t="s">
        <v>44</v>
      </c>
      <c r="K4446">
        <v>14</v>
      </c>
      <c r="L4446">
        <v>62423</v>
      </c>
      <c r="M4446" t="s">
        <v>28</v>
      </c>
      <c r="N4446">
        <v>3</v>
      </c>
      <c r="O4446">
        <v>2</v>
      </c>
      <c r="P4446">
        <v>71</v>
      </c>
      <c r="Q4446">
        <v>2</v>
      </c>
      <c r="R4446" s="1">
        <v>39934</v>
      </c>
      <c r="S4446" t="s">
        <v>29</v>
      </c>
      <c r="T4446" t="str">
        <f t="shared" si="345"/>
        <v>Grade B</v>
      </c>
      <c r="U4446">
        <f t="shared" si="346"/>
        <v>3</v>
      </c>
      <c r="V4446" t="str">
        <f t="shared" si="347"/>
        <v>Senior</v>
      </c>
      <c r="W4446" t="str">
        <f t="shared" si="348"/>
        <v>Medium Risk</v>
      </c>
      <c r="X4446" t="str">
        <f t="shared" si="349"/>
        <v>Competitive</v>
      </c>
    </row>
    <row r="4447" spans="1:24" x14ac:dyDescent="0.3">
      <c r="A4447" t="s">
        <v>4515</v>
      </c>
      <c r="B4447" t="s">
        <v>39</v>
      </c>
      <c r="C4447">
        <v>39</v>
      </c>
      <c r="D4447" t="s">
        <v>21</v>
      </c>
      <c r="E4447" t="s">
        <v>40</v>
      </c>
      <c r="F4447" t="s">
        <v>78</v>
      </c>
      <c r="G4447" t="s">
        <v>42</v>
      </c>
      <c r="H4447" t="s">
        <v>34</v>
      </c>
      <c r="I4447" t="s">
        <v>59</v>
      </c>
      <c r="J4447" t="s">
        <v>60</v>
      </c>
      <c r="K4447">
        <v>3</v>
      </c>
      <c r="L4447">
        <v>95540</v>
      </c>
      <c r="M4447" t="s">
        <v>36</v>
      </c>
      <c r="N4447">
        <v>4</v>
      </c>
      <c r="O4447">
        <v>3</v>
      </c>
      <c r="P4447">
        <v>17</v>
      </c>
      <c r="Q4447">
        <v>2</v>
      </c>
      <c r="R4447" s="1">
        <v>43941</v>
      </c>
      <c r="S4447" t="s">
        <v>37</v>
      </c>
      <c r="T4447" t="str">
        <f t="shared" si="345"/>
        <v>Grade A</v>
      </c>
      <c r="U4447">
        <f t="shared" si="346"/>
        <v>1</v>
      </c>
      <c r="V4447" t="str">
        <f t="shared" si="347"/>
        <v>Junior</v>
      </c>
      <c r="W4447" t="str">
        <f t="shared" si="348"/>
        <v>Already Left</v>
      </c>
      <c r="X4447" t="str">
        <f t="shared" si="349"/>
        <v>Overpaid</v>
      </c>
    </row>
    <row r="4448" spans="1:24" x14ac:dyDescent="0.3">
      <c r="A4448" t="s">
        <v>4516</v>
      </c>
      <c r="B4448" t="s">
        <v>39</v>
      </c>
      <c r="C4448">
        <v>45</v>
      </c>
      <c r="D4448" t="s">
        <v>88</v>
      </c>
      <c r="E4448" t="s">
        <v>40</v>
      </c>
      <c r="F4448" t="s">
        <v>23</v>
      </c>
      <c r="G4448" t="s">
        <v>79</v>
      </c>
      <c r="H4448" t="s">
        <v>34</v>
      </c>
      <c r="I4448" t="s">
        <v>35</v>
      </c>
      <c r="J4448" t="s">
        <v>27</v>
      </c>
      <c r="K4448">
        <v>4</v>
      </c>
      <c r="L4448">
        <v>52012</v>
      </c>
      <c r="M4448" t="s">
        <v>45</v>
      </c>
      <c r="N4448">
        <v>3</v>
      </c>
      <c r="O4448">
        <v>4</v>
      </c>
      <c r="P4448">
        <v>53</v>
      </c>
      <c r="Q4448">
        <v>1</v>
      </c>
      <c r="R4448" s="1">
        <v>43607</v>
      </c>
      <c r="S4448" t="s">
        <v>29</v>
      </c>
      <c r="T4448" t="str">
        <f t="shared" si="345"/>
        <v>Grade B</v>
      </c>
      <c r="U4448">
        <f t="shared" si="346"/>
        <v>2</v>
      </c>
      <c r="V4448" t="str">
        <f t="shared" si="347"/>
        <v>Junior</v>
      </c>
      <c r="W4448" t="str">
        <f t="shared" si="348"/>
        <v>Medium Risk</v>
      </c>
      <c r="X4448" t="str">
        <f t="shared" si="349"/>
        <v>Fair</v>
      </c>
    </row>
    <row r="4449" spans="1:24" x14ac:dyDescent="0.3">
      <c r="A4449" t="s">
        <v>4517</v>
      </c>
      <c r="B4449" t="s">
        <v>39</v>
      </c>
      <c r="C4449">
        <v>31</v>
      </c>
      <c r="D4449" t="s">
        <v>47</v>
      </c>
      <c r="E4449" t="s">
        <v>40</v>
      </c>
      <c r="F4449" t="s">
        <v>23</v>
      </c>
      <c r="G4449" t="s">
        <v>42</v>
      </c>
      <c r="H4449" t="s">
        <v>76</v>
      </c>
      <c r="I4449" t="s">
        <v>80</v>
      </c>
      <c r="J4449" t="s">
        <v>60</v>
      </c>
      <c r="K4449">
        <v>3</v>
      </c>
      <c r="L4449">
        <v>102301</v>
      </c>
      <c r="M4449" t="s">
        <v>28</v>
      </c>
      <c r="N4449">
        <v>1</v>
      </c>
      <c r="O4449">
        <v>4</v>
      </c>
      <c r="P4449">
        <v>21</v>
      </c>
      <c r="Q4449">
        <v>0</v>
      </c>
      <c r="R4449" s="1">
        <v>43919</v>
      </c>
      <c r="S4449" t="s">
        <v>29</v>
      </c>
      <c r="T4449" t="str">
        <f t="shared" si="345"/>
        <v>Grade A</v>
      </c>
      <c r="U4449">
        <f t="shared" si="346"/>
        <v>3</v>
      </c>
      <c r="V4449" t="str">
        <f t="shared" si="347"/>
        <v>Junior</v>
      </c>
      <c r="W4449" t="str">
        <f t="shared" si="348"/>
        <v>Medium Risk</v>
      </c>
      <c r="X4449" t="str">
        <f t="shared" si="349"/>
        <v>Competitive</v>
      </c>
    </row>
    <row r="4450" spans="1:24" x14ac:dyDescent="0.3">
      <c r="A4450" t="s">
        <v>4518</v>
      </c>
      <c r="B4450" t="s">
        <v>20</v>
      </c>
      <c r="C4450">
        <v>52</v>
      </c>
      <c r="D4450" t="s">
        <v>57</v>
      </c>
      <c r="E4450" t="s">
        <v>48</v>
      </c>
      <c r="F4450" t="s">
        <v>53</v>
      </c>
      <c r="G4450" t="s">
        <v>42</v>
      </c>
      <c r="H4450" t="s">
        <v>67</v>
      </c>
      <c r="I4450" t="s">
        <v>35</v>
      </c>
      <c r="J4450" t="s">
        <v>27</v>
      </c>
      <c r="K4450">
        <v>10</v>
      </c>
      <c r="L4450">
        <v>106838</v>
      </c>
      <c r="M4450" t="s">
        <v>51</v>
      </c>
      <c r="N4450">
        <v>2</v>
      </c>
      <c r="O4450">
        <v>2</v>
      </c>
      <c r="P4450">
        <v>59</v>
      </c>
      <c r="Q4450">
        <v>3</v>
      </c>
      <c r="R4450" s="1">
        <v>41539</v>
      </c>
      <c r="S4450" t="s">
        <v>29</v>
      </c>
      <c r="T4450" t="str">
        <f t="shared" si="345"/>
        <v>Grade A</v>
      </c>
      <c r="U4450">
        <f t="shared" si="346"/>
        <v>4</v>
      </c>
      <c r="V4450" t="str">
        <f t="shared" si="347"/>
        <v>Mid Level</v>
      </c>
      <c r="W4450" t="str">
        <f t="shared" si="348"/>
        <v>Low Risk</v>
      </c>
      <c r="X4450" t="str">
        <f t="shared" si="349"/>
        <v>Competitive</v>
      </c>
    </row>
    <row r="4451" spans="1:24" x14ac:dyDescent="0.3">
      <c r="A4451" t="s">
        <v>4519</v>
      </c>
      <c r="B4451" t="s">
        <v>20</v>
      </c>
      <c r="C4451">
        <v>53</v>
      </c>
      <c r="D4451" t="s">
        <v>88</v>
      </c>
      <c r="E4451" t="s">
        <v>22</v>
      </c>
      <c r="F4451" t="s">
        <v>32</v>
      </c>
      <c r="G4451" t="s">
        <v>42</v>
      </c>
      <c r="H4451" t="s">
        <v>25</v>
      </c>
      <c r="I4451" t="s">
        <v>35</v>
      </c>
      <c r="J4451" t="s">
        <v>27</v>
      </c>
      <c r="K4451">
        <v>6</v>
      </c>
      <c r="L4451">
        <v>116043</v>
      </c>
      <c r="M4451" t="s">
        <v>45</v>
      </c>
      <c r="N4451">
        <v>2</v>
      </c>
      <c r="O4451">
        <v>2</v>
      </c>
      <c r="P4451">
        <v>39</v>
      </c>
      <c r="Q4451">
        <v>0</v>
      </c>
      <c r="R4451" s="1">
        <v>42758</v>
      </c>
      <c r="S4451" t="s">
        <v>37</v>
      </c>
      <c r="T4451" t="str">
        <f t="shared" si="345"/>
        <v>Grade A</v>
      </c>
      <c r="U4451">
        <f t="shared" si="346"/>
        <v>2</v>
      </c>
      <c r="V4451" t="str">
        <f t="shared" si="347"/>
        <v>Mid Level</v>
      </c>
      <c r="W4451" t="str">
        <f t="shared" si="348"/>
        <v>Already Left</v>
      </c>
      <c r="X4451" t="str">
        <f t="shared" si="349"/>
        <v>Fair</v>
      </c>
    </row>
    <row r="4452" spans="1:24" x14ac:dyDescent="0.3">
      <c r="A4452" t="s">
        <v>4520</v>
      </c>
      <c r="B4452" t="s">
        <v>39</v>
      </c>
      <c r="C4452">
        <v>37</v>
      </c>
      <c r="D4452" t="s">
        <v>31</v>
      </c>
      <c r="E4452" t="s">
        <v>48</v>
      </c>
      <c r="F4452" t="s">
        <v>75</v>
      </c>
      <c r="G4452" t="s">
        <v>42</v>
      </c>
      <c r="H4452" t="s">
        <v>76</v>
      </c>
      <c r="I4452" t="s">
        <v>26</v>
      </c>
      <c r="J4452" t="s">
        <v>27</v>
      </c>
      <c r="K4452">
        <v>11</v>
      </c>
      <c r="L4452">
        <v>121811</v>
      </c>
      <c r="M4452" t="s">
        <v>36</v>
      </c>
      <c r="N4452">
        <v>4</v>
      </c>
      <c r="O4452">
        <v>2</v>
      </c>
      <c r="P4452">
        <v>76</v>
      </c>
      <c r="Q4452">
        <v>1</v>
      </c>
      <c r="R4452" s="1">
        <v>41011</v>
      </c>
      <c r="S4452" t="s">
        <v>29</v>
      </c>
      <c r="T4452" t="str">
        <f t="shared" si="345"/>
        <v>Grade A</v>
      </c>
      <c r="U4452">
        <f t="shared" si="346"/>
        <v>1</v>
      </c>
      <c r="V4452" t="str">
        <f t="shared" si="347"/>
        <v>Senior</v>
      </c>
      <c r="W4452" t="str">
        <f t="shared" si="348"/>
        <v>Medium Risk</v>
      </c>
      <c r="X4452" t="str">
        <f t="shared" si="349"/>
        <v>Overpaid</v>
      </c>
    </row>
    <row r="4453" spans="1:24" x14ac:dyDescent="0.3">
      <c r="A4453" t="s">
        <v>4521</v>
      </c>
      <c r="B4453" t="s">
        <v>20</v>
      </c>
      <c r="C4453">
        <v>37</v>
      </c>
      <c r="D4453" t="s">
        <v>21</v>
      </c>
      <c r="E4453" t="s">
        <v>40</v>
      </c>
      <c r="F4453" t="s">
        <v>53</v>
      </c>
      <c r="G4453" t="s">
        <v>63</v>
      </c>
      <c r="H4453" t="s">
        <v>67</v>
      </c>
      <c r="I4453" t="s">
        <v>35</v>
      </c>
      <c r="J4453" t="s">
        <v>27</v>
      </c>
      <c r="K4453">
        <v>1</v>
      </c>
      <c r="L4453">
        <v>56020</v>
      </c>
      <c r="M4453" t="s">
        <v>36</v>
      </c>
      <c r="N4453">
        <v>3</v>
      </c>
      <c r="O4453">
        <v>2</v>
      </c>
      <c r="P4453">
        <v>74</v>
      </c>
      <c r="Q4453">
        <v>2</v>
      </c>
      <c r="R4453" s="1">
        <v>44694</v>
      </c>
      <c r="S4453" t="s">
        <v>37</v>
      </c>
      <c r="T4453" t="str">
        <f t="shared" si="345"/>
        <v>Grade B</v>
      </c>
      <c r="U4453">
        <f t="shared" si="346"/>
        <v>1</v>
      </c>
      <c r="V4453" t="str">
        <f t="shared" si="347"/>
        <v>New Joiner</v>
      </c>
      <c r="W4453" t="str">
        <f t="shared" si="348"/>
        <v>Already Left</v>
      </c>
      <c r="X4453" t="str">
        <f t="shared" si="349"/>
        <v>Fair</v>
      </c>
    </row>
    <row r="4454" spans="1:24" x14ac:dyDescent="0.3">
      <c r="A4454" t="s">
        <v>4522</v>
      </c>
      <c r="B4454" t="s">
        <v>39</v>
      </c>
      <c r="C4454">
        <v>25</v>
      </c>
      <c r="D4454" t="s">
        <v>31</v>
      </c>
      <c r="E4454" t="s">
        <v>48</v>
      </c>
      <c r="F4454" t="s">
        <v>78</v>
      </c>
      <c r="G4454" t="s">
        <v>24</v>
      </c>
      <c r="H4454" t="s">
        <v>76</v>
      </c>
      <c r="I4454" t="s">
        <v>50</v>
      </c>
      <c r="J4454" t="s">
        <v>44</v>
      </c>
      <c r="K4454">
        <v>11</v>
      </c>
      <c r="L4454">
        <v>93955</v>
      </c>
      <c r="M4454" t="s">
        <v>51</v>
      </c>
      <c r="N4454">
        <v>2</v>
      </c>
      <c r="O4454">
        <v>4</v>
      </c>
      <c r="P4454">
        <v>41</v>
      </c>
      <c r="Q4454">
        <v>1</v>
      </c>
      <c r="R4454" s="1">
        <v>41001</v>
      </c>
      <c r="S4454" t="s">
        <v>29</v>
      </c>
      <c r="T4454" t="str">
        <f t="shared" si="345"/>
        <v>Grade A</v>
      </c>
      <c r="U4454">
        <f t="shared" si="346"/>
        <v>4</v>
      </c>
      <c r="V4454" t="str">
        <f t="shared" si="347"/>
        <v>Senior</v>
      </c>
      <c r="W4454" t="str">
        <f t="shared" si="348"/>
        <v>Low Risk</v>
      </c>
      <c r="X4454" t="str">
        <f t="shared" si="349"/>
        <v>Competitive</v>
      </c>
    </row>
    <row r="4455" spans="1:24" x14ac:dyDescent="0.3">
      <c r="A4455" t="s">
        <v>4523</v>
      </c>
      <c r="B4455" t="s">
        <v>39</v>
      </c>
      <c r="C4455">
        <v>33</v>
      </c>
      <c r="D4455" t="s">
        <v>47</v>
      </c>
      <c r="E4455" t="s">
        <v>40</v>
      </c>
      <c r="F4455" t="s">
        <v>41</v>
      </c>
      <c r="G4455" t="s">
        <v>79</v>
      </c>
      <c r="H4455" t="s">
        <v>25</v>
      </c>
      <c r="I4455" t="s">
        <v>50</v>
      </c>
      <c r="J4455" t="s">
        <v>44</v>
      </c>
      <c r="K4455">
        <v>7</v>
      </c>
      <c r="L4455">
        <v>48280</v>
      </c>
      <c r="M4455" t="s">
        <v>45</v>
      </c>
      <c r="N4455">
        <v>4</v>
      </c>
      <c r="O4455">
        <v>4</v>
      </c>
      <c r="P4455">
        <v>34</v>
      </c>
      <c r="Q4455">
        <v>0</v>
      </c>
      <c r="R4455" s="1">
        <v>42606</v>
      </c>
      <c r="S4455" t="s">
        <v>37</v>
      </c>
      <c r="T4455" t="str">
        <f t="shared" si="345"/>
        <v>Grade C</v>
      </c>
      <c r="U4455">
        <f t="shared" si="346"/>
        <v>2</v>
      </c>
      <c r="V4455" t="str">
        <f t="shared" si="347"/>
        <v>Mid Level</v>
      </c>
      <c r="W4455" t="str">
        <f t="shared" si="348"/>
        <v>Already Left</v>
      </c>
      <c r="X4455" t="str">
        <f t="shared" si="349"/>
        <v>Fair</v>
      </c>
    </row>
    <row r="4456" spans="1:24" x14ac:dyDescent="0.3">
      <c r="A4456" t="s">
        <v>4524</v>
      </c>
      <c r="B4456" t="s">
        <v>39</v>
      </c>
      <c r="C4456">
        <v>29</v>
      </c>
      <c r="D4456" t="s">
        <v>88</v>
      </c>
      <c r="E4456" t="s">
        <v>48</v>
      </c>
      <c r="F4456" t="s">
        <v>62</v>
      </c>
      <c r="G4456" t="s">
        <v>24</v>
      </c>
      <c r="H4456" t="s">
        <v>83</v>
      </c>
      <c r="I4456" t="s">
        <v>54</v>
      </c>
      <c r="J4456" t="s">
        <v>27</v>
      </c>
      <c r="K4456">
        <v>14</v>
      </c>
      <c r="L4456">
        <v>106608</v>
      </c>
      <c r="M4456" t="s">
        <v>45</v>
      </c>
      <c r="N4456">
        <v>1</v>
      </c>
      <c r="O4456">
        <v>2</v>
      </c>
      <c r="P4456">
        <v>10</v>
      </c>
      <c r="Q4456">
        <v>1</v>
      </c>
      <c r="R4456" s="1">
        <v>39835</v>
      </c>
      <c r="S4456" t="s">
        <v>29</v>
      </c>
      <c r="T4456" t="str">
        <f t="shared" si="345"/>
        <v>Grade A</v>
      </c>
      <c r="U4456">
        <f t="shared" si="346"/>
        <v>2</v>
      </c>
      <c r="V4456" t="str">
        <f t="shared" si="347"/>
        <v>Senior</v>
      </c>
      <c r="W4456" t="str">
        <f t="shared" si="348"/>
        <v>Medium Risk</v>
      </c>
      <c r="X4456" t="str">
        <f t="shared" si="349"/>
        <v>Fair</v>
      </c>
    </row>
    <row r="4457" spans="1:24" x14ac:dyDescent="0.3">
      <c r="A4457" t="s">
        <v>4525</v>
      </c>
      <c r="B4457" t="s">
        <v>39</v>
      </c>
      <c r="C4457">
        <v>41</v>
      </c>
      <c r="D4457" t="s">
        <v>88</v>
      </c>
      <c r="E4457" t="s">
        <v>22</v>
      </c>
      <c r="F4457" t="s">
        <v>41</v>
      </c>
      <c r="G4457" t="s">
        <v>58</v>
      </c>
      <c r="H4457" t="s">
        <v>25</v>
      </c>
      <c r="I4457" t="s">
        <v>59</v>
      </c>
      <c r="J4457" t="s">
        <v>60</v>
      </c>
      <c r="K4457">
        <v>2</v>
      </c>
      <c r="L4457">
        <v>97657</v>
      </c>
      <c r="M4457" t="s">
        <v>28</v>
      </c>
      <c r="N4457">
        <v>1</v>
      </c>
      <c r="O4457">
        <v>1</v>
      </c>
      <c r="P4457">
        <v>80</v>
      </c>
      <c r="Q4457">
        <v>2</v>
      </c>
      <c r="R4457" s="1">
        <v>44527</v>
      </c>
      <c r="S4457" t="s">
        <v>29</v>
      </c>
      <c r="T4457" t="str">
        <f t="shared" si="345"/>
        <v>Grade A</v>
      </c>
      <c r="U4457">
        <f t="shared" si="346"/>
        <v>3</v>
      </c>
      <c r="V4457" t="str">
        <f t="shared" si="347"/>
        <v>New Joiner</v>
      </c>
      <c r="W4457" t="str">
        <f t="shared" si="348"/>
        <v>Medium Risk</v>
      </c>
      <c r="X4457" t="str">
        <f t="shared" si="349"/>
        <v>Competitive</v>
      </c>
    </row>
    <row r="4458" spans="1:24" x14ac:dyDescent="0.3">
      <c r="A4458" t="s">
        <v>4526</v>
      </c>
      <c r="B4458" t="s">
        <v>20</v>
      </c>
      <c r="C4458">
        <v>42</v>
      </c>
      <c r="D4458" t="s">
        <v>57</v>
      </c>
      <c r="E4458" t="s">
        <v>22</v>
      </c>
      <c r="F4458" t="s">
        <v>65</v>
      </c>
      <c r="G4458" t="s">
        <v>49</v>
      </c>
      <c r="H4458" t="s">
        <v>34</v>
      </c>
      <c r="I4458" t="s">
        <v>59</v>
      </c>
      <c r="J4458" t="s">
        <v>60</v>
      </c>
      <c r="K4458">
        <v>13</v>
      </c>
      <c r="L4458">
        <v>66393</v>
      </c>
      <c r="M4458" t="s">
        <v>36</v>
      </c>
      <c r="N4458">
        <v>4</v>
      </c>
      <c r="O4458">
        <v>2</v>
      </c>
      <c r="P4458">
        <v>76</v>
      </c>
      <c r="Q4458">
        <v>0</v>
      </c>
      <c r="R4458" s="1">
        <v>40520</v>
      </c>
      <c r="S4458" t="s">
        <v>29</v>
      </c>
      <c r="T4458" t="str">
        <f t="shared" si="345"/>
        <v>Grade B</v>
      </c>
      <c r="U4458">
        <f t="shared" si="346"/>
        <v>1</v>
      </c>
      <c r="V4458" t="str">
        <f t="shared" si="347"/>
        <v>Senior</v>
      </c>
      <c r="W4458" t="str">
        <f t="shared" si="348"/>
        <v>Medium Risk</v>
      </c>
      <c r="X4458" t="str">
        <f t="shared" si="349"/>
        <v>Fair</v>
      </c>
    </row>
    <row r="4459" spans="1:24" x14ac:dyDescent="0.3">
      <c r="A4459" t="s">
        <v>4527</v>
      </c>
      <c r="B4459" t="s">
        <v>20</v>
      </c>
      <c r="C4459">
        <v>44</v>
      </c>
      <c r="D4459" t="s">
        <v>31</v>
      </c>
      <c r="E4459" t="s">
        <v>40</v>
      </c>
      <c r="F4459" t="s">
        <v>75</v>
      </c>
      <c r="G4459" t="s">
        <v>66</v>
      </c>
      <c r="H4459" t="s">
        <v>25</v>
      </c>
      <c r="I4459" t="s">
        <v>26</v>
      </c>
      <c r="J4459" t="s">
        <v>27</v>
      </c>
      <c r="K4459">
        <v>14</v>
      </c>
      <c r="L4459">
        <v>66712</v>
      </c>
      <c r="M4459" t="s">
        <v>45</v>
      </c>
      <c r="N4459">
        <v>1</v>
      </c>
      <c r="O4459">
        <v>3</v>
      </c>
      <c r="P4459">
        <v>38</v>
      </c>
      <c r="Q4459">
        <v>3</v>
      </c>
      <c r="R4459" s="1">
        <v>40089</v>
      </c>
      <c r="S4459" t="s">
        <v>29</v>
      </c>
      <c r="T4459" t="str">
        <f t="shared" si="345"/>
        <v>Grade B</v>
      </c>
      <c r="U4459">
        <f t="shared" si="346"/>
        <v>2</v>
      </c>
      <c r="V4459" t="str">
        <f t="shared" si="347"/>
        <v>Senior</v>
      </c>
      <c r="W4459" t="str">
        <f t="shared" si="348"/>
        <v>Medium Risk</v>
      </c>
      <c r="X4459" t="str">
        <f t="shared" si="349"/>
        <v>Fair</v>
      </c>
    </row>
    <row r="4460" spans="1:24" x14ac:dyDescent="0.3">
      <c r="A4460" t="s">
        <v>4528</v>
      </c>
      <c r="B4460" t="s">
        <v>20</v>
      </c>
      <c r="C4460">
        <v>32</v>
      </c>
      <c r="D4460" t="s">
        <v>21</v>
      </c>
      <c r="E4460" t="s">
        <v>48</v>
      </c>
      <c r="F4460" t="s">
        <v>75</v>
      </c>
      <c r="G4460" t="s">
        <v>79</v>
      </c>
      <c r="H4460" t="s">
        <v>25</v>
      </c>
      <c r="I4460" t="s">
        <v>50</v>
      </c>
      <c r="J4460" t="s">
        <v>44</v>
      </c>
      <c r="K4460">
        <v>9</v>
      </c>
      <c r="L4460">
        <v>58514</v>
      </c>
      <c r="M4460" t="s">
        <v>36</v>
      </c>
      <c r="N4460">
        <v>4</v>
      </c>
      <c r="O4460">
        <v>2</v>
      </c>
      <c r="P4460">
        <v>65</v>
      </c>
      <c r="Q4460">
        <v>1</v>
      </c>
      <c r="R4460" s="1">
        <v>42003</v>
      </c>
      <c r="S4460" t="s">
        <v>29</v>
      </c>
      <c r="T4460" t="str">
        <f t="shared" si="345"/>
        <v>Grade B</v>
      </c>
      <c r="U4460">
        <f t="shared" si="346"/>
        <v>1</v>
      </c>
      <c r="V4460" t="str">
        <f t="shared" si="347"/>
        <v>Mid Level</v>
      </c>
      <c r="W4460" t="str">
        <f t="shared" si="348"/>
        <v>Medium Risk</v>
      </c>
      <c r="X4460" t="str">
        <f t="shared" si="349"/>
        <v>Fair</v>
      </c>
    </row>
    <row r="4461" spans="1:24" x14ac:dyDescent="0.3">
      <c r="A4461" t="s">
        <v>4529</v>
      </c>
      <c r="B4461" t="s">
        <v>20</v>
      </c>
      <c r="C4461">
        <v>39</v>
      </c>
      <c r="D4461" t="s">
        <v>57</v>
      </c>
      <c r="E4461" t="s">
        <v>22</v>
      </c>
      <c r="F4461" t="s">
        <v>53</v>
      </c>
      <c r="G4461" t="s">
        <v>63</v>
      </c>
      <c r="H4461" t="s">
        <v>67</v>
      </c>
      <c r="I4461" t="s">
        <v>68</v>
      </c>
      <c r="J4461" t="s">
        <v>60</v>
      </c>
      <c r="K4461">
        <v>12</v>
      </c>
      <c r="L4461">
        <v>74749</v>
      </c>
      <c r="M4461" t="s">
        <v>45</v>
      </c>
      <c r="N4461">
        <v>4</v>
      </c>
      <c r="O4461">
        <v>2</v>
      </c>
      <c r="P4461">
        <v>27</v>
      </c>
      <c r="Q4461">
        <v>3</v>
      </c>
      <c r="R4461" s="1">
        <v>40636</v>
      </c>
      <c r="S4461" t="s">
        <v>37</v>
      </c>
      <c r="T4461" t="str">
        <f t="shared" si="345"/>
        <v>Grade B</v>
      </c>
      <c r="U4461">
        <f t="shared" si="346"/>
        <v>2</v>
      </c>
      <c r="V4461" t="str">
        <f t="shared" si="347"/>
        <v>Senior</v>
      </c>
      <c r="W4461" t="str">
        <f t="shared" si="348"/>
        <v>Already Left</v>
      </c>
      <c r="X4461" t="str">
        <f t="shared" si="349"/>
        <v>Fair</v>
      </c>
    </row>
    <row r="4462" spans="1:24" x14ac:dyDescent="0.3">
      <c r="A4462" t="s">
        <v>4530</v>
      </c>
      <c r="B4462" t="s">
        <v>39</v>
      </c>
      <c r="C4462">
        <v>28</v>
      </c>
      <c r="D4462" t="s">
        <v>88</v>
      </c>
      <c r="E4462" t="s">
        <v>40</v>
      </c>
      <c r="F4462" t="s">
        <v>32</v>
      </c>
      <c r="G4462" t="s">
        <v>63</v>
      </c>
      <c r="H4462" t="s">
        <v>83</v>
      </c>
      <c r="I4462" t="s">
        <v>80</v>
      </c>
      <c r="J4462" t="s">
        <v>60</v>
      </c>
      <c r="K4462">
        <v>7</v>
      </c>
      <c r="L4462">
        <v>63618</v>
      </c>
      <c r="M4462" t="s">
        <v>36</v>
      </c>
      <c r="N4462">
        <v>3</v>
      </c>
      <c r="O4462">
        <v>4</v>
      </c>
      <c r="P4462">
        <v>64</v>
      </c>
      <c r="Q4462">
        <v>3</v>
      </c>
      <c r="R4462" s="1">
        <v>42735</v>
      </c>
      <c r="S4462" t="s">
        <v>29</v>
      </c>
      <c r="T4462" t="str">
        <f t="shared" si="345"/>
        <v>Grade B</v>
      </c>
      <c r="U4462">
        <f t="shared" si="346"/>
        <v>1</v>
      </c>
      <c r="V4462" t="str">
        <f t="shared" si="347"/>
        <v>Mid Level</v>
      </c>
      <c r="W4462" t="str">
        <f t="shared" si="348"/>
        <v>Medium Risk</v>
      </c>
      <c r="X4462" t="str">
        <f t="shared" si="349"/>
        <v>Fair</v>
      </c>
    </row>
    <row r="4463" spans="1:24" x14ac:dyDescent="0.3">
      <c r="A4463" t="s">
        <v>4531</v>
      </c>
      <c r="B4463" t="s">
        <v>39</v>
      </c>
      <c r="C4463">
        <v>39</v>
      </c>
      <c r="D4463" t="s">
        <v>21</v>
      </c>
      <c r="E4463" t="s">
        <v>40</v>
      </c>
      <c r="F4463" t="s">
        <v>65</v>
      </c>
      <c r="G4463" t="s">
        <v>63</v>
      </c>
      <c r="H4463" t="s">
        <v>67</v>
      </c>
      <c r="I4463" t="s">
        <v>54</v>
      </c>
      <c r="J4463" t="s">
        <v>27</v>
      </c>
      <c r="K4463">
        <v>10</v>
      </c>
      <c r="L4463">
        <v>55769</v>
      </c>
      <c r="M4463" t="s">
        <v>45</v>
      </c>
      <c r="N4463">
        <v>3</v>
      </c>
      <c r="O4463">
        <v>4</v>
      </c>
      <c r="P4463">
        <v>58</v>
      </c>
      <c r="Q4463">
        <v>2</v>
      </c>
      <c r="R4463" s="1">
        <v>41598</v>
      </c>
      <c r="S4463" t="s">
        <v>29</v>
      </c>
      <c r="T4463" t="str">
        <f t="shared" si="345"/>
        <v>Grade B</v>
      </c>
      <c r="U4463">
        <f t="shared" si="346"/>
        <v>2</v>
      </c>
      <c r="V4463" t="str">
        <f t="shared" si="347"/>
        <v>Mid Level</v>
      </c>
      <c r="W4463" t="str">
        <f t="shared" si="348"/>
        <v>Medium Risk</v>
      </c>
      <c r="X4463" t="str">
        <f t="shared" si="349"/>
        <v>Fair</v>
      </c>
    </row>
    <row r="4464" spans="1:24" x14ac:dyDescent="0.3">
      <c r="A4464" t="s">
        <v>4532</v>
      </c>
      <c r="B4464" t="s">
        <v>39</v>
      </c>
      <c r="C4464">
        <v>34</v>
      </c>
      <c r="D4464" t="s">
        <v>88</v>
      </c>
      <c r="E4464" t="s">
        <v>40</v>
      </c>
      <c r="F4464" t="s">
        <v>23</v>
      </c>
      <c r="G4464" t="s">
        <v>24</v>
      </c>
      <c r="H4464" t="s">
        <v>25</v>
      </c>
      <c r="I4464" t="s">
        <v>68</v>
      </c>
      <c r="J4464" t="s">
        <v>60</v>
      </c>
      <c r="K4464">
        <v>3</v>
      </c>
      <c r="L4464">
        <v>80759</v>
      </c>
      <c r="M4464" t="s">
        <v>36</v>
      </c>
      <c r="N4464">
        <v>1</v>
      </c>
      <c r="O4464">
        <v>3</v>
      </c>
      <c r="P4464">
        <v>40</v>
      </c>
      <c r="Q4464">
        <v>3</v>
      </c>
      <c r="R4464" s="1">
        <v>43925</v>
      </c>
      <c r="S4464" t="s">
        <v>37</v>
      </c>
      <c r="T4464" t="str">
        <f t="shared" si="345"/>
        <v>Grade A</v>
      </c>
      <c r="U4464">
        <f t="shared" si="346"/>
        <v>1</v>
      </c>
      <c r="V4464" t="str">
        <f t="shared" si="347"/>
        <v>Junior</v>
      </c>
      <c r="W4464" t="str">
        <f t="shared" si="348"/>
        <v>Already Left</v>
      </c>
      <c r="X4464" t="str">
        <f t="shared" si="349"/>
        <v>Overpaid</v>
      </c>
    </row>
    <row r="4465" spans="1:24" x14ac:dyDescent="0.3">
      <c r="A4465" t="s">
        <v>4533</v>
      </c>
      <c r="B4465" t="s">
        <v>20</v>
      </c>
      <c r="C4465">
        <v>24</v>
      </c>
      <c r="D4465" t="s">
        <v>21</v>
      </c>
      <c r="E4465" t="s">
        <v>40</v>
      </c>
      <c r="F4465" t="s">
        <v>23</v>
      </c>
      <c r="G4465" t="s">
        <v>24</v>
      </c>
      <c r="H4465" t="s">
        <v>25</v>
      </c>
      <c r="I4465" t="s">
        <v>26</v>
      </c>
      <c r="J4465" t="s">
        <v>27</v>
      </c>
      <c r="K4465">
        <v>11</v>
      </c>
      <c r="L4465">
        <v>99446</v>
      </c>
      <c r="M4465" t="s">
        <v>45</v>
      </c>
      <c r="N4465">
        <v>4</v>
      </c>
      <c r="O4465">
        <v>3</v>
      </c>
      <c r="P4465">
        <v>17</v>
      </c>
      <c r="Q4465">
        <v>3</v>
      </c>
      <c r="R4465" s="1">
        <v>40975</v>
      </c>
      <c r="S4465" t="s">
        <v>37</v>
      </c>
      <c r="T4465" t="str">
        <f t="shared" si="345"/>
        <v>Grade A</v>
      </c>
      <c r="U4465">
        <f t="shared" si="346"/>
        <v>2</v>
      </c>
      <c r="V4465" t="str">
        <f t="shared" si="347"/>
        <v>Senior</v>
      </c>
      <c r="W4465" t="str">
        <f t="shared" si="348"/>
        <v>Already Left</v>
      </c>
      <c r="X4465" t="str">
        <f t="shared" si="349"/>
        <v>Fair</v>
      </c>
    </row>
    <row r="4466" spans="1:24" x14ac:dyDescent="0.3">
      <c r="A4466" t="s">
        <v>4534</v>
      </c>
      <c r="B4466" t="s">
        <v>20</v>
      </c>
      <c r="C4466">
        <v>48</v>
      </c>
      <c r="D4466" t="s">
        <v>57</v>
      </c>
      <c r="E4466" t="s">
        <v>48</v>
      </c>
      <c r="F4466" t="s">
        <v>78</v>
      </c>
      <c r="G4466" t="s">
        <v>79</v>
      </c>
      <c r="H4466" t="s">
        <v>25</v>
      </c>
      <c r="I4466" t="s">
        <v>54</v>
      </c>
      <c r="J4466" t="s">
        <v>27</v>
      </c>
      <c r="K4466">
        <v>3</v>
      </c>
      <c r="L4466">
        <v>50932</v>
      </c>
      <c r="M4466" t="s">
        <v>28</v>
      </c>
      <c r="N4466">
        <v>3</v>
      </c>
      <c r="O4466">
        <v>1</v>
      </c>
      <c r="P4466">
        <v>75</v>
      </c>
      <c r="Q4466">
        <v>1</v>
      </c>
      <c r="R4466" s="1">
        <v>44193</v>
      </c>
      <c r="S4466" t="s">
        <v>29</v>
      </c>
      <c r="T4466" t="str">
        <f t="shared" si="345"/>
        <v>Grade B</v>
      </c>
      <c r="U4466">
        <f t="shared" si="346"/>
        <v>3</v>
      </c>
      <c r="V4466" t="str">
        <f t="shared" si="347"/>
        <v>Junior</v>
      </c>
      <c r="W4466" t="str">
        <f t="shared" si="348"/>
        <v>Medium Risk</v>
      </c>
      <c r="X4466" t="str">
        <f t="shared" si="349"/>
        <v>Competitive</v>
      </c>
    </row>
    <row r="4467" spans="1:24" x14ac:dyDescent="0.3">
      <c r="A4467" t="s">
        <v>4535</v>
      </c>
      <c r="B4467" t="s">
        <v>20</v>
      </c>
      <c r="C4467">
        <v>37</v>
      </c>
      <c r="D4467" t="s">
        <v>47</v>
      </c>
      <c r="E4467" t="s">
        <v>48</v>
      </c>
      <c r="F4467" t="s">
        <v>41</v>
      </c>
      <c r="G4467" t="s">
        <v>63</v>
      </c>
      <c r="H4467" t="s">
        <v>76</v>
      </c>
      <c r="I4467" t="s">
        <v>50</v>
      </c>
      <c r="J4467" t="s">
        <v>44</v>
      </c>
      <c r="K4467">
        <v>12</v>
      </c>
      <c r="L4467">
        <v>75459</v>
      </c>
      <c r="M4467" t="s">
        <v>28</v>
      </c>
      <c r="N4467">
        <v>1</v>
      </c>
      <c r="O4467">
        <v>1</v>
      </c>
      <c r="P4467">
        <v>40</v>
      </c>
      <c r="Q4467">
        <v>2</v>
      </c>
      <c r="R4467" s="1">
        <v>40848</v>
      </c>
      <c r="S4467" t="s">
        <v>29</v>
      </c>
      <c r="T4467" t="str">
        <f t="shared" si="345"/>
        <v>Grade B</v>
      </c>
      <c r="U4467">
        <f t="shared" si="346"/>
        <v>3</v>
      </c>
      <c r="V4467" t="str">
        <f t="shared" si="347"/>
        <v>Senior</v>
      </c>
      <c r="W4467" t="str">
        <f t="shared" si="348"/>
        <v>Medium Risk</v>
      </c>
      <c r="X4467" t="str">
        <f t="shared" si="349"/>
        <v>Competitive</v>
      </c>
    </row>
    <row r="4468" spans="1:24" x14ac:dyDescent="0.3">
      <c r="A4468" t="s">
        <v>4536</v>
      </c>
      <c r="B4468" t="s">
        <v>39</v>
      </c>
      <c r="C4468">
        <v>54</v>
      </c>
      <c r="D4468" t="s">
        <v>31</v>
      </c>
      <c r="E4468" t="s">
        <v>40</v>
      </c>
      <c r="F4468" t="s">
        <v>75</v>
      </c>
      <c r="G4468" t="s">
        <v>33</v>
      </c>
      <c r="H4468" t="s">
        <v>25</v>
      </c>
      <c r="I4468" t="s">
        <v>72</v>
      </c>
      <c r="J4468" t="s">
        <v>73</v>
      </c>
      <c r="K4468">
        <v>3</v>
      </c>
      <c r="L4468">
        <v>60742</v>
      </c>
      <c r="M4468" t="s">
        <v>36</v>
      </c>
      <c r="N4468">
        <v>1</v>
      </c>
      <c r="O4468">
        <v>3</v>
      </c>
      <c r="P4468">
        <v>69</v>
      </c>
      <c r="Q4468">
        <v>3</v>
      </c>
      <c r="R4468" s="1">
        <v>43915</v>
      </c>
      <c r="S4468" t="s">
        <v>37</v>
      </c>
      <c r="T4468" t="str">
        <f t="shared" si="345"/>
        <v>Grade B</v>
      </c>
      <c r="U4468">
        <f t="shared" si="346"/>
        <v>1</v>
      </c>
      <c r="V4468" t="str">
        <f t="shared" si="347"/>
        <v>Junior</v>
      </c>
      <c r="W4468" t="str">
        <f t="shared" si="348"/>
        <v>Already Left</v>
      </c>
      <c r="X4468" t="str">
        <f t="shared" si="349"/>
        <v>Fair</v>
      </c>
    </row>
    <row r="4469" spans="1:24" x14ac:dyDescent="0.3">
      <c r="A4469" t="s">
        <v>4537</v>
      </c>
      <c r="B4469" t="s">
        <v>20</v>
      </c>
      <c r="C4469">
        <v>48</v>
      </c>
      <c r="D4469" t="s">
        <v>21</v>
      </c>
      <c r="E4469" t="s">
        <v>40</v>
      </c>
      <c r="F4469" t="s">
        <v>32</v>
      </c>
      <c r="G4469" t="s">
        <v>63</v>
      </c>
      <c r="H4469" t="s">
        <v>34</v>
      </c>
      <c r="I4469" t="s">
        <v>68</v>
      </c>
      <c r="J4469" t="s">
        <v>60</v>
      </c>
      <c r="K4469">
        <v>3</v>
      </c>
      <c r="L4469">
        <v>57000</v>
      </c>
      <c r="M4469" t="s">
        <v>51</v>
      </c>
      <c r="N4469">
        <v>4</v>
      </c>
      <c r="O4469">
        <v>4</v>
      </c>
      <c r="P4469">
        <v>71</v>
      </c>
      <c r="Q4469">
        <v>0</v>
      </c>
      <c r="R4469" s="1">
        <v>43893</v>
      </c>
      <c r="S4469" t="s">
        <v>37</v>
      </c>
      <c r="T4469" t="str">
        <f t="shared" si="345"/>
        <v>Grade B</v>
      </c>
      <c r="U4469">
        <f t="shared" si="346"/>
        <v>4</v>
      </c>
      <c r="V4469" t="str">
        <f t="shared" si="347"/>
        <v>Junior</v>
      </c>
      <c r="W4469" t="str">
        <f t="shared" si="348"/>
        <v>Already Left</v>
      </c>
      <c r="X4469" t="str">
        <f t="shared" si="349"/>
        <v>Fair</v>
      </c>
    </row>
    <row r="4470" spans="1:24" x14ac:dyDescent="0.3">
      <c r="A4470" t="s">
        <v>4538</v>
      </c>
      <c r="B4470" t="s">
        <v>39</v>
      </c>
      <c r="C4470">
        <v>31</v>
      </c>
      <c r="D4470" t="s">
        <v>88</v>
      </c>
      <c r="E4470" t="s">
        <v>40</v>
      </c>
      <c r="F4470" t="s">
        <v>62</v>
      </c>
      <c r="G4470" t="s">
        <v>63</v>
      </c>
      <c r="H4470" t="s">
        <v>83</v>
      </c>
      <c r="I4470" t="s">
        <v>43</v>
      </c>
      <c r="J4470" t="s">
        <v>44</v>
      </c>
      <c r="K4470">
        <v>5</v>
      </c>
      <c r="L4470">
        <v>46702</v>
      </c>
      <c r="M4470" t="s">
        <v>51</v>
      </c>
      <c r="N4470">
        <v>2</v>
      </c>
      <c r="O4470">
        <v>4</v>
      </c>
      <c r="P4470">
        <v>35</v>
      </c>
      <c r="Q4470">
        <v>1</v>
      </c>
      <c r="R4470" s="1">
        <v>43129</v>
      </c>
      <c r="S4470" t="s">
        <v>29</v>
      </c>
      <c r="T4470" t="str">
        <f t="shared" si="345"/>
        <v>Grade C</v>
      </c>
      <c r="U4470">
        <f t="shared" si="346"/>
        <v>4</v>
      </c>
      <c r="V4470" t="str">
        <f t="shared" si="347"/>
        <v>Junior</v>
      </c>
      <c r="W4470" t="str">
        <f t="shared" si="348"/>
        <v>Low Risk</v>
      </c>
      <c r="X4470" t="str">
        <f t="shared" si="349"/>
        <v>Fair</v>
      </c>
    </row>
    <row r="4471" spans="1:24" x14ac:dyDescent="0.3">
      <c r="A4471" t="s">
        <v>4539</v>
      </c>
      <c r="B4471" t="s">
        <v>39</v>
      </c>
      <c r="C4471">
        <v>24</v>
      </c>
      <c r="D4471" t="s">
        <v>88</v>
      </c>
      <c r="E4471" t="s">
        <v>48</v>
      </c>
      <c r="F4471" t="s">
        <v>23</v>
      </c>
      <c r="G4471" t="s">
        <v>58</v>
      </c>
      <c r="H4471" t="s">
        <v>67</v>
      </c>
      <c r="I4471" t="s">
        <v>68</v>
      </c>
      <c r="J4471" t="s">
        <v>60</v>
      </c>
      <c r="K4471">
        <v>10</v>
      </c>
      <c r="L4471">
        <v>97394</v>
      </c>
      <c r="M4471" t="s">
        <v>36</v>
      </c>
      <c r="N4471">
        <v>4</v>
      </c>
      <c r="O4471">
        <v>2</v>
      </c>
      <c r="P4471">
        <v>78</v>
      </c>
      <c r="Q4471">
        <v>3</v>
      </c>
      <c r="R4471" s="1">
        <v>41394</v>
      </c>
      <c r="S4471" t="s">
        <v>37</v>
      </c>
      <c r="T4471" t="str">
        <f t="shared" si="345"/>
        <v>Grade A</v>
      </c>
      <c r="U4471">
        <f t="shared" si="346"/>
        <v>1</v>
      </c>
      <c r="V4471" t="str">
        <f t="shared" si="347"/>
        <v>Mid Level</v>
      </c>
      <c r="W4471" t="str">
        <f t="shared" si="348"/>
        <v>Already Left</v>
      </c>
      <c r="X4471" t="str">
        <f t="shared" si="349"/>
        <v>Overpaid</v>
      </c>
    </row>
    <row r="4472" spans="1:24" x14ac:dyDescent="0.3">
      <c r="A4472" t="s">
        <v>4540</v>
      </c>
      <c r="B4472" t="s">
        <v>20</v>
      </c>
      <c r="C4472">
        <v>51</v>
      </c>
      <c r="D4472" t="s">
        <v>21</v>
      </c>
      <c r="E4472" t="s">
        <v>22</v>
      </c>
      <c r="F4472" t="s">
        <v>78</v>
      </c>
      <c r="G4472" t="s">
        <v>63</v>
      </c>
      <c r="H4472" t="s">
        <v>25</v>
      </c>
      <c r="I4472" t="s">
        <v>43</v>
      </c>
      <c r="J4472" t="s">
        <v>44</v>
      </c>
      <c r="K4472">
        <v>10</v>
      </c>
      <c r="L4472">
        <v>67267</v>
      </c>
      <c r="M4472" t="s">
        <v>51</v>
      </c>
      <c r="N4472">
        <v>2</v>
      </c>
      <c r="O4472">
        <v>4</v>
      </c>
      <c r="P4472">
        <v>48</v>
      </c>
      <c r="Q4472">
        <v>0</v>
      </c>
      <c r="R4472" s="1">
        <v>41415</v>
      </c>
      <c r="S4472" t="s">
        <v>29</v>
      </c>
      <c r="T4472" t="str">
        <f t="shared" si="345"/>
        <v>Grade B</v>
      </c>
      <c r="U4472">
        <f t="shared" si="346"/>
        <v>4</v>
      </c>
      <c r="V4472" t="str">
        <f t="shared" si="347"/>
        <v>Mid Level</v>
      </c>
      <c r="W4472" t="str">
        <f t="shared" si="348"/>
        <v>Low Risk</v>
      </c>
      <c r="X4472" t="str">
        <f t="shared" si="349"/>
        <v>Fair</v>
      </c>
    </row>
    <row r="4473" spans="1:24" x14ac:dyDescent="0.3">
      <c r="A4473" t="s">
        <v>4541</v>
      </c>
      <c r="B4473" t="s">
        <v>39</v>
      </c>
      <c r="C4473">
        <v>22</v>
      </c>
      <c r="D4473" t="s">
        <v>88</v>
      </c>
      <c r="E4473" t="s">
        <v>40</v>
      </c>
      <c r="F4473" t="s">
        <v>32</v>
      </c>
      <c r="G4473" t="s">
        <v>33</v>
      </c>
      <c r="H4473" t="s">
        <v>34</v>
      </c>
      <c r="I4473" t="s">
        <v>80</v>
      </c>
      <c r="J4473" t="s">
        <v>60</v>
      </c>
      <c r="K4473">
        <v>10</v>
      </c>
      <c r="L4473">
        <v>80461</v>
      </c>
      <c r="M4473" t="s">
        <v>28</v>
      </c>
      <c r="N4473">
        <v>2</v>
      </c>
      <c r="O4473">
        <v>2</v>
      </c>
      <c r="P4473">
        <v>58</v>
      </c>
      <c r="Q4473">
        <v>0</v>
      </c>
      <c r="R4473" s="1">
        <v>41467</v>
      </c>
      <c r="S4473" t="s">
        <v>37</v>
      </c>
      <c r="T4473" t="str">
        <f t="shared" si="345"/>
        <v>Grade A</v>
      </c>
      <c r="U4473">
        <f t="shared" si="346"/>
        <v>3</v>
      </c>
      <c r="V4473" t="str">
        <f t="shared" si="347"/>
        <v>Mid Level</v>
      </c>
      <c r="W4473" t="str">
        <f t="shared" si="348"/>
        <v>Already Left</v>
      </c>
      <c r="X4473" t="str">
        <f t="shared" si="349"/>
        <v>Competitive</v>
      </c>
    </row>
    <row r="4474" spans="1:24" x14ac:dyDescent="0.3">
      <c r="A4474" t="s">
        <v>4542</v>
      </c>
      <c r="B4474" t="s">
        <v>39</v>
      </c>
      <c r="C4474">
        <v>53</v>
      </c>
      <c r="D4474" t="s">
        <v>21</v>
      </c>
      <c r="E4474" t="s">
        <v>22</v>
      </c>
      <c r="F4474" t="s">
        <v>62</v>
      </c>
      <c r="G4474" t="s">
        <v>79</v>
      </c>
      <c r="H4474" t="s">
        <v>76</v>
      </c>
      <c r="I4474" t="s">
        <v>26</v>
      </c>
      <c r="J4474" t="s">
        <v>27</v>
      </c>
      <c r="K4474">
        <v>15</v>
      </c>
      <c r="L4474">
        <v>71483</v>
      </c>
      <c r="M4474" t="s">
        <v>36</v>
      </c>
      <c r="N4474">
        <v>2</v>
      </c>
      <c r="O4474">
        <v>2</v>
      </c>
      <c r="P4474">
        <v>47</v>
      </c>
      <c r="Q4474">
        <v>0</v>
      </c>
      <c r="R4474" s="1">
        <v>39492</v>
      </c>
      <c r="S4474" t="s">
        <v>37</v>
      </c>
      <c r="T4474" t="str">
        <f t="shared" si="345"/>
        <v>Grade B</v>
      </c>
      <c r="U4474">
        <f t="shared" si="346"/>
        <v>1</v>
      </c>
      <c r="V4474" t="str">
        <f t="shared" si="347"/>
        <v>Senior</v>
      </c>
      <c r="W4474" t="str">
        <f t="shared" si="348"/>
        <v>Already Left</v>
      </c>
      <c r="X4474" t="str">
        <f t="shared" si="349"/>
        <v>Fair</v>
      </c>
    </row>
    <row r="4475" spans="1:24" x14ac:dyDescent="0.3">
      <c r="A4475" t="s">
        <v>4543</v>
      </c>
      <c r="B4475" t="s">
        <v>20</v>
      </c>
      <c r="C4475">
        <v>50</v>
      </c>
      <c r="D4475" t="s">
        <v>57</v>
      </c>
      <c r="E4475" t="s">
        <v>48</v>
      </c>
      <c r="F4475" t="s">
        <v>75</v>
      </c>
      <c r="G4475" t="s">
        <v>49</v>
      </c>
      <c r="H4475" t="s">
        <v>83</v>
      </c>
      <c r="I4475" t="s">
        <v>59</v>
      </c>
      <c r="J4475" t="s">
        <v>60</v>
      </c>
      <c r="K4475">
        <v>15</v>
      </c>
      <c r="L4475">
        <v>84717</v>
      </c>
      <c r="M4475" t="s">
        <v>45</v>
      </c>
      <c r="N4475">
        <v>2</v>
      </c>
      <c r="O4475">
        <v>3</v>
      </c>
      <c r="P4475">
        <v>12</v>
      </c>
      <c r="Q4475">
        <v>0</v>
      </c>
      <c r="R4475" s="1">
        <v>39641</v>
      </c>
      <c r="S4475" t="s">
        <v>29</v>
      </c>
      <c r="T4475" t="str">
        <f t="shared" si="345"/>
        <v>Grade A</v>
      </c>
      <c r="U4475">
        <f t="shared" si="346"/>
        <v>2</v>
      </c>
      <c r="V4475" t="str">
        <f t="shared" si="347"/>
        <v>Senior</v>
      </c>
      <c r="W4475" t="str">
        <f t="shared" si="348"/>
        <v>Medium Risk</v>
      </c>
      <c r="X4475" t="str">
        <f t="shared" si="349"/>
        <v>Fair</v>
      </c>
    </row>
    <row r="4476" spans="1:24" x14ac:dyDescent="0.3">
      <c r="A4476" t="s">
        <v>4544</v>
      </c>
      <c r="B4476" t="s">
        <v>20</v>
      </c>
      <c r="C4476">
        <v>45</v>
      </c>
      <c r="D4476" t="s">
        <v>88</v>
      </c>
      <c r="E4476" t="s">
        <v>48</v>
      </c>
      <c r="F4476" t="s">
        <v>53</v>
      </c>
      <c r="G4476" t="s">
        <v>42</v>
      </c>
      <c r="H4476" t="s">
        <v>76</v>
      </c>
      <c r="I4476" t="s">
        <v>54</v>
      </c>
      <c r="J4476" t="s">
        <v>27</v>
      </c>
      <c r="K4476">
        <v>9</v>
      </c>
      <c r="L4476">
        <v>120071</v>
      </c>
      <c r="M4476" t="s">
        <v>45</v>
      </c>
      <c r="N4476">
        <v>4</v>
      </c>
      <c r="O4476">
        <v>2</v>
      </c>
      <c r="P4476">
        <v>31</v>
      </c>
      <c r="Q4476">
        <v>3</v>
      </c>
      <c r="R4476" s="1">
        <v>41757</v>
      </c>
      <c r="S4476" t="s">
        <v>29</v>
      </c>
      <c r="T4476" t="str">
        <f t="shared" si="345"/>
        <v>Grade A</v>
      </c>
      <c r="U4476">
        <f t="shared" si="346"/>
        <v>2</v>
      </c>
      <c r="V4476" t="str">
        <f t="shared" si="347"/>
        <v>Mid Level</v>
      </c>
      <c r="W4476" t="str">
        <f t="shared" si="348"/>
        <v>Medium Risk</v>
      </c>
      <c r="X4476" t="str">
        <f t="shared" si="349"/>
        <v>Fair</v>
      </c>
    </row>
    <row r="4477" spans="1:24" x14ac:dyDescent="0.3">
      <c r="A4477" t="s">
        <v>4545</v>
      </c>
      <c r="B4477" t="s">
        <v>20</v>
      </c>
      <c r="C4477">
        <v>52</v>
      </c>
      <c r="D4477" t="s">
        <v>88</v>
      </c>
      <c r="E4477" t="s">
        <v>40</v>
      </c>
      <c r="F4477" t="s">
        <v>41</v>
      </c>
      <c r="G4477" t="s">
        <v>63</v>
      </c>
      <c r="H4477" t="s">
        <v>34</v>
      </c>
      <c r="I4477" t="s">
        <v>50</v>
      </c>
      <c r="J4477" t="s">
        <v>44</v>
      </c>
      <c r="K4477">
        <v>5</v>
      </c>
      <c r="L4477">
        <v>60181</v>
      </c>
      <c r="M4477" t="s">
        <v>28</v>
      </c>
      <c r="N4477">
        <v>4</v>
      </c>
      <c r="O4477">
        <v>2</v>
      </c>
      <c r="P4477">
        <v>41</v>
      </c>
      <c r="Q4477">
        <v>3</v>
      </c>
      <c r="R4477" s="1">
        <v>43154</v>
      </c>
      <c r="S4477" t="s">
        <v>29</v>
      </c>
      <c r="T4477" t="str">
        <f t="shared" si="345"/>
        <v>Grade B</v>
      </c>
      <c r="U4477">
        <f t="shared" si="346"/>
        <v>3</v>
      </c>
      <c r="V4477" t="str">
        <f t="shared" si="347"/>
        <v>Junior</v>
      </c>
      <c r="W4477" t="str">
        <f t="shared" si="348"/>
        <v>Medium Risk</v>
      </c>
      <c r="X4477" t="str">
        <f t="shared" si="349"/>
        <v>Competitive</v>
      </c>
    </row>
    <row r="4478" spans="1:24" x14ac:dyDescent="0.3">
      <c r="A4478" t="s">
        <v>4546</v>
      </c>
      <c r="B4478" t="s">
        <v>20</v>
      </c>
      <c r="C4478">
        <v>29</v>
      </c>
      <c r="D4478" t="s">
        <v>57</v>
      </c>
      <c r="E4478" t="s">
        <v>48</v>
      </c>
      <c r="F4478" t="s">
        <v>41</v>
      </c>
      <c r="G4478" t="s">
        <v>79</v>
      </c>
      <c r="H4478" t="s">
        <v>34</v>
      </c>
      <c r="I4478" t="s">
        <v>26</v>
      </c>
      <c r="J4478" t="s">
        <v>27</v>
      </c>
      <c r="K4478">
        <v>6</v>
      </c>
      <c r="L4478">
        <v>57197</v>
      </c>
      <c r="M4478" t="s">
        <v>28</v>
      </c>
      <c r="N4478">
        <v>1</v>
      </c>
      <c r="O4478">
        <v>1</v>
      </c>
      <c r="P4478">
        <v>69</v>
      </c>
      <c r="Q4478">
        <v>0</v>
      </c>
      <c r="R4478" s="1">
        <v>42820</v>
      </c>
      <c r="S4478" t="s">
        <v>37</v>
      </c>
      <c r="T4478" t="str">
        <f t="shared" si="345"/>
        <v>Grade B</v>
      </c>
      <c r="U4478">
        <f t="shared" si="346"/>
        <v>3</v>
      </c>
      <c r="V4478" t="str">
        <f t="shared" si="347"/>
        <v>Mid Level</v>
      </c>
      <c r="W4478" t="str">
        <f t="shared" si="348"/>
        <v>Already Left</v>
      </c>
      <c r="X4478" t="str">
        <f t="shared" si="349"/>
        <v>Competitive</v>
      </c>
    </row>
    <row r="4479" spans="1:24" x14ac:dyDescent="0.3">
      <c r="A4479" t="s">
        <v>4547</v>
      </c>
      <c r="B4479" t="s">
        <v>39</v>
      </c>
      <c r="C4479">
        <v>49</v>
      </c>
      <c r="D4479" t="s">
        <v>88</v>
      </c>
      <c r="E4479" t="s">
        <v>48</v>
      </c>
      <c r="F4479" t="s">
        <v>78</v>
      </c>
      <c r="G4479" t="s">
        <v>66</v>
      </c>
      <c r="H4479" t="s">
        <v>76</v>
      </c>
      <c r="I4479" t="s">
        <v>59</v>
      </c>
      <c r="J4479" t="s">
        <v>60</v>
      </c>
      <c r="K4479">
        <v>4</v>
      </c>
      <c r="L4479">
        <v>38343</v>
      </c>
      <c r="M4479" t="s">
        <v>51</v>
      </c>
      <c r="N4479">
        <v>3</v>
      </c>
      <c r="O4479">
        <v>2</v>
      </c>
      <c r="P4479">
        <v>79</v>
      </c>
      <c r="Q4479">
        <v>2</v>
      </c>
      <c r="R4479" s="1">
        <v>43754</v>
      </c>
      <c r="S4479" t="s">
        <v>29</v>
      </c>
      <c r="T4479" t="str">
        <f t="shared" si="345"/>
        <v>Grade C</v>
      </c>
      <c r="U4479">
        <f t="shared" si="346"/>
        <v>4</v>
      </c>
      <c r="V4479" t="str">
        <f t="shared" si="347"/>
        <v>Junior</v>
      </c>
      <c r="W4479" t="str">
        <f t="shared" si="348"/>
        <v>Low Risk</v>
      </c>
      <c r="X4479" t="str">
        <f t="shared" si="349"/>
        <v>Fair</v>
      </c>
    </row>
    <row r="4480" spans="1:24" x14ac:dyDescent="0.3">
      <c r="A4480" t="s">
        <v>4548</v>
      </c>
      <c r="B4480" t="s">
        <v>20</v>
      </c>
      <c r="C4480">
        <v>44</v>
      </c>
      <c r="D4480" t="s">
        <v>47</v>
      </c>
      <c r="E4480" t="s">
        <v>40</v>
      </c>
      <c r="F4480" t="s">
        <v>65</v>
      </c>
      <c r="G4480" t="s">
        <v>33</v>
      </c>
      <c r="H4480" t="s">
        <v>25</v>
      </c>
      <c r="I4480" t="s">
        <v>72</v>
      </c>
      <c r="J4480" t="s">
        <v>73</v>
      </c>
      <c r="K4480">
        <v>11</v>
      </c>
      <c r="L4480">
        <v>76375</v>
      </c>
      <c r="M4480" t="s">
        <v>28</v>
      </c>
      <c r="N4480">
        <v>4</v>
      </c>
      <c r="O4480">
        <v>2</v>
      </c>
      <c r="P4480">
        <v>14</v>
      </c>
      <c r="Q4480">
        <v>0</v>
      </c>
      <c r="R4480" s="1">
        <v>41138</v>
      </c>
      <c r="S4480" t="s">
        <v>29</v>
      </c>
      <c r="T4480" t="str">
        <f t="shared" si="345"/>
        <v>Grade B</v>
      </c>
      <c r="U4480">
        <f t="shared" si="346"/>
        <v>3</v>
      </c>
      <c r="V4480" t="str">
        <f t="shared" si="347"/>
        <v>Senior</v>
      </c>
      <c r="W4480" t="str">
        <f t="shared" si="348"/>
        <v>Medium Risk</v>
      </c>
      <c r="X4480" t="str">
        <f t="shared" si="349"/>
        <v>Competitive</v>
      </c>
    </row>
    <row r="4481" spans="1:24" x14ac:dyDescent="0.3">
      <c r="A4481" t="s">
        <v>4549</v>
      </c>
      <c r="B4481" t="s">
        <v>20</v>
      </c>
      <c r="C4481">
        <v>48</v>
      </c>
      <c r="D4481" t="s">
        <v>31</v>
      </c>
      <c r="E4481" t="s">
        <v>22</v>
      </c>
      <c r="F4481" t="s">
        <v>53</v>
      </c>
      <c r="G4481" t="s">
        <v>33</v>
      </c>
      <c r="H4481" t="s">
        <v>34</v>
      </c>
      <c r="I4481" t="s">
        <v>80</v>
      </c>
      <c r="J4481" t="s">
        <v>60</v>
      </c>
      <c r="K4481">
        <v>4</v>
      </c>
      <c r="L4481">
        <v>78000</v>
      </c>
      <c r="M4481" t="s">
        <v>28</v>
      </c>
      <c r="N4481">
        <v>4</v>
      </c>
      <c r="O4481">
        <v>4</v>
      </c>
      <c r="P4481">
        <v>13</v>
      </c>
      <c r="Q4481">
        <v>0</v>
      </c>
      <c r="R4481" s="1">
        <v>43645</v>
      </c>
      <c r="S4481" t="s">
        <v>29</v>
      </c>
      <c r="T4481" t="str">
        <f t="shared" si="345"/>
        <v>Grade B</v>
      </c>
      <c r="U4481">
        <f t="shared" si="346"/>
        <v>3</v>
      </c>
      <c r="V4481" t="str">
        <f t="shared" si="347"/>
        <v>Junior</v>
      </c>
      <c r="W4481" t="str">
        <f t="shared" si="348"/>
        <v>Medium Risk</v>
      </c>
      <c r="X4481" t="str">
        <f t="shared" si="349"/>
        <v>Competitive</v>
      </c>
    </row>
    <row r="4482" spans="1:24" x14ac:dyDescent="0.3">
      <c r="A4482" t="s">
        <v>4550</v>
      </c>
      <c r="B4482" t="s">
        <v>20</v>
      </c>
      <c r="C4482">
        <v>23</v>
      </c>
      <c r="D4482" t="s">
        <v>47</v>
      </c>
      <c r="E4482" t="s">
        <v>48</v>
      </c>
      <c r="F4482" t="s">
        <v>75</v>
      </c>
      <c r="G4482" t="s">
        <v>63</v>
      </c>
      <c r="H4482" t="s">
        <v>25</v>
      </c>
      <c r="I4482" t="s">
        <v>26</v>
      </c>
      <c r="J4482" t="s">
        <v>27</v>
      </c>
      <c r="K4482">
        <v>9</v>
      </c>
      <c r="L4482">
        <v>64594</v>
      </c>
      <c r="M4482" t="s">
        <v>45</v>
      </c>
      <c r="N4482">
        <v>3</v>
      </c>
      <c r="O4482">
        <v>3</v>
      </c>
      <c r="P4482">
        <v>80</v>
      </c>
      <c r="Q4482">
        <v>0</v>
      </c>
      <c r="R4482" s="1">
        <v>41966</v>
      </c>
      <c r="S4482" t="s">
        <v>37</v>
      </c>
      <c r="T4482" t="str">
        <f t="shared" ref="T4482:T4545" si="350">IF(L4482&gt;=80000,"Grade A",IF(L4482&gt;=50000,"Grade B",IF(L4482&gt;=35000,"Grade C","Grade D")))</f>
        <v>Grade B</v>
      </c>
      <c r="U4482">
        <f t="shared" ref="U4482:U4545" si="351">IF(M4482="Excellent",4,IF(M4482="Good",3,IF(M4482="Average",2,1)))</f>
        <v>2</v>
      </c>
      <c r="V4482" t="str">
        <f t="shared" ref="V4482:V4545" si="352">IF(K4482&lt;=2,"New Joiner",IF(K4482&lt;=5,"Junior",IF(K4482&lt;=10,"Mid Level","Senior")))</f>
        <v>Mid Level</v>
      </c>
      <c r="W4482" t="str">
        <f t="shared" ref="W4482:W4545" si="353">IF(S4482="Yes","Already Left",IF(AND(K4482&lt;=2,M4482="Poor"),"High Risk",IF(AND(K4482&lt;=5,M4482="Average"),"Medium Risk",IF(M4482="Excellent","Low Risk","Medium Risk"))))</f>
        <v>Already Left</v>
      </c>
      <c r="X4482" t="str">
        <f t="shared" ref="X4482:X4545" si="354">IF(AND(L4482&gt;=80000,M4482="Excellent"),"Competitive",IF(AND(L4482&gt;=50000,M4482="Good"),"Competitive",IF(AND(L4482&lt;35000,M4482="Excellent"),"Underpaid",IF(AND(L4482&gt;=80000,M4482="Poor"),"Overpaid","Fair"))))</f>
        <v>Fair</v>
      </c>
    </row>
    <row r="4483" spans="1:24" x14ac:dyDescent="0.3">
      <c r="A4483" t="s">
        <v>4551</v>
      </c>
      <c r="B4483" t="s">
        <v>20</v>
      </c>
      <c r="C4483">
        <v>33</v>
      </c>
      <c r="D4483" t="s">
        <v>21</v>
      </c>
      <c r="E4483" t="s">
        <v>22</v>
      </c>
      <c r="F4483" t="s">
        <v>23</v>
      </c>
      <c r="G4483" t="s">
        <v>58</v>
      </c>
      <c r="H4483" t="s">
        <v>83</v>
      </c>
      <c r="I4483" t="s">
        <v>35</v>
      </c>
      <c r="J4483" t="s">
        <v>27</v>
      </c>
      <c r="K4483">
        <v>7</v>
      </c>
      <c r="L4483">
        <v>100648</v>
      </c>
      <c r="M4483" t="s">
        <v>36</v>
      </c>
      <c r="N4483">
        <v>4</v>
      </c>
      <c r="O4483">
        <v>1</v>
      </c>
      <c r="P4483">
        <v>15</v>
      </c>
      <c r="Q4483">
        <v>2</v>
      </c>
      <c r="R4483" s="1">
        <v>42490</v>
      </c>
      <c r="S4483" t="s">
        <v>29</v>
      </c>
      <c r="T4483" t="str">
        <f t="shared" si="350"/>
        <v>Grade A</v>
      </c>
      <c r="U4483">
        <f t="shared" si="351"/>
        <v>1</v>
      </c>
      <c r="V4483" t="str">
        <f t="shared" si="352"/>
        <v>Mid Level</v>
      </c>
      <c r="W4483" t="str">
        <f t="shared" si="353"/>
        <v>Medium Risk</v>
      </c>
      <c r="X4483" t="str">
        <f t="shared" si="354"/>
        <v>Overpaid</v>
      </c>
    </row>
    <row r="4484" spans="1:24" x14ac:dyDescent="0.3">
      <c r="A4484" t="s">
        <v>4552</v>
      </c>
      <c r="B4484" t="s">
        <v>20</v>
      </c>
      <c r="C4484">
        <v>29</v>
      </c>
      <c r="D4484" t="s">
        <v>21</v>
      </c>
      <c r="E4484" t="s">
        <v>40</v>
      </c>
      <c r="F4484" t="s">
        <v>23</v>
      </c>
      <c r="G4484" t="s">
        <v>49</v>
      </c>
      <c r="H4484" t="s">
        <v>83</v>
      </c>
      <c r="I4484" t="s">
        <v>59</v>
      </c>
      <c r="J4484" t="s">
        <v>60</v>
      </c>
      <c r="K4484">
        <v>4</v>
      </c>
      <c r="L4484">
        <v>64188</v>
      </c>
      <c r="M4484" t="s">
        <v>36</v>
      </c>
      <c r="N4484">
        <v>4</v>
      </c>
      <c r="O4484">
        <v>4</v>
      </c>
      <c r="P4484">
        <v>31</v>
      </c>
      <c r="Q4484">
        <v>0</v>
      </c>
      <c r="R4484" s="1">
        <v>43708</v>
      </c>
      <c r="S4484" t="s">
        <v>37</v>
      </c>
      <c r="T4484" t="str">
        <f t="shared" si="350"/>
        <v>Grade B</v>
      </c>
      <c r="U4484">
        <f t="shared" si="351"/>
        <v>1</v>
      </c>
      <c r="V4484" t="str">
        <f t="shared" si="352"/>
        <v>Junior</v>
      </c>
      <c r="W4484" t="str">
        <f t="shared" si="353"/>
        <v>Already Left</v>
      </c>
      <c r="X4484" t="str">
        <f t="shared" si="354"/>
        <v>Fair</v>
      </c>
    </row>
    <row r="4485" spans="1:24" x14ac:dyDescent="0.3">
      <c r="A4485" t="s">
        <v>4553</v>
      </c>
      <c r="B4485" t="s">
        <v>39</v>
      </c>
      <c r="C4485">
        <v>48</v>
      </c>
      <c r="D4485" t="s">
        <v>88</v>
      </c>
      <c r="E4485" t="s">
        <v>22</v>
      </c>
      <c r="F4485" t="s">
        <v>41</v>
      </c>
      <c r="G4485" t="s">
        <v>58</v>
      </c>
      <c r="H4485" t="s">
        <v>76</v>
      </c>
      <c r="I4485" t="s">
        <v>54</v>
      </c>
      <c r="J4485" t="s">
        <v>27</v>
      </c>
      <c r="K4485">
        <v>11</v>
      </c>
      <c r="L4485">
        <v>100608</v>
      </c>
      <c r="M4485" t="s">
        <v>28</v>
      </c>
      <c r="N4485">
        <v>1</v>
      </c>
      <c r="O4485">
        <v>3</v>
      </c>
      <c r="P4485">
        <v>71</v>
      </c>
      <c r="Q4485">
        <v>1</v>
      </c>
      <c r="R4485" s="1">
        <v>41108</v>
      </c>
      <c r="S4485" t="s">
        <v>29</v>
      </c>
      <c r="T4485" t="str">
        <f t="shared" si="350"/>
        <v>Grade A</v>
      </c>
      <c r="U4485">
        <f t="shared" si="351"/>
        <v>3</v>
      </c>
      <c r="V4485" t="str">
        <f t="shared" si="352"/>
        <v>Senior</v>
      </c>
      <c r="W4485" t="str">
        <f t="shared" si="353"/>
        <v>Medium Risk</v>
      </c>
      <c r="X4485" t="str">
        <f t="shared" si="354"/>
        <v>Competitive</v>
      </c>
    </row>
    <row r="4486" spans="1:24" x14ac:dyDescent="0.3">
      <c r="A4486" t="s">
        <v>4554</v>
      </c>
      <c r="B4486" t="s">
        <v>20</v>
      </c>
      <c r="C4486">
        <v>54</v>
      </c>
      <c r="D4486" t="s">
        <v>57</v>
      </c>
      <c r="E4486" t="s">
        <v>22</v>
      </c>
      <c r="F4486" t="s">
        <v>65</v>
      </c>
      <c r="G4486" t="s">
        <v>58</v>
      </c>
      <c r="H4486" t="s">
        <v>67</v>
      </c>
      <c r="I4486" t="s">
        <v>26</v>
      </c>
      <c r="J4486" t="s">
        <v>27</v>
      </c>
      <c r="K4486">
        <v>8</v>
      </c>
      <c r="L4486">
        <v>91668</v>
      </c>
      <c r="M4486" t="s">
        <v>45</v>
      </c>
      <c r="N4486">
        <v>4</v>
      </c>
      <c r="O4486">
        <v>1</v>
      </c>
      <c r="P4486">
        <v>33</v>
      </c>
      <c r="Q4486">
        <v>0</v>
      </c>
      <c r="R4486" s="1">
        <v>42266</v>
      </c>
      <c r="S4486" t="s">
        <v>29</v>
      </c>
      <c r="T4486" t="str">
        <f t="shared" si="350"/>
        <v>Grade A</v>
      </c>
      <c r="U4486">
        <f t="shared" si="351"/>
        <v>2</v>
      </c>
      <c r="V4486" t="str">
        <f t="shared" si="352"/>
        <v>Mid Level</v>
      </c>
      <c r="W4486" t="str">
        <f t="shared" si="353"/>
        <v>Medium Risk</v>
      </c>
      <c r="X4486" t="str">
        <f t="shared" si="354"/>
        <v>Fair</v>
      </c>
    </row>
    <row r="4487" spans="1:24" x14ac:dyDescent="0.3">
      <c r="A4487" t="s">
        <v>4555</v>
      </c>
      <c r="B4487" t="s">
        <v>39</v>
      </c>
      <c r="C4487">
        <v>25</v>
      </c>
      <c r="D4487" t="s">
        <v>31</v>
      </c>
      <c r="E4487" t="s">
        <v>22</v>
      </c>
      <c r="F4487" t="s">
        <v>65</v>
      </c>
      <c r="G4487" t="s">
        <v>79</v>
      </c>
      <c r="H4487" t="s">
        <v>25</v>
      </c>
      <c r="I4487" t="s">
        <v>50</v>
      </c>
      <c r="J4487" t="s">
        <v>44</v>
      </c>
      <c r="K4487">
        <v>1</v>
      </c>
      <c r="L4487">
        <v>49811</v>
      </c>
      <c r="M4487" t="s">
        <v>45</v>
      </c>
      <c r="N4487">
        <v>3</v>
      </c>
      <c r="O4487">
        <v>2</v>
      </c>
      <c r="P4487">
        <v>38</v>
      </c>
      <c r="Q4487">
        <v>1</v>
      </c>
      <c r="R4487" s="1">
        <v>44657</v>
      </c>
      <c r="S4487" t="s">
        <v>29</v>
      </c>
      <c r="T4487" t="str">
        <f t="shared" si="350"/>
        <v>Grade C</v>
      </c>
      <c r="U4487">
        <f t="shared" si="351"/>
        <v>2</v>
      </c>
      <c r="V4487" t="str">
        <f t="shared" si="352"/>
        <v>New Joiner</v>
      </c>
      <c r="W4487" t="str">
        <f t="shared" si="353"/>
        <v>Medium Risk</v>
      </c>
      <c r="X4487" t="str">
        <f t="shared" si="354"/>
        <v>Fair</v>
      </c>
    </row>
    <row r="4488" spans="1:24" x14ac:dyDescent="0.3">
      <c r="A4488" t="s">
        <v>4556</v>
      </c>
      <c r="B4488" t="s">
        <v>39</v>
      </c>
      <c r="C4488">
        <v>33</v>
      </c>
      <c r="D4488" t="s">
        <v>21</v>
      </c>
      <c r="E4488" t="s">
        <v>22</v>
      </c>
      <c r="F4488" t="s">
        <v>65</v>
      </c>
      <c r="G4488" t="s">
        <v>49</v>
      </c>
      <c r="H4488" t="s">
        <v>25</v>
      </c>
      <c r="I4488" t="s">
        <v>72</v>
      </c>
      <c r="J4488" t="s">
        <v>73</v>
      </c>
      <c r="K4488">
        <v>11</v>
      </c>
      <c r="L4488">
        <v>70443</v>
      </c>
      <c r="M4488" t="s">
        <v>28</v>
      </c>
      <c r="N4488">
        <v>3</v>
      </c>
      <c r="O4488">
        <v>2</v>
      </c>
      <c r="P4488">
        <v>10</v>
      </c>
      <c r="Q4488">
        <v>1</v>
      </c>
      <c r="R4488" s="1">
        <v>41190</v>
      </c>
      <c r="S4488" t="s">
        <v>29</v>
      </c>
      <c r="T4488" t="str">
        <f t="shared" si="350"/>
        <v>Grade B</v>
      </c>
      <c r="U4488">
        <f t="shared" si="351"/>
        <v>3</v>
      </c>
      <c r="V4488" t="str">
        <f t="shared" si="352"/>
        <v>Senior</v>
      </c>
      <c r="W4488" t="str">
        <f t="shared" si="353"/>
        <v>Medium Risk</v>
      </c>
      <c r="X4488" t="str">
        <f t="shared" si="354"/>
        <v>Competitive</v>
      </c>
    </row>
    <row r="4489" spans="1:24" x14ac:dyDescent="0.3">
      <c r="A4489" t="s">
        <v>4557</v>
      </c>
      <c r="B4489" t="s">
        <v>39</v>
      </c>
      <c r="C4489">
        <v>53</v>
      </c>
      <c r="D4489" t="s">
        <v>57</v>
      </c>
      <c r="E4489" t="s">
        <v>40</v>
      </c>
      <c r="F4489" t="s">
        <v>32</v>
      </c>
      <c r="G4489" t="s">
        <v>63</v>
      </c>
      <c r="H4489" t="s">
        <v>67</v>
      </c>
      <c r="I4489" t="s">
        <v>72</v>
      </c>
      <c r="J4489" t="s">
        <v>73</v>
      </c>
      <c r="K4489">
        <v>4</v>
      </c>
      <c r="L4489">
        <v>45392</v>
      </c>
      <c r="M4489" t="s">
        <v>51</v>
      </c>
      <c r="N4489">
        <v>1</v>
      </c>
      <c r="O4489">
        <v>3</v>
      </c>
      <c r="P4489">
        <v>71</v>
      </c>
      <c r="Q4489">
        <v>2</v>
      </c>
      <c r="R4489" s="1">
        <v>43763</v>
      </c>
      <c r="S4489" t="s">
        <v>29</v>
      </c>
      <c r="T4489" t="str">
        <f t="shared" si="350"/>
        <v>Grade C</v>
      </c>
      <c r="U4489">
        <f t="shared" si="351"/>
        <v>4</v>
      </c>
      <c r="V4489" t="str">
        <f t="shared" si="352"/>
        <v>Junior</v>
      </c>
      <c r="W4489" t="str">
        <f t="shared" si="353"/>
        <v>Low Risk</v>
      </c>
      <c r="X4489" t="str">
        <f t="shared" si="354"/>
        <v>Fair</v>
      </c>
    </row>
    <row r="4490" spans="1:24" x14ac:dyDescent="0.3">
      <c r="A4490" t="s">
        <v>4558</v>
      </c>
      <c r="B4490" t="s">
        <v>39</v>
      </c>
      <c r="C4490">
        <v>53</v>
      </c>
      <c r="D4490" t="s">
        <v>57</v>
      </c>
      <c r="E4490" t="s">
        <v>48</v>
      </c>
      <c r="F4490" t="s">
        <v>78</v>
      </c>
      <c r="G4490" t="s">
        <v>79</v>
      </c>
      <c r="H4490" t="s">
        <v>67</v>
      </c>
      <c r="I4490" t="s">
        <v>80</v>
      </c>
      <c r="J4490" t="s">
        <v>60</v>
      </c>
      <c r="K4490">
        <v>10</v>
      </c>
      <c r="L4490">
        <v>53965</v>
      </c>
      <c r="M4490" t="s">
        <v>51</v>
      </c>
      <c r="N4490">
        <v>4</v>
      </c>
      <c r="O4490">
        <v>3</v>
      </c>
      <c r="P4490">
        <v>53</v>
      </c>
      <c r="Q4490">
        <v>1</v>
      </c>
      <c r="R4490" s="1">
        <v>41415</v>
      </c>
      <c r="S4490" t="s">
        <v>37</v>
      </c>
      <c r="T4490" t="str">
        <f t="shared" si="350"/>
        <v>Grade B</v>
      </c>
      <c r="U4490">
        <f t="shared" si="351"/>
        <v>4</v>
      </c>
      <c r="V4490" t="str">
        <f t="shared" si="352"/>
        <v>Mid Level</v>
      </c>
      <c r="W4490" t="str">
        <f t="shared" si="353"/>
        <v>Already Left</v>
      </c>
      <c r="X4490" t="str">
        <f t="shared" si="354"/>
        <v>Fair</v>
      </c>
    </row>
    <row r="4491" spans="1:24" x14ac:dyDescent="0.3">
      <c r="A4491" t="s">
        <v>4559</v>
      </c>
      <c r="B4491" t="s">
        <v>20</v>
      </c>
      <c r="C4491">
        <v>24</v>
      </c>
      <c r="D4491" t="s">
        <v>21</v>
      </c>
      <c r="E4491" t="s">
        <v>40</v>
      </c>
      <c r="F4491" t="s">
        <v>62</v>
      </c>
      <c r="G4491" t="s">
        <v>33</v>
      </c>
      <c r="H4491" t="s">
        <v>67</v>
      </c>
      <c r="I4491" t="s">
        <v>59</v>
      </c>
      <c r="J4491" t="s">
        <v>60</v>
      </c>
      <c r="K4491">
        <v>6</v>
      </c>
      <c r="L4491">
        <v>78788</v>
      </c>
      <c r="M4491" t="s">
        <v>28</v>
      </c>
      <c r="N4491">
        <v>1</v>
      </c>
      <c r="O4491">
        <v>1</v>
      </c>
      <c r="P4491">
        <v>35</v>
      </c>
      <c r="Q4491">
        <v>1</v>
      </c>
      <c r="R4491" s="1">
        <v>42990</v>
      </c>
      <c r="S4491" t="s">
        <v>29</v>
      </c>
      <c r="T4491" t="str">
        <f t="shared" si="350"/>
        <v>Grade B</v>
      </c>
      <c r="U4491">
        <f t="shared" si="351"/>
        <v>3</v>
      </c>
      <c r="V4491" t="str">
        <f t="shared" si="352"/>
        <v>Mid Level</v>
      </c>
      <c r="W4491" t="str">
        <f t="shared" si="353"/>
        <v>Medium Risk</v>
      </c>
      <c r="X4491" t="str">
        <f t="shared" si="354"/>
        <v>Competitive</v>
      </c>
    </row>
    <row r="4492" spans="1:24" x14ac:dyDescent="0.3">
      <c r="A4492" t="s">
        <v>4560</v>
      </c>
      <c r="B4492" t="s">
        <v>20</v>
      </c>
      <c r="C4492">
        <v>25</v>
      </c>
      <c r="D4492" t="s">
        <v>47</v>
      </c>
      <c r="E4492" t="s">
        <v>22</v>
      </c>
      <c r="F4492" t="s">
        <v>41</v>
      </c>
      <c r="G4492" t="s">
        <v>33</v>
      </c>
      <c r="H4492" t="s">
        <v>67</v>
      </c>
      <c r="I4492" t="s">
        <v>43</v>
      </c>
      <c r="J4492" t="s">
        <v>44</v>
      </c>
      <c r="K4492">
        <v>4</v>
      </c>
      <c r="L4492">
        <v>68688</v>
      </c>
      <c r="M4492" t="s">
        <v>36</v>
      </c>
      <c r="N4492">
        <v>3</v>
      </c>
      <c r="O4492">
        <v>1</v>
      </c>
      <c r="P4492">
        <v>24</v>
      </c>
      <c r="Q4492">
        <v>3</v>
      </c>
      <c r="R4492" s="1">
        <v>43821</v>
      </c>
      <c r="S4492" t="s">
        <v>37</v>
      </c>
      <c r="T4492" t="str">
        <f t="shared" si="350"/>
        <v>Grade B</v>
      </c>
      <c r="U4492">
        <f t="shared" si="351"/>
        <v>1</v>
      </c>
      <c r="V4492" t="str">
        <f t="shared" si="352"/>
        <v>Junior</v>
      </c>
      <c r="W4492" t="str">
        <f t="shared" si="353"/>
        <v>Already Left</v>
      </c>
      <c r="X4492" t="str">
        <f t="shared" si="354"/>
        <v>Fair</v>
      </c>
    </row>
    <row r="4493" spans="1:24" x14ac:dyDescent="0.3">
      <c r="A4493" t="s">
        <v>4561</v>
      </c>
      <c r="B4493" t="s">
        <v>39</v>
      </c>
      <c r="C4493">
        <v>44</v>
      </c>
      <c r="D4493" t="s">
        <v>47</v>
      </c>
      <c r="E4493" t="s">
        <v>22</v>
      </c>
      <c r="F4493" t="s">
        <v>78</v>
      </c>
      <c r="G4493" t="s">
        <v>66</v>
      </c>
      <c r="H4493" t="s">
        <v>34</v>
      </c>
      <c r="I4493" t="s">
        <v>59</v>
      </c>
      <c r="J4493" t="s">
        <v>60</v>
      </c>
      <c r="K4493">
        <v>14</v>
      </c>
      <c r="L4493">
        <v>67778</v>
      </c>
      <c r="M4493" t="s">
        <v>45</v>
      </c>
      <c r="N4493">
        <v>2</v>
      </c>
      <c r="O4493">
        <v>3</v>
      </c>
      <c r="P4493">
        <v>26</v>
      </c>
      <c r="Q4493">
        <v>3</v>
      </c>
      <c r="R4493" s="1">
        <v>39971</v>
      </c>
      <c r="S4493" t="s">
        <v>29</v>
      </c>
      <c r="T4493" t="str">
        <f t="shared" si="350"/>
        <v>Grade B</v>
      </c>
      <c r="U4493">
        <f t="shared" si="351"/>
        <v>2</v>
      </c>
      <c r="V4493" t="str">
        <f t="shared" si="352"/>
        <v>Senior</v>
      </c>
      <c r="W4493" t="str">
        <f t="shared" si="353"/>
        <v>Medium Risk</v>
      </c>
      <c r="X4493" t="str">
        <f t="shared" si="354"/>
        <v>Fair</v>
      </c>
    </row>
    <row r="4494" spans="1:24" x14ac:dyDescent="0.3">
      <c r="A4494" t="s">
        <v>4562</v>
      </c>
      <c r="B4494" t="s">
        <v>39</v>
      </c>
      <c r="C4494">
        <v>50</v>
      </c>
      <c r="D4494" t="s">
        <v>47</v>
      </c>
      <c r="E4494" t="s">
        <v>40</v>
      </c>
      <c r="F4494" t="s">
        <v>53</v>
      </c>
      <c r="G4494" t="s">
        <v>24</v>
      </c>
      <c r="H4494" t="s">
        <v>76</v>
      </c>
      <c r="I4494" t="s">
        <v>50</v>
      </c>
      <c r="J4494" t="s">
        <v>44</v>
      </c>
      <c r="K4494">
        <v>3</v>
      </c>
      <c r="L4494">
        <v>84154</v>
      </c>
      <c r="M4494" t="s">
        <v>28</v>
      </c>
      <c r="N4494">
        <v>4</v>
      </c>
      <c r="O4494">
        <v>1</v>
      </c>
      <c r="P4494">
        <v>26</v>
      </c>
      <c r="Q4494">
        <v>1</v>
      </c>
      <c r="R4494" s="1">
        <v>43886</v>
      </c>
      <c r="S4494" t="s">
        <v>29</v>
      </c>
      <c r="T4494" t="str">
        <f t="shared" si="350"/>
        <v>Grade A</v>
      </c>
      <c r="U4494">
        <f t="shared" si="351"/>
        <v>3</v>
      </c>
      <c r="V4494" t="str">
        <f t="shared" si="352"/>
        <v>Junior</v>
      </c>
      <c r="W4494" t="str">
        <f t="shared" si="353"/>
        <v>Medium Risk</v>
      </c>
      <c r="X4494" t="str">
        <f t="shared" si="354"/>
        <v>Competitive</v>
      </c>
    </row>
    <row r="4495" spans="1:24" x14ac:dyDescent="0.3">
      <c r="A4495" t="s">
        <v>4563</v>
      </c>
      <c r="B4495" t="s">
        <v>39</v>
      </c>
      <c r="C4495">
        <v>33</v>
      </c>
      <c r="D4495" t="s">
        <v>88</v>
      </c>
      <c r="E4495" t="s">
        <v>22</v>
      </c>
      <c r="F4495" t="s">
        <v>62</v>
      </c>
      <c r="G4495" t="s">
        <v>33</v>
      </c>
      <c r="H4495" t="s">
        <v>83</v>
      </c>
      <c r="I4495" t="s">
        <v>54</v>
      </c>
      <c r="J4495" t="s">
        <v>27</v>
      </c>
      <c r="K4495">
        <v>10</v>
      </c>
      <c r="L4495">
        <v>80823</v>
      </c>
      <c r="M4495" t="s">
        <v>51</v>
      </c>
      <c r="N4495">
        <v>3</v>
      </c>
      <c r="O4495">
        <v>1</v>
      </c>
      <c r="P4495">
        <v>62</v>
      </c>
      <c r="Q4495">
        <v>2</v>
      </c>
      <c r="R4495" s="1">
        <v>41607</v>
      </c>
      <c r="S4495" t="s">
        <v>37</v>
      </c>
      <c r="T4495" t="str">
        <f t="shared" si="350"/>
        <v>Grade A</v>
      </c>
      <c r="U4495">
        <f t="shared" si="351"/>
        <v>4</v>
      </c>
      <c r="V4495" t="str">
        <f t="shared" si="352"/>
        <v>Mid Level</v>
      </c>
      <c r="W4495" t="str">
        <f t="shared" si="353"/>
        <v>Already Left</v>
      </c>
      <c r="X4495" t="str">
        <f t="shared" si="354"/>
        <v>Competitive</v>
      </c>
    </row>
    <row r="4496" spans="1:24" x14ac:dyDescent="0.3">
      <c r="A4496" t="s">
        <v>4564</v>
      </c>
      <c r="B4496" t="s">
        <v>39</v>
      </c>
      <c r="C4496">
        <v>50</v>
      </c>
      <c r="D4496" t="s">
        <v>21</v>
      </c>
      <c r="E4496" t="s">
        <v>22</v>
      </c>
      <c r="F4496" t="s">
        <v>78</v>
      </c>
      <c r="G4496" t="s">
        <v>63</v>
      </c>
      <c r="H4496" t="s">
        <v>34</v>
      </c>
      <c r="I4496" t="s">
        <v>43</v>
      </c>
      <c r="J4496" t="s">
        <v>44</v>
      </c>
      <c r="K4496">
        <v>11</v>
      </c>
      <c r="L4496">
        <v>65998</v>
      </c>
      <c r="M4496" t="s">
        <v>45</v>
      </c>
      <c r="N4496">
        <v>1</v>
      </c>
      <c r="O4496">
        <v>2</v>
      </c>
      <c r="P4496">
        <v>30</v>
      </c>
      <c r="Q4496">
        <v>1</v>
      </c>
      <c r="R4496" s="1">
        <v>40967</v>
      </c>
      <c r="S4496" t="s">
        <v>29</v>
      </c>
      <c r="T4496" t="str">
        <f t="shared" si="350"/>
        <v>Grade B</v>
      </c>
      <c r="U4496">
        <f t="shared" si="351"/>
        <v>2</v>
      </c>
      <c r="V4496" t="str">
        <f t="shared" si="352"/>
        <v>Senior</v>
      </c>
      <c r="W4496" t="str">
        <f t="shared" si="353"/>
        <v>Medium Risk</v>
      </c>
      <c r="X4496" t="str">
        <f t="shared" si="354"/>
        <v>Fair</v>
      </c>
    </row>
    <row r="4497" spans="1:24" x14ac:dyDescent="0.3">
      <c r="A4497" t="s">
        <v>4565</v>
      </c>
      <c r="B4497" t="s">
        <v>20</v>
      </c>
      <c r="C4497">
        <v>35</v>
      </c>
      <c r="D4497" t="s">
        <v>47</v>
      </c>
      <c r="E4497" t="s">
        <v>22</v>
      </c>
      <c r="F4497" t="s">
        <v>62</v>
      </c>
      <c r="G4497" t="s">
        <v>24</v>
      </c>
      <c r="H4497" t="s">
        <v>25</v>
      </c>
      <c r="I4497" t="s">
        <v>35</v>
      </c>
      <c r="J4497" t="s">
        <v>27</v>
      </c>
      <c r="K4497">
        <v>12</v>
      </c>
      <c r="L4497">
        <v>92516</v>
      </c>
      <c r="M4497" t="s">
        <v>28</v>
      </c>
      <c r="N4497">
        <v>1</v>
      </c>
      <c r="O4497">
        <v>2</v>
      </c>
      <c r="P4497">
        <v>39</v>
      </c>
      <c r="Q4497">
        <v>0</v>
      </c>
      <c r="R4497" s="1">
        <v>40634</v>
      </c>
      <c r="S4497" t="s">
        <v>29</v>
      </c>
      <c r="T4497" t="str">
        <f t="shared" si="350"/>
        <v>Grade A</v>
      </c>
      <c r="U4497">
        <f t="shared" si="351"/>
        <v>3</v>
      </c>
      <c r="V4497" t="str">
        <f t="shared" si="352"/>
        <v>Senior</v>
      </c>
      <c r="W4497" t="str">
        <f t="shared" si="353"/>
        <v>Medium Risk</v>
      </c>
      <c r="X4497" t="str">
        <f t="shared" si="354"/>
        <v>Competitive</v>
      </c>
    </row>
    <row r="4498" spans="1:24" x14ac:dyDescent="0.3">
      <c r="A4498" t="s">
        <v>4566</v>
      </c>
      <c r="B4498" t="s">
        <v>39</v>
      </c>
      <c r="C4498">
        <v>30</v>
      </c>
      <c r="D4498" t="s">
        <v>88</v>
      </c>
      <c r="E4498" t="s">
        <v>22</v>
      </c>
      <c r="F4498" t="s">
        <v>23</v>
      </c>
      <c r="G4498" t="s">
        <v>66</v>
      </c>
      <c r="H4498" t="s">
        <v>25</v>
      </c>
      <c r="I4498" t="s">
        <v>50</v>
      </c>
      <c r="J4498" t="s">
        <v>44</v>
      </c>
      <c r="K4498">
        <v>10</v>
      </c>
      <c r="L4498">
        <v>57300</v>
      </c>
      <c r="M4498" t="s">
        <v>28</v>
      </c>
      <c r="N4498">
        <v>1</v>
      </c>
      <c r="O4498">
        <v>3</v>
      </c>
      <c r="P4498">
        <v>74</v>
      </c>
      <c r="Q4498">
        <v>3</v>
      </c>
      <c r="R4498" s="1">
        <v>41545</v>
      </c>
      <c r="S4498" t="s">
        <v>37</v>
      </c>
      <c r="T4498" t="str">
        <f t="shared" si="350"/>
        <v>Grade B</v>
      </c>
      <c r="U4498">
        <f t="shared" si="351"/>
        <v>3</v>
      </c>
      <c r="V4498" t="str">
        <f t="shared" si="352"/>
        <v>Mid Level</v>
      </c>
      <c r="W4498" t="str">
        <f t="shared" si="353"/>
        <v>Already Left</v>
      </c>
      <c r="X4498" t="str">
        <f t="shared" si="354"/>
        <v>Competitive</v>
      </c>
    </row>
    <row r="4499" spans="1:24" x14ac:dyDescent="0.3">
      <c r="A4499" t="s">
        <v>4567</v>
      </c>
      <c r="B4499" t="s">
        <v>39</v>
      </c>
      <c r="C4499">
        <v>33</v>
      </c>
      <c r="D4499" t="s">
        <v>31</v>
      </c>
      <c r="E4499" t="s">
        <v>48</v>
      </c>
      <c r="F4499" t="s">
        <v>23</v>
      </c>
      <c r="G4499" t="s">
        <v>33</v>
      </c>
      <c r="H4499" t="s">
        <v>67</v>
      </c>
      <c r="I4499" t="s">
        <v>68</v>
      </c>
      <c r="J4499" t="s">
        <v>60</v>
      </c>
      <c r="K4499">
        <v>13</v>
      </c>
      <c r="L4499">
        <v>87650</v>
      </c>
      <c r="M4499" t="s">
        <v>51</v>
      </c>
      <c r="N4499">
        <v>4</v>
      </c>
      <c r="O4499">
        <v>2</v>
      </c>
      <c r="P4499">
        <v>20</v>
      </c>
      <c r="Q4499">
        <v>3</v>
      </c>
      <c r="R4499" s="1">
        <v>40522</v>
      </c>
      <c r="S4499" t="s">
        <v>29</v>
      </c>
      <c r="T4499" t="str">
        <f t="shared" si="350"/>
        <v>Grade A</v>
      </c>
      <c r="U4499">
        <f t="shared" si="351"/>
        <v>4</v>
      </c>
      <c r="V4499" t="str">
        <f t="shared" si="352"/>
        <v>Senior</v>
      </c>
      <c r="W4499" t="str">
        <f t="shared" si="353"/>
        <v>Low Risk</v>
      </c>
      <c r="X4499" t="str">
        <f t="shared" si="354"/>
        <v>Competitive</v>
      </c>
    </row>
    <row r="4500" spans="1:24" x14ac:dyDescent="0.3">
      <c r="A4500" t="s">
        <v>4568</v>
      </c>
      <c r="B4500" t="s">
        <v>20</v>
      </c>
      <c r="C4500">
        <v>40</v>
      </c>
      <c r="D4500" t="s">
        <v>31</v>
      </c>
      <c r="E4500" t="s">
        <v>22</v>
      </c>
      <c r="F4500" t="s">
        <v>75</v>
      </c>
      <c r="G4500" t="s">
        <v>79</v>
      </c>
      <c r="H4500" t="s">
        <v>67</v>
      </c>
      <c r="I4500" t="s">
        <v>50</v>
      </c>
      <c r="J4500" t="s">
        <v>44</v>
      </c>
      <c r="K4500">
        <v>14</v>
      </c>
      <c r="L4500">
        <v>66705</v>
      </c>
      <c r="M4500" t="s">
        <v>28</v>
      </c>
      <c r="N4500">
        <v>4</v>
      </c>
      <c r="O4500">
        <v>2</v>
      </c>
      <c r="P4500">
        <v>10</v>
      </c>
      <c r="Q4500">
        <v>2</v>
      </c>
      <c r="R4500" s="1">
        <v>39913</v>
      </c>
      <c r="S4500" t="s">
        <v>29</v>
      </c>
      <c r="T4500" t="str">
        <f t="shared" si="350"/>
        <v>Grade B</v>
      </c>
      <c r="U4500">
        <f t="shared" si="351"/>
        <v>3</v>
      </c>
      <c r="V4500" t="str">
        <f t="shared" si="352"/>
        <v>Senior</v>
      </c>
      <c r="W4500" t="str">
        <f t="shared" si="353"/>
        <v>Medium Risk</v>
      </c>
      <c r="X4500" t="str">
        <f t="shared" si="354"/>
        <v>Competitive</v>
      </c>
    </row>
    <row r="4501" spans="1:24" x14ac:dyDescent="0.3">
      <c r="A4501" t="s">
        <v>4569</v>
      </c>
      <c r="B4501" t="s">
        <v>20</v>
      </c>
      <c r="C4501">
        <v>46</v>
      </c>
      <c r="D4501" t="s">
        <v>47</v>
      </c>
      <c r="E4501" t="s">
        <v>40</v>
      </c>
      <c r="F4501" t="s">
        <v>65</v>
      </c>
      <c r="G4501" t="s">
        <v>33</v>
      </c>
      <c r="H4501" t="s">
        <v>34</v>
      </c>
      <c r="I4501" t="s">
        <v>59</v>
      </c>
      <c r="J4501" t="s">
        <v>60</v>
      </c>
      <c r="K4501">
        <v>3</v>
      </c>
      <c r="L4501">
        <v>69554</v>
      </c>
      <c r="M4501" t="s">
        <v>36</v>
      </c>
      <c r="N4501">
        <v>2</v>
      </c>
      <c r="O4501">
        <v>3</v>
      </c>
      <c r="P4501">
        <v>27</v>
      </c>
      <c r="Q4501">
        <v>3</v>
      </c>
      <c r="R4501" s="1">
        <v>44180</v>
      </c>
      <c r="S4501" t="s">
        <v>37</v>
      </c>
      <c r="T4501" t="str">
        <f t="shared" si="350"/>
        <v>Grade B</v>
      </c>
      <c r="U4501">
        <f t="shared" si="351"/>
        <v>1</v>
      </c>
      <c r="V4501" t="str">
        <f t="shared" si="352"/>
        <v>Junior</v>
      </c>
      <c r="W4501" t="str">
        <f t="shared" si="353"/>
        <v>Already Left</v>
      </c>
      <c r="X4501" t="str">
        <f t="shared" si="354"/>
        <v>Fair</v>
      </c>
    </row>
    <row r="4502" spans="1:24" x14ac:dyDescent="0.3">
      <c r="A4502" t="s">
        <v>4570</v>
      </c>
      <c r="B4502" t="s">
        <v>39</v>
      </c>
      <c r="C4502">
        <v>39</v>
      </c>
      <c r="D4502" t="s">
        <v>47</v>
      </c>
      <c r="E4502" t="s">
        <v>22</v>
      </c>
      <c r="F4502" t="s">
        <v>78</v>
      </c>
      <c r="G4502" t="s">
        <v>42</v>
      </c>
      <c r="H4502" t="s">
        <v>76</v>
      </c>
      <c r="I4502" t="s">
        <v>59</v>
      </c>
      <c r="J4502" t="s">
        <v>60</v>
      </c>
      <c r="K4502">
        <v>13</v>
      </c>
      <c r="L4502">
        <v>129000</v>
      </c>
      <c r="M4502" t="s">
        <v>36</v>
      </c>
      <c r="N4502">
        <v>2</v>
      </c>
      <c r="O4502">
        <v>4</v>
      </c>
      <c r="P4502">
        <v>56</v>
      </c>
      <c r="Q4502">
        <v>3</v>
      </c>
      <c r="R4502" s="1">
        <v>40429</v>
      </c>
      <c r="S4502" t="s">
        <v>37</v>
      </c>
      <c r="T4502" t="str">
        <f t="shared" si="350"/>
        <v>Grade A</v>
      </c>
      <c r="U4502">
        <f t="shared" si="351"/>
        <v>1</v>
      </c>
      <c r="V4502" t="str">
        <f t="shared" si="352"/>
        <v>Senior</v>
      </c>
      <c r="W4502" t="str">
        <f t="shared" si="353"/>
        <v>Already Left</v>
      </c>
      <c r="X4502" t="str">
        <f t="shared" si="354"/>
        <v>Overpaid</v>
      </c>
    </row>
    <row r="4503" spans="1:24" x14ac:dyDescent="0.3">
      <c r="A4503" t="s">
        <v>4571</v>
      </c>
      <c r="B4503" t="s">
        <v>39</v>
      </c>
      <c r="C4503">
        <v>55</v>
      </c>
      <c r="D4503" t="s">
        <v>88</v>
      </c>
      <c r="E4503" t="s">
        <v>48</v>
      </c>
      <c r="F4503" t="s">
        <v>62</v>
      </c>
      <c r="G4503" t="s">
        <v>79</v>
      </c>
      <c r="H4503" t="s">
        <v>83</v>
      </c>
      <c r="I4503" t="s">
        <v>54</v>
      </c>
      <c r="J4503" t="s">
        <v>27</v>
      </c>
      <c r="K4503">
        <v>4</v>
      </c>
      <c r="L4503">
        <v>47741</v>
      </c>
      <c r="M4503" t="s">
        <v>45</v>
      </c>
      <c r="N4503">
        <v>3</v>
      </c>
      <c r="O4503">
        <v>2</v>
      </c>
      <c r="P4503">
        <v>57</v>
      </c>
      <c r="Q4503">
        <v>1</v>
      </c>
      <c r="R4503" s="1">
        <v>43780</v>
      </c>
      <c r="S4503" t="s">
        <v>37</v>
      </c>
      <c r="T4503" t="str">
        <f t="shared" si="350"/>
        <v>Grade C</v>
      </c>
      <c r="U4503">
        <f t="shared" si="351"/>
        <v>2</v>
      </c>
      <c r="V4503" t="str">
        <f t="shared" si="352"/>
        <v>Junior</v>
      </c>
      <c r="W4503" t="str">
        <f t="shared" si="353"/>
        <v>Already Left</v>
      </c>
      <c r="X4503" t="str">
        <f t="shared" si="354"/>
        <v>Fair</v>
      </c>
    </row>
    <row r="4504" spans="1:24" x14ac:dyDescent="0.3">
      <c r="A4504" t="s">
        <v>4572</v>
      </c>
      <c r="B4504" t="s">
        <v>20</v>
      </c>
      <c r="C4504">
        <v>48</v>
      </c>
      <c r="D4504" t="s">
        <v>47</v>
      </c>
      <c r="E4504" t="s">
        <v>40</v>
      </c>
      <c r="F4504" t="s">
        <v>78</v>
      </c>
      <c r="G4504" t="s">
        <v>24</v>
      </c>
      <c r="H4504" t="s">
        <v>83</v>
      </c>
      <c r="I4504" t="s">
        <v>59</v>
      </c>
      <c r="J4504" t="s">
        <v>60</v>
      </c>
      <c r="K4504">
        <v>15</v>
      </c>
      <c r="L4504">
        <v>112553</v>
      </c>
      <c r="M4504" t="s">
        <v>45</v>
      </c>
      <c r="N4504">
        <v>1</v>
      </c>
      <c r="O4504">
        <v>2</v>
      </c>
      <c r="P4504">
        <v>79</v>
      </c>
      <c r="Q4504">
        <v>2</v>
      </c>
      <c r="R4504" s="1">
        <v>39811</v>
      </c>
      <c r="S4504" t="s">
        <v>29</v>
      </c>
      <c r="T4504" t="str">
        <f t="shared" si="350"/>
        <v>Grade A</v>
      </c>
      <c r="U4504">
        <f t="shared" si="351"/>
        <v>2</v>
      </c>
      <c r="V4504" t="str">
        <f t="shared" si="352"/>
        <v>Senior</v>
      </c>
      <c r="W4504" t="str">
        <f t="shared" si="353"/>
        <v>Medium Risk</v>
      </c>
      <c r="X4504" t="str">
        <f t="shared" si="354"/>
        <v>Fair</v>
      </c>
    </row>
    <row r="4505" spans="1:24" x14ac:dyDescent="0.3">
      <c r="A4505" t="s">
        <v>4573</v>
      </c>
      <c r="B4505" t="s">
        <v>20</v>
      </c>
      <c r="C4505">
        <v>27</v>
      </c>
      <c r="D4505" t="s">
        <v>31</v>
      </c>
      <c r="E4505" t="s">
        <v>48</v>
      </c>
      <c r="F4505" t="s">
        <v>41</v>
      </c>
      <c r="G4505" t="s">
        <v>42</v>
      </c>
      <c r="H4505" t="s">
        <v>67</v>
      </c>
      <c r="I4505" t="s">
        <v>68</v>
      </c>
      <c r="J4505" t="s">
        <v>60</v>
      </c>
      <c r="K4505">
        <v>1</v>
      </c>
      <c r="L4505">
        <v>89970</v>
      </c>
      <c r="M4505" t="s">
        <v>51</v>
      </c>
      <c r="N4505">
        <v>4</v>
      </c>
      <c r="O4505">
        <v>3</v>
      </c>
      <c r="P4505">
        <v>79</v>
      </c>
      <c r="Q4505">
        <v>3</v>
      </c>
      <c r="R4505" s="1">
        <v>44791</v>
      </c>
      <c r="S4505" t="s">
        <v>29</v>
      </c>
      <c r="T4505" t="str">
        <f t="shared" si="350"/>
        <v>Grade A</v>
      </c>
      <c r="U4505">
        <f t="shared" si="351"/>
        <v>4</v>
      </c>
      <c r="V4505" t="str">
        <f t="shared" si="352"/>
        <v>New Joiner</v>
      </c>
      <c r="W4505" t="str">
        <f t="shared" si="353"/>
        <v>Low Risk</v>
      </c>
      <c r="X4505" t="str">
        <f t="shared" si="354"/>
        <v>Competitive</v>
      </c>
    </row>
    <row r="4506" spans="1:24" x14ac:dyDescent="0.3">
      <c r="A4506" t="s">
        <v>4574</v>
      </c>
      <c r="B4506" t="s">
        <v>20</v>
      </c>
      <c r="C4506">
        <v>24</v>
      </c>
      <c r="D4506" t="s">
        <v>88</v>
      </c>
      <c r="E4506" t="s">
        <v>40</v>
      </c>
      <c r="F4506" t="s">
        <v>32</v>
      </c>
      <c r="G4506" t="s">
        <v>33</v>
      </c>
      <c r="H4506" t="s">
        <v>67</v>
      </c>
      <c r="I4506" t="s">
        <v>50</v>
      </c>
      <c r="J4506" t="s">
        <v>44</v>
      </c>
      <c r="K4506">
        <v>9</v>
      </c>
      <c r="L4506">
        <v>68489</v>
      </c>
      <c r="M4506" t="s">
        <v>51</v>
      </c>
      <c r="N4506">
        <v>3</v>
      </c>
      <c r="O4506">
        <v>2</v>
      </c>
      <c r="P4506">
        <v>39</v>
      </c>
      <c r="Q4506">
        <v>2</v>
      </c>
      <c r="R4506" s="1">
        <v>41693</v>
      </c>
      <c r="S4506" t="s">
        <v>29</v>
      </c>
      <c r="T4506" t="str">
        <f t="shared" si="350"/>
        <v>Grade B</v>
      </c>
      <c r="U4506">
        <f t="shared" si="351"/>
        <v>4</v>
      </c>
      <c r="V4506" t="str">
        <f t="shared" si="352"/>
        <v>Mid Level</v>
      </c>
      <c r="W4506" t="str">
        <f t="shared" si="353"/>
        <v>Low Risk</v>
      </c>
      <c r="X4506" t="str">
        <f t="shared" si="354"/>
        <v>Fair</v>
      </c>
    </row>
    <row r="4507" spans="1:24" x14ac:dyDescent="0.3">
      <c r="A4507" t="s">
        <v>4575</v>
      </c>
      <c r="B4507" t="s">
        <v>39</v>
      </c>
      <c r="C4507">
        <v>49</v>
      </c>
      <c r="D4507" t="s">
        <v>88</v>
      </c>
      <c r="E4507" t="s">
        <v>22</v>
      </c>
      <c r="F4507" t="s">
        <v>62</v>
      </c>
      <c r="G4507" t="s">
        <v>79</v>
      </c>
      <c r="H4507" t="s">
        <v>83</v>
      </c>
      <c r="I4507" t="s">
        <v>54</v>
      </c>
      <c r="J4507" t="s">
        <v>27</v>
      </c>
      <c r="K4507">
        <v>12</v>
      </c>
      <c r="L4507">
        <v>67494</v>
      </c>
      <c r="M4507" t="s">
        <v>28</v>
      </c>
      <c r="N4507">
        <v>2</v>
      </c>
      <c r="O4507">
        <v>3</v>
      </c>
      <c r="P4507">
        <v>59</v>
      </c>
      <c r="Q4507">
        <v>1</v>
      </c>
      <c r="R4507" s="1">
        <v>40636</v>
      </c>
      <c r="S4507" t="s">
        <v>29</v>
      </c>
      <c r="T4507" t="str">
        <f t="shared" si="350"/>
        <v>Grade B</v>
      </c>
      <c r="U4507">
        <f t="shared" si="351"/>
        <v>3</v>
      </c>
      <c r="V4507" t="str">
        <f t="shared" si="352"/>
        <v>Senior</v>
      </c>
      <c r="W4507" t="str">
        <f t="shared" si="353"/>
        <v>Medium Risk</v>
      </c>
      <c r="X4507" t="str">
        <f t="shared" si="354"/>
        <v>Competitive</v>
      </c>
    </row>
    <row r="4508" spans="1:24" x14ac:dyDescent="0.3">
      <c r="A4508" t="s">
        <v>4576</v>
      </c>
      <c r="B4508" t="s">
        <v>20</v>
      </c>
      <c r="C4508">
        <v>45</v>
      </c>
      <c r="D4508" t="s">
        <v>57</v>
      </c>
      <c r="E4508" t="s">
        <v>22</v>
      </c>
      <c r="F4508" t="s">
        <v>53</v>
      </c>
      <c r="G4508" t="s">
        <v>42</v>
      </c>
      <c r="H4508" t="s">
        <v>67</v>
      </c>
      <c r="I4508" t="s">
        <v>43</v>
      </c>
      <c r="J4508" t="s">
        <v>44</v>
      </c>
      <c r="K4508">
        <v>11</v>
      </c>
      <c r="L4508">
        <v>121179</v>
      </c>
      <c r="M4508" t="s">
        <v>45</v>
      </c>
      <c r="N4508">
        <v>3</v>
      </c>
      <c r="O4508">
        <v>4</v>
      </c>
      <c r="P4508">
        <v>67</v>
      </c>
      <c r="Q4508">
        <v>1</v>
      </c>
      <c r="R4508" s="1">
        <v>41058</v>
      </c>
      <c r="S4508" t="s">
        <v>29</v>
      </c>
      <c r="T4508" t="str">
        <f t="shared" si="350"/>
        <v>Grade A</v>
      </c>
      <c r="U4508">
        <f t="shared" si="351"/>
        <v>2</v>
      </c>
      <c r="V4508" t="str">
        <f t="shared" si="352"/>
        <v>Senior</v>
      </c>
      <c r="W4508" t="str">
        <f t="shared" si="353"/>
        <v>Medium Risk</v>
      </c>
      <c r="X4508" t="str">
        <f t="shared" si="354"/>
        <v>Fair</v>
      </c>
    </row>
    <row r="4509" spans="1:24" x14ac:dyDescent="0.3">
      <c r="A4509" t="s">
        <v>4577</v>
      </c>
      <c r="B4509" t="s">
        <v>20</v>
      </c>
      <c r="C4509">
        <v>51</v>
      </c>
      <c r="D4509" t="s">
        <v>88</v>
      </c>
      <c r="E4509" t="s">
        <v>40</v>
      </c>
      <c r="F4509" t="s">
        <v>65</v>
      </c>
      <c r="G4509" t="s">
        <v>24</v>
      </c>
      <c r="H4509" t="s">
        <v>25</v>
      </c>
      <c r="I4509" t="s">
        <v>59</v>
      </c>
      <c r="J4509" t="s">
        <v>60</v>
      </c>
      <c r="K4509">
        <v>8</v>
      </c>
      <c r="L4509">
        <v>96118</v>
      </c>
      <c r="M4509" t="s">
        <v>51</v>
      </c>
      <c r="N4509">
        <v>2</v>
      </c>
      <c r="O4509">
        <v>4</v>
      </c>
      <c r="P4509">
        <v>15</v>
      </c>
      <c r="Q4509">
        <v>2</v>
      </c>
      <c r="R4509" s="1">
        <v>42020</v>
      </c>
      <c r="S4509" t="s">
        <v>29</v>
      </c>
      <c r="T4509" t="str">
        <f t="shared" si="350"/>
        <v>Grade A</v>
      </c>
      <c r="U4509">
        <f t="shared" si="351"/>
        <v>4</v>
      </c>
      <c r="V4509" t="str">
        <f t="shared" si="352"/>
        <v>Mid Level</v>
      </c>
      <c r="W4509" t="str">
        <f t="shared" si="353"/>
        <v>Low Risk</v>
      </c>
      <c r="X4509" t="str">
        <f t="shared" si="354"/>
        <v>Competitive</v>
      </c>
    </row>
    <row r="4510" spans="1:24" x14ac:dyDescent="0.3">
      <c r="A4510" t="s">
        <v>4578</v>
      </c>
      <c r="B4510" t="s">
        <v>39</v>
      </c>
      <c r="C4510">
        <v>48</v>
      </c>
      <c r="D4510" t="s">
        <v>88</v>
      </c>
      <c r="E4510" t="s">
        <v>48</v>
      </c>
      <c r="F4510" t="s">
        <v>62</v>
      </c>
      <c r="G4510" t="s">
        <v>33</v>
      </c>
      <c r="H4510" t="s">
        <v>25</v>
      </c>
      <c r="I4510" t="s">
        <v>54</v>
      </c>
      <c r="J4510" t="s">
        <v>27</v>
      </c>
      <c r="K4510">
        <v>2</v>
      </c>
      <c r="L4510">
        <v>61330</v>
      </c>
      <c r="M4510" t="s">
        <v>36</v>
      </c>
      <c r="N4510">
        <v>3</v>
      </c>
      <c r="O4510">
        <v>4</v>
      </c>
      <c r="P4510">
        <v>10</v>
      </c>
      <c r="Q4510">
        <v>3</v>
      </c>
      <c r="R4510" s="1">
        <v>44357</v>
      </c>
      <c r="S4510" t="s">
        <v>37</v>
      </c>
      <c r="T4510" t="str">
        <f t="shared" si="350"/>
        <v>Grade B</v>
      </c>
      <c r="U4510">
        <f t="shared" si="351"/>
        <v>1</v>
      </c>
      <c r="V4510" t="str">
        <f t="shared" si="352"/>
        <v>New Joiner</v>
      </c>
      <c r="W4510" t="str">
        <f t="shared" si="353"/>
        <v>Already Left</v>
      </c>
      <c r="X4510" t="str">
        <f t="shared" si="354"/>
        <v>Fair</v>
      </c>
    </row>
    <row r="4511" spans="1:24" x14ac:dyDescent="0.3">
      <c r="A4511" t="s">
        <v>4579</v>
      </c>
      <c r="B4511" t="s">
        <v>20</v>
      </c>
      <c r="C4511">
        <v>25</v>
      </c>
      <c r="D4511" t="s">
        <v>21</v>
      </c>
      <c r="E4511" t="s">
        <v>40</v>
      </c>
      <c r="F4511" t="s">
        <v>62</v>
      </c>
      <c r="G4511" t="s">
        <v>24</v>
      </c>
      <c r="H4511" t="s">
        <v>83</v>
      </c>
      <c r="I4511" t="s">
        <v>96</v>
      </c>
      <c r="J4511" t="s">
        <v>44</v>
      </c>
      <c r="K4511">
        <v>11</v>
      </c>
      <c r="L4511">
        <v>99635</v>
      </c>
      <c r="M4511" t="s">
        <v>51</v>
      </c>
      <c r="N4511">
        <v>4</v>
      </c>
      <c r="O4511">
        <v>1</v>
      </c>
      <c r="P4511">
        <v>23</v>
      </c>
      <c r="Q4511">
        <v>0</v>
      </c>
      <c r="R4511" s="1">
        <v>41199</v>
      </c>
      <c r="S4511" t="s">
        <v>37</v>
      </c>
      <c r="T4511" t="str">
        <f t="shared" si="350"/>
        <v>Grade A</v>
      </c>
      <c r="U4511">
        <f t="shared" si="351"/>
        <v>4</v>
      </c>
      <c r="V4511" t="str">
        <f t="shared" si="352"/>
        <v>Senior</v>
      </c>
      <c r="W4511" t="str">
        <f t="shared" si="353"/>
        <v>Already Left</v>
      </c>
      <c r="X4511" t="str">
        <f t="shared" si="354"/>
        <v>Competitive</v>
      </c>
    </row>
    <row r="4512" spans="1:24" x14ac:dyDescent="0.3">
      <c r="A4512" t="s">
        <v>4580</v>
      </c>
      <c r="B4512" t="s">
        <v>20</v>
      </c>
      <c r="C4512">
        <v>54</v>
      </c>
      <c r="D4512" t="s">
        <v>21</v>
      </c>
      <c r="E4512" t="s">
        <v>22</v>
      </c>
      <c r="F4512" t="s">
        <v>62</v>
      </c>
      <c r="G4512" t="s">
        <v>24</v>
      </c>
      <c r="H4512" t="s">
        <v>34</v>
      </c>
      <c r="I4512" t="s">
        <v>43</v>
      </c>
      <c r="J4512" t="s">
        <v>44</v>
      </c>
      <c r="K4512">
        <v>15</v>
      </c>
      <c r="L4512">
        <v>101368</v>
      </c>
      <c r="M4512" t="s">
        <v>51</v>
      </c>
      <c r="N4512">
        <v>1</v>
      </c>
      <c r="O4512">
        <v>3</v>
      </c>
      <c r="P4512">
        <v>77</v>
      </c>
      <c r="Q4512">
        <v>2</v>
      </c>
      <c r="R4512" s="1">
        <v>39635</v>
      </c>
      <c r="S4512" t="s">
        <v>29</v>
      </c>
      <c r="T4512" t="str">
        <f t="shared" si="350"/>
        <v>Grade A</v>
      </c>
      <c r="U4512">
        <f t="shared" si="351"/>
        <v>4</v>
      </c>
      <c r="V4512" t="str">
        <f t="shared" si="352"/>
        <v>Senior</v>
      </c>
      <c r="W4512" t="str">
        <f t="shared" si="353"/>
        <v>Low Risk</v>
      </c>
      <c r="X4512" t="str">
        <f t="shared" si="354"/>
        <v>Competitive</v>
      </c>
    </row>
    <row r="4513" spans="1:24" x14ac:dyDescent="0.3">
      <c r="A4513" t="s">
        <v>4581</v>
      </c>
      <c r="B4513" t="s">
        <v>39</v>
      </c>
      <c r="C4513">
        <v>31</v>
      </c>
      <c r="D4513" t="s">
        <v>88</v>
      </c>
      <c r="E4513" t="s">
        <v>48</v>
      </c>
      <c r="F4513" t="s">
        <v>62</v>
      </c>
      <c r="G4513" t="s">
        <v>79</v>
      </c>
      <c r="H4513" t="s">
        <v>76</v>
      </c>
      <c r="I4513" t="s">
        <v>35</v>
      </c>
      <c r="J4513" t="s">
        <v>27</v>
      </c>
      <c r="K4513">
        <v>5</v>
      </c>
      <c r="L4513">
        <v>42231</v>
      </c>
      <c r="M4513" t="s">
        <v>45</v>
      </c>
      <c r="N4513">
        <v>1</v>
      </c>
      <c r="O4513">
        <v>4</v>
      </c>
      <c r="P4513">
        <v>20</v>
      </c>
      <c r="Q4513">
        <v>1</v>
      </c>
      <c r="R4513" s="1">
        <v>43326</v>
      </c>
      <c r="S4513" t="s">
        <v>29</v>
      </c>
      <c r="T4513" t="str">
        <f t="shared" si="350"/>
        <v>Grade C</v>
      </c>
      <c r="U4513">
        <f t="shared" si="351"/>
        <v>2</v>
      </c>
      <c r="V4513" t="str">
        <f t="shared" si="352"/>
        <v>Junior</v>
      </c>
      <c r="W4513" t="str">
        <f t="shared" si="353"/>
        <v>Medium Risk</v>
      </c>
      <c r="X4513" t="str">
        <f t="shared" si="354"/>
        <v>Fair</v>
      </c>
    </row>
    <row r="4514" spans="1:24" x14ac:dyDescent="0.3">
      <c r="A4514" t="s">
        <v>4582</v>
      </c>
      <c r="B4514" t="s">
        <v>20</v>
      </c>
      <c r="C4514">
        <v>49</v>
      </c>
      <c r="D4514" t="s">
        <v>57</v>
      </c>
      <c r="E4514" t="s">
        <v>40</v>
      </c>
      <c r="F4514" t="s">
        <v>53</v>
      </c>
      <c r="G4514" t="s">
        <v>24</v>
      </c>
      <c r="H4514" t="s">
        <v>83</v>
      </c>
      <c r="I4514" t="s">
        <v>35</v>
      </c>
      <c r="J4514" t="s">
        <v>27</v>
      </c>
      <c r="K4514">
        <v>12</v>
      </c>
      <c r="L4514">
        <v>99251</v>
      </c>
      <c r="M4514" t="s">
        <v>36</v>
      </c>
      <c r="N4514">
        <v>2</v>
      </c>
      <c r="O4514">
        <v>2</v>
      </c>
      <c r="P4514">
        <v>62</v>
      </c>
      <c r="Q4514">
        <v>3</v>
      </c>
      <c r="R4514" s="1">
        <v>40873</v>
      </c>
      <c r="S4514" t="s">
        <v>29</v>
      </c>
      <c r="T4514" t="str">
        <f t="shared" si="350"/>
        <v>Grade A</v>
      </c>
      <c r="U4514">
        <f t="shared" si="351"/>
        <v>1</v>
      </c>
      <c r="V4514" t="str">
        <f t="shared" si="352"/>
        <v>Senior</v>
      </c>
      <c r="W4514" t="str">
        <f t="shared" si="353"/>
        <v>Medium Risk</v>
      </c>
      <c r="X4514" t="str">
        <f t="shared" si="354"/>
        <v>Overpaid</v>
      </c>
    </row>
    <row r="4515" spans="1:24" x14ac:dyDescent="0.3">
      <c r="A4515" t="s">
        <v>4583</v>
      </c>
      <c r="B4515" t="s">
        <v>20</v>
      </c>
      <c r="C4515">
        <v>36</v>
      </c>
      <c r="D4515" t="s">
        <v>57</v>
      </c>
      <c r="E4515" t="s">
        <v>40</v>
      </c>
      <c r="F4515" t="s">
        <v>75</v>
      </c>
      <c r="G4515" t="s">
        <v>66</v>
      </c>
      <c r="H4515" t="s">
        <v>76</v>
      </c>
      <c r="I4515" t="s">
        <v>72</v>
      </c>
      <c r="J4515" t="s">
        <v>73</v>
      </c>
      <c r="K4515">
        <v>12</v>
      </c>
      <c r="L4515">
        <v>68162</v>
      </c>
      <c r="M4515" t="s">
        <v>36</v>
      </c>
      <c r="N4515">
        <v>4</v>
      </c>
      <c r="O4515">
        <v>3</v>
      </c>
      <c r="P4515">
        <v>52</v>
      </c>
      <c r="Q4515">
        <v>3</v>
      </c>
      <c r="R4515" s="1">
        <v>40628</v>
      </c>
      <c r="S4515" t="s">
        <v>29</v>
      </c>
      <c r="T4515" t="str">
        <f t="shared" si="350"/>
        <v>Grade B</v>
      </c>
      <c r="U4515">
        <f t="shared" si="351"/>
        <v>1</v>
      </c>
      <c r="V4515" t="str">
        <f t="shared" si="352"/>
        <v>Senior</v>
      </c>
      <c r="W4515" t="str">
        <f t="shared" si="353"/>
        <v>Medium Risk</v>
      </c>
      <c r="X4515" t="str">
        <f t="shared" si="354"/>
        <v>Fair</v>
      </c>
    </row>
    <row r="4516" spans="1:24" x14ac:dyDescent="0.3">
      <c r="A4516" t="s">
        <v>4584</v>
      </c>
      <c r="B4516" t="s">
        <v>20</v>
      </c>
      <c r="C4516">
        <v>23</v>
      </c>
      <c r="D4516" t="s">
        <v>57</v>
      </c>
      <c r="E4516" t="s">
        <v>22</v>
      </c>
      <c r="F4516" t="s">
        <v>41</v>
      </c>
      <c r="G4516" t="s">
        <v>24</v>
      </c>
      <c r="H4516" t="s">
        <v>34</v>
      </c>
      <c r="I4516" t="s">
        <v>26</v>
      </c>
      <c r="J4516" t="s">
        <v>27</v>
      </c>
      <c r="K4516">
        <v>12</v>
      </c>
      <c r="L4516">
        <v>98248</v>
      </c>
      <c r="M4516" t="s">
        <v>36</v>
      </c>
      <c r="N4516">
        <v>2</v>
      </c>
      <c r="O4516">
        <v>4</v>
      </c>
      <c r="P4516">
        <v>78</v>
      </c>
      <c r="Q4516">
        <v>3</v>
      </c>
      <c r="R4516" s="1">
        <v>40641</v>
      </c>
      <c r="S4516" t="s">
        <v>37</v>
      </c>
      <c r="T4516" t="str">
        <f t="shared" si="350"/>
        <v>Grade A</v>
      </c>
      <c r="U4516">
        <f t="shared" si="351"/>
        <v>1</v>
      </c>
      <c r="V4516" t="str">
        <f t="shared" si="352"/>
        <v>Senior</v>
      </c>
      <c r="W4516" t="str">
        <f t="shared" si="353"/>
        <v>Already Left</v>
      </c>
      <c r="X4516" t="str">
        <f t="shared" si="354"/>
        <v>Overpaid</v>
      </c>
    </row>
    <row r="4517" spans="1:24" x14ac:dyDescent="0.3">
      <c r="A4517" t="s">
        <v>4585</v>
      </c>
      <c r="B4517" t="s">
        <v>39</v>
      </c>
      <c r="C4517">
        <v>36</v>
      </c>
      <c r="D4517" t="s">
        <v>57</v>
      </c>
      <c r="E4517" t="s">
        <v>22</v>
      </c>
      <c r="F4517" t="s">
        <v>78</v>
      </c>
      <c r="G4517" t="s">
        <v>33</v>
      </c>
      <c r="H4517" t="s">
        <v>67</v>
      </c>
      <c r="I4517" t="s">
        <v>80</v>
      </c>
      <c r="J4517" t="s">
        <v>60</v>
      </c>
      <c r="K4517">
        <v>13</v>
      </c>
      <c r="L4517">
        <v>82936</v>
      </c>
      <c r="M4517" t="s">
        <v>36</v>
      </c>
      <c r="N4517">
        <v>3</v>
      </c>
      <c r="O4517">
        <v>2</v>
      </c>
      <c r="P4517">
        <v>61</v>
      </c>
      <c r="Q4517">
        <v>2</v>
      </c>
      <c r="R4517" s="1">
        <v>40282</v>
      </c>
      <c r="S4517" t="s">
        <v>37</v>
      </c>
      <c r="T4517" t="str">
        <f t="shared" si="350"/>
        <v>Grade A</v>
      </c>
      <c r="U4517">
        <f t="shared" si="351"/>
        <v>1</v>
      </c>
      <c r="V4517" t="str">
        <f t="shared" si="352"/>
        <v>Senior</v>
      </c>
      <c r="W4517" t="str">
        <f t="shared" si="353"/>
        <v>Already Left</v>
      </c>
      <c r="X4517" t="str">
        <f t="shared" si="354"/>
        <v>Overpaid</v>
      </c>
    </row>
    <row r="4518" spans="1:24" x14ac:dyDescent="0.3">
      <c r="A4518" t="s">
        <v>4586</v>
      </c>
      <c r="B4518" t="s">
        <v>39</v>
      </c>
      <c r="C4518">
        <v>52</v>
      </c>
      <c r="D4518" t="s">
        <v>31</v>
      </c>
      <c r="E4518" t="s">
        <v>40</v>
      </c>
      <c r="F4518" t="s">
        <v>78</v>
      </c>
      <c r="G4518" t="s">
        <v>24</v>
      </c>
      <c r="H4518" t="s">
        <v>76</v>
      </c>
      <c r="I4518" t="s">
        <v>50</v>
      </c>
      <c r="J4518" t="s">
        <v>44</v>
      </c>
      <c r="K4518">
        <v>1</v>
      </c>
      <c r="L4518">
        <v>84648</v>
      </c>
      <c r="M4518" t="s">
        <v>28</v>
      </c>
      <c r="N4518">
        <v>3</v>
      </c>
      <c r="O4518">
        <v>4</v>
      </c>
      <c r="P4518">
        <v>33</v>
      </c>
      <c r="Q4518">
        <v>2</v>
      </c>
      <c r="R4518" s="1">
        <v>44563</v>
      </c>
      <c r="S4518" t="s">
        <v>29</v>
      </c>
      <c r="T4518" t="str">
        <f t="shared" si="350"/>
        <v>Grade A</v>
      </c>
      <c r="U4518">
        <f t="shared" si="351"/>
        <v>3</v>
      </c>
      <c r="V4518" t="str">
        <f t="shared" si="352"/>
        <v>New Joiner</v>
      </c>
      <c r="W4518" t="str">
        <f t="shared" si="353"/>
        <v>Medium Risk</v>
      </c>
      <c r="X4518" t="str">
        <f t="shared" si="354"/>
        <v>Competitive</v>
      </c>
    </row>
    <row r="4519" spans="1:24" x14ac:dyDescent="0.3">
      <c r="A4519" t="s">
        <v>4587</v>
      </c>
      <c r="B4519" t="s">
        <v>39</v>
      </c>
      <c r="C4519">
        <v>40</v>
      </c>
      <c r="D4519" t="s">
        <v>21</v>
      </c>
      <c r="E4519" t="s">
        <v>48</v>
      </c>
      <c r="F4519" t="s">
        <v>32</v>
      </c>
      <c r="G4519" t="s">
        <v>79</v>
      </c>
      <c r="H4519" t="s">
        <v>67</v>
      </c>
      <c r="I4519" t="s">
        <v>26</v>
      </c>
      <c r="J4519" t="s">
        <v>27</v>
      </c>
      <c r="K4519">
        <v>6</v>
      </c>
      <c r="L4519">
        <v>46227</v>
      </c>
      <c r="M4519" t="s">
        <v>45</v>
      </c>
      <c r="N4519">
        <v>2</v>
      </c>
      <c r="O4519">
        <v>1</v>
      </c>
      <c r="P4519">
        <v>54</v>
      </c>
      <c r="Q4519">
        <v>1</v>
      </c>
      <c r="R4519" s="1">
        <v>42756</v>
      </c>
      <c r="S4519" t="s">
        <v>29</v>
      </c>
      <c r="T4519" t="str">
        <f t="shared" si="350"/>
        <v>Grade C</v>
      </c>
      <c r="U4519">
        <f t="shared" si="351"/>
        <v>2</v>
      </c>
      <c r="V4519" t="str">
        <f t="shared" si="352"/>
        <v>Mid Level</v>
      </c>
      <c r="W4519" t="str">
        <f t="shared" si="353"/>
        <v>Medium Risk</v>
      </c>
      <c r="X4519" t="str">
        <f t="shared" si="354"/>
        <v>Fair</v>
      </c>
    </row>
    <row r="4520" spans="1:24" x14ac:dyDescent="0.3">
      <c r="A4520" t="s">
        <v>4588</v>
      </c>
      <c r="B4520" t="s">
        <v>39</v>
      </c>
      <c r="C4520">
        <v>44</v>
      </c>
      <c r="D4520" t="s">
        <v>21</v>
      </c>
      <c r="E4520" t="s">
        <v>22</v>
      </c>
      <c r="F4520" t="s">
        <v>62</v>
      </c>
      <c r="G4520" t="s">
        <v>49</v>
      </c>
      <c r="H4520" t="s">
        <v>25</v>
      </c>
      <c r="I4520" t="s">
        <v>72</v>
      </c>
      <c r="J4520" t="s">
        <v>73</v>
      </c>
      <c r="K4520">
        <v>5</v>
      </c>
      <c r="L4520">
        <v>60025</v>
      </c>
      <c r="M4520" t="s">
        <v>51</v>
      </c>
      <c r="N4520">
        <v>4</v>
      </c>
      <c r="O4520">
        <v>2</v>
      </c>
      <c r="P4520">
        <v>14</v>
      </c>
      <c r="Q4520">
        <v>2</v>
      </c>
      <c r="R4520" s="1">
        <v>43190</v>
      </c>
      <c r="S4520" t="s">
        <v>29</v>
      </c>
      <c r="T4520" t="str">
        <f t="shared" si="350"/>
        <v>Grade B</v>
      </c>
      <c r="U4520">
        <f t="shared" si="351"/>
        <v>4</v>
      </c>
      <c r="V4520" t="str">
        <f t="shared" si="352"/>
        <v>Junior</v>
      </c>
      <c r="W4520" t="str">
        <f t="shared" si="353"/>
        <v>Low Risk</v>
      </c>
      <c r="X4520" t="str">
        <f t="shared" si="354"/>
        <v>Fair</v>
      </c>
    </row>
    <row r="4521" spans="1:24" x14ac:dyDescent="0.3">
      <c r="A4521" t="s">
        <v>4589</v>
      </c>
      <c r="B4521" t="s">
        <v>39</v>
      </c>
      <c r="C4521">
        <v>34</v>
      </c>
      <c r="D4521" t="s">
        <v>31</v>
      </c>
      <c r="E4521" t="s">
        <v>40</v>
      </c>
      <c r="F4521" t="s">
        <v>23</v>
      </c>
      <c r="G4521" t="s">
        <v>79</v>
      </c>
      <c r="H4521" t="s">
        <v>67</v>
      </c>
      <c r="I4521" t="s">
        <v>26</v>
      </c>
      <c r="J4521" t="s">
        <v>27</v>
      </c>
      <c r="K4521">
        <v>12</v>
      </c>
      <c r="L4521">
        <v>65790</v>
      </c>
      <c r="M4521" t="s">
        <v>45</v>
      </c>
      <c r="N4521">
        <v>3</v>
      </c>
      <c r="O4521">
        <v>2</v>
      </c>
      <c r="P4521">
        <v>76</v>
      </c>
      <c r="Q4521">
        <v>1</v>
      </c>
      <c r="R4521" s="1">
        <v>40757</v>
      </c>
      <c r="S4521" t="s">
        <v>29</v>
      </c>
      <c r="T4521" t="str">
        <f t="shared" si="350"/>
        <v>Grade B</v>
      </c>
      <c r="U4521">
        <f t="shared" si="351"/>
        <v>2</v>
      </c>
      <c r="V4521" t="str">
        <f t="shared" si="352"/>
        <v>Senior</v>
      </c>
      <c r="W4521" t="str">
        <f t="shared" si="353"/>
        <v>Medium Risk</v>
      </c>
      <c r="X4521" t="str">
        <f t="shared" si="354"/>
        <v>Fair</v>
      </c>
    </row>
    <row r="4522" spans="1:24" x14ac:dyDescent="0.3">
      <c r="A4522" t="s">
        <v>4590</v>
      </c>
      <c r="B4522" t="s">
        <v>39</v>
      </c>
      <c r="C4522">
        <v>39</v>
      </c>
      <c r="D4522" t="s">
        <v>88</v>
      </c>
      <c r="E4522" t="s">
        <v>48</v>
      </c>
      <c r="F4522" t="s">
        <v>53</v>
      </c>
      <c r="G4522" t="s">
        <v>58</v>
      </c>
      <c r="H4522" t="s">
        <v>76</v>
      </c>
      <c r="I4522" t="s">
        <v>72</v>
      </c>
      <c r="J4522" t="s">
        <v>73</v>
      </c>
      <c r="K4522">
        <v>7</v>
      </c>
      <c r="L4522">
        <v>103616</v>
      </c>
      <c r="M4522" t="s">
        <v>51</v>
      </c>
      <c r="N4522">
        <v>4</v>
      </c>
      <c r="O4522">
        <v>3</v>
      </c>
      <c r="P4522">
        <v>28</v>
      </c>
      <c r="Q4522">
        <v>1</v>
      </c>
      <c r="R4522" s="1">
        <v>42406</v>
      </c>
      <c r="S4522" t="s">
        <v>29</v>
      </c>
      <c r="T4522" t="str">
        <f t="shared" si="350"/>
        <v>Grade A</v>
      </c>
      <c r="U4522">
        <f t="shared" si="351"/>
        <v>4</v>
      </c>
      <c r="V4522" t="str">
        <f t="shared" si="352"/>
        <v>Mid Level</v>
      </c>
      <c r="W4522" t="str">
        <f t="shared" si="353"/>
        <v>Low Risk</v>
      </c>
      <c r="X4522" t="str">
        <f t="shared" si="354"/>
        <v>Competitive</v>
      </c>
    </row>
    <row r="4523" spans="1:24" x14ac:dyDescent="0.3">
      <c r="A4523" t="s">
        <v>4591</v>
      </c>
      <c r="B4523" t="s">
        <v>39</v>
      </c>
      <c r="C4523">
        <v>40</v>
      </c>
      <c r="D4523" t="s">
        <v>21</v>
      </c>
      <c r="E4523" t="s">
        <v>48</v>
      </c>
      <c r="F4523" t="s">
        <v>41</v>
      </c>
      <c r="G4523" t="s">
        <v>24</v>
      </c>
      <c r="H4523" t="s">
        <v>76</v>
      </c>
      <c r="I4523" t="s">
        <v>43</v>
      </c>
      <c r="J4523" t="s">
        <v>44</v>
      </c>
      <c r="K4523">
        <v>4</v>
      </c>
      <c r="L4523">
        <v>83239</v>
      </c>
      <c r="M4523" t="s">
        <v>51</v>
      </c>
      <c r="N4523">
        <v>4</v>
      </c>
      <c r="O4523">
        <v>2</v>
      </c>
      <c r="P4523">
        <v>20</v>
      </c>
      <c r="Q4523">
        <v>0</v>
      </c>
      <c r="R4523" s="1">
        <v>43739</v>
      </c>
      <c r="S4523" t="s">
        <v>29</v>
      </c>
      <c r="T4523" t="str">
        <f t="shared" si="350"/>
        <v>Grade A</v>
      </c>
      <c r="U4523">
        <f t="shared" si="351"/>
        <v>4</v>
      </c>
      <c r="V4523" t="str">
        <f t="shared" si="352"/>
        <v>Junior</v>
      </c>
      <c r="W4523" t="str">
        <f t="shared" si="353"/>
        <v>Low Risk</v>
      </c>
      <c r="X4523" t="str">
        <f t="shared" si="354"/>
        <v>Competitive</v>
      </c>
    </row>
    <row r="4524" spans="1:24" x14ac:dyDescent="0.3">
      <c r="A4524" t="s">
        <v>4592</v>
      </c>
      <c r="B4524" t="s">
        <v>39</v>
      </c>
      <c r="C4524">
        <v>23</v>
      </c>
      <c r="D4524" t="s">
        <v>21</v>
      </c>
      <c r="E4524" t="s">
        <v>22</v>
      </c>
      <c r="F4524" t="s">
        <v>23</v>
      </c>
      <c r="G4524" t="s">
        <v>42</v>
      </c>
      <c r="H4524" t="s">
        <v>83</v>
      </c>
      <c r="I4524" t="s">
        <v>96</v>
      </c>
      <c r="J4524" t="s">
        <v>44</v>
      </c>
      <c r="K4524">
        <v>3</v>
      </c>
      <c r="L4524">
        <v>101296</v>
      </c>
      <c r="M4524" t="s">
        <v>45</v>
      </c>
      <c r="N4524">
        <v>4</v>
      </c>
      <c r="O4524">
        <v>1</v>
      </c>
      <c r="P4524">
        <v>71</v>
      </c>
      <c r="Q4524">
        <v>1</v>
      </c>
      <c r="R4524" s="1">
        <v>43996</v>
      </c>
      <c r="S4524" t="s">
        <v>29</v>
      </c>
      <c r="T4524" t="str">
        <f t="shared" si="350"/>
        <v>Grade A</v>
      </c>
      <c r="U4524">
        <f t="shared" si="351"/>
        <v>2</v>
      </c>
      <c r="V4524" t="str">
        <f t="shared" si="352"/>
        <v>Junior</v>
      </c>
      <c r="W4524" t="str">
        <f t="shared" si="353"/>
        <v>Medium Risk</v>
      </c>
      <c r="X4524" t="str">
        <f t="shared" si="354"/>
        <v>Fair</v>
      </c>
    </row>
    <row r="4525" spans="1:24" x14ac:dyDescent="0.3">
      <c r="A4525" t="s">
        <v>4593</v>
      </c>
      <c r="B4525" t="s">
        <v>39</v>
      </c>
      <c r="C4525">
        <v>44</v>
      </c>
      <c r="D4525" t="s">
        <v>47</v>
      </c>
      <c r="E4525" t="s">
        <v>22</v>
      </c>
      <c r="F4525" t="s">
        <v>62</v>
      </c>
      <c r="G4525" t="s">
        <v>58</v>
      </c>
      <c r="H4525" t="s">
        <v>83</v>
      </c>
      <c r="I4525" t="s">
        <v>50</v>
      </c>
      <c r="J4525" t="s">
        <v>44</v>
      </c>
      <c r="K4525">
        <v>8</v>
      </c>
      <c r="L4525">
        <v>109840</v>
      </c>
      <c r="M4525" t="s">
        <v>28</v>
      </c>
      <c r="N4525">
        <v>1</v>
      </c>
      <c r="O4525">
        <v>4</v>
      </c>
      <c r="P4525">
        <v>25</v>
      </c>
      <c r="Q4525">
        <v>3</v>
      </c>
      <c r="R4525" s="1">
        <v>42272</v>
      </c>
      <c r="S4525" t="s">
        <v>29</v>
      </c>
      <c r="T4525" t="str">
        <f t="shared" si="350"/>
        <v>Grade A</v>
      </c>
      <c r="U4525">
        <f t="shared" si="351"/>
        <v>3</v>
      </c>
      <c r="V4525" t="str">
        <f t="shared" si="352"/>
        <v>Mid Level</v>
      </c>
      <c r="W4525" t="str">
        <f t="shared" si="353"/>
        <v>Medium Risk</v>
      </c>
      <c r="X4525" t="str">
        <f t="shared" si="354"/>
        <v>Competitive</v>
      </c>
    </row>
    <row r="4526" spans="1:24" x14ac:dyDescent="0.3">
      <c r="A4526" t="s">
        <v>4594</v>
      </c>
      <c r="B4526" t="s">
        <v>39</v>
      </c>
      <c r="C4526">
        <v>49</v>
      </c>
      <c r="D4526" t="s">
        <v>88</v>
      </c>
      <c r="E4526" t="s">
        <v>40</v>
      </c>
      <c r="F4526" t="s">
        <v>75</v>
      </c>
      <c r="G4526" t="s">
        <v>63</v>
      </c>
      <c r="H4526" t="s">
        <v>67</v>
      </c>
      <c r="I4526" t="s">
        <v>35</v>
      </c>
      <c r="J4526" t="s">
        <v>27</v>
      </c>
      <c r="K4526">
        <v>15</v>
      </c>
      <c r="L4526">
        <v>67964</v>
      </c>
      <c r="M4526" t="s">
        <v>45</v>
      </c>
      <c r="N4526">
        <v>4</v>
      </c>
      <c r="O4526">
        <v>3</v>
      </c>
      <c r="P4526">
        <v>59</v>
      </c>
      <c r="Q4526">
        <v>2</v>
      </c>
      <c r="R4526" s="1">
        <v>39609</v>
      </c>
      <c r="S4526" t="s">
        <v>29</v>
      </c>
      <c r="T4526" t="str">
        <f t="shared" si="350"/>
        <v>Grade B</v>
      </c>
      <c r="U4526">
        <f t="shared" si="351"/>
        <v>2</v>
      </c>
      <c r="V4526" t="str">
        <f t="shared" si="352"/>
        <v>Senior</v>
      </c>
      <c r="W4526" t="str">
        <f t="shared" si="353"/>
        <v>Medium Risk</v>
      </c>
      <c r="X4526" t="str">
        <f t="shared" si="354"/>
        <v>Fair</v>
      </c>
    </row>
    <row r="4527" spans="1:24" x14ac:dyDescent="0.3">
      <c r="A4527" t="s">
        <v>4595</v>
      </c>
      <c r="B4527" t="s">
        <v>20</v>
      </c>
      <c r="C4527">
        <v>36</v>
      </c>
      <c r="D4527" t="s">
        <v>57</v>
      </c>
      <c r="E4527" t="s">
        <v>40</v>
      </c>
      <c r="F4527" t="s">
        <v>62</v>
      </c>
      <c r="G4527" t="s">
        <v>63</v>
      </c>
      <c r="H4527" t="s">
        <v>25</v>
      </c>
      <c r="I4527" t="s">
        <v>50</v>
      </c>
      <c r="J4527" t="s">
        <v>44</v>
      </c>
      <c r="K4527">
        <v>10</v>
      </c>
      <c r="L4527">
        <v>55172</v>
      </c>
      <c r="M4527" t="s">
        <v>36</v>
      </c>
      <c r="N4527">
        <v>4</v>
      </c>
      <c r="O4527">
        <v>3</v>
      </c>
      <c r="P4527">
        <v>31</v>
      </c>
      <c r="Q4527">
        <v>0</v>
      </c>
      <c r="R4527" s="1">
        <v>41377</v>
      </c>
      <c r="S4527" t="s">
        <v>37</v>
      </c>
      <c r="T4527" t="str">
        <f t="shared" si="350"/>
        <v>Grade B</v>
      </c>
      <c r="U4527">
        <f t="shared" si="351"/>
        <v>1</v>
      </c>
      <c r="V4527" t="str">
        <f t="shared" si="352"/>
        <v>Mid Level</v>
      </c>
      <c r="W4527" t="str">
        <f t="shared" si="353"/>
        <v>Already Left</v>
      </c>
      <c r="X4527" t="str">
        <f t="shared" si="354"/>
        <v>Fair</v>
      </c>
    </row>
    <row r="4528" spans="1:24" x14ac:dyDescent="0.3">
      <c r="A4528" t="s">
        <v>4596</v>
      </c>
      <c r="B4528" t="s">
        <v>20</v>
      </c>
      <c r="C4528">
        <v>34</v>
      </c>
      <c r="D4528" t="s">
        <v>21</v>
      </c>
      <c r="E4528" t="s">
        <v>22</v>
      </c>
      <c r="F4528" t="s">
        <v>78</v>
      </c>
      <c r="G4528" t="s">
        <v>49</v>
      </c>
      <c r="H4528" t="s">
        <v>83</v>
      </c>
      <c r="I4528" t="s">
        <v>35</v>
      </c>
      <c r="J4528" t="s">
        <v>27</v>
      </c>
      <c r="K4528">
        <v>14</v>
      </c>
      <c r="L4528">
        <v>81462</v>
      </c>
      <c r="M4528" t="s">
        <v>51</v>
      </c>
      <c r="N4528">
        <v>2</v>
      </c>
      <c r="O4528">
        <v>1</v>
      </c>
      <c r="P4528">
        <v>21</v>
      </c>
      <c r="Q4528">
        <v>1</v>
      </c>
      <c r="R4528" s="1">
        <v>40003</v>
      </c>
      <c r="S4528" t="s">
        <v>29</v>
      </c>
      <c r="T4528" t="str">
        <f t="shared" si="350"/>
        <v>Grade A</v>
      </c>
      <c r="U4528">
        <f t="shared" si="351"/>
        <v>4</v>
      </c>
      <c r="V4528" t="str">
        <f t="shared" si="352"/>
        <v>Senior</v>
      </c>
      <c r="W4528" t="str">
        <f t="shared" si="353"/>
        <v>Low Risk</v>
      </c>
      <c r="X4528" t="str">
        <f t="shared" si="354"/>
        <v>Competitive</v>
      </c>
    </row>
    <row r="4529" spans="1:24" x14ac:dyDescent="0.3">
      <c r="A4529" t="s">
        <v>4597</v>
      </c>
      <c r="B4529" t="s">
        <v>39</v>
      </c>
      <c r="C4529">
        <v>39</v>
      </c>
      <c r="D4529" t="s">
        <v>88</v>
      </c>
      <c r="E4529" t="s">
        <v>48</v>
      </c>
      <c r="F4529" t="s">
        <v>23</v>
      </c>
      <c r="G4529" t="s">
        <v>42</v>
      </c>
      <c r="H4529" t="s">
        <v>76</v>
      </c>
      <c r="I4529" t="s">
        <v>96</v>
      </c>
      <c r="J4529" t="s">
        <v>44</v>
      </c>
      <c r="K4529">
        <v>6</v>
      </c>
      <c r="L4529">
        <v>112732</v>
      </c>
      <c r="M4529" t="s">
        <v>45</v>
      </c>
      <c r="N4529">
        <v>1</v>
      </c>
      <c r="O4529">
        <v>1</v>
      </c>
      <c r="P4529">
        <v>40</v>
      </c>
      <c r="Q4529">
        <v>0</v>
      </c>
      <c r="R4529" s="1">
        <v>42998</v>
      </c>
      <c r="S4529" t="s">
        <v>29</v>
      </c>
      <c r="T4529" t="str">
        <f t="shared" si="350"/>
        <v>Grade A</v>
      </c>
      <c r="U4529">
        <f t="shared" si="351"/>
        <v>2</v>
      </c>
      <c r="V4529" t="str">
        <f t="shared" si="352"/>
        <v>Mid Level</v>
      </c>
      <c r="W4529" t="str">
        <f t="shared" si="353"/>
        <v>Medium Risk</v>
      </c>
      <c r="X4529" t="str">
        <f t="shared" si="354"/>
        <v>Fair</v>
      </c>
    </row>
    <row r="4530" spans="1:24" x14ac:dyDescent="0.3">
      <c r="A4530" t="s">
        <v>4598</v>
      </c>
      <c r="B4530" t="s">
        <v>39</v>
      </c>
      <c r="C4530">
        <v>51</v>
      </c>
      <c r="D4530" t="s">
        <v>57</v>
      </c>
      <c r="E4530" t="s">
        <v>48</v>
      </c>
      <c r="F4530" t="s">
        <v>32</v>
      </c>
      <c r="G4530" t="s">
        <v>79</v>
      </c>
      <c r="H4530" t="s">
        <v>76</v>
      </c>
      <c r="I4530" t="s">
        <v>59</v>
      </c>
      <c r="J4530" t="s">
        <v>60</v>
      </c>
      <c r="K4530">
        <v>7</v>
      </c>
      <c r="L4530">
        <v>60822</v>
      </c>
      <c r="M4530" t="s">
        <v>51</v>
      </c>
      <c r="N4530">
        <v>1</v>
      </c>
      <c r="O4530">
        <v>4</v>
      </c>
      <c r="P4530">
        <v>42</v>
      </c>
      <c r="Q4530">
        <v>2</v>
      </c>
      <c r="R4530" s="1">
        <v>42737</v>
      </c>
      <c r="S4530" t="s">
        <v>29</v>
      </c>
      <c r="T4530" t="str">
        <f t="shared" si="350"/>
        <v>Grade B</v>
      </c>
      <c r="U4530">
        <f t="shared" si="351"/>
        <v>4</v>
      </c>
      <c r="V4530" t="str">
        <f t="shared" si="352"/>
        <v>Mid Level</v>
      </c>
      <c r="W4530" t="str">
        <f t="shared" si="353"/>
        <v>Low Risk</v>
      </c>
      <c r="X4530" t="str">
        <f t="shared" si="354"/>
        <v>Fair</v>
      </c>
    </row>
    <row r="4531" spans="1:24" x14ac:dyDescent="0.3">
      <c r="A4531" t="s">
        <v>4599</v>
      </c>
      <c r="B4531" t="s">
        <v>39</v>
      </c>
      <c r="C4531">
        <v>46</v>
      </c>
      <c r="D4531" t="s">
        <v>88</v>
      </c>
      <c r="E4531" t="s">
        <v>40</v>
      </c>
      <c r="F4531" t="s">
        <v>32</v>
      </c>
      <c r="G4531" t="s">
        <v>33</v>
      </c>
      <c r="H4531" t="s">
        <v>83</v>
      </c>
      <c r="I4531" t="s">
        <v>50</v>
      </c>
      <c r="J4531" t="s">
        <v>44</v>
      </c>
      <c r="K4531">
        <v>8</v>
      </c>
      <c r="L4531">
        <v>79948</v>
      </c>
      <c r="M4531" t="s">
        <v>45</v>
      </c>
      <c r="N4531">
        <v>2</v>
      </c>
      <c r="O4531">
        <v>4</v>
      </c>
      <c r="P4531">
        <v>12</v>
      </c>
      <c r="Q4531">
        <v>0</v>
      </c>
      <c r="R4531" s="1">
        <v>42224</v>
      </c>
      <c r="S4531" t="s">
        <v>37</v>
      </c>
      <c r="T4531" t="str">
        <f t="shared" si="350"/>
        <v>Grade B</v>
      </c>
      <c r="U4531">
        <f t="shared" si="351"/>
        <v>2</v>
      </c>
      <c r="V4531" t="str">
        <f t="shared" si="352"/>
        <v>Mid Level</v>
      </c>
      <c r="W4531" t="str">
        <f t="shared" si="353"/>
        <v>Already Left</v>
      </c>
      <c r="X4531" t="str">
        <f t="shared" si="354"/>
        <v>Fair</v>
      </c>
    </row>
    <row r="4532" spans="1:24" x14ac:dyDescent="0.3">
      <c r="A4532" t="s">
        <v>4600</v>
      </c>
      <c r="B4532" t="s">
        <v>20</v>
      </c>
      <c r="C4532">
        <v>28</v>
      </c>
      <c r="D4532" t="s">
        <v>57</v>
      </c>
      <c r="E4532" t="s">
        <v>48</v>
      </c>
      <c r="F4532" t="s">
        <v>62</v>
      </c>
      <c r="G4532" t="s">
        <v>66</v>
      </c>
      <c r="H4532" t="s">
        <v>67</v>
      </c>
      <c r="I4532" t="s">
        <v>72</v>
      </c>
      <c r="J4532" t="s">
        <v>73</v>
      </c>
      <c r="K4532">
        <v>4</v>
      </c>
      <c r="L4532">
        <v>49007</v>
      </c>
      <c r="M4532" t="s">
        <v>36</v>
      </c>
      <c r="N4532">
        <v>3</v>
      </c>
      <c r="O4532">
        <v>3</v>
      </c>
      <c r="P4532">
        <v>47</v>
      </c>
      <c r="Q4532">
        <v>0</v>
      </c>
      <c r="R4532" s="1">
        <v>43547</v>
      </c>
      <c r="S4532" t="s">
        <v>37</v>
      </c>
      <c r="T4532" t="str">
        <f t="shared" si="350"/>
        <v>Grade C</v>
      </c>
      <c r="U4532">
        <f t="shared" si="351"/>
        <v>1</v>
      </c>
      <c r="V4532" t="str">
        <f t="shared" si="352"/>
        <v>Junior</v>
      </c>
      <c r="W4532" t="str">
        <f t="shared" si="353"/>
        <v>Already Left</v>
      </c>
      <c r="X4532" t="str">
        <f t="shared" si="354"/>
        <v>Fair</v>
      </c>
    </row>
    <row r="4533" spans="1:24" x14ac:dyDescent="0.3">
      <c r="A4533" t="s">
        <v>4601</v>
      </c>
      <c r="B4533" t="s">
        <v>20</v>
      </c>
      <c r="C4533">
        <v>36</v>
      </c>
      <c r="D4533" t="s">
        <v>57</v>
      </c>
      <c r="E4533" t="s">
        <v>22</v>
      </c>
      <c r="F4533" t="s">
        <v>53</v>
      </c>
      <c r="G4533" t="s">
        <v>49</v>
      </c>
      <c r="H4533" t="s">
        <v>25</v>
      </c>
      <c r="I4533" t="s">
        <v>59</v>
      </c>
      <c r="J4533" t="s">
        <v>60</v>
      </c>
      <c r="K4533">
        <v>12</v>
      </c>
      <c r="L4533">
        <v>75514</v>
      </c>
      <c r="M4533" t="s">
        <v>28</v>
      </c>
      <c r="N4533">
        <v>2</v>
      </c>
      <c r="O4533">
        <v>1</v>
      </c>
      <c r="P4533">
        <v>59</v>
      </c>
      <c r="Q4533">
        <v>0</v>
      </c>
      <c r="R4533" s="1">
        <v>40838</v>
      </c>
      <c r="S4533" t="s">
        <v>29</v>
      </c>
      <c r="T4533" t="str">
        <f t="shared" si="350"/>
        <v>Grade B</v>
      </c>
      <c r="U4533">
        <f t="shared" si="351"/>
        <v>3</v>
      </c>
      <c r="V4533" t="str">
        <f t="shared" si="352"/>
        <v>Senior</v>
      </c>
      <c r="W4533" t="str">
        <f t="shared" si="353"/>
        <v>Medium Risk</v>
      </c>
      <c r="X4533" t="str">
        <f t="shared" si="354"/>
        <v>Competitive</v>
      </c>
    </row>
    <row r="4534" spans="1:24" x14ac:dyDescent="0.3">
      <c r="A4534" t="s">
        <v>4602</v>
      </c>
      <c r="B4534" t="s">
        <v>39</v>
      </c>
      <c r="C4534">
        <v>47</v>
      </c>
      <c r="D4534" t="s">
        <v>47</v>
      </c>
      <c r="E4534" t="s">
        <v>22</v>
      </c>
      <c r="F4534" t="s">
        <v>78</v>
      </c>
      <c r="G4534" t="s">
        <v>49</v>
      </c>
      <c r="H4534" t="s">
        <v>34</v>
      </c>
      <c r="I4534" t="s">
        <v>96</v>
      </c>
      <c r="J4534" t="s">
        <v>44</v>
      </c>
      <c r="K4534">
        <v>5</v>
      </c>
      <c r="L4534">
        <v>67507</v>
      </c>
      <c r="M4534" t="s">
        <v>51</v>
      </c>
      <c r="N4534">
        <v>1</v>
      </c>
      <c r="O4534">
        <v>3</v>
      </c>
      <c r="P4534">
        <v>55</v>
      </c>
      <c r="Q4534">
        <v>0</v>
      </c>
      <c r="R4534" s="1">
        <v>43440</v>
      </c>
      <c r="S4534" t="s">
        <v>37</v>
      </c>
      <c r="T4534" t="str">
        <f t="shared" si="350"/>
        <v>Grade B</v>
      </c>
      <c r="U4534">
        <f t="shared" si="351"/>
        <v>4</v>
      </c>
      <c r="V4534" t="str">
        <f t="shared" si="352"/>
        <v>Junior</v>
      </c>
      <c r="W4534" t="str">
        <f t="shared" si="353"/>
        <v>Already Left</v>
      </c>
      <c r="X4534" t="str">
        <f t="shared" si="354"/>
        <v>Fair</v>
      </c>
    </row>
    <row r="4535" spans="1:24" x14ac:dyDescent="0.3">
      <c r="A4535" t="s">
        <v>4603</v>
      </c>
      <c r="B4535" t="s">
        <v>20</v>
      </c>
      <c r="C4535">
        <v>29</v>
      </c>
      <c r="D4535" t="s">
        <v>57</v>
      </c>
      <c r="E4535" t="s">
        <v>40</v>
      </c>
      <c r="F4535" t="s">
        <v>75</v>
      </c>
      <c r="G4535" t="s">
        <v>42</v>
      </c>
      <c r="H4535" t="s">
        <v>83</v>
      </c>
      <c r="I4535" t="s">
        <v>96</v>
      </c>
      <c r="J4535" t="s">
        <v>44</v>
      </c>
      <c r="K4535">
        <v>1</v>
      </c>
      <c r="L4535">
        <v>103863</v>
      </c>
      <c r="M4535" t="s">
        <v>45</v>
      </c>
      <c r="N4535">
        <v>1</v>
      </c>
      <c r="O4535">
        <v>4</v>
      </c>
      <c r="P4535">
        <v>40</v>
      </c>
      <c r="Q4535">
        <v>1</v>
      </c>
      <c r="R4535" s="1">
        <v>44668</v>
      </c>
      <c r="S4535" t="s">
        <v>29</v>
      </c>
      <c r="T4535" t="str">
        <f t="shared" si="350"/>
        <v>Grade A</v>
      </c>
      <c r="U4535">
        <f t="shared" si="351"/>
        <v>2</v>
      </c>
      <c r="V4535" t="str">
        <f t="shared" si="352"/>
        <v>New Joiner</v>
      </c>
      <c r="W4535" t="str">
        <f t="shared" si="353"/>
        <v>Medium Risk</v>
      </c>
      <c r="X4535" t="str">
        <f t="shared" si="354"/>
        <v>Fair</v>
      </c>
    </row>
    <row r="4536" spans="1:24" x14ac:dyDescent="0.3">
      <c r="A4536" t="s">
        <v>4604</v>
      </c>
      <c r="B4536" t="s">
        <v>39</v>
      </c>
      <c r="C4536">
        <v>29</v>
      </c>
      <c r="D4536" t="s">
        <v>31</v>
      </c>
      <c r="E4536" t="s">
        <v>40</v>
      </c>
      <c r="F4536" t="s">
        <v>53</v>
      </c>
      <c r="G4536" t="s">
        <v>24</v>
      </c>
      <c r="H4536" t="s">
        <v>83</v>
      </c>
      <c r="I4536" t="s">
        <v>35</v>
      </c>
      <c r="J4536" t="s">
        <v>27</v>
      </c>
      <c r="K4536">
        <v>10</v>
      </c>
      <c r="L4536">
        <v>86747</v>
      </c>
      <c r="M4536" t="s">
        <v>51</v>
      </c>
      <c r="N4536">
        <v>2</v>
      </c>
      <c r="O4536">
        <v>1</v>
      </c>
      <c r="P4536">
        <v>58</v>
      </c>
      <c r="Q4536">
        <v>2</v>
      </c>
      <c r="R4536" s="1">
        <v>41324</v>
      </c>
      <c r="S4536" t="s">
        <v>37</v>
      </c>
      <c r="T4536" t="str">
        <f t="shared" si="350"/>
        <v>Grade A</v>
      </c>
      <c r="U4536">
        <f t="shared" si="351"/>
        <v>4</v>
      </c>
      <c r="V4536" t="str">
        <f t="shared" si="352"/>
        <v>Mid Level</v>
      </c>
      <c r="W4536" t="str">
        <f t="shared" si="353"/>
        <v>Already Left</v>
      </c>
      <c r="X4536" t="str">
        <f t="shared" si="354"/>
        <v>Competitive</v>
      </c>
    </row>
    <row r="4537" spans="1:24" x14ac:dyDescent="0.3">
      <c r="A4537" t="s">
        <v>4605</v>
      </c>
      <c r="B4537" t="s">
        <v>39</v>
      </c>
      <c r="C4537">
        <v>48</v>
      </c>
      <c r="D4537" t="s">
        <v>21</v>
      </c>
      <c r="E4537" t="s">
        <v>22</v>
      </c>
      <c r="F4537" t="s">
        <v>62</v>
      </c>
      <c r="G4537" t="s">
        <v>49</v>
      </c>
      <c r="H4537" t="s">
        <v>76</v>
      </c>
      <c r="I4537" t="s">
        <v>50</v>
      </c>
      <c r="J4537" t="s">
        <v>44</v>
      </c>
      <c r="K4537">
        <v>10</v>
      </c>
      <c r="L4537">
        <v>72614</v>
      </c>
      <c r="M4537" t="s">
        <v>28</v>
      </c>
      <c r="N4537">
        <v>4</v>
      </c>
      <c r="O4537">
        <v>1</v>
      </c>
      <c r="P4537">
        <v>38</v>
      </c>
      <c r="Q4537">
        <v>1</v>
      </c>
      <c r="R4537" s="1">
        <v>41442</v>
      </c>
      <c r="S4537" t="s">
        <v>29</v>
      </c>
      <c r="T4537" t="str">
        <f t="shared" si="350"/>
        <v>Grade B</v>
      </c>
      <c r="U4537">
        <f t="shared" si="351"/>
        <v>3</v>
      </c>
      <c r="V4537" t="str">
        <f t="shared" si="352"/>
        <v>Mid Level</v>
      </c>
      <c r="W4537" t="str">
        <f t="shared" si="353"/>
        <v>Medium Risk</v>
      </c>
      <c r="X4537" t="str">
        <f t="shared" si="354"/>
        <v>Competitive</v>
      </c>
    </row>
    <row r="4538" spans="1:24" x14ac:dyDescent="0.3">
      <c r="A4538" t="s">
        <v>4606</v>
      </c>
      <c r="B4538" t="s">
        <v>39</v>
      </c>
      <c r="C4538">
        <v>51</v>
      </c>
      <c r="D4538" t="s">
        <v>31</v>
      </c>
      <c r="E4538" t="s">
        <v>48</v>
      </c>
      <c r="F4538" t="s">
        <v>53</v>
      </c>
      <c r="G4538" t="s">
        <v>24</v>
      </c>
      <c r="H4538" t="s">
        <v>67</v>
      </c>
      <c r="I4538" t="s">
        <v>35</v>
      </c>
      <c r="J4538" t="s">
        <v>27</v>
      </c>
      <c r="K4538">
        <v>9</v>
      </c>
      <c r="L4538">
        <v>88987</v>
      </c>
      <c r="M4538" t="s">
        <v>28</v>
      </c>
      <c r="N4538">
        <v>4</v>
      </c>
      <c r="O4538">
        <v>2</v>
      </c>
      <c r="P4538">
        <v>69</v>
      </c>
      <c r="Q4538">
        <v>0</v>
      </c>
      <c r="R4538" s="1">
        <v>41816</v>
      </c>
      <c r="S4538" t="s">
        <v>29</v>
      </c>
      <c r="T4538" t="str">
        <f t="shared" si="350"/>
        <v>Grade A</v>
      </c>
      <c r="U4538">
        <f t="shared" si="351"/>
        <v>3</v>
      </c>
      <c r="V4538" t="str">
        <f t="shared" si="352"/>
        <v>Mid Level</v>
      </c>
      <c r="W4538" t="str">
        <f t="shared" si="353"/>
        <v>Medium Risk</v>
      </c>
      <c r="X4538" t="str">
        <f t="shared" si="354"/>
        <v>Competitive</v>
      </c>
    </row>
    <row r="4539" spans="1:24" x14ac:dyDescent="0.3">
      <c r="A4539" t="s">
        <v>4607</v>
      </c>
      <c r="B4539" t="s">
        <v>39</v>
      </c>
      <c r="C4539">
        <v>24</v>
      </c>
      <c r="D4539" t="s">
        <v>57</v>
      </c>
      <c r="E4539" t="s">
        <v>40</v>
      </c>
      <c r="F4539" t="s">
        <v>53</v>
      </c>
      <c r="G4539" t="s">
        <v>79</v>
      </c>
      <c r="H4539" t="s">
        <v>25</v>
      </c>
      <c r="I4539" t="s">
        <v>72</v>
      </c>
      <c r="J4539" t="s">
        <v>73</v>
      </c>
      <c r="K4539">
        <v>11</v>
      </c>
      <c r="L4539">
        <v>69813</v>
      </c>
      <c r="M4539" t="s">
        <v>51</v>
      </c>
      <c r="N4539">
        <v>4</v>
      </c>
      <c r="O4539">
        <v>3</v>
      </c>
      <c r="P4539">
        <v>66</v>
      </c>
      <c r="Q4539">
        <v>3</v>
      </c>
      <c r="R4539" s="1">
        <v>41050</v>
      </c>
      <c r="S4539" t="s">
        <v>29</v>
      </c>
      <c r="T4539" t="str">
        <f t="shared" si="350"/>
        <v>Grade B</v>
      </c>
      <c r="U4539">
        <f t="shared" si="351"/>
        <v>4</v>
      </c>
      <c r="V4539" t="str">
        <f t="shared" si="352"/>
        <v>Senior</v>
      </c>
      <c r="W4539" t="str">
        <f t="shared" si="353"/>
        <v>Low Risk</v>
      </c>
      <c r="X4539" t="str">
        <f t="shared" si="354"/>
        <v>Fair</v>
      </c>
    </row>
    <row r="4540" spans="1:24" x14ac:dyDescent="0.3">
      <c r="A4540" t="s">
        <v>4608</v>
      </c>
      <c r="B4540" t="s">
        <v>39</v>
      </c>
      <c r="C4540">
        <v>53</v>
      </c>
      <c r="D4540" t="s">
        <v>47</v>
      </c>
      <c r="E4540" t="s">
        <v>22</v>
      </c>
      <c r="F4540" t="s">
        <v>78</v>
      </c>
      <c r="G4540" t="s">
        <v>49</v>
      </c>
      <c r="H4540" t="s">
        <v>76</v>
      </c>
      <c r="I4540" t="s">
        <v>43</v>
      </c>
      <c r="J4540" t="s">
        <v>44</v>
      </c>
      <c r="K4540">
        <v>2</v>
      </c>
      <c r="L4540">
        <v>44325</v>
      </c>
      <c r="M4540" t="s">
        <v>36</v>
      </c>
      <c r="N4540">
        <v>1</v>
      </c>
      <c r="O4540">
        <v>4</v>
      </c>
      <c r="P4540">
        <v>64</v>
      </c>
      <c r="Q4540">
        <v>1</v>
      </c>
      <c r="R4540" s="1">
        <v>44432</v>
      </c>
      <c r="S4540" t="s">
        <v>29</v>
      </c>
      <c r="T4540" t="str">
        <f t="shared" si="350"/>
        <v>Grade C</v>
      </c>
      <c r="U4540">
        <f t="shared" si="351"/>
        <v>1</v>
      </c>
      <c r="V4540" t="str">
        <f t="shared" si="352"/>
        <v>New Joiner</v>
      </c>
      <c r="W4540" t="str">
        <f t="shared" si="353"/>
        <v>High Risk</v>
      </c>
      <c r="X4540" t="str">
        <f t="shared" si="354"/>
        <v>Fair</v>
      </c>
    </row>
    <row r="4541" spans="1:24" x14ac:dyDescent="0.3">
      <c r="A4541" t="s">
        <v>4609</v>
      </c>
      <c r="B4541" t="s">
        <v>20</v>
      </c>
      <c r="C4541">
        <v>51</v>
      </c>
      <c r="D4541" t="s">
        <v>21</v>
      </c>
      <c r="E4541" t="s">
        <v>48</v>
      </c>
      <c r="F4541" t="s">
        <v>65</v>
      </c>
      <c r="G4541" t="s">
        <v>33</v>
      </c>
      <c r="H4541" t="s">
        <v>76</v>
      </c>
      <c r="I4541" t="s">
        <v>68</v>
      </c>
      <c r="J4541" t="s">
        <v>60</v>
      </c>
      <c r="K4541">
        <v>6</v>
      </c>
      <c r="L4541">
        <v>72160</v>
      </c>
      <c r="M4541" t="s">
        <v>36</v>
      </c>
      <c r="N4541">
        <v>1</v>
      </c>
      <c r="O4541">
        <v>4</v>
      </c>
      <c r="P4541">
        <v>55</v>
      </c>
      <c r="Q4541">
        <v>0</v>
      </c>
      <c r="R4541" s="1">
        <v>42978</v>
      </c>
      <c r="S4541" t="s">
        <v>29</v>
      </c>
      <c r="T4541" t="str">
        <f t="shared" si="350"/>
        <v>Grade B</v>
      </c>
      <c r="U4541">
        <f t="shared" si="351"/>
        <v>1</v>
      </c>
      <c r="V4541" t="str">
        <f t="shared" si="352"/>
        <v>Mid Level</v>
      </c>
      <c r="W4541" t="str">
        <f t="shared" si="353"/>
        <v>Medium Risk</v>
      </c>
      <c r="X4541" t="str">
        <f t="shared" si="354"/>
        <v>Fair</v>
      </c>
    </row>
    <row r="4542" spans="1:24" x14ac:dyDescent="0.3">
      <c r="A4542" t="s">
        <v>4610</v>
      </c>
      <c r="B4542" t="s">
        <v>39</v>
      </c>
      <c r="C4542">
        <v>27</v>
      </c>
      <c r="D4542" t="s">
        <v>31</v>
      </c>
      <c r="E4542" t="s">
        <v>22</v>
      </c>
      <c r="F4542" t="s">
        <v>32</v>
      </c>
      <c r="G4542" t="s">
        <v>42</v>
      </c>
      <c r="H4542" t="s">
        <v>34</v>
      </c>
      <c r="I4542" t="s">
        <v>50</v>
      </c>
      <c r="J4542" t="s">
        <v>44</v>
      </c>
      <c r="K4542">
        <v>13</v>
      </c>
      <c r="L4542">
        <v>112834</v>
      </c>
      <c r="M4542" t="s">
        <v>51</v>
      </c>
      <c r="N4542">
        <v>1</v>
      </c>
      <c r="O4542">
        <v>3</v>
      </c>
      <c r="P4542">
        <v>10</v>
      </c>
      <c r="Q4542">
        <v>0</v>
      </c>
      <c r="R4542" s="1">
        <v>40443</v>
      </c>
      <c r="S4542" t="s">
        <v>29</v>
      </c>
      <c r="T4542" t="str">
        <f t="shared" si="350"/>
        <v>Grade A</v>
      </c>
      <c r="U4542">
        <f t="shared" si="351"/>
        <v>4</v>
      </c>
      <c r="V4542" t="str">
        <f t="shared" si="352"/>
        <v>Senior</v>
      </c>
      <c r="W4542" t="str">
        <f t="shared" si="353"/>
        <v>Low Risk</v>
      </c>
      <c r="X4542" t="str">
        <f t="shared" si="354"/>
        <v>Competitive</v>
      </c>
    </row>
    <row r="4543" spans="1:24" x14ac:dyDescent="0.3">
      <c r="A4543" t="s">
        <v>4611</v>
      </c>
      <c r="B4543" t="s">
        <v>20</v>
      </c>
      <c r="C4543">
        <v>43</v>
      </c>
      <c r="D4543" t="s">
        <v>57</v>
      </c>
      <c r="E4543" t="s">
        <v>22</v>
      </c>
      <c r="F4543" t="s">
        <v>32</v>
      </c>
      <c r="G4543" t="s">
        <v>66</v>
      </c>
      <c r="H4543" t="s">
        <v>25</v>
      </c>
      <c r="I4543" t="s">
        <v>72</v>
      </c>
      <c r="J4543" t="s">
        <v>73</v>
      </c>
      <c r="K4543">
        <v>5</v>
      </c>
      <c r="L4543">
        <v>53177</v>
      </c>
      <c r="M4543" t="s">
        <v>28</v>
      </c>
      <c r="N4543">
        <v>3</v>
      </c>
      <c r="O4543">
        <v>1</v>
      </c>
      <c r="P4543">
        <v>66</v>
      </c>
      <c r="Q4543">
        <v>2</v>
      </c>
      <c r="R4543" s="1">
        <v>43373</v>
      </c>
      <c r="S4543" t="s">
        <v>29</v>
      </c>
      <c r="T4543" t="str">
        <f t="shared" si="350"/>
        <v>Grade B</v>
      </c>
      <c r="U4543">
        <f t="shared" si="351"/>
        <v>3</v>
      </c>
      <c r="V4543" t="str">
        <f t="shared" si="352"/>
        <v>Junior</v>
      </c>
      <c r="W4543" t="str">
        <f t="shared" si="353"/>
        <v>Medium Risk</v>
      </c>
      <c r="X4543" t="str">
        <f t="shared" si="354"/>
        <v>Competitive</v>
      </c>
    </row>
    <row r="4544" spans="1:24" x14ac:dyDescent="0.3">
      <c r="A4544" t="s">
        <v>4612</v>
      </c>
      <c r="B4544" t="s">
        <v>39</v>
      </c>
      <c r="C4544">
        <v>46</v>
      </c>
      <c r="D4544" t="s">
        <v>88</v>
      </c>
      <c r="E4544" t="s">
        <v>48</v>
      </c>
      <c r="F4544" t="s">
        <v>78</v>
      </c>
      <c r="G4544" t="s">
        <v>49</v>
      </c>
      <c r="H4544" t="s">
        <v>76</v>
      </c>
      <c r="I4544" t="s">
        <v>59</v>
      </c>
      <c r="J4544" t="s">
        <v>60</v>
      </c>
      <c r="K4544">
        <v>2</v>
      </c>
      <c r="L4544">
        <v>50124</v>
      </c>
      <c r="M4544" t="s">
        <v>51</v>
      </c>
      <c r="N4544">
        <v>2</v>
      </c>
      <c r="O4544">
        <v>3</v>
      </c>
      <c r="P4544">
        <v>29</v>
      </c>
      <c r="Q4544">
        <v>2</v>
      </c>
      <c r="R4544" s="1">
        <v>44318</v>
      </c>
      <c r="S4544" t="s">
        <v>29</v>
      </c>
      <c r="T4544" t="str">
        <f t="shared" si="350"/>
        <v>Grade B</v>
      </c>
      <c r="U4544">
        <f t="shared" si="351"/>
        <v>4</v>
      </c>
      <c r="V4544" t="str">
        <f t="shared" si="352"/>
        <v>New Joiner</v>
      </c>
      <c r="W4544" t="str">
        <f t="shared" si="353"/>
        <v>Low Risk</v>
      </c>
      <c r="X4544" t="str">
        <f t="shared" si="354"/>
        <v>Fair</v>
      </c>
    </row>
    <row r="4545" spans="1:24" x14ac:dyDescent="0.3">
      <c r="A4545" t="s">
        <v>4613</v>
      </c>
      <c r="B4545" t="s">
        <v>39</v>
      </c>
      <c r="C4545">
        <v>38</v>
      </c>
      <c r="D4545" t="s">
        <v>21</v>
      </c>
      <c r="E4545" t="s">
        <v>22</v>
      </c>
      <c r="F4545" t="s">
        <v>32</v>
      </c>
      <c r="G4545" t="s">
        <v>24</v>
      </c>
      <c r="H4545" t="s">
        <v>76</v>
      </c>
      <c r="I4545" t="s">
        <v>43</v>
      </c>
      <c r="J4545" t="s">
        <v>44</v>
      </c>
      <c r="K4545">
        <v>5</v>
      </c>
      <c r="L4545">
        <v>85749</v>
      </c>
      <c r="M4545" t="s">
        <v>51</v>
      </c>
      <c r="N4545">
        <v>2</v>
      </c>
      <c r="O4545">
        <v>3</v>
      </c>
      <c r="P4545">
        <v>75</v>
      </c>
      <c r="Q4545">
        <v>0</v>
      </c>
      <c r="R4545" s="1">
        <v>43170</v>
      </c>
      <c r="S4545" t="s">
        <v>29</v>
      </c>
      <c r="T4545" t="str">
        <f t="shared" si="350"/>
        <v>Grade A</v>
      </c>
      <c r="U4545">
        <f t="shared" si="351"/>
        <v>4</v>
      </c>
      <c r="V4545" t="str">
        <f t="shared" si="352"/>
        <v>Junior</v>
      </c>
      <c r="W4545" t="str">
        <f t="shared" si="353"/>
        <v>Low Risk</v>
      </c>
      <c r="X4545" t="str">
        <f t="shared" si="354"/>
        <v>Competitive</v>
      </c>
    </row>
    <row r="4546" spans="1:24" x14ac:dyDescent="0.3">
      <c r="A4546" t="s">
        <v>4614</v>
      </c>
      <c r="B4546" t="s">
        <v>20</v>
      </c>
      <c r="C4546">
        <v>36</v>
      </c>
      <c r="D4546" t="s">
        <v>31</v>
      </c>
      <c r="E4546" t="s">
        <v>40</v>
      </c>
      <c r="F4546" t="s">
        <v>62</v>
      </c>
      <c r="G4546" t="s">
        <v>42</v>
      </c>
      <c r="H4546" t="s">
        <v>67</v>
      </c>
      <c r="I4546" t="s">
        <v>35</v>
      </c>
      <c r="J4546" t="s">
        <v>27</v>
      </c>
      <c r="K4546">
        <v>5</v>
      </c>
      <c r="L4546">
        <v>106863</v>
      </c>
      <c r="M4546" t="s">
        <v>28</v>
      </c>
      <c r="N4546">
        <v>2</v>
      </c>
      <c r="O4546">
        <v>3</v>
      </c>
      <c r="P4546">
        <v>55</v>
      </c>
      <c r="Q4546">
        <v>0</v>
      </c>
      <c r="R4546" s="1">
        <v>43103</v>
      </c>
      <c r="S4546" t="s">
        <v>29</v>
      </c>
      <c r="T4546" t="str">
        <f t="shared" ref="T4546:T4609" si="355">IF(L4546&gt;=80000,"Grade A",IF(L4546&gt;=50000,"Grade B",IF(L4546&gt;=35000,"Grade C","Grade D")))</f>
        <v>Grade A</v>
      </c>
      <c r="U4546">
        <f t="shared" ref="U4546:U4609" si="356">IF(M4546="Excellent",4,IF(M4546="Good",3,IF(M4546="Average",2,1)))</f>
        <v>3</v>
      </c>
      <c r="V4546" t="str">
        <f t="shared" ref="V4546:V4609" si="357">IF(K4546&lt;=2,"New Joiner",IF(K4546&lt;=5,"Junior",IF(K4546&lt;=10,"Mid Level","Senior")))</f>
        <v>Junior</v>
      </c>
      <c r="W4546" t="str">
        <f t="shared" ref="W4546:W4609" si="358">IF(S4546="Yes","Already Left",IF(AND(K4546&lt;=2,M4546="Poor"),"High Risk",IF(AND(K4546&lt;=5,M4546="Average"),"Medium Risk",IF(M4546="Excellent","Low Risk","Medium Risk"))))</f>
        <v>Medium Risk</v>
      </c>
      <c r="X4546" t="str">
        <f t="shared" ref="X4546:X4609" si="359">IF(AND(L4546&gt;=80000,M4546="Excellent"),"Competitive",IF(AND(L4546&gt;=50000,M4546="Good"),"Competitive",IF(AND(L4546&lt;35000,M4546="Excellent"),"Underpaid",IF(AND(L4546&gt;=80000,M4546="Poor"),"Overpaid","Fair"))))</f>
        <v>Competitive</v>
      </c>
    </row>
    <row r="4547" spans="1:24" x14ac:dyDescent="0.3">
      <c r="A4547" t="s">
        <v>4615</v>
      </c>
      <c r="B4547" t="s">
        <v>39</v>
      </c>
      <c r="C4547">
        <v>28</v>
      </c>
      <c r="D4547" t="s">
        <v>21</v>
      </c>
      <c r="E4547" t="s">
        <v>48</v>
      </c>
      <c r="F4547" t="s">
        <v>53</v>
      </c>
      <c r="G4547" t="s">
        <v>66</v>
      </c>
      <c r="H4547" t="s">
        <v>34</v>
      </c>
      <c r="I4547" t="s">
        <v>68</v>
      </c>
      <c r="J4547" t="s">
        <v>60</v>
      </c>
      <c r="K4547">
        <v>13</v>
      </c>
      <c r="L4547">
        <v>55665</v>
      </c>
      <c r="M4547" t="s">
        <v>36</v>
      </c>
      <c r="N4547">
        <v>2</v>
      </c>
      <c r="O4547">
        <v>4</v>
      </c>
      <c r="P4547">
        <v>80</v>
      </c>
      <c r="Q4547">
        <v>2</v>
      </c>
      <c r="R4547" s="1">
        <v>40434</v>
      </c>
      <c r="S4547" t="s">
        <v>29</v>
      </c>
      <c r="T4547" t="str">
        <f t="shared" si="355"/>
        <v>Grade B</v>
      </c>
      <c r="U4547">
        <f t="shared" si="356"/>
        <v>1</v>
      </c>
      <c r="V4547" t="str">
        <f t="shared" si="357"/>
        <v>Senior</v>
      </c>
      <c r="W4547" t="str">
        <f t="shared" si="358"/>
        <v>Medium Risk</v>
      </c>
      <c r="X4547" t="str">
        <f t="shared" si="359"/>
        <v>Fair</v>
      </c>
    </row>
    <row r="4548" spans="1:24" x14ac:dyDescent="0.3">
      <c r="A4548" t="s">
        <v>4616</v>
      </c>
      <c r="B4548" t="s">
        <v>39</v>
      </c>
      <c r="C4548">
        <v>26</v>
      </c>
      <c r="D4548" t="s">
        <v>47</v>
      </c>
      <c r="E4548" t="s">
        <v>22</v>
      </c>
      <c r="F4548" t="s">
        <v>41</v>
      </c>
      <c r="G4548" t="s">
        <v>33</v>
      </c>
      <c r="H4548" t="s">
        <v>83</v>
      </c>
      <c r="I4548" t="s">
        <v>68</v>
      </c>
      <c r="J4548" t="s">
        <v>60</v>
      </c>
      <c r="K4548">
        <v>12</v>
      </c>
      <c r="L4548">
        <v>81341</v>
      </c>
      <c r="M4548" t="s">
        <v>51</v>
      </c>
      <c r="N4548">
        <v>3</v>
      </c>
      <c r="O4548">
        <v>4</v>
      </c>
      <c r="P4548">
        <v>12</v>
      </c>
      <c r="Q4548">
        <v>2</v>
      </c>
      <c r="R4548" s="1">
        <v>40607</v>
      </c>
      <c r="S4548" t="s">
        <v>29</v>
      </c>
      <c r="T4548" t="str">
        <f t="shared" si="355"/>
        <v>Grade A</v>
      </c>
      <c r="U4548">
        <f t="shared" si="356"/>
        <v>4</v>
      </c>
      <c r="V4548" t="str">
        <f t="shared" si="357"/>
        <v>Senior</v>
      </c>
      <c r="W4548" t="str">
        <f t="shared" si="358"/>
        <v>Low Risk</v>
      </c>
      <c r="X4548" t="str">
        <f t="shared" si="359"/>
        <v>Competitive</v>
      </c>
    </row>
    <row r="4549" spans="1:24" x14ac:dyDescent="0.3">
      <c r="A4549" t="s">
        <v>4617</v>
      </c>
      <c r="B4549" t="s">
        <v>20</v>
      </c>
      <c r="C4549">
        <v>42</v>
      </c>
      <c r="D4549" t="s">
        <v>88</v>
      </c>
      <c r="E4549" t="s">
        <v>40</v>
      </c>
      <c r="F4549" t="s">
        <v>41</v>
      </c>
      <c r="G4549" t="s">
        <v>42</v>
      </c>
      <c r="H4549" t="s">
        <v>25</v>
      </c>
      <c r="I4549" t="s">
        <v>80</v>
      </c>
      <c r="J4549" t="s">
        <v>60</v>
      </c>
      <c r="K4549">
        <v>3</v>
      </c>
      <c r="L4549">
        <v>97862</v>
      </c>
      <c r="M4549" t="s">
        <v>28</v>
      </c>
      <c r="N4549">
        <v>3</v>
      </c>
      <c r="O4549">
        <v>3</v>
      </c>
      <c r="P4549">
        <v>66</v>
      </c>
      <c r="Q4549">
        <v>1</v>
      </c>
      <c r="R4549" s="1">
        <v>44104</v>
      </c>
      <c r="S4549" t="s">
        <v>37</v>
      </c>
      <c r="T4549" t="str">
        <f t="shared" si="355"/>
        <v>Grade A</v>
      </c>
      <c r="U4549">
        <f t="shared" si="356"/>
        <v>3</v>
      </c>
      <c r="V4549" t="str">
        <f t="shared" si="357"/>
        <v>Junior</v>
      </c>
      <c r="W4549" t="str">
        <f t="shared" si="358"/>
        <v>Already Left</v>
      </c>
      <c r="X4549" t="str">
        <f t="shared" si="359"/>
        <v>Competitive</v>
      </c>
    </row>
    <row r="4550" spans="1:24" x14ac:dyDescent="0.3">
      <c r="A4550" t="s">
        <v>4618</v>
      </c>
      <c r="B4550" t="s">
        <v>20</v>
      </c>
      <c r="C4550">
        <v>24</v>
      </c>
      <c r="D4550" t="s">
        <v>47</v>
      </c>
      <c r="E4550" t="s">
        <v>40</v>
      </c>
      <c r="F4550" t="s">
        <v>32</v>
      </c>
      <c r="G4550" t="s">
        <v>24</v>
      </c>
      <c r="H4550" t="s">
        <v>34</v>
      </c>
      <c r="I4550" t="s">
        <v>54</v>
      </c>
      <c r="J4550" t="s">
        <v>27</v>
      </c>
      <c r="K4550">
        <v>5</v>
      </c>
      <c r="L4550">
        <v>88063</v>
      </c>
      <c r="M4550" t="s">
        <v>36</v>
      </c>
      <c r="N4550">
        <v>4</v>
      </c>
      <c r="O4550">
        <v>2</v>
      </c>
      <c r="P4550">
        <v>57</v>
      </c>
      <c r="Q4550">
        <v>0</v>
      </c>
      <c r="R4550" s="1">
        <v>43284</v>
      </c>
      <c r="S4550" t="s">
        <v>29</v>
      </c>
      <c r="T4550" t="str">
        <f t="shared" si="355"/>
        <v>Grade A</v>
      </c>
      <c r="U4550">
        <f t="shared" si="356"/>
        <v>1</v>
      </c>
      <c r="V4550" t="str">
        <f t="shared" si="357"/>
        <v>Junior</v>
      </c>
      <c r="W4550" t="str">
        <f t="shared" si="358"/>
        <v>Medium Risk</v>
      </c>
      <c r="X4550" t="str">
        <f t="shared" si="359"/>
        <v>Overpaid</v>
      </c>
    </row>
    <row r="4551" spans="1:24" x14ac:dyDescent="0.3">
      <c r="A4551" t="s">
        <v>4619</v>
      </c>
      <c r="B4551" t="s">
        <v>39</v>
      </c>
      <c r="C4551">
        <v>51</v>
      </c>
      <c r="D4551" t="s">
        <v>47</v>
      </c>
      <c r="E4551" t="s">
        <v>22</v>
      </c>
      <c r="F4551" t="s">
        <v>32</v>
      </c>
      <c r="G4551" t="s">
        <v>66</v>
      </c>
      <c r="H4551" t="s">
        <v>25</v>
      </c>
      <c r="I4551" t="s">
        <v>80</v>
      </c>
      <c r="J4551" t="s">
        <v>60</v>
      </c>
      <c r="K4551">
        <v>13</v>
      </c>
      <c r="L4551">
        <v>70506</v>
      </c>
      <c r="M4551" t="s">
        <v>28</v>
      </c>
      <c r="N4551">
        <v>4</v>
      </c>
      <c r="O4551">
        <v>1</v>
      </c>
      <c r="P4551">
        <v>41</v>
      </c>
      <c r="Q4551">
        <v>3</v>
      </c>
      <c r="R4551" s="1">
        <v>40339</v>
      </c>
      <c r="S4551" t="s">
        <v>29</v>
      </c>
      <c r="T4551" t="str">
        <f t="shared" si="355"/>
        <v>Grade B</v>
      </c>
      <c r="U4551">
        <f t="shared" si="356"/>
        <v>3</v>
      </c>
      <c r="V4551" t="str">
        <f t="shared" si="357"/>
        <v>Senior</v>
      </c>
      <c r="W4551" t="str">
        <f t="shared" si="358"/>
        <v>Medium Risk</v>
      </c>
      <c r="X4551" t="str">
        <f t="shared" si="359"/>
        <v>Competitive</v>
      </c>
    </row>
    <row r="4552" spans="1:24" x14ac:dyDescent="0.3">
      <c r="A4552" t="s">
        <v>4620</v>
      </c>
      <c r="B4552" t="s">
        <v>39</v>
      </c>
      <c r="C4552">
        <v>52</v>
      </c>
      <c r="D4552" t="s">
        <v>57</v>
      </c>
      <c r="E4552" t="s">
        <v>22</v>
      </c>
      <c r="F4552" t="s">
        <v>32</v>
      </c>
      <c r="G4552" t="s">
        <v>49</v>
      </c>
      <c r="H4552" t="s">
        <v>76</v>
      </c>
      <c r="I4552" t="s">
        <v>96</v>
      </c>
      <c r="J4552" t="s">
        <v>44</v>
      </c>
      <c r="K4552">
        <v>7</v>
      </c>
      <c r="L4552">
        <v>55573</v>
      </c>
      <c r="M4552" t="s">
        <v>28</v>
      </c>
      <c r="N4552">
        <v>4</v>
      </c>
      <c r="O4552">
        <v>3</v>
      </c>
      <c r="P4552">
        <v>79</v>
      </c>
      <c r="Q4552">
        <v>0</v>
      </c>
      <c r="R4552" s="1">
        <v>42561</v>
      </c>
      <c r="S4552" t="s">
        <v>37</v>
      </c>
      <c r="T4552" t="str">
        <f t="shared" si="355"/>
        <v>Grade B</v>
      </c>
      <c r="U4552">
        <f t="shared" si="356"/>
        <v>3</v>
      </c>
      <c r="V4552" t="str">
        <f t="shared" si="357"/>
        <v>Mid Level</v>
      </c>
      <c r="W4552" t="str">
        <f t="shared" si="358"/>
        <v>Already Left</v>
      </c>
      <c r="X4552" t="str">
        <f t="shared" si="359"/>
        <v>Competitive</v>
      </c>
    </row>
    <row r="4553" spans="1:24" x14ac:dyDescent="0.3">
      <c r="A4553" t="s">
        <v>4621</v>
      </c>
      <c r="B4553" t="s">
        <v>20</v>
      </c>
      <c r="C4553">
        <v>40</v>
      </c>
      <c r="D4553" t="s">
        <v>21</v>
      </c>
      <c r="E4553" t="s">
        <v>40</v>
      </c>
      <c r="F4553" t="s">
        <v>62</v>
      </c>
      <c r="G4553" t="s">
        <v>58</v>
      </c>
      <c r="H4553" t="s">
        <v>25</v>
      </c>
      <c r="I4553" t="s">
        <v>26</v>
      </c>
      <c r="J4553" t="s">
        <v>27</v>
      </c>
      <c r="K4553">
        <v>9</v>
      </c>
      <c r="L4553">
        <v>104710</v>
      </c>
      <c r="M4553" t="s">
        <v>36</v>
      </c>
      <c r="N4553">
        <v>1</v>
      </c>
      <c r="O4553">
        <v>1</v>
      </c>
      <c r="P4553">
        <v>31</v>
      </c>
      <c r="Q4553">
        <v>2</v>
      </c>
      <c r="R4553" s="1">
        <v>41956</v>
      </c>
      <c r="S4553" t="s">
        <v>29</v>
      </c>
      <c r="T4553" t="str">
        <f t="shared" si="355"/>
        <v>Grade A</v>
      </c>
      <c r="U4553">
        <f t="shared" si="356"/>
        <v>1</v>
      </c>
      <c r="V4553" t="str">
        <f t="shared" si="357"/>
        <v>Mid Level</v>
      </c>
      <c r="W4553" t="str">
        <f t="shared" si="358"/>
        <v>Medium Risk</v>
      </c>
      <c r="X4553" t="str">
        <f t="shared" si="359"/>
        <v>Overpaid</v>
      </c>
    </row>
    <row r="4554" spans="1:24" x14ac:dyDescent="0.3">
      <c r="A4554" t="s">
        <v>4622</v>
      </c>
      <c r="B4554" t="s">
        <v>39</v>
      </c>
      <c r="C4554">
        <v>33</v>
      </c>
      <c r="D4554" t="s">
        <v>47</v>
      </c>
      <c r="E4554" t="s">
        <v>22</v>
      </c>
      <c r="F4554" t="s">
        <v>78</v>
      </c>
      <c r="G4554" t="s">
        <v>33</v>
      </c>
      <c r="H4554" t="s">
        <v>34</v>
      </c>
      <c r="I4554" t="s">
        <v>72</v>
      </c>
      <c r="J4554" t="s">
        <v>73</v>
      </c>
      <c r="K4554">
        <v>6</v>
      </c>
      <c r="L4554">
        <v>68522</v>
      </c>
      <c r="M4554" t="s">
        <v>28</v>
      </c>
      <c r="N4554">
        <v>2</v>
      </c>
      <c r="O4554">
        <v>4</v>
      </c>
      <c r="P4554">
        <v>41</v>
      </c>
      <c r="Q4554">
        <v>2</v>
      </c>
      <c r="R4554" s="1">
        <v>42994</v>
      </c>
      <c r="S4554" t="s">
        <v>37</v>
      </c>
      <c r="T4554" t="str">
        <f t="shared" si="355"/>
        <v>Grade B</v>
      </c>
      <c r="U4554">
        <f t="shared" si="356"/>
        <v>3</v>
      </c>
      <c r="V4554" t="str">
        <f t="shared" si="357"/>
        <v>Mid Level</v>
      </c>
      <c r="W4554" t="str">
        <f t="shared" si="358"/>
        <v>Already Left</v>
      </c>
      <c r="X4554" t="str">
        <f t="shared" si="359"/>
        <v>Competitive</v>
      </c>
    </row>
    <row r="4555" spans="1:24" x14ac:dyDescent="0.3">
      <c r="A4555" t="s">
        <v>4623</v>
      </c>
      <c r="B4555" t="s">
        <v>20</v>
      </c>
      <c r="C4555">
        <v>51</v>
      </c>
      <c r="D4555" t="s">
        <v>88</v>
      </c>
      <c r="E4555" t="s">
        <v>40</v>
      </c>
      <c r="F4555" t="s">
        <v>23</v>
      </c>
      <c r="G4555" t="s">
        <v>42</v>
      </c>
      <c r="H4555" t="s">
        <v>25</v>
      </c>
      <c r="I4555" t="s">
        <v>80</v>
      </c>
      <c r="J4555" t="s">
        <v>60</v>
      </c>
      <c r="K4555">
        <v>4</v>
      </c>
      <c r="L4555">
        <v>93005</v>
      </c>
      <c r="M4555" t="s">
        <v>28</v>
      </c>
      <c r="N4555">
        <v>3</v>
      </c>
      <c r="O4555">
        <v>1</v>
      </c>
      <c r="P4555">
        <v>63</v>
      </c>
      <c r="Q4555">
        <v>0</v>
      </c>
      <c r="R4555" s="1">
        <v>43619</v>
      </c>
      <c r="S4555" t="s">
        <v>37</v>
      </c>
      <c r="T4555" t="str">
        <f t="shared" si="355"/>
        <v>Grade A</v>
      </c>
      <c r="U4555">
        <f t="shared" si="356"/>
        <v>3</v>
      </c>
      <c r="V4555" t="str">
        <f t="shared" si="357"/>
        <v>Junior</v>
      </c>
      <c r="W4555" t="str">
        <f t="shared" si="358"/>
        <v>Already Left</v>
      </c>
      <c r="X4555" t="str">
        <f t="shared" si="359"/>
        <v>Competitive</v>
      </c>
    </row>
    <row r="4556" spans="1:24" x14ac:dyDescent="0.3">
      <c r="A4556" t="s">
        <v>4624</v>
      </c>
      <c r="B4556" t="s">
        <v>39</v>
      </c>
      <c r="C4556">
        <v>30</v>
      </c>
      <c r="D4556" t="s">
        <v>21</v>
      </c>
      <c r="E4556" t="s">
        <v>40</v>
      </c>
      <c r="F4556" t="s">
        <v>32</v>
      </c>
      <c r="G4556" t="s">
        <v>63</v>
      </c>
      <c r="H4556" t="s">
        <v>67</v>
      </c>
      <c r="I4556" t="s">
        <v>54</v>
      </c>
      <c r="J4556" t="s">
        <v>27</v>
      </c>
      <c r="K4556">
        <v>2</v>
      </c>
      <c r="L4556">
        <v>50569</v>
      </c>
      <c r="M4556" t="s">
        <v>36</v>
      </c>
      <c r="N4556">
        <v>3</v>
      </c>
      <c r="O4556">
        <v>4</v>
      </c>
      <c r="P4556">
        <v>51</v>
      </c>
      <c r="Q4556">
        <v>2</v>
      </c>
      <c r="R4556" s="1">
        <v>44526</v>
      </c>
      <c r="S4556" t="s">
        <v>37</v>
      </c>
      <c r="T4556" t="str">
        <f t="shared" si="355"/>
        <v>Grade B</v>
      </c>
      <c r="U4556">
        <f t="shared" si="356"/>
        <v>1</v>
      </c>
      <c r="V4556" t="str">
        <f t="shared" si="357"/>
        <v>New Joiner</v>
      </c>
      <c r="W4556" t="str">
        <f t="shared" si="358"/>
        <v>Already Left</v>
      </c>
      <c r="X4556" t="str">
        <f t="shared" si="359"/>
        <v>Fair</v>
      </c>
    </row>
    <row r="4557" spans="1:24" x14ac:dyDescent="0.3">
      <c r="A4557" t="s">
        <v>4625</v>
      </c>
      <c r="B4557" t="s">
        <v>20</v>
      </c>
      <c r="C4557">
        <v>32</v>
      </c>
      <c r="D4557" t="s">
        <v>31</v>
      </c>
      <c r="E4557" t="s">
        <v>22</v>
      </c>
      <c r="F4557" t="s">
        <v>41</v>
      </c>
      <c r="G4557" t="s">
        <v>24</v>
      </c>
      <c r="H4557" t="s">
        <v>34</v>
      </c>
      <c r="I4557" t="s">
        <v>35</v>
      </c>
      <c r="J4557" t="s">
        <v>27</v>
      </c>
      <c r="K4557">
        <v>3</v>
      </c>
      <c r="L4557">
        <v>71724</v>
      </c>
      <c r="M4557" t="s">
        <v>28</v>
      </c>
      <c r="N4557">
        <v>1</v>
      </c>
      <c r="O4557">
        <v>1</v>
      </c>
      <c r="P4557">
        <v>66</v>
      </c>
      <c r="Q4557">
        <v>3</v>
      </c>
      <c r="R4557" s="1">
        <v>44163</v>
      </c>
      <c r="S4557" t="s">
        <v>29</v>
      </c>
      <c r="T4557" t="str">
        <f t="shared" si="355"/>
        <v>Grade B</v>
      </c>
      <c r="U4557">
        <f t="shared" si="356"/>
        <v>3</v>
      </c>
      <c r="V4557" t="str">
        <f t="shared" si="357"/>
        <v>Junior</v>
      </c>
      <c r="W4557" t="str">
        <f t="shared" si="358"/>
        <v>Medium Risk</v>
      </c>
      <c r="X4557" t="str">
        <f t="shared" si="359"/>
        <v>Competitive</v>
      </c>
    </row>
    <row r="4558" spans="1:24" x14ac:dyDescent="0.3">
      <c r="A4558" t="s">
        <v>4626</v>
      </c>
      <c r="B4558" t="s">
        <v>20</v>
      </c>
      <c r="C4558">
        <v>33</v>
      </c>
      <c r="D4558" t="s">
        <v>47</v>
      </c>
      <c r="E4558" t="s">
        <v>48</v>
      </c>
      <c r="F4558" t="s">
        <v>78</v>
      </c>
      <c r="G4558" t="s">
        <v>42</v>
      </c>
      <c r="H4558" t="s">
        <v>34</v>
      </c>
      <c r="I4558" t="s">
        <v>54</v>
      </c>
      <c r="J4558" t="s">
        <v>27</v>
      </c>
      <c r="K4558">
        <v>1</v>
      </c>
      <c r="L4558">
        <v>102272</v>
      </c>
      <c r="M4558" t="s">
        <v>45</v>
      </c>
      <c r="N4558">
        <v>1</v>
      </c>
      <c r="O4558">
        <v>1</v>
      </c>
      <c r="P4558">
        <v>67</v>
      </c>
      <c r="Q4558">
        <v>3</v>
      </c>
      <c r="R4558" s="1">
        <v>44922</v>
      </c>
      <c r="S4558" t="s">
        <v>37</v>
      </c>
      <c r="T4558" t="str">
        <f t="shared" si="355"/>
        <v>Grade A</v>
      </c>
      <c r="U4558">
        <f t="shared" si="356"/>
        <v>2</v>
      </c>
      <c r="V4558" t="str">
        <f t="shared" si="357"/>
        <v>New Joiner</v>
      </c>
      <c r="W4558" t="str">
        <f t="shared" si="358"/>
        <v>Already Left</v>
      </c>
      <c r="X4558" t="str">
        <f t="shared" si="359"/>
        <v>Fair</v>
      </c>
    </row>
    <row r="4559" spans="1:24" x14ac:dyDescent="0.3">
      <c r="A4559" t="s">
        <v>4627</v>
      </c>
      <c r="B4559" t="s">
        <v>39</v>
      </c>
      <c r="C4559">
        <v>48</v>
      </c>
      <c r="D4559" t="s">
        <v>21</v>
      </c>
      <c r="E4559" t="s">
        <v>40</v>
      </c>
      <c r="F4559" t="s">
        <v>41</v>
      </c>
      <c r="G4559" t="s">
        <v>58</v>
      </c>
      <c r="H4559" t="s">
        <v>76</v>
      </c>
      <c r="I4559" t="s">
        <v>72</v>
      </c>
      <c r="J4559" t="s">
        <v>73</v>
      </c>
      <c r="K4559">
        <v>13</v>
      </c>
      <c r="L4559">
        <v>120664</v>
      </c>
      <c r="M4559" t="s">
        <v>45</v>
      </c>
      <c r="N4559">
        <v>3</v>
      </c>
      <c r="O4559">
        <v>3</v>
      </c>
      <c r="P4559">
        <v>72</v>
      </c>
      <c r="Q4559">
        <v>0</v>
      </c>
      <c r="R4559" s="1">
        <v>40446</v>
      </c>
      <c r="S4559" t="s">
        <v>29</v>
      </c>
      <c r="T4559" t="str">
        <f t="shared" si="355"/>
        <v>Grade A</v>
      </c>
      <c r="U4559">
        <f t="shared" si="356"/>
        <v>2</v>
      </c>
      <c r="V4559" t="str">
        <f t="shared" si="357"/>
        <v>Senior</v>
      </c>
      <c r="W4559" t="str">
        <f t="shared" si="358"/>
        <v>Medium Risk</v>
      </c>
      <c r="X4559" t="str">
        <f t="shared" si="359"/>
        <v>Fair</v>
      </c>
    </row>
    <row r="4560" spans="1:24" x14ac:dyDescent="0.3">
      <c r="A4560" t="s">
        <v>4628</v>
      </c>
      <c r="B4560" t="s">
        <v>39</v>
      </c>
      <c r="C4560">
        <v>52</v>
      </c>
      <c r="D4560" t="s">
        <v>47</v>
      </c>
      <c r="E4560" t="s">
        <v>40</v>
      </c>
      <c r="F4560" t="s">
        <v>23</v>
      </c>
      <c r="G4560" t="s">
        <v>66</v>
      </c>
      <c r="H4560" t="s">
        <v>76</v>
      </c>
      <c r="I4560" t="s">
        <v>96</v>
      </c>
      <c r="J4560" t="s">
        <v>44</v>
      </c>
      <c r="K4560">
        <v>1</v>
      </c>
      <c r="L4560">
        <v>43155</v>
      </c>
      <c r="M4560" t="s">
        <v>36</v>
      </c>
      <c r="N4560">
        <v>2</v>
      </c>
      <c r="O4560">
        <v>1</v>
      </c>
      <c r="P4560">
        <v>22</v>
      </c>
      <c r="Q4560">
        <v>1</v>
      </c>
      <c r="R4560" s="1">
        <v>44763</v>
      </c>
      <c r="S4560" t="s">
        <v>37</v>
      </c>
      <c r="T4560" t="str">
        <f t="shared" si="355"/>
        <v>Grade C</v>
      </c>
      <c r="U4560">
        <f t="shared" si="356"/>
        <v>1</v>
      </c>
      <c r="V4560" t="str">
        <f t="shared" si="357"/>
        <v>New Joiner</v>
      </c>
      <c r="W4560" t="str">
        <f t="shared" si="358"/>
        <v>Already Left</v>
      </c>
      <c r="X4560" t="str">
        <f t="shared" si="359"/>
        <v>Fair</v>
      </c>
    </row>
    <row r="4561" spans="1:24" x14ac:dyDescent="0.3">
      <c r="A4561" t="s">
        <v>4629</v>
      </c>
      <c r="B4561" t="s">
        <v>39</v>
      </c>
      <c r="C4561">
        <v>40</v>
      </c>
      <c r="D4561" t="s">
        <v>31</v>
      </c>
      <c r="E4561" t="s">
        <v>48</v>
      </c>
      <c r="F4561" t="s">
        <v>53</v>
      </c>
      <c r="G4561" t="s">
        <v>33</v>
      </c>
      <c r="H4561" t="s">
        <v>67</v>
      </c>
      <c r="I4561" t="s">
        <v>72</v>
      </c>
      <c r="J4561" t="s">
        <v>73</v>
      </c>
      <c r="K4561">
        <v>9</v>
      </c>
      <c r="L4561">
        <v>68278</v>
      </c>
      <c r="M4561" t="s">
        <v>51</v>
      </c>
      <c r="N4561">
        <v>3</v>
      </c>
      <c r="O4561">
        <v>1</v>
      </c>
      <c r="P4561">
        <v>60</v>
      </c>
      <c r="Q4561">
        <v>3</v>
      </c>
      <c r="R4561" s="1">
        <v>41786</v>
      </c>
      <c r="S4561" t="s">
        <v>37</v>
      </c>
      <c r="T4561" t="str">
        <f t="shared" si="355"/>
        <v>Grade B</v>
      </c>
      <c r="U4561">
        <f t="shared" si="356"/>
        <v>4</v>
      </c>
      <c r="V4561" t="str">
        <f t="shared" si="357"/>
        <v>Mid Level</v>
      </c>
      <c r="W4561" t="str">
        <f t="shared" si="358"/>
        <v>Already Left</v>
      </c>
      <c r="X4561" t="str">
        <f t="shared" si="359"/>
        <v>Fair</v>
      </c>
    </row>
    <row r="4562" spans="1:24" x14ac:dyDescent="0.3">
      <c r="A4562" t="s">
        <v>4630</v>
      </c>
      <c r="B4562" t="s">
        <v>20</v>
      </c>
      <c r="C4562">
        <v>52</v>
      </c>
      <c r="D4562" t="s">
        <v>88</v>
      </c>
      <c r="E4562" t="s">
        <v>48</v>
      </c>
      <c r="F4562" t="s">
        <v>32</v>
      </c>
      <c r="G4562" t="s">
        <v>42</v>
      </c>
      <c r="H4562" t="s">
        <v>76</v>
      </c>
      <c r="I4562" t="s">
        <v>26</v>
      </c>
      <c r="J4562" t="s">
        <v>27</v>
      </c>
      <c r="K4562">
        <v>4</v>
      </c>
      <c r="L4562">
        <v>93969</v>
      </c>
      <c r="M4562" t="s">
        <v>51</v>
      </c>
      <c r="N4562">
        <v>2</v>
      </c>
      <c r="O4562">
        <v>1</v>
      </c>
      <c r="P4562">
        <v>50</v>
      </c>
      <c r="Q4562">
        <v>0</v>
      </c>
      <c r="R4562" s="1">
        <v>43490</v>
      </c>
      <c r="S4562" t="s">
        <v>29</v>
      </c>
      <c r="T4562" t="str">
        <f t="shared" si="355"/>
        <v>Grade A</v>
      </c>
      <c r="U4562">
        <f t="shared" si="356"/>
        <v>4</v>
      </c>
      <c r="V4562" t="str">
        <f t="shared" si="357"/>
        <v>Junior</v>
      </c>
      <c r="W4562" t="str">
        <f t="shared" si="358"/>
        <v>Low Risk</v>
      </c>
      <c r="X4562" t="str">
        <f t="shared" si="359"/>
        <v>Competitive</v>
      </c>
    </row>
    <row r="4563" spans="1:24" x14ac:dyDescent="0.3">
      <c r="A4563" t="s">
        <v>4631</v>
      </c>
      <c r="B4563" t="s">
        <v>39</v>
      </c>
      <c r="C4563">
        <v>46</v>
      </c>
      <c r="D4563" t="s">
        <v>31</v>
      </c>
      <c r="E4563" t="s">
        <v>48</v>
      </c>
      <c r="F4563" t="s">
        <v>78</v>
      </c>
      <c r="G4563" t="s">
        <v>49</v>
      </c>
      <c r="H4563" t="s">
        <v>25</v>
      </c>
      <c r="I4563" t="s">
        <v>68</v>
      </c>
      <c r="J4563" t="s">
        <v>60</v>
      </c>
      <c r="K4563">
        <v>10</v>
      </c>
      <c r="L4563">
        <v>79846</v>
      </c>
      <c r="M4563" t="s">
        <v>28</v>
      </c>
      <c r="N4563">
        <v>3</v>
      </c>
      <c r="O4563">
        <v>3</v>
      </c>
      <c r="P4563">
        <v>79</v>
      </c>
      <c r="Q4563">
        <v>0</v>
      </c>
      <c r="R4563" s="1">
        <v>41354</v>
      </c>
      <c r="S4563" t="s">
        <v>37</v>
      </c>
      <c r="T4563" t="str">
        <f t="shared" si="355"/>
        <v>Grade B</v>
      </c>
      <c r="U4563">
        <f t="shared" si="356"/>
        <v>3</v>
      </c>
      <c r="V4563" t="str">
        <f t="shared" si="357"/>
        <v>Mid Level</v>
      </c>
      <c r="W4563" t="str">
        <f t="shared" si="358"/>
        <v>Already Left</v>
      </c>
      <c r="X4563" t="str">
        <f t="shared" si="359"/>
        <v>Competitive</v>
      </c>
    </row>
    <row r="4564" spans="1:24" x14ac:dyDescent="0.3">
      <c r="A4564" t="s">
        <v>4632</v>
      </c>
      <c r="B4564" t="s">
        <v>20</v>
      </c>
      <c r="C4564">
        <v>25</v>
      </c>
      <c r="D4564" t="s">
        <v>57</v>
      </c>
      <c r="E4564" t="s">
        <v>22</v>
      </c>
      <c r="F4564" t="s">
        <v>53</v>
      </c>
      <c r="G4564" t="s">
        <v>24</v>
      </c>
      <c r="H4564" t="s">
        <v>83</v>
      </c>
      <c r="I4564" t="s">
        <v>43</v>
      </c>
      <c r="J4564" t="s">
        <v>44</v>
      </c>
      <c r="K4564">
        <v>13</v>
      </c>
      <c r="L4564">
        <v>107209</v>
      </c>
      <c r="M4564" t="s">
        <v>45</v>
      </c>
      <c r="N4564">
        <v>3</v>
      </c>
      <c r="O4564">
        <v>1</v>
      </c>
      <c r="P4564">
        <v>34</v>
      </c>
      <c r="Q4564">
        <v>1</v>
      </c>
      <c r="R4564" s="1">
        <v>40376</v>
      </c>
      <c r="S4564" t="s">
        <v>29</v>
      </c>
      <c r="T4564" t="str">
        <f t="shared" si="355"/>
        <v>Grade A</v>
      </c>
      <c r="U4564">
        <f t="shared" si="356"/>
        <v>2</v>
      </c>
      <c r="V4564" t="str">
        <f t="shared" si="357"/>
        <v>Senior</v>
      </c>
      <c r="W4564" t="str">
        <f t="shared" si="358"/>
        <v>Medium Risk</v>
      </c>
      <c r="X4564" t="str">
        <f t="shared" si="359"/>
        <v>Fair</v>
      </c>
    </row>
    <row r="4565" spans="1:24" x14ac:dyDescent="0.3">
      <c r="A4565" t="s">
        <v>4633</v>
      </c>
      <c r="B4565" t="s">
        <v>39</v>
      </c>
      <c r="C4565">
        <v>42</v>
      </c>
      <c r="D4565" t="s">
        <v>47</v>
      </c>
      <c r="E4565" t="s">
        <v>40</v>
      </c>
      <c r="F4565" t="s">
        <v>23</v>
      </c>
      <c r="G4565" t="s">
        <v>63</v>
      </c>
      <c r="H4565" t="s">
        <v>67</v>
      </c>
      <c r="I4565" t="s">
        <v>59</v>
      </c>
      <c r="J4565" t="s">
        <v>60</v>
      </c>
      <c r="K4565">
        <v>13</v>
      </c>
      <c r="L4565">
        <v>78921</v>
      </c>
      <c r="M4565" t="s">
        <v>51</v>
      </c>
      <c r="N4565">
        <v>3</v>
      </c>
      <c r="O4565">
        <v>3</v>
      </c>
      <c r="P4565">
        <v>30</v>
      </c>
      <c r="Q4565">
        <v>0</v>
      </c>
      <c r="R4565" s="1">
        <v>40475</v>
      </c>
      <c r="S4565" t="s">
        <v>29</v>
      </c>
      <c r="T4565" t="str">
        <f t="shared" si="355"/>
        <v>Grade B</v>
      </c>
      <c r="U4565">
        <f t="shared" si="356"/>
        <v>4</v>
      </c>
      <c r="V4565" t="str">
        <f t="shared" si="357"/>
        <v>Senior</v>
      </c>
      <c r="W4565" t="str">
        <f t="shared" si="358"/>
        <v>Low Risk</v>
      </c>
      <c r="X4565" t="str">
        <f t="shared" si="359"/>
        <v>Fair</v>
      </c>
    </row>
    <row r="4566" spans="1:24" x14ac:dyDescent="0.3">
      <c r="A4566" t="s">
        <v>4634</v>
      </c>
      <c r="B4566" t="s">
        <v>39</v>
      </c>
      <c r="C4566">
        <v>46</v>
      </c>
      <c r="D4566" t="s">
        <v>57</v>
      </c>
      <c r="E4566" t="s">
        <v>22</v>
      </c>
      <c r="F4566" t="s">
        <v>62</v>
      </c>
      <c r="G4566" t="s">
        <v>66</v>
      </c>
      <c r="H4566" t="s">
        <v>34</v>
      </c>
      <c r="I4566" t="s">
        <v>59</v>
      </c>
      <c r="J4566" t="s">
        <v>60</v>
      </c>
      <c r="K4566">
        <v>9</v>
      </c>
      <c r="L4566">
        <v>57645</v>
      </c>
      <c r="M4566" t="s">
        <v>36</v>
      </c>
      <c r="N4566">
        <v>1</v>
      </c>
      <c r="O4566">
        <v>2</v>
      </c>
      <c r="P4566">
        <v>80</v>
      </c>
      <c r="Q4566">
        <v>1</v>
      </c>
      <c r="R4566" s="1">
        <v>41893</v>
      </c>
      <c r="S4566" t="s">
        <v>37</v>
      </c>
      <c r="T4566" t="str">
        <f t="shared" si="355"/>
        <v>Grade B</v>
      </c>
      <c r="U4566">
        <f t="shared" si="356"/>
        <v>1</v>
      </c>
      <c r="V4566" t="str">
        <f t="shared" si="357"/>
        <v>Mid Level</v>
      </c>
      <c r="W4566" t="str">
        <f t="shared" si="358"/>
        <v>Already Left</v>
      </c>
      <c r="X4566" t="str">
        <f t="shared" si="359"/>
        <v>Fair</v>
      </c>
    </row>
    <row r="4567" spans="1:24" x14ac:dyDescent="0.3">
      <c r="A4567" t="s">
        <v>4635</v>
      </c>
      <c r="B4567" t="s">
        <v>20</v>
      </c>
      <c r="C4567">
        <v>42</v>
      </c>
      <c r="D4567" t="s">
        <v>21</v>
      </c>
      <c r="E4567" t="s">
        <v>22</v>
      </c>
      <c r="F4567" t="s">
        <v>41</v>
      </c>
      <c r="G4567" t="s">
        <v>58</v>
      </c>
      <c r="H4567" t="s">
        <v>34</v>
      </c>
      <c r="I4567" t="s">
        <v>26</v>
      </c>
      <c r="J4567" t="s">
        <v>27</v>
      </c>
      <c r="K4567">
        <v>3</v>
      </c>
      <c r="L4567">
        <v>91470</v>
      </c>
      <c r="M4567" t="s">
        <v>36</v>
      </c>
      <c r="N4567">
        <v>1</v>
      </c>
      <c r="O4567">
        <v>4</v>
      </c>
      <c r="P4567">
        <v>32</v>
      </c>
      <c r="Q4567">
        <v>2</v>
      </c>
      <c r="R4567" s="1">
        <v>44132</v>
      </c>
      <c r="S4567" t="s">
        <v>29</v>
      </c>
      <c r="T4567" t="str">
        <f t="shared" si="355"/>
        <v>Grade A</v>
      </c>
      <c r="U4567">
        <f t="shared" si="356"/>
        <v>1</v>
      </c>
      <c r="V4567" t="str">
        <f t="shared" si="357"/>
        <v>Junior</v>
      </c>
      <c r="W4567" t="str">
        <f t="shared" si="358"/>
        <v>Medium Risk</v>
      </c>
      <c r="X4567" t="str">
        <f t="shared" si="359"/>
        <v>Overpaid</v>
      </c>
    </row>
    <row r="4568" spans="1:24" x14ac:dyDescent="0.3">
      <c r="A4568" t="s">
        <v>4636</v>
      </c>
      <c r="B4568" t="s">
        <v>20</v>
      </c>
      <c r="C4568">
        <v>43</v>
      </c>
      <c r="D4568" t="s">
        <v>57</v>
      </c>
      <c r="E4568" t="s">
        <v>22</v>
      </c>
      <c r="F4568" t="s">
        <v>75</v>
      </c>
      <c r="G4568" t="s">
        <v>33</v>
      </c>
      <c r="H4568" t="s">
        <v>25</v>
      </c>
      <c r="I4568" t="s">
        <v>68</v>
      </c>
      <c r="J4568" t="s">
        <v>60</v>
      </c>
      <c r="K4568">
        <v>13</v>
      </c>
      <c r="L4568">
        <v>76542</v>
      </c>
      <c r="M4568" t="s">
        <v>36</v>
      </c>
      <c r="N4568">
        <v>1</v>
      </c>
      <c r="O4568">
        <v>3</v>
      </c>
      <c r="P4568">
        <v>55</v>
      </c>
      <c r="Q4568">
        <v>2</v>
      </c>
      <c r="R4568" s="1">
        <v>40436</v>
      </c>
      <c r="S4568" t="s">
        <v>37</v>
      </c>
      <c r="T4568" t="str">
        <f t="shared" si="355"/>
        <v>Grade B</v>
      </c>
      <c r="U4568">
        <f t="shared" si="356"/>
        <v>1</v>
      </c>
      <c r="V4568" t="str">
        <f t="shared" si="357"/>
        <v>Senior</v>
      </c>
      <c r="W4568" t="str">
        <f t="shared" si="358"/>
        <v>Already Left</v>
      </c>
      <c r="X4568" t="str">
        <f t="shared" si="359"/>
        <v>Fair</v>
      </c>
    </row>
    <row r="4569" spans="1:24" x14ac:dyDescent="0.3">
      <c r="A4569" t="s">
        <v>4637</v>
      </c>
      <c r="B4569" t="s">
        <v>20</v>
      </c>
      <c r="C4569">
        <v>53</v>
      </c>
      <c r="D4569" t="s">
        <v>31</v>
      </c>
      <c r="E4569" t="s">
        <v>40</v>
      </c>
      <c r="F4569" t="s">
        <v>78</v>
      </c>
      <c r="G4569" t="s">
        <v>79</v>
      </c>
      <c r="H4569" t="s">
        <v>25</v>
      </c>
      <c r="I4569" t="s">
        <v>68</v>
      </c>
      <c r="J4569" t="s">
        <v>60</v>
      </c>
      <c r="K4569">
        <v>14</v>
      </c>
      <c r="L4569">
        <v>71087</v>
      </c>
      <c r="M4569" t="s">
        <v>28</v>
      </c>
      <c r="N4569">
        <v>3</v>
      </c>
      <c r="O4569">
        <v>1</v>
      </c>
      <c r="P4569">
        <v>11</v>
      </c>
      <c r="Q4569">
        <v>2</v>
      </c>
      <c r="R4569" s="1">
        <v>40130</v>
      </c>
      <c r="S4569" t="s">
        <v>29</v>
      </c>
      <c r="T4569" t="str">
        <f t="shared" si="355"/>
        <v>Grade B</v>
      </c>
      <c r="U4569">
        <f t="shared" si="356"/>
        <v>3</v>
      </c>
      <c r="V4569" t="str">
        <f t="shared" si="357"/>
        <v>Senior</v>
      </c>
      <c r="W4569" t="str">
        <f t="shared" si="358"/>
        <v>Medium Risk</v>
      </c>
      <c r="X4569" t="str">
        <f t="shared" si="359"/>
        <v>Competitive</v>
      </c>
    </row>
    <row r="4570" spans="1:24" x14ac:dyDescent="0.3">
      <c r="A4570" t="s">
        <v>4638</v>
      </c>
      <c r="B4570" t="s">
        <v>39</v>
      </c>
      <c r="C4570">
        <v>31</v>
      </c>
      <c r="D4570" t="s">
        <v>31</v>
      </c>
      <c r="E4570" t="s">
        <v>22</v>
      </c>
      <c r="F4570" t="s">
        <v>62</v>
      </c>
      <c r="G4570" t="s">
        <v>66</v>
      </c>
      <c r="H4570" t="s">
        <v>34</v>
      </c>
      <c r="I4570" t="s">
        <v>72</v>
      </c>
      <c r="J4570" t="s">
        <v>73</v>
      </c>
      <c r="K4570">
        <v>7</v>
      </c>
      <c r="L4570">
        <v>48865</v>
      </c>
      <c r="M4570" t="s">
        <v>51</v>
      </c>
      <c r="N4570">
        <v>4</v>
      </c>
      <c r="O4570">
        <v>4</v>
      </c>
      <c r="P4570">
        <v>61</v>
      </c>
      <c r="Q4570">
        <v>0</v>
      </c>
      <c r="R4570" s="1">
        <v>42468</v>
      </c>
      <c r="S4570" t="s">
        <v>29</v>
      </c>
      <c r="T4570" t="str">
        <f t="shared" si="355"/>
        <v>Grade C</v>
      </c>
      <c r="U4570">
        <f t="shared" si="356"/>
        <v>4</v>
      </c>
      <c r="V4570" t="str">
        <f t="shared" si="357"/>
        <v>Mid Level</v>
      </c>
      <c r="W4570" t="str">
        <f t="shared" si="358"/>
        <v>Low Risk</v>
      </c>
      <c r="X4570" t="str">
        <f t="shared" si="359"/>
        <v>Fair</v>
      </c>
    </row>
    <row r="4571" spans="1:24" x14ac:dyDescent="0.3">
      <c r="A4571" t="s">
        <v>4639</v>
      </c>
      <c r="B4571" t="s">
        <v>39</v>
      </c>
      <c r="C4571">
        <v>48</v>
      </c>
      <c r="D4571" t="s">
        <v>21</v>
      </c>
      <c r="E4571" t="s">
        <v>40</v>
      </c>
      <c r="F4571" t="s">
        <v>78</v>
      </c>
      <c r="G4571" t="s">
        <v>42</v>
      </c>
      <c r="H4571" t="s">
        <v>83</v>
      </c>
      <c r="I4571" t="s">
        <v>26</v>
      </c>
      <c r="J4571" t="s">
        <v>27</v>
      </c>
      <c r="K4571">
        <v>8</v>
      </c>
      <c r="L4571">
        <v>119163</v>
      </c>
      <c r="M4571" t="s">
        <v>51</v>
      </c>
      <c r="N4571">
        <v>1</v>
      </c>
      <c r="O4571">
        <v>2</v>
      </c>
      <c r="P4571">
        <v>14</v>
      </c>
      <c r="Q4571">
        <v>1</v>
      </c>
      <c r="R4571" s="1">
        <v>42366</v>
      </c>
      <c r="S4571" t="s">
        <v>29</v>
      </c>
      <c r="T4571" t="str">
        <f t="shared" si="355"/>
        <v>Grade A</v>
      </c>
      <c r="U4571">
        <f t="shared" si="356"/>
        <v>4</v>
      </c>
      <c r="V4571" t="str">
        <f t="shared" si="357"/>
        <v>Mid Level</v>
      </c>
      <c r="W4571" t="str">
        <f t="shared" si="358"/>
        <v>Low Risk</v>
      </c>
      <c r="X4571" t="str">
        <f t="shared" si="359"/>
        <v>Competitive</v>
      </c>
    </row>
    <row r="4572" spans="1:24" x14ac:dyDescent="0.3">
      <c r="A4572" t="s">
        <v>4640</v>
      </c>
      <c r="B4572" t="s">
        <v>20</v>
      </c>
      <c r="C4572">
        <v>34</v>
      </c>
      <c r="D4572" t="s">
        <v>31</v>
      </c>
      <c r="E4572" t="s">
        <v>40</v>
      </c>
      <c r="F4572" t="s">
        <v>65</v>
      </c>
      <c r="G4572" t="s">
        <v>33</v>
      </c>
      <c r="H4572" t="s">
        <v>25</v>
      </c>
      <c r="I4572" t="s">
        <v>26</v>
      </c>
      <c r="J4572" t="s">
        <v>27</v>
      </c>
      <c r="K4572">
        <v>15</v>
      </c>
      <c r="L4572">
        <v>95134</v>
      </c>
      <c r="M4572" t="s">
        <v>36</v>
      </c>
      <c r="N4572">
        <v>2</v>
      </c>
      <c r="O4572">
        <v>3</v>
      </c>
      <c r="P4572">
        <v>45</v>
      </c>
      <c r="Q4572">
        <v>2</v>
      </c>
      <c r="R4572" s="1">
        <v>39759</v>
      </c>
      <c r="S4572" t="s">
        <v>37</v>
      </c>
      <c r="T4572" t="str">
        <f t="shared" si="355"/>
        <v>Grade A</v>
      </c>
      <c r="U4572">
        <f t="shared" si="356"/>
        <v>1</v>
      </c>
      <c r="V4572" t="str">
        <f t="shared" si="357"/>
        <v>Senior</v>
      </c>
      <c r="W4572" t="str">
        <f t="shared" si="358"/>
        <v>Already Left</v>
      </c>
      <c r="X4572" t="str">
        <f t="shared" si="359"/>
        <v>Overpaid</v>
      </c>
    </row>
    <row r="4573" spans="1:24" x14ac:dyDescent="0.3">
      <c r="A4573" t="s">
        <v>4641</v>
      </c>
      <c r="B4573" t="s">
        <v>39</v>
      </c>
      <c r="C4573">
        <v>42</v>
      </c>
      <c r="D4573" t="s">
        <v>31</v>
      </c>
      <c r="E4573" t="s">
        <v>40</v>
      </c>
      <c r="F4573" t="s">
        <v>23</v>
      </c>
      <c r="G4573" t="s">
        <v>42</v>
      </c>
      <c r="H4573" t="s">
        <v>76</v>
      </c>
      <c r="I4573" t="s">
        <v>72</v>
      </c>
      <c r="J4573" t="s">
        <v>73</v>
      </c>
      <c r="K4573">
        <v>6</v>
      </c>
      <c r="L4573">
        <v>111958</v>
      </c>
      <c r="M4573" t="s">
        <v>36</v>
      </c>
      <c r="N4573">
        <v>2</v>
      </c>
      <c r="O4573">
        <v>4</v>
      </c>
      <c r="P4573">
        <v>72</v>
      </c>
      <c r="Q4573">
        <v>2</v>
      </c>
      <c r="R4573" s="1">
        <v>42807</v>
      </c>
      <c r="S4573" t="s">
        <v>29</v>
      </c>
      <c r="T4573" t="str">
        <f t="shared" si="355"/>
        <v>Grade A</v>
      </c>
      <c r="U4573">
        <f t="shared" si="356"/>
        <v>1</v>
      </c>
      <c r="V4573" t="str">
        <f t="shared" si="357"/>
        <v>Mid Level</v>
      </c>
      <c r="W4573" t="str">
        <f t="shared" si="358"/>
        <v>Medium Risk</v>
      </c>
      <c r="X4573" t="str">
        <f t="shared" si="359"/>
        <v>Overpaid</v>
      </c>
    </row>
    <row r="4574" spans="1:24" x14ac:dyDescent="0.3">
      <c r="A4574" t="s">
        <v>4642</v>
      </c>
      <c r="B4574" t="s">
        <v>39</v>
      </c>
      <c r="C4574">
        <v>29</v>
      </c>
      <c r="D4574" t="s">
        <v>47</v>
      </c>
      <c r="E4574" t="s">
        <v>22</v>
      </c>
      <c r="F4574" t="s">
        <v>62</v>
      </c>
      <c r="G4574" t="s">
        <v>58</v>
      </c>
      <c r="H4574" t="s">
        <v>67</v>
      </c>
      <c r="I4574" t="s">
        <v>26</v>
      </c>
      <c r="J4574" t="s">
        <v>27</v>
      </c>
      <c r="K4574">
        <v>15</v>
      </c>
      <c r="L4574">
        <v>121292</v>
      </c>
      <c r="M4574" t="s">
        <v>45</v>
      </c>
      <c r="N4574">
        <v>2</v>
      </c>
      <c r="O4574">
        <v>4</v>
      </c>
      <c r="P4574">
        <v>37</v>
      </c>
      <c r="Q4574">
        <v>3</v>
      </c>
      <c r="R4574" s="1">
        <v>39743</v>
      </c>
      <c r="S4574" t="s">
        <v>29</v>
      </c>
      <c r="T4574" t="str">
        <f t="shared" si="355"/>
        <v>Grade A</v>
      </c>
      <c r="U4574">
        <f t="shared" si="356"/>
        <v>2</v>
      </c>
      <c r="V4574" t="str">
        <f t="shared" si="357"/>
        <v>Senior</v>
      </c>
      <c r="W4574" t="str">
        <f t="shared" si="358"/>
        <v>Medium Risk</v>
      </c>
      <c r="X4574" t="str">
        <f t="shared" si="359"/>
        <v>Fair</v>
      </c>
    </row>
    <row r="4575" spans="1:24" x14ac:dyDescent="0.3">
      <c r="A4575" t="s">
        <v>4643</v>
      </c>
      <c r="B4575" t="s">
        <v>39</v>
      </c>
      <c r="C4575">
        <v>28</v>
      </c>
      <c r="D4575" t="s">
        <v>31</v>
      </c>
      <c r="E4575" t="s">
        <v>22</v>
      </c>
      <c r="F4575" t="s">
        <v>23</v>
      </c>
      <c r="G4575" t="s">
        <v>24</v>
      </c>
      <c r="H4575" t="s">
        <v>83</v>
      </c>
      <c r="I4575" t="s">
        <v>50</v>
      </c>
      <c r="J4575" t="s">
        <v>44</v>
      </c>
      <c r="K4575">
        <v>6</v>
      </c>
      <c r="L4575">
        <v>84928</v>
      </c>
      <c r="M4575" t="s">
        <v>45</v>
      </c>
      <c r="N4575">
        <v>1</v>
      </c>
      <c r="O4575">
        <v>3</v>
      </c>
      <c r="P4575">
        <v>22</v>
      </c>
      <c r="Q4575">
        <v>3</v>
      </c>
      <c r="R4575" s="1">
        <v>42977</v>
      </c>
      <c r="S4575" t="s">
        <v>29</v>
      </c>
      <c r="T4575" t="str">
        <f t="shared" si="355"/>
        <v>Grade A</v>
      </c>
      <c r="U4575">
        <f t="shared" si="356"/>
        <v>2</v>
      </c>
      <c r="V4575" t="str">
        <f t="shared" si="357"/>
        <v>Mid Level</v>
      </c>
      <c r="W4575" t="str">
        <f t="shared" si="358"/>
        <v>Medium Risk</v>
      </c>
      <c r="X4575" t="str">
        <f t="shared" si="359"/>
        <v>Fair</v>
      </c>
    </row>
    <row r="4576" spans="1:24" x14ac:dyDescent="0.3">
      <c r="A4576" t="s">
        <v>4644</v>
      </c>
      <c r="B4576" t="s">
        <v>39</v>
      </c>
      <c r="C4576">
        <v>54</v>
      </c>
      <c r="D4576" t="s">
        <v>31</v>
      </c>
      <c r="E4576" t="s">
        <v>48</v>
      </c>
      <c r="F4576" t="s">
        <v>32</v>
      </c>
      <c r="G4576" t="s">
        <v>42</v>
      </c>
      <c r="H4576" t="s">
        <v>34</v>
      </c>
      <c r="I4576" t="s">
        <v>54</v>
      </c>
      <c r="J4576" t="s">
        <v>27</v>
      </c>
      <c r="K4576">
        <v>4</v>
      </c>
      <c r="L4576">
        <v>99298</v>
      </c>
      <c r="M4576" t="s">
        <v>45</v>
      </c>
      <c r="N4576">
        <v>4</v>
      </c>
      <c r="O4576">
        <v>1</v>
      </c>
      <c r="P4576">
        <v>13</v>
      </c>
      <c r="Q4576">
        <v>1</v>
      </c>
      <c r="R4576" s="1">
        <v>43585</v>
      </c>
      <c r="S4576" t="s">
        <v>37</v>
      </c>
      <c r="T4576" t="str">
        <f t="shared" si="355"/>
        <v>Grade A</v>
      </c>
      <c r="U4576">
        <f t="shared" si="356"/>
        <v>2</v>
      </c>
      <c r="V4576" t="str">
        <f t="shared" si="357"/>
        <v>Junior</v>
      </c>
      <c r="W4576" t="str">
        <f t="shared" si="358"/>
        <v>Already Left</v>
      </c>
      <c r="X4576" t="str">
        <f t="shared" si="359"/>
        <v>Fair</v>
      </c>
    </row>
    <row r="4577" spans="1:24" x14ac:dyDescent="0.3">
      <c r="A4577" t="s">
        <v>4645</v>
      </c>
      <c r="B4577" t="s">
        <v>39</v>
      </c>
      <c r="C4577">
        <v>34</v>
      </c>
      <c r="D4577" t="s">
        <v>57</v>
      </c>
      <c r="E4577" t="s">
        <v>40</v>
      </c>
      <c r="F4577" t="s">
        <v>41</v>
      </c>
      <c r="G4577" t="s">
        <v>49</v>
      </c>
      <c r="H4577" t="s">
        <v>25</v>
      </c>
      <c r="I4577" t="s">
        <v>72</v>
      </c>
      <c r="J4577" t="s">
        <v>73</v>
      </c>
      <c r="K4577">
        <v>11</v>
      </c>
      <c r="L4577">
        <v>69156</v>
      </c>
      <c r="M4577" t="s">
        <v>51</v>
      </c>
      <c r="N4577">
        <v>1</v>
      </c>
      <c r="O4577">
        <v>3</v>
      </c>
      <c r="P4577">
        <v>70</v>
      </c>
      <c r="Q4577">
        <v>1</v>
      </c>
      <c r="R4577" s="1">
        <v>41228</v>
      </c>
      <c r="S4577" t="s">
        <v>29</v>
      </c>
      <c r="T4577" t="str">
        <f t="shared" si="355"/>
        <v>Grade B</v>
      </c>
      <c r="U4577">
        <f t="shared" si="356"/>
        <v>4</v>
      </c>
      <c r="V4577" t="str">
        <f t="shared" si="357"/>
        <v>Senior</v>
      </c>
      <c r="W4577" t="str">
        <f t="shared" si="358"/>
        <v>Low Risk</v>
      </c>
      <c r="X4577" t="str">
        <f t="shared" si="359"/>
        <v>Fair</v>
      </c>
    </row>
    <row r="4578" spans="1:24" x14ac:dyDescent="0.3">
      <c r="A4578" t="s">
        <v>4646</v>
      </c>
      <c r="B4578" t="s">
        <v>39</v>
      </c>
      <c r="C4578">
        <v>37</v>
      </c>
      <c r="D4578" t="s">
        <v>88</v>
      </c>
      <c r="E4578" t="s">
        <v>48</v>
      </c>
      <c r="F4578" t="s">
        <v>78</v>
      </c>
      <c r="G4578" t="s">
        <v>66</v>
      </c>
      <c r="H4578" t="s">
        <v>67</v>
      </c>
      <c r="I4578" t="s">
        <v>50</v>
      </c>
      <c r="J4578" t="s">
        <v>44</v>
      </c>
      <c r="K4578">
        <v>2</v>
      </c>
      <c r="L4578">
        <v>42526</v>
      </c>
      <c r="M4578" t="s">
        <v>51</v>
      </c>
      <c r="N4578">
        <v>3</v>
      </c>
      <c r="O4578">
        <v>2</v>
      </c>
      <c r="P4578">
        <v>61</v>
      </c>
      <c r="Q4578">
        <v>1</v>
      </c>
      <c r="R4578" s="1">
        <v>44351</v>
      </c>
      <c r="S4578" t="s">
        <v>29</v>
      </c>
      <c r="T4578" t="str">
        <f t="shared" si="355"/>
        <v>Grade C</v>
      </c>
      <c r="U4578">
        <f t="shared" si="356"/>
        <v>4</v>
      </c>
      <c r="V4578" t="str">
        <f t="shared" si="357"/>
        <v>New Joiner</v>
      </c>
      <c r="W4578" t="str">
        <f t="shared" si="358"/>
        <v>Low Risk</v>
      </c>
      <c r="X4578" t="str">
        <f t="shared" si="359"/>
        <v>Fair</v>
      </c>
    </row>
    <row r="4579" spans="1:24" x14ac:dyDescent="0.3">
      <c r="A4579" t="s">
        <v>4647</v>
      </c>
      <c r="B4579" t="s">
        <v>39</v>
      </c>
      <c r="C4579">
        <v>55</v>
      </c>
      <c r="D4579" t="s">
        <v>57</v>
      </c>
      <c r="E4579" t="s">
        <v>40</v>
      </c>
      <c r="F4579" t="s">
        <v>41</v>
      </c>
      <c r="G4579" t="s">
        <v>58</v>
      </c>
      <c r="H4579" t="s">
        <v>76</v>
      </c>
      <c r="I4579" t="s">
        <v>50</v>
      </c>
      <c r="J4579" t="s">
        <v>44</v>
      </c>
      <c r="K4579">
        <v>9</v>
      </c>
      <c r="L4579">
        <v>99190</v>
      </c>
      <c r="M4579" t="s">
        <v>51</v>
      </c>
      <c r="N4579">
        <v>3</v>
      </c>
      <c r="O4579">
        <v>2</v>
      </c>
      <c r="P4579">
        <v>60</v>
      </c>
      <c r="Q4579">
        <v>1</v>
      </c>
      <c r="R4579" s="1">
        <v>41664</v>
      </c>
      <c r="S4579" t="s">
        <v>37</v>
      </c>
      <c r="T4579" t="str">
        <f t="shared" si="355"/>
        <v>Grade A</v>
      </c>
      <c r="U4579">
        <f t="shared" si="356"/>
        <v>4</v>
      </c>
      <c r="V4579" t="str">
        <f t="shared" si="357"/>
        <v>Mid Level</v>
      </c>
      <c r="W4579" t="str">
        <f t="shared" si="358"/>
        <v>Already Left</v>
      </c>
      <c r="X4579" t="str">
        <f t="shared" si="359"/>
        <v>Competitive</v>
      </c>
    </row>
    <row r="4580" spans="1:24" x14ac:dyDescent="0.3">
      <c r="A4580" t="s">
        <v>4648</v>
      </c>
      <c r="B4580" t="s">
        <v>20</v>
      </c>
      <c r="C4580">
        <v>47</v>
      </c>
      <c r="D4580" t="s">
        <v>88</v>
      </c>
      <c r="E4580" t="s">
        <v>40</v>
      </c>
      <c r="F4580" t="s">
        <v>23</v>
      </c>
      <c r="G4580" t="s">
        <v>33</v>
      </c>
      <c r="H4580" t="s">
        <v>25</v>
      </c>
      <c r="I4580" t="s">
        <v>80</v>
      </c>
      <c r="J4580" t="s">
        <v>60</v>
      </c>
      <c r="K4580">
        <v>13</v>
      </c>
      <c r="L4580">
        <v>87722</v>
      </c>
      <c r="M4580" t="s">
        <v>45</v>
      </c>
      <c r="N4580">
        <v>2</v>
      </c>
      <c r="O4580">
        <v>2</v>
      </c>
      <c r="P4580">
        <v>33</v>
      </c>
      <c r="Q4580">
        <v>0</v>
      </c>
      <c r="R4580" s="1">
        <v>40510</v>
      </c>
      <c r="S4580" t="s">
        <v>29</v>
      </c>
      <c r="T4580" t="str">
        <f t="shared" si="355"/>
        <v>Grade A</v>
      </c>
      <c r="U4580">
        <f t="shared" si="356"/>
        <v>2</v>
      </c>
      <c r="V4580" t="str">
        <f t="shared" si="357"/>
        <v>Senior</v>
      </c>
      <c r="W4580" t="str">
        <f t="shared" si="358"/>
        <v>Medium Risk</v>
      </c>
      <c r="X4580" t="str">
        <f t="shared" si="359"/>
        <v>Fair</v>
      </c>
    </row>
    <row r="4581" spans="1:24" x14ac:dyDescent="0.3">
      <c r="A4581" t="s">
        <v>4649</v>
      </c>
      <c r="B4581" t="s">
        <v>20</v>
      </c>
      <c r="C4581">
        <v>23</v>
      </c>
      <c r="D4581" t="s">
        <v>21</v>
      </c>
      <c r="E4581" t="s">
        <v>40</v>
      </c>
      <c r="F4581" t="s">
        <v>41</v>
      </c>
      <c r="G4581" t="s">
        <v>79</v>
      </c>
      <c r="H4581" t="s">
        <v>67</v>
      </c>
      <c r="I4581" t="s">
        <v>35</v>
      </c>
      <c r="J4581" t="s">
        <v>27</v>
      </c>
      <c r="K4581">
        <v>10</v>
      </c>
      <c r="L4581">
        <v>68467</v>
      </c>
      <c r="M4581" t="s">
        <v>51</v>
      </c>
      <c r="N4581">
        <v>2</v>
      </c>
      <c r="O4581">
        <v>4</v>
      </c>
      <c r="P4581">
        <v>69</v>
      </c>
      <c r="Q4581">
        <v>0</v>
      </c>
      <c r="R4581" s="1">
        <v>41403</v>
      </c>
      <c r="S4581" t="s">
        <v>37</v>
      </c>
      <c r="T4581" t="str">
        <f t="shared" si="355"/>
        <v>Grade B</v>
      </c>
      <c r="U4581">
        <f t="shared" si="356"/>
        <v>4</v>
      </c>
      <c r="V4581" t="str">
        <f t="shared" si="357"/>
        <v>Mid Level</v>
      </c>
      <c r="W4581" t="str">
        <f t="shared" si="358"/>
        <v>Already Left</v>
      </c>
      <c r="X4581" t="str">
        <f t="shared" si="359"/>
        <v>Fair</v>
      </c>
    </row>
    <row r="4582" spans="1:24" x14ac:dyDescent="0.3">
      <c r="A4582" t="s">
        <v>4650</v>
      </c>
      <c r="B4582" t="s">
        <v>39</v>
      </c>
      <c r="C4582">
        <v>31</v>
      </c>
      <c r="D4582" t="s">
        <v>21</v>
      </c>
      <c r="E4582" t="s">
        <v>40</v>
      </c>
      <c r="F4582" t="s">
        <v>65</v>
      </c>
      <c r="G4582" t="s">
        <v>66</v>
      </c>
      <c r="H4582" t="s">
        <v>76</v>
      </c>
      <c r="I4582" t="s">
        <v>96</v>
      </c>
      <c r="J4582" t="s">
        <v>44</v>
      </c>
      <c r="K4582">
        <v>9</v>
      </c>
      <c r="L4582">
        <v>61382</v>
      </c>
      <c r="M4582" t="s">
        <v>36</v>
      </c>
      <c r="N4582">
        <v>4</v>
      </c>
      <c r="O4582">
        <v>4</v>
      </c>
      <c r="P4582">
        <v>46</v>
      </c>
      <c r="Q4582">
        <v>2</v>
      </c>
      <c r="R4582" s="1">
        <v>41784</v>
      </c>
      <c r="S4582" t="s">
        <v>37</v>
      </c>
      <c r="T4582" t="str">
        <f t="shared" si="355"/>
        <v>Grade B</v>
      </c>
      <c r="U4582">
        <f t="shared" si="356"/>
        <v>1</v>
      </c>
      <c r="V4582" t="str">
        <f t="shared" si="357"/>
        <v>Mid Level</v>
      </c>
      <c r="W4582" t="str">
        <f t="shared" si="358"/>
        <v>Already Left</v>
      </c>
      <c r="X4582" t="str">
        <f t="shared" si="359"/>
        <v>Fair</v>
      </c>
    </row>
    <row r="4583" spans="1:24" x14ac:dyDescent="0.3">
      <c r="A4583" t="s">
        <v>4651</v>
      </c>
      <c r="B4583" t="s">
        <v>39</v>
      </c>
      <c r="C4583">
        <v>40</v>
      </c>
      <c r="D4583" t="s">
        <v>88</v>
      </c>
      <c r="E4583" t="s">
        <v>22</v>
      </c>
      <c r="F4583" t="s">
        <v>41</v>
      </c>
      <c r="G4583" t="s">
        <v>33</v>
      </c>
      <c r="H4583" t="s">
        <v>25</v>
      </c>
      <c r="I4583" t="s">
        <v>80</v>
      </c>
      <c r="J4583" t="s">
        <v>60</v>
      </c>
      <c r="K4583">
        <v>6</v>
      </c>
      <c r="L4583">
        <v>71370</v>
      </c>
      <c r="M4583" t="s">
        <v>36</v>
      </c>
      <c r="N4583">
        <v>2</v>
      </c>
      <c r="O4583">
        <v>2</v>
      </c>
      <c r="P4583">
        <v>78</v>
      </c>
      <c r="Q4583">
        <v>0</v>
      </c>
      <c r="R4583" s="1">
        <v>42931</v>
      </c>
      <c r="S4583" t="s">
        <v>37</v>
      </c>
      <c r="T4583" t="str">
        <f t="shared" si="355"/>
        <v>Grade B</v>
      </c>
      <c r="U4583">
        <f t="shared" si="356"/>
        <v>1</v>
      </c>
      <c r="V4583" t="str">
        <f t="shared" si="357"/>
        <v>Mid Level</v>
      </c>
      <c r="W4583" t="str">
        <f t="shared" si="358"/>
        <v>Already Left</v>
      </c>
      <c r="X4583" t="str">
        <f t="shared" si="359"/>
        <v>Fair</v>
      </c>
    </row>
    <row r="4584" spans="1:24" x14ac:dyDescent="0.3">
      <c r="A4584" t="s">
        <v>4652</v>
      </c>
      <c r="B4584" t="s">
        <v>20</v>
      </c>
      <c r="C4584">
        <v>42</v>
      </c>
      <c r="D4584" t="s">
        <v>57</v>
      </c>
      <c r="E4584" t="s">
        <v>22</v>
      </c>
      <c r="F4584" t="s">
        <v>23</v>
      </c>
      <c r="G4584" t="s">
        <v>66</v>
      </c>
      <c r="H4584" t="s">
        <v>83</v>
      </c>
      <c r="I4584" t="s">
        <v>35</v>
      </c>
      <c r="J4584" t="s">
        <v>27</v>
      </c>
      <c r="K4584">
        <v>10</v>
      </c>
      <c r="L4584">
        <v>56526</v>
      </c>
      <c r="M4584" t="s">
        <v>28</v>
      </c>
      <c r="N4584">
        <v>3</v>
      </c>
      <c r="O4584">
        <v>2</v>
      </c>
      <c r="P4584">
        <v>59</v>
      </c>
      <c r="Q4584">
        <v>2</v>
      </c>
      <c r="R4584" s="1">
        <v>41503</v>
      </c>
      <c r="S4584" t="s">
        <v>29</v>
      </c>
      <c r="T4584" t="str">
        <f t="shared" si="355"/>
        <v>Grade B</v>
      </c>
      <c r="U4584">
        <f t="shared" si="356"/>
        <v>3</v>
      </c>
      <c r="V4584" t="str">
        <f t="shared" si="357"/>
        <v>Mid Level</v>
      </c>
      <c r="W4584" t="str">
        <f t="shared" si="358"/>
        <v>Medium Risk</v>
      </c>
      <c r="X4584" t="str">
        <f t="shared" si="359"/>
        <v>Competitive</v>
      </c>
    </row>
    <row r="4585" spans="1:24" x14ac:dyDescent="0.3">
      <c r="A4585" t="s">
        <v>4653</v>
      </c>
      <c r="B4585" t="s">
        <v>20</v>
      </c>
      <c r="C4585">
        <v>49</v>
      </c>
      <c r="D4585" t="s">
        <v>31</v>
      </c>
      <c r="E4585" t="s">
        <v>22</v>
      </c>
      <c r="F4585" t="s">
        <v>78</v>
      </c>
      <c r="G4585" t="s">
        <v>79</v>
      </c>
      <c r="H4585" t="s">
        <v>83</v>
      </c>
      <c r="I4585" t="s">
        <v>50</v>
      </c>
      <c r="J4585" t="s">
        <v>44</v>
      </c>
      <c r="K4585">
        <v>14</v>
      </c>
      <c r="L4585">
        <v>64476</v>
      </c>
      <c r="M4585" t="s">
        <v>45</v>
      </c>
      <c r="N4585">
        <v>4</v>
      </c>
      <c r="O4585">
        <v>3</v>
      </c>
      <c r="P4585">
        <v>17</v>
      </c>
      <c r="Q4585">
        <v>2</v>
      </c>
      <c r="R4585" s="1">
        <v>40161</v>
      </c>
      <c r="S4585" t="s">
        <v>37</v>
      </c>
      <c r="T4585" t="str">
        <f t="shared" si="355"/>
        <v>Grade B</v>
      </c>
      <c r="U4585">
        <f t="shared" si="356"/>
        <v>2</v>
      </c>
      <c r="V4585" t="str">
        <f t="shared" si="357"/>
        <v>Senior</v>
      </c>
      <c r="W4585" t="str">
        <f t="shared" si="358"/>
        <v>Already Left</v>
      </c>
      <c r="X4585" t="str">
        <f t="shared" si="359"/>
        <v>Fair</v>
      </c>
    </row>
    <row r="4586" spans="1:24" x14ac:dyDescent="0.3">
      <c r="A4586" t="s">
        <v>4654</v>
      </c>
      <c r="B4586" t="s">
        <v>39</v>
      </c>
      <c r="C4586">
        <v>37</v>
      </c>
      <c r="D4586" t="s">
        <v>88</v>
      </c>
      <c r="E4586" t="s">
        <v>22</v>
      </c>
      <c r="F4586" t="s">
        <v>75</v>
      </c>
      <c r="G4586" t="s">
        <v>49</v>
      </c>
      <c r="H4586" t="s">
        <v>25</v>
      </c>
      <c r="I4586" t="s">
        <v>72</v>
      </c>
      <c r="J4586" t="s">
        <v>73</v>
      </c>
      <c r="K4586">
        <v>5</v>
      </c>
      <c r="L4586">
        <v>52202</v>
      </c>
      <c r="M4586" t="s">
        <v>45</v>
      </c>
      <c r="N4586">
        <v>4</v>
      </c>
      <c r="O4586">
        <v>3</v>
      </c>
      <c r="P4586">
        <v>22</v>
      </c>
      <c r="Q4586">
        <v>1</v>
      </c>
      <c r="R4586" s="1">
        <v>43173</v>
      </c>
      <c r="S4586" t="s">
        <v>29</v>
      </c>
      <c r="T4586" t="str">
        <f t="shared" si="355"/>
        <v>Grade B</v>
      </c>
      <c r="U4586">
        <f t="shared" si="356"/>
        <v>2</v>
      </c>
      <c r="V4586" t="str">
        <f t="shared" si="357"/>
        <v>Junior</v>
      </c>
      <c r="W4586" t="str">
        <f t="shared" si="358"/>
        <v>Medium Risk</v>
      </c>
      <c r="X4586" t="str">
        <f t="shared" si="359"/>
        <v>Fair</v>
      </c>
    </row>
    <row r="4587" spans="1:24" x14ac:dyDescent="0.3">
      <c r="A4587" t="s">
        <v>4655</v>
      </c>
      <c r="B4587" t="s">
        <v>20</v>
      </c>
      <c r="C4587">
        <v>24</v>
      </c>
      <c r="D4587" t="s">
        <v>21</v>
      </c>
      <c r="E4587" t="s">
        <v>40</v>
      </c>
      <c r="F4587" t="s">
        <v>62</v>
      </c>
      <c r="G4587" t="s">
        <v>24</v>
      </c>
      <c r="H4587" t="s">
        <v>76</v>
      </c>
      <c r="I4587" t="s">
        <v>54</v>
      </c>
      <c r="J4587" t="s">
        <v>27</v>
      </c>
      <c r="K4587">
        <v>10</v>
      </c>
      <c r="L4587">
        <v>98283</v>
      </c>
      <c r="M4587" t="s">
        <v>28</v>
      </c>
      <c r="N4587">
        <v>3</v>
      </c>
      <c r="O4587">
        <v>1</v>
      </c>
      <c r="P4587">
        <v>18</v>
      </c>
      <c r="Q4587">
        <v>1</v>
      </c>
      <c r="R4587" s="1">
        <v>41543</v>
      </c>
      <c r="S4587" t="s">
        <v>29</v>
      </c>
      <c r="T4587" t="str">
        <f t="shared" si="355"/>
        <v>Grade A</v>
      </c>
      <c r="U4587">
        <f t="shared" si="356"/>
        <v>3</v>
      </c>
      <c r="V4587" t="str">
        <f t="shared" si="357"/>
        <v>Mid Level</v>
      </c>
      <c r="W4587" t="str">
        <f t="shared" si="358"/>
        <v>Medium Risk</v>
      </c>
      <c r="X4587" t="str">
        <f t="shared" si="359"/>
        <v>Competitive</v>
      </c>
    </row>
    <row r="4588" spans="1:24" x14ac:dyDescent="0.3">
      <c r="A4588" t="s">
        <v>4656</v>
      </c>
      <c r="B4588" t="s">
        <v>20</v>
      </c>
      <c r="C4588">
        <v>31</v>
      </c>
      <c r="D4588" t="s">
        <v>31</v>
      </c>
      <c r="E4588" t="s">
        <v>40</v>
      </c>
      <c r="F4588" t="s">
        <v>41</v>
      </c>
      <c r="G4588" t="s">
        <v>33</v>
      </c>
      <c r="H4588" t="s">
        <v>67</v>
      </c>
      <c r="I4588" t="s">
        <v>54</v>
      </c>
      <c r="J4588" t="s">
        <v>27</v>
      </c>
      <c r="K4588">
        <v>3</v>
      </c>
      <c r="L4588">
        <v>70193</v>
      </c>
      <c r="M4588" t="s">
        <v>28</v>
      </c>
      <c r="N4588">
        <v>1</v>
      </c>
      <c r="O4588">
        <v>1</v>
      </c>
      <c r="P4588">
        <v>79</v>
      </c>
      <c r="Q4588">
        <v>3</v>
      </c>
      <c r="R4588" s="1">
        <v>44018</v>
      </c>
      <c r="S4588" t="s">
        <v>37</v>
      </c>
      <c r="T4588" t="str">
        <f t="shared" si="355"/>
        <v>Grade B</v>
      </c>
      <c r="U4588">
        <f t="shared" si="356"/>
        <v>3</v>
      </c>
      <c r="V4588" t="str">
        <f t="shared" si="357"/>
        <v>Junior</v>
      </c>
      <c r="W4588" t="str">
        <f t="shared" si="358"/>
        <v>Already Left</v>
      </c>
      <c r="X4588" t="str">
        <f t="shared" si="359"/>
        <v>Competitive</v>
      </c>
    </row>
    <row r="4589" spans="1:24" x14ac:dyDescent="0.3">
      <c r="A4589" t="s">
        <v>4657</v>
      </c>
      <c r="B4589" t="s">
        <v>39</v>
      </c>
      <c r="C4589">
        <v>32</v>
      </c>
      <c r="D4589" t="s">
        <v>88</v>
      </c>
      <c r="E4589" t="s">
        <v>48</v>
      </c>
      <c r="F4589" t="s">
        <v>53</v>
      </c>
      <c r="G4589" t="s">
        <v>66</v>
      </c>
      <c r="H4589" t="s">
        <v>67</v>
      </c>
      <c r="I4589" t="s">
        <v>80</v>
      </c>
      <c r="J4589" t="s">
        <v>60</v>
      </c>
      <c r="K4589">
        <v>2</v>
      </c>
      <c r="L4589">
        <v>45622</v>
      </c>
      <c r="M4589" t="s">
        <v>28</v>
      </c>
      <c r="N4589">
        <v>3</v>
      </c>
      <c r="O4589">
        <v>4</v>
      </c>
      <c r="P4589">
        <v>13</v>
      </c>
      <c r="Q4589">
        <v>1</v>
      </c>
      <c r="R4589" s="1">
        <v>44518</v>
      </c>
      <c r="S4589" t="s">
        <v>29</v>
      </c>
      <c r="T4589" t="str">
        <f t="shared" si="355"/>
        <v>Grade C</v>
      </c>
      <c r="U4589">
        <f t="shared" si="356"/>
        <v>3</v>
      </c>
      <c r="V4589" t="str">
        <f t="shared" si="357"/>
        <v>New Joiner</v>
      </c>
      <c r="W4589" t="str">
        <f t="shared" si="358"/>
        <v>Medium Risk</v>
      </c>
      <c r="X4589" t="str">
        <f t="shared" si="359"/>
        <v>Fair</v>
      </c>
    </row>
    <row r="4590" spans="1:24" x14ac:dyDescent="0.3">
      <c r="A4590" t="s">
        <v>4658</v>
      </c>
      <c r="B4590" t="s">
        <v>20</v>
      </c>
      <c r="C4590">
        <v>41</v>
      </c>
      <c r="D4590" t="s">
        <v>47</v>
      </c>
      <c r="E4590" t="s">
        <v>48</v>
      </c>
      <c r="F4590" t="s">
        <v>23</v>
      </c>
      <c r="G4590" t="s">
        <v>79</v>
      </c>
      <c r="H4590" t="s">
        <v>34</v>
      </c>
      <c r="I4590" t="s">
        <v>80</v>
      </c>
      <c r="J4590" t="s">
        <v>60</v>
      </c>
      <c r="K4590">
        <v>14</v>
      </c>
      <c r="L4590">
        <v>75545</v>
      </c>
      <c r="M4590" t="s">
        <v>36</v>
      </c>
      <c r="N4590">
        <v>2</v>
      </c>
      <c r="O4590">
        <v>4</v>
      </c>
      <c r="P4590">
        <v>44</v>
      </c>
      <c r="Q4590">
        <v>0</v>
      </c>
      <c r="R4590" s="1">
        <v>39909</v>
      </c>
      <c r="S4590" t="s">
        <v>37</v>
      </c>
      <c r="T4590" t="str">
        <f t="shared" si="355"/>
        <v>Grade B</v>
      </c>
      <c r="U4590">
        <f t="shared" si="356"/>
        <v>1</v>
      </c>
      <c r="V4590" t="str">
        <f t="shared" si="357"/>
        <v>Senior</v>
      </c>
      <c r="W4590" t="str">
        <f t="shared" si="358"/>
        <v>Already Left</v>
      </c>
      <c r="X4590" t="str">
        <f t="shared" si="359"/>
        <v>Fair</v>
      </c>
    </row>
    <row r="4591" spans="1:24" x14ac:dyDescent="0.3">
      <c r="A4591" t="s">
        <v>4659</v>
      </c>
      <c r="B4591" t="s">
        <v>20</v>
      </c>
      <c r="C4591">
        <v>40</v>
      </c>
      <c r="D4591" t="s">
        <v>47</v>
      </c>
      <c r="E4591" t="s">
        <v>40</v>
      </c>
      <c r="F4591" t="s">
        <v>78</v>
      </c>
      <c r="G4591" t="s">
        <v>66</v>
      </c>
      <c r="H4591" t="s">
        <v>67</v>
      </c>
      <c r="I4591" t="s">
        <v>35</v>
      </c>
      <c r="J4591" t="s">
        <v>27</v>
      </c>
      <c r="K4591">
        <v>8</v>
      </c>
      <c r="L4591">
        <v>45418</v>
      </c>
      <c r="M4591" t="s">
        <v>51</v>
      </c>
      <c r="N4591">
        <v>3</v>
      </c>
      <c r="O4591">
        <v>4</v>
      </c>
      <c r="P4591">
        <v>80</v>
      </c>
      <c r="Q4591">
        <v>2</v>
      </c>
      <c r="R4591" s="1">
        <v>42127</v>
      </c>
      <c r="S4591" t="s">
        <v>29</v>
      </c>
      <c r="T4591" t="str">
        <f t="shared" si="355"/>
        <v>Grade C</v>
      </c>
      <c r="U4591">
        <f t="shared" si="356"/>
        <v>4</v>
      </c>
      <c r="V4591" t="str">
        <f t="shared" si="357"/>
        <v>Mid Level</v>
      </c>
      <c r="W4591" t="str">
        <f t="shared" si="358"/>
        <v>Low Risk</v>
      </c>
      <c r="X4591" t="str">
        <f t="shared" si="359"/>
        <v>Fair</v>
      </c>
    </row>
    <row r="4592" spans="1:24" x14ac:dyDescent="0.3">
      <c r="A4592" t="s">
        <v>4660</v>
      </c>
      <c r="B4592" t="s">
        <v>39</v>
      </c>
      <c r="C4592">
        <v>50</v>
      </c>
      <c r="D4592" t="s">
        <v>31</v>
      </c>
      <c r="E4592" t="s">
        <v>22</v>
      </c>
      <c r="F4592" t="s">
        <v>53</v>
      </c>
      <c r="G4592" t="s">
        <v>66</v>
      </c>
      <c r="H4592" t="s">
        <v>76</v>
      </c>
      <c r="I4592" t="s">
        <v>26</v>
      </c>
      <c r="J4592" t="s">
        <v>27</v>
      </c>
      <c r="K4592">
        <v>8</v>
      </c>
      <c r="L4592">
        <v>58690</v>
      </c>
      <c r="M4592" t="s">
        <v>51</v>
      </c>
      <c r="N4592">
        <v>1</v>
      </c>
      <c r="O4592">
        <v>1</v>
      </c>
      <c r="P4592">
        <v>38</v>
      </c>
      <c r="Q4592">
        <v>0</v>
      </c>
      <c r="R4592" s="1">
        <v>42065</v>
      </c>
      <c r="S4592" t="s">
        <v>29</v>
      </c>
      <c r="T4592" t="str">
        <f t="shared" si="355"/>
        <v>Grade B</v>
      </c>
      <c r="U4592">
        <f t="shared" si="356"/>
        <v>4</v>
      </c>
      <c r="V4592" t="str">
        <f t="shared" si="357"/>
        <v>Mid Level</v>
      </c>
      <c r="W4592" t="str">
        <f t="shared" si="358"/>
        <v>Low Risk</v>
      </c>
      <c r="X4592" t="str">
        <f t="shared" si="359"/>
        <v>Fair</v>
      </c>
    </row>
    <row r="4593" spans="1:24" x14ac:dyDescent="0.3">
      <c r="A4593" t="s">
        <v>4661</v>
      </c>
      <c r="B4593" t="s">
        <v>20</v>
      </c>
      <c r="C4593">
        <v>24</v>
      </c>
      <c r="D4593" t="s">
        <v>31</v>
      </c>
      <c r="E4593" t="s">
        <v>22</v>
      </c>
      <c r="F4593" t="s">
        <v>41</v>
      </c>
      <c r="G4593" t="s">
        <v>79</v>
      </c>
      <c r="H4593" t="s">
        <v>83</v>
      </c>
      <c r="I4593" t="s">
        <v>43</v>
      </c>
      <c r="J4593" t="s">
        <v>44</v>
      </c>
      <c r="K4593">
        <v>9</v>
      </c>
      <c r="L4593">
        <v>51548</v>
      </c>
      <c r="M4593" t="s">
        <v>28</v>
      </c>
      <c r="N4593">
        <v>3</v>
      </c>
      <c r="O4593">
        <v>4</v>
      </c>
      <c r="P4593">
        <v>79</v>
      </c>
      <c r="Q4593">
        <v>3</v>
      </c>
      <c r="R4593" s="1">
        <v>41956</v>
      </c>
      <c r="S4593" t="s">
        <v>37</v>
      </c>
      <c r="T4593" t="str">
        <f t="shared" si="355"/>
        <v>Grade B</v>
      </c>
      <c r="U4593">
        <f t="shared" si="356"/>
        <v>3</v>
      </c>
      <c r="V4593" t="str">
        <f t="shared" si="357"/>
        <v>Mid Level</v>
      </c>
      <c r="W4593" t="str">
        <f t="shared" si="358"/>
        <v>Already Left</v>
      </c>
      <c r="X4593" t="str">
        <f t="shared" si="359"/>
        <v>Competitive</v>
      </c>
    </row>
    <row r="4594" spans="1:24" x14ac:dyDescent="0.3">
      <c r="A4594" t="s">
        <v>4662</v>
      </c>
      <c r="B4594" t="s">
        <v>39</v>
      </c>
      <c r="C4594">
        <v>24</v>
      </c>
      <c r="D4594" t="s">
        <v>57</v>
      </c>
      <c r="E4594" t="s">
        <v>22</v>
      </c>
      <c r="F4594" t="s">
        <v>78</v>
      </c>
      <c r="G4594" t="s">
        <v>24</v>
      </c>
      <c r="H4594" t="s">
        <v>25</v>
      </c>
      <c r="I4594" t="s">
        <v>59</v>
      </c>
      <c r="J4594" t="s">
        <v>60</v>
      </c>
      <c r="K4594">
        <v>6</v>
      </c>
      <c r="L4594">
        <v>80867</v>
      </c>
      <c r="M4594" t="s">
        <v>51</v>
      </c>
      <c r="N4594">
        <v>4</v>
      </c>
      <c r="O4594">
        <v>1</v>
      </c>
      <c r="P4594">
        <v>20</v>
      </c>
      <c r="Q4594">
        <v>3</v>
      </c>
      <c r="R4594" s="1">
        <v>43101</v>
      </c>
      <c r="S4594" t="s">
        <v>29</v>
      </c>
      <c r="T4594" t="str">
        <f t="shared" si="355"/>
        <v>Grade A</v>
      </c>
      <c r="U4594">
        <f t="shared" si="356"/>
        <v>4</v>
      </c>
      <c r="V4594" t="str">
        <f t="shared" si="357"/>
        <v>Mid Level</v>
      </c>
      <c r="W4594" t="str">
        <f t="shared" si="358"/>
        <v>Low Risk</v>
      </c>
      <c r="X4594" t="str">
        <f t="shared" si="359"/>
        <v>Competitive</v>
      </c>
    </row>
    <row r="4595" spans="1:24" x14ac:dyDescent="0.3">
      <c r="A4595" t="s">
        <v>4663</v>
      </c>
      <c r="B4595" t="s">
        <v>20</v>
      </c>
      <c r="C4595">
        <v>52</v>
      </c>
      <c r="D4595" t="s">
        <v>21</v>
      </c>
      <c r="E4595" t="s">
        <v>40</v>
      </c>
      <c r="F4595" t="s">
        <v>41</v>
      </c>
      <c r="G4595" t="s">
        <v>66</v>
      </c>
      <c r="H4595" t="s">
        <v>76</v>
      </c>
      <c r="I4595" t="s">
        <v>59</v>
      </c>
      <c r="J4595" t="s">
        <v>60</v>
      </c>
      <c r="K4595">
        <v>10</v>
      </c>
      <c r="L4595">
        <v>61857</v>
      </c>
      <c r="M4595" t="s">
        <v>28</v>
      </c>
      <c r="N4595">
        <v>4</v>
      </c>
      <c r="O4595">
        <v>4</v>
      </c>
      <c r="P4595">
        <v>65</v>
      </c>
      <c r="Q4595">
        <v>3</v>
      </c>
      <c r="R4595" s="1">
        <v>41616</v>
      </c>
      <c r="S4595" t="s">
        <v>37</v>
      </c>
      <c r="T4595" t="str">
        <f t="shared" si="355"/>
        <v>Grade B</v>
      </c>
      <c r="U4595">
        <f t="shared" si="356"/>
        <v>3</v>
      </c>
      <c r="V4595" t="str">
        <f t="shared" si="357"/>
        <v>Mid Level</v>
      </c>
      <c r="W4595" t="str">
        <f t="shared" si="358"/>
        <v>Already Left</v>
      </c>
      <c r="X4595" t="str">
        <f t="shared" si="359"/>
        <v>Competitive</v>
      </c>
    </row>
    <row r="4596" spans="1:24" x14ac:dyDescent="0.3">
      <c r="A4596" t="s">
        <v>4664</v>
      </c>
      <c r="B4596" t="s">
        <v>20</v>
      </c>
      <c r="C4596">
        <v>41</v>
      </c>
      <c r="D4596" t="s">
        <v>31</v>
      </c>
      <c r="E4596" t="s">
        <v>40</v>
      </c>
      <c r="F4596" t="s">
        <v>41</v>
      </c>
      <c r="G4596" t="s">
        <v>58</v>
      </c>
      <c r="H4596" t="s">
        <v>76</v>
      </c>
      <c r="I4596" t="s">
        <v>80</v>
      </c>
      <c r="J4596" t="s">
        <v>60</v>
      </c>
      <c r="K4596">
        <v>14</v>
      </c>
      <c r="L4596">
        <v>116274</v>
      </c>
      <c r="M4596" t="s">
        <v>36</v>
      </c>
      <c r="N4596">
        <v>2</v>
      </c>
      <c r="O4596">
        <v>3</v>
      </c>
      <c r="P4596">
        <v>53</v>
      </c>
      <c r="Q4596">
        <v>0</v>
      </c>
      <c r="R4596" s="1">
        <v>40009</v>
      </c>
      <c r="S4596" t="s">
        <v>29</v>
      </c>
      <c r="T4596" t="str">
        <f t="shared" si="355"/>
        <v>Grade A</v>
      </c>
      <c r="U4596">
        <f t="shared" si="356"/>
        <v>1</v>
      </c>
      <c r="V4596" t="str">
        <f t="shared" si="357"/>
        <v>Senior</v>
      </c>
      <c r="W4596" t="str">
        <f t="shared" si="358"/>
        <v>Medium Risk</v>
      </c>
      <c r="X4596" t="str">
        <f t="shared" si="359"/>
        <v>Overpaid</v>
      </c>
    </row>
    <row r="4597" spans="1:24" x14ac:dyDescent="0.3">
      <c r="A4597" t="s">
        <v>4665</v>
      </c>
      <c r="B4597" t="s">
        <v>39</v>
      </c>
      <c r="C4597">
        <v>33</v>
      </c>
      <c r="D4597" t="s">
        <v>57</v>
      </c>
      <c r="E4597" t="s">
        <v>48</v>
      </c>
      <c r="F4597" t="s">
        <v>75</v>
      </c>
      <c r="G4597" t="s">
        <v>63</v>
      </c>
      <c r="H4597" t="s">
        <v>25</v>
      </c>
      <c r="I4597" t="s">
        <v>80</v>
      </c>
      <c r="J4597" t="s">
        <v>60</v>
      </c>
      <c r="K4597">
        <v>4</v>
      </c>
      <c r="L4597">
        <v>61317</v>
      </c>
      <c r="M4597" t="s">
        <v>45</v>
      </c>
      <c r="N4597">
        <v>2</v>
      </c>
      <c r="O4597">
        <v>4</v>
      </c>
      <c r="P4597">
        <v>63</v>
      </c>
      <c r="Q4597">
        <v>3</v>
      </c>
      <c r="R4597" s="1">
        <v>43671</v>
      </c>
      <c r="S4597" t="s">
        <v>29</v>
      </c>
      <c r="T4597" t="str">
        <f t="shared" si="355"/>
        <v>Grade B</v>
      </c>
      <c r="U4597">
        <f t="shared" si="356"/>
        <v>2</v>
      </c>
      <c r="V4597" t="str">
        <f t="shared" si="357"/>
        <v>Junior</v>
      </c>
      <c r="W4597" t="str">
        <f t="shared" si="358"/>
        <v>Medium Risk</v>
      </c>
      <c r="X4597" t="str">
        <f t="shared" si="359"/>
        <v>Fair</v>
      </c>
    </row>
    <row r="4598" spans="1:24" x14ac:dyDescent="0.3">
      <c r="A4598" t="s">
        <v>4666</v>
      </c>
      <c r="B4598" t="s">
        <v>20</v>
      </c>
      <c r="C4598">
        <v>35</v>
      </c>
      <c r="D4598" t="s">
        <v>47</v>
      </c>
      <c r="E4598" t="s">
        <v>22</v>
      </c>
      <c r="F4598" t="s">
        <v>32</v>
      </c>
      <c r="G4598" t="s">
        <v>24</v>
      </c>
      <c r="H4598" t="s">
        <v>83</v>
      </c>
      <c r="I4598" t="s">
        <v>96</v>
      </c>
      <c r="J4598" t="s">
        <v>44</v>
      </c>
      <c r="K4598">
        <v>6</v>
      </c>
      <c r="L4598">
        <v>87355</v>
      </c>
      <c r="M4598" t="s">
        <v>45</v>
      </c>
      <c r="N4598">
        <v>1</v>
      </c>
      <c r="O4598">
        <v>2</v>
      </c>
      <c r="P4598">
        <v>58</v>
      </c>
      <c r="Q4598">
        <v>0</v>
      </c>
      <c r="R4598" s="1">
        <v>43055</v>
      </c>
      <c r="S4598" t="s">
        <v>29</v>
      </c>
      <c r="T4598" t="str">
        <f t="shared" si="355"/>
        <v>Grade A</v>
      </c>
      <c r="U4598">
        <f t="shared" si="356"/>
        <v>2</v>
      </c>
      <c r="V4598" t="str">
        <f t="shared" si="357"/>
        <v>Mid Level</v>
      </c>
      <c r="W4598" t="str">
        <f t="shared" si="358"/>
        <v>Medium Risk</v>
      </c>
      <c r="X4598" t="str">
        <f t="shared" si="359"/>
        <v>Fair</v>
      </c>
    </row>
    <row r="4599" spans="1:24" x14ac:dyDescent="0.3">
      <c r="A4599" t="s">
        <v>4667</v>
      </c>
      <c r="B4599" t="s">
        <v>20</v>
      </c>
      <c r="C4599">
        <v>48</v>
      </c>
      <c r="D4599" t="s">
        <v>88</v>
      </c>
      <c r="E4599" t="s">
        <v>48</v>
      </c>
      <c r="F4599" t="s">
        <v>75</v>
      </c>
      <c r="G4599" t="s">
        <v>63</v>
      </c>
      <c r="H4599" t="s">
        <v>34</v>
      </c>
      <c r="I4599" t="s">
        <v>35</v>
      </c>
      <c r="J4599" t="s">
        <v>27</v>
      </c>
      <c r="K4599">
        <v>1</v>
      </c>
      <c r="L4599">
        <v>44031</v>
      </c>
      <c r="M4599" t="s">
        <v>45</v>
      </c>
      <c r="N4599">
        <v>4</v>
      </c>
      <c r="O4599">
        <v>1</v>
      </c>
      <c r="P4599">
        <v>10</v>
      </c>
      <c r="Q4599">
        <v>2</v>
      </c>
      <c r="R4599" s="1">
        <v>44761</v>
      </c>
      <c r="S4599" t="s">
        <v>29</v>
      </c>
      <c r="T4599" t="str">
        <f t="shared" si="355"/>
        <v>Grade C</v>
      </c>
      <c r="U4599">
        <f t="shared" si="356"/>
        <v>2</v>
      </c>
      <c r="V4599" t="str">
        <f t="shared" si="357"/>
        <v>New Joiner</v>
      </c>
      <c r="W4599" t="str">
        <f t="shared" si="358"/>
        <v>Medium Risk</v>
      </c>
      <c r="X4599" t="str">
        <f t="shared" si="359"/>
        <v>Fair</v>
      </c>
    </row>
    <row r="4600" spans="1:24" x14ac:dyDescent="0.3">
      <c r="A4600" t="s">
        <v>4668</v>
      </c>
      <c r="B4600" t="s">
        <v>39</v>
      </c>
      <c r="C4600">
        <v>35</v>
      </c>
      <c r="D4600" t="s">
        <v>31</v>
      </c>
      <c r="E4600" t="s">
        <v>40</v>
      </c>
      <c r="F4600" t="s">
        <v>75</v>
      </c>
      <c r="G4600" t="s">
        <v>49</v>
      </c>
      <c r="H4600" t="s">
        <v>34</v>
      </c>
      <c r="I4600" t="s">
        <v>72</v>
      </c>
      <c r="J4600" t="s">
        <v>73</v>
      </c>
      <c r="K4600">
        <v>7</v>
      </c>
      <c r="L4600">
        <v>63919</v>
      </c>
      <c r="M4600" t="s">
        <v>28</v>
      </c>
      <c r="N4600">
        <v>2</v>
      </c>
      <c r="O4600">
        <v>4</v>
      </c>
      <c r="P4600">
        <v>11</v>
      </c>
      <c r="Q4600">
        <v>0</v>
      </c>
      <c r="R4600" s="1">
        <v>42582</v>
      </c>
      <c r="S4600" t="s">
        <v>29</v>
      </c>
      <c r="T4600" t="str">
        <f t="shared" si="355"/>
        <v>Grade B</v>
      </c>
      <c r="U4600">
        <f t="shared" si="356"/>
        <v>3</v>
      </c>
      <c r="V4600" t="str">
        <f t="shared" si="357"/>
        <v>Mid Level</v>
      </c>
      <c r="W4600" t="str">
        <f t="shared" si="358"/>
        <v>Medium Risk</v>
      </c>
      <c r="X4600" t="str">
        <f t="shared" si="359"/>
        <v>Competitive</v>
      </c>
    </row>
    <row r="4601" spans="1:24" x14ac:dyDescent="0.3">
      <c r="A4601" t="s">
        <v>4669</v>
      </c>
      <c r="B4601" t="s">
        <v>39</v>
      </c>
      <c r="C4601">
        <v>42</v>
      </c>
      <c r="D4601" t="s">
        <v>88</v>
      </c>
      <c r="E4601" t="s">
        <v>48</v>
      </c>
      <c r="F4601" t="s">
        <v>53</v>
      </c>
      <c r="G4601" t="s">
        <v>49</v>
      </c>
      <c r="H4601" t="s">
        <v>25</v>
      </c>
      <c r="I4601" t="s">
        <v>72</v>
      </c>
      <c r="J4601" t="s">
        <v>73</v>
      </c>
      <c r="K4601">
        <v>13</v>
      </c>
      <c r="L4601">
        <v>78921</v>
      </c>
      <c r="M4601" t="s">
        <v>51</v>
      </c>
      <c r="N4601">
        <v>1</v>
      </c>
      <c r="O4601">
        <v>2</v>
      </c>
      <c r="P4601">
        <v>22</v>
      </c>
      <c r="Q4601">
        <v>0</v>
      </c>
      <c r="R4601" s="1">
        <v>40304</v>
      </c>
      <c r="S4601" t="s">
        <v>29</v>
      </c>
      <c r="T4601" t="str">
        <f t="shared" si="355"/>
        <v>Grade B</v>
      </c>
      <c r="U4601">
        <f t="shared" si="356"/>
        <v>4</v>
      </c>
      <c r="V4601" t="str">
        <f t="shared" si="357"/>
        <v>Senior</v>
      </c>
      <c r="W4601" t="str">
        <f t="shared" si="358"/>
        <v>Low Risk</v>
      </c>
      <c r="X4601" t="str">
        <f t="shared" si="359"/>
        <v>Fair</v>
      </c>
    </row>
    <row r="4602" spans="1:24" x14ac:dyDescent="0.3">
      <c r="A4602" t="s">
        <v>4670</v>
      </c>
      <c r="B4602" t="s">
        <v>39</v>
      </c>
      <c r="C4602">
        <v>44</v>
      </c>
      <c r="D4602" t="s">
        <v>31</v>
      </c>
      <c r="E4602" t="s">
        <v>48</v>
      </c>
      <c r="F4602" t="s">
        <v>23</v>
      </c>
      <c r="G4602" t="s">
        <v>33</v>
      </c>
      <c r="H4602" t="s">
        <v>34</v>
      </c>
      <c r="I4602" t="s">
        <v>80</v>
      </c>
      <c r="J4602" t="s">
        <v>60</v>
      </c>
      <c r="K4602">
        <v>12</v>
      </c>
      <c r="L4602">
        <v>82476</v>
      </c>
      <c r="M4602" t="s">
        <v>45</v>
      </c>
      <c r="N4602">
        <v>1</v>
      </c>
      <c r="O4602">
        <v>2</v>
      </c>
      <c r="P4602">
        <v>18</v>
      </c>
      <c r="Q4602">
        <v>3</v>
      </c>
      <c r="R4602" s="1">
        <v>40701</v>
      </c>
      <c r="S4602" t="s">
        <v>29</v>
      </c>
      <c r="T4602" t="str">
        <f t="shared" si="355"/>
        <v>Grade A</v>
      </c>
      <c r="U4602">
        <f t="shared" si="356"/>
        <v>2</v>
      </c>
      <c r="V4602" t="str">
        <f t="shared" si="357"/>
        <v>Senior</v>
      </c>
      <c r="W4602" t="str">
        <f t="shared" si="358"/>
        <v>Medium Risk</v>
      </c>
      <c r="X4602" t="str">
        <f t="shared" si="359"/>
        <v>Fair</v>
      </c>
    </row>
    <row r="4603" spans="1:24" x14ac:dyDescent="0.3">
      <c r="A4603" t="s">
        <v>4671</v>
      </c>
      <c r="B4603" t="s">
        <v>20</v>
      </c>
      <c r="C4603">
        <v>28</v>
      </c>
      <c r="D4603" t="s">
        <v>21</v>
      </c>
      <c r="E4603" t="s">
        <v>40</v>
      </c>
      <c r="F4603" t="s">
        <v>78</v>
      </c>
      <c r="G4603" t="s">
        <v>49</v>
      </c>
      <c r="H4603" t="s">
        <v>25</v>
      </c>
      <c r="I4603" t="s">
        <v>68</v>
      </c>
      <c r="J4603" t="s">
        <v>60</v>
      </c>
      <c r="K4603">
        <v>11</v>
      </c>
      <c r="L4603">
        <v>69900</v>
      </c>
      <c r="M4603" t="s">
        <v>36</v>
      </c>
      <c r="N4603">
        <v>2</v>
      </c>
      <c r="O4603">
        <v>4</v>
      </c>
      <c r="P4603">
        <v>80</v>
      </c>
      <c r="Q4603">
        <v>2</v>
      </c>
      <c r="R4603" s="1">
        <v>41265</v>
      </c>
      <c r="S4603" t="s">
        <v>37</v>
      </c>
      <c r="T4603" t="str">
        <f t="shared" si="355"/>
        <v>Grade B</v>
      </c>
      <c r="U4603">
        <f t="shared" si="356"/>
        <v>1</v>
      </c>
      <c r="V4603" t="str">
        <f t="shared" si="357"/>
        <v>Senior</v>
      </c>
      <c r="W4603" t="str">
        <f t="shared" si="358"/>
        <v>Already Left</v>
      </c>
      <c r="X4603" t="str">
        <f t="shared" si="359"/>
        <v>Fair</v>
      </c>
    </row>
    <row r="4604" spans="1:24" x14ac:dyDescent="0.3">
      <c r="A4604" t="s">
        <v>4672</v>
      </c>
      <c r="B4604" t="s">
        <v>39</v>
      </c>
      <c r="C4604">
        <v>42</v>
      </c>
      <c r="D4604" t="s">
        <v>88</v>
      </c>
      <c r="E4604" t="s">
        <v>40</v>
      </c>
      <c r="F4604" t="s">
        <v>78</v>
      </c>
      <c r="G4604" t="s">
        <v>49</v>
      </c>
      <c r="H4604" t="s">
        <v>25</v>
      </c>
      <c r="I4604" t="s">
        <v>68</v>
      </c>
      <c r="J4604" t="s">
        <v>60</v>
      </c>
      <c r="K4604">
        <v>3</v>
      </c>
      <c r="L4604">
        <v>53569</v>
      </c>
      <c r="M4604" t="s">
        <v>51</v>
      </c>
      <c r="N4604">
        <v>3</v>
      </c>
      <c r="O4604">
        <v>3</v>
      </c>
      <c r="P4604">
        <v>65</v>
      </c>
      <c r="Q4604">
        <v>1</v>
      </c>
      <c r="R4604" s="1">
        <v>44116</v>
      </c>
      <c r="S4604" t="s">
        <v>29</v>
      </c>
      <c r="T4604" t="str">
        <f t="shared" si="355"/>
        <v>Grade B</v>
      </c>
      <c r="U4604">
        <f t="shared" si="356"/>
        <v>4</v>
      </c>
      <c r="V4604" t="str">
        <f t="shared" si="357"/>
        <v>Junior</v>
      </c>
      <c r="W4604" t="str">
        <f t="shared" si="358"/>
        <v>Low Risk</v>
      </c>
      <c r="X4604" t="str">
        <f t="shared" si="359"/>
        <v>Fair</v>
      </c>
    </row>
    <row r="4605" spans="1:24" x14ac:dyDescent="0.3">
      <c r="A4605" t="s">
        <v>4673</v>
      </c>
      <c r="B4605" t="s">
        <v>39</v>
      </c>
      <c r="C4605">
        <v>47</v>
      </c>
      <c r="D4605" t="s">
        <v>88</v>
      </c>
      <c r="E4605" t="s">
        <v>40</v>
      </c>
      <c r="F4605" t="s">
        <v>32</v>
      </c>
      <c r="G4605" t="s">
        <v>58</v>
      </c>
      <c r="H4605" t="s">
        <v>34</v>
      </c>
      <c r="I4605" t="s">
        <v>35</v>
      </c>
      <c r="J4605" t="s">
        <v>27</v>
      </c>
      <c r="K4605">
        <v>7</v>
      </c>
      <c r="L4605">
        <v>103758</v>
      </c>
      <c r="M4605" t="s">
        <v>45</v>
      </c>
      <c r="N4605">
        <v>1</v>
      </c>
      <c r="O4605">
        <v>3</v>
      </c>
      <c r="P4605">
        <v>51</v>
      </c>
      <c r="Q4605">
        <v>2</v>
      </c>
      <c r="R4605" s="1">
        <v>42439</v>
      </c>
      <c r="S4605" t="s">
        <v>29</v>
      </c>
      <c r="T4605" t="str">
        <f t="shared" si="355"/>
        <v>Grade A</v>
      </c>
      <c r="U4605">
        <f t="shared" si="356"/>
        <v>2</v>
      </c>
      <c r="V4605" t="str">
        <f t="shared" si="357"/>
        <v>Mid Level</v>
      </c>
      <c r="W4605" t="str">
        <f t="shared" si="358"/>
        <v>Medium Risk</v>
      </c>
      <c r="X4605" t="str">
        <f t="shared" si="359"/>
        <v>Fair</v>
      </c>
    </row>
    <row r="4606" spans="1:24" x14ac:dyDescent="0.3">
      <c r="A4606" t="s">
        <v>4674</v>
      </c>
      <c r="B4606" t="s">
        <v>39</v>
      </c>
      <c r="C4606">
        <v>22</v>
      </c>
      <c r="D4606" t="s">
        <v>31</v>
      </c>
      <c r="E4606" t="s">
        <v>22</v>
      </c>
      <c r="F4606" t="s">
        <v>41</v>
      </c>
      <c r="G4606" t="s">
        <v>58</v>
      </c>
      <c r="H4606" t="s">
        <v>67</v>
      </c>
      <c r="I4606" t="s">
        <v>43</v>
      </c>
      <c r="J4606" t="s">
        <v>44</v>
      </c>
      <c r="K4606">
        <v>13</v>
      </c>
      <c r="L4606">
        <v>111185</v>
      </c>
      <c r="M4606" t="s">
        <v>36</v>
      </c>
      <c r="N4606">
        <v>3</v>
      </c>
      <c r="O4606">
        <v>2</v>
      </c>
      <c r="P4606">
        <v>51</v>
      </c>
      <c r="Q4606">
        <v>2</v>
      </c>
      <c r="R4606" s="1">
        <v>40382</v>
      </c>
      <c r="S4606" t="s">
        <v>29</v>
      </c>
      <c r="T4606" t="str">
        <f t="shared" si="355"/>
        <v>Grade A</v>
      </c>
      <c r="U4606">
        <f t="shared" si="356"/>
        <v>1</v>
      </c>
      <c r="V4606" t="str">
        <f t="shared" si="357"/>
        <v>Senior</v>
      </c>
      <c r="W4606" t="str">
        <f t="shared" si="358"/>
        <v>Medium Risk</v>
      </c>
      <c r="X4606" t="str">
        <f t="shared" si="359"/>
        <v>Overpaid</v>
      </c>
    </row>
    <row r="4607" spans="1:24" x14ac:dyDescent="0.3">
      <c r="A4607" t="s">
        <v>4675</v>
      </c>
      <c r="B4607" t="s">
        <v>20</v>
      </c>
      <c r="C4607">
        <v>49</v>
      </c>
      <c r="D4607" t="s">
        <v>88</v>
      </c>
      <c r="E4607" t="s">
        <v>40</v>
      </c>
      <c r="F4607" t="s">
        <v>65</v>
      </c>
      <c r="G4607" t="s">
        <v>49</v>
      </c>
      <c r="H4607" t="s">
        <v>34</v>
      </c>
      <c r="I4607" t="s">
        <v>43</v>
      </c>
      <c r="J4607" t="s">
        <v>44</v>
      </c>
      <c r="K4607">
        <v>4</v>
      </c>
      <c r="L4607">
        <v>59102</v>
      </c>
      <c r="M4607" t="s">
        <v>28</v>
      </c>
      <c r="N4607">
        <v>3</v>
      </c>
      <c r="O4607">
        <v>2</v>
      </c>
      <c r="P4607">
        <v>74</v>
      </c>
      <c r="Q4607">
        <v>2</v>
      </c>
      <c r="R4607" s="1">
        <v>43785</v>
      </c>
      <c r="S4607" t="s">
        <v>29</v>
      </c>
      <c r="T4607" t="str">
        <f t="shared" si="355"/>
        <v>Grade B</v>
      </c>
      <c r="U4607">
        <f t="shared" si="356"/>
        <v>3</v>
      </c>
      <c r="V4607" t="str">
        <f t="shared" si="357"/>
        <v>Junior</v>
      </c>
      <c r="W4607" t="str">
        <f t="shared" si="358"/>
        <v>Medium Risk</v>
      </c>
      <c r="X4607" t="str">
        <f t="shared" si="359"/>
        <v>Competitive</v>
      </c>
    </row>
    <row r="4608" spans="1:24" x14ac:dyDescent="0.3">
      <c r="A4608" t="s">
        <v>4676</v>
      </c>
      <c r="B4608" t="s">
        <v>20</v>
      </c>
      <c r="C4608">
        <v>31</v>
      </c>
      <c r="D4608" t="s">
        <v>88</v>
      </c>
      <c r="E4608" t="s">
        <v>22</v>
      </c>
      <c r="F4608" t="s">
        <v>62</v>
      </c>
      <c r="G4608" t="s">
        <v>33</v>
      </c>
      <c r="H4608" t="s">
        <v>83</v>
      </c>
      <c r="I4608" t="s">
        <v>54</v>
      </c>
      <c r="J4608" t="s">
        <v>27</v>
      </c>
      <c r="K4608">
        <v>12</v>
      </c>
      <c r="L4608">
        <v>89224</v>
      </c>
      <c r="M4608" t="s">
        <v>45</v>
      </c>
      <c r="N4608">
        <v>2</v>
      </c>
      <c r="O4608">
        <v>4</v>
      </c>
      <c r="P4608">
        <v>68</v>
      </c>
      <c r="Q4608">
        <v>0</v>
      </c>
      <c r="R4608" s="1">
        <v>40672</v>
      </c>
      <c r="S4608" t="s">
        <v>29</v>
      </c>
      <c r="T4608" t="str">
        <f t="shared" si="355"/>
        <v>Grade A</v>
      </c>
      <c r="U4608">
        <f t="shared" si="356"/>
        <v>2</v>
      </c>
      <c r="V4608" t="str">
        <f t="shared" si="357"/>
        <v>Senior</v>
      </c>
      <c r="W4608" t="str">
        <f t="shared" si="358"/>
        <v>Medium Risk</v>
      </c>
      <c r="X4608" t="str">
        <f t="shared" si="359"/>
        <v>Fair</v>
      </c>
    </row>
    <row r="4609" spans="1:24" x14ac:dyDescent="0.3">
      <c r="A4609" t="s">
        <v>4677</v>
      </c>
      <c r="B4609" t="s">
        <v>20</v>
      </c>
      <c r="C4609">
        <v>28</v>
      </c>
      <c r="D4609" t="s">
        <v>57</v>
      </c>
      <c r="E4609" t="s">
        <v>22</v>
      </c>
      <c r="F4609" t="s">
        <v>23</v>
      </c>
      <c r="G4609" t="s">
        <v>63</v>
      </c>
      <c r="H4609" t="s">
        <v>83</v>
      </c>
      <c r="I4609" t="s">
        <v>80</v>
      </c>
      <c r="J4609" t="s">
        <v>60</v>
      </c>
      <c r="K4609">
        <v>13</v>
      </c>
      <c r="L4609">
        <v>69407</v>
      </c>
      <c r="M4609" t="s">
        <v>45</v>
      </c>
      <c r="N4609">
        <v>4</v>
      </c>
      <c r="O4609">
        <v>1</v>
      </c>
      <c r="P4609">
        <v>75</v>
      </c>
      <c r="Q4609">
        <v>2</v>
      </c>
      <c r="R4609" s="1">
        <v>40277</v>
      </c>
      <c r="S4609" t="s">
        <v>37</v>
      </c>
      <c r="T4609" t="str">
        <f t="shared" si="355"/>
        <v>Grade B</v>
      </c>
      <c r="U4609">
        <f t="shared" si="356"/>
        <v>2</v>
      </c>
      <c r="V4609" t="str">
        <f t="shared" si="357"/>
        <v>Senior</v>
      </c>
      <c r="W4609" t="str">
        <f t="shared" si="358"/>
        <v>Already Left</v>
      </c>
      <c r="X4609" t="str">
        <f t="shared" si="359"/>
        <v>Fair</v>
      </c>
    </row>
    <row r="4610" spans="1:24" x14ac:dyDescent="0.3">
      <c r="A4610" t="s">
        <v>4678</v>
      </c>
      <c r="B4610" t="s">
        <v>20</v>
      </c>
      <c r="C4610">
        <v>32</v>
      </c>
      <c r="D4610" t="s">
        <v>21</v>
      </c>
      <c r="E4610" t="s">
        <v>40</v>
      </c>
      <c r="F4610" t="s">
        <v>65</v>
      </c>
      <c r="G4610" t="s">
        <v>66</v>
      </c>
      <c r="H4610" t="s">
        <v>67</v>
      </c>
      <c r="I4610" t="s">
        <v>96</v>
      </c>
      <c r="J4610" t="s">
        <v>44</v>
      </c>
      <c r="K4610">
        <v>15</v>
      </c>
      <c r="L4610">
        <v>60286</v>
      </c>
      <c r="M4610" t="s">
        <v>45</v>
      </c>
      <c r="N4610">
        <v>1</v>
      </c>
      <c r="O4610">
        <v>1</v>
      </c>
      <c r="P4610">
        <v>76</v>
      </c>
      <c r="Q4610">
        <v>0</v>
      </c>
      <c r="R4610" s="1">
        <v>39618</v>
      </c>
      <c r="S4610" t="s">
        <v>37</v>
      </c>
      <c r="T4610" t="str">
        <f t="shared" ref="T4610:T4673" si="360">IF(L4610&gt;=80000,"Grade A",IF(L4610&gt;=50000,"Grade B",IF(L4610&gt;=35000,"Grade C","Grade D")))</f>
        <v>Grade B</v>
      </c>
      <c r="U4610">
        <f t="shared" ref="U4610:U4673" si="361">IF(M4610="Excellent",4,IF(M4610="Good",3,IF(M4610="Average",2,1)))</f>
        <v>2</v>
      </c>
      <c r="V4610" t="str">
        <f t="shared" ref="V4610:V4673" si="362">IF(K4610&lt;=2,"New Joiner",IF(K4610&lt;=5,"Junior",IF(K4610&lt;=10,"Mid Level","Senior")))</f>
        <v>Senior</v>
      </c>
      <c r="W4610" t="str">
        <f t="shared" ref="W4610:W4673" si="363">IF(S4610="Yes","Already Left",IF(AND(K4610&lt;=2,M4610="Poor"),"High Risk",IF(AND(K4610&lt;=5,M4610="Average"),"Medium Risk",IF(M4610="Excellent","Low Risk","Medium Risk"))))</f>
        <v>Already Left</v>
      </c>
      <c r="X4610" t="str">
        <f t="shared" ref="X4610:X4673" si="364">IF(AND(L4610&gt;=80000,M4610="Excellent"),"Competitive",IF(AND(L4610&gt;=50000,M4610="Good"),"Competitive",IF(AND(L4610&lt;35000,M4610="Excellent"),"Underpaid",IF(AND(L4610&gt;=80000,M4610="Poor"),"Overpaid","Fair"))))</f>
        <v>Fair</v>
      </c>
    </row>
    <row r="4611" spans="1:24" x14ac:dyDescent="0.3">
      <c r="A4611" t="s">
        <v>4679</v>
      </c>
      <c r="B4611" t="s">
        <v>39</v>
      </c>
      <c r="C4611">
        <v>29</v>
      </c>
      <c r="D4611" t="s">
        <v>31</v>
      </c>
      <c r="E4611" t="s">
        <v>40</v>
      </c>
      <c r="F4611" t="s">
        <v>53</v>
      </c>
      <c r="G4611" t="s">
        <v>66</v>
      </c>
      <c r="H4611" t="s">
        <v>34</v>
      </c>
      <c r="I4611" t="s">
        <v>35</v>
      </c>
      <c r="J4611" t="s">
        <v>27</v>
      </c>
      <c r="K4611">
        <v>5</v>
      </c>
      <c r="L4611">
        <v>39378</v>
      </c>
      <c r="M4611" t="s">
        <v>45</v>
      </c>
      <c r="N4611">
        <v>3</v>
      </c>
      <c r="O4611">
        <v>4</v>
      </c>
      <c r="P4611">
        <v>41</v>
      </c>
      <c r="Q4611">
        <v>1</v>
      </c>
      <c r="R4611" s="1">
        <v>43426</v>
      </c>
      <c r="S4611" t="s">
        <v>37</v>
      </c>
      <c r="T4611" t="str">
        <f t="shared" si="360"/>
        <v>Grade C</v>
      </c>
      <c r="U4611">
        <f t="shared" si="361"/>
        <v>2</v>
      </c>
      <c r="V4611" t="str">
        <f t="shared" si="362"/>
        <v>Junior</v>
      </c>
      <c r="W4611" t="str">
        <f t="shared" si="363"/>
        <v>Already Left</v>
      </c>
      <c r="X4611" t="str">
        <f t="shared" si="364"/>
        <v>Fair</v>
      </c>
    </row>
    <row r="4612" spans="1:24" x14ac:dyDescent="0.3">
      <c r="A4612" t="s">
        <v>4680</v>
      </c>
      <c r="B4612" t="s">
        <v>39</v>
      </c>
      <c r="C4612">
        <v>51</v>
      </c>
      <c r="D4612" t="s">
        <v>57</v>
      </c>
      <c r="E4612" t="s">
        <v>22</v>
      </c>
      <c r="F4612" t="s">
        <v>41</v>
      </c>
      <c r="G4612" t="s">
        <v>33</v>
      </c>
      <c r="H4612" t="s">
        <v>76</v>
      </c>
      <c r="I4612" t="s">
        <v>59</v>
      </c>
      <c r="J4612" t="s">
        <v>60</v>
      </c>
      <c r="K4612">
        <v>3</v>
      </c>
      <c r="L4612">
        <v>69766</v>
      </c>
      <c r="M4612" t="s">
        <v>45</v>
      </c>
      <c r="N4612">
        <v>4</v>
      </c>
      <c r="O4612">
        <v>1</v>
      </c>
      <c r="P4612">
        <v>52</v>
      </c>
      <c r="Q4612">
        <v>1</v>
      </c>
      <c r="R4612" s="1">
        <v>44174</v>
      </c>
      <c r="S4612" t="s">
        <v>29</v>
      </c>
      <c r="T4612" t="str">
        <f t="shared" si="360"/>
        <v>Grade B</v>
      </c>
      <c r="U4612">
        <f t="shared" si="361"/>
        <v>2</v>
      </c>
      <c r="V4612" t="str">
        <f t="shared" si="362"/>
        <v>Junior</v>
      </c>
      <c r="W4612" t="str">
        <f t="shared" si="363"/>
        <v>Medium Risk</v>
      </c>
      <c r="X4612" t="str">
        <f t="shared" si="364"/>
        <v>Fair</v>
      </c>
    </row>
    <row r="4613" spans="1:24" x14ac:dyDescent="0.3">
      <c r="A4613" t="s">
        <v>4681</v>
      </c>
      <c r="B4613" t="s">
        <v>20</v>
      </c>
      <c r="C4613">
        <v>43</v>
      </c>
      <c r="D4613" t="s">
        <v>21</v>
      </c>
      <c r="E4613" t="s">
        <v>48</v>
      </c>
      <c r="F4613" t="s">
        <v>78</v>
      </c>
      <c r="G4613" t="s">
        <v>49</v>
      </c>
      <c r="H4613" t="s">
        <v>83</v>
      </c>
      <c r="I4613" t="s">
        <v>59</v>
      </c>
      <c r="J4613" t="s">
        <v>60</v>
      </c>
      <c r="K4613">
        <v>10</v>
      </c>
      <c r="L4613">
        <v>72424</v>
      </c>
      <c r="M4613" t="s">
        <v>51</v>
      </c>
      <c r="N4613">
        <v>2</v>
      </c>
      <c r="O4613">
        <v>4</v>
      </c>
      <c r="P4613">
        <v>42</v>
      </c>
      <c r="Q4613">
        <v>3</v>
      </c>
      <c r="R4613" s="1">
        <v>41334</v>
      </c>
      <c r="S4613" t="s">
        <v>29</v>
      </c>
      <c r="T4613" t="str">
        <f t="shared" si="360"/>
        <v>Grade B</v>
      </c>
      <c r="U4613">
        <f t="shared" si="361"/>
        <v>4</v>
      </c>
      <c r="V4613" t="str">
        <f t="shared" si="362"/>
        <v>Mid Level</v>
      </c>
      <c r="W4613" t="str">
        <f t="shared" si="363"/>
        <v>Low Risk</v>
      </c>
      <c r="X4613" t="str">
        <f t="shared" si="364"/>
        <v>Fair</v>
      </c>
    </row>
    <row r="4614" spans="1:24" x14ac:dyDescent="0.3">
      <c r="A4614" t="s">
        <v>4682</v>
      </c>
      <c r="B4614" t="s">
        <v>39</v>
      </c>
      <c r="C4614">
        <v>32</v>
      </c>
      <c r="D4614" t="s">
        <v>57</v>
      </c>
      <c r="E4614" t="s">
        <v>48</v>
      </c>
      <c r="F4614" t="s">
        <v>75</v>
      </c>
      <c r="G4614" t="s">
        <v>42</v>
      </c>
      <c r="H4614" t="s">
        <v>34</v>
      </c>
      <c r="I4614" t="s">
        <v>68</v>
      </c>
      <c r="J4614" t="s">
        <v>60</v>
      </c>
      <c r="K4614">
        <v>6</v>
      </c>
      <c r="L4614">
        <v>108161</v>
      </c>
      <c r="M4614" t="s">
        <v>51</v>
      </c>
      <c r="N4614">
        <v>1</v>
      </c>
      <c r="O4614">
        <v>2</v>
      </c>
      <c r="P4614">
        <v>50</v>
      </c>
      <c r="Q4614">
        <v>2</v>
      </c>
      <c r="R4614" s="1">
        <v>43064</v>
      </c>
      <c r="S4614" t="s">
        <v>29</v>
      </c>
      <c r="T4614" t="str">
        <f t="shared" si="360"/>
        <v>Grade A</v>
      </c>
      <c r="U4614">
        <f t="shared" si="361"/>
        <v>4</v>
      </c>
      <c r="V4614" t="str">
        <f t="shared" si="362"/>
        <v>Mid Level</v>
      </c>
      <c r="W4614" t="str">
        <f t="shared" si="363"/>
        <v>Low Risk</v>
      </c>
      <c r="X4614" t="str">
        <f t="shared" si="364"/>
        <v>Competitive</v>
      </c>
    </row>
    <row r="4615" spans="1:24" x14ac:dyDescent="0.3">
      <c r="A4615" t="s">
        <v>4683</v>
      </c>
      <c r="B4615" t="s">
        <v>20</v>
      </c>
      <c r="C4615">
        <v>37</v>
      </c>
      <c r="D4615" t="s">
        <v>31</v>
      </c>
      <c r="E4615" t="s">
        <v>48</v>
      </c>
      <c r="F4615" t="s">
        <v>62</v>
      </c>
      <c r="G4615" t="s">
        <v>58</v>
      </c>
      <c r="H4615" t="s">
        <v>76</v>
      </c>
      <c r="I4615" t="s">
        <v>50</v>
      </c>
      <c r="J4615" t="s">
        <v>44</v>
      </c>
      <c r="K4615">
        <v>13</v>
      </c>
      <c r="L4615">
        <v>117623</v>
      </c>
      <c r="M4615" t="s">
        <v>36</v>
      </c>
      <c r="N4615">
        <v>4</v>
      </c>
      <c r="O4615">
        <v>1</v>
      </c>
      <c r="P4615">
        <v>11</v>
      </c>
      <c r="Q4615">
        <v>3</v>
      </c>
      <c r="R4615" s="1">
        <v>40534</v>
      </c>
      <c r="S4615" t="s">
        <v>29</v>
      </c>
      <c r="T4615" t="str">
        <f t="shared" si="360"/>
        <v>Grade A</v>
      </c>
      <c r="U4615">
        <f t="shared" si="361"/>
        <v>1</v>
      </c>
      <c r="V4615" t="str">
        <f t="shared" si="362"/>
        <v>Senior</v>
      </c>
      <c r="W4615" t="str">
        <f t="shared" si="363"/>
        <v>Medium Risk</v>
      </c>
      <c r="X4615" t="str">
        <f t="shared" si="364"/>
        <v>Overpaid</v>
      </c>
    </row>
    <row r="4616" spans="1:24" x14ac:dyDescent="0.3">
      <c r="A4616" t="s">
        <v>4684</v>
      </c>
      <c r="B4616" t="s">
        <v>20</v>
      </c>
      <c r="C4616">
        <v>39</v>
      </c>
      <c r="D4616" t="s">
        <v>31</v>
      </c>
      <c r="E4616" t="s">
        <v>40</v>
      </c>
      <c r="F4616" t="s">
        <v>78</v>
      </c>
      <c r="G4616" t="s">
        <v>33</v>
      </c>
      <c r="H4616" t="s">
        <v>25</v>
      </c>
      <c r="I4616" t="s">
        <v>54</v>
      </c>
      <c r="J4616" t="s">
        <v>27</v>
      </c>
      <c r="K4616">
        <v>11</v>
      </c>
      <c r="L4616">
        <v>86321</v>
      </c>
      <c r="M4616" t="s">
        <v>51</v>
      </c>
      <c r="N4616">
        <v>2</v>
      </c>
      <c r="O4616">
        <v>3</v>
      </c>
      <c r="P4616">
        <v>53</v>
      </c>
      <c r="Q4616">
        <v>1</v>
      </c>
      <c r="R4616" s="1">
        <v>41098</v>
      </c>
      <c r="S4616" t="s">
        <v>29</v>
      </c>
      <c r="T4616" t="str">
        <f t="shared" si="360"/>
        <v>Grade A</v>
      </c>
      <c r="U4616">
        <f t="shared" si="361"/>
        <v>4</v>
      </c>
      <c r="V4616" t="str">
        <f t="shared" si="362"/>
        <v>Senior</v>
      </c>
      <c r="W4616" t="str">
        <f t="shared" si="363"/>
        <v>Low Risk</v>
      </c>
      <c r="X4616" t="str">
        <f t="shared" si="364"/>
        <v>Competitive</v>
      </c>
    </row>
    <row r="4617" spans="1:24" x14ac:dyDescent="0.3">
      <c r="A4617" t="s">
        <v>4685</v>
      </c>
      <c r="B4617" t="s">
        <v>39</v>
      </c>
      <c r="C4617">
        <v>30</v>
      </c>
      <c r="D4617" t="s">
        <v>47</v>
      </c>
      <c r="E4617" t="s">
        <v>22</v>
      </c>
      <c r="F4617" t="s">
        <v>62</v>
      </c>
      <c r="G4617" t="s">
        <v>66</v>
      </c>
      <c r="H4617" t="s">
        <v>34</v>
      </c>
      <c r="I4617" t="s">
        <v>59</v>
      </c>
      <c r="J4617" t="s">
        <v>60</v>
      </c>
      <c r="K4617">
        <v>10</v>
      </c>
      <c r="L4617">
        <v>55102</v>
      </c>
      <c r="M4617" t="s">
        <v>36</v>
      </c>
      <c r="N4617">
        <v>4</v>
      </c>
      <c r="O4617">
        <v>4</v>
      </c>
      <c r="P4617">
        <v>45</v>
      </c>
      <c r="Q4617">
        <v>3</v>
      </c>
      <c r="R4617" s="1">
        <v>41612</v>
      </c>
      <c r="S4617" t="s">
        <v>29</v>
      </c>
      <c r="T4617" t="str">
        <f t="shared" si="360"/>
        <v>Grade B</v>
      </c>
      <c r="U4617">
        <f t="shared" si="361"/>
        <v>1</v>
      </c>
      <c r="V4617" t="str">
        <f t="shared" si="362"/>
        <v>Mid Level</v>
      </c>
      <c r="W4617" t="str">
        <f t="shared" si="363"/>
        <v>Medium Risk</v>
      </c>
      <c r="X4617" t="str">
        <f t="shared" si="364"/>
        <v>Fair</v>
      </c>
    </row>
    <row r="4618" spans="1:24" x14ac:dyDescent="0.3">
      <c r="A4618" t="s">
        <v>4686</v>
      </c>
      <c r="B4618" t="s">
        <v>20</v>
      </c>
      <c r="C4618">
        <v>38</v>
      </c>
      <c r="D4618" t="s">
        <v>47</v>
      </c>
      <c r="E4618" t="s">
        <v>22</v>
      </c>
      <c r="F4618" t="s">
        <v>32</v>
      </c>
      <c r="G4618" t="s">
        <v>66</v>
      </c>
      <c r="H4618" t="s">
        <v>83</v>
      </c>
      <c r="I4618" t="s">
        <v>72</v>
      </c>
      <c r="J4618" t="s">
        <v>73</v>
      </c>
      <c r="K4618">
        <v>15</v>
      </c>
      <c r="L4618">
        <v>66076</v>
      </c>
      <c r="M4618" t="s">
        <v>36</v>
      </c>
      <c r="N4618">
        <v>2</v>
      </c>
      <c r="O4618">
        <v>3</v>
      </c>
      <c r="P4618">
        <v>25</v>
      </c>
      <c r="Q4618">
        <v>1</v>
      </c>
      <c r="R4618" s="1">
        <v>39749</v>
      </c>
      <c r="S4618" t="s">
        <v>37</v>
      </c>
      <c r="T4618" t="str">
        <f t="shared" si="360"/>
        <v>Grade B</v>
      </c>
      <c r="U4618">
        <f t="shared" si="361"/>
        <v>1</v>
      </c>
      <c r="V4618" t="str">
        <f t="shared" si="362"/>
        <v>Senior</v>
      </c>
      <c r="W4618" t="str">
        <f t="shared" si="363"/>
        <v>Already Left</v>
      </c>
      <c r="X4618" t="str">
        <f t="shared" si="364"/>
        <v>Fair</v>
      </c>
    </row>
    <row r="4619" spans="1:24" x14ac:dyDescent="0.3">
      <c r="A4619" t="s">
        <v>4687</v>
      </c>
      <c r="B4619" t="s">
        <v>20</v>
      </c>
      <c r="C4619">
        <v>33</v>
      </c>
      <c r="D4619" t="s">
        <v>57</v>
      </c>
      <c r="E4619" t="s">
        <v>40</v>
      </c>
      <c r="F4619" t="s">
        <v>32</v>
      </c>
      <c r="G4619" t="s">
        <v>33</v>
      </c>
      <c r="H4619" t="s">
        <v>25</v>
      </c>
      <c r="I4619" t="s">
        <v>35</v>
      </c>
      <c r="J4619" t="s">
        <v>27</v>
      </c>
      <c r="K4619">
        <v>11</v>
      </c>
      <c r="L4619">
        <v>72767</v>
      </c>
      <c r="M4619" t="s">
        <v>28</v>
      </c>
      <c r="N4619">
        <v>4</v>
      </c>
      <c r="O4619">
        <v>3</v>
      </c>
      <c r="P4619">
        <v>71</v>
      </c>
      <c r="Q4619">
        <v>2</v>
      </c>
      <c r="R4619" s="1">
        <v>41041</v>
      </c>
      <c r="S4619" t="s">
        <v>29</v>
      </c>
      <c r="T4619" t="str">
        <f t="shared" si="360"/>
        <v>Grade B</v>
      </c>
      <c r="U4619">
        <f t="shared" si="361"/>
        <v>3</v>
      </c>
      <c r="V4619" t="str">
        <f t="shared" si="362"/>
        <v>Senior</v>
      </c>
      <c r="W4619" t="str">
        <f t="shared" si="363"/>
        <v>Medium Risk</v>
      </c>
      <c r="X4619" t="str">
        <f t="shared" si="364"/>
        <v>Competitive</v>
      </c>
    </row>
    <row r="4620" spans="1:24" x14ac:dyDescent="0.3">
      <c r="A4620" t="s">
        <v>4688</v>
      </c>
      <c r="B4620" t="s">
        <v>39</v>
      </c>
      <c r="C4620">
        <v>37</v>
      </c>
      <c r="D4620" t="s">
        <v>47</v>
      </c>
      <c r="E4620" t="s">
        <v>48</v>
      </c>
      <c r="F4620" t="s">
        <v>41</v>
      </c>
      <c r="G4620" t="s">
        <v>42</v>
      </c>
      <c r="H4620" t="s">
        <v>76</v>
      </c>
      <c r="I4620" t="s">
        <v>59</v>
      </c>
      <c r="J4620" t="s">
        <v>60</v>
      </c>
      <c r="K4620">
        <v>4</v>
      </c>
      <c r="L4620">
        <v>105445</v>
      </c>
      <c r="M4620" t="s">
        <v>51</v>
      </c>
      <c r="N4620">
        <v>4</v>
      </c>
      <c r="O4620">
        <v>4</v>
      </c>
      <c r="P4620">
        <v>21</v>
      </c>
      <c r="Q4620">
        <v>3</v>
      </c>
      <c r="R4620" s="1">
        <v>43521</v>
      </c>
      <c r="S4620" t="s">
        <v>29</v>
      </c>
      <c r="T4620" t="str">
        <f t="shared" si="360"/>
        <v>Grade A</v>
      </c>
      <c r="U4620">
        <f t="shared" si="361"/>
        <v>4</v>
      </c>
      <c r="V4620" t="str">
        <f t="shared" si="362"/>
        <v>Junior</v>
      </c>
      <c r="W4620" t="str">
        <f t="shared" si="363"/>
        <v>Low Risk</v>
      </c>
      <c r="X4620" t="str">
        <f t="shared" si="364"/>
        <v>Competitive</v>
      </c>
    </row>
    <row r="4621" spans="1:24" x14ac:dyDescent="0.3">
      <c r="A4621" t="s">
        <v>4689</v>
      </c>
      <c r="B4621" t="s">
        <v>20</v>
      </c>
      <c r="C4621">
        <v>29</v>
      </c>
      <c r="D4621" t="s">
        <v>47</v>
      </c>
      <c r="E4621" t="s">
        <v>48</v>
      </c>
      <c r="F4621" t="s">
        <v>62</v>
      </c>
      <c r="G4621" t="s">
        <v>79</v>
      </c>
      <c r="H4621" t="s">
        <v>34</v>
      </c>
      <c r="I4621" t="s">
        <v>59</v>
      </c>
      <c r="J4621" t="s">
        <v>60</v>
      </c>
      <c r="K4621">
        <v>13</v>
      </c>
      <c r="L4621">
        <v>71025</v>
      </c>
      <c r="M4621" t="s">
        <v>51</v>
      </c>
      <c r="N4621">
        <v>4</v>
      </c>
      <c r="O4621">
        <v>3</v>
      </c>
      <c r="P4621">
        <v>76</v>
      </c>
      <c r="Q4621">
        <v>0</v>
      </c>
      <c r="R4621" s="1">
        <v>40471</v>
      </c>
      <c r="S4621" t="s">
        <v>29</v>
      </c>
      <c r="T4621" t="str">
        <f t="shared" si="360"/>
        <v>Grade B</v>
      </c>
      <c r="U4621">
        <f t="shared" si="361"/>
        <v>4</v>
      </c>
      <c r="V4621" t="str">
        <f t="shared" si="362"/>
        <v>Senior</v>
      </c>
      <c r="W4621" t="str">
        <f t="shared" si="363"/>
        <v>Low Risk</v>
      </c>
      <c r="X4621" t="str">
        <f t="shared" si="364"/>
        <v>Fair</v>
      </c>
    </row>
    <row r="4622" spans="1:24" x14ac:dyDescent="0.3">
      <c r="A4622" t="s">
        <v>4690</v>
      </c>
      <c r="B4622" t="s">
        <v>39</v>
      </c>
      <c r="C4622">
        <v>55</v>
      </c>
      <c r="D4622" t="s">
        <v>21</v>
      </c>
      <c r="E4622" t="s">
        <v>40</v>
      </c>
      <c r="F4622" t="s">
        <v>32</v>
      </c>
      <c r="G4622" t="s">
        <v>58</v>
      </c>
      <c r="H4622" t="s">
        <v>67</v>
      </c>
      <c r="I4622" t="s">
        <v>72</v>
      </c>
      <c r="J4622" t="s">
        <v>73</v>
      </c>
      <c r="K4622">
        <v>7</v>
      </c>
      <c r="L4622">
        <v>101352</v>
      </c>
      <c r="M4622" t="s">
        <v>45</v>
      </c>
      <c r="N4622">
        <v>3</v>
      </c>
      <c r="O4622">
        <v>3</v>
      </c>
      <c r="P4622">
        <v>44</v>
      </c>
      <c r="Q4622">
        <v>1</v>
      </c>
      <c r="R4622" s="1">
        <v>42428</v>
      </c>
      <c r="S4622" t="s">
        <v>29</v>
      </c>
      <c r="T4622" t="str">
        <f t="shared" si="360"/>
        <v>Grade A</v>
      </c>
      <c r="U4622">
        <f t="shared" si="361"/>
        <v>2</v>
      </c>
      <c r="V4622" t="str">
        <f t="shared" si="362"/>
        <v>Mid Level</v>
      </c>
      <c r="W4622" t="str">
        <f t="shared" si="363"/>
        <v>Medium Risk</v>
      </c>
      <c r="X4622" t="str">
        <f t="shared" si="364"/>
        <v>Fair</v>
      </c>
    </row>
    <row r="4623" spans="1:24" x14ac:dyDescent="0.3">
      <c r="A4623" t="s">
        <v>4691</v>
      </c>
      <c r="B4623" t="s">
        <v>20</v>
      </c>
      <c r="C4623">
        <v>38</v>
      </c>
      <c r="D4623" t="s">
        <v>88</v>
      </c>
      <c r="E4623" t="s">
        <v>22</v>
      </c>
      <c r="F4623" t="s">
        <v>75</v>
      </c>
      <c r="G4623" t="s">
        <v>63</v>
      </c>
      <c r="H4623" t="s">
        <v>83</v>
      </c>
      <c r="I4623" t="s">
        <v>50</v>
      </c>
      <c r="J4623" t="s">
        <v>44</v>
      </c>
      <c r="K4623">
        <v>10</v>
      </c>
      <c r="L4623">
        <v>56743</v>
      </c>
      <c r="M4623" t="s">
        <v>28</v>
      </c>
      <c r="N4623">
        <v>3</v>
      </c>
      <c r="O4623">
        <v>1</v>
      </c>
      <c r="P4623">
        <v>61</v>
      </c>
      <c r="Q4623">
        <v>0</v>
      </c>
      <c r="R4623" s="1">
        <v>41281</v>
      </c>
      <c r="S4623" t="s">
        <v>37</v>
      </c>
      <c r="T4623" t="str">
        <f t="shared" si="360"/>
        <v>Grade B</v>
      </c>
      <c r="U4623">
        <f t="shared" si="361"/>
        <v>3</v>
      </c>
      <c r="V4623" t="str">
        <f t="shared" si="362"/>
        <v>Mid Level</v>
      </c>
      <c r="W4623" t="str">
        <f t="shared" si="363"/>
        <v>Already Left</v>
      </c>
      <c r="X4623" t="str">
        <f t="shared" si="364"/>
        <v>Competitive</v>
      </c>
    </row>
    <row r="4624" spans="1:24" x14ac:dyDescent="0.3">
      <c r="A4624" t="s">
        <v>4692</v>
      </c>
      <c r="B4624" t="s">
        <v>39</v>
      </c>
      <c r="C4624">
        <v>29</v>
      </c>
      <c r="D4624" t="s">
        <v>47</v>
      </c>
      <c r="E4624" t="s">
        <v>48</v>
      </c>
      <c r="F4624" t="s">
        <v>78</v>
      </c>
      <c r="G4624" t="s">
        <v>24</v>
      </c>
      <c r="H4624" t="s">
        <v>67</v>
      </c>
      <c r="I4624" t="s">
        <v>96</v>
      </c>
      <c r="J4624" t="s">
        <v>44</v>
      </c>
      <c r="K4624">
        <v>15</v>
      </c>
      <c r="L4624">
        <v>96038</v>
      </c>
      <c r="M4624" t="s">
        <v>28</v>
      </c>
      <c r="N4624">
        <v>4</v>
      </c>
      <c r="O4624">
        <v>3</v>
      </c>
      <c r="P4624">
        <v>67</v>
      </c>
      <c r="Q4624">
        <v>3</v>
      </c>
      <c r="R4624" s="1">
        <v>39638</v>
      </c>
      <c r="S4624" t="s">
        <v>29</v>
      </c>
      <c r="T4624" t="str">
        <f t="shared" si="360"/>
        <v>Grade A</v>
      </c>
      <c r="U4624">
        <f t="shared" si="361"/>
        <v>3</v>
      </c>
      <c r="V4624" t="str">
        <f t="shared" si="362"/>
        <v>Senior</v>
      </c>
      <c r="W4624" t="str">
        <f t="shared" si="363"/>
        <v>Medium Risk</v>
      </c>
      <c r="X4624" t="str">
        <f t="shared" si="364"/>
        <v>Competitive</v>
      </c>
    </row>
    <row r="4625" spans="1:24" x14ac:dyDescent="0.3">
      <c r="A4625" t="s">
        <v>4693</v>
      </c>
      <c r="B4625" t="s">
        <v>39</v>
      </c>
      <c r="C4625">
        <v>28</v>
      </c>
      <c r="D4625" t="s">
        <v>57</v>
      </c>
      <c r="E4625" t="s">
        <v>22</v>
      </c>
      <c r="F4625" t="s">
        <v>41</v>
      </c>
      <c r="G4625" t="s">
        <v>58</v>
      </c>
      <c r="H4625" t="s">
        <v>83</v>
      </c>
      <c r="I4625" t="s">
        <v>35</v>
      </c>
      <c r="J4625" t="s">
        <v>27</v>
      </c>
      <c r="K4625">
        <v>3</v>
      </c>
      <c r="L4625">
        <v>85501</v>
      </c>
      <c r="M4625" t="s">
        <v>28</v>
      </c>
      <c r="N4625">
        <v>2</v>
      </c>
      <c r="O4625">
        <v>1</v>
      </c>
      <c r="P4625">
        <v>50</v>
      </c>
      <c r="Q4625">
        <v>2</v>
      </c>
      <c r="R4625" s="1">
        <v>44065</v>
      </c>
      <c r="S4625" t="s">
        <v>29</v>
      </c>
      <c r="T4625" t="str">
        <f t="shared" si="360"/>
        <v>Grade A</v>
      </c>
      <c r="U4625">
        <f t="shared" si="361"/>
        <v>3</v>
      </c>
      <c r="V4625" t="str">
        <f t="shared" si="362"/>
        <v>Junior</v>
      </c>
      <c r="W4625" t="str">
        <f t="shared" si="363"/>
        <v>Medium Risk</v>
      </c>
      <c r="X4625" t="str">
        <f t="shared" si="364"/>
        <v>Competitive</v>
      </c>
    </row>
    <row r="4626" spans="1:24" x14ac:dyDescent="0.3">
      <c r="A4626" t="s">
        <v>4694</v>
      </c>
      <c r="B4626" t="s">
        <v>39</v>
      </c>
      <c r="C4626">
        <v>40</v>
      </c>
      <c r="D4626" t="s">
        <v>21</v>
      </c>
      <c r="E4626" t="s">
        <v>48</v>
      </c>
      <c r="F4626" t="s">
        <v>32</v>
      </c>
      <c r="G4626" t="s">
        <v>63</v>
      </c>
      <c r="H4626" t="s">
        <v>83</v>
      </c>
      <c r="I4626" t="s">
        <v>80</v>
      </c>
      <c r="J4626" t="s">
        <v>60</v>
      </c>
      <c r="K4626">
        <v>5</v>
      </c>
      <c r="L4626">
        <v>61007</v>
      </c>
      <c r="M4626" t="s">
        <v>28</v>
      </c>
      <c r="N4626">
        <v>2</v>
      </c>
      <c r="O4626">
        <v>4</v>
      </c>
      <c r="P4626">
        <v>80</v>
      </c>
      <c r="Q4626">
        <v>0</v>
      </c>
      <c r="R4626" s="1">
        <v>43463</v>
      </c>
      <c r="S4626" t="s">
        <v>29</v>
      </c>
      <c r="T4626" t="str">
        <f t="shared" si="360"/>
        <v>Grade B</v>
      </c>
      <c r="U4626">
        <f t="shared" si="361"/>
        <v>3</v>
      </c>
      <c r="V4626" t="str">
        <f t="shared" si="362"/>
        <v>Junior</v>
      </c>
      <c r="W4626" t="str">
        <f t="shared" si="363"/>
        <v>Medium Risk</v>
      </c>
      <c r="X4626" t="str">
        <f t="shared" si="364"/>
        <v>Competitive</v>
      </c>
    </row>
    <row r="4627" spans="1:24" x14ac:dyDescent="0.3">
      <c r="A4627" t="s">
        <v>4695</v>
      </c>
      <c r="B4627" t="s">
        <v>20</v>
      </c>
      <c r="C4627">
        <v>36</v>
      </c>
      <c r="D4627" t="s">
        <v>31</v>
      </c>
      <c r="E4627" t="s">
        <v>22</v>
      </c>
      <c r="F4627" t="s">
        <v>41</v>
      </c>
      <c r="G4627" t="s">
        <v>33</v>
      </c>
      <c r="H4627" t="s">
        <v>83</v>
      </c>
      <c r="I4627" t="s">
        <v>80</v>
      </c>
      <c r="J4627" t="s">
        <v>60</v>
      </c>
      <c r="K4627">
        <v>9</v>
      </c>
      <c r="L4627">
        <v>75346</v>
      </c>
      <c r="M4627" t="s">
        <v>45</v>
      </c>
      <c r="N4627">
        <v>3</v>
      </c>
      <c r="O4627">
        <v>1</v>
      </c>
      <c r="P4627">
        <v>35</v>
      </c>
      <c r="Q4627">
        <v>0</v>
      </c>
      <c r="R4627" s="1">
        <v>41982</v>
      </c>
      <c r="S4627" t="s">
        <v>29</v>
      </c>
      <c r="T4627" t="str">
        <f t="shared" si="360"/>
        <v>Grade B</v>
      </c>
      <c r="U4627">
        <f t="shared" si="361"/>
        <v>2</v>
      </c>
      <c r="V4627" t="str">
        <f t="shared" si="362"/>
        <v>Mid Level</v>
      </c>
      <c r="W4627" t="str">
        <f t="shared" si="363"/>
        <v>Medium Risk</v>
      </c>
      <c r="X4627" t="str">
        <f t="shared" si="364"/>
        <v>Fair</v>
      </c>
    </row>
    <row r="4628" spans="1:24" x14ac:dyDescent="0.3">
      <c r="A4628" t="s">
        <v>4696</v>
      </c>
      <c r="B4628" t="s">
        <v>39</v>
      </c>
      <c r="C4628">
        <v>54</v>
      </c>
      <c r="D4628" t="s">
        <v>47</v>
      </c>
      <c r="E4628" t="s">
        <v>22</v>
      </c>
      <c r="F4628" t="s">
        <v>65</v>
      </c>
      <c r="G4628" t="s">
        <v>66</v>
      </c>
      <c r="H4628" t="s">
        <v>76</v>
      </c>
      <c r="I4628" t="s">
        <v>50</v>
      </c>
      <c r="J4628" t="s">
        <v>44</v>
      </c>
      <c r="K4628">
        <v>4</v>
      </c>
      <c r="L4628">
        <v>39751</v>
      </c>
      <c r="M4628" t="s">
        <v>28</v>
      </c>
      <c r="N4628">
        <v>2</v>
      </c>
      <c r="O4628">
        <v>1</v>
      </c>
      <c r="P4628">
        <v>62</v>
      </c>
      <c r="Q4628">
        <v>3</v>
      </c>
      <c r="R4628" s="1">
        <v>43601</v>
      </c>
      <c r="S4628" t="s">
        <v>29</v>
      </c>
      <c r="T4628" t="str">
        <f t="shared" si="360"/>
        <v>Grade C</v>
      </c>
      <c r="U4628">
        <f t="shared" si="361"/>
        <v>3</v>
      </c>
      <c r="V4628" t="str">
        <f t="shared" si="362"/>
        <v>Junior</v>
      </c>
      <c r="W4628" t="str">
        <f t="shared" si="363"/>
        <v>Medium Risk</v>
      </c>
      <c r="X4628" t="str">
        <f t="shared" si="364"/>
        <v>Fair</v>
      </c>
    </row>
    <row r="4629" spans="1:24" x14ac:dyDescent="0.3">
      <c r="A4629" t="s">
        <v>4697</v>
      </c>
      <c r="B4629" t="s">
        <v>39</v>
      </c>
      <c r="C4629">
        <v>40</v>
      </c>
      <c r="D4629" t="s">
        <v>31</v>
      </c>
      <c r="E4629" t="s">
        <v>22</v>
      </c>
      <c r="F4629" t="s">
        <v>75</v>
      </c>
      <c r="G4629" t="s">
        <v>79</v>
      </c>
      <c r="H4629" t="s">
        <v>67</v>
      </c>
      <c r="I4629" t="s">
        <v>26</v>
      </c>
      <c r="J4629" t="s">
        <v>27</v>
      </c>
      <c r="K4629">
        <v>12</v>
      </c>
      <c r="L4629">
        <v>69328</v>
      </c>
      <c r="M4629" t="s">
        <v>36</v>
      </c>
      <c r="N4629">
        <v>2</v>
      </c>
      <c r="O4629">
        <v>2</v>
      </c>
      <c r="P4629">
        <v>54</v>
      </c>
      <c r="Q4629">
        <v>1</v>
      </c>
      <c r="R4629" s="1">
        <v>40628</v>
      </c>
      <c r="S4629" t="s">
        <v>37</v>
      </c>
      <c r="T4629" t="str">
        <f t="shared" si="360"/>
        <v>Grade B</v>
      </c>
      <c r="U4629">
        <f t="shared" si="361"/>
        <v>1</v>
      </c>
      <c r="V4629" t="str">
        <f t="shared" si="362"/>
        <v>Senior</v>
      </c>
      <c r="W4629" t="str">
        <f t="shared" si="363"/>
        <v>Already Left</v>
      </c>
      <c r="X4629" t="str">
        <f t="shared" si="364"/>
        <v>Fair</v>
      </c>
    </row>
    <row r="4630" spans="1:24" x14ac:dyDescent="0.3">
      <c r="A4630" t="s">
        <v>4698</v>
      </c>
      <c r="B4630" t="s">
        <v>20</v>
      </c>
      <c r="C4630">
        <v>47</v>
      </c>
      <c r="D4630" t="s">
        <v>88</v>
      </c>
      <c r="E4630" t="s">
        <v>48</v>
      </c>
      <c r="F4630" t="s">
        <v>65</v>
      </c>
      <c r="G4630" t="s">
        <v>49</v>
      </c>
      <c r="H4630" t="s">
        <v>76</v>
      </c>
      <c r="I4630" t="s">
        <v>26</v>
      </c>
      <c r="J4630" t="s">
        <v>27</v>
      </c>
      <c r="K4630">
        <v>3</v>
      </c>
      <c r="L4630">
        <v>51504</v>
      </c>
      <c r="M4630" t="s">
        <v>51</v>
      </c>
      <c r="N4630">
        <v>2</v>
      </c>
      <c r="O4630">
        <v>4</v>
      </c>
      <c r="P4630">
        <v>20</v>
      </c>
      <c r="Q4630">
        <v>2</v>
      </c>
      <c r="R4630" s="1">
        <v>43944</v>
      </c>
      <c r="S4630" t="s">
        <v>29</v>
      </c>
      <c r="T4630" t="str">
        <f t="shared" si="360"/>
        <v>Grade B</v>
      </c>
      <c r="U4630">
        <f t="shared" si="361"/>
        <v>4</v>
      </c>
      <c r="V4630" t="str">
        <f t="shared" si="362"/>
        <v>Junior</v>
      </c>
      <c r="W4630" t="str">
        <f t="shared" si="363"/>
        <v>Low Risk</v>
      </c>
      <c r="X4630" t="str">
        <f t="shared" si="364"/>
        <v>Fair</v>
      </c>
    </row>
    <row r="4631" spans="1:24" x14ac:dyDescent="0.3">
      <c r="A4631" t="s">
        <v>4699</v>
      </c>
      <c r="B4631" t="s">
        <v>20</v>
      </c>
      <c r="C4631">
        <v>23</v>
      </c>
      <c r="D4631" t="s">
        <v>88</v>
      </c>
      <c r="E4631" t="s">
        <v>48</v>
      </c>
      <c r="F4631" t="s">
        <v>41</v>
      </c>
      <c r="G4631" t="s">
        <v>49</v>
      </c>
      <c r="H4631" t="s">
        <v>67</v>
      </c>
      <c r="I4631" t="s">
        <v>72</v>
      </c>
      <c r="J4631" t="s">
        <v>73</v>
      </c>
      <c r="K4631">
        <v>1</v>
      </c>
      <c r="L4631">
        <v>53516</v>
      </c>
      <c r="M4631" t="s">
        <v>36</v>
      </c>
      <c r="N4631">
        <v>3</v>
      </c>
      <c r="O4631">
        <v>1</v>
      </c>
      <c r="P4631">
        <v>68</v>
      </c>
      <c r="Q4631">
        <v>3</v>
      </c>
      <c r="R4631" s="1">
        <v>44621</v>
      </c>
      <c r="S4631" t="s">
        <v>37</v>
      </c>
      <c r="T4631" t="str">
        <f t="shared" si="360"/>
        <v>Grade B</v>
      </c>
      <c r="U4631">
        <f t="shared" si="361"/>
        <v>1</v>
      </c>
      <c r="V4631" t="str">
        <f t="shared" si="362"/>
        <v>New Joiner</v>
      </c>
      <c r="W4631" t="str">
        <f t="shared" si="363"/>
        <v>Already Left</v>
      </c>
      <c r="X4631" t="str">
        <f t="shared" si="364"/>
        <v>Fair</v>
      </c>
    </row>
    <row r="4632" spans="1:24" x14ac:dyDescent="0.3">
      <c r="A4632" t="s">
        <v>4700</v>
      </c>
      <c r="B4632" t="s">
        <v>20</v>
      </c>
      <c r="C4632">
        <v>53</v>
      </c>
      <c r="D4632" t="s">
        <v>47</v>
      </c>
      <c r="E4632" t="s">
        <v>22</v>
      </c>
      <c r="F4632" t="s">
        <v>32</v>
      </c>
      <c r="G4632" t="s">
        <v>49</v>
      </c>
      <c r="H4632" t="s">
        <v>34</v>
      </c>
      <c r="I4632" t="s">
        <v>96</v>
      </c>
      <c r="J4632" t="s">
        <v>44</v>
      </c>
      <c r="K4632">
        <v>7</v>
      </c>
      <c r="L4632">
        <v>72712</v>
      </c>
      <c r="M4632" t="s">
        <v>28</v>
      </c>
      <c r="N4632">
        <v>2</v>
      </c>
      <c r="O4632">
        <v>1</v>
      </c>
      <c r="P4632">
        <v>36</v>
      </c>
      <c r="Q4632">
        <v>2</v>
      </c>
      <c r="R4632" s="1">
        <v>42433</v>
      </c>
      <c r="S4632" t="s">
        <v>29</v>
      </c>
      <c r="T4632" t="str">
        <f t="shared" si="360"/>
        <v>Grade B</v>
      </c>
      <c r="U4632">
        <f t="shared" si="361"/>
        <v>3</v>
      </c>
      <c r="V4632" t="str">
        <f t="shared" si="362"/>
        <v>Mid Level</v>
      </c>
      <c r="W4632" t="str">
        <f t="shared" si="363"/>
        <v>Medium Risk</v>
      </c>
      <c r="X4632" t="str">
        <f t="shared" si="364"/>
        <v>Competitive</v>
      </c>
    </row>
    <row r="4633" spans="1:24" x14ac:dyDescent="0.3">
      <c r="A4633" t="s">
        <v>4701</v>
      </c>
      <c r="B4633" t="s">
        <v>39</v>
      </c>
      <c r="C4633">
        <v>37</v>
      </c>
      <c r="D4633" t="s">
        <v>88</v>
      </c>
      <c r="E4633" t="s">
        <v>40</v>
      </c>
      <c r="F4633" t="s">
        <v>41</v>
      </c>
      <c r="G4633" t="s">
        <v>79</v>
      </c>
      <c r="H4633" t="s">
        <v>83</v>
      </c>
      <c r="I4633" t="s">
        <v>68</v>
      </c>
      <c r="J4633" t="s">
        <v>60</v>
      </c>
      <c r="K4633">
        <v>9</v>
      </c>
      <c r="L4633">
        <v>51886</v>
      </c>
      <c r="M4633" t="s">
        <v>45</v>
      </c>
      <c r="N4633">
        <v>2</v>
      </c>
      <c r="O4633">
        <v>2</v>
      </c>
      <c r="P4633">
        <v>19</v>
      </c>
      <c r="Q4633">
        <v>1</v>
      </c>
      <c r="R4633" s="1">
        <v>41794</v>
      </c>
      <c r="S4633" t="s">
        <v>29</v>
      </c>
      <c r="T4633" t="str">
        <f t="shared" si="360"/>
        <v>Grade B</v>
      </c>
      <c r="U4633">
        <f t="shared" si="361"/>
        <v>2</v>
      </c>
      <c r="V4633" t="str">
        <f t="shared" si="362"/>
        <v>Mid Level</v>
      </c>
      <c r="W4633" t="str">
        <f t="shared" si="363"/>
        <v>Medium Risk</v>
      </c>
      <c r="X4633" t="str">
        <f t="shared" si="364"/>
        <v>Fair</v>
      </c>
    </row>
    <row r="4634" spans="1:24" x14ac:dyDescent="0.3">
      <c r="A4634" t="s">
        <v>4702</v>
      </c>
      <c r="B4634" t="s">
        <v>39</v>
      </c>
      <c r="C4634">
        <v>39</v>
      </c>
      <c r="D4634" t="s">
        <v>88</v>
      </c>
      <c r="E4634" t="s">
        <v>22</v>
      </c>
      <c r="F4634" t="s">
        <v>75</v>
      </c>
      <c r="G4634" t="s">
        <v>24</v>
      </c>
      <c r="H4634" t="s">
        <v>67</v>
      </c>
      <c r="I4634" t="s">
        <v>35</v>
      </c>
      <c r="J4634" t="s">
        <v>27</v>
      </c>
      <c r="K4634">
        <v>10</v>
      </c>
      <c r="L4634">
        <v>92051</v>
      </c>
      <c r="M4634" t="s">
        <v>45</v>
      </c>
      <c r="N4634">
        <v>4</v>
      </c>
      <c r="O4634">
        <v>1</v>
      </c>
      <c r="P4634">
        <v>15</v>
      </c>
      <c r="Q4634">
        <v>2</v>
      </c>
      <c r="R4634" s="1">
        <v>41287</v>
      </c>
      <c r="S4634" t="s">
        <v>29</v>
      </c>
      <c r="T4634" t="str">
        <f t="shared" si="360"/>
        <v>Grade A</v>
      </c>
      <c r="U4634">
        <f t="shared" si="361"/>
        <v>2</v>
      </c>
      <c r="V4634" t="str">
        <f t="shared" si="362"/>
        <v>Mid Level</v>
      </c>
      <c r="W4634" t="str">
        <f t="shared" si="363"/>
        <v>Medium Risk</v>
      </c>
      <c r="X4634" t="str">
        <f t="shared" si="364"/>
        <v>Fair</v>
      </c>
    </row>
    <row r="4635" spans="1:24" x14ac:dyDescent="0.3">
      <c r="A4635" t="s">
        <v>4703</v>
      </c>
      <c r="B4635" t="s">
        <v>39</v>
      </c>
      <c r="C4635">
        <v>26</v>
      </c>
      <c r="D4635" t="s">
        <v>57</v>
      </c>
      <c r="E4635" t="s">
        <v>48</v>
      </c>
      <c r="F4635" t="s">
        <v>78</v>
      </c>
      <c r="G4635" t="s">
        <v>66</v>
      </c>
      <c r="H4635" t="s">
        <v>76</v>
      </c>
      <c r="I4635" t="s">
        <v>26</v>
      </c>
      <c r="J4635" t="s">
        <v>27</v>
      </c>
      <c r="K4635">
        <v>13</v>
      </c>
      <c r="L4635">
        <v>54447</v>
      </c>
      <c r="M4635" t="s">
        <v>28</v>
      </c>
      <c r="N4635">
        <v>1</v>
      </c>
      <c r="O4635">
        <v>3</v>
      </c>
      <c r="P4635">
        <v>13</v>
      </c>
      <c r="Q4635">
        <v>1</v>
      </c>
      <c r="R4635" s="1">
        <v>40420</v>
      </c>
      <c r="S4635" t="s">
        <v>37</v>
      </c>
      <c r="T4635" t="str">
        <f t="shared" si="360"/>
        <v>Grade B</v>
      </c>
      <c r="U4635">
        <f t="shared" si="361"/>
        <v>3</v>
      </c>
      <c r="V4635" t="str">
        <f t="shared" si="362"/>
        <v>Senior</v>
      </c>
      <c r="W4635" t="str">
        <f t="shared" si="363"/>
        <v>Already Left</v>
      </c>
      <c r="X4635" t="str">
        <f t="shared" si="364"/>
        <v>Competitive</v>
      </c>
    </row>
    <row r="4636" spans="1:24" x14ac:dyDescent="0.3">
      <c r="A4636" t="s">
        <v>4704</v>
      </c>
      <c r="B4636" t="s">
        <v>20</v>
      </c>
      <c r="C4636">
        <v>24</v>
      </c>
      <c r="D4636" t="s">
        <v>31</v>
      </c>
      <c r="E4636" t="s">
        <v>22</v>
      </c>
      <c r="F4636" t="s">
        <v>78</v>
      </c>
      <c r="G4636" t="s">
        <v>79</v>
      </c>
      <c r="H4636" t="s">
        <v>76</v>
      </c>
      <c r="I4636" t="s">
        <v>54</v>
      </c>
      <c r="J4636" t="s">
        <v>27</v>
      </c>
      <c r="K4636">
        <v>2</v>
      </c>
      <c r="L4636">
        <v>51311</v>
      </c>
      <c r="M4636" t="s">
        <v>28</v>
      </c>
      <c r="N4636">
        <v>1</v>
      </c>
      <c r="O4636">
        <v>1</v>
      </c>
      <c r="P4636">
        <v>48</v>
      </c>
      <c r="Q4636">
        <v>1</v>
      </c>
      <c r="R4636" s="1">
        <v>44552</v>
      </c>
      <c r="S4636" t="s">
        <v>29</v>
      </c>
      <c r="T4636" t="str">
        <f t="shared" si="360"/>
        <v>Grade B</v>
      </c>
      <c r="U4636">
        <f t="shared" si="361"/>
        <v>3</v>
      </c>
      <c r="V4636" t="str">
        <f t="shared" si="362"/>
        <v>New Joiner</v>
      </c>
      <c r="W4636" t="str">
        <f t="shared" si="363"/>
        <v>Medium Risk</v>
      </c>
      <c r="X4636" t="str">
        <f t="shared" si="364"/>
        <v>Competitive</v>
      </c>
    </row>
    <row r="4637" spans="1:24" x14ac:dyDescent="0.3">
      <c r="A4637" t="s">
        <v>4705</v>
      </c>
      <c r="B4637" t="s">
        <v>20</v>
      </c>
      <c r="C4637">
        <v>23</v>
      </c>
      <c r="D4637" t="s">
        <v>21</v>
      </c>
      <c r="E4637" t="s">
        <v>40</v>
      </c>
      <c r="F4637" t="s">
        <v>41</v>
      </c>
      <c r="G4637" t="s">
        <v>24</v>
      </c>
      <c r="H4637" t="s">
        <v>67</v>
      </c>
      <c r="I4637" t="s">
        <v>26</v>
      </c>
      <c r="J4637" t="s">
        <v>27</v>
      </c>
      <c r="K4637">
        <v>7</v>
      </c>
      <c r="L4637">
        <v>87315</v>
      </c>
      <c r="M4637" t="s">
        <v>51</v>
      </c>
      <c r="N4637">
        <v>4</v>
      </c>
      <c r="O4637">
        <v>4</v>
      </c>
      <c r="P4637">
        <v>47</v>
      </c>
      <c r="Q4637">
        <v>0</v>
      </c>
      <c r="R4637" s="1">
        <v>42705</v>
      </c>
      <c r="S4637" t="s">
        <v>29</v>
      </c>
      <c r="T4637" t="str">
        <f t="shared" si="360"/>
        <v>Grade A</v>
      </c>
      <c r="U4637">
        <f t="shared" si="361"/>
        <v>4</v>
      </c>
      <c r="V4637" t="str">
        <f t="shared" si="362"/>
        <v>Mid Level</v>
      </c>
      <c r="W4637" t="str">
        <f t="shared" si="363"/>
        <v>Low Risk</v>
      </c>
      <c r="X4637" t="str">
        <f t="shared" si="364"/>
        <v>Competitive</v>
      </c>
    </row>
    <row r="4638" spans="1:24" x14ac:dyDescent="0.3">
      <c r="A4638" t="s">
        <v>4706</v>
      </c>
      <c r="B4638" t="s">
        <v>39</v>
      </c>
      <c r="C4638">
        <v>36</v>
      </c>
      <c r="D4638" t="s">
        <v>31</v>
      </c>
      <c r="E4638" t="s">
        <v>22</v>
      </c>
      <c r="F4638" t="s">
        <v>23</v>
      </c>
      <c r="G4638" t="s">
        <v>66</v>
      </c>
      <c r="H4638" t="s">
        <v>34</v>
      </c>
      <c r="I4638" t="s">
        <v>72</v>
      </c>
      <c r="J4638" t="s">
        <v>73</v>
      </c>
      <c r="K4638">
        <v>8</v>
      </c>
      <c r="L4638">
        <v>53643</v>
      </c>
      <c r="M4638" t="s">
        <v>45</v>
      </c>
      <c r="N4638">
        <v>1</v>
      </c>
      <c r="O4638">
        <v>3</v>
      </c>
      <c r="P4638">
        <v>38</v>
      </c>
      <c r="Q4638">
        <v>1</v>
      </c>
      <c r="R4638" s="1">
        <v>42328</v>
      </c>
      <c r="S4638" t="s">
        <v>29</v>
      </c>
      <c r="T4638" t="str">
        <f t="shared" si="360"/>
        <v>Grade B</v>
      </c>
      <c r="U4638">
        <f t="shared" si="361"/>
        <v>2</v>
      </c>
      <c r="V4638" t="str">
        <f t="shared" si="362"/>
        <v>Mid Level</v>
      </c>
      <c r="W4638" t="str">
        <f t="shared" si="363"/>
        <v>Medium Risk</v>
      </c>
      <c r="X4638" t="str">
        <f t="shared" si="364"/>
        <v>Fair</v>
      </c>
    </row>
    <row r="4639" spans="1:24" x14ac:dyDescent="0.3">
      <c r="A4639" t="s">
        <v>4707</v>
      </c>
      <c r="B4639" t="s">
        <v>39</v>
      </c>
      <c r="C4639">
        <v>32</v>
      </c>
      <c r="D4639" t="s">
        <v>47</v>
      </c>
      <c r="E4639" t="s">
        <v>48</v>
      </c>
      <c r="F4639" t="s">
        <v>32</v>
      </c>
      <c r="G4639" t="s">
        <v>49</v>
      </c>
      <c r="H4639" t="s">
        <v>83</v>
      </c>
      <c r="I4639" t="s">
        <v>54</v>
      </c>
      <c r="J4639" t="s">
        <v>27</v>
      </c>
      <c r="K4639">
        <v>10</v>
      </c>
      <c r="L4639">
        <v>79808</v>
      </c>
      <c r="M4639" t="s">
        <v>45</v>
      </c>
      <c r="N4639">
        <v>4</v>
      </c>
      <c r="O4639">
        <v>2</v>
      </c>
      <c r="P4639">
        <v>45</v>
      </c>
      <c r="Q4639">
        <v>3</v>
      </c>
      <c r="R4639" s="1">
        <v>41378</v>
      </c>
      <c r="S4639" t="s">
        <v>29</v>
      </c>
      <c r="T4639" t="str">
        <f t="shared" si="360"/>
        <v>Grade B</v>
      </c>
      <c r="U4639">
        <f t="shared" si="361"/>
        <v>2</v>
      </c>
      <c r="V4639" t="str">
        <f t="shared" si="362"/>
        <v>Mid Level</v>
      </c>
      <c r="W4639" t="str">
        <f t="shared" si="363"/>
        <v>Medium Risk</v>
      </c>
      <c r="X4639" t="str">
        <f t="shared" si="364"/>
        <v>Fair</v>
      </c>
    </row>
    <row r="4640" spans="1:24" x14ac:dyDescent="0.3">
      <c r="A4640" t="s">
        <v>4708</v>
      </c>
      <c r="B4640" t="s">
        <v>39</v>
      </c>
      <c r="C4640">
        <v>48</v>
      </c>
      <c r="D4640" t="s">
        <v>31</v>
      </c>
      <c r="E4640" t="s">
        <v>22</v>
      </c>
      <c r="F4640" t="s">
        <v>75</v>
      </c>
      <c r="G4640" t="s">
        <v>33</v>
      </c>
      <c r="H4640" t="s">
        <v>67</v>
      </c>
      <c r="I4640" t="s">
        <v>68</v>
      </c>
      <c r="J4640" t="s">
        <v>60</v>
      </c>
      <c r="K4640">
        <v>14</v>
      </c>
      <c r="L4640">
        <v>81412</v>
      </c>
      <c r="M4640" t="s">
        <v>45</v>
      </c>
      <c r="N4640">
        <v>4</v>
      </c>
      <c r="O4640">
        <v>4</v>
      </c>
      <c r="P4640">
        <v>35</v>
      </c>
      <c r="Q4640">
        <v>0</v>
      </c>
      <c r="R4640" s="1">
        <v>40063</v>
      </c>
      <c r="S4640" t="s">
        <v>29</v>
      </c>
      <c r="T4640" t="str">
        <f t="shared" si="360"/>
        <v>Grade A</v>
      </c>
      <c r="U4640">
        <f t="shared" si="361"/>
        <v>2</v>
      </c>
      <c r="V4640" t="str">
        <f t="shared" si="362"/>
        <v>Senior</v>
      </c>
      <c r="W4640" t="str">
        <f t="shared" si="363"/>
        <v>Medium Risk</v>
      </c>
      <c r="X4640" t="str">
        <f t="shared" si="364"/>
        <v>Fair</v>
      </c>
    </row>
    <row r="4641" spans="1:24" x14ac:dyDescent="0.3">
      <c r="A4641" t="s">
        <v>4709</v>
      </c>
      <c r="B4641" t="s">
        <v>39</v>
      </c>
      <c r="C4641">
        <v>22</v>
      </c>
      <c r="D4641" t="s">
        <v>47</v>
      </c>
      <c r="E4641" t="s">
        <v>40</v>
      </c>
      <c r="F4641" t="s">
        <v>78</v>
      </c>
      <c r="G4641" t="s">
        <v>58</v>
      </c>
      <c r="H4641" t="s">
        <v>67</v>
      </c>
      <c r="I4641" t="s">
        <v>35</v>
      </c>
      <c r="J4641" t="s">
        <v>27</v>
      </c>
      <c r="K4641">
        <v>15</v>
      </c>
      <c r="L4641">
        <v>112659</v>
      </c>
      <c r="M4641" t="s">
        <v>45</v>
      </c>
      <c r="N4641">
        <v>3</v>
      </c>
      <c r="O4641">
        <v>3</v>
      </c>
      <c r="P4641">
        <v>11</v>
      </c>
      <c r="Q4641">
        <v>3</v>
      </c>
      <c r="R4641" s="1">
        <v>39671</v>
      </c>
      <c r="S4641" t="s">
        <v>29</v>
      </c>
      <c r="T4641" t="str">
        <f t="shared" si="360"/>
        <v>Grade A</v>
      </c>
      <c r="U4641">
        <f t="shared" si="361"/>
        <v>2</v>
      </c>
      <c r="V4641" t="str">
        <f t="shared" si="362"/>
        <v>Senior</v>
      </c>
      <c r="W4641" t="str">
        <f t="shared" si="363"/>
        <v>Medium Risk</v>
      </c>
      <c r="X4641" t="str">
        <f t="shared" si="364"/>
        <v>Fair</v>
      </c>
    </row>
    <row r="4642" spans="1:24" x14ac:dyDescent="0.3">
      <c r="A4642" t="s">
        <v>4710</v>
      </c>
      <c r="B4642" t="s">
        <v>20</v>
      </c>
      <c r="C4642">
        <v>36</v>
      </c>
      <c r="D4642" t="s">
        <v>47</v>
      </c>
      <c r="E4642" t="s">
        <v>40</v>
      </c>
      <c r="F4642" t="s">
        <v>75</v>
      </c>
      <c r="G4642" t="s">
        <v>79</v>
      </c>
      <c r="H4642" t="s">
        <v>76</v>
      </c>
      <c r="I4642" t="s">
        <v>80</v>
      </c>
      <c r="J4642" t="s">
        <v>60</v>
      </c>
      <c r="K4642">
        <v>6</v>
      </c>
      <c r="L4642">
        <v>58121</v>
      </c>
      <c r="M4642" t="s">
        <v>36</v>
      </c>
      <c r="N4642">
        <v>1</v>
      </c>
      <c r="O4642">
        <v>2</v>
      </c>
      <c r="P4642">
        <v>36</v>
      </c>
      <c r="Q4642">
        <v>3</v>
      </c>
      <c r="R4642" s="1">
        <v>42847</v>
      </c>
      <c r="S4642" t="s">
        <v>37</v>
      </c>
      <c r="T4642" t="str">
        <f t="shared" si="360"/>
        <v>Grade B</v>
      </c>
      <c r="U4642">
        <f t="shared" si="361"/>
        <v>1</v>
      </c>
      <c r="V4642" t="str">
        <f t="shared" si="362"/>
        <v>Mid Level</v>
      </c>
      <c r="W4642" t="str">
        <f t="shared" si="363"/>
        <v>Already Left</v>
      </c>
      <c r="X4642" t="str">
        <f t="shared" si="364"/>
        <v>Fair</v>
      </c>
    </row>
    <row r="4643" spans="1:24" x14ac:dyDescent="0.3">
      <c r="A4643" t="s">
        <v>4711</v>
      </c>
      <c r="B4643" t="s">
        <v>39</v>
      </c>
      <c r="C4643">
        <v>23</v>
      </c>
      <c r="D4643" t="s">
        <v>21</v>
      </c>
      <c r="E4643" t="s">
        <v>40</v>
      </c>
      <c r="F4643" t="s">
        <v>65</v>
      </c>
      <c r="G4643" t="s">
        <v>79</v>
      </c>
      <c r="H4643" t="s">
        <v>76</v>
      </c>
      <c r="I4643" t="s">
        <v>72</v>
      </c>
      <c r="J4643" t="s">
        <v>73</v>
      </c>
      <c r="K4643">
        <v>5</v>
      </c>
      <c r="L4643">
        <v>48533</v>
      </c>
      <c r="M4643" t="s">
        <v>45</v>
      </c>
      <c r="N4643">
        <v>3</v>
      </c>
      <c r="O4643">
        <v>1</v>
      </c>
      <c r="P4643">
        <v>37</v>
      </c>
      <c r="Q4643">
        <v>1</v>
      </c>
      <c r="R4643" s="1">
        <v>43367</v>
      </c>
      <c r="S4643" t="s">
        <v>29</v>
      </c>
      <c r="T4643" t="str">
        <f t="shared" si="360"/>
        <v>Grade C</v>
      </c>
      <c r="U4643">
        <f t="shared" si="361"/>
        <v>2</v>
      </c>
      <c r="V4643" t="str">
        <f t="shared" si="362"/>
        <v>Junior</v>
      </c>
      <c r="W4643" t="str">
        <f t="shared" si="363"/>
        <v>Medium Risk</v>
      </c>
      <c r="X4643" t="str">
        <f t="shared" si="364"/>
        <v>Fair</v>
      </c>
    </row>
    <row r="4644" spans="1:24" x14ac:dyDescent="0.3">
      <c r="A4644" t="s">
        <v>4712</v>
      </c>
      <c r="B4644" t="s">
        <v>20</v>
      </c>
      <c r="C4644">
        <v>34</v>
      </c>
      <c r="D4644" t="s">
        <v>57</v>
      </c>
      <c r="E4644" t="s">
        <v>48</v>
      </c>
      <c r="F4644" t="s">
        <v>23</v>
      </c>
      <c r="G4644" t="s">
        <v>24</v>
      </c>
      <c r="H4644" t="s">
        <v>67</v>
      </c>
      <c r="I4644" t="s">
        <v>80</v>
      </c>
      <c r="J4644" t="s">
        <v>60</v>
      </c>
      <c r="K4644">
        <v>10</v>
      </c>
      <c r="L4644">
        <v>89526</v>
      </c>
      <c r="M4644" t="s">
        <v>51</v>
      </c>
      <c r="N4644">
        <v>3</v>
      </c>
      <c r="O4644">
        <v>3</v>
      </c>
      <c r="P4644">
        <v>59</v>
      </c>
      <c r="Q4644">
        <v>3</v>
      </c>
      <c r="R4644" s="1">
        <v>41528</v>
      </c>
      <c r="S4644" t="s">
        <v>29</v>
      </c>
      <c r="T4644" t="str">
        <f t="shared" si="360"/>
        <v>Grade A</v>
      </c>
      <c r="U4644">
        <f t="shared" si="361"/>
        <v>4</v>
      </c>
      <c r="V4644" t="str">
        <f t="shared" si="362"/>
        <v>Mid Level</v>
      </c>
      <c r="W4644" t="str">
        <f t="shared" si="363"/>
        <v>Low Risk</v>
      </c>
      <c r="X4644" t="str">
        <f t="shared" si="364"/>
        <v>Competitive</v>
      </c>
    </row>
    <row r="4645" spans="1:24" x14ac:dyDescent="0.3">
      <c r="A4645" t="s">
        <v>4713</v>
      </c>
      <c r="B4645" t="s">
        <v>39</v>
      </c>
      <c r="C4645">
        <v>40</v>
      </c>
      <c r="D4645" t="s">
        <v>88</v>
      </c>
      <c r="E4645" t="s">
        <v>48</v>
      </c>
      <c r="F4645" t="s">
        <v>23</v>
      </c>
      <c r="G4645" t="s">
        <v>63</v>
      </c>
      <c r="H4645" t="s">
        <v>34</v>
      </c>
      <c r="I4645" t="s">
        <v>59</v>
      </c>
      <c r="J4645" t="s">
        <v>60</v>
      </c>
      <c r="K4645">
        <v>7</v>
      </c>
      <c r="L4645">
        <v>67706</v>
      </c>
      <c r="M4645" t="s">
        <v>51</v>
      </c>
      <c r="N4645">
        <v>1</v>
      </c>
      <c r="O4645">
        <v>4</v>
      </c>
      <c r="P4645">
        <v>62</v>
      </c>
      <c r="Q4645">
        <v>2</v>
      </c>
      <c r="R4645" s="1">
        <v>42456</v>
      </c>
      <c r="S4645" t="s">
        <v>29</v>
      </c>
      <c r="T4645" t="str">
        <f t="shared" si="360"/>
        <v>Grade B</v>
      </c>
      <c r="U4645">
        <f t="shared" si="361"/>
        <v>4</v>
      </c>
      <c r="V4645" t="str">
        <f t="shared" si="362"/>
        <v>Mid Level</v>
      </c>
      <c r="W4645" t="str">
        <f t="shared" si="363"/>
        <v>Low Risk</v>
      </c>
      <c r="X4645" t="str">
        <f t="shared" si="364"/>
        <v>Fair</v>
      </c>
    </row>
    <row r="4646" spans="1:24" x14ac:dyDescent="0.3">
      <c r="A4646" t="s">
        <v>4714</v>
      </c>
      <c r="B4646" t="s">
        <v>39</v>
      </c>
      <c r="C4646">
        <v>36</v>
      </c>
      <c r="D4646" t="s">
        <v>21</v>
      </c>
      <c r="E4646" t="s">
        <v>22</v>
      </c>
      <c r="F4646" t="s">
        <v>75</v>
      </c>
      <c r="G4646" t="s">
        <v>33</v>
      </c>
      <c r="H4646" t="s">
        <v>25</v>
      </c>
      <c r="I4646" t="s">
        <v>80</v>
      </c>
      <c r="J4646" t="s">
        <v>60</v>
      </c>
      <c r="K4646">
        <v>6</v>
      </c>
      <c r="L4646">
        <v>65080</v>
      </c>
      <c r="M4646" t="s">
        <v>51</v>
      </c>
      <c r="N4646">
        <v>2</v>
      </c>
      <c r="O4646">
        <v>2</v>
      </c>
      <c r="P4646">
        <v>45</v>
      </c>
      <c r="Q4646">
        <v>1</v>
      </c>
      <c r="R4646" s="1">
        <v>42763</v>
      </c>
      <c r="S4646" t="s">
        <v>29</v>
      </c>
      <c r="T4646" t="str">
        <f t="shared" si="360"/>
        <v>Grade B</v>
      </c>
      <c r="U4646">
        <f t="shared" si="361"/>
        <v>4</v>
      </c>
      <c r="V4646" t="str">
        <f t="shared" si="362"/>
        <v>Mid Level</v>
      </c>
      <c r="W4646" t="str">
        <f t="shared" si="363"/>
        <v>Low Risk</v>
      </c>
      <c r="X4646" t="str">
        <f t="shared" si="364"/>
        <v>Fair</v>
      </c>
    </row>
    <row r="4647" spans="1:24" x14ac:dyDescent="0.3">
      <c r="A4647" t="s">
        <v>4715</v>
      </c>
      <c r="B4647" t="s">
        <v>39</v>
      </c>
      <c r="C4647">
        <v>54</v>
      </c>
      <c r="D4647" t="s">
        <v>47</v>
      </c>
      <c r="E4647" t="s">
        <v>40</v>
      </c>
      <c r="F4647" t="s">
        <v>62</v>
      </c>
      <c r="G4647" t="s">
        <v>58</v>
      </c>
      <c r="H4647" t="s">
        <v>25</v>
      </c>
      <c r="I4647" t="s">
        <v>35</v>
      </c>
      <c r="J4647" t="s">
        <v>27</v>
      </c>
      <c r="K4647">
        <v>6</v>
      </c>
      <c r="L4647">
        <v>102574</v>
      </c>
      <c r="M4647" t="s">
        <v>45</v>
      </c>
      <c r="N4647">
        <v>1</v>
      </c>
      <c r="O4647">
        <v>2</v>
      </c>
      <c r="P4647">
        <v>72</v>
      </c>
      <c r="Q4647">
        <v>2</v>
      </c>
      <c r="R4647" s="1">
        <v>42772</v>
      </c>
      <c r="S4647" t="s">
        <v>29</v>
      </c>
      <c r="T4647" t="str">
        <f t="shared" si="360"/>
        <v>Grade A</v>
      </c>
      <c r="U4647">
        <f t="shared" si="361"/>
        <v>2</v>
      </c>
      <c r="V4647" t="str">
        <f t="shared" si="362"/>
        <v>Mid Level</v>
      </c>
      <c r="W4647" t="str">
        <f t="shared" si="363"/>
        <v>Medium Risk</v>
      </c>
      <c r="X4647" t="str">
        <f t="shared" si="364"/>
        <v>Fair</v>
      </c>
    </row>
    <row r="4648" spans="1:24" x14ac:dyDescent="0.3">
      <c r="A4648" t="s">
        <v>4716</v>
      </c>
      <c r="B4648" t="s">
        <v>20</v>
      </c>
      <c r="C4648">
        <v>52</v>
      </c>
      <c r="D4648" t="s">
        <v>88</v>
      </c>
      <c r="E4648" t="s">
        <v>22</v>
      </c>
      <c r="F4648" t="s">
        <v>23</v>
      </c>
      <c r="G4648" t="s">
        <v>58</v>
      </c>
      <c r="H4648" t="s">
        <v>83</v>
      </c>
      <c r="I4648" t="s">
        <v>80</v>
      </c>
      <c r="J4648" t="s">
        <v>60</v>
      </c>
      <c r="K4648">
        <v>2</v>
      </c>
      <c r="L4648">
        <v>89779</v>
      </c>
      <c r="M4648" t="s">
        <v>51</v>
      </c>
      <c r="N4648">
        <v>2</v>
      </c>
      <c r="O4648">
        <v>4</v>
      </c>
      <c r="P4648">
        <v>42</v>
      </c>
      <c r="Q4648">
        <v>3</v>
      </c>
      <c r="R4648" s="1">
        <v>44291</v>
      </c>
      <c r="S4648" t="s">
        <v>29</v>
      </c>
      <c r="T4648" t="str">
        <f t="shared" si="360"/>
        <v>Grade A</v>
      </c>
      <c r="U4648">
        <f t="shared" si="361"/>
        <v>4</v>
      </c>
      <c r="V4648" t="str">
        <f t="shared" si="362"/>
        <v>New Joiner</v>
      </c>
      <c r="W4648" t="str">
        <f t="shared" si="363"/>
        <v>Low Risk</v>
      </c>
      <c r="X4648" t="str">
        <f t="shared" si="364"/>
        <v>Competitive</v>
      </c>
    </row>
    <row r="4649" spans="1:24" x14ac:dyDescent="0.3">
      <c r="A4649" t="s">
        <v>4717</v>
      </c>
      <c r="B4649" t="s">
        <v>39</v>
      </c>
      <c r="C4649">
        <v>54</v>
      </c>
      <c r="D4649" t="s">
        <v>57</v>
      </c>
      <c r="E4649" t="s">
        <v>40</v>
      </c>
      <c r="F4649" t="s">
        <v>62</v>
      </c>
      <c r="G4649" t="s">
        <v>79</v>
      </c>
      <c r="H4649" t="s">
        <v>67</v>
      </c>
      <c r="I4649" t="s">
        <v>80</v>
      </c>
      <c r="J4649" t="s">
        <v>60</v>
      </c>
      <c r="K4649">
        <v>14</v>
      </c>
      <c r="L4649">
        <v>71198</v>
      </c>
      <c r="M4649" t="s">
        <v>28</v>
      </c>
      <c r="N4649">
        <v>4</v>
      </c>
      <c r="O4649">
        <v>4</v>
      </c>
      <c r="P4649">
        <v>39</v>
      </c>
      <c r="Q4649">
        <v>2</v>
      </c>
      <c r="R4649" s="1">
        <v>39974</v>
      </c>
      <c r="S4649" t="s">
        <v>29</v>
      </c>
      <c r="T4649" t="str">
        <f t="shared" si="360"/>
        <v>Grade B</v>
      </c>
      <c r="U4649">
        <f t="shared" si="361"/>
        <v>3</v>
      </c>
      <c r="V4649" t="str">
        <f t="shared" si="362"/>
        <v>Senior</v>
      </c>
      <c r="W4649" t="str">
        <f t="shared" si="363"/>
        <v>Medium Risk</v>
      </c>
      <c r="X4649" t="str">
        <f t="shared" si="364"/>
        <v>Competitive</v>
      </c>
    </row>
    <row r="4650" spans="1:24" x14ac:dyDescent="0.3">
      <c r="A4650" t="s">
        <v>4718</v>
      </c>
      <c r="B4650" t="s">
        <v>39</v>
      </c>
      <c r="C4650">
        <v>27</v>
      </c>
      <c r="D4650" t="s">
        <v>31</v>
      </c>
      <c r="E4650" t="s">
        <v>22</v>
      </c>
      <c r="F4650" t="s">
        <v>65</v>
      </c>
      <c r="G4650" t="s">
        <v>49</v>
      </c>
      <c r="H4650" t="s">
        <v>34</v>
      </c>
      <c r="I4650" t="s">
        <v>35</v>
      </c>
      <c r="J4650" t="s">
        <v>27</v>
      </c>
      <c r="K4650">
        <v>15</v>
      </c>
      <c r="L4650">
        <v>81824</v>
      </c>
      <c r="M4650" t="s">
        <v>36</v>
      </c>
      <c r="N4650">
        <v>4</v>
      </c>
      <c r="O4650">
        <v>1</v>
      </c>
      <c r="P4650">
        <v>56</v>
      </c>
      <c r="Q4650">
        <v>3</v>
      </c>
      <c r="R4650" s="1">
        <v>39752</v>
      </c>
      <c r="S4650" t="s">
        <v>37</v>
      </c>
      <c r="T4650" t="str">
        <f t="shared" si="360"/>
        <v>Grade A</v>
      </c>
      <c r="U4650">
        <f t="shared" si="361"/>
        <v>1</v>
      </c>
      <c r="V4650" t="str">
        <f t="shared" si="362"/>
        <v>Senior</v>
      </c>
      <c r="W4650" t="str">
        <f t="shared" si="363"/>
        <v>Already Left</v>
      </c>
      <c r="X4650" t="str">
        <f t="shared" si="364"/>
        <v>Overpaid</v>
      </c>
    </row>
    <row r="4651" spans="1:24" x14ac:dyDescent="0.3">
      <c r="A4651" t="s">
        <v>4719</v>
      </c>
      <c r="B4651" t="s">
        <v>39</v>
      </c>
      <c r="C4651">
        <v>24</v>
      </c>
      <c r="D4651" t="s">
        <v>21</v>
      </c>
      <c r="E4651" t="s">
        <v>40</v>
      </c>
      <c r="F4651" t="s">
        <v>62</v>
      </c>
      <c r="G4651" t="s">
        <v>33</v>
      </c>
      <c r="H4651" t="s">
        <v>34</v>
      </c>
      <c r="I4651" t="s">
        <v>54</v>
      </c>
      <c r="J4651" t="s">
        <v>27</v>
      </c>
      <c r="K4651">
        <v>6</v>
      </c>
      <c r="L4651">
        <v>72452</v>
      </c>
      <c r="M4651" t="s">
        <v>51</v>
      </c>
      <c r="N4651">
        <v>3</v>
      </c>
      <c r="O4651">
        <v>3</v>
      </c>
      <c r="P4651">
        <v>49</v>
      </c>
      <c r="Q4651">
        <v>3</v>
      </c>
      <c r="R4651" s="1">
        <v>43041</v>
      </c>
      <c r="S4651" t="s">
        <v>29</v>
      </c>
      <c r="T4651" t="str">
        <f t="shared" si="360"/>
        <v>Grade B</v>
      </c>
      <c r="U4651">
        <f t="shared" si="361"/>
        <v>4</v>
      </c>
      <c r="V4651" t="str">
        <f t="shared" si="362"/>
        <v>Mid Level</v>
      </c>
      <c r="W4651" t="str">
        <f t="shared" si="363"/>
        <v>Low Risk</v>
      </c>
      <c r="X4651" t="str">
        <f t="shared" si="364"/>
        <v>Fair</v>
      </c>
    </row>
    <row r="4652" spans="1:24" x14ac:dyDescent="0.3">
      <c r="A4652" t="s">
        <v>4720</v>
      </c>
      <c r="B4652" t="s">
        <v>20</v>
      </c>
      <c r="C4652">
        <v>54</v>
      </c>
      <c r="D4652" t="s">
        <v>21</v>
      </c>
      <c r="E4652" t="s">
        <v>40</v>
      </c>
      <c r="F4652" t="s">
        <v>41</v>
      </c>
      <c r="G4652" t="s">
        <v>33</v>
      </c>
      <c r="H4652" t="s">
        <v>67</v>
      </c>
      <c r="I4652" t="s">
        <v>72</v>
      </c>
      <c r="J4652" t="s">
        <v>73</v>
      </c>
      <c r="K4652">
        <v>6</v>
      </c>
      <c r="L4652">
        <v>69703</v>
      </c>
      <c r="M4652" t="s">
        <v>45</v>
      </c>
      <c r="N4652">
        <v>1</v>
      </c>
      <c r="O4652">
        <v>2</v>
      </c>
      <c r="P4652">
        <v>10</v>
      </c>
      <c r="Q4652">
        <v>1</v>
      </c>
      <c r="R4652" s="1">
        <v>42755</v>
      </c>
      <c r="S4652" t="s">
        <v>29</v>
      </c>
      <c r="T4652" t="str">
        <f t="shared" si="360"/>
        <v>Grade B</v>
      </c>
      <c r="U4652">
        <f t="shared" si="361"/>
        <v>2</v>
      </c>
      <c r="V4652" t="str">
        <f t="shared" si="362"/>
        <v>Mid Level</v>
      </c>
      <c r="W4652" t="str">
        <f t="shared" si="363"/>
        <v>Medium Risk</v>
      </c>
      <c r="X4652" t="str">
        <f t="shared" si="364"/>
        <v>Fair</v>
      </c>
    </row>
    <row r="4653" spans="1:24" x14ac:dyDescent="0.3">
      <c r="A4653" t="s">
        <v>4721</v>
      </c>
      <c r="B4653" t="s">
        <v>39</v>
      </c>
      <c r="C4653">
        <v>30</v>
      </c>
      <c r="D4653" t="s">
        <v>31</v>
      </c>
      <c r="E4653" t="s">
        <v>40</v>
      </c>
      <c r="F4653" t="s">
        <v>78</v>
      </c>
      <c r="G4653" t="s">
        <v>63</v>
      </c>
      <c r="H4653" t="s">
        <v>83</v>
      </c>
      <c r="I4653" t="s">
        <v>68</v>
      </c>
      <c r="J4653" t="s">
        <v>60</v>
      </c>
      <c r="K4653">
        <v>9</v>
      </c>
      <c r="L4653">
        <v>55223</v>
      </c>
      <c r="M4653" t="s">
        <v>36</v>
      </c>
      <c r="N4653">
        <v>1</v>
      </c>
      <c r="O4653">
        <v>1</v>
      </c>
      <c r="P4653">
        <v>57</v>
      </c>
      <c r="Q4653">
        <v>2</v>
      </c>
      <c r="R4653" s="1">
        <v>41887</v>
      </c>
      <c r="S4653" t="s">
        <v>29</v>
      </c>
      <c r="T4653" t="str">
        <f t="shared" si="360"/>
        <v>Grade B</v>
      </c>
      <c r="U4653">
        <f t="shared" si="361"/>
        <v>1</v>
      </c>
      <c r="V4653" t="str">
        <f t="shared" si="362"/>
        <v>Mid Level</v>
      </c>
      <c r="W4653" t="str">
        <f t="shared" si="363"/>
        <v>Medium Risk</v>
      </c>
      <c r="X4653" t="str">
        <f t="shared" si="364"/>
        <v>Fair</v>
      </c>
    </row>
    <row r="4654" spans="1:24" x14ac:dyDescent="0.3">
      <c r="A4654" t="s">
        <v>4722</v>
      </c>
      <c r="B4654" t="s">
        <v>39</v>
      </c>
      <c r="C4654">
        <v>27</v>
      </c>
      <c r="D4654" t="s">
        <v>57</v>
      </c>
      <c r="E4654" t="s">
        <v>48</v>
      </c>
      <c r="F4654" t="s">
        <v>32</v>
      </c>
      <c r="G4654" t="s">
        <v>24</v>
      </c>
      <c r="H4654" t="s">
        <v>67</v>
      </c>
      <c r="I4654" t="s">
        <v>96</v>
      </c>
      <c r="J4654" t="s">
        <v>44</v>
      </c>
      <c r="K4654">
        <v>3</v>
      </c>
      <c r="L4654">
        <v>78945</v>
      </c>
      <c r="M4654" t="s">
        <v>28</v>
      </c>
      <c r="N4654">
        <v>3</v>
      </c>
      <c r="O4654">
        <v>2</v>
      </c>
      <c r="P4654">
        <v>60</v>
      </c>
      <c r="Q4654">
        <v>1</v>
      </c>
      <c r="R4654" s="1">
        <v>43992</v>
      </c>
      <c r="S4654" t="s">
        <v>29</v>
      </c>
      <c r="T4654" t="str">
        <f t="shared" si="360"/>
        <v>Grade B</v>
      </c>
      <c r="U4654">
        <f t="shared" si="361"/>
        <v>3</v>
      </c>
      <c r="V4654" t="str">
        <f t="shared" si="362"/>
        <v>Junior</v>
      </c>
      <c r="W4654" t="str">
        <f t="shared" si="363"/>
        <v>Medium Risk</v>
      </c>
      <c r="X4654" t="str">
        <f t="shared" si="364"/>
        <v>Competitive</v>
      </c>
    </row>
    <row r="4655" spans="1:24" x14ac:dyDescent="0.3">
      <c r="A4655" t="s">
        <v>4723</v>
      </c>
      <c r="B4655" t="s">
        <v>39</v>
      </c>
      <c r="C4655">
        <v>24</v>
      </c>
      <c r="D4655" t="s">
        <v>57</v>
      </c>
      <c r="E4655" t="s">
        <v>22</v>
      </c>
      <c r="F4655" t="s">
        <v>23</v>
      </c>
      <c r="G4655" t="s">
        <v>42</v>
      </c>
      <c r="H4655" t="s">
        <v>34</v>
      </c>
      <c r="I4655" t="s">
        <v>68</v>
      </c>
      <c r="J4655" t="s">
        <v>60</v>
      </c>
      <c r="K4655">
        <v>3</v>
      </c>
      <c r="L4655">
        <v>95885</v>
      </c>
      <c r="M4655" t="s">
        <v>51</v>
      </c>
      <c r="N4655">
        <v>3</v>
      </c>
      <c r="O4655">
        <v>3</v>
      </c>
      <c r="P4655">
        <v>61</v>
      </c>
      <c r="Q4655">
        <v>3</v>
      </c>
      <c r="R4655" s="1">
        <v>44038</v>
      </c>
      <c r="S4655" t="s">
        <v>29</v>
      </c>
      <c r="T4655" t="str">
        <f t="shared" si="360"/>
        <v>Grade A</v>
      </c>
      <c r="U4655">
        <f t="shared" si="361"/>
        <v>4</v>
      </c>
      <c r="V4655" t="str">
        <f t="shared" si="362"/>
        <v>Junior</v>
      </c>
      <c r="W4655" t="str">
        <f t="shared" si="363"/>
        <v>Low Risk</v>
      </c>
      <c r="X4655" t="str">
        <f t="shared" si="364"/>
        <v>Competitive</v>
      </c>
    </row>
    <row r="4656" spans="1:24" x14ac:dyDescent="0.3">
      <c r="A4656" t="s">
        <v>4724</v>
      </c>
      <c r="B4656" t="s">
        <v>39</v>
      </c>
      <c r="C4656">
        <v>40</v>
      </c>
      <c r="D4656" t="s">
        <v>88</v>
      </c>
      <c r="E4656" t="s">
        <v>48</v>
      </c>
      <c r="F4656" t="s">
        <v>78</v>
      </c>
      <c r="G4656" t="s">
        <v>49</v>
      </c>
      <c r="H4656" t="s">
        <v>34</v>
      </c>
      <c r="I4656" t="s">
        <v>68</v>
      </c>
      <c r="J4656" t="s">
        <v>60</v>
      </c>
      <c r="K4656">
        <v>8</v>
      </c>
      <c r="L4656">
        <v>56758</v>
      </c>
      <c r="M4656" t="s">
        <v>45</v>
      </c>
      <c r="N4656">
        <v>4</v>
      </c>
      <c r="O4656">
        <v>4</v>
      </c>
      <c r="P4656">
        <v>20</v>
      </c>
      <c r="Q4656">
        <v>2</v>
      </c>
      <c r="R4656" s="1">
        <v>42010</v>
      </c>
      <c r="S4656" t="s">
        <v>29</v>
      </c>
      <c r="T4656" t="str">
        <f t="shared" si="360"/>
        <v>Grade B</v>
      </c>
      <c r="U4656">
        <f t="shared" si="361"/>
        <v>2</v>
      </c>
      <c r="V4656" t="str">
        <f t="shared" si="362"/>
        <v>Mid Level</v>
      </c>
      <c r="W4656" t="str">
        <f t="shared" si="363"/>
        <v>Medium Risk</v>
      </c>
      <c r="X4656" t="str">
        <f t="shared" si="364"/>
        <v>Fair</v>
      </c>
    </row>
    <row r="4657" spans="1:24" x14ac:dyDescent="0.3">
      <c r="A4657" t="s">
        <v>4725</v>
      </c>
      <c r="B4657" t="s">
        <v>20</v>
      </c>
      <c r="C4657">
        <v>24</v>
      </c>
      <c r="D4657" t="s">
        <v>21</v>
      </c>
      <c r="E4657" t="s">
        <v>40</v>
      </c>
      <c r="F4657" t="s">
        <v>78</v>
      </c>
      <c r="G4657" t="s">
        <v>58</v>
      </c>
      <c r="H4657" t="s">
        <v>67</v>
      </c>
      <c r="I4657" t="s">
        <v>43</v>
      </c>
      <c r="J4657" t="s">
        <v>44</v>
      </c>
      <c r="K4657">
        <v>11</v>
      </c>
      <c r="L4657">
        <v>102043</v>
      </c>
      <c r="M4657" t="s">
        <v>28</v>
      </c>
      <c r="N4657">
        <v>2</v>
      </c>
      <c r="O4657">
        <v>2</v>
      </c>
      <c r="P4657">
        <v>72</v>
      </c>
      <c r="Q4657">
        <v>2</v>
      </c>
      <c r="R4657" s="1">
        <v>41153</v>
      </c>
      <c r="S4657" t="s">
        <v>37</v>
      </c>
      <c r="T4657" t="str">
        <f t="shared" si="360"/>
        <v>Grade A</v>
      </c>
      <c r="U4657">
        <f t="shared" si="361"/>
        <v>3</v>
      </c>
      <c r="V4657" t="str">
        <f t="shared" si="362"/>
        <v>Senior</v>
      </c>
      <c r="W4657" t="str">
        <f t="shared" si="363"/>
        <v>Already Left</v>
      </c>
      <c r="X4657" t="str">
        <f t="shared" si="364"/>
        <v>Competitive</v>
      </c>
    </row>
    <row r="4658" spans="1:24" x14ac:dyDescent="0.3">
      <c r="A4658" t="s">
        <v>4726</v>
      </c>
      <c r="B4658" t="s">
        <v>39</v>
      </c>
      <c r="C4658">
        <v>55</v>
      </c>
      <c r="D4658" t="s">
        <v>21</v>
      </c>
      <c r="E4658" t="s">
        <v>48</v>
      </c>
      <c r="F4658" t="s">
        <v>32</v>
      </c>
      <c r="G4658" t="s">
        <v>42</v>
      </c>
      <c r="H4658" t="s">
        <v>83</v>
      </c>
      <c r="I4658" t="s">
        <v>50</v>
      </c>
      <c r="J4658" t="s">
        <v>44</v>
      </c>
      <c r="K4658">
        <v>10</v>
      </c>
      <c r="L4658">
        <v>120657</v>
      </c>
      <c r="M4658" t="s">
        <v>36</v>
      </c>
      <c r="N4658">
        <v>4</v>
      </c>
      <c r="O4658">
        <v>4</v>
      </c>
      <c r="P4658">
        <v>57</v>
      </c>
      <c r="Q4658">
        <v>0</v>
      </c>
      <c r="R4658" s="1">
        <v>41509</v>
      </c>
      <c r="S4658" t="s">
        <v>37</v>
      </c>
      <c r="T4658" t="str">
        <f t="shared" si="360"/>
        <v>Grade A</v>
      </c>
      <c r="U4658">
        <f t="shared" si="361"/>
        <v>1</v>
      </c>
      <c r="V4658" t="str">
        <f t="shared" si="362"/>
        <v>Mid Level</v>
      </c>
      <c r="W4658" t="str">
        <f t="shared" si="363"/>
        <v>Already Left</v>
      </c>
      <c r="X4658" t="str">
        <f t="shared" si="364"/>
        <v>Overpaid</v>
      </c>
    </row>
    <row r="4659" spans="1:24" x14ac:dyDescent="0.3">
      <c r="A4659" t="s">
        <v>4727</v>
      </c>
      <c r="B4659" t="s">
        <v>39</v>
      </c>
      <c r="C4659">
        <v>27</v>
      </c>
      <c r="D4659" t="s">
        <v>88</v>
      </c>
      <c r="E4659" t="s">
        <v>48</v>
      </c>
      <c r="F4659" t="s">
        <v>23</v>
      </c>
      <c r="G4659" t="s">
        <v>63</v>
      </c>
      <c r="H4659" t="s">
        <v>67</v>
      </c>
      <c r="I4659" t="s">
        <v>72</v>
      </c>
      <c r="J4659" t="s">
        <v>73</v>
      </c>
      <c r="K4659">
        <v>9</v>
      </c>
      <c r="L4659">
        <v>61543</v>
      </c>
      <c r="M4659" t="s">
        <v>51</v>
      </c>
      <c r="N4659">
        <v>1</v>
      </c>
      <c r="O4659">
        <v>3</v>
      </c>
      <c r="P4659">
        <v>20</v>
      </c>
      <c r="Q4659">
        <v>3</v>
      </c>
      <c r="R4659" s="1">
        <v>41696</v>
      </c>
      <c r="S4659" t="s">
        <v>29</v>
      </c>
      <c r="T4659" t="str">
        <f t="shared" si="360"/>
        <v>Grade B</v>
      </c>
      <c r="U4659">
        <f t="shared" si="361"/>
        <v>4</v>
      </c>
      <c r="V4659" t="str">
        <f t="shared" si="362"/>
        <v>Mid Level</v>
      </c>
      <c r="W4659" t="str">
        <f t="shared" si="363"/>
        <v>Low Risk</v>
      </c>
      <c r="X4659" t="str">
        <f t="shared" si="364"/>
        <v>Fair</v>
      </c>
    </row>
    <row r="4660" spans="1:24" x14ac:dyDescent="0.3">
      <c r="A4660" t="s">
        <v>4728</v>
      </c>
      <c r="B4660" t="s">
        <v>39</v>
      </c>
      <c r="C4660">
        <v>25</v>
      </c>
      <c r="D4660" t="s">
        <v>47</v>
      </c>
      <c r="E4660" t="s">
        <v>22</v>
      </c>
      <c r="F4660" t="s">
        <v>32</v>
      </c>
      <c r="G4660" t="s">
        <v>58</v>
      </c>
      <c r="H4660" t="s">
        <v>34</v>
      </c>
      <c r="I4660" t="s">
        <v>43</v>
      </c>
      <c r="J4660" t="s">
        <v>44</v>
      </c>
      <c r="K4660">
        <v>2</v>
      </c>
      <c r="L4660">
        <v>96978</v>
      </c>
      <c r="M4660" t="s">
        <v>36</v>
      </c>
      <c r="N4660">
        <v>3</v>
      </c>
      <c r="O4660">
        <v>2</v>
      </c>
      <c r="P4660">
        <v>57</v>
      </c>
      <c r="Q4660">
        <v>2</v>
      </c>
      <c r="R4660" s="1">
        <v>44558</v>
      </c>
      <c r="S4660" t="s">
        <v>37</v>
      </c>
      <c r="T4660" t="str">
        <f t="shared" si="360"/>
        <v>Grade A</v>
      </c>
      <c r="U4660">
        <f t="shared" si="361"/>
        <v>1</v>
      </c>
      <c r="V4660" t="str">
        <f t="shared" si="362"/>
        <v>New Joiner</v>
      </c>
      <c r="W4660" t="str">
        <f t="shared" si="363"/>
        <v>Already Left</v>
      </c>
      <c r="X4660" t="str">
        <f t="shared" si="364"/>
        <v>Overpaid</v>
      </c>
    </row>
    <row r="4661" spans="1:24" x14ac:dyDescent="0.3">
      <c r="A4661" t="s">
        <v>4729</v>
      </c>
      <c r="B4661" t="s">
        <v>20</v>
      </c>
      <c r="C4661">
        <v>40</v>
      </c>
      <c r="D4661" t="s">
        <v>47</v>
      </c>
      <c r="E4661" t="s">
        <v>22</v>
      </c>
      <c r="F4661" t="s">
        <v>65</v>
      </c>
      <c r="G4661" t="s">
        <v>58</v>
      </c>
      <c r="H4661" t="s">
        <v>67</v>
      </c>
      <c r="I4661" t="s">
        <v>72</v>
      </c>
      <c r="J4661" t="s">
        <v>73</v>
      </c>
      <c r="K4661">
        <v>3</v>
      </c>
      <c r="L4661">
        <v>91633</v>
      </c>
      <c r="M4661" t="s">
        <v>36</v>
      </c>
      <c r="N4661">
        <v>2</v>
      </c>
      <c r="O4661">
        <v>2</v>
      </c>
      <c r="P4661">
        <v>56</v>
      </c>
      <c r="Q4661">
        <v>3</v>
      </c>
      <c r="R4661" s="1">
        <v>44196</v>
      </c>
      <c r="S4661" t="s">
        <v>37</v>
      </c>
      <c r="T4661" t="str">
        <f t="shared" si="360"/>
        <v>Grade A</v>
      </c>
      <c r="U4661">
        <f t="shared" si="361"/>
        <v>1</v>
      </c>
      <c r="V4661" t="str">
        <f t="shared" si="362"/>
        <v>Junior</v>
      </c>
      <c r="W4661" t="str">
        <f t="shared" si="363"/>
        <v>Already Left</v>
      </c>
      <c r="X4661" t="str">
        <f t="shared" si="364"/>
        <v>Overpaid</v>
      </c>
    </row>
    <row r="4662" spans="1:24" x14ac:dyDescent="0.3">
      <c r="A4662" t="s">
        <v>4730</v>
      </c>
      <c r="B4662" t="s">
        <v>39</v>
      </c>
      <c r="C4662">
        <v>28</v>
      </c>
      <c r="D4662" t="s">
        <v>21</v>
      </c>
      <c r="E4662" t="s">
        <v>40</v>
      </c>
      <c r="F4662" t="s">
        <v>75</v>
      </c>
      <c r="G4662" t="s">
        <v>79</v>
      </c>
      <c r="H4662" t="s">
        <v>76</v>
      </c>
      <c r="I4662" t="s">
        <v>59</v>
      </c>
      <c r="J4662" t="s">
        <v>60</v>
      </c>
      <c r="K4662">
        <v>8</v>
      </c>
      <c r="L4662">
        <v>47399</v>
      </c>
      <c r="M4662" t="s">
        <v>51</v>
      </c>
      <c r="N4662">
        <v>2</v>
      </c>
      <c r="O4662">
        <v>1</v>
      </c>
      <c r="P4662">
        <v>38</v>
      </c>
      <c r="Q4662">
        <v>1</v>
      </c>
      <c r="R4662" s="1">
        <v>42011</v>
      </c>
      <c r="S4662" t="s">
        <v>29</v>
      </c>
      <c r="T4662" t="str">
        <f t="shared" si="360"/>
        <v>Grade C</v>
      </c>
      <c r="U4662">
        <f t="shared" si="361"/>
        <v>4</v>
      </c>
      <c r="V4662" t="str">
        <f t="shared" si="362"/>
        <v>Mid Level</v>
      </c>
      <c r="W4662" t="str">
        <f t="shared" si="363"/>
        <v>Low Risk</v>
      </c>
      <c r="X4662" t="str">
        <f t="shared" si="364"/>
        <v>Fair</v>
      </c>
    </row>
    <row r="4663" spans="1:24" x14ac:dyDescent="0.3">
      <c r="A4663" t="s">
        <v>4731</v>
      </c>
      <c r="B4663" t="s">
        <v>20</v>
      </c>
      <c r="C4663">
        <v>38</v>
      </c>
      <c r="D4663" t="s">
        <v>31</v>
      </c>
      <c r="E4663" t="s">
        <v>22</v>
      </c>
      <c r="F4663" t="s">
        <v>32</v>
      </c>
      <c r="G4663" t="s">
        <v>42</v>
      </c>
      <c r="H4663" t="s">
        <v>67</v>
      </c>
      <c r="I4663" t="s">
        <v>68</v>
      </c>
      <c r="J4663" t="s">
        <v>60</v>
      </c>
      <c r="K4663">
        <v>6</v>
      </c>
      <c r="L4663">
        <v>104332</v>
      </c>
      <c r="M4663" t="s">
        <v>28</v>
      </c>
      <c r="N4663">
        <v>4</v>
      </c>
      <c r="O4663">
        <v>3</v>
      </c>
      <c r="P4663">
        <v>61</v>
      </c>
      <c r="Q4663">
        <v>0</v>
      </c>
      <c r="R4663" s="1">
        <v>42750</v>
      </c>
      <c r="S4663" t="s">
        <v>29</v>
      </c>
      <c r="T4663" t="str">
        <f t="shared" si="360"/>
        <v>Grade A</v>
      </c>
      <c r="U4663">
        <f t="shared" si="361"/>
        <v>3</v>
      </c>
      <c r="V4663" t="str">
        <f t="shared" si="362"/>
        <v>Mid Level</v>
      </c>
      <c r="W4663" t="str">
        <f t="shared" si="363"/>
        <v>Medium Risk</v>
      </c>
      <c r="X4663" t="str">
        <f t="shared" si="364"/>
        <v>Competitive</v>
      </c>
    </row>
    <row r="4664" spans="1:24" x14ac:dyDescent="0.3">
      <c r="A4664" t="s">
        <v>4732</v>
      </c>
      <c r="B4664" t="s">
        <v>39</v>
      </c>
      <c r="C4664">
        <v>54</v>
      </c>
      <c r="D4664" t="s">
        <v>47</v>
      </c>
      <c r="E4664" t="s">
        <v>48</v>
      </c>
      <c r="F4664" t="s">
        <v>75</v>
      </c>
      <c r="G4664" t="s">
        <v>79</v>
      </c>
      <c r="H4664" t="s">
        <v>76</v>
      </c>
      <c r="I4664" t="s">
        <v>68</v>
      </c>
      <c r="J4664" t="s">
        <v>60</v>
      </c>
      <c r="K4664">
        <v>15</v>
      </c>
      <c r="L4664">
        <v>65642</v>
      </c>
      <c r="M4664" t="s">
        <v>45</v>
      </c>
      <c r="N4664">
        <v>3</v>
      </c>
      <c r="O4664">
        <v>4</v>
      </c>
      <c r="P4664">
        <v>33</v>
      </c>
      <c r="Q4664">
        <v>1</v>
      </c>
      <c r="R4664" s="1">
        <v>39615</v>
      </c>
      <c r="S4664" t="s">
        <v>37</v>
      </c>
      <c r="T4664" t="str">
        <f t="shared" si="360"/>
        <v>Grade B</v>
      </c>
      <c r="U4664">
        <f t="shared" si="361"/>
        <v>2</v>
      </c>
      <c r="V4664" t="str">
        <f t="shared" si="362"/>
        <v>Senior</v>
      </c>
      <c r="W4664" t="str">
        <f t="shared" si="363"/>
        <v>Already Left</v>
      </c>
      <c r="X4664" t="str">
        <f t="shared" si="364"/>
        <v>Fair</v>
      </c>
    </row>
    <row r="4665" spans="1:24" x14ac:dyDescent="0.3">
      <c r="A4665" t="s">
        <v>4733</v>
      </c>
      <c r="B4665" t="s">
        <v>39</v>
      </c>
      <c r="C4665">
        <v>46</v>
      </c>
      <c r="D4665" t="s">
        <v>21</v>
      </c>
      <c r="E4665" t="s">
        <v>48</v>
      </c>
      <c r="F4665" t="s">
        <v>78</v>
      </c>
      <c r="G4665" t="s">
        <v>42</v>
      </c>
      <c r="H4665" t="s">
        <v>67</v>
      </c>
      <c r="I4665" t="s">
        <v>59</v>
      </c>
      <c r="J4665" t="s">
        <v>60</v>
      </c>
      <c r="K4665">
        <v>12</v>
      </c>
      <c r="L4665">
        <v>116136</v>
      </c>
      <c r="M4665" t="s">
        <v>45</v>
      </c>
      <c r="N4665">
        <v>2</v>
      </c>
      <c r="O4665">
        <v>1</v>
      </c>
      <c r="P4665">
        <v>10</v>
      </c>
      <c r="Q4665">
        <v>2</v>
      </c>
      <c r="R4665" s="1">
        <v>40694</v>
      </c>
      <c r="S4665" t="s">
        <v>29</v>
      </c>
      <c r="T4665" t="str">
        <f t="shared" si="360"/>
        <v>Grade A</v>
      </c>
      <c r="U4665">
        <f t="shared" si="361"/>
        <v>2</v>
      </c>
      <c r="V4665" t="str">
        <f t="shared" si="362"/>
        <v>Senior</v>
      </c>
      <c r="W4665" t="str">
        <f t="shared" si="363"/>
        <v>Medium Risk</v>
      </c>
      <c r="X4665" t="str">
        <f t="shared" si="364"/>
        <v>Fair</v>
      </c>
    </row>
    <row r="4666" spans="1:24" x14ac:dyDescent="0.3">
      <c r="A4666" t="s">
        <v>4734</v>
      </c>
      <c r="B4666" t="s">
        <v>39</v>
      </c>
      <c r="C4666">
        <v>43</v>
      </c>
      <c r="D4666" t="s">
        <v>88</v>
      </c>
      <c r="E4666" t="s">
        <v>40</v>
      </c>
      <c r="F4666" t="s">
        <v>65</v>
      </c>
      <c r="G4666" t="s">
        <v>58</v>
      </c>
      <c r="H4666" t="s">
        <v>83</v>
      </c>
      <c r="I4666" t="s">
        <v>26</v>
      </c>
      <c r="J4666" t="s">
        <v>27</v>
      </c>
      <c r="K4666">
        <v>2</v>
      </c>
      <c r="L4666">
        <v>96393</v>
      </c>
      <c r="M4666" t="s">
        <v>36</v>
      </c>
      <c r="N4666">
        <v>3</v>
      </c>
      <c r="O4666">
        <v>1</v>
      </c>
      <c r="P4666">
        <v>56</v>
      </c>
      <c r="Q4666">
        <v>1</v>
      </c>
      <c r="R4666" s="1">
        <v>44373</v>
      </c>
      <c r="S4666" t="s">
        <v>37</v>
      </c>
      <c r="T4666" t="str">
        <f t="shared" si="360"/>
        <v>Grade A</v>
      </c>
      <c r="U4666">
        <f t="shared" si="361"/>
        <v>1</v>
      </c>
      <c r="V4666" t="str">
        <f t="shared" si="362"/>
        <v>New Joiner</v>
      </c>
      <c r="W4666" t="str">
        <f t="shared" si="363"/>
        <v>Already Left</v>
      </c>
      <c r="X4666" t="str">
        <f t="shared" si="364"/>
        <v>Overpaid</v>
      </c>
    </row>
    <row r="4667" spans="1:24" x14ac:dyDescent="0.3">
      <c r="A4667" t="s">
        <v>4735</v>
      </c>
      <c r="B4667" t="s">
        <v>39</v>
      </c>
      <c r="C4667">
        <v>39</v>
      </c>
      <c r="D4667" t="s">
        <v>88</v>
      </c>
      <c r="E4667" t="s">
        <v>48</v>
      </c>
      <c r="F4667" t="s">
        <v>23</v>
      </c>
      <c r="G4667" t="s">
        <v>49</v>
      </c>
      <c r="H4667" t="s">
        <v>34</v>
      </c>
      <c r="I4667" t="s">
        <v>68</v>
      </c>
      <c r="J4667" t="s">
        <v>60</v>
      </c>
      <c r="K4667">
        <v>9</v>
      </c>
      <c r="L4667">
        <v>70192</v>
      </c>
      <c r="M4667" t="s">
        <v>28</v>
      </c>
      <c r="N4667">
        <v>1</v>
      </c>
      <c r="O4667">
        <v>1</v>
      </c>
      <c r="P4667">
        <v>50</v>
      </c>
      <c r="Q4667">
        <v>1</v>
      </c>
      <c r="R4667" s="1">
        <v>41868</v>
      </c>
      <c r="S4667" t="s">
        <v>29</v>
      </c>
      <c r="T4667" t="str">
        <f t="shared" si="360"/>
        <v>Grade B</v>
      </c>
      <c r="U4667">
        <f t="shared" si="361"/>
        <v>3</v>
      </c>
      <c r="V4667" t="str">
        <f t="shared" si="362"/>
        <v>Mid Level</v>
      </c>
      <c r="W4667" t="str">
        <f t="shared" si="363"/>
        <v>Medium Risk</v>
      </c>
      <c r="X4667" t="str">
        <f t="shared" si="364"/>
        <v>Competitive</v>
      </c>
    </row>
    <row r="4668" spans="1:24" x14ac:dyDescent="0.3">
      <c r="A4668" t="s">
        <v>4736</v>
      </c>
      <c r="B4668" t="s">
        <v>20</v>
      </c>
      <c r="C4668">
        <v>35</v>
      </c>
      <c r="D4668" t="s">
        <v>47</v>
      </c>
      <c r="E4668" t="s">
        <v>48</v>
      </c>
      <c r="F4668" t="s">
        <v>23</v>
      </c>
      <c r="G4668" t="s">
        <v>63</v>
      </c>
      <c r="H4668" t="s">
        <v>83</v>
      </c>
      <c r="I4668" t="s">
        <v>35</v>
      </c>
      <c r="J4668" t="s">
        <v>27</v>
      </c>
      <c r="K4668">
        <v>5</v>
      </c>
      <c r="L4668">
        <v>49002</v>
      </c>
      <c r="M4668" t="s">
        <v>36</v>
      </c>
      <c r="N4668">
        <v>4</v>
      </c>
      <c r="O4668">
        <v>4</v>
      </c>
      <c r="P4668">
        <v>44</v>
      </c>
      <c r="Q4668">
        <v>1</v>
      </c>
      <c r="R4668" s="1">
        <v>43131</v>
      </c>
      <c r="S4668" t="s">
        <v>37</v>
      </c>
      <c r="T4668" t="str">
        <f t="shared" si="360"/>
        <v>Grade C</v>
      </c>
      <c r="U4668">
        <f t="shared" si="361"/>
        <v>1</v>
      </c>
      <c r="V4668" t="str">
        <f t="shared" si="362"/>
        <v>Junior</v>
      </c>
      <c r="W4668" t="str">
        <f t="shared" si="363"/>
        <v>Already Left</v>
      </c>
      <c r="X4668" t="str">
        <f t="shared" si="364"/>
        <v>Fair</v>
      </c>
    </row>
    <row r="4669" spans="1:24" x14ac:dyDescent="0.3">
      <c r="A4669" t="s">
        <v>4737</v>
      </c>
      <c r="B4669" t="s">
        <v>20</v>
      </c>
      <c r="C4669">
        <v>34</v>
      </c>
      <c r="D4669" t="s">
        <v>21</v>
      </c>
      <c r="E4669" t="s">
        <v>22</v>
      </c>
      <c r="F4669" t="s">
        <v>75</v>
      </c>
      <c r="G4669" t="s">
        <v>58</v>
      </c>
      <c r="H4669" t="s">
        <v>67</v>
      </c>
      <c r="I4669" t="s">
        <v>35</v>
      </c>
      <c r="J4669" t="s">
        <v>27</v>
      </c>
      <c r="K4669">
        <v>9</v>
      </c>
      <c r="L4669">
        <v>96385</v>
      </c>
      <c r="M4669" t="s">
        <v>36</v>
      </c>
      <c r="N4669">
        <v>3</v>
      </c>
      <c r="O4669">
        <v>3</v>
      </c>
      <c r="P4669">
        <v>67</v>
      </c>
      <c r="Q4669">
        <v>3</v>
      </c>
      <c r="R4669" s="1">
        <v>41792</v>
      </c>
      <c r="S4669" t="s">
        <v>29</v>
      </c>
      <c r="T4669" t="str">
        <f t="shared" si="360"/>
        <v>Grade A</v>
      </c>
      <c r="U4669">
        <f t="shared" si="361"/>
        <v>1</v>
      </c>
      <c r="V4669" t="str">
        <f t="shared" si="362"/>
        <v>Mid Level</v>
      </c>
      <c r="W4669" t="str">
        <f t="shared" si="363"/>
        <v>Medium Risk</v>
      </c>
      <c r="X4669" t="str">
        <f t="shared" si="364"/>
        <v>Overpaid</v>
      </c>
    </row>
    <row r="4670" spans="1:24" x14ac:dyDescent="0.3">
      <c r="A4670" t="s">
        <v>4738</v>
      </c>
      <c r="B4670" t="s">
        <v>39</v>
      </c>
      <c r="C4670">
        <v>54</v>
      </c>
      <c r="D4670" t="s">
        <v>47</v>
      </c>
      <c r="E4670" t="s">
        <v>22</v>
      </c>
      <c r="F4670" t="s">
        <v>53</v>
      </c>
      <c r="G4670" t="s">
        <v>24</v>
      </c>
      <c r="H4670" t="s">
        <v>25</v>
      </c>
      <c r="I4670" t="s">
        <v>80</v>
      </c>
      <c r="J4670" t="s">
        <v>60</v>
      </c>
      <c r="K4670">
        <v>5</v>
      </c>
      <c r="L4670">
        <v>93427</v>
      </c>
      <c r="M4670" t="s">
        <v>45</v>
      </c>
      <c r="N4670">
        <v>3</v>
      </c>
      <c r="O4670">
        <v>3</v>
      </c>
      <c r="P4670">
        <v>20</v>
      </c>
      <c r="Q4670">
        <v>1</v>
      </c>
      <c r="R4670" s="1">
        <v>43191</v>
      </c>
      <c r="S4670" t="s">
        <v>29</v>
      </c>
      <c r="T4670" t="str">
        <f t="shared" si="360"/>
        <v>Grade A</v>
      </c>
      <c r="U4670">
        <f t="shared" si="361"/>
        <v>2</v>
      </c>
      <c r="V4670" t="str">
        <f t="shared" si="362"/>
        <v>Junior</v>
      </c>
      <c r="W4670" t="str">
        <f t="shared" si="363"/>
        <v>Medium Risk</v>
      </c>
      <c r="X4670" t="str">
        <f t="shared" si="364"/>
        <v>Fair</v>
      </c>
    </row>
    <row r="4671" spans="1:24" x14ac:dyDescent="0.3">
      <c r="A4671" t="s">
        <v>4739</v>
      </c>
      <c r="B4671" t="s">
        <v>20</v>
      </c>
      <c r="C4671">
        <v>33</v>
      </c>
      <c r="D4671" t="s">
        <v>21</v>
      </c>
      <c r="E4671" t="s">
        <v>22</v>
      </c>
      <c r="F4671" t="s">
        <v>75</v>
      </c>
      <c r="G4671" t="s">
        <v>24</v>
      </c>
      <c r="H4671" t="s">
        <v>34</v>
      </c>
      <c r="I4671" t="s">
        <v>43</v>
      </c>
      <c r="J4671" t="s">
        <v>44</v>
      </c>
      <c r="K4671">
        <v>8</v>
      </c>
      <c r="L4671">
        <v>95383</v>
      </c>
      <c r="M4671" t="s">
        <v>51</v>
      </c>
      <c r="N4671">
        <v>4</v>
      </c>
      <c r="O4671">
        <v>1</v>
      </c>
      <c r="P4671">
        <v>60</v>
      </c>
      <c r="Q4671">
        <v>3</v>
      </c>
      <c r="R4671" s="1">
        <v>42062</v>
      </c>
      <c r="S4671" t="s">
        <v>29</v>
      </c>
      <c r="T4671" t="str">
        <f t="shared" si="360"/>
        <v>Grade A</v>
      </c>
      <c r="U4671">
        <f t="shared" si="361"/>
        <v>4</v>
      </c>
      <c r="V4671" t="str">
        <f t="shared" si="362"/>
        <v>Mid Level</v>
      </c>
      <c r="W4671" t="str">
        <f t="shared" si="363"/>
        <v>Low Risk</v>
      </c>
      <c r="X4671" t="str">
        <f t="shared" si="364"/>
        <v>Competitive</v>
      </c>
    </row>
    <row r="4672" spans="1:24" x14ac:dyDescent="0.3">
      <c r="A4672" t="s">
        <v>4740</v>
      </c>
      <c r="B4672" t="s">
        <v>39</v>
      </c>
      <c r="C4672">
        <v>39</v>
      </c>
      <c r="D4672" t="s">
        <v>21</v>
      </c>
      <c r="E4672" t="s">
        <v>48</v>
      </c>
      <c r="F4672" t="s">
        <v>53</v>
      </c>
      <c r="G4672" t="s">
        <v>79</v>
      </c>
      <c r="H4672" t="s">
        <v>67</v>
      </c>
      <c r="I4672" t="s">
        <v>50</v>
      </c>
      <c r="J4672" t="s">
        <v>44</v>
      </c>
      <c r="K4672">
        <v>4</v>
      </c>
      <c r="L4672">
        <v>51448</v>
      </c>
      <c r="M4672" t="s">
        <v>36</v>
      </c>
      <c r="N4672">
        <v>1</v>
      </c>
      <c r="O4672">
        <v>2</v>
      </c>
      <c r="P4672">
        <v>49</v>
      </c>
      <c r="Q4672">
        <v>0</v>
      </c>
      <c r="R4672" s="1">
        <v>43773</v>
      </c>
      <c r="S4672" t="s">
        <v>37</v>
      </c>
      <c r="T4672" t="str">
        <f t="shared" si="360"/>
        <v>Grade B</v>
      </c>
      <c r="U4672">
        <f t="shared" si="361"/>
        <v>1</v>
      </c>
      <c r="V4672" t="str">
        <f t="shared" si="362"/>
        <v>Junior</v>
      </c>
      <c r="W4672" t="str">
        <f t="shared" si="363"/>
        <v>Already Left</v>
      </c>
      <c r="X4672" t="str">
        <f t="shared" si="364"/>
        <v>Fair</v>
      </c>
    </row>
    <row r="4673" spans="1:24" x14ac:dyDescent="0.3">
      <c r="A4673" t="s">
        <v>4741</v>
      </c>
      <c r="B4673" t="s">
        <v>39</v>
      </c>
      <c r="C4673">
        <v>55</v>
      </c>
      <c r="D4673" t="s">
        <v>57</v>
      </c>
      <c r="E4673" t="s">
        <v>48</v>
      </c>
      <c r="F4673" t="s">
        <v>75</v>
      </c>
      <c r="G4673" t="s">
        <v>49</v>
      </c>
      <c r="H4673" t="s">
        <v>83</v>
      </c>
      <c r="I4673" t="s">
        <v>96</v>
      </c>
      <c r="J4673" t="s">
        <v>44</v>
      </c>
      <c r="K4673">
        <v>2</v>
      </c>
      <c r="L4673">
        <v>60383</v>
      </c>
      <c r="M4673" t="s">
        <v>36</v>
      </c>
      <c r="N4673">
        <v>1</v>
      </c>
      <c r="O4673">
        <v>3</v>
      </c>
      <c r="P4673">
        <v>69</v>
      </c>
      <c r="Q4673">
        <v>0</v>
      </c>
      <c r="R4673" s="1">
        <v>44243</v>
      </c>
      <c r="S4673" t="s">
        <v>37</v>
      </c>
      <c r="T4673" t="str">
        <f t="shared" si="360"/>
        <v>Grade B</v>
      </c>
      <c r="U4673">
        <f t="shared" si="361"/>
        <v>1</v>
      </c>
      <c r="V4673" t="str">
        <f t="shared" si="362"/>
        <v>New Joiner</v>
      </c>
      <c r="W4673" t="str">
        <f t="shared" si="363"/>
        <v>Already Left</v>
      </c>
      <c r="X4673" t="str">
        <f t="shared" si="364"/>
        <v>Fair</v>
      </c>
    </row>
    <row r="4674" spans="1:24" x14ac:dyDescent="0.3">
      <c r="A4674" t="s">
        <v>4742</v>
      </c>
      <c r="B4674" t="s">
        <v>20</v>
      </c>
      <c r="C4674">
        <v>34</v>
      </c>
      <c r="D4674" t="s">
        <v>31</v>
      </c>
      <c r="E4674" t="s">
        <v>40</v>
      </c>
      <c r="F4674" t="s">
        <v>53</v>
      </c>
      <c r="G4674" t="s">
        <v>63</v>
      </c>
      <c r="H4674" t="s">
        <v>83</v>
      </c>
      <c r="I4674" t="s">
        <v>80</v>
      </c>
      <c r="J4674" t="s">
        <v>60</v>
      </c>
      <c r="K4674">
        <v>13</v>
      </c>
      <c r="L4674">
        <v>70735</v>
      </c>
      <c r="M4674" t="s">
        <v>36</v>
      </c>
      <c r="N4674">
        <v>3</v>
      </c>
      <c r="O4674">
        <v>2</v>
      </c>
      <c r="P4674">
        <v>11</v>
      </c>
      <c r="Q4674">
        <v>0</v>
      </c>
      <c r="R4674" s="1">
        <v>40276</v>
      </c>
      <c r="S4674" t="s">
        <v>29</v>
      </c>
      <c r="T4674" t="str">
        <f t="shared" ref="T4674:T4737" si="365">IF(L4674&gt;=80000,"Grade A",IF(L4674&gt;=50000,"Grade B",IF(L4674&gt;=35000,"Grade C","Grade D")))</f>
        <v>Grade B</v>
      </c>
      <c r="U4674">
        <f t="shared" ref="U4674:U4737" si="366">IF(M4674="Excellent",4,IF(M4674="Good",3,IF(M4674="Average",2,1)))</f>
        <v>1</v>
      </c>
      <c r="V4674" t="str">
        <f t="shared" ref="V4674:V4737" si="367">IF(K4674&lt;=2,"New Joiner",IF(K4674&lt;=5,"Junior",IF(K4674&lt;=10,"Mid Level","Senior")))</f>
        <v>Senior</v>
      </c>
      <c r="W4674" t="str">
        <f t="shared" ref="W4674:W4737" si="368">IF(S4674="Yes","Already Left",IF(AND(K4674&lt;=2,M4674="Poor"),"High Risk",IF(AND(K4674&lt;=5,M4674="Average"),"Medium Risk",IF(M4674="Excellent","Low Risk","Medium Risk"))))</f>
        <v>Medium Risk</v>
      </c>
      <c r="X4674" t="str">
        <f t="shared" ref="X4674:X4737" si="369">IF(AND(L4674&gt;=80000,M4674="Excellent"),"Competitive",IF(AND(L4674&gt;=50000,M4674="Good"),"Competitive",IF(AND(L4674&lt;35000,M4674="Excellent"),"Underpaid",IF(AND(L4674&gt;=80000,M4674="Poor"),"Overpaid","Fair"))))</f>
        <v>Fair</v>
      </c>
    </row>
    <row r="4675" spans="1:24" x14ac:dyDescent="0.3">
      <c r="A4675" t="s">
        <v>4743</v>
      </c>
      <c r="B4675" t="s">
        <v>39</v>
      </c>
      <c r="C4675">
        <v>29</v>
      </c>
      <c r="D4675" t="s">
        <v>88</v>
      </c>
      <c r="E4675" t="s">
        <v>48</v>
      </c>
      <c r="F4675" t="s">
        <v>53</v>
      </c>
      <c r="G4675" t="s">
        <v>66</v>
      </c>
      <c r="H4675" t="s">
        <v>76</v>
      </c>
      <c r="I4675" t="s">
        <v>68</v>
      </c>
      <c r="J4675" t="s">
        <v>60</v>
      </c>
      <c r="K4675">
        <v>2</v>
      </c>
      <c r="L4675">
        <v>36995</v>
      </c>
      <c r="M4675" t="s">
        <v>45</v>
      </c>
      <c r="N4675">
        <v>1</v>
      </c>
      <c r="O4675">
        <v>3</v>
      </c>
      <c r="P4675">
        <v>15</v>
      </c>
      <c r="Q4675">
        <v>1</v>
      </c>
      <c r="R4675" s="1">
        <v>44434</v>
      </c>
      <c r="S4675" t="s">
        <v>29</v>
      </c>
      <c r="T4675" t="str">
        <f t="shared" si="365"/>
        <v>Grade C</v>
      </c>
      <c r="U4675">
        <f t="shared" si="366"/>
        <v>2</v>
      </c>
      <c r="V4675" t="str">
        <f t="shared" si="367"/>
        <v>New Joiner</v>
      </c>
      <c r="W4675" t="str">
        <f t="shared" si="368"/>
        <v>Medium Risk</v>
      </c>
      <c r="X4675" t="str">
        <f t="shared" si="369"/>
        <v>Fair</v>
      </c>
    </row>
    <row r="4676" spans="1:24" x14ac:dyDescent="0.3">
      <c r="A4676" t="s">
        <v>4744</v>
      </c>
      <c r="B4676" t="s">
        <v>20</v>
      </c>
      <c r="C4676">
        <v>22</v>
      </c>
      <c r="D4676" t="s">
        <v>88</v>
      </c>
      <c r="E4676" t="s">
        <v>48</v>
      </c>
      <c r="F4676" t="s">
        <v>41</v>
      </c>
      <c r="G4676" t="s">
        <v>66</v>
      </c>
      <c r="H4676" t="s">
        <v>76</v>
      </c>
      <c r="I4676" t="s">
        <v>68</v>
      </c>
      <c r="J4676" t="s">
        <v>60</v>
      </c>
      <c r="K4676">
        <v>12</v>
      </c>
      <c r="L4676">
        <v>56274</v>
      </c>
      <c r="M4676" t="s">
        <v>28</v>
      </c>
      <c r="N4676">
        <v>1</v>
      </c>
      <c r="O4676">
        <v>4</v>
      </c>
      <c r="P4676">
        <v>47</v>
      </c>
      <c r="Q4676">
        <v>1</v>
      </c>
      <c r="R4676" s="1">
        <v>40820</v>
      </c>
      <c r="S4676" t="s">
        <v>29</v>
      </c>
      <c r="T4676" t="str">
        <f t="shared" si="365"/>
        <v>Grade B</v>
      </c>
      <c r="U4676">
        <f t="shared" si="366"/>
        <v>3</v>
      </c>
      <c r="V4676" t="str">
        <f t="shared" si="367"/>
        <v>Senior</v>
      </c>
      <c r="W4676" t="str">
        <f t="shared" si="368"/>
        <v>Medium Risk</v>
      </c>
      <c r="X4676" t="str">
        <f t="shared" si="369"/>
        <v>Competitive</v>
      </c>
    </row>
    <row r="4677" spans="1:24" x14ac:dyDescent="0.3">
      <c r="A4677" t="s">
        <v>4745</v>
      </c>
      <c r="B4677" t="s">
        <v>39</v>
      </c>
      <c r="C4677">
        <v>54</v>
      </c>
      <c r="D4677" t="s">
        <v>57</v>
      </c>
      <c r="E4677" t="s">
        <v>48</v>
      </c>
      <c r="F4677" t="s">
        <v>32</v>
      </c>
      <c r="G4677" t="s">
        <v>24</v>
      </c>
      <c r="H4677" t="s">
        <v>25</v>
      </c>
      <c r="I4677" t="s">
        <v>35</v>
      </c>
      <c r="J4677" t="s">
        <v>27</v>
      </c>
      <c r="K4677">
        <v>7</v>
      </c>
      <c r="L4677">
        <v>86944</v>
      </c>
      <c r="M4677" t="s">
        <v>51</v>
      </c>
      <c r="N4677">
        <v>3</v>
      </c>
      <c r="O4677">
        <v>1</v>
      </c>
      <c r="P4677">
        <v>27</v>
      </c>
      <c r="Q4677">
        <v>0</v>
      </c>
      <c r="R4677" s="1">
        <v>42573</v>
      </c>
      <c r="S4677" t="s">
        <v>29</v>
      </c>
      <c r="T4677" t="str">
        <f t="shared" si="365"/>
        <v>Grade A</v>
      </c>
      <c r="U4677">
        <f t="shared" si="366"/>
        <v>4</v>
      </c>
      <c r="V4677" t="str">
        <f t="shared" si="367"/>
        <v>Mid Level</v>
      </c>
      <c r="W4677" t="str">
        <f t="shared" si="368"/>
        <v>Low Risk</v>
      </c>
      <c r="X4677" t="str">
        <f t="shared" si="369"/>
        <v>Competitive</v>
      </c>
    </row>
    <row r="4678" spans="1:24" x14ac:dyDescent="0.3">
      <c r="A4678" t="s">
        <v>4746</v>
      </c>
      <c r="B4678" t="s">
        <v>39</v>
      </c>
      <c r="C4678">
        <v>29</v>
      </c>
      <c r="D4678" t="s">
        <v>88</v>
      </c>
      <c r="E4678" t="s">
        <v>22</v>
      </c>
      <c r="F4678" t="s">
        <v>32</v>
      </c>
      <c r="G4678" t="s">
        <v>63</v>
      </c>
      <c r="H4678" t="s">
        <v>67</v>
      </c>
      <c r="I4678" t="s">
        <v>59</v>
      </c>
      <c r="J4678" t="s">
        <v>60</v>
      </c>
      <c r="K4678">
        <v>8</v>
      </c>
      <c r="L4678">
        <v>51670</v>
      </c>
      <c r="M4678" t="s">
        <v>28</v>
      </c>
      <c r="N4678">
        <v>4</v>
      </c>
      <c r="O4678">
        <v>3</v>
      </c>
      <c r="P4678">
        <v>74</v>
      </c>
      <c r="Q4678">
        <v>0</v>
      </c>
      <c r="R4678" s="1">
        <v>42072</v>
      </c>
      <c r="S4678" t="s">
        <v>29</v>
      </c>
      <c r="T4678" t="str">
        <f t="shared" si="365"/>
        <v>Grade B</v>
      </c>
      <c r="U4678">
        <f t="shared" si="366"/>
        <v>3</v>
      </c>
      <c r="V4678" t="str">
        <f t="shared" si="367"/>
        <v>Mid Level</v>
      </c>
      <c r="W4678" t="str">
        <f t="shared" si="368"/>
        <v>Medium Risk</v>
      </c>
      <c r="X4678" t="str">
        <f t="shared" si="369"/>
        <v>Competitive</v>
      </c>
    </row>
    <row r="4679" spans="1:24" x14ac:dyDescent="0.3">
      <c r="A4679" t="s">
        <v>4747</v>
      </c>
      <c r="B4679" t="s">
        <v>20</v>
      </c>
      <c r="C4679">
        <v>47</v>
      </c>
      <c r="D4679" t="s">
        <v>47</v>
      </c>
      <c r="E4679" t="s">
        <v>22</v>
      </c>
      <c r="F4679" t="s">
        <v>62</v>
      </c>
      <c r="G4679" t="s">
        <v>66</v>
      </c>
      <c r="H4679" t="s">
        <v>67</v>
      </c>
      <c r="I4679" t="s">
        <v>43</v>
      </c>
      <c r="J4679" t="s">
        <v>44</v>
      </c>
      <c r="K4679">
        <v>13</v>
      </c>
      <c r="L4679">
        <v>53066</v>
      </c>
      <c r="M4679" t="s">
        <v>45</v>
      </c>
      <c r="N4679">
        <v>1</v>
      </c>
      <c r="O4679">
        <v>3</v>
      </c>
      <c r="P4679">
        <v>75</v>
      </c>
      <c r="Q4679">
        <v>1</v>
      </c>
      <c r="R4679" s="1">
        <v>40233</v>
      </c>
      <c r="S4679" t="s">
        <v>29</v>
      </c>
      <c r="T4679" t="str">
        <f t="shared" si="365"/>
        <v>Grade B</v>
      </c>
      <c r="U4679">
        <f t="shared" si="366"/>
        <v>2</v>
      </c>
      <c r="V4679" t="str">
        <f t="shared" si="367"/>
        <v>Senior</v>
      </c>
      <c r="W4679" t="str">
        <f t="shared" si="368"/>
        <v>Medium Risk</v>
      </c>
      <c r="X4679" t="str">
        <f t="shared" si="369"/>
        <v>Fair</v>
      </c>
    </row>
    <row r="4680" spans="1:24" x14ac:dyDescent="0.3">
      <c r="A4680" t="s">
        <v>4748</v>
      </c>
      <c r="B4680" t="s">
        <v>39</v>
      </c>
      <c r="C4680">
        <v>53</v>
      </c>
      <c r="D4680" t="s">
        <v>57</v>
      </c>
      <c r="E4680" t="s">
        <v>22</v>
      </c>
      <c r="F4680" t="s">
        <v>78</v>
      </c>
      <c r="G4680" t="s">
        <v>42</v>
      </c>
      <c r="H4680" t="s">
        <v>76</v>
      </c>
      <c r="I4680" t="s">
        <v>50</v>
      </c>
      <c r="J4680" t="s">
        <v>44</v>
      </c>
      <c r="K4680">
        <v>13</v>
      </c>
      <c r="L4680">
        <v>123309</v>
      </c>
      <c r="M4680" t="s">
        <v>51</v>
      </c>
      <c r="N4680">
        <v>1</v>
      </c>
      <c r="O4680">
        <v>3</v>
      </c>
      <c r="P4680">
        <v>40</v>
      </c>
      <c r="Q4680">
        <v>3</v>
      </c>
      <c r="R4680" s="1">
        <v>40386</v>
      </c>
      <c r="S4680" t="s">
        <v>29</v>
      </c>
      <c r="T4680" t="str">
        <f t="shared" si="365"/>
        <v>Grade A</v>
      </c>
      <c r="U4680">
        <f t="shared" si="366"/>
        <v>4</v>
      </c>
      <c r="V4680" t="str">
        <f t="shared" si="367"/>
        <v>Senior</v>
      </c>
      <c r="W4680" t="str">
        <f t="shared" si="368"/>
        <v>Low Risk</v>
      </c>
      <c r="X4680" t="str">
        <f t="shared" si="369"/>
        <v>Competitive</v>
      </c>
    </row>
    <row r="4681" spans="1:24" x14ac:dyDescent="0.3">
      <c r="A4681" t="s">
        <v>4749</v>
      </c>
      <c r="B4681" t="s">
        <v>39</v>
      </c>
      <c r="C4681">
        <v>34</v>
      </c>
      <c r="D4681" t="s">
        <v>47</v>
      </c>
      <c r="E4681" t="s">
        <v>40</v>
      </c>
      <c r="F4681" t="s">
        <v>65</v>
      </c>
      <c r="G4681" t="s">
        <v>42</v>
      </c>
      <c r="H4681" t="s">
        <v>67</v>
      </c>
      <c r="I4681" t="s">
        <v>96</v>
      </c>
      <c r="J4681" t="s">
        <v>44</v>
      </c>
      <c r="K4681">
        <v>6</v>
      </c>
      <c r="L4681">
        <v>98458</v>
      </c>
      <c r="M4681" t="s">
        <v>28</v>
      </c>
      <c r="N4681">
        <v>3</v>
      </c>
      <c r="O4681">
        <v>2</v>
      </c>
      <c r="P4681">
        <v>35</v>
      </c>
      <c r="Q4681">
        <v>2</v>
      </c>
      <c r="R4681" s="1">
        <v>42941</v>
      </c>
      <c r="S4681" t="s">
        <v>29</v>
      </c>
      <c r="T4681" t="str">
        <f t="shared" si="365"/>
        <v>Grade A</v>
      </c>
      <c r="U4681">
        <f t="shared" si="366"/>
        <v>3</v>
      </c>
      <c r="V4681" t="str">
        <f t="shared" si="367"/>
        <v>Mid Level</v>
      </c>
      <c r="W4681" t="str">
        <f t="shared" si="368"/>
        <v>Medium Risk</v>
      </c>
      <c r="X4681" t="str">
        <f t="shared" si="369"/>
        <v>Competitive</v>
      </c>
    </row>
    <row r="4682" spans="1:24" x14ac:dyDescent="0.3">
      <c r="A4682" t="s">
        <v>4750</v>
      </c>
      <c r="B4682" t="s">
        <v>39</v>
      </c>
      <c r="C4682">
        <v>32</v>
      </c>
      <c r="D4682" t="s">
        <v>31</v>
      </c>
      <c r="E4682" t="s">
        <v>48</v>
      </c>
      <c r="F4682" t="s">
        <v>75</v>
      </c>
      <c r="G4682" t="s">
        <v>42</v>
      </c>
      <c r="H4682" t="s">
        <v>34</v>
      </c>
      <c r="I4682" t="s">
        <v>50</v>
      </c>
      <c r="J4682" t="s">
        <v>44</v>
      </c>
      <c r="K4682">
        <v>14</v>
      </c>
      <c r="L4682">
        <v>120970</v>
      </c>
      <c r="M4682" t="s">
        <v>45</v>
      </c>
      <c r="N4682">
        <v>4</v>
      </c>
      <c r="O4682">
        <v>1</v>
      </c>
      <c r="P4682">
        <v>32</v>
      </c>
      <c r="Q4682">
        <v>3</v>
      </c>
      <c r="R4682" s="1">
        <v>39918</v>
      </c>
      <c r="S4682" t="s">
        <v>29</v>
      </c>
      <c r="T4682" t="str">
        <f t="shared" si="365"/>
        <v>Grade A</v>
      </c>
      <c r="U4682">
        <f t="shared" si="366"/>
        <v>2</v>
      </c>
      <c r="V4682" t="str">
        <f t="shared" si="367"/>
        <v>Senior</v>
      </c>
      <c r="W4682" t="str">
        <f t="shared" si="368"/>
        <v>Medium Risk</v>
      </c>
      <c r="X4682" t="str">
        <f t="shared" si="369"/>
        <v>Fair</v>
      </c>
    </row>
    <row r="4683" spans="1:24" x14ac:dyDescent="0.3">
      <c r="A4683" t="s">
        <v>4751</v>
      </c>
      <c r="B4683" t="s">
        <v>20</v>
      </c>
      <c r="C4683">
        <v>46</v>
      </c>
      <c r="D4683" t="s">
        <v>88</v>
      </c>
      <c r="E4683" t="s">
        <v>40</v>
      </c>
      <c r="F4683" t="s">
        <v>23</v>
      </c>
      <c r="G4683" t="s">
        <v>42</v>
      </c>
      <c r="H4683" t="s">
        <v>76</v>
      </c>
      <c r="I4683" t="s">
        <v>35</v>
      </c>
      <c r="J4683" t="s">
        <v>27</v>
      </c>
      <c r="K4683">
        <v>5</v>
      </c>
      <c r="L4683">
        <v>113084</v>
      </c>
      <c r="M4683" t="s">
        <v>36</v>
      </c>
      <c r="N4683">
        <v>2</v>
      </c>
      <c r="O4683">
        <v>4</v>
      </c>
      <c r="P4683">
        <v>74</v>
      </c>
      <c r="Q4683">
        <v>2</v>
      </c>
      <c r="R4683" s="1">
        <v>43259</v>
      </c>
      <c r="S4683" t="s">
        <v>29</v>
      </c>
      <c r="T4683" t="str">
        <f t="shared" si="365"/>
        <v>Grade A</v>
      </c>
      <c r="U4683">
        <f t="shared" si="366"/>
        <v>1</v>
      </c>
      <c r="V4683" t="str">
        <f t="shared" si="367"/>
        <v>Junior</v>
      </c>
      <c r="W4683" t="str">
        <f t="shared" si="368"/>
        <v>Medium Risk</v>
      </c>
      <c r="X4683" t="str">
        <f t="shared" si="369"/>
        <v>Overpaid</v>
      </c>
    </row>
    <row r="4684" spans="1:24" x14ac:dyDescent="0.3">
      <c r="A4684" t="s">
        <v>4752</v>
      </c>
      <c r="B4684" t="s">
        <v>20</v>
      </c>
      <c r="C4684">
        <v>25</v>
      </c>
      <c r="D4684" t="s">
        <v>57</v>
      </c>
      <c r="E4684" t="s">
        <v>22</v>
      </c>
      <c r="F4684" t="s">
        <v>41</v>
      </c>
      <c r="G4684" t="s">
        <v>58</v>
      </c>
      <c r="H4684" t="s">
        <v>67</v>
      </c>
      <c r="I4684" t="s">
        <v>72</v>
      </c>
      <c r="J4684" t="s">
        <v>73</v>
      </c>
      <c r="K4684">
        <v>13</v>
      </c>
      <c r="L4684">
        <v>104123</v>
      </c>
      <c r="M4684" t="s">
        <v>36</v>
      </c>
      <c r="N4684">
        <v>4</v>
      </c>
      <c r="O4684">
        <v>1</v>
      </c>
      <c r="P4684">
        <v>51</v>
      </c>
      <c r="Q4684">
        <v>2</v>
      </c>
      <c r="R4684" s="1">
        <v>40443</v>
      </c>
      <c r="S4684" t="s">
        <v>29</v>
      </c>
      <c r="T4684" t="str">
        <f t="shared" si="365"/>
        <v>Grade A</v>
      </c>
      <c r="U4684">
        <f t="shared" si="366"/>
        <v>1</v>
      </c>
      <c r="V4684" t="str">
        <f t="shared" si="367"/>
        <v>Senior</v>
      </c>
      <c r="W4684" t="str">
        <f t="shared" si="368"/>
        <v>Medium Risk</v>
      </c>
      <c r="X4684" t="str">
        <f t="shared" si="369"/>
        <v>Overpaid</v>
      </c>
    </row>
    <row r="4685" spans="1:24" x14ac:dyDescent="0.3">
      <c r="A4685" t="s">
        <v>4753</v>
      </c>
      <c r="B4685" t="s">
        <v>39</v>
      </c>
      <c r="C4685">
        <v>36</v>
      </c>
      <c r="D4685" t="s">
        <v>88</v>
      </c>
      <c r="E4685" t="s">
        <v>48</v>
      </c>
      <c r="F4685" t="s">
        <v>65</v>
      </c>
      <c r="G4685" t="s">
        <v>66</v>
      </c>
      <c r="H4685" t="s">
        <v>76</v>
      </c>
      <c r="I4685" t="s">
        <v>80</v>
      </c>
      <c r="J4685" t="s">
        <v>60</v>
      </c>
      <c r="K4685">
        <v>2</v>
      </c>
      <c r="L4685">
        <v>37942</v>
      </c>
      <c r="M4685" t="s">
        <v>45</v>
      </c>
      <c r="N4685">
        <v>1</v>
      </c>
      <c r="O4685">
        <v>3</v>
      </c>
      <c r="P4685">
        <v>50</v>
      </c>
      <c r="Q4685">
        <v>0</v>
      </c>
      <c r="R4685" s="1">
        <v>44420</v>
      </c>
      <c r="S4685" t="s">
        <v>37</v>
      </c>
      <c r="T4685" t="str">
        <f t="shared" si="365"/>
        <v>Grade C</v>
      </c>
      <c r="U4685">
        <f t="shared" si="366"/>
        <v>2</v>
      </c>
      <c r="V4685" t="str">
        <f t="shared" si="367"/>
        <v>New Joiner</v>
      </c>
      <c r="W4685" t="str">
        <f t="shared" si="368"/>
        <v>Already Left</v>
      </c>
      <c r="X4685" t="str">
        <f t="shared" si="369"/>
        <v>Fair</v>
      </c>
    </row>
    <row r="4686" spans="1:24" x14ac:dyDescent="0.3">
      <c r="A4686" t="s">
        <v>4754</v>
      </c>
      <c r="B4686" t="s">
        <v>39</v>
      </c>
      <c r="C4686">
        <v>39</v>
      </c>
      <c r="D4686" t="s">
        <v>21</v>
      </c>
      <c r="E4686" t="s">
        <v>22</v>
      </c>
      <c r="F4686" t="s">
        <v>62</v>
      </c>
      <c r="G4686" t="s">
        <v>24</v>
      </c>
      <c r="H4686" t="s">
        <v>83</v>
      </c>
      <c r="I4686" t="s">
        <v>54</v>
      </c>
      <c r="J4686" t="s">
        <v>27</v>
      </c>
      <c r="K4686">
        <v>11</v>
      </c>
      <c r="L4686">
        <v>92092</v>
      </c>
      <c r="M4686" t="s">
        <v>28</v>
      </c>
      <c r="N4686">
        <v>1</v>
      </c>
      <c r="O4686">
        <v>1</v>
      </c>
      <c r="P4686">
        <v>25</v>
      </c>
      <c r="Q4686">
        <v>0</v>
      </c>
      <c r="R4686" s="1">
        <v>41014</v>
      </c>
      <c r="S4686" t="s">
        <v>29</v>
      </c>
      <c r="T4686" t="str">
        <f t="shared" si="365"/>
        <v>Grade A</v>
      </c>
      <c r="U4686">
        <f t="shared" si="366"/>
        <v>3</v>
      </c>
      <c r="V4686" t="str">
        <f t="shared" si="367"/>
        <v>Senior</v>
      </c>
      <c r="W4686" t="str">
        <f t="shared" si="368"/>
        <v>Medium Risk</v>
      </c>
      <c r="X4686" t="str">
        <f t="shared" si="369"/>
        <v>Competitive</v>
      </c>
    </row>
    <row r="4687" spans="1:24" x14ac:dyDescent="0.3">
      <c r="A4687" t="s">
        <v>4755</v>
      </c>
      <c r="B4687" t="s">
        <v>20</v>
      </c>
      <c r="C4687">
        <v>42</v>
      </c>
      <c r="D4687" t="s">
        <v>88</v>
      </c>
      <c r="E4687" t="s">
        <v>40</v>
      </c>
      <c r="F4687" t="s">
        <v>23</v>
      </c>
      <c r="G4687" t="s">
        <v>24</v>
      </c>
      <c r="H4687" t="s">
        <v>25</v>
      </c>
      <c r="I4687" t="s">
        <v>72</v>
      </c>
      <c r="J4687" t="s">
        <v>73</v>
      </c>
      <c r="K4687">
        <v>12</v>
      </c>
      <c r="L4687">
        <v>106785</v>
      </c>
      <c r="M4687" t="s">
        <v>45</v>
      </c>
      <c r="N4687">
        <v>1</v>
      </c>
      <c r="O4687">
        <v>1</v>
      </c>
      <c r="P4687">
        <v>14</v>
      </c>
      <c r="Q4687">
        <v>3</v>
      </c>
      <c r="R4687" s="1">
        <v>40698</v>
      </c>
      <c r="S4687" t="s">
        <v>37</v>
      </c>
      <c r="T4687" t="str">
        <f t="shared" si="365"/>
        <v>Grade A</v>
      </c>
      <c r="U4687">
        <f t="shared" si="366"/>
        <v>2</v>
      </c>
      <c r="V4687" t="str">
        <f t="shared" si="367"/>
        <v>Senior</v>
      </c>
      <c r="W4687" t="str">
        <f t="shared" si="368"/>
        <v>Already Left</v>
      </c>
      <c r="X4687" t="str">
        <f t="shared" si="369"/>
        <v>Fair</v>
      </c>
    </row>
    <row r="4688" spans="1:24" x14ac:dyDescent="0.3">
      <c r="A4688" t="s">
        <v>4756</v>
      </c>
      <c r="B4688" t="s">
        <v>20</v>
      </c>
      <c r="C4688">
        <v>39</v>
      </c>
      <c r="D4688" t="s">
        <v>31</v>
      </c>
      <c r="E4688" t="s">
        <v>48</v>
      </c>
      <c r="F4688" t="s">
        <v>65</v>
      </c>
      <c r="G4688" t="s">
        <v>33</v>
      </c>
      <c r="H4688" t="s">
        <v>25</v>
      </c>
      <c r="I4688" t="s">
        <v>59</v>
      </c>
      <c r="J4688" t="s">
        <v>60</v>
      </c>
      <c r="K4688">
        <v>10</v>
      </c>
      <c r="L4688">
        <v>74692</v>
      </c>
      <c r="M4688" t="s">
        <v>51</v>
      </c>
      <c r="N4688">
        <v>4</v>
      </c>
      <c r="O4688">
        <v>3</v>
      </c>
      <c r="P4688">
        <v>80</v>
      </c>
      <c r="Q4688">
        <v>1</v>
      </c>
      <c r="R4688" s="1">
        <v>41545</v>
      </c>
      <c r="S4688" t="s">
        <v>29</v>
      </c>
      <c r="T4688" t="str">
        <f t="shared" si="365"/>
        <v>Grade B</v>
      </c>
      <c r="U4688">
        <f t="shared" si="366"/>
        <v>4</v>
      </c>
      <c r="V4688" t="str">
        <f t="shared" si="367"/>
        <v>Mid Level</v>
      </c>
      <c r="W4688" t="str">
        <f t="shared" si="368"/>
        <v>Low Risk</v>
      </c>
      <c r="X4688" t="str">
        <f t="shared" si="369"/>
        <v>Fair</v>
      </c>
    </row>
    <row r="4689" spans="1:24" x14ac:dyDescent="0.3">
      <c r="A4689" t="s">
        <v>4757</v>
      </c>
      <c r="B4689" t="s">
        <v>20</v>
      </c>
      <c r="C4689">
        <v>30</v>
      </c>
      <c r="D4689" t="s">
        <v>47</v>
      </c>
      <c r="E4689" t="s">
        <v>22</v>
      </c>
      <c r="F4689" t="s">
        <v>78</v>
      </c>
      <c r="G4689" t="s">
        <v>66</v>
      </c>
      <c r="H4689" t="s">
        <v>76</v>
      </c>
      <c r="I4689" t="s">
        <v>80</v>
      </c>
      <c r="J4689" t="s">
        <v>60</v>
      </c>
      <c r="K4689">
        <v>12</v>
      </c>
      <c r="L4689">
        <v>66513</v>
      </c>
      <c r="M4689" t="s">
        <v>28</v>
      </c>
      <c r="N4689">
        <v>3</v>
      </c>
      <c r="O4689">
        <v>1</v>
      </c>
      <c r="P4689">
        <v>25</v>
      </c>
      <c r="Q4689">
        <v>0</v>
      </c>
      <c r="R4689" s="1">
        <v>40730</v>
      </c>
      <c r="S4689" t="s">
        <v>29</v>
      </c>
      <c r="T4689" t="str">
        <f t="shared" si="365"/>
        <v>Grade B</v>
      </c>
      <c r="U4689">
        <f t="shared" si="366"/>
        <v>3</v>
      </c>
      <c r="V4689" t="str">
        <f t="shared" si="367"/>
        <v>Senior</v>
      </c>
      <c r="W4689" t="str">
        <f t="shared" si="368"/>
        <v>Medium Risk</v>
      </c>
      <c r="X4689" t="str">
        <f t="shared" si="369"/>
        <v>Competitive</v>
      </c>
    </row>
    <row r="4690" spans="1:24" x14ac:dyDescent="0.3">
      <c r="A4690" t="s">
        <v>4758</v>
      </c>
      <c r="B4690" t="s">
        <v>20</v>
      </c>
      <c r="C4690">
        <v>53</v>
      </c>
      <c r="D4690" t="s">
        <v>57</v>
      </c>
      <c r="E4690" t="s">
        <v>40</v>
      </c>
      <c r="F4690" t="s">
        <v>23</v>
      </c>
      <c r="G4690" t="s">
        <v>42</v>
      </c>
      <c r="H4690" t="s">
        <v>83</v>
      </c>
      <c r="I4690" t="s">
        <v>43</v>
      </c>
      <c r="J4690" t="s">
        <v>44</v>
      </c>
      <c r="K4690">
        <v>7</v>
      </c>
      <c r="L4690">
        <v>118165</v>
      </c>
      <c r="M4690" t="s">
        <v>28</v>
      </c>
      <c r="N4690">
        <v>1</v>
      </c>
      <c r="O4690">
        <v>2</v>
      </c>
      <c r="P4690">
        <v>16</v>
      </c>
      <c r="Q4690">
        <v>1</v>
      </c>
      <c r="R4690" s="1">
        <v>42494</v>
      </c>
      <c r="S4690" t="s">
        <v>29</v>
      </c>
      <c r="T4690" t="str">
        <f t="shared" si="365"/>
        <v>Grade A</v>
      </c>
      <c r="U4690">
        <f t="shared" si="366"/>
        <v>3</v>
      </c>
      <c r="V4690" t="str">
        <f t="shared" si="367"/>
        <v>Mid Level</v>
      </c>
      <c r="W4690" t="str">
        <f t="shared" si="368"/>
        <v>Medium Risk</v>
      </c>
      <c r="X4690" t="str">
        <f t="shared" si="369"/>
        <v>Competitive</v>
      </c>
    </row>
    <row r="4691" spans="1:24" x14ac:dyDescent="0.3">
      <c r="A4691" t="s">
        <v>4759</v>
      </c>
      <c r="B4691" t="s">
        <v>20</v>
      </c>
      <c r="C4691">
        <v>41</v>
      </c>
      <c r="D4691" t="s">
        <v>47</v>
      </c>
      <c r="E4691" t="s">
        <v>22</v>
      </c>
      <c r="F4691" t="s">
        <v>78</v>
      </c>
      <c r="G4691" t="s">
        <v>33</v>
      </c>
      <c r="H4691" t="s">
        <v>76</v>
      </c>
      <c r="I4691" t="s">
        <v>54</v>
      </c>
      <c r="J4691" t="s">
        <v>27</v>
      </c>
      <c r="K4691">
        <v>8</v>
      </c>
      <c r="L4691">
        <v>77187</v>
      </c>
      <c r="M4691" t="s">
        <v>28</v>
      </c>
      <c r="N4691">
        <v>2</v>
      </c>
      <c r="O4691">
        <v>4</v>
      </c>
      <c r="P4691">
        <v>58</v>
      </c>
      <c r="Q4691">
        <v>3</v>
      </c>
      <c r="R4691" s="1">
        <v>42188</v>
      </c>
      <c r="S4691" t="s">
        <v>29</v>
      </c>
      <c r="T4691" t="str">
        <f t="shared" si="365"/>
        <v>Grade B</v>
      </c>
      <c r="U4691">
        <f t="shared" si="366"/>
        <v>3</v>
      </c>
      <c r="V4691" t="str">
        <f t="shared" si="367"/>
        <v>Mid Level</v>
      </c>
      <c r="W4691" t="str">
        <f t="shared" si="368"/>
        <v>Medium Risk</v>
      </c>
      <c r="X4691" t="str">
        <f t="shared" si="369"/>
        <v>Competitive</v>
      </c>
    </row>
    <row r="4692" spans="1:24" x14ac:dyDescent="0.3">
      <c r="A4692" t="s">
        <v>4760</v>
      </c>
      <c r="B4692" t="s">
        <v>39</v>
      </c>
      <c r="C4692">
        <v>36</v>
      </c>
      <c r="D4692" t="s">
        <v>88</v>
      </c>
      <c r="E4692" t="s">
        <v>48</v>
      </c>
      <c r="F4692" t="s">
        <v>41</v>
      </c>
      <c r="G4692" t="s">
        <v>66</v>
      </c>
      <c r="H4692" t="s">
        <v>76</v>
      </c>
      <c r="I4692" t="s">
        <v>26</v>
      </c>
      <c r="J4692" t="s">
        <v>27</v>
      </c>
      <c r="K4692">
        <v>13</v>
      </c>
      <c r="L4692">
        <v>57646</v>
      </c>
      <c r="M4692" t="s">
        <v>28</v>
      </c>
      <c r="N4692">
        <v>2</v>
      </c>
      <c r="O4692">
        <v>1</v>
      </c>
      <c r="P4692">
        <v>78</v>
      </c>
      <c r="Q4692">
        <v>3</v>
      </c>
      <c r="R4692" s="1">
        <v>40456</v>
      </c>
      <c r="S4692" t="s">
        <v>29</v>
      </c>
      <c r="T4692" t="str">
        <f t="shared" si="365"/>
        <v>Grade B</v>
      </c>
      <c r="U4692">
        <f t="shared" si="366"/>
        <v>3</v>
      </c>
      <c r="V4692" t="str">
        <f t="shared" si="367"/>
        <v>Senior</v>
      </c>
      <c r="W4692" t="str">
        <f t="shared" si="368"/>
        <v>Medium Risk</v>
      </c>
      <c r="X4692" t="str">
        <f t="shared" si="369"/>
        <v>Competitive</v>
      </c>
    </row>
    <row r="4693" spans="1:24" x14ac:dyDescent="0.3">
      <c r="A4693" t="s">
        <v>4761</v>
      </c>
      <c r="B4693" t="s">
        <v>20</v>
      </c>
      <c r="C4693">
        <v>28</v>
      </c>
      <c r="D4693" t="s">
        <v>47</v>
      </c>
      <c r="E4693" t="s">
        <v>22</v>
      </c>
      <c r="F4693" t="s">
        <v>32</v>
      </c>
      <c r="G4693" t="s">
        <v>49</v>
      </c>
      <c r="H4693" t="s">
        <v>76</v>
      </c>
      <c r="I4693" t="s">
        <v>54</v>
      </c>
      <c r="J4693" t="s">
        <v>27</v>
      </c>
      <c r="K4693">
        <v>10</v>
      </c>
      <c r="L4693">
        <v>74878</v>
      </c>
      <c r="M4693" t="s">
        <v>45</v>
      </c>
      <c r="N4693">
        <v>3</v>
      </c>
      <c r="O4693">
        <v>4</v>
      </c>
      <c r="P4693">
        <v>28</v>
      </c>
      <c r="Q4693">
        <v>0</v>
      </c>
      <c r="R4693" s="1">
        <v>41398</v>
      </c>
      <c r="S4693" t="s">
        <v>29</v>
      </c>
      <c r="T4693" t="str">
        <f t="shared" si="365"/>
        <v>Grade B</v>
      </c>
      <c r="U4693">
        <f t="shared" si="366"/>
        <v>2</v>
      </c>
      <c r="V4693" t="str">
        <f t="shared" si="367"/>
        <v>Mid Level</v>
      </c>
      <c r="W4693" t="str">
        <f t="shared" si="368"/>
        <v>Medium Risk</v>
      </c>
      <c r="X4693" t="str">
        <f t="shared" si="369"/>
        <v>Fair</v>
      </c>
    </row>
    <row r="4694" spans="1:24" x14ac:dyDescent="0.3">
      <c r="A4694" t="s">
        <v>4762</v>
      </c>
      <c r="B4694" t="s">
        <v>39</v>
      </c>
      <c r="C4694">
        <v>50</v>
      </c>
      <c r="D4694" t="s">
        <v>88</v>
      </c>
      <c r="E4694" t="s">
        <v>48</v>
      </c>
      <c r="F4694" t="s">
        <v>41</v>
      </c>
      <c r="G4694" t="s">
        <v>33</v>
      </c>
      <c r="H4694" t="s">
        <v>67</v>
      </c>
      <c r="I4694" t="s">
        <v>96</v>
      </c>
      <c r="J4694" t="s">
        <v>44</v>
      </c>
      <c r="K4694">
        <v>8</v>
      </c>
      <c r="L4694">
        <v>84149</v>
      </c>
      <c r="M4694" t="s">
        <v>45</v>
      </c>
      <c r="N4694">
        <v>3</v>
      </c>
      <c r="O4694">
        <v>2</v>
      </c>
      <c r="P4694">
        <v>37</v>
      </c>
      <c r="Q4694">
        <v>2</v>
      </c>
      <c r="R4694" s="1">
        <v>42219</v>
      </c>
      <c r="S4694" t="s">
        <v>29</v>
      </c>
      <c r="T4694" t="str">
        <f t="shared" si="365"/>
        <v>Grade A</v>
      </c>
      <c r="U4694">
        <f t="shared" si="366"/>
        <v>2</v>
      </c>
      <c r="V4694" t="str">
        <f t="shared" si="367"/>
        <v>Mid Level</v>
      </c>
      <c r="W4694" t="str">
        <f t="shared" si="368"/>
        <v>Medium Risk</v>
      </c>
      <c r="X4694" t="str">
        <f t="shared" si="369"/>
        <v>Fair</v>
      </c>
    </row>
    <row r="4695" spans="1:24" x14ac:dyDescent="0.3">
      <c r="A4695" t="s">
        <v>4763</v>
      </c>
      <c r="B4695" t="s">
        <v>39</v>
      </c>
      <c r="C4695">
        <v>42</v>
      </c>
      <c r="D4695" t="s">
        <v>21</v>
      </c>
      <c r="E4695" t="s">
        <v>48</v>
      </c>
      <c r="F4695" t="s">
        <v>41</v>
      </c>
      <c r="G4695" t="s">
        <v>63</v>
      </c>
      <c r="H4695" t="s">
        <v>67</v>
      </c>
      <c r="I4695" t="s">
        <v>26</v>
      </c>
      <c r="J4695" t="s">
        <v>27</v>
      </c>
      <c r="K4695">
        <v>15</v>
      </c>
      <c r="L4695">
        <v>74822</v>
      </c>
      <c r="M4695" t="s">
        <v>28</v>
      </c>
      <c r="N4695">
        <v>4</v>
      </c>
      <c r="O4695">
        <v>4</v>
      </c>
      <c r="P4695">
        <v>29</v>
      </c>
      <c r="Q4695">
        <v>0</v>
      </c>
      <c r="R4695" s="1">
        <v>39463</v>
      </c>
      <c r="S4695" t="s">
        <v>29</v>
      </c>
      <c r="T4695" t="str">
        <f t="shared" si="365"/>
        <v>Grade B</v>
      </c>
      <c r="U4695">
        <f t="shared" si="366"/>
        <v>3</v>
      </c>
      <c r="V4695" t="str">
        <f t="shared" si="367"/>
        <v>Senior</v>
      </c>
      <c r="W4695" t="str">
        <f t="shared" si="368"/>
        <v>Medium Risk</v>
      </c>
      <c r="X4695" t="str">
        <f t="shared" si="369"/>
        <v>Competitive</v>
      </c>
    </row>
    <row r="4696" spans="1:24" x14ac:dyDescent="0.3">
      <c r="A4696" t="s">
        <v>4764</v>
      </c>
      <c r="B4696" t="s">
        <v>20</v>
      </c>
      <c r="C4696">
        <v>42</v>
      </c>
      <c r="D4696" t="s">
        <v>21</v>
      </c>
      <c r="E4696" t="s">
        <v>22</v>
      </c>
      <c r="F4696" t="s">
        <v>62</v>
      </c>
      <c r="G4696" t="s">
        <v>66</v>
      </c>
      <c r="H4696" t="s">
        <v>76</v>
      </c>
      <c r="I4696" t="s">
        <v>43</v>
      </c>
      <c r="J4696" t="s">
        <v>44</v>
      </c>
      <c r="K4696">
        <v>1</v>
      </c>
      <c r="L4696">
        <v>39142</v>
      </c>
      <c r="M4696" t="s">
        <v>45</v>
      </c>
      <c r="N4696">
        <v>4</v>
      </c>
      <c r="O4696">
        <v>1</v>
      </c>
      <c r="P4696">
        <v>51</v>
      </c>
      <c r="Q4696">
        <v>2</v>
      </c>
      <c r="R4696" s="1">
        <v>44813</v>
      </c>
      <c r="S4696" t="s">
        <v>37</v>
      </c>
      <c r="T4696" t="str">
        <f t="shared" si="365"/>
        <v>Grade C</v>
      </c>
      <c r="U4696">
        <f t="shared" si="366"/>
        <v>2</v>
      </c>
      <c r="V4696" t="str">
        <f t="shared" si="367"/>
        <v>New Joiner</v>
      </c>
      <c r="W4696" t="str">
        <f t="shared" si="368"/>
        <v>Already Left</v>
      </c>
      <c r="X4696" t="str">
        <f t="shared" si="369"/>
        <v>Fair</v>
      </c>
    </row>
    <row r="4697" spans="1:24" x14ac:dyDescent="0.3">
      <c r="A4697" t="s">
        <v>4765</v>
      </c>
      <c r="B4697" t="s">
        <v>39</v>
      </c>
      <c r="C4697">
        <v>52</v>
      </c>
      <c r="D4697" t="s">
        <v>47</v>
      </c>
      <c r="E4697" t="s">
        <v>48</v>
      </c>
      <c r="F4697" t="s">
        <v>23</v>
      </c>
      <c r="G4697" t="s">
        <v>33</v>
      </c>
      <c r="H4697" t="s">
        <v>25</v>
      </c>
      <c r="I4697" t="s">
        <v>96</v>
      </c>
      <c r="J4697" t="s">
        <v>44</v>
      </c>
      <c r="K4697">
        <v>9</v>
      </c>
      <c r="L4697">
        <v>70064</v>
      </c>
      <c r="M4697" t="s">
        <v>36</v>
      </c>
      <c r="N4697">
        <v>4</v>
      </c>
      <c r="O4697">
        <v>4</v>
      </c>
      <c r="P4697">
        <v>76</v>
      </c>
      <c r="Q4697">
        <v>2</v>
      </c>
      <c r="R4697" s="1">
        <v>41762</v>
      </c>
      <c r="S4697" t="s">
        <v>37</v>
      </c>
      <c r="T4697" t="str">
        <f t="shared" si="365"/>
        <v>Grade B</v>
      </c>
      <c r="U4697">
        <f t="shared" si="366"/>
        <v>1</v>
      </c>
      <c r="V4697" t="str">
        <f t="shared" si="367"/>
        <v>Mid Level</v>
      </c>
      <c r="W4697" t="str">
        <f t="shared" si="368"/>
        <v>Already Left</v>
      </c>
      <c r="X4697" t="str">
        <f t="shared" si="369"/>
        <v>Fair</v>
      </c>
    </row>
    <row r="4698" spans="1:24" x14ac:dyDescent="0.3">
      <c r="A4698" t="s">
        <v>4766</v>
      </c>
      <c r="B4698" t="s">
        <v>20</v>
      </c>
      <c r="C4698">
        <v>40</v>
      </c>
      <c r="D4698" t="s">
        <v>57</v>
      </c>
      <c r="E4698" t="s">
        <v>22</v>
      </c>
      <c r="F4698" t="s">
        <v>62</v>
      </c>
      <c r="G4698" t="s">
        <v>49</v>
      </c>
      <c r="H4698" t="s">
        <v>67</v>
      </c>
      <c r="I4698" t="s">
        <v>43</v>
      </c>
      <c r="J4698" t="s">
        <v>44</v>
      </c>
      <c r="K4698">
        <v>6</v>
      </c>
      <c r="L4698">
        <v>70995</v>
      </c>
      <c r="M4698" t="s">
        <v>36</v>
      </c>
      <c r="N4698">
        <v>4</v>
      </c>
      <c r="O4698">
        <v>4</v>
      </c>
      <c r="P4698">
        <v>42</v>
      </c>
      <c r="Q4698">
        <v>0</v>
      </c>
      <c r="R4698" s="1">
        <v>42785</v>
      </c>
      <c r="S4698" t="s">
        <v>37</v>
      </c>
      <c r="T4698" t="str">
        <f t="shared" si="365"/>
        <v>Grade B</v>
      </c>
      <c r="U4698">
        <f t="shared" si="366"/>
        <v>1</v>
      </c>
      <c r="V4698" t="str">
        <f t="shared" si="367"/>
        <v>Mid Level</v>
      </c>
      <c r="W4698" t="str">
        <f t="shared" si="368"/>
        <v>Already Left</v>
      </c>
      <c r="X4698" t="str">
        <f t="shared" si="369"/>
        <v>Fair</v>
      </c>
    </row>
    <row r="4699" spans="1:24" x14ac:dyDescent="0.3">
      <c r="A4699" t="s">
        <v>4767</v>
      </c>
      <c r="B4699" t="s">
        <v>20</v>
      </c>
      <c r="C4699">
        <v>29</v>
      </c>
      <c r="D4699" t="s">
        <v>31</v>
      </c>
      <c r="E4699" t="s">
        <v>22</v>
      </c>
      <c r="F4699" t="s">
        <v>75</v>
      </c>
      <c r="G4699" t="s">
        <v>42</v>
      </c>
      <c r="H4699" t="s">
        <v>76</v>
      </c>
      <c r="I4699" t="s">
        <v>43</v>
      </c>
      <c r="J4699" t="s">
        <v>44</v>
      </c>
      <c r="K4699">
        <v>12</v>
      </c>
      <c r="L4699">
        <v>126219</v>
      </c>
      <c r="M4699" t="s">
        <v>45</v>
      </c>
      <c r="N4699">
        <v>4</v>
      </c>
      <c r="O4699">
        <v>1</v>
      </c>
      <c r="P4699">
        <v>12</v>
      </c>
      <c r="Q4699">
        <v>0</v>
      </c>
      <c r="R4699" s="1">
        <v>40595</v>
      </c>
      <c r="S4699" t="s">
        <v>29</v>
      </c>
      <c r="T4699" t="str">
        <f t="shared" si="365"/>
        <v>Grade A</v>
      </c>
      <c r="U4699">
        <f t="shared" si="366"/>
        <v>2</v>
      </c>
      <c r="V4699" t="str">
        <f t="shared" si="367"/>
        <v>Senior</v>
      </c>
      <c r="W4699" t="str">
        <f t="shared" si="368"/>
        <v>Medium Risk</v>
      </c>
      <c r="X4699" t="str">
        <f t="shared" si="369"/>
        <v>Fair</v>
      </c>
    </row>
    <row r="4700" spans="1:24" x14ac:dyDescent="0.3">
      <c r="A4700" t="s">
        <v>4768</v>
      </c>
      <c r="B4700" t="s">
        <v>39</v>
      </c>
      <c r="C4700">
        <v>48</v>
      </c>
      <c r="D4700" t="s">
        <v>57</v>
      </c>
      <c r="E4700" t="s">
        <v>22</v>
      </c>
      <c r="F4700" t="s">
        <v>62</v>
      </c>
      <c r="G4700" t="s">
        <v>49</v>
      </c>
      <c r="H4700" t="s">
        <v>67</v>
      </c>
      <c r="I4700" t="s">
        <v>80</v>
      </c>
      <c r="J4700" t="s">
        <v>60</v>
      </c>
      <c r="K4700">
        <v>12</v>
      </c>
      <c r="L4700">
        <v>75251</v>
      </c>
      <c r="M4700" t="s">
        <v>45</v>
      </c>
      <c r="N4700">
        <v>4</v>
      </c>
      <c r="O4700">
        <v>4</v>
      </c>
      <c r="P4700">
        <v>13</v>
      </c>
      <c r="Q4700">
        <v>1</v>
      </c>
      <c r="R4700" s="1">
        <v>40912</v>
      </c>
      <c r="S4700" t="s">
        <v>37</v>
      </c>
      <c r="T4700" t="str">
        <f t="shared" si="365"/>
        <v>Grade B</v>
      </c>
      <c r="U4700">
        <f t="shared" si="366"/>
        <v>2</v>
      </c>
      <c r="V4700" t="str">
        <f t="shared" si="367"/>
        <v>Senior</v>
      </c>
      <c r="W4700" t="str">
        <f t="shared" si="368"/>
        <v>Already Left</v>
      </c>
      <c r="X4700" t="str">
        <f t="shared" si="369"/>
        <v>Fair</v>
      </c>
    </row>
    <row r="4701" spans="1:24" x14ac:dyDescent="0.3">
      <c r="A4701" t="s">
        <v>4769</v>
      </c>
      <c r="B4701" t="s">
        <v>20</v>
      </c>
      <c r="C4701">
        <v>31</v>
      </c>
      <c r="D4701" t="s">
        <v>57</v>
      </c>
      <c r="E4701" t="s">
        <v>48</v>
      </c>
      <c r="F4701" t="s">
        <v>65</v>
      </c>
      <c r="G4701" t="s">
        <v>33</v>
      </c>
      <c r="H4701" t="s">
        <v>67</v>
      </c>
      <c r="I4701" t="s">
        <v>80</v>
      </c>
      <c r="J4701" t="s">
        <v>60</v>
      </c>
      <c r="K4701">
        <v>1</v>
      </c>
      <c r="L4701">
        <v>58202</v>
      </c>
      <c r="M4701" t="s">
        <v>51</v>
      </c>
      <c r="N4701">
        <v>2</v>
      </c>
      <c r="O4701">
        <v>1</v>
      </c>
      <c r="P4701">
        <v>28</v>
      </c>
      <c r="Q4701">
        <v>0</v>
      </c>
      <c r="R4701" s="1">
        <v>44883</v>
      </c>
      <c r="S4701" t="s">
        <v>29</v>
      </c>
      <c r="T4701" t="str">
        <f t="shared" si="365"/>
        <v>Grade B</v>
      </c>
      <c r="U4701">
        <f t="shared" si="366"/>
        <v>4</v>
      </c>
      <c r="V4701" t="str">
        <f t="shared" si="367"/>
        <v>New Joiner</v>
      </c>
      <c r="W4701" t="str">
        <f t="shared" si="368"/>
        <v>Low Risk</v>
      </c>
      <c r="X4701" t="str">
        <f t="shared" si="369"/>
        <v>Fair</v>
      </c>
    </row>
    <row r="4702" spans="1:24" x14ac:dyDescent="0.3">
      <c r="A4702" t="s">
        <v>4770</v>
      </c>
      <c r="B4702" t="s">
        <v>20</v>
      </c>
      <c r="C4702">
        <v>44</v>
      </c>
      <c r="D4702" t="s">
        <v>47</v>
      </c>
      <c r="E4702" t="s">
        <v>48</v>
      </c>
      <c r="F4702" t="s">
        <v>32</v>
      </c>
      <c r="G4702" t="s">
        <v>58</v>
      </c>
      <c r="H4702" t="s">
        <v>83</v>
      </c>
      <c r="I4702" t="s">
        <v>59</v>
      </c>
      <c r="J4702" t="s">
        <v>60</v>
      </c>
      <c r="K4702">
        <v>4</v>
      </c>
      <c r="L4702">
        <v>86924</v>
      </c>
      <c r="M4702" t="s">
        <v>45</v>
      </c>
      <c r="N4702">
        <v>3</v>
      </c>
      <c r="O4702">
        <v>1</v>
      </c>
      <c r="P4702">
        <v>32</v>
      </c>
      <c r="Q4702">
        <v>3</v>
      </c>
      <c r="R4702" s="1">
        <v>43804</v>
      </c>
      <c r="S4702" t="s">
        <v>29</v>
      </c>
      <c r="T4702" t="str">
        <f t="shared" si="365"/>
        <v>Grade A</v>
      </c>
      <c r="U4702">
        <f t="shared" si="366"/>
        <v>2</v>
      </c>
      <c r="V4702" t="str">
        <f t="shared" si="367"/>
        <v>Junior</v>
      </c>
      <c r="W4702" t="str">
        <f t="shared" si="368"/>
        <v>Medium Risk</v>
      </c>
      <c r="X4702" t="str">
        <f t="shared" si="369"/>
        <v>Fair</v>
      </c>
    </row>
    <row r="4703" spans="1:24" x14ac:dyDescent="0.3">
      <c r="A4703" t="s">
        <v>4771</v>
      </c>
      <c r="B4703" t="s">
        <v>20</v>
      </c>
      <c r="C4703">
        <v>26</v>
      </c>
      <c r="D4703" t="s">
        <v>88</v>
      </c>
      <c r="E4703" t="s">
        <v>40</v>
      </c>
      <c r="F4703" t="s">
        <v>23</v>
      </c>
      <c r="G4703" t="s">
        <v>33</v>
      </c>
      <c r="H4703" t="s">
        <v>67</v>
      </c>
      <c r="I4703" t="s">
        <v>50</v>
      </c>
      <c r="J4703" t="s">
        <v>44</v>
      </c>
      <c r="K4703">
        <v>11</v>
      </c>
      <c r="L4703">
        <v>80732</v>
      </c>
      <c r="M4703" t="s">
        <v>36</v>
      </c>
      <c r="N4703">
        <v>3</v>
      </c>
      <c r="O4703">
        <v>2</v>
      </c>
      <c r="P4703">
        <v>13</v>
      </c>
      <c r="Q4703">
        <v>3</v>
      </c>
      <c r="R4703" s="1">
        <v>41015</v>
      </c>
      <c r="S4703" t="s">
        <v>29</v>
      </c>
      <c r="T4703" t="str">
        <f t="shared" si="365"/>
        <v>Grade A</v>
      </c>
      <c r="U4703">
        <f t="shared" si="366"/>
        <v>1</v>
      </c>
      <c r="V4703" t="str">
        <f t="shared" si="367"/>
        <v>Senior</v>
      </c>
      <c r="W4703" t="str">
        <f t="shared" si="368"/>
        <v>Medium Risk</v>
      </c>
      <c r="X4703" t="str">
        <f t="shared" si="369"/>
        <v>Overpaid</v>
      </c>
    </row>
    <row r="4704" spans="1:24" x14ac:dyDescent="0.3">
      <c r="A4704" t="s">
        <v>4772</v>
      </c>
      <c r="B4704" t="s">
        <v>20</v>
      </c>
      <c r="C4704">
        <v>34</v>
      </c>
      <c r="D4704" t="s">
        <v>57</v>
      </c>
      <c r="E4704" t="s">
        <v>48</v>
      </c>
      <c r="F4704" t="s">
        <v>62</v>
      </c>
      <c r="G4704" t="s">
        <v>24</v>
      </c>
      <c r="H4704" t="s">
        <v>34</v>
      </c>
      <c r="I4704" t="s">
        <v>68</v>
      </c>
      <c r="J4704" t="s">
        <v>60</v>
      </c>
      <c r="K4704">
        <v>9</v>
      </c>
      <c r="L4704">
        <v>84012</v>
      </c>
      <c r="M4704" t="s">
        <v>36</v>
      </c>
      <c r="N4704">
        <v>3</v>
      </c>
      <c r="O4704">
        <v>2</v>
      </c>
      <c r="P4704">
        <v>29</v>
      </c>
      <c r="Q4704">
        <v>0</v>
      </c>
      <c r="R4704" s="1">
        <v>41934</v>
      </c>
      <c r="S4704" t="s">
        <v>29</v>
      </c>
      <c r="T4704" t="str">
        <f t="shared" si="365"/>
        <v>Grade A</v>
      </c>
      <c r="U4704">
        <f t="shared" si="366"/>
        <v>1</v>
      </c>
      <c r="V4704" t="str">
        <f t="shared" si="367"/>
        <v>Mid Level</v>
      </c>
      <c r="W4704" t="str">
        <f t="shared" si="368"/>
        <v>Medium Risk</v>
      </c>
      <c r="X4704" t="str">
        <f t="shared" si="369"/>
        <v>Overpaid</v>
      </c>
    </row>
    <row r="4705" spans="1:24" x14ac:dyDescent="0.3">
      <c r="A4705" t="s">
        <v>4773</v>
      </c>
      <c r="B4705" t="s">
        <v>20</v>
      </c>
      <c r="C4705">
        <v>28</v>
      </c>
      <c r="D4705" t="s">
        <v>31</v>
      </c>
      <c r="E4705" t="s">
        <v>48</v>
      </c>
      <c r="F4705" t="s">
        <v>32</v>
      </c>
      <c r="G4705" t="s">
        <v>58</v>
      </c>
      <c r="H4705" t="s">
        <v>34</v>
      </c>
      <c r="I4705" t="s">
        <v>72</v>
      </c>
      <c r="J4705" t="s">
        <v>73</v>
      </c>
      <c r="K4705">
        <v>14</v>
      </c>
      <c r="L4705">
        <v>110655</v>
      </c>
      <c r="M4705" t="s">
        <v>45</v>
      </c>
      <c r="N4705">
        <v>1</v>
      </c>
      <c r="O4705">
        <v>4</v>
      </c>
      <c r="P4705">
        <v>18</v>
      </c>
      <c r="Q4705">
        <v>2</v>
      </c>
      <c r="R4705" s="1">
        <v>40093</v>
      </c>
      <c r="S4705" t="s">
        <v>37</v>
      </c>
      <c r="T4705" t="str">
        <f t="shared" si="365"/>
        <v>Grade A</v>
      </c>
      <c r="U4705">
        <f t="shared" si="366"/>
        <v>2</v>
      </c>
      <c r="V4705" t="str">
        <f t="shared" si="367"/>
        <v>Senior</v>
      </c>
      <c r="W4705" t="str">
        <f t="shared" si="368"/>
        <v>Already Left</v>
      </c>
      <c r="X4705" t="str">
        <f t="shared" si="369"/>
        <v>Fair</v>
      </c>
    </row>
    <row r="4706" spans="1:24" x14ac:dyDescent="0.3">
      <c r="A4706" t="s">
        <v>4774</v>
      </c>
      <c r="B4706" t="s">
        <v>20</v>
      </c>
      <c r="C4706">
        <v>24</v>
      </c>
      <c r="D4706" t="s">
        <v>57</v>
      </c>
      <c r="E4706" t="s">
        <v>22</v>
      </c>
      <c r="F4706" t="s">
        <v>75</v>
      </c>
      <c r="G4706" t="s">
        <v>58</v>
      </c>
      <c r="H4706" t="s">
        <v>76</v>
      </c>
      <c r="I4706" t="s">
        <v>80</v>
      </c>
      <c r="J4706" t="s">
        <v>60</v>
      </c>
      <c r="K4706">
        <v>4</v>
      </c>
      <c r="L4706">
        <v>92461</v>
      </c>
      <c r="M4706" t="s">
        <v>28</v>
      </c>
      <c r="N4706">
        <v>1</v>
      </c>
      <c r="O4706">
        <v>2</v>
      </c>
      <c r="P4706">
        <v>74</v>
      </c>
      <c r="Q4706">
        <v>1</v>
      </c>
      <c r="R4706" s="1">
        <v>43778</v>
      </c>
      <c r="S4706" t="s">
        <v>29</v>
      </c>
      <c r="T4706" t="str">
        <f t="shared" si="365"/>
        <v>Grade A</v>
      </c>
      <c r="U4706">
        <f t="shared" si="366"/>
        <v>3</v>
      </c>
      <c r="V4706" t="str">
        <f t="shared" si="367"/>
        <v>Junior</v>
      </c>
      <c r="W4706" t="str">
        <f t="shared" si="368"/>
        <v>Medium Risk</v>
      </c>
      <c r="X4706" t="str">
        <f t="shared" si="369"/>
        <v>Competitive</v>
      </c>
    </row>
    <row r="4707" spans="1:24" x14ac:dyDescent="0.3">
      <c r="A4707" t="s">
        <v>4775</v>
      </c>
      <c r="B4707" t="s">
        <v>20</v>
      </c>
      <c r="C4707">
        <v>42</v>
      </c>
      <c r="D4707" t="s">
        <v>31</v>
      </c>
      <c r="E4707" t="s">
        <v>40</v>
      </c>
      <c r="F4707" t="s">
        <v>41</v>
      </c>
      <c r="G4707" t="s">
        <v>66</v>
      </c>
      <c r="H4707" t="s">
        <v>25</v>
      </c>
      <c r="I4707" t="s">
        <v>72</v>
      </c>
      <c r="J4707" t="s">
        <v>73</v>
      </c>
      <c r="K4707">
        <v>4</v>
      </c>
      <c r="L4707">
        <v>42522</v>
      </c>
      <c r="M4707" t="s">
        <v>36</v>
      </c>
      <c r="N4707">
        <v>4</v>
      </c>
      <c r="O4707">
        <v>4</v>
      </c>
      <c r="P4707">
        <v>32</v>
      </c>
      <c r="Q4707">
        <v>0</v>
      </c>
      <c r="R4707" s="1">
        <v>43644</v>
      </c>
      <c r="S4707" t="s">
        <v>37</v>
      </c>
      <c r="T4707" t="str">
        <f t="shared" si="365"/>
        <v>Grade C</v>
      </c>
      <c r="U4707">
        <f t="shared" si="366"/>
        <v>1</v>
      </c>
      <c r="V4707" t="str">
        <f t="shared" si="367"/>
        <v>Junior</v>
      </c>
      <c r="W4707" t="str">
        <f t="shared" si="368"/>
        <v>Already Left</v>
      </c>
      <c r="X4707" t="str">
        <f t="shared" si="369"/>
        <v>Fair</v>
      </c>
    </row>
    <row r="4708" spans="1:24" x14ac:dyDescent="0.3">
      <c r="A4708" t="s">
        <v>4776</v>
      </c>
      <c r="B4708" t="s">
        <v>39</v>
      </c>
      <c r="C4708">
        <v>28</v>
      </c>
      <c r="D4708" t="s">
        <v>88</v>
      </c>
      <c r="E4708" t="s">
        <v>48</v>
      </c>
      <c r="F4708" t="s">
        <v>32</v>
      </c>
      <c r="G4708" t="s">
        <v>33</v>
      </c>
      <c r="H4708" t="s">
        <v>25</v>
      </c>
      <c r="I4708" t="s">
        <v>43</v>
      </c>
      <c r="J4708" t="s">
        <v>44</v>
      </c>
      <c r="K4708">
        <v>15</v>
      </c>
      <c r="L4708">
        <v>86944</v>
      </c>
      <c r="M4708" t="s">
        <v>36</v>
      </c>
      <c r="N4708">
        <v>4</v>
      </c>
      <c r="O4708">
        <v>1</v>
      </c>
      <c r="P4708">
        <v>71</v>
      </c>
      <c r="Q4708">
        <v>2</v>
      </c>
      <c r="R4708" s="1">
        <v>39470</v>
      </c>
      <c r="S4708" t="s">
        <v>37</v>
      </c>
      <c r="T4708" t="str">
        <f t="shared" si="365"/>
        <v>Grade A</v>
      </c>
      <c r="U4708">
        <f t="shared" si="366"/>
        <v>1</v>
      </c>
      <c r="V4708" t="str">
        <f t="shared" si="367"/>
        <v>Senior</v>
      </c>
      <c r="W4708" t="str">
        <f t="shared" si="368"/>
        <v>Already Left</v>
      </c>
      <c r="X4708" t="str">
        <f t="shared" si="369"/>
        <v>Overpaid</v>
      </c>
    </row>
    <row r="4709" spans="1:24" x14ac:dyDescent="0.3">
      <c r="A4709" t="s">
        <v>4777</v>
      </c>
      <c r="B4709" t="s">
        <v>39</v>
      </c>
      <c r="C4709">
        <v>45</v>
      </c>
      <c r="D4709" t="s">
        <v>31</v>
      </c>
      <c r="E4709" t="s">
        <v>22</v>
      </c>
      <c r="F4709" t="s">
        <v>53</v>
      </c>
      <c r="G4709" t="s">
        <v>79</v>
      </c>
      <c r="H4709" t="s">
        <v>76</v>
      </c>
      <c r="I4709" t="s">
        <v>59</v>
      </c>
      <c r="J4709" t="s">
        <v>60</v>
      </c>
      <c r="K4709">
        <v>12</v>
      </c>
      <c r="L4709">
        <v>69749</v>
      </c>
      <c r="M4709" t="s">
        <v>45</v>
      </c>
      <c r="N4709">
        <v>3</v>
      </c>
      <c r="O4709">
        <v>3</v>
      </c>
      <c r="P4709">
        <v>80</v>
      </c>
      <c r="Q4709">
        <v>2</v>
      </c>
      <c r="R4709" s="1">
        <v>40568</v>
      </c>
      <c r="S4709" t="s">
        <v>29</v>
      </c>
      <c r="T4709" t="str">
        <f t="shared" si="365"/>
        <v>Grade B</v>
      </c>
      <c r="U4709">
        <f t="shared" si="366"/>
        <v>2</v>
      </c>
      <c r="V4709" t="str">
        <f t="shared" si="367"/>
        <v>Senior</v>
      </c>
      <c r="W4709" t="str">
        <f t="shared" si="368"/>
        <v>Medium Risk</v>
      </c>
      <c r="X4709" t="str">
        <f t="shared" si="369"/>
        <v>Fair</v>
      </c>
    </row>
    <row r="4710" spans="1:24" x14ac:dyDescent="0.3">
      <c r="A4710" t="s">
        <v>4778</v>
      </c>
      <c r="B4710" t="s">
        <v>39</v>
      </c>
      <c r="C4710">
        <v>32</v>
      </c>
      <c r="D4710" t="s">
        <v>57</v>
      </c>
      <c r="E4710" t="s">
        <v>22</v>
      </c>
      <c r="F4710" t="s">
        <v>41</v>
      </c>
      <c r="G4710" t="s">
        <v>58</v>
      </c>
      <c r="H4710" t="s">
        <v>34</v>
      </c>
      <c r="I4710" t="s">
        <v>50</v>
      </c>
      <c r="J4710" t="s">
        <v>44</v>
      </c>
      <c r="K4710">
        <v>10</v>
      </c>
      <c r="L4710">
        <v>98040</v>
      </c>
      <c r="M4710" t="s">
        <v>28</v>
      </c>
      <c r="N4710">
        <v>1</v>
      </c>
      <c r="O4710">
        <v>1</v>
      </c>
      <c r="P4710">
        <v>23</v>
      </c>
      <c r="Q4710">
        <v>0</v>
      </c>
      <c r="R4710" s="1">
        <v>41587</v>
      </c>
      <c r="S4710" t="s">
        <v>37</v>
      </c>
      <c r="T4710" t="str">
        <f t="shared" si="365"/>
        <v>Grade A</v>
      </c>
      <c r="U4710">
        <f t="shared" si="366"/>
        <v>3</v>
      </c>
      <c r="V4710" t="str">
        <f t="shared" si="367"/>
        <v>Mid Level</v>
      </c>
      <c r="W4710" t="str">
        <f t="shared" si="368"/>
        <v>Already Left</v>
      </c>
      <c r="X4710" t="str">
        <f t="shared" si="369"/>
        <v>Competitive</v>
      </c>
    </row>
    <row r="4711" spans="1:24" x14ac:dyDescent="0.3">
      <c r="A4711" t="s">
        <v>4779</v>
      </c>
      <c r="B4711" t="s">
        <v>39</v>
      </c>
      <c r="C4711">
        <v>49</v>
      </c>
      <c r="D4711" t="s">
        <v>21</v>
      </c>
      <c r="E4711" t="s">
        <v>48</v>
      </c>
      <c r="F4711" t="s">
        <v>32</v>
      </c>
      <c r="G4711" t="s">
        <v>49</v>
      </c>
      <c r="H4711" t="s">
        <v>34</v>
      </c>
      <c r="I4711" t="s">
        <v>96</v>
      </c>
      <c r="J4711" t="s">
        <v>44</v>
      </c>
      <c r="K4711">
        <v>9</v>
      </c>
      <c r="L4711">
        <v>68002</v>
      </c>
      <c r="M4711" t="s">
        <v>45</v>
      </c>
      <c r="N4711">
        <v>4</v>
      </c>
      <c r="O4711">
        <v>1</v>
      </c>
      <c r="P4711">
        <v>78</v>
      </c>
      <c r="Q4711">
        <v>3</v>
      </c>
      <c r="R4711" s="1">
        <v>41899</v>
      </c>
      <c r="S4711" t="s">
        <v>37</v>
      </c>
      <c r="T4711" t="str">
        <f t="shared" si="365"/>
        <v>Grade B</v>
      </c>
      <c r="U4711">
        <f t="shared" si="366"/>
        <v>2</v>
      </c>
      <c r="V4711" t="str">
        <f t="shared" si="367"/>
        <v>Mid Level</v>
      </c>
      <c r="W4711" t="str">
        <f t="shared" si="368"/>
        <v>Already Left</v>
      </c>
      <c r="X4711" t="str">
        <f t="shared" si="369"/>
        <v>Fair</v>
      </c>
    </row>
    <row r="4712" spans="1:24" x14ac:dyDescent="0.3">
      <c r="A4712" t="s">
        <v>4780</v>
      </c>
      <c r="B4712" t="s">
        <v>39</v>
      </c>
      <c r="C4712">
        <v>24</v>
      </c>
      <c r="D4712" t="s">
        <v>47</v>
      </c>
      <c r="E4712" t="s">
        <v>48</v>
      </c>
      <c r="F4712" t="s">
        <v>78</v>
      </c>
      <c r="G4712" t="s">
        <v>66</v>
      </c>
      <c r="H4712" t="s">
        <v>83</v>
      </c>
      <c r="I4712" t="s">
        <v>68</v>
      </c>
      <c r="J4712" t="s">
        <v>60</v>
      </c>
      <c r="K4712">
        <v>5</v>
      </c>
      <c r="L4712">
        <v>36801</v>
      </c>
      <c r="M4712" t="s">
        <v>28</v>
      </c>
      <c r="N4712">
        <v>3</v>
      </c>
      <c r="O4712">
        <v>4</v>
      </c>
      <c r="P4712">
        <v>46</v>
      </c>
      <c r="Q4712">
        <v>1</v>
      </c>
      <c r="R4712" s="1">
        <v>43188</v>
      </c>
      <c r="S4712" t="s">
        <v>29</v>
      </c>
      <c r="T4712" t="str">
        <f t="shared" si="365"/>
        <v>Grade C</v>
      </c>
      <c r="U4712">
        <f t="shared" si="366"/>
        <v>3</v>
      </c>
      <c r="V4712" t="str">
        <f t="shared" si="367"/>
        <v>Junior</v>
      </c>
      <c r="W4712" t="str">
        <f t="shared" si="368"/>
        <v>Medium Risk</v>
      </c>
      <c r="X4712" t="str">
        <f t="shared" si="369"/>
        <v>Fair</v>
      </c>
    </row>
    <row r="4713" spans="1:24" x14ac:dyDescent="0.3">
      <c r="A4713" t="s">
        <v>4781</v>
      </c>
      <c r="B4713" t="s">
        <v>39</v>
      </c>
      <c r="C4713">
        <v>22</v>
      </c>
      <c r="D4713" t="s">
        <v>31</v>
      </c>
      <c r="E4713" t="s">
        <v>40</v>
      </c>
      <c r="F4713" t="s">
        <v>78</v>
      </c>
      <c r="G4713" t="s">
        <v>66</v>
      </c>
      <c r="H4713" t="s">
        <v>25</v>
      </c>
      <c r="I4713" t="s">
        <v>54</v>
      </c>
      <c r="J4713" t="s">
        <v>27</v>
      </c>
      <c r="K4713">
        <v>3</v>
      </c>
      <c r="L4713">
        <v>47068</v>
      </c>
      <c r="M4713" t="s">
        <v>28</v>
      </c>
      <c r="N4713">
        <v>2</v>
      </c>
      <c r="O4713">
        <v>1</v>
      </c>
      <c r="P4713">
        <v>45</v>
      </c>
      <c r="Q4713">
        <v>2</v>
      </c>
      <c r="R4713" s="1">
        <v>43894</v>
      </c>
      <c r="S4713" t="s">
        <v>29</v>
      </c>
      <c r="T4713" t="str">
        <f t="shared" si="365"/>
        <v>Grade C</v>
      </c>
      <c r="U4713">
        <f t="shared" si="366"/>
        <v>3</v>
      </c>
      <c r="V4713" t="str">
        <f t="shared" si="367"/>
        <v>Junior</v>
      </c>
      <c r="W4713" t="str">
        <f t="shared" si="368"/>
        <v>Medium Risk</v>
      </c>
      <c r="X4713" t="str">
        <f t="shared" si="369"/>
        <v>Fair</v>
      </c>
    </row>
    <row r="4714" spans="1:24" x14ac:dyDescent="0.3">
      <c r="A4714" t="s">
        <v>4782</v>
      </c>
      <c r="B4714" t="s">
        <v>39</v>
      </c>
      <c r="C4714">
        <v>46</v>
      </c>
      <c r="D4714" t="s">
        <v>88</v>
      </c>
      <c r="E4714" t="s">
        <v>22</v>
      </c>
      <c r="F4714" t="s">
        <v>53</v>
      </c>
      <c r="G4714" t="s">
        <v>79</v>
      </c>
      <c r="H4714" t="s">
        <v>67</v>
      </c>
      <c r="I4714" t="s">
        <v>59</v>
      </c>
      <c r="J4714" t="s">
        <v>60</v>
      </c>
      <c r="K4714">
        <v>3</v>
      </c>
      <c r="L4714">
        <v>43081</v>
      </c>
      <c r="M4714" t="s">
        <v>28</v>
      </c>
      <c r="N4714">
        <v>2</v>
      </c>
      <c r="O4714">
        <v>4</v>
      </c>
      <c r="P4714">
        <v>69</v>
      </c>
      <c r="Q4714">
        <v>1</v>
      </c>
      <c r="R4714" s="1">
        <v>44162</v>
      </c>
      <c r="S4714" t="s">
        <v>37</v>
      </c>
      <c r="T4714" t="str">
        <f t="shared" si="365"/>
        <v>Grade C</v>
      </c>
      <c r="U4714">
        <f t="shared" si="366"/>
        <v>3</v>
      </c>
      <c r="V4714" t="str">
        <f t="shared" si="367"/>
        <v>Junior</v>
      </c>
      <c r="W4714" t="str">
        <f t="shared" si="368"/>
        <v>Already Left</v>
      </c>
      <c r="X4714" t="str">
        <f t="shared" si="369"/>
        <v>Fair</v>
      </c>
    </row>
    <row r="4715" spans="1:24" x14ac:dyDescent="0.3">
      <c r="A4715" t="s">
        <v>4783</v>
      </c>
      <c r="B4715" t="s">
        <v>20</v>
      </c>
      <c r="C4715">
        <v>53</v>
      </c>
      <c r="D4715" t="s">
        <v>31</v>
      </c>
      <c r="E4715" t="s">
        <v>48</v>
      </c>
      <c r="F4715" t="s">
        <v>65</v>
      </c>
      <c r="G4715" t="s">
        <v>42</v>
      </c>
      <c r="H4715" t="s">
        <v>76</v>
      </c>
      <c r="I4715" t="s">
        <v>59</v>
      </c>
      <c r="J4715" t="s">
        <v>60</v>
      </c>
      <c r="K4715">
        <v>2</v>
      </c>
      <c r="L4715">
        <v>95291</v>
      </c>
      <c r="M4715" t="s">
        <v>51</v>
      </c>
      <c r="N4715">
        <v>2</v>
      </c>
      <c r="O4715">
        <v>4</v>
      </c>
      <c r="P4715">
        <v>79</v>
      </c>
      <c r="Q4715">
        <v>1</v>
      </c>
      <c r="R4715" s="1">
        <v>44512</v>
      </c>
      <c r="S4715" t="s">
        <v>29</v>
      </c>
      <c r="T4715" t="str">
        <f t="shared" si="365"/>
        <v>Grade A</v>
      </c>
      <c r="U4715">
        <f t="shared" si="366"/>
        <v>4</v>
      </c>
      <c r="V4715" t="str">
        <f t="shared" si="367"/>
        <v>New Joiner</v>
      </c>
      <c r="W4715" t="str">
        <f t="shared" si="368"/>
        <v>Low Risk</v>
      </c>
      <c r="X4715" t="str">
        <f t="shared" si="369"/>
        <v>Competitive</v>
      </c>
    </row>
    <row r="4716" spans="1:24" x14ac:dyDescent="0.3">
      <c r="A4716" t="s">
        <v>4784</v>
      </c>
      <c r="B4716" t="s">
        <v>20</v>
      </c>
      <c r="C4716">
        <v>24</v>
      </c>
      <c r="D4716" t="s">
        <v>31</v>
      </c>
      <c r="E4716" t="s">
        <v>40</v>
      </c>
      <c r="F4716" t="s">
        <v>65</v>
      </c>
      <c r="G4716" t="s">
        <v>42</v>
      </c>
      <c r="H4716" t="s">
        <v>25</v>
      </c>
      <c r="I4716" t="s">
        <v>59</v>
      </c>
      <c r="J4716" t="s">
        <v>60</v>
      </c>
      <c r="K4716">
        <v>2</v>
      </c>
      <c r="L4716">
        <v>98585</v>
      </c>
      <c r="M4716" t="s">
        <v>28</v>
      </c>
      <c r="N4716">
        <v>2</v>
      </c>
      <c r="O4716">
        <v>3</v>
      </c>
      <c r="P4716">
        <v>60</v>
      </c>
      <c r="Q4716">
        <v>1</v>
      </c>
      <c r="R4716" s="1">
        <v>44201</v>
      </c>
      <c r="S4716" t="s">
        <v>29</v>
      </c>
      <c r="T4716" t="str">
        <f t="shared" si="365"/>
        <v>Grade A</v>
      </c>
      <c r="U4716">
        <f t="shared" si="366"/>
        <v>3</v>
      </c>
      <c r="V4716" t="str">
        <f t="shared" si="367"/>
        <v>New Joiner</v>
      </c>
      <c r="W4716" t="str">
        <f t="shared" si="368"/>
        <v>Medium Risk</v>
      </c>
      <c r="X4716" t="str">
        <f t="shared" si="369"/>
        <v>Competitive</v>
      </c>
    </row>
    <row r="4717" spans="1:24" x14ac:dyDescent="0.3">
      <c r="A4717" t="s">
        <v>4785</v>
      </c>
      <c r="B4717" t="s">
        <v>39</v>
      </c>
      <c r="C4717">
        <v>49</v>
      </c>
      <c r="D4717" t="s">
        <v>88</v>
      </c>
      <c r="E4717" t="s">
        <v>48</v>
      </c>
      <c r="F4717" t="s">
        <v>78</v>
      </c>
      <c r="G4717" t="s">
        <v>58</v>
      </c>
      <c r="H4717" t="s">
        <v>83</v>
      </c>
      <c r="I4717" t="s">
        <v>80</v>
      </c>
      <c r="J4717" t="s">
        <v>60</v>
      </c>
      <c r="K4717">
        <v>9</v>
      </c>
      <c r="L4717">
        <v>96487</v>
      </c>
      <c r="M4717" t="s">
        <v>36</v>
      </c>
      <c r="N4717">
        <v>3</v>
      </c>
      <c r="O4717">
        <v>3</v>
      </c>
      <c r="P4717">
        <v>15</v>
      </c>
      <c r="Q4717">
        <v>3</v>
      </c>
      <c r="R4717" s="1">
        <v>41963</v>
      </c>
      <c r="S4717" t="s">
        <v>37</v>
      </c>
      <c r="T4717" t="str">
        <f t="shared" si="365"/>
        <v>Grade A</v>
      </c>
      <c r="U4717">
        <f t="shared" si="366"/>
        <v>1</v>
      </c>
      <c r="V4717" t="str">
        <f t="shared" si="367"/>
        <v>Mid Level</v>
      </c>
      <c r="W4717" t="str">
        <f t="shared" si="368"/>
        <v>Already Left</v>
      </c>
      <c r="X4717" t="str">
        <f t="shared" si="369"/>
        <v>Overpaid</v>
      </c>
    </row>
    <row r="4718" spans="1:24" x14ac:dyDescent="0.3">
      <c r="A4718" t="s">
        <v>4786</v>
      </c>
      <c r="B4718" t="s">
        <v>20</v>
      </c>
      <c r="C4718">
        <v>24</v>
      </c>
      <c r="D4718" t="s">
        <v>57</v>
      </c>
      <c r="E4718" t="s">
        <v>48</v>
      </c>
      <c r="F4718" t="s">
        <v>23</v>
      </c>
      <c r="G4718" t="s">
        <v>66</v>
      </c>
      <c r="H4718" t="s">
        <v>83</v>
      </c>
      <c r="I4718" t="s">
        <v>72</v>
      </c>
      <c r="J4718" t="s">
        <v>73</v>
      </c>
      <c r="K4718">
        <v>4</v>
      </c>
      <c r="L4718">
        <v>46197</v>
      </c>
      <c r="M4718" t="s">
        <v>28</v>
      </c>
      <c r="N4718">
        <v>1</v>
      </c>
      <c r="O4718">
        <v>3</v>
      </c>
      <c r="P4718">
        <v>28</v>
      </c>
      <c r="Q4718">
        <v>0</v>
      </c>
      <c r="R4718" s="1">
        <v>43790</v>
      </c>
      <c r="S4718" t="s">
        <v>29</v>
      </c>
      <c r="T4718" t="str">
        <f t="shared" si="365"/>
        <v>Grade C</v>
      </c>
      <c r="U4718">
        <f t="shared" si="366"/>
        <v>3</v>
      </c>
      <c r="V4718" t="str">
        <f t="shared" si="367"/>
        <v>Junior</v>
      </c>
      <c r="W4718" t="str">
        <f t="shared" si="368"/>
        <v>Medium Risk</v>
      </c>
      <c r="X4718" t="str">
        <f t="shared" si="369"/>
        <v>Fair</v>
      </c>
    </row>
    <row r="4719" spans="1:24" x14ac:dyDescent="0.3">
      <c r="A4719" t="s">
        <v>4787</v>
      </c>
      <c r="B4719" t="s">
        <v>39</v>
      </c>
      <c r="C4719">
        <v>38</v>
      </c>
      <c r="D4719" t="s">
        <v>88</v>
      </c>
      <c r="E4719" t="s">
        <v>40</v>
      </c>
      <c r="F4719" t="s">
        <v>65</v>
      </c>
      <c r="G4719" t="s">
        <v>79</v>
      </c>
      <c r="H4719" t="s">
        <v>25</v>
      </c>
      <c r="I4719" t="s">
        <v>50</v>
      </c>
      <c r="J4719" t="s">
        <v>44</v>
      </c>
      <c r="K4719">
        <v>6</v>
      </c>
      <c r="L4719">
        <v>48267</v>
      </c>
      <c r="M4719" t="s">
        <v>28</v>
      </c>
      <c r="N4719">
        <v>4</v>
      </c>
      <c r="O4719">
        <v>2</v>
      </c>
      <c r="P4719">
        <v>29</v>
      </c>
      <c r="Q4719">
        <v>0</v>
      </c>
      <c r="R4719" s="1">
        <v>43051</v>
      </c>
      <c r="S4719" t="s">
        <v>29</v>
      </c>
      <c r="T4719" t="str">
        <f t="shared" si="365"/>
        <v>Grade C</v>
      </c>
      <c r="U4719">
        <f t="shared" si="366"/>
        <v>3</v>
      </c>
      <c r="V4719" t="str">
        <f t="shared" si="367"/>
        <v>Mid Level</v>
      </c>
      <c r="W4719" t="str">
        <f t="shared" si="368"/>
        <v>Medium Risk</v>
      </c>
      <c r="X4719" t="str">
        <f t="shared" si="369"/>
        <v>Fair</v>
      </c>
    </row>
    <row r="4720" spans="1:24" x14ac:dyDescent="0.3">
      <c r="A4720" t="s">
        <v>4788</v>
      </c>
      <c r="B4720" t="s">
        <v>39</v>
      </c>
      <c r="C4720">
        <v>33</v>
      </c>
      <c r="D4720" t="s">
        <v>88</v>
      </c>
      <c r="E4720" t="s">
        <v>40</v>
      </c>
      <c r="F4720" t="s">
        <v>23</v>
      </c>
      <c r="G4720" t="s">
        <v>66</v>
      </c>
      <c r="H4720" t="s">
        <v>76</v>
      </c>
      <c r="I4720" t="s">
        <v>50</v>
      </c>
      <c r="J4720" t="s">
        <v>44</v>
      </c>
      <c r="K4720">
        <v>9</v>
      </c>
      <c r="L4720">
        <v>59619</v>
      </c>
      <c r="M4720" t="s">
        <v>36</v>
      </c>
      <c r="N4720">
        <v>2</v>
      </c>
      <c r="O4720">
        <v>1</v>
      </c>
      <c r="P4720">
        <v>69</v>
      </c>
      <c r="Q4720">
        <v>3</v>
      </c>
      <c r="R4720" s="1">
        <v>41686</v>
      </c>
      <c r="S4720" t="s">
        <v>29</v>
      </c>
      <c r="T4720" t="str">
        <f t="shared" si="365"/>
        <v>Grade B</v>
      </c>
      <c r="U4720">
        <f t="shared" si="366"/>
        <v>1</v>
      </c>
      <c r="V4720" t="str">
        <f t="shared" si="367"/>
        <v>Mid Level</v>
      </c>
      <c r="W4720" t="str">
        <f t="shared" si="368"/>
        <v>Medium Risk</v>
      </c>
      <c r="X4720" t="str">
        <f t="shared" si="369"/>
        <v>Fair</v>
      </c>
    </row>
    <row r="4721" spans="1:24" x14ac:dyDescent="0.3">
      <c r="A4721" t="s">
        <v>4789</v>
      </c>
      <c r="B4721" t="s">
        <v>20</v>
      </c>
      <c r="C4721">
        <v>31</v>
      </c>
      <c r="D4721" t="s">
        <v>57</v>
      </c>
      <c r="E4721" t="s">
        <v>48</v>
      </c>
      <c r="F4721" t="s">
        <v>75</v>
      </c>
      <c r="G4721" t="s">
        <v>49</v>
      </c>
      <c r="H4721" t="s">
        <v>83</v>
      </c>
      <c r="I4721" t="s">
        <v>54</v>
      </c>
      <c r="J4721" t="s">
        <v>27</v>
      </c>
      <c r="K4721">
        <v>9</v>
      </c>
      <c r="L4721">
        <v>66573</v>
      </c>
      <c r="M4721" t="s">
        <v>28</v>
      </c>
      <c r="N4721">
        <v>4</v>
      </c>
      <c r="O4721">
        <v>1</v>
      </c>
      <c r="P4721">
        <v>60</v>
      </c>
      <c r="Q4721">
        <v>0</v>
      </c>
      <c r="R4721" s="1">
        <v>41739</v>
      </c>
      <c r="S4721" t="s">
        <v>29</v>
      </c>
      <c r="T4721" t="str">
        <f t="shared" si="365"/>
        <v>Grade B</v>
      </c>
      <c r="U4721">
        <f t="shared" si="366"/>
        <v>3</v>
      </c>
      <c r="V4721" t="str">
        <f t="shared" si="367"/>
        <v>Mid Level</v>
      </c>
      <c r="W4721" t="str">
        <f t="shared" si="368"/>
        <v>Medium Risk</v>
      </c>
      <c r="X4721" t="str">
        <f t="shared" si="369"/>
        <v>Competitive</v>
      </c>
    </row>
    <row r="4722" spans="1:24" x14ac:dyDescent="0.3">
      <c r="A4722" t="s">
        <v>4790</v>
      </c>
      <c r="B4722" t="s">
        <v>39</v>
      </c>
      <c r="C4722">
        <v>53</v>
      </c>
      <c r="D4722" t="s">
        <v>88</v>
      </c>
      <c r="E4722" t="s">
        <v>48</v>
      </c>
      <c r="F4722" t="s">
        <v>23</v>
      </c>
      <c r="G4722" t="s">
        <v>66</v>
      </c>
      <c r="H4722" t="s">
        <v>83</v>
      </c>
      <c r="I4722" t="s">
        <v>72</v>
      </c>
      <c r="J4722" t="s">
        <v>73</v>
      </c>
      <c r="K4722">
        <v>1</v>
      </c>
      <c r="L4722">
        <v>27422</v>
      </c>
      <c r="M4722" t="s">
        <v>36</v>
      </c>
      <c r="N4722">
        <v>1</v>
      </c>
      <c r="O4722">
        <v>1</v>
      </c>
      <c r="P4722">
        <v>42</v>
      </c>
      <c r="Q4722">
        <v>0</v>
      </c>
      <c r="R4722" s="1">
        <v>44910</v>
      </c>
      <c r="S4722" t="s">
        <v>37</v>
      </c>
      <c r="T4722" t="str">
        <f t="shared" si="365"/>
        <v>Grade D</v>
      </c>
      <c r="U4722">
        <f t="shared" si="366"/>
        <v>1</v>
      </c>
      <c r="V4722" t="str">
        <f t="shared" si="367"/>
        <v>New Joiner</v>
      </c>
      <c r="W4722" t="str">
        <f t="shared" si="368"/>
        <v>Already Left</v>
      </c>
      <c r="X4722" t="str">
        <f t="shared" si="369"/>
        <v>Fair</v>
      </c>
    </row>
    <row r="4723" spans="1:24" x14ac:dyDescent="0.3">
      <c r="A4723" t="s">
        <v>4791</v>
      </c>
      <c r="B4723" t="s">
        <v>39</v>
      </c>
      <c r="C4723">
        <v>47</v>
      </c>
      <c r="D4723" t="s">
        <v>47</v>
      </c>
      <c r="E4723" t="s">
        <v>48</v>
      </c>
      <c r="F4723" t="s">
        <v>75</v>
      </c>
      <c r="G4723" t="s">
        <v>42</v>
      </c>
      <c r="H4723" t="s">
        <v>76</v>
      </c>
      <c r="I4723" t="s">
        <v>96</v>
      </c>
      <c r="J4723" t="s">
        <v>44</v>
      </c>
      <c r="K4723">
        <v>4</v>
      </c>
      <c r="L4723">
        <v>108231</v>
      </c>
      <c r="M4723" t="s">
        <v>51</v>
      </c>
      <c r="N4723">
        <v>3</v>
      </c>
      <c r="O4723">
        <v>4</v>
      </c>
      <c r="P4723">
        <v>46</v>
      </c>
      <c r="Q4723">
        <v>3</v>
      </c>
      <c r="R4723" s="1">
        <v>43815</v>
      </c>
      <c r="S4723" t="s">
        <v>37</v>
      </c>
      <c r="T4723" t="str">
        <f t="shared" si="365"/>
        <v>Grade A</v>
      </c>
      <c r="U4723">
        <f t="shared" si="366"/>
        <v>4</v>
      </c>
      <c r="V4723" t="str">
        <f t="shared" si="367"/>
        <v>Junior</v>
      </c>
      <c r="W4723" t="str">
        <f t="shared" si="368"/>
        <v>Already Left</v>
      </c>
      <c r="X4723" t="str">
        <f t="shared" si="369"/>
        <v>Competitive</v>
      </c>
    </row>
    <row r="4724" spans="1:24" x14ac:dyDescent="0.3">
      <c r="A4724" t="s">
        <v>4792</v>
      </c>
      <c r="B4724" t="s">
        <v>39</v>
      </c>
      <c r="C4724">
        <v>27</v>
      </c>
      <c r="D4724" t="s">
        <v>88</v>
      </c>
      <c r="E4724" t="s">
        <v>40</v>
      </c>
      <c r="F4724" t="s">
        <v>53</v>
      </c>
      <c r="G4724" t="s">
        <v>33</v>
      </c>
      <c r="H4724" t="s">
        <v>25</v>
      </c>
      <c r="I4724" t="s">
        <v>68</v>
      </c>
      <c r="J4724" t="s">
        <v>60</v>
      </c>
      <c r="K4724">
        <v>11</v>
      </c>
      <c r="L4724">
        <v>80533</v>
      </c>
      <c r="M4724" t="s">
        <v>51</v>
      </c>
      <c r="N4724">
        <v>2</v>
      </c>
      <c r="O4724">
        <v>2</v>
      </c>
      <c r="P4724">
        <v>50</v>
      </c>
      <c r="Q4724">
        <v>1</v>
      </c>
      <c r="R4724" s="1">
        <v>41055</v>
      </c>
      <c r="S4724" t="s">
        <v>29</v>
      </c>
      <c r="T4724" t="str">
        <f t="shared" si="365"/>
        <v>Grade A</v>
      </c>
      <c r="U4724">
        <f t="shared" si="366"/>
        <v>4</v>
      </c>
      <c r="V4724" t="str">
        <f t="shared" si="367"/>
        <v>Senior</v>
      </c>
      <c r="W4724" t="str">
        <f t="shared" si="368"/>
        <v>Low Risk</v>
      </c>
      <c r="X4724" t="str">
        <f t="shared" si="369"/>
        <v>Competitive</v>
      </c>
    </row>
    <row r="4725" spans="1:24" x14ac:dyDescent="0.3">
      <c r="A4725" t="s">
        <v>4793</v>
      </c>
      <c r="B4725" t="s">
        <v>39</v>
      </c>
      <c r="C4725">
        <v>45</v>
      </c>
      <c r="D4725" t="s">
        <v>57</v>
      </c>
      <c r="E4725" t="s">
        <v>48</v>
      </c>
      <c r="F4725" t="s">
        <v>41</v>
      </c>
      <c r="G4725" t="s">
        <v>33</v>
      </c>
      <c r="H4725" t="s">
        <v>76</v>
      </c>
      <c r="I4725" t="s">
        <v>50</v>
      </c>
      <c r="J4725" t="s">
        <v>44</v>
      </c>
      <c r="K4725">
        <v>10</v>
      </c>
      <c r="L4725">
        <v>72009</v>
      </c>
      <c r="M4725" t="s">
        <v>45</v>
      </c>
      <c r="N4725">
        <v>1</v>
      </c>
      <c r="O4725">
        <v>1</v>
      </c>
      <c r="P4725">
        <v>68</v>
      </c>
      <c r="Q4725">
        <v>0</v>
      </c>
      <c r="R4725" s="1">
        <v>41609</v>
      </c>
      <c r="S4725" t="s">
        <v>29</v>
      </c>
      <c r="T4725" t="str">
        <f t="shared" si="365"/>
        <v>Grade B</v>
      </c>
      <c r="U4725">
        <f t="shared" si="366"/>
        <v>2</v>
      </c>
      <c r="V4725" t="str">
        <f t="shared" si="367"/>
        <v>Mid Level</v>
      </c>
      <c r="W4725" t="str">
        <f t="shared" si="368"/>
        <v>Medium Risk</v>
      </c>
      <c r="X4725" t="str">
        <f t="shared" si="369"/>
        <v>Fair</v>
      </c>
    </row>
    <row r="4726" spans="1:24" x14ac:dyDescent="0.3">
      <c r="A4726" t="s">
        <v>4794</v>
      </c>
      <c r="B4726" t="s">
        <v>20</v>
      </c>
      <c r="C4726">
        <v>50</v>
      </c>
      <c r="D4726" t="s">
        <v>47</v>
      </c>
      <c r="E4726" t="s">
        <v>40</v>
      </c>
      <c r="F4726" t="s">
        <v>62</v>
      </c>
      <c r="G4726" t="s">
        <v>24</v>
      </c>
      <c r="H4726" t="s">
        <v>83</v>
      </c>
      <c r="I4726" t="s">
        <v>80</v>
      </c>
      <c r="J4726" t="s">
        <v>60</v>
      </c>
      <c r="K4726">
        <v>5</v>
      </c>
      <c r="L4726">
        <v>92584</v>
      </c>
      <c r="M4726" t="s">
        <v>28</v>
      </c>
      <c r="N4726">
        <v>1</v>
      </c>
      <c r="O4726">
        <v>1</v>
      </c>
      <c r="P4726">
        <v>16</v>
      </c>
      <c r="Q4726">
        <v>0</v>
      </c>
      <c r="R4726" s="1">
        <v>43304</v>
      </c>
      <c r="S4726" t="s">
        <v>29</v>
      </c>
      <c r="T4726" t="str">
        <f t="shared" si="365"/>
        <v>Grade A</v>
      </c>
      <c r="U4726">
        <f t="shared" si="366"/>
        <v>3</v>
      </c>
      <c r="V4726" t="str">
        <f t="shared" si="367"/>
        <v>Junior</v>
      </c>
      <c r="W4726" t="str">
        <f t="shared" si="368"/>
        <v>Medium Risk</v>
      </c>
      <c r="X4726" t="str">
        <f t="shared" si="369"/>
        <v>Competitive</v>
      </c>
    </row>
    <row r="4727" spans="1:24" x14ac:dyDescent="0.3">
      <c r="A4727" t="s">
        <v>4795</v>
      </c>
      <c r="B4727" t="s">
        <v>39</v>
      </c>
      <c r="C4727">
        <v>48</v>
      </c>
      <c r="D4727" t="s">
        <v>21</v>
      </c>
      <c r="E4727" t="s">
        <v>48</v>
      </c>
      <c r="F4727" t="s">
        <v>75</v>
      </c>
      <c r="G4727" t="s">
        <v>24</v>
      </c>
      <c r="H4727" t="s">
        <v>76</v>
      </c>
      <c r="I4727" t="s">
        <v>96</v>
      </c>
      <c r="J4727" t="s">
        <v>44</v>
      </c>
      <c r="K4727">
        <v>15</v>
      </c>
      <c r="L4727">
        <v>109420</v>
      </c>
      <c r="M4727" t="s">
        <v>51</v>
      </c>
      <c r="N4727">
        <v>3</v>
      </c>
      <c r="O4727">
        <v>1</v>
      </c>
      <c r="P4727">
        <v>75</v>
      </c>
      <c r="Q4727">
        <v>2</v>
      </c>
      <c r="R4727" s="1">
        <v>39771</v>
      </c>
      <c r="S4727" t="s">
        <v>29</v>
      </c>
      <c r="T4727" t="str">
        <f t="shared" si="365"/>
        <v>Grade A</v>
      </c>
      <c r="U4727">
        <f t="shared" si="366"/>
        <v>4</v>
      </c>
      <c r="V4727" t="str">
        <f t="shared" si="367"/>
        <v>Senior</v>
      </c>
      <c r="W4727" t="str">
        <f t="shared" si="368"/>
        <v>Low Risk</v>
      </c>
      <c r="X4727" t="str">
        <f t="shared" si="369"/>
        <v>Competitive</v>
      </c>
    </row>
    <row r="4728" spans="1:24" x14ac:dyDescent="0.3">
      <c r="A4728" t="s">
        <v>4796</v>
      </c>
      <c r="B4728" t="s">
        <v>39</v>
      </c>
      <c r="C4728">
        <v>25</v>
      </c>
      <c r="D4728" t="s">
        <v>47</v>
      </c>
      <c r="E4728" t="s">
        <v>22</v>
      </c>
      <c r="F4728" t="s">
        <v>41</v>
      </c>
      <c r="G4728" t="s">
        <v>49</v>
      </c>
      <c r="H4728" t="s">
        <v>83</v>
      </c>
      <c r="I4728" t="s">
        <v>43</v>
      </c>
      <c r="J4728" t="s">
        <v>44</v>
      </c>
      <c r="K4728">
        <v>10</v>
      </c>
      <c r="L4728">
        <v>69773</v>
      </c>
      <c r="M4728" t="s">
        <v>28</v>
      </c>
      <c r="N4728">
        <v>3</v>
      </c>
      <c r="O4728">
        <v>3</v>
      </c>
      <c r="P4728">
        <v>36</v>
      </c>
      <c r="Q4728">
        <v>1</v>
      </c>
      <c r="R4728" s="1">
        <v>41580</v>
      </c>
      <c r="S4728" t="s">
        <v>29</v>
      </c>
      <c r="T4728" t="str">
        <f t="shared" si="365"/>
        <v>Grade B</v>
      </c>
      <c r="U4728">
        <f t="shared" si="366"/>
        <v>3</v>
      </c>
      <c r="V4728" t="str">
        <f t="shared" si="367"/>
        <v>Mid Level</v>
      </c>
      <c r="W4728" t="str">
        <f t="shared" si="368"/>
        <v>Medium Risk</v>
      </c>
      <c r="X4728" t="str">
        <f t="shared" si="369"/>
        <v>Competitive</v>
      </c>
    </row>
    <row r="4729" spans="1:24" x14ac:dyDescent="0.3">
      <c r="A4729" t="s">
        <v>4797</v>
      </c>
      <c r="B4729" t="s">
        <v>39</v>
      </c>
      <c r="C4729">
        <v>27</v>
      </c>
      <c r="D4729" t="s">
        <v>31</v>
      </c>
      <c r="E4729" t="s">
        <v>40</v>
      </c>
      <c r="F4729" t="s">
        <v>78</v>
      </c>
      <c r="G4729" t="s">
        <v>79</v>
      </c>
      <c r="H4729" t="s">
        <v>25</v>
      </c>
      <c r="I4729" t="s">
        <v>26</v>
      </c>
      <c r="J4729" t="s">
        <v>27</v>
      </c>
      <c r="K4729">
        <v>3</v>
      </c>
      <c r="L4729">
        <v>50200</v>
      </c>
      <c r="M4729" t="s">
        <v>28</v>
      </c>
      <c r="N4729">
        <v>4</v>
      </c>
      <c r="O4729">
        <v>1</v>
      </c>
      <c r="P4729">
        <v>35</v>
      </c>
      <c r="Q4729">
        <v>3</v>
      </c>
      <c r="R4729" s="1">
        <v>43899</v>
      </c>
      <c r="S4729" t="s">
        <v>29</v>
      </c>
      <c r="T4729" t="str">
        <f t="shared" si="365"/>
        <v>Grade B</v>
      </c>
      <c r="U4729">
        <f t="shared" si="366"/>
        <v>3</v>
      </c>
      <c r="V4729" t="str">
        <f t="shared" si="367"/>
        <v>Junior</v>
      </c>
      <c r="W4729" t="str">
        <f t="shared" si="368"/>
        <v>Medium Risk</v>
      </c>
      <c r="X4729" t="str">
        <f t="shared" si="369"/>
        <v>Competitive</v>
      </c>
    </row>
    <row r="4730" spans="1:24" x14ac:dyDescent="0.3">
      <c r="A4730" t="s">
        <v>4798</v>
      </c>
      <c r="B4730" t="s">
        <v>20</v>
      </c>
      <c r="C4730">
        <v>30</v>
      </c>
      <c r="D4730" t="s">
        <v>31</v>
      </c>
      <c r="E4730" t="s">
        <v>40</v>
      </c>
      <c r="F4730" t="s">
        <v>65</v>
      </c>
      <c r="G4730" t="s">
        <v>24</v>
      </c>
      <c r="H4730" t="s">
        <v>67</v>
      </c>
      <c r="I4730" t="s">
        <v>96</v>
      </c>
      <c r="J4730" t="s">
        <v>44</v>
      </c>
      <c r="K4730">
        <v>10</v>
      </c>
      <c r="L4730">
        <v>102727</v>
      </c>
      <c r="M4730" t="s">
        <v>36</v>
      </c>
      <c r="N4730">
        <v>1</v>
      </c>
      <c r="O4730">
        <v>4</v>
      </c>
      <c r="P4730">
        <v>33</v>
      </c>
      <c r="Q4730">
        <v>3</v>
      </c>
      <c r="R4730" s="1">
        <v>41519</v>
      </c>
      <c r="S4730" t="s">
        <v>37</v>
      </c>
      <c r="T4730" t="str">
        <f t="shared" si="365"/>
        <v>Grade A</v>
      </c>
      <c r="U4730">
        <f t="shared" si="366"/>
        <v>1</v>
      </c>
      <c r="V4730" t="str">
        <f t="shared" si="367"/>
        <v>Mid Level</v>
      </c>
      <c r="W4730" t="str">
        <f t="shared" si="368"/>
        <v>Already Left</v>
      </c>
      <c r="X4730" t="str">
        <f t="shared" si="369"/>
        <v>Overpaid</v>
      </c>
    </row>
    <row r="4731" spans="1:24" x14ac:dyDescent="0.3">
      <c r="A4731" t="s">
        <v>4799</v>
      </c>
      <c r="B4731" t="s">
        <v>39</v>
      </c>
      <c r="C4731">
        <v>40</v>
      </c>
      <c r="D4731" t="s">
        <v>47</v>
      </c>
      <c r="E4731" t="s">
        <v>48</v>
      </c>
      <c r="F4731" t="s">
        <v>32</v>
      </c>
      <c r="G4731" t="s">
        <v>66</v>
      </c>
      <c r="H4731" t="s">
        <v>83</v>
      </c>
      <c r="I4731" t="s">
        <v>26</v>
      </c>
      <c r="J4731" t="s">
        <v>27</v>
      </c>
      <c r="K4731">
        <v>11</v>
      </c>
      <c r="L4731">
        <v>63879</v>
      </c>
      <c r="M4731" t="s">
        <v>51</v>
      </c>
      <c r="N4731">
        <v>2</v>
      </c>
      <c r="O4731">
        <v>1</v>
      </c>
      <c r="P4731">
        <v>25</v>
      </c>
      <c r="Q4731">
        <v>1</v>
      </c>
      <c r="R4731" s="1">
        <v>41110</v>
      </c>
      <c r="S4731" t="s">
        <v>29</v>
      </c>
      <c r="T4731" t="str">
        <f t="shared" si="365"/>
        <v>Grade B</v>
      </c>
      <c r="U4731">
        <f t="shared" si="366"/>
        <v>4</v>
      </c>
      <c r="V4731" t="str">
        <f t="shared" si="367"/>
        <v>Senior</v>
      </c>
      <c r="W4731" t="str">
        <f t="shared" si="368"/>
        <v>Low Risk</v>
      </c>
      <c r="X4731" t="str">
        <f t="shared" si="369"/>
        <v>Fair</v>
      </c>
    </row>
    <row r="4732" spans="1:24" x14ac:dyDescent="0.3">
      <c r="A4732" t="s">
        <v>4800</v>
      </c>
      <c r="B4732" t="s">
        <v>20</v>
      </c>
      <c r="C4732">
        <v>24</v>
      </c>
      <c r="D4732" t="s">
        <v>31</v>
      </c>
      <c r="E4732" t="s">
        <v>48</v>
      </c>
      <c r="F4732" t="s">
        <v>53</v>
      </c>
      <c r="G4732" t="s">
        <v>79</v>
      </c>
      <c r="H4732" t="s">
        <v>34</v>
      </c>
      <c r="I4732" t="s">
        <v>26</v>
      </c>
      <c r="J4732" t="s">
        <v>27</v>
      </c>
      <c r="K4732">
        <v>10</v>
      </c>
      <c r="L4732">
        <v>58498</v>
      </c>
      <c r="M4732" t="s">
        <v>28</v>
      </c>
      <c r="N4732">
        <v>2</v>
      </c>
      <c r="O4732">
        <v>2</v>
      </c>
      <c r="P4732">
        <v>32</v>
      </c>
      <c r="Q4732">
        <v>0</v>
      </c>
      <c r="R4732" s="1">
        <v>41483</v>
      </c>
      <c r="S4732" t="s">
        <v>29</v>
      </c>
      <c r="T4732" t="str">
        <f t="shared" si="365"/>
        <v>Grade B</v>
      </c>
      <c r="U4732">
        <f t="shared" si="366"/>
        <v>3</v>
      </c>
      <c r="V4732" t="str">
        <f t="shared" si="367"/>
        <v>Mid Level</v>
      </c>
      <c r="W4732" t="str">
        <f t="shared" si="368"/>
        <v>Medium Risk</v>
      </c>
      <c r="X4732" t="str">
        <f t="shared" si="369"/>
        <v>Competitive</v>
      </c>
    </row>
    <row r="4733" spans="1:24" x14ac:dyDescent="0.3">
      <c r="A4733" t="s">
        <v>4801</v>
      </c>
      <c r="B4733" t="s">
        <v>20</v>
      </c>
      <c r="C4733">
        <v>40</v>
      </c>
      <c r="D4733" t="s">
        <v>47</v>
      </c>
      <c r="E4733" t="s">
        <v>40</v>
      </c>
      <c r="F4733" t="s">
        <v>65</v>
      </c>
      <c r="G4733" t="s">
        <v>42</v>
      </c>
      <c r="H4733" t="s">
        <v>34</v>
      </c>
      <c r="I4733" t="s">
        <v>68</v>
      </c>
      <c r="J4733" t="s">
        <v>60</v>
      </c>
      <c r="K4733">
        <v>11</v>
      </c>
      <c r="L4733">
        <v>113300</v>
      </c>
      <c r="M4733" t="s">
        <v>45</v>
      </c>
      <c r="N4733">
        <v>2</v>
      </c>
      <c r="O4733">
        <v>2</v>
      </c>
      <c r="P4733">
        <v>17</v>
      </c>
      <c r="Q4733">
        <v>3</v>
      </c>
      <c r="R4733" s="1">
        <v>40921</v>
      </c>
      <c r="S4733" t="s">
        <v>29</v>
      </c>
      <c r="T4733" t="str">
        <f t="shared" si="365"/>
        <v>Grade A</v>
      </c>
      <c r="U4733">
        <f t="shared" si="366"/>
        <v>2</v>
      </c>
      <c r="V4733" t="str">
        <f t="shared" si="367"/>
        <v>Senior</v>
      </c>
      <c r="W4733" t="str">
        <f t="shared" si="368"/>
        <v>Medium Risk</v>
      </c>
      <c r="X4733" t="str">
        <f t="shared" si="369"/>
        <v>Fair</v>
      </c>
    </row>
    <row r="4734" spans="1:24" x14ac:dyDescent="0.3">
      <c r="A4734" t="s">
        <v>4802</v>
      </c>
      <c r="B4734" t="s">
        <v>20</v>
      </c>
      <c r="C4734">
        <v>25</v>
      </c>
      <c r="D4734" t="s">
        <v>88</v>
      </c>
      <c r="E4734" t="s">
        <v>40</v>
      </c>
      <c r="F4734" t="s">
        <v>41</v>
      </c>
      <c r="G4734" t="s">
        <v>58</v>
      </c>
      <c r="H4734" t="s">
        <v>83</v>
      </c>
      <c r="I4734" t="s">
        <v>35</v>
      </c>
      <c r="J4734" t="s">
        <v>27</v>
      </c>
      <c r="K4734">
        <v>12</v>
      </c>
      <c r="L4734">
        <v>116966</v>
      </c>
      <c r="M4734" t="s">
        <v>45</v>
      </c>
      <c r="N4734">
        <v>1</v>
      </c>
      <c r="O4734">
        <v>4</v>
      </c>
      <c r="P4734">
        <v>69</v>
      </c>
      <c r="Q4734">
        <v>1</v>
      </c>
      <c r="R4734" s="1">
        <v>40627</v>
      </c>
      <c r="S4734" t="s">
        <v>29</v>
      </c>
      <c r="T4734" t="str">
        <f t="shared" si="365"/>
        <v>Grade A</v>
      </c>
      <c r="U4734">
        <f t="shared" si="366"/>
        <v>2</v>
      </c>
      <c r="V4734" t="str">
        <f t="shared" si="367"/>
        <v>Senior</v>
      </c>
      <c r="W4734" t="str">
        <f t="shared" si="368"/>
        <v>Medium Risk</v>
      </c>
      <c r="X4734" t="str">
        <f t="shared" si="369"/>
        <v>Fair</v>
      </c>
    </row>
    <row r="4735" spans="1:24" x14ac:dyDescent="0.3">
      <c r="A4735" t="s">
        <v>4803</v>
      </c>
      <c r="B4735" t="s">
        <v>20</v>
      </c>
      <c r="C4735">
        <v>26</v>
      </c>
      <c r="D4735" t="s">
        <v>31</v>
      </c>
      <c r="E4735" t="s">
        <v>22</v>
      </c>
      <c r="F4735" t="s">
        <v>32</v>
      </c>
      <c r="G4735" t="s">
        <v>79</v>
      </c>
      <c r="H4735" t="s">
        <v>76</v>
      </c>
      <c r="I4735" t="s">
        <v>59</v>
      </c>
      <c r="J4735" t="s">
        <v>60</v>
      </c>
      <c r="K4735">
        <v>6</v>
      </c>
      <c r="L4735">
        <v>43433</v>
      </c>
      <c r="M4735" t="s">
        <v>28</v>
      </c>
      <c r="N4735">
        <v>3</v>
      </c>
      <c r="O4735">
        <v>2</v>
      </c>
      <c r="P4735">
        <v>56</v>
      </c>
      <c r="Q4735">
        <v>3</v>
      </c>
      <c r="R4735" s="1">
        <v>42991</v>
      </c>
      <c r="S4735" t="s">
        <v>29</v>
      </c>
      <c r="T4735" t="str">
        <f t="shared" si="365"/>
        <v>Grade C</v>
      </c>
      <c r="U4735">
        <f t="shared" si="366"/>
        <v>3</v>
      </c>
      <c r="V4735" t="str">
        <f t="shared" si="367"/>
        <v>Mid Level</v>
      </c>
      <c r="W4735" t="str">
        <f t="shared" si="368"/>
        <v>Medium Risk</v>
      </c>
      <c r="X4735" t="str">
        <f t="shared" si="369"/>
        <v>Fair</v>
      </c>
    </row>
    <row r="4736" spans="1:24" x14ac:dyDescent="0.3">
      <c r="A4736" t="s">
        <v>4804</v>
      </c>
      <c r="B4736" t="s">
        <v>20</v>
      </c>
      <c r="C4736">
        <v>39</v>
      </c>
      <c r="D4736" t="s">
        <v>31</v>
      </c>
      <c r="E4736" t="s">
        <v>48</v>
      </c>
      <c r="F4736" t="s">
        <v>62</v>
      </c>
      <c r="G4736" t="s">
        <v>58</v>
      </c>
      <c r="H4736" t="s">
        <v>83</v>
      </c>
      <c r="I4736" t="s">
        <v>96</v>
      </c>
      <c r="J4736" t="s">
        <v>44</v>
      </c>
      <c r="K4736">
        <v>5</v>
      </c>
      <c r="L4736">
        <v>94884</v>
      </c>
      <c r="M4736" t="s">
        <v>45</v>
      </c>
      <c r="N4736">
        <v>4</v>
      </c>
      <c r="O4736">
        <v>2</v>
      </c>
      <c r="P4736">
        <v>72</v>
      </c>
      <c r="Q4736">
        <v>0</v>
      </c>
      <c r="R4736" s="1">
        <v>43419</v>
      </c>
      <c r="S4736" t="s">
        <v>29</v>
      </c>
      <c r="T4736" t="str">
        <f t="shared" si="365"/>
        <v>Grade A</v>
      </c>
      <c r="U4736">
        <f t="shared" si="366"/>
        <v>2</v>
      </c>
      <c r="V4736" t="str">
        <f t="shared" si="367"/>
        <v>Junior</v>
      </c>
      <c r="W4736" t="str">
        <f t="shared" si="368"/>
        <v>Medium Risk</v>
      </c>
      <c r="X4736" t="str">
        <f t="shared" si="369"/>
        <v>Fair</v>
      </c>
    </row>
    <row r="4737" spans="1:24" x14ac:dyDescent="0.3">
      <c r="A4737" t="s">
        <v>4805</v>
      </c>
      <c r="B4737" t="s">
        <v>39</v>
      </c>
      <c r="C4737">
        <v>40</v>
      </c>
      <c r="D4737" t="s">
        <v>21</v>
      </c>
      <c r="E4737" t="s">
        <v>40</v>
      </c>
      <c r="F4737" t="s">
        <v>78</v>
      </c>
      <c r="G4737" t="s">
        <v>49</v>
      </c>
      <c r="H4737" t="s">
        <v>83</v>
      </c>
      <c r="I4737" t="s">
        <v>26</v>
      </c>
      <c r="J4737" t="s">
        <v>27</v>
      </c>
      <c r="K4737">
        <v>2</v>
      </c>
      <c r="L4737">
        <v>44284</v>
      </c>
      <c r="M4737" t="s">
        <v>45</v>
      </c>
      <c r="N4737">
        <v>4</v>
      </c>
      <c r="O4737">
        <v>1</v>
      </c>
      <c r="P4737">
        <v>32</v>
      </c>
      <c r="Q4737">
        <v>1</v>
      </c>
      <c r="R4737" s="1">
        <v>44360</v>
      </c>
      <c r="S4737" t="s">
        <v>37</v>
      </c>
      <c r="T4737" t="str">
        <f t="shared" si="365"/>
        <v>Grade C</v>
      </c>
      <c r="U4737">
        <f t="shared" si="366"/>
        <v>2</v>
      </c>
      <c r="V4737" t="str">
        <f t="shared" si="367"/>
        <v>New Joiner</v>
      </c>
      <c r="W4737" t="str">
        <f t="shared" si="368"/>
        <v>Already Left</v>
      </c>
      <c r="X4737" t="str">
        <f t="shared" si="369"/>
        <v>Fair</v>
      </c>
    </row>
    <row r="4738" spans="1:24" x14ac:dyDescent="0.3">
      <c r="A4738" t="s">
        <v>4806</v>
      </c>
      <c r="B4738" t="s">
        <v>20</v>
      </c>
      <c r="C4738">
        <v>48</v>
      </c>
      <c r="D4738" t="s">
        <v>31</v>
      </c>
      <c r="E4738" t="s">
        <v>22</v>
      </c>
      <c r="F4738" t="s">
        <v>53</v>
      </c>
      <c r="G4738" t="s">
        <v>79</v>
      </c>
      <c r="H4738" t="s">
        <v>67</v>
      </c>
      <c r="I4738" t="s">
        <v>43</v>
      </c>
      <c r="J4738" t="s">
        <v>44</v>
      </c>
      <c r="K4738">
        <v>2</v>
      </c>
      <c r="L4738">
        <v>45986</v>
      </c>
      <c r="M4738" t="s">
        <v>36</v>
      </c>
      <c r="N4738">
        <v>2</v>
      </c>
      <c r="O4738">
        <v>4</v>
      </c>
      <c r="P4738">
        <v>77</v>
      </c>
      <c r="Q4738">
        <v>2</v>
      </c>
      <c r="R4738" s="1">
        <v>44324</v>
      </c>
      <c r="S4738" t="s">
        <v>29</v>
      </c>
      <c r="T4738" t="str">
        <f t="shared" ref="T4738:T4801" si="370">IF(L4738&gt;=80000,"Grade A",IF(L4738&gt;=50000,"Grade B",IF(L4738&gt;=35000,"Grade C","Grade D")))</f>
        <v>Grade C</v>
      </c>
      <c r="U4738">
        <f t="shared" ref="U4738:U4801" si="371">IF(M4738="Excellent",4,IF(M4738="Good",3,IF(M4738="Average",2,1)))</f>
        <v>1</v>
      </c>
      <c r="V4738" t="str">
        <f t="shared" ref="V4738:V4801" si="372">IF(K4738&lt;=2,"New Joiner",IF(K4738&lt;=5,"Junior",IF(K4738&lt;=10,"Mid Level","Senior")))</f>
        <v>New Joiner</v>
      </c>
      <c r="W4738" t="str">
        <f t="shared" ref="W4738:W4801" si="373">IF(S4738="Yes","Already Left",IF(AND(K4738&lt;=2,M4738="Poor"),"High Risk",IF(AND(K4738&lt;=5,M4738="Average"),"Medium Risk",IF(M4738="Excellent","Low Risk","Medium Risk"))))</f>
        <v>High Risk</v>
      </c>
      <c r="X4738" t="str">
        <f t="shared" ref="X4738:X4801" si="374">IF(AND(L4738&gt;=80000,M4738="Excellent"),"Competitive",IF(AND(L4738&gt;=50000,M4738="Good"),"Competitive",IF(AND(L4738&lt;35000,M4738="Excellent"),"Underpaid",IF(AND(L4738&gt;=80000,M4738="Poor"),"Overpaid","Fair"))))</f>
        <v>Fair</v>
      </c>
    </row>
    <row r="4739" spans="1:24" x14ac:dyDescent="0.3">
      <c r="A4739" t="s">
        <v>4807</v>
      </c>
      <c r="B4739" t="s">
        <v>39</v>
      </c>
      <c r="C4739">
        <v>34</v>
      </c>
      <c r="D4739" t="s">
        <v>21</v>
      </c>
      <c r="E4739" t="s">
        <v>22</v>
      </c>
      <c r="F4739" t="s">
        <v>78</v>
      </c>
      <c r="G4739" t="s">
        <v>42</v>
      </c>
      <c r="H4739" t="s">
        <v>34</v>
      </c>
      <c r="I4739" t="s">
        <v>50</v>
      </c>
      <c r="J4739" t="s">
        <v>44</v>
      </c>
      <c r="K4739">
        <v>11</v>
      </c>
      <c r="L4739">
        <v>122099</v>
      </c>
      <c r="M4739" t="s">
        <v>51</v>
      </c>
      <c r="N4739">
        <v>2</v>
      </c>
      <c r="O4739">
        <v>3</v>
      </c>
      <c r="P4739">
        <v>12</v>
      </c>
      <c r="Q4739">
        <v>0</v>
      </c>
      <c r="R4739" s="1">
        <v>41099</v>
      </c>
      <c r="S4739" t="s">
        <v>29</v>
      </c>
      <c r="T4739" t="str">
        <f t="shared" si="370"/>
        <v>Grade A</v>
      </c>
      <c r="U4739">
        <f t="shared" si="371"/>
        <v>4</v>
      </c>
      <c r="V4739" t="str">
        <f t="shared" si="372"/>
        <v>Senior</v>
      </c>
      <c r="W4739" t="str">
        <f t="shared" si="373"/>
        <v>Low Risk</v>
      </c>
      <c r="X4739" t="str">
        <f t="shared" si="374"/>
        <v>Competitive</v>
      </c>
    </row>
    <row r="4740" spans="1:24" x14ac:dyDescent="0.3">
      <c r="A4740" t="s">
        <v>4808</v>
      </c>
      <c r="B4740" t="s">
        <v>39</v>
      </c>
      <c r="C4740">
        <v>39</v>
      </c>
      <c r="D4740" t="s">
        <v>88</v>
      </c>
      <c r="E4740" t="s">
        <v>22</v>
      </c>
      <c r="F4740" t="s">
        <v>32</v>
      </c>
      <c r="G4740" t="s">
        <v>58</v>
      </c>
      <c r="H4740" t="s">
        <v>67</v>
      </c>
      <c r="I4740" t="s">
        <v>68</v>
      </c>
      <c r="J4740" t="s">
        <v>60</v>
      </c>
      <c r="K4740">
        <v>14</v>
      </c>
      <c r="L4740">
        <v>106391</v>
      </c>
      <c r="M4740" t="s">
        <v>51</v>
      </c>
      <c r="N4740">
        <v>3</v>
      </c>
      <c r="O4740">
        <v>1</v>
      </c>
      <c r="P4740">
        <v>55</v>
      </c>
      <c r="Q4740">
        <v>1</v>
      </c>
      <c r="R4740" s="1">
        <v>39821</v>
      </c>
      <c r="S4740" t="s">
        <v>37</v>
      </c>
      <c r="T4740" t="str">
        <f t="shared" si="370"/>
        <v>Grade A</v>
      </c>
      <c r="U4740">
        <f t="shared" si="371"/>
        <v>4</v>
      </c>
      <c r="V4740" t="str">
        <f t="shared" si="372"/>
        <v>Senior</v>
      </c>
      <c r="W4740" t="str">
        <f t="shared" si="373"/>
        <v>Already Left</v>
      </c>
      <c r="X4740" t="str">
        <f t="shared" si="374"/>
        <v>Competitive</v>
      </c>
    </row>
    <row r="4741" spans="1:24" x14ac:dyDescent="0.3">
      <c r="A4741" t="s">
        <v>4809</v>
      </c>
      <c r="B4741" t="s">
        <v>39</v>
      </c>
      <c r="C4741">
        <v>43</v>
      </c>
      <c r="D4741" t="s">
        <v>21</v>
      </c>
      <c r="E4741" t="s">
        <v>48</v>
      </c>
      <c r="F4741" t="s">
        <v>41</v>
      </c>
      <c r="G4741" t="s">
        <v>66</v>
      </c>
      <c r="H4741" t="s">
        <v>67</v>
      </c>
      <c r="I4741" t="s">
        <v>68</v>
      </c>
      <c r="J4741" t="s">
        <v>60</v>
      </c>
      <c r="K4741">
        <v>13</v>
      </c>
      <c r="L4741">
        <v>53491</v>
      </c>
      <c r="M4741" t="s">
        <v>51</v>
      </c>
      <c r="N4741">
        <v>4</v>
      </c>
      <c r="O4741">
        <v>3</v>
      </c>
      <c r="P4741">
        <v>38</v>
      </c>
      <c r="Q4741">
        <v>2</v>
      </c>
      <c r="R4741" s="1">
        <v>40525</v>
      </c>
      <c r="S4741" t="s">
        <v>37</v>
      </c>
      <c r="T4741" t="str">
        <f t="shared" si="370"/>
        <v>Grade B</v>
      </c>
      <c r="U4741">
        <f t="shared" si="371"/>
        <v>4</v>
      </c>
      <c r="V4741" t="str">
        <f t="shared" si="372"/>
        <v>Senior</v>
      </c>
      <c r="W4741" t="str">
        <f t="shared" si="373"/>
        <v>Already Left</v>
      </c>
      <c r="X4741" t="str">
        <f t="shared" si="374"/>
        <v>Fair</v>
      </c>
    </row>
    <row r="4742" spans="1:24" x14ac:dyDescent="0.3">
      <c r="A4742" t="s">
        <v>4810</v>
      </c>
      <c r="B4742" t="s">
        <v>20</v>
      </c>
      <c r="C4742">
        <v>22</v>
      </c>
      <c r="D4742" t="s">
        <v>57</v>
      </c>
      <c r="E4742" t="s">
        <v>40</v>
      </c>
      <c r="F4742" t="s">
        <v>41</v>
      </c>
      <c r="G4742" t="s">
        <v>79</v>
      </c>
      <c r="H4742" t="s">
        <v>25</v>
      </c>
      <c r="I4742" t="s">
        <v>43</v>
      </c>
      <c r="J4742" t="s">
        <v>44</v>
      </c>
      <c r="K4742">
        <v>1</v>
      </c>
      <c r="L4742">
        <v>41872</v>
      </c>
      <c r="M4742" t="s">
        <v>51</v>
      </c>
      <c r="N4742">
        <v>2</v>
      </c>
      <c r="O4742">
        <v>1</v>
      </c>
      <c r="P4742">
        <v>71</v>
      </c>
      <c r="Q4742">
        <v>2</v>
      </c>
      <c r="R4742" s="1">
        <v>44861</v>
      </c>
      <c r="S4742" t="s">
        <v>29</v>
      </c>
      <c r="T4742" t="str">
        <f t="shared" si="370"/>
        <v>Grade C</v>
      </c>
      <c r="U4742">
        <f t="shared" si="371"/>
        <v>4</v>
      </c>
      <c r="V4742" t="str">
        <f t="shared" si="372"/>
        <v>New Joiner</v>
      </c>
      <c r="W4742" t="str">
        <f t="shared" si="373"/>
        <v>Low Risk</v>
      </c>
      <c r="X4742" t="str">
        <f t="shared" si="374"/>
        <v>Fair</v>
      </c>
    </row>
    <row r="4743" spans="1:24" x14ac:dyDescent="0.3">
      <c r="A4743" t="s">
        <v>4811</v>
      </c>
      <c r="B4743" t="s">
        <v>20</v>
      </c>
      <c r="C4743">
        <v>50</v>
      </c>
      <c r="D4743" t="s">
        <v>57</v>
      </c>
      <c r="E4743" t="s">
        <v>22</v>
      </c>
      <c r="F4743" t="s">
        <v>78</v>
      </c>
      <c r="G4743" t="s">
        <v>66</v>
      </c>
      <c r="H4743" t="s">
        <v>83</v>
      </c>
      <c r="I4743" t="s">
        <v>80</v>
      </c>
      <c r="J4743" t="s">
        <v>60</v>
      </c>
      <c r="K4743">
        <v>5</v>
      </c>
      <c r="L4743">
        <v>40668</v>
      </c>
      <c r="M4743" t="s">
        <v>36</v>
      </c>
      <c r="N4743">
        <v>1</v>
      </c>
      <c r="O4743">
        <v>4</v>
      </c>
      <c r="P4743">
        <v>13</v>
      </c>
      <c r="Q4743">
        <v>0</v>
      </c>
      <c r="R4743" s="1">
        <v>43157</v>
      </c>
      <c r="S4743" t="s">
        <v>37</v>
      </c>
      <c r="T4743" t="str">
        <f t="shared" si="370"/>
        <v>Grade C</v>
      </c>
      <c r="U4743">
        <f t="shared" si="371"/>
        <v>1</v>
      </c>
      <c r="V4743" t="str">
        <f t="shared" si="372"/>
        <v>Junior</v>
      </c>
      <c r="W4743" t="str">
        <f t="shared" si="373"/>
        <v>Already Left</v>
      </c>
      <c r="X4743" t="str">
        <f t="shared" si="374"/>
        <v>Fair</v>
      </c>
    </row>
    <row r="4744" spans="1:24" x14ac:dyDescent="0.3">
      <c r="A4744" t="s">
        <v>4812</v>
      </c>
      <c r="B4744" t="s">
        <v>39</v>
      </c>
      <c r="C4744">
        <v>26</v>
      </c>
      <c r="D4744" t="s">
        <v>31</v>
      </c>
      <c r="E4744" t="s">
        <v>22</v>
      </c>
      <c r="F4744" t="s">
        <v>75</v>
      </c>
      <c r="G4744" t="s">
        <v>63</v>
      </c>
      <c r="H4744" t="s">
        <v>34</v>
      </c>
      <c r="I4744" t="s">
        <v>96</v>
      </c>
      <c r="J4744" t="s">
        <v>44</v>
      </c>
      <c r="K4744">
        <v>2</v>
      </c>
      <c r="L4744">
        <v>49679</v>
      </c>
      <c r="M4744" t="s">
        <v>45</v>
      </c>
      <c r="N4744">
        <v>3</v>
      </c>
      <c r="O4744">
        <v>1</v>
      </c>
      <c r="P4744">
        <v>63</v>
      </c>
      <c r="Q4744">
        <v>1</v>
      </c>
      <c r="R4744" s="1">
        <v>44325</v>
      </c>
      <c r="S4744" t="s">
        <v>29</v>
      </c>
      <c r="T4744" t="str">
        <f t="shared" si="370"/>
        <v>Grade C</v>
      </c>
      <c r="U4744">
        <f t="shared" si="371"/>
        <v>2</v>
      </c>
      <c r="V4744" t="str">
        <f t="shared" si="372"/>
        <v>New Joiner</v>
      </c>
      <c r="W4744" t="str">
        <f t="shared" si="373"/>
        <v>Medium Risk</v>
      </c>
      <c r="X4744" t="str">
        <f t="shared" si="374"/>
        <v>Fair</v>
      </c>
    </row>
    <row r="4745" spans="1:24" x14ac:dyDescent="0.3">
      <c r="A4745" t="s">
        <v>4813</v>
      </c>
      <c r="B4745" t="s">
        <v>20</v>
      </c>
      <c r="C4745">
        <v>46</v>
      </c>
      <c r="D4745" t="s">
        <v>57</v>
      </c>
      <c r="E4745" t="s">
        <v>48</v>
      </c>
      <c r="F4745" t="s">
        <v>62</v>
      </c>
      <c r="G4745" t="s">
        <v>66</v>
      </c>
      <c r="H4745" t="s">
        <v>83</v>
      </c>
      <c r="I4745" t="s">
        <v>72</v>
      </c>
      <c r="J4745" t="s">
        <v>73</v>
      </c>
      <c r="K4745">
        <v>8</v>
      </c>
      <c r="L4745">
        <v>48292</v>
      </c>
      <c r="M4745" t="s">
        <v>36</v>
      </c>
      <c r="N4745">
        <v>1</v>
      </c>
      <c r="O4745">
        <v>4</v>
      </c>
      <c r="P4745">
        <v>41</v>
      </c>
      <c r="Q4745">
        <v>1</v>
      </c>
      <c r="R4745" s="1">
        <v>42217</v>
      </c>
      <c r="S4745" t="s">
        <v>37</v>
      </c>
      <c r="T4745" t="str">
        <f t="shared" si="370"/>
        <v>Grade C</v>
      </c>
      <c r="U4745">
        <f t="shared" si="371"/>
        <v>1</v>
      </c>
      <c r="V4745" t="str">
        <f t="shared" si="372"/>
        <v>Mid Level</v>
      </c>
      <c r="W4745" t="str">
        <f t="shared" si="373"/>
        <v>Already Left</v>
      </c>
      <c r="X4745" t="str">
        <f t="shared" si="374"/>
        <v>Fair</v>
      </c>
    </row>
    <row r="4746" spans="1:24" x14ac:dyDescent="0.3">
      <c r="A4746" t="s">
        <v>4814</v>
      </c>
      <c r="B4746" t="s">
        <v>20</v>
      </c>
      <c r="C4746">
        <v>38</v>
      </c>
      <c r="D4746" t="s">
        <v>88</v>
      </c>
      <c r="E4746" t="s">
        <v>40</v>
      </c>
      <c r="F4746" t="s">
        <v>32</v>
      </c>
      <c r="G4746" t="s">
        <v>66</v>
      </c>
      <c r="H4746" t="s">
        <v>67</v>
      </c>
      <c r="I4746" t="s">
        <v>80</v>
      </c>
      <c r="J4746" t="s">
        <v>60</v>
      </c>
      <c r="K4746">
        <v>1</v>
      </c>
      <c r="L4746">
        <v>29942</v>
      </c>
      <c r="M4746" t="s">
        <v>45</v>
      </c>
      <c r="N4746">
        <v>1</v>
      </c>
      <c r="O4746">
        <v>4</v>
      </c>
      <c r="P4746">
        <v>28</v>
      </c>
      <c r="Q4746">
        <v>3</v>
      </c>
      <c r="R4746" s="1">
        <v>44862</v>
      </c>
      <c r="S4746" t="s">
        <v>37</v>
      </c>
      <c r="T4746" t="str">
        <f t="shared" si="370"/>
        <v>Grade D</v>
      </c>
      <c r="U4746">
        <f t="shared" si="371"/>
        <v>2</v>
      </c>
      <c r="V4746" t="str">
        <f t="shared" si="372"/>
        <v>New Joiner</v>
      </c>
      <c r="W4746" t="str">
        <f t="shared" si="373"/>
        <v>Already Left</v>
      </c>
      <c r="X4746" t="str">
        <f t="shared" si="374"/>
        <v>Fair</v>
      </c>
    </row>
    <row r="4747" spans="1:24" x14ac:dyDescent="0.3">
      <c r="A4747" t="s">
        <v>4815</v>
      </c>
      <c r="B4747" t="s">
        <v>39</v>
      </c>
      <c r="C4747">
        <v>31</v>
      </c>
      <c r="D4747" t="s">
        <v>21</v>
      </c>
      <c r="E4747" t="s">
        <v>40</v>
      </c>
      <c r="F4747" t="s">
        <v>65</v>
      </c>
      <c r="G4747" t="s">
        <v>63</v>
      </c>
      <c r="H4747" t="s">
        <v>67</v>
      </c>
      <c r="I4747" t="s">
        <v>54</v>
      </c>
      <c r="J4747" t="s">
        <v>27</v>
      </c>
      <c r="K4747">
        <v>6</v>
      </c>
      <c r="L4747">
        <v>60552</v>
      </c>
      <c r="M4747" t="s">
        <v>51</v>
      </c>
      <c r="N4747">
        <v>4</v>
      </c>
      <c r="O4747">
        <v>3</v>
      </c>
      <c r="P4747">
        <v>61</v>
      </c>
      <c r="Q4747">
        <v>2</v>
      </c>
      <c r="R4747" s="1">
        <v>42932</v>
      </c>
      <c r="S4747" t="s">
        <v>37</v>
      </c>
      <c r="T4747" t="str">
        <f t="shared" si="370"/>
        <v>Grade B</v>
      </c>
      <c r="U4747">
        <f t="shared" si="371"/>
        <v>4</v>
      </c>
      <c r="V4747" t="str">
        <f t="shared" si="372"/>
        <v>Mid Level</v>
      </c>
      <c r="W4747" t="str">
        <f t="shared" si="373"/>
        <v>Already Left</v>
      </c>
      <c r="X4747" t="str">
        <f t="shared" si="374"/>
        <v>Fair</v>
      </c>
    </row>
    <row r="4748" spans="1:24" x14ac:dyDescent="0.3">
      <c r="A4748" t="s">
        <v>4816</v>
      </c>
      <c r="B4748" t="s">
        <v>20</v>
      </c>
      <c r="C4748">
        <v>47</v>
      </c>
      <c r="D4748" t="s">
        <v>21</v>
      </c>
      <c r="E4748" t="s">
        <v>40</v>
      </c>
      <c r="F4748" t="s">
        <v>32</v>
      </c>
      <c r="G4748" t="s">
        <v>63</v>
      </c>
      <c r="H4748" t="s">
        <v>34</v>
      </c>
      <c r="I4748" t="s">
        <v>43</v>
      </c>
      <c r="J4748" t="s">
        <v>44</v>
      </c>
      <c r="K4748">
        <v>6</v>
      </c>
      <c r="L4748">
        <v>66630</v>
      </c>
      <c r="M4748" t="s">
        <v>28</v>
      </c>
      <c r="N4748">
        <v>4</v>
      </c>
      <c r="O4748">
        <v>4</v>
      </c>
      <c r="P4748">
        <v>78</v>
      </c>
      <c r="Q4748">
        <v>0</v>
      </c>
      <c r="R4748" s="1">
        <v>43022</v>
      </c>
      <c r="S4748" t="s">
        <v>37</v>
      </c>
      <c r="T4748" t="str">
        <f t="shared" si="370"/>
        <v>Grade B</v>
      </c>
      <c r="U4748">
        <f t="shared" si="371"/>
        <v>3</v>
      </c>
      <c r="V4748" t="str">
        <f t="shared" si="372"/>
        <v>Mid Level</v>
      </c>
      <c r="W4748" t="str">
        <f t="shared" si="373"/>
        <v>Already Left</v>
      </c>
      <c r="X4748" t="str">
        <f t="shared" si="374"/>
        <v>Competitive</v>
      </c>
    </row>
    <row r="4749" spans="1:24" x14ac:dyDescent="0.3">
      <c r="A4749" t="s">
        <v>4817</v>
      </c>
      <c r="B4749" t="s">
        <v>39</v>
      </c>
      <c r="C4749">
        <v>33</v>
      </c>
      <c r="D4749" t="s">
        <v>88</v>
      </c>
      <c r="E4749" t="s">
        <v>40</v>
      </c>
      <c r="F4749" t="s">
        <v>41</v>
      </c>
      <c r="G4749" t="s">
        <v>58</v>
      </c>
      <c r="H4749" t="s">
        <v>83</v>
      </c>
      <c r="I4749" t="s">
        <v>59</v>
      </c>
      <c r="J4749" t="s">
        <v>60</v>
      </c>
      <c r="K4749">
        <v>11</v>
      </c>
      <c r="L4749">
        <v>114851</v>
      </c>
      <c r="M4749" t="s">
        <v>28</v>
      </c>
      <c r="N4749">
        <v>2</v>
      </c>
      <c r="O4749">
        <v>4</v>
      </c>
      <c r="P4749">
        <v>52</v>
      </c>
      <c r="Q4749">
        <v>0</v>
      </c>
      <c r="R4749" s="1">
        <v>41118</v>
      </c>
      <c r="S4749" t="s">
        <v>29</v>
      </c>
      <c r="T4749" t="str">
        <f t="shared" si="370"/>
        <v>Grade A</v>
      </c>
      <c r="U4749">
        <f t="shared" si="371"/>
        <v>3</v>
      </c>
      <c r="V4749" t="str">
        <f t="shared" si="372"/>
        <v>Senior</v>
      </c>
      <c r="W4749" t="str">
        <f t="shared" si="373"/>
        <v>Medium Risk</v>
      </c>
      <c r="X4749" t="str">
        <f t="shared" si="374"/>
        <v>Competitive</v>
      </c>
    </row>
    <row r="4750" spans="1:24" x14ac:dyDescent="0.3">
      <c r="A4750" t="s">
        <v>4818</v>
      </c>
      <c r="B4750" t="s">
        <v>39</v>
      </c>
      <c r="C4750">
        <v>42</v>
      </c>
      <c r="D4750" t="s">
        <v>88</v>
      </c>
      <c r="E4750" t="s">
        <v>48</v>
      </c>
      <c r="F4750" t="s">
        <v>32</v>
      </c>
      <c r="G4750" t="s">
        <v>66</v>
      </c>
      <c r="H4750" t="s">
        <v>83</v>
      </c>
      <c r="I4750" t="s">
        <v>50</v>
      </c>
      <c r="J4750" t="s">
        <v>44</v>
      </c>
      <c r="K4750">
        <v>9</v>
      </c>
      <c r="L4750">
        <v>57967</v>
      </c>
      <c r="M4750" t="s">
        <v>51</v>
      </c>
      <c r="N4750">
        <v>2</v>
      </c>
      <c r="O4750">
        <v>2</v>
      </c>
      <c r="P4750">
        <v>12</v>
      </c>
      <c r="Q4750">
        <v>3</v>
      </c>
      <c r="R4750" s="1">
        <v>41723</v>
      </c>
      <c r="S4750" t="s">
        <v>29</v>
      </c>
      <c r="T4750" t="str">
        <f t="shared" si="370"/>
        <v>Grade B</v>
      </c>
      <c r="U4750">
        <f t="shared" si="371"/>
        <v>4</v>
      </c>
      <c r="V4750" t="str">
        <f t="shared" si="372"/>
        <v>Mid Level</v>
      </c>
      <c r="W4750" t="str">
        <f t="shared" si="373"/>
        <v>Low Risk</v>
      </c>
      <c r="X4750" t="str">
        <f t="shared" si="374"/>
        <v>Fair</v>
      </c>
    </row>
    <row r="4751" spans="1:24" x14ac:dyDescent="0.3">
      <c r="A4751" t="s">
        <v>4819</v>
      </c>
      <c r="B4751" t="s">
        <v>20</v>
      </c>
      <c r="C4751">
        <v>48</v>
      </c>
      <c r="D4751" t="s">
        <v>47</v>
      </c>
      <c r="E4751" t="s">
        <v>48</v>
      </c>
      <c r="F4751" t="s">
        <v>53</v>
      </c>
      <c r="G4751" t="s">
        <v>42</v>
      </c>
      <c r="H4751" t="s">
        <v>83</v>
      </c>
      <c r="I4751" t="s">
        <v>72</v>
      </c>
      <c r="J4751" t="s">
        <v>73</v>
      </c>
      <c r="K4751">
        <v>8</v>
      </c>
      <c r="L4751">
        <v>118136</v>
      </c>
      <c r="M4751" t="s">
        <v>36</v>
      </c>
      <c r="N4751">
        <v>1</v>
      </c>
      <c r="O4751">
        <v>1</v>
      </c>
      <c r="P4751">
        <v>59</v>
      </c>
      <c r="Q4751">
        <v>0</v>
      </c>
      <c r="R4751" s="1">
        <v>42280</v>
      </c>
      <c r="S4751" t="s">
        <v>37</v>
      </c>
      <c r="T4751" t="str">
        <f t="shared" si="370"/>
        <v>Grade A</v>
      </c>
      <c r="U4751">
        <f t="shared" si="371"/>
        <v>1</v>
      </c>
      <c r="V4751" t="str">
        <f t="shared" si="372"/>
        <v>Mid Level</v>
      </c>
      <c r="W4751" t="str">
        <f t="shared" si="373"/>
        <v>Already Left</v>
      </c>
      <c r="X4751" t="str">
        <f t="shared" si="374"/>
        <v>Overpaid</v>
      </c>
    </row>
    <row r="4752" spans="1:24" x14ac:dyDescent="0.3">
      <c r="A4752" t="s">
        <v>4820</v>
      </c>
      <c r="B4752" t="s">
        <v>20</v>
      </c>
      <c r="C4752">
        <v>52</v>
      </c>
      <c r="D4752" t="s">
        <v>31</v>
      </c>
      <c r="E4752" t="s">
        <v>40</v>
      </c>
      <c r="F4752" t="s">
        <v>78</v>
      </c>
      <c r="G4752" t="s">
        <v>24</v>
      </c>
      <c r="H4752" t="s">
        <v>67</v>
      </c>
      <c r="I4752" t="s">
        <v>54</v>
      </c>
      <c r="J4752" t="s">
        <v>27</v>
      </c>
      <c r="K4752">
        <v>4</v>
      </c>
      <c r="L4752">
        <v>89398</v>
      </c>
      <c r="M4752" t="s">
        <v>36</v>
      </c>
      <c r="N4752">
        <v>3</v>
      </c>
      <c r="O4752">
        <v>1</v>
      </c>
      <c r="P4752">
        <v>76</v>
      </c>
      <c r="Q4752">
        <v>2</v>
      </c>
      <c r="R4752" s="1">
        <v>43580</v>
      </c>
      <c r="S4752" t="s">
        <v>37</v>
      </c>
      <c r="T4752" t="str">
        <f t="shared" si="370"/>
        <v>Grade A</v>
      </c>
      <c r="U4752">
        <f t="shared" si="371"/>
        <v>1</v>
      </c>
      <c r="V4752" t="str">
        <f t="shared" si="372"/>
        <v>Junior</v>
      </c>
      <c r="W4752" t="str">
        <f t="shared" si="373"/>
        <v>Already Left</v>
      </c>
      <c r="X4752" t="str">
        <f t="shared" si="374"/>
        <v>Overpaid</v>
      </c>
    </row>
    <row r="4753" spans="1:24" x14ac:dyDescent="0.3">
      <c r="A4753" t="s">
        <v>4821</v>
      </c>
      <c r="B4753" t="s">
        <v>20</v>
      </c>
      <c r="C4753">
        <v>43</v>
      </c>
      <c r="D4753" t="s">
        <v>57</v>
      </c>
      <c r="E4753" t="s">
        <v>48</v>
      </c>
      <c r="F4753" t="s">
        <v>53</v>
      </c>
      <c r="G4753" t="s">
        <v>24</v>
      </c>
      <c r="H4753" t="s">
        <v>34</v>
      </c>
      <c r="I4753" t="s">
        <v>68</v>
      </c>
      <c r="J4753" t="s">
        <v>60</v>
      </c>
      <c r="K4753">
        <v>2</v>
      </c>
      <c r="L4753">
        <v>83390</v>
      </c>
      <c r="M4753" t="s">
        <v>36</v>
      </c>
      <c r="N4753">
        <v>2</v>
      </c>
      <c r="O4753">
        <v>4</v>
      </c>
      <c r="P4753">
        <v>70</v>
      </c>
      <c r="Q4753">
        <v>1</v>
      </c>
      <c r="R4753" s="1">
        <v>44559</v>
      </c>
      <c r="S4753" t="s">
        <v>37</v>
      </c>
      <c r="T4753" t="str">
        <f t="shared" si="370"/>
        <v>Grade A</v>
      </c>
      <c r="U4753">
        <f t="shared" si="371"/>
        <v>1</v>
      </c>
      <c r="V4753" t="str">
        <f t="shared" si="372"/>
        <v>New Joiner</v>
      </c>
      <c r="W4753" t="str">
        <f t="shared" si="373"/>
        <v>Already Left</v>
      </c>
      <c r="X4753" t="str">
        <f t="shared" si="374"/>
        <v>Overpaid</v>
      </c>
    </row>
    <row r="4754" spans="1:24" x14ac:dyDescent="0.3">
      <c r="A4754" t="s">
        <v>4822</v>
      </c>
      <c r="B4754" t="s">
        <v>39</v>
      </c>
      <c r="C4754">
        <v>38</v>
      </c>
      <c r="D4754" t="s">
        <v>47</v>
      </c>
      <c r="E4754" t="s">
        <v>40</v>
      </c>
      <c r="F4754" t="s">
        <v>53</v>
      </c>
      <c r="G4754" t="s">
        <v>33</v>
      </c>
      <c r="H4754" t="s">
        <v>25</v>
      </c>
      <c r="I4754" t="s">
        <v>35</v>
      </c>
      <c r="J4754" t="s">
        <v>27</v>
      </c>
      <c r="K4754">
        <v>14</v>
      </c>
      <c r="L4754">
        <v>94428</v>
      </c>
      <c r="M4754" t="s">
        <v>51</v>
      </c>
      <c r="N4754">
        <v>4</v>
      </c>
      <c r="O4754">
        <v>2</v>
      </c>
      <c r="P4754">
        <v>51</v>
      </c>
      <c r="Q4754">
        <v>3</v>
      </c>
      <c r="R4754" s="1">
        <v>39923</v>
      </c>
      <c r="S4754" t="s">
        <v>29</v>
      </c>
      <c r="T4754" t="str">
        <f t="shared" si="370"/>
        <v>Grade A</v>
      </c>
      <c r="U4754">
        <f t="shared" si="371"/>
        <v>4</v>
      </c>
      <c r="V4754" t="str">
        <f t="shared" si="372"/>
        <v>Senior</v>
      </c>
      <c r="W4754" t="str">
        <f t="shared" si="373"/>
        <v>Low Risk</v>
      </c>
      <c r="X4754" t="str">
        <f t="shared" si="374"/>
        <v>Competitive</v>
      </c>
    </row>
    <row r="4755" spans="1:24" x14ac:dyDescent="0.3">
      <c r="A4755" t="s">
        <v>4823</v>
      </c>
      <c r="B4755" t="s">
        <v>20</v>
      </c>
      <c r="C4755">
        <v>52</v>
      </c>
      <c r="D4755" t="s">
        <v>21</v>
      </c>
      <c r="E4755" t="s">
        <v>48</v>
      </c>
      <c r="F4755" t="s">
        <v>53</v>
      </c>
      <c r="G4755" t="s">
        <v>66</v>
      </c>
      <c r="H4755" t="s">
        <v>25</v>
      </c>
      <c r="I4755" t="s">
        <v>96</v>
      </c>
      <c r="J4755" t="s">
        <v>44</v>
      </c>
      <c r="K4755">
        <v>15</v>
      </c>
      <c r="L4755">
        <v>64458</v>
      </c>
      <c r="M4755" t="s">
        <v>51</v>
      </c>
      <c r="N4755">
        <v>4</v>
      </c>
      <c r="O4755">
        <v>2</v>
      </c>
      <c r="P4755">
        <v>61</v>
      </c>
      <c r="Q4755">
        <v>3</v>
      </c>
      <c r="R4755" s="1">
        <v>39497</v>
      </c>
      <c r="S4755" t="s">
        <v>37</v>
      </c>
      <c r="T4755" t="str">
        <f t="shared" si="370"/>
        <v>Grade B</v>
      </c>
      <c r="U4755">
        <f t="shared" si="371"/>
        <v>4</v>
      </c>
      <c r="V4755" t="str">
        <f t="shared" si="372"/>
        <v>Senior</v>
      </c>
      <c r="W4755" t="str">
        <f t="shared" si="373"/>
        <v>Already Left</v>
      </c>
      <c r="X4755" t="str">
        <f t="shared" si="374"/>
        <v>Fair</v>
      </c>
    </row>
    <row r="4756" spans="1:24" x14ac:dyDescent="0.3">
      <c r="A4756" t="s">
        <v>4824</v>
      </c>
      <c r="B4756" t="s">
        <v>20</v>
      </c>
      <c r="C4756">
        <v>26</v>
      </c>
      <c r="D4756" t="s">
        <v>31</v>
      </c>
      <c r="E4756" t="s">
        <v>48</v>
      </c>
      <c r="F4756" t="s">
        <v>53</v>
      </c>
      <c r="G4756" t="s">
        <v>33</v>
      </c>
      <c r="H4756" t="s">
        <v>34</v>
      </c>
      <c r="I4756" t="s">
        <v>96</v>
      </c>
      <c r="J4756" t="s">
        <v>44</v>
      </c>
      <c r="K4756">
        <v>6</v>
      </c>
      <c r="L4756">
        <v>76026</v>
      </c>
      <c r="M4756" t="s">
        <v>28</v>
      </c>
      <c r="N4756">
        <v>3</v>
      </c>
      <c r="O4756">
        <v>2</v>
      </c>
      <c r="P4756">
        <v>18</v>
      </c>
      <c r="Q4756">
        <v>2</v>
      </c>
      <c r="R4756" s="1">
        <v>42932</v>
      </c>
      <c r="S4756" t="s">
        <v>29</v>
      </c>
      <c r="T4756" t="str">
        <f t="shared" si="370"/>
        <v>Grade B</v>
      </c>
      <c r="U4756">
        <f t="shared" si="371"/>
        <v>3</v>
      </c>
      <c r="V4756" t="str">
        <f t="shared" si="372"/>
        <v>Mid Level</v>
      </c>
      <c r="W4756" t="str">
        <f t="shared" si="373"/>
        <v>Medium Risk</v>
      </c>
      <c r="X4756" t="str">
        <f t="shared" si="374"/>
        <v>Competitive</v>
      </c>
    </row>
    <row r="4757" spans="1:24" x14ac:dyDescent="0.3">
      <c r="A4757" t="s">
        <v>4825</v>
      </c>
      <c r="B4757" t="s">
        <v>39</v>
      </c>
      <c r="C4757">
        <v>28</v>
      </c>
      <c r="D4757" t="s">
        <v>31</v>
      </c>
      <c r="E4757" t="s">
        <v>40</v>
      </c>
      <c r="F4757" t="s">
        <v>23</v>
      </c>
      <c r="G4757" t="s">
        <v>24</v>
      </c>
      <c r="H4757" t="s">
        <v>34</v>
      </c>
      <c r="I4757" t="s">
        <v>59</v>
      </c>
      <c r="J4757" t="s">
        <v>60</v>
      </c>
      <c r="K4757">
        <v>4</v>
      </c>
      <c r="L4757">
        <v>76368</v>
      </c>
      <c r="M4757" t="s">
        <v>45</v>
      </c>
      <c r="N4757">
        <v>2</v>
      </c>
      <c r="O4757">
        <v>1</v>
      </c>
      <c r="P4757">
        <v>51</v>
      </c>
      <c r="Q4757">
        <v>3</v>
      </c>
      <c r="R4757" s="1">
        <v>43537</v>
      </c>
      <c r="S4757" t="s">
        <v>29</v>
      </c>
      <c r="T4757" t="str">
        <f t="shared" si="370"/>
        <v>Grade B</v>
      </c>
      <c r="U4757">
        <f t="shared" si="371"/>
        <v>2</v>
      </c>
      <c r="V4757" t="str">
        <f t="shared" si="372"/>
        <v>Junior</v>
      </c>
      <c r="W4757" t="str">
        <f t="shared" si="373"/>
        <v>Medium Risk</v>
      </c>
      <c r="X4757" t="str">
        <f t="shared" si="374"/>
        <v>Fair</v>
      </c>
    </row>
    <row r="4758" spans="1:24" x14ac:dyDescent="0.3">
      <c r="A4758" t="s">
        <v>4826</v>
      </c>
      <c r="B4758" t="s">
        <v>20</v>
      </c>
      <c r="C4758">
        <v>53</v>
      </c>
      <c r="D4758" t="s">
        <v>21</v>
      </c>
      <c r="E4758" t="s">
        <v>40</v>
      </c>
      <c r="F4758" t="s">
        <v>62</v>
      </c>
      <c r="G4758" t="s">
        <v>49</v>
      </c>
      <c r="H4758" t="s">
        <v>34</v>
      </c>
      <c r="I4758" t="s">
        <v>72</v>
      </c>
      <c r="J4758" t="s">
        <v>73</v>
      </c>
      <c r="K4758">
        <v>14</v>
      </c>
      <c r="L4758">
        <v>84488</v>
      </c>
      <c r="M4758" t="s">
        <v>28</v>
      </c>
      <c r="N4758">
        <v>1</v>
      </c>
      <c r="O4758">
        <v>4</v>
      </c>
      <c r="P4758">
        <v>46</v>
      </c>
      <c r="Q4758">
        <v>1</v>
      </c>
      <c r="R4758" s="1">
        <v>40160</v>
      </c>
      <c r="S4758" t="s">
        <v>29</v>
      </c>
      <c r="T4758" t="str">
        <f t="shared" si="370"/>
        <v>Grade A</v>
      </c>
      <c r="U4758">
        <f t="shared" si="371"/>
        <v>3</v>
      </c>
      <c r="V4758" t="str">
        <f t="shared" si="372"/>
        <v>Senior</v>
      </c>
      <c r="W4758" t="str">
        <f t="shared" si="373"/>
        <v>Medium Risk</v>
      </c>
      <c r="X4758" t="str">
        <f t="shared" si="374"/>
        <v>Competitive</v>
      </c>
    </row>
    <row r="4759" spans="1:24" x14ac:dyDescent="0.3">
      <c r="A4759" t="s">
        <v>4827</v>
      </c>
      <c r="B4759" t="s">
        <v>20</v>
      </c>
      <c r="C4759">
        <v>28</v>
      </c>
      <c r="D4759" t="s">
        <v>57</v>
      </c>
      <c r="E4759" t="s">
        <v>40</v>
      </c>
      <c r="F4759" t="s">
        <v>41</v>
      </c>
      <c r="G4759" t="s">
        <v>33</v>
      </c>
      <c r="H4759" t="s">
        <v>34</v>
      </c>
      <c r="I4759" t="s">
        <v>72</v>
      </c>
      <c r="J4759" t="s">
        <v>73</v>
      </c>
      <c r="K4759">
        <v>10</v>
      </c>
      <c r="L4759">
        <v>80752</v>
      </c>
      <c r="M4759" t="s">
        <v>36</v>
      </c>
      <c r="N4759">
        <v>3</v>
      </c>
      <c r="O4759">
        <v>2</v>
      </c>
      <c r="P4759">
        <v>48</v>
      </c>
      <c r="Q4759">
        <v>0</v>
      </c>
      <c r="R4759" s="1">
        <v>41300</v>
      </c>
      <c r="S4759" t="s">
        <v>37</v>
      </c>
      <c r="T4759" t="str">
        <f t="shared" si="370"/>
        <v>Grade A</v>
      </c>
      <c r="U4759">
        <f t="shared" si="371"/>
        <v>1</v>
      </c>
      <c r="V4759" t="str">
        <f t="shared" si="372"/>
        <v>Mid Level</v>
      </c>
      <c r="W4759" t="str">
        <f t="shared" si="373"/>
        <v>Already Left</v>
      </c>
      <c r="X4759" t="str">
        <f t="shared" si="374"/>
        <v>Overpaid</v>
      </c>
    </row>
    <row r="4760" spans="1:24" x14ac:dyDescent="0.3">
      <c r="A4760" t="s">
        <v>4828</v>
      </c>
      <c r="B4760" t="s">
        <v>20</v>
      </c>
      <c r="C4760">
        <v>45</v>
      </c>
      <c r="D4760" t="s">
        <v>21</v>
      </c>
      <c r="E4760" t="s">
        <v>22</v>
      </c>
      <c r="F4760" t="s">
        <v>78</v>
      </c>
      <c r="G4760" t="s">
        <v>49</v>
      </c>
      <c r="H4760" t="s">
        <v>25</v>
      </c>
      <c r="I4760" t="s">
        <v>54</v>
      </c>
      <c r="J4760" t="s">
        <v>27</v>
      </c>
      <c r="K4760">
        <v>2</v>
      </c>
      <c r="L4760">
        <v>62469</v>
      </c>
      <c r="M4760" t="s">
        <v>36</v>
      </c>
      <c r="N4760">
        <v>3</v>
      </c>
      <c r="O4760">
        <v>3</v>
      </c>
      <c r="P4760">
        <v>18</v>
      </c>
      <c r="Q4760">
        <v>2</v>
      </c>
      <c r="R4760" s="1">
        <v>44322</v>
      </c>
      <c r="S4760" t="s">
        <v>37</v>
      </c>
      <c r="T4760" t="str">
        <f t="shared" si="370"/>
        <v>Grade B</v>
      </c>
      <c r="U4760">
        <f t="shared" si="371"/>
        <v>1</v>
      </c>
      <c r="V4760" t="str">
        <f t="shared" si="372"/>
        <v>New Joiner</v>
      </c>
      <c r="W4760" t="str">
        <f t="shared" si="373"/>
        <v>Already Left</v>
      </c>
      <c r="X4760" t="str">
        <f t="shared" si="374"/>
        <v>Fair</v>
      </c>
    </row>
    <row r="4761" spans="1:24" x14ac:dyDescent="0.3">
      <c r="A4761" t="s">
        <v>4829</v>
      </c>
      <c r="B4761" t="s">
        <v>20</v>
      </c>
      <c r="C4761">
        <v>37</v>
      </c>
      <c r="D4761" t="s">
        <v>57</v>
      </c>
      <c r="E4761" t="s">
        <v>22</v>
      </c>
      <c r="F4761" t="s">
        <v>23</v>
      </c>
      <c r="G4761" t="s">
        <v>58</v>
      </c>
      <c r="H4761" t="s">
        <v>76</v>
      </c>
      <c r="I4761" t="s">
        <v>50</v>
      </c>
      <c r="J4761" t="s">
        <v>44</v>
      </c>
      <c r="K4761">
        <v>4</v>
      </c>
      <c r="L4761">
        <v>99339</v>
      </c>
      <c r="M4761" t="s">
        <v>51</v>
      </c>
      <c r="N4761">
        <v>3</v>
      </c>
      <c r="O4761">
        <v>4</v>
      </c>
      <c r="P4761">
        <v>20</v>
      </c>
      <c r="Q4761">
        <v>2</v>
      </c>
      <c r="R4761" s="1">
        <v>43567</v>
      </c>
      <c r="S4761" t="s">
        <v>29</v>
      </c>
      <c r="T4761" t="str">
        <f t="shared" si="370"/>
        <v>Grade A</v>
      </c>
      <c r="U4761">
        <f t="shared" si="371"/>
        <v>4</v>
      </c>
      <c r="V4761" t="str">
        <f t="shared" si="372"/>
        <v>Junior</v>
      </c>
      <c r="W4761" t="str">
        <f t="shared" si="373"/>
        <v>Low Risk</v>
      </c>
      <c r="X4761" t="str">
        <f t="shared" si="374"/>
        <v>Competitive</v>
      </c>
    </row>
    <row r="4762" spans="1:24" x14ac:dyDescent="0.3">
      <c r="A4762" t="s">
        <v>4830</v>
      </c>
      <c r="B4762" t="s">
        <v>20</v>
      </c>
      <c r="C4762">
        <v>37</v>
      </c>
      <c r="D4762" t="s">
        <v>88</v>
      </c>
      <c r="E4762" t="s">
        <v>40</v>
      </c>
      <c r="F4762" t="s">
        <v>65</v>
      </c>
      <c r="G4762" t="s">
        <v>49</v>
      </c>
      <c r="H4762" t="s">
        <v>34</v>
      </c>
      <c r="I4762" t="s">
        <v>43</v>
      </c>
      <c r="J4762" t="s">
        <v>44</v>
      </c>
      <c r="K4762">
        <v>10</v>
      </c>
      <c r="L4762">
        <v>69568</v>
      </c>
      <c r="M4762" t="s">
        <v>36</v>
      </c>
      <c r="N4762">
        <v>3</v>
      </c>
      <c r="O4762">
        <v>1</v>
      </c>
      <c r="P4762">
        <v>35</v>
      </c>
      <c r="Q4762">
        <v>3</v>
      </c>
      <c r="R4762" s="1">
        <v>41511</v>
      </c>
      <c r="S4762" t="s">
        <v>29</v>
      </c>
      <c r="T4762" t="str">
        <f t="shared" si="370"/>
        <v>Grade B</v>
      </c>
      <c r="U4762">
        <f t="shared" si="371"/>
        <v>1</v>
      </c>
      <c r="V4762" t="str">
        <f t="shared" si="372"/>
        <v>Mid Level</v>
      </c>
      <c r="W4762" t="str">
        <f t="shared" si="373"/>
        <v>Medium Risk</v>
      </c>
      <c r="X4762" t="str">
        <f t="shared" si="374"/>
        <v>Fair</v>
      </c>
    </row>
    <row r="4763" spans="1:24" x14ac:dyDescent="0.3">
      <c r="A4763" t="s">
        <v>4831</v>
      </c>
      <c r="B4763" t="s">
        <v>39</v>
      </c>
      <c r="C4763">
        <v>29</v>
      </c>
      <c r="D4763" t="s">
        <v>88</v>
      </c>
      <c r="E4763" t="s">
        <v>22</v>
      </c>
      <c r="F4763" t="s">
        <v>78</v>
      </c>
      <c r="G4763" t="s">
        <v>49</v>
      </c>
      <c r="H4763" t="s">
        <v>34</v>
      </c>
      <c r="I4763" t="s">
        <v>50</v>
      </c>
      <c r="J4763" t="s">
        <v>44</v>
      </c>
      <c r="K4763">
        <v>1</v>
      </c>
      <c r="L4763">
        <v>48227</v>
      </c>
      <c r="M4763" t="s">
        <v>36</v>
      </c>
      <c r="N4763">
        <v>4</v>
      </c>
      <c r="O4763">
        <v>1</v>
      </c>
      <c r="P4763">
        <v>65</v>
      </c>
      <c r="Q4763">
        <v>0</v>
      </c>
      <c r="R4763" s="1">
        <v>44784</v>
      </c>
      <c r="S4763" t="s">
        <v>37</v>
      </c>
      <c r="T4763" t="str">
        <f t="shared" si="370"/>
        <v>Grade C</v>
      </c>
      <c r="U4763">
        <f t="shared" si="371"/>
        <v>1</v>
      </c>
      <c r="V4763" t="str">
        <f t="shared" si="372"/>
        <v>New Joiner</v>
      </c>
      <c r="W4763" t="str">
        <f t="shared" si="373"/>
        <v>Already Left</v>
      </c>
      <c r="X4763" t="str">
        <f t="shared" si="374"/>
        <v>Fair</v>
      </c>
    </row>
    <row r="4764" spans="1:24" x14ac:dyDescent="0.3">
      <c r="A4764" t="s">
        <v>4832</v>
      </c>
      <c r="B4764" t="s">
        <v>20</v>
      </c>
      <c r="C4764">
        <v>23</v>
      </c>
      <c r="D4764" t="s">
        <v>31</v>
      </c>
      <c r="E4764" t="s">
        <v>48</v>
      </c>
      <c r="F4764" t="s">
        <v>53</v>
      </c>
      <c r="G4764" t="s">
        <v>33</v>
      </c>
      <c r="H4764" t="s">
        <v>83</v>
      </c>
      <c r="I4764" t="s">
        <v>43</v>
      </c>
      <c r="J4764" t="s">
        <v>44</v>
      </c>
      <c r="K4764">
        <v>10</v>
      </c>
      <c r="L4764">
        <v>83748</v>
      </c>
      <c r="M4764" t="s">
        <v>36</v>
      </c>
      <c r="N4764">
        <v>3</v>
      </c>
      <c r="O4764">
        <v>2</v>
      </c>
      <c r="P4764">
        <v>10</v>
      </c>
      <c r="Q4764">
        <v>2</v>
      </c>
      <c r="R4764" s="1">
        <v>41438</v>
      </c>
      <c r="S4764" t="s">
        <v>29</v>
      </c>
      <c r="T4764" t="str">
        <f t="shared" si="370"/>
        <v>Grade A</v>
      </c>
      <c r="U4764">
        <f t="shared" si="371"/>
        <v>1</v>
      </c>
      <c r="V4764" t="str">
        <f t="shared" si="372"/>
        <v>Mid Level</v>
      </c>
      <c r="W4764" t="str">
        <f t="shared" si="373"/>
        <v>Medium Risk</v>
      </c>
      <c r="X4764" t="str">
        <f t="shared" si="374"/>
        <v>Overpaid</v>
      </c>
    </row>
    <row r="4765" spans="1:24" x14ac:dyDescent="0.3">
      <c r="A4765" t="s">
        <v>4833</v>
      </c>
      <c r="B4765" t="s">
        <v>39</v>
      </c>
      <c r="C4765">
        <v>48</v>
      </c>
      <c r="D4765" t="s">
        <v>21</v>
      </c>
      <c r="E4765" t="s">
        <v>40</v>
      </c>
      <c r="F4765" t="s">
        <v>23</v>
      </c>
      <c r="G4765" t="s">
        <v>58</v>
      </c>
      <c r="H4765" t="s">
        <v>34</v>
      </c>
      <c r="I4765" t="s">
        <v>50</v>
      </c>
      <c r="J4765" t="s">
        <v>44</v>
      </c>
      <c r="K4765">
        <v>15</v>
      </c>
      <c r="L4765">
        <v>106192</v>
      </c>
      <c r="M4765" t="s">
        <v>51</v>
      </c>
      <c r="N4765">
        <v>4</v>
      </c>
      <c r="O4765">
        <v>2</v>
      </c>
      <c r="P4765">
        <v>17</v>
      </c>
      <c r="Q4765">
        <v>0</v>
      </c>
      <c r="R4765" s="1">
        <v>39547</v>
      </c>
      <c r="S4765" t="s">
        <v>37</v>
      </c>
      <c r="T4765" t="str">
        <f t="shared" si="370"/>
        <v>Grade A</v>
      </c>
      <c r="U4765">
        <f t="shared" si="371"/>
        <v>4</v>
      </c>
      <c r="V4765" t="str">
        <f t="shared" si="372"/>
        <v>Senior</v>
      </c>
      <c r="W4765" t="str">
        <f t="shared" si="373"/>
        <v>Already Left</v>
      </c>
      <c r="X4765" t="str">
        <f t="shared" si="374"/>
        <v>Competitive</v>
      </c>
    </row>
    <row r="4766" spans="1:24" x14ac:dyDescent="0.3">
      <c r="A4766" t="s">
        <v>4834</v>
      </c>
      <c r="B4766" t="s">
        <v>20</v>
      </c>
      <c r="C4766">
        <v>32</v>
      </c>
      <c r="D4766" t="s">
        <v>47</v>
      </c>
      <c r="E4766" t="s">
        <v>22</v>
      </c>
      <c r="F4766" t="s">
        <v>23</v>
      </c>
      <c r="G4766" t="s">
        <v>58</v>
      </c>
      <c r="H4766" t="s">
        <v>76</v>
      </c>
      <c r="I4766" t="s">
        <v>26</v>
      </c>
      <c r="J4766" t="s">
        <v>27</v>
      </c>
      <c r="K4766">
        <v>15</v>
      </c>
      <c r="L4766">
        <v>124876</v>
      </c>
      <c r="M4766" t="s">
        <v>36</v>
      </c>
      <c r="N4766">
        <v>4</v>
      </c>
      <c r="O4766">
        <v>4</v>
      </c>
      <c r="P4766">
        <v>38</v>
      </c>
      <c r="Q4766">
        <v>2</v>
      </c>
      <c r="R4766" s="1">
        <v>39790</v>
      </c>
      <c r="S4766" t="s">
        <v>29</v>
      </c>
      <c r="T4766" t="str">
        <f t="shared" si="370"/>
        <v>Grade A</v>
      </c>
      <c r="U4766">
        <f t="shared" si="371"/>
        <v>1</v>
      </c>
      <c r="V4766" t="str">
        <f t="shared" si="372"/>
        <v>Senior</v>
      </c>
      <c r="W4766" t="str">
        <f t="shared" si="373"/>
        <v>Medium Risk</v>
      </c>
      <c r="X4766" t="str">
        <f t="shared" si="374"/>
        <v>Overpaid</v>
      </c>
    </row>
    <row r="4767" spans="1:24" x14ac:dyDescent="0.3">
      <c r="A4767" t="s">
        <v>4835</v>
      </c>
      <c r="B4767" t="s">
        <v>20</v>
      </c>
      <c r="C4767">
        <v>31</v>
      </c>
      <c r="D4767" t="s">
        <v>31</v>
      </c>
      <c r="E4767" t="s">
        <v>40</v>
      </c>
      <c r="F4767" t="s">
        <v>75</v>
      </c>
      <c r="G4767" t="s">
        <v>42</v>
      </c>
      <c r="H4767" t="s">
        <v>25</v>
      </c>
      <c r="I4767" t="s">
        <v>72</v>
      </c>
      <c r="J4767" t="s">
        <v>73</v>
      </c>
      <c r="K4767">
        <v>1</v>
      </c>
      <c r="L4767">
        <v>88091</v>
      </c>
      <c r="M4767" t="s">
        <v>45</v>
      </c>
      <c r="N4767">
        <v>2</v>
      </c>
      <c r="O4767">
        <v>2</v>
      </c>
      <c r="P4767">
        <v>11</v>
      </c>
      <c r="Q4767">
        <v>1</v>
      </c>
      <c r="R4767" s="1">
        <v>44624</v>
      </c>
      <c r="S4767" t="s">
        <v>29</v>
      </c>
      <c r="T4767" t="str">
        <f t="shared" si="370"/>
        <v>Grade A</v>
      </c>
      <c r="U4767">
        <f t="shared" si="371"/>
        <v>2</v>
      </c>
      <c r="V4767" t="str">
        <f t="shared" si="372"/>
        <v>New Joiner</v>
      </c>
      <c r="W4767" t="str">
        <f t="shared" si="373"/>
        <v>Medium Risk</v>
      </c>
      <c r="X4767" t="str">
        <f t="shared" si="374"/>
        <v>Fair</v>
      </c>
    </row>
    <row r="4768" spans="1:24" x14ac:dyDescent="0.3">
      <c r="A4768" t="s">
        <v>4836</v>
      </c>
      <c r="B4768" t="s">
        <v>20</v>
      </c>
      <c r="C4768">
        <v>37</v>
      </c>
      <c r="D4768" t="s">
        <v>31</v>
      </c>
      <c r="E4768" t="s">
        <v>40</v>
      </c>
      <c r="F4768" t="s">
        <v>32</v>
      </c>
      <c r="G4768" t="s">
        <v>24</v>
      </c>
      <c r="H4768" t="s">
        <v>34</v>
      </c>
      <c r="I4768" t="s">
        <v>26</v>
      </c>
      <c r="J4768" t="s">
        <v>27</v>
      </c>
      <c r="K4768">
        <v>13</v>
      </c>
      <c r="L4768">
        <v>91850</v>
      </c>
      <c r="M4768" t="s">
        <v>45</v>
      </c>
      <c r="N4768">
        <v>2</v>
      </c>
      <c r="O4768">
        <v>2</v>
      </c>
      <c r="P4768">
        <v>56</v>
      </c>
      <c r="Q4768">
        <v>3</v>
      </c>
      <c r="R4768" s="1">
        <v>40336</v>
      </c>
      <c r="S4768" t="s">
        <v>29</v>
      </c>
      <c r="T4768" t="str">
        <f t="shared" si="370"/>
        <v>Grade A</v>
      </c>
      <c r="U4768">
        <f t="shared" si="371"/>
        <v>2</v>
      </c>
      <c r="V4768" t="str">
        <f t="shared" si="372"/>
        <v>Senior</v>
      </c>
      <c r="W4768" t="str">
        <f t="shared" si="373"/>
        <v>Medium Risk</v>
      </c>
      <c r="X4768" t="str">
        <f t="shared" si="374"/>
        <v>Fair</v>
      </c>
    </row>
    <row r="4769" spans="1:24" x14ac:dyDescent="0.3">
      <c r="A4769" t="s">
        <v>4837</v>
      </c>
      <c r="B4769" t="s">
        <v>20</v>
      </c>
      <c r="C4769">
        <v>27</v>
      </c>
      <c r="D4769" t="s">
        <v>57</v>
      </c>
      <c r="E4769" t="s">
        <v>48</v>
      </c>
      <c r="F4769" t="s">
        <v>32</v>
      </c>
      <c r="G4769" t="s">
        <v>66</v>
      </c>
      <c r="H4769" t="s">
        <v>76</v>
      </c>
      <c r="I4769" t="s">
        <v>26</v>
      </c>
      <c r="J4769" t="s">
        <v>27</v>
      </c>
      <c r="K4769">
        <v>2</v>
      </c>
      <c r="L4769">
        <v>43879</v>
      </c>
      <c r="M4769" t="s">
        <v>51</v>
      </c>
      <c r="N4769">
        <v>2</v>
      </c>
      <c r="O4769">
        <v>1</v>
      </c>
      <c r="P4769">
        <v>46</v>
      </c>
      <c r="Q4769">
        <v>2</v>
      </c>
      <c r="R4769" s="1">
        <v>44406</v>
      </c>
      <c r="S4769" t="s">
        <v>29</v>
      </c>
      <c r="T4769" t="str">
        <f t="shared" si="370"/>
        <v>Grade C</v>
      </c>
      <c r="U4769">
        <f t="shared" si="371"/>
        <v>4</v>
      </c>
      <c r="V4769" t="str">
        <f t="shared" si="372"/>
        <v>New Joiner</v>
      </c>
      <c r="W4769" t="str">
        <f t="shared" si="373"/>
        <v>Low Risk</v>
      </c>
      <c r="X4769" t="str">
        <f t="shared" si="374"/>
        <v>Fair</v>
      </c>
    </row>
    <row r="4770" spans="1:24" x14ac:dyDescent="0.3">
      <c r="A4770" t="s">
        <v>4838</v>
      </c>
      <c r="B4770" t="s">
        <v>39</v>
      </c>
      <c r="C4770">
        <v>48</v>
      </c>
      <c r="D4770" t="s">
        <v>21</v>
      </c>
      <c r="E4770" t="s">
        <v>48</v>
      </c>
      <c r="F4770" t="s">
        <v>62</v>
      </c>
      <c r="G4770" t="s">
        <v>79</v>
      </c>
      <c r="H4770" t="s">
        <v>34</v>
      </c>
      <c r="I4770" t="s">
        <v>54</v>
      </c>
      <c r="J4770" t="s">
        <v>27</v>
      </c>
      <c r="K4770">
        <v>8</v>
      </c>
      <c r="L4770">
        <v>59970</v>
      </c>
      <c r="M4770" t="s">
        <v>45</v>
      </c>
      <c r="N4770">
        <v>3</v>
      </c>
      <c r="O4770">
        <v>4</v>
      </c>
      <c r="P4770">
        <v>80</v>
      </c>
      <c r="Q4770">
        <v>1</v>
      </c>
      <c r="R4770" s="1">
        <v>42018</v>
      </c>
      <c r="S4770" t="s">
        <v>29</v>
      </c>
      <c r="T4770" t="str">
        <f t="shared" si="370"/>
        <v>Grade B</v>
      </c>
      <c r="U4770">
        <f t="shared" si="371"/>
        <v>2</v>
      </c>
      <c r="V4770" t="str">
        <f t="shared" si="372"/>
        <v>Mid Level</v>
      </c>
      <c r="W4770" t="str">
        <f t="shared" si="373"/>
        <v>Medium Risk</v>
      </c>
      <c r="X4770" t="str">
        <f t="shared" si="374"/>
        <v>Fair</v>
      </c>
    </row>
    <row r="4771" spans="1:24" x14ac:dyDescent="0.3">
      <c r="A4771" t="s">
        <v>4839</v>
      </c>
      <c r="B4771" t="s">
        <v>20</v>
      </c>
      <c r="C4771">
        <v>43</v>
      </c>
      <c r="D4771" t="s">
        <v>57</v>
      </c>
      <c r="E4771" t="s">
        <v>22</v>
      </c>
      <c r="F4771" t="s">
        <v>41</v>
      </c>
      <c r="G4771" t="s">
        <v>66</v>
      </c>
      <c r="H4771" t="s">
        <v>25</v>
      </c>
      <c r="I4771" t="s">
        <v>43</v>
      </c>
      <c r="J4771" t="s">
        <v>44</v>
      </c>
      <c r="K4771">
        <v>6</v>
      </c>
      <c r="L4771">
        <v>37967</v>
      </c>
      <c r="M4771" t="s">
        <v>51</v>
      </c>
      <c r="N4771">
        <v>1</v>
      </c>
      <c r="O4771">
        <v>3</v>
      </c>
      <c r="P4771">
        <v>12</v>
      </c>
      <c r="Q4771">
        <v>0</v>
      </c>
      <c r="R4771" s="1">
        <v>42777</v>
      </c>
      <c r="S4771" t="s">
        <v>37</v>
      </c>
      <c r="T4771" t="str">
        <f t="shared" si="370"/>
        <v>Grade C</v>
      </c>
      <c r="U4771">
        <f t="shared" si="371"/>
        <v>4</v>
      </c>
      <c r="V4771" t="str">
        <f t="shared" si="372"/>
        <v>Mid Level</v>
      </c>
      <c r="W4771" t="str">
        <f t="shared" si="373"/>
        <v>Already Left</v>
      </c>
      <c r="X4771" t="str">
        <f t="shared" si="374"/>
        <v>Fair</v>
      </c>
    </row>
    <row r="4772" spans="1:24" x14ac:dyDescent="0.3">
      <c r="A4772" t="s">
        <v>4840</v>
      </c>
      <c r="B4772" t="s">
        <v>20</v>
      </c>
      <c r="C4772">
        <v>26</v>
      </c>
      <c r="D4772" t="s">
        <v>47</v>
      </c>
      <c r="E4772" t="s">
        <v>22</v>
      </c>
      <c r="F4772" t="s">
        <v>32</v>
      </c>
      <c r="G4772" t="s">
        <v>79</v>
      </c>
      <c r="H4772" t="s">
        <v>67</v>
      </c>
      <c r="I4772" t="s">
        <v>96</v>
      </c>
      <c r="J4772" t="s">
        <v>44</v>
      </c>
      <c r="K4772">
        <v>6</v>
      </c>
      <c r="L4772">
        <v>45381</v>
      </c>
      <c r="M4772" t="s">
        <v>36</v>
      </c>
      <c r="N4772">
        <v>2</v>
      </c>
      <c r="O4772">
        <v>3</v>
      </c>
      <c r="P4772">
        <v>52</v>
      </c>
      <c r="Q4772">
        <v>3</v>
      </c>
      <c r="R4772" s="1">
        <v>42782</v>
      </c>
      <c r="S4772" t="s">
        <v>29</v>
      </c>
      <c r="T4772" t="str">
        <f t="shared" si="370"/>
        <v>Grade C</v>
      </c>
      <c r="U4772">
        <f t="shared" si="371"/>
        <v>1</v>
      </c>
      <c r="V4772" t="str">
        <f t="shared" si="372"/>
        <v>Mid Level</v>
      </c>
      <c r="W4772" t="str">
        <f t="shared" si="373"/>
        <v>Medium Risk</v>
      </c>
      <c r="X4772" t="str">
        <f t="shared" si="374"/>
        <v>Fair</v>
      </c>
    </row>
    <row r="4773" spans="1:24" x14ac:dyDescent="0.3">
      <c r="A4773" t="s">
        <v>4841</v>
      </c>
      <c r="B4773" t="s">
        <v>20</v>
      </c>
      <c r="C4773">
        <v>41</v>
      </c>
      <c r="D4773" t="s">
        <v>47</v>
      </c>
      <c r="E4773" t="s">
        <v>48</v>
      </c>
      <c r="F4773" t="s">
        <v>41</v>
      </c>
      <c r="G4773" t="s">
        <v>63</v>
      </c>
      <c r="H4773" t="s">
        <v>76</v>
      </c>
      <c r="I4773" t="s">
        <v>50</v>
      </c>
      <c r="J4773" t="s">
        <v>44</v>
      </c>
      <c r="K4773">
        <v>2</v>
      </c>
      <c r="L4773">
        <v>41830</v>
      </c>
      <c r="M4773" t="s">
        <v>51</v>
      </c>
      <c r="N4773">
        <v>2</v>
      </c>
      <c r="O4773">
        <v>3</v>
      </c>
      <c r="P4773">
        <v>27</v>
      </c>
      <c r="Q4773">
        <v>2</v>
      </c>
      <c r="R4773" s="1">
        <v>44245</v>
      </c>
      <c r="S4773" t="s">
        <v>29</v>
      </c>
      <c r="T4773" t="str">
        <f t="shared" si="370"/>
        <v>Grade C</v>
      </c>
      <c r="U4773">
        <f t="shared" si="371"/>
        <v>4</v>
      </c>
      <c r="V4773" t="str">
        <f t="shared" si="372"/>
        <v>New Joiner</v>
      </c>
      <c r="W4773" t="str">
        <f t="shared" si="373"/>
        <v>Low Risk</v>
      </c>
      <c r="X4773" t="str">
        <f t="shared" si="374"/>
        <v>Fair</v>
      </c>
    </row>
    <row r="4774" spans="1:24" x14ac:dyDescent="0.3">
      <c r="A4774" t="s">
        <v>4842</v>
      </c>
      <c r="B4774" t="s">
        <v>20</v>
      </c>
      <c r="C4774">
        <v>39</v>
      </c>
      <c r="D4774" t="s">
        <v>31</v>
      </c>
      <c r="E4774" t="s">
        <v>22</v>
      </c>
      <c r="F4774" t="s">
        <v>78</v>
      </c>
      <c r="G4774" t="s">
        <v>58</v>
      </c>
      <c r="H4774" t="s">
        <v>83</v>
      </c>
      <c r="I4774" t="s">
        <v>59</v>
      </c>
      <c r="J4774" t="s">
        <v>60</v>
      </c>
      <c r="K4774">
        <v>3</v>
      </c>
      <c r="L4774">
        <v>93717</v>
      </c>
      <c r="M4774" t="s">
        <v>45</v>
      </c>
      <c r="N4774">
        <v>1</v>
      </c>
      <c r="O4774">
        <v>3</v>
      </c>
      <c r="P4774">
        <v>29</v>
      </c>
      <c r="Q4774">
        <v>1</v>
      </c>
      <c r="R4774" s="1">
        <v>43878</v>
      </c>
      <c r="S4774" t="s">
        <v>29</v>
      </c>
      <c r="T4774" t="str">
        <f t="shared" si="370"/>
        <v>Grade A</v>
      </c>
      <c r="U4774">
        <f t="shared" si="371"/>
        <v>2</v>
      </c>
      <c r="V4774" t="str">
        <f t="shared" si="372"/>
        <v>Junior</v>
      </c>
      <c r="W4774" t="str">
        <f t="shared" si="373"/>
        <v>Medium Risk</v>
      </c>
      <c r="X4774" t="str">
        <f t="shared" si="374"/>
        <v>Fair</v>
      </c>
    </row>
    <row r="4775" spans="1:24" x14ac:dyDescent="0.3">
      <c r="A4775" t="s">
        <v>4843</v>
      </c>
      <c r="B4775" t="s">
        <v>20</v>
      </c>
      <c r="C4775">
        <v>52</v>
      </c>
      <c r="D4775" t="s">
        <v>47</v>
      </c>
      <c r="E4775" t="s">
        <v>40</v>
      </c>
      <c r="F4775" t="s">
        <v>65</v>
      </c>
      <c r="G4775" t="s">
        <v>58</v>
      </c>
      <c r="H4775" t="s">
        <v>25</v>
      </c>
      <c r="I4775" t="s">
        <v>26</v>
      </c>
      <c r="J4775" t="s">
        <v>27</v>
      </c>
      <c r="K4775">
        <v>4</v>
      </c>
      <c r="L4775">
        <v>99536</v>
      </c>
      <c r="M4775" t="s">
        <v>36</v>
      </c>
      <c r="N4775">
        <v>3</v>
      </c>
      <c r="O4775">
        <v>1</v>
      </c>
      <c r="P4775">
        <v>79</v>
      </c>
      <c r="Q4775">
        <v>1</v>
      </c>
      <c r="R4775" s="1">
        <v>43476</v>
      </c>
      <c r="S4775" t="s">
        <v>29</v>
      </c>
      <c r="T4775" t="str">
        <f t="shared" si="370"/>
        <v>Grade A</v>
      </c>
      <c r="U4775">
        <f t="shared" si="371"/>
        <v>1</v>
      </c>
      <c r="V4775" t="str">
        <f t="shared" si="372"/>
        <v>Junior</v>
      </c>
      <c r="W4775" t="str">
        <f t="shared" si="373"/>
        <v>Medium Risk</v>
      </c>
      <c r="X4775" t="str">
        <f t="shared" si="374"/>
        <v>Overpaid</v>
      </c>
    </row>
    <row r="4776" spans="1:24" x14ac:dyDescent="0.3">
      <c r="A4776" t="s">
        <v>4844</v>
      </c>
      <c r="B4776" t="s">
        <v>39</v>
      </c>
      <c r="C4776">
        <v>48</v>
      </c>
      <c r="D4776" t="s">
        <v>31</v>
      </c>
      <c r="E4776" t="s">
        <v>40</v>
      </c>
      <c r="F4776" t="s">
        <v>65</v>
      </c>
      <c r="G4776" t="s">
        <v>79</v>
      </c>
      <c r="H4776" t="s">
        <v>67</v>
      </c>
      <c r="I4776" t="s">
        <v>59</v>
      </c>
      <c r="J4776" t="s">
        <v>60</v>
      </c>
      <c r="K4776">
        <v>14</v>
      </c>
      <c r="L4776">
        <v>59110</v>
      </c>
      <c r="M4776" t="s">
        <v>45</v>
      </c>
      <c r="N4776">
        <v>2</v>
      </c>
      <c r="O4776">
        <v>3</v>
      </c>
      <c r="P4776">
        <v>47</v>
      </c>
      <c r="Q4776">
        <v>2</v>
      </c>
      <c r="R4776" s="1">
        <v>39984</v>
      </c>
      <c r="S4776" t="s">
        <v>29</v>
      </c>
      <c r="T4776" t="str">
        <f t="shared" si="370"/>
        <v>Grade B</v>
      </c>
      <c r="U4776">
        <f t="shared" si="371"/>
        <v>2</v>
      </c>
      <c r="V4776" t="str">
        <f t="shared" si="372"/>
        <v>Senior</v>
      </c>
      <c r="W4776" t="str">
        <f t="shared" si="373"/>
        <v>Medium Risk</v>
      </c>
      <c r="X4776" t="str">
        <f t="shared" si="374"/>
        <v>Fair</v>
      </c>
    </row>
    <row r="4777" spans="1:24" x14ac:dyDescent="0.3">
      <c r="A4777" t="s">
        <v>4845</v>
      </c>
      <c r="B4777" t="s">
        <v>39</v>
      </c>
      <c r="C4777">
        <v>31</v>
      </c>
      <c r="D4777" t="s">
        <v>47</v>
      </c>
      <c r="E4777" t="s">
        <v>40</v>
      </c>
      <c r="F4777" t="s">
        <v>78</v>
      </c>
      <c r="G4777" t="s">
        <v>66</v>
      </c>
      <c r="H4777" t="s">
        <v>83</v>
      </c>
      <c r="I4777" t="s">
        <v>54</v>
      </c>
      <c r="J4777" t="s">
        <v>27</v>
      </c>
      <c r="K4777">
        <v>6</v>
      </c>
      <c r="L4777">
        <v>46515</v>
      </c>
      <c r="M4777" t="s">
        <v>36</v>
      </c>
      <c r="N4777">
        <v>3</v>
      </c>
      <c r="O4777">
        <v>1</v>
      </c>
      <c r="P4777">
        <v>25</v>
      </c>
      <c r="Q4777">
        <v>3</v>
      </c>
      <c r="R4777" s="1">
        <v>42829</v>
      </c>
      <c r="S4777" t="s">
        <v>37</v>
      </c>
      <c r="T4777" t="str">
        <f t="shared" si="370"/>
        <v>Grade C</v>
      </c>
      <c r="U4777">
        <f t="shared" si="371"/>
        <v>1</v>
      </c>
      <c r="V4777" t="str">
        <f t="shared" si="372"/>
        <v>Mid Level</v>
      </c>
      <c r="W4777" t="str">
        <f t="shared" si="373"/>
        <v>Already Left</v>
      </c>
      <c r="X4777" t="str">
        <f t="shared" si="374"/>
        <v>Fair</v>
      </c>
    </row>
    <row r="4778" spans="1:24" x14ac:dyDescent="0.3">
      <c r="A4778" t="s">
        <v>4846</v>
      </c>
      <c r="B4778" t="s">
        <v>20</v>
      </c>
      <c r="C4778">
        <v>55</v>
      </c>
      <c r="D4778" t="s">
        <v>47</v>
      </c>
      <c r="E4778" t="s">
        <v>40</v>
      </c>
      <c r="F4778" t="s">
        <v>65</v>
      </c>
      <c r="G4778" t="s">
        <v>49</v>
      </c>
      <c r="H4778" t="s">
        <v>76</v>
      </c>
      <c r="I4778" t="s">
        <v>50</v>
      </c>
      <c r="J4778" t="s">
        <v>44</v>
      </c>
      <c r="K4778">
        <v>15</v>
      </c>
      <c r="L4778">
        <v>87241</v>
      </c>
      <c r="M4778" t="s">
        <v>45</v>
      </c>
      <c r="N4778">
        <v>2</v>
      </c>
      <c r="O4778">
        <v>4</v>
      </c>
      <c r="P4778">
        <v>55</v>
      </c>
      <c r="Q4778">
        <v>3</v>
      </c>
      <c r="R4778" s="1">
        <v>39598</v>
      </c>
      <c r="S4778" t="s">
        <v>29</v>
      </c>
      <c r="T4778" t="str">
        <f t="shared" si="370"/>
        <v>Grade A</v>
      </c>
      <c r="U4778">
        <f t="shared" si="371"/>
        <v>2</v>
      </c>
      <c r="V4778" t="str">
        <f t="shared" si="372"/>
        <v>Senior</v>
      </c>
      <c r="W4778" t="str">
        <f t="shared" si="373"/>
        <v>Medium Risk</v>
      </c>
      <c r="X4778" t="str">
        <f t="shared" si="374"/>
        <v>Fair</v>
      </c>
    </row>
    <row r="4779" spans="1:24" x14ac:dyDescent="0.3">
      <c r="A4779" t="s">
        <v>4847</v>
      </c>
      <c r="B4779" t="s">
        <v>20</v>
      </c>
      <c r="C4779">
        <v>49</v>
      </c>
      <c r="D4779" t="s">
        <v>88</v>
      </c>
      <c r="E4779" t="s">
        <v>22</v>
      </c>
      <c r="F4779" t="s">
        <v>23</v>
      </c>
      <c r="G4779" t="s">
        <v>66</v>
      </c>
      <c r="H4779" t="s">
        <v>76</v>
      </c>
      <c r="I4779" t="s">
        <v>43</v>
      </c>
      <c r="J4779" t="s">
        <v>44</v>
      </c>
      <c r="K4779">
        <v>1</v>
      </c>
      <c r="L4779">
        <v>30994</v>
      </c>
      <c r="M4779" t="s">
        <v>51</v>
      </c>
      <c r="N4779">
        <v>2</v>
      </c>
      <c r="O4779">
        <v>2</v>
      </c>
      <c r="P4779">
        <v>74</v>
      </c>
      <c r="Q4779">
        <v>3</v>
      </c>
      <c r="R4779" s="1">
        <v>44872</v>
      </c>
      <c r="S4779" t="s">
        <v>29</v>
      </c>
      <c r="T4779" t="str">
        <f t="shared" si="370"/>
        <v>Grade D</v>
      </c>
      <c r="U4779">
        <f t="shared" si="371"/>
        <v>4</v>
      </c>
      <c r="V4779" t="str">
        <f t="shared" si="372"/>
        <v>New Joiner</v>
      </c>
      <c r="W4779" t="str">
        <f t="shared" si="373"/>
        <v>Low Risk</v>
      </c>
      <c r="X4779" t="str">
        <f t="shared" si="374"/>
        <v>Underpaid</v>
      </c>
    </row>
    <row r="4780" spans="1:24" x14ac:dyDescent="0.3">
      <c r="A4780" t="s">
        <v>4848</v>
      </c>
      <c r="B4780" t="s">
        <v>39</v>
      </c>
      <c r="C4780">
        <v>55</v>
      </c>
      <c r="D4780" t="s">
        <v>31</v>
      </c>
      <c r="E4780" t="s">
        <v>40</v>
      </c>
      <c r="F4780" t="s">
        <v>62</v>
      </c>
      <c r="G4780" t="s">
        <v>49</v>
      </c>
      <c r="H4780" t="s">
        <v>25</v>
      </c>
      <c r="I4780" t="s">
        <v>59</v>
      </c>
      <c r="J4780" t="s">
        <v>60</v>
      </c>
      <c r="K4780">
        <v>3</v>
      </c>
      <c r="L4780">
        <v>58603</v>
      </c>
      <c r="M4780" t="s">
        <v>36</v>
      </c>
      <c r="N4780">
        <v>3</v>
      </c>
      <c r="O4780">
        <v>1</v>
      </c>
      <c r="P4780">
        <v>23</v>
      </c>
      <c r="Q4780">
        <v>2</v>
      </c>
      <c r="R4780" s="1">
        <v>44005</v>
      </c>
      <c r="S4780" t="s">
        <v>29</v>
      </c>
      <c r="T4780" t="str">
        <f t="shared" si="370"/>
        <v>Grade B</v>
      </c>
      <c r="U4780">
        <f t="shared" si="371"/>
        <v>1</v>
      </c>
      <c r="V4780" t="str">
        <f t="shared" si="372"/>
        <v>Junior</v>
      </c>
      <c r="W4780" t="str">
        <f t="shared" si="373"/>
        <v>Medium Risk</v>
      </c>
      <c r="X4780" t="str">
        <f t="shared" si="374"/>
        <v>Fair</v>
      </c>
    </row>
    <row r="4781" spans="1:24" x14ac:dyDescent="0.3">
      <c r="A4781" t="s">
        <v>4849</v>
      </c>
      <c r="B4781" t="s">
        <v>39</v>
      </c>
      <c r="C4781">
        <v>51</v>
      </c>
      <c r="D4781" t="s">
        <v>31</v>
      </c>
      <c r="E4781" t="s">
        <v>48</v>
      </c>
      <c r="F4781" t="s">
        <v>78</v>
      </c>
      <c r="G4781" t="s">
        <v>63</v>
      </c>
      <c r="H4781" t="s">
        <v>25</v>
      </c>
      <c r="I4781" t="s">
        <v>72</v>
      </c>
      <c r="J4781" t="s">
        <v>73</v>
      </c>
      <c r="K4781">
        <v>4</v>
      </c>
      <c r="L4781">
        <v>60882</v>
      </c>
      <c r="M4781" t="s">
        <v>36</v>
      </c>
      <c r="N4781">
        <v>1</v>
      </c>
      <c r="O4781">
        <v>1</v>
      </c>
      <c r="P4781">
        <v>52</v>
      </c>
      <c r="Q4781">
        <v>1</v>
      </c>
      <c r="R4781" s="1">
        <v>43645</v>
      </c>
      <c r="S4781" t="s">
        <v>37</v>
      </c>
      <c r="T4781" t="str">
        <f t="shared" si="370"/>
        <v>Grade B</v>
      </c>
      <c r="U4781">
        <f t="shared" si="371"/>
        <v>1</v>
      </c>
      <c r="V4781" t="str">
        <f t="shared" si="372"/>
        <v>Junior</v>
      </c>
      <c r="W4781" t="str">
        <f t="shared" si="373"/>
        <v>Already Left</v>
      </c>
      <c r="X4781" t="str">
        <f t="shared" si="374"/>
        <v>Fair</v>
      </c>
    </row>
    <row r="4782" spans="1:24" x14ac:dyDescent="0.3">
      <c r="A4782" t="s">
        <v>4850</v>
      </c>
      <c r="B4782" t="s">
        <v>39</v>
      </c>
      <c r="C4782">
        <v>25</v>
      </c>
      <c r="D4782" t="s">
        <v>47</v>
      </c>
      <c r="E4782" t="s">
        <v>48</v>
      </c>
      <c r="F4782" t="s">
        <v>78</v>
      </c>
      <c r="G4782" t="s">
        <v>79</v>
      </c>
      <c r="H4782" t="s">
        <v>83</v>
      </c>
      <c r="I4782" t="s">
        <v>80</v>
      </c>
      <c r="J4782" t="s">
        <v>60</v>
      </c>
      <c r="K4782">
        <v>12</v>
      </c>
      <c r="L4782">
        <v>54609</v>
      </c>
      <c r="M4782" t="s">
        <v>36</v>
      </c>
      <c r="N4782">
        <v>2</v>
      </c>
      <c r="O4782">
        <v>4</v>
      </c>
      <c r="P4782">
        <v>51</v>
      </c>
      <c r="Q4782">
        <v>0</v>
      </c>
      <c r="R4782" s="1">
        <v>40811</v>
      </c>
      <c r="S4782" t="s">
        <v>37</v>
      </c>
      <c r="T4782" t="str">
        <f t="shared" si="370"/>
        <v>Grade B</v>
      </c>
      <c r="U4782">
        <f t="shared" si="371"/>
        <v>1</v>
      </c>
      <c r="V4782" t="str">
        <f t="shared" si="372"/>
        <v>Senior</v>
      </c>
      <c r="W4782" t="str">
        <f t="shared" si="373"/>
        <v>Already Left</v>
      </c>
      <c r="X4782" t="str">
        <f t="shared" si="374"/>
        <v>Fair</v>
      </c>
    </row>
    <row r="4783" spans="1:24" x14ac:dyDescent="0.3">
      <c r="A4783" t="s">
        <v>4851</v>
      </c>
      <c r="B4783" t="s">
        <v>20</v>
      </c>
      <c r="C4783">
        <v>54</v>
      </c>
      <c r="D4783" t="s">
        <v>47</v>
      </c>
      <c r="E4783" t="s">
        <v>48</v>
      </c>
      <c r="F4783" t="s">
        <v>53</v>
      </c>
      <c r="G4783" t="s">
        <v>24</v>
      </c>
      <c r="H4783" t="s">
        <v>34</v>
      </c>
      <c r="I4783" t="s">
        <v>96</v>
      </c>
      <c r="J4783" t="s">
        <v>44</v>
      </c>
      <c r="K4783">
        <v>4</v>
      </c>
      <c r="L4783">
        <v>82152</v>
      </c>
      <c r="M4783" t="s">
        <v>36</v>
      </c>
      <c r="N4783">
        <v>1</v>
      </c>
      <c r="O4783">
        <v>1</v>
      </c>
      <c r="P4783">
        <v>28</v>
      </c>
      <c r="Q4783">
        <v>2</v>
      </c>
      <c r="R4783" s="1">
        <v>43551</v>
      </c>
      <c r="S4783" t="s">
        <v>37</v>
      </c>
      <c r="T4783" t="str">
        <f t="shared" si="370"/>
        <v>Grade A</v>
      </c>
      <c r="U4783">
        <f t="shared" si="371"/>
        <v>1</v>
      </c>
      <c r="V4783" t="str">
        <f t="shared" si="372"/>
        <v>Junior</v>
      </c>
      <c r="W4783" t="str">
        <f t="shared" si="373"/>
        <v>Already Left</v>
      </c>
      <c r="X4783" t="str">
        <f t="shared" si="374"/>
        <v>Overpaid</v>
      </c>
    </row>
    <row r="4784" spans="1:24" x14ac:dyDescent="0.3">
      <c r="A4784" t="s">
        <v>4852</v>
      </c>
      <c r="B4784" t="s">
        <v>39</v>
      </c>
      <c r="C4784">
        <v>51</v>
      </c>
      <c r="D4784" t="s">
        <v>47</v>
      </c>
      <c r="E4784" t="s">
        <v>48</v>
      </c>
      <c r="F4784" t="s">
        <v>65</v>
      </c>
      <c r="G4784" t="s">
        <v>79</v>
      </c>
      <c r="H4784" t="s">
        <v>34</v>
      </c>
      <c r="I4784" t="s">
        <v>72</v>
      </c>
      <c r="J4784" t="s">
        <v>73</v>
      </c>
      <c r="K4784">
        <v>13</v>
      </c>
      <c r="L4784">
        <v>65689</v>
      </c>
      <c r="M4784" t="s">
        <v>28</v>
      </c>
      <c r="N4784">
        <v>1</v>
      </c>
      <c r="O4784">
        <v>1</v>
      </c>
      <c r="P4784">
        <v>24</v>
      </c>
      <c r="Q4784">
        <v>1</v>
      </c>
      <c r="R4784" s="1">
        <v>40225</v>
      </c>
      <c r="S4784" t="s">
        <v>29</v>
      </c>
      <c r="T4784" t="str">
        <f t="shared" si="370"/>
        <v>Grade B</v>
      </c>
      <c r="U4784">
        <f t="shared" si="371"/>
        <v>3</v>
      </c>
      <c r="V4784" t="str">
        <f t="shared" si="372"/>
        <v>Senior</v>
      </c>
      <c r="W4784" t="str">
        <f t="shared" si="373"/>
        <v>Medium Risk</v>
      </c>
      <c r="X4784" t="str">
        <f t="shared" si="374"/>
        <v>Competitive</v>
      </c>
    </row>
    <row r="4785" spans="1:24" x14ac:dyDescent="0.3">
      <c r="A4785" t="s">
        <v>4853</v>
      </c>
      <c r="B4785" t="s">
        <v>39</v>
      </c>
      <c r="C4785">
        <v>49</v>
      </c>
      <c r="D4785" t="s">
        <v>88</v>
      </c>
      <c r="E4785" t="s">
        <v>48</v>
      </c>
      <c r="F4785" t="s">
        <v>78</v>
      </c>
      <c r="G4785" t="s">
        <v>24</v>
      </c>
      <c r="H4785" t="s">
        <v>67</v>
      </c>
      <c r="I4785" t="s">
        <v>35</v>
      </c>
      <c r="J4785" t="s">
        <v>27</v>
      </c>
      <c r="K4785">
        <v>8</v>
      </c>
      <c r="L4785">
        <v>98738</v>
      </c>
      <c r="M4785" t="s">
        <v>51</v>
      </c>
      <c r="N4785">
        <v>4</v>
      </c>
      <c r="O4785">
        <v>3</v>
      </c>
      <c r="P4785">
        <v>42</v>
      </c>
      <c r="Q4785">
        <v>3</v>
      </c>
      <c r="R4785" s="1">
        <v>42166</v>
      </c>
      <c r="S4785" t="s">
        <v>29</v>
      </c>
      <c r="T4785" t="str">
        <f t="shared" si="370"/>
        <v>Grade A</v>
      </c>
      <c r="U4785">
        <f t="shared" si="371"/>
        <v>4</v>
      </c>
      <c r="V4785" t="str">
        <f t="shared" si="372"/>
        <v>Mid Level</v>
      </c>
      <c r="W4785" t="str">
        <f t="shared" si="373"/>
        <v>Low Risk</v>
      </c>
      <c r="X4785" t="str">
        <f t="shared" si="374"/>
        <v>Competitive</v>
      </c>
    </row>
    <row r="4786" spans="1:24" x14ac:dyDescent="0.3">
      <c r="A4786" t="s">
        <v>4854</v>
      </c>
      <c r="B4786" t="s">
        <v>39</v>
      </c>
      <c r="C4786">
        <v>23</v>
      </c>
      <c r="D4786" t="s">
        <v>57</v>
      </c>
      <c r="E4786" t="s">
        <v>22</v>
      </c>
      <c r="F4786" t="s">
        <v>62</v>
      </c>
      <c r="G4786" t="s">
        <v>33</v>
      </c>
      <c r="H4786" t="s">
        <v>34</v>
      </c>
      <c r="I4786" t="s">
        <v>54</v>
      </c>
      <c r="J4786" t="s">
        <v>27</v>
      </c>
      <c r="K4786">
        <v>2</v>
      </c>
      <c r="L4786">
        <v>60339</v>
      </c>
      <c r="M4786" t="s">
        <v>28</v>
      </c>
      <c r="N4786">
        <v>3</v>
      </c>
      <c r="O4786">
        <v>1</v>
      </c>
      <c r="P4786">
        <v>69</v>
      </c>
      <c r="Q4786">
        <v>1</v>
      </c>
      <c r="R4786" s="1">
        <v>44494</v>
      </c>
      <c r="S4786" t="s">
        <v>29</v>
      </c>
      <c r="T4786" t="str">
        <f t="shared" si="370"/>
        <v>Grade B</v>
      </c>
      <c r="U4786">
        <f t="shared" si="371"/>
        <v>3</v>
      </c>
      <c r="V4786" t="str">
        <f t="shared" si="372"/>
        <v>New Joiner</v>
      </c>
      <c r="W4786" t="str">
        <f t="shared" si="373"/>
        <v>Medium Risk</v>
      </c>
      <c r="X4786" t="str">
        <f t="shared" si="374"/>
        <v>Competitive</v>
      </c>
    </row>
    <row r="4787" spans="1:24" x14ac:dyDescent="0.3">
      <c r="A4787" t="s">
        <v>4855</v>
      </c>
      <c r="B4787" t="s">
        <v>39</v>
      </c>
      <c r="C4787">
        <v>54</v>
      </c>
      <c r="D4787" t="s">
        <v>57</v>
      </c>
      <c r="E4787" t="s">
        <v>40</v>
      </c>
      <c r="F4787" t="s">
        <v>62</v>
      </c>
      <c r="G4787" t="s">
        <v>66</v>
      </c>
      <c r="H4787" t="s">
        <v>67</v>
      </c>
      <c r="I4787" t="s">
        <v>96</v>
      </c>
      <c r="J4787" t="s">
        <v>44</v>
      </c>
      <c r="K4787">
        <v>14</v>
      </c>
      <c r="L4787">
        <v>65602</v>
      </c>
      <c r="M4787" t="s">
        <v>45</v>
      </c>
      <c r="N4787">
        <v>3</v>
      </c>
      <c r="O4787">
        <v>2</v>
      </c>
      <c r="P4787">
        <v>47</v>
      </c>
      <c r="Q4787">
        <v>1</v>
      </c>
      <c r="R4787" s="1">
        <v>40074</v>
      </c>
      <c r="S4787" t="s">
        <v>29</v>
      </c>
      <c r="T4787" t="str">
        <f t="shared" si="370"/>
        <v>Grade B</v>
      </c>
      <c r="U4787">
        <f t="shared" si="371"/>
        <v>2</v>
      </c>
      <c r="V4787" t="str">
        <f t="shared" si="372"/>
        <v>Senior</v>
      </c>
      <c r="W4787" t="str">
        <f t="shared" si="373"/>
        <v>Medium Risk</v>
      </c>
      <c r="X4787" t="str">
        <f t="shared" si="374"/>
        <v>Fair</v>
      </c>
    </row>
    <row r="4788" spans="1:24" x14ac:dyDescent="0.3">
      <c r="A4788" t="s">
        <v>4856</v>
      </c>
      <c r="B4788" t="s">
        <v>39</v>
      </c>
      <c r="C4788">
        <v>35</v>
      </c>
      <c r="D4788" t="s">
        <v>31</v>
      </c>
      <c r="E4788" t="s">
        <v>48</v>
      </c>
      <c r="F4788" t="s">
        <v>65</v>
      </c>
      <c r="G4788" t="s">
        <v>58</v>
      </c>
      <c r="H4788" t="s">
        <v>83</v>
      </c>
      <c r="I4788" t="s">
        <v>50</v>
      </c>
      <c r="J4788" t="s">
        <v>44</v>
      </c>
      <c r="K4788">
        <v>5</v>
      </c>
      <c r="L4788">
        <v>104115</v>
      </c>
      <c r="M4788" t="s">
        <v>28</v>
      </c>
      <c r="N4788">
        <v>1</v>
      </c>
      <c r="O4788">
        <v>2</v>
      </c>
      <c r="P4788">
        <v>67</v>
      </c>
      <c r="Q4788">
        <v>1</v>
      </c>
      <c r="R4788" s="1">
        <v>43287</v>
      </c>
      <c r="S4788" t="s">
        <v>37</v>
      </c>
      <c r="T4788" t="str">
        <f t="shared" si="370"/>
        <v>Grade A</v>
      </c>
      <c r="U4788">
        <f t="shared" si="371"/>
        <v>3</v>
      </c>
      <c r="V4788" t="str">
        <f t="shared" si="372"/>
        <v>Junior</v>
      </c>
      <c r="W4788" t="str">
        <f t="shared" si="373"/>
        <v>Already Left</v>
      </c>
      <c r="X4788" t="str">
        <f t="shared" si="374"/>
        <v>Competitive</v>
      </c>
    </row>
    <row r="4789" spans="1:24" x14ac:dyDescent="0.3">
      <c r="A4789" t="s">
        <v>4857</v>
      </c>
      <c r="B4789" t="s">
        <v>39</v>
      </c>
      <c r="C4789">
        <v>49</v>
      </c>
      <c r="D4789" t="s">
        <v>21</v>
      </c>
      <c r="E4789" t="s">
        <v>48</v>
      </c>
      <c r="F4789" t="s">
        <v>23</v>
      </c>
      <c r="G4789" t="s">
        <v>63</v>
      </c>
      <c r="H4789" t="s">
        <v>34</v>
      </c>
      <c r="I4789" t="s">
        <v>72</v>
      </c>
      <c r="J4789" t="s">
        <v>73</v>
      </c>
      <c r="K4789">
        <v>15</v>
      </c>
      <c r="L4789">
        <v>83621</v>
      </c>
      <c r="M4789" t="s">
        <v>28</v>
      </c>
      <c r="N4789">
        <v>3</v>
      </c>
      <c r="O4789">
        <v>1</v>
      </c>
      <c r="P4789">
        <v>56</v>
      </c>
      <c r="Q4789">
        <v>2</v>
      </c>
      <c r="R4789" s="1">
        <v>39642</v>
      </c>
      <c r="S4789" t="s">
        <v>29</v>
      </c>
      <c r="T4789" t="str">
        <f t="shared" si="370"/>
        <v>Grade A</v>
      </c>
      <c r="U4789">
        <f t="shared" si="371"/>
        <v>3</v>
      </c>
      <c r="V4789" t="str">
        <f t="shared" si="372"/>
        <v>Senior</v>
      </c>
      <c r="W4789" t="str">
        <f t="shared" si="373"/>
        <v>Medium Risk</v>
      </c>
      <c r="X4789" t="str">
        <f t="shared" si="374"/>
        <v>Competitive</v>
      </c>
    </row>
    <row r="4790" spans="1:24" x14ac:dyDescent="0.3">
      <c r="A4790" t="s">
        <v>4858</v>
      </c>
      <c r="B4790" t="s">
        <v>39</v>
      </c>
      <c r="C4790">
        <v>35</v>
      </c>
      <c r="D4790" t="s">
        <v>88</v>
      </c>
      <c r="E4790" t="s">
        <v>40</v>
      </c>
      <c r="F4790" t="s">
        <v>53</v>
      </c>
      <c r="G4790" t="s">
        <v>58</v>
      </c>
      <c r="H4790" t="s">
        <v>67</v>
      </c>
      <c r="I4790" t="s">
        <v>26</v>
      </c>
      <c r="J4790" t="s">
        <v>27</v>
      </c>
      <c r="K4790">
        <v>1</v>
      </c>
      <c r="L4790">
        <v>81678</v>
      </c>
      <c r="M4790" t="s">
        <v>36</v>
      </c>
      <c r="N4790">
        <v>2</v>
      </c>
      <c r="O4790">
        <v>2</v>
      </c>
      <c r="P4790">
        <v>29</v>
      </c>
      <c r="Q4790">
        <v>1</v>
      </c>
      <c r="R4790" s="1">
        <v>44708</v>
      </c>
      <c r="S4790" t="s">
        <v>37</v>
      </c>
      <c r="T4790" t="str">
        <f t="shared" si="370"/>
        <v>Grade A</v>
      </c>
      <c r="U4790">
        <f t="shared" si="371"/>
        <v>1</v>
      </c>
      <c r="V4790" t="str">
        <f t="shared" si="372"/>
        <v>New Joiner</v>
      </c>
      <c r="W4790" t="str">
        <f t="shared" si="373"/>
        <v>Already Left</v>
      </c>
      <c r="X4790" t="str">
        <f t="shared" si="374"/>
        <v>Overpaid</v>
      </c>
    </row>
    <row r="4791" spans="1:24" x14ac:dyDescent="0.3">
      <c r="A4791" t="s">
        <v>4859</v>
      </c>
      <c r="B4791" t="s">
        <v>20</v>
      </c>
      <c r="C4791">
        <v>22</v>
      </c>
      <c r="D4791" t="s">
        <v>57</v>
      </c>
      <c r="E4791" t="s">
        <v>40</v>
      </c>
      <c r="F4791" t="s">
        <v>78</v>
      </c>
      <c r="G4791" t="s">
        <v>79</v>
      </c>
      <c r="H4791" t="s">
        <v>25</v>
      </c>
      <c r="I4791" t="s">
        <v>54</v>
      </c>
      <c r="J4791" t="s">
        <v>27</v>
      </c>
      <c r="K4791">
        <v>6</v>
      </c>
      <c r="L4791">
        <v>47260</v>
      </c>
      <c r="M4791" t="s">
        <v>45</v>
      </c>
      <c r="N4791">
        <v>4</v>
      </c>
      <c r="O4791">
        <v>4</v>
      </c>
      <c r="P4791">
        <v>10</v>
      </c>
      <c r="Q4791">
        <v>3</v>
      </c>
      <c r="R4791" s="1">
        <v>42863</v>
      </c>
      <c r="S4791" t="s">
        <v>29</v>
      </c>
      <c r="T4791" t="str">
        <f t="shared" si="370"/>
        <v>Grade C</v>
      </c>
      <c r="U4791">
        <f t="shared" si="371"/>
        <v>2</v>
      </c>
      <c r="V4791" t="str">
        <f t="shared" si="372"/>
        <v>Mid Level</v>
      </c>
      <c r="W4791" t="str">
        <f t="shared" si="373"/>
        <v>Medium Risk</v>
      </c>
      <c r="X4791" t="str">
        <f t="shared" si="374"/>
        <v>Fair</v>
      </c>
    </row>
    <row r="4792" spans="1:24" x14ac:dyDescent="0.3">
      <c r="A4792" t="s">
        <v>4860</v>
      </c>
      <c r="B4792" t="s">
        <v>20</v>
      </c>
      <c r="C4792">
        <v>28</v>
      </c>
      <c r="D4792" t="s">
        <v>47</v>
      </c>
      <c r="E4792" t="s">
        <v>40</v>
      </c>
      <c r="F4792" t="s">
        <v>62</v>
      </c>
      <c r="G4792" t="s">
        <v>58</v>
      </c>
      <c r="H4792" t="s">
        <v>25</v>
      </c>
      <c r="I4792" t="s">
        <v>43</v>
      </c>
      <c r="J4792" t="s">
        <v>44</v>
      </c>
      <c r="K4792">
        <v>13</v>
      </c>
      <c r="L4792">
        <v>115872</v>
      </c>
      <c r="M4792" t="s">
        <v>28</v>
      </c>
      <c r="N4792">
        <v>3</v>
      </c>
      <c r="O4792">
        <v>2</v>
      </c>
      <c r="P4792">
        <v>40</v>
      </c>
      <c r="Q4792">
        <v>1</v>
      </c>
      <c r="R4792" s="1">
        <v>40295</v>
      </c>
      <c r="S4792" t="s">
        <v>37</v>
      </c>
      <c r="T4792" t="str">
        <f t="shared" si="370"/>
        <v>Grade A</v>
      </c>
      <c r="U4792">
        <f t="shared" si="371"/>
        <v>3</v>
      </c>
      <c r="V4792" t="str">
        <f t="shared" si="372"/>
        <v>Senior</v>
      </c>
      <c r="W4792" t="str">
        <f t="shared" si="373"/>
        <v>Already Left</v>
      </c>
      <c r="X4792" t="str">
        <f t="shared" si="374"/>
        <v>Competitive</v>
      </c>
    </row>
    <row r="4793" spans="1:24" x14ac:dyDescent="0.3">
      <c r="A4793" t="s">
        <v>4861</v>
      </c>
      <c r="B4793" t="s">
        <v>39</v>
      </c>
      <c r="C4793">
        <v>44</v>
      </c>
      <c r="D4793" t="s">
        <v>31</v>
      </c>
      <c r="E4793" t="s">
        <v>22</v>
      </c>
      <c r="F4793" t="s">
        <v>53</v>
      </c>
      <c r="G4793" t="s">
        <v>79</v>
      </c>
      <c r="H4793" t="s">
        <v>34</v>
      </c>
      <c r="I4793" t="s">
        <v>26</v>
      </c>
      <c r="J4793" t="s">
        <v>27</v>
      </c>
      <c r="K4793">
        <v>2</v>
      </c>
      <c r="L4793">
        <v>50648</v>
      </c>
      <c r="M4793" t="s">
        <v>45</v>
      </c>
      <c r="N4793">
        <v>2</v>
      </c>
      <c r="O4793">
        <v>1</v>
      </c>
      <c r="P4793">
        <v>22</v>
      </c>
      <c r="Q4793">
        <v>1</v>
      </c>
      <c r="R4793" s="1">
        <v>44216</v>
      </c>
      <c r="S4793" t="s">
        <v>29</v>
      </c>
      <c r="T4793" t="str">
        <f t="shared" si="370"/>
        <v>Grade B</v>
      </c>
      <c r="U4793">
        <f t="shared" si="371"/>
        <v>2</v>
      </c>
      <c r="V4793" t="str">
        <f t="shared" si="372"/>
        <v>New Joiner</v>
      </c>
      <c r="W4793" t="str">
        <f t="shared" si="373"/>
        <v>Medium Risk</v>
      </c>
      <c r="X4793" t="str">
        <f t="shared" si="374"/>
        <v>Fair</v>
      </c>
    </row>
    <row r="4794" spans="1:24" x14ac:dyDescent="0.3">
      <c r="A4794" t="s">
        <v>4862</v>
      </c>
      <c r="B4794" t="s">
        <v>20</v>
      </c>
      <c r="C4794">
        <v>46</v>
      </c>
      <c r="D4794" t="s">
        <v>31</v>
      </c>
      <c r="E4794" t="s">
        <v>48</v>
      </c>
      <c r="F4794" t="s">
        <v>53</v>
      </c>
      <c r="G4794" t="s">
        <v>42</v>
      </c>
      <c r="H4794" t="s">
        <v>25</v>
      </c>
      <c r="I4794" t="s">
        <v>43</v>
      </c>
      <c r="J4794" t="s">
        <v>44</v>
      </c>
      <c r="K4794">
        <v>5</v>
      </c>
      <c r="L4794">
        <v>107956</v>
      </c>
      <c r="M4794" t="s">
        <v>36</v>
      </c>
      <c r="N4794">
        <v>1</v>
      </c>
      <c r="O4794">
        <v>3</v>
      </c>
      <c r="P4794">
        <v>67</v>
      </c>
      <c r="Q4794">
        <v>2</v>
      </c>
      <c r="R4794" s="1">
        <v>43214</v>
      </c>
      <c r="S4794" t="s">
        <v>29</v>
      </c>
      <c r="T4794" t="str">
        <f t="shared" si="370"/>
        <v>Grade A</v>
      </c>
      <c r="U4794">
        <f t="shared" si="371"/>
        <v>1</v>
      </c>
      <c r="V4794" t="str">
        <f t="shared" si="372"/>
        <v>Junior</v>
      </c>
      <c r="W4794" t="str">
        <f t="shared" si="373"/>
        <v>Medium Risk</v>
      </c>
      <c r="X4794" t="str">
        <f t="shared" si="374"/>
        <v>Overpaid</v>
      </c>
    </row>
    <row r="4795" spans="1:24" x14ac:dyDescent="0.3">
      <c r="A4795" t="s">
        <v>4863</v>
      </c>
      <c r="B4795" t="s">
        <v>20</v>
      </c>
      <c r="C4795">
        <v>22</v>
      </c>
      <c r="D4795" t="s">
        <v>88</v>
      </c>
      <c r="E4795" t="s">
        <v>48</v>
      </c>
      <c r="F4795" t="s">
        <v>62</v>
      </c>
      <c r="G4795" t="s">
        <v>66</v>
      </c>
      <c r="H4795" t="s">
        <v>67</v>
      </c>
      <c r="I4795" t="s">
        <v>26</v>
      </c>
      <c r="J4795" t="s">
        <v>27</v>
      </c>
      <c r="K4795">
        <v>3</v>
      </c>
      <c r="L4795">
        <v>40070</v>
      </c>
      <c r="M4795" t="s">
        <v>45</v>
      </c>
      <c r="N4795">
        <v>1</v>
      </c>
      <c r="O4795">
        <v>1</v>
      </c>
      <c r="P4795">
        <v>56</v>
      </c>
      <c r="Q4795">
        <v>2</v>
      </c>
      <c r="R4795" s="1">
        <v>44125</v>
      </c>
      <c r="S4795" t="s">
        <v>29</v>
      </c>
      <c r="T4795" t="str">
        <f t="shared" si="370"/>
        <v>Grade C</v>
      </c>
      <c r="U4795">
        <f t="shared" si="371"/>
        <v>2</v>
      </c>
      <c r="V4795" t="str">
        <f t="shared" si="372"/>
        <v>Junior</v>
      </c>
      <c r="W4795" t="str">
        <f t="shared" si="373"/>
        <v>Medium Risk</v>
      </c>
      <c r="X4795" t="str">
        <f t="shared" si="374"/>
        <v>Fair</v>
      </c>
    </row>
    <row r="4796" spans="1:24" x14ac:dyDescent="0.3">
      <c r="A4796" t="s">
        <v>4864</v>
      </c>
      <c r="B4796" t="s">
        <v>39</v>
      </c>
      <c r="C4796">
        <v>38</v>
      </c>
      <c r="D4796" t="s">
        <v>47</v>
      </c>
      <c r="E4796" t="s">
        <v>48</v>
      </c>
      <c r="F4796" t="s">
        <v>62</v>
      </c>
      <c r="G4796" t="s">
        <v>58</v>
      </c>
      <c r="H4796" t="s">
        <v>76</v>
      </c>
      <c r="I4796" t="s">
        <v>54</v>
      </c>
      <c r="J4796" t="s">
        <v>27</v>
      </c>
      <c r="K4796">
        <v>14</v>
      </c>
      <c r="L4796">
        <v>112704</v>
      </c>
      <c r="M4796" t="s">
        <v>45</v>
      </c>
      <c r="N4796">
        <v>3</v>
      </c>
      <c r="O4796">
        <v>2</v>
      </c>
      <c r="P4796">
        <v>29</v>
      </c>
      <c r="Q4796">
        <v>0</v>
      </c>
      <c r="R4796" s="1">
        <v>39993</v>
      </c>
      <c r="S4796" t="s">
        <v>29</v>
      </c>
      <c r="T4796" t="str">
        <f t="shared" si="370"/>
        <v>Grade A</v>
      </c>
      <c r="U4796">
        <f t="shared" si="371"/>
        <v>2</v>
      </c>
      <c r="V4796" t="str">
        <f t="shared" si="372"/>
        <v>Senior</v>
      </c>
      <c r="W4796" t="str">
        <f t="shared" si="373"/>
        <v>Medium Risk</v>
      </c>
      <c r="X4796" t="str">
        <f t="shared" si="374"/>
        <v>Fair</v>
      </c>
    </row>
    <row r="4797" spans="1:24" x14ac:dyDescent="0.3">
      <c r="A4797" t="s">
        <v>4865</v>
      </c>
      <c r="B4797" t="s">
        <v>20</v>
      </c>
      <c r="C4797">
        <v>51</v>
      </c>
      <c r="D4797" t="s">
        <v>88</v>
      </c>
      <c r="E4797" t="s">
        <v>48</v>
      </c>
      <c r="F4797" t="s">
        <v>53</v>
      </c>
      <c r="G4797" t="s">
        <v>33</v>
      </c>
      <c r="H4797" t="s">
        <v>76</v>
      </c>
      <c r="I4797" t="s">
        <v>59</v>
      </c>
      <c r="J4797" t="s">
        <v>60</v>
      </c>
      <c r="K4797">
        <v>3</v>
      </c>
      <c r="L4797">
        <v>65482</v>
      </c>
      <c r="M4797" t="s">
        <v>51</v>
      </c>
      <c r="N4797">
        <v>4</v>
      </c>
      <c r="O4797">
        <v>2</v>
      </c>
      <c r="P4797">
        <v>36</v>
      </c>
      <c r="Q4797">
        <v>2</v>
      </c>
      <c r="R4797" s="1">
        <v>44185</v>
      </c>
      <c r="S4797" t="s">
        <v>29</v>
      </c>
      <c r="T4797" t="str">
        <f t="shared" si="370"/>
        <v>Grade B</v>
      </c>
      <c r="U4797">
        <f t="shared" si="371"/>
        <v>4</v>
      </c>
      <c r="V4797" t="str">
        <f t="shared" si="372"/>
        <v>Junior</v>
      </c>
      <c r="W4797" t="str">
        <f t="shared" si="373"/>
        <v>Low Risk</v>
      </c>
      <c r="X4797" t="str">
        <f t="shared" si="374"/>
        <v>Fair</v>
      </c>
    </row>
    <row r="4798" spans="1:24" x14ac:dyDescent="0.3">
      <c r="A4798" t="s">
        <v>4866</v>
      </c>
      <c r="B4798" t="s">
        <v>20</v>
      </c>
      <c r="C4798">
        <v>49</v>
      </c>
      <c r="D4798" t="s">
        <v>47</v>
      </c>
      <c r="E4798" t="s">
        <v>22</v>
      </c>
      <c r="F4798" t="s">
        <v>23</v>
      </c>
      <c r="G4798" t="s">
        <v>79</v>
      </c>
      <c r="H4798" t="s">
        <v>83</v>
      </c>
      <c r="I4798" t="s">
        <v>68</v>
      </c>
      <c r="J4798" t="s">
        <v>60</v>
      </c>
      <c r="K4798">
        <v>7</v>
      </c>
      <c r="L4798">
        <v>46789</v>
      </c>
      <c r="M4798" t="s">
        <v>36</v>
      </c>
      <c r="N4798">
        <v>2</v>
      </c>
      <c r="O4798">
        <v>4</v>
      </c>
      <c r="P4798">
        <v>64</v>
      </c>
      <c r="Q4798">
        <v>2</v>
      </c>
      <c r="R4798" s="1">
        <v>42431</v>
      </c>
      <c r="S4798" t="s">
        <v>29</v>
      </c>
      <c r="T4798" t="str">
        <f t="shared" si="370"/>
        <v>Grade C</v>
      </c>
      <c r="U4798">
        <f t="shared" si="371"/>
        <v>1</v>
      </c>
      <c r="V4798" t="str">
        <f t="shared" si="372"/>
        <v>Mid Level</v>
      </c>
      <c r="W4798" t="str">
        <f t="shared" si="373"/>
        <v>Medium Risk</v>
      </c>
      <c r="X4798" t="str">
        <f t="shared" si="374"/>
        <v>Fair</v>
      </c>
    </row>
    <row r="4799" spans="1:24" x14ac:dyDescent="0.3">
      <c r="A4799" t="s">
        <v>4867</v>
      </c>
      <c r="B4799" t="s">
        <v>20</v>
      </c>
      <c r="C4799">
        <v>32</v>
      </c>
      <c r="D4799" t="s">
        <v>21</v>
      </c>
      <c r="E4799" t="s">
        <v>48</v>
      </c>
      <c r="F4799" t="s">
        <v>65</v>
      </c>
      <c r="G4799" t="s">
        <v>66</v>
      </c>
      <c r="H4799" t="s">
        <v>34</v>
      </c>
      <c r="I4799" t="s">
        <v>59</v>
      </c>
      <c r="J4799" t="s">
        <v>60</v>
      </c>
      <c r="K4799">
        <v>9</v>
      </c>
      <c r="L4799">
        <v>58228</v>
      </c>
      <c r="M4799" t="s">
        <v>51</v>
      </c>
      <c r="N4799">
        <v>4</v>
      </c>
      <c r="O4799">
        <v>2</v>
      </c>
      <c r="P4799">
        <v>40</v>
      </c>
      <c r="Q4799">
        <v>2</v>
      </c>
      <c r="R4799" s="1">
        <v>41953</v>
      </c>
      <c r="S4799" t="s">
        <v>29</v>
      </c>
      <c r="T4799" t="str">
        <f t="shared" si="370"/>
        <v>Grade B</v>
      </c>
      <c r="U4799">
        <f t="shared" si="371"/>
        <v>4</v>
      </c>
      <c r="V4799" t="str">
        <f t="shared" si="372"/>
        <v>Mid Level</v>
      </c>
      <c r="W4799" t="str">
        <f t="shared" si="373"/>
        <v>Low Risk</v>
      </c>
      <c r="X4799" t="str">
        <f t="shared" si="374"/>
        <v>Fair</v>
      </c>
    </row>
    <row r="4800" spans="1:24" x14ac:dyDescent="0.3">
      <c r="A4800" t="s">
        <v>4868</v>
      </c>
      <c r="B4800" t="s">
        <v>20</v>
      </c>
      <c r="C4800">
        <v>37</v>
      </c>
      <c r="D4800" t="s">
        <v>21</v>
      </c>
      <c r="E4800" t="s">
        <v>40</v>
      </c>
      <c r="F4800" t="s">
        <v>41</v>
      </c>
      <c r="G4800" t="s">
        <v>49</v>
      </c>
      <c r="H4800" t="s">
        <v>25</v>
      </c>
      <c r="I4800" t="s">
        <v>72</v>
      </c>
      <c r="J4800" t="s">
        <v>73</v>
      </c>
      <c r="K4800">
        <v>1</v>
      </c>
      <c r="L4800">
        <v>50269</v>
      </c>
      <c r="M4800" t="s">
        <v>51</v>
      </c>
      <c r="N4800">
        <v>1</v>
      </c>
      <c r="O4800">
        <v>3</v>
      </c>
      <c r="P4800">
        <v>79</v>
      </c>
      <c r="Q4800">
        <v>0</v>
      </c>
      <c r="R4800" s="1">
        <v>44711</v>
      </c>
      <c r="S4800" t="s">
        <v>29</v>
      </c>
      <c r="T4800" t="str">
        <f t="shared" si="370"/>
        <v>Grade B</v>
      </c>
      <c r="U4800">
        <f t="shared" si="371"/>
        <v>4</v>
      </c>
      <c r="V4800" t="str">
        <f t="shared" si="372"/>
        <v>New Joiner</v>
      </c>
      <c r="W4800" t="str">
        <f t="shared" si="373"/>
        <v>Low Risk</v>
      </c>
      <c r="X4800" t="str">
        <f t="shared" si="374"/>
        <v>Fair</v>
      </c>
    </row>
    <row r="4801" spans="1:24" x14ac:dyDescent="0.3">
      <c r="A4801" t="s">
        <v>4869</v>
      </c>
      <c r="B4801" t="s">
        <v>39</v>
      </c>
      <c r="C4801">
        <v>27</v>
      </c>
      <c r="D4801" t="s">
        <v>21</v>
      </c>
      <c r="E4801" t="s">
        <v>22</v>
      </c>
      <c r="F4801" t="s">
        <v>41</v>
      </c>
      <c r="G4801" t="s">
        <v>24</v>
      </c>
      <c r="H4801" t="s">
        <v>67</v>
      </c>
      <c r="I4801" t="s">
        <v>35</v>
      </c>
      <c r="J4801" t="s">
        <v>27</v>
      </c>
      <c r="K4801">
        <v>13</v>
      </c>
      <c r="L4801">
        <v>107144</v>
      </c>
      <c r="M4801" t="s">
        <v>36</v>
      </c>
      <c r="N4801">
        <v>3</v>
      </c>
      <c r="O4801">
        <v>4</v>
      </c>
      <c r="P4801">
        <v>63</v>
      </c>
      <c r="Q4801">
        <v>1</v>
      </c>
      <c r="R4801" s="1">
        <v>40540</v>
      </c>
      <c r="S4801" t="s">
        <v>37</v>
      </c>
      <c r="T4801" t="str">
        <f t="shared" si="370"/>
        <v>Grade A</v>
      </c>
      <c r="U4801">
        <f t="shared" si="371"/>
        <v>1</v>
      </c>
      <c r="V4801" t="str">
        <f t="shared" si="372"/>
        <v>Senior</v>
      </c>
      <c r="W4801" t="str">
        <f t="shared" si="373"/>
        <v>Already Left</v>
      </c>
      <c r="X4801" t="str">
        <f t="shared" si="374"/>
        <v>Overpaid</v>
      </c>
    </row>
    <row r="4802" spans="1:24" x14ac:dyDescent="0.3">
      <c r="A4802" t="s">
        <v>4870</v>
      </c>
      <c r="B4802" t="s">
        <v>39</v>
      </c>
      <c r="C4802">
        <v>36</v>
      </c>
      <c r="D4802" t="s">
        <v>88</v>
      </c>
      <c r="E4802" t="s">
        <v>22</v>
      </c>
      <c r="F4802" t="s">
        <v>41</v>
      </c>
      <c r="G4802" t="s">
        <v>66</v>
      </c>
      <c r="H4802" t="s">
        <v>83</v>
      </c>
      <c r="I4802" t="s">
        <v>26</v>
      </c>
      <c r="J4802" t="s">
        <v>27</v>
      </c>
      <c r="K4802">
        <v>9</v>
      </c>
      <c r="L4802">
        <v>54174</v>
      </c>
      <c r="M4802" t="s">
        <v>45</v>
      </c>
      <c r="N4802">
        <v>2</v>
      </c>
      <c r="O4802">
        <v>3</v>
      </c>
      <c r="P4802">
        <v>12</v>
      </c>
      <c r="Q4802">
        <v>0</v>
      </c>
      <c r="R4802" s="1">
        <v>41648</v>
      </c>
      <c r="S4802" t="s">
        <v>29</v>
      </c>
      <c r="T4802" t="str">
        <f t="shared" ref="T4802:T4865" si="375">IF(L4802&gt;=80000,"Grade A",IF(L4802&gt;=50000,"Grade B",IF(L4802&gt;=35000,"Grade C","Grade D")))</f>
        <v>Grade B</v>
      </c>
      <c r="U4802">
        <f t="shared" ref="U4802:U4865" si="376">IF(M4802="Excellent",4,IF(M4802="Good",3,IF(M4802="Average",2,1)))</f>
        <v>2</v>
      </c>
      <c r="V4802" t="str">
        <f t="shared" ref="V4802:V4865" si="377">IF(K4802&lt;=2,"New Joiner",IF(K4802&lt;=5,"Junior",IF(K4802&lt;=10,"Mid Level","Senior")))</f>
        <v>Mid Level</v>
      </c>
      <c r="W4802" t="str">
        <f t="shared" ref="W4802:W4865" si="378">IF(S4802="Yes","Already Left",IF(AND(K4802&lt;=2,M4802="Poor"),"High Risk",IF(AND(K4802&lt;=5,M4802="Average"),"Medium Risk",IF(M4802="Excellent","Low Risk","Medium Risk"))))</f>
        <v>Medium Risk</v>
      </c>
      <c r="X4802" t="str">
        <f t="shared" ref="X4802:X4865" si="379">IF(AND(L4802&gt;=80000,M4802="Excellent"),"Competitive",IF(AND(L4802&gt;=50000,M4802="Good"),"Competitive",IF(AND(L4802&lt;35000,M4802="Excellent"),"Underpaid",IF(AND(L4802&gt;=80000,M4802="Poor"),"Overpaid","Fair"))))</f>
        <v>Fair</v>
      </c>
    </row>
    <row r="4803" spans="1:24" x14ac:dyDescent="0.3">
      <c r="A4803" t="s">
        <v>4871</v>
      </c>
      <c r="B4803" t="s">
        <v>39</v>
      </c>
      <c r="C4803">
        <v>43</v>
      </c>
      <c r="D4803" t="s">
        <v>88</v>
      </c>
      <c r="E4803" t="s">
        <v>22</v>
      </c>
      <c r="F4803" t="s">
        <v>78</v>
      </c>
      <c r="G4803" t="s">
        <v>63</v>
      </c>
      <c r="H4803" t="s">
        <v>76</v>
      </c>
      <c r="I4803" t="s">
        <v>80</v>
      </c>
      <c r="J4803" t="s">
        <v>60</v>
      </c>
      <c r="K4803">
        <v>10</v>
      </c>
      <c r="L4803">
        <v>64055</v>
      </c>
      <c r="M4803" t="s">
        <v>36</v>
      </c>
      <c r="N4803">
        <v>1</v>
      </c>
      <c r="O4803">
        <v>1</v>
      </c>
      <c r="P4803">
        <v>48</v>
      </c>
      <c r="Q4803">
        <v>2</v>
      </c>
      <c r="R4803" s="1">
        <v>41422</v>
      </c>
      <c r="S4803" t="s">
        <v>37</v>
      </c>
      <c r="T4803" t="str">
        <f t="shared" si="375"/>
        <v>Grade B</v>
      </c>
      <c r="U4803">
        <f t="shared" si="376"/>
        <v>1</v>
      </c>
      <c r="V4803" t="str">
        <f t="shared" si="377"/>
        <v>Mid Level</v>
      </c>
      <c r="W4803" t="str">
        <f t="shared" si="378"/>
        <v>Already Left</v>
      </c>
      <c r="X4803" t="str">
        <f t="shared" si="379"/>
        <v>Fair</v>
      </c>
    </row>
    <row r="4804" spans="1:24" x14ac:dyDescent="0.3">
      <c r="A4804" t="s">
        <v>4872</v>
      </c>
      <c r="B4804" t="s">
        <v>39</v>
      </c>
      <c r="C4804">
        <v>26</v>
      </c>
      <c r="D4804" t="s">
        <v>47</v>
      </c>
      <c r="E4804" t="s">
        <v>40</v>
      </c>
      <c r="F4804" t="s">
        <v>78</v>
      </c>
      <c r="G4804" t="s">
        <v>49</v>
      </c>
      <c r="H4804" t="s">
        <v>83</v>
      </c>
      <c r="I4804" t="s">
        <v>68</v>
      </c>
      <c r="J4804" t="s">
        <v>60</v>
      </c>
      <c r="K4804">
        <v>11</v>
      </c>
      <c r="L4804">
        <v>62262</v>
      </c>
      <c r="M4804" t="s">
        <v>36</v>
      </c>
      <c r="N4804">
        <v>4</v>
      </c>
      <c r="O4804">
        <v>3</v>
      </c>
      <c r="P4804">
        <v>10</v>
      </c>
      <c r="Q4804">
        <v>1</v>
      </c>
      <c r="R4804" s="1">
        <v>40933</v>
      </c>
      <c r="S4804" t="s">
        <v>37</v>
      </c>
      <c r="T4804" t="str">
        <f t="shared" si="375"/>
        <v>Grade B</v>
      </c>
      <c r="U4804">
        <f t="shared" si="376"/>
        <v>1</v>
      </c>
      <c r="V4804" t="str">
        <f t="shared" si="377"/>
        <v>Senior</v>
      </c>
      <c r="W4804" t="str">
        <f t="shared" si="378"/>
        <v>Already Left</v>
      </c>
      <c r="X4804" t="str">
        <f t="shared" si="379"/>
        <v>Fair</v>
      </c>
    </row>
    <row r="4805" spans="1:24" x14ac:dyDescent="0.3">
      <c r="A4805" t="s">
        <v>4873</v>
      </c>
      <c r="B4805" t="s">
        <v>20</v>
      </c>
      <c r="C4805">
        <v>29</v>
      </c>
      <c r="D4805" t="s">
        <v>57</v>
      </c>
      <c r="E4805" t="s">
        <v>48</v>
      </c>
      <c r="F4805" t="s">
        <v>23</v>
      </c>
      <c r="G4805" t="s">
        <v>49</v>
      </c>
      <c r="H4805" t="s">
        <v>76</v>
      </c>
      <c r="I4805" t="s">
        <v>26</v>
      </c>
      <c r="J4805" t="s">
        <v>27</v>
      </c>
      <c r="K4805">
        <v>8</v>
      </c>
      <c r="L4805">
        <v>67168</v>
      </c>
      <c r="M4805" t="s">
        <v>51</v>
      </c>
      <c r="N4805">
        <v>4</v>
      </c>
      <c r="O4805">
        <v>2</v>
      </c>
      <c r="P4805">
        <v>24</v>
      </c>
      <c r="Q4805">
        <v>3</v>
      </c>
      <c r="R4805" s="1">
        <v>42032</v>
      </c>
      <c r="S4805" t="s">
        <v>29</v>
      </c>
      <c r="T4805" t="str">
        <f t="shared" si="375"/>
        <v>Grade B</v>
      </c>
      <c r="U4805">
        <f t="shared" si="376"/>
        <v>4</v>
      </c>
      <c r="V4805" t="str">
        <f t="shared" si="377"/>
        <v>Mid Level</v>
      </c>
      <c r="W4805" t="str">
        <f t="shared" si="378"/>
        <v>Low Risk</v>
      </c>
      <c r="X4805" t="str">
        <f t="shared" si="379"/>
        <v>Fair</v>
      </c>
    </row>
    <row r="4806" spans="1:24" x14ac:dyDescent="0.3">
      <c r="A4806" t="s">
        <v>4874</v>
      </c>
      <c r="B4806" t="s">
        <v>20</v>
      </c>
      <c r="C4806">
        <v>34</v>
      </c>
      <c r="D4806" t="s">
        <v>31</v>
      </c>
      <c r="E4806" t="s">
        <v>48</v>
      </c>
      <c r="F4806" t="s">
        <v>62</v>
      </c>
      <c r="G4806" t="s">
        <v>63</v>
      </c>
      <c r="H4806" t="s">
        <v>83</v>
      </c>
      <c r="I4806" t="s">
        <v>43</v>
      </c>
      <c r="J4806" t="s">
        <v>44</v>
      </c>
      <c r="K4806">
        <v>13</v>
      </c>
      <c r="L4806">
        <v>66831</v>
      </c>
      <c r="M4806" t="s">
        <v>51</v>
      </c>
      <c r="N4806">
        <v>3</v>
      </c>
      <c r="O4806">
        <v>4</v>
      </c>
      <c r="P4806">
        <v>70</v>
      </c>
      <c r="Q4806">
        <v>1</v>
      </c>
      <c r="R4806" s="1">
        <v>40259</v>
      </c>
      <c r="S4806" t="s">
        <v>29</v>
      </c>
      <c r="T4806" t="str">
        <f t="shared" si="375"/>
        <v>Grade B</v>
      </c>
      <c r="U4806">
        <f t="shared" si="376"/>
        <v>4</v>
      </c>
      <c r="V4806" t="str">
        <f t="shared" si="377"/>
        <v>Senior</v>
      </c>
      <c r="W4806" t="str">
        <f t="shared" si="378"/>
        <v>Low Risk</v>
      </c>
      <c r="X4806" t="str">
        <f t="shared" si="379"/>
        <v>Fair</v>
      </c>
    </row>
    <row r="4807" spans="1:24" x14ac:dyDescent="0.3">
      <c r="A4807" t="s">
        <v>4875</v>
      </c>
      <c r="B4807" t="s">
        <v>20</v>
      </c>
      <c r="C4807">
        <v>28</v>
      </c>
      <c r="D4807" t="s">
        <v>57</v>
      </c>
      <c r="E4807" t="s">
        <v>40</v>
      </c>
      <c r="F4807" t="s">
        <v>23</v>
      </c>
      <c r="G4807" t="s">
        <v>24</v>
      </c>
      <c r="H4807" t="s">
        <v>34</v>
      </c>
      <c r="I4807" t="s">
        <v>35</v>
      </c>
      <c r="J4807" t="s">
        <v>27</v>
      </c>
      <c r="K4807">
        <v>8</v>
      </c>
      <c r="L4807">
        <v>91511</v>
      </c>
      <c r="M4807" t="s">
        <v>28</v>
      </c>
      <c r="N4807">
        <v>2</v>
      </c>
      <c r="O4807">
        <v>4</v>
      </c>
      <c r="P4807">
        <v>50</v>
      </c>
      <c r="Q4807">
        <v>0</v>
      </c>
      <c r="R4807" s="1">
        <v>42194</v>
      </c>
      <c r="S4807" t="s">
        <v>29</v>
      </c>
      <c r="T4807" t="str">
        <f t="shared" si="375"/>
        <v>Grade A</v>
      </c>
      <c r="U4807">
        <f t="shared" si="376"/>
        <v>3</v>
      </c>
      <c r="V4807" t="str">
        <f t="shared" si="377"/>
        <v>Mid Level</v>
      </c>
      <c r="W4807" t="str">
        <f t="shared" si="378"/>
        <v>Medium Risk</v>
      </c>
      <c r="X4807" t="str">
        <f t="shared" si="379"/>
        <v>Competitive</v>
      </c>
    </row>
    <row r="4808" spans="1:24" x14ac:dyDescent="0.3">
      <c r="A4808" t="s">
        <v>4876</v>
      </c>
      <c r="B4808" t="s">
        <v>39</v>
      </c>
      <c r="C4808">
        <v>47</v>
      </c>
      <c r="D4808" t="s">
        <v>31</v>
      </c>
      <c r="E4808" t="s">
        <v>40</v>
      </c>
      <c r="F4808" t="s">
        <v>62</v>
      </c>
      <c r="G4808" t="s">
        <v>58</v>
      </c>
      <c r="H4808" t="s">
        <v>34</v>
      </c>
      <c r="I4808" t="s">
        <v>26</v>
      </c>
      <c r="J4808" t="s">
        <v>27</v>
      </c>
      <c r="K4808">
        <v>13</v>
      </c>
      <c r="L4808">
        <v>106541</v>
      </c>
      <c r="M4808" t="s">
        <v>51</v>
      </c>
      <c r="N4808">
        <v>4</v>
      </c>
      <c r="O4808">
        <v>3</v>
      </c>
      <c r="P4808">
        <v>70</v>
      </c>
      <c r="Q4808">
        <v>3</v>
      </c>
      <c r="R4808" s="1">
        <v>40533</v>
      </c>
      <c r="S4808" t="s">
        <v>29</v>
      </c>
      <c r="T4808" t="str">
        <f t="shared" si="375"/>
        <v>Grade A</v>
      </c>
      <c r="U4808">
        <f t="shared" si="376"/>
        <v>4</v>
      </c>
      <c r="V4808" t="str">
        <f t="shared" si="377"/>
        <v>Senior</v>
      </c>
      <c r="W4808" t="str">
        <f t="shared" si="378"/>
        <v>Low Risk</v>
      </c>
      <c r="X4808" t="str">
        <f t="shared" si="379"/>
        <v>Competitive</v>
      </c>
    </row>
    <row r="4809" spans="1:24" x14ac:dyDescent="0.3">
      <c r="A4809" t="s">
        <v>4877</v>
      </c>
      <c r="B4809" t="s">
        <v>20</v>
      </c>
      <c r="C4809">
        <v>44</v>
      </c>
      <c r="D4809" t="s">
        <v>31</v>
      </c>
      <c r="E4809" t="s">
        <v>22</v>
      </c>
      <c r="F4809" t="s">
        <v>23</v>
      </c>
      <c r="G4809" t="s">
        <v>33</v>
      </c>
      <c r="H4809" t="s">
        <v>25</v>
      </c>
      <c r="I4809" t="s">
        <v>26</v>
      </c>
      <c r="J4809" t="s">
        <v>27</v>
      </c>
      <c r="K4809">
        <v>14</v>
      </c>
      <c r="L4809">
        <v>83671</v>
      </c>
      <c r="M4809" t="s">
        <v>28</v>
      </c>
      <c r="N4809">
        <v>3</v>
      </c>
      <c r="O4809">
        <v>3</v>
      </c>
      <c r="P4809">
        <v>70</v>
      </c>
      <c r="Q4809">
        <v>3</v>
      </c>
      <c r="R4809" s="1">
        <v>39833</v>
      </c>
      <c r="S4809" t="s">
        <v>29</v>
      </c>
      <c r="T4809" t="str">
        <f t="shared" si="375"/>
        <v>Grade A</v>
      </c>
      <c r="U4809">
        <f t="shared" si="376"/>
        <v>3</v>
      </c>
      <c r="V4809" t="str">
        <f t="shared" si="377"/>
        <v>Senior</v>
      </c>
      <c r="W4809" t="str">
        <f t="shared" si="378"/>
        <v>Medium Risk</v>
      </c>
      <c r="X4809" t="str">
        <f t="shared" si="379"/>
        <v>Competitive</v>
      </c>
    </row>
    <row r="4810" spans="1:24" x14ac:dyDescent="0.3">
      <c r="A4810" t="s">
        <v>4878</v>
      </c>
      <c r="B4810" t="s">
        <v>20</v>
      </c>
      <c r="C4810">
        <v>35</v>
      </c>
      <c r="D4810" t="s">
        <v>31</v>
      </c>
      <c r="E4810" t="s">
        <v>40</v>
      </c>
      <c r="F4810" t="s">
        <v>23</v>
      </c>
      <c r="G4810" t="s">
        <v>63</v>
      </c>
      <c r="H4810" t="s">
        <v>83</v>
      </c>
      <c r="I4810" t="s">
        <v>35</v>
      </c>
      <c r="J4810" t="s">
        <v>27</v>
      </c>
      <c r="K4810">
        <v>3</v>
      </c>
      <c r="L4810">
        <v>41359</v>
      </c>
      <c r="M4810" t="s">
        <v>45</v>
      </c>
      <c r="N4810">
        <v>2</v>
      </c>
      <c r="O4810">
        <v>4</v>
      </c>
      <c r="P4810">
        <v>80</v>
      </c>
      <c r="Q4810">
        <v>2</v>
      </c>
      <c r="R4810" s="1">
        <v>44046</v>
      </c>
      <c r="S4810" t="s">
        <v>29</v>
      </c>
      <c r="T4810" t="str">
        <f t="shared" si="375"/>
        <v>Grade C</v>
      </c>
      <c r="U4810">
        <f t="shared" si="376"/>
        <v>2</v>
      </c>
      <c r="V4810" t="str">
        <f t="shared" si="377"/>
        <v>Junior</v>
      </c>
      <c r="W4810" t="str">
        <f t="shared" si="378"/>
        <v>Medium Risk</v>
      </c>
      <c r="X4810" t="str">
        <f t="shared" si="379"/>
        <v>Fair</v>
      </c>
    </row>
    <row r="4811" spans="1:24" x14ac:dyDescent="0.3">
      <c r="A4811" t="s">
        <v>4879</v>
      </c>
      <c r="B4811" t="s">
        <v>39</v>
      </c>
      <c r="C4811">
        <v>36</v>
      </c>
      <c r="D4811" t="s">
        <v>47</v>
      </c>
      <c r="E4811" t="s">
        <v>40</v>
      </c>
      <c r="F4811" t="s">
        <v>41</v>
      </c>
      <c r="G4811" t="s">
        <v>79</v>
      </c>
      <c r="H4811" t="s">
        <v>76</v>
      </c>
      <c r="I4811" t="s">
        <v>96</v>
      </c>
      <c r="J4811" t="s">
        <v>44</v>
      </c>
      <c r="K4811">
        <v>6</v>
      </c>
      <c r="L4811">
        <v>51284</v>
      </c>
      <c r="M4811" t="s">
        <v>36</v>
      </c>
      <c r="N4811">
        <v>2</v>
      </c>
      <c r="O4811">
        <v>1</v>
      </c>
      <c r="P4811">
        <v>29</v>
      </c>
      <c r="Q4811">
        <v>2</v>
      </c>
      <c r="R4811" s="1">
        <v>42922</v>
      </c>
      <c r="S4811" t="s">
        <v>37</v>
      </c>
      <c r="T4811" t="str">
        <f t="shared" si="375"/>
        <v>Grade B</v>
      </c>
      <c r="U4811">
        <f t="shared" si="376"/>
        <v>1</v>
      </c>
      <c r="V4811" t="str">
        <f t="shared" si="377"/>
        <v>Mid Level</v>
      </c>
      <c r="W4811" t="str">
        <f t="shared" si="378"/>
        <v>Already Left</v>
      </c>
      <c r="X4811" t="str">
        <f t="shared" si="379"/>
        <v>Fair</v>
      </c>
    </row>
    <row r="4812" spans="1:24" x14ac:dyDescent="0.3">
      <c r="A4812" t="s">
        <v>4880</v>
      </c>
      <c r="B4812" t="s">
        <v>39</v>
      </c>
      <c r="C4812">
        <v>45</v>
      </c>
      <c r="D4812" t="s">
        <v>88</v>
      </c>
      <c r="E4812" t="s">
        <v>48</v>
      </c>
      <c r="F4812" t="s">
        <v>41</v>
      </c>
      <c r="G4812" t="s">
        <v>42</v>
      </c>
      <c r="H4812" t="s">
        <v>25</v>
      </c>
      <c r="I4812" t="s">
        <v>35</v>
      </c>
      <c r="J4812" t="s">
        <v>27</v>
      </c>
      <c r="K4812">
        <v>8</v>
      </c>
      <c r="L4812">
        <v>105202</v>
      </c>
      <c r="M4812" t="s">
        <v>28</v>
      </c>
      <c r="N4812">
        <v>3</v>
      </c>
      <c r="O4812">
        <v>3</v>
      </c>
      <c r="P4812">
        <v>52</v>
      </c>
      <c r="Q4812">
        <v>1</v>
      </c>
      <c r="R4812" s="1">
        <v>42114</v>
      </c>
      <c r="S4812" t="s">
        <v>29</v>
      </c>
      <c r="T4812" t="str">
        <f t="shared" si="375"/>
        <v>Grade A</v>
      </c>
      <c r="U4812">
        <f t="shared" si="376"/>
        <v>3</v>
      </c>
      <c r="V4812" t="str">
        <f t="shared" si="377"/>
        <v>Mid Level</v>
      </c>
      <c r="W4812" t="str">
        <f t="shared" si="378"/>
        <v>Medium Risk</v>
      </c>
      <c r="X4812" t="str">
        <f t="shared" si="379"/>
        <v>Competitive</v>
      </c>
    </row>
    <row r="4813" spans="1:24" x14ac:dyDescent="0.3">
      <c r="A4813" t="s">
        <v>4881</v>
      </c>
      <c r="B4813" t="s">
        <v>39</v>
      </c>
      <c r="C4813">
        <v>39</v>
      </c>
      <c r="D4813" t="s">
        <v>47</v>
      </c>
      <c r="E4813" t="s">
        <v>48</v>
      </c>
      <c r="F4813" t="s">
        <v>32</v>
      </c>
      <c r="G4813" t="s">
        <v>42</v>
      </c>
      <c r="H4813" t="s">
        <v>76</v>
      </c>
      <c r="I4813" t="s">
        <v>96</v>
      </c>
      <c r="J4813" t="s">
        <v>44</v>
      </c>
      <c r="K4813">
        <v>1</v>
      </c>
      <c r="L4813">
        <v>90748</v>
      </c>
      <c r="M4813" t="s">
        <v>28</v>
      </c>
      <c r="N4813">
        <v>1</v>
      </c>
      <c r="O4813">
        <v>3</v>
      </c>
      <c r="P4813">
        <v>12</v>
      </c>
      <c r="Q4813">
        <v>2</v>
      </c>
      <c r="R4813" s="1">
        <v>44668</v>
      </c>
      <c r="S4813" t="s">
        <v>29</v>
      </c>
      <c r="T4813" t="str">
        <f t="shared" si="375"/>
        <v>Grade A</v>
      </c>
      <c r="U4813">
        <f t="shared" si="376"/>
        <v>3</v>
      </c>
      <c r="V4813" t="str">
        <f t="shared" si="377"/>
        <v>New Joiner</v>
      </c>
      <c r="W4813" t="str">
        <f t="shared" si="378"/>
        <v>Medium Risk</v>
      </c>
      <c r="X4813" t="str">
        <f t="shared" si="379"/>
        <v>Competitive</v>
      </c>
    </row>
    <row r="4814" spans="1:24" x14ac:dyDescent="0.3">
      <c r="A4814" t="s">
        <v>4882</v>
      </c>
      <c r="B4814" t="s">
        <v>20</v>
      </c>
      <c r="C4814">
        <v>47</v>
      </c>
      <c r="D4814" t="s">
        <v>47</v>
      </c>
      <c r="E4814" t="s">
        <v>48</v>
      </c>
      <c r="F4814" t="s">
        <v>23</v>
      </c>
      <c r="G4814" t="s">
        <v>63</v>
      </c>
      <c r="H4814" t="s">
        <v>83</v>
      </c>
      <c r="I4814" t="s">
        <v>35</v>
      </c>
      <c r="J4814" t="s">
        <v>27</v>
      </c>
      <c r="K4814">
        <v>1</v>
      </c>
      <c r="L4814">
        <v>53128</v>
      </c>
      <c r="M4814" t="s">
        <v>36</v>
      </c>
      <c r="N4814">
        <v>1</v>
      </c>
      <c r="O4814">
        <v>2</v>
      </c>
      <c r="P4814">
        <v>37</v>
      </c>
      <c r="Q4814">
        <v>1</v>
      </c>
      <c r="R4814" s="1">
        <v>44565</v>
      </c>
      <c r="S4814" t="s">
        <v>29</v>
      </c>
      <c r="T4814" t="str">
        <f t="shared" si="375"/>
        <v>Grade B</v>
      </c>
      <c r="U4814">
        <f t="shared" si="376"/>
        <v>1</v>
      </c>
      <c r="V4814" t="str">
        <f t="shared" si="377"/>
        <v>New Joiner</v>
      </c>
      <c r="W4814" t="str">
        <f t="shared" si="378"/>
        <v>High Risk</v>
      </c>
      <c r="X4814" t="str">
        <f t="shared" si="379"/>
        <v>Fair</v>
      </c>
    </row>
    <row r="4815" spans="1:24" x14ac:dyDescent="0.3">
      <c r="A4815" t="s">
        <v>4883</v>
      </c>
      <c r="B4815" t="s">
        <v>39</v>
      </c>
      <c r="C4815">
        <v>33</v>
      </c>
      <c r="D4815" t="s">
        <v>31</v>
      </c>
      <c r="E4815" t="s">
        <v>48</v>
      </c>
      <c r="F4815" t="s">
        <v>23</v>
      </c>
      <c r="G4815" t="s">
        <v>49</v>
      </c>
      <c r="H4815" t="s">
        <v>34</v>
      </c>
      <c r="I4815" t="s">
        <v>50</v>
      </c>
      <c r="J4815" t="s">
        <v>44</v>
      </c>
      <c r="K4815">
        <v>8</v>
      </c>
      <c r="L4815">
        <v>63578</v>
      </c>
      <c r="M4815" t="s">
        <v>28</v>
      </c>
      <c r="N4815">
        <v>1</v>
      </c>
      <c r="O4815">
        <v>2</v>
      </c>
      <c r="P4815">
        <v>61</v>
      </c>
      <c r="Q4815">
        <v>3</v>
      </c>
      <c r="R4815" s="1">
        <v>42208</v>
      </c>
      <c r="S4815" t="s">
        <v>29</v>
      </c>
      <c r="T4815" t="str">
        <f t="shared" si="375"/>
        <v>Grade B</v>
      </c>
      <c r="U4815">
        <f t="shared" si="376"/>
        <v>3</v>
      </c>
      <c r="V4815" t="str">
        <f t="shared" si="377"/>
        <v>Mid Level</v>
      </c>
      <c r="W4815" t="str">
        <f t="shared" si="378"/>
        <v>Medium Risk</v>
      </c>
      <c r="X4815" t="str">
        <f t="shared" si="379"/>
        <v>Competitive</v>
      </c>
    </row>
    <row r="4816" spans="1:24" x14ac:dyDescent="0.3">
      <c r="A4816" t="s">
        <v>4884</v>
      </c>
      <c r="B4816" t="s">
        <v>20</v>
      </c>
      <c r="C4816">
        <v>36</v>
      </c>
      <c r="D4816" t="s">
        <v>21</v>
      </c>
      <c r="E4816" t="s">
        <v>48</v>
      </c>
      <c r="F4816" t="s">
        <v>41</v>
      </c>
      <c r="G4816" t="s">
        <v>33</v>
      </c>
      <c r="H4816" t="s">
        <v>34</v>
      </c>
      <c r="I4816" t="s">
        <v>68</v>
      </c>
      <c r="J4816" t="s">
        <v>60</v>
      </c>
      <c r="K4816">
        <v>6</v>
      </c>
      <c r="L4816">
        <v>64469</v>
      </c>
      <c r="M4816" t="s">
        <v>28</v>
      </c>
      <c r="N4816">
        <v>3</v>
      </c>
      <c r="O4816">
        <v>2</v>
      </c>
      <c r="P4816">
        <v>61</v>
      </c>
      <c r="Q4816">
        <v>1</v>
      </c>
      <c r="R4816" s="1">
        <v>42871</v>
      </c>
      <c r="S4816" t="s">
        <v>29</v>
      </c>
      <c r="T4816" t="str">
        <f t="shared" si="375"/>
        <v>Grade B</v>
      </c>
      <c r="U4816">
        <f t="shared" si="376"/>
        <v>3</v>
      </c>
      <c r="V4816" t="str">
        <f t="shared" si="377"/>
        <v>Mid Level</v>
      </c>
      <c r="W4816" t="str">
        <f t="shared" si="378"/>
        <v>Medium Risk</v>
      </c>
      <c r="X4816" t="str">
        <f t="shared" si="379"/>
        <v>Competitive</v>
      </c>
    </row>
    <row r="4817" spans="1:24" x14ac:dyDescent="0.3">
      <c r="A4817" t="s">
        <v>4885</v>
      </c>
      <c r="B4817" t="s">
        <v>20</v>
      </c>
      <c r="C4817">
        <v>37</v>
      </c>
      <c r="D4817" t="s">
        <v>88</v>
      </c>
      <c r="E4817" t="s">
        <v>40</v>
      </c>
      <c r="F4817" t="s">
        <v>78</v>
      </c>
      <c r="G4817" t="s">
        <v>58</v>
      </c>
      <c r="H4817" t="s">
        <v>34</v>
      </c>
      <c r="I4817" t="s">
        <v>54</v>
      </c>
      <c r="J4817" t="s">
        <v>27</v>
      </c>
      <c r="K4817">
        <v>11</v>
      </c>
      <c r="L4817">
        <v>104228</v>
      </c>
      <c r="M4817" t="s">
        <v>36</v>
      </c>
      <c r="N4817">
        <v>4</v>
      </c>
      <c r="O4817">
        <v>2</v>
      </c>
      <c r="P4817">
        <v>30</v>
      </c>
      <c r="Q4817">
        <v>1</v>
      </c>
      <c r="R4817" s="1">
        <v>41008</v>
      </c>
      <c r="S4817" t="s">
        <v>37</v>
      </c>
      <c r="T4817" t="str">
        <f t="shared" si="375"/>
        <v>Grade A</v>
      </c>
      <c r="U4817">
        <f t="shared" si="376"/>
        <v>1</v>
      </c>
      <c r="V4817" t="str">
        <f t="shared" si="377"/>
        <v>Senior</v>
      </c>
      <c r="W4817" t="str">
        <f t="shared" si="378"/>
        <v>Already Left</v>
      </c>
      <c r="X4817" t="str">
        <f t="shared" si="379"/>
        <v>Overpaid</v>
      </c>
    </row>
    <row r="4818" spans="1:24" x14ac:dyDescent="0.3">
      <c r="A4818" t="s">
        <v>4886</v>
      </c>
      <c r="B4818" t="s">
        <v>39</v>
      </c>
      <c r="C4818">
        <v>22</v>
      </c>
      <c r="D4818" t="s">
        <v>21</v>
      </c>
      <c r="E4818" t="s">
        <v>40</v>
      </c>
      <c r="F4818" t="s">
        <v>75</v>
      </c>
      <c r="G4818" t="s">
        <v>66</v>
      </c>
      <c r="H4818" t="s">
        <v>34</v>
      </c>
      <c r="I4818" t="s">
        <v>59</v>
      </c>
      <c r="J4818" t="s">
        <v>60</v>
      </c>
      <c r="K4818">
        <v>10</v>
      </c>
      <c r="L4818">
        <v>59461</v>
      </c>
      <c r="M4818" t="s">
        <v>51</v>
      </c>
      <c r="N4818">
        <v>2</v>
      </c>
      <c r="O4818">
        <v>1</v>
      </c>
      <c r="P4818">
        <v>57</v>
      </c>
      <c r="Q4818">
        <v>3</v>
      </c>
      <c r="R4818" s="1">
        <v>41399</v>
      </c>
      <c r="S4818" t="s">
        <v>37</v>
      </c>
      <c r="T4818" t="str">
        <f t="shared" si="375"/>
        <v>Grade B</v>
      </c>
      <c r="U4818">
        <f t="shared" si="376"/>
        <v>4</v>
      </c>
      <c r="V4818" t="str">
        <f t="shared" si="377"/>
        <v>Mid Level</v>
      </c>
      <c r="W4818" t="str">
        <f t="shared" si="378"/>
        <v>Already Left</v>
      </c>
      <c r="X4818" t="str">
        <f t="shared" si="379"/>
        <v>Fair</v>
      </c>
    </row>
    <row r="4819" spans="1:24" x14ac:dyDescent="0.3">
      <c r="A4819" t="s">
        <v>4887</v>
      </c>
      <c r="B4819" t="s">
        <v>20</v>
      </c>
      <c r="C4819">
        <v>41</v>
      </c>
      <c r="D4819" t="s">
        <v>88</v>
      </c>
      <c r="E4819" t="s">
        <v>22</v>
      </c>
      <c r="F4819" t="s">
        <v>62</v>
      </c>
      <c r="G4819" t="s">
        <v>63</v>
      </c>
      <c r="H4819" t="s">
        <v>83</v>
      </c>
      <c r="I4819" t="s">
        <v>80</v>
      </c>
      <c r="J4819" t="s">
        <v>60</v>
      </c>
      <c r="K4819">
        <v>9</v>
      </c>
      <c r="L4819">
        <v>70969</v>
      </c>
      <c r="M4819" t="s">
        <v>45</v>
      </c>
      <c r="N4819">
        <v>4</v>
      </c>
      <c r="O4819">
        <v>3</v>
      </c>
      <c r="P4819">
        <v>78</v>
      </c>
      <c r="Q4819">
        <v>1</v>
      </c>
      <c r="R4819" s="1">
        <v>41656</v>
      </c>
      <c r="S4819" t="s">
        <v>29</v>
      </c>
      <c r="T4819" t="str">
        <f t="shared" si="375"/>
        <v>Grade B</v>
      </c>
      <c r="U4819">
        <f t="shared" si="376"/>
        <v>2</v>
      </c>
      <c r="V4819" t="str">
        <f t="shared" si="377"/>
        <v>Mid Level</v>
      </c>
      <c r="W4819" t="str">
        <f t="shared" si="378"/>
        <v>Medium Risk</v>
      </c>
      <c r="X4819" t="str">
        <f t="shared" si="379"/>
        <v>Fair</v>
      </c>
    </row>
    <row r="4820" spans="1:24" x14ac:dyDescent="0.3">
      <c r="A4820" t="s">
        <v>4888</v>
      </c>
      <c r="B4820" t="s">
        <v>20</v>
      </c>
      <c r="C4820">
        <v>37</v>
      </c>
      <c r="D4820" t="s">
        <v>47</v>
      </c>
      <c r="E4820" t="s">
        <v>22</v>
      </c>
      <c r="F4820" t="s">
        <v>41</v>
      </c>
      <c r="G4820" t="s">
        <v>58</v>
      </c>
      <c r="H4820" t="s">
        <v>34</v>
      </c>
      <c r="I4820" t="s">
        <v>59</v>
      </c>
      <c r="J4820" t="s">
        <v>60</v>
      </c>
      <c r="K4820">
        <v>11</v>
      </c>
      <c r="L4820">
        <v>101251</v>
      </c>
      <c r="M4820" t="s">
        <v>28</v>
      </c>
      <c r="N4820">
        <v>2</v>
      </c>
      <c r="O4820">
        <v>4</v>
      </c>
      <c r="P4820">
        <v>22</v>
      </c>
      <c r="Q4820">
        <v>3</v>
      </c>
      <c r="R4820" s="1">
        <v>41110</v>
      </c>
      <c r="S4820" t="s">
        <v>37</v>
      </c>
      <c r="T4820" t="str">
        <f t="shared" si="375"/>
        <v>Grade A</v>
      </c>
      <c r="U4820">
        <f t="shared" si="376"/>
        <v>3</v>
      </c>
      <c r="V4820" t="str">
        <f t="shared" si="377"/>
        <v>Senior</v>
      </c>
      <c r="W4820" t="str">
        <f t="shared" si="378"/>
        <v>Already Left</v>
      </c>
      <c r="X4820" t="str">
        <f t="shared" si="379"/>
        <v>Competitive</v>
      </c>
    </row>
    <row r="4821" spans="1:24" x14ac:dyDescent="0.3">
      <c r="A4821" t="s">
        <v>4889</v>
      </c>
      <c r="B4821" t="s">
        <v>39</v>
      </c>
      <c r="C4821">
        <v>54</v>
      </c>
      <c r="D4821" t="s">
        <v>47</v>
      </c>
      <c r="E4821" t="s">
        <v>22</v>
      </c>
      <c r="F4821" t="s">
        <v>53</v>
      </c>
      <c r="G4821" t="s">
        <v>42</v>
      </c>
      <c r="H4821" t="s">
        <v>34</v>
      </c>
      <c r="I4821" t="s">
        <v>68</v>
      </c>
      <c r="J4821" t="s">
        <v>60</v>
      </c>
      <c r="K4821">
        <v>10</v>
      </c>
      <c r="L4821">
        <v>120482</v>
      </c>
      <c r="M4821" t="s">
        <v>36</v>
      </c>
      <c r="N4821">
        <v>3</v>
      </c>
      <c r="O4821">
        <v>1</v>
      </c>
      <c r="P4821">
        <v>62</v>
      </c>
      <c r="Q4821">
        <v>0</v>
      </c>
      <c r="R4821" s="1">
        <v>41610</v>
      </c>
      <c r="S4821" t="s">
        <v>37</v>
      </c>
      <c r="T4821" t="str">
        <f t="shared" si="375"/>
        <v>Grade A</v>
      </c>
      <c r="U4821">
        <f t="shared" si="376"/>
        <v>1</v>
      </c>
      <c r="V4821" t="str">
        <f t="shared" si="377"/>
        <v>Mid Level</v>
      </c>
      <c r="W4821" t="str">
        <f t="shared" si="378"/>
        <v>Already Left</v>
      </c>
      <c r="X4821" t="str">
        <f t="shared" si="379"/>
        <v>Overpaid</v>
      </c>
    </row>
    <row r="4822" spans="1:24" x14ac:dyDescent="0.3">
      <c r="A4822" t="s">
        <v>4890</v>
      </c>
      <c r="B4822" t="s">
        <v>20</v>
      </c>
      <c r="C4822">
        <v>52</v>
      </c>
      <c r="D4822" t="s">
        <v>21</v>
      </c>
      <c r="E4822" t="s">
        <v>40</v>
      </c>
      <c r="F4822" t="s">
        <v>32</v>
      </c>
      <c r="G4822" t="s">
        <v>66</v>
      </c>
      <c r="H4822" t="s">
        <v>67</v>
      </c>
      <c r="I4822" t="s">
        <v>26</v>
      </c>
      <c r="J4822" t="s">
        <v>27</v>
      </c>
      <c r="K4822">
        <v>3</v>
      </c>
      <c r="L4822">
        <v>46679</v>
      </c>
      <c r="M4822" t="s">
        <v>36</v>
      </c>
      <c r="N4822">
        <v>4</v>
      </c>
      <c r="O4822">
        <v>3</v>
      </c>
      <c r="P4822">
        <v>30</v>
      </c>
      <c r="Q4822">
        <v>3</v>
      </c>
      <c r="R4822" s="1">
        <v>44007</v>
      </c>
      <c r="S4822" t="s">
        <v>37</v>
      </c>
      <c r="T4822" t="str">
        <f t="shared" si="375"/>
        <v>Grade C</v>
      </c>
      <c r="U4822">
        <f t="shared" si="376"/>
        <v>1</v>
      </c>
      <c r="V4822" t="str">
        <f t="shared" si="377"/>
        <v>Junior</v>
      </c>
      <c r="W4822" t="str">
        <f t="shared" si="378"/>
        <v>Already Left</v>
      </c>
      <c r="X4822" t="str">
        <f t="shared" si="379"/>
        <v>Fair</v>
      </c>
    </row>
    <row r="4823" spans="1:24" x14ac:dyDescent="0.3">
      <c r="A4823" t="s">
        <v>4891</v>
      </c>
      <c r="B4823" t="s">
        <v>20</v>
      </c>
      <c r="C4823">
        <v>35</v>
      </c>
      <c r="D4823" t="s">
        <v>88</v>
      </c>
      <c r="E4823" t="s">
        <v>40</v>
      </c>
      <c r="F4823" t="s">
        <v>23</v>
      </c>
      <c r="G4823" t="s">
        <v>63</v>
      </c>
      <c r="H4823" t="s">
        <v>67</v>
      </c>
      <c r="I4823" t="s">
        <v>59</v>
      </c>
      <c r="J4823" t="s">
        <v>60</v>
      </c>
      <c r="K4823">
        <v>15</v>
      </c>
      <c r="L4823">
        <v>82219</v>
      </c>
      <c r="M4823" t="s">
        <v>36</v>
      </c>
      <c r="N4823">
        <v>4</v>
      </c>
      <c r="O4823">
        <v>4</v>
      </c>
      <c r="P4823">
        <v>59</v>
      </c>
      <c r="Q4823">
        <v>1</v>
      </c>
      <c r="R4823" s="1">
        <v>39747</v>
      </c>
      <c r="S4823" t="s">
        <v>37</v>
      </c>
      <c r="T4823" t="str">
        <f t="shared" si="375"/>
        <v>Grade A</v>
      </c>
      <c r="U4823">
        <f t="shared" si="376"/>
        <v>1</v>
      </c>
      <c r="V4823" t="str">
        <f t="shared" si="377"/>
        <v>Senior</v>
      </c>
      <c r="W4823" t="str">
        <f t="shared" si="378"/>
        <v>Already Left</v>
      </c>
      <c r="X4823" t="str">
        <f t="shared" si="379"/>
        <v>Overpaid</v>
      </c>
    </row>
    <row r="4824" spans="1:24" x14ac:dyDescent="0.3">
      <c r="A4824" t="s">
        <v>4892</v>
      </c>
      <c r="B4824" t="s">
        <v>39</v>
      </c>
      <c r="C4824">
        <v>26</v>
      </c>
      <c r="D4824" t="s">
        <v>57</v>
      </c>
      <c r="E4824" t="s">
        <v>48</v>
      </c>
      <c r="F4824" t="s">
        <v>23</v>
      </c>
      <c r="G4824" t="s">
        <v>33</v>
      </c>
      <c r="H4824" t="s">
        <v>34</v>
      </c>
      <c r="I4824" t="s">
        <v>54</v>
      </c>
      <c r="J4824" t="s">
        <v>27</v>
      </c>
      <c r="K4824">
        <v>4</v>
      </c>
      <c r="L4824">
        <v>67233</v>
      </c>
      <c r="M4824" t="s">
        <v>51</v>
      </c>
      <c r="N4824">
        <v>4</v>
      </c>
      <c r="O4824">
        <v>4</v>
      </c>
      <c r="P4824">
        <v>37</v>
      </c>
      <c r="Q4824">
        <v>2</v>
      </c>
      <c r="R4824" s="1">
        <v>43751</v>
      </c>
      <c r="S4824" t="s">
        <v>37</v>
      </c>
      <c r="T4824" t="str">
        <f t="shared" si="375"/>
        <v>Grade B</v>
      </c>
      <c r="U4824">
        <f t="shared" si="376"/>
        <v>4</v>
      </c>
      <c r="V4824" t="str">
        <f t="shared" si="377"/>
        <v>Junior</v>
      </c>
      <c r="W4824" t="str">
        <f t="shared" si="378"/>
        <v>Already Left</v>
      </c>
      <c r="X4824" t="str">
        <f t="shared" si="379"/>
        <v>Fair</v>
      </c>
    </row>
    <row r="4825" spans="1:24" x14ac:dyDescent="0.3">
      <c r="A4825" t="s">
        <v>4893</v>
      </c>
      <c r="B4825" t="s">
        <v>39</v>
      </c>
      <c r="C4825">
        <v>30</v>
      </c>
      <c r="D4825" t="s">
        <v>31</v>
      </c>
      <c r="E4825" t="s">
        <v>40</v>
      </c>
      <c r="F4825" t="s">
        <v>53</v>
      </c>
      <c r="G4825" t="s">
        <v>42</v>
      </c>
      <c r="H4825" t="s">
        <v>67</v>
      </c>
      <c r="I4825" t="s">
        <v>50</v>
      </c>
      <c r="J4825" t="s">
        <v>44</v>
      </c>
      <c r="K4825">
        <v>14</v>
      </c>
      <c r="L4825">
        <v>129183</v>
      </c>
      <c r="M4825" t="s">
        <v>51</v>
      </c>
      <c r="N4825">
        <v>1</v>
      </c>
      <c r="O4825">
        <v>4</v>
      </c>
      <c r="P4825">
        <v>45</v>
      </c>
      <c r="Q4825">
        <v>1</v>
      </c>
      <c r="R4825" s="1">
        <v>40171</v>
      </c>
      <c r="S4825" t="s">
        <v>29</v>
      </c>
      <c r="T4825" t="str">
        <f t="shared" si="375"/>
        <v>Grade A</v>
      </c>
      <c r="U4825">
        <f t="shared" si="376"/>
        <v>4</v>
      </c>
      <c r="V4825" t="str">
        <f t="shared" si="377"/>
        <v>Senior</v>
      </c>
      <c r="W4825" t="str">
        <f t="shared" si="378"/>
        <v>Low Risk</v>
      </c>
      <c r="X4825" t="str">
        <f t="shared" si="379"/>
        <v>Competitive</v>
      </c>
    </row>
    <row r="4826" spans="1:24" x14ac:dyDescent="0.3">
      <c r="A4826" t="s">
        <v>4894</v>
      </c>
      <c r="B4826" t="s">
        <v>39</v>
      </c>
      <c r="C4826">
        <v>23</v>
      </c>
      <c r="D4826" t="s">
        <v>57</v>
      </c>
      <c r="E4826" t="s">
        <v>40</v>
      </c>
      <c r="F4826" t="s">
        <v>41</v>
      </c>
      <c r="G4826" t="s">
        <v>49</v>
      </c>
      <c r="H4826" t="s">
        <v>34</v>
      </c>
      <c r="I4826" t="s">
        <v>80</v>
      </c>
      <c r="J4826" t="s">
        <v>60</v>
      </c>
      <c r="K4826">
        <v>11</v>
      </c>
      <c r="L4826">
        <v>73552</v>
      </c>
      <c r="M4826" t="s">
        <v>28</v>
      </c>
      <c r="N4826">
        <v>1</v>
      </c>
      <c r="O4826">
        <v>1</v>
      </c>
      <c r="P4826">
        <v>23</v>
      </c>
      <c r="Q4826">
        <v>2</v>
      </c>
      <c r="R4826" s="1">
        <v>41038</v>
      </c>
      <c r="S4826" t="s">
        <v>29</v>
      </c>
      <c r="T4826" t="str">
        <f t="shared" si="375"/>
        <v>Grade B</v>
      </c>
      <c r="U4826">
        <f t="shared" si="376"/>
        <v>3</v>
      </c>
      <c r="V4826" t="str">
        <f t="shared" si="377"/>
        <v>Senior</v>
      </c>
      <c r="W4826" t="str">
        <f t="shared" si="378"/>
        <v>Medium Risk</v>
      </c>
      <c r="X4826" t="str">
        <f t="shared" si="379"/>
        <v>Competitive</v>
      </c>
    </row>
    <row r="4827" spans="1:24" x14ac:dyDescent="0.3">
      <c r="A4827" t="s">
        <v>4895</v>
      </c>
      <c r="B4827" t="s">
        <v>20</v>
      </c>
      <c r="C4827">
        <v>22</v>
      </c>
      <c r="D4827" t="s">
        <v>88</v>
      </c>
      <c r="E4827" t="s">
        <v>22</v>
      </c>
      <c r="F4827" t="s">
        <v>32</v>
      </c>
      <c r="G4827" t="s">
        <v>24</v>
      </c>
      <c r="H4827" t="s">
        <v>25</v>
      </c>
      <c r="I4827" t="s">
        <v>96</v>
      </c>
      <c r="J4827" t="s">
        <v>44</v>
      </c>
      <c r="K4827">
        <v>8</v>
      </c>
      <c r="L4827">
        <v>86673</v>
      </c>
      <c r="M4827" t="s">
        <v>28</v>
      </c>
      <c r="N4827">
        <v>1</v>
      </c>
      <c r="O4827">
        <v>3</v>
      </c>
      <c r="P4827">
        <v>19</v>
      </c>
      <c r="Q4827">
        <v>3</v>
      </c>
      <c r="R4827" s="1">
        <v>42108</v>
      </c>
      <c r="S4827" t="s">
        <v>37</v>
      </c>
      <c r="T4827" t="str">
        <f t="shared" si="375"/>
        <v>Grade A</v>
      </c>
      <c r="U4827">
        <f t="shared" si="376"/>
        <v>3</v>
      </c>
      <c r="V4827" t="str">
        <f t="shared" si="377"/>
        <v>Mid Level</v>
      </c>
      <c r="W4827" t="str">
        <f t="shared" si="378"/>
        <v>Already Left</v>
      </c>
      <c r="X4827" t="str">
        <f t="shared" si="379"/>
        <v>Competitive</v>
      </c>
    </row>
    <row r="4828" spans="1:24" x14ac:dyDescent="0.3">
      <c r="A4828" t="s">
        <v>4896</v>
      </c>
      <c r="B4828" t="s">
        <v>39</v>
      </c>
      <c r="C4828">
        <v>48</v>
      </c>
      <c r="D4828" t="s">
        <v>31</v>
      </c>
      <c r="E4828" t="s">
        <v>22</v>
      </c>
      <c r="F4828" t="s">
        <v>75</v>
      </c>
      <c r="G4828" t="s">
        <v>63</v>
      </c>
      <c r="H4828" t="s">
        <v>67</v>
      </c>
      <c r="I4828" t="s">
        <v>80</v>
      </c>
      <c r="J4828" t="s">
        <v>60</v>
      </c>
      <c r="K4828">
        <v>1</v>
      </c>
      <c r="L4828">
        <v>54576</v>
      </c>
      <c r="M4828" t="s">
        <v>28</v>
      </c>
      <c r="N4828">
        <v>3</v>
      </c>
      <c r="O4828">
        <v>1</v>
      </c>
      <c r="P4828">
        <v>57</v>
      </c>
      <c r="Q4828">
        <v>1</v>
      </c>
      <c r="R4828" s="1">
        <v>44681</v>
      </c>
      <c r="S4828" t="s">
        <v>29</v>
      </c>
      <c r="T4828" t="str">
        <f t="shared" si="375"/>
        <v>Grade B</v>
      </c>
      <c r="U4828">
        <f t="shared" si="376"/>
        <v>3</v>
      </c>
      <c r="V4828" t="str">
        <f t="shared" si="377"/>
        <v>New Joiner</v>
      </c>
      <c r="W4828" t="str">
        <f t="shared" si="378"/>
        <v>Medium Risk</v>
      </c>
      <c r="X4828" t="str">
        <f t="shared" si="379"/>
        <v>Competitive</v>
      </c>
    </row>
    <row r="4829" spans="1:24" x14ac:dyDescent="0.3">
      <c r="A4829" t="s">
        <v>4897</v>
      </c>
      <c r="B4829" t="s">
        <v>39</v>
      </c>
      <c r="C4829">
        <v>26</v>
      </c>
      <c r="D4829" t="s">
        <v>57</v>
      </c>
      <c r="E4829" t="s">
        <v>40</v>
      </c>
      <c r="F4829" t="s">
        <v>65</v>
      </c>
      <c r="G4829" t="s">
        <v>58</v>
      </c>
      <c r="H4829" t="s">
        <v>34</v>
      </c>
      <c r="I4829" t="s">
        <v>59</v>
      </c>
      <c r="J4829" t="s">
        <v>60</v>
      </c>
      <c r="K4829">
        <v>11</v>
      </c>
      <c r="L4829">
        <v>101427</v>
      </c>
      <c r="M4829" t="s">
        <v>28</v>
      </c>
      <c r="N4829">
        <v>4</v>
      </c>
      <c r="O4829">
        <v>3</v>
      </c>
      <c r="P4829">
        <v>23</v>
      </c>
      <c r="Q4829">
        <v>2</v>
      </c>
      <c r="R4829" s="1">
        <v>40953</v>
      </c>
      <c r="S4829" t="s">
        <v>29</v>
      </c>
      <c r="T4829" t="str">
        <f t="shared" si="375"/>
        <v>Grade A</v>
      </c>
      <c r="U4829">
        <f t="shared" si="376"/>
        <v>3</v>
      </c>
      <c r="V4829" t="str">
        <f t="shared" si="377"/>
        <v>Senior</v>
      </c>
      <c r="W4829" t="str">
        <f t="shared" si="378"/>
        <v>Medium Risk</v>
      </c>
      <c r="X4829" t="str">
        <f t="shared" si="379"/>
        <v>Competitive</v>
      </c>
    </row>
    <row r="4830" spans="1:24" x14ac:dyDescent="0.3">
      <c r="A4830" t="s">
        <v>4898</v>
      </c>
      <c r="B4830" t="s">
        <v>20</v>
      </c>
      <c r="C4830">
        <v>47</v>
      </c>
      <c r="D4830" t="s">
        <v>57</v>
      </c>
      <c r="E4830" t="s">
        <v>48</v>
      </c>
      <c r="F4830" t="s">
        <v>78</v>
      </c>
      <c r="G4830" t="s">
        <v>24</v>
      </c>
      <c r="H4830" t="s">
        <v>25</v>
      </c>
      <c r="I4830" t="s">
        <v>26</v>
      </c>
      <c r="J4830" t="s">
        <v>27</v>
      </c>
      <c r="K4830">
        <v>8</v>
      </c>
      <c r="L4830">
        <v>88956</v>
      </c>
      <c r="M4830" t="s">
        <v>36</v>
      </c>
      <c r="N4830">
        <v>4</v>
      </c>
      <c r="O4830">
        <v>3</v>
      </c>
      <c r="P4830">
        <v>65</v>
      </c>
      <c r="Q4830">
        <v>2</v>
      </c>
      <c r="R4830" s="1">
        <v>42022</v>
      </c>
      <c r="S4830" t="s">
        <v>37</v>
      </c>
      <c r="T4830" t="str">
        <f t="shared" si="375"/>
        <v>Grade A</v>
      </c>
      <c r="U4830">
        <f t="shared" si="376"/>
        <v>1</v>
      </c>
      <c r="V4830" t="str">
        <f t="shared" si="377"/>
        <v>Mid Level</v>
      </c>
      <c r="W4830" t="str">
        <f t="shared" si="378"/>
        <v>Already Left</v>
      </c>
      <c r="X4830" t="str">
        <f t="shared" si="379"/>
        <v>Overpaid</v>
      </c>
    </row>
    <row r="4831" spans="1:24" x14ac:dyDescent="0.3">
      <c r="A4831" t="s">
        <v>4899</v>
      </c>
      <c r="B4831" t="s">
        <v>39</v>
      </c>
      <c r="C4831">
        <v>28</v>
      </c>
      <c r="D4831" t="s">
        <v>31</v>
      </c>
      <c r="E4831" t="s">
        <v>40</v>
      </c>
      <c r="F4831" t="s">
        <v>32</v>
      </c>
      <c r="G4831" t="s">
        <v>42</v>
      </c>
      <c r="H4831" t="s">
        <v>67</v>
      </c>
      <c r="I4831" t="s">
        <v>50</v>
      </c>
      <c r="J4831" t="s">
        <v>44</v>
      </c>
      <c r="K4831">
        <v>1</v>
      </c>
      <c r="L4831">
        <v>99545</v>
      </c>
      <c r="M4831" t="s">
        <v>45</v>
      </c>
      <c r="N4831">
        <v>2</v>
      </c>
      <c r="O4831">
        <v>4</v>
      </c>
      <c r="P4831">
        <v>61</v>
      </c>
      <c r="Q4831">
        <v>2</v>
      </c>
      <c r="R4831" s="1">
        <v>44571</v>
      </c>
      <c r="S4831" t="s">
        <v>29</v>
      </c>
      <c r="T4831" t="str">
        <f t="shared" si="375"/>
        <v>Grade A</v>
      </c>
      <c r="U4831">
        <f t="shared" si="376"/>
        <v>2</v>
      </c>
      <c r="V4831" t="str">
        <f t="shared" si="377"/>
        <v>New Joiner</v>
      </c>
      <c r="W4831" t="str">
        <f t="shared" si="378"/>
        <v>Medium Risk</v>
      </c>
      <c r="X4831" t="str">
        <f t="shared" si="379"/>
        <v>Fair</v>
      </c>
    </row>
    <row r="4832" spans="1:24" x14ac:dyDescent="0.3">
      <c r="A4832" t="s">
        <v>4900</v>
      </c>
      <c r="B4832" t="s">
        <v>20</v>
      </c>
      <c r="C4832">
        <v>34</v>
      </c>
      <c r="D4832" t="s">
        <v>88</v>
      </c>
      <c r="E4832" t="s">
        <v>40</v>
      </c>
      <c r="F4832" t="s">
        <v>75</v>
      </c>
      <c r="G4832" t="s">
        <v>33</v>
      </c>
      <c r="H4832" t="s">
        <v>83</v>
      </c>
      <c r="I4832" t="s">
        <v>50</v>
      </c>
      <c r="J4832" t="s">
        <v>44</v>
      </c>
      <c r="K4832">
        <v>1</v>
      </c>
      <c r="L4832">
        <v>63853</v>
      </c>
      <c r="M4832" t="s">
        <v>28</v>
      </c>
      <c r="N4832">
        <v>4</v>
      </c>
      <c r="O4832">
        <v>2</v>
      </c>
      <c r="P4832">
        <v>26</v>
      </c>
      <c r="Q4832">
        <v>1</v>
      </c>
      <c r="R4832" s="1">
        <v>44752</v>
      </c>
      <c r="S4832" t="s">
        <v>29</v>
      </c>
      <c r="T4832" t="str">
        <f t="shared" si="375"/>
        <v>Grade B</v>
      </c>
      <c r="U4832">
        <f t="shared" si="376"/>
        <v>3</v>
      </c>
      <c r="V4832" t="str">
        <f t="shared" si="377"/>
        <v>New Joiner</v>
      </c>
      <c r="W4832" t="str">
        <f t="shared" si="378"/>
        <v>Medium Risk</v>
      </c>
      <c r="X4832" t="str">
        <f t="shared" si="379"/>
        <v>Competitive</v>
      </c>
    </row>
    <row r="4833" spans="1:24" x14ac:dyDescent="0.3">
      <c r="A4833" t="s">
        <v>4901</v>
      </c>
      <c r="B4833" t="s">
        <v>20</v>
      </c>
      <c r="C4833">
        <v>35</v>
      </c>
      <c r="D4833" t="s">
        <v>47</v>
      </c>
      <c r="E4833" t="s">
        <v>40</v>
      </c>
      <c r="F4833" t="s">
        <v>41</v>
      </c>
      <c r="G4833" t="s">
        <v>66</v>
      </c>
      <c r="H4833" t="s">
        <v>34</v>
      </c>
      <c r="I4833" t="s">
        <v>54</v>
      </c>
      <c r="J4833" t="s">
        <v>27</v>
      </c>
      <c r="K4833">
        <v>12</v>
      </c>
      <c r="L4833">
        <v>64892</v>
      </c>
      <c r="M4833" t="s">
        <v>45</v>
      </c>
      <c r="N4833">
        <v>4</v>
      </c>
      <c r="O4833">
        <v>1</v>
      </c>
      <c r="P4833">
        <v>32</v>
      </c>
      <c r="Q4833">
        <v>1</v>
      </c>
      <c r="R4833" s="1">
        <v>40792</v>
      </c>
      <c r="S4833" t="s">
        <v>29</v>
      </c>
      <c r="T4833" t="str">
        <f t="shared" si="375"/>
        <v>Grade B</v>
      </c>
      <c r="U4833">
        <f t="shared" si="376"/>
        <v>2</v>
      </c>
      <c r="V4833" t="str">
        <f t="shared" si="377"/>
        <v>Senior</v>
      </c>
      <c r="W4833" t="str">
        <f t="shared" si="378"/>
        <v>Medium Risk</v>
      </c>
      <c r="X4833" t="str">
        <f t="shared" si="379"/>
        <v>Fair</v>
      </c>
    </row>
    <row r="4834" spans="1:24" x14ac:dyDescent="0.3">
      <c r="A4834" t="s">
        <v>4902</v>
      </c>
      <c r="B4834" t="s">
        <v>20</v>
      </c>
      <c r="C4834">
        <v>29</v>
      </c>
      <c r="D4834" t="s">
        <v>88</v>
      </c>
      <c r="E4834" t="s">
        <v>40</v>
      </c>
      <c r="F4834" t="s">
        <v>32</v>
      </c>
      <c r="G4834" t="s">
        <v>49</v>
      </c>
      <c r="H4834" t="s">
        <v>83</v>
      </c>
      <c r="I4834" t="s">
        <v>43</v>
      </c>
      <c r="J4834" t="s">
        <v>44</v>
      </c>
      <c r="K4834">
        <v>2</v>
      </c>
      <c r="L4834">
        <v>58577</v>
      </c>
      <c r="M4834" t="s">
        <v>36</v>
      </c>
      <c r="N4834">
        <v>4</v>
      </c>
      <c r="O4834">
        <v>1</v>
      </c>
      <c r="P4834">
        <v>20</v>
      </c>
      <c r="Q4834">
        <v>3</v>
      </c>
      <c r="R4834" s="1">
        <v>44531</v>
      </c>
      <c r="S4834" t="s">
        <v>29</v>
      </c>
      <c r="T4834" t="str">
        <f t="shared" si="375"/>
        <v>Grade B</v>
      </c>
      <c r="U4834">
        <f t="shared" si="376"/>
        <v>1</v>
      </c>
      <c r="V4834" t="str">
        <f t="shared" si="377"/>
        <v>New Joiner</v>
      </c>
      <c r="W4834" t="str">
        <f t="shared" si="378"/>
        <v>High Risk</v>
      </c>
      <c r="X4834" t="str">
        <f t="shared" si="379"/>
        <v>Fair</v>
      </c>
    </row>
    <row r="4835" spans="1:24" x14ac:dyDescent="0.3">
      <c r="A4835" t="s">
        <v>4903</v>
      </c>
      <c r="B4835" t="s">
        <v>20</v>
      </c>
      <c r="C4835">
        <v>53</v>
      </c>
      <c r="D4835" t="s">
        <v>47</v>
      </c>
      <c r="E4835" t="s">
        <v>48</v>
      </c>
      <c r="F4835" t="s">
        <v>75</v>
      </c>
      <c r="G4835" t="s">
        <v>79</v>
      </c>
      <c r="H4835" t="s">
        <v>76</v>
      </c>
      <c r="I4835" t="s">
        <v>26</v>
      </c>
      <c r="J4835" t="s">
        <v>27</v>
      </c>
      <c r="K4835">
        <v>5</v>
      </c>
      <c r="L4835">
        <v>41795</v>
      </c>
      <c r="M4835" t="s">
        <v>28</v>
      </c>
      <c r="N4835">
        <v>2</v>
      </c>
      <c r="O4835">
        <v>4</v>
      </c>
      <c r="P4835">
        <v>45</v>
      </c>
      <c r="Q4835">
        <v>1</v>
      </c>
      <c r="R4835" s="1">
        <v>43293</v>
      </c>
      <c r="S4835" t="s">
        <v>29</v>
      </c>
      <c r="T4835" t="str">
        <f t="shared" si="375"/>
        <v>Grade C</v>
      </c>
      <c r="U4835">
        <f t="shared" si="376"/>
        <v>3</v>
      </c>
      <c r="V4835" t="str">
        <f t="shared" si="377"/>
        <v>Junior</v>
      </c>
      <c r="W4835" t="str">
        <f t="shared" si="378"/>
        <v>Medium Risk</v>
      </c>
      <c r="X4835" t="str">
        <f t="shared" si="379"/>
        <v>Fair</v>
      </c>
    </row>
    <row r="4836" spans="1:24" x14ac:dyDescent="0.3">
      <c r="A4836" t="s">
        <v>4904</v>
      </c>
      <c r="B4836" t="s">
        <v>39</v>
      </c>
      <c r="C4836">
        <v>34</v>
      </c>
      <c r="D4836" t="s">
        <v>57</v>
      </c>
      <c r="E4836" t="s">
        <v>48</v>
      </c>
      <c r="F4836" t="s">
        <v>78</v>
      </c>
      <c r="G4836" t="s">
        <v>33</v>
      </c>
      <c r="H4836" t="s">
        <v>34</v>
      </c>
      <c r="I4836" t="s">
        <v>50</v>
      </c>
      <c r="J4836" t="s">
        <v>44</v>
      </c>
      <c r="K4836">
        <v>3</v>
      </c>
      <c r="L4836">
        <v>59883</v>
      </c>
      <c r="M4836" t="s">
        <v>45</v>
      </c>
      <c r="N4836">
        <v>4</v>
      </c>
      <c r="O4836">
        <v>3</v>
      </c>
      <c r="P4836">
        <v>63</v>
      </c>
      <c r="Q4836">
        <v>3</v>
      </c>
      <c r="R4836" s="1">
        <v>43855</v>
      </c>
      <c r="S4836" t="s">
        <v>29</v>
      </c>
      <c r="T4836" t="str">
        <f t="shared" si="375"/>
        <v>Grade B</v>
      </c>
      <c r="U4836">
        <f t="shared" si="376"/>
        <v>2</v>
      </c>
      <c r="V4836" t="str">
        <f t="shared" si="377"/>
        <v>Junior</v>
      </c>
      <c r="W4836" t="str">
        <f t="shared" si="378"/>
        <v>Medium Risk</v>
      </c>
      <c r="X4836" t="str">
        <f t="shared" si="379"/>
        <v>Fair</v>
      </c>
    </row>
    <row r="4837" spans="1:24" x14ac:dyDescent="0.3">
      <c r="A4837" t="s">
        <v>4905</v>
      </c>
      <c r="B4837" t="s">
        <v>39</v>
      </c>
      <c r="C4837">
        <v>54</v>
      </c>
      <c r="D4837" t="s">
        <v>88</v>
      </c>
      <c r="E4837" t="s">
        <v>40</v>
      </c>
      <c r="F4837" t="s">
        <v>62</v>
      </c>
      <c r="G4837" t="s">
        <v>49</v>
      </c>
      <c r="H4837" t="s">
        <v>67</v>
      </c>
      <c r="I4837" t="s">
        <v>26</v>
      </c>
      <c r="J4837" t="s">
        <v>27</v>
      </c>
      <c r="K4837">
        <v>5</v>
      </c>
      <c r="L4837">
        <v>62294</v>
      </c>
      <c r="M4837" t="s">
        <v>36</v>
      </c>
      <c r="N4837">
        <v>4</v>
      </c>
      <c r="O4837">
        <v>1</v>
      </c>
      <c r="P4837">
        <v>17</v>
      </c>
      <c r="Q4837">
        <v>1</v>
      </c>
      <c r="R4837" s="1">
        <v>43306</v>
      </c>
      <c r="S4837" t="s">
        <v>37</v>
      </c>
      <c r="T4837" t="str">
        <f t="shared" si="375"/>
        <v>Grade B</v>
      </c>
      <c r="U4837">
        <f t="shared" si="376"/>
        <v>1</v>
      </c>
      <c r="V4837" t="str">
        <f t="shared" si="377"/>
        <v>Junior</v>
      </c>
      <c r="W4837" t="str">
        <f t="shared" si="378"/>
        <v>Already Left</v>
      </c>
      <c r="X4837" t="str">
        <f t="shared" si="379"/>
        <v>Fair</v>
      </c>
    </row>
    <row r="4838" spans="1:24" x14ac:dyDescent="0.3">
      <c r="A4838" t="s">
        <v>4906</v>
      </c>
      <c r="B4838" t="s">
        <v>20</v>
      </c>
      <c r="C4838">
        <v>37</v>
      </c>
      <c r="D4838" t="s">
        <v>47</v>
      </c>
      <c r="E4838" t="s">
        <v>48</v>
      </c>
      <c r="F4838" t="s">
        <v>41</v>
      </c>
      <c r="G4838" t="s">
        <v>79</v>
      </c>
      <c r="H4838" t="s">
        <v>34</v>
      </c>
      <c r="I4838" t="s">
        <v>72</v>
      </c>
      <c r="J4838" t="s">
        <v>73</v>
      </c>
      <c r="K4838">
        <v>9</v>
      </c>
      <c r="L4838">
        <v>60927</v>
      </c>
      <c r="M4838" t="s">
        <v>28</v>
      </c>
      <c r="N4838">
        <v>3</v>
      </c>
      <c r="O4838">
        <v>1</v>
      </c>
      <c r="P4838">
        <v>24</v>
      </c>
      <c r="Q4838">
        <v>0</v>
      </c>
      <c r="R4838" s="1">
        <v>41922</v>
      </c>
      <c r="S4838" t="s">
        <v>37</v>
      </c>
      <c r="T4838" t="str">
        <f t="shared" si="375"/>
        <v>Grade B</v>
      </c>
      <c r="U4838">
        <f t="shared" si="376"/>
        <v>3</v>
      </c>
      <c r="V4838" t="str">
        <f t="shared" si="377"/>
        <v>Mid Level</v>
      </c>
      <c r="W4838" t="str">
        <f t="shared" si="378"/>
        <v>Already Left</v>
      </c>
      <c r="X4838" t="str">
        <f t="shared" si="379"/>
        <v>Competitive</v>
      </c>
    </row>
    <row r="4839" spans="1:24" x14ac:dyDescent="0.3">
      <c r="A4839" t="s">
        <v>4907</v>
      </c>
      <c r="B4839" t="s">
        <v>39</v>
      </c>
      <c r="C4839">
        <v>31</v>
      </c>
      <c r="D4839" t="s">
        <v>88</v>
      </c>
      <c r="E4839" t="s">
        <v>40</v>
      </c>
      <c r="F4839" t="s">
        <v>53</v>
      </c>
      <c r="G4839" t="s">
        <v>24</v>
      </c>
      <c r="H4839" t="s">
        <v>83</v>
      </c>
      <c r="I4839" t="s">
        <v>68</v>
      </c>
      <c r="J4839" t="s">
        <v>60</v>
      </c>
      <c r="K4839">
        <v>4</v>
      </c>
      <c r="L4839">
        <v>75340</v>
      </c>
      <c r="M4839" t="s">
        <v>51</v>
      </c>
      <c r="N4839">
        <v>2</v>
      </c>
      <c r="O4839">
        <v>4</v>
      </c>
      <c r="P4839">
        <v>10</v>
      </c>
      <c r="Q4839">
        <v>3</v>
      </c>
      <c r="R4839" s="1">
        <v>43820</v>
      </c>
      <c r="S4839" t="s">
        <v>29</v>
      </c>
      <c r="T4839" t="str">
        <f t="shared" si="375"/>
        <v>Grade B</v>
      </c>
      <c r="U4839">
        <f t="shared" si="376"/>
        <v>4</v>
      </c>
      <c r="V4839" t="str">
        <f t="shared" si="377"/>
        <v>Junior</v>
      </c>
      <c r="W4839" t="str">
        <f t="shared" si="378"/>
        <v>Low Risk</v>
      </c>
      <c r="X4839" t="str">
        <f t="shared" si="379"/>
        <v>Fair</v>
      </c>
    </row>
    <row r="4840" spans="1:24" x14ac:dyDescent="0.3">
      <c r="A4840" t="s">
        <v>4908</v>
      </c>
      <c r="B4840" t="s">
        <v>39</v>
      </c>
      <c r="C4840">
        <v>35</v>
      </c>
      <c r="D4840" t="s">
        <v>47</v>
      </c>
      <c r="E4840" t="s">
        <v>40</v>
      </c>
      <c r="F4840" t="s">
        <v>75</v>
      </c>
      <c r="G4840" t="s">
        <v>49</v>
      </c>
      <c r="H4840" t="s">
        <v>67</v>
      </c>
      <c r="I4840" t="s">
        <v>68</v>
      </c>
      <c r="J4840" t="s">
        <v>60</v>
      </c>
      <c r="K4840">
        <v>3</v>
      </c>
      <c r="L4840">
        <v>53269</v>
      </c>
      <c r="M4840" t="s">
        <v>28</v>
      </c>
      <c r="N4840">
        <v>3</v>
      </c>
      <c r="O4840">
        <v>2</v>
      </c>
      <c r="P4840">
        <v>25</v>
      </c>
      <c r="Q4840">
        <v>1</v>
      </c>
      <c r="R4840" s="1">
        <v>44191</v>
      </c>
      <c r="S4840" t="s">
        <v>37</v>
      </c>
      <c r="T4840" t="str">
        <f t="shared" si="375"/>
        <v>Grade B</v>
      </c>
      <c r="U4840">
        <f t="shared" si="376"/>
        <v>3</v>
      </c>
      <c r="V4840" t="str">
        <f t="shared" si="377"/>
        <v>Junior</v>
      </c>
      <c r="W4840" t="str">
        <f t="shared" si="378"/>
        <v>Already Left</v>
      </c>
      <c r="X4840" t="str">
        <f t="shared" si="379"/>
        <v>Competitive</v>
      </c>
    </row>
    <row r="4841" spans="1:24" x14ac:dyDescent="0.3">
      <c r="A4841" t="s">
        <v>4909</v>
      </c>
      <c r="B4841" t="s">
        <v>20</v>
      </c>
      <c r="C4841">
        <v>55</v>
      </c>
      <c r="D4841" t="s">
        <v>57</v>
      </c>
      <c r="E4841" t="s">
        <v>22</v>
      </c>
      <c r="F4841" t="s">
        <v>23</v>
      </c>
      <c r="G4841" t="s">
        <v>24</v>
      </c>
      <c r="H4841" t="s">
        <v>83</v>
      </c>
      <c r="I4841" t="s">
        <v>80</v>
      </c>
      <c r="J4841" t="s">
        <v>60</v>
      </c>
      <c r="K4841">
        <v>14</v>
      </c>
      <c r="L4841">
        <v>97275</v>
      </c>
      <c r="M4841" t="s">
        <v>36</v>
      </c>
      <c r="N4841">
        <v>1</v>
      </c>
      <c r="O4841">
        <v>4</v>
      </c>
      <c r="P4841">
        <v>44</v>
      </c>
      <c r="Q4841">
        <v>1</v>
      </c>
      <c r="R4841" s="1">
        <v>39935</v>
      </c>
      <c r="S4841" t="s">
        <v>37</v>
      </c>
      <c r="T4841" t="str">
        <f t="shared" si="375"/>
        <v>Grade A</v>
      </c>
      <c r="U4841">
        <f t="shared" si="376"/>
        <v>1</v>
      </c>
      <c r="V4841" t="str">
        <f t="shared" si="377"/>
        <v>Senior</v>
      </c>
      <c r="W4841" t="str">
        <f t="shared" si="378"/>
        <v>Already Left</v>
      </c>
      <c r="X4841" t="str">
        <f t="shared" si="379"/>
        <v>Overpaid</v>
      </c>
    </row>
    <row r="4842" spans="1:24" x14ac:dyDescent="0.3">
      <c r="A4842" t="s">
        <v>4910</v>
      </c>
      <c r="B4842" t="s">
        <v>20</v>
      </c>
      <c r="C4842">
        <v>47</v>
      </c>
      <c r="D4842" t="s">
        <v>88</v>
      </c>
      <c r="E4842" t="s">
        <v>40</v>
      </c>
      <c r="F4842" t="s">
        <v>78</v>
      </c>
      <c r="G4842" t="s">
        <v>24</v>
      </c>
      <c r="H4842" t="s">
        <v>76</v>
      </c>
      <c r="I4842" t="s">
        <v>80</v>
      </c>
      <c r="J4842" t="s">
        <v>60</v>
      </c>
      <c r="K4842">
        <v>11</v>
      </c>
      <c r="L4842">
        <v>106395</v>
      </c>
      <c r="M4842" t="s">
        <v>51</v>
      </c>
      <c r="N4842">
        <v>1</v>
      </c>
      <c r="O4842">
        <v>3</v>
      </c>
      <c r="P4842">
        <v>50</v>
      </c>
      <c r="Q4842">
        <v>0</v>
      </c>
      <c r="R4842" s="1">
        <v>41188</v>
      </c>
      <c r="S4842" t="s">
        <v>37</v>
      </c>
      <c r="T4842" t="str">
        <f t="shared" si="375"/>
        <v>Grade A</v>
      </c>
      <c r="U4842">
        <f t="shared" si="376"/>
        <v>4</v>
      </c>
      <c r="V4842" t="str">
        <f t="shared" si="377"/>
        <v>Senior</v>
      </c>
      <c r="W4842" t="str">
        <f t="shared" si="378"/>
        <v>Already Left</v>
      </c>
      <c r="X4842" t="str">
        <f t="shared" si="379"/>
        <v>Competitive</v>
      </c>
    </row>
    <row r="4843" spans="1:24" x14ac:dyDescent="0.3">
      <c r="A4843" t="s">
        <v>4911</v>
      </c>
      <c r="B4843" t="s">
        <v>39</v>
      </c>
      <c r="C4843">
        <v>53</v>
      </c>
      <c r="D4843" t="s">
        <v>47</v>
      </c>
      <c r="E4843" t="s">
        <v>40</v>
      </c>
      <c r="F4843" t="s">
        <v>53</v>
      </c>
      <c r="G4843" t="s">
        <v>63</v>
      </c>
      <c r="H4843" t="s">
        <v>83</v>
      </c>
      <c r="I4843" t="s">
        <v>35</v>
      </c>
      <c r="J4843" t="s">
        <v>27</v>
      </c>
      <c r="K4843">
        <v>13</v>
      </c>
      <c r="L4843">
        <v>65339</v>
      </c>
      <c r="M4843" t="s">
        <v>28</v>
      </c>
      <c r="N4843">
        <v>3</v>
      </c>
      <c r="O4843">
        <v>2</v>
      </c>
      <c r="P4843">
        <v>77</v>
      </c>
      <c r="Q4843">
        <v>1</v>
      </c>
      <c r="R4843" s="1">
        <v>40265</v>
      </c>
      <c r="S4843" t="s">
        <v>29</v>
      </c>
      <c r="T4843" t="str">
        <f t="shared" si="375"/>
        <v>Grade B</v>
      </c>
      <c r="U4843">
        <f t="shared" si="376"/>
        <v>3</v>
      </c>
      <c r="V4843" t="str">
        <f t="shared" si="377"/>
        <v>Senior</v>
      </c>
      <c r="W4843" t="str">
        <f t="shared" si="378"/>
        <v>Medium Risk</v>
      </c>
      <c r="X4843" t="str">
        <f t="shared" si="379"/>
        <v>Competitive</v>
      </c>
    </row>
    <row r="4844" spans="1:24" x14ac:dyDescent="0.3">
      <c r="A4844" t="s">
        <v>4912</v>
      </c>
      <c r="B4844" t="s">
        <v>20</v>
      </c>
      <c r="C4844">
        <v>39</v>
      </c>
      <c r="D4844" t="s">
        <v>88</v>
      </c>
      <c r="E4844" t="s">
        <v>22</v>
      </c>
      <c r="F4844" t="s">
        <v>62</v>
      </c>
      <c r="G4844" t="s">
        <v>42</v>
      </c>
      <c r="H4844" t="s">
        <v>25</v>
      </c>
      <c r="I4844" t="s">
        <v>96</v>
      </c>
      <c r="J4844" t="s">
        <v>44</v>
      </c>
      <c r="K4844">
        <v>8</v>
      </c>
      <c r="L4844">
        <v>102715</v>
      </c>
      <c r="M4844" t="s">
        <v>28</v>
      </c>
      <c r="N4844">
        <v>3</v>
      </c>
      <c r="O4844">
        <v>4</v>
      </c>
      <c r="P4844">
        <v>47</v>
      </c>
      <c r="Q4844">
        <v>1</v>
      </c>
      <c r="R4844" s="1">
        <v>42277</v>
      </c>
      <c r="S4844" t="s">
        <v>37</v>
      </c>
      <c r="T4844" t="str">
        <f t="shared" si="375"/>
        <v>Grade A</v>
      </c>
      <c r="U4844">
        <f t="shared" si="376"/>
        <v>3</v>
      </c>
      <c r="V4844" t="str">
        <f t="shared" si="377"/>
        <v>Mid Level</v>
      </c>
      <c r="W4844" t="str">
        <f t="shared" si="378"/>
        <v>Already Left</v>
      </c>
      <c r="X4844" t="str">
        <f t="shared" si="379"/>
        <v>Competitive</v>
      </c>
    </row>
    <row r="4845" spans="1:24" x14ac:dyDescent="0.3">
      <c r="A4845" t="s">
        <v>4913</v>
      </c>
      <c r="B4845" t="s">
        <v>39</v>
      </c>
      <c r="C4845">
        <v>33</v>
      </c>
      <c r="D4845" t="s">
        <v>57</v>
      </c>
      <c r="E4845" t="s">
        <v>40</v>
      </c>
      <c r="F4845" t="s">
        <v>23</v>
      </c>
      <c r="G4845" t="s">
        <v>49</v>
      </c>
      <c r="H4845" t="s">
        <v>76</v>
      </c>
      <c r="I4845" t="s">
        <v>68</v>
      </c>
      <c r="J4845" t="s">
        <v>60</v>
      </c>
      <c r="K4845">
        <v>10</v>
      </c>
      <c r="L4845">
        <v>63855</v>
      </c>
      <c r="M4845" t="s">
        <v>45</v>
      </c>
      <c r="N4845">
        <v>1</v>
      </c>
      <c r="O4845">
        <v>4</v>
      </c>
      <c r="P4845">
        <v>50</v>
      </c>
      <c r="Q4845">
        <v>2</v>
      </c>
      <c r="R4845" s="1">
        <v>41508</v>
      </c>
      <c r="S4845" t="s">
        <v>29</v>
      </c>
      <c r="T4845" t="str">
        <f t="shared" si="375"/>
        <v>Grade B</v>
      </c>
      <c r="U4845">
        <f t="shared" si="376"/>
        <v>2</v>
      </c>
      <c r="V4845" t="str">
        <f t="shared" si="377"/>
        <v>Mid Level</v>
      </c>
      <c r="W4845" t="str">
        <f t="shared" si="378"/>
        <v>Medium Risk</v>
      </c>
      <c r="X4845" t="str">
        <f t="shared" si="379"/>
        <v>Fair</v>
      </c>
    </row>
    <row r="4846" spans="1:24" x14ac:dyDescent="0.3">
      <c r="A4846" t="s">
        <v>4914</v>
      </c>
      <c r="B4846" t="s">
        <v>39</v>
      </c>
      <c r="C4846">
        <v>36</v>
      </c>
      <c r="D4846" t="s">
        <v>57</v>
      </c>
      <c r="E4846" t="s">
        <v>48</v>
      </c>
      <c r="F4846" t="s">
        <v>78</v>
      </c>
      <c r="G4846" t="s">
        <v>66</v>
      </c>
      <c r="H4846" t="s">
        <v>67</v>
      </c>
      <c r="I4846" t="s">
        <v>72</v>
      </c>
      <c r="J4846" t="s">
        <v>73</v>
      </c>
      <c r="K4846">
        <v>11</v>
      </c>
      <c r="L4846">
        <v>55928</v>
      </c>
      <c r="M4846" t="s">
        <v>45</v>
      </c>
      <c r="N4846">
        <v>1</v>
      </c>
      <c r="O4846">
        <v>4</v>
      </c>
      <c r="P4846">
        <v>33</v>
      </c>
      <c r="Q4846">
        <v>2</v>
      </c>
      <c r="R4846" s="1">
        <v>41166</v>
      </c>
      <c r="S4846" t="s">
        <v>37</v>
      </c>
      <c r="T4846" t="str">
        <f t="shared" si="375"/>
        <v>Grade B</v>
      </c>
      <c r="U4846">
        <f t="shared" si="376"/>
        <v>2</v>
      </c>
      <c r="V4846" t="str">
        <f t="shared" si="377"/>
        <v>Senior</v>
      </c>
      <c r="W4846" t="str">
        <f t="shared" si="378"/>
        <v>Already Left</v>
      </c>
      <c r="X4846" t="str">
        <f t="shared" si="379"/>
        <v>Fair</v>
      </c>
    </row>
    <row r="4847" spans="1:24" x14ac:dyDescent="0.3">
      <c r="A4847" t="s">
        <v>4915</v>
      </c>
      <c r="B4847" t="s">
        <v>20</v>
      </c>
      <c r="C4847">
        <v>41</v>
      </c>
      <c r="D4847" t="s">
        <v>31</v>
      </c>
      <c r="E4847" t="s">
        <v>22</v>
      </c>
      <c r="F4847" t="s">
        <v>32</v>
      </c>
      <c r="G4847" t="s">
        <v>33</v>
      </c>
      <c r="H4847" t="s">
        <v>83</v>
      </c>
      <c r="I4847" t="s">
        <v>68</v>
      </c>
      <c r="J4847" t="s">
        <v>60</v>
      </c>
      <c r="K4847">
        <v>10</v>
      </c>
      <c r="L4847">
        <v>77123</v>
      </c>
      <c r="M4847" t="s">
        <v>51</v>
      </c>
      <c r="N4847">
        <v>1</v>
      </c>
      <c r="O4847">
        <v>3</v>
      </c>
      <c r="P4847">
        <v>55</v>
      </c>
      <c r="Q4847">
        <v>1</v>
      </c>
      <c r="R4847" s="1">
        <v>41282</v>
      </c>
      <c r="S4847" t="s">
        <v>29</v>
      </c>
      <c r="T4847" t="str">
        <f t="shared" si="375"/>
        <v>Grade B</v>
      </c>
      <c r="U4847">
        <f t="shared" si="376"/>
        <v>4</v>
      </c>
      <c r="V4847" t="str">
        <f t="shared" si="377"/>
        <v>Mid Level</v>
      </c>
      <c r="W4847" t="str">
        <f t="shared" si="378"/>
        <v>Low Risk</v>
      </c>
      <c r="X4847" t="str">
        <f t="shared" si="379"/>
        <v>Fair</v>
      </c>
    </row>
    <row r="4848" spans="1:24" x14ac:dyDescent="0.3">
      <c r="A4848" t="s">
        <v>4916</v>
      </c>
      <c r="B4848" t="s">
        <v>39</v>
      </c>
      <c r="C4848">
        <v>50</v>
      </c>
      <c r="D4848" t="s">
        <v>57</v>
      </c>
      <c r="E4848" t="s">
        <v>40</v>
      </c>
      <c r="F4848" t="s">
        <v>53</v>
      </c>
      <c r="G4848" t="s">
        <v>63</v>
      </c>
      <c r="H4848" t="s">
        <v>83</v>
      </c>
      <c r="I4848" t="s">
        <v>80</v>
      </c>
      <c r="J4848" t="s">
        <v>60</v>
      </c>
      <c r="K4848">
        <v>3</v>
      </c>
      <c r="L4848">
        <v>57114</v>
      </c>
      <c r="M4848" t="s">
        <v>45</v>
      </c>
      <c r="N4848">
        <v>1</v>
      </c>
      <c r="O4848">
        <v>2</v>
      </c>
      <c r="P4848">
        <v>25</v>
      </c>
      <c r="Q4848">
        <v>3</v>
      </c>
      <c r="R4848" s="1">
        <v>43932</v>
      </c>
      <c r="S4848" t="s">
        <v>29</v>
      </c>
      <c r="T4848" t="str">
        <f t="shared" si="375"/>
        <v>Grade B</v>
      </c>
      <c r="U4848">
        <f t="shared" si="376"/>
        <v>2</v>
      </c>
      <c r="V4848" t="str">
        <f t="shared" si="377"/>
        <v>Junior</v>
      </c>
      <c r="W4848" t="str">
        <f t="shared" si="378"/>
        <v>Medium Risk</v>
      </c>
      <c r="X4848" t="str">
        <f t="shared" si="379"/>
        <v>Fair</v>
      </c>
    </row>
    <row r="4849" spans="1:24" x14ac:dyDescent="0.3">
      <c r="A4849" t="s">
        <v>4917</v>
      </c>
      <c r="B4849" t="s">
        <v>39</v>
      </c>
      <c r="C4849">
        <v>32</v>
      </c>
      <c r="D4849" t="s">
        <v>57</v>
      </c>
      <c r="E4849" t="s">
        <v>48</v>
      </c>
      <c r="F4849" t="s">
        <v>32</v>
      </c>
      <c r="G4849" t="s">
        <v>58</v>
      </c>
      <c r="H4849" t="s">
        <v>34</v>
      </c>
      <c r="I4849" t="s">
        <v>43</v>
      </c>
      <c r="J4849" t="s">
        <v>44</v>
      </c>
      <c r="K4849">
        <v>5</v>
      </c>
      <c r="L4849">
        <v>85792</v>
      </c>
      <c r="M4849" t="s">
        <v>45</v>
      </c>
      <c r="N4849">
        <v>4</v>
      </c>
      <c r="O4849">
        <v>3</v>
      </c>
      <c r="P4849">
        <v>23</v>
      </c>
      <c r="Q4849">
        <v>1</v>
      </c>
      <c r="R4849" s="1">
        <v>43397</v>
      </c>
      <c r="S4849" t="s">
        <v>29</v>
      </c>
      <c r="T4849" t="str">
        <f t="shared" si="375"/>
        <v>Grade A</v>
      </c>
      <c r="U4849">
        <f t="shared" si="376"/>
        <v>2</v>
      </c>
      <c r="V4849" t="str">
        <f t="shared" si="377"/>
        <v>Junior</v>
      </c>
      <c r="W4849" t="str">
        <f t="shared" si="378"/>
        <v>Medium Risk</v>
      </c>
      <c r="X4849" t="str">
        <f t="shared" si="379"/>
        <v>Fair</v>
      </c>
    </row>
    <row r="4850" spans="1:24" x14ac:dyDescent="0.3">
      <c r="A4850" t="s">
        <v>4918</v>
      </c>
      <c r="B4850" t="s">
        <v>39</v>
      </c>
      <c r="C4850">
        <v>55</v>
      </c>
      <c r="D4850" t="s">
        <v>47</v>
      </c>
      <c r="E4850" t="s">
        <v>22</v>
      </c>
      <c r="F4850" t="s">
        <v>23</v>
      </c>
      <c r="G4850" t="s">
        <v>24</v>
      </c>
      <c r="H4850" t="s">
        <v>25</v>
      </c>
      <c r="I4850" t="s">
        <v>96</v>
      </c>
      <c r="J4850" t="s">
        <v>44</v>
      </c>
      <c r="K4850">
        <v>1</v>
      </c>
      <c r="L4850">
        <v>82824</v>
      </c>
      <c r="M4850" t="s">
        <v>36</v>
      </c>
      <c r="N4850">
        <v>1</v>
      </c>
      <c r="O4850">
        <v>1</v>
      </c>
      <c r="P4850">
        <v>14</v>
      </c>
      <c r="Q4850">
        <v>1</v>
      </c>
      <c r="R4850" s="1">
        <v>44917</v>
      </c>
      <c r="S4850" t="s">
        <v>29</v>
      </c>
      <c r="T4850" t="str">
        <f t="shared" si="375"/>
        <v>Grade A</v>
      </c>
      <c r="U4850">
        <f t="shared" si="376"/>
        <v>1</v>
      </c>
      <c r="V4850" t="str">
        <f t="shared" si="377"/>
        <v>New Joiner</v>
      </c>
      <c r="W4850" t="str">
        <f t="shared" si="378"/>
        <v>High Risk</v>
      </c>
      <c r="X4850" t="str">
        <f t="shared" si="379"/>
        <v>Overpaid</v>
      </c>
    </row>
    <row r="4851" spans="1:24" x14ac:dyDescent="0.3">
      <c r="A4851" t="s">
        <v>4919</v>
      </c>
      <c r="B4851" t="s">
        <v>39</v>
      </c>
      <c r="C4851">
        <v>29</v>
      </c>
      <c r="D4851" t="s">
        <v>21</v>
      </c>
      <c r="E4851" t="s">
        <v>22</v>
      </c>
      <c r="F4851" t="s">
        <v>23</v>
      </c>
      <c r="G4851" t="s">
        <v>58</v>
      </c>
      <c r="H4851" t="s">
        <v>83</v>
      </c>
      <c r="I4851" t="s">
        <v>54</v>
      </c>
      <c r="J4851" t="s">
        <v>27</v>
      </c>
      <c r="K4851">
        <v>1</v>
      </c>
      <c r="L4851">
        <v>78656</v>
      </c>
      <c r="M4851" t="s">
        <v>51</v>
      </c>
      <c r="N4851">
        <v>4</v>
      </c>
      <c r="O4851">
        <v>1</v>
      </c>
      <c r="P4851">
        <v>52</v>
      </c>
      <c r="Q4851">
        <v>0</v>
      </c>
      <c r="R4851" s="1">
        <v>44839</v>
      </c>
      <c r="S4851" t="s">
        <v>29</v>
      </c>
      <c r="T4851" t="str">
        <f t="shared" si="375"/>
        <v>Grade B</v>
      </c>
      <c r="U4851">
        <f t="shared" si="376"/>
        <v>4</v>
      </c>
      <c r="V4851" t="str">
        <f t="shared" si="377"/>
        <v>New Joiner</v>
      </c>
      <c r="W4851" t="str">
        <f t="shared" si="378"/>
        <v>Low Risk</v>
      </c>
      <c r="X4851" t="str">
        <f t="shared" si="379"/>
        <v>Fair</v>
      </c>
    </row>
    <row r="4852" spans="1:24" x14ac:dyDescent="0.3">
      <c r="A4852" t="s">
        <v>4920</v>
      </c>
      <c r="B4852" t="s">
        <v>20</v>
      </c>
      <c r="C4852">
        <v>33</v>
      </c>
      <c r="D4852" t="s">
        <v>31</v>
      </c>
      <c r="E4852" t="s">
        <v>22</v>
      </c>
      <c r="F4852" t="s">
        <v>41</v>
      </c>
      <c r="G4852" t="s">
        <v>66</v>
      </c>
      <c r="H4852" t="s">
        <v>76</v>
      </c>
      <c r="I4852" t="s">
        <v>80</v>
      </c>
      <c r="J4852" t="s">
        <v>60</v>
      </c>
      <c r="K4852">
        <v>7</v>
      </c>
      <c r="L4852">
        <v>48353</v>
      </c>
      <c r="M4852" t="s">
        <v>28</v>
      </c>
      <c r="N4852">
        <v>3</v>
      </c>
      <c r="O4852">
        <v>3</v>
      </c>
      <c r="P4852">
        <v>57</v>
      </c>
      <c r="Q4852">
        <v>1</v>
      </c>
      <c r="R4852" s="1">
        <v>42697</v>
      </c>
      <c r="S4852" t="s">
        <v>37</v>
      </c>
      <c r="T4852" t="str">
        <f t="shared" si="375"/>
        <v>Grade C</v>
      </c>
      <c r="U4852">
        <f t="shared" si="376"/>
        <v>3</v>
      </c>
      <c r="V4852" t="str">
        <f t="shared" si="377"/>
        <v>Mid Level</v>
      </c>
      <c r="W4852" t="str">
        <f t="shared" si="378"/>
        <v>Already Left</v>
      </c>
      <c r="X4852" t="str">
        <f t="shared" si="379"/>
        <v>Fair</v>
      </c>
    </row>
    <row r="4853" spans="1:24" x14ac:dyDescent="0.3">
      <c r="A4853" t="s">
        <v>4921</v>
      </c>
      <c r="B4853" t="s">
        <v>39</v>
      </c>
      <c r="C4853">
        <v>45</v>
      </c>
      <c r="D4853" t="s">
        <v>88</v>
      </c>
      <c r="E4853" t="s">
        <v>40</v>
      </c>
      <c r="F4853" t="s">
        <v>78</v>
      </c>
      <c r="G4853" t="s">
        <v>79</v>
      </c>
      <c r="H4853" t="s">
        <v>83</v>
      </c>
      <c r="I4853" t="s">
        <v>35</v>
      </c>
      <c r="J4853" t="s">
        <v>27</v>
      </c>
      <c r="K4853">
        <v>10</v>
      </c>
      <c r="L4853">
        <v>60398</v>
      </c>
      <c r="M4853" t="s">
        <v>36</v>
      </c>
      <c r="N4853">
        <v>2</v>
      </c>
      <c r="O4853">
        <v>2</v>
      </c>
      <c r="P4853">
        <v>76</v>
      </c>
      <c r="Q4853">
        <v>1</v>
      </c>
      <c r="R4853" s="1">
        <v>41553</v>
      </c>
      <c r="S4853" t="s">
        <v>37</v>
      </c>
      <c r="T4853" t="str">
        <f t="shared" si="375"/>
        <v>Grade B</v>
      </c>
      <c r="U4853">
        <f t="shared" si="376"/>
        <v>1</v>
      </c>
      <c r="V4853" t="str">
        <f t="shared" si="377"/>
        <v>Mid Level</v>
      </c>
      <c r="W4853" t="str">
        <f t="shared" si="378"/>
        <v>Already Left</v>
      </c>
      <c r="X4853" t="str">
        <f t="shared" si="379"/>
        <v>Fair</v>
      </c>
    </row>
    <row r="4854" spans="1:24" x14ac:dyDescent="0.3">
      <c r="A4854" t="s">
        <v>4922</v>
      </c>
      <c r="B4854" t="s">
        <v>39</v>
      </c>
      <c r="C4854">
        <v>38</v>
      </c>
      <c r="D4854" t="s">
        <v>47</v>
      </c>
      <c r="E4854" t="s">
        <v>48</v>
      </c>
      <c r="F4854" t="s">
        <v>41</v>
      </c>
      <c r="G4854" t="s">
        <v>42</v>
      </c>
      <c r="H4854" t="s">
        <v>25</v>
      </c>
      <c r="I4854" t="s">
        <v>96</v>
      </c>
      <c r="J4854" t="s">
        <v>44</v>
      </c>
      <c r="K4854">
        <v>6</v>
      </c>
      <c r="L4854">
        <v>105338</v>
      </c>
      <c r="M4854" t="s">
        <v>36</v>
      </c>
      <c r="N4854">
        <v>4</v>
      </c>
      <c r="O4854">
        <v>4</v>
      </c>
      <c r="P4854">
        <v>17</v>
      </c>
      <c r="Q4854">
        <v>2</v>
      </c>
      <c r="R4854" s="1">
        <v>42993</v>
      </c>
      <c r="S4854" t="s">
        <v>37</v>
      </c>
      <c r="T4854" t="str">
        <f t="shared" si="375"/>
        <v>Grade A</v>
      </c>
      <c r="U4854">
        <f t="shared" si="376"/>
        <v>1</v>
      </c>
      <c r="V4854" t="str">
        <f t="shared" si="377"/>
        <v>Mid Level</v>
      </c>
      <c r="W4854" t="str">
        <f t="shared" si="378"/>
        <v>Already Left</v>
      </c>
      <c r="X4854" t="str">
        <f t="shared" si="379"/>
        <v>Overpaid</v>
      </c>
    </row>
    <row r="4855" spans="1:24" x14ac:dyDescent="0.3">
      <c r="A4855" t="s">
        <v>4923</v>
      </c>
      <c r="B4855" t="s">
        <v>39</v>
      </c>
      <c r="C4855">
        <v>22</v>
      </c>
      <c r="D4855" t="s">
        <v>21</v>
      </c>
      <c r="E4855" t="s">
        <v>40</v>
      </c>
      <c r="F4855" t="s">
        <v>53</v>
      </c>
      <c r="G4855" t="s">
        <v>42</v>
      </c>
      <c r="H4855" t="s">
        <v>34</v>
      </c>
      <c r="I4855" t="s">
        <v>96</v>
      </c>
      <c r="J4855" t="s">
        <v>44</v>
      </c>
      <c r="K4855">
        <v>9</v>
      </c>
      <c r="L4855">
        <v>108039</v>
      </c>
      <c r="M4855" t="s">
        <v>45</v>
      </c>
      <c r="N4855">
        <v>3</v>
      </c>
      <c r="O4855">
        <v>2</v>
      </c>
      <c r="P4855">
        <v>22</v>
      </c>
      <c r="Q4855">
        <v>0</v>
      </c>
      <c r="R4855" s="1">
        <v>41995</v>
      </c>
      <c r="S4855" t="s">
        <v>29</v>
      </c>
      <c r="T4855" t="str">
        <f t="shared" si="375"/>
        <v>Grade A</v>
      </c>
      <c r="U4855">
        <f t="shared" si="376"/>
        <v>2</v>
      </c>
      <c r="V4855" t="str">
        <f t="shared" si="377"/>
        <v>Mid Level</v>
      </c>
      <c r="W4855" t="str">
        <f t="shared" si="378"/>
        <v>Medium Risk</v>
      </c>
      <c r="X4855" t="str">
        <f t="shared" si="379"/>
        <v>Fair</v>
      </c>
    </row>
    <row r="4856" spans="1:24" x14ac:dyDescent="0.3">
      <c r="A4856" t="s">
        <v>4924</v>
      </c>
      <c r="B4856" t="s">
        <v>20</v>
      </c>
      <c r="C4856">
        <v>37</v>
      </c>
      <c r="D4856" t="s">
        <v>21</v>
      </c>
      <c r="E4856" t="s">
        <v>22</v>
      </c>
      <c r="F4856" t="s">
        <v>75</v>
      </c>
      <c r="G4856" t="s">
        <v>58</v>
      </c>
      <c r="H4856" t="s">
        <v>83</v>
      </c>
      <c r="I4856" t="s">
        <v>26</v>
      </c>
      <c r="J4856" t="s">
        <v>27</v>
      </c>
      <c r="K4856">
        <v>12</v>
      </c>
      <c r="L4856">
        <v>113115</v>
      </c>
      <c r="M4856" t="s">
        <v>36</v>
      </c>
      <c r="N4856">
        <v>3</v>
      </c>
      <c r="O4856">
        <v>1</v>
      </c>
      <c r="P4856">
        <v>37</v>
      </c>
      <c r="Q4856">
        <v>2</v>
      </c>
      <c r="R4856" s="1">
        <v>40889</v>
      </c>
      <c r="S4856" t="s">
        <v>29</v>
      </c>
      <c r="T4856" t="str">
        <f t="shared" si="375"/>
        <v>Grade A</v>
      </c>
      <c r="U4856">
        <f t="shared" si="376"/>
        <v>1</v>
      </c>
      <c r="V4856" t="str">
        <f t="shared" si="377"/>
        <v>Senior</v>
      </c>
      <c r="W4856" t="str">
        <f t="shared" si="378"/>
        <v>Medium Risk</v>
      </c>
      <c r="X4856" t="str">
        <f t="shared" si="379"/>
        <v>Overpaid</v>
      </c>
    </row>
    <row r="4857" spans="1:24" x14ac:dyDescent="0.3">
      <c r="A4857" t="s">
        <v>4925</v>
      </c>
      <c r="B4857" t="s">
        <v>20</v>
      </c>
      <c r="C4857">
        <v>40</v>
      </c>
      <c r="D4857" t="s">
        <v>21</v>
      </c>
      <c r="E4857" t="s">
        <v>48</v>
      </c>
      <c r="F4857" t="s">
        <v>23</v>
      </c>
      <c r="G4857" t="s">
        <v>24</v>
      </c>
      <c r="H4857" t="s">
        <v>25</v>
      </c>
      <c r="I4857" t="s">
        <v>50</v>
      </c>
      <c r="J4857" t="s">
        <v>44</v>
      </c>
      <c r="K4857">
        <v>14</v>
      </c>
      <c r="L4857">
        <v>99712</v>
      </c>
      <c r="M4857" t="s">
        <v>45</v>
      </c>
      <c r="N4857">
        <v>1</v>
      </c>
      <c r="O4857">
        <v>1</v>
      </c>
      <c r="P4857">
        <v>40</v>
      </c>
      <c r="Q4857">
        <v>2</v>
      </c>
      <c r="R4857" s="1">
        <v>40003</v>
      </c>
      <c r="S4857" t="s">
        <v>29</v>
      </c>
      <c r="T4857" t="str">
        <f t="shared" si="375"/>
        <v>Grade A</v>
      </c>
      <c r="U4857">
        <f t="shared" si="376"/>
        <v>2</v>
      </c>
      <c r="V4857" t="str">
        <f t="shared" si="377"/>
        <v>Senior</v>
      </c>
      <c r="W4857" t="str">
        <f t="shared" si="378"/>
        <v>Medium Risk</v>
      </c>
      <c r="X4857" t="str">
        <f t="shared" si="379"/>
        <v>Fair</v>
      </c>
    </row>
    <row r="4858" spans="1:24" x14ac:dyDescent="0.3">
      <c r="A4858" t="s">
        <v>4926</v>
      </c>
      <c r="B4858" t="s">
        <v>39</v>
      </c>
      <c r="C4858">
        <v>42</v>
      </c>
      <c r="D4858" t="s">
        <v>47</v>
      </c>
      <c r="E4858" t="s">
        <v>48</v>
      </c>
      <c r="F4858" t="s">
        <v>41</v>
      </c>
      <c r="G4858" t="s">
        <v>42</v>
      </c>
      <c r="H4858" t="s">
        <v>25</v>
      </c>
      <c r="I4858" t="s">
        <v>68</v>
      </c>
      <c r="J4858" t="s">
        <v>60</v>
      </c>
      <c r="K4858">
        <v>11</v>
      </c>
      <c r="L4858">
        <v>121470</v>
      </c>
      <c r="M4858" t="s">
        <v>51</v>
      </c>
      <c r="N4858">
        <v>1</v>
      </c>
      <c r="O4858">
        <v>3</v>
      </c>
      <c r="P4858">
        <v>52</v>
      </c>
      <c r="Q4858">
        <v>3</v>
      </c>
      <c r="R4858" s="1">
        <v>40987</v>
      </c>
      <c r="S4858" t="s">
        <v>29</v>
      </c>
      <c r="T4858" t="str">
        <f t="shared" si="375"/>
        <v>Grade A</v>
      </c>
      <c r="U4858">
        <f t="shared" si="376"/>
        <v>4</v>
      </c>
      <c r="V4858" t="str">
        <f t="shared" si="377"/>
        <v>Senior</v>
      </c>
      <c r="W4858" t="str">
        <f t="shared" si="378"/>
        <v>Low Risk</v>
      </c>
      <c r="X4858" t="str">
        <f t="shared" si="379"/>
        <v>Competitive</v>
      </c>
    </row>
    <row r="4859" spans="1:24" x14ac:dyDescent="0.3">
      <c r="A4859" t="s">
        <v>4927</v>
      </c>
      <c r="B4859" t="s">
        <v>39</v>
      </c>
      <c r="C4859">
        <v>33</v>
      </c>
      <c r="D4859" t="s">
        <v>57</v>
      </c>
      <c r="E4859" t="s">
        <v>22</v>
      </c>
      <c r="F4859" t="s">
        <v>78</v>
      </c>
      <c r="G4859" t="s">
        <v>79</v>
      </c>
      <c r="H4859" t="s">
        <v>76</v>
      </c>
      <c r="I4859" t="s">
        <v>68</v>
      </c>
      <c r="J4859" t="s">
        <v>60</v>
      </c>
      <c r="K4859">
        <v>11</v>
      </c>
      <c r="L4859">
        <v>69098</v>
      </c>
      <c r="M4859" t="s">
        <v>45</v>
      </c>
      <c r="N4859">
        <v>2</v>
      </c>
      <c r="O4859">
        <v>4</v>
      </c>
      <c r="P4859">
        <v>28</v>
      </c>
      <c r="Q4859">
        <v>2</v>
      </c>
      <c r="R4859" s="1">
        <v>41061</v>
      </c>
      <c r="S4859" t="s">
        <v>37</v>
      </c>
      <c r="T4859" t="str">
        <f t="shared" si="375"/>
        <v>Grade B</v>
      </c>
      <c r="U4859">
        <f t="shared" si="376"/>
        <v>2</v>
      </c>
      <c r="V4859" t="str">
        <f t="shared" si="377"/>
        <v>Senior</v>
      </c>
      <c r="W4859" t="str">
        <f t="shared" si="378"/>
        <v>Already Left</v>
      </c>
      <c r="X4859" t="str">
        <f t="shared" si="379"/>
        <v>Fair</v>
      </c>
    </row>
    <row r="4860" spans="1:24" x14ac:dyDescent="0.3">
      <c r="A4860" t="s">
        <v>4928</v>
      </c>
      <c r="B4860" t="s">
        <v>39</v>
      </c>
      <c r="C4860">
        <v>31</v>
      </c>
      <c r="D4860" t="s">
        <v>88</v>
      </c>
      <c r="E4860" t="s">
        <v>48</v>
      </c>
      <c r="F4860" t="s">
        <v>62</v>
      </c>
      <c r="G4860" t="s">
        <v>49</v>
      </c>
      <c r="H4860" t="s">
        <v>83</v>
      </c>
      <c r="I4860" t="s">
        <v>59</v>
      </c>
      <c r="J4860" t="s">
        <v>60</v>
      </c>
      <c r="K4860">
        <v>8</v>
      </c>
      <c r="L4860">
        <v>74807</v>
      </c>
      <c r="M4860" t="s">
        <v>51</v>
      </c>
      <c r="N4860">
        <v>3</v>
      </c>
      <c r="O4860">
        <v>3</v>
      </c>
      <c r="P4860">
        <v>13</v>
      </c>
      <c r="Q4860">
        <v>2</v>
      </c>
      <c r="R4860" s="1">
        <v>42083</v>
      </c>
      <c r="S4860" t="s">
        <v>29</v>
      </c>
      <c r="T4860" t="str">
        <f t="shared" si="375"/>
        <v>Grade B</v>
      </c>
      <c r="U4860">
        <f t="shared" si="376"/>
        <v>4</v>
      </c>
      <c r="V4860" t="str">
        <f t="shared" si="377"/>
        <v>Mid Level</v>
      </c>
      <c r="W4860" t="str">
        <f t="shared" si="378"/>
        <v>Low Risk</v>
      </c>
      <c r="X4860" t="str">
        <f t="shared" si="379"/>
        <v>Fair</v>
      </c>
    </row>
    <row r="4861" spans="1:24" x14ac:dyDescent="0.3">
      <c r="A4861" t="s">
        <v>4929</v>
      </c>
      <c r="B4861" t="s">
        <v>20</v>
      </c>
      <c r="C4861">
        <v>23</v>
      </c>
      <c r="D4861" t="s">
        <v>21</v>
      </c>
      <c r="E4861" t="s">
        <v>48</v>
      </c>
      <c r="F4861" t="s">
        <v>62</v>
      </c>
      <c r="G4861" t="s">
        <v>24</v>
      </c>
      <c r="H4861" t="s">
        <v>76</v>
      </c>
      <c r="I4861" t="s">
        <v>72</v>
      </c>
      <c r="J4861" t="s">
        <v>73</v>
      </c>
      <c r="K4861">
        <v>11</v>
      </c>
      <c r="L4861">
        <v>89843</v>
      </c>
      <c r="M4861" t="s">
        <v>28</v>
      </c>
      <c r="N4861">
        <v>2</v>
      </c>
      <c r="O4861">
        <v>4</v>
      </c>
      <c r="P4861">
        <v>80</v>
      </c>
      <c r="Q4861">
        <v>3</v>
      </c>
      <c r="R4861" s="1">
        <v>41184</v>
      </c>
      <c r="S4861" t="s">
        <v>29</v>
      </c>
      <c r="T4861" t="str">
        <f t="shared" si="375"/>
        <v>Grade A</v>
      </c>
      <c r="U4861">
        <f t="shared" si="376"/>
        <v>3</v>
      </c>
      <c r="V4861" t="str">
        <f t="shared" si="377"/>
        <v>Senior</v>
      </c>
      <c r="W4861" t="str">
        <f t="shared" si="378"/>
        <v>Medium Risk</v>
      </c>
      <c r="X4861" t="str">
        <f t="shared" si="379"/>
        <v>Competitive</v>
      </c>
    </row>
    <row r="4862" spans="1:24" x14ac:dyDescent="0.3">
      <c r="A4862" t="s">
        <v>4930</v>
      </c>
      <c r="B4862" t="s">
        <v>20</v>
      </c>
      <c r="C4862">
        <v>53</v>
      </c>
      <c r="D4862" t="s">
        <v>88</v>
      </c>
      <c r="E4862" t="s">
        <v>40</v>
      </c>
      <c r="F4862" t="s">
        <v>23</v>
      </c>
      <c r="G4862" t="s">
        <v>33</v>
      </c>
      <c r="H4862" t="s">
        <v>34</v>
      </c>
      <c r="I4862" t="s">
        <v>26</v>
      </c>
      <c r="J4862" t="s">
        <v>27</v>
      </c>
      <c r="K4862">
        <v>5</v>
      </c>
      <c r="L4862">
        <v>73721</v>
      </c>
      <c r="M4862" t="s">
        <v>45</v>
      </c>
      <c r="N4862">
        <v>4</v>
      </c>
      <c r="O4862">
        <v>2</v>
      </c>
      <c r="P4862">
        <v>76</v>
      </c>
      <c r="Q4862">
        <v>3</v>
      </c>
      <c r="R4862" s="1">
        <v>43140</v>
      </c>
      <c r="S4862" t="s">
        <v>37</v>
      </c>
      <c r="T4862" t="str">
        <f t="shared" si="375"/>
        <v>Grade B</v>
      </c>
      <c r="U4862">
        <f t="shared" si="376"/>
        <v>2</v>
      </c>
      <c r="V4862" t="str">
        <f t="shared" si="377"/>
        <v>Junior</v>
      </c>
      <c r="W4862" t="str">
        <f t="shared" si="378"/>
        <v>Already Left</v>
      </c>
      <c r="X4862" t="str">
        <f t="shared" si="379"/>
        <v>Fair</v>
      </c>
    </row>
    <row r="4863" spans="1:24" x14ac:dyDescent="0.3">
      <c r="A4863" t="s">
        <v>4931</v>
      </c>
      <c r="B4863" t="s">
        <v>39</v>
      </c>
      <c r="C4863">
        <v>41</v>
      </c>
      <c r="D4863" t="s">
        <v>88</v>
      </c>
      <c r="E4863" t="s">
        <v>40</v>
      </c>
      <c r="F4863" t="s">
        <v>62</v>
      </c>
      <c r="G4863" t="s">
        <v>66</v>
      </c>
      <c r="H4863" t="s">
        <v>67</v>
      </c>
      <c r="I4863" t="s">
        <v>96</v>
      </c>
      <c r="J4863" t="s">
        <v>44</v>
      </c>
      <c r="K4863">
        <v>4</v>
      </c>
      <c r="L4863">
        <v>38089</v>
      </c>
      <c r="M4863" t="s">
        <v>28</v>
      </c>
      <c r="N4863">
        <v>4</v>
      </c>
      <c r="O4863">
        <v>2</v>
      </c>
      <c r="P4863">
        <v>55</v>
      </c>
      <c r="Q4863">
        <v>1</v>
      </c>
      <c r="R4863" s="1">
        <v>43548</v>
      </c>
      <c r="S4863" t="s">
        <v>29</v>
      </c>
      <c r="T4863" t="str">
        <f t="shared" si="375"/>
        <v>Grade C</v>
      </c>
      <c r="U4863">
        <f t="shared" si="376"/>
        <v>3</v>
      </c>
      <c r="V4863" t="str">
        <f t="shared" si="377"/>
        <v>Junior</v>
      </c>
      <c r="W4863" t="str">
        <f t="shared" si="378"/>
        <v>Medium Risk</v>
      </c>
      <c r="X4863" t="str">
        <f t="shared" si="379"/>
        <v>Fair</v>
      </c>
    </row>
    <row r="4864" spans="1:24" x14ac:dyDescent="0.3">
      <c r="A4864" t="s">
        <v>4932</v>
      </c>
      <c r="B4864" t="s">
        <v>20</v>
      </c>
      <c r="C4864">
        <v>35</v>
      </c>
      <c r="D4864" t="s">
        <v>21</v>
      </c>
      <c r="E4864" t="s">
        <v>40</v>
      </c>
      <c r="F4864" t="s">
        <v>65</v>
      </c>
      <c r="G4864" t="s">
        <v>49</v>
      </c>
      <c r="H4864" t="s">
        <v>34</v>
      </c>
      <c r="I4864" t="s">
        <v>72</v>
      </c>
      <c r="J4864" t="s">
        <v>73</v>
      </c>
      <c r="K4864">
        <v>14</v>
      </c>
      <c r="L4864">
        <v>71704</v>
      </c>
      <c r="M4864" t="s">
        <v>51</v>
      </c>
      <c r="N4864">
        <v>2</v>
      </c>
      <c r="O4864">
        <v>1</v>
      </c>
      <c r="P4864">
        <v>37</v>
      </c>
      <c r="Q4864">
        <v>2</v>
      </c>
      <c r="R4864" s="1">
        <v>40069</v>
      </c>
      <c r="S4864" t="s">
        <v>29</v>
      </c>
      <c r="T4864" t="str">
        <f t="shared" si="375"/>
        <v>Grade B</v>
      </c>
      <c r="U4864">
        <f t="shared" si="376"/>
        <v>4</v>
      </c>
      <c r="V4864" t="str">
        <f t="shared" si="377"/>
        <v>Senior</v>
      </c>
      <c r="W4864" t="str">
        <f t="shared" si="378"/>
        <v>Low Risk</v>
      </c>
      <c r="X4864" t="str">
        <f t="shared" si="379"/>
        <v>Fair</v>
      </c>
    </row>
    <row r="4865" spans="1:24" x14ac:dyDescent="0.3">
      <c r="A4865" t="s">
        <v>4933</v>
      </c>
      <c r="B4865" t="s">
        <v>20</v>
      </c>
      <c r="C4865">
        <v>37</v>
      </c>
      <c r="D4865" t="s">
        <v>21</v>
      </c>
      <c r="E4865" t="s">
        <v>40</v>
      </c>
      <c r="F4865" t="s">
        <v>41</v>
      </c>
      <c r="G4865" t="s">
        <v>33</v>
      </c>
      <c r="H4865" t="s">
        <v>25</v>
      </c>
      <c r="I4865" t="s">
        <v>68</v>
      </c>
      <c r="J4865" t="s">
        <v>60</v>
      </c>
      <c r="K4865">
        <v>11</v>
      </c>
      <c r="L4865">
        <v>83099</v>
      </c>
      <c r="M4865" t="s">
        <v>45</v>
      </c>
      <c r="N4865">
        <v>2</v>
      </c>
      <c r="O4865">
        <v>4</v>
      </c>
      <c r="P4865">
        <v>26</v>
      </c>
      <c r="Q4865">
        <v>0</v>
      </c>
      <c r="R4865" s="1">
        <v>41047</v>
      </c>
      <c r="S4865" t="s">
        <v>37</v>
      </c>
      <c r="T4865" t="str">
        <f t="shared" si="375"/>
        <v>Grade A</v>
      </c>
      <c r="U4865">
        <f t="shared" si="376"/>
        <v>2</v>
      </c>
      <c r="V4865" t="str">
        <f t="shared" si="377"/>
        <v>Senior</v>
      </c>
      <c r="W4865" t="str">
        <f t="shared" si="378"/>
        <v>Already Left</v>
      </c>
      <c r="X4865" t="str">
        <f t="shared" si="379"/>
        <v>Fair</v>
      </c>
    </row>
    <row r="4866" spans="1:24" x14ac:dyDescent="0.3">
      <c r="A4866" t="s">
        <v>4934</v>
      </c>
      <c r="B4866" t="s">
        <v>20</v>
      </c>
      <c r="C4866">
        <v>41</v>
      </c>
      <c r="D4866" t="s">
        <v>47</v>
      </c>
      <c r="E4866" t="s">
        <v>48</v>
      </c>
      <c r="F4866" t="s">
        <v>78</v>
      </c>
      <c r="G4866" t="s">
        <v>66</v>
      </c>
      <c r="H4866" t="s">
        <v>67</v>
      </c>
      <c r="I4866" t="s">
        <v>54</v>
      </c>
      <c r="J4866" t="s">
        <v>27</v>
      </c>
      <c r="K4866">
        <v>5</v>
      </c>
      <c r="L4866">
        <v>49806</v>
      </c>
      <c r="M4866" t="s">
        <v>51</v>
      </c>
      <c r="N4866">
        <v>4</v>
      </c>
      <c r="O4866">
        <v>4</v>
      </c>
      <c r="P4866">
        <v>10</v>
      </c>
      <c r="Q4866">
        <v>0</v>
      </c>
      <c r="R4866" s="1">
        <v>43249</v>
      </c>
      <c r="S4866" t="s">
        <v>29</v>
      </c>
      <c r="T4866" t="str">
        <f t="shared" ref="T4866:T4929" si="380">IF(L4866&gt;=80000,"Grade A",IF(L4866&gt;=50000,"Grade B",IF(L4866&gt;=35000,"Grade C","Grade D")))</f>
        <v>Grade C</v>
      </c>
      <c r="U4866">
        <f t="shared" ref="U4866:U4929" si="381">IF(M4866="Excellent",4,IF(M4866="Good",3,IF(M4866="Average",2,1)))</f>
        <v>4</v>
      </c>
      <c r="V4866" t="str">
        <f t="shared" ref="V4866:V4929" si="382">IF(K4866&lt;=2,"New Joiner",IF(K4866&lt;=5,"Junior",IF(K4866&lt;=10,"Mid Level","Senior")))</f>
        <v>Junior</v>
      </c>
      <c r="W4866" t="str">
        <f t="shared" ref="W4866:W4929" si="383">IF(S4866="Yes","Already Left",IF(AND(K4866&lt;=2,M4866="Poor"),"High Risk",IF(AND(K4866&lt;=5,M4866="Average"),"Medium Risk",IF(M4866="Excellent","Low Risk","Medium Risk"))))</f>
        <v>Low Risk</v>
      </c>
      <c r="X4866" t="str">
        <f t="shared" ref="X4866:X4929" si="384">IF(AND(L4866&gt;=80000,M4866="Excellent"),"Competitive",IF(AND(L4866&gt;=50000,M4866="Good"),"Competitive",IF(AND(L4866&lt;35000,M4866="Excellent"),"Underpaid",IF(AND(L4866&gt;=80000,M4866="Poor"),"Overpaid","Fair"))))</f>
        <v>Fair</v>
      </c>
    </row>
    <row r="4867" spans="1:24" x14ac:dyDescent="0.3">
      <c r="A4867" t="s">
        <v>4935</v>
      </c>
      <c r="B4867" t="s">
        <v>39</v>
      </c>
      <c r="C4867">
        <v>53</v>
      </c>
      <c r="D4867" t="s">
        <v>31</v>
      </c>
      <c r="E4867" t="s">
        <v>40</v>
      </c>
      <c r="F4867" t="s">
        <v>62</v>
      </c>
      <c r="G4867" t="s">
        <v>63</v>
      </c>
      <c r="H4867" t="s">
        <v>76</v>
      </c>
      <c r="I4867" t="s">
        <v>54</v>
      </c>
      <c r="J4867" t="s">
        <v>27</v>
      </c>
      <c r="K4867">
        <v>2</v>
      </c>
      <c r="L4867">
        <v>39016</v>
      </c>
      <c r="M4867" t="s">
        <v>51</v>
      </c>
      <c r="N4867">
        <v>3</v>
      </c>
      <c r="O4867">
        <v>2</v>
      </c>
      <c r="P4867">
        <v>55</v>
      </c>
      <c r="Q4867">
        <v>2</v>
      </c>
      <c r="R4867" s="1">
        <v>44504</v>
      </c>
      <c r="S4867" t="s">
        <v>29</v>
      </c>
      <c r="T4867" t="str">
        <f t="shared" si="380"/>
        <v>Grade C</v>
      </c>
      <c r="U4867">
        <f t="shared" si="381"/>
        <v>4</v>
      </c>
      <c r="V4867" t="str">
        <f t="shared" si="382"/>
        <v>New Joiner</v>
      </c>
      <c r="W4867" t="str">
        <f t="shared" si="383"/>
        <v>Low Risk</v>
      </c>
      <c r="X4867" t="str">
        <f t="shared" si="384"/>
        <v>Fair</v>
      </c>
    </row>
    <row r="4868" spans="1:24" x14ac:dyDescent="0.3">
      <c r="A4868" t="s">
        <v>4936</v>
      </c>
      <c r="B4868" t="s">
        <v>39</v>
      </c>
      <c r="C4868">
        <v>23</v>
      </c>
      <c r="D4868" t="s">
        <v>47</v>
      </c>
      <c r="E4868" t="s">
        <v>22</v>
      </c>
      <c r="F4868" t="s">
        <v>75</v>
      </c>
      <c r="G4868" t="s">
        <v>66</v>
      </c>
      <c r="H4868" t="s">
        <v>83</v>
      </c>
      <c r="I4868" t="s">
        <v>35</v>
      </c>
      <c r="J4868" t="s">
        <v>27</v>
      </c>
      <c r="K4868">
        <v>1</v>
      </c>
      <c r="L4868">
        <v>37696</v>
      </c>
      <c r="M4868" t="s">
        <v>45</v>
      </c>
      <c r="N4868">
        <v>4</v>
      </c>
      <c r="O4868">
        <v>1</v>
      </c>
      <c r="P4868">
        <v>54</v>
      </c>
      <c r="Q4868">
        <v>2</v>
      </c>
      <c r="R4868" s="1">
        <v>44880</v>
      </c>
      <c r="S4868" t="s">
        <v>37</v>
      </c>
      <c r="T4868" t="str">
        <f t="shared" si="380"/>
        <v>Grade C</v>
      </c>
      <c r="U4868">
        <f t="shared" si="381"/>
        <v>2</v>
      </c>
      <c r="V4868" t="str">
        <f t="shared" si="382"/>
        <v>New Joiner</v>
      </c>
      <c r="W4868" t="str">
        <f t="shared" si="383"/>
        <v>Already Left</v>
      </c>
      <c r="X4868" t="str">
        <f t="shared" si="384"/>
        <v>Fair</v>
      </c>
    </row>
    <row r="4869" spans="1:24" x14ac:dyDescent="0.3">
      <c r="A4869" t="s">
        <v>4937</v>
      </c>
      <c r="B4869" t="s">
        <v>20</v>
      </c>
      <c r="C4869">
        <v>28</v>
      </c>
      <c r="D4869" t="s">
        <v>47</v>
      </c>
      <c r="E4869" t="s">
        <v>22</v>
      </c>
      <c r="F4869" t="s">
        <v>41</v>
      </c>
      <c r="G4869" t="s">
        <v>33</v>
      </c>
      <c r="H4869" t="s">
        <v>83</v>
      </c>
      <c r="I4869" t="s">
        <v>96</v>
      </c>
      <c r="J4869" t="s">
        <v>44</v>
      </c>
      <c r="K4869">
        <v>8</v>
      </c>
      <c r="L4869">
        <v>67988</v>
      </c>
      <c r="M4869" t="s">
        <v>45</v>
      </c>
      <c r="N4869">
        <v>1</v>
      </c>
      <c r="O4869">
        <v>3</v>
      </c>
      <c r="P4869">
        <v>27</v>
      </c>
      <c r="Q4869">
        <v>3</v>
      </c>
      <c r="R4869" s="1">
        <v>42052</v>
      </c>
      <c r="S4869" t="s">
        <v>29</v>
      </c>
      <c r="T4869" t="str">
        <f t="shared" si="380"/>
        <v>Grade B</v>
      </c>
      <c r="U4869">
        <f t="shared" si="381"/>
        <v>2</v>
      </c>
      <c r="V4869" t="str">
        <f t="shared" si="382"/>
        <v>Mid Level</v>
      </c>
      <c r="W4869" t="str">
        <f t="shared" si="383"/>
        <v>Medium Risk</v>
      </c>
      <c r="X4869" t="str">
        <f t="shared" si="384"/>
        <v>Fair</v>
      </c>
    </row>
    <row r="4870" spans="1:24" x14ac:dyDescent="0.3">
      <c r="A4870" t="s">
        <v>4938</v>
      </c>
      <c r="B4870" t="s">
        <v>39</v>
      </c>
      <c r="C4870">
        <v>31</v>
      </c>
      <c r="D4870" t="s">
        <v>88</v>
      </c>
      <c r="E4870" t="s">
        <v>40</v>
      </c>
      <c r="F4870" t="s">
        <v>23</v>
      </c>
      <c r="G4870" t="s">
        <v>63</v>
      </c>
      <c r="H4870" t="s">
        <v>83</v>
      </c>
      <c r="I4870" t="s">
        <v>26</v>
      </c>
      <c r="J4870" t="s">
        <v>27</v>
      </c>
      <c r="K4870">
        <v>7</v>
      </c>
      <c r="L4870">
        <v>63125</v>
      </c>
      <c r="M4870" t="s">
        <v>28</v>
      </c>
      <c r="N4870">
        <v>4</v>
      </c>
      <c r="O4870">
        <v>1</v>
      </c>
      <c r="P4870">
        <v>54</v>
      </c>
      <c r="Q4870">
        <v>2</v>
      </c>
      <c r="R4870" s="1">
        <v>42515</v>
      </c>
      <c r="S4870" t="s">
        <v>37</v>
      </c>
      <c r="T4870" t="str">
        <f t="shared" si="380"/>
        <v>Grade B</v>
      </c>
      <c r="U4870">
        <f t="shared" si="381"/>
        <v>3</v>
      </c>
      <c r="V4870" t="str">
        <f t="shared" si="382"/>
        <v>Mid Level</v>
      </c>
      <c r="W4870" t="str">
        <f t="shared" si="383"/>
        <v>Already Left</v>
      </c>
      <c r="X4870" t="str">
        <f t="shared" si="384"/>
        <v>Competitive</v>
      </c>
    </row>
    <row r="4871" spans="1:24" x14ac:dyDescent="0.3">
      <c r="A4871" t="s">
        <v>4939</v>
      </c>
      <c r="B4871" t="s">
        <v>20</v>
      </c>
      <c r="C4871">
        <v>33</v>
      </c>
      <c r="D4871" t="s">
        <v>31</v>
      </c>
      <c r="E4871" t="s">
        <v>22</v>
      </c>
      <c r="F4871" t="s">
        <v>75</v>
      </c>
      <c r="G4871" t="s">
        <v>66</v>
      </c>
      <c r="H4871" t="s">
        <v>83</v>
      </c>
      <c r="I4871" t="s">
        <v>72</v>
      </c>
      <c r="J4871" t="s">
        <v>73</v>
      </c>
      <c r="K4871">
        <v>10</v>
      </c>
      <c r="L4871">
        <v>55623</v>
      </c>
      <c r="M4871" t="s">
        <v>36</v>
      </c>
      <c r="N4871">
        <v>4</v>
      </c>
      <c r="O4871">
        <v>3</v>
      </c>
      <c r="P4871">
        <v>17</v>
      </c>
      <c r="Q4871">
        <v>0</v>
      </c>
      <c r="R4871" s="1">
        <v>41587</v>
      </c>
      <c r="S4871" t="s">
        <v>29</v>
      </c>
      <c r="T4871" t="str">
        <f t="shared" si="380"/>
        <v>Grade B</v>
      </c>
      <c r="U4871">
        <f t="shared" si="381"/>
        <v>1</v>
      </c>
      <c r="V4871" t="str">
        <f t="shared" si="382"/>
        <v>Mid Level</v>
      </c>
      <c r="W4871" t="str">
        <f t="shared" si="383"/>
        <v>Medium Risk</v>
      </c>
      <c r="X4871" t="str">
        <f t="shared" si="384"/>
        <v>Fair</v>
      </c>
    </row>
    <row r="4872" spans="1:24" x14ac:dyDescent="0.3">
      <c r="A4872" t="s">
        <v>4940</v>
      </c>
      <c r="B4872" t="s">
        <v>39</v>
      </c>
      <c r="C4872">
        <v>46</v>
      </c>
      <c r="D4872" t="s">
        <v>47</v>
      </c>
      <c r="E4872" t="s">
        <v>22</v>
      </c>
      <c r="F4872" t="s">
        <v>75</v>
      </c>
      <c r="G4872" t="s">
        <v>63</v>
      </c>
      <c r="H4872" t="s">
        <v>83</v>
      </c>
      <c r="I4872" t="s">
        <v>26</v>
      </c>
      <c r="J4872" t="s">
        <v>27</v>
      </c>
      <c r="K4872">
        <v>4</v>
      </c>
      <c r="L4872">
        <v>51398</v>
      </c>
      <c r="M4872" t="s">
        <v>45</v>
      </c>
      <c r="N4872">
        <v>1</v>
      </c>
      <c r="O4872">
        <v>1</v>
      </c>
      <c r="P4872">
        <v>41</v>
      </c>
      <c r="Q4872">
        <v>0</v>
      </c>
      <c r="R4872" s="1">
        <v>43719</v>
      </c>
      <c r="S4872" t="s">
        <v>29</v>
      </c>
      <c r="T4872" t="str">
        <f t="shared" si="380"/>
        <v>Grade B</v>
      </c>
      <c r="U4872">
        <f t="shared" si="381"/>
        <v>2</v>
      </c>
      <c r="V4872" t="str">
        <f t="shared" si="382"/>
        <v>Junior</v>
      </c>
      <c r="W4872" t="str">
        <f t="shared" si="383"/>
        <v>Medium Risk</v>
      </c>
      <c r="X4872" t="str">
        <f t="shared" si="384"/>
        <v>Fair</v>
      </c>
    </row>
    <row r="4873" spans="1:24" x14ac:dyDescent="0.3">
      <c r="A4873" t="s">
        <v>4941</v>
      </c>
      <c r="B4873" t="s">
        <v>20</v>
      </c>
      <c r="C4873">
        <v>22</v>
      </c>
      <c r="D4873" t="s">
        <v>88</v>
      </c>
      <c r="E4873" t="s">
        <v>48</v>
      </c>
      <c r="F4873" t="s">
        <v>62</v>
      </c>
      <c r="G4873" t="s">
        <v>58</v>
      </c>
      <c r="H4873" t="s">
        <v>25</v>
      </c>
      <c r="I4873" t="s">
        <v>50</v>
      </c>
      <c r="J4873" t="s">
        <v>44</v>
      </c>
      <c r="K4873">
        <v>14</v>
      </c>
      <c r="L4873">
        <v>120260</v>
      </c>
      <c r="M4873" t="s">
        <v>28</v>
      </c>
      <c r="N4873">
        <v>2</v>
      </c>
      <c r="O4873">
        <v>1</v>
      </c>
      <c r="P4873">
        <v>21</v>
      </c>
      <c r="Q4873">
        <v>2</v>
      </c>
      <c r="R4873" s="1">
        <v>40079</v>
      </c>
      <c r="S4873" t="s">
        <v>29</v>
      </c>
      <c r="T4873" t="str">
        <f t="shared" si="380"/>
        <v>Grade A</v>
      </c>
      <c r="U4873">
        <f t="shared" si="381"/>
        <v>3</v>
      </c>
      <c r="V4873" t="str">
        <f t="shared" si="382"/>
        <v>Senior</v>
      </c>
      <c r="W4873" t="str">
        <f t="shared" si="383"/>
        <v>Medium Risk</v>
      </c>
      <c r="X4873" t="str">
        <f t="shared" si="384"/>
        <v>Competitive</v>
      </c>
    </row>
    <row r="4874" spans="1:24" x14ac:dyDescent="0.3">
      <c r="A4874" t="s">
        <v>4942</v>
      </c>
      <c r="B4874" t="s">
        <v>39</v>
      </c>
      <c r="C4874">
        <v>31</v>
      </c>
      <c r="D4874" t="s">
        <v>21</v>
      </c>
      <c r="E4874" t="s">
        <v>40</v>
      </c>
      <c r="F4874" t="s">
        <v>75</v>
      </c>
      <c r="G4874" t="s">
        <v>63</v>
      </c>
      <c r="H4874" t="s">
        <v>67</v>
      </c>
      <c r="I4874" t="s">
        <v>54</v>
      </c>
      <c r="J4874" t="s">
        <v>27</v>
      </c>
      <c r="K4874">
        <v>8</v>
      </c>
      <c r="L4874">
        <v>68754</v>
      </c>
      <c r="M4874" t="s">
        <v>36</v>
      </c>
      <c r="N4874">
        <v>1</v>
      </c>
      <c r="O4874">
        <v>4</v>
      </c>
      <c r="P4874">
        <v>16</v>
      </c>
      <c r="Q4874">
        <v>3</v>
      </c>
      <c r="R4874" s="1">
        <v>42232</v>
      </c>
      <c r="S4874" t="s">
        <v>37</v>
      </c>
      <c r="T4874" t="str">
        <f t="shared" si="380"/>
        <v>Grade B</v>
      </c>
      <c r="U4874">
        <f t="shared" si="381"/>
        <v>1</v>
      </c>
      <c r="V4874" t="str">
        <f t="shared" si="382"/>
        <v>Mid Level</v>
      </c>
      <c r="W4874" t="str">
        <f t="shared" si="383"/>
        <v>Already Left</v>
      </c>
      <c r="X4874" t="str">
        <f t="shared" si="384"/>
        <v>Fair</v>
      </c>
    </row>
    <row r="4875" spans="1:24" x14ac:dyDescent="0.3">
      <c r="A4875" t="s">
        <v>4943</v>
      </c>
      <c r="B4875" t="s">
        <v>39</v>
      </c>
      <c r="C4875">
        <v>31</v>
      </c>
      <c r="D4875" t="s">
        <v>21</v>
      </c>
      <c r="E4875" t="s">
        <v>22</v>
      </c>
      <c r="F4875" t="s">
        <v>53</v>
      </c>
      <c r="G4875" t="s">
        <v>42</v>
      </c>
      <c r="H4875" t="s">
        <v>83</v>
      </c>
      <c r="I4875" t="s">
        <v>68</v>
      </c>
      <c r="J4875" t="s">
        <v>60</v>
      </c>
      <c r="K4875">
        <v>9</v>
      </c>
      <c r="L4875">
        <v>107141</v>
      </c>
      <c r="M4875" t="s">
        <v>36</v>
      </c>
      <c r="N4875">
        <v>2</v>
      </c>
      <c r="O4875">
        <v>1</v>
      </c>
      <c r="P4875">
        <v>30</v>
      </c>
      <c r="Q4875">
        <v>0</v>
      </c>
      <c r="R4875" s="1">
        <v>42006</v>
      </c>
      <c r="S4875" t="s">
        <v>29</v>
      </c>
      <c r="T4875" t="str">
        <f t="shared" si="380"/>
        <v>Grade A</v>
      </c>
      <c r="U4875">
        <f t="shared" si="381"/>
        <v>1</v>
      </c>
      <c r="V4875" t="str">
        <f t="shared" si="382"/>
        <v>Mid Level</v>
      </c>
      <c r="W4875" t="str">
        <f t="shared" si="383"/>
        <v>Medium Risk</v>
      </c>
      <c r="X4875" t="str">
        <f t="shared" si="384"/>
        <v>Overpaid</v>
      </c>
    </row>
    <row r="4876" spans="1:24" x14ac:dyDescent="0.3">
      <c r="A4876" t="s">
        <v>4944</v>
      </c>
      <c r="B4876" t="s">
        <v>39</v>
      </c>
      <c r="C4876">
        <v>29</v>
      </c>
      <c r="D4876" t="s">
        <v>47</v>
      </c>
      <c r="E4876" t="s">
        <v>22</v>
      </c>
      <c r="F4876" t="s">
        <v>62</v>
      </c>
      <c r="G4876" t="s">
        <v>42</v>
      </c>
      <c r="H4876" t="s">
        <v>67</v>
      </c>
      <c r="I4876" t="s">
        <v>72</v>
      </c>
      <c r="J4876" t="s">
        <v>73</v>
      </c>
      <c r="K4876">
        <v>10</v>
      </c>
      <c r="L4876">
        <v>109995</v>
      </c>
      <c r="M4876" t="s">
        <v>45</v>
      </c>
      <c r="N4876">
        <v>1</v>
      </c>
      <c r="O4876">
        <v>3</v>
      </c>
      <c r="P4876">
        <v>73</v>
      </c>
      <c r="Q4876">
        <v>0</v>
      </c>
      <c r="R4876" s="1">
        <v>41516</v>
      </c>
      <c r="S4876" t="s">
        <v>29</v>
      </c>
      <c r="T4876" t="str">
        <f t="shared" si="380"/>
        <v>Grade A</v>
      </c>
      <c r="U4876">
        <f t="shared" si="381"/>
        <v>2</v>
      </c>
      <c r="V4876" t="str">
        <f t="shared" si="382"/>
        <v>Mid Level</v>
      </c>
      <c r="W4876" t="str">
        <f t="shared" si="383"/>
        <v>Medium Risk</v>
      </c>
      <c r="X4876" t="str">
        <f t="shared" si="384"/>
        <v>Fair</v>
      </c>
    </row>
    <row r="4877" spans="1:24" x14ac:dyDescent="0.3">
      <c r="A4877" t="s">
        <v>4945</v>
      </c>
      <c r="B4877" t="s">
        <v>39</v>
      </c>
      <c r="C4877">
        <v>42</v>
      </c>
      <c r="D4877" t="s">
        <v>57</v>
      </c>
      <c r="E4877" t="s">
        <v>48</v>
      </c>
      <c r="F4877" t="s">
        <v>53</v>
      </c>
      <c r="G4877" t="s">
        <v>24</v>
      </c>
      <c r="H4877" t="s">
        <v>25</v>
      </c>
      <c r="I4877" t="s">
        <v>26</v>
      </c>
      <c r="J4877" t="s">
        <v>27</v>
      </c>
      <c r="K4877">
        <v>15</v>
      </c>
      <c r="L4877">
        <v>101470</v>
      </c>
      <c r="M4877" t="s">
        <v>45</v>
      </c>
      <c r="N4877">
        <v>2</v>
      </c>
      <c r="O4877">
        <v>2</v>
      </c>
      <c r="P4877">
        <v>31</v>
      </c>
      <c r="Q4877">
        <v>0</v>
      </c>
      <c r="R4877" s="1">
        <v>39814</v>
      </c>
      <c r="S4877" t="s">
        <v>29</v>
      </c>
      <c r="T4877" t="str">
        <f t="shared" si="380"/>
        <v>Grade A</v>
      </c>
      <c r="U4877">
        <f t="shared" si="381"/>
        <v>2</v>
      </c>
      <c r="V4877" t="str">
        <f t="shared" si="382"/>
        <v>Senior</v>
      </c>
      <c r="W4877" t="str">
        <f t="shared" si="383"/>
        <v>Medium Risk</v>
      </c>
      <c r="X4877" t="str">
        <f t="shared" si="384"/>
        <v>Fair</v>
      </c>
    </row>
    <row r="4878" spans="1:24" x14ac:dyDescent="0.3">
      <c r="A4878" t="s">
        <v>4946</v>
      </c>
      <c r="B4878" t="s">
        <v>20</v>
      </c>
      <c r="C4878">
        <v>41</v>
      </c>
      <c r="D4878" t="s">
        <v>21</v>
      </c>
      <c r="E4878" t="s">
        <v>40</v>
      </c>
      <c r="F4878" t="s">
        <v>41</v>
      </c>
      <c r="G4878" t="s">
        <v>24</v>
      </c>
      <c r="H4878" t="s">
        <v>67</v>
      </c>
      <c r="I4878" t="s">
        <v>96</v>
      </c>
      <c r="J4878" t="s">
        <v>44</v>
      </c>
      <c r="K4878">
        <v>12</v>
      </c>
      <c r="L4878">
        <v>90720</v>
      </c>
      <c r="M4878" t="s">
        <v>28</v>
      </c>
      <c r="N4878">
        <v>2</v>
      </c>
      <c r="O4878">
        <v>3</v>
      </c>
      <c r="P4878">
        <v>39</v>
      </c>
      <c r="Q4878">
        <v>3</v>
      </c>
      <c r="R4878" s="1">
        <v>40747</v>
      </c>
      <c r="S4878" t="s">
        <v>29</v>
      </c>
      <c r="T4878" t="str">
        <f t="shared" si="380"/>
        <v>Grade A</v>
      </c>
      <c r="U4878">
        <f t="shared" si="381"/>
        <v>3</v>
      </c>
      <c r="V4878" t="str">
        <f t="shared" si="382"/>
        <v>Senior</v>
      </c>
      <c r="W4878" t="str">
        <f t="shared" si="383"/>
        <v>Medium Risk</v>
      </c>
      <c r="X4878" t="str">
        <f t="shared" si="384"/>
        <v>Competitive</v>
      </c>
    </row>
    <row r="4879" spans="1:24" x14ac:dyDescent="0.3">
      <c r="A4879" t="s">
        <v>4947</v>
      </c>
      <c r="B4879" t="s">
        <v>20</v>
      </c>
      <c r="C4879">
        <v>45</v>
      </c>
      <c r="D4879" t="s">
        <v>57</v>
      </c>
      <c r="E4879" t="s">
        <v>40</v>
      </c>
      <c r="F4879" t="s">
        <v>75</v>
      </c>
      <c r="G4879" t="s">
        <v>58</v>
      </c>
      <c r="H4879" t="s">
        <v>34</v>
      </c>
      <c r="I4879" t="s">
        <v>35</v>
      </c>
      <c r="J4879" t="s">
        <v>27</v>
      </c>
      <c r="K4879">
        <v>5</v>
      </c>
      <c r="L4879">
        <v>92042</v>
      </c>
      <c r="M4879" t="s">
        <v>51</v>
      </c>
      <c r="N4879">
        <v>2</v>
      </c>
      <c r="O4879">
        <v>1</v>
      </c>
      <c r="P4879">
        <v>13</v>
      </c>
      <c r="Q4879">
        <v>0</v>
      </c>
      <c r="R4879" s="1">
        <v>43267</v>
      </c>
      <c r="S4879" t="s">
        <v>37</v>
      </c>
      <c r="T4879" t="str">
        <f t="shared" si="380"/>
        <v>Grade A</v>
      </c>
      <c r="U4879">
        <f t="shared" si="381"/>
        <v>4</v>
      </c>
      <c r="V4879" t="str">
        <f t="shared" si="382"/>
        <v>Junior</v>
      </c>
      <c r="W4879" t="str">
        <f t="shared" si="383"/>
        <v>Already Left</v>
      </c>
      <c r="X4879" t="str">
        <f t="shared" si="384"/>
        <v>Competitive</v>
      </c>
    </row>
    <row r="4880" spans="1:24" x14ac:dyDescent="0.3">
      <c r="A4880" t="s">
        <v>4948</v>
      </c>
      <c r="B4880" t="s">
        <v>20</v>
      </c>
      <c r="C4880">
        <v>33</v>
      </c>
      <c r="D4880" t="s">
        <v>88</v>
      </c>
      <c r="E4880" t="s">
        <v>22</v>
      </c>
      <c r="F4880" t="s">
        <v>78</v>
      </c>
      <c r="G4880" t="s">
        <v>33</v>
      </c>
      <c r="H4880" t="s">
        <v>25</v>
      </c>
      <c r="I4880" t="s">
        <v>59</v>
      </c>
      <c r="J4880" t="s">
        <v>60</v>
      </c>
      <c r="K4880">
        <v>7</v>
      </c>
      <c r="L4880">
        <v>76597</v>
      </c>
      <c r="M4880" t="s">
        <v>45</v>
      </c>
      <c r="N4880">
        <v>2</v>
      </c>
      <c r="O4880">
        <v>2</v>
      </c>
      <c r="P4880">
        <v>45</v>
      </c>
      <c r="Q4880">
        <v>2</v>
      </c>
      <c r="R4880" s="1">
        <v>42618</v>
      </c>
      <c r="S4880" t="s">
        <v>37</v>
      </c>
      <c r="T4880" t="str">
        <f t="shared" si="380"/>
        <v>Grade B</v>
      </c>
      <c r="U4880">
        <f t="shared" si="381"/>
        <v>2</v>
      </c>
      <c r="V4880" t="str">
        <f t="shared" si="382"/>
        <v>Mid Level</v>
      </c>
      <c r="W4880" t="str">
        <f t="shared" si="383"/>
        <v>Already Left</v>
      </c>
      <c r="X4880" t="str">
        <f t="shared" si="384"/>
        <v>Fair</v>
      </c>
    </row>
    <row r="4881" spans="1:24" x14ac:dyDescent="0.3">
      <c r="A4881" t="s">
        <v>4949</v>
      </c>
      <c r="B4881" t="s">
        <v>20</v>
      </c>
      <c r="C4881">
        <v>27</v>
      </c>
      <c r="D4881" t="s">
        <v>47</v>
      </c>
      <c r="E4881" t="s">
        <v>40</v>
      </c>
      <c r="F4881" t="s">
        <v>23</v>
      </c>
      <c r="G4881" t="s">
        <v>42</v>
      </c>
      <c r="H4881" t="s">
        <v>25</v>
      </c>
      <c r="I4881" t="s">
        <v>59</v>
      </c>
      <c r="J4881" t="s">
        <v>60</v>
      </c>
      <c r="K4881">
        <v>2</v>
      </c>
      <c r="L4881">
        <v>94638</v>
      </c>
      <c r="M4881" t="s">
        <v>36</v>
      </c>
      <c r="N4881">
        <v>3</v>
      </c>
      <c r="O4881">
        <v>3</v>
      </c>
      <c r="P4881">
        <v>22</v>
      </c>
      <c r="Q4881">
        <v>2</v>
      </c>
      <c r="R4881" s="1">
        <v>44557</v>
      </c>
      <c r="S4881" t="s">
        <v>37</v>
      </c>
      <c r="T4881" t="str">
        <f t="shared" si="380"/>
        <v>Grade A</v>
      </c>
      <c r="U4881">
        <f t="shared" si="381"/>
        <v>1</v>
      </c>
      <c r="V4881" t="str">
        <f t="shared" si="382"/>
        <v>New Joiner</v>
      </c>
      <c r="W4881" t="str">
        <f t="shared" si="383"/>
        <v>Already Left</v>
      </c>
      <c r="X4881" t="str">
        <f t="shared" si="384"/>
        <v>Overpaid</v>
      </c>
    </row>
    <row r="4882" spans="1:24" x14ac:dyDescent="0.3">
      <c r="A4882" t="s">
        <v>4950</v>
      </c>
      <c r="B4882" t="s">
        <v>20</v>
      </c>
      <c r="C4882">
        <v>31</v>
      </c>
      <c r="D4882" t="s">
        <v>31</v>
      </c>
      <c r="E4882" t="s">
        <v>48</v>
      </c>
      <c r="F4882" t="s">
        <v>41</v>
      </c>
      <c r="G4882" t="s">
        <v>79</v>
      </c>
      <c r="H4882" t="s">
        <v>76</v>
      </c>
      <c r="I4882" t="s">
        <v>54</v>
      </c>
      <c r="J4882" t="s">
        <v>27</v>
      </c>
      <c r="K4882">
        <v>11</v>
      </c>
      <c r="L4882">
        <v>54592</v>
      </c>
      <c r="M4882" t="s">
        <v>51</v>
      </c>
      <c r="N4882">
        <v>1</v>
      </c>
      <c r="O4882">
        <v>4</v>
      </c>
      <c r="P4882">
        <v>32</v>
      </c>
      <c r="Q4882">
        <v>1</v>
      </c>
      <c r="R4882" s="1">
        <v>41007</v>
      </c>
      <c r="S4882" t="s">
        <v>29</v>
      </c>
      <c r="T4882" t="str">
        <f t="shared" si="380"/>
        <v>Grade B</v>
      </c>
      <c r="U4882">
        <f t="shared" si="381"/>
        <v>4</v>
      </c>
      <c r="V4882" t="str">
        <f t="shared" si="382"/>
        <v>Senior</v>
      </c>
      <c r="W4882" t="str">
        <f t="shared" si="383"/>
        <v>Low Risk</v>
      </c>
      <c r="X4882" t="str">
        <f t="shared" si="384"/>
        <v>Fair</v>
      </c>
    </row>
    <row r="4883" spans="1:24" x14ac:dyDescent="0.3">
      <c r="A4883" t="s">
        <v>4951</v>
      </c>
      <c r="B4883" t="s">
        <v>39</v>
      </c>
      <c r="C4883">
        <v>52</v>
      </c>
      <c r="D4883" t="s">
        <v>57</v>
      </c>
      <c r="E4883" t="s">
        <v>40</v>
      </c>
      <c r="F4883" t="s">
        <v>75</v>
      </c>
      <c r="G4883" t="s">
        <v>66</v>
      </c>
      <c r="H4883" t="s">
        <v>34</v>
      </c>
      <c r="I4883" t="s">
        <v>68</v>
      </c>
      <c r="J4883" t="s">
        <v>60</v>
      </c>
      <c r="K4883">
        <v>3</v>
      </c>
      <c r="L4883">
        <v>33930</v>
      </c>
      <c r="M4883" t="s">
        <v>36</v>
      </c>
      <c r="N4883">
        <v>1</v>
      </c>
      <c r="O4883">
        <v>3</v>
      </c>
      <c r="P4883">
        <v>56</v>
      </c>
      <c r="Q4883">
        <v>2</v>
      </c>
      <c r="R4883" s="1">
        <v>43953</v>
      </c>
      <c r="S4883" t="s">
        <v>37</v>
      </c>
      <c r="T4883" t="str">
        <f t="shared" si="380"/>
        <v>Grade D</v>
      </c>
      <c r="U4883">
        <f t="shared" si="381"/>
        <v>1</v>
      </c>
      <c r="V4883" t="str">
        <f t="shared" si="382"/>
        <v>Junior</v>
      </c>
      <c r="W4883" t="str">
        <f t="shared" si="383"/>
        <v>Already Left</v>
      </c>
      <c r="X4883" t="str">
        <f t="shared" si="384"/>
        <v>Fair</v>
      </c>
    </row>
    <row r="4884" spans="1:24" x14ac:dyDescent="0.3">
      <c r="A4884" t="s">
        <v>4952</v>
      </c>
      <c r="B4884" t="s">
        <v>20</v>
      </c>
      <c r="C4884">
        <v>41</v>
      </c>
      <c r="D4884" t="s">
        <v>57</v>
      </c>
      <c r="E4884" t="s">
        <v>40</v>
      </c>
      <c r="F4884" t="s">
        <v>23</v>
      </c>
      <c r="G4884" t="s">
        <v>49</v>
      </c>
      <c r="H4884" t="s">
        <v>34</v>
      </c>
      <c r="I4884" t="s">
        <v>54</v>
      </c>
      <c r="J4884" t="s">
        <v>27</v>
      </c>
      <c r="K4884">
        <v>11</v>
      </c>
      <c r="L4884">
        <v>65524</v>
      </c>
      <c r="M4884" t="s">
        <v>45</v>
      </c>
      <c r="N4884">
        <v>3</v>
      </c>
      <c r="O4884">
        <v>2</v>
      </c>
      <c r="P4884">
        <v>17</v>
      </c>
      <c r="Q4884">
        <v>3</v>
      </c>
      <c r="R4884" s="1">
        <v>41167</v>
      </c>
      <c r="S4884" t="s">
        <v>37</v>
      </c>
      <c r="T4884" t="str">
        <f t="shared" si="380"/>
        <v>Grade B</v>
      </c>
      <c r="U4884">
        <f t="shared" si="381"/>
        <v>2</v>
      </c>
      <c r="V4884" t="str">
        <f t="shared" si="382"/>
        <v>Senior</v>
      </c>
      <c r="W4884" t="str">
        <f t="shared" si="383"/>
        <v>Already Left</v>
      </c>
      <c r="X4884" t="str">
        <f t="shared" si="384"/>
        <v>Fair</v>
      </c>
    </row>
    <row r="4885" spans="1:24" x14ac:dyDescent="0.3">
      <c r="A4885" t="s">
        <v>4953</v>
      </c>
      <c r="B4885" t="s">
        <v>39</v>
      </c>
      <c r="C4885">
        <v>26</v>
      </c>
      <c r="D4885" t="s">
        <v>47</v>
      </c>
      <c r="E4885" t="s">
        <v>22</v>
      </c>
      <c r="F4885" t="s">
        <v>53</v>
      </c>
      <c r="G4885" t="s">
        <v>63</v>
      </c>
      <c r="H4885" t="s">
        <v>83</v>
      </c>
      <c r="I4885" t="s">
        <v>80</v>
      </c>
      <c r="J4885" t="s">
        <v>60</v>
      </c>
      <c r="K4885">
        <v>13</v>
      </c>
      <c r="L4885">
        <v>77461</v>
      </c>
      <c r="M4885" t="s">
        <v>36</v>
      </c>
      <c r="N4885">
        <v>4</v>
      </c>
      <c r="O4885">
        <v>3</v>
      </c>
      <c r="P4885">
        <v>21</v>
      </c>
      <c r="Q4885">
        <v>0</v>
      </c>
      <c r="R4885" s="1">
        <v>40308</v>
      </c>
      <c r="S4885" t="s">
        <v>37</v>
      </c>
      <c r="T4885" t="str">
        <f t="shared" si="380"/>
        <v>Grade B</v>
      </c>
      <c r="U4885">
        <f t="shared" si="381"/>
        <v>1</v>
      </c>
      <c r="V4885" t="str">
        <f t="shared" si="382"/>
        <v>Senior</v>
      </c>
      <c r="W4885" t="str">
        <f t="shared" si="383"/>
        <v>Already Left</v>
      </c>
      <c r="X4885" t="str">
        <f t="shared" si="384"/>
        <v>Fair</v>
      </c>
    </row>
    <row r="4886" spans="1:24" x14ac:dyDescent="0.3">
      <c r="A4886" t="s">
        <v>4954</v>
      </c>
      <c r="B4886" t="s">
        <v>39</v>
      </c>
      <c r="C4886">
        <v>34</v>
      </c>
      <c r="D4886" t="s">
        <v>21</v>
      </c>
      <c r="E4886" t="s">
        <v>48</v>
      </c>
      <c r="F4886" t="s">
        <v>53</v>
      </c>
      <c r="G4886" t="s">
        <v>24</v>
      </c>
      <c r="H4886" t="s">
        <v>34</v>
      </c>
      <c r="I4886" t="s">
        <v>43</v>
      </c>
      <c r="J4886" t="s">
        <v>44</v>
      </c>
      <c r="K4886">
        <v>5</v>
      </c>
      <c r="L4886">
        <v>75853</v>
      </c>
      <c r="M4886" t="s">
        <v>45</v>
      </c>
      <c r="N4886">
        <v>3</v>
      </c>
      <c r="O4886">
        <v>4</v>
      </c>
      <c r="P4886">
        <v>23</v>
      </c>
      <c r="Q4886">
        <v>1</v>
      </c>
      <c r="R4886" s="1">
        <v>43379</v>
      </c>
      <c r="S4886" t="s">
        <v>29</v>
      </c>
      <c r="T4886" t="str">
        <f t="shared" si="380"/>
        <v>Grade B</v>
      </c>
      <c r="U4886">
        <f t="shared" si="381"/>
        <v>2</v>
      </c>
      <c r="V4886" t="str">
        <f t="shared" si="382"/>
        <v>Junior</v>
      </c>
      <c r="W4886" t="str">
        <f t="shared" si="383"/>
        <v>Medium Risk</v>
      </c>
      <c r="X4886" t="str">
        <f t="shared" si="384"/>
        <v>Fair</v>
      </c>
    </row>
    <row r="4887" spans="1:24" x14ac:dyDescent="0.3">
      <c r="A4887" t="s">
        <v>4955</v>
      </c>
      <c r="B4887" t="s">
        <v>39</v>
      </c>
      <c r="C4887">
        <v>26</v>
      </c>
      <c r="D4887" t="s">
        <v>47</v>
      </c>
      <c r="E4887" t="s">
        <v>48</v>
      </c>
      <c r="F4887" t="s">
        <v>78</v>
      </c>
      <c r="G4887" t="s">
        <v>42</v>
      </c>
      <c r="H4887" t="s">
        <v>25</v>
      </c>
      <c r="I4887" t="s">
        <v>35</v>
      </c>
      <c r="J4887" t="s">
        <v>27</v>
      </c>
      <c r="K4887">
        <v>4</v>
      </c>
      <c r="L4887">
        <v>109579</v>
      </c>
      <c r="M4887" t="s">
        <v>28</v>
      </c>
      <c r="N4887">
        <v>1</v>
      </c>
      <c r="O4887">
        <v>3</v>
      </c>
      <c r="P4887">
        <v>47</v>
      </c>
      <c r="Q4887">
        <v>3</v>
      </c>
      <c r="R4887" s="1">
        <v>43499</v>
      </c>
      <c r="S4887" t="s">
        <v>37</v>
      </c>
      <c r="T4887" t="str">
        <f t="shared" si="380"/>
        <v>Grade A</v>
      </c>
      <c r="U4887">
        <f t="shared" si="381"/>
        <v>3</v>
      </c>
      <c r="V4887" t="str">
        <f t="shared" si="382"/>
        <v>Junior</v>
      </c>
      <c r="W4887" t="str">
        <f t="shared" si="383"/>
        <v>Already Left</v>
      </c>
      <c r="X4887" t="str">
        <f t="shared" si="384"/>
        <v>Competitive</v>
      </c>
    </row>
    <row r="4888" spans="1:24" x14ac:dyDescent="0.3">
      <c r="A4888" t="s">
        <v>4956</v>
      </c>
      <c r="B4888" t="s">
        <v>20</v>
      </c>
      <c r="C4888">
        <v>28</v>
      </c>
      <c r="D4888" t="s">
        <v>88</v>
      </c>
      <c r="E4888" t="s">
        <v>40</v>
      </c>
      <c r="F4888" t="s">
        <v>53</v>
      </c>
      <c r="G4888" t="s">
        <v>66</v>
      </c>
      <c r="H4888" t="s">
        <v>83</v>
      </c>
      <c r="I4888" t="s">
        <v>80</v>
      </c>
      <c r="J4888" t="s">
        <v>60</v>
      </c>
      <c r="K4888">
        <v>3</v>
      </c>
      <c r="L4888">
        <v>39602</v>
      </c>
      <c r="M4888" t="s">
        <v>45</v>
      </c>
      <c r="N4888">
        <v>1</v>
      </c>
      <c r="O4888">
        <v>3</v>
      </c>
      <c r="P4888">
        <v>50</v>
      </c>
      <c r="Q4888">
        <v>3</v>
      </c>
      <c r="R4888" s="1">
        <v>44105</v>
      </c>
      <c r="S4888" t="s">
        <v>29</v>
      </c>
      <c r="T4888" t="str">
        <f t="shared" si="380"/>
        <v>Grade C</v>
      </c>
      <c r="U4888">
        <f t="shared" si="381"/>
        <v>2</v>
      </c>
      <c r="V4888" t="str">
        <f t="shared" si="382"/>
        <v>Junior</v>
      </c>
      <c r="W4888" t="str">
        <f t="shared" si="383"/>
        <v>Medium Risk</v>
      </c>
      <c r="X4888" t="str">
        <f t="shared" si="384"/>
        <v>Fair</v>
      </c>
    </row>
    <row r="4889" spans="1:24" x14ac:dyDescent="0.3">
      <c r="A4889" t="s">
        <v>4957</v>
      </c>
      <c r="B4889" t="s">
        <v>39</v>
      </c>
      <c r="C4889">
        <v>52</v>
      </c>
      <c r="D4889" t="s">
        <v>47</v>
      </c>
      <c r="E4889" t="s">
        <v>22</v>
      </c>
      <c r="F4889" t="s">
        <v>53</v>
      </c>
      <c r="G4889" t="s">
        <v>66</v>
      </c>
      <c r="H4889" t="s">
        <v>67</v>
      </c>
      <c r="I4889" t="s">
        <v>43</v>
      </c>
      <c r="J4889" t="s">
        <v>44</v>
      </c>
      <c r="K4889">
        <v>3</v>
      </c>
      <c r="L4889">
        <v>49404</v>
      </c>
      <c r="M4889" t="s">
        <v>36</v>
      </c>
      <c r="N4889">
        <v>4</v>
      </c>
      <c r="O4889">
        <v>4</v>
      </c>
      <c r="P4889">
        <v>56</v>
      </c>
      <c r="Q4889">
        <v>0</v>
      </c>
      <c r="R4889" s="1">
        <v>43871</v>
      </c>
      <c r="S4889" t="s">
        <v>37</v>
      </c>
      <c r="T4889" t="str">
        <f t="shared" si="380"/>
        <v>Grade C</v>
      </c>
      <c r="U4889">
        <f t="shared" si="381"/>
        <v>1</v>
      </c>
      <c r="V4889" t="str">
        <f t="shared" si="382"/>
        <v>Junior</v>
      </c>
      <c r="W4889" t="str">
        <f t="shared" si="383"/>
        <v>Already Left</v>
      </c>
      <c r="X4889" t="str">
        <f t="shared" si="384"/>
        <v>Fair</v>
      </c>
    </row>
    <row r="4890" spans="1:24" x14ac:dyDescent="0.3">
      <c r="A4890" t="s">
        <v>4958</v>
      </c>
      <c r="B4890" t="s">
        <v>20</v>
      </c>
      <c r="C4890">
        <v>25</v>
      </c>
      <c r="D4890" t="s">
        <v>57</v>
      </c>
      <c r="E4890" t="s">
        <v>22</v>
      </c>
      <c r="F4890" t="s">
        <v>32</v>
      </c>
      <c r="G4890" t="s">
        <v>49</v>
      </c>
      <c r="H4890" t="s">
        <v>83</v>
      </c>
      <c r="I4890" t="s">
        <v>72</v>
      </c>
      <c r="J4890" t="s">
        <v>73</v>
      </c>
      <c r="K4890">
        <v>5</v>
      </c>
      <c r="L4890">
        <v>52834</v>
      </c>
      <c r="M4890" t="s">
        <v>45</v>
      </c>
      <c r="N4890">
        <v>3</v>
      </c>
      <c r="O4890">
        <v>1</v>
      </c>
      <c r="P4890">
        <v>71</v>
      </c>
      <c r="Q4890">
        <v>0</v>
      </c>
      <c r="R4890" s="1">
        <v>43228</v>
      </c>
      <c r="S4890" t="s">
        <v>29</v>
      </c>
      <c r="T4890" t="str">
        <f t="shared" si="380"/>
        <v>Grade B</v>
      </c>
      <c r="U4890">
        <f t="shared" si="381"/>
        <v>2</v>
      </c>
      <c r="V4890" t="str">
        <f t="shared" si="382"/>
        <v>Junior</v>
      </c>
      <c r="W4890" t="str">
        <f t="shared" si="383"/>
        <v>Medium Risk</v>
      </c>
      <c r="X4890" t="str">
        <f t="shared" si="384"/>
        <v>Fair</v>
      </c>
    </row>
    <row r="4891" spans="1:24" x14ac:dyDescent="0.3">
      <c r="A4891" t="s">
        <v>4959</v>
      </c>
      <c r="B4891" t="s">
        <v>39</v>
      </c>
      <c r="C4891">
        <v>42</v>
      </c>
      <c r="D4891" t="s">
        <v>21</v>
      </c>
      <c r="E4891" t="s">
        <v>22</v>
      </c>
      <c r="F4891" t="s">
        <v>78</v>
      </c>
      <c r="G4891" t="s">
        <v>49</v>
      </c>
      <c r="H4891" t="s">
        <v>25</v>
      </c>
      <c r="I4891" t="s">
        <v>50</v>
      </c>
      <c r="J4891" t="s">
        <v>44</v>
      </c>
      <c r="K4891">
        <v>8</v>
      </c>
      <c r="L4891">
        <v>63848</v>
      </c>
      <c r="M4891" t="s">
        <v>51</v>
      </c>
      <c r="N4891">
        <v>1</v>
      </c>
      <c r="O4891">
        <v>2</v>
      </c>
      <c r="P4891">
        <v>36</v>
      </c>
      <c r="Q4891">
        <v>0</v>
      </c>
      <c r="R4891" s="1">
        <v>42123</v>
      </c>
      <c r="S4891" t="s">
        <v>29</v>
      </c>
      <c r="T4891" t="str">
        <f t="shared" si="380"/>
        <v>Grade B</v>
      </c>
      <c r="U4891">
        <f t="shared" si="381"/>
        <v>4</v>
      </c>
      <c r="V4891" t="str">
        <f t="shared" si="382"/>
        <v>Mid Level</v>
      </c>
      <c r="W4891" t="str">
        <f t="shared" si="383"/>
        <v>Low Risk</v>
      </c>
      <c r="X4891" t="str">
        <f t="shared" si="384"/>
        <v>Fair</v>
      </c>
    </row>
    <row r="4892" spans="1:24" x14ac:dyDescent="0.3">
      <c r="A4892" t="s">
        <v>4960</v>
      </c>
      <c r="B4892" t="s">
        <v>20</v>
      </c>
      <c r="C4892">
        <v>37</v>
      </c>
      <c r="D4892" t="s">
        <v>57</v>
      </c>
      <c r="E4892" t="s">
        <v>48</v>
      </c>
      <c r="F4892" t="s">
        <v>75</v>
      </c>
      <c r="G4892" t="s">
        <v>66</v>
      </c>
      <c r="H4892" t="s">
        <v>34</v>
      </c>
      <c r="I4892" t="s">
        <v>35</v>
      </c>
      <c r="J4892" t="s">
        <v>27</v>
      </c>
      <c r="K4892">
        <v>11</v>
      </c>
      <c r="L4892">
        <v>65855</v>
      </c>
      <c r="M4892" t="s">
        <v>28</v>
      </c>
      <c r="N4892">
        <v>4</v>
      </c>
      <c r="O4892">
        <v>2</v>
      </c>
      <c r="P4892">
        <v>18</v>
      </c>
      <c r="Q4892">
        <v>0</v>
      </c>
      <c r="R4892" s="1">
        <v>41147</v>
      </c>
      <c r="S4892" t="s">
        <v>37</v>
      </c>
      <c r="T4892" t="str">
        <f t="shared" si="380"/>
        <v>Grade B</v>
      </c>
      <c r="U4892">
        <f t="shared" si="381"/>
        <v>3</v>
      </c>
      <c r="V4892" t="str">
        <f t="shared" si="382"/>
        <v>Senior</v>
      </c>
      <c r="W4892" t="str">
        <f t="shared" si="383"/>
        <v>Already Left</v>
      </c>
      <c r="X4892" t="str">
        <f t="shared" si="384"/>
        <v>Competitive</v>
      </c>
    </row>
    <row r="4893" spans="1:24" x14ac:dyDescent="0.3">
      <c r="A4893" t="s">
        <v>4961</v>
      </c>
      <c r="B4893" t="s">
        <v>20</v>
      </c>
      <c r="C4893">
        <v>29</v>
      </c>
      <c r="D4893" t="s">
        <v>31</v>
      </c>
      <c r="E4893" t="s">
        <v>40</v>
      </c>
      <c r="F4893" t="s">
        <v>41</v>
      </c>
      <c r="G4893" t="s">
        <v>33</v>
      </c>
      <c r="H4893" t="s">
        <v>34</v>
      </c>
      <c r="I4893" t="s">
        <v>50</v>
      </c>
      <c r="J4893" t="s">
        <v>44</v>
      </c>
      <c r="K4893">
        <v>15</v>
      </c>
      <c r="L4893">
        <v>87677</v>
      </c>
      <c r="M4893" t="s">
        <v>51</v>
      </c>
      <c r="N4893">
        <v>1</v>
      </c>
      <c r="O4893">
        <v>4</v>
      </c>
      <c r="P4893">
        <v>36</v>
      </c>
      <c r="Q4893">
        <v>2</v>
      </c>
      <c r="R4893" s="1">
        <v>39769</v>
      </c>
      <c r="S4893" t="s">
        <v>29</v>
      </c>
      <c r="T4893" t="str">
        <f t="shared" si="380"/>
        <v>Grade A</v>
      </c>
      <c r="U4893">
        <f t="shared" si="381"/>
        <v>4</v>
      </c>
      <c r="V4893" t="str">
        <f t="shared" si="382"/>
        <v>Senior</v>
      </c>
      <c r="W4893" t="str">
        <f t="shared" si="383"/>
        <v>Low Risk</v>
      </c>
      <c r="X4893" t="str">
        <f t="shared" si="384"/>
        <v>Competitive</v>
      </c>
    </row>
    <row r="4894" spans="1:24" x14ac:dyDescent="0.3">
      <c r="A4894" t="s">
        <v>4962</v>
      </c>
      <c r="B4894" t="s">
        <v>20</v>
      </c>
      <c r="C4894">
        <v>23</v>
      </c>
      <c r="D4894" t="s">
        <v>57</v>
      </c>
      <c r="E4894" t="s">
        <v>40</v>
      </c>
      <c r="F4894" t="s">
        <v>75</v>
      </c>
      <c r="G4894" t="s">
        <v>79</v>
      </c>
      <c r="H4894" t="s">
        <v>83</v>
      </c>
      <c r="I4894" t="s">
        <v>35</v>
      </c>
      <c r="J4894" t="s">
        <v>27</v>
      </c>
      <c r="K4894">
        <v>11</v>
      </c>
      <c r="L4894">
        <v>66899</v>
      </c>
      <c r="M4894" t="s">
        <v>36</v>
      </c>
      <c r="N4894">
        <v>3</v>
      </c>
      <c r="O4894">
        <v>4</v>
      </c>
      <c r="P4894">
        <v>74</v>
      </c>
      <c r="Q4894">
        <v>3</v>
      </c>
      <c r="R4894" s="1">
        <v>41129</v>
      </c>
      <c r="S4894" t="s">
        <v>37</v>
      </c>
      <c r="T4894" t="str">
        <f t="shared" si="380"/>
        <v>Grade B</v>
      </c>
      <c r="U4894">
        <f t="shared" si="381"/>
        <v>1</v>
      </c>
      <c r="V4894" t="str">
        <f t="shared" si="382"/>
        <v>Senior</v>
      </c>
      <c r="W4894" t="str">
        <f t="shared" si="383"/>
        <v>Already Left</v>
      </c>
      <c r="X4894" t="str">
        <f t="shared" si="384"/>
        <v>Fair</v>
      </c>
    </row>
    <row r="4895" spans="1:24" x14ac:dyDescent="0.3">
      <c r="A4895" t="s">
        <v>4963</v>
      </c>
      <c r="B4895" t="s">
        <v>20</v>
      </c>
      <c r="C4895">
        <v>50</v>
      </c>
      <c r="D4895" t="s">
        <v>88</v>
      </c>
      <c r="E4895" t="s">
        <v>48</v>
      </c>
      <c r="F4895" t="s">
        <v>23</v>
      </c>
      <c r="G4895" t="s">
        <v>58</v>
      </c>
      <c r="H4895" t="s">
        <v>25</v>
      </c>
      <c r="I4895" t="s">
        <v>35</v>
      </c>
      <c r="J4895" t="s">
        <v>27</v>
      </c>
      <c r="K4895">
        <v>8</v>
      </c>
      <c r="L4895">
        <v>92888</v>
      </c>
      <c r="M4895" t="s">
        <v>36</v>
      </c>
      <c r="N4895">
        <v>1</v>
      </c>
      <c r="O4895">
        <v>1</v>
      </c>
      <c r="P4895">
        <v>41</v>
      </c>
      <c r="Q4895">
        <v>1</v>
      </c>
      <c r="R4895" s="1">
        <v>42275</v>
      </c>
      <c r="S4895" t="s">
        <v>29</v>
      </c>
      <c r="T4895" t="str">
        <f t="shared" si="380"/>
        <v>Grade A</v>
      </c>
      <c r="U4895">
        <f t="shared" si="381"/>
        <v>1</v>
      </c>
      <c r="V4895" t="str">
        <f t="shared" si="382"/>
        <v>Mid Level</v>
      </c>
      <c r="W4895" t="str">
        <f t="shared" si="383"/>
        <v>Medium Risk</v>
      </c>
      <c r="X4895" t="str">
        <f t="shared" si="384"/>
        <v>Overpaid</v>
      </c>
    </row>
    <row r="4896" spans="1:24" x14ac:dyDescent="0.3">
      <c r="A4896" t="s">
        <v>4964</v>
      </c>
      <c r="B4896" t="s">
        <v>20</v>
      </c>
      <c r="C4896">
        <v>46</v>
      </c>
      <c r="D4896" t="s">
        <v>21</v>
      </c>
      <c r="E4896" t="s">
        <v>48</v>
      </c>
      <c r="F4896" t="s">
        <v>41</v>
      </c>
      <c r="G4896" t="s">
        <v>66</v>
      </c>
      <c r="H4896" t="s">
        <v>76</v>
      </c>
      <c r="I4896" t="s">
        <v>26</v>
      </c>
      <c r="J4896" t="s">
        <v>27</v>
      </c>
      <c r="K4896">
        <v>12</v>
      </c>
      <c r="L4896">
        <v>68035</v>
      </c>
      <c r="M4896" t="s">
        <v>51</v>
      </c>
      <c r="N4896">
        <v>4</v>
      </c>
      <c r="O4896">
        <v>4</v>
      </c>
      <c r="P4896">
        <v>35</v>
      </c>
      <c r="Q4896">
        <v>1</v>
      </c>
      <c r="R4896" s="1">
        <v>40713</v>
      </c>
      <c r="S4896" t="s">
        <v>29</v>
      </c>
      <c r="T4896" t="str">
        <f t="shared" si="380"/>
        <v>Grade B</v>
      </c>
      <c r="U4896">
        <f t="shared" si="381"/>
        <v>4</v>
      </c>
      <c r="V4896" t="str">
        <f t="shared" si="382"/>
        <v>Senior</v>
      </c>
      <c r="W4896" t="str">
        <f t="shared" si="383"/>
        <v>Low Risk</v>
      </c>
      <c r="X4896" t="str">
        <f t="shared" si="384"/>
        <v>Fair</v>
      </c>
    </row>
    <row r="4897" spans="1:24" x14ac:dyDescent="0.3">
      <c r="A4897" t="s">
        <v>4965</v>
      </c>
      <c r="B4897" t="s">
        <v>20</v>
      </c>
      <c r="C4897">
        <v>39</v>
      </c>
      <c r="D4897" t="s">
        <v>21</v>
      </c>
      <c r="E4897" t="s">
        <v>40</v>
      </c>
      <c r="F4897" t="s">
        <v>62</v>
      </c>
      <c r="G4897" t="s">
        <v>49</v>
      </c>
      <c r="H4897" t="s">
        <v>34</v>
      </c>
      <c r="I4897" t="s">
        <v>43</v>
      </c>
      <c r="J4897" t="s">
        <v>44</v>
      </c>
      <c r="K4897">
        <v>4</v>
      </c>
      <c r="L4897">
        <v>60251</v>
      </c>
      <c r="M4897" t="s">
        <v>51</v>
      </c>
      <c r="N4897">
        <v>1</v>
      </c>
      <c r="O4897">
        <v>3</v>
      </c>
      <c r="P4897">
        <v>47</v>
      </c>
      <c r="Q4897">
        <v>2</v>
      </c>
      <c r="R4897" s="1">
        <v>43531</v>
      </c>
      <c r="S4897" t="s">
        <v>29</v>
      </c>
      <c r="T4897" t="str">
        <f t="shared" si="380"/>
        <v>Grade B</v>
      </c>
      <c r="U4897">
        <f t="shared" si="381"/>
        <v>4</v>
      </c>
      <c r="V4897" t="str">
        <f t="shared" si="382"/>
        <v>Junior</v>
      </c>
      <c r="W4897" t="str">
        <f t="shared" si="383"/>
        <v>Low Risk</v>
      </c>
      <c r="X4897" t="str">
        <f t="shared" si="384"/>
        <v>Fair</v>
      </c>
    </row>
    <row r="4898" spans="1:24" x14ac:dyDescent="0.3">
      <c r="A4898" t="s">
        <v>4966</v>
      </c>
      <c r="B4898" t="s">
        <v>20</v>
      </c>
      <c r="C4898">
        <v>48</v>
      </c>
      <c r="D4898" t="s">
        <v>31</v>
      </c>
      <c r="E4898" t="s">
        <v>22</v>
      </c>
      <c r="F4898" t="s">
        <v>23</v>
      </c>
      <c r="G4898" t="s">
        <v>79</v>
      </c>
      <c r="H4898" t="s">
        <v>25</v>
      </c>
      <c r="I4898" t="s">
        <v>59</v>
      </c>
      <c r="J4898" t="s">
        <v>60</v>
      </c>
      <c r="K4898">
        <v>15</v>
      </c>
      <c r="L4898">
        <v>69344</v>
      </c>
      <c r="M4898" t="s">
        <v>28</v>
      </c>
      <c r="N4898">
        <v>3</v>
      </c>
      <c r="O4898">
        <v>1</v>
      </c>
      <c r="P4898">
        <v>35</v>
      </c>
      <c r="Q4898">
        <v>3</v>
      </c>
      <c r="R4898" s="1">
        <v>39774</v>
      </c>
      <c r="S4898" t="s">
        <v>29</v>
      </c>
      <c r="T4898" t="str">
        <f t="shared" si="380"/>
        <v>Grade B</v>
      </c>
      <c r="U4898">
        <f t="shared" si="381"/>
        <v>3</v>
      </c>
      <c r="V4898" t="str">
        <f t="shared" si="382"/>
        <v>Senior</v>
      </c>
      <c r="W4898" t="str">
        <f t="shared" si="383"/>
        <v>Medium Risk</v>
      </c>
      <c r="X4898" t="str">
        <f t="shared" si="384"/>
        <v>Competitive</v>
      </c>
    </row>
    <row r="4899" spans="1:24" x14ac:dyDescent="0.3">
      <c r="A4899" t="s">
        <v>4967</v>
      </c>
      <c r="B4899" t="s">
        <v>39</v>
      </c>
      <c r="C4899">
        <v>46</v>
      </c>
      <c r="D4899" t="s">
        <v>47</v>
      </c>
      <c r="E4899" t="s">
        <v>22</v>
      </c>
      <c r="F4899" t="s">
        <v>23</v>
      </c>
      <c r="G4899" t="s">
        <v>33</v>
      </c>
      <c r="H4899" t="s">
        <v>67</v>
      </c>
      <c r="I4899" t="s">
        <v>80</v>
      </c>
      <c r="J4899" t="s">
        <v>60</v>
      </c>
      <c r="K4899">
        <v>7</v>
      </c>
      <c r="L4899">
        <v>82299</v>
      </c>
      <c r="M4899" t="s">
        <v>51</v>
      </c>
      <c r="N4899">
        <v>1</v>
      </c>
      <c r="O4899">
        <v>1</v>
      </c>
      <c r="P4899">
        <v>38</v>
      </c>
      <c r="Q4899">
        <v>2</v>
      </c>
      <c r="R4899" s="1">
        <v>42629</v>
      </c>
      <c r="S4899" t="s">
        <v>29</v>
      </c>
      <c r="T4899" t="str">
        <f t="shared" si="380"/>
        <v>Grade A</v>
      </c>
      <c r="U4899">
        <f t="shared" si="381"/>
        <v>4</v>
      </c>
      <c r="V4899" t="str">
        <f t="shared" si="382"/>
        <v>Mid Level</v>
      </c>
      <c r="W4899" t="str">
        <f t="shared" si="383"/>
        <v>Low Risk</v>
      </c>
      <c r="X4899" t="str">
        <f t="shared" si="384"/>
        <v>Competitive</v>
      </c>
    </row>
    <row r="4900" spans="1:24" x14ac:dyDescent="0.3">
      <c r="A4900" t="s">
        <v>4968</v>
      </c>
      <c r="B4900" t="s">
        <v>20</v>
      </c>
      <c r="C4900">
        <v>33</v>
      </c>
      <c r="D4900" t="s">
        <v>21</v>
      </c>
      <c r="E4900" t="s">
        <v>40</v>
      </c>
      <c r="F4900" t="s">
        <v>62</v>
      </c>
      <c r="G4900" t="s">
        <v>79</v>
      </c>
      <c r="H4900" t="s">
        <v>76</v>
      </c>
      <c r="I4900" t="s">
        <v>35</v>
      </c>
      <c r="J4900" t="s">
        <v>27</v>
      </c>
      <c r="K4900">
        <v>10</v>
      </c>
      <c r="L4900">
        <v>60874</v>
      </c>
      <c r="M4900" t="s">
        <v>28</v>
      </c>
      <c r="N4900">
        <v>2</v>
      </c>
      <c r="O4900">
        <v>4</v>
      </c>
      <c r="P4900">
        <v>28</v>
      </c>
      <c r="Q4900">
        <v>1</v>
      </c>
      <c r="R4900" s="1">
        <v>41591</v>
      </c>
      <c r="S4900" t="s">
        <v>29</v>
      </c>
      <c r="T4900" t="str">
        <f t="shared" si="380"/>
        <v>Grade B</v>
      </c>
      <c r="U4900">
        <f t="shared" si="381"/>
        <v>3</v>
      </c>
      <c r="V4900" t="str">
        <f t="shared" si="382"/>
        <v>Mid Level</v>
      </c>
      <c r="W4900" t="str">
        <f t="shared" si="383"/>
        <v>Medium Risk</v>
      </c>
      <c r="X4900" t="str">
        <f t="shared" si="384"/>
        <v>Competitive</v>
      </c>
    </row>
    <row r="4901" spans="1:24" x14ac:dyDescent="0.3">
      <c r="A4901" t="s">
        <v>4969</v>
      </c>
      <c r="B4901" t="s">
        <v>39</v>
      </c>
      <c r="C4901">
        <v>30</v>
      </c>
      <c r="D4901" t="s">
        <v>31</v>
      </c>
      <c r="E4901" t="s">
        <v>22</v>
      </c>
      <c r="F4901" t="s">
        <v>41</v>
      </c>
      <c r="G4901" t="s">
        <v>63</v>
      </c>
      <c r="H4901" t="s">
        <v>76</v>
      </c>
      <c r="I4901" t="s">
        <v>50</v>
      </c>
      <c r="J4901" t="s">
        <v>44</v>
      </c>
      <c r="K4901">
        <v>12</v>
      </c>
      <c r="L4901">
        <v>59572</v>
      </c>
      <c r="M4901" t="s">
        <v>28</v>
      </c>
      <c r="N4901">
        <v>1</v>
      </c>
      <c r="O4901">
        <v>3</v>
      </c>
      <c r="P4901">
        <v>43</v>
      </c>
      <c r="Q4901">
        <v>0</v>
      </c>
      <c r="R4901" s="1">
        <v>40692</v>
      </c>
      <c r="S4901" t="s">
        <v>29</v>
      </c>
      <c r="T4901" t="str">
        <f t="shared" si="380"/>
        <v>Grade B</v>
      </c>
      <c r="U4901">
        <f t="shared" si="381"/>
        <v>3</v>
      </c>
      <c r="V4901" t="str">
        <f t="shared" si="382"/>
        <v>Senior</v>
      </c>
      <c r="W4901" t="str">
        <f t="shared" si="383"/>
        <v>Medium Risk</v>
      </c>
      <c r="X4901" t="str">
        <f t="shared" si="384"/>
        <v>Competitive</v>
      </c>
    </row>
    <row r="4902" spans="1:24" x14ac:dyDescent="0.3">
      <c r="A4902" t="s">
        <v>4970</v>
      </c>
      <c r="B4902" t="s">
        <v>20</v>
      </c>
      <c r="C4902">
        <v>39</v>
      </c>
      <c r="D4902" t="s">
        <v>21</v>
      </c>
      <c r="E4902" t="s">
        <v>22</v>
      </c>
      <c r="F4902" t="s">
        <v>75</v>
      </c>
      <c r="G4902" t="s">
        <v>58</v>
      </c>
      <c r="H4902" t="s">
        <v>34</v>
      </c>
      <c r="I4902" t="s">
        <v>72</v>
      </c>
      <c r="J4902" t="s">
        <v>73</v>
      </c>
      <c r="K4902">
        <v>14</v>
      </c>
      <c r="L4902">
        <v>118453</v>
      </c>
      <c r="M4902" t="s">
        <v>28</v>
      </c>
      <c r="N4902">
        <v>2</v>
      </c>
      <c r="O4902">
        <v>4</v>
      </c>
      <c r="P4902">
        <v>64</v>
      </c>
      <c r="Q4902">
        <v>1</v>
      </c>
      <c r="R4902" s="1">
        <v>39935</v>
      </c>
      <c r="S4902" t="s">
        <v>29</v>
      </c>
      <c r="T4902" t="str">
        <f t="shared" si="380"/>
        <v>Grade A</v>
      </c>
      <c r="U4902">
        <f t="shared" si="381"/>
        <v>3</v>
      </c>
      <c r="V4902" t="str">
        <f t="shared" si="382"/>
        <v>Senior</v>
      </c>
      <c r="W4902" t="str">
        <f t="shared" si="383"/>
        <v>Medium Risk</v>
      </c>
      <c r="X4902" t="str">
        <f t="shared" si="384"/>
        <v>Competitive</v>
      </c>
    </row>
    <row r="4903" spans="1:24" x14ac:dyDescent="0.3">
      <c r="A4903" t="s">
        <v>4971</v>
      </c>
      <c r="B4903" t="s">
        <v>39</v>
      </c>
      <c r="C4903">
        <v>23</v>
      </c>
      <c r="D4903" t="s">
        <v>47</v>
      </c>
      <c r="E4903" t="s">
        <v>40</v>
      </c>
      <c r="F4903" t="s">
        <v>32</v>
      </c>
      <c r="G4903" t="s">
        <v>58</v>
      </c>
      <c r="H4903" t="s">
        <v>76</v>
      </c>
      <c r="I4903" t="s">
        <v>54</v>
      </c>
      <c r="J4903" t="s">
        <v>27</v>
      </c>
      <c r="K4903">
        <v>5</v>
      </c>
      <c r="L4903">
        <v>101607</v>
      </c>
      <c r="M4903" t="s">
        <v>36</v>
      </c>
      <c r="N4903">
        <v>2</v>
      </c>
      <c r="O4903">
        <v>3</v>
      </c>
      <c r="P4903">
        <v>72</v>
      </c>
      <c r="Q4903">
        <v>0</v>
      </c>
      <c r="R4903" s="1">
        <v>43258</v>
      </c>
      <c r="S4903" t="s">
        <v>37</v>
      </c>
      <c r="T4903" t="str">
        <f t="shared" si="380"/>
        <v>Grade A</v>
      </c>
      <c r="U4903">
        <f t="shared" si="381"/>
        <v>1</v>
      </c>
      <c r="V4903" t="str">
        <f t="shared" si="382"/>
        <v>Junior</v>
      </c>
      <c r="W4903" t="str">
        <f t="shared" si="383"/>
        <v>Already Left</v>
      </c>
      <c r="X4903" t="str">
        <f t="shared" si="384"/>
        <v>Overpaid</v>
      </c>
    </row>
    <row r="4904" spans="1:24" x14ac:dyDescent="0.3">
      <c r="A4904" t="s">
        <v>4972</v>
      </c>
      <c r="B4904" t="s">
        <v>20</v>
      </c>
      <c r="C4904">
        <v>46</v>
      </c>
      <c r="D4904" t="s">
        <v>21</v>
      </c>
      <c r="E4904" t="s">
        <v>48</v>
      </c>
      <c r="F4904" t="s">
        <v>62</v>
      </c>
      <c r="G4904" t="s">
        <v>66</v>
      </c>
      <c r="H4904" t="s">
        <v>34</v>
      </c>
      <c r="I4904" t="s">
        <v>59</v>
      </c>
      <c r="J4904" t="s">
        <v>60</v>
      </c>
      <c r="K4904">
        <v>6</v>
      </c>
      <c r="L4904">
        <v>43949</v>
      </c>
      <c r="M4904" t="s">
        <v>28</v>
      </c>
      <c r="N4904">
        <v>4</v>
      </c>
      <c r="O4904">
        <v>4</v>
      </c>
      <c r="P4904">
        <v>70</v>
      </c>
      <c r="Q4904">
        <v>1</v>
      </c>
      <c r="R4904" s="1">
        <v>43042</v>
      </c>
      <c r="S4904" t="s">
        <v>29</v>
      </c>
      <c r="T4904" t="str">
        <f t="shared" si="380"/>
        <v>Grade C</v>
      </c>
      <c r="U4904">
        <f t="shared" si="381"/>
        <v>3</v>
      </c>
      <c r="V4904" t="str">
        <f t="shared" si="382"/>
        <v>Mid Level</v>
      </c>
      <c r="W4904" t="str">
        <f t="shared" si="383"/>
        <v>Medium Risk</v>
      </c>
      <c r="X4904" t="str">
        <f t="shared" si="384"/>
        <v>Fair</v>
      </c>
    </row>
    <row r="4905" spans="1:24" x14ac:dyDescent="0.3">
      <c r="A4905" t="s">
        <v>4973</v>
      </c>
      <c r="B4905" t="s">
        <v>20</v>
      </c>
      <c r="C4905">
        <v>37</v>
      </c>
      <c r="D4905" t="s">
        <v>31</v>
      </c>
      <c r="E4905" t="s">
        <v>48</v>
      </c>
      <c r="F4905" t="s">
        <v>41</v>
      </c>
      <c r="G4905" t="s">
        <v>58</v>
      </c>
      <c r="H4905" t="s">
        <v>34</v>
      </c>
      <c r="I4905" t="s">
        <v>43</v>
      </c>
      <c r="J4905" t="s">
        <v>44</v>
      </c>
      <c r="K4905">
        <v>3</v>
      </c>
      <c r="L4905">
        <v>100201</v>
      </c>
      <c r="M4905" t="s">
        <v>45</v>
      </c>
      <c r="N4905">
        <v>4</v>
      </c>
      <c r="O4905">
        <v>4</v>
      </c>
      <c r="P4905">
        <v>42</v>
      </c>
      <c r="Q4905">
        <v>0</v>
      </c>
      <c r="R4905" s="1">
        <v>44040</v>
      </c>
      <c r="S4905" t="s">
        <v>29</v>
      </c>
      <c r="T4905" t="str">
        <f t="shared" si="380"/>
        <v>Grade A</v>
      </c>
      <c r="U4905">
        <f t="shared" si="381"/>
        <v>2</v>
      </c>
      <c r="V4905" t="str">
        <f t="shared" si="382"/>
        <v>Junior</v>
      </c>
      <c r="W4905" t="str">
        <f t="shared" si="383"/>
        <v>Medium Risk</v>
      </c>
      <c r="X4905" t="str">
        <f t="shared" si="384"/>
        <v>Fair</v>
      </c>
    </row>
    <row r="4906" spans="1:24" x14ac:dyDescent="0.3">
      <c r="A4906" t="s">
        <v>4974</v>
      </c>
      <c r="B4906" t="s">
        <v>39</v>
      </c>
      <c r="C4906">
        <v>27</v>
      </c>
      <c r="D4906" t="s">
        <v>47</v>
      </c>
      <c r="E4906" t="s">
        <v>40</v>
      </c>
      <c r="F4906" t="s">
        <v>62</v>
      </c>
      <c r="G4906" t="s">
        <v>49</v>
      </c>
      <c r="H4906" t="s">
        <v>76</v>
      </c>
      <c r="I4906" t="s">
        <v>72</v>
      </c>
      <c r="J4906" t="s">
        <v>73</v>
      </c>
      <c r="K4906">
        <v>11</v>
      </c>
      <c r="L4906">
        <v>71912</v>
      </c>
      <c r="M4906" t="s">
        <v>28</v>
      </c>
      <c r="N4906">
        <v>1</v>
      </c>
      <c r="O4906">
        <v>2</v>
      </c>
      <c r="P4906">
        <v>18</v>
      </c>
      <c r="Q4906">
        <v>2</v>
      </c>
      <c r="R4906" s="1">
        <v>41215</v>
      </c>
      <c r="S4906" t="s">
        <v>29</v>
      </c>
      <c r="T4906" t="str">
        <f t="shared" si="380"/>
        <v>Grade B</v>
      </c>
      <c r="U4906">
        <f t="shared" si="381"/>
        <v>3</v>
      </c>
      <c r="V4906" t="str">
        <f t="shared" si="382"/>
        <v>Senior</v>
      </c>
      <c r="W4906" t="str">
        <f t="shared" si="383"/>
        <v>Medium Risk</v>
      </c>
      <c r="X4906" t="str">
        <f t="shared" si="384"/>
        <v>Competitive</v>
      </c>
    </row>
    <row r="4907" spans="1:24" x14ac:dyDescent="0.3">
      <c r="A4907" t="s">
        <v>4975</v>
      </c>
      <c r="B4907" t="s">
        <v>39</v>
      </c>
      <c r="C4907">
        <v>43</v>
      </c>
      <c r="D4907" t="s">
        <v>31</v>
      </c>
      <c r="E4907" t="s">
        <v>40</v>
      </c>
      <c r="F4907" t="s">
        <v>62</v>
      </c>
      <c r="G4907" t="s">
        <v>33</v>
      </c>
      <c r="H4907" t="s">
        <v>67</v>
      </c>
      <c r="I4907" t="s">
        <v>59</v>
      </c>
      <c r="J4907" t="s">
        <v>60</v>
      </c>
      <c r="K4907">
        <v>15</v>
      </c>
      <c r="L4907">
        <v>88474</v>
      </c>
      <c r="M4907" t="s">
        <v>51</v>
      </c>
      <c r="N4907">
        <v>4</v>
      </c>
      <c r="O4907">
        <v>2</v>
      </c>
      <c r="P4907">
        <v>17</v>
      </c>
      <c r="Q4907">
        <v>2</v>
      </c>
      <c r="R4907" s="1">
        <v>39788</v>
      </c>
      <c r="S4907" t="s">
        <v>29</v>
      </c>
      <c r="T4907" t="str">
        <f t="shared" si="380"/>
        <v>Grade A</v>
      </c>
      <c r="U4907">
        <f t="shared" si="381"/>
        <v>4</v>
      </c>
      <c r="V4907" t="str">
        <f t="shared" si="382"/>
        <v>Senior</v>
      </c>
      <c r="W4907" t="str">
        <f t="shared" si="383"/>
        <v>Low Risk</v>
      </c>
      <c r="X4907" t="str">
        <f t="shared" si="384"/>
        <v>Competitive</v>
      </c>
    </row>
    <row r="4908" spans="1:24" x14ac:dyDescent="0.3">
      <c r="A4908" t="s">
        <v>4976</v>
      </c>
      <c r="B4908" t="s">
        <v>39</v>
      </c>
      <c r="C4908">
        <v>51</v>
      </c>
      <c r="D4908" t="s">
        <v>31</v>
      </c>
      <c r="E4908" t="s">
        <v>22</v>
      </c>
      <c r="F4908" t="s">
        <v>65</v>
      </c>
      <c r="G4908" t="s">
        <v>79</v>
      </c>
      <c r="H4908" t="s">
        <v>67</v>
      </c>
      <c r="I4908" t="s">
        <v>43</v>
      </c>
      <c r="J4908" t="s">
        <v>44</v>
      </c>
      <c r="K4908">
        <v>8</v>
      </c>
      <c r="L4908">
        <v>65812</v>
      </c>
      <c r="M4908" t="s">
        <v>28</v>
      </c>
      <c r="N4908">
        <v>1</v>
      </c>
      <c r="O4908">
        <v>4</v>
      </c>
      <c r="P4908">
        <v>68</v>
      </c>
      <c r="Q4908">
        <v>0</v>
      </c>
      <c r="R4908" s="1">
        <v>42158</v>
      </c>
      <c r="S4908" t="s">
        <v>29</v>
      </c>
      <c r="T4908" t="str">
        <f t="shared" si="380"/>
        <v>Grade B</v>
      </c>
      <c r="U4908">
        <f t="shared" si="381"/>
        <v>3</v>
      </c>
      <c r="V4908" t="str">
        <f t="shared" si="382"/>
        <v>Mid Level</v>
      </c>
      <c r="W4908" t="str">
        <f t="shared" si="383"/>
        <v>Medium Risk</v>
      </c>
      <c r="X4908" t="str">
        <f t="shared" si="384"/>
        <v>Competitive</v>
      </c>
    </row>
    <row r="4909" spans="1:24" x14ac:dyDescent="0.3">
      <c r="A4909" t="s">
        <v>4977</v>
      </c>
      <c r="B4909" t="s">
        <v>39</v>
      </c>
      <c r="C4909">
        <v>54</v>
      </c>
      <c r="D4909" t="s">
        <v>57</v>
      </c>
      <c r="E4909" t="s">
        <v>40</v>
      </c>
      <c r="F4909" t="s">
        <v>32</v>
      </c>
      <c r="G4909" t="s">
        <v>33</v>
      </c>
      <c r="H4909" t="s">
        <v>67</v>
      </c>
      <c r="I4909" t="s">
        <v>35</v>
      </c>
      <c r="J4909" t="s">
        <v>27</v>
      </c>
      <c r="K4909">
        <v>7</v>
      </c>
      <c r="L4909">
        <v>71717</v>
      </c>
      <c r="M4909" t="s">
        <v>51</v>
      </c>
      <c r="N4909">
        <v>1</v>
      </c>
      <c r="O4909">
        <v>4</v>
      </c>
      <c r="P4909">
        <v>29</v>
      </c>
      <c r="Q4909">
        <v>1</v>
      </c>
      <c r="R4909" s="1">
        <v>42466</v>
      </c>
      <c r="S4909" t="s">
        <v>29</v>
      </c>
      <c r="T4909" t="str">
        <f t="shared" si="380"/>
        <v>Grade B</v>
      </c>
      <c r="U4909">
        <f t="shared" si="381"/>
        <v>4</v>
      </c>
      <c r="V4909" t="str">
        <f t="shared" si="382"/>
        <v>Mid Level</v>
      </c>
      <c r="W4909" t="str">
        <f t="shared" si="383"/>
        <v>Low Risk</v>
      </c>
      <c r="X4909" t="str">
        <f t="shared" si="384"/>
        <v>Fair</v>
      </c>
    </row>
    <row r="4910" spans="1:24" x14ac:dyDescent="0.3">
      <c r="A4910" t="s">
        <v>4978</v>
      </c>
      <c r="B4910" t="s">
        <v>39</v>
      </c>
      <c r="C4910">
        <v>54</v>
      </c>
      <c r="D4910" t="s">
        <v>57</v>
      </c>
      <c r="E4910" t="s">
        <v>22</v>
      </c>
      <c r="F4910" t="s">
        <v>53</v>
      </c>
      <c r="G4910" t="s">
        <v>79</v>
      </c>
      <c r="H4910" t="s">
        <v>34</v>
      </c>
      <c r="I4910" t="s">
        <v>72</v>
      </c>
      <c r="J4910" t="s">
        <v>73</v>
      </c>
      <c r="K4910">
        <v>6</v>
      </c>
      <c r="L4910">
        <v>48237</v>
      </c>
      <c r="M4910" t="s">
        <v>51</v>
      </c>
      <c r="N4910">
        <v>1</v>
      </c>
      <c r="O4910">
        <v>1</v>
      </c>
      <c r="P4910">
        <v>32</v>
      </c>
      <c r="Q4910">
        <v>1</v>
      </c>
      <c r="R4910" s="1">
        <v>42797</v>
      </c>
      <c r="S4910" t="s">
        <v>29</v>
      </c>
      <c r="T4910" t="str">
        <f t="shared" si="380"/>
        <v>Grade C</v>
      </c>
      <c r="U4910">
        <f t="shared" si="381"/>
        <v>4</v>
      </c>
      <c r="V4910" t="str">
        <f t="shared" si="382"/>
        <v>Mid Level</v>
      </c>
      <c r="W4910" t="str">
        <f t="shared" si="383"/>
        <v>Low Risk</v>
      </c>
      <c r="X4910" t="str">
        <f t="shared" si="384"/>
        <v>Fair</v>
      </c>
    </row>
    <row r="4911" spans="1:24" x14ac:dyDescent="0.3">
      <c r="A4911" t="s">
        <v>4979</v>
      </c>
      <c r="B4911" t="s">
        <v>20</v>
      </c>
      <c r="C4911">
        <v>45</v>
      </c>
      <c r="D4911" t="s">
        <v>21</v>
      </c>
      <c r="E4911" t="s">
        <v>48</v>
      </c>
      <c r="F4911" t="s">
        <v>78</v>
      </c>
      <c r="G4911" t="s">
        <v>49</v>
      </c>
      <c r="H4911" t="s">
        <v>76</v>
      </c>
      <c r="I4911" t="s">
        <v>54</v>
      </c>
      <c r="J4911" t="s">
        <v>27</v>
      </c>
      <c r="K4911">
        <v>5</v>
      </c>
      <c r="L4911">
        <v>52192</v>
      </c>
      <c r="M4911" t="s">
        <v>51</v>
      </c>
      <c r="N4911">
        <v>2</v>
      </c>
      <c r="O4911">
        <v>2</v>
      </c>
      <c r="P4911">
        <v>32</v>
      </c>
      <c r="Q4911">
        <v>3</v>
      </c>
      <c r="R4911" s="1">
        <v>43318</v>
      </c>
      <c r="S4911" t="s">
        <v>29</v>
      </c>
      <c r="T4911" t="str">
        <f t="shared" si="380"/>
        <v>Grade B</v>
      </c>
      <c r="U4911">
        <f t="shared" si="381"/>
        <v>4</v>
      </c>
      <c r="V4911" t="str">
        <f t="shared" si="382"/>
        <v>Junior</v>
      </c>
      <c r="W4911" t="str">
        <f t="shared" si="383"/>
        <v>Low Risk</v>
      </c>
      <c r="X4911" t="str">
        <f t="shared" si="384"/>
        <v>Fair</v>
      </c>
    </row>
    <row r="4912" spans="1:24" x14ac:dyDescent="0.3">
      <c r="A4912" t="s">
        <v>4980</v>
      </c>
      <c r="B4912" t="s">
        <v>39</v>
      </c>
      <c r="C4912">
        <v>27</v>
      </c>
      <c r="D4912" t="s">
        <v>57</v>
      </c>
      <c r="E4912" t="s">
        <v>48</v>
      </c>
      <c r="F4912" t="s">
        <v>23</v>
      </c>
      <c r="G4912" t="s">
        <v>42</v>
      </c>
      <c r="H4912" t="s">
        <v>25</v>
      </c>
      <c r="I4912" t="s">
        <v>26</v>
      </c>
      <c r="J4912" t="s">
        <v>27</v>
      </c>
      <c r="K4912">
        <v>6</v>
      </c>
      <c r="L4912">
        <v>114881</v>
      </c>
      <c r="M4912" t="s">
        <v>36</v>
      </c>
      <c r="N4912">
        <v>1</v>
      </c>
      <c r="O4912">
        <v>1</v>
      </c>
      <c r="P4912">
        <v>25</v>
      </c>
      <c r="Q4912">
        <v>1</v>
      </c>
      <c r="R4912" s="1">
        <v>43064</v>
      </c>
      <c r="S4912" t="s">
        <v>37</v>
      </c>
      <c r="T4912" t="str">
        <f t="shared" si="380"/>
        <v>Grade A</v>
      </c>
      <c r="U4912">
        <f t="shared" si="381"/>
        <v>1</v>
      </c>
      <c r="V4912" t="str">
        <f t="shared" si="382"/>
        <v>Mid Level</v>
      </c>
      <c r="W4912" t="str">
        <f t="shared" si="383"/>
        <v>Already Left</v>
      </c>
      <c r="X4912" t="str">
        <f t="shared" si="384"/>
        <v>Overpaid</v>
      </c>
    </row>
    <row r="4913" spans="1:24" x14ac:dyDescent="0.3">
      <c r="A4913" t="s">
        <v>4981</v>
      </c>
      <c r="B4913" t="s">
        <v>39</v>
      </c>
      <c r="C4913">
        <v>28</v>
      </c>
      <c r="D4913" t="s">
        <v>21</v>
      </c>
      <c r="E4913" t="s">
        <v>48</v>
      </c>
      <c r="F4913" t="s">
        <v>41</v>
      </c>
      <c r="G4913" t="s">
        <v>42</v>
      </c>
      <c r="H4913" t="s">
        <v>25</v>
      </c>
      <c r="I4913" t="s">
        <v>35</v>
      </c>
      <c r="J4913" t="s">
        <v>27</v>
      </c>
      <c r="K4913">
        <v>2</v>
      </c>
      <c r="L4913">
        <v>96787</v>
      </c>
      <c r="M4913" t="s">
        <v>36</v>
      </c>
      <c r="N4913">
        <v>3</v>
      </c>
      <c r="O4913">
        <v>1</v>
      </c>
      <c r="P4913">
        <v>35</v>
      </c>
      <c r="Q4913">
        <v>1</v>
      </c>
      <c r="R4913" s="1">
        <v>44411</v>
      </c>
      <c r="S4913" t="s">
        <v>29</v>
      </c>
      <c r="T4913" t="str">
        <f t="shared" si="380"/>
        <v>Grade A</v>
      </c>
      <c r="U4913">
        <f t="shared" si="381"/>
        <v>1</v>
      </c>
      <c r="V4913" t="str">
        <f t="shared" si="382"/>
        <v>New Joiner</v>
      </c>
      <c r="W4913" t="str">
        <f t="shared" si="383"/>
        <v>High Risk</v>
      </c>
      <c r="X4913" t="str">
        <f t="shared" si="384"/>
        <v>Overpaid</v>
      </c>
    </row>
    <row r="4914" spans="1:24" x14ac:dyDescent="0.3">
      <c r="A4914" t="s">
        <v>4982</v>
      </c>
      <c r="B4914" t="s">
        <v>39</v>
      </c>
      <c r="C4914">
        <v>23</v>
      </c>
      <c r="D4914" t="s">
        <v>88</v>
      </c>
      <c r="E4914" t="s">
        <v>48</v>
      </c>
      <c r="F4914" t="s">
        <v>75</v>
      </c>
      <c r="G4914" t="s">
        <v>33</v>
      </c>
      <c r="H4914" t="s">
        <v>34</v>
      </c>
      <c r="I4914" t="s">
        <v>72</v>
      </c>
      <c r="J4914" t="s">
        <v>73</v>
      </c>
      <c r="K4914">
        <v>1</v>
      </c>
      <c r="L4914">
        <v>53284</v>
      </c>
      <c r="M4914" t="s">
        <v>51</v>
      </c>
      <c r="N4914">
        <v>2</v>
      </c>
      <c r="O4914">
        <v>4</v>
      </c>
      <c r="P4914">
        <v>67</v>
      </c>
      <c r="Q4914">
        <v>0</v>
      </c>
      <c r="R4914" s="1">
        <v>44767</v>
      </c>
      <c r="S4914" t="s">
        <v>29</v>
      </c>
      <c r="T4914" t="str">
        <f t="shared" si="380"/>
        <v>Grade B</v>
      </c>
      <c r="U4914">
        <f t="shared" si="381"/>
        <v>4</v>
      </c>
      <c r="V4914" t="str">
        <f t="shared" si="382"/>
        <v>New Joiner</v>
      </c>
      <c r="W4914" t="str">
        <f t="shared" si="383"/>
        <v>Low Risk</v>
      </c>
      <c r="X4914" t="str">
        <f t="shared" si="384"/>
        <v>Fair</v>
      </c>
    </row>
    <row r="4915" spans="1:24" x14ac:dyDescent="0.3">
      <c r="A4915" t="s">
        <v>4983</v>
      </c>
      <c r="B4915" t="s">
        <v>20</v>
      </c>
      <c r="C4915">
        <v>33</v>
      </c>
      <c r="D4915" t="s">
        <v>57</v>
      </c>
      <c r="E4915" t="s">
        <v>22</v>
      </c>
      <c r="F4915" t="s">
        <v>75</v>
      </c>
      <c r="G4915" t="s">
        <v>49</v>
      </c>
      <c r="H4915" t="s">
        <v>34</v>
      </c>
      <c r="I4915" t="s">
        <v>35</v>
      </c>
      <c r="J4915" t="s">
        <v>27</v>
      </c>
      <c r="K4915">
        <v>9</v>
      </c>
      <c r="L4915">
        <v>59949</v>
      </c>
      <c r="M4915" t="s">
        <v>36</v>
      </c>
      <c r="N4915">
        <v>3</v>
      </c>
      <c r="O4915">
        <v>2</v>
      </c>
      <c r="P4915">
        <v>71</v>
      </c>
      <c r="Q4915">
        <v>2</v>
      </c>
      <c r="R4915" s="1">
        <v>41754</v>
      </c>
      <c r="S4915" t="s">
        <v>37</v>
      </c>
      <c r="T4915" t="str">
        <f t="shared" si="380"/>
        <v>Grade B</v>
      </c>
      <c r="U4915">
        <f t="shared" si="381"/>
        <v>1</v>
      </c>
      <c r="V4915" t="str">
        <f t="shared" si="382"/>
        <v>Mid Level</v>
      </c>
      <c r="W4915" t="str">
        <f t="shared" si="383"/>
        <v>Already Left</v>
      </c>
      <c r="X4915" t="str">
        <f t="shared" si="384"/>
        <v>Fair</v>
      </c>
    </row>
    <row r="4916" spans="1:24" x14ac:dyDescent="0.3">
      <c r="A4916" t="s">
        <v>4984</v>
      </c>
      <c r="B4916" t="s">
        <v>20</v>
      </c>
      <c r="C4916">
        <v>25</v>
      </c>
      <c r="D4916" t="s">
        <v>57</v>
      </c>
      <c r="E4916" t="s">
        <v>40</v>
      </c>
      <c r="F4916" t="s">
        <v>32</v>
      </c>
      <c r="G4916" t="s">
        <v>63</v>
      </c>
      <c r="H4916" t="s">
        <v>76</v>
      </c>
      <c r="I4916" t="s">
        <v>72</v>
      </c>
      <c r="J4916" t="s">
        <v>73</v>
      </c>
      <c r="K4916">
        <v>13</v>
      </c>
      <c r="L4916">
        <v>74654</v>
      </c>
      <c r="M4916" t="s">
        <v>45</v>
      </c>
      <c r="N4916">
        <v>2</v>
      </c>
      <c r="O4916">
        <v>1</v>
      </c>
      <c r="P4916">
        <v>49</v>
      </c>
      <c r="Q4916">
        <v>0</v>
      </c>
      <c r="R4916" s="1">
        <v>40463</v>
      </c>
      <c r="S4916" t="s">
        <v>29</v>
      </c>
      <c r="T4916" t="str">
        <f t="shared" si="380"/>
        <v>Grade B</v>
      </c>
      <c r="U4916">
        <f t="shared" si="381"/>
        <v>2</v>
      </c>
      <c r="V4916" t="str">
        <f t="shared" si="382"/>
        <v>Senior</v>
      </c>
      <c r="W4916" t="str">
        <f t="shared" si="383"/>
        <v>Medium Risk</v>
      </c>
      <c r="X4916" t="str">
        <f t="shared" si="384"/>
        <v>Fair</v>
      </c>
    </row>
    <row r="4917" spans="1:24" x14ac:dyDescent="0.3">
      <c r="A4917" t="s">
        <v>4985</v>
      </c>
      <c r="B4917" t="s">
        <v>39</v>
      </c>
      <c r="C4917">
        <v>35</v>
      </c>
      <c r="D4917" t="s">
        <v>57</v>
      </c>
      <c r="E4917" t="s">
        <v>48</v>
      </c>
      <c r="F4917" t="s">
        <v>65</v>
      </c>
      <c r="G4917" t="s">
        <v>49</v>
      </c>
      <c r="H4917" t="s">
        <v>34</v>
      </c>
      <c r="I4917" t="s">
        <v>96</v>
      </c>
      <c r="J4917" t="s">
        <v>44</v>
      </c>
      <c r="K4917">
        <v>1</v>
      </c>
      <c r="L4917">
        <v>49359</v>
      </c>
      <c r="M4917" t="s">
        <v>28</v>
      </c>
      <c r="N4917">
        <v>4</v>
      </c>
      <c r="O4917">
        <v>1</v>
      </c>
      <c r="P4917">
        <v>14</v>
      </c>
      <c r="Q4917">
        <v>1</v>
      </c>
      <c r="R4917" s="1">
        <v>44901</v>
      </c>
      <c r="S4917" t="s">
        <v>29</v>
      </c>
      <c r="T4917" t="str">
        <f t="shared" si="380"/>
        <v>Grade C</v>
      </c>
      <c r="U4917">
        <f t="shared" si="381"/>
        <v>3</v>
      </c>
      <c r="V4917" t="str">
        <f t="shared" si="382"/>
        <v>New Joiner</v>
      </c>
      <c r="W4917" t="str">
        <f t="shared" si="383"/>
        <v>Medium Risk</v>
      </c>
      <c r="X4917" t="str">
        <f t="shared" si="384"/>
        <v>Fair</v>
      </c>
    </row>
    <row r="4918" spans="1:24" x14ac:dyDescent="0.3">
      <c r="A4918" t="s">
        <v>4986</v>
      </c>
      <c r="B4918" t="s">
        <v>20</v>
      </c>
      <c r="C4918">
        <v>55</v>
      </c>
      <c r="D4918" t="s">
        <v>88</v>
      </c>
      <c r="E4918" t="s">
        <v>48</v>
      </c>
      <c r="F4918" t="s">
        <v>65</v>
      </c>
      <c r="G4918" t="s">
        <v>42</v>
      </c>
      <c r="H4918" t="s">
        <v>25</v>
      </c>
      <c r="I4918" t="s">
        <v>35</v>
      </c>
      <c r="J4918" t="s">
        <v>27</v>
      </c>
      <c r="K4918">
        <v>4</v>
      </c>
      <c r="L4918">
        <v>107384</v>
      </c>
      <c r="M4918" t="s">
        <v>51</v>
      </c>
      <c r="N4918">
        <v>2</v>
      </c>
      <c r="O4918">
        <v>1</v>
      </c>
      <c r="P4918">
        <v>69</v>
      </c>
      <c r="Q4918">
        <v>1</v>
      </c>
      <c r="R4918" s="1">
        <v>43829</v>
      </c>
      <c r="S4918" t="s">
        <v>37</v>
      </c>
      <c r="T4918" t="str">
        <f t="shared" si="380"/>
        <v>Grade A</v>
      </c>
      <c r="U4918">
        <f t="shared" si="381"/>
        <v>4</v>
      </c>
      <c r="V4918" t="str">
        <f t="shared" si="382"/>
        <v>Junior</v>
      </c>
      <c r="W4918" t="str">
        <f t="shared" si="383"/>
        <v>Already Left</v>
      </c>
      <c r="X4918" t="str">
        <f t="shared" si="384"/>
        <v>Competitive</v>
      </c>
    </row>
    <row r="4919" spans="1:24" x14ac:dyDescent="0.3">
      <c r="A4919" t="s">
        <v>4987</v>
      </c>
      <c r="B4919" t="s">
        <v>39</v>
      </c>
      <c r="C4919">
        <v>40</v>
      </c>
      <c r="D4919" t="s">
        <v>31</v>
      </c>
      <c r="E4919" t="s">
        <v>40</v>
      </c>
      <c r="F4919" t="s">
        <v>78</v>
      </c>
      <c r="G4919" t="s">
        <v>79</v>
      </c>
      <c r="H4919" t="s">
        <v>67</v>
      </c>
      <c r="I4919" t="s">
        <v>43</v>
      </c>
      <c r="J4919" t="s">
        <v>44</v>
      </c>
      <c r="K4919">
        <v>12</v>
      </c>
      <c r="L4919">
        <v>55906</v>
      </c>
      <c r="M4919" t="s">
        <v>28</v>
      </c>
      <c r="N4919">
        <v>4</v>
      </c>
      <c r="O4919">
        <v>3</v>
      </c>
      <c r="P4919">
        <v>23</v>
      </c>
      <c r="Q4919">
        <v>1</v>
      </c>
      <c r="R4919" s="1">
        <v>40548</v>
      </c>
      <c r="S4919" t="s">
        <v>37</v>
      </c>
      <c r="T4919" t="str">
        <f t="shared" si="380"/>
        <v>Grade B</v>
      </c>
      <c r="U4919">
        <f t="shared" si="381"/>
        <v>3</v>
      </c>
      <c r="V4919" t="str">
        <f t="shared" si="382"/>
        <v>Senior</v>
      </c>
      <c r="W4919" t="str">
        <f t="shared" si="383"/>
        <v>Already Left</v>
      </c>
      <c r="X4919" t="str">
        <f t="shared" si="384"/>
        <v>Competitive</v>
      </c>
    </row>
    <row r="4920" spans="1:24" x14ac:dyDescent="0.3">
      <c r="A4920" t="s">
        <v>4988</v>
      </c>
      <c r="B4920" t="s">
        <v>39</v>
      </c>
      <c r="C4920">
        <v>46</v>
      </c>
      <c r="D4920" t="s">
        <v>47</v>
      </c>
      <c r="E4920" t="s">
        <v>48</v>
      </c>
      <c r="F4920" t="s">
        <v>41</v>
      </c>
      <c r="G4920" t="s">
        <v>33</v>
      </c>
      <c r="H4920" t="s">
        <v>67</v>
      </c>
      <c r="I4920" t="s">
        <v>50</v>
      </c>
      <c r="J4920" t="s">
        <v>44</v>
      </c>
      <c r="K4920">
        <v>14</v>
      </c>
      <c r="L4920">
        <v>85327</v>
      </c>
      <c r="M4920" t="s">
        <v>51</v>
      </c>
      <c r="N4920">
        <v>1</v>
      </c>
      <c r="O4920">
        <v>1</v>
      </c>
      <c r="P4920">
        <v>12</v>
      </c>
      <c r="Q4920">
        <v>2</v>
      </c>
      <c r="R4920" s="1">
        <v>39904</v>
      </c>
      <c r="S4920" t="s">
        <v>37</v>
      </c>
      <c r="T4920" t="str">
        <f t="shared" si="380"/>
        <v>Grade A</v>
      </c>
      <c r="U4920">
        <f t="shared" si="381"/>
        <v>4</v>
      </c>
      <c r="V4920" t="str">
        <f t="shared" si="382"/>
        <v>Senior</v>
      </c>
      <c r="W4920" t="str">
        <f t="shared" si="383"/>
        <v>Already Left</v>
      </c>
      <c r="X4920" t="str">
        <f t="shared" si="384"/>
        <v>Competitive</v>
      </c>
    </row>
    <row r="4921" spans="1:24" x14ac:dyDescent="0.3">
      <c r="A4921" t="s">
        <v>4989</v>
      </c>
      <c r="B4921" t="s">
        <v>20</v>
      </c>
      <c r="C4921">
        <v>27</v>
      </c>
      <c r="D4921" t="s">
        <v>88</v>
      </c>
      <c r="E4921" t="s">
        <v>48</v>
      </c>
      <c r="F4921" t="s">
        <v>53</v>
      </c>
      <c r="G4921" t="s">
        <v>66</v>
      </c>
      <c r="H4921" t="s">
        <v>76</v>
      </c>
      <c r="I4921" t="s">
        <v>50</v>
      </c>
      <c r="J4921" t="s">
        <v>44</v>
      </c>
      <c r="K4921">
        <v>14</v>
      </c>
      <c r="L4921">
        <v>67364</v>
      </c>
      <c r="M4921" t="s">
        <v>28</v>
      </c>
      <c r="N4921">
        <v>3</v>
      </c>
      <c r="O4921">
        <v>2</v>
      </c>
      <c r="P4921">
        <v>59</v>
      </c>
      <c r="Q4921">
        <v>0</v>
      </c>
      <c r="R4921" s="1">
        <v>40094</v>
      </c>
      <c r="S4921" t="s">
        <v>29</v>
      </c>
      <c r="T4921" t="str">
        <f t="shared" si="380"/>
        <v>Grade B</v>
      </c>
      <c r="U4921">
        <f t="shared" si="381"/>
        <v>3</v>
      </c>
      <c r="V4921" t="str">
        <f t="shared" si="382"/>
        <v>Senior</v>
      </c>
      <c r="W4921" t="str">
        <f t="shared" si="383"/>
        <v>Medium Risk</v>
      </c>
      <c r="X4921" t="str">
        <f t="shared" si="384"/>
        <v>Competitive</v>
      </c>
    </row>
    <row r="4922" spans="1:24" x14ac:dyDescent="0.3">
      <c r="A4922" t="s">
        <v>4990</v>
      </c>
      <c r="B4922" t="s">
        <v>39</v>
      </c>
      <c r="C4922">
        <v>41</v>
      </c>
      <c r="D4922" t="s">
        <v>88</v>
      </c>
      <c r="E4922" t="s">
        <v>22</v>
      </c>
      <c r="F4922" t="s">
        <v>78</v>
      </c>
      <c r="G4922" t="s">
        <v>66</v>
      </c>
      <c r="H4922" t="s">
        <v>67</v>
      </c>
      <c r="I4922" t="s">
        <v>68</v>
      </c>
      <c r="J4922" t="s">
        <v>60</v>
      </c>
      <c r="K4922">
        <v>9</v>
      </c>
      <c r="L4922">
        <v>60847</v>
      </c>
      <c r="M4922" t="s">
        <v>45</v>
      </c>
      <c r="N4922">
        <v>2</v>
      </c>
      <c r="O4922">
        <v>1</v>
      </c>
      <c r="P4922">
        <v>75</v>
      </c>
      <c r="Q4922">
        <v>2</v>
      </c>
      <c r="R4922" s="1">
        <v>41859</v>
      </c>
      <c r="S4922" t="s">
        <v>29</v>
      </c>
      <c r="T4922" t="str">
        <f t="shared" si="380"/>
        <v>Grade B</v>
      </c>
      <c r="U4922">
        <f t="shared" si="381"/>
        <v>2</v>
      </c>
      <c r="V4922" t="str">
        <f t="shared" si="382"/>
        <v>Mid Level</v>
      </c>
      <c r="W4922" t="str">
        <f t="shared" si="383"/>
        <v>Medium Risk</v>
      </c>
      <c r="X4922" t="str">
        <f t="shared" si="384"/>
        <v>Fair</v>
      </c>
    </row>
    <row r="4923" spans="1:24" x14ac:dyDescent="0.3">
      <c r="A4923" t="s">
        <v>4991</v>
      </c>
      <c r="B4923" t="s">
        <v>20</v>
      </c>
      <c r="C4923">
        <v>28</v>
      </c>
      <c r="D4923" t="s">
        <v>47</v>
      </c>
      <c r="E4923" t="s">
        <v>40</v>
      </c>
      <c r="F4923" t="s">
        <v>75</v>
      </c>
      <c r="G4923" t="s">
        <v>24</v>
      </c>
      <c r="H4923" t="s">
        <v>67</v>
      </c>
      <c r="I4923" t="s">
        <v>96</v>
      </c>
      <c r="J4923" t="s">
        <v>44</v>
      </c>
      <c r="K4923">
        <v>7</v>
      </c>
      <c r="L4923">
        <v>86769</v>
      </c>
      <c r="M4923" t="s">
        <v>28</v>
      </c>
      <c r="N4923">
        <v>3</v>
      </c>
      <c r="O4923">
        <v>1</v>
      </c>
      <c r="P4923">
        <v>28</v>
      </c>
      <c r="Q4923">
        <v>2</v>
      </c>
      <c r="R4923" s="1">
        <v>42695</v>
      </c>
      <c r="S4923" t="s">
        <v>29</v>
      </c>
      <c r="T4923" t="str">
        <f t="shared" si="380"/>
        <v>Grade A</v>
      </c>
      <c r="U4923">
        <f t="shared" si="381"/>
        <v>3</v>
      </c>
      <c r="V4923" t="str">
        <f t="shared" si="382"/>
        <v>Mid Level</v>
      </c>
      <c r="W4923" t="str">
        <f t="shared" si="383"/>
        <v>Medium Risk</v>
      </c>
      <c r="X4923" t="str">
        <f t="shared" si="384"/>
        <v>Competitive</v>
      </c>
    </row>
    <row r="4924" spans="1:24" x14ac:dyDescent="0.3">
      <c r="A4924" t="s">
        <v>4992</v>
      </c>
      <c r="B4924" t="s">
        <v>39</v>
      </c>
      <c r="C4924">
        <v>55</v>
      </c>
      <c r="D4924" t="s">
        <v>88</v>
      </c>
      <c r="E4924" t="s">
        <v>22</v>
      </c>
      <c r="F4924" t="s">
        <v>65</v>
      </c>
      <c r="G4924" t="s">
        <v>63</v>
      </c>
      <c r="H4924" t="s">
        <v>25</v>
      </c>
      <c r="I4924" t="s">
        <v>35</v>
      </c>
      <c r="J4924" t="s">
        <v>27</v>
      </c>
      <c r="K4924">
        <v>6</v>
      </c>
      <c r="L4924">
        <v>63847</v>
      </c>
      <c r="M4924" t="s">
        <v>28</v>
      </c>
      <c r="N4924">
        <v>4</v>
      </c>
      <c r="O4924">
        <v>2</v>
      </c>
      <c r="P4924">
        <v>54</v>
      </c>
      <c r="Q4924">
        <v>3</v>
      </c>
      <c r="R4924" s="1">
        <v>42748</v>
      </c>
      <c r="S4924" t="s">
        <v>29</v>
      </c>
      <c r="T4924" t="str">
        <f t="shared" si="380"/>
        <v>Grade B</v>
      </c>
      <c r="U4924">
        <f t="shared" si="381"/>
        <v>3</v>
      </c>
      <c r="V4924" t="str">
        <f t="shared" si="382"/>
        <v>Mid Level</v>
      </c>
      <c r="W4924" t="str">
        <f t="shared" si="383"/>
        <v>Medium Risk</v>
      </c>
      <c r="X4924" t="str">
        <f t="shared" si="384"/>
        <v>Competitive</v>
      </c>
    </row>
    <row r="4925" spans="1:24" x14ac:dyDescent="0.3">
      <c r="A4925" t="s">
        <v>4993</v>
      </c>
      <c r="B4925" t="s">
        <v>39</v>
      </c>
      <c r="C4925">
        <v>28</v>
      </c>
      <c r="D4925" t="s">
        <v>47</v>
      </c>
      <c r="E4925" t="s">
        <v>48</v>
      </c>
      <c r="F4925" t="s">
        <v>53</v>
      </c>
      <c r="G4925" t="s">
        <v>79</v>
      </c>
      <c r="H4925" t="s">
        <v>83</v>
      </c>
      <c r="I4925" t="s">
        <v>68</v>
      </c>
      <c r="J4925" t="s">
        <v>60</v>
      </c>
      <c r="K4925">
        <v>5</v>
      </c>
      <c r="L4925">
        <v>47841</v>
      </c>
      <c r="M4925" t="s">
        <v>45</v>
      </c>
      <c r="N4925">
        <v>1</v>
      </c>
      <c r="O4925">
        <v>4</v>
      </c>
      <c r="P4925">
        <v>46</v>
      </c>
      <c r="Q4925">
        <v>1</v>
      </c>
      <c r="R4925" s="1">
        <v>43379</v>
      </c>
      <c r="S4925" t="s">
        <v>29</v>
      </c>
      <c r="T4925" t="str">
        <f t="shared" si="380"/>
        <v>Grade C</v>
      </c>
      <c r="U4925">
        <f t="shared" si="381"/>
        <v>2</v>
      </c>
      <c r="V4925" t="str">
        <f t="shared" si="382"/>
        <v>Junior</v>
      </c>
      <c r="W4925" t="str">
        <f t="shared" si="383"/>
        <v>Medium Risk</v>
      </c>
      <c r="X4925" t="str">
        <f t="shared" si="384"/>
        <v>Fair</v>
      </c>
    </row>
    <row r="4926" spans="1:24" x14ac:dyDescent="0.3">
      <c r="A4926" t="s">
        <v>4994</v>
      </c>
      <c r="B4926" t="s">
        <v>20</v>
      </c>
      <c r="C4926">
        <v>26</v>
      </c>
      <c r="D4926" t="s">
        <v>21</v>
      </c>
      <c r="E4926" t="s">
        <v>48</v>
      </c>
      <c r="F4926" t="s">
        <v>75</v>
      </c>
      <c r="G4926" t="s">
        <v>58</v>
      </c>
      <c r="H4926" t="s">
        <v>34</v>
      </c>
      <c r="I4926" t="s">
        <v>26</v>
      </c>
      <c r="J4926" t="s">
        <v>27</v>
      </c>
      <c r="K4926">
        <v>15</v>
      </c>
      <c r="L4926">
        <v>106978</v>
      </c>
      <c r="M4926" t="s">
        <v>45</v>
      </c>
      <c r="N4926">
        <v>1</v>
      </c>
      <c r="O4926">
        <v>2</v>
      </c>
      <c r="P4926">
        <v>16</v>
      </c>
      <c r="Q4926">
        <v>0</v>
      </c>
      <c r="R4926" s="1">
        <v>39550</v>
      </c>
      <c r="S4926" t="s">
        <v>29</v>
      </c>
      <c r="T4926" t="str">
        <f t="shared" si="380"/>
        <v>Grade A</v>
      </c>
      <c r="U4926">
        <f t="shared" si="381"/>
        <v>2</v>
      </c>
      <c r="V4926" t="str">
        <f t="shared" si="382"/>
        <v>Senior</v>
      </c>
      <c r="W4926" t="str">
        <f t="shared" si="383"/>
        <v>Medium Risk</v>
      </c>
      <c r="X4926" t="str">
        <f t="shared" si="384"/>
        <v>Fair</v>
      </c>
    </row>
    <row r="4927" spans="1:24" x14ac:dyDescent="0.3">
      <c r="A4927" t="s">
        <v>4995</v>
      </c>
      <c r="B4927" t="s">
        <v>20</v>
      </c>
      <c r="C4927">
        <v>41</v>
      </c>
      <c r="D4927" t="s">
        <v>88</v>
      </c>
      <c r="E4927" t="s">
        <v>48</v>
      </c>
      <c r="F4927" t="s">
        <v>53</v>
      </c>
      <c r="G4927" t="s">
        <v>42</v>
      </c>
      <c r="H4927" t="s">
        <v>83</v>
      </c>
      <c r="I4927" t="s">
        <v>68</v>
      </c>
      <c r="J4927" t="s">
        <v>60</v>
      </c>
      <c r="K4927">
        <v>6</v>
      </c>
      <c r="L4927">
        <v>113092</v>
      </c>
      <c r="M4927" t="s">
        <v>28</v>
      </c>
      <c r="N4927">
        <v>2</v>
      </c>
      <c r="O4927">
        <v>4</v>
      </c>
      <c r="P4927">
        <v>74</v>
      </c>
      <c r="Q4927">
        <v>0</v>
      </c>
      <c r="R4927" s="1">
        <v>42981</v>
      </c>
      <c r="S4927" t="s">
        <v>29</v>
      </c>
      <c r="T4927" t="str">
        <f t="shared" si="380"/>
        <v>Grade A</v>
      </c>
      <c r="U4927">
        <f t="shared" si="381"/>
        <v>3</v>
      </c>
      <c r="V4927" t="str">
        <f t="shared" si="382"/>
        <v>Mid Level</v>
      </c>
      <c r="W4927" t="str">
        <f t="shared" si="383"/>
        <v>Medium Risk</v>
      </c>
      <c r="X4927" t="str">
        <f t="shared" si="384"/>
        <v>Competitive</v>
      </c>
    </row>
    <row r="4928" spans="1:24" x14ac:dyDescent="0.3">
      <c r="A4928" t="s">
        <v>4996</v>
      </c>
      <c r="B4928" t="s">
        <v>20</v>
      </c>
      <c r="C4928">
        <v>27</v>
      </c>
      <c r="D4928" t="s">
        <v>47</v>
      </c>
      <c r="E4928" t="s">
        <v>48</v>
      </c>
      <c r="F4928" t="s">
        <v>53</v>
      </c>
      <c r="G4928" t="s">
        <v>79</v>
      </c>
      <c r="H4928" t="s">
        <v>25</v>
      </c>
      <c r="I4928" t="s">
        <v>68</v>
      </c>
      <c r="J4928" t="s">
        <v>60</v>
      </c>
      <c r="K4928">
        <v>10</v>
      </c>
      <c r="L4928">
        <v>57104</v>
      </c>
      <c r="M4928" t="s">
        <v>51</v>
      </c>
      <c r="N4928">
        <v>3</v>
      </c>
      <c r="O4928">
        <v>2</v>
      </c>
      <c r="P4928">
        <v>23</v>
      </c>
      <c r="Q4928">
        <v>2</v>
      </c>
      <c r="R4928" s="1">
        <v>41304</v>
      </c>
      <c r="S4928" t="s">
        <v>29</v>
      </c>
      <c r="T4928" t="str">
        <f t="shared" si="380"/>
        <v>Grade B</v>
      </c>
      <c r="U4928">
        <f t="shared" si="381"/>
        <v>4</v>
      </c>
      <c r="V4928" t="str">
        <f t="shared" si="382"/>
        <v>Mid Level</v>
      </c>
      <c r="W4928" t="str">
        <f t="shared" si="383"/>
        <v>Low Risk</v>
      </c>
      <c r="X4928" t="str">
        <f t="shared" si="384"/>
        <v>Fair</v>
      </c>
    </row>
    <row r="4929" spans="1:24" x14ac:dyDescent="0.3">
      <c r="A4929" t="s">
        <v>4997</v>
      </c>
      <c r="B4929" t="s">
        <v>20</v>
      </c>
      <c r="C4929">
        <v>47</v>
      </c>
      <c r="D4929" t="s">
        <v>21</v>
      </c>
      <c r="E4929" t="s">
        <v>48</v>
      </c>
      <c r="F4929" t="s">
        <v>65</v>
      </c>
      <c r="G4929" t="s">
        <v>66</v>
      </c>
      <c r="H4929" t="s">
        <v>76</v>
      </c>
      <c r="I4929" t="s">
        <v>26</v>
      </c>
      <c r="J4929" t="s">
        <v>27</v>
      </c>
      <c r="K4929">
        <v>10</v>
      </c>
      <c r="L4929">
        <v>49337</v>
      </c>
      <c r="M4929" t="s">
        <v>51</v>
      </c>
      <c r="N4929">
        <v>2</v>
      </c>
      <c r="O4929">
        <v>4</v>
      </c>
      <c r="P4929">
        <v>25</v>
      </c>
      <c r="Q4929">
        <v>0</v>
      </c>
      <c r="R4929" s="1">
        <v>41611</v>
      </c>
      <c r="S4929" t="s">
        <v>37</v>
      </c>
      <c r="T4929" t="str">
        <f t="shared" si="380"/>
        <v>Grade C</v>
      </c>
      <c r="U4929">
        <f t="shared" si="381"/>
        <v>4</v>
      </c>
      <c r="V4929" t="str">
        <f t="shared" si="382"/>
        <v>Mid Level</v>
      </c>
      <c r="W4929" t="str">
        <f t="shared" si="383"/>
        <v>Already Left</v>
      </c>
      <c r="X4929" t="str">
        <f t="shared" si="384"/>
        <v>Fair</v>
      </c>
    </row>
    <row r="4930" spans="1:24" x14ac:dyDescent="0.3">
      <c r="A4930" t="s">
        <v>4998</v>
      </c>
      <c r="B4930" t="s">
        <v>39</v>
      </c>
      <c r="C4930">
        <v>40</v>
      </c>
      <c r="D4930" t="s">
        <v>21</v>
      </c>
      <c r="E4930" t="s">
        <v>48</v>
      </c>
      <c r="F4930" t="s">
        <v>62</v>
      </c>
      <c r="G4930" t="s">
        <v>63</v>
      </c>
      <c r="H4930" t="s">
        <v>25</v>
      </c>
      <c r="I4930" t="s">
        <v>50</v>
      </c>
      <c r="J4930" t="s">
        <v>44</v>
      </c>
      <c r="K4930">
        <v>12</v>
      </c>
      <c r="L4930">
        <v>62575</v>
      </c>
      <c r="M4930" t="s">
        <v>36</v>
      </c>
      <c r="N4930">
        <v>1</v>
      </c>
      <c r="O4930">
        <v>1</v>
      </c>
      <c r="P4930">
        <v>39</v>
      </c>
      <c r="Q4930">
        <v>3</v>
      </c>
      <c r="R4930" s="1">
        <v>40776</v>
      </c>
      <c r="S4930" t="s">
        <v>29</v>
      </c>
      <c r="T4930" t="str">
        <f t="shared" ref="T4930:T4993" si="385">IF(L4930&gt;=80000,"Grade A",IF(L4930&gt;=50000,"Grade B",IF(L4930&gt;=35000,"Grade C","Grade D")))</f>
        <v>Grade B</v>
      </c>
      <c r="U4930">
        <f t="shared" ref="U4930:U4993" si="386">IF(M4930="Excellent",4,IF(M4930="Good",3,IF(M4930="Average",2,1)))</f>
        <v>1</v>
      </c>
      <c r="V4930" t="str">
        <f t="shared" ref="V4930:V4993" si="387">IF(K4930&lt;=2,"New Joiner",IF(K4930&lt;=5,"Junior",IF(K4930&lt;=10,"Mid Level","Senior")))</f>
        <v>Senior</v>
      </c>
      <c r="W4930" t="str">
        <f t="shared" ref="W4930:W4993" si="388">IF(S4930="Yes","Already Left",IF(AND(K4930&lt;=2,M4930="Poor"),"High Risk",IF(AND(K4930&lt;=5,M4930="Average"),"Medium Risk",IF(M4930="Excellent","Low Risk","Medium Risk"))))</f>
        <v>Medium Risk</v>
      </c>
      <c r="X4930" t="str">
        <f t="shared" ref="X4930:X4993" si="389">IF(AND(L4930&gt;=80000,M4930="Excellent"),"Competitive",IF(AND(L4930&gt;=50000,M4930="Good"),"Competitive",IF(AND(L4930&lt;35000,M4930="Excellent"),"Underpaid",IF(AND(L4930&gt;=80000,M4930="Poor"),"Overpaid","Fair"))))</f>
        <v>Fair</v>
      </c>
    </row>
    <row r="4931" spans="1:24" x14ac:dyDescent="0.3">
      <c r="A4931" t="s">
        <v>4999</v>
      </c>
      <c r="B4931" t="s">
        <v>20</v>
      </c>
      <c r="C4931">
        <v>32</v>
      </c>
      <c r="D4931" t="s">
        <v>47</v>
      </c>
      <c r="E4931" t="s">
        <v>48</v>
      </c>
      <c r="F4931" t="s">
        <v>41</v>
      </c>
      <c r="G4931" t="s">
        <v>66</v>
      </c>
      <c r="H4931" t="s">
        <v>34</v>
      </c>
      <c r="I4931" t="s">
        <v>35</v>
      </c>
      <c r="J4931" t="s">
        <v>27</v>
      </c>
      <c r="K4931">
        <v>14</v>
      </c>
      <c r="L4931">
        <v>67891</v>
      </c>
      <c r="M4931" t="s">
        <v>45</v>
      </c>
      <c r="N4931">
        <v>3</v>
      </c>
      <c r="O4931">
        <v>4</v>
      </c>
      <c r="P4931">
        <v>26</v>
      </c>
      <c r="Q4931">
        <v>2</v>
      </c>
      <c r="R4931" s="1">
        <v>40051</v>
      </c>
      <c r="S4931" t="s">
        <v>29</v>
      </c>
      <c r="T4931" t="str">
        <f t="shared" si="385"/>
        <v>Grade B</v>
      </c>
      <c r="U4931">
        <f t="shared" si="386"/>
        <v>2</v>
      </c>
      <c r="V4931" t="str">
        <f t="shared" si="387"/>
        <v>Senior</v>
      </c>
      <c r="W4931" t="str">
        <f t="shared" si="388"/>
        <v>Medium Risk</v>
      </c>
      <c r="X4931" t="str">
        <f t="shared" si="389"/>
        <v>Fair</v>
      </c>
    </row>
    <row r="4932" spans="1:24" x14ac:dyDescent="0.3">
      <c r="A4932" t="s">
        <v>5000</v>
      </c>
      <c r="B4932" t="s">
        <v>20</v>
      </c>
      <c r="C4932">
        <v>27</v>
      </c>
      <c r="D4932" t="s">
        <v>31</v>
      </c>
      <c r="E4932" t="s">
        <v>48</v>
      </c>
      <c r="F4932" t="s">
        <v>23</v>
      </c>
      <c r="G4932" t="s">
        <v>42</v>
      </c>
      <c r="H4932" t="s">
        <v>25</v>
      </c>
      <c r="I4932" t="s">
        <v>72</v>
      </c>
      <c r="J4932" t="s">
        <v>73</v>
      </c>
      <c r="K4932">
        <v>3</v>
      </c>
      <c r="L4932">
        <v>93244</v>
      </c>
      <c r="M4932" t="s">
        <v>45</v>
      </c>
      <c r="N4932">
        <v>1</v>
      </c>
      <c r="O4932">
        <v>2</v>
      </c>
      <c r="P4932">
        <v>32</v>
      </c>
      <c r="Q4932">
        <v>1</v>
      </c>
      <c r="R4932" s="1">
        <v>44196</v>
      </c>
      <c r="S4932" t="s">
        <v>37</v>
      </c>
      <c r="T4932" t="str">
        <f t="shared" si="385"/>
        <v>Grade A</v>
      </c>
      <c r="U4932">
        <f t="shared" si="386"/>
        <v>2</v>
      </c>
      <c r="V4932" t="str">
        <f t="shared" si="387"/>
        <v>Junior</v>
      </c>
      <c r="W4932" t="str">
        <f t="shared" si="388"/>
        <v>Already Left</v>
      </c>
      <c r="X4932" t="str">
        <f t="shared" si="389"/>
        <v>Fair</v>
      </c>
    </row>
    <row r="4933" spans="1:24" x14ac:dyDescent="0.3">
      <c r="A4933" t="s">
        <v>5001</v>
      </c>
      <c r="B4933" t="s">
        <v>39</v>
      </c>
      <c r="C4933">
        <v>44</v>
      </c>
      <c r="D4933" t="s">
        <v>31</v>
      </c>
      <c r="E4933" t="s">
        <v>48</v>
      </c>
      <c r="F4933" t="s">
        <v>75</v>
      </c>
      <c r="G4933" t="s">
        <v>33</v>
      </c>
      <c r="H4933" t="s">
        <v>76</v>
      </c>
      <c r="I4933" t="s">
        <v>80</v>
      </c>
      <c r="J4933" t="s">
        <v>60</v>
      </c>
      <c r="K4933">
        <v>10</v>
      </c>
      <c r="L4933">
        <v>75229</v>
      </c>
      <c r="M4933" t="s">
        <v>28</v>
      </c>
      <c r="N4933">
        <v>3</v>
      </c>
      <c r="O4933">
        <v>4</v>
      </c>
      <c r="P4933">
        <v>33</v>
      </c>
      <c r="Q4933">
        <v>3</v>
      </c>
      <c r="R4933" s="1">
        <v>41492</v>
      </c>
      <c r="S4933" t="s">
        <v>29</v>
      </c>
      <c r="T4933" t="str">
        <f t="shared" si="385"/>
        <v>Grade B</v>
      </c>
      <c r="U4933">
        <f t="shared" si="386"/>
        <v>3</v>
      </c>
      <c r="V4933" t="str">
        <f t="shared" si="387"/>
        <v>Mid Level</v>
      </c>
      <c r="W4933" t="str">
        <f t="shared" si="388"/>
        <v>Medium Risk</v>
      </c>
      <c r="X4933" t="str">
        <f t="shared" si="389"/>
        <v>Competitive</v>
      </c>
    </row>
    <row r="4934" spans="1:24" x14ac:dyDescent="0.3">
      <c r="A4934" t="s">
        <v>5002</v>
      </c>
      <c r="B4934" t="s">
        <v>39</v>
      </c>
      <c r="C4934">
        <v>23</v>
      </c>
      <c r="D4934" t="s">
        <v>88</v>
      </c>
      <c r="E4934" t="s">
        <v>40</v>
      </c>
      <c r="F4934" t="s">
        <v>62</v>
      </c>
      <c r="G4934" t="s">
        <v>66</v>
      </c>
      <c r="H4934" t="s">
        <v>34</v>
      </c>
      <c r="I4934" t="s">
        <v>59</v>
      </c>
      <c r="J4934" t="s">
        <v>60</v>
      </c>
      <c r="K4934">
        <v>13</v>
      </c>
      <c r="L4934">
        <v>51259</v>
      </c>
      <c r="M4934" t="s">
        <v>45</v>
      </c>
      <c r="N4934">
        <v>4</v>
      </c>
      <c r="O4934">
        <v>2</v>
      </c>
      <c r="P4934">
        <v>58</v>
      </c>
      <c r="Q4934">
        <v>3</v>
      </c>
      <c r="R4934" s="1">
        <v>40468</v>
      </c>
      <c r="S4934" t="s">
        <v>37</v>
      </c>
      <c r="T4934" t="str">
        <f t="shared" si="385"/>
        <v>Grade B</v>
      </c>
      <c r="U4934">
        <f t="shared" si="386"/>
        <v>2</v>
      </c>
      <c r="V4934" t="str">
        <f t="shared" si="387"/>
        <v>Senior</v>
      </c>
      <c r="W4934" t="str">
        <f t="shared" si="388"/>
        <v>Already Left</v>
      </c>
      <c r="X4934" t="str">
        <f t="shared" si="389"/>
        <v>Fair</v>
      </c>
    </row>
    <row r="4935" spans="1:24" x14ac:dyDescent="0.3">
      <c r="A4935" t="s">
        <v>5003</v>
      </c>
      <c r="B4935" t="s">
        <v>20</v>
      </c>
      <c r="C4935">
        <v>23</v>
      </c>
      <c r="D4935" t="s">
        <v>31</v>
      </c>
      <c r="E4935" t="s">
        <v>22</v>
      </c>
      <c r="F4935" t="s">
        <v>53</v>
      </c>
      <c r="G4935" t="s">
        <v>79</v>
      </c>
      <c r="H4935" t="s">
        <v>34</v>
      </c>
      <c r="I4935" t="s">
        <v>35</v>
      </c>
      <c r="J4935" t="s">
        <v>27</v>
      </c>
      <c r="K4935">
        <v>7</v>
      </c>
      <c r="L4935">
        <v>62768</v>
      </c>
      <c r="M4935" t="s">
        <v>36</v>
      </c>
      <c r="N4935">
        <v>4</v>
      </c>
      <c r="O4935">
        <v>2</v>
      </c>
      <c r="P4935">
        <v>16</v>
      </c>
      <c r="Q4935">
        <v>2</v>
      </c>
      <c r="R4935" s="1">
        <v>42475</v>
      </c>
      <c r="S4935" t="s">
        <v>37</v>
      </c>
      <c r="T4935" t="str">
        <f t="shared" si="385"/>
        <v>Grade B</v>
      </c>
      <c r="U4935">
        <f t="shared" si="386"/>
        <v>1</v>
      </c>
      <c r="V4935" t="str">
        <f t="shared" si="387"/>
        <v>Mid Level</v>
      </c>
      <c r="W4935" t="str">
        <f t="shared" si="388"/>
        <v>Already Left</v>
      </c>
      <c r="X4935" t="str">
        <f t="shared" si="389"/>
        <v>Fair</v>
      </c>
    </row>
    <row r="4936" spans="1:24" x14ac:dyDescent="0.3">
      <c r="A4936" t="s">
        <v>5004</v>
      </c>
      <c r="B4936" t="s">
        <v>39</v>
      </c>
      <c r="C4936">
        <v>25</v>
      </c>
      <c r="D4936" t="s">
        <v>21</v>
      </c>
      <c r="E4936" t="s">
        <v>22</v>
      </c>
      <c r="F4936" t="s">
        <v>62</v>
      </c>
      <c r="G4936" t="s">
        <v>24</v>
      </c>
      <c r="H4936" t="s">
        <v>83</v>
      </c>
      <c r="I4936" t="s">
        <v>59</v>
      </c>
      <c r="J4936" t="s">
        <v>60</v>
      </c>
      <c r="K4936">
        <v>15</v>
      </c>
      <c r="L4936">
        <v>102655</v>
      </c>
      <c r="M4936" t="s">
        <v>51</v>
      </c>
      <c r="N4936">
        <v>2</v>
      </c>
      <c r="O4936">
        <v>2</v>
      </c>
      <c r="P4936">
        <v>59</v>
      </c>
      <c r="Q4936">
        <v>1</v>
      </c>
      <c r="R4936" s="1">
        <v>39763</v>
      </c>
      <c r="S4936" t="s">
        <v>37</v>
      </c>
      <c r="T4936" t="str">
        <f t="shared" si="385"/>
        <v>Grade A</v>
      </c>
      <c r="U4936">
        <f t="shared" si="386"/>
        <v>4</v>
      </c>
      <c r="V4936" t="str">
        <f t="shared" si="387"/>
        <v>Senior</v>
      </c>
      <c r="W4936" t="str">
        <f t="shared" si="388"/>
        <v>Already Left</v>
      </c>
      <c r="X4936" t="str">
        <f t="shared" si="389"/>
        <v>Competitive</v>
      </c>
    </row>
    <row r="4937" spans="1:24" x14ac:dyDescent="0.3">
      <c r="A4937" t="s">
        <v>5005</v>
      </c>
      <c r="B4937" t="s">
        <v>20</v>
      </c>
      <c r="C4937">
        <v>52</v>
      </c>
      <c r="D4937" t="s">
        <v>47</v>
      </c>
      <c r="E4937" t="s">
        <v>48</v>
      </c>
      <c r="F4937" t="s">
        <v>75</v>
      </c>
      <c r="G4937" t="s">
        <v>63</v>
      </c>
      <c r="H4937" t="s">
        <v>34</v>
      </c>
      <c r="I4937" t="s">
        <v>59</v>
      </c>
      <c r="J4937" t="s">
        <v>60</v>
      </c>
      <c r="K4937">
        <v>10</v>
      </c>
      <c r="L4937">
        <v>68961</v>
      </c>
      <c r="M4937" t="s">
        <v>45</v>
      </c>
      <c r="N4937">
        <v>1</v>
      </c>
      <c r="O4937">
        <v>3</v>
      </c>
      <c r="P4937">
        <v>40</v>
      </c>
      <c r="Q4937">
        <v>0</v>
      </c>
      <c r="R4937" s="1">
        <v>41371</v>
      </c>
      <c r="S4937" t="s">
        <v>29</v>
      </c>
      <c r="T4937" t="str">
        <f t="shared" si="385"/>
        <v>Grade B</v>
      </c>
      <c r="U4937">
        <f t="shared" si="386"/>
        <v>2</v>
      </c>
      <c r="V4937" t="str">
        <f t="shared" si="387"/>
        <v>Mid Level</v>
      </c>
      <c r="W4937" t="str">
        <f t="shared" si="388"/>
        <v>Medium Risk</v>
      </c>
      <c r="X4937" t="str">
        <f t="shared" si="389"/>
        <v>Fair</v>
      </c>
    </row>
    <row r="4938" spans="1:24" x14ac:dyDescent="0.3">
      <c r="A4938" t="s">
        <v>5006</v>
      </c>
      <c r="B4938" t="s">
        <v>20</v>
      </c>
      <c r="C4938">
        <v>25</v>
      </c>
      <c r="D4938" t="s">
        <v>31</v>
      </c>
      <c r="E4938" t="s">
        <v>22</v>
      </c>
      <c r="F4938" t="s">
        <v>53</v>
      </c>
      <c r="G4938" t="s">
        <v>49</v>
      </c>
      <c r="H4938" t="s">
        <v>83</v>
      </c>
      <c r="I4938" t="s">
        <v>68</v>
      </c>
      <c r="J4938" t="s">
        <v>60</v>
      </c>
      <c r="K4938">
        <v>5</v>
      </c>
      <c r="L4938">
        <v>63131</v>
      </c>
      <c r="M4938" t="s">
        <v>51</v>
      </c>
      <c r="N4938">
        <v>4</v>
      </c>
      <c r="O4938">
        <v>3</v>
      </c>
      <c r="P4938">
        <v>42</v>
      </c>
      <c r="Q4938">
        <v>2</v>
      </c>
      <c r="R4938" s="1">
        <v>43305</v>
      </c>
      <c r="S4938" t="s">
        <v>37</v>
      </c>
      <c r="T4938" t="str">
        <f t="shared" si="385"/>
        <v>Grade B</v>
      </c>
      <c r="U4938">
        <f t="shared" si="386"/>
        <v>4</v>
      </c>
      <c r="V4938" t="str">
        <f t="shared" si="387"/>
        <v>Junior</v>
      </c>
      <c r="W4938" t="str">
        <f t="shared" si="388"/>
        <v>Already Left</v>
      </c>
      <c r="X4938" t="str">
        <f t="shared" si="389"/>
        <v>Fair</v>
      </c>
    </row>
    <row r="4939" spans="1:24" x14ac:dyDescent="0.3">
      <c r="A4939" t="s">
        <v>5007</v>
      </c>
      <c r="B4939" t="s">
        <v>20</v>
      </c>
      <c r="C4939">
        <v>22</v>
      </c>
      <c r="D4939" t="s">
        <v>88</v>
      </c>
      <c r="E4939" t="s">
        <v>40</v>
      </c>
      <c r="F4939" t="s">
        <v>62</v>
      </c>
      <c r="G4939" t="s">
        <v>79</v>
      </c>
      <c r="H4939" t="s">
        <v>25</v>
      </c>
      <c r="I4939" t="s">
        <v>43</v>
      </c>
      <c r="J4939" t="s">
        <v>44</v>
      </c>
      <c r="K4939">
        <v>11</v>
      </c>
      <c r="L4939">
        <v>54492</v>
      </c>
      <c r="M4939" t="s">
        <v>28</v>
      </c>
      <c r="N4939">
        <v>1</v>
      </c>
      <c r="O4939">
        <v>3</v>
      </c>
      <c r="P4939">
        <v>36</v>
      </c>
      <c r="Q4939">
        <v>0</v>
      </c>
      <c r="R4939" s="1">
        <v>41067</v>
      </c>
      <c r="S4939" t="s">
        <v>37</v>
      </c>
      <c r="T4939" t="str">
        <f t="shared" si="385"/>
        <v>Grade B</v>
      </c>
      <c r="U4939">
        <f t="shared" si="386"/>
        <v>3</v>
      </c>
      <c r="V4939" t="str">
        <f t="shared" si="387"/>
        <v>Senior</v>
      </c>
      <c r="W4939" t="str">
        <f t="shared" si="388"/>
        <v>Already Left</v>
      </c>
      <c r="X4939" t="str">
        <f t="shared" si="389"/>
        <v>Competitive</v>
      </c>
    </row>
    <row r="4940" spans="1:24" x14ac:dyDescent="0.3">
      <c r="A4940" t="s">
        <v>5008</v>
      </c>
      <c r="B4940" t="s">
        <v>39</v>
      </c>
      <c r="C4940">
        <v>24</v>
      </c>
      <c r="D4940" t="s">
        <v>31</v>
      </c>
      <c r="E4940" t="s">
        <v>22</v>
      </c>
      <c r="F4940" t="s">
        <v>53</v>
      </c>
      <c r="G4940" t="s">
        <v>66</v>
      </c>
      <c r="H4940" t="s">
        <v>76</v>
      </c>
      <c r="I4940" t="s">
        <v>59</v>
      </c>
      <c r="J4940" t="s">
        <v>60</v>
      </c>
      <c r="K4940">
        <v>14</v>
      </c>
      <c r="L4940">
        <v>56076</v>
      </c>
      <c r="M4940" t="s">
        <v>51</v>
      </c>
      <c r="N4940">
        <v>3</v>
      </c>
      <c r="O4940">
        <v>3</v>
      </c>
      <c r="P4940">
        <v>64</v>
      </c>
      <c r="Q4940">
        <v>2</v>
      </c>
      <c r="R4940" s="1">
        <v>39946</v>
      </c>
      <c r="S4940" t="s">
        <v>29</v>
      </c>
      <c r="T4940" t="str">
        <f t="shared" si="385"/>
        <v>Grade B</v>
      </c>
      <c r="U4940">
        <f t="shared" si="386"/>
        <v>4</v>
      </c>
      <c r="V4940" t="str">
        <f t="shared" si="387"/>
        <v>Senior</v>
      </c>
      <c r="W4940" t="str">
        <f t="shared" si="388"/>
        <v>Low Risk</v>
      </c>
      <c r="X4940" t="str">
        <f t="shared" si="389"/>
        <v>Fair</v>
      </c>
    </row>
    <row r="4941" spans="1:24" x14ac:dyDescent="0.3">
      <c r="A4941" t="s">
        <v>5009</v>
      </c>
      <c r="B4941" t="s">
        <v>20</v>
      </c>
      <c r="C4941">
        <v>53</v>
      </c>
      <c r="D4941" t="s">
        <v>88</v>
      </c>
      <c r="E4941" t="s">
        <v>22</v>
      </c>
      <c r="F4941" t="s">
        <v>32</v>
      </c>
      <c r="G4941" t="s">
        <v>42</v>
      </c>
      <c r="H4941" t="s">
        <v>34</v>
      </c>
      <c r="I4941" t="s">
        <v>43</v>
      </c>
      <c r="J4941" t="s">
        <v>44</v>
      </c>
      <c r="K4941">
        <v>3</v>
      </c>
      <c r="L4941">
        <v>92261</v>
      </c>
      <c r="M4941" t="s">
        <v>28</v>
      </c>
      <c r="N4941">
        <v>3</v>
      </c>
      <c r="O4941">
        <v>4</v>
      </c>
      <c r="P4941">
        <v>38</v>
      </c>
      <c r="Q4941">
        <v>2</v>
      </c>
      <c r="R4941" s="1">
        <v>44040</v>
      </c>
      <c r="S4941" t="s">
        <v>37</v>
      </c>
      <c r="T4941" t="str">
        <f t="shared" si="385"/>
        <v>Grade A</v>
      </c>
      <c r="U4941">
        <f t="shared" si="386"/>
        <v>3</v>
      </c>
      <c r="V4941" t="str">
        <f t="shared" si="387"/>
        <v>Junior</v>
      </c>
      <c r="W4941" t="str">
        <f t="shared" si="388"/>
        <v>Already Left</v>
      </c>
      <c r="X4941" t="str">
        <f t="shared" si="389"/>
        <v>Competitive</v>
      </c>
    </row>
    <row r="4942" spans="1:24" x14ac:dyDescent="0.3">
      <c r="A4942" t="s">
        <v>5010</v>
      </c>
      <c r="B4942" t="s">
        <v>39</v>
      </c>
      <c r="C4942">
        <v>50</v>
      </c>
      <c r="D4942" t="s">
        <v>31</v>
      </c>
      <c r="E4942" t="s">
        <v>22</v>
      </c>
      <c r="F4942" t="s">
        <v>23</v>
      </c>
      <c r="G4942" t="s">
        <v>63</v>
      </c>
      <c r="H4942" t="s">
        <v>25</v>
      </c>
      <c r="I4942" t="s">
        <v>35</v>
      </c>
      <c r="J4942" t="s">
        <v>27</v>
      </c>
      <c r="K4942">
        <v>2</v>
      </c>
      <c r="L4942">
        <v>46969</v>
      </c>
      <c r="M4942" t="s">
        <v>45</v>
      </c>
      <c r="N4942">
        <v>1</v>
      </c>
      <c r="O4942">
        <v>4</v>
      </c>
      <c r="P4942">
        <v>30</v>
      </c>
      <c r="Q4942">
        <v>0</v>
      </c>
      <c r="R4942" s="1">
        <v>44301</v>
      </c>
      <c r="S4942" t="s">
        <v>37</v>
      </c>
      <c r="T4942" t="str">
        <f t="shared" si="385"/>
        <v>Grade C</v>
      </c>
      <c r="U4942">
        <f t="shared" si="386"/>
        <v>2</v>
      </c>
      <c r="V4942" t="str">
        <f t="shared" si="387"/>
        <v>New Joiner</v>
      </c>
      <c r="W4942" t="str">
        <f t="shared" si="388"/>
        <v>Already Left</v>
      </c>
      <c r="X4942" t="str">
        <f t="shared" si="389"/>
        <v>Fair</v>
      </c>
    </row>
    <row r="4943" spans="1:24" x14ac:dyDescent="0.3">
      <c r="A4943" t="s">
        <v>5011</v>
      </c>
      <c r="B4943" t="s">
        <v>20</v>
      </c>
      <c r="C4943">
        <v>52</v>
      </c>
      <c r="D4943" t="s">
        <v>31</v>
      </c>
      <c r="E4943" t="s">
        <v>40</v>
      </c>
      <c r="F4943" t="s">
        <v>32</v>
      </c>
      <c r="G4943" t="s">
        <v>58</v>
      </c>
      <c r="H4943" t="s">
        <v>34</v>
      </c>
      <c r="I4943" t="s">
        <v>72</v>
      </c>
      <c r="J4943" t="s">
        <v>73</v>
      </c>
      <c r="K4943">
        <v>11</v>
      </c>
      <c r="L4943">
        <v>107677</v>
      </c>
      <c r="M4943" t="s">
        <v>51</v>
      </c>
      <c r="N4943">
        <v>1</v>
      </c>
      <c r="O4943">
        <v>4</v>
      </c>
      <c r="P4943">
        <v>78</v>
      </c>
      <c r="Q4943">
        <v>0</v>
      </c>
      <c r="R4943" s="1">
        <v>40915</v>
      </c>
      <c r="S4943" t="s">
        <v>37</v>
      </c>
      <c r="T4943" t="str">
        <f t="shared" si="385"/>
        <v>Grade A</v>
      </c>
      <c r="U4943">
        <f t="shared" si="386"/>
        <v>4</v>
      </c>
      <c r="V4943" t="str">
        <f t="shared" si="387"/>
        <v>Senior</v>
      </c>
      <c r="W4943" t="str">
        <f t="shared" si="388"/>
        <v>Already Left</v>
      </c>
      <c r="X4943" t="str">
        <f t="shared" si="389"/>
        <v>Competitive</v>
      </c>
    </row>
    <row r="4944" spans="1:24" x14ac:dyDescent="0.3">
      <c r="A4944" t="s">
        <v>5012</v>
      </c>
      <c r="B4944" t="s">
        <v>39</v>
      </c>
      <c r="C4944">
        <v>35</v>
      </c>
      <c r="D4944" t="s">
        <v>21</v>
      </c>
      <c r="E4944" t="s">
        <v>40</v>
      </c>
      <c r="F4944" t="s">
        <v>32</v>
      </c>
      <c r="G4944" t="s">
        <v>49</v>
      </c>
      <c r="H4944" t="s">
        <v>83</v>
      </c>
      <c r="I4944" t="s">
        <v>59</v>
      </c>
      <c r="J4944" t="s">
        <v>60</v>
      </c>
      <c r="K4944">
        <v>15</v>
      </c>
      <c r="L4944">
        <v>85814</v>
      </c>
      <c r="M4944" t="s">
        <v>28</v>
      </c>
      <c r="N4944">
        <v>1</v>
      </c>
      <c r="O4944">
        <v>2</v>
      </c>
      <c r="P4944">
        <v>21</v>
      </c>
      <c r="Q4944">
        <v>3</v>
      </c>
      <c r="R4944" s="1">
        <v>39489</v>
      </c>
      <c r="S4944" t="s">
        <v>29</v>
      </c>
      <c r="T4944" t="str">
        <f t="shared" si="385"/>
        <v>Grade A</v>
      </c>
      <c r="U4944">
        <f t="shared" si="386"/>
        <v>3</v>
      </c>
      <c r="V4944" t="str">
        <f t="shared" si="387"/>
        <v>Senior</v>
      </c>
      <c r="W4944" t="str">
        <f t="shared" si="388"/>
        <v>Medium Risk</v>
      </c>
      <c r="X4944" t="str">
        <f t="shared" si="389"/>
        <v>Competitive</v>
      </c>
    </row>
    <row r="4945" spans="1:24" x14ac:dyDescent="0.3">
      <c r="A4945" t="s">
        <v>5013</v>
      </c>
      <c r="B4945" t="s">
        <v>39</v>
      </c>
      <c r="C4945">
        <v>38</v>
      </c>
      <c r="D4945" t="s">
        <v>21</v>
      </c>
      <c r="E4945" t="s">
        <v>22</v>
      </c>
      <c r="F4945" t="s">
        <v>62</v>
      </c>
      <c r="G4945" t="s">
        <v>33</v>
      </c>
      <c r="H4945" t="s">
        <v>25</v>
      </c>
      <c r="I4945" t="s">
        <v>50</v>
      </c>
      <c r="J4945" t="s">
        <v>44</v>
      </c>
      <c r="K4945">
        <v>15</v>
      </c>
      <c r="L4945">
        <v>82293</v>
      </c>
      <c r="M4945" t="s">
        <v>45</v>
      </c>
      <c r="N4945">
        <v>2</v>
      </c>
      <c r="O4945">
        <v>1</v>
      </c>
      <c r="P4945">
        <v>65</v>
      </c>
      <c r="Q4945">
        <v>0</v>
      </c>
      <c r="R4945" s="1">
        <v>39784</v>
      </c>
      <c r="S4945" t="s">
        <v>29</v>
      </c>
      <c r="T4945" t="str">
        <f t="shared" si="385"/>
        <v>Grade A</v>
      </c>
      <c r="U4945">
        <f t="shared" si="386"/>
        <v>2</v>
      </c>
      <c r="V4945" t="str">
        <f t="shared" si="387"/>
        <v>Senior</v>
      </c>
      <c r="W4945" t="str">
        <f t="shared" si="388"/>
        <v>Medium Risk</v>
      </c>
      <c r="X4945" t="str">
        <f t="shared" si="389"/>
        <v>Fair</v>
      </c>
    </row>
    <row r="4946" spans="1:24" x14ac:dyDescent="0.3">
      <c r="A4946" t="s">
        <v>5014</v>
      </c>
      <c r="B4946" t="s">
        <v>20</v>
      </c>
      <c r="C4946">
        <v>23</v>
      </c>
      <c r="D4946" t="s">
        <v>57</v>
      </c>
      <c r="E4946" t="s">
        <v>48</v>
      </c>
      <c r="F4946" t="s">
        <v>41</v>
      </c>
      <c r="G4946" t="s">
        <v>63</v>
      </c>
      <c r="H4946" t="s">
        <v>34</v>
      </c>
      <c r="I4946" t="s">
        <v>43</v>
      </c>
      <c r="J4946" t="s">
        <v>44</v>
      </c>
      <c r="K4946">
        <v>4</v>
      </c>
      <c r="L4946">
        <v>45512</v>
      </c>
      <c r="M4946" t="s">
        <v>45</v>
      </c>
      <c r="N4946">
        <v>4</v>
      </c>
      <c r="O4946">
        <v>4</v>
      </c>
      <c r="P4946">
        <v>10</v>
      </c>
      <c r="Q4946">
        <v>1</v>
      </c>
      <c r="R4946" s="1">
        <v>43620</v>
      </c>
      <c r="S4946" t="s">
        <v>37</v>
      </c>
      <c r="T4946" t="str">
        <f t="shared" si="385"/>
        <v>Grade C</v>
      </c>
      <c r="U4946">
        <f t="shared" si="386"/>
        <v>2</v>
      </c>
      <c r="V4946" t="str">
        <f t="shared" si="387"/>
        <v>Junior</v>
      </c>
      <c r="W4946" t="str">
        <f t="shared" si="388"/>
        <v>Already Left</v>
      </c>
      <c r="X4946" t="str">
        <f t="shared" si="389"/>
        <v>Fair</v>
      </c>
    </row>
    <row r="4947" spans="1:24" x14ac:dyDescent="0.3">
      <c r="A4947" t="s">
        <v>5015</v>
      </c>
      <c r="B4947" t="s">
        <v>20</v>
      </c>
      <c r="C4947">
        <v>42</v>
      </c>
      <c r="D4947" t="s">
        <v>57</v>
      </c>
      <c r="E4947" t="s">
        <v>40</v>
      </c>
      <c r="F4947" t="s">
        <v>41</v>
      </c>
      <c r="G4947" t="s">
        <v>79</v>
      </c>
      <c r="H4947" t="s">
        <v>67</v>
      </c>
      <c r="I4947" t="s">
        <v>72</v>
      </c>
      <c r="J4947" t="s">
        <v>73</v>
      </c>
      <c r="K4947">
        <v>13</v>
      </c>
      <c r="L4947">
        <v>71406</v>
      </c>
      <c r="M4947" t="s">
        <v>36</v>
      </c>
      <c r="N4947">
        <v>1</v>
      </c>
      <c r="O4947">
        <v>1</v>
      </c>
      <c r="P4947">
        <v>54</v>
      </c>
      <c r="Q4947">
        <v>1</v>
      </c>
      <c r="R4947" s="1">
        <v>40467</v>
      </c>
      <c r="S4947" t="s">
        <v>37</v>
      </c>
      <c r="T4947" t="str">
        <f t="shared" si="385"/>
        <v>Grade B</v>
      </c>
      <c r="U4947">
        <f t="shared" si="386"/>
        <v>1</v>
      </c>
      <c r="V4947" t="str">
        <f t="shared" si="387"/>
        <v>Senior</v>
      </c>
      <c r="W4947" t="str">
        <f t="shared" si="388"/>
        <v>Already Left</v>
      </c>
      <c r="X4947" t="str">
        <f t="shared" si="389"/>
        <v>Fair</v>
      </c>
    </row>
    <row r="4948" spans="1:24" x14ac:dyDescent="0.3">
      <c r="A4948" t="s">
        <v>5016</v>
      </c>
      <c r="B4948" t="s">
        <v>20</v>
      </c>
      <c r="C4948">
        <v>30</v>
      </c>
      <c r="D4948" t="s">
        <v>31</v>
      </c>
      <c r="E4948" t="s">
        <v>48</v>
      </c>
      <c r="F4948" t="s">
        <v>62</v>
      </c>
      <c r="G4948" t="s">
        <v>63</v>
      </c>
      <c r="H4948" t="s">
        <v>83</v>
      </c>
      <c r="I4948" t="s">
        <v>35</v>
      </c>
      <c r="J4948" t="s">
        <v>27</v>
      </c>
      <c r="K4948">
        <v>14</v>
      </c>
      <c r="L4948">
        <v>70658</v>
      </c>
      <c r="M4948" t="s">
        <v>36</v>
      </c>
      <c r="N4948">
        <v>4</v>
      </c>
      <c r="O4948">
        <v>4</v>
      </c>
      <c r="P4948">
        <v>72</v>
      </c>
      <c r="Q4948">
        <v>3</v>
      </c>
      <c r="R4948" s="1">
        <v>40000</v>
      </c>
      <c r="S4948" t="s">
        <v>29</v>
      </c>
      <c r="T4948" t="str">
        <f t="shared" si="385"/>
        <v>Grade B</v>
      </c>
      <c r="U4948">
        <f t="shared" si="386"/>
        <v>1</v>
      </c>
      <c r="V4948" t="str">
        <f t="shared" si="387"/>
        <v>Senior</v>
      </c>
      <c r="W4948" t="str">
        <f t="shared" si="388"/>
        <v>Medium Risk</v>
      </c>
      <c r="X4948" t="str">
        <f t="shared" si="389"/>
        <v>Fair</v>
      </c>
    </row>
    <row r="4949" spans="1:24" x14ac:dyDescent="0.3">
      <c r="A4949" t="s">
        <v>5017</v>
      </c>
      <c r="B4949" t="s">
        <v>20</v>
      </c>
      <c r="C4949">
        <v>27</v>
      </c>
      <c r="D4949" t="s">
        <v>21</v>
      </c>
      <c r="E4949" t="s">
        <v>48</v>
      </c>
      <c r="F4949" t="s">
        <v>23</v>
      </c>
      <c r="G4949" t="s">
        <v>79</v>
      </c>
      <c r="H4949" t="s">
        <v>25</v>
      </c>
      <c r="I4949" t="s">
        <v>54</v>
      </c>
      <c r="J4949" t="s">
        <v>27</v>
      </c>
      <c r="K4949">
        <v>15</v>
      </c>
      <c r="L4949">
        <v>62655</v>
      </c>
      <c r="M4949" t="s">
        <v>45</v>
      </c>
      <c r="N4949">
        <v>2</v>
      </c>
      <c r="O4949">
        <v>3</v>
      </c>
      <c r="P4949">
        <v>12</v>
      </c>
      <c r="Q4949">
        <v>2</v>
      </c>
      <c r="R4949" s="1">
        <v>39477</v>
      </c>
      <c r="S4949" t="s">
        <v>29</v>
      </c>
      <c r="T4949" t="str">
        <f t="shared" si="385"/>
        <v>Grade B</v>
      </c>
      <c r="U4949">
        <f t="shared" si="386"/>
        <v>2</v>
      </c>
      <c r="V4949" t="str">
        <f t="shared" si="387"/>
        <v>Senior</v>
      </c>
      <c r="W4949" t="str">
        <f t="shared" si="388"/>
        <v>Medium Risk</v>
      </c>
      <c r="X4949" t="str">
        <f t="shared" si="389"/>
        <v>Fair</v>
      </c>
    </row>
    <row r="4950" spans="1:24" x14ac:dyDescent="0.3">
      <c r="A4950" t="s">
        <v>5018</v>
      </c>
      <c r="B4950" t="s">
        <v>20</v>
      </c>
      <c r="C4950">
        <v>55</v>
      </c>
      <c r="D4950" t="s">
        <v>57</v>
      </c>
      <c r="E4950" t="s">
        <v>40</v>
      </c>
      <c r="F4950" t="s">
        <v>62</v>
      </c>
      <c r="G4950" t="s">
        <v>63</v>
      </c>
      <c r="H4950" t="s">
        <v>67</v>
      </c>
      <c r="I4950" t="s">
        <v>68</v>
      </c>
      <c r="J4950" t="s">
        <v>60</v>
      </c>
      <c r="K4950">
        <v>14</v>
      </c>
      <c r="L4950">
        <v>82197</v>
      </c>
      <c r="M4950" t="s">
        <v>36</v>
      </c>
      <c r="N4950">
        <v>1</v>
      </c>
      <c r="O4950">
        <v>1</v>
      </c>
      <c r="P4950">
        <v>69</v>
      </c>
      <c r="Q4950">
        <v>1</v>
      </c>
      <c r="R4950" s="1">
        <v>39954</v>
      </c>
      <c r="S4950" t="s">
        <v>29</v>
      </c>
      <c r="T4950" t="str">
        <f t="shared" si="385"/>
        <v>Grade A</v>
      </c>
      <c r="U4950">
        <f t="shared" si="386"/>
        <v>1</v>
      </c>
      <c r="V4950" t="str">
        <f t="shared" si="387"/>
        <v>Senior</v>
      </c>
      <c r="W4950" t="str">
        <f t="shared" si="388"/>
        <v>Medium Risk</v>
      </c>
      <c r="X4950" t="str">
        <f t="shared" si="389"/>
        <v>Overpaid</v>
      </c>
    </row>
    <row r="4951" spans="1:24" x14ac:dyDescent="0.3">
      <c r="A4951" t="s">
        <v>5019</v>
      </c>
      <c r="B4951" t="s">
        <v>20</v>
      </c>
      <c r="C4951">
        <v>39</v>
      </c>
      <c r="D4951" t="s">
        <v>21</v>
      </c>
      <c r="E4951" t="s">
        <v>48</v>
      </c>
      <c r="F4951" t="s">
        <v>41</v>
      </c>
      <c r="G4951" t="s">
        <v>79</v>
      </c>
      <c r="H4951" t="s">
        <v>76</v>
      </c>
      <c r="I4951" t="s">
        <v>35</v>
      </c>
      <c r="J4951" t="s">
        <v>27</v>
      </c>
      <c r="K4951">
        <v>5</v>
      </c>
      <c r="L4951">
        <v>47987</v>
      </c>
      <c r="M4951" t="s">
        <v>51</v>
      </c>
      <c r="N4951">
        <v>4</v>
      </c>
      <c r="O4951">
        <v>1</v>
      </c>
      <c r="P4951">
        <v>36</v>
      </c>
      <c r="Q4951">
        <v>1</v>
      </c>
      <c r="R4951" s="1">
        <v>43165</v>
      </c>
      <c r="S4951" t="s">
        <v>29</v>
      </c>
      <c r="T4951" t="str">
        <f t="shared" si="385"/>
        <v>Grade C</v>
      </c>
      <c r="U4951">
        <f t="shared" si="386"/>
        <v>4</v>
      </c>
      <c r="V4951" t="str">
        <f t="shared" si="387"/>
        <v>Junior</v>
      </c>
      <c r="W4951" t="str">
        <f t="shared" si="388"/>
        <v>Low Risk</v>
      </c>
      <c r="X4951" t="str">
        <f t="shared" si="389"/>
        <v>Fair</v>
      </c>
    </row>
    <row r="4952" spans="1:24" x14ac:dyDescent="0.3">
      <c r="A4952" t="s">
        <v>5020</v>
      </c>
      <c r="B4952" t="s">
        <v>20</v>
      </c>
      <c r="C4952">
        <v>52</v>
      </c>
      <c r="D4952" t="s">
        <v>21</v>
      </c>
      <c r="E4952" t="s">
        <v>22</v>
      </c>
      <c r="F4952" t="s">
        <v>41</v>
      </c>
      <c r="G4952" t="s">
        <v>79</v>
      </c>
      <c r="H4952" t="s">
        <v>83</v>
      </c>
      <c r="I4952" t="s">
        <v>80</v>
      </c>
      <c r="J4952" t="s">
        <v>60</v>
      </c>
      <c r="K4952">
        <v>2</v>
      </c>
      <c r="L4952">
        <v>36380</v>
      </c>
      <c r="M4952" t="s">
        <v>28</v>
      </c>
      <c r="N4952">
        <v>2</v>
      </c>
      <c r="O4952">
        <v>1</v>
      </c>
      <c r="P4952">
        <v>70</v>
      </c>
      <c r="Q4952">
        <v>2</v>
      </c>
      <c r="R4952" s="1">
        <v>44380</v>
      </c>
      <c r="S4952" t="s">
        <v>29</v>
      </c>
      <c r="T4952" t="str">
        <f t="shared" si="385"/>
        <v>Grade C</v>
      </c>
      <c r="U4952">
        <f t="shared" si="386"/>
        <v>3</v>
      </c>
      <c r="V4952" t="str">
        <f t="shared" si="387"/>
        <v>New Joiner</v>
      </c>
      <c r="W4952" t="str">
        <f t="shared" si="388"/>
        <v>Medium Risk</v>
      </c>
      <c r="X4952" t="str">
        <f t="shared" si="389"/>
        <v>Fair</v>
      </c>
    </row>
    <row r="4953" spans="1:24" x14ac:dyDescent="0.3">
      <c r="A4953" t="s">
        <v>5021</v>
      </c>
      <c r="B4953" t="s">
        <v>20</v>
      </c>
      <c r="C4953">
        <v>36</v>
      </c>
      <c r="D4953" t="s">
        <v>47</v>
      </c>
      <c r="E4953" t="s">
        <v>22</v>
      </c>
      <c r="F4953" t="s">
        <v>23</v>
      </c>
      <c r="G4953" t="s">
        <v>42</v>
      </c>
      <c r="H4953" t="s">
        <v>34</v>
      </c>
      <c r="I4953" t="s">
        <v>54</v>
      </c>
      <c r="J4953" t="s">
        <v>27</v>
      </c>
      <c r="K4953">
        <v>13</v>
      </c>
      <c r="L4953">
        <v>122350</v>
      </c>
      <c r="M4953" t="s">
        <v>28</v>
      </c>
      <c r="N4953">
        <v>1</v>
      </c>
      <c r="O4953">
        <v>2</v>
      </c>
      <c r="P4953">
        <v>15</v>
      </c>
      <c r="Q4953">
        <v>1</v>
      </c>
      <c r="R4953" s="1">
        <v>40540</v>
      </c>
      <c r="S4953" t="s">
        <v>29</v>
      </c>
      <c r="T4953" t="str">
        <f t="shared" si="385"/>
        <v>Grade A</v>
      </c>
      <c r="U4953">
        <f t="shared" si="386"/>
        <v>3</v>
      </c>
      <c r="V4953" t="str">
        <f t="shared" si="387"/>
        <v>Senior</v>
      </c>
      <c r="W4953" t="str">
        <f t="shared" si="388"/>
        <v>Medium Risk</v>
      </c>
      <c r="X4953" t="str">
        <f t="shared" si="389"/>
        <v>Competitive</v>
      </c>
    </row>
    <row r="4954" spans="1:24" x14ac:dyDescent="0.3">
      <c r="A4954" t="s">
        <v>5022</v>
      </c>
      <c r="B4954" t="s">
        <v>20</v>
      </c>
      <c r="C4954">
        <v>50</v>
      </c>
      <c r="D4954" t="s">
        <v>21</v>
      </c>
      <c r="E4954" t="s">
        <v>22</v>
      </c>
      <c r="F4954" t="s">
        <v>32</v>
      </c>
      <c r="G4954" t="s">
        <v>66</v>
      </c>
      <c r="H4954" t="s">
        <v>34</v>
      </c>
      <c r="I4954" t="s">
        <v>68</v>
      </c>
      <c r="J4954" t="s">
        <v>60</v>
      </c>
      <c r="K4954">
        <v>11</v>
      </c>
      <c r="L4954">
        <v>55890</v>
      </c>
      <c r="M4954" t="s">
        <v>28</v>
      </c>
      <c r="N4954">
        <v>2</v>
      </c>
      <c r="O4954">
        <v>3</v>
      </c>
      <c r="P4954">
        <v>42</v>
      </c>
      <c r="Q4954">
        <v>3</v>
      </c>
      <c r="R4954" s="1">
        <v>41151</v>
      </c>
      <c r="S4954" t="s">
        <v>37</v>
      </c>
      <c r="T4954" t="str">
        <f t="shared" si="385"/>
        <v>Grade B</v>
      </c>
      <c r="U4954">
        <f t="shared" si="386"/>
        <v>3</v>
      </c>
      <c r="V4954" t="str">
        <f t="shared" si="387"/>
        <v>Senior</v>
      </c>
      <c r="W4954" t="str">
        <f t="shared" si="388"/>
        <v>Already Left</v>
      </c>
      <c r="X4954" t="str">
        <f t="shared" si="389"/>
        <v>Competitive</v>
      </c>
    </row>
    <row r="4955" spans="1:24" x14ac:dyDescent="0.3">
      <c r="A4955" t="s">
        <v>5023</v>
      </c>
      <c r="B4955" t="s">
        <v>20</v>
      </c>
      <c r="C4955">
        <v>52</v>
      </c>
      <c r="D4955" t="s">
        <v>47</v>
      </c>
      <c r="E4955" t="s">
        <v>48</v>
      </c>
      <c r="F4955" t="s">
        <v>78</v>
      </c>
      <c r="G4955" t="s">
        <v>79</v>
      </c>
      <c r="H4955" t="s">
        <v>34</v>
      </c>
      <c r="I4955" t="s">
        <v>68</v>
      </c>
      <c r="J4955" t="s">
        <v>60</v>
      </c>
      <c r="K4955">
        <v>3</v>
      </c>
      <c r="L4955">
        <v>55523</v>
      </c>
      <c r="M4955" t="s">
        <v>51</v>
      </c>
      <c r="N4955">
        <v>1</v>
      </c>
      <c r="O4955">
        <v>3</v>
      </c>
      <c r="P4955">
        <v>46</v>
      </c>
      <c r="Q4955">
        <v>3</v>
      </c>
      <c r="R4955" s="1">
        <v>43865</v>
      </c>
      <c r="S4955" t="s">
        <v>29</v>
      </c>
      <c r="T4955" t="str">
        <f t="shared" si="385"/>
        <v>Grade B</v>
      </c>
      <c r="U4955">
        <f t="shared" si="386"/>
        <v>4</v>
      </c>
      <c r="V4955" t="str">
        <f t="shared" si="387"/>
        <v>Junior</v>
      </c>
      <c r="W4955" t="str">
        <f t="shared" si="388"/>
        <v>Low Risk</v>
      </c>
      <c r="X4955" t="str">
        <f t="shared" si="389"/>
        <v>Fair</v>
      </c>
    </row>
    <row r="4956" spans="1:24" x14ac:dyDescent="0.3">
      <c r="A4956" t="s">
        <v>5024</v>
      </c>
      <c r="B4956" t="s">
        <v>39</v>
      </c>
      <c r="C4956">
        <v>31</v>
      </c>
      <c r="D4956" t="s">
        <v>31</v>
      </c>
      <c r="E4956" t="s">
        <v>22</v>
      </c>
      <c r="F4956" t="s">
        <v>75</v>
      </c>
      <c r="G4956" t="s">
        <v>63</v>
      </c>
      <c r="H4956" t="s">
        <v>76</v>
      </c>
      <c r="I4956" t="s">
        <v>50</v>
      </c>
      <c r="J4956" t="s">
        <v>44</v>
      </c>
      <c r="K4956">
        <v>8</v>
      </c>
      <c r="L4956">
        <v>64437</v>
      </c>
      <c r="M4956" t="s">
        <v>51</v>
      </c>
      <c r="N4956">
        <v>3</v>
      </c>
      <c r="O4956">
        <v>4</v>
      </c>
      <c r="P4956">
        <v>38</v>
      </c>
      <c r="Q4956">
        <v>2</v>
      </c>
      <c r="R4956" s="1">
        <v>42124</v>
      </c>
      <c r="S4956" t="s">
        <v>29</v>
      </c>
      <c r="T4956" t="str">
        <f t="shared" si="385"/>
        <v>Grade B</v>
      </c>
      <c r="U4956">
        <f t="shared" si="386"/>
        <v>4</v>
      </c>
      <c r="V4956" t="str">
        <f t="shared" si="387"/>
        <v>Mid Level</v>
      </c>
      <c r="W4956" t="str">
        <f t="shared" si="388"/>
        <v>Low Risk</v>
      </c>
      <c r="X4956" t="str">
        <f t="shared" si="389"/>
        <v>Fair</v>
      </c>
    </row>
    <row r="4957" spans="1:24" x14ac:dyDescent="0.3">
      <c r="A4957" t="s">
        <v>5025</v>
      </c>
      <c r="B4957" t="s">
        <v>39</v>
      </c>
      <c r="C4957">
        <v>23</v>
      </c>
      <c r="D4957" t="s">
        <v>31</v>
      </c>
      <c r="E4957" t="s">
        <v>40</v>
      </c>
      <c r="F4957" t="s">
        <v>65</v>
      </c>
      <c r="G4957" t="s">
        <v>79</v>
      </c>
      <c r="H4957" t="s">
        <v>25</v>
      </c>
      <c r="I4957" t="s">
        <v>35</v>
      </c>
      <c r="J4957" t="s">
        <v>27</v>
      </c>
      <c r="K4957">
        <v>6</v>
      </c>
      <c r="L4957">
        <v>52765</v>
      </c>
      <c r="M4957" t="s">
        <v>36</v>
      </c>
      <c r="N4957">
        <v>2</v>
      </c>
      <c r="O4957">
        <v>2</v>
      </c>
      <c r="P4957">
        <v>64</v>
      </c>
      <c r="Q4957">
        <v>3</v>
      </c>
      <c r="R4957" s="1">
        <v>42835</v>
      </c>
      <c r="S4957" t="s">
        <v>29</v>
      </c>
      <c r="T4957" t="str">
        <f t="shared" si="385"/>
        <v>Grade B</v>
      </c>
      <c r="U4957">
        <f t="shared" si="386"/>
        <v>1</v>
      </c>
      <c r="V4957" t="str">
        <f t="shared" si="387"/>
        <v>Mid Level</v>
      </c>
      <c r="W4957" t="str">
        <f t="shared" si="388"/>
        <v>Medium Risk</v>
      </c>
      <c r="X4957" t="str">
        <f t="shared" si="389"/>
        <v>Fair</v>
      </c>
    </row>
    <row r="4958" spans="1:24" x14ac:dyDescent="0.3">
      <c r="A4958" t="s">
        <v>5026</v>
      </c>
      <c r="B4958" t="s">
        <v>39</v>
      </c>
      <c r="C4958">
        <v>27</v>
      </c>
      <c r="D4958" t="s">
        <v>21</v>
      </c>
      <c r="E4958" t="s">
        <v>40</v>
      </c>
      <c r="F4958" t="s">
        <v>75</v>
      </c>
      <c r="G4958" t="s">
        <v>49</v>
      </c>
      <c r="H4958" t="s">
        <v>83</v>
      </c>
      <c r="I4958" t="s">
        <v>59</v>
      </c>
      <c r="J4958" t="s">
        <v>60</v>
      </c>
      <c r="K4958">
        <v>15</v>
      </c>
      <c r="L4958">
        <v>71931</v>
      </c>
      <c r="M4958" t="s">
        <v>36</v>
      </c>
      <c r="N4958">
        <v>3</v>
      </c>
      <c r="O4958">
        <v>2</v>
      </c>
      <c r="P4958">
        <v>73</v>
      </c>
      <c r="Q4958">
        <v>1</v>
      </c>
      <c r="R4958" s="1">
        <v>39507</v>
      </c>
      <c r="S4958" t="s">
        <v>37</v>
      </c>
      <c r="T4958" t="str">
        <f t="shared" si="385"/>
        <v>Grade B</v>
      </c>
      <c r="U4958">
        <f t="shared" si="386"/>
        <v>1</v>
      </c>
      <c r="V4958" t="str">
        <f t="shared" si="387"/>
        <v>Senior</v>
      </c>
      <c r="W4958" t="str">
        <f t="shared" si="388"/>
        <v>Already Left</v>
      </c>
      <c r="X4958" t="str">
        <f t="shared" si="389"/>
        <v>Fair</v>
      </c>
    </row>
    <row r="4959" spans="1:24" x14ac:dyDescent="0.3">
      <c r="A4959" t="s">
        <v>5027</v>
      </c>
      <c r="B4959" t="s">
        <v>20</v>
      </c>
      <c r="C4959">
        <v>29</v>
      </c>
      <c r="D4959" t="s">
        <v>21</v>
      </c>
      <c r="E4959" t="s">
        <v>48</v>
      </c>
      <c r="F4959" t="s">
        <v>53</v>
      </c>
      <c r="G4959" t="s">
        <v>63</v>
      </c>
      <c r="H4959" t="s">
        <v>34</v>
      </c>
      <c r="I4959" t="s">
        <v>59</v>
      </c>
      <c r="J4959" t="s">
        <v>60</v>
      </c>
      <c r="K4959">
        <v>10</v>
      </c>
      <c r="L4959">
        <v>73377</v>
      </c>
      <c r="M4959" t="s">
        <v>45</v>
      </c>
      <c r="N4959">
        <v>1</v>
      </c>
      <c r="O4959">
        <v>1</v>
      </c>
      <c r="P4959">
        <v>59</v>
      </c>
      <c r="Q4959">
        <v>2</v>
      </c>
      <c r="R4959" s="1">
        <v>41508</v>
      </c>
      <c r="S4959" t="s">
        <v>29</v>
      </c>
      <c r="T4959" t="str">
        <f t="shared" si="385"/>
        <v>Grade B</v>
      </c>
      <c r="U4959">
        <f t="shared" si="386"/>
        <v>2</v>
      </c>
      <c r="V4959" t="str">
        <f t="shared" si="387"/>
        <v>Mid Level</v>
      </c>
      <c r="W4959" t="str">
        <f t="shared" si="388"/>
        <v>Medium Risk</v>
      </c>
      <c r="X4959" t="str">
        <f t="shared" si="389"/>
        <v>Fair</v>
      </c>
    </row>
    <row r="4960" spans="1:24" x14ac:dyDescent="0.3">
      <c r="A4960" t="s">
        <v>5028</v>
      </c>
      <c r="B4960" t="s">
        <v>39</v>
      </c>
      <c r="C4960">
        <v>34</v>
      </c>
      <c r="D4960" t="s">
        <v>57</v>
      </c>
      <c r="E4960" t="s">
        <v>48</v>
      </c>
      <c r="F4960" t="s">
        <v>65</v>
      </c>
      <c r="G4960" t="s">
        <v>24</v>
      </c>
      <c r="H4960" t="s">
        <v>83</v>
      </c>
      <c r="I4960" t="s">
        <v>26</v>
      </c>
      <c r="J4960" t="s">
        <v>27</v>
      </c>
      <c r="K4960">
        <v>9</v>
      </c>
      <c r="L4960">
        <v>88600</v>
      </c>
      <c r="M4960" t="s">
        <v>28</v>
      </c>
      <c r="N4960">
        <v>2</v>
      </c>
      <c r="O4960">
        <v>3</v>
      </c>
      <c r="P4960">
        <v>59</v>
      </c>
      <c r="Q4960">
        <v>0</v>
      </c>
      <c r="R4960" s="1">
        <v>41795</v>
      </c>
      <c r="S4960" t="s">
        <v>29</v>
      </c>
      <c r="T4960" t="str">
        <f t="shared" si="385"/>
        <v>Grade A</v>
      </c>
      <c r="U4960">
        <f t="shared" si="386"/>
        <v>3</v>
      </c>
      <c r="V4960" t="str">
        <f t="shared" si="387"/>
        <v>Mid Level</v>
      </c>
      <c r="W4960" t="str">
        <f t="shared" si="388"/>
        <v>Medium Risk</v>
      </c>
      <c r="X4960" t="str">
        <f t="shared" si="389"/>
        <v>Competitive</v>
      </c>
    </row>
    <row r="4961" spans="1:24" x14ac:dyDescent="0.3">
      <c r="A4961" t="s">
        <v>5029</v>
      </c>
      <c r="B4961" t="s">
        <v>20</v>
      </c>
      <c r="C4961">
        <v>26</v>
      </c>
      <c r="D4961" t="s">
        <v>47</v>
      </c>
      <c r="E4961" t="s">
        <v>40</v>
      </c>
      <c r="F4961" t="s">
        <v>53</v>
      </c>
      <c r="G4961" t="s">
        <v>24</v>
      </c>
      <c r="H4961" t="s">
        <v>83</v>
      </c>
      <c r="I4961" t="s">
        <v>72</v>
      </c>
      <c r="J4961" t="s">
        <v>73</v>
      </c>
      <c r="K4961">
        <v>9</v>
      </c>
      <c r="L4961">
        <v>93381</v>
      </c>
      <c r="M4961" t="s">
        <v>45</v>
      </c>
      <c r="N4961">
        <v>3</v>
      </c>
      <c r="O4961">
        <v>1</v>
      </c>
      <c r="P4961">
        <v>55</v>
      </c>
      <c r="Q4961">
        <v>3</v>
      </c>
      <c r="R4961" s="1">
        <v>41813</v>
      </c>
      <c r="S4961" t="s">
        <v>29</v>
      </c>
      <c r="T4961" t="str">
        <f t="shared" si="385"/>
        <v>Grade A</v>
      </c>
      <c r="U4961">
        <f t="shared" si="386"/>
        <v>2</v>
      </c>
      <c r="V4961" t="str">
        <f t="shared" si="387"/>
        <v>Mid Level</v>
      </c>
      <c r="W4961" t="str">
        <f t="shared" si="388"/>
        <v>Medium Risk</v>
      </c>
      <c r="X4961" t="str">
        <f t="shared" si="389"/>
        <v>Fair</v>
      </c>
    </row>
    <row r="4962" spans="1:24" x14ac:dyDescent="0.3">
      <c r="A4962" t="s">
        <v>5030</v>
      </c>
      <c r="B4962" t="s">
        <v>39</v>
      </c>
      <c r="C4962">
        <v>27</v>
      </c>
      <c r="D4962" t="s">
        <v>57</v>
      </c>
      <c r="E4962" t="s">
        <v>40</v>
      </c>
      <c r="F4962" t="s">
        <v>62</v>
      </c>
      <c r="G4962" t="s">
        <v>33</v>
      </c>
      <c r="H4962" t="s">
        <v>83</v>
      </c>
      <c r="I4962" t="s">
        <v>54</v>
      </c>
      <c r="J4962" t="s">
        <v>27</v>
      </c>
      <c r="K4962">
        <v>14</v>
      </c>
      <c r="L4962">
        <v>80532</v>
      </c>
      <c r="M4962" t="s">
        <v>45</v>
      </c>
      <c r="N4962">
        <v>1</v>
      </c>
      <c r="O4962">
        <v>4</v>
      </c>
      <c r="P4962">
        <v>60</v>
      </c>
      <c r="Q4962">
        <v>3</v>
      </c>
      <c r="R4962" s="1">
        <v>39911</v>
      </c>
      <c r="S4962" t="s">
        <v>29</v>
      </c>
      <c r="T4962" t="str">
        <f t="shared" si="385"/>
        <v>Grade A</v>
      </c>
      <c r="U4962">
        <f t="shared" si="386"/>
        <v>2</v>
      </c>
      <c r="V4962" t="str">
        <f t="shared" si="387"/>
        <v>Senior</v>
      </c>
      <c r="W4962" t="str">
        <f t="shared" si="388"/>
        <v>Medium Risk</v>
      </c>
      <c r="X4962" t="str">
        <f t="shared" si="389"/>
        <v>Fair</v>
      </c>
    </row>
    <row r="4963" spans="1:24" x14ac:dyDescent="0.3">
      <c r="A4963" t="s">
        <v>5031</v>
      </c>
      <c r="B4963" t="s">
        <v>20</v>
      </c>
      <c r="C4963">
        <v>25</v>
      </c>
      <c r="D4963" t="s">
        <v>21</v>
      </c>
      <c r="E4963" t="s">
        <v>22</v>
      </c>
      <c r="F4963" t="s">
        <v>65</v>
      </c>
      <c r="G4963" t="s">
        <v>58</v>
      </c>
      <c r="H4963" t="s">
        <v>25</v>
      </c>
      <c r="I4963" t="s">
        <v>26</v>
      </c>
      <c r="J4963" t="s">
        <v>27</v>
      </c>
      <c r="K4963">
        <v>12</v>
      </c>
      <c r="L4963">
        <v>113002</v>
      </c>
      <c r="M4963" t="s">
        <v>45</v>
      </c>
      <c r="N4963">
        <v>2</v>
      </c>
      <c r="O4963">
        <v>4</v>
      </c>
      <c r="P4963">
        <v>50</v>
      </c>
      <c r="Q4963">
        <v>0</v>
      </c>
      <c r="R4963" s="1">
        <v>40646</v>
      </c>
      <c r="S4963" t="s">
        <v>37</v>
      </c>
      <c r="T4963" t="str">
        <f t="shared" si="385"/>
        <v>Grade A</v>
      </c>
      <c r="U4963">
        <f t="shared" si="386"/>
        <v>2</v>
      </c>
      <c r="V4963" t="str">
        <f t="shared" si="387"/>
        <v>Senior</v>
      </c>
      <c r="W4963" t="str">
        <f t="shared" si="388"/>
        <v>Already Left</v>
      </c>
      <c r="X4963" t="str">
        <f t="shared" si="389"/>
        <v>Fair</v>
      </c>
    </row>
    <row r="4964" spans="1:24" x14ac:dyDescent="0.3">
      <c r="A4964" t="s">
        <v>5032</v>
      </c>
      <c r="B4964" t="s">
        <v>39</v>
      </c>
      <c r="C4964">
        <v>37</v>
      </c>
      <c r="D4964" t="s">
        <v>57</v>
      </c>
      <c r="E4964" t="s">
        <v>48</v>
      </c>
      <c r="F4964" t="s">
        <v>53</v>
      </c>
      <c r="G4964" t="s">
        <v>49</v>
      </c>
      <c r="H4964" t="s">
        <v>83</v>
      </c>
      <c r="I4964" t="s">
        <v>68</v>
      </c>
      <c r="J4964" t="s">
        <v>60</v>
      </c>
      <c r="K4964">
        <v>7</v>
      </c>
      <c r="L4964">
        <v>65830</v>
      </c>
      <c r="M4964" t="s">
        <v>51</v>
      </c>
      <c r="N4964">
        <v>4</v>
      </c>
      <c r="O4964">
        <v>2</v>
      </c>
      <c r="P4964">
        <v>52</v>
      </c>
      <c r="Q4964">
        <v>2</v>
      </c>
      <c r="R4964" s="1">
        <v>42536</v>
      </c>
      <c r="S4964" t="s">
        <v>29</v>
      </c>
      <c r="T4964" t="str">
        <f t="shared" si="385"/>
        <v>Grade B</v>
      </c>
      <c r="U4964">
        <f t="shared" si="386"/>
        <v>4</v>
      </c>
      <c r="V4964" t="str">
        <f t="shared" si="387"/>
        <v>Mid Level</v>
      </c>
      <c r="W4964" t="str">
        <f t="shared" si="388"/>
        <v>Low Risk</v>
      </c>
      <c r="X4964" t="str">
        <f t="shared" si="389"/>
        <v>Fair</v>
      </c>
    </row>
    <row r="4965" spans="1:24" x14ac:dyDescent="0.3">
      <c r="A4965" t="s">
        <v>5033</v>
      </c>
      <c r="B4965" t="s">
        <v>20</v>
      </c>
      <c r="C4965">
        <v>35</v>
      </c>
      <c r="D4965" t="s">
        <v>31</v>
      </c>
      <c r="E4965" t="s">
        <v>48</v>
      </c>
      <c r="F4965" t="s">
        <v>62</v>
      </c>
      <c r="G4965" t="s">
        <v>24</v>
      </c>
      <c r="H4965" t="s">
        <v>67</v>
      </c>
      <c r="I4965" t="s">
        <v>43</v>
      </c>
      <c r="J4965" t="s">
        <v>44</v>
      </c>
      <c r="K4965">
        <v>12</v>
      </c>
      <c r="L4965">
        <v>93255</v>
      </c>
      <c r="M4965" t="s">
        <v>51</v>
      </c>
      <c r="N4965">
        <v>1</v>
      </c>
      <c r="O4965">
        <v>3</v>
      </c>
      <c r="P4965">
        <v>41</v>
      </c>
      <c r="Q4965">
        <v>0</v>
      </c>
      <c r="R4965" s="1">
        <v>40604</v>
      </c>
      <c r="S4965" t="s">
        <v>29</v>
      </c>
      <c r="T4965" t="str">
        <f t="shared" si="385"/>
        <v>Grade A</v>
      </c>
      <c r="U4965">
        <f t="shared" si="386"/>
        <v>4</v>
      </c>
      <c r="V4965" t="str">
        <f t="shared" si="387"/>
        <v>Senior</v>
      </c>
      <c r="W4965" t="str">
        <f t="shared" si="388"/>
        <v>Low Risk</v>
      </c>
      <c r="X4965" t="str">
        <f t="shared" si="389"/>
        <v>Competitive</v>
      </c>
    </row>
    <row r="4966" spans="1:24" x14ac:dyDescent="0.3">
      <c r="A4966" t="s">
        <v>5034</v>
      </c>
      <c r="B4966" t="s">
        <v>20</v>
      </c>
      <c r="C4966">
        <v>28</v>
      </c>
      <c r="D4966" t="s">
        <v>31</v>
      </c>
      <c r="E4966" t="s">
        <v>22</v>
      </c>
      <c r="F4966" t="s">
        <v>62</v>
      </c>
      <c r="G4966" t="s">
        <v>33</v>
      </c>
      <c r="H4966" t="s">
        <v>67</v>
      </c>
      <c r="I4966" t="s">
        <v>26</v>
      </c>
      <c r="J4966" t="s">
        <v>27</v>
      </c>
      <c r="K4966">
        <v>15</v>
      </c>
      <c r="L4966">
        <v>87618</v>
      </c>
      <c r="M4966" t="s">
        <v>36</v>
      </c>
      <c r="N4966">
        <v>1</v>
      </c>
      <c r="O4966">
        <v>1</v>
      </c>
      <c r="P4966">
        <v>43</v>
      </c>
      <c r="Q4966">
        <v>1</v>
      </c>
      <c r="R4966" s="1">
        <v>39741</v>
      </c>
      <c r="S4966" t="s">
        <v>37</v>
      </c>
      <c r="T4966" t="str">
        <f t="shared" si="385"/>
        <v>Grade A</v>
      </c>
      <c r="U4966">
        <f t="shared" si="386"/>
        <v>1</v>
      </c>
      <c r="V4966" t="str">
        <f t="shared" si="387"/>
        <v>Senior</v>
      </c>
      <c r="W4966" t="str">
        <f t="shared" si="388"/>
        <v>Already Left</v>
      </c>
      <c r="X4966" t="str">
        <f t="shared" si="389"/>
        <v>Overpaid</v>
      </c>
    </row>
    <row r="4967" spans="1:24" x14ac:dyDescent="0.3">
      <c r="A4967" t="s">
        <v>5035</v>
      </c>
      <c r="B4967" t="s">
        <v>20</v>
      </c>
      <c r="C4967">
        <v>24</v>
      </c>
      <c r="D4967" t="s">
        <v>31</v>
      </c>
      <c r="E4967" t="s">
        <v>48</v>
      </c>
      <c r="F4967" t="s">
        <v>23</v>
      </c>
      <c r="G4967" t="s">
        <v>79</v>
      </c>
      <c r="H4967" t="s">
        <v>25</v>
      </c>
      <c r="I4967" t="s">
        <v>50</v>
      </c>
      <c r="J4967" t="s">
        <v>44</v>
      </c>
      <c r="K4967">
        <v>4</v>
      </c>
      <c r="L4967">
        <v>39096</v>
      </c>
      <c r="M4967" t="s">
        <v>45</v>
      </c>
      <c r="N4967">
        <v>3</v>
      </c>
      <c r="O4967">
        <v>3</v>
      </c>
      <c r="P4967">
        <v>71</v>
      </c>
      <c r="Q4967">
        <v>3</v>
      </c>
      <c r="R4967" s="1">
        <v>43745</v>
      </c>
      <c r="S4967" t="s">
        <v>37</v>
      </c>
      <c r="T4967" t="str">
        <f t="shared" si="385"/>
        <v>Grade C</v>
      </c>
      <c r="U4967">
        <f t="shared" si="386"/>
        <v>2</v>
      </c>
      <c r="V4967" t="str">
        <f t="shared" si="387"/>
        <v>Junior</v>
      </c>
      <c r="W4967" t="str">
        <f t="shared" si="388"/>
        <v>Already Left</v>
      </c>
      <c r="X4967" t="str">
        <f t="shared" si="389"/>
        <v>Fair</v>
      </c>
    </row>
    <row r="4968" spans="1:24" x14ac:dyDescent="0.3">
      <c r="A4968" t="s">
        <v>5036</v>
      </c>
      <c r="B4968" t="s">
        <v>20</v>
      </c>
      <c r="C4968">
        <v>48</v>
      </c>
      <c r="D4968" t="s">
        <v>88</v>
      </c>
      <c r="E4968" t="s">
        <v>40</v>
      </c>
      <c r="F4968" t="s">
        <v>41</v>
      </c>
      <c r="G4968" t="s">
        <v>66</v>
      </c>
      <c r="H4968" t="s">
        <v>76</v>
      </c>
      <c r="I4968" t="s">
        <v>54</v>
      </c>
      <c r="J4968" t="s">
        <v>27</v>
      </c>
      <c r="K4968">
        <v>4</v>
      </c>
      <c r="L4968">
        <v>51496</v>
      </c>
      <c r="M4968" t="s">
        <v>51</v>
      </c>
      <c r="N4968">
        <v>1</v>
      </c>
      <c r="O4968">
        <v>4</v>
      </c>
      <c r="P4968">
        <v>29</v>
      </c>
      <c r="Q4968">
        <v>2</v>
      </c>
      <c r="R4968" s="1">
        <v>43798</v>
      </c>
      <c r="S4968" t="s">
        <v>29</v>
      </c>
      <c r="T4968" t="str">
        <f t="shared" si="385"/>
        <v>Grade B</v>
      </c>
      <c r="U4968">
        <f t="shared" si="386"/>
        <v>4</v>
      </c>
      <c r="V4968" t="str">
        <f t="shared" si="387"/>
        <v>Junior</v>
      </c>
      <c r="W4968" t="str">
        <f t="shared" si="388"/>
        <v>Low Risk</v>
      </c>
      <c r="X4968" t="str">
        <f t="shared" si="389"/>
        <v>Fair</v>
      </c>
    </row>
    <row r="4969" spans="1:24" x14ac:dyDescent="0.3">
      <c r="A4969" t="s">
        <v>5037</v>
      </c>
      <c r="B4969" t="s">
        <v>20</v>
      </c>
      <c r="C4969">
        <v>34</v>
      </c>
      <c r="D4969" t="s">
        <v>47</v>
      </c>
      <c r="E4969" t="s">
        <v>22</v>
      </c>
      <c r="F4969" t="s">
        <v>41</v>
      </c>
      <c r="G4969" t="s">
        <v>24</v>
      </c>
      <c r="H4969" t="s">
        <v>67</v>
      </c>
      <c r="I4969" t="s">
        <v>96</v>
      </c>
      <c r="J4969" t="s">
        <v>44</v>
      </c>
      <c r="K4969">
        <v>2</v>
      </c>
      <c r="L4969">
        <v>85028</v>
      </c>
      <c r="M4969" t="s">
        <v>36</v>
      </c>
      <c r="N4969">
        <v>2</v>
      </c>
      <c r="O4969">
        <v>1</v>
      </c>
      <c r="P4969">
        <v>64</v>
      </c>
      <c r="Q4969">
        <v>2</v>
      </c>
      <c r="R4969" s="1">
        <v>44519</v>
      </c>
      <c r="S4969" t="s">
        <v>37</v>
      </c>
      <c r="T4969" t="str">
        <f t="shared" si="385"/>
        <v>Grade A</v>
      </c>
      <c r="U4969">
        <f t="shared" si="386"/>
        <v>1</v>
      </c>
      <c r="V4969" t="str">
        <f t="shared" si="387"/>
        <v>New Joiner</v>
      </c>
      <c r="W4969" t="str">
        <f t="shared" si="388"/>
        <v>Already Left</v>
      </c>
      <c r="X4969" t="str">
        <f t="shared" si="389"/>
        <v>Overpaid</v>
      </c>
    </row>
    <row r="4970" spans="1:24" x14ac:dyDescent="0.3">
      <c r="A4970" t="s">
        <v>5038</v>
      </c>
      <c r="B4970" t="s">
        <v>39</v>
      </c>
      <c r="C4970">
        <v>22</v>
      </c>
      <c r="D4970" t="s">
        <v>47</v>
      </c>
      <c r="E4970" t="s">
        <v>22</v>
      </c>
      <c r="F4970" t="s">
        <v>78</v>
      </c>
      <c r="G4970" t="s">
        <v>66</v>
      </c>
      <c r="H4970" t="s">
        <v>76</v>
      </c>
      <c r="I4970" t="s">
        <v>72</v>
      </c>
      <c r="J4970" t="s">
        <v>73</v>
      </c>
      <c r="K4970">
        <v>4</v>
      </c>
      <c r="L4970">
        <v>44233</v>
      </c>
      <c r="M4970" t="s">
        <v>51</v>
      </c>
      <c r="N4970">
        <v>4</v>
      </c>
      <c r="O4970">
        <v>4</v>
      </c>
      <c r="P4970">
        <v>22</v>
      </c>
      <c r="Q4970">
        <v>3</v>
      </c>
      <c r="R4970" s="1">
        <v>43471</v>
      </c>
      <c r="S4970" t="s">
        <v>29</v>
      </c>
      <c r="T4970" t="str">
        <f t="shared" si="385"/>
        <v>Grade C</v>
      </c>
      <c r="U4970">
        <f t="shared" si="386"/>
        <v>4</v>
      </c>
      <c r="V4970" t="str">
        <f t="shared" si="387"/>
        <v>Junior</v>
      </c>
      <c r="W4970" t="str">
        <f t="shared" si="388"/>
        <v>Low Risk</v>
      </c>
      <c r="X4970" t="str">
        <f t="shared" si="389"/>
        <v>Fair</v>
      </c>
    </row>
    <row r="4971" spans="1:24" x14ac:dyDescent="0.3">
      <c r="A4971" t="s">
        <v>5039</v>
      </c>
      <c r="B4971" t="s">
        <v>20</v>
      </c>
      <c r="C4971">
        <v>43</v>
      </c>
      <c r="D4971" t="s">
        <v>21</v>
      </c>
      <c r="E4971" t="s">
        <v>48</v>
      </c>
      <c r="F4971" t="s">
        <v>23</v>
      </c>
      <c r="G4971" t="s">
        <v>24</v>
      </c>
      <c r="H4971" t="s">
        <v>83</v>
      </c>
      <c r="I4971" t="s">
        <v>96</v>
      </c>
      <c r="J4971" t="s">
        <v>44</v>
      </c>
      <c r="K4971">
        <v>14</v>
      </c>
      <c r="L4971">
        <v>110495</v>
      </c>
      <c r="M4971" t="s">
        <v>51</v>
      </c>
      <c r="N4971">
        <v>2</v>
      </c>
      <c r="O4971">
        <v>3</v>
      </c>
      <c r="P4971">
        <v>79</v>
      </c>
      <c r="Q4971">
        <v>1</v>
      </c>
      <c r="R4971" s="1">
        <v>39900</v>
      </c>
      <c r="S4971" t="s">
        <v>37</v>
      </c>
      <c r="T4971" t="str">
        <f t="shared" si="385"/>
        <v>Grade A</v>
      </c>
      <c r="U4971">
        <f t="shared" si="386"/>
        <v>4</v>
      </c>
      <c r="V4971" t="str">
        <f t="shared" si="387"/>
        <v>Senior</v>
      </c>
      <c r="W4971" t="str">
        <f t="shared" si="388"/>
        <v>Already Left</v>
      </c>
      <c r="X4971" t="str">
        <f t="shared" si="389"/>
        <v>Competitive</v>
      </c>
    </row>
    <row r="4972" spans="1:24" x14ac:dyDescent="0.3">
      <c r="A4972" t="s">
        <v>5040</v>
      </c>
      <c r="B4972" t="s">
        <v>39</v>
      </c>
      <c r="C4972">
        <v>42</v>
      </c>
      <c r="D4972" t="s">
        <v>57</v>
      </c>
      <c r="E4972" t="s">
        <v>48</v>
      </c>
      <c r="F4972" t="s">
        <v>41</v>
      </c>
      <c r="G4972" t="s">
        <v>49</v>
      </c>
      <c r="H4972" t="s">
        <v>83</v>
      </c>
      <c r="I4972" t="s">
        <v>59</v>
      </c>
      <c r="J4972" t="s">
        <v>60</v>
      </c>
      <c r="K4972">
        <v>9</v>
      </c>
      <c r="L4972">
        <v>69877</v>
      </c>
      <c r="M4972" t="s">
        <v>36</v>
      </c>
      <c r="N4972">
        <v>1</v>
      </c>
      <c r="O4972">
        <v>4</v>
      </c>
      <c r="P4972">
        <v>13</v>
      </c>
      <c r="Q4972">
        <v>2</v>
      </c>
      <c r="R4972" s="1">
        <v>41819</v>
      </c>
      <c r="S4972" t="s">
        <v>37</v>
      </c>
      <c r="T4972" t="str">
        <f t="shared" si="385"/>
        <v>Grade B</v>
      </c>
      <c r="U4972">
        <f t="shared" si="386"/>
        <v>1</v>
      </c>
      <c r="V4972" t="str">
        <f t="shared" si="387"/>
        <v>Mid Level</v>
      </c>
      <c r="W4972" t="str">
        <f t="shared" si="388"/>
        <v>Already Left</v>
      </c>
      <c r="X4972" t="str">
        <f t="shared" si="389"/>
        <v>Fair</v>
      </c>
    </row>
    <row r="4973" spans="1:24" x14ac:dyDescent="0.3">
      <c r="A4973" t="s">
        <v>5041</v>
      </c>
      <c r="B4973" t="s">
        <v>20</v>
      </c>
      <c r="C4973">
        <v>22</v>
      </c>
      <c r="D4973" t="s">
        <v>88</v>
      </c>
      <c r="E4973" t="s">
        <v>22</v>
      </c>
      <c r="F4973" t="s">
        <v>62</v>
      </c>
      <c r="G4973" t="s">
        <v>58</v>
      </c>
      <c r="H4973" t="s">
        <v>67</v>
      </c>
      <c r="I4973" t="s">
        <v>43</v>
      </c>
      <c r="J4973" t="s">
        <v>44</v>
      </c>
      <c r="K4973">
        <v>15</v>
      </c>
      <c r="L4973">
        <v>106616</v>
      </c>
      <c r="M4973" t="s">
        <v>28</v>
      </c>
      <c r="N4973">
        <v>3</v>
      </c>
      <c r="O4973">
        <v>4</v>
      </c>
      <c r="P4973">
        <v>32</v>
      </c>
      <c r="Q4973">
        <v>3</v>
      </c>
      <c r="R4973" s="1">
        <v>39536</v>
      </c>
      <c r="S4973" t="s">
        <v>29</v>
      </c>
      <c r="T4973" t="str">
        <f t="shared" si="385"/>
        <v>Grade A</v>
      </c>
      <c r="U4973">
        <f t="shared" si="386"/>
        <v>3</v>
      </c>
      <c r="V4973" t="str">
        <f t="shared" si="387"/>
        <v>Senior</v>
      </c>
      <c r="W4973" t="str">
        <f t="shared" si="388"/>
        <v>Medium Risk</v>
      </c>
      <c r="X4973" t="str">
        <f t="shared" si="389"/>
        <v>Competitive</v>
      </c>
    </row>
    <row r="4974" spans="1:24" x14ac:dyDescent="0.3">
      <c r="A4974" t="s">
        <v>5042</v>
      </c>
      <c r="B4974" t="s">
        <v>39</v>
      </c>
      <c r="C4974">
        <v>32</v>
      </c>
      <c r="D4974" t="s">
        <v>31</v>
      </c>
      <c r="E4974" t="s">
        <v>22</v>
      </c>
      <c r="F4974" t="s">
        <v>23</v>
      </c>
      <c r="G4974" t="s">
        <v>63</v>
      </c>
      <c r="H4974" t="s">
        <v>76</v>
      </c>
      <c r="I4974" t="s">
        <v>72</v>
      </c>
      <c r="J4974" t="s">
        <v>73</v>
      </c>
      <c r="K4974">
        <v>15</v>
      </c>
      <c r="L4974">
        <v>70578</v>
      </c>
      <c r="M4974" t="s">
        <v>28</v>
      </c>
      <c r="N4974">
        <v>3</v>
      </c>
      <c r="O4974">
        <v>2</v>
      </c>
      <c r="P4974">
        <v>75</v>
      </c>
      <c r="Q4974">
        <v>3</v>
      </c>
      <c r="R4974" s="1">
        <v>39509</v>
      </c>
      <c r="S4974" t="s">
        <v>29</v>
      </c>
      <c r="T4974" t="str">
        <f t="shared" si="385"/>
        <v>Grade B</v>
      </c>
      <c r="U4974">
        <f t="shared" si="386"/>
        <v>3</v>
      </c>
      <c r="V4974" t="str">
        <f t="shared" si="387"/>
        <v>Senior</v>
      </c>
      <c r="W4974" t="str">
        <f t="shared" si="388"/>
        <v>Medium Risk</v>
      </c>
      <c r="X4974" t="str">
        <f t="shared" si="389"/>
        <v>Competitive</v>
      </c>
    </row>
    <row r="4975" spans="1:24" x14ac:dyDescent="0.3">
      <c r="A4975" t="s">
        <v>5043</v>
      </c>
      <c r="B4975" t="s">
        <v>20</v>
      </c>
      <c r="C4975">
        <v>31</v>
      </c>
      <c r="D4975" t="s">
        <v>21</v>
      </c>
      <c r="E4975" t="s">
        <v>40</v>
      </c>
      <c r="F4975" t="s">
        <v>32</v>
      </c>
      <c r="G4975" t="s">
        <v>66</v>
      </c>
      <c r="H4975" t="s">
        <v>83</v>
      </c>
      <c r="I4975" t="s">
        <v>72</v>
      </c>
      <c r="J4975" t="s">
        <v>73</v>
      </c>
      <c r="K4975">
        <v>4</v>
      </c>
      <c r="L4975">
        <v>51333</v>
      </c>
      <c r="M4975" t="s">
        <v>28</v>
      </c>
      <c r="N4975">
        <v>3</v>
      </c>
      <c r="O4975">
        <v>1</v>
      </c>
      <c r="P4975">
        <v>77</v>
      </c>
      <c r="Q4975">
        <v>2</v>
      </c>
      <c r="R4975" s="1">
        <v>43567</v>
      </c>
      <c r="S4975" t="s">
        <v>29</v>
      </c>
      <c r="T4975" t="str">
        <f t="shared" si="385"/>
        <v>Grade B</v>
      </c>
      <c r="U4975">
        <f t="shared" si="386"/>
        <v>3</v>
      </c>
      <c r="V4975" t="str">
        <f t="shared" si="387"/>
        <v>Junior</v>
      </c>
      <c r="W4975" t="str">
        <f t="shared" si="388"/>
        <v>Medium Risk</v>
      </c>
      <c r="X4975" t="str">
        <f t="shared" si="389"/>
        <v>Competitive</v>
      </c>
    </row>
    <row r="4976" spans="1:24" x14ac:dyDescent="0.3">
      <c r="A4976" t="s">
        <v>5044</v>
      </c>
      <c r="B4976" t="s">
        <v>20</v>
      </c>
      <c r="C4976">
        <v>53</v>
      </c>
      <c r="D4976" t="s">
        <v>88</v>
      </c>
      <c r="E4976" t="s">
        <v>48</v>
      </c>
      <c r="F4976" t="s">
        <v>62</v>
      </c>
      <c r="G4976" t="s">
        <v>58</v>
      </c>
      <c r="H4976" t="s">
        <v>76</v>
      </c>
      <c r="I4976" t="s">
        <v>80</v>
      </c>
      <c r="J4976" t="s">
        <v>60</v>
      </c>
      <c r="K4976">
        <v>13</v>
      </c>
      <c r="L4976">
        <v>109772</v>
      </c>
      <c r="M4976" t="s">
        <v>28</v>
      </c>
      <c r="N4976">
        <v>2</v>
      </c>
      <c r="O4976">
        <v>4</v>
      </c>
      <c r="P4976">
        <v>34</v>
      </c>
      <c r="Q4976">
        <v>0</v>
      </c>
      <c r="R4976" s="1">
        <v>40390</v>
      </c>
      <c r="S4976" t="s">
        <v>29</v>
      </c>
      <c r="T4976" t="str">
        <f t="shared" si="385"/>
        <v>Grade A</v>
      </c>
      <c r="U4976">
        <f t="shared" si="386"/>
        <v>3</v>
      </c>
      <c r="V4976" t="str">
        <f t="shared" si="387"/>
        <v>Senior</v>
      </c>
      <c r="W4976" t="str">
        <f t="shared" si="388"/>
        <v>Medium Risk</v>
      </c>
      <c r="X4976" t="str">
        <f t="shared" si="389"/>
        <v>Competitive</v>
      </c>
    </row>
    <row r="4977" spans="1:24" x14ac:dyDescent="0.3">
      <c r="A4977" t="s">
        <v>5045</v>
      </c>
      <c r="B4977" t="s">
        <v>39</v>
      </c>
      <c r="C4977">
        <v>24</v>
      </c>
      <c r="D4977" t="s">
        <v>57</v>
      </c>
      <c r="E4977" t="s">
        <v>48</v>
      </c>
      <c r="F4977" t="s">
        <v>53</v>
      </c>
      <c r="G4977" t="s">
        <v>58</v>
      </c>
      <c r="H4977" t="s">
        <v>83</v>
      </c>
      <c r="I4977" t="s">
        <v>59</v>
      </c>
      <c r="J4977" t="s">
        <v>60</v>
      </c>
      <c r="K4977">
        <v>11</v>
      </c>
      <c r="L4977">
        <v>113711</v>
      </c>
      <c r="M4977" t="s">
        <v>51</v>
      </c>
      <c r="N4977">
        <v>2</v>
      </c>
      <c r="O4977">
        <v>3</v>
      </c>
      <c r="P4977">
        <v>68</v>
      </c>
      <c r="Q4977">
        <v>1</v>
      </c>
      <c r="R4977" s="1">
        <v>40937</v>
      </c>
      <c r="S4977" t="s">
        <v>29</v>
      </c>
      <c r="T4977" t="str">
        <f t="shared" si="385"/>
        <v>Grade A</v>
      </c>
      <c r="U4977">
        <f t="shared" si="386"/>
        <v>4</v>
      </c>
      <c r="V4977" t="str">
        <f t="shared" si="387"/>
        <v>Senior</v>
      </c>
      <c r="W4977" t="str">
        <f t="shared" si="388"/>
        <v>Low Risk</v>
      </c>
      <c r="X4977" t="str">
        <f t="shared" si="389"/>
        <v>Competitive</v>
      </c>
    </row>
    <row r="4978" spans="1:24" x14ac:dyDescent="0.3">
      <c r="A4978" t="s">
        <v>5046</v>
      </c>
      <c r="B4978" t="s">
        <v>20</v>
      </c>
      <c r="C4978">
        <v>49</v>
      </c>
      <c r="D4978" t="s">
        <v>57</v>
      </c>
      <c r="E4978" t="s">
        <v>22</v>
      </c>
      <c r="F4978" t="s">
        <v>23</v>
      </c>
      <c r="G4978" t="s">
        <v>63</v>
      </c>
      <c r="H4978" t="s">
        <v>67</v>
      </c>
      <c r="I4978" t="s">
        <v>54</v>
      </c>
      <c r="J4978" t="s">
        <v>27</v>
      </c>
      <c r="K4978">
        <v>2</v>
      </c>
      <c r="L4978">
        <v>49952</v>
      </c>
      <c r="M4978" t="s">
        <v>28</v>
      </c>
      <c r="N4978">
        <v>2</v>
      </c>
      <c r="O4978">
        <v>4</v>
      </c>
      <c r="P4978">
        <v>58</v>
      </c>
      <c r="Q4978">
        <v>0</v>
      </c>
      <c r="R4978" s="1">
        <v>44400</v>
      </c>
      <c r="S4978" t="s">
        <v>37</v>
      </c>
      <c r="T4978" t="str">
        <f t="shared" si="385"/>
        <v>Grade C</v>
      </c>
      <c r="U4978">
        <f t="shared" si="386"/>
        <v>3</v>
      </c>
      <c r="V4978" t="str">
        <f t="shared" si="387"/>
        <v>New Joiner</v>
      </c>
      <c r="W4978" t="str">
        <f t="shared" si="388"/>
        <v>Already Left</v>
      </c>
      <c r="X4978" t="str">
        <f t="shared" si="389"/>
        <v>Fair</v>
      </c>
    </row>
    <row r="4979" spans="1:24" x14ac:dyDescent="0.3">
      <c r="A4979" t="s">
        <v>5047</v>
      </c>
      <c r="B4979" t="s">
        <v>20</v>
      </c>
      <c r="C4979">
        <v>37</v>
      </c>
      <c r="D4979" t="s">
        <v>47</v>
      </c>
      <c r="E4979" t="s">
        <v>48</v>
      </c>
      <c r="F4979" t="s">
        <v>78</v>
      </c>
      <c r="G4979" t="s">
        <v>33</v>
      </c>
      <c r="H4979" t="s">
        <v>67</v>
      </c>
      <c r="I4979" t="s">
        <v>50</v>
      </c>
      <c r="J4979" t="s">
        <v>44</v>
      </c>
      <c r="K4979">
        <v>8</v>
      </c>
      <c r="L4979">
        <v>79691</v>
      </c>
      <c r="M4979" t="s">
        <v>36</v>
      </c>
      <c r="N4979">
        <v>4</v>
      </c>
      <c r="O4979">
        <v>1</v>
      </c>
      <c r="P4979">
        <v>57</v>
      </c>
      <c r="Q4979">
        <v>3</v>
      </c>
      <c r="R4979" s="1">
        <v>42062</v>
      </c>
      <c r="S4979" t="s">
        <v>29</v>
      </c>
      <c r="T4979" t="str">
        <f t="shared" si="385"/>
        <v>Grade B</v>
      </c>
      <c r="U4979">
        <f t="shared" si="386"/>
        <v>1</v>
      </c>
      <c r="V4979" t="str">
        <f t="shared" si="387"/>
        <v>Mid Level</v>
      </c>
      <c r="W4979" t="str">
        <f t="shared" si="388"/>
        <v>Medium Risk</v>
      </c>
      <c r="X4979" t="str">
        <f t="shared" si="389"/>
        <v>Fair</v>
      </c>
    </row>
    <row r="4980" spans="1:24" x14ac:dyDescent="0.3">
      <c r="A4980" t="s">
        <v>5048</v>
      </c>
      <c r="B4980" t="s">
        <v>20</v>
      </c>
      <c r="C4980">
        <v>22</v>
      </c>
      <c r="D4980" t="s">
        <v>31</v>
      </c>
      <c r="E4980" t="s">
        <v>40</v>
      </c>
      <c r="F4980" t="s">
        <v>65</v>
      </c>
      <c r="G4980" t="s">
        <v>79</v>
      </c>
      <c r="H4980" t="s">
        <v>83</v>
      </c>
      <c r="I4980" t="s">
        <v>50</v>
      </c>
      <c r="J4980" t="s">
        <v>44</v>
      </c>
      <c r="K4980">
        <v>12</v>
      </c>
      <c r="L4980">
        <v>57116</v>
      </c>
      <c r="M4980" t="s">
        <v>28</v>
      </c>
      <c r="N4980">
        <v>2</v>
      </c>
      <c r="O4980">
        <v>4</v>
      </c>
      <c r="P4980">
        <v>76</v>
      </c>
      <c r="Q4980">
        <v>1</v>
      </c>
      <c r="R4980" s="1">
        <v>40842</v>
      </c>
      <c r="S4980" t="s">
        <v>29</v>
      </c>
      <c r="T4980" t="str">
        <f t="shared" si="385"/>
        <v>Grade B</v>
      </c>
      <c r="U4980">
        <f t="shared" si="386"/>
        <v>3</v>
      </c>
      <c r="V4980" t="str">
        <f t="shared" si="387"/>
        <v>Senior</v>
      </c>
      <c r="W4980" t="str">
        <f t="shared" si="388"/>
        <v>Medium Risk</v>
      </c>
      <c r="X4980" t="str">
        <f t="shared" si="389"/>
        <v>Competitive</v>
      </c>
    </row>
    <row r="4981" spans="1:24" x14ac:dyDescent="0.3">
      <c r="A4981" t="s">
        <v>5049</v>
      </c>
      <c r="B4981" t="s">
        <v>20</v>
      </c>
      <c r="C4981">
        <v>31</v>
      </c>
      <c r="D4981" t="s">
        <v>57</v>
      </c>
      <c r="E4981" t="s">
        <v>48</v>
      </c>
      <c r="F4981" t="s">
        <v>41</v>
      </c>
      <c r="G4981" t="s">
        <v>24</v>
      </c>
      <c r="H4981" t="s">
        <v>76</v>
      </c>
      <c r="I4981" t="s">
        <v>72</v>
      </c>
      <c r="J4981" t="s">
        <v>73</v>
      </c>
      <c r="K4981">
        <v>11</v>
      </c>
      <c r="L4981">
        <v>96164</v>
      </c>
      <c r="M4981" t="s">
        <v>51</v>
      </c>
      <c r="N4981">
        <v>3</v>
      </c>
      <c r="O4981">
        <v>4</v>
      </c>
      <c r="P4981">
        <v>40</v>
      </c>
      <c r="Q4981">
        <v>2</v>
      </c>
      <c r="R4981" s="1">
        <v>40942</v>
      </c>
      <c r="S4981" t="s">
        <v>29</v>
      </c>
      <c r="T4981" t="str">
        <f t="shared" si="385"/>
        <v>Grade A</v>
      </c>
      <c r="U4981">
        <f t="shared" si="386"/>
        <v>4</v>
      </c>
      <c r="V4981" t="str">
        <f t="shared" si="387"/>
        <v>Senior</v>
      </c>
      <c r="W4981" t="str">
        <f t="shared" si="388"/>
        <v>Low Risk</v>
      </c>
      <c r="X4981" t="str">
        <f t="shared" si="389"/>
        <v>Competitive</v>
      </c>
    </row>
    <row r="4982" spans="1:24" x14ac:dyDescent="0.3">
      <c r="A4982" t="s">
        <v>5050</v>
      </c>
      <c r="B4982" t="s">
        <v>39</v>
      </c>
      <c r="C4982">
        <v>22</v>
      </c>
      <c r="D4982" t="s">
        <v>47</v>
      </c>
      <c r="E4982" t="s">
        <v>40</v>
      </c>
      <c r="F4982" t="s">
        <v>32</v>
      </c>
      <c r="G4982" t="s">
        <v>49</v>
      </c>
      <c r="H4982" t="s">
        <v>67</v>
      </c>
      <c r="I4982" t="s">
        <v>80</v>
      </c>
      <c r="J4982" t="s">
        <v>60</v>
      </c>
      <c r="K4982">
        <v>3</v>
      </c>
      <c r="L4982">
        <v>60594</v>
      </c>
      <c r="M4982" t="s">
        <v>28</v>
      </c>
      <c r="N4982">
        <v>4</v>
      </c>
      <c r="O4982">
        <v>2</v>
      </c>
      <c r="P4982">
        <v>33</v>
      </c>
      <c r="Q4982">
        <v>1</v>
      </c>
      <c r="R4982" s="1">
        <v>44159</v>
      </c>
      <c r="S4982" t="s">
        <v>29</v>
      </c>
      <c r="T4982" t="str">
        <f t="shared" si="385"/>
        <v>Grade B</v>
      </c>
      <c r="U4982">
        <f t="shared" si="386"/>
        <v>3</v>
      </c>
      <c r="V4982" t="str">
        <f t="shared" si="387"/>
        <v>Junior</v>
      </c>
      <c r="W4982" t="str">
        <f t="shared" si="388"/>
        <v>Medium Risk</v>
      </c>
      <c r="X4982" t="str">
        <f t="shared" si="389"/>
        <v>Competitive</v>
      </c>
    </row>
    <row r="4983" spans="1:24" x14ac:dyDescent="0.3">
      <c r="A4983" t="s">
        <v>5051</v>
      </c>
      <c r="B4983" t="s">
        <v>39</v>
      </c>
      <c r="C4983">
        <v>41</v>
      </c>
      <c r="D4983" t="s">
        <v>31</v>
      </c>
      <c r="E4983" t="s">
        <v>48</v>
      </c>
      <c r="F4983" t="s">
        <v>62</v>
      </c>
      <c r="G4983" t="s">
        <v>58</v>
      </c>
      <c r="H4983" t="s">
        <v>25</v>
      </c>
      <c r="I4983" t="s">
        <v>50</v>
      </c>
      <c r="J4983" t="s">
        <v>44</v>
      </c>
      <c r="K4983">
        <v>1</v>
      </c>
      <c r="L4983">
        <v>77394</v>
      </c>
      <c r="M4983" t="s">
        <v>45</v>
      </c>
      <c r="N4983">
        <v>4</v>
      </c>
      <c r="O4983">
        <v>2</v>
      </c>
      <c r="P4983">
        <v>31</v>
      </c>
      <c r="Q4983">
        <v>3</v>
      </c>
      <c r="R4983" s="1">
        <v>44746</v>
      </c>
      <c r="S4983" t="s">
        <v>29</v>
      </c>
      <c r="T4983" t="str">
        <f t="shared" si="385"/>
        <v>Grade B</v>
      </c>
      <c r="U4983">
        <f t="shared" si="386"/>
        <v>2</v>
      </c>
      <c r="V4983" t="str">
        <f t="shared" si="387"/>
        <v>New Joiner</v>
      </c>
      <c r="W4983" t="str">
        <f t="shared" si="388"/>
        <v>Medium Risk</v>
      </c>
      <c r="X4983" t="str">
        <f t="shared" si="389"/>
        <v>Fair</v>
      </c>
    </row>
    <row r="4984" spans="1:24" x14ac:dyDescent="0.3">
      <c r="A4984" t="s">
        <v>5052</v>
      </c>
      <c r="B4984" t="s">
        <v>39</v>
      </c>
      <c r="C4984">
        <v>34</v>
      </c>
      <c r="D4984" t="s">
        <v>31</v>
      </c>
      <c r="E4984" t="s">
        <v>48</v>
      </c>
      <c r="F4984" t="s">
        <v>53</v>
      </c>
      <c r="G4984" t="s">
        <v>24</v>
      </c>
      <c r="H4984" t="s">
        <v>34</v>
      </c>
      <c r="I4984" t="s">
        <v>54</v>
      </c>
      <c r="J4984" t="s">
        <v>27</v>
      </c>
      <c r="K4984">
        <v>8</v>
      </c>
      <c r="L4984">
        <v>96863</v>
      </c>
      <c r="M4984" t="s">
        <v>51</v>
      </c>
      <c r="N4984">
        <v>4</v>
      </c>
      <c r="O4984">
        <v>2</v>
      </c>
      <c r="P4984">
        <v>12</v>
      </c>
      <c r="Q4984">
        <v>2</v>
      </c>
      <c r="R4984" s="1">
        <v>42231</v>
      </c>
      <c r="S4984" t="s">
        <v>29</v>
      </c>
      <c r="T4984" t="str">
        <f t="shared" si="385"/>
        <v>Grade A</v>
      </c>
      <c r="U4984">
        <f t="shared" si="386"/>
        <v>4</v>
      </c>
      <c r="V4984" t="str">
        <f t="shared" si="387"/>
        <v>Mid Level</v>
      </c>
      <c r="W4984" t="str">
        <f t="shared" si="388"/>
        <v>Low Risk</v>
      </c>
      <c r="X4984" t="str">
        <f t="shared" si="389"/>
        <v>Competitive</v>
      </c>
    </row>
    <row r="4985" spans="1:24" x14ac:dyDescent="0.3">
      <c r="A4985" t="s">
        <v>5053</v>
      </c>
      <c r="B4985" t="s">
        <v>39</v>
      </c>
      <c r="C4985">
        <v>43</v>
      </c>
      <c r="D4985" t="s">
        <v>31</v>
      </c>
      <c r="E4985" t="s">
        <v>40</v>
      </c>
      <c r="F4985" t="s">
        <v>62</v>
      </c>
      <c r="G4985" t="s">
        <v>33</v>
      </c>
      <c r="H4985" t="s">
        <v>25</v>
      </c>
      <c r="I4985" t="s">
        <v>35</v>
      </c>
      <c r="J4985" t="s">
        <v>27</v>
      </c>
      <c r="K4985">
        <v>14</v>
      </c>
      <c r="L4985">
        <v>90566</v>
      </c>
      <c r="M4985" t="s">
        <v>28</v>
      </c>
      <c r="N4985">
        <v>3</v>
      </c>
      <c r="O4985">
        <v>3</v>
      </c>
      <c r="P4985">
        <v>30</v>
      </c>
      <c r="Q4985">
        <v>3</v>
      </c>
      <c r="R4985" s="1">
        <v>39856</v>
      </c>
      <c r="S4985" t="s">
        <v>29</v>
      </c>
      <c r="T4985" t="str">
        <f t="shared" si="385"/>
        <v>Grade A</v>
      </c>
      <c r="U4985">
        <f t="shared" si="386"/>
        <v>3</v>
      </c>
      <c r="V4985" t="str">
        <f t="shared" si="387"/>
        <v>Senior</v>
      </c>
      <c r="W4985" t="str">
        <f t="shared" si="388"/>
        <v>Medium Risk</v>
      </c>
      <c r="X4985" t="str">
        <f t="shared" si="389"/>
        <v>Competitive</v>
      </c>
    </row>
    <row r="4986" spans="1:24" x14ac:dyDescent="0.3">
      <c r="A4986" t="s">
        <v>5054</v>
      </c>
      <c r="B4986" t="s">
        <v>39</v>
      </c>
      <c r="C4986">
        <v>37</v>
      </c>
      <c r="D4986" t="s">
        <v>21</v>
      </c>
      <c r="E4986" t="s">
        <v>22</v>
      </c>
      <c r="F4986" t="s">
        <v>75</v>
      </c>
      <c r="G4986" t="s">
        <v>33</v>
      </c>
      <c r="H4986" t="s">
        <v>25</v>
      </c>
      <c r="I4986" t="s">
        <v>72</v>
      </c>
      <c r="J4986" t="s">
        <v>73</v>
      </c>
      <c r="K4986">
        <v>10</v>
      </c>
      <c r="L4986">
        <v>84209</v>
      </c>
      <c r="M4986" t="s">
        <v>45</v>
      </c>
      <c r="N4986">
        <v>4</v>
      </c>
      <c r="O4986">
        <v>1</v>
      </c>
      <c r="P4986">
        <v>16</v>
      </c>
      <c r="Q4986">
        <v>3</v>
      </c>
      <c r="R4986" s="1">
        <v>41514</v>
      </c>
      <c r="S4986" t="s">
        <v>29</v>
      </c>
      <c r="T4986" t="str">
        <f t="shared" si="385"/>
        <v>Grade A</v>
      </c>
      <c r="U4986">
        <f t="shared" si="386"/>
        <v>2</v>
      </c>
      <c r="V4986" t="str">
        <f t="shared" si="387"/>
        <v>Mid Level</v>
      </c>
      <c r="W4986" t="str">
        <f t="shared" si="388"/>
        <v>Medium Risk</v>
      </c>
      <c r="X4986" t="str">
        <f t="shared" si="389"/>
        <v>Fair</v>
      </c>
    </row>
    <row r="4987" spans="1:24" x14ac:dyDescent="0.3">
      <c r="A4987" t="s">
        <v>5055</v>
      </c>
      <c r="B4987" t="s">
        <v>20</v>
      </c>
      <c r="C4987">
        <v>39</v>
      </c>
      <c r="D4987" t="s">
        <v>57</v>
      </c>
      <c r="E4987" t="s">
        <v>40</v>
      </c>
      <c r="F4987" t="s">
        <v>32</v>
      </c>
      <c r="G4987" t="s">
        <v>49</v>
      </c>
      <c r="H4987" t="s">
        <v>25</v>
      </c>
      <c r="I4987" t="s">
        <v>68</v>
      </c>
      <c r="J4987" t="s">
        <v>60</v>
      </c>
      <c r="K4987">
        <v>7</v>
      </c>
      <c r="L4987">
        <v>57541</v>
      </c>
      <c r="M4987" t="s">
        <v>51</v>
      </c>
      <c r="N4987">
        <v>3</v>
      </c>
      <c r="O4987">
        <v>3</v>
      </c>
      <c r="P4987">
        <v>61</v>
      </c>
      <c r="Q4987">
        <v>3</v>
      </c>
      <c r="R4987" s="1">
        <v>42643</v>
      </c>
      <c r="S4987" t="s">
        <v>29</v>
      </c>
      <c r="T4987" t="str">
        <f t="shared" si="385"/>
        <v>Grade B</v>
      </c>
      <c r="U4987">
        <f t="shared" si="386"/>
        <v>4</v>
      </c>
      <c r="V4987" t="str">
        <f t="shared" si="387"/>
        <v>Mid Level</v>
      </c>
      <c r="W4987" t="str">
        <f t="shared" si="388"/>
        <v>Low Risk</v>
      </c>
      <c r="X4987" t="str">
        <f t="shared" si="389"/>
        <v>Fair</v>
      </c>
    </row>
    <row r="4988" spans="1:24" x14ac:dyDescent="0.3">
      <c r="A4988" t="s">
        <v>5056</v>
      </c>
      <c r="B4988" t="s">
        <v>39</v>
      </c>
      <c r="C4988">
        <v>39</v>
      </c>
      <c r="D4988" t="s">
        <v>31</v>
      </c>
      <c r="E4988" t="s">
        <v>22</v>
      </c>
      <c r="F4988" t="s">
        <v>75</v>
      </c>
      <c r="G4988" t="s">
        <v>58</v>
      </c>
      <c r="H4988" t="s">
        <v>76</v>
      </c>
      <c r="I4988" t="s">
        <v>72</v>
      </c>
      <c r="J4988" t="s">
        <v>73</v>
      </c>
      <c r="K4988">
        <v>3</v>
      </c>
      <c r="L4988">
        <v>97189</v>
      </c>
      <c r="M4988" t="s">
        <v>51</v>
      </c>
      <c r="N4988">
        <v>2</v>
      </c>
      <c r="O4988">
        <v>1</v>
      </c>
      <c r="P4988">
        <v>62</v>
      </c>
      <c r="Q4988">
        <v>0</v>
      </c>
      <c r="R4988" s="1">
        <v>43866</v>
      </c>
      <c r="S4988" t="s">
        <v>29</v>
      </c>
      <c r="T4988" t="str">
        <f t="shared" si="385"/>
        <v>Grade A</v>
      </c>
      <c r="U4988">
        <f t="shared" si="386"/>
        <v>4</v>
      </c>
      <c r="V4988" t="str">
        <f t="shared" si="387"/>
        <v>Junior</v>
      </c>
      <c r="W4988" t="str">
        <f t="shared" si="388"/>
        <v>Low Risk</v>
      </c>
      <c r="X4988" t="str">
        <f t="shared" si="389"/>
        <v>Competitive</v>
      </c>
    </row>
    <row r="4989" spans="1:24" x14ac:dyDescent="0.3">
      <c r="A4989" t="s">
        <v>5057</v>
      </c>
      <c r="B4989" t="s">
        <v>20</v>
      </c>
      <c r="C4989">
        <v>41</v>
      </c>
      <c r="D4989" t="s">
        <v>21</v>
      </c>
      <c r="E4989" t="s">
        <v>40</v>
      </c>
      <c r="F4989" t="s">
        <v>78</v>
      </c>
      <c r="G4989" t="s">
        <v>66</v>
      </c>
      <c r="H4989" t="s">
        <v>67</v>
      </c>
      <c r="I4989" t="s">
        <v>68</v>
      </c>
      <c r="J4989" t="s">
        <v>60</v>
      </c>
      <c r="K4989">
        <v>12</v>
      </c>
      <c r="L4989">
        <v>64753</v>
      </c>
      <c r="M4989" t="s">
        <v>45</v>
      </c>
      <c r="N4989">
        <v>3</v>
      </c>
      <c r="O4989">
        <v>3</v>
      </c>
      <c r="P4989">
        <v>31</v>
      </c>
      <c r="Q4989">
        <v>3</v>
      </c>
      <c r="R4989" s="1">
        <v>40576</v>
      </c>
      <c r="S4989" t="s">
        <v>29</v>
      </c>
      <c r="T4989" t="str">
        <f t="shared" si="385"/>
        <v>Grade B</v>
      </c>
      <c r="U4989">
        <f t="shared" si="386"/>
        <v>2</v>
      </c>
      <c r="V4989" t="str">
        <f t="shared" si="387"/>
        <v>Senior</v>
      </c>
      <c r="W4989" t="str">
        <f t="shared" si="388"/>
        <v>Medium Risk</v>
      </c>
      <c r="X4989" t="str">
        <f t="shared" si="389"/>
        <v>Fair</v>
      </c>
    </row>
    <row r="4990" spans="1:24" x14ac:dyDescent="0.3">
      <c r="A4990" t="s">
        <v>5058</v>
      </c>
      <c r="B4990" t="s">
        <v>20</v>
      </c>
      <c r="C4990">
        <v>39</v>
      </c>
      <c r="D4990" t="s">
        <v>88</v>
      </c>
      <c r="E4990" t="s">
        <v>48</v>
      </c>
      <c r="F4990" t="s">
        <v>62</v>
      </c>
      <c r="G4990" t="s">
        <v>33</v>
      </c>
      <c r="H4990" t="s">
        <v>34</v>
      </c>
      <c r="I4990" t="s">
        <v>72</v>
      </c>
      <c r="J4990" t="s">
        <v>73</v>
      </c>
      <c r="K4990">
        <v>4</v>
      </c>
      <c r="L4990">
        <v>59316</v>
      </c>
      <c r="M4990" t="s">
        <v>45</v>
      </c>
      <c r="N4990">
        <v>1</v>
      </c>
      <c r="O4990">
        <v>3</v>
      </c>
      <c r="P4990">
        <v>75</v>
      </c>
      <c r="Q4990">
        <v>3</v>
      </c>
      <c r="R4990" s="1">
        <v>43591</v>
      </c>
      <c r="S4990" t="s">
        <v>29</v>
      </c>
      <c r="T4990" t="str">
        <f t="shared" si="385"/>
        <v>Grade B</v>
      </c>
      <c r="U4990">
        <f t="shared" si="386"/>
        <v>2</v>
      </c>
      <c r="V4990" t="str">
        <f t="shared" si="387"/>
        <v>Junior</v>
      </c>
      <c r="W4990" t="str">
        <f t="shared" si="388"/>
        <v>Medium Risk</v>
      </c>
      <c r="X4990" t="str">
        <f t="shared" si="389"/>
        <v>Fair</v>
      </c>
    </row>
    <row r="4991" spans="1:24" x14ac:dyDescent="0.3">
      <c r="A4991" t="s">
        <v>5059</v>
      </c>
      <c r="B4991" t="s">
        <v>20</v>
      </c>
      <c r="C4991">
        <v>26</v>
      </c>
      <c r="D4991" t="s">
        <v>88</v>
      </c>
      <c r="E4991" t="s">
        <v>40</v>
      </c>
      <c r="F4991" t="s">
        <v>62</v>
      </c>
      <c r="G4991" t="s">
        <v>58</v>
      </c>
      <c r="H4991" t="s">
        <v>34</v>
      </c>
      <c r="I4991" t="s">
        <v>80</v>
      </c>
      <c r="J4991" t="s">
        <v>60</v>
      </c>
      <c r="K4991">
        <v>6</v>
      </c>
      <c r="L4991">
        <v>92672</v>
      </c>
      <c r="M4991" t="s">
        <v>51</v>
      </c>
      <c r="N4991">
        <v>3</v>
      </c>
      <c r="O4991">
        <v>4</v>
      </c>
      <c r="P4991">
        <v>58</v>
      </c>
      <c r="Q4991">
        <v>0</v>
      </c>
      <c r="R4991" s="1">
        <v>43022</v>
      </c>
      <c r="S4991" t="s">
        <v>29</v>
      </c>
      <c r="T4991" t="str">
        <f t="shared" si="385"/>
        <v>Grade A</v>
      </c>
      <c r="U4991">
        <f t="shared" si="386"/>
        <v>4</v>
      </c>
      <c r="V4991" t="str">
        <f t="shared" si="387"/>
        <v>Mid Level</v>
      </c>
      <c r="W4991" t="str">
        <f t="shared" si="388"/>
        <v>Low Risk</v>
      </c>
      <c r="X4991" t="str">
        <f t="shared" si="389"/>
        <v>Competitive</v>
      </c>
    </row>
    <row r="4992" spans="1:24" x14ac:dyDescent="0.3">
      <c r="A4992" t="s">
        <v>5060</v>
      </c>
      <c r="B4992" t="s">
        <v>20</v>
      </c>
      <c r="C4992">
        <v>49</v>
      </c>
      <c r="D4992" t="s">
        <v>88</v>
      </c>
      <c r="E4992" t="s">
        <v>40</v>
      </c>
      <c r="F4992" t="s">
        <v>75</v>
      </c>
      <c r="G4992" t="s">
        <v>79</v>
      </c>
      <c r="H4992" t="s">
        <v>25</v>
      </c>
      <c r="I4992" t="s">
        <v>26</v>
      </c>
      <c r="J4992" t="s">
        <v>27</v>
      </c>
      <c r="K4992">
        <v>1</v>
      </c>
      <c r="L4992">
        <v>42160</v>
      </c>
      <c r="M4992" t="s">
        <v>45</v>
      </c>
      <c r="N4992">
        <v>1</v>
      </c>
      <c r="O4992">
        <v>3</v>
      </c>
      <c r="P4992">
        <v>69</v>
      </c>
      <c r="Q4992">
        <v>2</v>
      </c>
      <c r="R4992" s="1">
        <v>44896</v>
      </c>
      <c r="S4992" t="s">
        <v>29</v>
      </c>
      <c r="T4992" t="str">
        <f t="shared" si="385"/>
        <v>Grade C</v>
      </c>
      <c r="U4992">
        <f t="shared" si="386"/>
        <v>2</v>
      </c>
      <c r="V4992" t="str">
        <f t="shared" si="387"/>
        <v>New Joiner</v>
      </c>
      <c r="W4992" t="str">
        <f t="shared" si="388"/>
        <v>Medium Risk</v>
      </c>
      <c r="X4992" t="str">
        <f t="shared" si="389"/>
        <v>Fair</v>
      </c>
    </row>
    <row r="4993" spans="1:24" x14ac:dyDescent="0.3">
      <c r="A4993" t="s">
        <v>5061</v>
      </c>
      <c r="B4993" t="s">
        <v>39</v>
      </c>
      <c r="C4993">
        <v>31</v>
      </c>
      <c r="D4993" t="s">
        <v>57</v>
      </c>
      <c r="E4993" t="s">
        <v>48</v>
      </c>
      <c r="F4993" t="s">
        <v>23</v>
      </c>
      <c r="G4993" t="s">
        <v>63</v>
      </c>
      <c r="H4993" t="s">
        <v>83</v>
      </c>
      <c r="I4993" t="s">
        <v>35</v>
      </c>
      <c r="J4993" t="s">
        <v>27</v>
      </c>
      <c r="K4993">
        <v>12</v>
      </c>
      <c r="L4993">
        <v>77902</v>
      </c>
      <c r="M4993" t="s">
        <v>45</v>
      </c>
      <c r="N4993">
        <v>2</v>
      </c>
      <c r="O4993">
        <v>2</v>
      </c>
      <c r="P4993">
        <v>42</v>
      </c>
      <c r="Q4993">
        <v>0</v>
      </c>
      <c r="R4993" s="1">
        <v>40644</v>
      </c>
      <c r="S4993" t="s">
        <v>37</v>
      </c>
      <c r="T4993" t="str">
        <f t="shared" si="385"/>
        <v>Grade B</v>
      </c>
      <c r="U4993">
        <f t="shared" si="386"/>
        <v>2</v>
      </c>
      <c r="V4993" t="str">
        <f t="shared" si="387"/>
        <v>Senior</v>
      </c>
      <c r="W4993" t="str">
        <f t="shared" si="388"/>
        <v>Already Left</v>
      </c>
      <c r="X4993" t="str">
        <f t="shared" si="389"/>
        <v>Fair</v>
      </c>
    </row>
    <row r="4994" spans="1:24" x14ac:dyDescent="0.3">
      <c r="A4994" t="s">
        <v>5062</v>
      </c>
      <c r="B4994" t="s">
        <v>20</v>
      </c>
      <c r="C4994">
        <v>51</v>
      </c>
      <c r="D4994" t="s">
        <v>31</v>
      </c>
      <c r="E4994" t="s">
        <v>22</v>
      </c>
      <c r="F4994" t="s">
        <v>32</v>
      </c>
      <c r="G4994" t="s">
        <v>33</v>
      </c>
      <c r="H4994" t="s">
        <v>25</v>
      </c>
      <c r="I4994" t="s">
        <v>54</v>
      </c>
      <c r="J4994" t="s">
        <v>27</v>
      </c>
      <c r="K4994">
        <v>13</v>
      </c>
      <c r="L4994">
        <v>84815</v>
      </c>
      <c r="M4994" t="s">
        <v>28</v>
      </c>
      <c r="N4994">
        <v>2</v>
      </c>
      <c r="O4994">
        <v>1</v>
      </c>
      <c r="P4994">
        <v>57</v>
      </c>
      <c r="Q4994">
        <v>2</v>
      </c>
      <c r="R4994" s="1">
        <v>40317</v>
      </c>
      <c r="S4994" t="s">
        <v>29</v>
      </c>
      <c r="T4994" t="str">
        <f t="shared" ref="T4994:T5001" si="390">IF(L4994&gt;=80000,"Grade A",IF(L4994&gt;=50000,"Grade B",IF(L4994&gt;=35000,"Grade C","Grade D")))</f>
        <v>Grade A</v>
      </c>
      <c r="U4994">
        <f t="shared" ref="U4994:U5001" si="391">IF(M4994="Excellent",4,IF(M4994="Good",3,IF(M4994="Average",2,1)))</f>
        <v>3</v>
      </c>
      <c r="V4994" t="str">
        <f t="shared" ref="V4994:V5001" si="392">IF(K4994&lt;=2,"New Joiner",IF(K4994&lt;=5,"Junior",IF(K4994&lt;=10,"Mid Level","Senior")))</f>
        <v>Senior</v>
      </c>
      <c r="W4994" t="str">
        <f t="shared" ref="W4994:W5001" si="393">IF(S4994="Yes","Already Left",IF(AND(K4994&lt;=2,M4994="Poor"),"High Risk",IF(AND(K4994&lt;=5,M4994="Average"),"Medium Risk",IF(M4994="Excellent","Low Risk","Medium Risk"))))</f>
        <v>Medium Risk</v>
      </c>
      <c r="X4994" t="str">
        <f t="shared" ref="X4994:X5001" si="394">IF(AND(L4994&gt;=80000,M4994="Excellent"),"Competitive",IF(AND(L4994&gt;=50000,M4994="Good"),"Competitive",IF(AND(L4994&lt;35000,M4994="Excellent"),"Underpaid",IF(AND(L4994&gt;=80000,M4994="Poor"),"Overpaid","Fair"))))</f>
        <v>Competitive</v>
      </c>
    </row>
    <row r="4995" spans="1:24" x14ac:dyDescent="0.3">
      <c r="A4995" t="s">
        <v>5063</v>
      </c>
      <c r="B4995" t="s">
        <v>20</v>
      </c>
      <c r="C4995">
        <v>30</v>
      </c>
      <c r="D4995" t="s">
        <v>21</v>
      </c>
      <c r="E4995" t="s">
        <v>48</v>
      </c>
      <c r="F4995" t="s">
        <v>65</v>
      </c>
      <c r="G4995" t="s">
        <v>42</v>
      </c>
      <c r="H4995" t="s">
        <v>76</v>
      </c>
      <c r="I4995" t="s">
        <v>26</v>
      </c>
      <c r="J4995" t="s">
        <v>27</v>
      </c>
      <c r="K4995">
        <v>14</v>
      </c>
      <c r="L4995">
        <v>120670</v>
      </c>
      <c r="M4995" t="s">
        <v>28</v>
      </c>
      <c r="N4995">
        <v>2</v>
      </c>
      <c r="O4995">
        <v>1</v>
      </c>
      <c r="P4995">
        <v>22</v>
      </c>
      <c r="Q4995">
        <v>3</v>
      </c>
      <c r="R4995" s="1">
        <v>40111</v>
      </c>
      <c r="S4995" t="s">
        <v>29</v>
      </c>
      <c r="T4995" t="str">
        <f t="shared" si="390"/>
        <v>Grade A</v>
      </c>
      <c r="U4995">
        <f t="shared" si="391"/>
        <v>3</v>
      </c>
      <c r="V4995" t="str">
        <f t="shared" si="392"/>
        <v>Senior</v>
      </c>
      <c r="W4995" t="str">
        <f t="shared" si="393"/>
        <v>Medium Risk</v>
      </c>
      <c r="X4995" t="str">
        <f t="shared" si="394"/>
        <v>Competitive</v>
      </c>
    </row>
    <row r="4996" spans="1:24" x14ac:dyDescent="0.3">
      <c r="A4996" t="s">
        <v>5064</v>
      </c>
      <c r="B4996" t="s">
        <v>20</v>
      </c>
      <c r="C4996">
        <v>33</v>
      </c>
      <c r="D4996" t="s">
        <v>88</v>
      </c>
      <c r="E4996" t="s">
        <v>40</v>
      </c>
      <c r="F4996" t="s">
        <v>62</v>
      </c>
      <c r="G4996" t="s">
        <v>49</v>
      </c>
      <c r="H4996" t="s">
        <v>67</v>
      </c>
      <c r="I4996" t="s">
        <v>50</v>
      </c>
      <c r="J4996" t="s">
        <v>44</v>
      </c>
      <c r="K4996">
        <v>14</v>
      </c>
      <c r="L4996">
        <v>84198</v>
      </c>
      <c r="M4996" t="s">
        <v>36</v>
      </c>
      <c r="N4996">
        <v>3</v>
      </c>
      <c r="O4996">
        <v>4</v>
      </c>
      <c r="P4996">
        <v>76</v>
      </c>
      <c r="Q4996">
        <v>2</v>
      </c>
      <c r="R4996" s="1">
        <v>39875</v>
      </c>
      <c r="S4996" t="s">
        <v>29</v>
      </c>
      <c r="T4996" t="str">
        <f t="shared" si="390"/>
        <v>Grade A</v>
      </c>
      <c r="U4996">
        <f t="shared" si="391"/>
        <v>1</v>
      </c>
      <c r="V4996" t="str">
        <f t="shared" si="392"/>
        <v>Senior</v>
      </c>
      <c r="W4996" t="str">
        <f t="shared" si="393"/>
        <v>Medium Risk</v>
      </c>
      <c r="X4996" t="str">
        <f t="shared" si="394"/>
        <v>Overpaid</v>
      </c>
    </row>
    <row r="4997" spans="1:24" x14ac:dyDescent="0.3">
      <c r="A4997" t="s">
        <v>5065</v>
      </c>
      <c r="B4997" t="s">
        <v>20</v>
      </c>
      <c r="C4997">
        <v>45</v>
      </c>
      <c r="D4997" t="s">
        <v>47</v>
      </c>
      <c r="E4997" t="s">
        <v>40</v>
      </c>
      <c r="F4997" t="s">
        <v>65</v>
      </c>
      <c r="G4997" t="s">
        <v>66</v>
      </c>
      <c r="H4997" t="s">
        <v>76</v>
      </c>
      <c r="I4997" t="s">
        <v>35</v>
      </c>
      <c r="J4997" t="s">
        <v>27</v>
      </c>
      <c r="K4997">
        <v>1</v>
      </c>
      <c r="L4997">
        <v>27568</v>
      </c>
      <c r="M4997" t="s">
        <v>36</v>
      </c>
      <c r="N4997">
        <v>2</v>
      </c>
      <c r="O4997">
        <v>1</v>
      </c>
      <c r="P4997">
        <v>78</v>
      </c>
      <c r="Q4997">
        <v>0</v>
      </c>
      <c r="R4997" s="1">
        <v>44741</v>
      </c>
      <c r="S4997" t="s">
        <v>37</v>
      </c>
      <c r="T4997" t="str">
        <f t="shared" si="390"/>
        <v>Grade D</v>
      </c>
      <c r="U4997">
        <f t="shared" si="391"/>
        <v>1</v>
      </c>
      <c r="V4997" t="str">
        <f t="shared" si="392"/>
        <v>New Joiner</v>
      </c>
      <c r="W4997" t="str">
        <f t="shared" si="393"/>
        <v>Already Left</v>
      </c>
      <c r="X4997" t="str">
        <f t="shared" si="394"/>
        <v>Fair</v>
      </c>
    </row>
    <row r="4998" spans="1:24" x14ac:dyDescent="0.3">
      <c r="A4998" t="s">
        <v>5066</v>
      </c>
      <c r="B4998" t="s">
        <v>39</v>
      </c>
      <c r="C4998">
        <v>34</v>
      </c>
      <c r="D4998" t="s">
        <v>31</v>
      </c>
      <c r="E4998" t="s">
        <v>40</v>
      </c>
      <c r="F4998" t="s">
        <v>62</v>
      </c>
      <c r="G4998" t="s">
        <v>42</v>
      </c>
      <c r="H4998" t="s">
        <v>83</v>
      </c>
      <c r="I4998" t="s">
        <v>54</v>
      </c>
      <c r="J4998" t="s">
        <v>27</v>
      </c>
      <c r="K4998">
        <v>5</v>
      </c>
      <c r="L4998">
        <v>108554</v>
      </c>
      <c r="M4998" t="s">
        <v>45</v>
      </c>
      <c r="N4998">
        <v>1</v>
      </c>
      <c r="O4998">
        <v>3</v>
      </c>
      <c r="P4998">
        <v>79</v>
      </c>
      <c r="Q4998">
        <v>1</v>
      </c>
      <c r="R4998" s="1">
        <v>43379</v>
      </c>
      <c r="S4998" t="s">
        <v>29</v>
      </c>
      <c r="T4998" t="str">
        <f t="shared" si="390"/>
        <v>Grade A</v>
      </c>
      <c r="U4998">
        <f t="shared" si="391"/>
        <v>2</v>
      </c>
      <c r="V4998" t="str">
        <f t="shared" si="392"/>
        <v>Junior</v>
      </c>
      <c r="W4998" t="str">
        <f t="shared" si="393"/>
        <v>Medium Risk</v>
      </c>
      <c r="X4998" t="str">
        <f t="shared" si="394"/>
        <v>Fair</v>
      </c>
    </row>
    <row r="4999" spans="1:24" x14ac:dyDescent="0.3">
      <c r="A4999" t="s">
        <v>5067</v>
      </c>
      <c r="B4999" t="s">
        <v>20</v>
      </c>
      <c r="C4999">
        <v>23</v>
      </c>
      <c r="D4999" t="s">
        <v>47</v>
      </c>
      <c r="E4999" t="s">
        <v>48</v>
      </c>
      <c r="F4999" t="s">
        <v>78</v>
      </c>
      <c r="G4999" t="s">
        <v>58</v>
      </c>
      <c r="H4999" t="s">
        <v>76</v>
      </c>
      <c r="I4999" t="s">
        <v>50</v>
      </c>
      <c r="J4999" t="s">
        <v>44</v>
      </c>
      <c r="K4999">
        <v>11</v>
      </c>
      <c r="L4999">
        <v>107428</v>
      </c>
      <c r="M4999" t="s">
        <v>28</v>
      </c>
      <c r="N4999">
        <v>3</v>
      </c>
      <c r="O4999">
        <v>2</v>
      </c>
      <c r="P4999">
        <v>25</v>
      </c>
      <c r="Q4999">
        <v>0</v>
      </c>
      <c r="R4999" s="1">
        <v>41208</v>
      </c>
      <c r="S4999" t="s">
        <v>29</v>
      </c>
      <c r="T4999" t="str">
        <f t="shared" si="390"/>
        <v>Grade A</v>
      </c>
      <c r="U4999">
        <f t="shared" si="391"/>
        <v>3</v>
      </c>
      <c r="V4999" t="str">
        <f t="shared" si="392"/>
        <v>Senior</v>
      </c>
      <c r="W4999" t="str">
        <f t="shared" si="393"/>
        <v>Medium Risk</v>
      </c>
      <c r="X4999" t="str">
        <f t="shared" si="394"/>
        <v>Competitive</v>
      </c>
    </row>
    <row r="5000" spans="1:24" x14ac:dyDescent="0.3">
      <c r="A5000" t="s">
        <v>5068</v>
      </c>
      <c r="B5000" t="s">
        <v>39</v>
      </c>
      <c r="C5000">
        <v>48</v>
      </c>
      <c r="D5000" t="s">
        <v>88</v>
      </c>
      <c r="E5000" t="s">
        <v>40</v>
      </c>
      <c r="F5000" t="s">
        <v>32</v>
      </c>
      <c r="G5000" t="s">
        <v>63</v>
      </c>
      <c r="H5000" t="s">
        <v>34</v>
      </c>
      <c r="I5000" t="s">
        <v>96</v>
      </c>
      <c r="J5000" t="s">
        <v>44</v>
      </c>
      <c r="K5000">
        <v>10</v>
      </c>
      <c r="L5000">
        <v>60046</v>
      </c>
      <c r="M5000" t="s">
        <v>45</v>
      </c>
      <c r="N5000">
        <v>3</v>
      </c>
      <c r="O5000">
        <v>3</v>
      </c>
      <c r="P5000">
        <v>14</v>
      </c>
      <c r="Q5000">
        <v>3</v>
      </c>
      <c r="R5000" s="1">
        <v>41508</v>
      </c>
      <c r="S5000" t="s">
        <v>29</v>
      </c>
      <c r="T5000" t="str">
        <f t="shared" si="390"/>
        <v>Grade B</v>
      </c>
      <c r="U5000">
        <f t="shared" si="391"/>
        <v>2</v>
      </c>
      <c r="V5000" t="str">
        <f t="shared" si="392"/>
        <v>Mid Level</v>
      </c>
      <c r="W5000" t="str">
        <f t="shared" si="393"/>
        <v>Medium Risk</v>
      </c>
      <c r="X5000" t="str">
        <f t="shared" si="394"/>
        <v>Fair</v>
      </c>
    </row>
    <row r="5001" spans="1:24" x14ac:dyDescent="0.3">
      <c r="A5001" t="s">
        <v>5069</v>
      </c>
      <c r="B5001" t="s">
        <v>39</v>
      </c>
      <c r="C5001">
        <v>39</v>
      </c>
      <c r="D5001" t="s">
        <v>31</v>
      </c>
      <c r="E5001" t="s">
        <v>40</v>
      </c>
      <c r="F5001" t="s">
        <v>41</v>
      </c>
      <c r="G5001" t="s">
        <v>24</v>
      </c>
      <c r="H5001" t="s">
        <v>67</v>
      </c>
      <c r="I5001" t="s">
        <v>50</v>
      </c>
      <c r="J5001" t="s">
        <v>44</v>
      </c>
      <c r="K5001">
        <v>3</v>
      </c>
      <c r="L5001">
        <v>78464</v>
      </c>
      <c r="M5001" t="s">
        <v>45</v>
      </c>
      <c r="N5001">
        <v>1</v>
      </c>
      <c r="O5001">
        <v>3</v>
      </c>
      <c r="P5001">
        <v>73</v>
      </c>
      <c r="Q5001">
        <v>0</v>
      </c>
      <c r="R5001" s="1">
        <v>44035</v>
      </c>
      <c r="S5001" t="s">
        <v>29</v>
      </c>
      <c r="T5001" t="str">
        <f t="shared" si="390"/>
        <v>Grade B</v>
      </c>
      <c r="U5001">
        <f t="shared" si="391"/>
        <v>2</v>
      </c>
      <c r="V5001" t="str">
        <f t="shared" si="392"/>
        <v>Junior</v>
      </c>
      <c r="W5001" t="str">
        <f t="shared" si="393"/>
        <v>Medium Risk</v>
      </c>
      <c r="X5001" t="str">
        <f t="shared" si="394"/>
        <v>Fair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2362-48F1-49CB-9FBF-5150A86FBC11}">
  <dimension ref="A3:T29"/>
  <sheetViews>
    <sheetView workbookViewId="0">
      <selection activeCell="J20" sqref="J20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4" width="7.5546875" bestFit="1" customWidth="1"/>
    <col min="5" max="5" width="7.6640625" bestFit="1" customWidth="1"/>
    <col min="6" max="6" width="20.109375" bestFit="1" customWidth="1"/>
    <col min="7" max="7" width="15.5546875" bestFit="1" customWidth="1"/>
    <col min="8" max="8" width="5" bestFit="1" customWidth="1"/>
    <col min="9" max="9" width="8.6640625" bestFit="1" customWidth="1"/>
    <col min="10" max="10" width="12.5546875" bestFit="1" customWidth="1"/>
    <col min="11" max="11" width="20.109375" bestFit="1" customWidth="1"/>
    <col min="12" max="12" width="24.21875" bestFit="1" customWidth="1"/>
    <col min="13" max="13" width="20.109375" bestFit="1" customWidth="1"/>
    <col min="14" max="14" width="24.21875" bestFit="1" customWidth="1"/>
    <col min="15" max="15" width="20.109375" bestFit="1" customWidth="1"/>
    <col min="16" max="16" width="24.21875" bestFit="1" customWidth="1"/>
    <col min="17" max="17" width="20.109375" bestFit="1" customWidth="1"/>
    <col min="18" max="18" width="24.21875" bestFit="1" customWidth="1"/>
    <col min="19" max="19" width="24.88671875" bestFit="1" customWidth="1"/>
    <col min="20" max="20" width="29" bestFit="1" customWidth="1"/>
  </cols>
  <sheetData>
    <row r="3" spans="1:13" x14ac:dyDescent="0.3">
      <c r="A3" s="2" t="s">
        <v>5082</v>
      </c>
      <c r="B3" s="2" t="s">
        <v>5077</v>
      </c>
      <c r="H3" s="2" t="s">
        <v>5082</v>
      </c>
      <c r="I3" s="2" t="s">
        <v>5077</v>
      </c>
    </row>
    <row r="4" spans="1:13" x14ac:dyDescent="0.3">
      <c r="A4" s="2" t="s">
        <v>5075</v>
      </c>
      <c r="B4" t="s">
        <v>5078</v>
      </c>
      <c r="C4" t="s">
        <v>5079</v>
      </c>
      <c r="D4" t="s">
        <v>5080</v>
      </c>
      <c r="E4" t="s">
        <v>5081</v>
      </c>
      <c r="F4" t="s">
        <v>5076</v>
      </c>
      <c r="H4" s="2" t="s">
        <v>5075</v>
      </c>
      <c r="I4" t="s">
        <v>5083</v>
      </c>
      <c r="J4" t="s">
        <v>5084</v>
      </c>
      <c r="K4" t="s">
        <v>5085</v>
      </c>
      <c r="L4" t="s">
        <v>5086</v>
      </c>
      <c r="M4" t="s">
        <v>5076</v>
      </c>
    </row>
    <row r="5" spans="1:13" x14ac:dyDescent="0.3">
      <c r="A5" s="3" t="s">
        <v>75</v>
      </c>
      <c r="B5">
        <v>234</v>
      </c>
      <c r="C5">
        <v>292</v>
      </c>
      <c r="D5">
        <v>76</v>
      </c>
      <c r="E5">
        <v>7</v>
      </c>
      <c r="F5">
        <v>609</v>
      </c>
      <c r="H5" s="3" t="s">
        <v>83</v>
      </c>
      <c r="I5">
        <v>366</v>
      </c>
      <c r="J5">
        <v>8</v>
      </c>
      <c r="K5">
        <v>192</v>
      </c>
      <c r="L5">
        <v>519</v>
      </c>
      <c r="M5">
        <v>1085</v>
      </c>
    </row>
    <row r="6" spans="1:13" x14ac:dyDescent="0.3">
      <c r="A6" s="3" t="s">
        <v>62</v>
      </c>
      <c r="B6">
        <v>275</v>
      </c>
      <c r="C6">
        <v>286</v>
      </c>
      <c r="D6">
        <v>82</v>
      </c>
      <c r="E6">
        <v>5</v>
      </c>
      <c r="F6">
        <v>648</v>
      </c>
      <c r="H6" s="3" t="s">
        <v>25</v>
      </c>
      <c r="I6">
        <v>303</v>
      </c>
      <c r="J6">
        <v>10</v>
      </c>
      <c r="K6">
        <v>187</v>
      </c>
      <c r="L6">
        <v>453</v>
      </c>
      <c r="M6">
        <v>953</v>
      </c>
    </row>
    <row r="7" spans="1:13" x14ac:dyDescent="0.3">
      <c r="A7" s="3" t="s">
        <v>23</v>
      </c>
      <c r="B7">
        <v>246</v>
      </c>
      <c r="C7">
        <v>315</v>
      </c>
      <c r="D7">
        <v>58</v>
      </c>
      <c r="E7">
        <v>5</v>
      </c>
      <c r="F7">
        <v>624</v>
      </c>
      <c r="H7" s="3" t="s">
        <v>67</v>
      </c>
      <c r="I7">
        <v>306</v>
      </c>
      <c r="J7">
        <v>10</v>
      </c>
      <c r="K7">
        <v>200</v>
      </c>
      <c r="L7">
        <v>453</v>
      </c>
      <c r="M7">
        <v>969</v>
      </c>
    </row>
    <row r="8" spans="1:13" x14ac:dyDescent="0.3">
      <c r="A8" s="3" t="s">
        <v>65</v>
      </c>
      <c r="B8">
        <v>258</v>
      </c>
      <c r="C8">
        <v>282</v>
      </c>
      <c r="D8">
        <v>74</v>
      </c>
      <c r="E8">
        <v>4</v>
      </c>
      <c r="F8">
        <v>618</v>
      </c>
      <c r="H8" s="3" t="s">
        <v>76</v>
      </c>
      <c r="I8">
        <v>299</v>
      </c>
      <c r="J8">
        <v>14</v>
      </c>
      <c r="K8">
        <v>198</v>
      </c>
      <c r="L8">
        <v>471</v>
      </c>
      <c r="M8">
        <v>982</v>
      </c>
    </row>
    <row r="9" spans="1:13" x14ac:dyDescent="0.3">
      <c r="A9" s="3" t="s">
        <v>78</v>
      </c>
      <c r="B9">
        <v>242</v>
      </c>
      <c r="C9">
        <v>290</v>
      </c>
      <c r="D9">
        <v>67</v>
      </c>
      <c r="E9">
        <v>1</v>
      </c>
      <c r="F9">
        <v>600</v>
      </c>
      <c r="H9" s="3" t="s">
        <v>34</v>
      </c>
      <c r="I9">
        <v>342</v>
      </c>
      <c r="J9">
        <v>10</v>
      </c>
      <c r="K9">
        <v>193</v>
      </c>
      <c r="L9">
        <v>466</v>
      </c>
      <c r="M9">
        <v>1011</v>
      </c>
    </row>
    <row r="10" spans="1:13" x14ac:dyDescent="0.3">
      <c r="A10" s="3" t="s">
        <v>53</v>
      </c>
      <c r="B10">
        <v>257</v>
      </c>
      <c r="C10">
        <v>296</v>
      </c>
      <c r="D10">
        <v>75</v>
      </c>
      <c r="E10">
        <v>5</v>
      </c>
      <c r="F10">
        <v>633</v>
      </c>
      <c r="H10" s="3" t="s">
        <v>5076</v>
      </c>
      <c r="I10">
        <v>1616</v>
      </c>
      <c r="J10">
        <v>52</v>
      </c>
      <c r="K10">
        <v>970</v>
      </c>
      <c r="L10">
        <v>2362</v>
      </c>
      <c r="M10">
        <v>5000</v>
      </c>
    </row>
    <row r="11" spans="1:13" x14ac:dyDescent="0.3">
      <c r="A11" s="3" t="s">
        <v>32</v>
      </c>
      <c r="B11">
        <v>259</v>
      </c>
      <c r="C11">
        <v>301</v>
      </c>
      <c r="D11">
        <v>71</v>
      </c>
      <c r="E11">
        <v>5</v>
      </c>
      <c r="F11">
        <v>636</v>
      </c>
    </row>
    <row r="12" spans="1:13" x14ac:dyDescent="0.3">
      <c r="A12" s="3" t="s">
        <v>41</v>
      </c>
      <c r="B12">
        <v>254</v>
      </c>
      <c r="C12">
        <v>306</v>
      </c>
      <c r="D12">
        <v>66</v>
      </c>
      <c r="E12">
        <v>6</v>
      </c>
      <c r="F12">
        <v>632</v>
      </c>
    </row>
    <row r="13" spans="1:13" x14ac:dyDescent="0.3">
      <c r="A13" s="3" t="s">
        <v>5076</v>
      </c>
      <c r="B13">
        <v>2025</v>
      </c>
      <c r="C13">
        <v>2368</v>
      </c>
      <c r="D13">
        <v>569</v>
      </c>
      <c r="E13">
        <v>38</v>
      </c>
      <c r="F13">
        <v>5000</v>
      </c>
    </row>
    <row r="17" spans="2:20" x14ac:dyDescent="0.3">
      <c r="B17" s="4" t="s">
        <v>5082</v>
      </c>
      <c r="C17" s="4" t="s">
        <v>5077</v>
      </c>
      <c r="D17" s="3"/>
      <c r="E17" s="3"/>
      <c r="F17" s="3"/>
      <c r="G17" s="3"/>
      <c r="K17" s="2" t="s">
        <v>5077</v>
      </c>
    </row>
    <row r="18" spans="2:20" x14ac:dyDescent="0.3">
      <c r="B18" s="4" t="s">
        <v>5075</v>
      </c>
      <c r="C18" s="3" t="s">
        <v>5087</v>
      </c>
      <c r="D18" s="3" t="s">
        <v>5088</v>
      </c>
      <c r="E18" s="3" t="s">
        <v>5089</v>
      </c>
      <c r="F18" s="3" t="s">
        <v>5090</v>
      </c>
      <c r="G18" s="3" t="s">
        <v>5076</v>
      </c>
      <c r="K18" t="s">
        <v>45</v>
      </c>
      <c r="M18" t="s">
        <v>51</v>
      </c>
      <c r="O18" t="s">
        <v>28</v>
      </c>
      <c r="Q18" t="s">
        <v>36</v>
      </c>
      <c r="S18" t="s">
        <v>5095</v>
      </c>
      <c r="T18" t="s">
        <v>5096</v>
      </c>
    </row>
    <row r="19" spans="2:20" x14ac:dyDescent="0.3">
      <c r="B19" s="3" t="s">
        <v>96</v>
      </c>
      <c r="C19" s="3">
        <v>153</v>
      </c>
      <c r="D19" s="3">
        <v>296</v>
      </c>
      <c r="E19" s="3">
        <v>51</v>
      </c>
      <c r="F19" s="3">
        <v>1</v>
      </c>
      <c r="G19" s="3">
        <v>501</v>
      </c>
      <c r="J19" s="2" t="s">
        <v>5075</v>
      </c>
      <c r="K19" t="s">
        <v>5082</v>
      </c>
      <c r="L19" t="s">
        <v>5097</v>
      </c>
      <c r="M19" t="s">
        <v>5082</v>
      </c>
      <c r="N19" t="s">
        <v>5097</v>
      </c>
      <c r="O19" t="s">
        <v>5082</v>
      </c>
      <c r="P19" t="s">
        <v>5097</v>
      </c>
      <c r="Q19" t="s">
        <v>5082</v>
      </c>
      <c r="R19" t="s">
        <v>5097</v>
      </c>
    </row>
    <row r="20" spans="2:20" x14ac:dyDescent="0.3">
      <c r="B20" s="3" t="s">
        <v>68</v>
      </c>
      <c r="C20" s="3">
        <v>173</v>
      </c>
      <c r="D20" s="3">
        <v>289</v>
      </c>
      <c r="E20" s="3">
        <v>58</v>
      </c>
      <c r="F20" s="3">
        <v>2</v>
      </c>
      <c r="G20" s="3">
        <v>522</v>
      </c>
      <c r="J20" s="3" t="s">
        <v>5091</v>
      </c>
      <c r="K20">
        <v>259</v>
      </c>
      <c r="L20">
        <v>68949.003861003861</v>
      </c>
      <c r="M20">
        <v>220</v>
      </c>
      <c r="N20">
        <v>66139.3</v>
      </c>
      <c r="O20">
        <v>272</v>
      </c>
      <c r="P20">
        <v>69064.194852941175</v>
      </c>
      <c r="Q20">
        <v>260</v>
      </c>
      <c r="R20">
        <v>68336.25</v>
      </c>
      <c r="S20">
        <v>1011</v>
      </c>
      <c r="T20">
        <v>68211.002967359047</v>
      </c>
    </row>
    <row r="21" spans="2:20" x14ac:dyDescent="0.3">
      <c r="B21" s="3" t="s">
        <v>80</v>
      </c>
      <c r="C21" s="3">
        <v>157</v>
      </c>
      <c r="D21" s="3">
        <v>309</v>
      </c>
      <c r="E21" s="3">
        <v>46</v>
      </c>
      <c r="F21" s="3"/>
      <c r="G21" s="3">
        <v>512</v>
      </c>
      <c r="J21" s="3" t="s">
        <v>5092</v>
      </c>
      <c r="K21">
        <v>409</v>
      </c>
      <c r="L21">
        <v>76578.738386308061</v>
      </c>
      <c r="M21">
        <v>424</v>
      </c>
      <c r="N21">
        <v>75745.533018867922</v>
      </c>
      <c r="O21">
        <v>383</v>
      </c>
      <c r="P21">
        <v>76380.772845953004</v>
      </c>
      <c r="Q21">
        <v>438</v>
      </c>
      <c r="R21">
        <v>76850.805936073055</v>
      </c>
      <c r="S21">
        <v>1654</v>
      </c>
      <c r="T21">
        <v>76391.353688029019</v>
      </c>
    </row>
    <row r="22" spans="2:20" x14ac:dyDescent="0.3">
      <c r="B22" s="3" t="s">
        <v>26</v>
      </c>
      <c r="C22" s="3">
        <v>129</v>
      </c>
      <c r="D22" s="3">
        <v>280</v>
      </c>
      <c r="E22" s="3">
        <v>71</v>
      </c>
      <c r="F22" s="3">
        <v>1</v>
      </c>
      <c r="G22" s="3">
        <v>481</v>
      </c>
      <c r="J22" s="3" t="s">
        <v>5093</v>
      </c>
      <c r="K22">
        <v>148</v>
      </c>
      <c r="L22">
        <v>62081.25</v>
      </c>
      <c r="M22">
        <v>157</v>
      </c>
      <c r="N22">
        <v>61681.592356687899</v>
      </c>
      <c r="O22">
        <v>158</v>
      </c>
      <c r="P22">
        <v>63627.670886075946</v>
      </c>
      <c r="Q22">
        <v>151</v>
      </c>
      <c r="R22">
        <v>65673.324503311262</v>
      </c>
      <c r="S22">
        <v>614</v>
      </c>
      <c r="T22">
        <v>63260.389250814333</v>
      </c>
    </row>
    <row r="23" spans="2:20" x14ac:dyDescent="0.3">
      <c r="B23" s="3" t="s">
        <v>59</v>
      </c>
      <c r="C23" s="3">
        <v>154</v>
      </c>
      <c r="D23" s="3">
        <v>296</v>
      </c>
      <c r="E23" s="3">
        <v>48</v>
      </c>
      <c r="F23" s="3">
        <v>1</v>
      </c>
      <c r="G23" s="3">
        <v>499</v>
      </c>
      <c r="J23" s="3" t="s">
        <v>5094</v>
      </c>
      <c r="K23">
        <v>446</v>
      </c>
      <c r="L23">
        <v>84502.609865470848</v>
      </c>
      <c r="M23">
        <v>386</v>
      </c>
      <c r="N23">
        <v>86791.873056994824</v>
      </c>
      <c r="O23">
        <v>447</v>
      </c>
      <c r="P23">
        <v>85593.234899328862</v>
      </c>
      <c r="Q23">
        <v>442</v>
      </c>
      <c r="R23">
        <v>85996.477375565606</v>
      </c>
      <c r="S23">
        <v>1721</v>
      </c>
      <c r="T23">
        <v>85683.001743172572</v>
      </c>
    </row>
    <row r="24" spans="2:20" x14ac:dyDescent="0.3">
      <c r="B24" s="3" t="s">
        <v>35</v>
      </c>
      <c r="C24" s="3">
        <v>164</v>
      </c>
      <c r="D24" s="3">
        <v>272</v>
      </c>
      <c r="E24" s="3">
        <v>48</v>
      </c>
      <c r="F24" s="3"/>
      <c r="G24" s="3">
        <v>484</v>
      </c>
      <c r="J24" s="3" t="s">
        <v>5076</v>
      </c>
      <c r="K24">
        <v>1262</v>
      </c>
      <c r="L24">
        <v>76113.062599049124</v>
      </c>
      <c r="M24">
        <v>1187</v>
      </c>
      <c r="N24">
        <v>75697.072451558546</v>
      </c>
      <c r="O24">
        <v>1260</v>
      </c>
      <c r="P24">
        <v>76470.35317460318</v>
      </c>
      <c r="Q24">
        <v>1291</v>
      </c>
      <c r="R24">
        <v>76959.870642912472</v>
      </c>
      <c r="S24">
        <v>5000</v>
      </c>
      <c r="T24">
        <v>76322.989600000001</v>
      </c>
    </row>
    <row r="25" spans="2:20" x14ac:dyDescent="0.3">
      <c r="B25" s="3" t="s">
        <v>72</v>
      </c>
      <c r="C25" s="3">
        <v>164</v>
      </c>
      <c r="D25" s="3">
        <v>283</v>
      </c>
      <c r="E25" s="3">
        <v>47</v>
      </c>
      <c r="F25" s="3">
        <v>1</v>
      </c>
      <c r="G25" s="3">
        <v>495</v>
      </c>
    </row>
    <row r="26" spans="2:20" x14ac:dyDescent="0.3">
      <c r="B26" s="3" t="s">
        <v>54</v>
      </c>
      <c r="C26" s="3">
        <v>153</v>
      </c>
      <c r="D26" s="3">
        <v>281</v>
      </c>
      <c r="E26" s="3">
        <v>55</v>
      </c>
      <c r="F26" s="3"/>
      <c r="G26" s="3">
        <v>489</v>
      </c>
    </row>
    <row r="27" spans="2:20" x14ac:dyDescent="0.3">
      <c r="B27" s="3" t="s">
        <v>50</v>
      </c>
      <c r="C27" s="3">
        <v>160</v>
      </c>
      <c r="D27" s="3">
        <v>287</v>
      </c>
      <c r="E27" s="3">
        <v>50</v>
      </c>
      <c r="F27" s="3"/>
      <c r="G27" s="3">
        <v>497</v>
      </c>
    </row>
    <row r="28" spans="2:20" x14ac:dyDescent="0.3">
      <c r="B28" s="3" t="s">
        <v>43</v>
      </c>
      <c r="C28" s="3">
        <v>166</v>
      </c>
      <c r="D28" s="3">
        <v>298</v>
      </c>
      <c r="E28" s="3">
        <v>54</v>
      </c>
      <c r="F28" s="3">
        <v>2</v>
      </c>
      <c r="G28" s="3">
        <v>520</v>
      </c>
    </row>
    <row r="29" spans="2:20" x14ac:dyDescent="0.3">
      <c r="B29" s="3" t="s">
        <v>5076</v>
      </c>
      <c r="C29" s="3">
        <v>1573</v>
      </c>
      <c r="D29" s="3">
        <v>2891</v>
      </c>
      <c r="E29" s="3">
        <v>528</v>
      </c>
      <c r="F29" s="3">
        <v>8</v>
      </c>
      <c r="G29" s="3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B8B6-0372-447F-92DA-BE5426C23D98}">
  <dimension ref="A1"/>
  <sheetViews>
    <sheetView tabSelected="1" workbookViewId="0">
      <selection activeCell="R15" sqref="R1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Reliance_HR_Data</vt:lpstr>
      <vt:lpstr>Pivot table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nidhichouhan2903@outlook.com</cp:lastModifiedBy>
  <dcterms:created xsi:type="dcterms:W3CDTF">2026-06-19T06:36:19Z</dcterms:created>
  <dcterms:modified xsi:type="dcterms:W3CDTF">2026-06-19T09:31:33Z</dcterms:modified>
</cp:coreProperties>
</file>